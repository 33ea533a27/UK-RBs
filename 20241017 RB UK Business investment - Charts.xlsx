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20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theme/themeOverride21.xml" ContentType="application/vnd.openxmlformats-officedocument.themeOverrid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theme/themeOverride22.xml" ContentType="application/vnd.openxmlformats-officedocument.themeOverrid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theme/themeOverride23.xml" ContentType="application/vnd.openxmlformats-officedocument.themeOverrid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theme/themeOverride24.xml" ContentType="application/vnd.openxmlformats-officedocument.themeOverrid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theme/themeOverride25.xml" ContentType="application/vnd.openxmlformats-officedocument.themeOverrid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7.xml" ContentType="application/vnd.openxmlformats-officedocument.themeOverrid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theme/themeOverride28.xml" ContentType="application/vnd.openxmlformats-officedocument.themeOverride+xml"/>
  <Override PartName="/xl/drawings/drawing5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DC5B3AB9-2ECA-4F4C-9865-7B30C1721FF4}" xr6:coauthVersionLast="47" xr6:coauthVersionMax="47" xr10:uidLastSave="{00000000-0000-0000-0000-000000000000}"/>
  <bookViews>
    <workbookView xWindow="-120" yWindow="-120" windowWidth="29040" windowHeight="15840" firstSheet="3" activeTab="3" xr2:uid="{58E0C724-3EC2-47DF-86A6-19A725DF8955}"/>
  </bookViews>
  <sheets>
    <sheet name="&gt;&gt; CHARTS" sheetId="4" r:id="rId1"/>
    <sheet name="Chart - IPNR &amp; CGEAR (4QMA)" sheetId="45" r:id="rId2"/>
    <sheet name="Chart - IPNR revisions" sheetId="50" r:id="rId3"/>
    <sheet name="Chart - IPNR by asset % 2016" sheetId="58" r:id="rId4"/>
    <sheet name="Chart - CBI invest constraints" sheetId="60" r:id="rId5"/>
    <sheet name="Chart - Corporate deposits" sheetId="21" r:id="rId6"/>
    <sheet name="Chart - Interest rates change" sheetId="35" r:id="rId7"/>
    <sheet name="Chart - Stock of loans" sheetId="20" r:id="rId8"/>
    <sheet name="Chart - Cred Con &amp; invest" sheetId="62" r:id="rId9"/>
    <sheet name="Chart - IPNR vs surveys" sheetId="17" r:id="rId10"/>
    <sheet name="Chart - IPNR G7 forecast" sheetId="61" r:id="rId11"/>
    <sheet name="&gt;&gt; DATA" sheetId="5" r:id="rId12"/>
    <sheet name="Chart Data" sheetId="2" r:id="rId13"/>
    <sheet name="DataQ" sheetId="16" r:id="rId14"/>
    <sheet name="DataA" sheetId="39" r:id="rId15"/>
    <sheet name="GMWQ" sheetId="15" r:id="rId16"/>
    <sheet name="GMWA" sheetId="38" r:id="rId17"/>
    <sheet name="HAVERQ" sheetId="1" r:id="rId18"/>
    <sheet name="HAVERM" sheetId="19" r:id="rId19"/>
    <sheet name="ONS CVM_SA_(Quarterly)" sheetId="7" r:id="rId20"/>
    <sheet name="IPNR ex BNFL" sheetId="18" r:id="rId21"/>
    <sheet name="&gt;&gt; NOT USED" sheetId="6" r:id="rId22"/>
    <sheet name="Chart - IPNR &amp; CGEAR" sheetId="43" r:id="rId23"/>
    <sheet name="Chart - Capital stock" sheetId="36" r:id="rId24"/>
    <sheet name="Chart - IPNR revisions 2022=100" sheetId="49" r:id="rId25"/>
    <sheet name="Chart - IPNR by asset % Q419" sheetId="55" r:id="rId26"/>
    <sheet name="Chart - IPNR by sector % Q419" sheetId="57" r:id="rId27"/>
    <sheet name="Chart - IPNR by asset % Q121" sheetId="40" r:id="rId28"/>
    <sheet name="IPNR G7 history" sheetId="30" r:id="rId29"/>
    <sheet name="Chart - IF by asset" sheetId="11" r:id="rId30"/>
    <sheet name="Chart - IPNR by asset £bn" sheetId="33" r:id="rId31"/>
    <sheet name="Chart - IPNR and P&amp;M" sheetId="32" r:id="rId32"/>
    <sheet name="IPNR by sector diff Q419 ser v2" sheetId="13" r:id="rId33"/>
    <sheet name="IPNR by sector Q419=100" sheetId="3" r:id="rId34"/>
    <sheet name="IPNR by sector diff Q419 ser v1" sheetId="12" r:id="rId35"/>
    <sheet name="IPNR by sector £bn" sheetId="9" r:id="rId36"/>
    <sheet name="IPNR by asset Q419=100" sheetId="8" r:id="rId37"/>
    <sheet name="Chart - Interest rates" sheetId="34" r:id="rId38"/>
    <sheet name="Chart - IPNR vs debt" sheetId="22" r:id="rId39"/>
    <sheet name="Chart - IPNR forecasts" sheetId="23" r:id="rId40"/>
  </sheets>
  <externalReferences>
    <externalReference r:id="rId41"/>
    <externalReference r:id="rId42"/>
  </externalReferences>
  <definedNames>
    <definedName name="_DLX1.INC">HAVERQ!$A$3:$BJ$8</definedName>
    <definedName name="_DLX2.INC">HAVERM!$A$2:$BL$7</definedName>
    <definedName name="A" hidden="1">#REF!</definedName>
    <definedName name="ag" hidden="1">{#N/A,#N/A,FALSE,"CGBR95C"}</definedName>
    <definedName name="Annual_Data" localSheetId="16">GMWA!$A$1:$A$2</definedName>
    <definedName name="Annual_Data" localSheetId="15">GMWQ!$A$1:$A$2</definedName>
    <definedName name="b" hidden="1">{#N/A,#N/A,FALSE,"CGBR95C"}</definedName>
    <definedName name="Data">[1]sheet0!$C$2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localSheetId="14" hidden="1">{#N/A,#N/A,FALSE,"CGBR95C"}</definedName>
    <definedName name="dfgdfg" localSheetId="13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 hidden="1">{#N/A,#N/A,FALSE,"CGBR95C"}</definedName>
    <definedName name="SpreadsheetBuilder_1" hidden="1">'[2]BBG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R76" i="2" l="1"/>
  <c r="IR6" i="2"/>
  <c r="IR7" i="2"/>
  <c r="IR8" i="2"/>
  <c r="IR9" i="2"/>
  <c r="IR10" i="2"/>
  <c r="IR11" i="2"/>
  <c r="IR12" i="2"/>
  <c r="IR13" i="2"/>
  <c r="IR14" i="2"/>
  <c r="IR15" i="2"/>
  <c r="IR16" i="2"/>
  <c r="IR17" i="2"/>
  <c r="IR18" i="2"/>
  <c r="IR19" i="2"/>
  <c r="IR20" i="2"/>
  <c r="IR21" i="2"/>
  <c r="IR22" i="2"/>
  <c r="IR23" i="2"/>
  <c r="IR24" i="2"/>
  <c r="IR25" i="2"/>
  <c r="IR26" i="2"/>
  <c r="IR27" i="2"/>
  <c r="IR28" i="2"/>
  <c r="IR29" i="2"/>
  <c r="IR30" i="2"/>
  <c r="IR31" i="2"/>
  <c r="IR32" i="2"/>
  <c r="IR33" i="2"/>
  <c r="IR34" i="2"/>
  <c r="IR35" i="2"/>
  <c r="IR36" i="2"/>
  <c r="IR37" i="2"/>
  <c r="IR38" i="2"/>
  <c r="IR39" i="2"/>
  <c r="IR40" i="2"/>
  <c r="IR41" i="2"/>
  <c r="IR42" i="2"/>
  <c r="IR43" i="2"/>
  <c r="IR44" i="2"/>
  <c r="IR45" i="2"/>
  <c r="IR46" i="2"/>
  <c r="IR47" i="2"/>
  <c r="IR48" i="2"/>
  <c r="IR49" i="2"/>
  <c r="IR50" i="2"/>
  <c r="IR51" i="2"/>
  <c r="IR52" i="2"/>
  <c r="IR53" i="2"/>
  <c r="IR54" i="2"/>
  <c r="IR55" i="2"/>
  <c r="IR56" i="2"/>
  <c r="IR57" i="2"/>
  <c r="IR58" i="2"/>
  <c r="IR59" i="2"/>
  <c r="IR60" i="2"/>
  <c r="IR61" i="2"/>
  <c r="IR62" i="2"/>
  <c r="IR63" i="2"/>
  <c r="IR64" i="2"/>
  <c r="IR65" i="2"/>
  <c r="IR66" i="2"/>
  <c r="IR67" i="2"/>
  <c r="IR68" i="2"/>
  <c r="IR69" i="2"/>
  <c r="IR70" i="2"/>
  <c r="IR71" i="2"/>
  <c r="IR72" i="2"/>
  <c r="IR73" i="2"/>
  <c r="IR74" i="2"/>
  <c r="IR75" i="2"/>
  <c r="IR5" i="2"/>
  <c r="IS6" i="2"/>
  <c r="IS7" i="2"/>
  <c r="IS8" i="2"/>
  <c r="IS9" i="2"/>
  <c r="IS10" i="2"/>
  <c r="IS11" i="2"/>
  <c r="IS12" i="2"/>
  <c r="IS13" i="2"/>
  <c r="IS14" i="2"/>
  <c r="IS15" i="2"/>
  <c r="IS16" i="2"/>
  <c r="IS17" i="2"/>
  <c r="IS18" i="2"/>
  <c r="IS19" i="2"/>
  <c r="IS20" i="2"/>
  <c r="IS21" i="2"/>
  <c r="IS22" i="2"/>
  <c r="IS23" i="2"/>
  <c r="IS24" i="2"/>
  <c r="IS25" i="2"/>
  <c r="IS26" i="2"/>
  <c r="IS27" i="2"/>
  <c r="IS28" i="2"/>
  <c r="IS29" i="2"/>
  <c r="IS30" i="2"/>
  <c r="IS31" i="2"/>
  <c r="IS32" i="2"/>
  <c r="IS33" i="2"/>
  <c r="IS34" i="2"/>
  <c r="IS35" i="2"/>
  <c r="IS36" i="2"/>
  <c r="IS37" i="2"/>
  <c r="IS38" i="2"/>
  <c r="IS39" i="2"/>
  <c r="IS40" i="2"/>
  <c r="IS41" i="2"/>
  <c r="IS42" i="2"/>
  <c r="IS43" i="2"/>
  <c r="IS44" i="2"/>
  <c r="IS45" i="2"/>
  <c r="IS46" i="2"/>
  <c r="IS47" i="2"/>
  <c r="IS48" i="2"/>
  <c r="IS49" i="2"/>
  <c r="IS50" i="2"/>
  <c r="IS51" i="2"/>
  <c r="IS52" i="2"/>
  <c r="IS53" i="2"/>
  <c r="IS54" i="2"/>
  <c r="IS55" i="2"/>
  <c r="IS56" i="2"/>
  <c r="IS57" i="2"/>
  <c r="IS58" i="2"/>
  <c r="IS59" i="2"/>
  <c r="IS60" i="2"/>
  <c r="IS61" i="2"/>
  <c r="IS62" i="2"/>
  <c r="IS63" i="2"/>
  <c r="IS64" i="2"/>
  <c r="IS65" i="2"/>
  <c r="IS66" i="2"/>
  <c r="IS67" i="2"/>
  <c r="IS68" i="2"/>
  <c r="IS69" i="2"/>
  <c r="IS70" i="2"/>
  <c r="IS71" i="2"/>
  <c r="IS72" i="2"/>
  <c r="IS73" i="2"/>
  <c r="IS74" i="2"/>
  <c r="IS5" i="2"/>
  <c r="HK32" i="2"/>
  <c r="HR31" i="2"/>
  <c r="HK31" i="2" s="1"/>
  <c r="HS31" i="2"/>
  <c r="HT31" i="2"/>
  <c r="HO31" i="2" s="1"/>
  <c r="HU31" i="2"/>
  <c r="HV31" i="2"/>
  <c r="HW31" i="2"/>
  <c r="HX31" i="2"/>
  <c r="HR32" i="2"/>
  <c r="HS32" i="2"/>
  <c r="HT32" i="2"/>
  <c r="HU32" i="2"/>
  <c r="HV32" i="2"/>
  <c r="HW32" i="2"/>
  <c r="HX32" i="2"/>
  <c r="HR33" i="2"/>
  <c r="HK33" i="2" s="1"/>
  <c r="HS33" i="2"/>
  <c r="HT33" i="2"/>
  <c r="HU33" i="2"/>
  <c r="HV33" i="2"/>
  <c r="HW33" i="2"/>
  <c r="HX33" i="2"/>
  <c r="HR34" i="2"/>
  <c r="HK34" i="2" s="1"/>
  <c r="HS34" i="2"/>
  <c r="HT34" i="2"/>
  <c r="HU34" i="2"/>
  <c r="HV34" i="2"/>
  <c r="HW34" i="2"/>
  <c r="HX34" i="2"/>
  <c r="HR35" i="2"/>
  <c r="HK35" i="2" s="1"/>
  <c r="HS35" i="2"/>
  <c r="HT35" i="2"/>
  <c r="HU35" i="2"/>
  <c r="HV35" i="2"/>
  <c r="HW35" i="2"/>
  <c r="HX35" i="2"/>
  <c r="HR36" i="2"/>
  <c r="HK36" i="2" s="1"/>
  <c r="HS36" i="2"/>
  <c r="HT36" i="2"/>
  <c r="HU36" i="2"/>
  <c r="HV36" i="2"/>
  <c r="HW36" i="2"/>
  <c r="HX36" i="2"/>
  <c r="HR37" i="2"/>
  <c r="HK37" i="2" s="1"/>
  <c r="HS37" i="2"/>
  <c r="HT37" i="2"/>
  <c r="HU37" i="2"/>
  <c r="HV37" i="2"/>
  <c r="HW37" i="2"/>
  <c r="HX37" i="2"/>
  <c r="HR38" i="2"/>
  <c r="HK38" i="2" s="1"/>
  <c r="HS38" i="2"/>
  <c r="HL38" i="2" s="1"/>
  <c r="HT38" i="2"/>
  <c r="HU38" i="2"/>
  <c r="HV38" i="2"/>
  <c r="HW38" i="2"/>
  <c r="HX38" i="2"/>
  <c r="HR39" i="2"/>
  <c r="HK39" i="2" s="1"/>
  <c r="HS39" i="2"/>
  <c r="HT39" i="2"/>
  <c r="HO39" i="2" s="1"/>
  <c r="HU39" i="2"/>
  <c r="HV39" i="2"/>
  <c r="HW39" i="2"/>
  <c r="HX39" i="2"/>
  <c r="HR40" i="2"/>
  <c r="HK40" i="2" s="1"/>
  <c r="HS40" i="2"/>
  <c r="HT40" i="2"/>
  <c r="HU40" i="2"/>
  <c r="HV40" i="2"/>
  <c r="HW40" i="2"/>
  <c r="HX40" i="2"/>
  <c r="HR41" i="2"/>
  <c r="HK41" i="2" s="1"/>
  <c r="HS41" i="2"/>
  <c r="HT41" i="2"/>
  <c r="HU41" i="2"/>
  <c r="HV41" i="2"/>
  <c r="HW41" i="2"/>
  <c r="HX41" i="2"/>
  <c r="HR42" i="2"/>
  <c r="HK42" i="2" s="1"/>
  <c r="HS42" i="2"/>
  <c r="HT42" i="2"/>
  <c r="HU42" i="2"/>
  <c r="HV42" i="2"/>
  <c r="HW42" i="2"/>
  <c r="HX42" i="2"/>
  <c r="HR43" i="2"/>
  <c r="HK43" i="2" s="1"/>
  <c r="HS43" i="2"/>
  <c r="HT43" i="2"/>
  <c r="HU43" i="2"/>
  <c r="HV43" i="2"/>
  <c r="HW43" i="2"/>
  <c r="HX43" i="2"/>
  <c r="HR44" i="2"/>
  <c r="HK44" i="2" s="1"/>
  <c r="HS44" i="2"/>
  <c r="HT44" i="2"/>
  <c r="HU44" i="2"/>
  <c r="HV44" i="2"/>
  <c r="HW44" i="2"/>
  <c r="HX44" i="2"/>
  <c r="HS6" i="2"/>
  <c r="HO6" i="2" s="1"/>
  <c r="HT6" i="2"/>
  <c r="HU6" i="2"/>
  <c r="HV6" i="2"/>
  <c r="HW6" i="2"/>
  <c r="HX6" i="2"/>
  <c r="HS7" i="2"/>
  <c r="HT7" i="2"/>
  <c r="HU7" i="2"/>
  <c r="HV7" i="2"/>
  <c r="HW7" i="2"/>
  <c r="HX7" i="2"/>
  <c r="HS8" i="2"/>
  <c r="HT8" i="2"/>
  <c r="HU8" i="2"/>
  <c r="HV8" i="2"/>
  <c r="HW8" i="2"/>
  <c r="HX8" i="2"/>
  <c r="HS9" i="2"/>
  <c r="HT9" i="2"/>
  <c r="HU9" i="2"/>
  <c r="HV9" i="2"/>
  <c r="HW9" i="2"/>
  <c r="HX9" i="2"/>
  <c r="HS10" i="2"/>
  <c r="HL10" i="2" s="1"/>
  <c r="HT10" i="2"/>
  <c r="HU10" i="2"/>
  <c r="HV10" i="2"/>
  <c r="HW10" i="2"/>
  <c r="HX10" i="2"/>
  <c r="HS11" i="2"/>
  <c r="HT11" i="2"/>
  <c r="HU11" i="2"/>
  <c r="HV11" i="2"/>
  <c r="HW11" i="2"/>
  <c r="HX11" i="2"/>
  <c r="HS12" i="2"/>
  <c r="HT12" i="2"/>
  <c r="HU12" i="2"/>
  <c r="HV12" i="2"/>
  <c r="HW12" i="2"/>
  <c r="HX12" i="2"/>
  <c r="HS13" i="2"/>
  <c r="HT13" i="2"/>
  <c r="HU13" i="2"/>
  <c r="HV13" i="2"/>
  <c r="HW13" i="2"/>
  <c r="HX13" i="2"/>
  <c r="HS14" i="2"/>
  <c r="HO14" i="2" s="1"/>
  <c r="HT14" i="2"/>
  <c r="HU14" i="2"/>
  <c r="HV14" i="2"/>
  <c r="HW14" i="2"/>
  <c r="HX14" i="2"/>
  <c r="HS15" i="2"/>
  <c r="HT15" i="2"/>
  <c r="HU15" i="2"/>
  <c r="HV15" i="2"/>
  <c r="HW15" i="2"/>
  <c r="HX15" i="2"/>
  <c r="HS16" i="2"/>
  <c r="HT16" i="2"/>
  <c r="HU16" i="2"/>
  <c r="HV16" i="2"/>
  <c r="HW16" i="2"/>
  <c r="HX16" i="2"/>
  <c r="HS17" i="2"/>
  <c r="HT17" i="2"/>
  <c r="HU17" i="2"/>
  <c r="HV17" i="2"/>
  <c r="HW17" i="2"/>
  <c r="HX17" i="2"/>
  <c r="HS18" i="2"/>
  <c r="HO18" i="2" s="1"/>
  <c r="HT18" i="2"/>
  <c r="HU18" i="2"/>
  <c r="HV18" i="2"/>
  <c r="HW18" i="2"/>
  <c r="HX18" i="2"/>
  <c r="HS19" i="2"/>
  <c r="HT19" i="2"/>
  <c r="HU19" i="2"/>
  <c r="HV19" i="2"/>
  <c r="HW19" i="2"/>
  <c r="HX19" i="2"/>
  <c r="HS20" i="2"/>
  <c r="HT20" i="2"/>
  <c r="HU20" i="2"/>
  <c r="HV20" i="2"/>
  <c r="HW20" i="2"/>
  <c r="HX20" i="2"/>
  <c r="HS21" i="2"/>
  <c r="HT21" i="2"/>
  <c r="HU21" i="2"/>
  <c r="HV21" i="2"/>
  <c r="HW21" i="2"/>
  <c r="HX21" i="2"/>
  <c r="HS22" i="2"/>
  <c r="HO22" i="2" s="1"/>
  <c r="HT22" i="2"/>
  <c r="HU22" i="2"/>
  <c r="HV22" i="2"/>
  <c r="HW22" i="2"/>
  <c r="HX22" i="2"/>
  <c r="HS23" i="2"/>
  <c r="HT23" i="2"/>
  <c r="HU23" i="2"/>
  <c r="HV23" i="2"/>
  <c r="HW23" i="2"/>
  <c r="HX23" i="2"/>
  <c r="HS24" i="2"/>
  <c r="HT24" i="2"/>
  <c r="HU24" i="2"/>
  <c r="HV24" i="2"/>
  <c r="HW24" i="2"/>
  <c r="HX24" i="2"/>
  <c r="HS25" i="2"/>
  <c r="HT25" i="2"/>
  <c r="HU25" i="2"/>
  <c r="HV25" i="2"/>
  <c r="HW25" i="2"/>
  <c r="HX25" i="2"/>
  <c r="HS26" i="2"/>
  <c r="HO26" i="2" s="1"/>
  <c r="HT26" i="2"/>
  <c r="HU26" i="2"/>
  <c r="HV26" i="2"/>
  <c r="HW26" i="2"/>
  <c r="HX26" i="2"/>
  <c r="HS27" i="2"/>
  <c r="HT27" i="2"/>
  <c r="HU27" i="2"/>
  <c r="HV27" i="2"/>
  <c r="HW27" i="2"/>
  <c r="HX27" i="2"/>
  <c r="HS28" i="2"/>
  <c r="HT28" i="2"/>
  <c r="HU28" i="2"/>
  <c r="HV28" i="2"/>
  <c r="HW28" i="2"/>
  <c r="HX28" i="2"/>
  <c r="HS29" i="2"/>
  <c r="HT29" i="2"/>
  <c r="HU29" i="2"/>
  <c r="HV29" i="2"/>
  <c r="HW29" i="2"/>
  <c r="HX29" i="2"/>
  <c r="HS30" i="2"/>
  <c r="HO30" i="2" s="1"/>
  <c r="HT30" i="2"/>
  <c r="HU30" i="2"/>
  <c r="HV30" i="2"/>
  <c r="HW30" i="2"/>
  <c r="HX30" i="2"/>
  <c r="HT5" i="2"/>
  <c r="HU5" i="2"/>
  <c r="HV5" i="2"/>
  <c r="HW5" i="2"/>
  <c r="HX5" i="2"/>
  <c r="HS5" i="2"/>
  <c r="HR6" i="2"/>
  <c r="HR7" i="2"/>
  <c r="HR8" i="2"/>
  <c r="HK8" i="2" s="1"/>
  <c r="HR9" i="2"/>
  <c r="HK9" i="2" s="1"/>
  <c r="HR10" i="2"/>
  <c r="HR11" i="2"/>
  <c r="HK11" i="2" s="1"/>
  <c r="HR12" i="2"/>
  <c r="HR13" i="2"/>
  <c r="HK13" i="2" s="1"/>
  <c r="HR14" i="2"/>
  <c r="HR15" i="2"/>
  <c r="HR16" i="2"/>
  <c r="HR17" i="2"/>
  <c r="HK17" i="2" s="1"/>
  <c r="HR18" i="2"/>
  <c r="HK18" i="2" s="1"/>
  <c r="HR19" i="2"/>
  <c r="HK19" i="2" s="1"/>
  <c r="HR20" i="2"/>
  <c r="HK20" i="2" s="1"/>
  <c r="HR21" i="2"/>
  <c r="HR22" i="2"/>
  <c r="HR23" i="2"/>
  <c r="HR24" i="2"/>
  <c r="HK24" i="2" s="1"/>
  <c r="HR25" i="2"/>
  <c r="HK25" i="2" s="1"/>
  <c r="HR26" i="2"/>
  <c r="HK26" i="2" s="1"/>
  <c r="HR27" i="2"/>
  <c r="HR28" i="2"/>
  <c r="HK28" i="2" s="1"/>
  <c r="HR29" i="2"/>
  <c r="HK29" i="2" s="1"/>
  <c r="HR30" i="2"/>
  <c r="HK30" i="2" s="1"/>
  <c r="HR5" i="2"/>
  <c r="HK5" i="2" s="1"/>
  <c r="HK27" i="2"/>
  <c r="HK23" i="2"/>
  <c r="HK22" i="2"/>
  <c r="HK16" i="2"/>
  <c r="HK15" i="2"/>
  <c r="HK14" i="2"/>
  <c r="HK12" i="2"/>
  <c r="HK10" i="2"/>
  <c r="HK7" i="2"/>
  <c r="HK6" i="2"/>
  <c r="HO29" i="2" l="1"/>
  <c r="HL25" i="2"/>
  <c r="HO21" i="2"/>
  <c r="HO20" i="2"/>
  <c r="HL17" i="2"/>
  <c r="HO13" i="2"/>
  <c r="HL9" i="2"/>
  <c r="HO44" i="2"/>
  <c r="HM44" i="2" s="1"/>
  <c r="HL42" i="2"/>
  <c r="HO41" i="2"/>
  <c r="HO40" i="2"/>
  <c r="HO36" i="2"/>
  <c r="HL35" i="2"/>
  <c r="HL34" i="2"/>
  <c r="HM34" i="2" s="1"/>
  <c r="HO33" i="2"/>
  <c r="HO32" i="2"/>
  <c r="HL33" i="2"/>
  <c r="HL39" i="2"/>
  <c r="HO42" i="2"/>
  <c r="HO34" i="2"/>
  <c r="HL43" i="2"/>
  <c r="HO35" i="2"/>
  <c r="HM35" i="2" s="1"/>
  <c r="HL44" i="2"/>
  <c r="HL36" i="2"/>
  <c r="HM36" i="2" s="1"/>
  <c r="HO10" i="2"/>
  <c r="HL37" i="2"/>
  <c r="HL31" i="2"/>
  <c r="HO38" i="2"/>
  <c r="HM38" i="2" s="1"/>
  <c r="HO17" i="2"/>
  <c r="HL20" i="2"/>
  <c r="HM20" i="2" s="1"/>
  <c r="HL8" i="2"/>
  <c r="HO37" i="2"/>
  <c r="HM37" i="2" s="1"/>
  <c r="HO24" i="2"/>
  <c r="HL12" i="2"/>
  <c r="HO43" i="2"/>
  <c r="HM43" i="2" s="1"/>
  <c r="HO23" i="2"/>
  <c r="HO16" i="2"/>
  <c r="HO11" i="2"/>
  <c r="HL41" i="2"/>
  <c r="HM41" i="2" s="1"/>
  <c r="HL18" i="2"/>
  <c r="HM18" i="2" s="1"/>
  <c r="HL40" i="2"/>
  <c r="HO27" i="2"/>
  <c r="HO7" i="2"/>
  <c r="HO15" i="2"/>
  <c r="HO8" i="2"/>
  <c r="HL26" i="2"/>
  <c r="HM26" i="2" s="1"/>
  <c r="HO5" i="2"/>
  <c r="HL32" i="2"/>
  <c r="HL28" i="2"/>
  <c r="HO19" i="2"/>
  <c r="HM31" i="2"/>
  <c r="HM40" i="2"/>
  <c r="HM39" i="2"/>
  <c r="HM17" i="2"/>
  <c r="HL15" i="2"/>
  <c r="HL21" i="2"/>
  <c r="HM21" i="2" s="1"/>
  <c r="HL24" i="2"/>
  <c r="HM24" i="2" s="1"/>
  <c r="HO9" i="2"/>
  <c r="HM9" i="2" s="1"/>
  <c r="HO12" i="2"/>
  <c r="HM12" i="2" s="1"/>
  <c r="HO25" i="2"/>
  <c r="HM25" i="2" s="1"/>
  <c r="HO28" i="2"/>
  <c r="HL7" i="2"/>
  <c r="HL13" i="2"/>
  <c r="HL16" i="2"/>
  <c r="HL23" i="2"/>
  <c r="HL29" i="2"/>
  <c r="HM29" i="2" s="1"/>
  <c r="HM10" i="2"/>
  <c r="HL5" i="2"/>
  <c r="HK21" i="2"/>
  <c r="HL11" i="2"/>
  <c r="HM11" i="2" s="1"/>
  <c r="HL19" i="2"/>
  <c r="HL27" i="2"/>
  <c r="HL6" i="2"/>
  <c r="HM6" i="2" s="1"/>
  <c r="HL14" i="2"/>
  <c r="HM14" i="2" s="1"/>
  <c r="HL22" i="2"/>
  <c r="HM22" i="2" s="1"/>
  <c r="HL30" i="2"/>
  <c r="HM30" i="2" s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AJ2" i="1"/>
  <c r="AK1" i="1"/>
  <c r="AL1" i="1"/>
  <c r="IK5" i="2" s="1"/>
  <c r="AM1" i="1"/>
  <c r="IL5" i="2" s="1"/>
  <c r="AN1" i="1"/>
  <c r="IM5" i="2" s="1"/>
  <c r="AO1" i="1"/>
  <c r="AP1" i="1"/>
  <c r="IO5" i="2" s="1"/>
  <c r="AQ1" i="1"/>
  <c r="II6" i="2" s="1"/>
  <c r="AR1" i="1"/>
  <c r="IJ6" i="2" s="1"/>
  <c r="AS1" i="1"/>
  <c r="AT1" i="1"/>
  <c r="IL6" i="2" s="1"/>
  <c r="AU1" i="1"/>
  <c r="IM6" i="2" s="1"/>
  <c r="AV1" i="1"/>
  <c r="IN6" i="2" s="1"/>
  <c r="AW1" i="1"/>
  <c r="AX1" i="1"/>
  <c r="II7" i="2" s="1"/>
  <c r="AY1" i="1"/>
  <c r="IJ7" i="2" s="1"/>
  <c r="AZ1" i="1"/>
  <c r="IK7" i="2" s="1"/>
  <c r="BA1" i="1"/>
  <c r="BB1" i="1"/>
  <c r="IM7" i="2" s="1"/>
  <c r="BC1" i="1"/>
  <c r="IN7" i="2" s="1"/>
  <c r="BD1" i="1"/>
  <c r="AJ1" i="1"/>
  <c r="HM23" i="2" l="1"/>
  <c r="HM13" i="2"/>
  <c r="HM32" i="2"/>
  <c r="HM7" i="2"/>
  <c r="HM8" i="2"/>
  <c r="HM28" i="2"/>
  <c r="HM33" i="2"/>
  <c r="HM42" i="2"/>
  <c r="HM5" i="2"/>
  <c r="HM27" i="2"/>
  <c r="HM16" i="2"/>
  <c r="HM19" i="2"/>
  <c r="HM15" i="2"/>
  <c r="II5" i="2"/>
  <c r="IO7" i="2"/>
  <c r="IO6" i="2"/>
  <c r="IN5" i="2"/>
  <c r="IL7" i="2"/>
  <c r="IK6" i="2"/>
  <c r="IJ5" i="2"/>
  <c r="FW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T5" i="2"/>
  <c r="AQ5" i="2"/>
  <c r="AR5" i="2"/>
  <c r="AS5" i="2"/>
  <c r="AP5" i="2"/>
  <c r="AJ5" i="2"/>
  <c r="AI5" i="2"/>
  <c r="AK5" i="2"/>
  <c r="AL5" i="2"/>
  <c r="AI6" i="2"/>
  <c r="AJ6" i="2"/>
  <c r="AK6" i="2"/>
  <c r="AL6" i="2"/>
  <c r="AI7" i="2"/>
  <c r="AJ7" i="2"/>
  <c r="AK7" i="2"/>
  <c r="AL7" i="2"/>
  <c r="AI8" i="2"/>
  <c r="AJ8" i="2"/>
  <c r="AK8" i="2"/>
  <c r="AL8" i="2"/>
  <c r="AI9" i="2"/>
  <c r="AJ9" i="2"/>
  <c r="AK9" i="2"/>
  <c r="AL9" i="2"/>
  <c r="AI10" i="2"/>
  <c r="AJ10" i="2"/>
  <c r="AK10" i="2"/>
  <c r="AL10" i="2"/>
  <c r="AI11" i="2"/>
  <c r="AJ11" i="2"/>
  <c r="AK11" i="2"/>
  <c r="AL11" i="2"/>
  <c r="AI12" i="2"/>
  <c r="AJ12" i="2"/>
  <c r="AK12" i="2"/>
  <c r="AL12" i="2"/>
  <c r="AI13" i="2"/>
  <c r="AJ13" i="2"/>
  <c r="AK13" i="2"/>
  <c r="AL13" i="2"/>
  <c r="AI14" i="2"/>
  <c r="AJ14" i="2"/>
  <c r="AK14" i="2"/>
  <c r="AL14" i="2"/>
  <c r="AI15" i="2"/>
  <c r="AJ15" i="2"/>
  <c r="AK15" i="2"/>
  <c r="AL15" i="2"/>
  <c r="AI16" i="2"/>
  <c r="AJ16" i="2"/>
  <c r="AK16" i="2"/>
  <c r="AL16" i="2"/>
  <c r="AI17" i="2"/>
  <c r="AJ17" i="2"/>
  <c r="AK17" i="2"/>
  <c r="AL17" i="2"/>
  <c r="AI18" i="2"/>
  <c r="AJ18" i="2"/>
  <c r="AK18" i="2"/>
  <c r="AL18" i="2"/>
  <c r="AI19" i="2"/>
  <c r="AJ19" i="2"/>
  <c r="AK19" i="2"/>
  <c r="AL19" i="2"/>
  <c r="AI20" i="2"/>
  <c r="AJ20" i="2"/>
  <c r="AK20" i="2"/>
  <c r="AL20" i="2"/>
  <c r="AI21" i="2"/>
  <c r="AJ21" i="2"/>
  <c r="AK21" i="2"/>
  <c r="AL21" i="2"/>
  <c r="AI22" i="2"/>
  <c r="AJ22" i="2"/>
  <c r="AK22" i="2"/>
  <c r="AL22" i="2"/>
  <c r="AI23" i="2"/>
  <c r="AJ23" i="2"/>
  <c r="AK23" i="2"/>
  <c r="AL23" i="2"/>
  <c r="AI24" i="2"/>
  <c r="AJ24" i="2"/>
  <c r="AK24" i="2"/>
  <c r="AL24" i="2"/>
  <c r="AI25" i="2"/>
  <c r="AJ25" i="2"/>
  <c r="AK25" i="2"/>
  <c r="AL25" i="2"/>
  <c r="AI26" i="2"/>
  <c r="AJ26" i="2"/>
  <c r="AK26" i="2"/>
  <c r="AL26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5" i="2"/>
  <c r="BZ6" i="2"/>
  <c r="CA6" i="2"/>
  <c r="CB6" i="2"/>
  <c r="BZ7" i="2"/>
  <c r="CA7" i="2"/>
  <c r="CB7" i="2"/>
  <c r="BZ8" i="2"/>
  <c r="CA8" i="2"/>
  <c r="CB8" i="2"/>
  <c r="BZ9" i="2"/>
  <c r="CA9" i="2"/>
  <c r="CB9" i="2"/>
  <c r="BZ10" i="2"/>
  <c r="CA10" i="2"/>
  <c r="CB10" i="2"/>
  <c r="BZ11" i="2"/>
  <c r="CA11" i="2"/>
  <c r="CB11" i="2"/>
  <c r="BZ12" i="2"/>
  <c r="CA12" i="2"/>
  <c r="CB12" i="2"/>
  <c r="BZ13" i="2"/>
  <c r="CA13" i="2"/>
  <c r="CB13" i="2"/>
  <c r="BZ14" i="2"/>
  <c r="CA14" i="2"/>
  <c r="CB14" i="2"/>
  <c r="BZ15" i="2"/>
  <c r="CA15" i="2"/>
  <c r="CB15" i="2"/>
  <c r="BZ16" i="2"/>
  <c r="CA16" i="2"/>
  <c r="CB16" i="2"/>
  <c r="BZ17" i="2"/>
  <c r="CA17" i="2"/>
  <c r="CB17" i="2"/>
  <c r="BZ18" i="2"/>
  <c r="CA18" i="2"/>
  <c r="CB18" i="2"/>
  <c r="BZ19" i="2"/>
  <c r="CA19" i="2"/>
  <c r="CB19" i="2"/>
  <c r="BZ20" i="2"/>
  <c r="CA20" i="2"/>
  <c r="CB20" i="2"/>
  <c r="BZ21" i="2"/>
  <c r="CA21" i="2"/>
  <c r="CB21" i="2"/>
  <c r="BZ22" i="2"/>
  <c r="CA22" i="2"/>
  <c r="CB22" i="2"/>
  <c r="BZ23" i="2"/>
  <c r="CA23" i="2"/>
  <c r="CB23" i="2"/>
  <c r="BZ24" i="2"/>
  <c r="CA24" i="2"/>
  <c r="CB24" i="2"/>
  <c r="BZ25" i="2"/>
  <c r="CA25" i="2"/>
  <c r="CB25" i="2"/>
  <c r="BZ26" i="2"/>
  <c r="CA26" i="2"/>
  <c r="CB26" i="2"/>
  <c r="CA5" i="2"/>
  <c r="CB5" i="2"/>
  <c r="BZ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5" i="2"/>
  <c r="BW12" i="2"/>
  <c r="BR9" i="2"/>
  <c r="AR299" i="19"/>
  <c r="AS299" i="19"/>
  <c r="AT299" i="19"/>
  <c r="AU299" i="19"/>
  <c r="AV299" i="19"/>
  <c r="AW299" i="19"/>
  <c r="AX299" i="19"/>
  <c r="AY299" i="19"/>
  <c r="AZ299" i="19"/>
  <c r="BA299" i="19"/>
  <c r="BB299" i="19"/>
  <c r="AR300" i="19"/>
  <c r="AS300" i="19"/>
  <c r="AT300" i="19"/>
  <c r="AU300" i="19"/>
  <c r="AV300" i="19"/>
  <c r="AW300" i="19"/>
  <c r="AX300" i="19"/>
  <c r="AY300" i="19"/>
  <c r="AZ300" i="19"/>
  <c r="BA300" i="19"/>
  <c r="BB300" i="19"/>
  <c r="AR301" i="19"/>
  <c r="AS301" i="19"/>
  <c r="AT301" i="19"/>
  <c r="AU301" i="19"/>
  <c r="AV301" i="19"/>
  <c r="AW301" i="19"/>
  <c r="AX301" i="19"/>
  <c r="AY301" i="19"/>
  <c r="AZ301" i="19"/>
  <c r="BA301" i="19"/>
  <c r="BB301" i="19"/>
  <c r="AR302" i="19"/>
  <c r="AS302" i="19"/>
  <c r="AT302" i="19"/>
  <c r="AU302" i="19"/>
  <c r="AV302" i="19"/>
  <c r="AW302" i="19"/>
  <c r="AX302" i="19"/>
  <c r="AY302" i="19"/>
  <c r="AZ302" i="19"/>
  <c r="BA302" i="19"/>
  <c r="BB302" i="19"/>
  <c r="AR303" i="19"/>
  <c r="AS303" i="19"/>
  <c r="AT303" i="19"/>
  <c r="AU303" i="19"/>
  <c r="AV303" i="19"/>
  <c r="AW303" i="19"/>
  <c r="AX303" i="19"/>
  <c r="AY303" i="19"/>
  <c r="AZ303" i="19"/>
  <c r="BA303" i="19"/>
  <c r="BB303" i="19"/>
  <c r="FT5" i="2"/>
  <c r="FS5" i="2"/>
  <c r="FR5" i="2"/>
  <c r="FQ5" i="2"/>
  <c r="FP5" i="2"/>
  <c r="FO5" i="2"/>
  <c r="FN5" i="2"/>
  <c r="FM5" i="2"/>
  <c r="FL5" i="2"/>
  <c r="FK5" i="2"/>
  <c r="FJ5" i="2"/>
  <c r="AM5" i="2"/>
  <c r="AM6" i="2"/>
  <c r="AM7" i="2"/>
  <c r="AM8" i="2"/>
  <c r="AM9" i="2"/>
  <c r="AM10" i="2"/>
  <c r="AM11" i="2"/>
  <c r="AM12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13" i="2"/>
  <c r="U5" i="2"/>
  <c r="GP5" i="2"/>
  <c r="GQ5" i="2"/>
  <c r="GP6" i="2"/>
  <c r="GQ6" i="2"/>
  <c r="GP7" i="2"/>
  <c r="GQ7" i="2"/>
  <c r="GP8" i="2"/>
  <c r="GQ8" i="2"/>
  <c r="GP9" i="2"/>
  <c r="GQ9" i="2"/>
  <c r="GP10" i="2"/>
  <c r="GQ10" i="2"/>
  <c r="GP11" i="2"/>
  <c r="GQ11" i="2"/>
  <c r="GP12" i="2"/>
  <c r="GQ12" i="2"/>
  <c r="GP13" i="2"/>
  <c r="GQ13" i="2"/>
  <c r="GP14" i="2"/>
  <c r="GQ14" i="2"/>
  <c r="GP15" i="2"/>
  <c r="GQ15" i="2"/>
  <c r="GP16" i="2"/>
  <c r="GQ16" i="2"/>
  <c r="GP17" i="2"/>
  <c r="GQ17" i="2"/>
  <c r="GP18" i="2"/>
  <c r="GQ18" i="2"/>
  <c r="GP19" i="2"/>
  <c r="GQ19" i="2"/>
  <c r="GP20" i="2"/>
  <c r="GQ20" i="2"/>
  <c r="GP21" i="2"/>
  <c r="GQ21" i="2"/>
  <c r="GP22" i="2"/>
  <c r="GQ22" i="2"/>
  <c r="GP23" i="2"/>
  <c r="GQ23" i="2"/>
  <c r="GP24" i="2"/>
  <c r="GP87" i="2" s="1"/>
  <c r="GQ24" i="2"/>
  <c r="GQ87" i="2" s="1"/>
  <c r="GK5" i="2"/>
  <c r="GL5" i="2"/>
  <c r="GK6" i="2"/>
  <c r="GL6" i="2"/>
  <c r="GK7" i="2"/>
  <c r="GL7" i="2"/>
  <c r="GK8" i="2"/>
  <c r="GL8" i="2"/>
  <c r="GK9" i="2"/>
  <c r="GL9" i="2"/>
  <c r="GK10" i="2"/>
  <c r="GL10" i="2"/>
  <c r="GK11" i="2"/>
  <c r="GL11" i="2"/>
  <c r="GK12" i="2"/>
  <c r="GL12" i="2"/>
  <c r="GK13" i="2"/>
  <c r="GL13" i="2"/>
  <c r="GK14" i="2"/>
  <c r="GL14" i="2"/>
  <c r="GK15" i="2"/>
  <c r="GL15" i="2"/>
  <c r="GK16" i="2"/>
  <c r="GL16" i="2"/>
  <c r="GK17" i="2"/>
  <c r="GL17" i="2"/>
  <c r="GK18" i="2"/>
  <c r="GL18" i="2"/>
  <c r="GK19" i="2"/>
  <c r="GL19" i="2"/>
  <c r="GK20" i="2"/>
  <c r="GL20" i="2"/>
  <c r="GK21" i="2"/>
  <c r="GL21" i="2"/>
  <c r="GK22" i="2"/>
  <c r="GL22" i="2"/>
  <c r="GK23" i="2"/>
  <c r="GL23" i="2"/>
  <c r="GK24" i="2"/>
  <c r="GK87" i="2" s="1"/>
  <c r="GL24" i="2"/>
  <c r="GL87" i="2" s="1"/>
  <c r="CD22" i="2" l="1"/>
  <c r="CD11" i="2"/>
  <c r="CD14" i="2"/>
  <c r="CD6" i="2"/>
  <c r="CD26" i="2"/>
  <c r="CD18" i="2"/>
  <c r="CD10" i="2"/>
  <c r="CD23" i="2"/>
  <c r="CD15" i="2"/>
  <c r="CD7" i="2"/>
  <c r="CD24" i="2"/>
  <c r="CD8" i="2"/>
  <c r="CD21" i="2"/>
  <c r="CD13" i="2"/>
  <c r="CD5" i="2"/>
  <c r="CD20" i="2"/>
  <c r="CD19" i="2"/>
  <c r="CD12" i="2"/>
  <c r="CD16" i="2"/>
  <c r="CD25" i="2"/>
  <c r="CD17" i="2"/>
  <c r="CD9" i="2"/>
  <c r="FD6" i="2"/>
  <c r="FD7" i="2"/>
  <c r="FD8" i="2"/>
  <c r="FD9" i="2"/>
  <c r="FD10" i="2"/>
  <c r="FD11" i="2"/>
  <c r="FD12" i="2"/>
  <c r="FD13" i="2"/>
  <c r="FD14" i="2"/>
  <c r="FD15" i="2"/>
  <c r="FD16" i="2"/>
  <c r="FD17" i="2"/>
  <c r="FD18" i="2"/>
  <c r="FD19" i="2"/>
  <c r="FD20" i="2"/>
  <c r="FD21" i="2"/>
  <c r="FD22" i="2"/>
  <c r="FD23" i="2"/>
  <c r="FD24" i="2"/>
  <c r="FD25" i="2"/>
  <c r="FD26" i="2"/>
  <c r="FD27" i="2"/>
  <c r="FD28" i="2"/>
  <c r="FD29" i="2"/>
  <c r="FD30" i="2"/>
  <c r="FD31" i="2"/>
  <c r="FD32" i="2"/>
  <c r="FD33" i="2"/>
  <c r="FD34" i="2"/>
  <c r="FD35" i="2"/>
  <c r="FD36" i="2"/>
  <c r="FD37" i="2"/>
  <c r="FD38" i="2"/>
  <c r="FD39" i="2"/>
  <c r="FD40" i="2"/>
  <c r="FD41" i="2"/>
  <c r="FD42" i="2"/>
  <c r="FD43" i="2"/>
  <c r="FD44" i="2"/>
  <c r="FD45" i="2"/>
  <c r="FD46" i="2"/>
  <c r="FD47" i="2"/>
  <c r="FD48" i="2"/>
  <c r="FD49" i="2"/>
  <c r="FD50" i="2"/>
  <c r="FD51" i="2"/>
  <c r="FD52" i="2"/>
  <c r="FD53" i="2"/>
  <c r="FD54" i="2"/>
  <c r="FD55" i="2"/>
  <c r="FD56" i="2"/>
  <c r="FD57" i="2"/>
  <c r="FD58" i="2"/>
  <c r="FD59" i="2"/>
  <c r="FD60" i="2"/>
  <c r="FD61" i="2"/>
  <c r="FD62" i="2"/>
  <c r="FD63" i="2"/>
  <c r="FD64" i="2"/>
  <c r="FD65" i="2"/>
  <c r="FD66" i="2"/>
  <c r="FD67" i="2"/>
  <c r="FD68" i="2"/>
  <c r="FD69" i="2"/>
  <c r="FD70" i="2"/>
  <c r="FD71" i="2"/>
  <c r="FD72" i="2"/>
  <c r="FD5" i="2"/>
  <c r="FF5" i="2"/>
  <c r="GQ26" i="2" l="1"/>
  <c r="GQ27" i="2"/>
  <c r="GQ28" i="2"/>
  <c r="GQ29" i="2"/>
  <c r="GQ30" i="2"/>
  <c r="GQ31" i="2"/>
  <c r="GQ32" i="2"/>
  <c r="GQ33" i="2"/>
  <c r="GQ34" i="2"/>
  <c r="GQ35" i="2"/>
  <c r="GQ36" i="2"/>
  <c r="GQ37" i="2"/>
  <c r="GQ38" i="2"/>
  <c r="GQ39" i="2"/>
  <c r="GQ40" i="2"/>
  <c r="GQ41" i="2"/>
  <c r="GQ42" i="2"/>
  <c r="GQ43" i="2"/>
  <c r="GQ44" i="2"/>
  <c r="GQ45" i="2"/>
  <c r="GQ46" i="2"/>
  <c r="GQ47" i="2"/>
  <c r="GQ48" i="2"/>
  <c r="GQ49" i="2"/>
  <c r="GQ50" i="2"/>
  <c r="GQ51" i="2"/>
  <c r="GQ52" i="2"/>
  <c r="GQ53" i="2"/>
  <c r="GQ54" i="2"/>
  <c r="GQ55" i="2"/>
  <c r="GQ56" i="2"/>
  <c r="GQ57" i="2"/>
  <c r="GQ58" i="2"/>
  <c r="GQ59" i="2"/>
  <c r="GQ60" i="2"/>
  <c r="GQ61" i="2"/>
  <c r="GQ62" i="2"/>
  <c r="GQ63" i="2"/>
  <c r="GQ64" i="2"/>
  <c r="GQ65" i="2"/>
  <c r="GQ66" i="2"/>
  <c r="GQ67" i="2"/>
  <c r="GQ68" i="2"/>
  <c r="GQ69" i="2"/>
  <c r="GQ70" i="2"/>
  <c r="GQ71" i="2"/>
  <c r="GQ72" i="2"/>
  <c r="GQ73" i="2"/>
  <c r="GQ74" i="2"/>
  <c r="GQ75" i="2"/>
  <c r="GQ76" i="2"/>
  <c r="GQ77" i="2"/>
  <c r="GQ78" i="2"/>
  <c r="GQ79" i="2"/>
  <c r="GQ80" i="2"/>
  <c r="GQ81" i="2"/>
  <c r="GQ82" i="2"/>
  <c r="GQ25" i="2"/>
  <c r="GP26" i="2"/>
  <c r="GP27" i="2"/>
  <c r="GP28" i="2"/>
  <c r="GP29" i="2"/>
  <c r="GP30" i="2"/>
  <c r="GP31" i="2"/>
  <c r="GP32" i="2"/>
  <c r="GP33" i="2"/>
  <c r="GP34" i="2"/>
  <c r="GP35" i="2"/>
  <c r="GP36" i="2"/>
  <c r="GP37" i="2"/>
  <c r="GP38" i="2"/>
  <c r="GP39" i="2"/>
  <c r="GP40" i="2"/>
  <c r="GP41" i="2"/>
  <c r="GP42" i="2"/>
  <c r="GP43" i="2"/>
  <c r="GP44" i="2"/>
  <c r="GP45" i="2"/>
  <c r="GP46" i="2"/>
  <c r="GP47" i="2"/>
  <c r="GP48" i="2"/>
  <c r="GP49" i="2"/>
  <c r="GP50" i="2"/>
  <c r="GP51" i="2"/>
  <c r="GP52" i="2"/>
  <c r="GP53" i="2"/>
  <c r="GP54" i="2"/>
  <c r="GP55" i="2"/>
  <c r="GP56" i="2"/>
  <c r="GP57" i="2"/>
  <c r="GP58" i="2"/>
  <c r="GP59" i="2"/>
  <c r="GP60" i="2"/>
  <c r="GP61" i="2"/>
  <c r="GP62" i="2"/>
  <c r="GP63" i="2"/>
  <c r="GP64" i="2"/>
  <c r="GP65" i="2"/>
  <c r="GP66" i="2"/>
  <c r="GP67" i="2"/>
  <c r="GP68" i="2"/>
  <c r="GP69" i="2"/>
  <c r="GP70" i="2"/>
  <c r="GP71" i="2"/>
  <c r="GP72" i="2"/>
  <c r="GP73" i="2"/>
  <c r="GP74" i="2"/>
  <c r="GP75" i="2"/>
  <c r="GP76" i="2"/>
  <c r="GP77" i="2"/>
  <c r="GP78" i="2"/>
  <c r="GP79" i="2"/>
  <c r="GP80" i="2"/>
  <c r="GP81" i="2"/>
  <c r="GP82" i="2"/>
  <c r="GP25" i="2"/>
  <c r="GL26" i="2"/>
  <c r="GL27" i="2"/>
  <c r="GL28" i="2"/>
  <c r="GL29" i="2"/>
  <c r="GL30" i="2"/>
  <c r="GL31" i="2"/>
  <c r="GL32" i="2"/>
  <c r="GL33" i="2"/>
  <c r="GL34" i="2"/>
  <c r="GL35" i="2"/>
  <c r="GL36" i="2"/>
  <c r="GL37" i="2"/>
  <c r="GL38" i="2"/>
  <c r="GL39" i="2"/>
  <c r="GL40" i="2"/>
  <c r="GL41" i="2"/>
  <c r="GL42" i="2"/>
  <c r="GL43" i="2"/>
  <c r="GL44" i="2"/>
  <c r="GL45" i="2"/>
  <c r="GL46" i="2"/>
  <c r="GL47" i="2"/>
  <c r="GL48" i="2"/>
  <c r="GL49" i="2"/>
  <c r="GL50" i="2"/>
  <c r="GL51" i="2"/>
  <c r="GL52" i="2"/>
  <c r="GL53" i="2"/>
  <c r="GL54" i="2"/>
  <c r="GL55" i="2"/>
  <c r="GL56" i="2"/>
  <c r="GL57" i="2"/>
  <c r="GL58" i="2"/>
  <c r="GL59" i="2"/>
  <c r="GL60" i="2"/>
  <c r="GL61" i="2"/>
  <c r="GL62" i="2"/>
  <c r="GL63" i="2"/>
  <c r="GL64" i="2"/>
  <c r="GL65" i="2"/>
  <c r="GL66" i="2"/>
  <c r="GL67" i="2"/>
  <c r="GL68" i="2"/>
  <c r="GL69" i="2"/>
  <c r="GL70" i="2"/>
  <c r="GL71" i="2"/>
  <c r="GL72" i="2"/>
  <c r="GL73" i="2"/>
  <c r="GL74" i="2"/>
  <c r="GL75" i="2"/>
  <c r="GL76" i="2"/>
  <c r="GL77" i="2"/>
  <c r="GL78" i="2"/>
  <c r="GL79" i="2"/>
  <c r="GL80" i="2"/>
  <c r="GL81" i="2"/>
  <c r="GL82" i="2"/>
  <c r="GL25" i="2"/>
  <c r="GK26" i="2"/>
  <c r="GK27" i="2"/>
  <c r="GK28" i="2"/>
  <c r="GK29" i="2"/>
  <c r="GK30" i="2"/>
  <c r="GK31" i="2"/>
  <c r="GK32" i="2"/>
  <c r="GK33" i="2"/>
  <c r="GK34" i="2"/>
  <c r="GK35" i="2"/>
  <c r="GK36" i="2"/>
  <c r="GK37" i="2"/>
  <c r="GK38" i="2"/>
  <c r="GK39" i="2"/>
  <c r="GK40" i="2"/>
  <c r="GK41" i="2"/>
  <c r="GK42" i="2"/>
  <c r="GK43" i="2"/>
  <c r="GK44" i="2"/>
  <c r="GK45" i="2"/>
  <c r="GK46" i="2"/>
  <c r="GK47" i="2"/>
  <c r="GK48" i="2"/>
  <c r="GK49" i="2"/>
  <c r="GK50" i="2"/>
  <c r="GK51" i="2"/>
  <c r="GK52" i="2"/>
  <c r="GK53" i="2"/>
  <c r="GK54" i="2"/>
  <c r="GK55" i="2"/>
  <c r="GK56" i="2"/>
  <c r="GK57" i="2"/>
  <c r="GK58" i="2"/>
  <c r="GK59" i="2"/>
  <c r="GK60" i="2"/>
  <c r="GK61" i="2"/>
  <c r="GK62" i="2"/>
  <c r="GK63" i="2"/>
  <c r="GK64" i="2"/>
  <c r="GK65" i="2"/>
  <c r="GK66" i="2"/>
  <c r="GK88" i="2" s="1"/>
  <c r="GK67" i="2"/>
  <c r="GK68" i="2"/>
  <c r="GK69" i="2"/>
  <c r="GK70" i="2"/>
  <c r="GK71" i="2"/>
  <c r="GK72" i="2"/>
  <c r="GK73" i="2"/>
  <c r="GK74" i="2"/>
  <c r="GK75" i="2"/>
  <c r="GK76" i="2"/>
  <c r="GK77" i="2"/>
  <c r="GK78" i="2"/>
  <c r="GK79" i="2"/>
  <c r="GK80" i="2"/>
  <c r="GK81" i="2"/>
  <c r="GK82" i="2"/>
  <c r="GK25" i="2"/>
  <c r="Z358" i="16" a="1"/>
  <c r="Z358" i="16" s="1"/>
  <c r="Z357" i="16" a="1"/>
  <c r="Z357" i="16" s="1"/>
  <c r="Z356" i="16" a="1"/>
  <c r="Z356" i="16" s="1"/>
  <c r="Z355" i="16" a="1"/>
  <c r="Z355" i="16" s="1"/>
  <c r="Z354" i="16" a="1"/>
  <c r="Z354" i="16" s="1"/>
  <c r="Z353" i="16" a="1"/>
  <c r="Z353" i="16" s="1"/>
  <c r="Z352" i="16" a="1"/>
  <c r="Z352" i="16" s="1"/>
  <c r="Z351" i="16" a="1"/>
  <c r="Z351" i="16" s="1"/>
  <c r="Z350" i="16" a="1"/>
  <c r="Z350" i="16" s="1"/>
  <c r="Z349" i="16" a="1"/>
  <c r="Z349" i="16" s="1"/>
  <c r="Z348" i="16" a="1"/>
  <c r="Z348" i="16" s="1"/>
  <c r="Z347" i="16" a="1"/>
  <c r="Z347" i="16" s="1"/>
  <c r="Z346" i="16" a="1"/>
  <c r="Z346" i="16" s="1"/>
  <c r="Z345" i="16" a="1"/>
  <c r="Z345" i="16" s="1"/>
  <c r="Z344" i="16" a="1"/>
  <c r="Z344" i="16" s="1"/>
  <c r="Z343" i="16" a="1"/>
  <c r="Z343" i="16" s="1"/>
  <c r="Z342" i="16" a="1"/>
  <c r="Z342" i="16" s="1"/>
  <c r="Z341" i="16" a="1"/>
  <c r="Z341" i="16" s="1"/>
  <c r="Z340" i="16" a="1"/>
  <c r="Z340" i="16" s="1"/>
  <c r="Z339" i="16"/>
  <c r="Z339" i="16" a="1"/>
  <c r="Z338" i="16" a="1"/>
  <c r="Z338" i="16" s="1"/>
  <c r="Z337" i="16" a="1"/>
  <c r="Z337" i="16" s="1"/>
  <c r="Z336" i="16" a="1"/>
  <c r="Z336" i="16" s="1"/>
  <c r="Z335" i="16" a="1"/>
  <c r="Z335" i="16" s="1"/>
  <c r="Z334" i="16" a="1"/>
  <c r="Z334" i="16" s="1"/>
  <c r="Z333" i="16" a="1"/>
  <c r="Z333" i="16" s="1"/>
  <c r="Z332" i="16" a="1"/>
  <c r="Z332" i="16" s="1"/>
  <c r="Z331" i="16" a="1"/>
  <c r="Z331" i="16" s="1"/>
  <c r="Z330" i="16" a="1"/>
  <c r="Z330" i="16" s="1"/>
  <c r="Z329" i="16" a="1"/>
  <c r="Z329" i="16" s="1"/>
  <c r="Z328" i="16" a="1"/>
  <c r="Z328" i="16" s="1"/>
  <c r="Z327" i="16" a="1"/>
  <c r="Z327" i="16" s="1"/>
  <c r="Z326" i="16" a="1"/>
  <c r="Z326" i="16" s="1"/>
  <c r="Z325" i="16" a="1"/>
  <c r="Z325" i="16" s="1"/>
  <c r="Z324" i="16" a="1"/>
  <c r="Z324" i="16" s="1"/>
  <c r="Z323" i="16" a="1"/>
  <c r="Z323" i="16" s="1"/>
  <c r="Z322" i="16" a="1"/>
  <c r="Z322" i="16" s="1"/>
  <c r="Z321" i="16" a="1"/>
  <c r="Z321" i="16" s="1"/>
  <c r="Z320" i="16" a="1"/>
  <c r="Z320" i="16" s="1"/>
  <c r="Z319" i="16" a="1"/>
  <c r="Z319" i="16" s="1"/>
  <c r="Z318" i="16" a="1"/>
  <c r="Z318" i="16" s="1"/>
  <c r="Z317" i="16" a="1"/>
  <c r="Z317" i="16" s="1"/>
  <c r="Z316" i="16" a="1"/>
  <c r="Z316" i="16" s="1"/>
  <c r="Z315" i="16" a="1"/>
  <c r="Z315" i="16" s="1"/>
  <c r="Z314" i="16" a="1"/>
  <c r="Z314" i="16" s="1"/>
  <c r="Z313" i="16" a="1"/>
  <c r="Z313" i="16" s="1"/>
  <c r="Z312" i="16" a="1"/>
  <c r="Z312" i="16" s="1"/>
  <c r="Z311" i="16" a="1"/>
  <c r="Z311" i="16" s="1"/>
  <c r="Z310" i="16" a="1"/>
  <c r="Z310" i="16" s="1"/>
  <c r="Z309" i="16" a="1"/>
  <c r="Z309" i="16" s="1"/>
  <c r="Z308" i="16" a="1"/>
  <c r="Z308" i="16" s="1"/>
  <c r="Z307" i="16" a="1"/>
  <c r="Z307" i="16" s="1"/>
  <c r="Z306" i="16" a="1"/>
  <c r="Z306" i="16" s="1"/>
  <c r="Z305" i="16" a="1"/>
  <c r="Z305" i="16" s="1"/>
  <c r="Z304" i="16" a="1"/>
  <c r="Z304" i="16" s="1"/>
  <c r="Z303" i="16" a="1"/>
  <c r="Z303" i="16" s="1"/>
  <c r="Z302" i="16" a="1"/>
  <c r="Z302" i="16" s="1"/>
  <c r="Z301" i="16" a="1"/>
  <c r="Z301" i="16" s="1"/>
  <c r="Z300" i="16" a="1"/>
  <c r="Z300" i="16" s="1"/>
  <c r="Z299" i="16" a="1"/>
  <c r="Z299" i="16" s="1"/>
  <c r="Z298" i="16" a="1"/>
  <c r="Z298" i="16" s="1"/>
  <c r="Z297" i="16" a="1"/>
  <c r="Z297" i="16" s="1"/>
  <c r="Z296" i="16" a="1"/>
  <c r="Z296" i="16" s="1"/>
  <c r="Z295" i="16" a="1"/>
  <c r="Z295" i="16" s="1"/>
  <c r="Z294" i="16" a="1"/>
  <c r="Z294" i="16" s="1"/>
  <c r="Z293" i="16" a="1"/>
  <c r="Z293" i="16" s="1"/>
  <c r="Z292" i="16" a="1"/>
  <c r="Z292" i="16" s="1"/>
  <c r="Z291" i="16" a="1"/>
  <c r="Z291" i="16" s="1"/>
  <c r="Z290" i="16" a="1"/>
  <c r="Z290" i="16" s="1"/>
  <c r="Z289" i="16" a="1"/>
  <c r="Z289" i="16" s="1"/>
  <c r="Z288" i="16" a="1"/>
  <c r="Z288" i="16" s="1"/>
  <c r="Z287" i="16"/>
  <c r="Z287" i="16" a="1"/>
  <c r="Z286" i="16" a="1"/>
  <c r="Z286" i="16" s="1"/>
  <c r="Z285" i="16" a="1"/>
  <c r="Z285" i="16" s="1"/>
  <c r="Z284" i="16" a="1"/>
  <c r="Z284" i="16" s="1"/>
  <c r="Z283" i="16" a="1"/>
  <c r="Z283" i="16" s="1"/>
  <c r="Z282" i="16" a="1"/>
  <c r="Z282" i="16" s="1"/>
  <c r="Z281" i="16" a="1"/>
  <c r="Z281" i="16" s="1"/>
  <c r="Z280" i="16" a="1"/>
  <c r="Z280" i="16" s="1"/>
  <c r="Z279" i="16" a="1"/>
  <c r="Z279" i="16" s="1"/>
  <c r="Z278" i="16" a="1"/>
  <c r="Z278" i="16" s="1"/>
  <c r="Z277" i="16" a="1"/>
  <c r="Z277" i="16" s="1"/>
  <c r="Z276" i="16" a="1"/>
  <c r="Z276" i="16" s="1"/>
  <c r="Z275" i="16" a="1"/>
  <c r="Z275" i="16" s="1"/>
  <c r="Z274" i="16" a="1"/>
  <c r="Z274" i="16" s="1"/>
  <c r="Z273" i="16" a="1"/>
  <c r="Z273" i="16" s="1"/>
  <c r="Z272" i="16" a="1"/>
  <c r="Z272" i="16" s="1"/>
  <c r="Z271" i="16" a="1"/>
  <c r="Z271" i="16" s="1"/>
  <c r="Z270" i="16" a="1"/>
  <c r="Z270" i="16" s="1"/>
  <c r="Z269" i="16" a="1"/>
  <c r="Z269" i="16" s="1"/>
  <c r="Z268" i="16" a="1"/>
  <c r="Z268" i="16" s="1"/>
  <c r="Z267" i="16" a="1"/>
  <c r="Z267" i="16" s="1"/>
  <c r="Z266" i="16" a="1"/>
  <c r="Z266" i="16" s="1"/>
  <c r="Z265" i="16" a="1"/>
  <c r="Z265" i="16" s="1"/>
  <c r="Z264" i="16" a="1"/>
  <c r="Z264" i="16" s="1"/>
  <c r="Z263" i="16" a="1"/>
  <c r="Z263" i="16" s="1"/>
  <c r="Z262" i="16" a="1"/>
  <c r="Z262" i="16" s="1"/>
  <c r="Z261" i="16" a="1"/>
  <c r="Z261" i="16" s="1"/>
  <c r="Z260" i="16" a="1"/>
  <c r="Z260" i="16" s="1"/>
  <c r="Z259" i="16" a="1"/>
  <c r="Z259" i="16" s="1"/>
  <c r="Z258" i="16" a="1"/>
  <c r="Z258" i="16" s="1"/>
  <c r="Z257" i="16" a="1"/>
  <c r="Z257" i="16" s="1"/>
  <c r="Z256" i="16" a="1"/>
  <c r="Z256" i="16" s="1"/>
  <c r="Z255" i="16" a="1"/>
  <c r="Z255" i="16" s="1"/>
  <c r="Z254" i="16" a="1"/>
  <c r="Z254" i="16" s="1"/>
  <c r="Z253" i="16" a="1"/>
  <c r="Z253" i="16" s="1"/>
  <c r="Z252" i="16" a="1"/>
  <c r="Z252" i="16" s="1"/>
  <c r="Z251" i="16" a="1"/>
  <c r="Z251" i="16" s="1"/>
  <c r="Z250" i="16" a="1"/>
  <c r="Z250" i="16" s="1"/>
  <c r="Z249" i="16" a="1"/>
  <c r="Z249" i="16" s="1"/>
  <c r="Z248" i="16" a="1"/>
  <c r="Z248" i="16" s="1"/>
  <c r="Z247" i="16" a="1"/>
  <c r="Z247" i="16" s="1"/>
  <c r="Z246" i="16" a="1"/>
  <c r="Z246" i="16" s="1"/>
  <c r="Z245" i="16" a="1"/>
  <c r="Z245" i="16" s="1"/>
  <c r="Z244" i="16" a="1"/>
  <c r="Z244" i="16" s="1"/>
  <c r="Z243" i="16" a="1"/>
  <c r="Z243" i="16" s="1"/>
  <c r="Z242" i="16" a="1"/>
  <c r="Z242" i="16" s="1"/>
  <c r="Z241" i="16" a="1"/>
  <c r="Z241" i="16" s="1"/>
  <c r="Z240" i="16" a="1"/>
  <c r="Z240" i="16" s="1"/>
  <c r="Z239" i="16" a="1"/>
  <c r="Z239" i="16" s="1"/>
  <c r="Z238" i="16" a="1"/>
  <c r="Z238" i="16" s="1"/>
  <c r="Z237" i="16" a="1"/>
  <c r="Z237" i="16" s="1"/>
  <c r="Z236" i="16" a="1"/>
  <c r="Z236" i="16" s="1"/>
  <c r="Z235" i="16" a="1"/>
  <c r="Z235" i="16" s="1"/>
  <c r="Z234" i="16" a="1"/>
  <c r="Z234" i="16" s="1"/>
  <c r="Z233" i="16" a="1"/>
  <c r="Z233" i="16" s="1"/>
  <c r="Z232" i="16" a="1"/>
  <c r="Z232" i="16" s="1"/>
  <c r="Z231" i="16" a="1"/>
  <c r="Z231" i="16" s="1"/>
  <c r="Z230" i="16" a="1"/>
  <c r="Z230" i="16" s="1"/>
  <c r="Z229" i="16" a="1"/>
  <c r="Z229" i="16" s="1"/>
  <c r="Z228" i="16" a="1"/>
  <c r="Z228" i="16" s="1"/>
  <c r="Z227" i="16" a="1"/>
  <c r="Z227" i="16" s="1"/>
  <c r="Z226" i="16" a="1"/>
  <c r="Z226" i="16" s="1"/>
  <c r="Z225" i="16" a="1"/>
  <c r="Z225" i="16" s="1"/>
  <c r="Z224" i="16" a="1"/>
  <c r="Z224" i="16" s="1"/>
  <c r="Z223" i="16" a="1"/>
  <c r="Z223" i="16" s="1"/>
  <c r="Z222" i="16" a="1"/>
  <c r="Z222" i="16" s="1"/>
  <c r="Z221" i="16" a="1"/>
  <c r="Z221" i="16" s="1"/>
  <c r="Z220" i="16" a="1"/>
  <c r="Z220" i="16" s="1"/>
  <c r="Z219" i="16" a="1"/>
  <c r="Z219" i="16" s="1"/>
  <c r="Z218" i="16" a="1"/>
  <c r="Z218" i="16" s="1"/>
  <c r="Z217" i="16" a="1"/>
  <c r="Z217" i="16" s="1"/>
  <c r="Z216" i="16" a="1"/>
  <c r="Z216" i="16" s="1"/>
  <c r="Z215" i="16" a="1"/>
  <c r="Z215" i="16" s="1"/>
  <c r="Z214" i="16" a="1"/>
  <c r="Z214" i="16" s="1"/>
  <c r="Z213" i="16" a="1"/>
  <c r="Z213" i="16" s="1"/>
  <c r="Z212" i="16" a="1"/>
  <c r="Z212" i="16" s="1"/>
  <c r="Z211" i="16" a="1"/>
  <c r="Z211" i="16" s="1"/>
  <c r="Z210" i="16" a="1"/>
  <c r="Z210" i="16" s="1"/>
  <c r="Z209" i="16" a="1"/>
  <c r="Z209" i="16" s="1"/>
  <c r="Z208" i="16" a="1"/>
  <c r="Z208" i="16" s="1"/>
  <c r="Z207" i="16" a="1"/>
  <c r="Z207" i="16" s="1"/>
  <c r="Z206" i="16" a="1"/>
  <c r="Z206" i="16" s="1"/>
  <c r="Z205" i="16" a="1"/>
  <c r="Z205" i="16" s="1"/>
  <c r="Z204" i="16" a="1"/>
  <c r="Z204" i="16" s="1"/>
  <c r="Z203" i="16" a="1"/>
  <c r="Z203" i="16" s="1"/>
  <c r="Z202" i="16" a="1"/>
  <c r="Z202" i="16" s="1"/>
  <c r="Z201" i="16" a="1"/>
  <c r="Z201" i="16" s="1"/>
  <c r="Z200" i="16" a="1"/>
  <c r="Z200" i="16" s="1"/>
  <c r="Z199" i="16" a="1"/>
  <c r="Z199" i="16" s="1"/>
  <c r="Z198" i="16" a="1"/>
  <c r="Z198" i="16" s="1"/>
  <c r="Z197" i="16" a="1"/>
  <c r="Z197" i="16" s="1"/>
  <c r="Z196" i="16" a="1"/>
  <c r="Z196" i="16" s="1"/>
  <c r="Z195" i="16" a="1"/>
  <c r="Z195" i="16" s="1"/>
  <c r="Z194" i="16" a="1"/>
  <c r="Z194" i="16" s="1"/>
  <c r="Z193" i="16" a="1"/>
  <c r="Z193" i="16" s="1"/>
  <c r="Z192" i="16" a="1"/>
  <c r="Z192" i="16" s="1"/>
  <c r="Z191" i="16" a="1"/>
  <c r="Z191" i="16" s="1"/>
  <c r="Z190" i="16" a="1"/>
  <c r="Z190" i="16" s="1"/>
  <c r="Z189" i="16" a="1"/>
  <c r="Z189" i="16" s="1"/>
  <c r="Z188" i="16" a="1"/>
  <c r="Z188" i="16" s="1"/>
  <c r="Z187" i="16" a="1"/>
  <c r="Z187" i="16" s="1"/>
  <c r="Z186" i="16" a="1"/>
  <c r="Z186" i="16" s="1"/>
  <c r="Z185" i="16" a="1"/>
  <c r="Z185" i="16" s="1"/>
  <c r="Z184" i="16" a="1"/>
  <c r="Z184" i="16" s="1"/>
  <c r="Z183" i="16" a="1"/>
  <c r="Z183" i="16" s="1"/>
  <c r="Z182" i="16" a="1"/>
  <c r="Z182" i="16" s="1"/>
  <c r="Z181" i="16" a="1"/>
  <c r="Z181" i="16" s="1"/>
  <c r="Z180" i="16" a="1"/>
  <c r="Z180" i="16" s="1"/>
  <c r="Z179" i="16" a="1"/>
  <c r="Z179" i="16" s="1"/>
  <c r="Z178" i="16" a="1"/>
  <c r="Z178" i="16" s="1"/>
  <c r="Z177" i="16" a="1"/>
  <c r="Z177" i="16" s="1"/>
  <c r="Z176" i="16" a="1"/>
  <c r="Z176" i="16" s="1"/>
  <c r="Z175" i="16" a="1"/>
  <c r="Z175" i="16" s="1"/>
  <c r="Z174" i="16" a="1"/>
  <c r="Z174" i="16" s="1"/>
  <c r="Z173" i="16" a="1"/>
  <c r="Z173" i="16" s="1"/>
  <c r="Z172" i="16" a="1"/>
  <c r="Z172" i="16" s="1"/>
  <c r="Z171" i="16" a="1"/>
  <c r="Z171" i="16" s="1"/>
  <c r="Z170" i="16" a="1"/>
  <c r="Z170" i="16" s="1"/>
  <c r="Z169" i="16" a="1"/>
  <c r="Z169" i="16" s="1"/>
  <c r="Z168" i="16" a="1"/>
  <c r="Z168" i="16" s="1"/>
  <c r="Z167" i="16" a="1"/>
  <c r="Z167" i="16" s="1"/>
  <c r="Z166" i="16" a="1"/>
  <c r="Z166" i="16" s="1"/>
  <c r="Z165" i="16" a="1"/>
  <c r="Z165" i="16" s="1"/>
  <c r="Z164" i="16" a="1"/>
  <c r="Z164" i="16" s="1"/>
  <c r="Z163" i="16" a="1"/>
  <c r="Z163" i="16" s="1"/>
  <c r="Z162" i="16" a="1"/>
  <c r="Z162" i="16" s="1"/>
  <c r="Z161" i="16" a="1"/>
  <c r="Z161" i="16" s="1"/>
  <c r="Z160" i="16" a="1"/>
  <c r="Z160" i="16" s="1"/>
  <c r="Z159" i="16" a="1"/>
  <c r="Z159" i="16" s="1"/>
  <c r="Z158" i="16" a="1"/>
  <c r="Z158" i="16" s="1"/>
  <c r="Z157" i="16" a="1"/>
  <c r="Z157" i="16" s="1"/>
  <c r="Z156" i="16" a="1"/>
  <c r="Z156" i="16" s="1"/>
  <c r="Z155" i="16" a="1"/>
  <c r="Z155" i="16" s="1"/>
  <c r="Z154" i="16" a="1"/>
  <c r="Z154" i="16" s="1"/>
  <c r="Z153" i="16" a="1"/>
  <c r="Z153" i="16" s="1"/>
  <c r="Z152" i="16" a="1"/>
  <c r="Z152" i="16" s="1"/>
  <c r="Z151" i="16" a="1"/>
  <c r="Z151" i="16" s="1"/>
  <c r="Z150" i="16" a="1"/>
  <c r="Z150" i="16" s="1"/>
  <c r="Z149" i="16" a="1"/>
  <c r="Z149" i="16" s="1"/>
  <c r="Z148" i="16" a="1"/>
  <c r="Z148" i="16" s="1"/>
  <c r="Z147" i="16" a="1"/>
  <c r="Z147" i="16" s="1"/>
  <c r="Z146" i="16" a="1"/>
  <c r="Z146" i="16" s="1"/>
  <c r="Z145" i="16" a="1"/>
  <c r="Z145" i="16" s="1"/>
  <c r="Z144" i="16" a="1"/>
  <c r="Z144" i="16" s="1"/>
  <c r="Z143" i="16" a="1"/>
  <c r="Z143" i="16" s="1"/>
  <c r="Z142" i="16" a="1"/>
  <c r="Z142" i="16" s="1"/>
  <c r="Z141" i="16" a="1"/>
  <c r="Z141" i="16" s="1"/>
  <c r="Z140" i="16" a="1"/>
  <c r="Z140" i="16" s="1"/>
  <c r="Z139" i="16" a="1"/>
  <c r="Z139" i="16" s="1"/>
  <c r="Z138" i="16" a="1"/>
  <c r="Z138" i="16" s="1"/>
  <c r="Z137" i="16" a="1"/>
  <c r="Z137" i="16" s="1"/>
  <c r="Z136" i="16" a="1"/>
  <c r="Z136" i="16" s="1"/>
  <c r="Z135" i="16" a="1"/>
  <c r="Z135" i="16" s="1"/>
  <c r="Z134" i="16" a="1"/>
  <c r="Z134" i="16" s="1"/>
  <c r="Z133" i="16" a="1"/>
  <c r="Z133" i="16" s="1"/>
  <c r="Z132" i="16" a="1"/>
  <c r="Z132" i="16" s="1"/>
  <c r="Z131" i="16" a="1"/>
  <c r="Z131" i="16" s="1"/>
  <c r="Z130" i="16" a="1"/>
  <c r="Z130" i="16" s="1"/>
  <c r="Z129" i="16" a="1"/>
  <c r="Z129" i="16" s="1"/>
  <c r="Z128" i="16" a="1"/>
  <c r="Z128" i="16" s="1"/>
  <c r="Z127" i="16" a="1"/>
  <c r="Z127" i="16" s="1"/>
  <c r="Z126" i="16" a="1"/>
  <c r="Z126" i="16" s="1"/>
  <c r="Z125" i="16" a="1"/>
  <c r="Z125" i="16" s="1"/>
  <c r="Z124" i="16" a="1"/>
  <c r="Z124" i="16" s="1"/>
  <c r="Z123" i="16" a="1"/>
  <c r="Z123" i="16" s="1"/>
  <c r="Z122" i="16" a="1"/>
  <c r="Z122" i="16" s="1"/>
  <c r="Z121" i="16" a="1"/>
  <c r="Z121" i="16" s="1"/>
  <c r="Z120" i="16" a="1"/>
  <c r="Z120" i="16" s="1"/>
  <c r="Z119" i="16"/>
  <c r="Z119" i="16" a="1"/>
  <c r="Z118" i="16" a="1"/>
  <c r="Z118" i="16" s="1"/>
  <c r="Z117" i="16" a="1"/>
  <c r="Z117" i="16" s="1"/>
  <c r="Z116" i="16" a="1"/>
  <c r="Z116" i="16" s="1"/>
  <c r="Z115" i="16"/>
  <c r="Z115" i="16" a="1"/>
  <c r="Z114" i="16" a="1"/>
  <c r="Z114" i="16" s="1"/>
  <c r="Z113" i="16" a="1"/>
  <c r="Z113" i="16" s="1"/>
  <c r="Z112" i="16" a="1"/>
  <c r="Z112" i="16" s="1"/>
  <c r="Z111" i="16"/>
  <c r="Z111" i="16" a="1"/>
  <c r="Z110" i="16" a="1"/>
  <c r="Z110" i="16" s="1"/>
  <c r="Z109" i="16" a="1"/>
  <c r="Z109" i="16" s="1"/>
  <c r="Z108" i="16" a="1"/>
  <c r="Z108" i="16" s="1"/>
  <c r="Z107" i="16" a="1"/>
  <c r="Z107" i="16" s="1"/>
  <c r="Z106" i="16" a="1"/>
  <c r="Z106" i="16" s="1"/>
  <c r="Z105" i="16" a="1"/>
  <c r="Z105" i="16" s="1"/>
  <c r="Z104" i="16" a="1"/>
  <c r="Z104" i="16" s="1"/>
  <c r="Z103" i="16" a="1"/>
  <c r="Z103" i="16" s="1"/>
  <c r="Z102" i="16" a="1"/>
  <c r="Z102" i="16" s="1"/>
  <c r="Z101" i="16" a="1"/>
  <c r="Z101" i="16" s="1"/>
  <c r="Z100" i="16" a="1"/>
  <c r="Z100" i="16" s="1"/>
  <c r="Z99" i="16" a="1"/>
  <c r="Z99" i="16" s="1"/>
  <c r="Z98" i="16" a="1"/>
  <c r="Z98" i="16" s="1"/>
  <c r="Z97" i="16" a="1"/>
  <c r="Z97" i="16" s="1"/>
  <c r="Z96" i="16" a="1"/>
  <c r="Z96" i="16" s="1"/>
  <c r="Z95" i="16" a="1"/>
  <c r="Z95" i="16" s="1"/>
  <c r="Z94" i="16" a="1"/>
  <c r="Z94" i="16" s="1"/>
  <c r="Z93" i="16" a="1"/>
  <c r="Z93" i="16" s="1"/>
  <c r="Z92" i="16" a="1"/>
  <c r="Z92" i="16" s="1"/>
  <c r="Z91" i="16" a="1"/>
  <c r="Z91" i="16" s="1"/>
  <c r="Z90" i="16" a="1"/>
  <c r="Z90" i="16" s="1"/>
  <c r="Z89" i="16" a="1"/>
  <c r="Z89" i="16" s="1"/>
  <c r="Z88" i="16" a="1"/>
  <c r="Z88" i="16" s="1"/>
  <c r="Z87" i="16" a="1"/>
  <c r="Z87" i="16" s="1"/>
  <c r="Z86" i="16" a="1"/>
  <c r="Z86" i="16" s="1"/>
  <c r="Z85" i="16" a="1"/>
  <c r="Z85" i="16" s="1"/>
  <c r="Z84" i="16" a="1"/>
  <c r="Z84" i="16" s="1"/>
  <c r="Z83" i="16" a="1"/>
  <c r="Z83" i="16" s="1"/>
  <c r="Z82" i="16" a="1"/>
  <c r="Z82" i="16" s="1"/>
  <c r="Z81" i="16" a="1"/>
  <c r="Z81" i="16" s="1"/>
  <c r="Z80" i="16" a="1"/>
  <c r="Z80" i="16" s="1"/>
  <c r="Z79" i="16" a="1"/>
  <c r="Z79" i="16" s="1"/>
  <c r="Z78" i="16" a="1"/>
  <c r="Z78" i="16" s="1"/>
  <c r="Z77" i="16" a="1"/>
  <c r="Z77" i="16" s="1"/>
  <c r="Z76" i="16"/>
  <c r="Z76" i="16" a="1"/>
  <c r="Z75" i="16" a="1"/>
  <c r="Z75" i="16" s="1"/>
  <c r="Z74" i="16" a="1"/>
  <c r="Z74" i="16" s="1"/>
  <c r="Z73" i="16" a="1"/>
  <c r="Z73" i="16" s="1"/>
  <c r="Z72" i="16" a="1"/>
  <c r="Z72" i="16" s="1"/>
  <c r="Z71" i="16" a="1"/>
  <c r="Z71" i="16" s="1"/>
  <c r="Z70" i="16" a="1"/>
  <c r="Z70" i="16" s="1"/>
  <c r="Z69" i="16" a="1"/>
  <c r="Z69" i="16" s="1"/>
  <c r="Z68" i="16" a="1"/>
  <c r="Z68" i="16" s="1"/>
  <c r="Z67" i="16" a="1"/>
  <c r="Z67" i="16" s="1"/>
  <c r="Z66" i="16" a="1"/>
  <c r="Z66" i="16" s="1"/>
  <c r="Z65" i="16" a="1"/>
  <c r="Z65" i="16" s="1"/>
  <c r="Z64" i="16" a="1"/>
  <c r="Z64" i="16" s="1"/>
  <c r="Z63" i="16" a="1"/>
  <c r="Z63" i="16" s="1"/>
  <c r="Z62" i="16" a="1"/>
  <c r="Z62" i="16" s="1"/>
  <c r="Z61" i="16" a="1"/>
  <c r="Z61" i="16" s="1"/>
  <c r="Z60" i="16"/>
  <c r="Z60" i="16" a="1"/>
  <c r="Z59" i="16" a="1"/>
  <c r="Z59" i="16" s="1"/>
  <c r="Z58" i="16" a="1"/>
  <c r="Z58" i="16" s="1"/>
  <c r="Z57" i="16" a="1"/>
  <c r="Z57" i="16" s="1"/>
  <c r="Z56" i="16" a="1"/>
  <c r="Z56" i="16" s="1"/>
  <c r="Z55" i="16" a="1"/>
  <c r="Z55" i="16" s="1"/>
  <c r="Z54" i="16" a="1"/>
  <c r="Z54" i="16" s="1"/>
  <c r="Z53" i="16" a="1"/>
  <c r="Z53" i="16" s="1"/>
  <c r="Z52" i="16" a="1"/>
  <c r="Z52" i="16" s="1"/>
  <c r="Z51" i="16" a="1"/>
  <c r="Z51" i="16" s="1"/>
  <c r="Z50" i="16" a="1"/>
  <c r="Z50" i="16" s="1"/>
  <c r="Z49" i="16" a="1"/>
  <c r="Z49" i="16" s="1"/>
  <c r="Z48" i="16" a="1"/>
  <c r="Z48" i="16" s="1"/>
  <c r="Z47" i="16" a="1"/>
  <c r="Z47" i="16" s="1"/>
  <c r="Z46" i="16" a="1"/>
  <c r="Z46" i="16" s="1"/>
  <c r="Z45" i="16" a="1"/>
  <c r="Z45" i="16" s="1"/>
  <c r="Z44" i="16" a="1"/>
  <c r="Z44" i="16" s="1"/>
  <c r="Z43" i="16" a="1"/>
  <c r="Z43" i="16" s="1"/>
  <c r="Z42" i="16" a="1"/>
  <c r="Z42" i="16" s="1"/>
  <c r="Z41" i="16" a="1"/>
  <c r="Z41" i="16" s="1"/>
  <c r="Z40" i="16" a="1"/>
  <c r="Z40" i="16" s="1"/>
  <c r="Z39" i="16"/>
  <c r="Z39" i="16" a="1"/>
  <c r="Z38" i="16" a="1"/>
  <c r="Z38" i="16" s="1"/>
  <c r="Z37" i="16" a="1"/>
  <c r="Z37" i="16" s="1"/>
  <c r="Z36" i="16" a="1"/>
  <c r="Z36" i="16" s="1"/>
  <c r="Z35" i="16" a="1"/>
  <c r="Z35" i="16" s="1"/>
  <c r="Z34" i="16" a="1"/>
  <c r="Z34" i="16" s="1"/>
  <c r="Z33" i="16" a="1"/>
  <c r="Z33" i="16" s="1"/>
  <c r="Z32" i="16" a="1"/>
  <c r="Z32" i="16" s="1"/>
  <c r="Z31" i="16" a="1"/>
  <c r="Z31" i="16" s="1"/>
  <c r="Z30" i="16" a="1"/>
  <c r="Z30" i="16" s="1"/>
  <c r="Z29" i="16" a="1"/>
  <c r="Z29" i="16" s="1"/>
  <c r="Z28" i="16" a="1"/>
  <c r="Z28" i="16" s="1"/>
  <c r="Z27" i="16" a="1"/>
  <c r="Z27" i="16" s="1"/>
  <c r="Z26" i="16" a="1"/>
  <c r="Z26" i="16" s="1"/>
  <c r="Z25" i="16" a="1"/>
  <c r="Z25" i="16" s="1"/>
  <c r="Z24" i="16" a="1"/>
  <c r="Z24" i="16" s="1"/>
  <c r="Z23" i="16" a="1"/>
  <c r="Z23" i="16" s="1"/>
  <c r="Z22" i="16" a="1"/>
  <c r="Z22" i="16" s="1"/>
  <c r="Z21" i="16" a="1"/>
  <c r="Z21" i="16" s="1"/>
  <c r="Z20" i="16" a="1"/>
  <c r="Z20" i="16" s="1"/>
  <c r="Z19" i="16" a="1"/>
  <c r="Z19" i="16" s="1"/>
  <c r="Z18" i="16" a="1"/>
  <c r="Z18" i="16" s="1"/>
  <c r="Z17" i="16" a="1"/>
  <c r="Z17" i="16" s="1"/>
  <c r="Z16" i="16" a="1"/>
  <c r="Z16" i="16" s="1"/>
  <c r="Z15" i="16" a="1"/>
  <c r="Z15" i="16" s="1"/>
  <c r="Z14" i="16" a="1"/>
  <c r="Z14" i="16" s="1"/>
  <c r="Z13" i="16" a="1"/>
  <c r="Z13" i="16" s="1"/>
  <c r="Z12" i="16" a="1"/>
  <c r="Z12" i="16" s="1"/>
  <c r="Z11" i="16" a="1"/>
  <c r="Z11" i="16" s="1"/>
  <c r="Z10" i="16" a="1"/>
  <c r="Z10" i="16" s="1"/>
  <c r="Z9" i="16" a="1"/>
  <c r="Z9" i="16" s="1"/>
  <c r="Z8" i="16" a="1"/>
  <c r="Z8" i="16" s="1"/>
  <c r="Z7" i="16" a="1"/>
  <c r="Z7" i="16" s="1"/>
  <c r="Z6" i="16" a="1"/>
  <c r="Z6" i="16" s="1"/>
  <c r="L6" i="2"/>
  <c r="K6" i="2" s="1"/>
  <c r="C6" i="2" s="1"/>
  <c r="L7" i="2"/>
  <c r="K7" i="2" s="1"/>
  <c r="C7" i="2" s="1"/>
  <c r="L8" i="2"/>
  <c r="K8" i="2" s="1"/>
  <c r="C8" i="2" s="1"/>
  <c r="L9" i="2"/>
  <c r="K9" i="2" s="1"/>
  <c r="C9" i="2" s="1"/>
  <c r="L10" i="2"/>
  <c r="K10" i="2" s="1"/>
  <c r="C10" i="2" s="1"/>
  <c r="L11" i="2"/>
  <c r="K11" i="2" s="1"/>
  <c r="C11" i="2" s="1"/>
  <c r="L12" i="2"/>
  <c r="K12" i="2" s="1"/>
  <c r="C12" i="2" s="1"/>
  <c r="L13" i="2"/>
  <c r="K13" i="2" s="1"/>
  <c r="C13" i="2" s="1"/>
  <c r="L14" i="2"/>
  <c r="K14" i="2" s="1"/>
  <c r="C14" i="2" s="1"/>
  <c r="L15" i="2"/>
  <c r="K15" i="2" s="1"/>
  <c r="C15" i="2" s="1"/>
  <c r="L16" i="2"/>
  <c r="K16" i="2" s="1"/>
  <c r="C16" i="2" s="1"/>
  <c r="L17" i="2"/>
  <c r="K17" i="2" s="1"/>
  <c r="C17" i="2" s="1"/>
  <c r="L18" i="2"/>
  <c r="K18" i="2" s="1"/>
  <c r="C18" i="2" s="1"/>
  <c r="L19" i="2"/>
  <c r="K19" i="2" s="1"/>
  <c r="C19" i="2" s="1"/>
  <c r="L20" i="2"/>
  <c r="K20" i="2" s="1"/>
  <c r="C20" i="2" s="1"/>
  <c r="L21" i="2"/>
  <c r="K21" i="2" s="1"/>
  <c r="C21" i="2" s="1"/>
  <c r="L22" i="2"/>
  <c r="K22" i="2" s="1"/>
  <c r="C22" i="2" s="1"/>
  <c r="L23" i="2"/>
  <c r="K23" i="2" s="1"/>
  <c r="C23" i="2" s="1"/>
  <c r="L24" i="2"/>
  <c r="K24" i="2" s="1"/>
  <c r="C24" i="2" s="1"/>
  <c r="L25" i="2"/>
  <c r="K25" i="2" s="1"/>
  <c r="C25" i="2" s="1"/>
  <c r="L26" i="2"/>
  <c r="K26" i="2" s="1"/>
  <c r="C26" i="2" s="1"/>
  <c r="L27" i="2"/>
  <c r="K27" i="2" s="1"/>
  <c r="C27" i="2" s="1"/>
  <c r="L28" i="2"/>
  <c r="K28" i="2" s="1"/>
  <c r="C28" i="2" s="1"/>
  <c r="L29" i="2"/>
  <c r="K29" i="2" s="1"/>
  <c r="C29" i="2" s="1"/>
  <c r="L30" i="2"/>
  <c r="K30" i="2" s="1"/>
  <c r="C30" i="2" s="1"/>
  <c r="L31" i="2"/>
  <c r="K31" i="2" s="1"/>
  <c r="C31" i="2" s="1"/>
  <c r="L32" i="2"/>
  <c r="K32" i="2" s="1"/>
  <c r="C32" i="2" s="1"/>
  <c r="L33" i="2"/>
  <c r="K33" i="2" s="1"/>
  <c r="C33" i="2" s="1"/>
  <c r="L34" i="2"/>
  <c r="K34" i="2" s="1"/>
  <c r="C34" i="2" s="1"/>
  <c r="L35" i="2"/>
  <c r="K35" i="2" s="1"/>
  <c r="C35" i="2" s="1"/>
  <c r="L36" i="2"/>
  <c r="K36" i="2" s="1"/>
  <c r="C36" i="2" s="1"/>
  <c r="L37" i="2"/>
  <c r="K37" i="2" s="1"/>
  <c r="C37" i="2" s="1"/>
  <c r="L38" i="2"/>
  <c r="K38" i="2" s="1"/>
  <c r="C38" i="2" s="1"/>
  <c r="L39" i="2"/>
  <c r="K39" i="2" s="1"/>
  <c r="C39" i="2" s="1"/>
  <c r="L40" i="2"/>
  <c r="K40" i="2" s="1"/>
  <c r="C40" i="2" s="1"/>
  <c r="L41" i="2"/>
  <c r="K41" i="2" s="1"/>
  <c r="C41" i="2" s="1"/>
  <c r="L42" i="2"/>
  <c r="K42" i="2" s="1"/>
  <c r="C42" i="2" s="1"/>
  <c r="L43" i="2"/>
  <c r="K43" i="2" s="1"/>
  <c r="C43" i="2" s="1"/>
  <c r="L44" i="2"/>
  <c r="K44" i="2" s="1"/>
  <c r="C44" i="2" s="1"/>
  <c r="L45" i="2"/>
  <c r="K45" i="2" s="1"/>
  <c r="C45" i="2" s="1"/>
  <c r="L46" i="2"/>
  <c r="K46" i="2" s="1"/>
  <c r="C46" i="2" s="1"/>
  <c r="L47" i="2"/>
  <c r="K47" i="2" s="1"/>
  <c r="C47" i="2" s="1"/>
  <c r="L48" i="2"/>
  <c r="K48" i="2" s="1"/>
  <c r="L49" i="2"/>
  <c r="K49" i="2" s="1"/>
  <c r="C49" i="2" s="1"/>
  <c r="L50" i="2"/>
  <c r="K50" i="2" s="1"/>
  <c r="C50" i="2" s="1"/>
  <c r="L51" i="2"/>
  <c r="K51" i="2" s="1"/>
  <c r="C51" i="2" s="1"/>
  <c r="L52" i="2"/>
  <c r="K52" i="2" s="1"/>
  <c r="C52" i="2" s="1"/>
  <c r="L53" i="2"/>
  <c r="K53" i="2" s="1"/>
  <c r="C53" i="2" s="1"/>
  <c r="L54" i="2"/>
  <c r="K54" i="2" s="1"/>
  <c r="C54" i="2" s="1"/>
  <c r="L55" i="2"/>
  <c r="K55" i="2" s="1"/>
  <c r="C55" i="2" s="1"/>
  <c r="L56" i="2"/>
  <c r="K56" i="2" s="1"/>
  <c r="C56" i="2" s="1"/>
  <c r="L57" i="2"/>
  <c r="K57" i="2" s="1"/>
  <c r="C57" i="2" s="1"/>
  <c r="L58" i="2"/>
  <c r="K58" i="2" s="1"/>
  <c r="C58" i="2" s="1"/>
  <c r="L59" i="2"/>
  <c r="K59" i="2" s="1"/>
  <c r="C59" i="2" s="1"/>
  <c r="L60" i="2"/>
  <c r="K60" i="2" s="1"/>
  <c r="C60" i="2" s="1"/>
  <c r="L61" i="2"/>
  <c r="K61" i="2" s="1"/>
  <c r="C61" i="2" s="1"/>
  <c r="L62" i="2"/>
  <c r="K62" i="2" s="1"/>
  <c r="C62" i="2" s="1"/>
  <c r="L63" i="2"/>
  <c r="K63" i="2" s="1"/>
  <c r="C63" i="2" s="1"/>
  <c r="L64" i="2"/>
  <c r="K64" i="2" s="1"/>
  <c r="L65" i="2"/>
  <c r="K65" i="2" s="1"/>
  <c r="C65" i="2" s="1"/>
  <c r="L66" i="2"/>
  <c r="K66" i="2" s="1"/>
  <c r="C66" i="2" s="1"/>
  <c r="L67" i="2"/>
  <c r="K67" i="2" s="1"/>
  <c r="C67" i="2" s="1"/>
  <c r="L68" i="2"/>
  <c r="K68" i="2" s="1"/>
  <c r="C68" i="2" s="1"/>
  <c r="L69" i="2"/>
  <c r="K69" i="2" s="1"/>
  <c r="C69" i="2" s="1"/>
  <c r="L70" i="2"/>
  <c r="K70" i="2" s="1"/>
  <c r="C70" i="2" s="1"/>
  <c r="L71" i="2"/>
  <c r="K71" i="2" s="1"/>
  <c r="C71" i="2" s="1"/>
  <c r="L72" i="2"/>
  <c r="K72" i="2" s="1"/>
  <c r="C72" i="2" s="1"/>
  <c r="L73" i="2"/>
  <c r="K73" i="2" s="1"/>
  <c r="C73" i="2" s="1"/>
  <c r="L74" i="2"/>
  <c r="K74" i="2" s="1"/>
  <c r="C74" i="2" s="1"/>
  <c r="L75" i="2"/>
  <c r="K75" i="2" s="1"/>
  <c r="C75" i="2" s="1"/>
  <c r="L76" i="2"/>
  <c r="K76" i="2" s="1"/>
  <c r="C76" i="2" s="1"/>
  <c r="L77" i="2"/>
  <c r="K77" i="2" s="1"/>
  <c r="C77" i="2" s="1"/>
  <c r="L78" i="2"/>
  <c r="K78" i="2" s="1"/>
  <c r="C78" i="2" s="1"/>
  <c r="L79" i="2"/>
  <c r="K79" i="2" s="1"/>
  <c r="C79" i="2" s="1"/>
  <c r="L80" i="2"/>
  <c r="K80" i="2" s="1"/>
  <c r="L81" i="2"/>
  <c r="K81" i="2" s="1"/>
  <c r="C81" i="2" s="1"/>
  <c r="L82" i="2"/>
  <c r="K82" i="2" s="1"/>
  <c r="C82" i="2" s="1"/>
  <c r="L83" i="2"/>
  <c r="K83" i="2" s="1"/>
  <c r="C83" i="2" s="1"/>
  <c r="L84" i="2"/>
  <c r="K84" i="2" s="1"/>
  <c r="C84" i="2" s="1"/>
  <c r="L85" i="2"/>
  <c r="K85" i="2" s="1"/>
  <c r="C85" i="2" s="1"/>
  <c r="L86" i="2"/>
  <c r="K86" i="2" s="1"/>
  <c r="C86" i="2" s="1"/>
  <c r="L87" i="2"/>
  <c r="K87" i="2" s="1"/>
  <c r="C87" i="2" s="1"/>
  <c r="L88" i="2"/>
  <c r="K88" i="2" s="1"/>
  <c r="C88" i="2" s="1"/>
  <c r="L89" i="2"/>
  <c r="K89" i="2" s="1"/>
  <c r="C89" i="2" s="1"/>
  <c r="L90" i="2"/>
  <c r="K90" i="2" s="1"/>
  <c r="C90" i="2" s="1"/>
  <c r="L91" i="2"/>
  <c r="K91" i="2" s="1"/>
  <c r="C91" i="2" s="1"/>
  <c r="L92" i="2"/>
  <c r="K92" i="2" s="1"/>
  <c r="C92" i="2" s="1"/>
  <c r="L93" i="2"/>
  <c r="K93" i="2" s="1"/>
  <c r="C93" i="2" s="1"/>
  <c r="L94" i="2"/>
  <c r="K94" i="2" s="1"/>
  <c r="C94" i="2" s="1"/>
  <c r="L95" i="2"/>
  <c r="K95" i="2" s="1"/>
  <c r="C95" i="2" s="1"/>
  <c r="L96" i="2"/>
  <c r="K96" i="2" s="1"/>
  <c r="C96" i="2" s="1"/>
  <c r="L97" i="2"/>
  <c r="K97" i="2" s="1"/>
  <c r="C97" i="2" s="1"/>
  <c r="L98" i="2"/>
  <c r="K98" i="2" s="1"/>
  <c r="C98" i="2" s="1"/>
  <c r="L99" i="2"/>
  <c r="K99" i="2" s="1"/>
  <c r="C99" i="2" s="1"/>
  <c r="L100" i="2"/>
  <c r="K100" i="2" s="1"/>
  <c r="C100" i="2" s="1"/>
  <c r="L101" i="2"/>
  <c r="K101" i="2" s="1"/>
  <c r="C101" i="2" s="1"/>
  <c r="L102" i="2"/>
  <c r="K102" i="2" s="1"/>
  <c r="C102" i="2" s="1"/>
  <c r="L103" i="2"/>
  <c r="K103" i="2" s="1"/>
  <c r="C103" i="2" s="1"/>
  <c r="L104" i="2"/>
  <c r="K104" i="2" s="1"/>
  <c r="C104" i="2" s="1"/>
  <c r="L105" i="2"/>
  <c r="K105" i="2" s="1"/>
  <c r="C105" i="2" s="1"/>
  <c r="L106" i="2"/>
  <c r="K106" i="2" s="1"/>
  <c r="C106" i="2" s="1"/>
  <c r="L107" i="2"/>
  <c r="K107" i="2" s="1"/>
  <c r="C107" i="2" s="1"/>
  <c r="L108" i="2"/>
  <c r="K108" i="2" s="1"/>
  <c r="C108" i="2" s="1"/>
  <c r="L109" i="2"/>
  <c r="K109" i="2" s="1"/>
  <c r="C109" i="2" s="1"/>
  <c r="L110" i="2"/>
  <c r="K110" i="2" s="1"/>
  <c r="C110" i="2" s="1"/>
  <c r="L111" i="2"/>
  <c r="K111" i="2" s="1"/>
  <c r="C111" i="2" s="1"/>
  <c r="L112" i="2"/>
  <c r="K112" i="2" s="1"/>
  <c r="L113" i="2"/>
  <c r="K113" i="2" s="1"/>
  <c r="C113" i="2" s="1"/>
  <c r="L114" i="2"/>
  <c r="K114" i="2" s="1"/>
  <c r="C114" i="2" s="1"/>
  <c r="L115" i="2"/>
  <c r="K115" i="2" s="1"/>
  <c r="C115" i="2" s="1"/>
  <c r="L116" i="2"/>
  <c r="K116" i="2" s="1"/>
  <c r="C116" i="2" s="1"/>
  <c r="L117" i="2"/>
  <c r="K117" i="2" s="1"/>
  <c r="C117" i="2" s="1"/>
  <c r="L118" i="2"/>
  <c r="K118" i="2" s="1"/>
  <c r="C118" i="2" s="1"/>
  <c r="L119" i="2"/>
  <c r="K119" i="2" s="1"/>
  <c r="C119" i="2" s="1"/>
  <c r="L120" i="2"/>
  <c r="K120" i="2" s="1"/>
  <c r="C120" i="2" s="1"/>
  <c r="L121" i="2"/>
  <c r="K121" i="2" s="1"/>
  <c r="C121" i="2" s="1"/>
  <c r="L122" i="2"/>
  <c r="K122" i="2" s="1"/>
  <c r="C122" i="2" s="1"/>
  <c r="L123" i="2"/>
  <c r="K123" i="2" s="1"/>
  <c r="C123" i="2" s="1"/>
  <c r="L124" i="2"/>
  <c r="K124" i="2" s="1"/>
  <c r="C124" i="2" s="1"/>
  <c r="L125" i="2"/>
  <c r="K125" i="2" s="1"/>
  <c r="C125" i="2" s="1"/>
  <c r="L126" i="2"/>
  <c r="K126" i="2" s="1"/>
  <c r="C126" i="2" s="1"/>
  <c r="L127" i="2"/>
  <c r="K127" i="2" s="1"/>
  <c r="C127" i="2" s="1"/>
  <c r="L128" i="2"/>
  <c r="K128" i="2" s="1"/>
  <c r="L129" i="2"/>
  <c r="K129" i="2" s="1"/>
  <c r="C129" i="2" s="1"/>
  <c r="L130" i="2"/>
  <c r="K130" i="2" s="1"/>
  <c r="C130" i="2" s="1"/>
  <c r="L131" i="2"/>
  <c r="K131" i="2" s="1"/>
  <c r="C131" i="2" s="1"/>
  <c r="L132" i="2"/>
  <c r="K132" i="2" s="1"/>
  <c r="C132" i="2" s="1"/>
  <c r="L133" i="2"/>
  <c r="K133" i="2" s="1"/>
  <c r="C133" i="2" s="1"/>
  <c r="L134" i="2"/>
  <c r="K134" i="2" s="1"/>
  <c r="C134" i="2" s="1"/>
  <c r="L135" i="2"/>
  <c r="K135" i="2" s="1"/>
  <c r="C135" i="2" s="1"/>
  <c r="L136" i="2"/>
  <c r="K136" i="2" s="1"/>
  <c r="C136" i="2" s="1"/>
  <c r="L137" i="2"/>
  <c r="K137" i="2" s="1"/>
  <c r="C137" i="2" s="1"/>
  <c r="L138" i="2"/>
  <c r="K138" i="2" s="1"/>
  <c r="C138" i="2" s="1"/>
  <c r="L139" i="2"/>
  <c r="K139" i="2" s="1"/>
  <c r="C139" i="2" s="1"/>
  <c r="L140" i="2"/>
  <c r="K140" i="2" s="1"/>
  <c r="C140" i="2" s="1"/>
  <c r="L141" i="2"/>
  <c r="K141" i="2" s="1"/>
  <c r="C141" i="2" s="1"/>
  <c r="L5" i="2"/>
  <c r="K5" i="2" s="1"/>
  <c r="C5" i="2" s="1"/>
  <c r="P7" i="16" a="1"/>
  <c r="P7" i="16" s="1"/>
  <c r="O7" i="16" a="1"/>
  <c r="O7" i="16" s="1"/>
  <c r="N7" i="16" a="1"/>
  <c r="N7" i="16" s="1"/>
  <c r="GQ88" i="2" l="1"/>
  <c r="GL88" i="2"/>
  <c r="GP88" i="2"/>
  <c r="H89" i="2"/>
  <c r="H73" i="2"/>
  <c r="H51" i="2"/>
  <c r="H57" i="2"/>
  <c r="H49" i="2"/>
  <c r="H41" i="2"/>
  <c r="H33" i="2"/>
  <c r="H121" i="2"/>
  <c r="H25" i="2"/>
  <c r="H105" i="2"/>
  <c r="H17" i="2"/>
  <c r="C128" i="2"/>
  <c r="H131" i="2"/>
  <c r="H129" i="2"/>
  <c r="C112" i="2"/>
  <c r="H115" i="2"/>
  <c r="H113" i="2"/>
  <c r="C80" i="2"/>
  <c r="H83" i="2"/>
  <c r="H81" i="2"/>
  <c r="C64" i="2"/>
  <c r="H67" i="2"/>
  <c r="H65" i="2"/>
  <c r="H137" i="2"/>
  <c r="H136" i="2"/>
  <c r="H128" i="2"/>
  <c r="H120" i="2"/>
  <c r="H112" i="2"/>
  <c r="H104" i="2"/>
  <c r="H96" i="2"/>
  <c r="H88" i="2"/>
  <c r="H80" i="2"/>
  <c r="H72" i="2"/>
  <c r="H64" i="2"/>
  <c r="H56" i="2"/>
  <c r="H48" i="2"/>
  <c r="H40" i="2"/>
  <c r="H32" i="2"/>
  <c r="H24" i="2"/>
  <c r="H16" i="2"/>
  <c r="H135" i="2"/>
  <c r="H127" i="2"/>
  <c r="H119" i="2"/>
  <c r="H111" i="2"/>
  <c r="H103" i="2"/>
  <c r="H95" i="2"/>
  <c r="H87" i="2"/>
  <c r="H79" i="2"/>
  <c r="H71" i="2"/>
  <c r="H63" i="2"/>
  <c r="H55" i="2"/>
  <c r="H47" i="2"/>
  <c r="H39" i="2"/>
  <c r="H31" i="2"/>
  <c r="H23" i="2"/>
  <c r="H15" i="2"/>
  <c r="H97" i="2"/>
  <c r="H9" i="2"/>
  <c r="H134" i="2"/>
  <c r="H126" i="2"/>
  <c r="H118" i="2"/>
  <c r="H110" i="2"/>
  <c r="H102" i="2"/>
  <c r="H94" i="2"/>
  <c r="H86" i="2"/>
  <c r="H78" i="2"/>
  <c r="H70" i="2"/>
  <c r="H62" i="2"/>
  <c r="H54" i="2"/>
  <c r="H46" i="2"/>
  <c r="H38" i="2"/>
  <c r="H30" i="2"/>
  <c r="H22" i="2"/>
  <c r="H14" i="2"/>
  <c r="H141" i="2"/>
  <c r="H133" i="2"/>
  <c r="H125" i="2"/>
  <c r="H117" i="2"/>
  <c r="H109" i="2"/>
  <c r="H101" i="2"/>
  <c r="H93" i="2"/>
  <c r="H85" i="2"/>
  <c r="H77" i="2"/>
  <c r="H69" i="2"/>
  <c r="H61" i="2"/>
  <c r="H53" i="2"/>
  <c r="H45" i="2"/>
  <c r="H37" i="2"/>
  <c r="H29" i="2"/>
  <c r="H21" i="2"/>
  <c r="H13" i="2"/>
  <c r="H140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H139" i="2"/>
  <c r="H123" i="2"/>
  <c r="H107" i="2"/>
  <c r="H99" i="2"/>
  <c r="H91" i="2"/>
  <c r="H75" i="2"/>
  <c r="H59" i="2"/>
  <c r="H43" i="2"/>
  <c r="H35" i="2"/>
  <c r="H27" i="2"/>
  <c r="H19" i="2"/>
  <c r="H11" i="2"/>
  <c r="H138" i="2"/>
  <c r="H130" i="2"/>
  <c r="H122" i="2"/>
  <c r="H114" i="2"/>
  <c r="H106" i="2"/>
  <c r="H98" i="2"/>
  <c r="H90" i="2"/>
  <c r="H82" i="2"/>
  <c r="H74" i="2"/>
  <c r="H66" i="2"/>
  <c r="H58" i="2"/>
  <c r="H50" i="2"/>
  <c r="H42" i="2"/>
  <c r="H34" i="2"/>
  <c r="H26" i="2"/>
  <c r="H18" i="2"/>
  <c r="H10" i="2"/>
  <c r="C48" i="2"/>
  <c r="FW109" i="2"/>
  <c r="FW101" i="2"/>
  <c r="FW102" i="2"/>
  <c r="FW103" i="2"/>
  <c r="FW104" i="2"/>
  <c r="FW105" i="2"/>
  <c r="FW106" i="2"/>
  <c r="FW107" i="2"/>
  <c r="FW108" i="2"/>
  <c r="FE72" i="2"/>
  <c r="FF72" i="2"/>
  <c r="DS30" i="2"/>
  <c r="DT30" i="2"/>
  <c r="DU30" i="2"/>
  <c r="DV30" i="2"/>
  <c r="DW30" i="2"/>
  <c r="DX30" i="2"/>
  <c r="DJ30" i="2"/>
  <c r="DK30" i="2"/>
  <c r="DL30" i="2"/>
  <c r="DM30" i="2"/>
  <c r="DN30" i="2"/>
  <c r="DO30" i="2"/>
  <c r="CX30" i="2"/>
  <c r="CO30" i="2" s="1"/>
  <c r="CY30" i="2"/>
  <c r="CP30" i="2" s="1"/>
  <c r="CZ30" i="2"/>
  <c r="CQ30" i="2" s="1"/>
  <c r="DA30" i="2"/>
  <c r="CR30" i="2" s="1"/>
  <c r="DB30" i="2"/>
  <c r="DC30" i="2"/>
  <c r="CS30" i="2" s="1"/>
  <c r="DD30" i="2"/>
  <c r="DE30" i="2"/>
  <c r="DF30" i="2"/>
  <c r="DG30" i="2"/>
  <c r="CU30" i="2" s="1"/>
  <c r="CH30" i="2"/>
  <c r="CI30" i="2"/>
  <c r="CJ30" i="2"/>
  <c r="CK30" i="2"/>
  <c r="CL30" i="2"/>
  <c r="BR30" i="2"/>
  <c r="BS30" i="2"/>
  <c r="BT30" i="2"/>
  <c r="BU30" i="2"/>
  <c r="BV30" i="2"/>
  <c r="BK30" i="2"/>
  <c r="BL30" i="2"/>
  <c r="BM30" i="2"/>
  <c r="BN30" i="2"/>
  <c r="AW73" i="2"/>
  <c r="AX72" i="2"/>
  <c r="AY72" i="2"/>
  <c r="AF18" i="2"/>
  <c r="U18" i="2"/>
  <c r="AB18" i="2" s="1"/>
  <c r="V18" i="2"/>
  <c r="AC18" i="2" s="1"/>
  <c r="W18" i="2"/>
  <c r="AD18" i="2" s="1"/>
  <c r="X18" i="2"/>
  <c r="AE18" i="2" s="1"/>
  <c r="Y18" i="2"/>
  <c r="O30" i="2"/>
  <c r="P30" i="2"/>
  <c r="EJ106" i="2"/>
  <c r="FE68" i="2"/>
  <c r="FF68" i="2"/>
  <c r="FE69" i="2"/>
  <c r="FF69" i="2"/>
  <c r="FE70" i="2"/>
  <c r="FF70" i="2"/>
  <c r="FE71" i="2"/>
  <c r="FF71" i="2"/>
  <c r="ET104" i="2"/>
  <c r="DS28" i="2"/>
  <c r="DT28" i="2"/>
  <c r="DU28" i="2"/>
  <c r="DV28" i="2"/>
  <c r="DW28" i="2"/>
  <c r="DX28" i="2"/>
  <c r="DS29" i="2"/>
  <c r="DT29" i="2"/>
  <c r="DU29" i="2"/>
  <c r="DV29" i="2"/>
  <c r="DW29" i="2"/>
  <c r="DX29" i="2"/>
  <c r="CX28" i="2"/>
  <c r="CO28" i="2" s="1"/>
  <c r="CY28" i="2"/>
  <c r="CP28" i="2" s="1"/>
  <c r="CZ28" i="2"/>
  <c r="CQ28" i="2" s="1"/>
  <c r="DA28" i="2"/>
  <c r="CR28" i="2" s="1"/>
  <c r="DB28" i="2"/>
  <c r="DC28" i="2"/>
  <c r="CS28" i="2" s="1"/>
  <c r="DD28" i="2"/>
  <c r="DE28" i="2"/>
  <c r="DF28" i="2"/>
  <c r="DG28" i="2"/>
  <c r="CU28" i="2" s="1"/>
  <c r="DJ28" i="2"/>
  <c r="DK28" i="2"/>
  <c r="DL28" i="2"/>
  <c r="DM28" i="2"/>
  <c r="DN28" i="2"/>
  <c r="DO28" i="2"/>
  <c r="CX29" i="2"/>
  <c r="CO29" i="2" s="1"/>
  <c r="CY29" i="2"/>
  <c r="CP29" i="2" s="1"/>
  <c r="CZ29" i="2"/>
  <c r="CQ29" i="2" s="1"/>
  <c r="DA29" i="2"/>
  <c r="CR29" i="2" s="1"/>
  <c r="DB29" i="2"/>
  <c r="DC29" i="2"/>
  <c r="CS29" i="2" s="1"/>
  <c r="DD29" i="2"/>
  <c r="DE29" i="2"/>
  <c r="DF29" i="2"/>
  <c r="DG29" i="2"/>
  <c r="CU29" i="2" s="1"/>
  <c r="DJ29" i="2"/>
  <c r="DK29" i="2"/>
  <c r="DL29" i="2"/>
  <c r="DM29" i="2"/>
  <c r="DN29" i="2"/>
  <c r="DO29" i="2"/>
  <c r="CH28" i="2"/>
  <c r="CI28" i="2"/>
  <c r="CJ28" i="2"/>
  <c r="CK28" i="2"/>
  <c r="CL28" i="2"/>
  <c r="CH29" i="2"/>
  <c r="CI29" i="2"/>
  <c r="CJ29" i="2"/>
  <c r="CK29" i="2"/>
  <c r="CL29" i="2"/>
  <c r="BW30" i="2"/>
  <c r="BR28" i="2"/>
  <c r="BS28" i="2"/>
  <c r="BT28" i="2"/>
  <c r="BU28" i="2"/>
  <c r="BV28" i="2"/>
  <c r="BW28" i="2"/>
  <c r="BR29" i="2"/>
  <c r="BS29" i="2"/>
  <c r="BT29" i="2"/>
  <c r="BU29" i="2"/>
  <c r="BV29" i="2"/>
  <c r="BW29" i="2"/>
  <c r="BJ28" i="2"/>
  <c r="BK28" i="2"/>
  <c r="BL28" i="2"/>
  <c r="BM28" i="2"/>
  <c r="BN28" i="2"/>
  <c r="BJ29" i="2"/>
  <c r="BK29" i="2"/>
  <c r="BL29" i="2"/>
  <c r="BM29" i="2"/>
  <c r="BN29" i="2"/>
  <c r="BJ30" i="2"/>
  <c r="O29" i="2"/>
  <c r="P29" i="2"/>
  <c r="AF17" i="2"/>
  <c r="U17" i="2"/>
  <c r="AB17" i="2" s="1"/>
  <c r="V17" i="2"/>
  <c r="AC17" i="2" s="1"/>
  <c r="W17" i="2"/>
  <c r="AD17" i="2" s="1"/>
  <c r="X17" i="2"/>
  <c r="AE17" i="2" s="1"/>
  <c r="Y17" i="2"/>
  <c r="CT29" i="2" l="1"/>
  <c r="CT30" i="2"/>
  <c r="CT28" i="2"/>
  <c r="EG105" i="2"/>
  <c r="EF105" i="2"/>
  <c r="AX69" i="2"/>
  <c r="AY69" i="2"/>
  <c r="AX70" i="2"/>
  <c r="AY70" i="2"/>
  <c r="AX71" i="2"/>
  <c r="AY71" i="2"/>
  <c r="AW70" i="2"/>
  <c r="AW71" i="2"/>
  <c r="AW72" i="2"/>
  <c r="C6" i="39" a="1"/>
  <c r="C6" i="39" s="1"/>
  <c r="D6" i="39" a="1"/>
  <c r="D6" i="39" s="1"/>
  <c r="E6" i="39" a="1"/>
  <c r="E6" i="39" s="1"/>
  <c r="F6" i="39" a="1"/>
  <c r="F6" i="39" s="1"/>
  <c r="G6" i="39" a="1"/>
  <c r="G6" i="39" s="1"/>
  <c r="H6" i="39" a="1"/>
  <c r="H6" i="39" s="1"/>
  <c r="I6" i="39" a="1"/>
  <c r="I6" i="39"/>
  <c r="J6" i="39" a="1"/>
  <c r="J6" i="39" s="1"/>
  <c r="K6" i="39" a="1"/>
  <c r="K6" i="39" s="1"/>
  <c r="L6" i="39" a="1"/>
  <c r="L6" i="39" s="1"/>
  <c r="A6" i="39"/>
  <c r="B6" i="39" a="1"/>
  <c r="B6" i="39" s="1"/>
  <c r="B8" i="39" a="1"/>
  <c r="B8" i="39" s="1"/>
  <c r="C8" i="39" a="1"/>
  <c r="C8" i="39" s="1"/>
  <c r="D8" i="39" a="1"/>
  <c r="D8" i="39" s="1"/>
  <c r="E8" i="39" a="1"/>
  <c r="E8" i="39"/>
  <c r="F8" i="39" a="1"/>
  <c r="F8" i="39" s="1"/>
  <c r="G8" i="39" a="1"/>
  <c r="G8" i="39" s="1"/>
  <c r="H8" i="39" a="1"/>
  <c r="H8" i="39" s="1"/>
  <c r="I8" i="39" a="1"/>
  <c r="I8" i="39"/>
  <c r="J8" i="39" a="1"/>
  <c r="J8" i="39" s="1"/>
  <c r="K8" i="39" a="1"/>
  <c r="K8" i="39" s="1"/>
  <c r="L8" i="39" a="1"/>
  <c r="L8" i="39" s="1"/>
  <c r="B9" i="39" a="1"/>
  <c r="B9" i="39" s="1"/>
  <c r="C9" i="39" a="1"/>
  <c r="C9" i="39" s="1"/>
  <c r="D9" i="39" a="1"/>
  <c r="D9" i="39" s="1"/>
  <c r="E9" i="39" a="1"/>
  <c r="E9" i="39" s="1"/>
  <c r="F9" i="39" a="1"/>
  <c r="F9" i="39" s="1"/>
  <c r="G9" i="39" a="1"/>
  <c r="G9" i="39" s="1"/>
  <c r="H9" i="39" a="1"/>
  <c r="H9" i="39" s="1"/>
  <c r="I9" i="39" a="1"/>
  <c r="I9" i="39" s="1"/>
  <c r="J9" i="39" a="1"/>
  <c r="J9" i="39" s="1"/>
  <c r="K9" i="39" a="1"/>
  <c r="K9" i="39" s="1"/>
  <c r="L9" i="39" a="1"/>
  <c r="L9" i="39" s="1"/>
  <c r="B10" i="39" a="1"/>
  <c r="B10" i="39" s="1"/>
  <c r="C10" i="39" a="1"/>
  <c r="C10" i="39" s="1"/>
  <c r="D10" i="39" a="1"/>
  <c r="D10" i="39" s="1"/>
  <c r="E10" i="39" a="1"/>
  <c r="E10" i="39" s="1"/>
  <c r="F10" i="39" a="1"/>
  <c r="F10" i="39" s="1"/>
  <c r="G10" i="39" a="1"/>
  <c r="G10" i="39" s="1"/>
  <c r="H10" i="39" a="1"/>
  <c r="H10" i="39" s="1"/>
  <c r="I10" i="39" a="1"/>
  <c r="I10" i="39" s="1"/>
  <c r="J10" i="39" a="1"/>
  <c r="J10" i="39" s="1"/>
  <c r="K10" i="39" a="1"/>
  <c r="K10" i="39"/>
  <c r="L10" i="39" a="1"/>
  <c r="L10" i="39" s="1"/>
  <c r="B11" i="39" a="1"/>
  <c r="B11" i="39" s="1"/>
  <c r="C11" i="39" a="1"/>
  <c r="C11" i="39" s="1"/>
  <c r="D11" i="39" a="1"/>
  <c r="D11" i="39" s="1"/>
  <c r="E11" i="39" a="1"/>
  <c r="E11" i="39" s="1"/>
  <c r="F11" i="39" a="1"/>
  <c r="F11" i="39" s="1"/>
  <c r="G11" i="39" a="1"/>
  <c r="G11" i="39" s="1"/>
  <c r="H11" i="39" a="1"/>
  <c r="H11" i="39" s="1"/>
  <c r="I11" i="39" a="1"/>
  <c r="I11" i="39" s="1"/>
  <c r="J11" i="39" a="1"/>
  <c r="J11" i="39" s="1"/>
  <c r="K11" i="39" a="1"/>
  <c r="K11" i="39" s="1"/>
  <c r="L11" i="39" a="1"/>
  <c r="L11" i="39" s="1"/>
  <c r="B12" i="39" a="1"/>
  <c r="B12" i="39" s="1"/>
  <c r="C12" i="39" a="1"/>
  <c r="C12" i="39" s="1"/>
  <c r="D12" i="39" a="1"/>
  <c r="D12" i="39" s="1"/>
  <c r="E12" i="39" a="1"/>
  <c r="E12" i="39" s="1"/>
  <c r="F12" i="39" a="1"/>
  <c r="F12" i="39" s="1"/>
  <c r="G12" i="39" a="1"/>
  <c r="G12" i="39" s="1"/>
  <c r="H12" i="39" a="1"/>
  <c r="H12" i="39" s="1"/>
  <c r="I12" i="39" a="1"/>
  <c r="I12" i="39" s="1"/>
  <c r="J12" i="39" a="1"/>
  <c r="J12" i="39" s="1"/>
  <c r="K12" i="39" a="1"/>
  <c r="K12" i="39" s="1"/>
  <c r="L12" i="39" a="1"/>
  <c r="L12" i="39" s="1"/>
  <c r="B13" i="39" a="1"/>
  <c r="B13" i="39"/>
  <c r="C13" i="39" a="1"/>
  <c r="C13" i="39" s="1"/>
  <c r="D13" i="39" a="1"/>
  <c r="D13" i="39" s="1"/>
  <c r="E13" i="39" a="1"/>
  <c r="E13" i="39" s="1"/>
  <c r="F13" i="39" a="1"/>
  <c r="F13" i="39" s="1"/>
  <c r="G13" i="39" a="1"/>
  <c r="G13" i="39" s="1"/>
  <c r="H13" i="39" a="1"/>
  <c r="H13" i="39" s="1"/>
  <c r="I13" i="39" a="1"/>
  <c r="I13" i="39" s="1"/>
  <c r="J13" i="39" a="1"/>
  <c r="J13" i="39"/>
  <c r="K13" i="39" a="1"/>
  <c r="K13" i="39" s="1"/>
  <c r="L13" i="39" a="1"/>
  <c r="L13" i="39" s="1"/>
  <c r="B14" i="39" a="1"/>
  <c r="B14" i="39" s="1"/>
  <c r="C14" i="39" a="1"/>
  <c r="C14" i="39" s="1"/>
  <c r="D14" i="39" a="1"/>
  <c r="D14" i="39" s="1"/>
  <c r="E14" i="39" a="1"/>
  <c r="E14" i="39" s="1"/>
  <c r="F14" i="39" a="1"/>
  <c r="F14" i="39" s="1"/>
  <c r="G14" i="39" a="1"/>
  <c r="G14" i="39"/>
  <c r="H14" i="39" a="1"/>
  <c r="H14" i="39" s="1"/>
  <c r="I14" i="39" a="1"/>
  <c r="I14" i="39" s="1"/>
  <c r="J14" i="39" a="1"/>
  <c r="J14" i="39" s="1"/>
  <c r="K14" i="39" a="1"/>
  <c r="K14" i="39" s="1"/>
  <c r="L14" i="39" a="1"/>
  <c r="L14" i="39" s="1"/>
  <c r="B15" i="39" a="1"/>
  <c r="B15" i="39" s="1"/>
  <c r="C15" i="39" a="1"/>
  <c r="C15" i="39" s="1"/>
  <c r="D15" i="39" a="1"/>
  <c r="D15" i="39" s="1"/>
  <c r="E15" i="39" a="1"/>
  <c r="E15" i="39" s="1"/>
  <c r="F15" i="39" a="1"/>
  <c r="F15" i="39" s="1"/>
  <c r="G15" i="39" a="1"/>
  <c r="G15" i="39" s="1"/>
  <c r="H15" i="39" a="1"/>
  <c r="H15" i="39" s="1"/>
  <c r="I15" i="39" a="1"/>
  <c r="I15" i="39" s="1"/>
  <c r="J15" i="39" a="1"/>
  <c r="J15" i="39" s="1"/>
  <c r="K15" i="39" a="1"/>
  <c r="K15" i="39" s="1"/>
  <c r="L15" i="39" a="1"/>
  <c r="L15" i="39" s="1"/>
  <c r="B16" i="39" a="1"/>
  <c r="B16" i="39" s="1"/>
  <c r="C16" i="39" a="1"/>
  <c r="C16" i="39" s="1"/>
  <c r="D16" i="39" a="1"/>
  <c r="D16" i="39" s="1"/>
  <c r="E16" i="39" a="1"/>
  <c r="E16" i="39" s="1"/>
  <c r="F16" i="39" a="1"/>
  <c r="F16" i="39" s="1"/>
  <c r="G16" i="39" a="1"/>
  <c r="G16" i="39" s="1"/>
  <c r="H16" i="39" a="1"/>
  <c r="H16" i="39" s="1"/>
  <c r="I16" i="39" a="1"/>
  <c r="I16" i="39"/>
  <c r="J16" i="39" a="1"/>
  <c r="J16" i="39" s="1"/>
  <c r="K16" i="39" a="1"/>
  <c r="K16" i="39" s="1"/>
  <c r="L16" i="39" a="1"/>
  <c r="L16" i="39" s="1"/>
  <c r="B17" i="39" a="1"/>
  <c r="B17" i="39" s="1"/>
  <c r="C17" i="39" a="1"/>
  <c r="C17" i="39" s="1"/>
  <c r="D17" i="39" a="1"/>
  <c r="D17" i="39" s="1"/>
  <c r="E17" i="39" a="1"/>
  <c r="E17" i="39" s="1"/>
  <c r="F17" i="39" a="1"/>
  <c r="F17" i="39" s="1"/>
  <c r="G17" i="39" a="1"/>
  <c r="G17" i="39" s="1"/>
  <c r="H17" i="39" a="1"/>
  <c r="H17" i="39" s="1"/>
  <c r="I17" i="39" a="1"/>
  <c r="I17" i="39" s="1"/>
  <c r="J17" i="39" a="1"/>
  <c r="J17" i="39" s="1"/>
  <c r="K17" i="39" a="1"/>
  <c r="K17" i="39" s="1"/>
  <c r="L17" i="39" a="1"/>
  <c r="L17" i="39" s="1"/>
  <c r="B18" i="39" a="1"/>
  <c r="B18" i="39" s="1"/>
  <c r="C18" i="39" a="1"/>
  <c r="C18" i="39" s="1"/>
  <c r="D18" i="39" a="1"/>
  <c r="D18" i="39" s="1"/>
  <c r="E18" i="39" a="1"/>
  <c r="E18" i="39" s="1"/>
  <c r="F18" i="39" a="1"/>
  <c r="F18" i="39" s="1"/>
  <c r="G18" i="39" a="1"/>
  <c r="G18" i="39" s="1"/>
  <c r="H18" i="39" a="1"/>
  <c r="H18" i="39" s="1"/>
  <c r="I18" i="39" a="1"/>
  <c r="I18" i="39" s="1"/>
  <c r="J18" i="39" a="1"/>
  <c r="J18" i="39" s="1"/>
  <c r="K18" i="39" a="1"/>
  <c r="K18" i="39"/>
  <c r="L18" i="39" a="1"/>
  <c r="L18" i="39" s="1"/>
  <c r="B19" i="39" a="1"/>
  <c r="B19" i="39" s="1"/>
  <c r="C19" i="39" a="1"/>
  <c r="C19" i="39" s="1"/>
  <c r="D19" i="39" a="1"/>
  <c r="D19" i="39" s="1"/>
  <c r="E19" i="39" a="1"/>
  <c r="E19" i="39" s="1"/>
  <c r="F19" i="39" a="1"/>
  <c r="F19" i="39" s="1"/>
  <c r="G19" i="39" a="1"/>
  <c r="G19" i="39" s="1"/>
  <c r="H19" i="39" a="1"/>
  <c r="H19" i="39"/>
  <c r="I19" i="39" a="1"/>
  <c r="I19" i="39" s="1"/>
  <c r="J19" i="39" a="1"/>
  <c r="J19" i="39" s="1"/>
  <c r="K19" i="39" a="1"/>
  <c r="K19" i="39" s="1"/>
  <c r="L19" i="39" a="1"/>
  <c r="L19" i="39" s="1"/>
  <c r="B20" i="39" a="1"/>
  <c r="B20" i="39" s="1"/>
  <c r="C20" i="39" a="1"/>
  <c r="C20" i="39" s="1"/>
  <c r="D20" i="39" a="1"/>
  <c r="D20" i="39" s="1"/>
  <c r="E20" i="39" a="1"/>
  <c r="E20" i="39"/>
  <c r="F20" i="39" a="1"/>
  <c r="F20" i="39" s="1"/>
  <c r="G20" i="39" a="1"/>
  <c r="G20" i="39" s="1"/>
  <c r="H20" i="39" a="1"/>
  <c r="H20" i="39" s="1"/>
  <c r="I20" i="39" a="1"/>
  <c r="I20" i="39" s="1"/>
  <c r="J20" i="39" a="1"/>
  <c r="J20" i="39" s="1"/>
  <c r="K20" i="39" a="1"/>
  <c r="K20" i="39" s="1"/>
  <c r="L20" i="39" a="1"/>
  <c r="L20" i="39" s="1"/>
  <c r="B21" i="39" a="1"/>
  <c r="B21" i="39" s="1"/>
  <c r="C21" i="39" a="1"/>
  <c r="C21" i="39" s="1"/>
  <c r="D21" i="39" a="1"/>
  <c r="D21" i="39" s="1"/>
  <c r="E21" i="39" a="1"/>
  <c r="E21" i="39" s="1"/>
  <c r="F21" i="39" a="1"/>
  <c r="F21" i="39" s="1"/>
  <c r="G21" i="39" a="1"/>
  <c r="G21" i="39" s="1"/>
  <c r="H21" i="39" a="1"/>
  <c r="H21" i="39" s="1"/>
  <c r="I21" i="39" a="1"/>
  <c r="I21" i="39" s="1"/>
  <c r="J21" i="39" a="1"/>
  <c r="J21" i="39" s="1"/>
  <c r="K21" i="39" a="1"/>
  <c r="K21" i="39" s="1"/>
  <c r="L21" i="39" a="1"/>
  <c r="L21" i="39" s="1"/>
  <c r="B22" i="39" a="1"/>
  <c r="B22" i="39" s="1"/>
  <c r="C22" i="39" a="1"/>
  <c r="C22" i="39" s="1"/>
  <c r="D22" i="39" a="1"/>
  <c r="D22" i="39" s="1"/>
  <c r="E22" i="39" a="1"/>
  <c r="E22" i="39" s="1"/>
  <c r="F22" i="39" a="1"/>
  <c r="F22" i="39" s="1"/>
  <c r="G22" i="39" a="1"/>
  <c r="G22" i="39"/>
  <c r="H22" i="39" a="1"/>
  <c r="H22" i="39" s="1"/>
  <c r="I22" i="39" a="1"/>
  <c r="I22" i="39" s="1"/>
  <c r="J22" i="39" a="1"/>
  <c r="J22" i="39" s="1"/>
  <c r="K22" i="39" a="1"/>
  <c r="K22" i="39" s="1"/>
  <c r="L22" i="39" a="1"/>
  <c r="L22" i="39" s="1"/>
  <c r="B23" i="39" a="1"/>
  <c r="B23" i="39" s="1"/>
  <c r="C23" i="39" a="1"/>
  <c r="C23" i="39" s="1"/>
  <c r="D23" i="39" a="1"/>
  <c r="D23" i="39"/>
  <c r="E23" i="39" a="1"/>
  <c r="E23" i="39" s="1"/>
  <c r="F23" i="39" a="1"/>
  <c r="F23" i="39" s="1"/>
  <c r="G23" i="39" a="1"/>
  <c r="G23" i="39" s="1"/>
  <c r="H23" i="39" a="1"/>
  <c r="H23" i="39" s="1"/>
  <c r="I23" i="39" a="1"/>
  <c r="I23" i="39" s="1"/>
  <c r="J23" i="39" a="1"/>
  <c r="J23" i="39" s="1"/>
  <c r="K23" i="39" a="1"/>
  <c r="K23" i="39" s="1"/>
  <c r="L23" i="39" a="1"/>
  <c r="L23" i="39" s="1"/>
  <c r="B24" i="39" a="1"/>
  <c r="B24" i="39" s="1"/>
  <c r="C24" i="39" a="1"/>
  <c r="C24" i="39" s="1"/>
  <c r="D24" i="39" a="1"/>
  <c r="D24" i="39" s="1"/>
  <c r="E24" i="39" a="1"/>
  <c r="E24" i="39" s="1"/>
  <c r="F24" i="39" a="1"/>
  <c r="F24" i="39" s="1"/>
  <c r="G24" i="39" a="1"/>
  <c r="G24" i="39" s="1"/>
  <c r="H24" i="39" a="1"/>
  <c r="H24" i="39" s="1"/>
  <c r="I24" i="39" a="1"/>
  <c r="I24" i="39"/>
  <c r="J24" i="39" a="1"/>
  <c r="J24" i="39" s="1"/>
  <c r="K24" i="39" a="1"/>
  <c r="K24" i="39" s="1"/>
  <c r="L24" i="39" a="1"/>
  <c r="L24" i="39" s="1"/>
  <c r="B25" i="39" a="1"/>
  <c r="B25" i="39" s="1"/>
  <c r="C25" i="39" a="1"/>
  <c r="C25" i="39" s="1"/>
  <c r="D25" i="39" a="1"/>
  <c r="D25" i="39" s="1"/>
  <c r="E25" i="39" a="1"/>
  <c r="E25" i="39" s="1"/>
  <c r="F25" i="39" a="1"/>
  <c r="F25" i="39"/>
  <c r="G25" i="39" a="1"/>
  <c r="G25" i="39" s="1"/>
  <c r="H25" i="39" a="1"/>
  <c r="H25" i="39" s="1"/>
  <c r="I25" i="39" a="1"/>
  <c r="I25" i="39" s="1"/>
  <c r="J25" i="39" a="1"/>
  <c r="J25" i="39" s="1"/>
  <c r="K25" i="39" a="1"/>
  <c r="K25" i="39" s="1"/>
  <c r="L25" i="39" a="1"/>
  <c r="L25" i="39" s="1"/>
  <c r="B26" i="39" a="1"/>
  <c r="B26" i="39" s="1"/>
  <c r="C26" i="39" a="1"/>
  <c r="C26" i="39"/>
  <c r="D26" i="39" a="1"/>
  <c r="D26" i="39" s="1"/>
  <c r="E26" i="39" a="1"/>
  <c r="E26" i="39" s="1"/>
  <c r="F26" i="39" a="1"/>
  <c r="F26" i="39" s="1"/>
  <c r="G26" i="39" a="1"/>
  <c r="G26" i="39" s="1"/>
  <c r="H26" i="39" a="1"/>
  <c r="H26" i="39" s="1"/>
  <c r="I26" i="39" a="1"/>
  <c r="I26" i="39" s="1"/>
  <c r="J26" i="39" a="1"/>
  <c r="J26" i="39" s="1"/>
  <c r="K26" i="39" a="1"/>
  <c r="K26" i="39" s="1"/>
  <c r="L26" i="39" a="1"/>
  <c r="L26" i="39" s="1"/>
  <c r="B27" i="39" a="1"/>
  <c r="B27" i="39" s="1"/>
  <c r="C27" i="39" a="1"/>
  <c r="C27" i="39" s="1"/>
  <c r="D27" i="39" a="1"/>
  <c r="D27" i="39" s="1"/>
  <c r="E27" i="39" a="1"/>
  <c r="E27" i="39" s="1"/>
  <c r="F27" i="39" a="1"/>
  <c r="F27" i="39" s="1"/>
  <c r="G27" i="39" a="1"/>
  <c r="G27" i="39" s="1"/>
  <c r="H27" i="39" a="1"/>
  <c r="H27" i="39" s="1"/>
  <c r="I27" i="39" a="1"/>
  <c r="I27" i="39" s="1"/>
  <c r="J27" i="39" a="1"/>
  <c r="J27" i="39" s="1"/>
  <c r="K27" i="39" a="1"/>
  <c r="K27" i="39" s="1"/>
  <c r="L27" i="39" a="1"/>
  <c r="L27" i="39" s="1"/>
  <c r="B28" i="39" a="1"/>
  <c r="B28" i="39" s="1"/>
  <c r="C28" i="39" a="1"/>
  <c r="C28" i="39" s="1"/>
  <c r="D28" i="39" a="1"/>
  <c r="D28" i="39" s="1"/>
  <c r="E28" i="39" a="1"/>
  <c r="E28" i="39"/>
  <c r="F28" i="39" a="1"/>
  <c r="F28" i="39" s="1"/>
  <c r="G28" i="39" a="1"/>
  <c r="G28" i="39" s="1"/>
  <c r="H28" i="39" a="1"/>
  <c r="H28" i="39" s="1"/>
  <c r="I28" i="39" a="1"/>
  <c r="I28" i="39" s="1"/>
  <c r="J28" i="39" a="1"/>
  <c r="J28" i="39" s="1"/>
  <c r="K28" i="39" a="1"/>
  <c r="K28" i="39" s="1"/>
  <c r="L28" i="39" a="1"/>
  <c r="L28" i="39" s="1"/>
  <c r="B29" i="39" a="1"/>
  <c r="B29" i="39"/>
  <c r="C29" i="39" a="1"/>
  <c r="C29" i="39" s="1"/>
  <c r="D29" i="39" a="1"/>
  <c r="D29" i="39" s="1"/>
  <c r="E29" i="39" a="1"/>
  <c r="E29" i="39" s="1"/>
  <c r="F29" i="39" a="1"/>
  <c r="F29" i="39" s="1"/>
  <c r="G29" i="39" a="1"/>
  <c r="G29" i="39" s="1"/>
  <c r="H29" i="39" a="1"/>
  <c r="H29" i="39" s="1"/>
  <c r="I29" i="39" a="1"/>
  <c r="I29" i="39" s="1"/>
  <c r="J29" i="39" a="1"/>
  <c r="J29" i="39" s="1"/>
  <c r="K29" i="39" a="1"/>
  <c r="K29" i="39" s="1"/>
  <c r="L29" i="39" a="1"/>
  <c r="L29" i="39" s="1"/>
  <c r="B30" i="39" a="1"/>
  <c r="B30" i="39" s="1"/>
  <c r="C30" i="39" a="1"/>
  <c r="C30" i="39" s="1"/>
  <c r="D30" i="39" a="1"/>
  <c r="D30" i="39" s="1"/>
  <c r="E30" i="39" a="1"/>
  <c r="E30" i="39" s="1"/>
  <c r="F30" i="39" a="1"/>
  <c r="F30" i="39" s="1"/>
  <c r="G30" i="39" a="1"/>
  <c r="G30" i="39"/>
  <c r="H30" i="39" a="1"/>
  <c r="H30" i="39" s="1"/>
  <c r="I30" i="39" a="1"/>
  <c r="I30" i="39" s="1"/>
  <c r="J30" i="39" a="1"/>
  <c r="J30" i="39" s="1"/>
  <c r="K30" i="39" a="1"/>
  <c r="K30" i="39" s="1"/>
  <c r="L30" i="39" a="1"/>
  <c r="L30" i="39" s="1"/>
  <c r="B31" i="39" a="1"/>
  <c r="B31" i="39" s="1"/>
  <c r="C31" i="39" a="1"/>
  <c r="C31" i="39" s="1"/>
  <c r="D31" i="39" a="1"/>
  <c r="D31" i="39"/>
  <c r="E31" i="39" a="1"/>
  <c r="E31" i="39" s="1"/>
  <c r="F31" i="39" a="1"/>
  <c r="F31" i="39" s="1"/>
  <c r="G31" i="39" a="1"/>
  <c r="G31" i="39" s="1"/>
  <c r="H31" i="39" a="1"/>
  <c r="H31" i="39" s="1"/>
  <c r="I31" i="39" a="1"/>
  <c r="I31" i="39" s="1"/>
  <c r="J31" i="39" a="1"/>
  <c r="J31" i="39" s="1"/>
  <c r="K31" i="39" a="1"/>
  <c r="K31" i="39" s="1"/>
  <c r="L31" i="39" a="1"/>
  <c r="L31" i="39"/>
  <c r="B32" i="39" a="1"/>
  <c r="B32" i="39" s="1"/>
  <c r="C32" i="39" a="1"/>
  <c r="C32" i="39" s="1"/>
  <c r="D32" i="39" a="1"/>
  <c r="D32" i="39" s="1"/>
  <c r="E32" i="39" a="1"/>
  <c r="E32" i="39" s="1"/>
  <c r="F32" i="39" a="1"/>
  <c r="F32" i="39" s="1"/>
  <c r="G32" i="39" a="1"/>
  <c r="G32" i="39" s="1"/>
  <c r="H32" i="39" a="1"/>
  <c r="H32" i="39" s="1"/>
  <c r="I32" i="39" a="1"/>
  <c r="I32" i="39" s="1"/>
  <c r="J32" i="39" a="1"/>
  <c r="J32" i="39" s="1"/>
  <c r="K32" i="39" a="1"/>
  <c r="K32" i="39" s="1"/>
  <c r="L32" i="39" a="1"/>
  <c r="L32" i="39" s="1"/>
  <c r="B33" i="39" a="1"/>
  <c r="B33" i="39" s="1"/>
  <c r="C33" i="39" a="1"/>
  <c r="C33" i="39" s="1"/>
  <c r="D33" i="39" a="1"/>
  <c r="D33" i="39" s="1"/>
  <c r="E33" i="39" a="1"/>
  <c r="E33" i="39" s="1"/>
  <c r="F33" i="39" a="1"/>
  <c r="F33" i="39" s="1"/>
  <c r="G33" i="39" a="1"/>
  <c r="G33" i="39" s="1"/>
  <c r="H33" i="39" a="1"/>
  <c r="H33" i="39" s="1"/>
  <c r="I33" i="39" a="1"/>
  <c r="I33" i="39" s="1"/>
  <c r="J33" i="39" a="1"/>
  <c r="J33" i="39" s="1"/>
  <c r="K33" i="39" a="1"/>
  <c r="K33" i="39" s="1"/>
  <c r="L33" i="39" a="1"/>
  <c r="L33" i="39" s="1"/>
  <c r="B34" i="39" a="1"/>
  <c r="B34" i="39" s="1"/>
  <c r="C34" i="39" a="1"/>
  <c r="C34" i="39"/>
  <c r="D34" i="39" a="1"/>
  <c r="D34" i="39" s="1"/>
  <c r="E34" i="39" a="1"/>
  <c r="E34" i="39" s="1"/>
  <c r="F34" i="39" a="1"/>
  <c r="F34" i="39" s="1"/>
  <c r="G34" i="39" a="1"/>
  <c r="G34" i="39" s="1"/>
  <c r="H34" i="39" a="1"/>
  <c r="H34" i="39" s="1"/>
  <c r="I34" i="39" a="1"/>
  <c r="I34" i="39" s="1"/>
  <c r="J34" i="39" a="1"/>
  <c r="J34" i="39" s="1"/>
  <c r="K34" i="39" a="1"/>
  <c r="K34" i="39"/>
  <c r="L34" i="39" a="1"/>
  <c r="L34" i="39" s="1"/>
  <c r="B35" i="39" a="1"/>
  <c r="B35" i="39" s="1"/>
  <c r="C35" i="39" a="1"/>
  <c r="C35" i="39" s="1"/>
  <c r="D35" i="39" a="1"/>
  <c r="D35" i="39" s="1"/>
  <c r="E35" i="39" a="1"/>
  <c r="E35" i="39" s="1"/>
  <c r="F35" i="39" a="1"/>
  <c r="F35" i="39" s="1"/>
  <c r="G35" i="39" a="1"/>
  <c r="G35" i="39" s="1"/>
  <c r="H35" i="39" a="1"/>
  <c r="H35" i="39" s="1"/>
  <c r="I35" i="39" a="1"/>
  <c r="I35" i="39" s="1"/>
  <c r="J35" i="39" a="1"/>
  <c r="J35" i="39" s="1"/>
  <c r="K35" i="39" a="1"/>
  <c r="K35" i="39" s="1"/>
  <c r="L35" i="39" a="1"/>
  <c r="L35" i="39" s="1"/>
  <c r="B36" i="39" a="1"/>
  <c r="B36" i="39" s="1"/>
  <c r="C36" i="39" a="1"/>
  <c r="C36" i="39" s="1"/>
  <c r="D36" i="39" a="1"/>
  <c r="D36" i="39" s="1"/>
  <c r="E36" i="39" a="1"/>
  <c r="E36" i="39"/>
  <c r="F36" i="39" a="1"/>
  <c r="F36" i="39" s="1"/>
  <c r="G36" i="39" a="1"/>
  <c r="G36" i="39" s="1"/>
  <c r="H36" i="39" a="1"/>
  <c r="H36" i="39" s="1"/>
  <c r="I36" i="39" a="1"/>
  <c r="I36" i="39" s="1"/>
  <c r="J36" i="39" a="1"/>
  <c r="J36" i="39" s="1"/>
  <c r="K36" i="39" a="1"/>
  <c r="K36" i="39" s="1"/>
  <c r="L36" i="39" a="1"/>
  <c r="L36" i="39" s="1"/>
  <c r="B37" i="39" a="1"/>
  <c r="B37" i="39"/>
  <c r="C37" i="39" a="1"/>
  <c r="C37" i="39" s="1"/>
  <c r="D37" i="39" a="1"/>
  <c r="D37" i="39" s="1"/>
  <c r="E37" i="39" a="1"/>
  <c r="E37" i="39" s="1"/>
  <c r="F37" i="39" a="1"/>
  <c r="F37" i="39" s="1"/>
  <c r="G37" i="39" a="1"/>
  <c r="G37" i="39" s="1"/>
  <c r="H37" i="39" a="1"/>
  <c r="H37" i="39" s="1"/>
  <c r="I37" i="39" a="1"/>
  <c r="I37" i="39" s="1"/>
  <c r="J37" i="39" a="1"/>
  <c r="J37" i="39"/>
  <c r="K37" i="39" a="1"/>
  <c r="K37" i="39" s="1"/>
  <c r="L37" i="39" a="1"/>
  <c r="L37" i="39" s="1"/>
  <c r="B38" i="39" a="1"/>
  <c r="B38" i="39" s="1"/>
  <c r="C38" i="39" a="1"/>
  <c r="C38" i="39" s="1"/>
  <c r="D38" i="39" a="1"/>
  <c r="D38" i="39" s="1"/>
  <c r="E38" i="39" a="1"/>
  <c r="E38" i="39" s="1"/>
  <c r="F38" i="39" a="1"/>
  <c r="F38" i="39" s="1"/>
  <c r="G38" i="39" a="1"/>
  <c r="G38" i="39" s="1"/>
  <c r="H38" i="39" a="1"/>
  <c r="H38" i="39" s="1"/>
  <c r="I38" i="39" a="1"/>
  <c r="I38" i="39" s="1"/>
  <c r="J38" i="39" a="1"/>
  <c r="J38" i="39" s="1"/>
  <c r="K38" i="39" a="1"/>
  <c r="K38" i="39" s="1"/>
  <c r="L38" i="39" a="1"/>
  <c r="L38" i="39" s="1"/>
  <c r="B39" i="39" a="1"/>
  <c r="B39" i="39" s="1"/>
  <c r="C39" i="39" a="1"/>
  <c r="C39" i="39" s="1"/>
  <c r="D39" i="39" a="1"/>
  <c r="D39" i="39" s="1"/>
  <c r="E39" i="39" a="1"/>
  <c r="E39" i="39" s="1"/>
  <c r="F39" i="39" a="1"/>
  <c r="F39" i="39" s="1"/>
  <c r="G39" i="39" a="1"/>
  <c r="G39" i="39" s="1"/>
  <c r="H39" i="39" a="1"/>
  <c r="H39" i="39" s="1"/>
  <c r="I39" i="39" a="1"/>
  <c r="I39" i="39" s="1"/>
  <c r="J39" i="39" a="1"/>
  <c r="J39" i="39" s="1"/>
  <c r="K39" i="39" a="1"/>
  <c r="K39" i="39" s="1"/>
  <c r="L39" i="39" a="1"/>
  <c r="L39" i="39" s="1"/>
  <c r="B40" i="39" a="1"/>
  <c r="B40" i="39" s="1"/>
  <c r="C40" i="39" a="1"/>
  <c r="C40" i="39" s="1"/>
  <c r="D40" i="39" a="1"/>
  <c r="D40" i="39" s="1"/>
  <c r="E40" i="39" a="1"/>
  <c r="E40" i="39" s="1"/>
  <c r="F40" i="39" a="1"/>
  <c r="F40" i="39" s="1"/>
  <c r="G40" i="39" a="1"/>
  <c r="G40" i="39" s="1"/>
  <c r="H40" i="39" a="1"/>
  <c r="H40" i="39" s="1"/>
  <c r="I40" i="39" a="1"/>
  <c r="I40" i="39" s="1"/>
  <c r="J40" i="39" a="1"/>
  <c r="J40" i="39" s="1"/>
  <c r="K40" i="39" a="1"/>
  <c r="K40" i="39" s="1"/>
  <c r="L40" i="39" a="1"/>
  <c r="L40" i="39" s="1"/>
  <c r="B41" i="39" a="1"/>
  <c r="B41" i="39" s="1"/>
  <c r="C41" i="39" a="1"/>
  <c r="C41" i="39" s="1"/>
  <c r="D41" i="39" a="1"/>
  <c r="D41" i="39" s="1"/>
  <c r="E41" i="39" a="1"/>
  <c r="E41" i="39" s="1"/>
  <c r="F41" i="39" a="1"/>
  <c r="F41" i="39" s="1"/>
  <c r="G41" i="39" a="1"/>
  <c r="G41" i="39" s="1"/>
  <c r="H41" i="39" a="1"/>
  <c r="H41" i="39" s="1"/>
  <c r="I41" i="39" a="1"/>
  <c r="I41" i="39" s="1"/>
  <c r="J41" i="39" a="1"/>
  <c r="J41" i="39" s="1"/>
  <c r="K41" i="39" a="1"/>
  <c r="K41" i="39" s="1"/>
  <c r="L41" i="39" a="1"/>
  <c r="L41" i="39" s="1"/>
  <c r="B42" i="39" a="1"/>
  <c r="B42" i="39" s="1"/>
  <c r="C42" i="39" a="1"/>
  <c r="C42" i="39" s="1"/>
  <c r="D42" i="39" a="1"/>
  <c r="D42" i="39" s="1"/>
  <c r="E42" i="39" a="1"/>
  <c r="E42" i="39" s="1"/>
  <c r="F42" i="39" a="1"/>
  <c r="F42" i="39" s="1"/>
  <c r="G42" i="39" a="1"/>
  <c r="G42" i="39" s="1"/>
  <c r="H42" i="39" a="1"/>
  <c r="H42" i="39" s="1"/>
  <c r="I42" i="39" a="1"/>
  <c r="I42" i="39" s="1"/>
  <c r="J42" i="39" a="1"/>
  <c r="J42" i="39" s="1"/>
  <c r="K42" i="39" a="1"/>
  <c r="K42" i="39" s="1"/>
  <c r="L42" i="39" a="1"/>
  <c r="L42" i="39" s="1"/>
  <c r="B43" i="39" a="1"/>
  <c r="B43" i="39" s="1"/>
  <c r="C43" i="39" a="1"/>
  <c r="C43" i="39" s="1"/>
  <c r="D43" i="39" a="1"/>
  <c r="D43" i="39" s="1"/>
  <c r="E43" i="39" a="1"/>
  <c r="E43" i="39" s="1"/>
  <c r="F43" i="39" a="1"/>
  <c r="F43" i="39" s="1"/>
  <c r="G43" i="39" a="1"/>
  <c r="G43" i="39" s="1"/>
  <c r="H43" i="39" a="1"/>
  <c r="H43" i="39" s="1"/>
  <c r="I43" i="39" a="1"/>
  <c r="I43" i="39" s="1"/>
  <c r="J43" i="39" a="1"/>
  <c r="J43" i="39" s="1"/>
  <c r="K43" i="39" a="1"/>
  <c r="K43" i="39" s="1"/>
  <c r="L43" i="39" a="1"/>
  <c r="L43" i="39" s="1"/>
  <c r="B44" i="39" a="1"/>
  <c r="B44" i="39" s="1"/>
  <c r="C44" i="39" a="1"/>
  <c r="C44" i="39" s="1"/>
  <c r="D44" i="39" a="1"/>
  <c r="D44" i="39" s="1"/>
  <c r="E44" i="39" a="1"/>
  <c r="E44" i="39" s="1"/>
  <c r="F44" i="39" a="1"/>
  <c r="F44" i="39" s="1"/>
  <c r="G44" i="39" a="1"/>
  <c r="G44" i="39" s="1"/>
  <c r="H44" i="39" a="1"/>
  <c r="H44" i="39" s="1"/>
  <c r="I44" i="39" a="1"/>
  <c r="I44" i="39" s="1"/>
  <c r="J44" i="39" a="1"/>
  <c r="J44" i="39" s="1"/>
  <c r="K44" i="39" a="1"/>
  <c r="K44" i="39" s="1"/>
  <c r="L44" i="39" a="1"/>
  <c r="L44" i="39" s="1"/>
  <c r="B45" i="39" a="1"/>
  <c r="B45" i="39" s="1"/>
  <c r="C45" i="39" a="1"/>
  <c r="C45" i="39" s="1"/>
  <c r="D45" i="39" a="1"/>
  <c r="D45" i="39" s="1"/>
  <c r="E45" i="39" a="1"/>
  <c r="E45" i="39" s="1"/>
  <c r="F45" i="39" a="1"/>
  <c r="F45" i="39" s="1"/>
  <c r="G45" i="39" a="1"/>
  <c r="G45" i="39" s="1"/>
  <c r="H45" i="39" a="1"/>
  <c r="H45" i="39" s="1"/>
  <c r="I45" i="39" a="1"/>
  <c r="I45" i="39" s="1"/>
  <c r="J45" i="39" a="1"/>
  <c r="J45" i="39" s="1"/>
  <c r="K45" i="39" a="1"/>
  <c r="K45" i="39" s="1"/>
  <c r="L45" i="39" a="1"/>
  <c r="L45" i="39" s="1"/>
  <c r="B46" i="39" a="1"/>
  <c r="B46" i="39" s="1"/>
  <c r="C46" i="39" a="1"/>
  <c r="C46" i="39" s="1"/>
  <c r="D46" i="39" a="1"/>
  <c r="D46" i="39" s="1"/>
  <c r="E46" i="39" a="1"/>
  <c r="E46" i="39" s="1"/>
  <c r="F46" i="39" a="1"/>
  <c r="F46" i="39" s="1"/>
  <c r="G46" i="39" a="1"/>
  <c r="G46" i="39" s="1"/>
  <c r="H46" i="39" a="1"/>
  <c r="H46" i="39" s="1"/>
  <c r="I46" i="39" a="1"/>
  <c r="I46" i="39" s="1"/>
  <c r="J46" i="39" a="1"/>
  <c r="J46" i="39" s="1"/>
  <c r="K46" i="39" a="1"/>
  <c r="K46" i="39" s="1"/>
  <c r="L46" i="39" a="1"/>
  <c r="L46" i="39" s="1"/>
  <c r="B47" i="39" a="1"/>
  <c r="B47" i="39" s="1"/>
  <c r="C47" i="39" a="1"/>
  <c r="C47" i="39" s="1"/>
  <c r="D47" i="39" a="1"/>
  <c r="D47" i="39" s="1"/>
  <c r="E47" i="39" a="1"/>
  <c r="E47" i="39" s="1"/>
  <c r="F47" i="39" a="1"/>
  <c r="F47" i="39" s="1"/>
  <c r="G47" i="39" a="1"/>
  <c r="G47" i="39" s="1"/>
  <c r="H47" i="39" a="1"/>
  <c r="H47" i="39" s="1"/>
  <c r="I47" i="39" a="1"/>
  <c r="I47" i="39" s="1"/>
  <c r="J47" i="39" a="1"/>
  <c r="J47" i="39" s="1"/>
  <c r="K47" i="39" a="1"/>
  <c r="K47" i="39" s="1"/>
  <c r="L47" i="39" a="1"/>
  <c r="L47" i="39" s="1"/>
  <c r="B48" i="39" a="1"/>
  <c r="B48" i="39" s="1"/>
  <c r="C48" i="39" a="1"/>
  <c r="C48" i="39" s="1"/>
  <c r="D48" i="39" a="1"/>
  <c r="D48" i="39" s="1"/>
  <c r="E48" i="39" a="1"/>
  <c r="E48" i="39" s="1"/>
  <c r="F48" i="39" a="1"/>
  <c r="F48" i="39" s="1"/>
  <c r="G48" i="39" a="1"/>
  <c r="G48" i="39" s="1"/>
  <c r="H48" i="39" a="1"/>
  <c r="H48" i="39" s="1"/>
  <c r="I48" i="39" a="1"/>
  <c r="I48" i="39" s="1"/>
  <c r="J48" i="39" a="1"/>
  <c r="J48" i="39" s="1"/>
  <c r="K48" i="39" a="1"/>
  <c r="K48" i="39" s="1"/>
  <c r="L48" i="39" a="1"/>
  <c r="L48" i="39" s="1"/>
  <c r="B49" i="39" a="1"/>
  <c r="B49" i="39" s="1"/>
  <c r="C49" i="39" a="1"/>
  <c r="C49" i="39" s="1"/>
  <c r="D49" i="39" a="1"/>
  <c r="D49" i="39" s="1"/>
  <c r="E49" i="39" a="1"/>
  <c r="E49" i="39" s="1"/>
  <c r="F49" i="39" a="1"/>
  <c r="F49" i="39" s="1"/>
  <c r="G49" i="39" a="1"/>
  <c r="G49" i="39" s="1"/>
  <c r="H49" i="39" a="1"/>
  <c r="H49" i="39" s="1"/>
  <c r="I49" i="39" a="1"/>
  <c r="I49" i="39" s="1"/>
  <c r="J49" i="39" a="1"/>
  <c r="J49" i="39" s="1"/>
  <c r="K49" i="39" a="1"/>
  <c r="K49" i="39" s="1"/>
  <c r="L49" i="39" a="1"/>
  <c r="L49" i="39" s="1"/>
  <c r="B50" i="39" a="1"/>
  <c r="B50" i="39" s="1"/>
  <c r="C50" i="39" a="1"/>
  <c r="C50" i="39" s="1"/>
  <c r="D50" i="39" a="1"/>
  <c r="D50" i="39" s="1"/>
  <c r="E50" i="39" a="1"/>
  <c r="E50" i="39" s="1"/>
  <c r="F50" i="39" a="1"/>
  <c r="F50" i="39" s="1"/>
  <c r="G50" i="39" a="1"/>
  <c r="G50" i="39" s="1"/>
  <c r="H50" i="39" a="1"/>
  <c r="H50" i="39" s="1"/>
  <c r="I50" i="39" a="1"/>
  <c r="I50" i="39" s="1"/>
  <c r="J50" i="39" a="1"/>
  <c r="J50" i="39" s="1"/>
  <c r="K50" i="39" a="1"/>
  <c r="K50" i="39" s="1"/>
  <c r="L50" i="39" a="1"/>
  <c r="L50" i="39" s="1"/>
  <c r="B51" i="39" a="1"/>
  <c r="B51" i="39" s="1"/>
  <c r="C51" i="39" a="1"/>
  <c r="C51" i="39" s="1"/>
  <c r="D51" i="39" a="1"/>
  <c r="D51" i="39" s="1"/>
  <c r="E51" i="39" a="1"/>
  <c r="E51" i="39" s="1"/>
  <c r="F51" i="39" a="1"/>
  <c r="F51" i="39" s="1"/>
  <c r="G51" i="39" a="1"/>
  <c r="G51" i="39" s="1"/>
  <c r="H51" i="39" a="1"/>
  <c r="H51" i="39" s="1"/>
  <c r="I51" i="39" a="1"/>
  <c r="I51" i="39" s="1"/>
  <c r="J51" i="39" a="1"/>
  <c r="J51" i="39" s="1"/>
  <c r="K51" i="39" a="1"/>
  <c r="K51" i="39" s="1"/>
  <c r="L51" i="39" a="1"/>
  <c r="L51" i="39" s="1"/>
  <c r="B52" i="39" a="1"/>
  <c r="B52" i="39" s="1"/>
  <c r="C52" i="39" a="1"/>
  <c r="C52" i="39" s="1"/>
  <c r="D52" i="39" a="1"/>
  <c r="D52" i="39" s="1"/>
  <c r="E52" i="39" a="1"/>
  <c r="E52" i="39" s="1"/>
  <c r="F52" i="39" a="1"/>
  <c r="F52" i="39" s="1"/>
  <c r="G52" i="39" a="1"/>
  <c r="G52" i="39" s="1"/>
  <c r="H52" i="39" a="1"/>
  <c r="H52" i="39" s="1"/>
  <c r="I52" i="39" a="1"/>
  <c r="I52" i="39" s="1"/>
  <c r="J52" i="39" a="1"/>
  <c r="J52" i="39" s="1"/>
  <c r="K52" i="39" a="1"/>
  <c r="K52" i="39" s="1"/>
  <c r="L52" i="39" a="1"/>
  <c r="L52" i="39" s="1"/>
  <c r="B53" i="39" a="1"/>
  <c r="B53" i="39" s="1"/>
  <c r="C53" i="39" a="1"/>
  <c r="C53" i="39" s="1"/>
  <c r="D53" i="39" a="1"/>
  <c r="D53" i="39" s="1"/>
  <c r="E53" i="39" a="1"/>
  <c r="E53" i="39" s="1"/>
  <c r="F53" i="39" a="1"/>
  <c r="F53" i="39" s="1"/>
  <c r="G53" i="39" a="1"/>
  <c r="G53" i="39" s="1"/>
  <c r="H53" i="39" a="1"/>
  <c r="H53" i="39" s="1"/>
  <c r="I53" i="39" a="1"/>
  <c r="I53" i="39" s="1"/>
  <c r="J53" i="39" a="1"/>
  <c r="J53" i="39" s="1"/>
  <c r="K53" i="39" a="1"/>
  <c r="K53" i="39" s="1"/>
  <c r="L53" i="39" a="1"/>
  <c r="L53" i="39" s="1"/>
  <c r="B54" i="39" a="1"/>
  <c r="B54" i="39" s="1"/>
  <c r="C54" i="39" a="1"/>
  <c r="C54" i="39" s="1"/>
  <c r="D54" i="39" a="1"/>
  <c r="D54" i="39" s="1"/>
  <c r="E54" i="39" a="1"/>
  <c r="E54" i="39" s="1"/>
  <c r="F54" i="39" a="1"/>
  <c r="F54" i="39" s="1"/>
  <c r="G54" i="39" a="1"/>
  <c r="G54" i="39" s="1"/>
  <c r="H54" i="39" a="1"/>
  <c r="H54" i="39" s="1"/>
  <c r="I54" i="39" a="1"/>
  <c r="I54" i="39" s="1"/>
  <c r="J54" i="39" a="1"/>
  <c r="J54" i="39" s="1"/>
  <c r="K54" i="39" a="1"/>
  <c r="K54" i="39" s="1"/>
  <c r="L54" i="39" a="1"/>
  <c r="L54" i="39" s="1"/>
  <c r="B55" i="39" a="1"/>
  <c r="B55" i="39" s="1"/>
  <c r="C55" i="39" a="1"/>
  <c r="C55" i="39" s="1"/>
  <c r="D55" i="39" a="1"/>
  <c r="D55" i="39" s="1"/>
  <c r="E55" i="39" a="1"/>
  <c r="E55" i="39" s="1"/>
  <c r="F55" i="39" a="1"/>
  <c r="F55" i="39" s="1"/>
  <c r="G55" i="39" a="1"/>
  <c r="G55" i="39" s="1"/>
  <c r="H55" i="39" a="1"/>
  <c r="H55" i="39" s="1"/>
  <c r="I55" i="39" a="1"/>
  <c r="I55" i="39" s="1"/>
  <c r="J55" i="39" a="1"/>
  <c r="J55" i="39" s="1"/>
  <c r="K55" i="39" a="1"/>
  <c r="K55" i="39" s="1"/>
  <c r="L55" i="39" a="1"/>
  <c r="L55" i="39" s="1"/>
  <c r="B56" i="39" a="1"/>
  <c r="B56" i="39" s="1"/>
  <c r="C56" i="39" a="1"/>
  <c r="C56" i="39" s="1"/>
  <c r="D56" i="39" a="1"/>
  <c r="D56" i="39" s="1"/>
  <c r="E56" i="39" a="1"/>
  <c r="E56" i="39" s="1"/>
  <c r="F56" i="39" a="1"/>
  <c r="F56" i="39" s="1"/>
  <c r="G56" i="39" a="1"/>
  <c r="G56" i="39" s="1"/>
  <c r="H56" i="39" a="1"/>
  <c r="H56" i="39" s="1"/>
  <c r="I56" i="39" a="1"/>
  <c r="I56" i="39" s="1"/>
  <c r="J56" i="39" a="1"/>
  <c r="J56" i="39" s="1"/>
  <c r="K56" i="39" a="1"/>
  <c r="K56" i="39" s="1"/>
  <c r="L56" i="39" a="1"/>
  <c r="L56" i="39" s="1"/>
  <c r="B57" i="39" a="1"/>
  <c r="B57" i="39" s="1"/>
  <c r="C57" i="39" a="1"/>
  <c r="C57" i="39" s="1"/>
  <c r="D57" i="39" a="1"/>
  <c r="D57" i="39" s="1"/>
  <c r="E57" i="39" a="1"/>
  <c r="E57" i="39" s="1"/>
  <c r="F57" i="39" a="1"/>
  <c r="F57" i="39" s="1"/>
  <c r="G57" i="39" a="1"/>
  <c r="G57" i="39" s="1"/>
  <c r="H57" i="39" a="1"/>
  <c r="H57" i="39" s="1"/>
  <c r="I57" i="39" a="1"/>
  <c r="I57" i="39" s="1"/>
  <c r="J57" i="39" a="1"/>
  <c r="J57" i="39" s="1"/>
  <c r="K57" i="39" a="1"/>
  <c r="K57" i="39" s="1"/>
  <c r="L57" i="39" a="1"/>
  <c r="L57" i="39" s="1"/>
  <c r="B58" i="39" a="1"/>
  <c r="B58" i="39" s="1"/>
  <c r="C58" i="39" a="1"/>
  <c r="C58" i="39" s="1"/>
  <c r="D58" i="39" a="1"/>
  <c r="D58" i="39" s="1"/>
  <c r="E58" i="39" a="1"/>
  <c r="E58" i="39" s="1"/>
  <c r="F58" i="39" a="1"/>
  <c r="F58" i="39" s="1"/>
  <c r="G58" i="39" a="1"/>
  <c r="G58" i="39" s="1"/>
  <c r="H58" i="39" a="1"/>
  <c r="H58" i="39" s="1"/>
  <c r="I58" i="39" a="1"/>
  <c r="I58" i="39" s="1"/>
  <c r="J58" i="39" a="1"/>
  <c r="J58" i="39" s="1"/>
  <c r="K58" i="39" a="1"/>
  <c r="K58" i="39" s="1"/>
  <c r="L58" i="39" a="1"/>
  <c r="L58" i="39" s="1"/>
  <c r="B59" i="39" a="1"/>
  <c r="B59" i="39" s="1"/>
  <c r="C59" i="39" a="1"/>
  <c r="C59" i="39" s="1"/>
  <c r="D59" i="39" a="1"/>
  <c r="D59" i="39" s="1"/>
  <c r="E59" i="39" a="1"/>
  <c r="E59" i="39" s="1"/>
  <c r="F59" i="39" a="1"/>
  <c r="F59" i="39" s="1"/>
  <c r="G59" i="39" a="1"/>
  <c r="G59" i="39" s="1"/>
  <c r="H59" i="39" a="1"/>
  <c r="H59" i="39" s="1"/>
  <c r="I59" i="39" a="1"/>
  <c r="I59" i="39" s="1"/>
  <c r="J59" i="39" a="1"/>
  <c r="J59" i="39" s="1"/>
  <c r="K59" i="39" a="1"/>
  <c r="K59" i="39" s="1"/>
  <c r="L59" i="39" a="1"/>
  <c r="L59" i="39" s="1"/>
  <c r="B60" i="39" a="1"/>
  <c r="B60" i="39" s="1"/>
  <c r="C60" i="39" a="1"/>
  <c r="C60" i="39" s="1"/>
  <c r="D60" i="39" a="1"/>
  <c r="D60" i="39" s="1"/>
  <c r="E60" i="39" a="1"/>
  <c r="E60" i="39" s="1"/>
  <c r="F60" i="39" a="1"/>
  <c r="F60" i="39" s="1"/>
  <c r="G60" i="39" a="1"/>
  <c r="G60" i="39" s="1"/>
  <c r="H60" i="39" a="1"/>
  <c r="H60" i="39" s="1"/>
  <c r="I60" i="39" a="1"/>
  <c r="I60" i="39" s="1"/>
  <c r="J60" i="39" a="1"/>
  <c r="J60" i="39" s="1"/>
  <c r="K60" i="39" a="1"/>
  <c r="K60" i="39" s="1"/>
  <c r="L60" i="39" a="1"/>
  <c r="L60" i="39" s="1"/>
  <c r="B61" i="39" a="1"/>
  <c r="B61" i="39" s="1"/>
  <c r="C61" i="39" a="1"/>
  <c r="C61" i="39" s="1"/>
  <c r="D61" i="39" a="1"/>
  <c r="D61" i="39" s="1"/>
  <c r="E61" i="39" a="1"/>
  <c r="E61" i="39" s="1"/>
  <c r="F61" i="39" a="1"/>
  <c r="F61" i="39" s="1"/>
  <c r="G61" i="39" a="1"/>
  <c r="G61" i="39" s="1"/>
  <c r="H61" i="39" a="1"/>
  <c r="H61" i="39" s="1"/>
  <c r="I61" i="39" a="1"/>
  <c r="I61" i="39" s="1"/>
  <c r="J61" i="39" a="1"/>
  <c r="J61" i="39" s="1"/>
  <c r="K61" i="39" a="1"/>
  <c r="K61" i="39" s="1"/>
  <c r="L61" i="39" a="1"/>
  <c r="L61" i="39" s="1"/>
  <c r="B62" i="39" a="1"/>
  <c r="B62" i="39" s="1"/>
  <c r="C62" i="39" a="1"/>
  <c r="C62" i="39" s="1"/>
  <c r="D62" i="39" a="1"/>
  <c r="D62" i="39" s="1"/>
  <c r="E62" i="39" a="1"/>
  <c r="E62" i="39" s="1"/>
  <c r="F62" i="39" a="1"/>
  <c r="F62" i="39" s="1"/>
  <c r="G62" i="39" a="1"/>
  <c r="G62" i="39" s="1"/>
  <c r="H62" i="39" a="1"/>
  <c r="H62" i="39" s="1"/>
  <c r="I62" i="39" a="1"/>
  <c r="I62" i="39" s="1"/>
  <c r="J62" i="39" a="1"/>
  <c r="J62" i="39" s="1"/>
  <c r="K62" i="39" a="1"/>
  <c r="K62" i="39" s="1"/>
  <c r="L62" i="39" a="1"/>
  <c r="L62" i="39" s="1"/>
  <c r="B63" i="39" a="1"/>
  <c r="B63" i="39" s="1"/>
  <c r="C63" i="39" a="1"/>
  <c r="C63" i="39" s="1"/>
  <c r="D63" i="39" a="1"/>
  <c r="D63" i="39" s="1"/>
  <c r="E63" i="39" a="1"/>
  <c r="E63" i="39" s="1"/>
  <c r="F63" i="39" a="1"/>
  <c r="F63" i="39" s="1"/>
  <c r="G63" i="39" a="1"/>
  <c r="G63" i="39" s="1"/>
  <c r="H63" i="39" a="1"/>
  <c r="H63" i="39" s="1"/>
  <c r="I63" i="39" a="1"/>
  <c r="I63" i="39" s="1"/>
  <c r="J63" i="39" a="1"/>
  <c r="J63" i="39" s="1"/>
  <c r="K63" i="39" a="1"/>
  <c r="K63" i="39" s="1"/>
  <c r="L63" i="39" a="1"/>
  <c r="L63" i="39" s="1"/>
  <c r="B64" i="39" a="1"/>
  <c r="B64" i="39" s="1"/>
  <c r="C64" i="39" a="1"/>
  <c r="C64" i="39" s="1"/>
  <c r="D64" i="39" a="1"/>
  <c r="D64" i="39" s="1"/>
  <c r="E64" i="39" a="1"/>
  <c r="E64" i="39" s="1"/>
  <c r="F64" i="39" a="1"/>
  <c r="F64" i="39" s="1"/>
  <c r="G64" i="39" a="1"/>
  <c r="G64" i="39" s="1"/>
  <c r="H64" i="39" a="1"/>
  <c r="H64" i="39" s="1"/>
  <c r="I64" i="39" a="1"/>
  <c r="I64" i="39" s="1"/>
  <c r="J64" i="39" a="1"/>
  <c r="J64" i="39" s="1"/>
  <c r="K64" i="39" a="1"/>
  <c r="K64" i="39" s="1"/>
  <c r="L64" i="39" a="1"/>
  <c r="L64" i="39" s="1"/>
  <c r="B65" i="39" a="1"/>
  <c r="B65" i="39" s="1"/>
  <c r="C65" i="39" a="1"/>
  <c r="C65" i="39" s="1"/>
  <c r="D65" i="39" a="1"/>
  <c r="D65" i="39" s="1"/>
  <c r="E65" i="39" a="1"/>
  <c r="E65" i="39" s="1"/>
  <c r="F65" i="39" a="1"/>
  <c r="F65" i="39" s="1"/>
  <c r="G65" i="39" a="1"/>
  <c r="G65" i="39" s="1"/>
  <c r="H65" i="39" a="1"/>
  <c r="H65" i="39" s="1"/>
  <c r="I65" i="39" a="1"/>
  <c r="I65" i="39" s="1"/>
  <c r="J65" i="39" a="1"/>
  <c r="J65" i="39" s="1"/>
  <c r="K65" i="39" a="1"/>
  <c r="K65" i="39" s="1"/>
  <c r="L65" i="39" a="1"/>
  <c r="L65" i="39" s="1"/>
  <c r="B66" i="39" a="1"/>
  <c r="B66" i="39" s="1"/>
  <c r="C66" i="39" a="1"/>
  <c r="C66" i="39" s="1"/>
  <c r="D66" i="39" a="1"/>
  <c r="D66" i="39" s="1"/>
  <c r="E66" i="39" a="1"/>
  <c r="E66" i="39"/>
  <c r="F66" i="39" a="1"/>
  <c r="F66" i="39" s="1"/>
  <c r="G66" i="39" a="1"/>
  <c r="G66" i="39"/>
  <c r="H66" i="39" a="1"/>
  <c r="H66" i="39" s="1"/>
  <c r="I66" i="39" a="1"/>
  <c r="I66" i="39" s="1"/>
  <c r="J66" i="39" a="1"/>
  <c r="J66" i="39" s="1"/>
  <c r="K66" i="39" a="1"/>
  <c r="K66" i="39" s="1"/>
  <c r="L66" i="39" a="1"/>
  <c r="L66" i="39" s="1"/>
  <c r="B67" i="39" a="1"/>
  <c r="B67" i="39"/>
  <c r="C67" i="39" a="1"/>
  <c r="C67" i="39" s="1"/>
  <c r="D67" i="39" a="1"/>
  <c r="D67" i="39" s="1"/>
  <c r="E67" i="39" a="1"/>
  <c r="E67" i="39" s="1"/>
  <c r="F67" i="39" a="1"/>
  <c r="F67" i="39" s="1"/>
  <c r="G67" i="39" a="1"/>
  <c r="G67" i="39" s="1"/>
  <c r="H67" i="39" a="1"/>
  <c r="H67" i="39" s="1"/>
  <c r="I67" i="39" a="1"/>
  <c r="I67" i="39" s="1"/>
  <c r="J67" i="39" a="1"/>
  <c r="J67" i="39" s="1"/>
  <c r="K67" i="39" a="1"/>
  <c r="K67" i="39" s="1"/>
  <c r="L67" i="39" a="1"/>
  <c r="L67" i="39" s="1"/>
  <c r="B68" i="39" a="1"/>
  <c r="B68" i="39" s="1"/>
  <c r="C68" i="39" a="1"/>
  <c r="C68" i="39" s="1"/>
  <c r="D68" i="39" a="1"/>
  <c r="D68" i="39" s="1"/>
  <c r="E68" i="39" a="1"/>
  <c r="E68" i="39" s="1"/>
  <c r="F68" i="39" a="1"/>
  <c r="F68" i="39" s="1"/>
  <c r="G68" i="39" a="1"/>
  <c r="G68" i="39" s="1"/>
  <c r="H68" i="39" a="1"/>
  <c r="H68" i="39" s="1"/>
  <c r="I68" i="39" a="1"/>
  <c r="I68" i="39" s="1"/>
  <c r="J68" i="39" a="1"/>
  <c r="J68" i="39" s="1"/>
  <c r="K68" i="39" a="1"/>
  <c r="K68" i="39" s="1"/>
  <c r="L68" i="39" a="1"/>
  <c r="L68" i="39" s="1"/>
  <c r="B69" i="39" a="1"/>
  <c r="B69" i="39" s="1"/>
  <c r="C69" i="39" a="1"/>
  <c r="C69" i="39" s="1"/>
  <c r="D69" i="39" a="1"/>
  <c r="D69" i="39" s="1"/>
  <c r="E69" i="39" a="1"/>
  <c r="E69" i="39" s="1"/>
  <c r="F69" i="39" a="1"/>
  <c r="F69" i="39" s="1"/>
  <c r="G69" i="39" a="1"/>
  <c r="G69" i="39" s="1"/>
  <c r="H69" i="39" a="1"/>
  <c r="H69" i="39" s="1"/>
  <c r="I69" i="39" a="1"/>
  <c r="I69" i="39" s="1"/>
  <c r="J69" i="39" a="1"/>
  <c r="J69" i="39" s="1"/>
  <c r="K69" i="39" a="1"/>
  <c r="K69" i="39" s="1"/>
  <c r="L69" i="39" a="1"/>
  <c r="L69" i="39" s="1"/>
  <c r="B70" i="39" a="1"/>
  <c r="B70" i="39" s="1"/>
  <c r="C70" i="39" a="1"/>
  <c r="C70" i="39" s="1"/>
  <c r="D70" i="39" a="1"/>
  <c r="D70" i="39" s="1"/>
  <c r="E70" i="39" a="1"/>
  <c r="E70" i="39" s="1"/>
  <c r="F70" i="39" a="1"/>
  <c r="F70" i="39" s="1"/>
  <c r="G70" i="39" a="1"/>
  <c r="G70" i="39" s="1"/>
  <c r="H70" i="39" a="1"/>
  <c r="H70" i="39" s="1"/>
  <c r="I70" i="39" a="1"/>
  <c r="I70" i="39" s="1"/>
  <c r="J70" i="39" a="1"/>
  <c r="J70" i="39" s="1"/>
  <c r="K70" i="39" a="1"/>
  <c r="K70" i="39" s="1"/>
  <c r="L70" i="39" a="1"/>
  <c r="L70" i="39" s="1"/>
  <c r="B71" i="39" a="1"/>
  <c r="B71" i="39" s="1"/>
  <c r="C71" i="39" a="1"/>
  <c r="C71" i="39" s="1"/>
  <c r="D71" i="39" a="1"/>
  <c r="D71" i="39" s="1"/>
  <c r="E71" i="39" a="1"/>
  <c r="E71" i="39" s="1"/>
  <c r="F71" i="39" a="1"/>
  <c r="F71" i="39" s="1"/>
  <c r="G71" i="39" a="1"/>
  <c r="G71" i="39" s="1"/>
  <c r="H71" i="39" a="1"/>
  <c r="H71" i="39" s="1"/>
  <c r="I71" i="39" a="1"/>
  <c r="I71" i="39" s="1"/>
  <c r="J71" i="39" a="1"/>
  <c r="J71" i="39" s="1"/>
  <c r="K71" i="39" a="1"/>
  <c r="K71" i="39" s="1"/>
  <c r="L71" i="39" a="1"/>
  <c r="L71" i="39" s="1"/>
  <c r="B72" i="39" a="1"/>
  <c r="B72" i="39" s="1"/>
  <c r="C72" i="39" a="1"/>
  <c r="C72" i="39" s="1"/>
  <c r="D72" i="39" a="1"/>
  <c r="D72" i="39" s="1"/>
  <c r="E72" i="39" a="1"/>
  <c r="E72" i="39" s="1"/>
  <c r="F72" i="39" a="1"/>
  <c r="F72" i="39" s="1"/>
  <c r="G72" i="39" a="1"/>
  <c r="G72" i="39" s="1"/>
  <c r="H72" i="39" a="1"/>
  <c r="H72" i="39" s="1"/>
  <c r="I72" i="39" a="1"/>
  <c r="I72" i="39" s="1"/>
  <c r="J72" i="39" a="1"/>
  <c r="J72" i="39" s="1"/>
  <c r="K72" i="39" a="1"/>
  <c r="K72" i="39" s="1"/>
  <c r="L72" i="39" a="1"/>
  <c r="L72" i="39" s="1"/>
  <c r="B73" i="39" a="1"/>
  <c r="B73" i="39" s="1"/>
  <c r="C73" i="39" a="1"/>
  <c r="C73" i="39" s="1"/>
  <c r="D73" i="39" a="1"/>
  <c r="D73" i="39" s="1"/>
  <c r="E73" i="39" a="1"/>
  <c r="E73" i="39" s="1"/>
  <c r="F73" i="39" a="1"/>
  <c r="F73" i="39" s="1"/>
  <c r="G73" i="39" a="1"/>
  <c r="G73" i="39" s="1"/>
  <c r="H73" i="39" a="1"/>
  <c r="H73" i="39" s="1"/>
  <c r="I73" i="39" a="1"/>
  <c r="I73" i="39" s="1"/>
  <c r="J73" i="39" a="1"/>
  <c r="J73" i="39" s="1"/>
  <c r="K73" i="39" a="1"/>
  <c r="K73" i="39" s="1"/>
  <c r="L73" i="39" a="1"/>
  <c r="L73" i="39" s="1"/>
  <c r="B74" i="39" a="1"/>
  <c r="B74" i="39" s="1"/>
  <c r="C74" i="39" a="1"/>
  <c r="C74" i="39" s="1"/>
  <c r="D74" i="39" a="1"/>
  <c r="D74" i="39" s="1"/>
  <c r="E74" i="39" a="1"/>
  <c r="E74" i="39" s="1"/>
  <c r="F74" i="39" a="1"/>
  <c r="F74" i="39" s="1"/>
  <c r="G74" i="39" a="1"/>
  <c r="G74" i="39" s="1"/>
  <c r="H74" i="39" a="1"/>
  <c r="H74" i="39" s="1"/>
  <c r="I74" i="39" a="1"/>
  <c r="I74" i="39" s="1"/>
  <c r="J74" i="39" a="1"/>
  <c r="J74" i="39" s="1"/>
  <c r="K74" i="39" a="1"/>
  <c r="K74" i="39" s="1"/>
  <c r="L74" i="39" a="1"/>
  <c r="L74" i="39" s="1"/>
  <c r="B75" i="39" a="1"/>
  <c r="B75" i="39" s="1"/>
  <c r="C75" i="39" a="1"/>
  <c r="C75" i="39" s="1"/>
  <c r="D75" i="39" a="1"/>
  <c r="D75" i="39" s="1"/>
  <c r="E75" i="39" a="1"/>
  <c r="E75" i="39" s="1"/>
  <c r="F75" i="39" a="1"/>
  <c r="F75" i="39" s="1"/>
  <c r="G75" i="39" a="1"/>
  <c r="G75" i="39" s="1"/>
  <c r="H75" i="39" a="1"/>
  <c r="H75" i="39" s="1"/>
  <c r="I75" i="39" a="1"/>
  <c r="I75" i="39" s="1"/>
  <c r="J75" i="39" a="1"/>
  <c r="J75" i="39" s="1"/>
  <c r="K75" i="39" a="1"/>
  <c r="K75" i="39" s="1"/>
  <c r="L75" i="39" a="1"/>
  <c r="L75" i="39" s="1"/>
  <c r="B76" i="39" a="1"/>
  <c r="B76" i="39" s="1"/>
  <c r="C76" i="39" a="1"/>
  <c r="C76" i="39" s="1"/>
  <c r="D76" i="39" a="1"/>
  <c r="D76" i="39" s="1"/>
  <c r="E76" i="39" a="1"/>
  <c r="E76" i="39" s="1"/>
  <c r="F76" i="39" a="1"/>
  <c r="F76" i="39" s="1"/>
  <c r="G76" i="39" a="1"/>
  <c r="G76" i="39" s="1"/>
  <c r="H76" i="39" a="1"/>
  <c r="H76" i="39" s="1"/>
  <c r="I76" i="39" a="1"/>
  <c r="I76" i="39" s="1"/>
  <c r="J76" i="39" a="1"/>
  <c r="J76" i="39" s="1"/>
  <c r="K76" i="39" a="1"/>
  <c r="K76" i="39" s="1"/>
  <c r="L76" i="39" a="1"/>
  <c r="L76" i="39" s="1"/>
  <c r="B77" i="39" a="1"/>
  <c r="B77" i="39" s="1"/>
  <c r="C77" i="39" a="1"/>
  <c r="C77" i="39" s="1"/>
  <c r="D77" i="39" a="1"/>
  <c r="D77" i="39" s="1"/>
  <c r="E77" i="39" a="1"/>
  <c r="E77" i="39" s="1"/>
  <c r="F77" i="39" a="1"/>
  <c r="F77" i="39" s="1"/>
  <c r="G77" i="39" a="1"/>
  <c r="G77" i="39" s="1"/>
  <c r="H77" i="39" a="1"/>
  <c r="H77" i="39" s="1"/>
  <c r="I77" i="39" a="1"/>
  <c r="I77" i="39" s="1"/>
  <c r="J77" i="39" a="1"/>
  <c r="J77" i="39" s="1"/>
  <c r="K77" i="39" a="1"/>
  <c r="K77" i="39" s="1"/>
  <c r="L77" i="39" a="1"/>
  <c r="L77" i="39" s="1"/>
  <c r="B78" i="39" a="1"/>
  <c r="B78" i="39" s="1"/>
  <c r="C78" i="39" a="1"/>
  <c r="C78" i="39" s="1"/>
  <c r="D78" i="39" a="1"/>
  <c r="D78" i="39" s="1"/>
  <c r="E78" i="39" a="1"/>
  <c r="E78" i="39" s="1"/>
  <c r="F78" i="39" a="1"/>
  <c r="F78" i="39" s="1"/>
  <c r="G78" i="39" a="1"/>
  <c r="G78" i="39" s="1"/>
  <c r="H78" i="39" a="1"/>
  <c r="H78" i="39" s="1"/>
  <c r="I78" i="39" a="1"/>
  <c r="I78" i="39" s="1"/>
  <c r="J78" i="39" a="1"/>
  <c r="J78" i="39" s="1"/>
  <c r="K78" i="39" a="1"/>
  <c r="K78" i="39" s="1"/>
  <c r="L78" i="39" a="1"/>
  <c r="L78" i="39" s="1"/>
  <c r="B79" i="39" a="1"/>
  <c r="B79" i="39" s="1"/>
  <c r="C79" i="39" a="1"/>
  <c r="C79" i="39" s="1"/>
  <c r="D79" i="39" a="1"/>
  <c r="D79" i="39" s="1"/>
  <c r="E79" i="39" a="1"/>
  <c r="E79" i="39" s="1"/>
  <c r="F79" i="39" a="1"/>
  <c r="F79" i="39" s="1"/>
  <c r="G79" i="39" a="1"/>
  <c r="G79" i="39" s="1"/>
  <c r="H79" i="39" a="1"/>
  <c r="H79" i="39" s="1"/>
  <c r="I79" i="39" a="1"/>
  <c r="I79" i="39" s="1"/>
  <c r="J79" i="39" a="1"/>
  <c r="J79" i="39" s="1"/>
  <c r="K79" i="39" a="1"/>
  <c r="K79" i="39" s="1"/>
  <c r="L79" i="39" a="1"/>
  <c r="L79" i="39" s="1"/>
  <c r="B80" i="39" a="1"/>
  <c r="B80" i="39" s="1"/>
  <c r="C80" i="39" a="1"/>
  <c r="C80" i="39" s="1"/>
  <c r="D80" i="39" a="1"/>
  <c r="D80" i="39" s="1"/>
  <c r="E80" i="39" a="1"/>
  <c r="E80" i="39" s="1"/>
  <c r="F80" i="39" a="1"/>
  <c r="F80" i="39" s="1"/>
  <c r="G80" i="39" a="1"/>
  <c r="G80" i="39" s="1"/>
  <c r="H80" i="39" a="1"/>
  <c r="H80" i="39" s="1"/>
  <c r="I80" i="39" a="1"/>
  <c r="I80" i="39" s="1"/>
  <c r="J80" i="39" a="1"/>
  <c r="J80" i="39" s="1"/>
  <c r="K80" i="39" a="1"/>
  <c r="K80" i="39" s="1"/>
  <c r="L80" i="39" a="1"/>
  <c r="L80" i="39" s="1"/>
  <c r="B81" i="39" a="1"/>
  <c r="B81" i="39" s="1"/>
  <c r="C81" i="39" a="1"/>
  <c r="C81" i="39" s="1"/>
  <c r="D81" i="39" a="1"/>
  <c r="D81" i="39" s="1"/>
  <c r="E81" i="39" a="1"/>
  <c r="E81" i="39" s="1"/>
  <c r="F81" i="39" a="1"/>
  <c r="F81" i="39" s="1"/>
  <c r="G81" i="39" a="1"/>
  <c r="G81" i="39" s="1"/>
  <c r="H81" i="39" a="1"/>
  <c r="H81" i="39" s="1"/>
  <c r="I81" i="39" a="1"/>
  <c r="I81" i="39" s="1"/>
  <c r="J81" i="39" a="1"/>
  <c r="J81" i="39" s="1"/>
  <c r="K81" i="39" a="1"/>
  <c r="K81" i="39" s="1"/>
  <c r="L81" i="39" a="1"/>
  <c r="L81" i="39" s="1"/>
  <c r="B82" i="39" a="1"/>
  <c r="B82" i="39" s="1"/>
  <c r="C82" i="39" a="1"/>
  <c r="C82" i="39" s="1"/>
  <c r="D82" i="39" a="1"/>
  <c r="D82" i="39" s="1"/>
  <c r="E82" i="39" a="1"/>
  <c r="E82" i="39" s="1"/>
  <c r="F82" i="39" a="1"/>
  <c r="F82" i="39" s="1"/>
  <c r="G82" i="39" a="1"/>
  <c r="G82" i="39" s="1"/>
  <c r="H82" i="39" a="1"/>
  <c r="H82" i="39" s="1"/>
  <c r="I82" i="39" a="1"/>
  <c r="I82" i="39" s="1"/>
  <c r="J82" i="39" a="1"/>
  <c r="J82" i="39" s="1"/>
  <c r="K82" i="39" a="1"/>
  <c r="K82" i="39" s="1"/>
  <c r="L82" i="39" a="1"/>
  <c r="L82" i="39" s="1"/>
  <c r="B83" i="39" a="1"/>
  <c r="B83" i="39" s="1"/>
  <c r="C83" i="39" a="1"/>
  <c r="C83" i="39" s="1"/>
  <c r="D83" i="39" a="1"/>
  <c r="D83" i="39" s="1"/>
  <c r="E83" i="39" a="1"/>
  <c r="E83" i="39" s="1"/>
  <c r="F83" i="39" a="1"/>
  <c r="F83" i="39" s="1"/>
  <c r="G83" i="39" a="1"/>
  <c r="G83" i="39" s="1"/>
  <c r="H83" i="39" a="1"/>
  <c r="H83" i="39" s="1"/>
  <c r="I83" i="39" a="1"/>
  <c r="I83" i="39" s="1"/>
  <c r="J83" i="39" a="1"/>
  <c r="J83" i="39" s="1"/>
  <c r="K83" i="39" a="1"/>
  <c r="K83" i="39" s="1"/>
  <c r="L83" i="39" a="1"/>
  <c r="L83" i="39" s="1"/>
  <c r="B84" i="39" a="1"/>
  <c r="B84" i="39" s="1"/>
  <c r="C84" i="39" a="1"/>
  <c r="C84" i="39" s="1"/>
  <c r="D84" i="39" a="1"/>
  <c r="D84" i="39" s="1"/>
  <c r="E84" i="39" a="1"/>
  <c r="E84" i="39" s="1"/>
  <c r="F84" i="39" a="1"/>
  <c r="F84" i="39" s="1"/>
  <c r="G84" i="39" a="1"/>
  <c r="G84" i="39" s="1"/>
  <c r="H84" i="39" a="1"/>
  <c r="H84" i="39" s="1"/>
  <c r="I84" i="39" a="1"/>
  <c r="I84" i="39" s="1"/>
  <c r="J84" i="39" a="1"/>
  <c r="J84" i="39" s="1"/>
  <c r="K84" i="39" a="1"/>
  <c r="K84" i="39" s="1"/>
  <c r="L84" i="39" a="1"/>
  <c r="L84" i="39" s="1"/>
  <c r="B85" i="39" a="1"/>
  <c r="B85" i="39" s="1"/>
  <c r="C85" i="39" a="1"/>
  <c r="C85" i="39" s="1"/>
  <c r="D85" i="39" a="1"/>
  <c r="D85" i="39" s="1"/>
  <c r="E85" i="39" a="1"/>
  <c r="E85" i="39" s="1"/>
  <c r="F85" i="39" a="1"/>
  <c r="F85" i="39" s="1"/>
  <c r="G85" i="39" a="1"/>
  <c r="G85" i="39" s="1"/>
  <c r="H85" i="39" a="1"/>
  <c r="H85" i="39" s="1"/>
  <c r="I85" i="39" a="1"/>
  <c r="I85" i="39" s="1"/>
  <c r="J85" i="39" a="1"/>
  <c r="J85" i="39" s="1"/>
  <c r="K85" i="39" a="1"/>
  <c r="K85" i="39" s="1"/>
  <c r="L85" i="39" a="1"/>
  <c r="L85" i="39" s="1"/>
  <c r="B86" i="39" a="1"/>
  <c r="B86" i="39" s="1"/>
  <c r="C86" i="39" a="1"/>
  <c r="C86" i="39" s="1"/>
  <c r="D86" i="39" a="1"/>
  <c r="D86" i="39" s="1"/>
  <c r="E86" i="39" a="1"/>
  <c r="E86" i="39" s="1"/>
  <c r="F86" i="39" a="1"/>
  <c r="F86" i="39" s="1"/>
  <c r="G86" i="39" a="1"/>
  <c r="G86" i="39" s="1"/>
  <c r="H86" i="39" a="1"/>
  <c r="H86" i="39" s="1"/>
  <c r="I86" i="39" a="1"/>
  <c r="I86" i="39" s="1"/>
  <c r="J86" i="39" a="1"/>
  <c r="J86" i="39" s="1"/>
  <c r="K86" i="39" a="1"/>
  <c r="K86" i="39" s="1"/>
  <c r="L86" i="39" a="1"/>
  <c r="L86" i="39" s="1"/>
  <c r="B87" i="39" a="1"/>
  <c r="B87" i="39" s="1"/>
  <c r="C87" i="39" a="1"/>
  <c r="C87" i="39" s="1"/>
  <c r="D87" i="39" a="1"/>
  <c r="D87" i="39" s="1"/>
  <c r="E87" i="39" a="1"/>
  <c r="E87" i="39" s="1"/>
  <c r="F87" i="39" a="1"/>
  <c r="F87" i="39" s="1"/>
  <c r="G87" i="39" a="1"/>
  <c r="G87" i="39" s="1"/>
  <c r="H87" i="39" a="1"/>
  <c r="H87" i="39" s="1"/>
  <c r="I87" i="39" a="1"/>
  <c r="I87" i="39" s="1"/>
  <c r="J87" i="39" a="1"/>
  <c r="J87" i="39" s="1"/>
  <c r="K87" i="39" a="1"/>
  <c r="K87" i="39" s="1"/>
  <c r="L87" i="39" a="1"/>
  <c r="L87" i="39" s="1"/>
  <c r="B88" i="39" a="1"/>
  <c r="B88" i="39" s="1"/>
  <c r="C88" i="39" a="1"/>
  <c r="C88" i="39" s="1"/>
  <c r="D88" i="39" a="1"/>
  <c r="D88" i="39" s="1"/>
  <c r="E88" i="39" a="1"/>
  <c r="E88" i="39" s="1"/>
  <c r="F88" i="39" a="1"/>
  <c r="F88" i="39" s="1"/>
  <c r="G88" i="39" a="1"/>
  <c r="G88" i="39" s="1"/>
  <c r="H88" i="39" a="1"/>
  <c r="H88" i="39" s="1"/>
  <c r="I88" i="39" a="1"/>
  <c r="I88" i="39" s="1"/>
  <c r="J88" i="39" a="1"/>
  <c r="J88" i="39" s="1"/>
  <c r="K88" i="39" a="1"/>
  <c r="K88" i="39" s="1"/>
  <c r="L88" i="39" a="1"/>
  <c r="L88" i="39" s="1"/>
  <c r="B89" i="39" a="1"/>
  <c r="B89" i="39" s="1"/>
  <c r="C89" i="39" a="1"/>
  <c r="C89" i="39" s="1"/>
  <c r="D89" i="39" a="1"/>
  <c r="D89" i="39" s="1"/>
  <c r="E89" i="39" a="1"/>
  <c r="E89" i="39" s="1"/>
  <c r="F89" i="39" a="1"/>
  <c r="F89" i="39" s="1"/>
  <c r="G89" i="39" a="1"/>
  <c r="G89" i="39" s="1"/>
  <c r="H89" i="39" a="1"/>
  <c r="H89" i="39" s="1"/>
  <c r="I89" i="39" a="1"/>
  <c r="I89" i="39" s="1"/>
  <c r="J89" i="39" a="1"/>
  <c r="J89" i="39" s="1"/>
  <c r="K89" i="39" a="1"/>
  <c r="K89" i="39" s="1"/>
  <c r="L89" i="39" a="1"/>
  <c r="L89" i="39" s="1"/>
  <c r="B90" i="39" a="1"/>
  <c r="B90" i="39" s="1"/>
  <c r="C90" i="39" a="1"/>
  <c r="C90" i="39" s="1"/>
  <c r="D90" i="39" a="1"/>
  <c r="D90" i="39" s="1"/>
  <c r="E90" i="39" a="1"/>
  <c r="E90" i="39" s="1"/>
  <c r="F90" i="39" a="1"/>
  <c r="F90" i="39" s="1"/>
  <c r="G90" i="39" a="1"/>
  <c r="G90" i="39" s="1"/>
  <c r="H90" i="39" a="1"/>
  <c r="H90" i="39" s="1"/>
  <c r="I90" i="39" a="1"/>
  <c r="I90" i="39" s="1"/>
  <c r="J90" i="39" a="1"/>
  <c r="J90" i="39" s="1"/>
  <c r="K90" i="39" a="1"/>
  <c r="K90" i="39" s="1"/>
  <c r="L90" i="39" a="1"/>
  <c r="L90" i="39" s="1"/>
  <c r="B91" i="39" a="1"/>
  <c r="B91" i="39" s="1"/>
  <c r="C91" i="39" a="1"/>
  <c r="C91" i="39" s="1"/>
  <c r="D91" i="39" a="1"/>
  <c r="D91" i="39" s="1"/>
  <c r="E91" i="39" a="1"/>
  <c r="E91" i="39" s="1"/>
  <c r="F91" i="39" a="1"/>
  <c r="F91" i="39" s="1"/>
  <c r="G91" i="39" a="1"/>
  <c r="G91" i="39" s="1"/>
  <c r="H91" i="39" a="1"/>
  <c r="H91" i="39" s="1"/>
  <c r="I91" i="39" a="1"/>
  <c r="I91" i="39" s="1"/>
  <c r="J91" i="39" a="1"/>
  <c r="J91" i="39" s="1"/>
  <c r="K91" i="39" a="1"/>
  <c r="K91" i="39" s="1"/>
  <c r="L91" i="39" a="1"/>
  <c r="L91" i="39" s="1"/>
  <c r="B92" i="39" a="1"/>
  <c r="B92" i="39" s="1"/>
  <c r="C92" i="39" a="1"/>
  <c r="C92" i="39" s="1"/>
  <c r="D92" i="39" a="1"/>
  <c r="D92" i="39" s="1"/>
  <c r="E92" i="39" a="1"/>
  <c r="E92" i="39" s="1"/>
  <c r="F92" i="39" a="1"/>
  <c r="F92" i="39" s="1"/>
  <c r="G92" i="39" a="1"/>
  <c r="G92" i="39" s="1"/>
  <c r="H92" i="39" a="1"/>
  <c r="H92" i="39" s="1"/>
  <c r="I92" i="39" a="1"/>
  <c r="I92" i="39" s="1"/>
  <c r="J92" i="39" a="1"/>
  <c r="J92" i="39" s="1"/>
  <c r="K92" i="39" a="1"/>
  <c r="K92" i="39" s="1"/>
  <c r="L92" i="39" a="1"/>
  <c r="L92" i="39" s="1"/>
  <c r="B93" i="39" a="1"/>
  <c r="B93" i="39" s="1"/>
  <c r="C93" i="39" a="1"/>
  <c r="C93" i="39" s="1"/>
  <c r="D93" i="39" a="1"/>
  <c r="D93" i="39" s="1"/>
  <c r="E93" i="39" a="1"/>
  <c r="E93" i="39" s="1"/>
  <c r="F93" i="39" a="1"/>
  <c r="F93" i="39" s="1"/>
  <c r="G93" i="39" a="1"/>
  <c r="G93" i="39" s="1"/>
  <c r="H93" i="39" a="1"/>
  <c r="H93" i="39" s="1"/>
  <c r="I93" i="39" a="1"/>
  <c r="I93" i="39" s="1"/>
  <c r="J93" i="39" a="1"/>
  <c r="J93" i="39" s="1"/>
  <c r="K93" i="39" a="1"/>
  <c r="K93" i="39" s="1"/>
  <c r="L93" i="39" a="1"/>
  <c r="L93" i="39" s="1"/>
  <c r="B94" i="39" a="1"/>
  <c r="B94" i="39" s="1"/>
  <c r="C94" i="39" a="1"/>
  <c r="C94" i="39" s="1"/>
  <c r="D94" i="39" a="1"/>
  <c r="D94" i="39" s="1"/>
  <c r="E94" i="39" a="1"/>
  <c r="E94" i="39" s="1"/>
  <c r="F94" i="39" a="1"/>
  <c r="F94" i="39" s="1"/>
  <c r="G94" i="39" a="1"/>
  <c r="G94" i="39" s="1"/>
  <c r="H94" i="39" a="1"/>
  <c r="H94" i="39" s="1"/>
  <c r="I94" i="39" a="1"/>
  <c r="I94" i="39" s="1"/>
  <c r="J94" i="39" a="1"/>
  <c r="J94" i="39" s="1"/>
  <c r="K94" i="39" a="1"/>
  <c r="K94" i="39" s="1"/>
  <c r="L94" i="39" a="1"/>
  <c r="L94" i="39" s="1"/>
  <c r="C7" i="39" a="1"/>
  <c r="C7" i="39" s="1"/>
  <c r="D7" i="39" a="1"/>
  <c r="D7" i="39" s="1"/>
  <c r="E7" i="39" a="1"/>
  <c r="E7" i="39" s="1"/>
  <c r="F7" i="39" a="1"/>
  <c r="F7" i="39" s="1"/>
  <c r="G7" i="39" a="1"/>
  <c r="G7" i="39"/>
  <c r="H7" i="39" a="1"/>
  <c r="H7" i="39" s="1"/>
  <c r="I7" i="39" a="1"/>
  <c r="I7" i="39" s="1"/>
  <c r="J7" i="39" a="1"/>
  <c r="J7" i="39"/>
  <c r="K7" i="39" a="1"/>
  <c r="K7" i="39" s="1"/>
  <c r="L7" i="39" a="1"/>
  <c r="L7" i="39" s="1"/>
  <c r="B7" i="39" a="1"/>
  <c r="B7" i="39" s="1"/>
  <c r="B1" i="39"/>
  <c r="A85" i="39"/>
  <c r="A86" i="39"/>
  <c r="A87" i="39" s="1"/>
  <c r="A88" i="39" s="1"/>
  <c r="A89" i="39" s="1"/>
  <c r="A90" i="39" s="1"/>
  <c r="A91" i="39" s="1"/>
  <c r="A92" i="39" s="1"/>
  <c r="A93" i="39" s="1"/>
  <c r="A94" i="39" s="1"/>
  <c r="X7" i="16" a="1"/>
  <c r="X7" i="16" s="1"/>
  <c r="Y7" i="16" a="1"/>
  <c r="Y7" i="16" s="1"/>
  <c r="W7" i="16" a="1"/>
  <c r="W7" i="16" s="1"/>
  <c r="D7" i="16" a="1"/>
  <c r="D7" i="16" s="1"/>
  <c r="E7" i="16" a="1"/>
  <c r="E7" i="16" s="1"/>
  <c r="F7" i="16" a="1"/>
  <c r="F7" i="16" s="1"/>
  <c r="G7" i="16" a="1"/>
  <c r="G7" i="16" s="1"/>
  <c r="H7" i="16" a="1"/>
  <c r="H7" i="16" s="1"/>
  <c r="I7" i="16" a="1"/>
  <c r="I7" i="16" s="1"/>
  <c r="J7" i="16" a="1"/>
  <c r="J7" i="16" s="1"/>
  <c r="K7" i="16" a="1"/>
  <c r="K7" i="16" s="1"/>
  <c r="L7" i="16" a="1"/>
  <c r="L7" i="16" s="1"/>
  <c r="M7" i="16" a="1"/>
  <c r="M7" i="16" s="1"/>
  <c r="Q7" i="16" a="1"/>
  <c r="Q7" i="16" s="1"/>
  <c r="R7" i="16" a="1"/>
  <c r="R7" i="16" s="1"/>
  <c r="S7" i="16" a="1"/>
  <c r="S7" i="16" s="1"/>
  <c r="T7" i="16" a="1"/>
  <c r="T7" i="16" s="1"/>
  <c r="U7" i="16" a="1"/>
  <c r="U7" i="16" s="1"/>
  <c r="V7" i="16" a="1"/>
  <c r="V7" i="16" s="1"/>
  <c r="C7" i="16" a="1"/>
  <c r="C7" i="16" s="1"/>
  <c r="C1" i="16"/>
  <c r="P1" i="16" l="1"/>
  <c r="N1" i="16"/>
  <c r="O1" i="16"/>
  <c r="AX68" i="2" l="1"/>
  <c r="AY68" i="2"/>
  <c r="AW69" i="2"/>
  <c r="O28" i="2"/>
  <c r="P28" i="2"/>
  <c r="U16" i="2"/>
  <c r="V16" i="2"/>
  <c r="W16" i="2"/>
  <c r="X16" i="2"/>
  <c r="Y16" i="2"/>
  <c r="AB16" i="2" l="1"/>
  <c r="AC16" i="2"/>
  <c r="AD16" i="2"/>
  <c r="AE16" i="2"/>
  <c r="AF16" i="2"/>
  <c r="AR295" i="19"/>
  <c r="AS295" i="19"/>
  <c r="AT295" i="19"/>
  <c r="AU295" i="19"/>
  <c r="AV295" i="19"/>
  <c r="AW295" i="19"/>
  <c r="AX295" i="19"/>
  <c r="AY295" i="19"/>
  <c r="AZ295" i="19"/>
  <c r="BA295" i="19"/>
  <c r="BB295" i="19"/>
  <c r="AR296" i="19"/>
  <c r="AS296" i="19"/>
  <c r="AT296" i="19"/>
  <c r="AU296" i="19"/>
  <c r="AV296" i="19"/>
  <c r="AW296" i="19"/>
  <c r="AX296" i="19"/>
  <c r="AY296" i="19"/>
  <c r="AZ296" i="19"/>
  <c r="BA296" i="19"/>
  <c r="BB296" i="19"/>
  <c r="AR297" i="19"/>
  <c r="AS297" i="19"/>
  <c r="AT297" i="19"/>
  <c r="AU297" i="19"/>
  <c r="AV297" i="19"/>
  <c r="AW297" i="19"/>
  <c r="AX297" i="19"/>
  <c r="AY297" i="19"/>
  <c r="AZ297" i="19"/>
  <c r="BA297" i="19"/>
  <c r="BB297" i="19"/>
  <c r="AR298" i="19"/>
  <c r="AS298" i="19"/>
  <c r="AT298" i="19"/>
  <c r="AU298" i="19"/>
  <c r="AV298" i="19"/>
  <c r="AW298" i="19"/>
  <c r="AX298" i="19"/>
  <c r="AY298" i="19"/>
  <c r="AZ298" i="19"/>
  <c r="BA298" i="19"/>
  <c r="BB298" i="19"/>
  <c r="EJ104" i="2"/>
  <c r="EJ105" i="2"/>
  <c r="ET102" i="2"/>
  <c r="ET103" i="2"/>
  <c r="AW66" i="2" l="1"/>
  <c r="AX66" i="2"/>
  <c r="AY66" i="2"/>
  <c r="AW67" i="2"/>
  <c r="AX67" i="2"/>
  <c r="AY67" i="2"/>
  <c r="AW68" i="2"/>
  <c r="FE66" i="2"/>
  <c r="FF66" i="2"/>
  <c r="FE67" i="2"/>
  <c r="FF67" i="2"/>
  <c r="FE65" i="2"/>
  <c r="FF65" i="2"/>
  <c r="AW65" i="2"/>
  <c r="AX65" i="2"/>
  <c r="AY65" i="2"/>
  <c r="FF64" i="2"/>
  <c r="FE64" i="2"/>
  <c r="AY64" i="2"/>
  <c r="AX64" i="2"/>
  <c r="AF5" i="2"/>
  <c r="AF7" i="2"/>
  <c r="AF8" i="2"/>
  <c r="AF9" i="2"/>
  <c r="AF10" i="2"/>
  <c r="AF11" i="2"/>
  <c r="AF12" i="2"/>
  <c r="AF13" i="2"/>
  <c r="AF14" i="2"/>
  <c r="AF15" i="2"/>
  <c r="AF6" i="2"/>
  <c r="Y6" i="2"/>
  <c r="A8" i="39" l="1"/>
  <c r="A9" i="39" l="1"/>
  <c r="J1" i="39"/>
  <c r="I1" i="39"/>
  <c r="E1" i="39"/>
  <c r="L1" i="39"/>
  <c r="D1" i="39"/>
  <c r="H1" i="39"/>
  <c r="C1" i="39"/>
  <c r="G1" i="39"/>
  <c r="F1" i="39"/>
  <c r="K1" i="39"/>
  <c r="A10" i="39" l="1"/>
  <c r="A11" i="39" s="1"/>
  <c r="AW6" i="2"/>
  <c r="AX6" i="2"/>
  <c r="AY6" i="2"/>
  <c r="AW7" i="2"/>
  <c r="AX7" i="2"/>
  <c r="AY7" i="2"/>
  <c r="AW8" i="2"/>
  <c r="AX8" i="2"/>
  <c r="AY8" i="2"/>
  <c r="AW9" i="2"/>
  <c r="AX9" i="2"/>
  <c r="AY9" i="2"/>
  <c r="AW10" i="2"/>
  <c r="AX10" i="2"/>
  <c r="AY10" i="2"/>
  <c r="AW11" i="2"/>
  <c r="AX11" i="2"/>
  <c r="AY11" i="2"/>
  <c r="AW12" i="2"/>
  <c r="AX12" i="2"/>
  <c r="AY12" i="2"/>
  <c r="AW13" i="2"/>
  <c r="AX13" i="2"/>
  <c r="AY13" i="2"/>
  <c r="AW14" i="2"/>
  <c r="AX14" i="2"/>
  <c r="AY14" i="2"/>
  <c r="AW15" i="2"/>
  <c r="AX15" i="2"/>
  <c r="AY15" i="2"/>
  <c r="AW16" i="2"/>
  <c r="AX16" i="2"/>
  <c r="AY16" i="2"/>
  <c r="AW17" i="2"/>
  <c r="AX17" i="2"/>
  <c r="AY17" i="2"/>
  <c r="AW18" i="2"/>
  <c r="AX18" i="2"/>
  <c r="AY18" i="2"/>
  <c r="AW19" i="2"/>
  <c r="AX19" i="2"/>
  <c r="AY19" i="2"/>
  <c r="AW20" i="2"/>
  <c r="AX20" i="2"/>
  <c r="AY20" i="2"/>
  <c r="AW21" i="2"/>
  <c r="AX21" i="2"/>
  <c r="AY21" i="2"/>
  <c r="AW22" i="2"/>
  <c r="AX22" i="2"/>
  <c r="AY22" i="2"/>
  <c r="AW23" i="2"/>
  <c r="AX23" i="2"/>
  <c r="AY23" i="2"/>
  <c r="AW24" i="2"/>
  <c r="AX24" i="2"/>
  <c r="AY24" i="2"/>
  <c r="AW25" i="2"/>
  <c r="AX25" i="2"/>
  <c r="AY25" i="2"/>
  <c r="AW26" i="2"/>
  <c r="AX26" i="2"/>
  <c r="AY26" i="2"/>
  <c r="AW27" i="2"/>
  <c r="AX27" i="2"/>
  <c r="AY27" i="2"/>
  <c r="AW28" i="2"/>
  <c r="AX28" i="2"/>
  <c r="AY28" i="2"/>
  <c r="AW29" i="2"/>
  <c r="AX29" i="2"/>
  <c r="AY29" i="2"/>
  <c r="AW30" i="2"/>
  <c r="AX30" i="2"/>
  <c r="AY30" i="2"/>
  <c r="AW31" i="2"/>
  <c r="AX31" i="2"/>
  <c r="AY31" i="2"/>
  <c r="AW32" i="2"/>
  <c r="AX32" i="2"/>
  <c r="AY32" i="2"/>
  <c r="AW33" i="2"/>
  <c r="AX33" i="2"/>
  <c r="AY33" i="2"/>
  <c r="AW34" i="2"/>
  <c r="AX34" i="2"/>
  <c r="AY34" i="2"/>
  <c r="AW35" i="2"/>
  <c r="AX35" i="2"/>
  <c r="AY35" i="2"/>
  <c r="AW36" i="2"/>
  <c r="AX36" i="2"/>
  <c r="AY36" i="2"/>
  <c r="AW37" i="2"/>
  <c r="AX37" i="2"/>
  <c r="AY37" i="2"/>
  <c r="AW38" i="2"/>
  <c r="AX38" i="2"/>
  <c r="AY38" i="2"/>
  <c r="AW39" i="2"/>
  <c r="AX39" i="2"/>
  <c r="BB37" i="2" s="1"/>
  <c r="AY39" i="2"/>
  <c r="BC37" i="2" s="1"/>
  <c r="AW40" i="2"/>
  <c r="AX40" i="2"/>
  <c r="AY40" i="2"/>
  <c r="AW41" i="2"/>
  <c r="AX41" i="2"/>
  <c r="AY41" i="2"/>
  <c r="AW42" i="2"/>
  <c r="AX42" i="2"/>
  <c r="AY42" i="2"/>
  <c r="AW43" i="2"/>
  <c r="AX43" i="2"/>
  <c r="AY43" i="2"/>
  <c r="AW44" i="2"/>
  <c r="AX44" i="2"/>
  <c r="AY44" i="2"/>
  <c r="AW45" i="2"/>
  <c r="AX45" i="2"/>
  <c r="AY45" i="2"/>
  <c r="AW46" i="2"/>
  <c r="AX46" i="2"/>
  <c r="AY46" i="2"/>
  <c r="AW47" i="2"/>
  <c r="AX47" i="2"/>
  <c r="BB12" i="2" s="1"/>
  <c r="AY47" i="2"/>
  <c r="BC12" i="2" s="1"/>
  <c r="AW48" i="2"/>
  <c r="AX48" i="2"/>
  <c r="AY48" i="2"/>
  <c r="AW49" i="2"/>
  <c r="AX49" i="2"/>
  <c r="AY49" i="2"/>
  <c r="AW50" i="2"/>
  <c r="AX50" i="2"/>
  <c r="AY50" i="2"/>
  <c r="AW51" i="2"/>
  <c r="AX51" i="2"/>
  <c r="AY51" i="2"/>
  <c r="AW52" i="2"/>
  <c r="AX52" i="2"/>
  <c r="AY52" i="2"/>
  <c r="AW53" i="2"/>
  <c r="AX53" i="2"/>
  <c r="AY53" i="2"/>
  <c r="AW54" i="2"/>
  <c r="AX54" i="2"/>
  <c r="AY54" i="2"/>
  <c r="AW55" i="2"/>
  <c r="AX55" i="2"/>
  <c r="BB20" i="2" s="1"/>
  <c r="AY55" i="2"/>
  <c r="BC20" i="2" s="1"/>
  <c r="AW56" i="2"/>
  <c r="AX56" i="2"/>
  <c r="AY56" i="2"/>
  <c r="AW57" i="2"/>
  <c r="AX57" i="2"/>
  <c r="AY57" i="2"/>
  <c r="AW58" i="2"/>
  <c r="AX58" i="2"/>
  <c r="AY58" i="2"/>
  <c r="AW59" i="2"/>
  <c r="AX59" i="2"/>
  <c r="AY59" i="2"/>
  <c r="AW60" i="2"/>
  <c r="AX60" i="2"/>
  <c r="AY60" i="2"/>
  <c r="AW61" i="2"/>
  <c r="AX61" i="2"/>
  <c r="AY61" i="2"/>
  <c r="AW62" i="2"/>
  <c r="AX62" i="2"/>
  <c r="AY62" i="2"/>
  <c r="AW63" i="2"/>
  <c r="AX63" i="2"/>
  <c r="BB28" i="2" s="1"/>
  <c r="AY63" i="2"/>
  <c r="BC28" i="2" s="1"/>
  <c r="AW64" i="2"/>
  <c r="AY5" i="2"/>
  <c r="AX5" i="2"/>
  <c r="AW5" i="2"/>
  <c r="BB23" i="2" l="1"/>
  <c r="BB15" i="2"/>
  <c r="BB7" i="2"/>
  <c r="BC33" i="2"/>
  <c r="BC36" i="2"/>
  <c r="BC35" i="2"/>
  <c r="BC34" i="2"/>
  <c r="BB33" i="2"/>
  <c r="BB36" i="2"/>
  <c r="BB35" i="2"/>
  <c r="BB34" i="2"/>
  <c r="BC31" i="2"/>
  <c r="BC32" i="2"/>
  <c r="BB31" i="2"/>
  <c r="BB32" i="2"/>
  <c r="BC29" i="2"/>
  <c r="BC30" i="2"/>
  <c r="BB29" i="2"/>
  <c r="BB30" i="2"/>
  <c r="A12" i="39"/>
  <c r="BB26" i="2"/>
  <c r="BC23" i="2"/>
  <c r="BB18" i="2"/>
  <c r="BC15" i="2"/>
  <c r="BB10" i="2"/>
  <c r="BC7" i="2"/>
  <c r="BC8" i="2"/>
  <c r="BB16" i="2"/>
  <c r="BC24" i="2"/>
  <c r="BC25" i="2"/>
  <c r="BC17" i="2"/>
  <c r="BC9" i="2"/>
  <c r="BB25" i="2"/>
  <c r="BB17" i="2"/>
  <c r="BB9" i="2"/>
  <c r="BC27" i="2"/>
  <c r="BB22" i="2"/>
  <c r="BC19" i="2"/>
  <c r="BB14" i="2"/>
  <c r="BC11" i="2"/>
  <c r="BB6" i="2"/>
  <c r="BB27" i="2"/>
  <c r="BB19" i="2"/>
  <c r="BB11" i="2"/>
  <c r="BC5" i="2"/>
  <c r="BC26" i="2"/>
  <c r="BB21" i="2"/>
  <c r="BC18" i="2"/>
  <c r="BB13" i="2"/>
  <c r="BC10" i="2"/>
  <c r="BB5" i="2"/>
  <c r="BC21" i="2"/>
  <c r="BC13" i="2"/>
  <c r="BB8" i="2"/>
  <c r="BC16" i="2"/>
  <c r="BC22" i="2"/>
  <c r="BC14" i="2"/>
  <c r="BC6" i="2"/>
  <c r="BB24" i="2"/>
  <c r="A13" i="39" l="1"/>
  <c r="Y5" i="2"/>
  <c r="AB5" i="2"/>
  <c r="V5" i="2"/>
  <c r="AC5" i="2" s="1"/>
  <c r="W5" i="2"/>
  <c r="AD5" i="2" s="1"/>
  <c r="X5" i="2"/>
  <c r="AE5" i="2" s="1"/>
  <c r="U6" i="2"/>
  <c r="AB6" i="2" s="1"/>
  <c r="V6" i="2"/>
  <c r="AC6" i="2" s="1"/>
  <c r="W6" i="2"/>
  <c r="AD6" i="2" s="1"/>
  <c r="X6" i="2"/>
  <c r="AE6" i="2" s="1"/>
  <c r="Y7" i="2"/>
  <c r="U7" i="2"/>
  <c r="AB7" i="2" s="1"/>
  <c r="V7" i="2"/>
  <c r="AC7" i="2" s="1"/>
  <c r="W7" i="2"/>
  <c r="AD7" i="2" s="1"/>
  <c r="X7" i="2"/>
  <c r="AE7" i="2" s="1"/>
  <c r="Y8" i="2"/>
  <c r="U8" i="2"/>
  <c r="AB8" i="2" s="1"/>
  <c r="V8" i="2"/>
  <c r="AC8" i="2" s="1"/>
  <c r="W8" i="2"/>
  <c r="AD8" i="2" s="1"/>
  <c r="X8" i="2"/>
  <c r="AE8" i="2" s="1"/>
  <c r="Y9" i="2"/>
  <c r="U9" i="2"/>
  <c r="AB9" i="2" s="1"/>
  <c r="V9" i="2"/>
  <c r="AC9" i="2" s="1"/>
  <c r="W9" i="2"/>
  <c r="AD9" i="2" s="1"/>
  <c r="X9" i="2"/>
  <c r="AE9" i="2" s="1"/>
  <c r="Y10" i="2"/>
  <c r="U10" i="2"/>
  <c r="AB10" i="2" s="1"/>
  <c r="V10" i="2"/>
  <c r="AC10" i="2" s="1"/>
  <c r="W10" i="2"/>
  <c r="AD10" i="2" s="1"/>
  <c r="X10" i="2"/>
  <c r="AE10" i="2" s="1"/>
  <c r="Y11" i="2"/>
  <c r="U11" i="2"/>
  <c r="AB11" i="2" s="1"/>
  <c r="V11" i="2"/>
  <c r="AC11" i="2" s="1"/>
  <c r="W11" i="2"/>
  <c r="AD11" i="2" s="1"/>
  <c r="X11" i="2"/>
  <c r="AE11" i="2" s="1"/>
  <c r="Y12" i="2"/>
  <c r="U12" i="2"/>
  <c r="AB12" i="2" s="1"/>
  <c r="V12" i="2"/>
  <c r="AC12" i="2" s="1"/>
  <c r="W12" i="2"/>
  <c r="AD12" i="2" s="1"/>
  <c r="X12" i="2"/>
  <c r="AE12" i="2" s="1"/>
  <c r="Y13" i="2"/>
  <c r="U13" i="2"/>
  <c r="AB13" i="2" s="1"/>
  <c r="V13" i="2"/>
  <c r="AC13" i="2" s="1"/>
  <c r="W13" i="2"/>
  <c r="AD13" i="2" s="1"/>
  <c r="X13" i="2"/>
  <c r="AE13" i="2" s="1"/>
  <c r="Y14" i="2"/>
  <c r="U14" i="2"/>
  <c r="AB14" i="2" s="1"/>
  <c r="V14" i="2"/>
  <c r="AC14" i="2" s="1"/>
  <c r="W14" i="2"/>
  <c r="AD14" i="2" s="1"/>
  <c r="X14" i="2"/>
  <c r="AE14" i="2" s="1"/>
  <c r="Y15" i="2"/>
  <c r="U15" i="2"/>
  <c r="AB15" i="2" s="1"/>
  <c r="V15" i="2"/>
  <c r="AC15" i="2" s="1"/>
  <c r="W15" i="2"/>
  <c r="AD15" i="2" s="1"/>
  <c r="X15" i="2"/>
  <c r="AE15" i="2" s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5" i="2"/>
  <c r="A14" i="39" l="1"/>
  <c r="DG33" i="2"/>
  <c r="DF33" i="2"/>
  <c r="DE33" i="2"/>
  <c r="DD33" i="2"/>
  <c r="DC33" i="2"/>
  <c r="DB33" i="2"/>
  <c r="DA33" i="2"/>
  <c r="CZ33" i="2"/>
  <c r="CY33" i="2"/>
  <c r="CX33" i="2"/>
  <c r="DJ6" i="2"/>
  <c r="DK6" i="2"/>
  <c r="DL6" i="2"/>
  <c r="DM6" i="2"/>
  <c r="DN6" i="2"/>
  <c r="DO6" i="2"/>
  <c r="DJ7" i="2"/>
  <c r="DK7" i="2"/>
  <c r="DL7" i="2"/>
  <c r="DM7" i="2"/>
  <c r="DN7" i="2"/>
  <c r="DO7" i="2"/>
  <c r="DJ8" i="2"/>
  <c r="DK8" i="2"/>
  <c r="DL8" i="2"/>
  <c r="DM8" i="2"/>
  <c r="DN8" i="2"/>
  <c r="DO8" i="2"/>
  <c r="DJ9" i="2"/>
  <c r="DK9" i="2"/>
  <c r="DL9" i="2"/>
  <c r="DM9" i="2"/>
  <c r="DN9" i="2"/>
  <c r="DO9" i="2"/>
  <c r="DJ10" i="2"/>
  <c r="DK10" i="2"/>
  <c r="DL10" i="2"/>
  <c r="DM10" i="2"/>
  <c r="DN10" i="2"/>
  <c r="DO10" i="2"/>
  <c r="DJ11" i="2"/>
  <c r="DK11" i="2"/>
  <c r="DL11" i="2"/>
  <c r="DM11" i="2"/>
  <c r="DN11" i="2"/>
  <c r="DO11" i="2"/>
  <c r="DJ12" i="2"/>
  <c r="DK12" i="2"/>
  <c r="DL12" i="2"/>
  <c r="DM12" i="2"/>
  <c r="DN12" i="2"/>
  <c r="DO12" i="2"/>
  <c r="DJ13" i="2"/>
  <c r="DK13" i="2"/>
  <c r="DL13" i="2"/>
  <c r="DM13" i="2"/>
  <c r="DN13" i="2"/>
  <c r="DO13" i="2"/>
  <c r="DJ14" i="2"/>
  <c r="DK14" i="2"/>
  <c r="DL14" i="2"/>
  <c r="DM14" i="2"/>
  <c r="DN14" i="2"/>
  <c r="DO14" i="2"/>
  <c r="DJ15" i="2"/>
  <c r="DK15" i="2"/>
  <c r="DL15" i="2"/>
  <c r="DM15" i="2"/>
  <c r="DN15" i="2"/>
  <c r="DO15" i="2"/>
  <c r="DJ16" i="2"/>
  <c r="DK16" i="2"/>
  <c r="DL16" i="2"/>
  <c r="DM16" i="2"/>
  <c r="DN16" i="2"/>
  <c r="DO16" i="2"/>
  <c r="DJ17" i="2"/>
  <c r="DK17" i="2"/>
  <c r="DL17" i="2"/>
  <c r="DM17" i="2"/>
  <c r="DN17" i="2"/>
  <c r="DO17" i="2"/>
  <c r="DJ18" i="2"/>
  <c r="DK18" i="2"/>
  <c r="DL18" i="2"/>
  <c r="DM18" i="2"/>
  <c r="DN18" i="2"/>
  <c r="DO18" i="2"/>
  <c r="DJ19" i="2"/>
  <c r="DK19" i="2"/>
  <c r="DL19" i="2"/>
  <c r="DM19" i="2"/>
  <c r="DN19" i="2"/>
  <c r="DO19" i="2"/>
  <c r="DJ20" i="2"/>
  <c r="DK20" i="2"/>
  <c r="DL20" i="2"/>
  <c r="DM20" i="2"/>
  <c r="DN20" i="2"/>
  <c r="DO20" i="2"/>
  <c r="DJ21" i="2"/>
  <c r="DK21" i="2"/>
  <c r="DL21" i="2"/>
  <c r="DM21" i="2"/>
  <c r="DN21" i="2"/>
  <c r="DO21" i="2"/>
  <c r="DJ22" i="2"/>
  <c r="DK22" i="2"/>
  <c r="DL22" i="2"/>
  <c r="DM22" i="2"/>
  <c r="DN22" i="2"/>
  <c r="DO22" i="2"/>
  <c r="DJ23" i="2"/>
  <c r="DK23" i="2"/>
  <c r="DL23" i="2"/>
  <c r="DM23" i="2"/>
  <c r="DN23" i="2"/>
  <c r="DO23" i="2"/>
  <c r="DJ24" i="2"/>
  <c r="DK24" i="2"/>
  <c r="DL24" i="2"/>
  <c r="DM24" i="2"/>
  <c r="DN24" i="2"/>
  <c r="DO24" i="2"/>
  <c r="DJ25" i="2"/>
  <c r="DK25" i="2"/>
  <c r="DL25" i="2"/>
  <c r="DM25" i="2"/>
  <c r="DN25" i="2"/>
  <c r="DO25" i="2"/>
  <c r="DJ26" i="2"/>
  <c r="DK26" i="2"/>
  <c r="DL26" i="2"/>
  <c r="DM26" i="2"/>
  <c r="DN26" i="2"/>
  <c r="DO26" i="2"/>
  <c r="DJ27" i="2"/>
  <c r="DK27" i="2"/>
  <c r="DL27" i="2"/>
  <c r="DM27" i="2"/>
  <c r="DN27" i="2"/>
  <c r="DO27" i="2"/>
  <c r="DO5" i="2"/>
  <c r="DN5" i="2"/>
  <c r="DM5" i="2"/>
  <c r="DL5" i="2"/>
  <c r="DK5" i="2"/>
  <c r="DJ5" i="2"/>
  <c r="FW93" i="2"/>
  <c r="FW94" i="2"/>
  <c r="FW95" i="2"/>
  <c r="FW96" i="2"/>
  <c r="FW97" i="2"/>
  <c r="FW98" i="2"/>
  <c r="FW99" i="2"/>
  <c r="FW100" i="2"/>
  <c r="AR275" i="19"/>
  <c r="AS275" i="19"/>
  <c r="AT275" i="19"/>
  <c r="AU275" i="19"/>
  <c r="AV275" i="19"/>
  <c r="AW275" i="19"/>
  <c r="AX275" i="19"/>
  <c r="AY275" i="19"/>
  <c r="AZ275" i="19"/>
  <c r="BA275" i="19"/>
  <c r="BB275" i="19"/>
  <c r="AR276" i="19"/>
  <c r="AS276" i="19"/>
  <c r="AT276" i="19"/>
  <c r="AU276" i="19"/>
  <c r="AV276" i="19"/>
  <c r="AW276" i="19"/>
  <c r="AX276" i="19"/>
  <c r="AY276" i="19"/>
  <c r="AZ276" i="19"/>
  <c r="BA276" i="19"/>
  <c r="BB276" i="19"/>
  <c r="AR277" i="19"/>
  <c r="AS277" i="19"/>
  <c r="AT277" i="19"/>
  <c r="AU277" i="19"/>
  <c r="AV277" i="19"/>
  <c r="AW277" i="19"/>
  <c r="AX277" i="19"/>
  <c r="AY277" i="19"/>
  <c r="AZ277" i="19"/>
  <c r="BA277" i="19"/>
  <c r="BB277" i="19"/>
  <c r="AR278" i="19"/>
  <c r="AS278" i="19"/>
  <c r="AT278" i="19"/>
  <c r="AU278" i="19"/>
  <c r="AV278" i="19"/>
  <c r="AW278" i="19"/>
  <c r="AX278" i="19"/>
  <c r="AY278" i="19"/>
  <c r="AZ278" i="19"/>
  <c r="BA278" i="19"/>
  <c r="BB278" i="19"/>
  <c r="AR279" i="19"/>
  <c r="AS279" i="19"/>
  <c r="AT279" i="19"/>
  <c r="AU279" i="19"/>
  <c r="AV279" i="19"/>
  <c r="AW279" i="19"/>
  <c r="AX279" i="19"/>
  <c r="AY279" i="19"/>
  <c r="AZ279" i="19"/>
  <c r="BA279" i="19"/>
  <c r="BB279" i="19"/>
  <c r="AR280" i="19"/>
  <c r="AS280" i="19"/>
  <c r="AT280" i="19"/>
  <c r="AU280" i="19"/>
  <c r="AV280" i="19"/>
  <c r="AW280" i="19"/>
  <c r="AX280" i="19"/>
  <c r="AY280" i="19"/>
  <c r="AZ280" i="19"/>
  <c r="BA280" i="19"/>
  <c r="BB280" i="19"/>
  <c r="AR281" i="19"/>
  <c r="AS281" i="19"/>
  <c r="AT281" i="19"/>
  <c r="AU281" i="19"/>
  <c r="AV281" i="19"/>
  <c r="AW281" i="19"/>
  <c r="AX281" i="19"/>
  <c r="AY281" i="19"/>
  <c r="AZ281" i="19"/>
  <c r="BA281" i="19"/>
  <c r="BB281" i="19"/>
  <c r="AR282" i="19"/>
  <c r="AS282" i="19"/>
  <c r="AT282" i="19"/>
  <c r="AU282" i="19"/>
  <c r="AV282" i="19"/>
  <c r="AW282" i="19"/>
  <c r="AX282" i="19"/>
  <c r="AY282" i="19"/>
  <c r="AZ282" i="19"/>
  <c r="BA282" i="19"/>
  <c r="BB282" i="19"/>
  <c r="AR283" i="19"/>
  <c r="AS283" i="19"/>
  <c r="AT283" i="19"/>
  <c r="AU283" i="19"/>
  <c r="AV283" i="19"/>
  <c r="AW283" i="19"/>
  <c r="AX283" i="19"/>
  <c r="AY283" i="19"/>
  <c r="AZ283" i="19"/>
  <c r="BA283" i="19"/>
  <c r="BB283" i="19"/>
  <c r="AR284" i="19"/>
  <c r="AS284" i="19"/>
  <c r="AT284" i="19"/>
  <c r="AU284" i="19"/>
  <c r="AV284" i="19"/>
  <c r="AW284" i="19"/>
  <c r="AX284" i="19"/>
  <c r="AY284" i="19"/>
  <c r="AZ284" i="19"/>
  <c r="BA284" i="19"/>
  <c r="BB284" i="19"/>
  <c r="AR285" i="19"/>
  <c r="AS285" i="19"/>
  <c r="AT285" i="19"/>
  <c r="AU285" i="19"/>
  <c r="AV285" i="19"/>
  <c r="AW285" i="19"/>
  <c r="AX285" i="19"/>
  <c r="AY285" i="19"/>
  <c r="AZ285" i="19"/>
  <c r="BA285" i="19"/>
  <c r="BB285" i="19"/>
  <c r="AR286" i="19"/>
  <c r="AS286" i="19"/>
  <c r="AT286" i="19"/>
  <c r="AU286" i="19"/>
  <c r="AV286" i="19"/>
  <c r="AW286" i="19"/>
  <c r="AX286" i="19"/>
  <c r="AY286" i="19"/>
  <c r="AZ286" i="19"/>
  <c r="BA286" i="19"/>
  <c r="BB286" i="19"/>
  <c r="AR287" i="19"/>
  <c r="AS287" i="19"/>
  <c r="AT287" i="19"/>
  <c r="AU287" i="19"/>
  <c r="AV287" i="19"/>
  <c r="AW287" i="19"/>
  <c r="AX287" i="19"/>
  <c r="AY287" i="19"/>
  <c r="AZ287" i="19"/>
  <c r="BA287" i="19"/>
  <c r="BB287" i="19"/>
  <c r="AR288" i="19"/>
  <c r="AS288" i="19"/>
  <c r="AT288" i="19"/>
  <c r="AU288" i="19"/>
  <c r="AV288" i="19"/>
  <c r="AW288" i="19"/>
  <c r="AX288" i="19"/>
  <c r="AY288" i="19"/>
  <c r="AZ288" i="19"/>
  <c r="BA288" i="19"/>
  <c r="BB288" i="19"/>
  <c r="AR289" i="19"/>
  <c r="AS289" i="19"/>
  <c r="AT289" i="19"/>
  <c r="AU289" i="19"/>
  <c r="AV289" i="19"/>
  <c r="AW289" i="19"/>
  <c r="AX289" i="19"/>
  <c r="AY289" i="19"/>
  <c r="AZ289" i="19"/>
  <c r="BA289" i="19"/>
  <c r="BB289" i="19"/>
  <c r="AR290" i="19"/>
  <c r="AS290" i="19"/>
  <c r="AT290" i="19"/>
  <c r="AU290" i="19"/>
  <c r="AV290" i="19"/>
  <c r="AW290" i="19"/>
  <c r="AX290" i="19"/>
  <c r="AY290" i="19"/>
  <c r="AZ290" i="19"/>
  <c r="BA290" i="19"/>
  <c r="BB290" i="19"/>
  <c r="AR291" i="19"/>
  <c r="AS291" i="19"/>
  <c r="AT291" i="19"/>
  <c r="AU291" i="19"/>
  <c r="AV291" i="19"/>
  <c r="AW291" i="19"/>
  <c r="AX291" i="19"/>
  <c r="AY291" i="19"/>
  <c r="AZ291" i="19"/>
  <c r="BA291" i="19"/>
  <c r="BB291" i="19"/>
  <c r="AR292" i="19"/>
  <c r="AS292" i="19"/>
  <c r="AT292" i="19"/>
  <c r="AU292" i="19"/>
  <c r="AV292" i="19"/>
  <c r="AW292" i="19"/>
  <c r="AX292" i="19"/>
  <c r="AY292" i="19"/>
  <c r="AZ292" i="19"/>
  <c r="BA292" i="19"/>
  <c r="BB292" i="19"/>
  <c r="AR293" i="19"/>
  <c r="AS293" i="19"/>
  <c r="AT293" i="19"/>
  <c r="AU293" i="19"/>
  <c r="AV293" i="19"/>
  <c r="AW293" i="19"/>
  <c r="AX293" i="19"/>
  <c r="AY293" i="19"/>
  <c r="AZ293" i="19"/>
  <c r="BA293" i="19"/>
  <c r="BB293" i="19"/>
  <c r="AR294" i="19"/>
  <c r="AS294" i="19"/>
  <c r="AT294" i="19"/>
  <c r="AU294" i="19"/>
  <c r="AV294" i="19"/>
  <c r="AW294" i="19"/>
  <c r="AX294" i="19"/>
  <c r="AY294" i="19"/>
  <c r="AZ294" i="19"/>
  <c r="BA294" i="19"/>
  <c r="BB294" i="19"/>
  <c r="FE56" i="2"/>
  <c r="FF56" i="2"/>
  <c r="FE57" i="2"/>
  <c r="FF57" i="2"/>
  <c r="FE58" i="2"/>
  <c r="FF58" i="2"/>
  <c r="FE59" i="2"/>
  <c r="FF59" i="2"/>
  <c r="FE60" i="2"/>
  <c r="FF60" i="2"/>
  <c r="FE61" i="2"/>
  <c r="FF61" i="2"/>
  <c r="FE62" i="2"/>
  <c r="FF62" i="2"/>
  <c r="FE63" i="2"/>
  <c r="FF63" i="2"/>
  <c r="EJ102" i="2"/>
  <c r="EC102" i="2" s="1"/>
  <c r="EJ103" i="2"/>
  <c r="ET100" i="2"/>
  <c r="ET101" i="2"/>
  <c r="CX22" i="2"/>
  <c r="CO22" i="2" s="1"/>
  <c r="CY22" i="2"/>
  <c r="CP22" i="2" s="1"/>
  <c r="CZ22" i="2"/>
  <c r="CQ22" i="2" s="1"/>
  <c r="DA22" i="2"/>
  <c r="CR22" i="2" s="1"/>
  <c r="DB22" i="2"/>
  <c r="DC22" i="2"/>
  <c r="CS22" i="2" s="1"/>
  <c r="DD22" i="2"/>
  <c r="DE22" i="2"/>
  <c r="DF22" i="2"/>
  <c r="DG22" i="2"/>
  <c r="CU22" i="2" s="1"/>
  <c r="CX23" i="2"/>
  <c r="CO23" i="2" s="1"/>
  <c r="CY23" i="2"/>
  <c r="CP23" i="2" s="1"/>
  <c r="CZ23" i="2"/>
  <c r="CQ23" i="2" s="1"/>
  <c r="DA23" i="2"/>
  <c r="CR23" i="2" s="1"/>
  <c r="DB23" i="2"/>
  <c r="DC23" i="2"/>
  <c r="CS23" i="2" s="1"/>
  <c r="DD23" i="2"/>
  <c r="DE23" i="2"/>
  <c r="DF23" i="2"/>
  <c r="DG23" i="2"/>
  <c r="CU23" i="2" s="1"/>
  <c r="CX24" i="2"/>
  <c r="CO24" i="2" s="1"/>
  <c r="CY24" i="2"/>
  <c r="CP24" i="2" s="1"/>
  <c r="CZ24" i="2"/>
  <c r="CQ24" i="2" s="1"/>
  <c r="DA24" i="2"/>
  <c r="CR24" i="2" s="1"/>
  <c r="DB24" i="2"/>
  <c r="DC24" i="2"/>
  <c r="CS24" i="2" s="1"/>
  <c r="DD24" i="2"/>
  <c r="DE24" i="2"/>
  <c r="DF24" i="2"/>
  <c r="DG24" i="2"/>
  <c r="CU24" i="2" s="1"/>
  <c r="CX25" i="2"/>
  <c r="CO25" i="2" s="1"/>
  <c r="CY25" i="2"/>
  <c r="CP25" i="2" s="1"/>
  <c r="CZ25" i="2"/>
  <c r="CQ25" i="2" s="1"/>
  <c r="DA25" i="2"/>
  <c r="CR25" i="2" s="1"/>
  <c r="DB25" i="2"/>
  <c r="DC25" i="2"/>
  <c r="CS25" i="2" s="1"/>
  <c r="DD25" i="2"/>
  <c r="DE25" i="2"/>
  <c r="DF25" i="2"/>
  <c r="DG25" i="2"/>
  <c r="CU25" i="2" s="1"/>
  <c r="CX26" i="2"/>
  <c r="CO26" i="2" s="1"/>
  <c r="CY26" i="2"/>
  <c r="CP26" i="2" s="1"/>
  <c r="CZ26" i="2"/>
  <c r="CQ26" i="2" s="1"/>
  <c r="DA26" i="2"/>
  <c r="CR26" i="2" s="1"/>
  <c r="DB26" i="2"/>
  <c r="DC26" i="2"/>
  <c r="CS26" i="2" s="1"/>
  <c r="DD26" i="2"/>
  <c r="DE26" i="2"/>
  <c r="DF26" i="2"/>
  <c r="DG26" i="2"/>
  <c r="CU26" i="2" s="1"/>
  <c r="CX27" i="2"/>
  <c r="CO27" i="2" s="1"/>
  <c r="CY27" i="2"/>
  <c r="CP27" i="2" s="1"/>
  <c r="CZ27" i="2"/>
  <c r="CQ27" i="2" s="1"/>
  <c r="DA27" i="2"/>
  <c r="CR27" i="2" s="1"/>
  <c r="DB27" i="2"/>
  <c r="DC27" i="2"/>
  <c r="CS27" i="2" s="1"/>
  <c r="DD27" i="2"/>
  <c r="DE27" i="2"/>
  <c r="DF27" i="2"/>
  <c r="DG27" i="2"/>
  <c r="CU27" i="2" s="1"/>
  <c r="CH22" i="2"/>
  <c r="CI22" i="2"/>
  <c r="CJ22" i="2"/>
  <c r="CK22" i="2"/>
  <c r="CL22" i="2"/>
  <c r="CH23" i="2"/>
  <c r="CI23" i="2"/>
  <c r="CJ23" i="2"/>
  <c r="CK23" i="2"/>
  <c r="CL23" i="2"/>
  <c r="CH24" i="2"/>
  <c r="CI24" i="2"/>
  <c r="CJ24" i="2"/>
  <c r="CK24" i="2"/>
  <c r="CL24" i="2"/>
  <c r="CH25" i="2"/>
  <c r="CI25" i="2"/>
  <c r="CJ25" i="2"/>
  <c r="CK25" i="2"/>
  <c r="CL25" i="2"/>
  <c r="CH26" i="2"/>
  <c r="CI26" i="2"/>
  <c r="CJ26" i="2"/>
  <c r="CK26" i="2"/>
  <c r="CL26" i="2"/>
  <c r="CH27" i="2"/>
  <c r="CI27" i="2"/>
  <c r="CJ27" i="2"/>
  <c r="CK27" i="2"/>
  <c r="CL27" i="2"/>
  <c r="BR22" i="2"/>
  <c r="BS22" i="2"/>
  <c r="BT22" i="2"/>
  <c r="BU22" i="2"/>
  <c r="BV22" i="2"/>
  <c r="BW22" i="2"/>
  <c r="BR23" i="2"/>
  <c r="BS23" i="2"/>
  <c r="BT23" i="2"/>
  <c r="BU23" i="2"/>
  <c r="BV23" i="2"/>
  <c r="BW23" i="2"/>
  <c r="BR24" i="2"/>
  <c r="BS24" i="2"/>
  <c r="BT24" i="2"/>
  <c r="BU24" i="2"/>
  <c r="BV24" i="2"/>
  <c r="BW24" i="2"/>
  <c r="BR25" i="2"/>
  <c r="BS25" i="2"/>
  <c r="BT25" i="2"/>
  <c r="BU25" i="2"/>
  <c r="BV25" i="2"/>
  <c r="BW25" i="2"/>
  <c r="BR26" i="2"/>
  <c r="BS26" i="2"/>
  <c r="BT26" i="2"/>
  <c r="BU26" i="2"/>
  <c r="BV26" i="2"/>
  <c r="BW26" i="2"/>
  <c r="BR27" i="2"/>
  <c r="BS27" i="2"/>
  <c r="BT27" i="2"/>
  <c r="BU27" i="2"/>
  <c r="BV27" i="2"/>
  <c r="BW27" i="2"/>
  <c r="BJ22" i="2"/>
  <c r="BK22" i="2"/>
  <c r="BL22" i="2"/>
  <c r="BM22" i="2"/>
  <c r="BN22" i="2"/>
  <c r="BJ23" i="2"/>
  <c r="BK23" i="2"/>
  <c r="BL23" i="2"/>
  <c r="BM23" i="2"/>
  <c r="BN23" i="2"/>
  <c r="BJ24" i="2"/>
  <c r="BK24" i="2"/>
  <c r="BL24" i="2"/>
  <c r="BM24" i="2"/>
  <c r="BN24" i="2"/>
  <c r="BJ25" i="2"/>
  <c r="BK25" i="2"/>
  <c r="BL25" i="2"/>
  <c r="BM25" i="2"/>
  <c r="BN25" i="2"/>
  <c r="BJ26" i="2"/>
  <c r="BK26" i="2"/>
  <c r="BL26" i="2"/>
  <c r="BM26" i="2"/>
  <c r="BN26" i="2"/>
  <c r="BJ27" i="2"/>
  <c r="BK27" i="2"/>
  <c r="BL27" i="2"/>
  <c r="BM27" i="2"/>
  <c r="BN27" i="2"/>
  <c r="DS27" i="2"/>
  <c r="DT27" i="2"/>
  <c r="DU27" i="2"/>
  <c r="DV27" i="2"/>
  <c r="DW27" i="2"/>
  <c r="DX27" i="2"/>
  <c r="CT26" i="2" l="1"/>
  <c r="CT27" i="2"/>
  <c r="A15" i="39"/>
  <c r="CT22" i="2"/>
  <c r="CT25" i="2"/>
  <c r="CT24" i="2"/>
  <c r="CT23" i="2"/>
  <c r="DS26" i="2"/>
  <c r="DT26" i="2"/>
  <c r="DU26" i="2"/>
  <c r="DV26" i="2"/>
  <c r="DW26" i="2"/>
  <c r="DX26" i="2"/>
  <c r="DX6" i="2"/>
  <c r="DX7" i="2"/>
  <c r="DX8" i="2"/>
  <c r="DX9" i="2"/>
  <c r="DX10" i="2"/>
  <c r="DX11" i="2"/>
  <c r="DX12" i="2"/>
  <c r="DX13" i="2"/>
  <c r="DX14" i="2"/>
  <c r="DX15" i="2"/>
  <c r="DX16" i="2"/>
  <c r="DX17" i="2"/>
  <c r="DX18" i="2"/>
  <c r="DX19" i="2"/>
  <c r="DX20" i="2"/>
  <c r="DX21" i="2"/>
  <c r="DX22" i="2"/>
  <c r="DX23" i="2"/>
  <c r="DX24" i="2"/>
  <c r="DX25" i="2"/>
  <c r="DX5" i="2"/>
  <c r="DV5" i="2"/>
  <c r="DW5" i="2"/>
  <c r="DV6" i="2"/>
  <c r="DW6" i="2"/>
  <c r="DV7" i="2"/>
  <c r="DW7" i="2"/>
  <c r="DV8" i="2"/>
  <c r="DW8" i="2"/>
  <c r="DV9" i="2"/>
  <c r="DW9" i="2"/>
  <c r="DV10" i="2"/>
  <c r="DW10" i="2"/>
  <c r="DV11" i="2"/>
  <c r="DW11" i="2"/>
  <c r="DV12" i="2"/>
  <c r="DW12" i="2"/>
  <c r="DV13" i="2"/>
  <c r="DW13" i="2"/>
  <c r="DV14" i="2"/>
  <c r="DW14" i="2"/>
  <c r="DV15" i="2"/>
  <c r="DW15" i="2"/>
  <c r="DV16" i="2"/>
  <c r="DW16" i="2"/>
  <c r="DV17" i="2"/>
  <c r="DW17" i="2"/>
  <c r="DV18" i="2"/>
  <c r="DW18" i="2"/>
  <c r="DV19" i="2"/>
  <c r="DW19" i="2"/>
  <c r="DV20" i="2"/>
  <c r="DW20" i="2"/>
  <c r="DV21" i="2"/>
  <c r="DW21" i="2"/>
  <c r="DV22" i="2"/>
  <c r="DW22" i="2"/>
  <c r="DV23" i="2"/>
  <c r="DW23" i="2"/>
  <c r="DV24" i="2"/>
  <c r="DW24" i="2"/>
  <c r="DV25" i="2"/>
  <c r="DW25" i="2"/>
  <c r="DU25" i="2"/>
  <c r="DU24" i="2"/>
  <c r="DU23" i="2"/>
  <c r="DU22" i="2"/>
  <c r="DU21" i="2"/>
  <c r="DU20" i="2"/>
  <c r="DU19" i="2"/>
  <c r="DU18" i="2"/>
  <c r="DU17" i="2"/>
  <c r="DU16" i="2"/>
  <c r="DU15" i="2"/>
  <c r="DU14" i="2"/>
  <c r="DU13" i="2"/>
  <c r="DU12" i="2"/>
  <c r="DU11" i="2"/>
  <c r="DU10" i="2"/>
  <c r="DU9" i="2"/>
  <c r="DU8" i="2"/>
  <c r="DU7" i="2"/>
  <c r="DU6" i="2"/>
  <c r="DU5" i="2"/>
  <c r="DS6" i="2"/>
  <c r="DT6" i="2"/>
  <c r="DS7" i="2"/>
  <c r="DT7" i="2"/>
  <c r="DS8" i="2"/>
  <c r="DT8" i="2"/>
  <c r="DS9" i="2"/>
  <c r="DT9" i="2"/>
  <c r="DS10" i="2"/>
  <c r="DT10" i="2"/>
  <c r="DS11" i="2"/>
  <c r="DT11" i="2"/>
  <c r="DS12" i="2"/>
  <c r="DT12" i="2"/>
  <c r="DS13" i="2"/>
  <c r="DT13" i="2"/>
  <c r="DS14" i="2"/>
  <c r="DT14" i="2"/>
  <c r="DS15" i="2"/>
  <c r="DT15" i="2"/>
  <c r="DS16" i="2"/>
  <c r="DT16" i="2"/>
  <c r="DS17" i="2"/>
  <c r="DT17" i="2"/>
  <c r="DS18" i="2"/>
  <c r="DT18" i="2"/>
  <c r="DS19" i="2"/>
  <c r="DT19" i="2"/>
  <c r="DS20" i="2"/>
  <c r="DT20" i="2"/>
  <c r="DS21" i="2"/>
  <c r="DT21" i="2"/>
  <c r="DS22" i="2"/>
  <c r="DT22" i="2"/>
  <c r="DS23" i="2"/>
  <c r="DT23" i="2"/>
  <c r="DS24" i="2"/>
  <c r="DT24" i="2"/>
  <c r="DS25" i="2"/>
  <c r="DT25" i="2"/>
  <c r="DT5" i="2"/>
  <c r="DS5" i="2"/>
  <c r="FW82" i="2"/>
  <c r="FW83" i="2"/>
  <c r="FW84" i="2"/>
  <c r="FW85" i="2"/>
  <c r="FW86" i="2"/>
  <c r="FW87" i="2"/>
  <c r="FW88" i="2"/>
  <c r="FW89" i="2"/>
  <c r="FW90" i="2"/>
  <c r="FW91" i="2"/>
  <c r="FW92" i="2"/>
  <c r="FE45" i="2"/>
  <c r="FF45" i="2"/>
  <c r="FE46" i="2"/>
  <c r="FF46" i="2"/>
  <c r="FE47" i="2"/>
  <c r="FF47" i="2"/>
  <c r="FE48" i="2"/>
  <c r="FF48" i="2"/>
  <c r="FE49" i="2"/>
  <c r="FF49" i="2"/>
  <c r="FE50" i="2"/>
  <c r="FF50" i="2"/>
  <c r="FE51" i="2"/>
  <c r="FF51" i="2"/>
  <c r="FE52" i="2"/>
  <c r="FF52" i="2"/>
  <c r="FE53" i="2"/>
  <c r="FF53" i="2"/>
  <c r="FE54" i="2"/>
  <c r="FF54" i="2"/>
  <c r="FE55" i="2"/>
  <c r="FF55" i="2"/>
  <c r="ET96" i="2"/>
  <c r="ET97" i="2"/>
  <c r="ET98" i="2"/>
  <c r="ET99" i="2"/>
  <c r="EJ98" i="2"/>
  <c r="EC98" i="2" s="1"/>
  <c r="EJ99" i="2"/>
  <c r="EC99" i="2" s="1"/>
  <c r="EJ100" i="2"/>
  <c r="EC100" i="2" s="1"/>
  <c r="EJ101" i="2"/>
  <c r="EC101" i="2" s="1"/>
  <c r="FW81" i="2"/>
  <c r="FE44" i="2"/>
  <c r="FF44" i="2"/>
  <c r="A16" i="39" l="1"/>
  <c r="CX21" i="2"/>
  <c r="A17" i="39" l="1"/>
  <c r="A18" i="39" l="1"/>
  <c r="AT274" i="19"/>
  <c r="AT273" i="19"/>
  <c r="AT272" i="19"/>
  <c r="AT271" i="19"/>
  <c r="AT270" i="19"/>
  <c r="AT269" i="19"/>
  <c r="AT268" i="19"/>
  <c r="AT267" i="19"/>
  <c r="AT266" i="19"/>
  <c r="AT265" i="19"/>
  <c r="AT264" i="19"/>
  <c r="AT263" i="19"/>
  <c r="AT262" i="19"/>
  <c r="AT261" i="19"/>
  <c r="AT260" i="19"/>
  <c r="AT259" i="19"/>
  <c r="AT258" i="19"/>
  <c r="AT257" i="19"/>
  <c r="AT256" i="19"/>
  <c r="AT255" i="19"/>
  <c r="AT254" i="19"/>
  <c r="AT253" i="19"/>
  <c r="AT252" i="19"/>
  <c r="AT251" i="19"/>
  <c r="AT250" i="19"/>
  <c r="AT249" i="19"/>
  <c r="AT248" i="19"/>
  <c r="AT247" i="19"/>
  <c r="FL6" i="2" s="1"/>
  <c r="AT246" i="19"/>
  <c r="AT245" i="19"/>
  <c r="AT244" i="19"/>
  <c r="AT243" i="19"/>
  <c r="AT242" i="19"/>
  <c r="AT241" i="19"/>
  <c r="AT240" i="19"/>
  <c r="AT239" i="19"/>
  <c r="AT238" i="19"/>
  <c r="AT237" i="19"/>
  <c r="AT236" i="19"/>
  <c r="AT235" i="19"/>
  <c r="AT234" i="19"/>
  <c r="AT233" i="19"/>
  <c r="AT232" i="19"/>
  <c r="AT231" i="19"/>
  <c r="AT230" i="19"/>
  <c r="AT229" i="19"/>
  <c r="AT228" i="19"/>
  <c r="AT227" i="19"/>
  <c r="AT226" i="19"/>
  <c r="AT225" i="19"/>
  <c r="AT224" i="19"/>
  <c r="AT223" i="19"/>
  <c r="AT222" i="19"/>
  <c r="AT221" i="19"/>
  <c r="AT220" i="19"/>
  <c r="AT219" i="19"/>
  <c r="AT218" i="19"/>
  <c r="AT217" i="19"/>
  <c r="AT216" i="19"/>
  <c r="AT215" i="19"/>
  <c r="AT214" i="19"/>
  <c r="AT213" i="19"/>
  <c r="AT212" i="19"/>
  <c r="AT211" i="19"/>
  <c r="AT210" i="19"/>
  <c r="AT209" i="19"/>
  <c r="AT208" i="19"/>
  <c r="AT207" i="19"/>
  <c r="AT206" i="19"/>
  <c r="AT205" i="19"/>
  <c r="AT204" i="19"/>
  <c r="AT203" i="19"/>
  <c r="AT202" i="19"/>
  <c r="AT201" i="19"/>
  <c r="AT200" i="19"/>
  <c r="AT199" i="19"/>
  <c r="AT198" i="19"/>
  <c r="AT197" i="19"/>
  <c r="AT196" i="19"/>
  <c r="AT195" i="19"/>
  <c r="AT194" i="19"/>
  <c r="AT193" i="19"/>
  <c r="AT192" i="19"/>
  <c r="AT191" i="19"/>
  <c r="AT190" i="19"/>
  <c r="AT189" i="19"/>
  <c r="AT188" i="19"/>
  <c r="AT187" i="19"/>
  <c r="AT186" i="19"/>
  <c r="AT185" i="19"/>
  <c r="AT184" i="19"/>
  <c r="AT183" i="19"/>
  <c r="AT182" i="19"/>
  <c r="AT181" i="19"/>
  <c r="AT180" i="19"/>
  <c r="AT179" i="19"/>
  <c r="AT178" i="19"/>
  <c r="AT177" i="19"/>
  <c r="AT176" i="19"/>
  <c r="AT175" i="19"/>
  <c r="AT174" i="19"/>
  <c r="AT173" i="19"/>
  <c r="AT172" i="19"/>
  <c r="AT171" i="19"/>
  <c r="AT170" i="19"/>
  <c r="AT169" i="19"/>
  <c r="AT168" i="19"/>
  <c r="AT167" i="19"/>
  <c r="AT166" i="19"/>
  <c r="AT165" i="19"/>
  <c r="AT164" i="19"/>
  <c r="AT163" i="19"/>
  <c r="AT162" i="19"/>
  <c r="AT161" i="19"/>
  <c r="AT160" i="19"/>
  <c r="AT159" i="19"/>
  <c r="AT158" i="19"/>
  <c r="AT157" i="19"/>
  <c r="AT156" i="19"/>
  <c r="AT155" i="19"/>
  <c r="AT154" i="19"/>
  <c r="AT153" i="19"/>
  <c r="AT152" i="19"/>
  <c r="AT151" i="19"/>
  <c r="AT150" i="19"/>
  <c r="AT149" i="19"/>
  <c r="AT148" i="19"/>
  <c r="AT147" i="19"/>
  <c r="AT146" i="19"/>
  <c r="AT145" i="19"/>
  <c r="AT144" i="19"/>
  <c r="AT143" i="19"/>
  <c r="AT142" i="19"/>
  <c r="AT141" i="19"/>
  <c r="AT140" i="19"/>
  <c r="AT139" i="19"/>
  <c r="AT138" i="19"/>
  <c r="AT137" i="19"/>
  <c r="AT136" i="19"/>
  <c r="AT135" i="19"/>
  <c r="AT134" i="19"/>
  <c r="AT133" i="19"/>
  <c r="AT132" i="19"/>
  <c r="AT131" i="19"/>
  <c r="AT130" i="19"/>
  <c r="AT129" i="19"/>
  <c r="AT128" i="19"/>
  <c r="AT127" i="19"/>
  <c r="AT126" i="19"/>
  <c r="AT125" i="19"/>
  <c r="AT124" i="19"/>
  <c r="AT123" i="19"/>
  <c r="AT122" i="19"/>
  <c r="AT121" i="19"/>
  <c r="AT120" i="19"/>
  <c r="AT119" i="19"/>
  <c r="AT118" i="19"/>
  <c r="AT117" i="19"/>
  <c r="AT116" i="19"/>
  <c r="AT115" i="19"/>
  <c r="AT114" i="19"/>
  <c r="AT113" i="19"/>
  <c r="AT112" i="19"/>
  <c r="AT111" i="19"/>
  <c r="AT110" i="19"/>
  <c r="AT109" i="19"/>
  <c r="AT108" i="19"/>
  <c r="AT107" i="19"/>
  <c r="AT106" i="19"/>
  <c r="AT105" i="19"/>
  <c r="AT104" i="19"/>
  <c r="AT103" i="19"/>
  <c r="AT102" i="19"/>
  <c r="AT101" i="19"/>
  <c r="AT100" i="19"/>
  <c r="AT99" i="19"/>
  <c r="AT98" i="19"/>
  <c r="AT97" i="19"/>
  <c r="AT96" i="19"/>
  <c r="AT95" i="19"/>
  <c r="AT94" i="19"/>
  <c r="AT93" i="19"/>
  <c r="AT92" i="19"/>
  <c r="AT91" i="19"/>
  <c r="AT90" i="19"/>
  <c r="AT89" i="19"/>
  <c r="AT88" i="19"/>
  <c r="AT87" i="19"/>
  <c r="AT86" i="19"/>
  <c r="AT85" i="19"/>
  <c r="AT84" i="19"/>
  <c r="AT83" i="19"/>
  <c r="AT82" i="19"/>
  <c r="AT81" i="19"/>
  <c r="AT80" i="19"/>
  <c r="AT79" i="19"/>
  <c r="AT78" i="19"/>
  <c r="AT77" i="19"/>
  <c r="AT76" i="19"/>
  <c r="AT75" i="19"/>
  <c r="AT74" i="19"/>
  <c r="AT73" i="19"/>
  <c r="AT72" i="19"/>
  <c r="AT71" i="19"/>
  <c r="AT70" i="19"/>
  <c r="AT69" i="19"/>
  <c r="AT68" i="19"/>
  <c r="AT67" i="19"/>
  <c r="AT66" i="19"/>
  <c r="AT65" i="19"/>
  <c r="AT64" i="19"/>
  <c r="AT63" i="19"/>
  <c r="AT62" i="19"/>
  <c r="AT61" i="19"/>
  <c r="AT60" i="19"/>
  <c r="AT59" i="19"/>
  <c r="AT58" i="19"/>
  <c r="AT57" i="19"/>
  <c r="AT56" i="19"/>
  <c r="AT55" i="19"/>
  <c r="AT54" i="19"/>
  <c r="AT53" i="19"/>
  <c r="AT52" i="19"/>
  <c r="AT51" i="19"/>
  <c r="AT50" i="19"/>
  <c r="AT49" i="19"/>
  <c r="AT48" i="19"/>
  <c r="AT47" i="19"/>
  <c r="AT46" i="19"/>
  <c r="AT45" i="19"/>
  <c r="AT44" i="19"/>
  <c r="AT43" i="19"/>
  <c r="AT42" i="19"/>
  <c r="AT41" i="19"/>
  <c r="AT40" i="19"/>
  <c r="AT39" i="19"/>
  <c r="AT38" i="19"/>
  <c r="AT37" i="19"/>
  <c r="AT36" i="19"/>
  <c r="AT35" i="19"/>
  <c r="AT34" i="19"/>
  <c r="AT33" i="19"/>
  <c r="AT32" i="19"/>
  <c r="AT31" i="19"/>
  <c r="AT30" i="19"/>
  <c r="AT29" i="19"/>
  <c r="AT28" i="19"/>
  <c r="AT27" i="19"/>
  <c r="AT26" i="19"/>
  <c r="AT25" i="19"/>
  <c r="AT24" i="19"/>
  <c r="AT23" i="19"/>
  <c r="AT22" i="19"/>
  <c r="AT21" i="19"/>
  <c r="AT20" i="19"/>
  <c r="AT19" i="19"/>
  <c r="AT18" i="19"/>
  <c r="AT17" i="19"/>
  <c r="AT16" i="19"/>
  <c r="AT15" i="19"/>
  <c r="AT14" i="19"/>
  <c r="AT13" i="19"/>
  <c r="AT12" i="19"/>
  <c r="AT11" i="19"/>
  <c r="AT10" i="19"/>
  <c r="AT9" i="19"/>
  <c r="AT8" i="19"/>
  <c r="AS274" i="19"/>
  <c r="AS273" i="19"/>
  <c r="AS272" i="19"/>
  <c r="AS271" i="19"/>
  <c r="AS270" i="19"/>
  <c r="AS269" i="19"/>
  <c r="AS268" i="19"/>
  <c r="AS267" i="19"/>
  <c r="AS266" i="19"/>
  <c r="AS265" i="19"/>
  <c r="AS264" i="19"/>
  <c r="AS263" i="19"/>
  <c r="AS262" i="19"/>
  <c r="AS261" i="19"/>
  <c r="AS260" i="19"/>
  <c r="AS259" i="19"/>
  <c r="AS258" i="19"/>
  <c r="AS257" i="19"/>
  <c r="AS256" i="19"/>
  <c r="AS255" i="19"/>
  <c r="AS254" i="19"/>
  <c r="AS253" i="19"/>
  <c r="AS252" i="19"/>
  <c r="AS251" i="19"/>
  <c r="AS250" i="19"/>
  <c r="AS249" i="19"/>
  <c r="AS248" i="19"/>
  <c r="AS247" i="19"/>
  <c r="FK6" i="2" s="1"/>
  <c r="AS246" i="19"/>
  <c r="AS245" i="19"/>
  <c r="AS244" i="19"/>
  <c r="AS243" i="19"/>
  <c r="AS242" i="19"/>
  <c r="AS241" i="19"/>
  <c r="AS240" i="19"/>
  <c r="AS239" i="19"/>
  <c r="AS238" i="19"/>
  <c r="AS237" i="19"/>
  <c r="AS236" i="19"/>
  <c r="AS235" i="19"/>
  <c r="AS234" i="19"/>
  <c r="AS233" i="19"/>
  <c r="AS232" i="19"/>
  <c r="AS231" i="19"/>
  <c r="AS230" i="19"/>
  <c r="AS229" i="19"/>
  <c r="AS228" i="19"/>
  <c r="AS227" i="19"/>
  <c r="AS226" i="19"/>
  <c r="AS225" i="19"/>
  <c r="AS224" i="19"/>
  <c r="AS223" i="19"/>
  <c r="AS222" i="19"/>
  <c r="AS221" i="19"/>
  <c r="AS220" i="19"/>
  <c r="AS219" i="19"/>
  <c r="AS218" i="19"/>
  <c r="AS217" i="19"/>
  <c r="AS216" i="19"/>
  <c r="AS215" i="19"/>
  <c r="AS214" i="19"/>
  <c r="AS213" i="19"/>
  <c r="AS212" i="19"/>
  <c r="AS211" i="19"/>
  <c r="AS210" i="19"/>
  <c r="AS209" i="19"/>
  <c r="AS208" i="19"/>
  <c r="AS207" i="19"/>
  <c r="AS206" i="19"/>
  <c r="AS205" i="19"/>
  <c r="AS204" i="19"/>
  <c r="AS203" i="19"/>
  <c r="AS202" i="19"/>
  <c r="AS201" i="19"/>
  <c r="AS200" i="19"/>
  <c r="AS199" i="19"/>
  <c r="AS198" i="19"/>
  <c r="AS197" i="19"/>
  <c r="AS196" i="19"/>
  <c r="AS195" i="19"/>
  <c r="AS194" i="19"/>
  <c r="AS193" i="19"/>
  <c r="AS192" i="19"/>
  <c r="AS191" i="19"/>
  <c r="AS190" i="19"/>
  <c r="AS189" i="19"/>
  <c r="AS188" i="19"/>
  <c r="AS187" i="19"/>
  <c r="AS186" i="19"/>
  <c r="AS185" i="19"/>
  <c r="AS184" i="19"/>
  <c r="AS183" i="19"/>
  <c r="AS182" i="19"/>
  <c r="AS181" i="19"/>
  <c r="AS180" i="19"/>
  <c r="AS179" i="19"/>
  <c r="AS178" i="19"/>
  <c r="AS177" i="19"/>
  <c r="AS176" i="19"/>
  <c r="AS175" i="19"/>
  <c r="AS174" i="19"/>
  <c r="AS173" i="19"/>
  <c r="AS172" i="19"/>
  <c r="AS171" i="19"/>
  <c r="AS170" i="19"/>
  <c r="AS169" i="19"/>
  <c r="AS168" i="19"/>
  <c r="AS167" i="19"/>
  <c r="AS166" i="19"/>
  <c r="AS165" i="19"/>
  <c r="AS164" i="19"/>
  <c r="AS163" i="19"/>
  <c r="AS162" i="19"/>
  <c r="AS161" i="19"/>
  <c r="AS160" i="19"/>
  <c r="AS159" i="19"/>
  <c r="AS158" i="19"/>
  <c r="AS157" i="19"/>
  <c r="AS156" i="19"/>
  <c r="AS155" i="19"/>
  <c r="AS154" i="19"/>
  <c r="AS153" i="19"/>
  <c r="AS152" i="19"/>
  <c r="AS151" i="19"/>
  <c r="AS150" i="19"/>
  <c r="AS149" i="19"/>
  <c r="AS148" i="19"/>
  <c r="AS147" i="19"/>
  <c r="AS146" i="19"/>
  <c r="AS145" i="19"/>
  <c r="AS144" i="19"/>
  <c r="AS143" i="19"/>
  <c r="AS142" i="19"/>
  <c r="AS141" i="19"/>
  <c r="AS140" i="19"/>
  <c r="AS139" i="19"/>
  <c r="AS138" i="19"/>
  <c r="AS137" i="19"/>
  <c r="AS136" i="19"/>
  <c r="AS135" i="19"/>
  <c r="AS134" i="19"/>
  <c r="AS133" i="19"/>
  <c r="AS132" i="19"/>
  <c r="AS131" i="19"/>
  <c r="AS130" i="19"/>
  <c r="AS129" i="19"/>
  <c r="AS128" i="19"/>
  <c r="AS127" i="19"/>
  <c r="AS126" i="19"/>
  <c r="AS125" i="19"/>
  <c r="AS124" i="19"/>
  <c r="AS123" i="19"/>
  <c r="AS122" i="19"/>
  <c r="AS121" i="19"/>
  <c r="AS120" i="19"/>
  <c r="AS119" i="19"/>
  <c r="AS118" i="19"/>
  <c r="AS117" i="19"/>
  <c r="AS116" i="19"/>
  <c r="AS115" i="19"/>
  <c r="AS114" i="19"/>
  <c r="AS113" i="19"/>
  <c r="AS112" i="19"/>
  <c r="AS111" i="19"/>
  <c r="AS110" i="19"/>
  <c r="AS109" i="19"/>
  <c r="AS108" i="19"/>
  <c r="AS107" i="19"/>
  <c r="AS106" i="19"/>
  <c r="AS105" i="19"/>
  <c r="AS104" i="19"/>
  <c r="AS103" i="19"/>
  <c r="AS102" i="19"/>
  <c r="AS101" i="19"/>
  <c r="AS100" i="19"/>
  <c r="AS99" i="19"/>
  <c r="AS98" i="19"/>
  <c r="AS97" i="19"/>
  <c r="AS96" i="19"/>
  <c r="AS95" i="19"/>
  <c r="AS94" i="19"/>
  <c r="AS93" i="19"/>
  <c r="AS92" i="19"/>
  <c r="AS91" i="19"/>
  <c r="AS90" i="19"/>
  <c r="AS89" i="19"/>
  <c r="AS88" i="19"/>
  <c r="AS87" i="19"/>
  <c r="AS86" i="19"/>
  <c r="AS85" i="19"/>
  <c r="AS84" i="19"/>
  <c r="AS83" i="19"/>
  <c r="AS82" i="19"/>
  <c r="AS81" i="19"/>
  <c r="AS80" i="19"/>
  <c r="AS79" i="19"/>
  <c r="AS78" i="19"/>
  <c r="AS77" i="19"/>
  <c r="AS76" i="19"/>
  <c r="AS75" i="19"/>
  <c r="AS74" i="19"/>
  <c r="AS73" i="19"/>
  <c r="AS72" i="19"/>
  <c r="AS71" i="19"/>
  <c r="AS70" i="19"/>
  <c r="AS69" i="19"/>
  <c r="AS68" i="19"/>
  <c r="AS67" i="19"/>
  <c r="AS66" i="19"/>
  <c r="AS65" i="19"/>
  <c r="AS64" i="19"/>
  <c r="AS63" i="19"/>
  <c r="AS62" i="19"/>
  <c r="AS61" i="19"/>
  <c r="AS60" i="19"/>
  <c r="AS59" i="19"/>
  <c r="AS58" i="19"/>
  <c r="AS57" i="19"/>
  <c r="AS56" i="19"/>
  <c r="AS55" i="19"/>
  <c r="AS54" i="19"/>
  <c r="AS53" i="19"/>
  <c r="AS52" i="19"/>
  <c r="AS51" i="19"/>
  <c r="AS50" i="19"/>
  <c r="AS49" i="19"/>
  <c r="AS48" i="19"/>
  <c r="AS47" i="19"/>
  <c r="AS46" i="19"/>
  <c r="AS45" i="19"/>
  <c r="AS44" i="19"/>
  <c r="AS43" i="19"/>
  <c r="AS42" i="19"/>
  <c r="AS41" i="19"/>
  <c r="AS40" i="19"/>
  <c r="AS39" i="19"/>
  <c r="AS38" i="19"/>
  <c r="AS37" i="19"/>
  <c r="AS36" i="19"/>
  <c r="AS35" i="19"/>
  <c r="AS34" i="19"/>
  <c r="AS33" i="19"/>
  <c r="AS32" i="19"/>
  <c r="AS31" i="19"/>
  <c r="AS30" i="19"/>
  <c r="AS29" i="19"/>
  <c r="AS28" i="19"/>
  <c r="AS27" i="19"/>
  <c r="AS26" i="19"/>
  <c r="AS25" i="19"/>
  <c r="AS24" i="19"/>
  <c r="AS23" i="19"/>
  <c r="AS22" i="19"/>
  <c r="AS21" i="19"/>
  <c r="AS20" i="19"/>
  <c r="AS19" i="19"/>
  <c r="AS18" i="19"/>
  <c r="AS17" i="19"/>
  <c r="AS16" i="19"/>
  <c r="AS15" i="19"/>
  <c r="AS14" i="19"/>
  <c r="AS13" i="19"/>
  <c r="AS12" i="19"/>
  <c r="AS11" i="19"/>
  <c r="AS10" i="19"/>
  <c r="AS9" i="19"/>
  <c r="AS8" i="19"/>
  <c r="AR9" i="19"/>
  <c r="AR10" i="19"/>
  <c r="AR11" i="19"/>
  <c r="AR12" i="19"/>
  <c r="AR13" i="19"/>
  <c r="AR14" i="19"/>
  <c r="AR15" i="19"/>
  <c r="AR16" i="19"/>
  <c r="AR17" i="19"/>
  <c r="AR18" i="19"/>
  <c r="AR19" i="19"/>
  <c r="AR20" i="19"/>
  <c r="AR21" i="19"/>
  <c r="AR22" i="19"/>
  <c r="AR23" i="19"/>
  <c r="AR24" i="19"/>
  <c r="AR25" i="19"/>
  <c r="AR26" i="19"/>
  <c r="AR27" i="19"/>
  <c r="AR28" i="19"/>
  <c r="AR29" i="19"/>
  <c r="AR30" i="19"/>
  <c r="AR31" i="19"/>
  <c r="AR32" i="19"/>
  <c r="AR33" i="19"/>
  <c r="AR34" i="19"/>
  <c r="AR35" i="19"/>
  <c r="AR36" i="19"/>
  <c r="AR37" i="19"/>
  <c r="AR38" i="19"/>
  <c r="AR39" i="19"/>
  <c r="AR40" i="19"/>
  <c r="AR41" i="19"/>
  <c r="AR42" i="19"/>
  <c r="AR43" i="19"/>
  <c r="AR44" i="19"/>
  <c r="AR45" i="19"/>
  <c r="AR46" i="19"/>
  <c r="AR47" i="19"/>
  <c r="AR48" i="19"/>
  <c r="AR49" i="19"/>
  <c r="AR50" i="19"/>
  <c r="AR51" i="19"/>
  <c r="AR52" i="19"/>
  <c r="AR53" i="19"/>
  <c r="AR54" i="19"/>
  <c r="AR55" i="19"/>
  <c r="AR56" i="19"/>
  <c r="AR57" i="19"/>
  <c r="AR58" i="19"/>
  <c r="AR59" i="19"/>
  <c r="AR60" i="19"/>
  <c r="AR61" i="19"/>
  <c r="AR62" i="19"/>
  <c r="AR63" i="19"/>
  <c r="AR64" i="19"/>
  <c r="AR65" i="19"/>
  <c r="AR66" i="19"/>
  <c r="AR67" i="19"/>
  <c r="AR68" i="19"/>
  <c r="AR69" i="19"/>
  <c r="AR70" i="19"/>
  <c r="AR71" i="19"/>
  <c r="AR72" i="19"/>
  <c r="AR73" i="19"/>
  <c r="AR74" i="19"/>
  <c r="AR75" i="19"/>
  <c r="AR76" i="19"/>
  <c r="AR77" i="19"/>
  <c r="AR78" i="19"/>
  <c r="AR79" i="19"/>
  <c r="AR80" i="19"/>
  <c r="AR81" i="19"/>
  <c r="AR82" i="19"/>
  <c r="AR83" i="19"/>
  <c r="AR84" i="19"/>
  <c r="AR85" i="19"/>
  <c r="AR86" i="19"/>
  <c r="AR87" i="19"/>
  <c r="AR88" i="19"/>
  <c r="AR89" i="19"/>
  <c r="AR90" i="19"/>
  <c r="AR91" i="19"/>
  <c r="AR92" i="19"/>
  <c r="AR93" i="19"/>
  <c r="AR94" i="19"/>
  <c r="AR95" i="19"/>
  <c r="AR96" i="19"/>
  <c r="AR97" i="19"/>
  <c r="AR98" i="19"/>
  <c r="AR99" i="19"/>
  <c r="AR100" i="19"/>
  <c r="AR101" i="19"/>
  <c r="AR102" i="19"/>
  <c r="AR103" i="19"/>
  <c r="AR104" i="19"/>
  <c r="AR105" i="19"/>
  <c r="AR106" i="19"/>
  <c r="AR107" i="19"/>
  <c r="AR108" i="19"/>
  <c r="AR109" i="19"/>
  <c r="AR110" i="19"/>
  <c r="AR111" i="19"/>
  <c r="AR112" i="19"/>
  <c r="AR113" i="19"/>
  <c r="AR114" i="19"/>
  <c r="AR115" i="19"/>
  <c r="AR116" i="19"/>
  <c r="AR117" i="19"/>
  <c r="AR118" i="19"/>
  <c r="AR119" i="19"/>
  <c r="AR120" i="19"/>
  <c r="AR121" i="19"/>
  <c r="AR122" i="19"/>
  <c r="AR123" i="19"/>
  <c r="AR124" i="19"/>
  <c r="AR125" i="19"/>
  <c r="AR126" i="19"/>
  <c r="AR127" i="19"/>
  <c r="AR128" i="19"/>
  <c r="AR129" i="19"/>
  <c r="AR130" i="19"/>
  <c r="AR131" i="19"/>
  <c r="AR132" i="19"/>
  <c r="AR133" i="19"/>
  <c r="AR134" i="19"/>
  <c r="AR135" i="19"/>
  <c r="AR136" i="19"/>
  <c r="AR137" i="19"/>
  <c r="AR138" i="19"/>
  <c r="AR139" i="19"/>
  <c r="AR140" i="19"/>
  <c r="AR141" i="19"/>
  <c r="AR142" i="19"/>
  <c r="AR143" i="19"/>
  <c r="AR144" i="19"/>
  <c r="AR145" i="19"/>
  <c r="AR146" i="19"/>
  <c r="AR147" i="19"/>
  <c r="AR148" i="19"/>
  <c r="AR149" i="19"/>
  <c r="AR150" i="19"/>
  <c r="AR151" i="19"/>
  <c r="AR152" i="19"/>
  <c r="AR153" i="19"/>
  <c r="AR154" i="19"/>
  <c r="AR155" i="19"/>
  <c r="AR156" i="19"/>
  <c r="AR157" i="19"/>
  <c r="AR158" i="19"/>
  <c r="AR159" i="19"/>
  <c r="AR160" i="19"/>
  <c r="AR161" i="19"/>
  <c r="AR162" i="19"/>
  <c r="AR163" i="19"/>
  <c r="AR164" i="19"/>
  <c r="AR165" i="19"/>
  <c r="AR166" i="19"/>
  <c r="AR167" i="19"/>
  <c r="AR168" i="19"/>
  <c r="AR169" i="19"/>
  <c r="AR170" i="19"/>
  <c r="AR171" i="19"/>
  <c r="AR172" i="19"/>
  <c r="AR173" i="19"/>
  <c r="AR174" i="19"/>
  <c r="AR175" i="19"/>
  <c r="AR176" i="19"/>
  <c r="AR177" i="19"/>
  <c r="AR178" i="19"/>
  <c r="AR179" i="19"/>
  <c r="AR180" i="19"/>
  <c r="AR181" i="19"/>
  <c r="AR182" i="19"/>
  <c r="AR183" i="19"/>
  <c r="AR184" i="19"/>
  <c r="AR185" i="19"/>
  <c r="AR186" i="19"/>
  <c r="AR187" i="19"/>
  <c r="AR188" i="19"/>
  <c r="AR189" i="19"/>
  <c r="AR190" i="19"/>
  <c r="AR191" i="19"/>
  <c r="AR192" i="19"/>
  <c r="AR193" i="19"/>
  <c r="AR194" i="19"/>
  <c r="AR195" i="19"/>
  <c r="AR196" i="19"/>
  <c r="AR197" i="19"/>
  <c r="AR198" i="19"/>
  <c r="AR199" i="19"/>
  <c r="AR200" i="19"/>
  <c r="AR201" i="19"/>
  <c r="AR202" i="19"/>
  <c r="AR203" i="19"/>
  <c r="AR204" i="19"/>
  <c r="AR205" i="19"/>
  <c r="AR206" i="19"/>
  <c r="AR207" i="19"/>
  <c r="AR208" i="19"/>
  <c r="AR209" i="19"/>
  <c r="AR210" i="19"/>
  <c r="AR211" i="19"/>
  <c r="AR212" i="19"/>
  <c r="AR213" i="19"/>
  <c r="AR214" i="19"/>
  <c r="AR215" i="19"/>
  <c r="AR216" i="19"/>
  <c r="AR217" i="19"/>
  <c r="AR218" i="19"/>
  <c r="AR219" i="19"/>
  <c r="AR220" i="19"/>
  <c r="AR221" i="19"/>
  <c r="AR222" i="19"/>
  <c r="AR223" i="19"/>
  <c r="AR224" i="19"/>
  <c r="AR225" i="19"/>
  <c r="AR226" i="19"/>
  <c r="AR227" i="19"/>
  <c r="AR228" i="19"/>
  <c r="AR229" i="19"/>
  <c r="AR230" i="19"/>
  <c r="AR231" i="19"/>
  <c r="AR232" i="19"/>
  <c r="AR233" i="19"/>
  <c r="AR234" i="19"/>
  <c r="AR235" i="19"/>
  <c r="AR236" i="19"/>
  <c r="AR237" i="19"/>
  <c r="AR238" i="19"/>
  <c r="AR239" i="19"/>
  <c r="AR240" i="19"/>
  <c r="AR241" i="19"/>
  <c r="AR242" i="19"/>
  <c r="AR243" i="19"/>
  <c r="AR244" i="19"/>
  <c r="AR245" i="19"/>
  <c r="AR246" i="19"/>
  <c r="AR247" i="19"/>
  <c r="FJ6" i="2" s="1"/>
  <c r="AR248" i="19"/>
  <c r="AR249" i="19"/>
  <c r="AR250" i="19"/>
  <c r="AR251" i="19"/>
  <c r="AR252" i="19"/>
  <c r="AR253" i="19"/>
  <c r="AR254" i="19"/>
  <c r="AR255" i="19"/>
  <c r="AR256" i="19"/>
  <c r="AR257" i="19"/>
  <c r="AR258" i="19"/>
  <c r="AR259" i="19"/>
  <c r="AR260" i="19"/>
  <c r="AR261" i="19"/>
  <c r="AR262" i="19"/>
  <c r="AR263" i="19"/>
  <c r="AR264" i="19"/>
  <c r="AR265" i="19"/>
  <c r="AR266" i="19"/>
  <c r="AR267" i="19"/>
  <c r="AR268" i="19"/>
  <c r="AR269" i="19"/>
  <c r="AR270" i="19"/>
  <c r="AR271" i="19"/>
  <c r="AR272" i="19"/>
  <c r="AR273" i="19"/>
  <c r="AR274" i="19"/>
  <c r="AR8" i="19"/>
  <c r="AU9" i="19"/>
  <c r="AV9" i="19"/>
  <c r="AW9" i="19"/>
  <c r="AX9" i="19"/>
  <c r="AY9" i="19"/>
  <c r="AZ9" i="19"/>
  <c r="BA9" i="19"/>
  <c r="BB9" i="19"/>
  <c r="AU10" i="19"/>
  <c r="AV10" i="19"/>
  <c r="AW10" i="19"/>
  <c r="AX10" i="19"/>
  <c r="AY10" i="19"/>
  <c r="AZ10" i="19"/>
  <c r="BA10" i="19"/>
  <c r="BB10" i="19"/>
  <c r="AU11" i="19"/>
  <c r="AV11" i="19"/>
  <c r="AW11" i="19"/>
  <c r="AX11" i="19"/>
  <c r="AY11" i="19"/>
  <c r="AZ11" i="19"/>
  <c r="BA11" i="19"/>
  <c r="BB11" i="19"/>
  <c r="AU12" i="19"/>
  <c r="AV12" i="19"/>
  <c r="AW12" i="19"/>
  <c r="AX12" i="19"/>
  <c r="AY12" i="19"/>
  <c r="AZ12" i="19"/>
  <c r="BA12" i="19"/>
  <c r="BB12" i="19"/>
  <c r="AU13" i="19"/>
  <c r="AV13" i="19"/>
  <c r="AW13" i="19"/>
  <c r="AX13" i="19"/>
  <c r="AY13" i="19"/>
  <c r="AZ13" i="19"/>
  <c r="BA13" i="19"/>
  <c r="BB13" i="19"/>
  <c r="AU14" i="19"/>
  <c r="AV14" i="19"/>
  <c r="AW14" i="19"/>
  <c r="AX14" i="19"/>
  <c r="AY14" i="19"/>
  <c r="AZ14" i="19"/>
  <c r="BA14" i="19"/>
  <c r="BB14" i="19"/>
  <c r="AU15" i="19"/>
  <c r="AV15" i="19"/>
  <c r="AW15" i="19"/>
  <c r="AX15" i="19"/>
  <c r="AY15" i="19"/>
  <c r="AZ15" i="19"/>
  <c r="BA15" i="19"/>
  <c r="BB15" i="19"/>
  <c r="AU16" i="19"/>
  <c r="AV16" i="19"/>
  <c r="AW16" i="19"/>
  <c r="AX16" i="19"/>
  <c r="AY16" i="19"/>
  <c r="AZ16" i="19"/>
  <c r="BA16" i="19"/>
  <c r="BB16" i="19"/>
  <c r="AU17" i="19"/>
  <c r="AV17" i="19"/>
  <c r="AW17" i="19"/>
  <c r="AX17" i="19"/>
  <c r="AY17" i="19"/>
  <c r="AZ17" i="19"/>
  <c r="BA17" i="19"/>
  <c r="BB17" i="19"/>
  <c r="AU18" i="19"/>
  <c r="AV18" i="19"/>
  <c r="AW18" i="19"/>
  <c r="AX18" i="19"/>
  <c r="AY18" i="19"/>
  <c r="AZ18" i="19"/>
  <c r="BA18" i="19"/>
  <c r="BB18" i="19"/>
  <c r="AU19" i="19"/>
  <c r="AV19" i="19"/>
  <c r="AW19" i="19"/>
  <c r="AX19" i="19"/>
  <c r="AY19" i="19"/>
  <c r="AZ19" i="19"/>
  <c r="BA19" i="19"/>
  <c r="BB19" i="19"/>
  <c r="AU20" i="19"/>
  <c r="AV20" i="19"/>
  <c r="AW20" i="19"/>
  <c r="AX20" i="19"/>
  <c r="AY20" i="19"/>
  <c r="AZ20" i="19"/>
  <c r="BA20" i="19"/>
  <c r="BB20" i="19"/>
  <c r="AU21" i="19"/>
  <c r="AV21" i="19"/>
  <c r="AW21" i="19"/>
  <c r="AX21" i="19"/>
  <c r="AY21" i="19"/>
  <c r="AZ21" i="19"/>
  <c r="BA21" i="19"/>
  <c r="BB21" i="19"/>
  <c r="AU22" i="19"/>
  <c r="AV22" i="19"/>
  <c r="AW22" i="19"/>
  <c r="AX22" i="19"/>
  <c r="AY22" i="19"/>
  <c r="AZ22" i="19"/>
  <c r="BA22" i="19"/>
  <c r="BB22" i="19"/>
  <c r="AU23" i="19"/>
  <c r="AV23" i="19"/>
  <c r="AW23" i="19"/>
  <c r="AX23" i="19"/>
  <c r="AY23" i="19"/>
  <c r="AZ23" i="19"/>
  <c r="BA23" i="19"/>
  <c r="BB23" i="19"/>
  <c r="AU24" i="19"/>
  <c r="AV24" i="19"/>
  <c r="AW24" i="19"/>
  <c r="AX24" i="19"/>
  <c r="AY24" i="19"/>
  <c r="AZ24" i="19"/>
  <c r="BA24" i="19"/>
  <c r="BB24" i="19"/>
  <c r="AU25" i="19"/>
  <c r="AV25" i="19"/>
  <c r="AW25" i="19"/>
  <c r="AX25" i="19"/>
  <c r="AY25" i="19"/>
  <c r="AZ25" i="19"/>
  <c r="BA25" i="19"/>
  <c r="BB25" i="19"/>
  <c r="AU26" i="19"/>
  <c r="AV26" i="19"/>
  <c r="AW26" i="19"/>
  <c r="AX26" i="19"/>
  <c r="AY26" i="19"/>
  <c r="AZ26" i="19"/>
  <c r="BA26" i="19"/>
  <c r="BB26" i="19"/>
  <c r="AU27" i="19"/>
  <c r="AV27" i="19"/>
  <c r="AW27" i="19"/>
  <c r="AX27" i="19"/>
  <c r="AY27" i="19"/>
  <c r="AZ27" i="19"/>
  <c r="BA27" i="19"/>
  <c r="BB27" i="19"/>
  <c r="AU28" i="19"/>
  <c r="AV28" i="19"/>
  <c r="AW28" i="19"/>
  <c r="AX28" i="19"/>
  <c r="AY28" i="19"/>
  <c r="AZ28" i="19"/>
  <c r="BA28" i="19"/>
  <c r="BB28" i="19"/>
  <c r="AU29" i="19"/>
  <c r="AV29" i="19"/>
  <c r="AW29" i="19"/>
  <c r="AX29" i="19"/>
  <c r="AY29" i="19"/>
  <c r="AZ29" i="19"/>
  <c r="BA29" i="19"/>
  <c r="BB29" i="19"/>
  <c r="AU30" i="19"/>
  <c r="AV30" i="19"/>
  <c r="AW30" i="19"/>
  <c r="AX30" i="19"/>
  <c r="AY30" i="19"/>
  <c r="AZ30" i="19"/>
  <c r="BA30" i="19"/>
  <c r="BB30" i="19"/>
  <c r="AU31" i="19"/>
  <c r="AV31" i="19"/>
  <c r="AW31" i="19"/>
  <c r="AX31" i="19"/>
  <c r="AY31" i="19"/>
  <c r="AZ31" i="19"/>
  <c r="BA31" i="19"/>
  <c r="BB31" i="19"/>
  <c r="AU32" i="19"/>
  <c r="AV32" i="19"/>
  <c r="AW32" i="19"/>
  <c r="AX32" i="19"/>
  <c r="AY32" i="19"/>
  <c r="AZ32" i="19"/>
  <c r="BA32" i="19"/>
  <c r="BB32" i="19"/>
  <c r="AU33" i="19"/>
  <c r="AV33" i="19"/>
  <c r="AW33" i="19"/>
  <c r="AX33" i="19"/>
  <c r="AY33" i="19"/>
  <c r="AZ33" i="19"/>
  <c r="BA33" i="19"/>
  <c r="BB33" i="19"/>
  <c r="AU34" i="19"/>
  <c r="AV34" i="19"/>
  <c r="AW34" i="19"/>
  <c r="AX34" i="19"/>
  <c r="AY34" i="19"/>
  <c r="AZ34" i="19"/>
  <c r="BA34" i="19"/>
  <c r="BB34" i="19"/>
  <c r="AU35" i="19"/>
  <c r="AV35" i="19"/>
  <c r="AW35" i="19"/>
  <c r="AX35" i="19"/>
  <c r="AY35" i="19"/>
  <c r="AZ35" i="19"/>
  <c r="BA35" i="19"/>
  <c r="BB35" i="19"/>
  <c r="AU36" i="19"/>
  <c r="AV36" i="19"/>
  <c r="AW36" i="19"/>
  <c r="AX36" i="19"/>
  <c r="AY36" i="19"/>
  <c r="AZ36" i="19"/>
  <c r="BA36" i="19"/>
  <c r="BB36" i="19"/>
  <c r="AU37" i="19"/>
  <c r="AV37" i="19"/>
  <c r="AW37" i="19"/>
  <c r="AX37" i="19"/>
  <c r="AY37" i="19"/>
  <c r="AZ37" i="19"/>
  <c r="BA37" i="19"/>
  <c r="BB37" i="19"/>
  <c r="AU38" i="19"/>
  <c r="AV38" i="19"/>
  <c r="AW38" i="19"/>
  <c r="AX38" i="19"/>
  <c r="AY38" i="19"/>
  <c r="AZ38" i="19"/>
  <c r="BA38" i="19"/>
  <c r="BB38" i="19"/>
  <c r="AU39" i="19"/>
  <c r="AV39" i="19"/>
  <c r="AW39" i="19"/>
  <c r="AX39" i="19"/>
  <c r="AY39" i="19"/>
  <c r="AZ39" i="19"/>
  <c r="BA39" i="19"/>
  <c r="BB39" i="19"/>
  <c r="AU40" i="19"/>
  <c r="AV40" i="19"/>
  <c r="AW40" i="19"/>
  <c r="AX40" i="19"/>
  <c r="AY40" i="19"/>
  <c r="AZ40" i="19"/>
  <c r="BA40" i="19"/>
  <c r="BB40" i="19"/>
  <c r="AU41" i="19"/>
  <c r="AV41" i="19"/>
  <c r="AW41" i="19"/>
  <c r="AX41" i="19"/>
  <c r="AY41" i="19"/>
  <c r="AZ41" i="19"/>
  <c r="BA41" i="19"/>
  <c r="BB41" i="19"/>
  <c r="AU42" i="19"/>
  <c r="AV42" i="19"/>
  <c r="AW42" i="19"/>
  <c r="AX42" i="19"/>
  <c r="AY42" i="19"/>
  <c r="AZ42" i="19"/>
  <c r="BA42" i="19"/>
  <c r="BB42" i="19"/>
  <c r="AU43" i="19"/>
  <c r="AV43" i="19"/>
  <c r="AW43" i="19"/>
  <c r="AX43" i="19"/>
  <c r="AY43" i="19"/>
  <c r="AZ43" i="19"/>
  <c r="BA43" i="19"/>
  <c r="BB43" i="19"/>
  <c r="AU44" i="19"/>
  <c r="AV44" i="19"/>
  <c r="AW44" i="19"/>
  <c r="AX44" i="19"/>
  <c r="AY44" i="19"/>
  <c r="AZ44" i="19"/>
  <c r="BA44" i="19"/>
  <c r="BB44" i="19"/>
  <c r="AU45" i="19"/>
  <c r="AV45" i="19"/>
  <c r="AW45" i="19"/>
  <c r="AX45" i="19"/>
  <c r="AY45" i="19"/>
  <c r="AZ45" i="19"/>
  <c r="BA45" i="19"/>
  <c r="BB45" i="19"/>
  <c r="AU46" i="19"/>
  <c r="AV46" i="19"/>
  <c r="AW46" i="19"/>
  <c r="AX46" i="19"/>
  <c r="AY46" i="19"/>
  <c r="AZ46" i="19"/>
  <c r="BA46" i="19"/>
  <c r="BB46" i="19"/>
  <c r="AU47" i="19"/>
  <c r="AV47" i="19"/>
  <c r="AW47" i="19"/>
  <c r="AX47" i="19"/>
  <c r="AY47" i="19"/>
  <c r="AZ47" i="19"/>
  <c r="BA47" i="19"/>
  <c r="BB47" i="19"/>
  <c r="AU48" i="19"/>
  <c r="AV48" i="19"/>
  <c r="AW48" i="19"/>
  <c r="AX48" i="19"/>
  <c r="AY48" i="19"/>
  <c r="AZ48" i="19"/>
  <c r="BA48" i="19"/>
  <c r="BB48" i="19"/>
  <c r="AU49" i="19"/>
  <c r="AV49" i="19"/>
  <c r="AW49" i="19"/>
  <c r="AX49" i="19"/>
  <c r="AY49" i="19"/>
  <c r="AZ49" i="19"/>
  <c r="BA49" i="19"/>
  <c r="BB49" i="19"/>
  <c r="AU50" i="19"/>
  <c r="AV50" i="19"/>
  <c r="AW50" i="19"/>
  <c r="AX50" i="19"/>
  <c r="AY50" i="19"/>
  <c r="AZ50" i="19"/>
  <c r="BA50" i="19"/>
  <c r="BB50" i="19"/>
  <c r="AU51" i="19"/>
  <c r="AV51" i="19"/>
  <c r="AW51" i="19"/>
  <c r="AX51" i="19"/>
  <c r="AY51" i="19"/>
  <c r="AZ51" i="19"/>
  <c r="BA51" i="19"/>
  <c r="BB51" i="19"/>
  <c r="AU52" i="19"/>
  <c r="AV52" i="19"/>
  <c r="AW52" i="19"/>
  <c r="AX52" i="19"/>
  <c r="AY52" i="19"/>
  <c r="AZ52" i="19"/>
  <c r="BA52" i="19"/>
  <c r="BB52" i="19"/>
  <c r="AU53" i="19"/>
  <c r="AV53" i="19"/>
  <c r="AW53" i="19"/>
  <c r="AX53" i="19"/>
  <c r="AY53" i="19"/>
  <c r="AZ53" i="19"/>
  <c r="BA53" i="19"/>
  <c r="BB53" i="19"/>
  <c r="AU54" i="19"/>
  <c r="AV54" i="19"/>
  <c r="AW54" i="19"/>
  <c r="AX54" i="19"/>
  <c r="AY54" i="19"/>
  <c r="AZ54" i="19"/>
  <c r="BA54" i="19"/>
  <c r="BB54" i="19"/>
  <c r="AU55" i="19"/>
  <c r="AV55" i="19"/>
  <c r="AW55" i="19"/>
  <c r="AX55" i="19"/>
  <c r="AY55" i="19"/>
  <c r="AZ55" i="19"/>
  <c r="BA55" i="19"/>
  <c r="BB55" i="19"/>
  <c r="AU56" i="19"/>
  <c r="AV56" i="19"/>
  <c r="AW56" i="19"/>
  <c r="AX56" i="19"/>
  <c r="AY56" i="19"/>
  <c r="AZ56" i="19"/>
  <c r="BA56" i="19"/>
  <c r="BB56" i="19"/>
  <c r="AU57" i="19"/>
  <c r="AV57" i="19"/>
  <c r="AW57" i="19"/>
  <c r="AX57" i="19"/>
  <c r="AY57" i="19"/>
  <c r="AZ57" i="19"/>
  <c r="BA57" i="19"/>
  <c r="BB57" i="19"/>
  <c r="AU58" i="19"/>
  <c r="AV58" i="19"/>
  <c r="AW58" i="19"/>
  <c r="AX58" i="19"/>
  <c r="AY58" i="19"/>
  <c r="AZ58" i="19"/>
  <c r="BA58" i="19"/>
  <c r="BB58" i="19"/>
  <c r="AU59" i="19"/>
  <c r="AV59" i="19"/>
  <c r="AW59" i="19"/>
  <c r="AX59" i="19"/>
  <c r="AY59" i="19"/>
  <c r="AZ59" i="19"/>
  <c r="BA59" i="19"/>
  <c r="BB59" i="19"/>
  <c r="AU60" i="19"/>
  <c r="AV60" i="19"/>
  <c r="AW60" i="19"/>
  <c r="AX60" i="19"/>
  <c r="AY60" i="19"/>
  <c r="AZ60" i="19"/>
  <c r="BA60" i="19"/>
  <c r="BB60" i="19"/>
  <c r="AU61" i="19"/>
  <c r="AV61" i="19"/>
  <c r="AW61" i="19"/>
  <c r="AX61" i="19"/>
  <c r="AY61" i="19"/>
  <c r="AZ61" i="19"/>
  <c r="BA61" i="19"/>
  <c r="BB61" i="19"/>
  <c r="AU62" i="19"/>
  <c r="AV62" i="19"/>
  <c r="AW62" i="19"/>
  <c r="AX62" i="19"/>
  <c r="AY62" i="19"/>
  <c r="AZ62" i="19"/>
  <c r="BA62" i="19"/>
  <c r="BB62" i="19"/>
  <c r="AU63" i="19"/>
  <c r="AV63" i="19"/>
  <c r="AW63" i="19"/>
  <c r="AX63" i="19"/>
  <c r="AY63" i="19"/>
  <c r="AZ63" i="19"/>
  <c r="BA63" i="19"/>
  <c r="BB63" i="19"/>
  <c r="AU64" i="19"/>
  <c r="AV64" i="19"/>
  <c r="AW64" i="19"/>
  <c r="AX64" i="19"/>
  <c r="AY64" i="19"/>
  <c r="AZ64" i="19"/>
  <c r="BA64" i="19"/>
  <c r="BB64" i="19"/>
  <c r="AU65" i="19"/>
  <c r="AV65" i="19"/>
  <c r="AW65" i="19"/>
  <c r="AX65" i="19"/>
  <c r="AY65" i="19"/>
  <c r="AZ65" i="19"/>
  <c r="BA65" i="19"/>
  <c r="BB65" i="19"/>
  <c r="AU66" i="19"/>
  <c r="AV66" i="19"/>
  <c r="AW66" i="19"/>
  <c r="AX66" i="19"/>
  <c r="AY66" i="19"/>
  <c r="AZ66" i="19"/>
  <c r="BA66" i="19"/>
  <c r="BB66" i="19"/>
  <c r="AU67" i="19"/>
  <c r="AV67" i="19"/>
  <c r="AW67" i="19"/>
  <c r="AX67" i="19"/>
  <c r="AY67" i="19"/>
  <c r="AZ67" i="19"/>
  <c r="BA67" i="19"/>
  <c r="BB67" i="19"/>
  <c r="AU68" i="19"/>
  <c r="AV68" i="19"/>
  <c r="AW68" i="19"/>
  <c r="AX68" i="19"/>
  <c r="AY68" i="19"/>
  <c r="AZ68" i="19"/>
  <c r="BA68" i="19"/>
  <c r="BB68" i="19"/>
  <c r="AU69" i="19"/>
  <c r="AV69" i="19"/>
  <c r="AW69" i="19"/>
  <c r="AX69" i="19"/>
  <c r="AY69" i="19"/>
  <c r="AZ69" i="19"/>
  <c r="BA69" i="19"/>
  <c r="BB69" i="19"/>
  <c r="AU70" i="19"/>
  <c r="AV70" i="19"/>
  <c r="AW70" i="19"/>
  <c r="AX70" i="19"/>
  <c r="AY70" i="19"/>
  <c r="AZ70" i="19"/>
  <c r="BA70" i="19"/>
  <c r="BB70" i="19"/>
  <c r="AU71" i="19"/>
  <c r="AV71" i="19"/>
  <c r="AW71" i="19"/>
  <c r="AX71" i="19"/>
  <c r="AY71" i="19"/>
  <c r="AZ71" i="19"/>
  <c r="BA71" i="19"/>
  <c r="BB71" i="19"/>
  <c r="AU72" i="19"/>
  <c r="AV72" i="19"/>
  <c r="AW72" i="19"/>
  <c r="AX72" i="19"/>
  <c r="AY72" i="19"/>
  <c r="AZ72" i="19"/>
  <c r="BA72" i="19"/>
  <c r="BB72" i="19"/>
  <c r="AU73" i="19"/>
  <c r="AV73" i="19"/>
  <c r="AW73" i="19"/>
  <c r="AX73" i="19"/>
  <c r="AY73" i="19"/>
  <c r="AZ73" i="19"/>
  <c r="BA73" i="19"/>
  <c r="BB73" i="19"/>
  <c r="AU74" i="19"/>
  <c r="AV74" i="19"/>
  <c r="AW74" i="19"/>
  <c r="AX74" i="19"/>
  <c r="AY74" i="19"/>
  <c r="AZ74" i="19"/>
  <c r="BA74" i="19"/>
  <c r="BB74" i="19"/>
  <c r="AU75" i="19"/>
  <c r="AV75" i="19"/>
  <c r="AW75" i="19"/>
  <c r="AX75" i="19"/>
  <c r="AY75" i="19"/>
  <c r="AZ75" i="19"/>
  <c r="BA75" i="19"/>
  <c r="BB75" i="19"/>
  <c r="AU76" i="19"/>
  <c r="AV76" i="19"/>
  <c r="AW76" i="19"/>
  <c r="AX76" i="19"/>
  <c r="AY76" i="19"/>
  <c r="AZ76" i="19"/>
  <c r="BA76" i="19"/>
  <c r="BB76" i="19"/>
  <c r="AU77" i="19"/>
  <c r="AV77" i="19"/>
  <c r="AW77" i="19"/>
  <c r="AX77" i="19"/>
  <c r="AY77" i="19"/>
  <c r="AZ77" i="19"/>
  <c r="BA77" i="19"/>
  <c r="BB77" i="19"/>
  <c r="AU78" i="19"/>
  <c r="AV78" i="19"/>
  <c r="AW78" i="19"/>
  <c r="AX78" i="19"/>
  <c r="AY78" i="19"/>
  <c r="AZ78" i="19"/>
  <c r="BA78" i="19"/>
  <c r="BB78" i="19"/>
  <c r="AU79" i="19"/>
  <c r="AV79" i="19"/>
  <c r="AW79" i="19"/>
  <c r="AX79" i="19"/>
  <c r="AY79" i="19"/>
  <c r="AZ79" i="19"/>
  <c r="BA79" i="19"/>
  <c r="BB79" i="19"/>
  <c r="AU80" i="19"/>
  <c r="AV80" i="19"/>
  <c r="AW80" i="19"/>
  <c r="AX80" i="19"/>
  <c r="AY80" i="19"/>
  <c r="AZ80" i="19"/>
  <c r="BA80" i="19"/>
  <c r="BB80" i="19"/>
  <c r="AU81" i="19"/>
  <c r="AV81" i="19"/>
  <c r="AW81" i="19"/>
  <c r="AX81" i="19"/>
  <c r="AY81" i="19"/>
  <c r="AZ81" i="19"/>
  <c r="BA81" i="19"/>
  <c r="BB81" i="19"/>
  <c r="AU82" i="19"/>
  <c r="AV82" i="19"/>
  <c r="AW82" i="19"/>
  <c r="AX82" i="19"/>
  <c r="AY82" i="19"/>
  <c r="AZ82" i="19"/>
  <c r="BA82" i="19"/>
  <c r="BB82" i="19"/>
  <c r="AU83" i="19"/>
  <c r="AV83" i="19"/>
  <c r="AW83" i="19"/>
  <c r="AX83" i="19"/>
  <c r="AY83" i="19"/>
  <c r="AZ83" i="19"/>
  <c r="BA83" i="19"/>
  <c r="BB83" i="19"/>
  <c r="AU84" i="19"/>
  <c r="AV84" i="19"/>
  <c r="AW84" i="19"/>
  <c r="AX84" i="19"/>
  <c r="AY84" i="19"/>
  <c r="AZ84" i="19"/>
  <c r="BA84" i="19"/>
  <c r="BB84" i="19"/>
  <c r="AU85" i="19"/>
  <c r="AV85" i="19"/>
  <c r="AW85" i="19"/>
  <c r="AX85" i="19"/>
  <c r="AY85" i="19"/>
  <c r="AZ85" i="19"/>
  <c r="BA85" i="19"/>
  <c r="BB85" i="19"/>
  <c r="AU86" i="19"/>
  <c r="AV86" i="19"/>
  <c r="AW86" i="19"/>
  <c r="AX86" i="19"/>
  <c r="AY86" i="19"/>
  <c r="AZ86" i="19"/>
  <c r="BA86" i="19"/>
  <c r="BB86" i="19"/>
  <c r="AU87" i="19"/>
  <c r="AV87" i="19"/>
  <c r="AW87" i="19"/>
  <c r="AX87" i="19"/>
  <c r="AY87" i="19"/>
  <c r="AZ87" i="19"/>
  <c r="BA87" i="19"/>
  <c r="BB87" i="19"/>
  <c r="AU88" i="19"/>
  <c r="AV88" i="19"/>
  <c r="AW88" i="19"/>
  <c r="AX88" i="19"/>
  <c r="AY88" i="19"/>
  <c r="AZ88" i="19"/>
  <c r="BA88" i="19"/>
  <c r="BB88" i="19"/>
  <c r="AU89" i="19"/>
  <c r="AV89" i="19"/>
  <c r="AW89" i="19"/>
  <c r="AX89" i="19"/>
  <c r="AY89" i="19"/>
  <c r="AZ89" i="19"/>
  <c r="BA89" i="19"/>
  <c r="BB89" i="19"/>
  <c r="AU90" i="19"/>
  <c r="AV90" i="19"/>
  <c r="AW90" i="19"/>
  <c r="AX90" i="19"/>
  <c r="AY90" i="19"/>
  <c r="AZ90" i="19"/>
  <c r="BA90" i="19"/>
  <c r="BB90" i="19"/>
  <c r="AU91" i="19"/>
  <c r="AV91" i="19"/>
  <c r="AW91" i="19"/>
  <c r="AX91" i="19"/>
  <c r="AY91" i="19"/>
  <c r="AZ91" i="19"/>
  <c r="BA91" i="19"/>
  <c r="BB91" i="19"/>
  <c r="AU92" i="19"/>
  <c r="AV92" i="19"/>
  <c r="AW92" i="19"/>
  <c r="AX92" i="19"/>
  <c r="AY92" i="19"/>
  <c r="AZ92" i="19"/>
  <c r="BA92" i="19"/>
  <c r="BB92" i="19"/>
  <c r="AU93" i="19"/>
  <c r="AV93" i="19"/>
  <c r="AW93" i="19"/>
  <c r="AX93" i="19"/>
  <c r="AY93" i="19"/>
  <c r="AZ93" i="19"/>
  <c r="BA93" i="19"/>
  <c r="BB93" i="19"/>
  <c r="AU94" i="19"/>
  <c r="AV94" i="19"/>
  <c r="AW94" i="19"/>
  <c r="AX94" i="19"/>
  <c r="AY94" i="19"/>
  <c r="AZ94" i="19"/>
  <c r="BA94" i="19"/>
  <c r="BB94" i="19"/>
  <c r="AU95" i="19"/>
  <c r="AV95" i="19"/>
  <c r="AW95" i="19"/>
  <c r="AX95" i="19"/>
  <c r="AY95" i="19"/>
  <c r="AZ95" i="19"/>
  <c r="BA95" i="19"/>
  <c r="BB95" i="19"/>
  <c r="AU96" i="19"/>
  <c r="AV96" i="19"/>
  <c r="AW96" i="19"/>
  <c r="AX96" i="19"/>
  <c r="AY96" i="19"/>
  <c r="AZ96" i="19"/>
  <c r="BA96" i="19"/>
  <c r="BB96" i="19"/>
  <c r="AU97" i="19"/>
  <c r="AV97" i="19"/>
  <c r="AW97" i="19"/>
  <c r="AX97" i="19"/>
  <c r="AY97" i="19"/>
  <c r="AZ97" i="19"/>
  <c r="BA97" i="19"/>
  <c r="BB97" i="19"/>
  <c r="AU98" i="19"/>
  <c r="AV98" i="19"/>
  <c r="AW98" i="19"/>
  <c r="AX98" i="19"/>
  <c r="AY98" i="19"/>
  <c r="AZ98" i="19"/>
  <c r="BA98" i="19"/>
  <c r="BB98" i="19"/>
  <c r="AU99" i="19"/>
  <c r="AV99" i="19"/>
  <c r="AW99" i="19"/>
  <c r="AX99" i="19"/>
  <c r="AY99" i="19"/>
  <c r="AZ99" i="19"/>
  <c r="BA99" i="19"/>
  <c r="BB99" i="19"/>
  <c r="AU100" i="19"/>
  <c r="AV100" i="19"/>
  <c r="AW100" i="19"/>
  <c r="AX100" i="19"/>
  <c r="AY100" i="19"/>
  <c r="AZ100" i="19"/>
  <c r="BA100" i="19"/>
  <c r="BB100" i="19"/>
  <c r="AU101" i="19"/>
  <c r="AV101" i="19"/>
  <c r="AW101" i="19"/>
  <c r="AX101" i="19"/>
  <c r="AY101" i="19"/>
  <c r="AZ101" i="19"/>
  <c r="BA101" i="19"/>
  <c r="BB101" i="19"/>
  <c r="AU102" i="19"/>
  <c r="AV102" i="19"/>
  <c r="AW102" i="19"/>
  <c r="AX102" i="19"/>
  <c r="AY102" i="19"/>
  <c r="AZ102" i="19"/>
  <c r="BA102" i="19"/>
  <c r="BB102" i="19"/>
  <c r="AU103" i="19"/>
  <c r="AV103" i="19"/>
  <c r="AW103" i="19"/>
  <c r="AX103" i="19"/>
  <c r="AY103" i="19"/>
  <c r="AZ103" i="19"/>
  <c r="BA103" i="19"/>
  <c r="BB103" i="19"/>
  <c r="AU104" i="19"/>
  <c r="AV104" i="19"/>
  <c r="AW104" i="19"/>
  <c r="AX104" i="19"/>
  <c r="AY104" i="19"/>
  <c r="AZ104" i="19"/>
  <c r="BA104" i="19"/>
  <c r="BB104" i="19"/>
  <c r="AU105" i="19"/>
  <c r="AV105" i="19"/>
  <c r="AW105" i="19"/>
  <c r="AX105" i="19"/>
  <c r="AY105" i="19"/>
  <c r="AZ105" i="19"/>
  <c r="BA105" i="19"/>
  <c r="BB105" i="19"/>
  <c r="AU106" i="19"/>
  <c r="AV106" i="19"/>
  <c r="AW106" i="19"/>
  <c r="AX106" i="19"/>
  <c r="AY106" i="19"/>
  <c r="AZ106" i="19"/>
  <c r="BA106" i="19"/>
  <c r="BB106" i="19"/>
  <c r="AU107" i="19"/>
  <c r="AV107" i="19"/>
  <c r="AW107" i="19"/>
  <c r="AX107" i="19"/>
  <c r="AY107" i="19"/>
  <c r="AZ107" i="19"/>
  <c r="BA107" i="19"/>
  <c r="BB107" i="19"/>
  <c r="AU108" i="19"/>
  <c r="AV108" i="19"/>
  <c r="AW108" i="19"/>
  <c r="AX108" i="19"/>
  <c r="AY108" i="19"/>
  <c r="AZ108" i="19"/>
  <c r="BA108" i="19"/>
  <c r="BB108" i="19"/>
  <c r="AU109" i="19"/>
  <c r="AV109" i="19"/>
  <c r="AW109" i="19"/>
  <c r="AX109" i="19"/>
  <c r="AY109" i="19"/>
  <c r="AZ109" i="19"/>
  <c r="BA109" i="19"/>
  <c r="BB109" i="19"/>
  <c r="AU110" i="19"/>
  <c r="AV110" i="19"/>
  <c r="AW110" i="19"/>
  <c r="AX110" i="19"/>
  <c r="AY110" i="19"/>
  <c r="AZ110" i="19"/>
  <c r="BA110" i="19"/>
  <c r="BB110" i="19"/>
  <c r="AU111" i="19"/>
  <c r="AV111" i="19"/>
  <c r="AW111" i="19"/>
  <c r="AX111" i="19"/>
  <c r="AY111" i="19"/>
  <c r="AZ111" i="19"/>
  <c r="BA111" i="19"/>
  <c r="BB111" i="19"/>
  <c r="AU112" i="19"/>
  <c r="AV112" i="19"/>
  <c r="AW112" i="19"/>
  <c r="AX112" i="19"/>
  <c r="AY112" i="19"/>
  <c r="AZ112" i="19"/>
  <c r="BA112" i="19"/>
  <c r="BB112" i="19"/>
  <c r="AU113" i="19"/>
  <c r="AV113" i="19"/>
  <c r="AW113" i="19"/>
  <c r="AX113" i="19"/>
  <c r="AY113" i="19"/>
  <c r="AZ113" i="19"/>
  <c r="BA113" i="19"/>
  <c r="BB113" i="19"/>
  <c r="AU114" i="19"/>
  <c r="AV114" i="19"/>
  <c r="AW114" i="19"/>
  <c r="AX114" i="19"/>
  <c r="AY114" i="19"/>
  <c r="AZ114" i="19"/>
  <c r="BA114" i="19"/>
  <c r="BB114" i="19"/>
  <c r="AU115" i="19"/>
  <c r="AV115" i="19"/>
  <c r="AW115" i="19"/>
  <c r="AX115" i="19"/>
  <c r="AY115" i="19"/>
  <c r="AZ115" i="19"/>
  <c r="BA115" i="19"/>
  <c r="BB115" i="19"/>
  <c r="AU116" i="19"/>
  <c r="AV116" i="19"/>
  <c r="AW116" i="19"/>
  <c r="AX116" i="19"/>
  <c r="AY116" i="19"/>
  <c r="AZ116" i="19"/>
  <c r="BA116" i="19"/>
  <c r="BB116" i="19"/>
  <c r="AU117" i="19"/>
  <c r="AV117" i="19"/>
  <c r="AW117" i="19"/>
  <c r="AX117" i="19"/>
  <c r="AY117" i="19"/>
  <c r="AZ117" i="19"/>
  <c r="BA117" i="19"/>
  <c r="BB117" i="19"/>
  <c r="AU118" i="19"/>
  <c r="AV118" i="19"/>
  <c r="AW118" i="19"/>
  <c r="AX118" i="19"/>
  <c r="AY118" i="19"/>
  <c r="AZ118" i="19"/>
  <c r="BA118" i="19"/>
  <c r="BB118" i="19"/>
  <c r="AU119" i="19"/>
  <c r="AV119" i="19"/>
  <c r="AW119" i="19"/>
  <c r="AX119" i="19"/>
  <c r="AY119" i="19"/>
  <c r="AZ119" i="19"/>
  <c r="BA119" i="19"/>
  <c r="BB119" i="19"/>
  <c r="AU120" i="19"/>
  <c r="AV120" i="19"/>
  <c r="AW120" i="19"/>
  <c r="AX120" i="19"/>
  <c r="AY120" i="19"/>
  <c r="AZ120" i="19"/>
  <c r="BA120" i="19"/>
  <c r="BB120" i="19"/>
  <c r="AU121" i="19"/>
  <c r="AV121" i="19"/>
  <c r="AW121" i="19"/>
  <c r="AX121" i="19"/>
  <c r="AY121" i="19"/>
  <c r="AZ121" i="19"/>
  <c r="BA121" i="19"/>
  <c r="BB121" i="19"/>
  <c r="AU122" i="19"/>
  <c r="AV122" i="19"/>
  <c r="AW122" i="19"/>
  <c r="AX122" i="19"/>
  <c r="AY122" i="19"/>
  <c r="AZ122" i="19"/>
  <c r="BA122" i="19"/>
  <c r="BB122" i="19"/>
  <c r="AU123" i="19"/>
  <c r="AV123" i="19"/>
  <c r="AW123" i="19"/>
  <c r="AX123" i="19"/>
  <c r="AY123" i="19"/>
  <c r="AZ123" i="19"/>
  <c r="BA123" i="19"/>
  <c r="BB123" i="19"/>
  <c r="AU124" i="19"/>
  <c r="AV124" i="19"/>
  <c r="AW124" i="19"/>
  <c r="AX124" i="19"/>
  <c r="AY124" i="19"/>
  <c r="AZ124" i="19"/>
  <c r="BA124" i="19"/>
  <c r="BB124" i="19"/>
  <c r="AU125" i="19"/>
  <c r="AV125" i="19"/>
  <c r="AW125" i="19"/>
  <c r="AX125" i="19"/>
  <c r="AY125" i="19"/>
  <c r="AZ125" i="19"/>
  <c r="BA125" i="19"/>
  <c r="BB125" i="19"/>
  <c r="AU126" i="19"/>
  <c r="AV126" i="19"/>
  <c r="AW126" i="19"/>
  <c r="AX126" i="19"/>
  <c r="AY126" i="19"/>
  <c r="AZ126" i="19"/>
  <c r="BA126" i="19"/>
  <c r="BB126" i="19"/>
  <c r="AU127" i="19"/>
  <c r="AV127" i="19"/>
  <c r="AW127" i="19"/>
  <c r="AX127" i="19"/>
  <c r="AY127" i="19"/>
  <c r="AZ127" i="19"/>
  <c r="BA127" i="19"/>
  <c r="BB127" i="19"/>
  <c r="AU128" i="19"/>
  <c r="AV128" i="19"/>
  <c r="AW128" i="19"/>
  <c r="AX128" i="19"/>
  <c r="AY128" i="19"/>
  <c r="AZ128" i="19"/>
  <c r="BA128" i="19"/>
  <c r="BB128" i="19"/>
  <c r="AU129" i="19"/>
  <c r="AV129" i="19"/>
  <c r="AW129" i="19"/>
  <c r="AX129" i="19"/>
  <c r="AY129" i="19"/>
  <c r="AZ129" i="19"/>
  <c r="BA129" i="19"/>
  <c r="BB129" i="19"/>
  <c r="AU130" i="19"/>
  <c r="AV130" i="19"/>
  <c r="AW130" i="19"/>
  <c r="AX130" i="19"/>
  <c r="AY130" i="19"/>
  <c r="AZ130" i="19"/>
  <c r="BA130" i="19"/>
  <c r="BB130" i="19"/>
  <c r="AU131" i="19"/>
  <c r="AV131" i="19"/>
  <c r="AW131" i="19"/>
  <c r="AX131" i="19"/>
  <c r="AY131" i="19"/>
  <c r="AZ131" i="19"/>
  <c r="BA131" i="19"/>
  <c r="BB131" i="19"/>
  <c r="AU132" i="19"/>
  <c r="AV132" i="19"/>
  <c r="AW132" i="19"/>
  <c r="AX132" i="19"/>
  <c r="AY132" i="19"/>
  <c r="AZ132" i="19"/>
  <c r="BA132" i="19"/>
  <c r="BB132" i="19"/>
  <c r="AU133" i="19"/>
  <c r="AV133" i="19"/>
  <c r="AW133" i="19"/>
  <c r="AX133" i="19"/>
  <c r="AY133" i="19"/>
  <c r="AZ133" i="19"/>
  <c r="BA133" i="19"/>
  <c r="BB133" i="19"/>
  <c r="AU134" i="19"/>
  <c r="AV134" i="19"/>
  <c r="AW134" i="19"/>
  <c r="AX134" i="19"/>
  <c r="AY134" i="19"/>
  <c r="AZ134" i="19"/>
  <c r="BA134" i="19"/>
  <c r="BB134" i="19"/>
  <c r="AU135" i="19"/>
  <c r="AV135" i="19"/>
  <c r="AW135" i="19"/>
  <c r="AX135" i="19"/>
  <c r="AY135" i="19"/>
  <c r="AZ135" i="19"/>
  <c r="BA135" i="19"/>
  <c r="BB135" i="19"/>
  <c r="AU136" i="19"/>
  <c r="AV136" i="19"/>
  <c r="AW136" i="19"/>
  <c r="AX136" i="19"/>
  <c r="AY136" i="19"/>
  <c r="AZ136" i="19"/>
  <c r="BA136" i="19"/>
  <c r="BB136" i="19"/>
  <c r="AU137" i="19"/>
  <c r="AV137" i="19"/>
  <c r="AW137" i="19"/>
  <c r="AX137" i="19"/>
  <c r="AY137" i="19"/>
  <c r="AZ137" i="19"/>
  <c r="BA137" i="19"/>
  <c r="BB137" i="19"/>
  <c r="AU138" i="19"/>
  <c r="AV138" i="19"/>
  <c r="AW138" i="19"/>
  <c r="AX138" i="19"/>
  <c r="AY138" i="19"/>
  <c r="AZ138" i="19"/>
  <c r="BA138" i="19"/>
  <c r="BB138" i="19"/>
  <c r="AU139" i="19"/>
  <c r="AV139" i="19"/>
  <c r="AW139" i="19"/>
  <c r="AX139" i="19"/>
  <c r="AY139" i="19"/>
  <c r="AZ139" i="19"/>
  <c r="BA139" i="19"/>
  <c r="BB139" i="19"/>
  <c r="AU140" i="19"/>
  <c r="AV140" i="19"/>
  <c r="AW140" i="19"/>
  <c r="AX140" i="19"/>
  <c r="AY140" i="19"/>
  <c r="AZ140" i="19"/>
  <c r="BA140" i="19"/>
  <c r="BB140" i="19"/>
  <c r="AU141" i="19"/>
  <c r="AV141" i="19"/>
  <c r="AW141" i="19"/>
  <c r="AX141" i="19"/>
  <c r="AY141" i="19"/>
  <c r="AZ141" i="19"/>
  <c r="BA141" i="19"/>
  <c r="BB141" i="19"/>
  <c r="AU142" i="19"/>
  <c r="AV142" i="19"/>
  <c r="AW142" i="19"/>
  <c r="AX142" i="19"/>
  <c r="AY142" i="19"/>
  <c r="AZ142" i="19"/>
  <c r="BA142" i="19"/>
  <c r="BB142" i="19"/>
  <c r="AU143" i="19"/>
  <c r="AV143" i="19"/>
  <c r="AW143" i="19"/>
  <c r="AX143" i="19"/>
  <c r="AY143" i="19"/>
  <c r="AZ143" i="19"/>
  <c r="BA143" i="19"/>
  <c r="BB143" i="19"/>
  <c r="AU144" i="19"/>
  <c r="AV144" i="19"/>
  <c r="AW144" i="19"/>
  <c r="AX144" i="19"/>
  <c r="AY144" i="19"/>
  <c r="AZ144" i="19"/>
  <c r="BA144" i="19"/>
  <c r="BB144" i="19"/>
  <c r="AU145" i="19"/>
  <c r="AV145" i="19"/>
  <c r="AW145" i="19"/>
  <c r="AX145" i="19"/>
  <c r="AY145" i="19"/>
  <c r="AZ145" i="19"/>
  <c r="BA145" i="19"/>
  <c r="BB145" i="19"/>
  <c r="AU146" i="19"/>
  <c r="AV146" i="19"/>
  <c r="AW146" i="19"/>
  <c r="AX146" i="19"/>
  <c r="AY146" i="19"/>
  <c r="AZ146" i="19"/>
  <c r="BA146" i="19"/>
  <c r="BB146" i="19"/>
  <c r="AU147" i="19"/>
  <c r="AV147" i="19"/>
  <c r="AW147" i="19"/>
  <c r="AX147" i="19"/>
  <c r="AY147" i="19"/>
  <c r="AZ147" i="19"/>
  <c r="BA147" i="19"/>
  <c r="BB147" i="19"/>
  <c r="AU148" i="19"/>
  <c r="AV148" i="19"/>
  <c r="AW148" i="19"/>
  <c r="AX148" i="19"/>
  <c r="AY148" i="19"/>
  <c r="AZ148" i="19"/>
  <c r="BA148" i="19"/>
  <c r="BB148" i="19"/>
  <c r="AU149" i="19"/>
  <c r="AV149" i="19"/>
  <c r="AW149" i="19"/>
  <c r="AX149" i="19"/>
  <c r="AY149" i="19"/>
  <c r="AZ149" i="19"/>
  <c r="BA149" i="19"/>
  <c r="BB149" i="19"/>
  <c r="AU150" i="19"/>
  <c r="AV150" i="19"/>
  <c r="AW150" i="19"/>
  <c r="AX150" i="19"/>
  <c r="AY150" i="19"/>
  <c r="AZ150" i="19"/>
  <c r="BA150" i="19"/>
  <c r="BB150" i="19"/>
  <c r="AU151" i="19"/>
  <c r="AV151" i="19"/>
  <c r="AW151" i="19"/>
  <c r="AX151" i="19"/>
  <c r="AY151" i="19"/>
  <c r="AZ151" i="19"/>
  <c r="BA151" i="19"/>
  <c r="BB151" i="19"/>
  <c r="AU152" i="19"/>
  <c r="AV152" i="19"/>
  <c r="AW152" i="19"/>
  <c r="AX152" i="19"/>
  <c r="AY152" i="19"/>
  <c r="AZ152" i="19"/>
  <c r="BA152" i="19"/>
  <c r="BB152" i="19"/>
  <c r="AU153" i="19"/>
  <c r="AV153" i="19"/>
  <c r="AW153" i="19"/>
  <c r="AX153" i="19"/>
  <c r="AY153" i="19"/>
  <c r="AZ153" i="19"/>
  <c r="BA153" i="19"/>
  <c r="BB153" i="19"/>
  <c r="AU154" i="19"/>
  <c r="AV154" i="19"/>
  <c r="AW154" i="19"/>
  <c r="AX154" i="19"/>
  <c r="AY154" i="19"/>
  <c r="AZ154" i="19"/>
  <c r="BA154" i="19"/>
  <c r="BB154" i="19"/>
  <c r="AU155" i="19"/>
  <c r="AV155" i="19"/>
  <c r="AW155" i="19"/>
  <c r="AX155" i="19"/>
  <c r="AY155" i="19"/>
  <c r="AZ155" i="19"/>
  <c r="BA155" i="19"/>
  <c r="BB155" i="19"/>
  <c r="AU156" i="19"/>
  <c r="AV156" i="19"/>
  <c r="AW156" i="19"/>
  <c r="AX156" i="19"/>
  <c r="AY156" i="19"/>
  <c r="AZ156" i="19"/>
  <c r="BA156" i="19"/>
  <c r="BB156" i="19"/>
  <c r="AU157" i="19"/>
  <c r="AV157" i="19"/>
  <c r="AW157" i="19"/>
  <c r="AX157" i="19"/>
  <c r="AY157" i="19"/>
  <c r="AZ157" i="19"/>
  <c r="BA157" i="19"/>
  <c r="BB157" i="19"/>
  <c r="AU158" i="19"/>
  <c r="AV158" i="19"/>
  <c r="AW158" i="19"/>
  <c r="AX158" i="19"/>
  <c r="AY158" i="19"/>
  <c r="AZ158" i="19"/>
  <c r="BA158" i="19"/>
  <c r="BB158" i="19"/>
  <c r="AU159" i="19"/>
  <c r="AV159" i="19"/>
  <c r="AW159" i="19"/>
  <c r="AX159" i="19"/>
  <c r="AY159" i="19"/>
  <c r="AZ159" i="19"/>
  <c r="BA159" i="19"/>
  <c r="BB159" i="19"/>
  <c r="AU160" i="19"/>
  <c r="AV160" i="19"/>
  <c r="AW160" i="19"/>
  <c r="AX160" i="19"/>
  <c r="AY160" i="19"/>
  <c r="AZ160" i="19"/>
  <c r="BA160" i="19"/>
  <c r="BB160" i="19"/>
  <c r="AU161" i="19"/>
  <c r="AV161" i="19"/>
  <c r="AW161" i="19"/>
  <c r="AX161" i="19"/>
  <c r="AY161" i="19"/>
  <c r="AZ161" i="19"/>
  <c r="BA161" i="19"/>
  <c r="BB161" i="19"/>
  <c r="AU162" i="19"/>
  <c r="AV162" i="19"/>
  <c r="AW162" i="19"/>
  <c r="AX162" i="19"/>
  <c r="AY162" i="19"/>
  <c r="AZ162" i="19"/>
  <c r="BA162" i="19"/>
  <c r="BB162" i="19"/>
  <c r="AU163" i="19"/>
  <c r="AV163" i="19"/>
  <c r="AW163" i="19"/>
  <c r="AX163" i="19"/>
  <c r="AY163" i="19"/>
  <c r="AZ163" i="19"/>
  <c r="BA163" i="19"/>
  <c r="BB163" i="19"/>
  <c r="AU164" i="19"/>
  <c r="AV164" i="19"/>
  <c r="AW164" i="19"/>
  <c r="AX164" i="19"/>
  <c r="AY164" i="19"/>
  <c r="AZ164" i="19"/>
  <c r="BA164" i="19"/>
  <c r="BB164" i="19"/>
  <c r="AU165" i="19"/>
  <c r="AV165" i="19"/>
  <c r="AW165" i="19"/>
  <c r="AX165" i="19"/>
  <c r="AY165" i="19"/>
  <c r="AZ165" i="19"/>
  <c r="BA165" i="19"/>
  <c r="BB165" i="19"/>
  <c r="AU166" i="19"/>
  <c r="AV166" i="19"/>
  <c r="AW166" i="19"/>
  <c r="AX166" i="19"/>
  <c r="AY166" i="19"/>
  <c r="AZ166" i="19"/>
  <c r="BA166" i="19"/>
  <c r="BB166" i="19"/>
  <c r="AU167" i="19"/>
  <c r="AV167" i="19"/>
  <c r="AW167" i="19"/>
  <c r="AX167" i="19"/>
  <c r="AY167" i="19"/>
  <c r="AZ167" i="19"/>
  <c r="BA167" i="19"/>
  <c r="BB167" i="19"/>
  <c r="AU168" i="19"/>
  <c r="AV168" i="19"/>
  <c r="AW168" i="19"/>
  <c r="AX168" i="19"/>
  <c r="AY168" i="19"/>
  <c r="AZ168" i="19"/>
  <c r="BA168" i="19"/>
  <c r="BB168" i="19"/>
  <c r="AU169" i="19"/>
  <c r="AV169" i="19"/>
  <c r="AW169" i="19"/>
  <c r="AX169" i="19"/>
  <c r="AY169" i="19"/>
  <c r="AZ169" i="19"/>
  <c r="BA169" i="19"/>
  <c r="BB169" i="19"/>
  <c r="AU170" i="19"/>
  <c r="AV170" i="19"/>
  <c r="AW170" i="19"/>
  <c r="AX170" i="19"/>
  <c r="AY170" i="19"/>
  <c r="AZ170" i="19"/>
  <c r="BA170" i="19"/>
  <c r="BB170" i="19"/>
  <c r="AU171" i="19"/>
  <c r="AV171" i="19"/>
  <c r="AW171" i="19"/>
  <c r="AX171" i="19"/>
  <c r="AY171" i="19"/>
  <c r="AZ171" i="19"/>
  <c r="BA171" i="19"/>
  <c r="BB171" i="19"/>
  <c r="AU172" i="19"/>
  <c r="AV172" i="19"/>
  <c r="AW172" i="19"/>
  <c r="AX172" i="19"/>
  <c r="AY172" i="19"/>
  <c r="AZ172" i="19"/>
  <c r="BA172" i="19"/>
  <c r="BB172" i="19"/>
  <c r="AU173" i="19"/>
  <c r="AV173" i="19"/>
  <c r="AW173" i="19"/>
  <c r="AX173" i="19"/>
  <c r="AY173" i="19"/>
  <c r="AZ173" i="19"/>
  <c r="BA173" i="19"/>
  <c r="BB173" i="19"/>
  <c r="AU174" i="19"/>
  <c r="AV174" i="19"/>
  <c r="AW174" i="19"/>
  <c r="AX174" i="19"/>
  <c r="AY174" i="19"/>
  <c r="AZ174" i="19"/>
  <c r="BA174" i="19"/>
  <c r="BB174" i="19"/>
  <c r="AU175" i="19"/>
  <c r="AV175" i="19"/>
  <c r="AW175" i="19"/>
  <c r="AX175" i="19"/>
  <c r="AY175" i="19"/>
  <c r="AZ175" i="19"/>
  <c r="BA175" i="19"/>
  <c r="BB175" i="19"/>
  <c r="AU176" i="19"/>
  <c r="AV176" i="19"/>
  <c r="AW176" i="19"/>
  <c r="AX176" i="19"/>
  <c r="AY176" i="19"/>
  <c r="AZ176" i="19"/>
  <c r="BA176" i="19"/>
  <c r="BB176" i="19"/>
  <c r="AU177" i="19"/>
  <c r="AV177" i="19"/>
  <c r="AW177" i="19"/>
  <c r="AX177" i="19"/>
  <c r="AY177" i="19"/>
  <c r="AZ177" i="19"/>
  <c r="BA177" i="19"/>
  <c r="BB177" i="19"/>
  <c r="AU178" i="19"/>
  <c r="AV178" i="19"/>
  <c r="AW178" i="19"/>
  <c r="AX178" i="19"/>
  <c r="AY178" i="19"/>
  <c r="AZ178" i="19"/>
  <c r="BA178" i="19"/>
  <c r="BB178" i="19"/>
  <c r="AU179" i="19"/>
  <c r="AV179" i="19"/>
  <c r="AW179" i="19"/>
  <c r="AX179" i="19"/>
  <c r="AY179" i="19"/>
  <c r="AZ179" i="19"/>
  <c r="BA179" i="19"/>
  <c r="BB179" i="19"/>
  <c r="AU180" i="19"/>
  <c r="AV180" i="19"/>
  <c r="AW180" i="19"/>
  <c r="AX180" i="19"/>
  <c r="AY180" i="19"/>
  <c r="AZ180" i="19"/>
  <c r="BA180" i="19"/>
  <c r="BB180" i="19"/>
  <c r="AU181" i="19"/>
  <c r="AV181" i="19"/>
  <c r="AW181" i="19"/>
  <c r="AX181" i="19"/>
  <c r="AY181" i="19"/>
  <c r="AZ181" i="19"/>
  <c r="BA181" i="19"/>
  <c r="BB181" i="19"/>
  <c r="AU182" i="19"/>
  <c r="AV182" i="19"/>
  <c r="AW182" i="19"/>
  <c r="AX182" i="19"/>
  <c r="AY182" i="19"/>
  <c r="AZ182" i="19"/>
  <c r="BA182" i="19"/>
  <c r="BB182" i="19"/>
  <c r="AU183" i="19"/>
  <c r="AV183" i="19"/>
  <c r="AW183" i="19"/>
  <c r="AX183" i="19"/>
  <c r="AY183" i="19"/>
  <c r="AZ183" i="19"/>
  <c r="BA183" i="19"/>
  <c r="BB183" i="19"/>
  <c r="AU184" i="19"/>
  <c r="AV184" i="19"/>
  <c r="AW184" i="19"/>
  <c r="AX184" i="19"/>
  <c r="AY184" i="19"/>
  <c r="AZ184" i="19"/>
  <c r="BA184" i="19"/>
  <c r="BB184" i="19"/>
  <c r="AU185" i="19"/>
  <c r="AV185" i="19"/>
  <c r="AW185" i="19"/>
  <c r="AX185" i="19"/>
  <c r="AY185" i="19"/>
  <c r="AZ185" i="19"/>
  <c r="BA185" i="19"/>
  <c r="BB185" i="19"/>
  <c r="AU186" i="19"/>
  <c r="AV186" i="19"/>
  <c r="AW186" i="19"/>
  <c r="AX186" i="19"/>
  <c r="AY186" i="19"/>
  <c r="AZ186" i="19"/>
  <c r="BA186" i="19"/>
  <c r="BB186" i="19"/>
  <c r="AU187" i="19"/>
  <c r="AV187" i="19"/>
  <c r="AW187" i="19"/>
  <c r="AX187" i="19"/>
  <c r="AY187" i="19"/>
  <c r="AZ187" i="19"/>
  <c r="BA187" i="19"/>
  <c r="BB187" i="19"/>
  <c r="AU188" i="19"/>
  <c r="AV188" i="19"/>
  <c r="AW188" i="19"/>
  <c r="AX188" i="19"/>
  <c r="AY188" i="19"/>
  <c r="AZ188" i="19"/>
  <c r="BA188" i="19"/>
  <c r="BB188" i="19"/>
  <c r="AU189" i="19"/>
  <c r="AV189" i="19"/>
  <c r="AW189" i="19"/>
  <c r="AX189" i="19"/>
  <c r="AY189" i="19"/>
  <c r="AZ189" i="19"/>
  <c r="BA189" i="19"/>
  <c r="BB189" i="19"/>
  <c r="AU190" i="19"/>
  <c r="AV190" i="19"/>
  <c r="AW190" i="19"/>
  <c r="AX190" i="19"/>
  <c r="AY190" i="19"/>
  <c r="AZ190" i="19"/>
  <c r="BA190" i="19"/>
  <c r="BB190" i="19"/>
  <c r="AU191" i="19"/>
  <c r="AV191" i="19"/>
  <c r="AW191" i="19"/>
  <c r="AX191" i="19"/>
  <c r="AY191" i="19"/>
  <c r="AZ191" i="19"/>
  <c r="BA191" i="19"/>
  <c r="BB191" i="19"/>
  <c r="AU192" i="19"/>
  <c r="AV192" i="19"/>
  <c r="AW192" i="19"/>
  <c r="AX192" i="19"/>
  <c r="AY192" i="19"/>
  <c r="AZ192" i="19"/>
  <c r="BA192" i="19"/>
  <c r="BB192" i="19"/>
  <c r="AU193" i="19"/>
  <c r="AV193" i="19"/>
  <c r="AW193" i="19"/>
  <c r="AX193" i="19"/>
  <c r="AY193" i="19"/>
  <c r="AZ193" i="19"/>
  <c r="BA193" i="19"/>
  <c r="BB193" i="19"/>
  <c r="AU194" i="19"/>
  <c r="AV194" i="19"/>
  <c r="AW194" i="19"/>
  <c r="AX194" i="19"/>
  <c r="AY194" i="19"/>
  <c r="AZ194" i="19"/>
  <c r="BA194" i="19"/>
  <c r="BB194" i="19"/>
  <c r="AU195" i="19"/>
  <c r="AV195" i="19"/>
  <c r="AW195" i="19"/>
  <c r="AX195" i="19"/>
  <c r="AY195" i="19"/>
  <c r="AZ195" i="19"/>
  <c r="BA195" i="19"/>
  <c r="BB195" i="19"/>
  <c r="AU196" i="19"/>
  <c r="AV196" i="19"/>
  <c r="AW196" i="19"/>
  <c r="AX196" i="19"/>
  <c r="AY196" i="19"/>
  <c r="AZ196" i="19"/>
  <c r="BA196" i="19"/>
  <c r="BB196" i="19"/>
  <c r="AU197" i="19"/>
  <c r="AV197" i="19"/>
  <c r="AW197" i="19"/>
  <c r="AX197" i="19"/>
  <c r="AY197" i="19"/>
  <c r="AZ197" i="19"/>
  <c r="BA197" i="19"/>
  <c r="BB197" i="19"/>
  <c r="AU198" i="19"/>
  <c r="AV198" i="19"/>
  <c r="AW198" i="19"/>
  <c r="AX198" i="19"/>
  <c r="AY198" i="19"/>
  <c r="AZ198" i="19"/>
  <c r="BA198" i="19"/>
  <c r="BB198" i="19"/>
  <c r="AU199" i="19"/>
  <c r="AV199" i="19"/>
  <c r="AW199" i="19"/>
  <c r="AX199" i="19"/>
  <c r="AY199" i="19"/>
  <c r="AZ199" i="19"/>
  <c r="BA199" i="19"/>
  <c r="BB199" i="19"/>
  <c r="AU200" i="19"/>
  <c r="AV200" i="19"/>
  <c r="AW200" i="19"/>
  <c r="AX200" i="19"/>
  <c r="AY200" i="19"/>
  <c r="AZ200" i="19"/>
  <c r="BA200" i="19"/>
  <c r="BB200" i="19"/>
  <c r="AU201" i="19"/>
  <c r="AV201" i="19"/>
  <c r="AW201" i="19"/>
  <c r="AX201" i="19"/>
  <c r="AY201" i="19"/>
  <c r="AZ201" i="19"/>
  <c r="BA201" i="19"/>
  <c r="BB201" i="19"/>
  <c r="AU202" i="19"/>
  <c r="AV202" i="19"/>
  <c r="AW202" i="19"/>
  <c r="AX202" i="19"/>
  <c r="AY202" i="19"/>
  <c r="AZ202" i="19"/>
  <c r="BA202" i="19"/>
  <c r="BB202" i="19"/>
  <c r="AU203" i="19"/>
  <c r="AV203" i="19"/>
  <c r="AW203" i="19"/>
  <c r="AX203" i="19"/>
  <c r="AY203" i="19"/>
  <c r="AZ203" i="19"/>
  <c r="BA203" i="19"/>
  <c r="BB203" i="19"/>
  <c r="AU204" i="19"/>
  <c r="AV204" i="19"/>
  <c r="AW204" i="19"/>
  <c r="AX204" i="19"/>
  <c r="AY204" i="19"/>
  <c r="AZ204" i="19"/>
  <c r="BA204" i="19"/>
  <c r="BB204" i="19"/>
  <c r="AU205" i="19"/>
  <c r="AV205" i="19"/>
  <c r="AW205" i="19"/>
  <c r="AX205" i="19"/>
  <c r="AY205" i="19"/>
  <c r="AZ205" i="19"/>
  <c r="BA205" i="19"/>
  <c r="BB205" i="19"/>
  <c r="AU206" i="19"/>
  <c r="AV206" i="19"/>
  <c r="AW206" i="19"/>
  <c r="AX206" i="19"/>
  <c r="AY206" i="19"/>
  <c r="AZ206" i="19"/>
  <c r="BA206" i="19"/>
  <c r="BB206" i="19"/>
  <c r="AU207" i="19"/>
  <c r="AV207" i="19"/>
  <c r="AW207" i="19"/>
  <c r="AX207" i="19"/>
  <c r="AY207" i="19"/>
  <c r="AZ207" i="19"/>
  <c r="BA207" i="19"/>
  <c r="BB207" i="19"/>
  <c r="AU208" i="19"/>
  <c r="AV208" i="19"/>
  <c r="AW208" i="19"/>
  <c r="AX208" i="19"/>
  <c r="AY208" i="19"/>
  <c r="AZ208" i="19"/>
  <c r="BA208" i="19"/>
  <c r="BB208" i="19"/>
  <c r="AU209" i="19"/>
  <c r="AV209" i="19"/>
  <c r="AW209" i="19"/>
  <c r="AX209" i="19"/>
  <c r="AY209" i="19"/>
  <c r="AZ209" i="19"/>
  <c r="BA209" i="19"/>
  <c r="BB209" i="19"/>
  <c r="AU210" i="19"/>
  <c r="AV210" i="19"/>
  <c r="AW210" i="19"/>
  <c r="AX210" i="19"/>
  <c r="AY210" i="19"/>
  <c r="AZ210" i="19"/>
  <c r="BA210" i="19"/>
  <c r="BB210" i="19"/>
  <c r="AU211" i="19"/>
  <c r="AV211" i="19"/>
  <c r="AW211" i="19"/>
  <c r="AX211" i="19"/>
  <c r="AY211" i="19"/>
  <c r="AZ211" i="19"/>
  <c r="BA211" i="19"/>
  <c r="BB211" i="19"/>
  <c r="AU212" i="19"/>
  <c r="AV212" i="19"/>
  <c r="AW212" i="19"/>
  <c r="AX212" i="19"/>
  <c r="AY212" i="19"/>
  <c r="AZ212" i="19"/>
  <c r="BA212" i="19"/>
  <c r="BB212" i="19"/>
  <c r="AU213" i="19"/>
  <c r="AV213" i="19"/>
  <c r="AW213" i="19"/>
  <c r="AX213" i="19"/>
  <c r="AY213" i="19"/>
  <c r="AZ213" i="19"/>
  <c r="BA213" i="19"/>
  <c r="BB213" i="19"/>
  <c r="AU214" i="19"/>
  <c r="AV214" i="19"/>
  <c r="AW214" i="19"/>
  <c r="AX214" i="19"/>
  <c r="AY214" i="19"/>
  <c r="AZ214" i="19"/>
  <c r="BA214" i="19"/>
  <c r="BB214" i="19"/>
  <c r="AU215" i="19"/>
  <c r="AV215" i="19"/>
  <c r="AW215" i="19"/>
  <c r="AX215" i="19"/>
  <c r="AY215" i="19"/>
  <c r="AZ215" i="19"/>
  <c r="BA215" i="19"/>
  <c r="BB215" i="19"/>
  <c r="AU216" i="19"/>
  <c r="AV216" i="19"/>
  <c r="AW216" i="19"/>
  <c r="AX216" i="19"/>
  <c r="AY216" i="19"/>
  <c r="AZ216" i="19"/>
  <c r="BA216" i="19"/>
  <c r="BB216" i="19"/>
  <c r="AU217" i="19"/>
  <c r="AV217" i="19"/>
  <c r="AW217" i="19"/>
  <c r="AX217" i="19"/>
  <c r="AY217" i="19"/>
  <c r="AZ217" i="19"/>
  <c r="BA217" i="19"/>
  <c r="BB217" i="19"/>
  <c r="AU218" i="19"/>
  <c r="AV218" i="19"/>
  <c r="AW218" i="19"/>
  <c r="AX218" i="19"/>
  <c r="AY218" i="19"/>
  <c r="AZ218" i="19"/>
  <c r="BA218" i="19"/>
  <c r="BB218" i="19"/>
  <c r="AU219" i="19"/>
  <c r="AV219" i="19"/>
  <c r="AW219" i="19"/>
  <c r="AX219" i="19"/>
  <c r="AY219" i="19"/>
  <c r="AZ219" i="19"/>
  <c r="BA219" i="19"/>
  <c r="BB219" i="19"/>
  <c r="AU220" i="19"/>
  <c r="AV220" i="19"/>
  <c r="AW220" i="19"/>
  <c r="AX220" i="19"/>
  <c r="AY220" i="19"/>
  <c r="AZ220" i="19"/>
  <c r="BA220" i="19"/>
  <c r="BB220" i="19"/>
  <c r="AU221" i="19"/>
  <c r="AV221" i="19"/>
  <c r="AW221" i="19"/>
  <c r="AX221" i="19"/>
  <c r="AY221" i="19"/>
  <c r="AZ221" i="19"/>
  <c r="BA221" i="19"/>
  <c r="BB221" i="19"/>
  <c r="AU222" i="19"/>
  <c r="AV222" i="19"/>
  <c r="AW222" i="19"/>
  <c r="AX222" i="19"/>
  <c r="AY222" i="19"/>
  <c r="AZ222" i="19"/>
  <c r="BA222" i="19"/>
  <c r="BB222" i="19"/>
  <c r="AU223" i="19"/>
  <c r="AV223" i="19"/>
  <c r="AW223" i="19"/>
  <c r="AX223" i="19"/>
  <c r="AY223" i="19"/>
  <c r="AZ223" i="19"/>
  <c r="BA223" i="19"/>
  <c r="BB223" i="19"/>
  <c r="AU224" i="19"/>
  <c r="AV224" i="19"/>
  <c r="AW224" i="19"/>
  <c r="AX224" i="19"/>
  <c r="AY224" i="19"/>
  <c r="AZ224" i="19"/>
  <c r="BA224" i="19"/>
  <c r="BB224" i="19"/>
  <c r="AU225" i="19"/>
  <c r="AV225" i="19"/>
  <c r="AW225" i="19"/>
  <c r="AX225" i="19"/>
  <c r="AY225" i="19"/>
  <c r="AZ225" i="19"/>
  <c r="BA225" i="19"/>
  <c r="BB225" i="19"/>
  <c r="AU226" i="19"/>
  <c r="AV226" i="19"/>
  <c r="AW226" i="19"/>
  <c r="AX226" i="19"/>
  <c r="AY226" i="19"/>
  <c r="AZ226" i="19"/>
  <c r="BA226" i="19"/>
  <c r="BB226" i="19"/>
  <c r="AU227" i="19"/>
  <c r="AV227" i="19"/>
  <c r="AW227" i="19"/>
  <c r="AX227" i="19"/>
  <c r="AY227" i="19"/>
  <c r="AZ227" i="19"/>
  <c r="BA227" i="19"/>
  <c r="BB227" i="19"/>
  <c r="AU228" i="19"/>
  <c r="AV228" i="19"/>
  <c r="AW228" i="19"/>
  <c r="AX228" i="19"/>
  <c r="AY228" i="19"/>
  <c r="AZ228" i="19"/>
  <c r="BA228" i="19"/>
  <c r="BB228" i="19"/>
  <c r="AU229" i="19"/>
  <c r="AV229" i="19"/>
  <c r="AW229" i="19"/>
  <c r="AX229" i="19"/>
  <c r="AY229" i="19"/>
  <c r="AZ229" i="19"/>
  <c r="BA229" i="19"/>
  <c r="BB229" i="19"/>
  <c r="AU230" i="19"/>
  <c r="AV230" i="19"/>
  <c r="AW230" i="19"/>
  <c r="AX230" i="19"/>
  <c r="AY230" i="19"/>
  <c r="AZ230" i="19"/>
  <c r="BA230" i="19"/>
  <c r="BB230" i="19"/>
  <c r="AU231" i="19"/>
  <c r="AV231" i="19"/>
  <c r="AW231" i="19"/>
  <c r="AX231" i="19"/>
  <c r="AY231" i="19"/>
  <c r="AZ231" i="19"/>
  <c r="BA231" i="19"/>
  <c r="BB231" i="19"/>
  <c r="AU232" i="19"/>
  <c r="AV232" i="19"/>
  <c r="AW232" i="19"/>
  <c r="AX232" i="19"/>
  <c r="AY232" i="19"/>
  <c r="AZ232" i="19"/>
  <c r="BA232" i="19"/>
  <c r="BB232" i="19"/>
  <c r="AU233" i="19"/>
  <c r="AV233" i="19"/>
  <c r="AW233" i="19"/>
  <c r="AX233" i="19"/>
  <c r="AY233" i="19"/>
  <c r="AZ233" i="19"/>
  <c r="BA233" i="19"/>
  <c r="BB233" i="19"/>
  <c r="AU234" i="19"/>
  <c r="AV234" i="19"/>
  <c r="AW234" i="19"/>
  <c r="AX234" i="19"/>
  <c r="AY234" i="19"/>
  <c r="AZ234" i="19"/>
  <c r="BA234" i="19"/>
  <c r="BB234" i="19"/>
  <c r="AU235" i="19"/>
  <c r="AV235" i="19"/>
  <c r="AW235" i="19"/>
  <c r="AX235" i="19"/>
  <c r="AY235" i="19"/>
  <c r="AZ235" i="19"/>
  <c r="BA235" i="19"/>
  <c r="BB235" i="19"/>
  <c r="AU236" i="19"/>
  <c r="AV236" i="19"/>
  <c r="AW236" i="19"/>
  <c r="AX236" i="19"/>
  <c r="AY236" i="19"/>
  <c r="AZ236" i="19"/>
  <c r="BA236" i="19"/>
  <c r="BB236" i="19"/>
  <c r="AU237" i="19"/>
  <c r="AV237" i="19"/>
  <c r="AW237" i="19"/>
  <c r="AX237" i="19"/>
  <c r="AY237" i="19"/>
  <c r="AZ237" i="19"/>
  <c r="BA237" i="19"/>
  <c r="BB237" i="19"/>
  <c r="AU238" i="19"/>
  <c r="AV238" i="19"/>
  <c r="AW238" i="19"/>
  <c r="AX238" i="19"/>
  <c r="AY238" i="19"/>
  <c r="AZ238" i="19"/>
  <c r="BA238" i="19"/>
  <c r="BB238" i="19"/>
  <c r="AU239" i="19"/>
  <c r="AV239" i="19"/>
  <c r="AW239" i="19"/>
  <c r="AX239" i="19"/>
  <c r="AY239" i="19"/>
  <c r="AZ239" i="19"/>
  <c r="BA239" i="19"/>
  <c r="BB239" i="19"/>
  <c r="AU240" i="19"/>
  <c r="AV240" i="19"/>
  <c r="AW240" i="19"/>
  <c r="AX240" i="19"/>
  <c r="AY240" i="19"/>
  <c r="AZ240" i="19"/>
  <c r="BA240" i="19"/>
  <c r="BB240" i="19"/>
  <c r="AU241" i="19"/>
  <c r="AV241" i="19"/>
  <c r="AW241" i="19"/>
  <c r="AX241" i="19"/>
  <c r="AY241" i="19"/>
  <c r="AZ241" i="19"/>
  <c r="BA241" i="19"/>
  <c r="BB241" i="19"/>
  <c r="AU242" i="19"/>
  <c r="AV242" i="19"/>
  <c r="AW242" i="19"/>
  <c r="AX242" i="19"/>
  <c r="AY242" i="19"/>
  <c r="AZ242" i="19"/>
  <c r="BA242" i="19"/>
  <c r="BB242" i="19"/>
  <c r="AU243" i="19"/>
  <c r="AV243" i="19"/>
  <c r="AW243" i="19"/>
  <c r="AX243" i="19"/>
  <c r="AY243" i="19"/>
  <c r="AZ243" i="19"/>
  <c r="BA243" i="19"/>
  <c r="BB243" i="19"/>
  <c r="AU244" i="19"/>
  <c r="AV244" i="19"/>
  <c r="AW244" i="19"/>
  <c r="AX244" i="19"/>
  <c r="AY244" i="19"/>
  <c r="AZ244" i="19"/>
  <c r="BA244" i="19"/>
  <c r="BB244" i="19"/>
  <c r="AU245" i="19"/>
  <c r="AV245" i="19"/>
  <c r="AW245" i="19"/>
  <c r="AX245" i="19"/>
  <c r="AY245" i="19"/>
  <c r="AZ245" i="19"/>
  <c r="BA245" i="19"/>
  <c r="BB245" i="19"/>
  <c r="AU246" i="19"/>
  <c r="AV246" i="19"/>
  <c r="AW246" i="19"/>
  <c r="AX246" i="19"/>
  <c r="AY246" i="19"/>
  <c r="AZ246" i="19"/>
  <c r="BA246" i="19"/>
  <c r="BB246" i="19"/>
  <c r="AU247" i="19"/>
  <c r="FM6" i="2" s="1"/>
  <c r="AV247" i="19"/>
  <c r="FN6" i="2" s="1"/>
  <c r="AW247" i="19"/>
  <c r="FO6" i="2" s="1"/>
  <c r="AX247" i="19"/>
  <c r="FP6" i="2" s="1"/>
  <c r="AY247" i="19"/>
  <c r="FQ6" i="2" s="1"/>
  <c r="AZ247" i="19"/>
  <c r="FR6" i="2" s="1"/>
  <c r="BA247" i="19"/>
  <c r="FS6" i="2" s="1"/>
  <c r="BB247" i="19"/>
  <c r="FT6" i="2" s="1"/>
  <c r="AU248" i="19"/>
  <c r="AV248" i="19"/>
  <c r="AW248" i="19"/>
  <c r="AX248" i="19"/>
  <c r="AY248" i="19"/>
  <c r="AZ248" i="19"/>
  <c r="BA248" i="19"/>
  <c r="BB248" i="19"/>
  <c r="AU249" i="19"/>
  <c r="AV249" i="19"/>
  <c r="AW249" i="19"/>
  <c r="AX249" i="19"/>
  <c r="AY249" i="19"/>
  <c r="AZ249" i="19"/>
  <c r="BA249" i="19"/>
  <c r="BB249" i="19"/>
  <c r="AU250" i="19"/>
  <c r="AV250" i="19"/>
  <c r="AW250" i="19"/>
  <c r="AX250" i="19"/>
  <c r="AY250" i="19"/>
  <c r="AZ250" i="19"/>
  <c r="BA250" i="19"/>
  <c r="BB250" i="19"/>
  <c r="AU251" i="19"/>
  <c r="AV251" i="19"/>
  <c r="AW251" i="19"/>
  <c r="AX251" i="19"/>
  <c r="AY251" i="19"/>
  <c r="AZ251" i="19"/>
  <c r="BA251" i="19"/>
  <c r="BB251" i="19"/>
  <c r="AU252" i="19"/>
  <c r="AV252" i="19"/>
  <c r="AW252" i="19"/>
  <c r="AX252" i="19"/>
  <c r="AY252" i="19"/>
  <c r="AZ252" i="19"/>
  <c r="BA252" i="19"/>
  <c r="BB252" i="19"/>
  <c r="AU253" i="19"/>
  <c r="AV253" i="19"/>
  <c r="AW253" i="19"/>
  <c r="AX253" i="19"/>
  <c r="AY253" i="19"/>
  <c r="AZ253" i="19"/>
  <c r="BA253" i="19"/>
  <c r="BB253" i="19"/>
  <c r="AU254" i="19"/>
  <c r="AV254" i="19"/>
  <c r="AW254" i="19"/>
  <c r="AX254" i="19"/>
  <c r="AY254" i="19"/>
  <c r="AZ254" i="19"/>
  <c r="BA254" i="19"/>
  <c r="BB254" i="19"/>
  <c r="AU255" i="19"/>
  <c r="AV255" i="19"/>
  <c r="AW255" i="19"/>
  <c r="AX255" i="19"/>
  <c r="AY255" i="19"/>
  <c r="AZ255" i="19"/>
  <c r="BA255" i="19"/>
  <c r="BB255" i="19"/>
  <c r="AU256" i="19"/>
  <c r="AV256" i="19"/>
  <c r="AW256" i="19"/>
  <c r="AX256" i="19"/>
  <c r="AY256" i="19"/>
  <c r="AZ256" i="19"/>
  <c r="BA256" i="19"/>
  <c r="BB256" i="19"/>
  <c r="AU257" i="19"/>
  <c r="AV257" i="19"/>
  <c r="AW257" i="19"/>
  <c r="AX257" i="19"/>
  <c r="AY257" i="19"/>
  <c r="AZ257" i="19"/>
  <c r="BA257" i="19"/>
  <c r="BB257" i="19"/>
  <c r="AU258" i="19"/>
  <c r="AV258" i="19"/>
  <c r="AW258" i="19"/>
  <c r="AX258" i="19"/>
  <c r="AY258" i="19"/>
  <c r="AZ258" i="19"/>
  <c r="BA258" i="19"/>
  <c r="BB258" i="19"/>
  <c r="AU259" i="19"/>
  <c r="AV259" i="19"/>
  <c r="AW259" i="19"/>
  <c r="AX259" i="19"/>
  <c r="AY259" i="19"/>
  <c r="AZ259" i="19"/>
  <c r="BA259" i="19"/>
  <c r="BB259" i="19"/>
  <c r="AU260" i="19"/>
  <c r="AV260" i="19"/>
  <c r="AW260" i="19"/>
  <c r="AX260" i="19"/>
  <c r="AY260" i="19"/>
  <c r="AZ260" i="19"/>
  <c r="BA260" i="19"/>
  <c r="BB260" i="19"/>
  <c r="AU261" i="19"/>
  <c r="AV261" i="19"/>
  <c r="AW261" i="19"/>
  <c r="AX261" i="19"/>
  <c r="AY261" i="19"/>
  <c r="AZ261" i="19"/>
  <c r="BA261" i="19"/>
  <c r="BB261" i="19"/>
  <c r="AU262" i="19"/>
  <c r="AV262" i="19"/>
  <c r="AW262" i="19"/>
  <c r="AX262" i="19"/>
  <c r="AY262" i="19"/>
  <c r="AZ262" i="19"/>
  <c r="BA262" i="19"/>
  <c r="BB262" i="19"/>
  <c r="AU263" i="19"/>
  <c r="AV263" i="19"/>
  <c r="AW263" i="19"/>
  <c r="AX263" i="19"/>
  <c r="AY263" i="19"/>
  <c r="AZ263" i="19"/>
  <c r="BA263" i="19"/>
  <c r="BB263" i="19"/>
  <c r="AU264" i="19"/>
  <c r="AV264" i="19"/>
  <c r="AW264" i="19"/>
  <c r="AX264" i="19"/>
  <c r="AY264" i="19"/>
  <c r="AZ264" i="19"/>
  <c r="BA264" i="19"/>
  <c r="BB264" i="19"/>
  <c r="AU265" i="19"/>
  <c r="AV265" i="19"/>
  <c r="AW265" i="19"/>
  <c r="AX265" i="19"/>
  <c r="AY265" i="19"/>
  <c r="AZ265" i="19"/>
  <c r="BA265" i="19"/>
  <c r="BB265" i="19"/>
  <c r="AU266" i="19"/>
  <c r="AV266" i="19"/>
  <c r="AW266" i="19"/>
  <c r="AX266" i="19"/>
  <c r="AY266" i="19"/>
  <c r="AZ266" i="19"/>
  <c r="BA266" i="19"/>
  <c r="BB266" i="19"/>
  <c r="AU267" i="19"/>
  <c r="AV267" i="19"/>
  <c r="AW267" i="19"/>
  <c r="AX267" i="19"/>
  <c r="AY267" i="19"/>
  <c r="AZ267" i="19"/>
  <c r="BA267" i="19"/>
  <c r="BB267" i="19"/>
  <c r="AU268" i="19"/>
  <c r="AV268" i="19"/>
  <c r="AW268" i="19"/>
  <c r="AX268" i="19"/>
  <c r="AY268" i="19"/>
  <c r="AZ268" i="19"/>
  <c r="BA268" i="19"/>
  <c r="BB268" i="19"/>
  <c r="AU269" i="19"/>
  <c r="AV269" i="19"/>
  <c r="AW269" i="19"/>
  <c r="AX269" i="19"/>
  <c r="AY269" i="19"/>
  <c r="AZ269" i="19"/>
  <c r="BA269" i="19"/>
  <c r="BB269" i="19"/>
  <c r="AU270" i="19"/>
  <c r="AV270" i="19"/>
  <c r="AW270" i="19"/>
  <c r="AX270" i="19"/>
  <c r="AY270" i="19"/>
  <c r="AZ270" i="19"/>
  <c r="BA270" i="19"/>
  <c r="BB270" i="19"/>
  <c r="AU271" i="19"/>
  <c r="AV271" i="19"/>
  <c r="AW271" i="19"/>
  <c r="AX271" i="19"/>
  <c r="AY271" i="19"/>
  <c r="AZ271" i="19"/>
  <c r="BA271" i="19"/>
  <c r="BB271" i="19"/>
  <c r="AU272" i="19"/>
  <c r="AV272" i="19"/>
  <c r="AW272" i="19"/>
  <c r="AX272" i="19"/>
  <c r="AY272" i="19"/>
  <c r="AZ272" i="19"/>
  <c r="BA272" i="19"/>
  <c r="BB272" i="19"/>
  <c r="AU273" i="19"/>
  <c r="AV273" i="19"/>
  <c r="AW273" i="19"/>
  <c r="AX273" i="19"/>
  <c r="AY273" i="19"/>
  <c r="AZ273" i="19"/>
  <c r="BA273" i="19"/>
  <c r="BB273" i="19"/>
  <c r="AU274" i="19"/>
  <c r="AV274" i="19"/>
  <c r="AW274" i="19"/>
  <c r="AX274" i="19"/>
  <c r="AY274" i="19"/>
  <c r="AZ274" i="19"/>
  <c r="BA274" i="19"/>
  <c r="BB274" i="19"/>
  <c r="BB8" i="19"/>
  <c r="BA8" i="19"/>
  <c r="AZ8" i="19"/>
  <c r="AY8" i="19"/>
  <c r="AX8" i="19"/>
  <c r="AW8" i="19"/>
  <c r="AV8" i="19"/>
  <c r="AU8" i="19"/>
  <c r="A19" i="39" l="1"/>
  <c r="FW45" i="2"/>
  <c r="FW46" i="2"/>
  <c r="FW47" i="2"/>
  <c r="FW48" i="2"/>
  <c r="FW49" i="2"/>
  <c r="FW50" i="2"/>
  <c r="FW51" i="2"/>
  <c r="FW52" i="2"/>
  <c r="FW53" i="2"/>
  <c r="FW54" i="2"/>
  <c r="FW55" i="2"/>
  <c r="FW56" i="2"/>
  <c r="FW57" i="2"/>
  <c r="FW58" i="2"/>
  <c r="FW59" i="2"/>
  <c r="FW60" i="2"/>
  <c r="FW61" i="2"/>
  <c r="FW62" i="2"/>
  <c r="FW63" i="2"/>
  <c r="FW64" i="2"/>
  <c r="FW65" i="2"/>
  <c r="FW66" i="2"/>
  <c r="FW67" i="2"/>
  <c r="FW68" i="2"/>
  <c r="FW69" i="2"/>
  <c r="FW70" i="2"/>
  <c r="FW71" i="2"/>
  <c r="FW72" i="2"/>
  <c r="FW73" i="2"/>
  <c r="FW74" i="2"/>
  <c r="FW75" i="2"/>
  <c r="FW76" i="2"/>
  <c r="FW77" i="2"/>
  <c r="FW78" i="2"/>
  <c r="FW79" i="2"/>
  <c r="FW80" i="2"/>
  <c r="FW7" i="2"/>
  <c r="FW8" i="2"/>
  <c r="FW9" i="2"/>
  <c r="FW10" i="2"/>
  <c r="FW11" i="2"/>
  <c r="FW12" i="2"/>
  <c r="FW13" i="2"/>
  <c r="FW14" i="2"/>
  <c r="FW15" i="2"/>
  <c r="FW16" i="2"/>
  <c r="FW17" i="2"/>
  <c r="FW18" i="2"/>
  <c r="FW19" i="2"/>
  <c r="FW20" i="2"/>
  <c r="FW21" i="2"/>
  <c r="FW22" i="2"/>
  <c r="FW23" i="2"/>
  <c r="FW24" i="2"/>
  <c r="FW25" i="2"/>
  <c r="FW26" i="2"/>
  <c r="FW27" i="2"/>
  <c r="FW28" i="2"/>
  <c r="FW29" i="2"/>
  <c r="FW30" i="2"/>
  <c r="FW31" i="2"/>
  <c r="FW32" i="2"/>
  <c r="FW33" i="2"/>
  <c r="FW34" i="2"/>
  <c r="FW35" i="2"/>
  <c r="FW36" i="2"/>
  <c r="FW37" i="2"/>
  <c r="FW38" i="2"/>
  <c r="FW39" i="2"/>
  <c r="FW40" i="2"/>
  <c r="FW41" i="2"/>
  <c r="FW42" i="2"/>
  <c r="FW43" i="2"/>
  <c r="FW44" i="2"/>
  <c r="FW6" i="2"/>
  <c r="FY6" i="2" s="1"/>
  <c r="FE6" i="2"/>
  <c r="FF6" i="2"/>
  <c r="FE7" i="2"/>
  <c r="FF7" i="2"/>
  <c r="FE8" i="2"/>
  <c r="FF8" i="2"/>
  <c r="FE9" i="2"/>
  <c r="FF9" i="2"/>
  <c r="FE10" i="2"/>
  <c r="FF10" i="2"/>
  <c r="FE11" i="2"/>
  <c r="FF11" i="2"/>
  <c r="FE12" i="2"/>
  <c r="FF12" i="2"/>
  <c r="FE13" i="2"/>
  <c r="FF13" i="2"/>
  <c r="FE14" i="2"/>
  <c r="FF14" i="2"/>
  <c r="FE15" i="2"/>
  <c r="FF15" i="2"/>
  <c r="FE16" i="2"/>
  <c r="FF16" i="2"/>
  <c r="FE17" i="2"/>
  <c r="FF17" i="2"/>
  <c r="FE18" i="2"/>
  <c r="FF18" i="2"/>
  <c r="FE19" i="2"/>
  <c r="FF19" i="2"/>
  <c r="FE20" i="2"/>
  <c r="FF20" i="2"/>
  <c r="FE21" i="2"/>
  <c r="FF21" i="2"/>
  <c r="FE22" i="2"/>
  <c r="FF22" i="2"/>
  <c r="FE23" i="2"/>
  <c r="FF23" i="2"/>
  <c r="FE24" i="2"/>
  <c r="FF24" i="2"/>
  <c r="FE25" i="2"/>
  <c r="FF25" i="2"/>
  <c r="FE26" i="2"/>
  <c r="FF26" i="2"/>
  <c r="FE27" i="2"/>
  <c r="FF27" i="2"/>
  <c r="FE28" i="2"/>
  <c r="FF28" i="2"/>
  <c r="FE29" i="2"/>
  <c r="FF29" i="2"/>
  <c r="FE30" i="2"/>
  <c r="FF30" i="2"/>
  <c r="FE31" i="2"/>
  <c r="FF31" i="2"/>
  <c r="FE32" i="2"/>
  <c r="FF32" i="2"/>
  <c r="FE33" i="2"/>
  <c r="FF33" i="2"/>
  <c r="FE34" i="2"/>
  <c r="FF34" i="2"/>
  <c r="FE35" i="2"/>
  <c r="FF35" i="2"/>
  <c r="FE36" i="2"/>
  <c r="FF36" i="2"/>
  <c r="FE37" i="2"/>
  <c r="FF37" i="2"/>
  <c r="FE38" i="2"/>
  <c r="FF38" i="2"/>
  <c r="FE39" i="2"/>
  <c r="FF39" i="2"/>
  <c r="FE40" i="2"/>
  <c r="FF40" i="2"/>
  <c r="FE41" i="2"/>
  <c r="FF41" i="2"/>
  <c r="FE42" i="2"/>
  <c r="FF42" i="2"/>
  <c r="FE43" i="2"/>
  <c r="FF43" i="2"/>
  <c r="FE5" i="2"/>
  <c r="EJ93" i="2"/>
  <c r="EJ94" i="2"/>
  <c r="EC94" i="2" s="1"/>
  <c r="EJ95" i="2"/>
  <c r="EC95" i="2" s="1"/>
  <c r="EJ96" i="2"/>
  <c r="EC96" i="2" s="1"/>
  <c r="EJ97" i="2"/>
  <c r="EC97" i="2" s="1"/>
  <c r="EJ6" i="2"/>
  <c r="EJ7" i="2"/>
  <c r="EJ8" i="2"/>
  <c r="EJ9" i="2"/>
  <c r="EJ10" i="2"/>
  <c r="EJ11" i="2"/>
  <c r="EJ12" i="2"/>
  <c r="EJ13" i="2"/>
  <c r="EJ14" i="2"/>
  <c r="EJ15" i="2"/>
  <c r="EJ16" i="2"/>
  <c r="EJ17" i="2"/>
  <c r="EJ18" i="2"/>
  <c r="EJ19" i="2"/>
  <c r="EJ20" i="2"/>
  <c r="EJ21" i="2"/>
  <c r="EJ22" i="2"/>
  <c r="EJ23" i="2"/>
  <c r="EJ24" i="2"/>
  <c r="EJ25" i="2"/>
  <c r="EJ26" i="2"/>
  <c r="EJ27" i="2"/>
  <c r="EJ28" i="2"/>
  <c r="EJ29" i="2"/>
  <c r="EJ30" i="2"/>
  <c r="EJ31" i="2"/>
  <c r="EJ32" i="2"/>
  <c r="EJ33" i="2"/>
  <c r="EJ34" i="2"/>
  <c r="EJ35" i="2"/>
  <c r="EJ36" i="2"/>
  <c r="EJ37" i="2"/>
  <c r="EJ38" i="2"/>
  <c r="EJ39" i="2"/>
  <c r="EJ40" i="2"/>
  <c r="EJ41" i="2"/>
  <c r="EJ42" i="2"/>
  <c r="EJ43" i="2"/>
  <c r="EJ44" i="2"/>
  <c r="EJ45" i="2"/>
  <c r="EJ46" i="2"/>
  <c r="EJ47" i="2"/>
  <c r="EJ48" i="2"/>
  <c r="EJ49" i="2"/>
  <c r="EJ50" i="2"/>
  <c r="EJ51" i="2"/>
  <c r="EJ52" i="2"/>
  <c r="EJ53" i="2"/>
  <c r="EJ54" i="2"/>
  <c r="EJ55" i="2"/>
  <c r="EJ56" i="2"/>
  <c r="EJ57" i="2"/>
  <c r="EJ58" i="2"/>
  <c r="EJ59" i="2"/>
  <c r="EJ60" i="2"/>
  <c r="EJ61" i="2"/>
  <c r="EJ62" i="2"/>
  <c r="EJ63" i="2"/>
  <c r="EJ64" i="2"/>
  <c r="EJ65" i="2"/>
  <c r="EJ66" i="2"/>
  <c r="EJ67" i="2"/>
  <c r="EJ68" i="2"/>
  <c r="EJ69" i="2"/>
  <c r="EJ70" i="2"/>
  <c r="EJ71" i="2"/>
  <c r="EJ72" i="2"/>
  <c r="EJ73" i="2"/>
  <c r="EJ74" i="2"/>
  <c r="EJ75" i="2"/>
  <c r="EJ76" i="2"/>
  <c r="EJ77" i="2"/>
  <c r="EJ78" i="2"/>
  <c r="EJ79" i="2"/>
  <c r="EJ80" i="2"/>
  <c r="EJ81" i="2"/>
  <c r="EJ82" i="2"/>
  <c r="EJ83" i="2"/>
  <c r="EJ84" i="2"/>
  <c r="EJ85" i="2"/>
  <c r="EJ86" i="2"/>
  <c r="EJ87" i="2"/>
  <c r="EJ88" i="2"/>
  <c r="EJ89" i="2"/>
  <c r="EC89" i="2" s="1"/>
  <c r="EJ90" i="2"/>
  <c r="EC90" i="2" s="1"/>
  <c r="EJ91" i="2"/>
  <c r="EJ92" i="2"/>
  <c r="EC92" i="2" s="1"/>
  <c r="EJ5" i="2"/>
  <c r="ET79" i="2"/>
  <c r="ET80" i="2"/>
  <c r="ET81" i="2"/>
  <c r="ET82" i="2"/>
  <c r="ET83" i="2"/>
  <c r="ET84" i="2"/>
  <c r="ET85" i="2"/>
  <c r="ET86" i="2"/>
  <c r="ET87" i="2"/>
  <c r="ET88" i="2"/>
  <c r="ET89" i="2"/>
  <c r="ET90" i="2"/>
  <c r="ET91" i="2"/>
  <c r="ET92" i="2"/>
  <c r="ET93" i="2"/>
  <c r="ET94" i="2"/>
  <c r="ET95" i="2"/>
  <c r="ET78" i="2"/>
  <c r="FA2" i="2"/>
  <c r="EY2" i="2"/>
  <c r="EW2" i="2"/>
  <c r="A20" i="39" l="1"/>
  <c r="EC82" i="2"/>
  <c r="EC74" i="2"/>
  <c r="EC66" i="2"/>
  <c r="EC58" i="2"/>
  <c r="EC50" i="2"/>
  <c r="EC42" i="2"/>
  <c r="EC34" i="2"/>
  <c r="EC26" i="2"/>
  <c r="EC18" i="2"/>
  <c r="EX2" i="2"/>
  <c r="ER96" i="2" s="1"/>
  <c r="FY41" i="2"/>
  <c r="FY33" i="2"/>
  <c r="FY25" i="2"/>
  <c r="FY9" i="2"/>
  <c r="EC77" i="2"/>
  <c r="EC73" i="2"/>
  <c r="EC65" i="2"/>
  <c r="EC53" i="2"/>
  <c r="EC49" i="2"/>
  <c r="EC41" i="2"/>
  <c r="EC33" i="2"/>
  <c r="FY45" i="2"/>
  <c r="FY36" i="2"/>
  <c r="FY28" i="2"/>
  <c r="FY12" i="2"/>
  <c r="FY46" i="2"/>
  <c r="FY39" i="2"/>
  <c r="FY31" i="2"/>
  <c r="FY23" i="2"/>
  <c r="FY15" i="2"/>
  <c r="FY49" i="2"/>
  <c r="FY51" i="2"/>
  <c r="EC25" i="2"/>
  <c r="EC13" i="2"/>
  <c r="EC9" i="2"/>
  <c r="EC93" i="2"/>
  <c r="FY18" i="2"/>
  <c r="FY20" i="2"/>
  <c r="FY43" i="2"/>
  <c r="FY35" i="2"/>
  <c r="FY27" i="2"/>
  <c r="FY19" i="2"/>
  <c r="FY11" i="2"/>
  <c r="FY37" i="2"/>
  <c r="FY29" i="2"/>
  <c r="FY21" i="2"/>
  <c r="FY13" i="2"/>
  <c r="FY47" i="2"/>
  <c r="EC83" i="2"/>
  <c r="EC75" i="2"/>
  <c r="EC67" i="2"/>
  <c r="EC63" i="2"/>
  <c r="EC51" i="2"/>
  <c r="EC43" i="2"/>
  <c r="EC35" i="2"/>
  <c r="EC31" i="2"/>
  <c r="EC19" i="2"/>
  <c r="EC11" i="2"/>
  <c r="EC7" i="2"/>
  <c r="FY53" i="2"/>
  <c r="FX53" i="2"/>
  <c r="GA53" i="2" s="1"/>
  <c r="EC10" i="2"/>
  <c r="EC6" i="2"/>
  <c r="FY50" i="2"/>
  <c r="FY40" i="2"/>
  <c r="FY32" i="2"/>
  <c r="FY24" i="2"/>
  <c r="FY16" i="2"/>
  <c r="FY8" i="2"/>
  <c r="FY44" i="2"/>
  <c r="FY7" i="2"/>
  <c r="FY38" i="2"/>
  <c r="FY30" i="2"/>
  <c r="FY22" i="2"/>
  <c r="FY14" i="2"/>
  <c r="FY48" i="2"/>
  <c r="FY34" i="2"/>
  <c r="FY26" i="2"/>
  <c r="FY10" i="2"/>
  <c r="FY17" i="2"/>
  <c r="FY42" i="2"/>
  <c r="FY52" i="2"/>
  <c r="EC84" i="2"/>
  <c r="EC80" i="2"/>
  <c r="EC68" i="2"/>
  <c r="EC64" i="2"/>
  <c r="EC52" i="2"/>
  <c r="EC48" i="2"/>
  <c r="EC36" i="2"/>
  <c r="EC32" i="2"/>
  <c r="EC24" i="2"/>
  <c r="EC12" i="2"/>
  <c r="EC8" i="2"/>
  <c r="EC81" i="2"/>
  <c r="EC57" i="2"/>
  <c r="EC17" i="2"/>
  <c r="EC88" i="2"/>
  <c r="EC56" i="2"/>
  <c r="EC16" i="2"/>
  <c r="EC87" i="2"/>
  <c r="EC55" i="2"/>
  <c r="EC23" i="2"/>
  <c r="EC78" i="2"/>
  <c r="EC62" i="2"/>
  <c r="EC46" i="2"/>
  <c r="EC30" i="2"/>
  <c r="EC22" i="2"/>
  <c r="EC5" i="2"/>
  <c r="EC85" i="2"/>
  <c r="EC69" i="2"/>
  <c r="EC61" i="2"/>
  <c r="EC45" i="2"/>
  <c r="EC37" i="2"/>
  <c r="EC29" i="2"/>
  <c r="EC21" i="2"/>
  <c r="EC72" i="2"/>
  <c r="EC40" i="2"/>
  <c r="EC71" i="2"/>
  <c r="EC47" i="2"/>
  <c r="EC39" i="2"/>
  <c r="EC15" i="2"/>
  <c r="EC86" i="2"/>
  <c r="EC70" i="2"/>
  <c r="EC54" i="2"/>
  <c r="EC38" i="2"/>
  <c r="EC14" i="2"/>
  <c r="EC76" i="2"/>
  <c r="EC60" i="2"/>
  <c r="EC44" i="2"/>
  <c r="EC28" i="2"/>
  <c r="EC20" i="2"/>
  <c r="EC79" i="2"/>
  <c r="EC59" i="2"/>
  <c r="EC27" i="2"/>
  <c r="EC91" i="2"/>
  <c r="EZ2" i="2"/>
  <c r="ES97" i="2" s="1"/>
  <c r="FZ53" i="2" l="1"/>
  <c r="ES6" i="2"/>
  <c r="ES5" i="2"/>
  <c r="ET6" i="2"/>
  <c r="ER5" i="2"/>
  <c r="ER6" i="2"/>
  <c r="ET5" i="2"/>
  <c r="ES104" i="2"/>
  <c r="ER104" i="2"/>
  <c r="ER76" i="2"/>
  <c r="ES103" i="2"/>
  <c r="ER103" i="2"/>
  <c r="ET76" i="2"/>
  <c r="ER77" i="2"/>
  <c r="ER7" i="2"/>
  <c r="A21" i="39"/>
  <c r="ER95" i="2"/>
  <c r="ER72" i="2"/>
  <c r="ER66" i="2"/>
  <c r="ER75" i="2"/>
  <c r="ET16" i="2"/>
  <c r="ER49" i="2"/>
  <c r="ER53" i="2"/>
  <c r="ER73" i="2"/>
  <c r="ER14" i="2"/>
  <c r="ER13" i="2"/>
  <c r="ER78" i="2"/>
  <c r="ER42" i="2"/>
  <c r="ET62" i="2"/>
  <c r="ER71" i="2"/>
  <c r="ER59" i="2"/>
  <c r="ET63" i="2"/>
  <c r="ER56" i="2"/>
  <c r="ER52" i="2"/>
  <c r="ET33" i="2"/>
  <c r="ET9" i="2"/>
  <c r="ET50" i="2"/>
  <c r="ER102" i="2"/>
  <c r="ER101" i="2"/>
  <c r="ES100" i="2"/>
  <c r="ES101" i="2"/>
  <c r="ER100" i="2"/>
  <c r="ES102" i="2"/>
  <c r="ER31" i="2"/>
  <c r="ER9" i="2"/>
  <c r="ER11" i="2"/>
  <c r="ER29" i="2"/>
  <c r="ET23" i="2"/>
  <c r="ET49" i="2"/>
  <c r="ER47" i="2"/>
  <c r="ER33" i="2"/>
  <c r="ER35" i="2"/>
  <c r="ER61" i="2"/>
  <c r="ET47" i="2"/>
  <c r="ET73" i="2"/>
  <c r="ET37" i="2"/>
  <c r="ET66" i="2"/>
  <c r="ET43" i="2"/>
  <c r="ER38" i="2"/>
  <c r="ER8" i="2"/>
  <c r="ER74" i="2"/>
  <c r="ER12" i="2"/>
  <c r="ET14" i="2"/>
  <c r="ET40" i="2"/>
  <c r="ER62" i="2"/>
  <c r="ER32" i="2"/>
  <c r="ER18" i="2"/>
  <c r="ER36" i="2"/>
  <c r="ET38" i="2"/>
  <c r="ET56" i="2"/>
  <c r="ET12" i="2"/>
  <c r="ET36" i="2"/>
  <c r="ET69" i="2"/>
  <c r="ER22" i="2"/>
  <c r="ER86" i="2"/>
  <c r="ER55" i="2"/>
  <c r="ER16" i="2"/>
  <c r="ER80" i="2"/>
  <c r="ER57" i="2"/>
  <c r="ER26" i="2"/>
  <c r="ER19" i="2"/>
  <c r="ER83" i="2"/>
  <c r="ER60" i="2"/>
  <c r="ER37" i="2"/>
  <c r="ET22" i="2"/>
  <c r="ET7" i="2"/>
  <c r="ET71" i="2"/>
  <c r="ET64" i="2"/>
  <c r="ET57" i="2"/>
  <c r="ET19" i="2"/>
  <c r="ET44" i="2"/>
  <c r="ER30" i="2"/>
  <c r="ER94" i="2"/>
  <c r="ER63" i="2"/>
  <c r="ER24" i="2"/>
  <c r="ER88" i="2"/>
  <c r="ER65" i="2"/>
  <c r="ER34" i="2"/>
  <c r="ER27" i="2"/>
  <c r="ER91" i="2"/>
  <c r="ER68" i="2"/>
  <c r="ER45" i="2"/>
  <c r="ET30" i="2"/>
  <c r="ET15" i="2"/>
  <c r="ET8" i="2"/>
  <c r="ET72" i="2"/>
  <c r="ET65" i="2"/>
  <c r="ET35" i="2"/>
  <c r="ET52" i="2"/>
  <c r="ER46" i="2"/>
  <c r="ER15" i="2"/>
  <c r="ER79" i="2"/>
  <c r="ER40" i="2"/>
  <c r="ER17" i="2"/>
  <c r="ER81" i="2"/>
  <c r="ER50" i="2"/>
  <c r="ER43" i="2"/>
  <c r="ER20" i="2"/>
  <c r="ER84" i="2"/>
  <c r="ER85" i="2"/>
  <c r="ET46" i="2"/>
  <c r="ET31" i="2"/>
  <c r="ET24" i="2"/>
  <c r="ET17" i="2"/>
  <c r="ET26" i="2"/>
  <c r="ET51" i="2"/>
  <c r="ET53" i="2"/>
  <c r="ER54" i="2"/>
  <c r="ER23" i="2"/>
  <c r="ER87" i="2"/>
  <c r="ER48" i="2"/>
  <c r="ER25" i="2"/>
  <c r="ER89" i="2"/>
  <c r="ER58" i="2"/>
  <c r="ER51" i="2"/>
  <c r="ER28" i="2"/>
  <c r="ER92" i="2"/>
  <c r="ER69" i="2"/>
  <c r="ET54" i="2"/>
  <c r="ET39" i="2"/>
  <c r="ET32" i="2"/>
  <c r="ET25" i="2"/>
  <c r="ET42" i="2"/>
  <c r="ET59" i="2"/>
  <c r="ET61" i="2"/>
  <c r="ER70" i="2"/>
  <c r="ER39" i="2"/>
  <c r="ER82" i="2"/>
  <c r="ER64" i="2"/>
  <c r="ER41" i="2"/>
  <c r="ER10" i="2"/>
  <c r="ER90" i="2"/>
  <c r="ER67" i="2"/>
  <c r="ER44" i="2"/>
  <c r="ER93" i="2"/>
  <c r="ER21" i="2"/>
  <c r="ET70" i="2"/>
  <c r="ET55" i="2"/>
  <c r="ET48" i="2"/>
  <c r="ET41" i="2"/>
  <c r="ET58" i="2"/>
  <c r="ET28" i="2"/>
  <c r="ET13" i="2"/>
  <c r="ER98" i="2"/>
  <c r="ER97" i="2"/>
  <c r="ET10" i="2"/>
  <c r="ET74" i="2"/>
  <c r="ET67" i="2"/>
  <c r="ET60" i="2"/>
  <c r="ET21" i="2"/>
  <c r="ET18" i="2"/>
  <c r="ET11" i="2"/>
  <c r="ET75" i="2"/>
  <c r="ET68" i="2"/>
  <c r="ET29" i="2"/>
  <c r="ES99" i="2"/>
  <c r="ER99" i="2"/>
  <c r="ET34" i="2"/>
  <c r="ET27" i="2"/>
  <c r="ET20" i="2"/>
  <c r="ET45" i="2"/>
  <c r="ET77" i="2"/>
  <c r="ES96" i="2"/>
  <c r="ES98" i="2"/>
  <c r="FX54" i="2"/>
  <c r="GA54" i="2" s="1"/>
  <c r="ES62" i="2"/>
  <c r="ES43" i="2"/>
  <c r="ES16" i="2"/>
  <c r="ES59" i="2"/>
  <c r="ES52" i="2"/>
  <c r="ES80" i="2"/>
  <c r="ES25" i="2"/>
  <c r="ES68" i="2"/>
  <c r="ES21" i="2"/>
  <c r="ES9" i="2"/>
  <c r="ES73" i="2"/>
  <c r="ES69" i="2"/>
  <c r="ES64" i="2"/>
  <c r="ES89" i="2"/>
  <c r="ES26" i="2"/>
  <c r="ES85" i="2"/>
  <c r="ES22" i="2"/>
  <c r="ES42" i="2"/>
  <c r="ES38" i="2"/>
  <c r="ES90" i="2"/>
  <c r="ES86" i="2"/>
  <c r="ES8" i="2"/>
  <c r="ES72" i="2"/>
  <c r="ES17" i="2"/>
  <c r="ES81" i="2"/>
  <c r="ES34" i="2"/>
  <c r="ES51" i="2"/>
  <c r="ES60" i="2"/>
  <c r="ES13" i="2"/>
  <c r="ES77" i="2"/>
  <c r="ES30" i="2"/>
  <c r="ES94" i="2"/>
  <c r="ES24" i="2"/>
  <c r="ES88" i="2"/>
  <c r="ES33" i="2"/>
  <c r="ES50" i="2"/>
  <c r="ES67" i="2"/>
  <c r="ES12" i="2"/>
  <c r="ES76" i="2"/>
  <c r="ES29" i="2"/>
  <c r="ES93" i="2"/>
  <c r="ES46" i="2"/>
  <c r="ES32" i="2"/>
  <c r="ES41" i="2"/>
  <c r="ES58" i="2"/>
  <c r="ES11" i="2"/>
  <c r="ES75" i="2"/>
  <c r="ES20" i="2"/>
  <c r="ES84" i="2"/>
  <c r="ES37" i="2"/>
  <c r="ES54" i="2"/>
  <c r="ES40" i="2"/>
  <c r="ES49" i="2"/>
  <c r="ES66" i="2"/>
  <c r="ES19" i="2"/>
  <c r="ES83" i="2"/>
  <c r="ES28" i="2"/>
  <c r="ES92" i="2"/>
  <c r="ES45" i="2"/>
  <c r="ES55" i="2"/>
  <c r="ES95" i="2"/>
  <c r="ES39" i="2"/>
  <c r="ES79" i="2"/>
  <c r="ES47" i="2"/>
  <c r="ES7" i="2"/>
  <c r="ES31" i="2"/>
  <c r="ES63" i="2"/>
  <c r="ES15" i="2"/>
  <c r="ES71" i="2"/>
  <c r="ES23" i="2"/>
  <c r="ES87" i="2"/>
  <c r="ES48" i="2"/>
  <c r="ES57" i="2"/>
  <c r="ES10" i="2"/>
  <c r="ES74" i="2"/>
  <c r="ES27" i="2"/>
  <c r="ES91" i="2"/>
  <c r="ES36" i="2"/>
  <c r="ES53" i="2"/>
  <c r="ES70" i="2"/>
  <c r="ES56" i="2"/>
  <c r="ES65" i="2"/>
  <c r="ES18" i="2"/>
  <c r="ES82" i="2"/>
  <c r="ES35" i="2"/>
  <c r="ES44" i="2"/>
  <c r="ES61" i="2"/>
  <c r="ES14" i="2"/>
  <c r="ES78" i="2"/>
  <c r="ER3" i="2" l="1"/>
  <c r="ER2" i="2"/>
  <c r="ET3" i="2"/>
  <c r="ET2" i="2"/>
  <c r="ES3" i="2"/>
  <c r="ES2" i="2"/>
  <c r="A22" i="39"/>
  <c r="FX55" i="2"/>
  <c r="FX56" i="2" s="1"/>
  <c r="EO6" i="2" l="1"/>
  <c r="EO5" i="2"/>
  <c r="EM104" i="2"/>
  <c r="EM5" i="2"/>
  <c r="EN104" i="2"/>
  <c r="EN5" i="2"/>
  <c r="EN6" i="2"/>
  <c r="EM6" i="2"/>
  <c r="EO104" i="2"/>
  <c r="EN103" i="2"/>
  <c r="EM103" i="2"/>
  <c r="EO102" i="2"/>
  <c r="EO103" i="2"/>
  <c r="A23" i="39"/>
  <c r="EM57" i="2"/>
  <c r="EM26" i="2"/>
  <c r="EM56" i="2"/>
  <c r="EM63" i="2"/>
  <c r="EM54" i="2"/>
  <c r="EM15" i="2"/>
  <c r="EM78" i="2"/>
  <c r="EM45" i="2"/>
  <c r="EM23" i="2"/>
  <c r="EM29" i="2"/>
  <c r="EM41" i="2"/>
  <c r="EM60" i="2"/>
  <c r="EM22" i="2"/>
  <c r="EM14" i="2"/>
  <c r="EM35" i="2"/>
  <c r="EM86" i="2"/>
  <c r="EM50" i="2"/>
  <c r="EM20" i="2"/>
  <c r="EM58" i="2"/>
  <c r="EM75" i="2"/>
  <c r="EM32" i="2"/>
  <c r="EM8" i="2"/>
  <c r="EM83" i="2"/>
  <c r="EM81" i="2"/>
  <c r="EM94" i="2"/>
  <c r="EM79" i="2"/>
  <c r="EM47" i="2"/>
  <c r="EM43" i="2"/>
  <c r="EM85" i="2"/>
  <c r="EM51" i="2"/>
  <c r="EM61" i="2"/>
  <c r="EM77" i="2"/>
  <c r="EM70" i="2"/>
  <c r="EM101" i="2"/>
  <c r="EM71" i="2"/>
  <c r="EM33" i="2"/>
  <c r="EM16" i="2"/>
  <c r="EM62" i="2"/>
  <c r="EM82" i="2"/>
  <c r="EN102" i="2"/>
  <c r="EO50" i="2"/>
  <c r="EM9" i="2"/>
  <c r="EM24" i="2"/>
  <c r="EM80" i="2"/>
  <c r="EM93" i="2"/>
  <c r="EM49" i="2"/>
  <c r="EM87" i="2"/>
  <c r="EM91" i="2"/>
  <c r="EM52" i="2"/>
  <c r="EM48" i="2"/>
  <c r="EM25" i="2"/>
  <c r="EM73" i="2"/>
  <c r="EM88" i="2"/>
  <c r="EM18" i="2"/>
  <c r="EM28" i="2"/>
  <c r="EM65" i="2"/>
  <c r="EM97" i="2"/>
  <c r="EM64" i="2"/>
  <c r="EM67" i="2"/>
  <c r="EM84" i="2"/>
  <c r="EM95" i="2"/>
  <c r="EM53" i="2"/>
  <c r="EM68" i="2"/>
  <c r="EM55" i="2"/>
  <c r="EM74" i="2"/>
  <c r="EM66" i="2"/>
  <c r="EM42" i="2"/>
  <c r="EM34" i="2"/>
  <c r="EM59" i="2"/>
  <c r="EM90" i="2"/>
  <c r="EM99" i="2"/>
  <c r="EO66" i="2"/>
  <c r="EM13" i="2"/>
  <c r="EM17" i="2"/>
  <c r="EM44" i="2"/>
  <c r="EM37" i="2"/>
  <c r="EM92" i="2"/>
  <c r="EM72" i="2"/>
  <c r="EM46" i="2"/>
  <c r="EM38" i="2"/>
  <c r="EM30" i="2"/>
  <c r="EM19" i="2"/>
  <c r="EN100" i="2"/>
  <c r="EM12" i="2"/>
  <c r="EM31" i="2"/>
  <c r="EM21" i="2"/>
  <c r="EM27" i="2"/>
  <c r="EM98" i="2"/>
  <c r="EM100" i="2"/>
  <c r="EM69" i="2"/>
  <c r="EM89" i="2"/>
  <c r="EM36" i="2"/>
  <c r="EM11" i="2"/>
  <c r="EM7" i="2"/>
  <c r="EM76" i="2"/>
  <c r="EM96" i="2"/>
  <c r="EN101" i="2"/>
  <c r="EM10" i="2"/>
  <c r="EM39" i="2"/>
  <c r="EM40" i="2"/>
  <c r="EO38" i="2"/>
  <c r="EO101" i="2"/>
  <c r="EO100" i="2"/>
  <c r="EM102" i="2"/>
  <c r="EO35" i="2"/>
  <c r="EO85" i="2"/>
  <c r="EO34" i="2"/>
  <c r="EO52" i="2"/>
  <c r="EO55" i="2"/>
  <c r="EO15" i="2"/>
  <c r="EO33" i="2"/>
  <c r="EO30" i="2"/>
  <c r="EO17" i="2"/>
  <c r="EO16" i="2"/>
  <c r="EO83" i="2"/>
  <c r="EO90" i="2"/>
  <c r="EO47" i="2"/>
  <c r="EO58" i="2"/>
  <c r="EO20" i="2"/>
  <c r="EO51" i="2"/>
  <c r="EO88" i="2"/>
  <c r="EO53" i="2"/>
  <c r="EO76" i="2"/>
  <c r="EO74" i="2"/>
  <c r="EO13" i="2"/>
  <c r="EO92" i="2"/>
  <c r="EO42" i="2"/>
  <c r="EO82" i="2"/>
  <c r="EO77" i="2"/>
  <c r="EO32" i="2"/>
  <c r="EO36" i="2"/>
  <c r="EO27" i="2"/>
  <c r="EO86" i="2"/>
  <c r="EO31" i="2"/>
  <c r="EO84" i="2"/>
  <c r="EO8" i="2"/>
  <c r="EO23" i="2"/>
  <c r="EO14" i="2"/>
  <c r="EO9" i="2"/>
  <c r="EO60" i="2"/>
  <c r="EO25" i="2"/>
  <c r="EO10" i="2"/>
  <c r="EO63" i="2"/>
  <c r="EO99" i="2"/>
  <c r="EO72" i="2"/>
  <c r="EO54" i="2"/>
  <c r="EO93" i="2"/>
  <c r="EO89" i="2"/>
  <c r="EO71" i="2"/>
  <c r="EO80" i="2"/>
  <c r="EO79" i="2"/>
  <c r="EO65" i="2"/>
  <c r="EO69" i="2"/>
  <c r="EO68" i="2"/>
  <c r="EO7" i="2"/>
  <c r="EO56" i="2"/>
  <c r="EO12" i="2"/>
  <c r="EO18" i="2"/>
  <c r="EO49" i="2"/>
  <c r="EO67" i="2"/>
  <c r="EO39" i="2"/>
  <c r="EO29" i="2"/>
  <c r="EO43" i="2"/>
  <c r="EO45" i="2"/>
  <c r="EO78" i="2"/>
  <c r="EO95" i="2"/>
  <c r="EO44" i="2"/>
  <c r="EO75" i="2"/>
  <c r="EO22" i="2"/>
  <c r="EO64" i="2"/>
  <c r="EO11" i="2"/>
  <c r="EO73" i="2"/>
  <c r="EO98" i="2"/>
  <c r="EO62" i="2"/>
  <c r="EO91" i="2"/>
  <c r="EO87" i="2"/>
  <c r="EO41" i="2"/>
  <c r="EO61" i="2"/>
  <c r="EO26" i="2"/>
  <c r="EO46" i="2"/>
  <c r="EO59" i="2"/>
  <c r="EO96" i="2"/>
  <c r="EN96" i="2"/>
  <c r="EO70" i="2"/>
  <c r="EO37" i="2"/>
  <c r="EO24" i="2"/>
  <c r="EO81" i="2"/>
  <c r="EO94" i="2"/>
  <c r="EO28" i="2"/>
  <c r="EO40" i="2"/>
  <c r="EO19" i="2"/>
  <c r="EO48" i="2"/>
  <c r="EO97" i="2"/>
  <c r="EO57" i="2"/>
  <c r="EO21" i="2"/>
  <c r="EN98" i="2"/>
  <c r="EN97" i="2"/>
  <c r="EN99" i="2"/>
  <c r="GA55" i="2"/>
  <c r="FX57" i="2"/>
  <c r="GA56" i="2"/>
  <c r="EN15" i="2"/>
  <c r="EN71" i="2"/>
  <c r="EN82" i="2"/>
  <c r="EN8" i="2"/>
  <c r="EN25" i="2"/>
  <c r="EN74" i="2"/>
  <c r="EN36" i="2"/>
  <c r="EN79" i="2"/>
  <c r="EN20" i="2"/>
  <c r="EN22" i="2"/>
  <c r="EN89" i="2"/>
  <c r="EN44" i="2"/>
  <c r="EN87" i="2"/>
  <c r="EN83" i="2"/>
  <c r="EN81" i="2"/>
  <c r="EN52" i="2"/>
  <c r="EN42" i="2"/>
  <c r="EN53" i="2"/>
  <c r="EN65" i="2"/>
  <c r="EN24" i="2"/>
  <c r="EN16" i="2"/>
  <c r="EN9" i="2"/>
  <c r="EN63" i="2"/>
  <c r="EN49" i="2"/>
  <c r="EN40" i="2"/>
  <c r="EN56" i="2"/>
  <c r="EN73" i="2"/>
  <c r="EN77" i="2"/>
  <c r="EN26" i="2"/>
  <c r="EN29" i="2"/>
  <c r="EN95" i="2"/>
  <c r="EN78" i="2"/>
  <c r="EN45" i="2"/>
  <c r="EN64" i="2"/>
  <c r="EN91" i="2"/>
  <c r="EN12" i="2"/>
  <c r="EN92" i="2"/>
  <c r="EN72" i="2"/>
  <c r="EN61" i="2"/>
  <c r="EN47" i="2"/>
  <c r="EN93" i="2"/>
  <c r="EN31" i="2"/>
  <c r="EN38" i="2"/>
  <c r="EN18" i="2"/>
  <c r="EN86" i="2"/>
  <c r="EN35" i="2"/>
  <c r="EN11" i="2"/>
  <c r="EN90" i="2"/>
  <c r="EN30" i="2"/>
  <c r="EN43" i="2"/>
  <c r="EN68" i="2"/>
  <c r="EN48" i="2"/>
  <c r="EN84" i="2"/>
  <c r="EN50" i="2"/>
  <c r="EN51" i="2"/>
  <c r="EN59" i="2"/>
  <c r="EN13" i="2"/>
  <c r="EN34" i="2"/>
  <c r="EN66" i="2"/>
  <c r="EN27" i="2"/>
  <c r="EN76" i="2"/>
  <c r="EN46" i="2"/>
  <c r="EN85" i="2"/>
  <c r="EN70" i="2"/>
  <c r="EN28" i="2"/>
  <c r="EN33" i="2"/>
  <c r="EN60" i="2"/>
  <c r="EA60" i="2" s="1"/>
  <c r="EN67" i="2"/>
  <c r="EN37" i="2"/>
  <c r="EN39" i="2"/>
  <c r="EN75" i="2"/>
  <c r="EN10" i="2"/>
  <c r="EN17" i="2"/>
  <c r="EN14" i="2"/>
  <c r="EN62" i="2"/>
  <c r="EN7" i="2"/>
  <c r="EN32" i="2"/>
  <c r="EN55" i="2"/>
  <c r="EN58" i="2"/>
  <c r="EN69" i="2"/>
  <c r="EN80" i="2"/>
  <c r="EN23" i="2"/>
  <c r="EN19" i="2"/>
  <c r="EN41" i="2"/>
  <c r="EN94" i="2"/>
  <c r="EN88" i="2"/>
  <c r="EN21" i="2"/>
  <c r="EN57" i="2"/>
  <c r="EN54" i="2"/>
  <c r="EF103" i="2" l="1"/>
  <c r="EG104" i="2"/>
  <c r="EA6" i="2"/>
  <c r="EF6" i="2"/>
  <c r="EG6" i="2"/>
  <c r="EG5" i="2"/>
  <c r="EA5" i="2"/>
  <c r="EF5" i="2"/>
  <c r="EA104" i="2"/>
  <c r="EF104" i="2"/>
  <c r="EG102" i="2"/>
  <c r="EF102" i="2"/>
  <c r="EA102" i="2"/>
  <c r="EG103" i="2"/>
  <c r="EA103" i="2"/>
  <c r="EF51" i="2"/>
  <c r="EF75" i="2"/>
  <c r="A24" i="39"/>
  <c r="EG89" i="2"/>
  <c r="EF47" i="2"/>
  <c r="EA85" i="2"/>
  <c r="EF12" i="2"/>
  <c r="EG34" i="2"/>
  <c r="EF43" i="2"/>
  <c r="EG90" i="2"/>
  <c r="EA52" i="2"/>
  <c r="EG42" i="2"/>
  <c r="EG50" i="2"/>
  <c r="EF92" i="2"/>
  <c r="EA54" i="2"/>
  <c r="EF101" i="2"/>
  <c r="EF86" i="2"/>
  <c r="EA69" i="2"/>
  <c r="EG10" i="2"/>
  <c r="EF32" i="2"/>
  <c r="EF55" i="2"/>
  <c r="EF27" i="2"/>
  <c r="EG66" i="2"/>
  <c r="EG38" i="2"/>
  <c r="EG14" i="2"/>
  <c r="EF33" i="2"/>
  <c r="EG74" i="2"/>
  <c r="EG101" i="2"/>
  <c r="EF88" i="2"/>
  <c r="EF23" i="2"/>
  <c r="EF35" i="2"/>
  <c r="EG17" i="2"/>
  <c r="EF13" i="2"/>
  <c r="EF20" i="2"/>
  <c r="EF15" i="2"/>
  <c r="EF8" i="2"/>
  <c r="EG82" i="2"/>
  <c r="EF30" i="2"/>
  <c r="EA101" i="2"/>
  <c r="EF100" i="2"/>
  <c r="EG100" i="2"/>
  <c r="EA100" i="2"/>
  <c r="EF63" i="2"/>
  <c r="EF16" i="2"/>
  <c r="EF84" i="2"/>
  <c r="EA53" i="2"/>
  <c r="EA77" i="2"/>
  <c r="EF31" i="2"/>
  <c r="EF22" i="2"/>
  <c r="EG58" i="2"/>
  <c r="EA36" i="2"/>
  <c r="EA9" i="2"/>
  <c r="EA83" i="2"/>
  <c r="EA76" i="2"/>
  <c r="EA25" i="2"/>
  <c r="EG65" i="2"/>
  <c r="EF39" i="2"/>
  <c r="EA72" i="2"/>
  <c r="EG41" i="2"/>
  <c r="EA37" i="2"/>
  <c r="EA68" i="2"/>
  <c r="EG56" i="2"/>
  <c r="EF93" i="2"/>
  <c r="EF45" i="2"/>
  <c r="EF70" i="2"/>
  <c r="EF46" i="2"/>
  <c r="EF94" i="2"/>
  <c r="EA7" i="2"/>
  <c r="EF67" i="2"/>
  <c r="EF48" i="2"/>
  <c r="EG18" i="2"/>
  <c r="EF19" i="2"/>
  <c r="EA91" i="2"/>
  <c r="EF98" i="2"/>
  <c r="EA71" i="2"/>
  <c r="EF80" i="2"/>
  <c r="EF78" i="2"/>
  <c r="EF49" i="2"/>
  <c r="EA79" i="2"/>
  <c r="EA44" i="2"/>
  <c r="EF59" i="2"/>
  <c r="EF64" i="2"/>
  <c r="EA29" i="2"/>
  <c r="EA97" i="2"/>
  <c r="EG96" i="2"/>
  <c r="EG73" i="2"/>
  <c r="EG97" i="2"/>
  <c r="EA96" i="2"/>
  <c r="EF62" i="2"/>
  <c r="EA98" i="2"/>
  <c r="EG98" i="2"/>
  <c r="EF28" i="2"/>
  <c r="EF96" i="2"/>
  <c r="EF40" i="2"/>
  <c r="EF57" i="2"/>
  <c r="EG21" i="2"/>
  <c r="EF11" i="2"/>
  <c r="EA61" i="2"/>
  <c r="EF95" i="2"/>
  <c r="EF81" i="2"/>
  <c r="EG26" i="2"/>
  <c r="EG87" i="2"/>
  <c r="EF24" i="2"/>
  <c r="EF97" i="2"/>
  <c r="EG99" i="2"/>
  <c r="EA99" i="2"/>
  <c r="EF99" i="2"/>
  <c r="FX58" i="2"/>
  <c r="GA57" i="2"/>
  <c r="EG15" i="2"/>
  <c r="EG67" i="2"/>
  <c r="EA15" i="2"/>
  <c r="EF38" i="2"/>
  <c r="EF66" i="2"/>
  <c r="EG25" i="2"/>
  <c r="EF58" i="2"/>
  <c r="EA58" i="2"/>
  <c r="EA21" i="2"/>
  <c r="EA38" i="2"/>
  <c r="EA66" i="2"/>
  <c r="EG33" i="2"/>
  <c r="EG13" i="2"/>
  <c r="EG57" i="2"/>
  <c r="EA39" i="2"/>
  <c r="EF25" i="2"/>
  <c r="EG52" i="2"/>
  <c r="EF91" i="2"/>
  <c r="EG93" i="2"/>
  <c r="EG55" i="2"/>
  <c r="EF83" i="2"/>
  <c r="EA34" i="2"/>
  <c r="EF54" i="2"/>
  <c r="EF9" i="2"/>
  <c r="EG30" i="2"/>
  <c r="EF79" i="2"/>
  <c r="EA14" i="2"/>
  <c r="EA74" i="2"/>
  <c r="EG81" i="2"/>
  <c r="EA87" i="2"/>
  <c r="EG62" i="2"/>
  <c r="EF72" i="2"/>
  <c r="EA56" i="2"/>
  <c r="EG40" i="2"/>
  <c r="EA28" i="2"/>
  <c r="EG45" i="2"/>
  <c r="EG51" i="2"/>
  <c r="EA12" i="2"/>
  <c r="EA73" i="2"/>
  <c r="EG32" i="2"/>
  <c r="EA13" i="2"/>
  <c r="EA57" i="2"/>
  <c r="EA18" i="2"/>
  <c r="EF52" i="2"/>
  <c r="EG35" i="2"/>
  <c r="EA93" i="2"/>
  <c r="EA55" i="2"/>
  <c r="EA82" i="2"/>
  <c r="EF34" i="2"/>
  <c r="EG43" i="2"/>
  <c r="EG9" i="2"/>
  <c r="EA30" i="2"/>
  <c r="EG64" i="2"/>
  <c r="EF14" i="2"/>
  <c r="EF74" i="2"/>
  <c r="EG86" i="2"/>
  <c r="EF87" i="2"/>
  <c r="EA62" i="2"/>
  <c r="EF69" i="2"/>
  <c r="EF56" i="2"/>
  <c r="EA40" i="2"/>
  <c r="EA26" i="2"/>
  <c r="EA45" i="2"/>
  <c r="EA51" i="2"/>
  <c r="EG20" i="2"/>
  <c r="EF73" i="2"/>
  <c r="EA67" i="2"/>
  <c r="EG46" i="2"/>
  <c r="EA32" i="2"/>
  <c r="EG71" i="2"/>
  <c r="EF18" i="2"/>
  <c r="EF37" i="2"/>
  <c r="EA35" i="2"/>
  <c r="EG80" i="2"/>
  <c r="EF82" i="2"/>
  <c r="EG11" i="2"/>
  <c r="EA43" i="2"/>
  <c r="EG68" i="2"/>
  <c r="EA64" i="2"/>
  <c r="EF77" i="2"/>
  <c r="EA86" i="2"/>
  <c r="EG70" i="2"/>
  <c r="EG69" i="2"/>
  <c r="EA41" i="2"/>
  <c r="EF26" i="2"/>
  <c r="EG48" i="2"/>
  <c r="EA20" i="2"/>
  <c r="EA50" i="2"/>
  <c r="EG19" i="2"/>
  <c r="EA46" i="2"/>
  <c r="EG22" i="2"/>
  <c r="EF71" i="2"/>
  <c r="EG84" i="2"/>
  <c r="EG37" i="2"/>
  <c r="EG95" i="2"/>
  <c r="EA80" i="2"/>
  <c r="EG78" i="2"/>
  <c r="EA11" i="2"/>
  <c r="EA42" i="2"/>
  <c r="EF68" i="2"/>
  <c r="EG31" i="2"/>
  <c r="EG77" i="2"/>
  <c r="EF61" i="2"/>
  <c r="EA70" i="2"/>
  <c r="EG23" i="2"/>
  <c r="EF41" i="2"/>
  <c r="EG59" i="2"/>
  <c r="EA48" i="2"/>
  <c r="EA90" i="2"/>
  <c r="EF50" i="2"/>
  <c r="EA19" i="2"/>
  <c r="EG49" i="2"/>
  <c r="EA22" i="2"/>
  <c r="EA17" i="2"/>
  <c r="EA84" i="2"/>
  <c r="EG8" i="2"/>
  <c r="EA95" i="2"/>
  <c r="EF29" i="2"/>
  <c r="EB29" i="2" s="1"/>
  <c r="EA78" i="2"/>
  <c r="EA65" i="2"/>
  <c r="EF42" i="2"/>
  <c r="EG24" i="2"/>
  <c r="EA31" i="2"/>
  <c r="EB31" i="2" s="1"/>
  <c r="EG36" i="2"/>
  <c r="EG61" i="2"/>
  <c r="EG76" i="2"/>
  <c r="EA23" i="2"/>
  <c r="EG47" i="2"/>
  <c r="EA59" i="2"/>
  <c r="EG16" i="2"/>
  <c r="EF90" i="2"/>
  <c r="EG88" i="2"/>
  <c r="EA49" i="2"/>
  <c r="EA89" i="2"/>
  <c r="EF17" i="2"/>
  <c r="EG75" i="2"/>
  <c r="EA8" i="2"/>
  <c r="EG44" i="2"/>
  <c r="EG29" i="2"/>
  <c r="EA92" i="2"/>
  <c r="EF65" i="2"/>
  <c r="EF85" i="2"/>
  <c r="EA24" i="2"/>
  <c r="EF53" i="2"/>
  <c r="EF36" i="2"/>
  <c r="EG94" i="2"/>
  <c r="EF76" i="2"/>
  <c r="EA10" i="2"/>
  <c r="EA47" i="2"/>
  <c r="EG27" i="2"/>
  <c r="EA16" i="2"/>
  <c r="EB16" i="2" s="1"/>
  <c r="EG60" i="2"/>
  <c r="EA88" i="2"/>
  <c r="EG63" i="2"/>
  <c r="EF21" i="2"/>
  <c r="EF89" i="2"/>
  <c r="EA33" i="2"/>
  <c r="EB33" i="2" s="1"/>
  <c r="EA75" i="2"/>
  <c r="EG39" i="2"/>
  <c r="EF44" i="2"/>
  <c r="EG91" i="2"/>
  <c r="EG92" i="2"/>
  <c r="EG83" i="2"/>
  <c r="EG85" i="2"/>
  <c r="EG54" i="2"/>
  <c r="EG53" i="2"/>
  <c r="EG79" i="2"/>
  <c r="EA94" i="2"/>
  <c r="EA81" i="2"/>
  <c r="EF10" i="2"/>
  <c r="EG72" i="2"/>
  <c r="EA27" i="2"/>
  <c r="EG28" i="2"/>
  <c r="EF60" i="2"/>
  <c r="EB60" i="2" s="1"/>
  <c r="EG12" i="2"/>
  <c r="EA63" i="2"/>
  <c r="EG7" i="2"/>
  <c r="EF7" i="2"/>
  <c r="EB103" i="2" l="1"/>
  <c r="EB5" i="2"/>
  <c r="EB6" i="2"/>
  <c r="EB102" i="2"/>
  <c r="EB104" i="2"/>
  <c r="EB51" i="2"/>
  <c r="EB75" i="2"/>
  <c r="EB27" i="2"/>
  <c r="EB92" i="2"/>
  <c r="IF5" i="2"/>
  <c r="IA5" i="2" s="1"/>
  <c r="IB5" i="2" s="1"/>
  <c r="A25" i="39"/>
  <c r="EB12" i="2"/>
  <c r="EB77" i="2"/>
  <c r="EB47" i="2"/>
  <c r="EB35" i="2"/>
  <c r="EB54" i="2"/>
  <c r="EB52" i="2"/>
  <c r="EB85" i="2"/>
  <c r="EB43" i="2"/>
  <c r="EB30" i="2"/>
  <c r="EB86" i="2"/>
  <c r="EB13" i="2"/>
  <c r="EB15" i="2"/>
  <c r="EB98" i="2"/>
  <c r="EB69" i="2"/>
  <c r="EB32" i="2"/>
  <c r="EB101" i="2"/>
  <c r="EB8" i="2"/>
  <c r="EB36" i="2"/>
  <c r="EB63" i="2"/>
  <c r="EB88" i="2"/>
  <c r="EB55" i="2"/>
  <c r="EB23" i="2"/>
  <c r="EB100" i="2"/>
  <c r="EB20" i="2"/>
  <c r="EB83" i="2"/>
  <c r="EB48" i="2"/>
  <c r="EB68" i="2"/>
  <c r="EB76" i="2"/>
  <c r="EB84" i="2"/>
  <c r="EB53" i="2"/>
  <c r="EB78" i="2"/>
  <c r="EB22" i="2"/>
  <c r="EB61" i="2"/>
  <c r="EB64" i="2"/>
  <c r="EB39" i="2"/>
  <c r="EB46" i="2"/>
  <c r="EB72" i="2"/>
  <c r="EB9" i="2"/>
  <c r="EB25" i="2"/>
  <c r="EB94" i="2"/>
  <c r="EB37" i="2"/>
  <c r="EB95" i="2"/>
  <c r="EB71" i="2"/>
  <c r="EB79" i="2"/>
  <c r="EB44" i="2"/>
  <c r="EB19" i="2"/>
  <c r="EB45" i="2"/>
  <c r="EB93" i="2"/>
  <c r="EB99" i="2"/>
  <c r="EB7" i="2"/>
  <c r="EB11" i="2"/>
  <c r="EB62" i="2"/>
  <c r="EB91" i="2"/>
  <c r="EB59" i="2"/>
  <c r="EB67" i="2"/>
  <c r="EB70" i="2"/>
  <c r="EB80" i="2"/>
  <c r="EB40" i="2"/>
  <c r="EB28" i="2"/>
  <c r="EB49" i="2"/>
  <c r="EB97" i="2"/>
  <c r="EB24" i="2"/>
  <c r="EB96" i="2"/>
  <c r="EB57" i="2"/>
  <c r="EB81" i="2"/>
  <c r="EB58" i="2"/>
  <c r="FX59" i="2"/>
  <c r="GA58" i="2"/>
  <c r="EB14" i="2"/>
  <c r="EB50" i="2"/>
  <c r="EB56" i="2"/>
  <c r="EB21" i="2"/>
  <c r="EB65" i="2"/>
  <c r="EB66" i="2"/>
  <c r="EB82" i="2"/>
  <c r="EB42" i="2"/>
  <c r="EB87" i="2"/>
  <c r="EB34" i="2"/>
  <c r="EB38" i="2"/>
  <c r="EB17" i="2"/>
  <c r="EB18" i="2"/>
  <c r="EB74" i="2"/>
  <c r="EB73" i="2"/>
  <c r="EB26" i="2"/>
  <c r="EB89" i="2"/>
  <c r="EB90" i="2"/>
  <c r="EB10" i="2"/>
  <c r="EB41" i="2"/>
  <c r="IC5" i="2" l="1"/>
  <c r="IF6" i="2"/>
  <c r="IA6" i="2" s="1"/>
  <c r="A26" i="39"/>
  <c r="FX60" i="2"/>
  <c r="GA59" i="2"/>
  <c r="CO21" i="2"/>
  <c r="CY21" i="2"/>
  <c r="CP21" i="2" s="1"/>
  <c r="CZ21" i="2"/>
  <c r="CQ21" i="2" s="1"/>
  <c r="DA21" i="2"/>
  <c r="CR21" i="2" s="1"/>
  <c r="DB21" i="2"/>
  <c r="DC21" i="2"/>
  <c r="CS21" i="2" s="1"/>
  <c r="DD21" i="2"/>
  <c r="DE21" i="2"/>
  <c r="DF21" i="2"/>
  <c r="DG21" i="2"/>
  <c r="CU21" i="2" s="1"/>
  <c r="BR21" i="2"/>
  <c r="BS21" i="2"/>
  <c r="BT21" i="2"/>
  <c r="BU21" i="2"/>
  <c r="BV21" i="2"/>
  <c r="BW21" i="2"/>
  <c r="CH21" i="2"/>
  <c r="CI21" i="2"/>
  <c r="CJ21" i="2"/>
  <c r="CK21" i="2"/>
  <c r="CL21" i="2"/>
  <c r="BJ21" i="2"/>
  <c r="BK21" i="2"/>
  <c r="BL21" i="2"/>
  <c r="BM21" i="2"/>
  <c r="BN21" i="2"/>
  <c r="B8" i="16"/>
  <c r="P8" i="16" l="1" a="1"/>
  <c r="P8" i="16" s="1"/>
  <c r="O8" i="16" a="1"/>
  <c r="O8" i="16" s="1"/>
  <c r="N8" i="16" a="1"/>
  <c r="N8" i="16" s="1"/>
  <c r="W8" i="16" a="1"/>
  <c r="W8" i="16" s="1"/>
  <c r="X8" i="16" a="1"/>
  <c r="X8" i="16" s="1"/>
  <c r="I8" i="16" a="1"/>
  <c r="I8" i="16" s="1"/>
  <c r="T8" i="16" a="1"/>
  <c r="T8" i="16" s="1"/>
  <c r="J8" i="16" a="1"/>
  <c r="J8" i="16" s="1"/>
  <c r="U8" i="16" a="1"/>
  <c r="U8" i="16" s="1"/>
  <c r="C8" i="16" a="1"/>
  <c r="C8" i="16" s="1"/>
  <c r="K8" i="16" a="1"/>
  <c r="K8" i="16" s="1"/>
  <c r="D8" i="16" a="1"/>
  <c r="D8" i="16" s="1"/>
  <c r="L8" i="16" a="1"/>
  <c r="L8" i="16" s="1"/>
  <c r="V8" i="16" a="1"/>
  <c r="V8" i="16" s="1"/>
  <c r="E8" i="16" a="1"/>
  <c r="E8" i="16" s="1"/>
  <c r="M8" i="16" a="1"/>
  <c r="M8" i="16" s="1"/>
  <c r="Y8" i="16" a="1"/>
  <c r="Y8" i="16" s="1"/>
  <c r="F8" i="16" a="1"/>
  <c r="F8" i="16" s="1"/>
  <c r="Q8" i="16" a="1"/>
  <c r="Q8" i="16" s="1"/>
  <c r="G8" i="16" a="1"/>
  <c r="G8" i="16" s="1"/>
  <c r="H8" i="16" a="1"/>
  <c r="H8" i="16" s="1"/>
  <c r="R8" i="16" a="1"/>
  <c r="R8" i="16" s="1"/>
  <c r="S8" i="16" a="1"/>
  <c r="S8" i="16" s="1"/>
  <c r="A27" i="39"/>
  <c r="M1" i="16"/>
  <c r="L1" i="16"/>
  <c r="K1" i="16"/>
  <c r="B9" i="16"/>
  <c r="H1" i="16"/>
  <c r="R1" i="16"/>
  <c r="V1" i="16"/>
  <c r="U1" i="16"/>
  <c r="T1" i="16"/>
  <c r="S1" i="16"/>
  <c r="FX61" i="2"/>
  <c r="GA60" i="2"/>
  <c r="J1" i="16"/>
  <c r="G1" i="16"/>
  <c r="D1" i="16"/>
  <c r="Q1" i="16"/>
  <c r="F1" i="16"/>
  <c r="CT21" i="2"/>
  <c r="I1" i="16"/>
  <c r="E1" i="16"/>
  <c r="B10" i="16"/>
  <c r="P10" i="16" l="1" a="1"/>
  <c r="P10" i="16" s="1"/>
  <c r="O10" i="16" a="1"/>
  <c r="O10" i="16" s="1"/>
  <c r="N10" i="16" a="1"/>
  <c r="N10" i="16" s="1"/>
  <c r="W10" i="16" a="1"/>
  <c r="W10" i="16" s="1"/>
  <c r="X10" i="16" a="1"/>
  <c r="X10" i="16" s="1"/>
  <c r="Y10" i="16" a="1"/>
  <c r="Y10" i="16" s="1"/>
  <c r="D10" i="16" a="1"/>
  <c r="D10" i="16" s="1"/>
  <c r="L10" i="16" a="1"/>
  <c r="L10" i="16" s="1"/>
  <c r="V10" i="16" a="1"/>
  <c r="V10" i="16" s="1"/>
  <c r="E10" i="16" a="1"/>
  <c r="E10" i="16" s="1"/>
  <c r="M10" i="16" a="1"/>
  <c r="M10" i="16" s="1"/>
  <c r="F10" i="16" a="1"/>
  <c r="F10" i="16" s="1"/>
  <c r="Q10" i="16" a="1"/>
  <c r="Q10" i="16" s="1"/>
  <c r="G10" i="16" a="1"/>
  <c r="G10" i="16" s="1"/>
  <c r="R10" i="16" a="1"/>
  <c r="R10" i="16" s="1"/>
  <c r="H10" i="16" a="1"/>
  <c r="H10" i="16" s="1"/>
  <c r="S10" i="16" a="1"/>
  <c r="S10" i="16" s="1"/>
  <c r="I10" i="16" a="1"/>
  <c r="I10" i="16" s="1"/>
  <c r="C10" i="16" a="1"/>
  <c r="C10" i="16" s="1"/>
  <c r="J10" i="16" a="1"/>
  <c r="J10" i="16" s="1"/>
  <c r="K10" i="16" a="1"/>
  <c r="K10" i="16" s="1"/>
  <c r="T10" i="16" a="1"/>
  <c r="T10" i="16" s="1"/>
  <c r="U10" i="16" a="1"/>
  <c r="U10" i="16" s="1"/>
  <c r="N9" i="16" a="1"/>
  <c r="N9" i="16" s="1"/>
  <c r="P9" i="16" a="1"/>
  <c r="P9" i="16" s="1"/>
  <c r="O9" i="16" a="1"/>
  <c r="O9" i="16" s="1"/>
  <c r="X9" i="16" a="1"/>
  <c r="X9" i="16" s="1"/>
  <c r="Y9" i="16" a="1"/>
  <c r="Y9" i="16" s="1"/>
  <c r="G9" i="16" a="1"/>
  <c r="G9" i="16" s="1"/>
  <c r="Q9" i="16" a="1"/>
  <c r="Q9" i="16" s="1"/>
  <c r="H9" i="16" a="1"/>
  <c r="H9" i="16" s="1"/>
  <c r="R9" i="16" a="1"/>
  <c r="R9" i="16" s="1"/>
  <c r="I9" i="16" a="1"/>
  <c r="I9" i="16" s="1"/>
  <c r="S9" i="16" a="1"/>
  <c r="S9" i="16" s="1"/>
  <c r="T9" i="16" a="1"/>
  <c r="T9" i="16" s="1"/>
  <c r="C9" i="16" a="1"/>
  <c r="C9" i="16" s="1"/>
  <c r="J9" i="16" a="1"/>
  <c r="J9" i="16" s="1"/>
  <c r="D9" i="16" a="1"/>
  <c r="D9" i="16" s="1"/>
  <c r="K9" i="16" a="1"/>
  <c r="K9" i="16" s="1"/>
  <c r="U9" i="16" a="1"/>
  <c r="U9" i="16" s="1"/>
  <c r="L9" i="16" a="1"/>
  <c r="L9" i="16" s="1"/>
  <c r="M9" i="16" a="1"/>
  <c r="M9" i="16" s="1"/>
  <c r="V9" i="16" a="1"/>
  <c r="V9" i="16" s="1"/>
  <c r="W9" i="16" a="1"/>
  <c r="W9" i="16" s="1"/>
  <c r="E9" i="16" a="1"/>
  <c r="E9" i="16" s="1"/>
  <c r="F9" i="16" a="1"/>
  <c r="F9" i="16" s="1"/>
  <c r="IF7" i="2"/>
  <c r="IA7" i="2" s="1"/>
  <c r="A28" i="39"/>
  <c r="FX62" i="2"/>
  <c r="GA61" i="2"/>
  <c r="B11" i="16"/>
  <c r="P11" i="16" l="1" a="1"/>
  <c r="P11" i="16" s="1"/>
  <c r="O11" i="16" a="1"/>
  <c r="O11" i="16" s="1"/>
  <c r="N11" i="16" a="1"/>
  <c r="N11" i="16" s="1"/>
  <c r="W11" i="16" a="1"/>
  <c r="W11" i="16" s="1"/>
  <c r="Y11" i="16" a="1"/>
  <c r="Y11" i="16" s="1"/>
  <c r="I11" i="16" a="1"/>
  <c r="I11" i="16" s="1"/>
  <c r="S11" i="16" a="1"/>
  <c r="S11" i="16" s="1"/>
  <c r="C11" i="16" a="1"/>
  <c r="C11" i="16" s="1"/>
  <c r="J11" i="16" a="1"/>
  <c r="J11" i="16" s="1"/>
  <c r="T11" i="16" a="1"/>
  <c r="T11" i="16" s="1"/>
  <c r="D11" i="16" a="1"/>
  <c r="D11" i="16" s="1"/>
  <c r="K11" i="16" a="1"/>
  <c r="K11" i="16" s="1"/>
  <c r="U11" i="16" a="1"/>
  <c r="U11" i="16" s="1"/>
  <c r="E11" i="16" a="1"/>
  <c r="E11" i="16" s="1"/>
  <c r="L11" i="16" a="1"/>
  <c r="L11" i="16" s="1"/>
  <c r="V11" i="16" a="1"/>
  <c r="V11" i="16" s="1"/>
  <c r="F11" i="16" a="1"/>
  <c r="F11" i="16" s="1"/>
  <c r="M11" i="16" a="1"/>
  <c r="M11" i="16" s="1"/>
  <c r="G11" i="16" a="1"/>
  <c r="G11" i="16" s="1"/>
  <c r="Q11" i="16" a="1"/>
  <c r="Q11" i="16" s="1"/>
  <c r="H11" i="16" a="1"/>
  <c r="H11" i="16" s="1"/>
  <c r="R11" i="16" a="1"/>
  <c r="R11" i="16" s="1"/>
  <c r="X11" i="16" a="1"/>
  <c r="X11" i="16" s="1"/>
  <c r="IF8" i="2"/>
  <c r="IA8" i="2" s="1"/>
  <c r="IF9" i="2"/>
  <c r="IA9" i="2" s="1"/>
  <c r="A29" i="39"/>
  <c r="FX63" i="2"/>
  <c r="GA62" i="2"/>
  <c r="B12" i="16"/>
  <c r="P12" i="16" l="1" a="1"/>
  <c r="P12" i="16" s="1"/>
  <c r="O12" i="16" a="1"/>
  <c r="O12" i="16" s="1"/>
  <c r="N12" i="16" a="1"/>
  <c r="N12" i="16" s="1"/>
  <c r="W12" i="16" a="1"/>
  <c r="W12" i="16" s="1"/>
  <c r="X12" i="16" a="1"/>
  <c r="X12" i="16" s="1"/>
  <c r="Y12" i="16" a="1"/>
  <c r="Y12" i="16" s="1"/>
  <c r="G12" i="16" a="1"/>
  <c r="G12" i="16" s="1"/>
  <c r="R12" i="16" a="1"/>
  <c r="R12" i="16" s="1"/>
  <c r="H12" i="16" a="1"/>
  <c r="H12" i="16" s="1"/>
  <c r="S12" i="16" a="1"/>
  <c r="S12" i="16" s="1"/>
  <c r="I12" i="16" a="1"/>
  <c r="I12" i="16" s="1"/>
  <c r="T12" i="16" a="1"/>
  <c r="T12" i="16" s="1"/>
  <c r="J12" i="16" a="1"/>
  <c r="J12" i="16" s="1"/>
  <c r="U12" i="16" a="1"/>
  <c r="U12" i="16" s="1"/>
  <c r="C12" i="16" a="1"/>
  <c r="C12" i="16" s="1"/>
  <c r="K12" i="16" a="1"/>
  <c r="K12" i="16" s="1"/>
  <c r="V12" i="16" a="1"/>
  <c r="V12" i="16" s="1"/>
  <c r="D12" i="16" a="1"/>
  <c r="D12" i="16" s="1"/>
  <c r="L12" i="16" a="1"/>
  <c r="L12" i="16" s="1"/>
  <c r="E12" i="16" a="1"/>
  <c r="E12" i="16" s="1"/>
  <c r="F12" i="16" a="1"/>
  <c r="F12" i="16" s="1"/>
  <c r="M12" i="16" a="1"/>
  <c r="M12" i="16" s="1"/>
  <c r="Q12" i="16" a="1"/>
  <c r="Q12" i="16" s="1"/>
  <c r="IF10" i="2"/>
  <c r="A30" i="39"/>
  <c r="FX64" i="2"/>
  <c r="GA63" i="2"/>
  <c r="B13" i="16"/>
  <c r="P13" i="16" l="1" a="1"/>
  <c r="P13" i="16" s="1"/>
  <c r="O13" i="16" a="1"/>
  <c r="O13" i="16" s="1"/>
  <c r="N13" i="16" a="1"/>
  <c r="N13" i="16" s="1"/>
  <c r="W13" i="16" a="1"/>
  <c r="W13" i="16" s="1"/>
  <c r="M13" i="16" a="1"/>
  <c r="M13" i="16" s="1"/>
  <c r="X13" i="16" a="1"/>
  <c r="X13" i="16" s="1"/>
  <c r="F13" i="16" a="1"/>
  <c r="F13" i="16" s="1"/>
  <c r="Y13" i="16" a="1"/>
  <c r="Y13" i="16" s="1"/>
  <c r="G13" i="16" a="1"/>
  <c r="G13" i="16" s="1"/>
  <c r="Q13" i="16" a="1"/>
  <c r="Q13" i="16" s="1"/>
  <c r="H13" i="16" a="1"/>
  <c r="H13" i="16" s="1"/>
  <c r="R13" i="16" a="1"/>
  <c r="R13" i="16" s="1"/>
  <c r="I13" i="16" a="1"/>
  <c r="I13" i="16" s="1"/>
  <c r="S13" i="16" a="1"/>
  <c r="S13" i="16" s="1"/>
  <c r="C13" i="16" a="1"/>
  <c r="C13" i="16" s="1"/>
  <c r="J13" i="16" a="1"/>
  <c r="J13" i="16" s="1"/>
  <c r="T13" i="16" a="1"/>
  <c r="T13" i="16" s="1"/>
  <c r="D13" i="16" a="1"/>
  <c r="D13" i="16" s="1"/>
  <c r="E13" i="16" a="1"/>
  <c r="E13" i="16" s="1"/>
  <c r="K13" i="16" a="1"/>
  <c r="K13" i="16" s="1"/>
  <c r="L13" i="16" a="1"/>
  <c r="L13" i="16" s="1"/>
  <c r="U13" i="16" a="1"/>
  <c r="U13" i="16" s="1"/>
  <c r="V13" i="16" a="1"/>
  <c r="V13" i="16" s="1"/>
  <c r="IA10" i="2"/>
  <c r="A31" i="39"/>
  <c r="FX65" i="2"/>
  <c r="GA64" i="2"/>
  <c r="B14" i="16"/>
  <c r="O14" i="16" l="1" a="1"/>
  <c r="O14" i="16" s="1"/>
  <c r="N14" i="16" a="1"/>
  <c r="N14" i="16" s="1"/>
  <c r="P14" i="16" a="1"/>
  <c r="P14" i="16" s="1"/>
  <c r="W14" i="16" a="1"/>
  <c r="W14" i="16" s="1"/>
  <c r="X14" i="16" a="1"/>
  <c r="X14" i="16" s="1"/>
  <c r="Y14" i="16" a="1"/>
  <c r="Y14" i="16" s="1"/>
  <c r="C14" i="16" a="1"/>
  <c r="C14" i="16" s="1"/>
  <c r="K14" i="16" a="1"/>
  <c r="K14" i="16" s="1"/>
  <c r="U14" i="16" a="1"/>
  <c r="U14" i="16" s="1"/>
  <c r="D14" i="16" a="1"/>
  <c r="D14" i="16" s="1"/>
  <c r="L14" i="16" a="1"/>
  <c r="L14" i="16" s="1"/>
  <c r="V14" i="16" a="1"/>
  <c r="V14" i="16" s="1"/>
  <c r="E14" i="16" a="1"/>
  <c r="E14" i="16" s="1"/>
  <c r="F14" i="16" a="1"/>
  <c r="F14" i="16" s="1"/>
  <c r="M14" i="16" a="1"/>
  <c r="M14" i="16" s="1"/>
  <c r="G14" i="16" a="1"/>
  <c r="G14" i="16" s="1"/>
  <c r="Q14" i="16" a="1"/>
  <c r="Q14" i="16" s="1"/>
  <c r="H14" i="16" a="1"/>
  <c r="H14" i="16" s="1"/>
  <c r="R14" i="16" a="1"/>
  <c r="R14" i="16" s="1"/>
  <c r="S14" i="16" a="1"/>
  <c r="S14" i="16" s="1"/>
  <c r="T14" i="16" a="1"/>
  <c r="T14" i="16" s="1"/>
  <c r="I14" i="16" a="1"/>
  <c r="I14" i="16" s="1"/>
  <c r="J14" i="16" a="1"/>
  <c r="J14" i="16" s="1"/>
  <c r="IF11" i="2"/>
  <c r="IA11" i="2" s="1"/>
  <c r="IF12" i="2"/>
  <c r="IA12" i="2" s="1"/>
  <c r="A32" i="39"/>
  <c r="FX66" i="2"/>
  <c r="GA65" i="2"/>
  <c r="B15" i="16"/>
  <c r="P15" i="16" l="1" a="1"/>
  <c r="P15" i="16" s="1"/>
  <c r="O15" i="16" a="1"/>
  <c r="O15" i="16" s="1"/>
  <c r="N15" i="16" a="1"/>
  <c r="N15" i="16" s="1"/>
  <c r="W15" i="16" a="1"/>
  <c r="W15" i="16" s="1"/>
  <c r="X15" i="16" a="1"/>
  <c r="X15" i="16" s="1"/>
  <c r="Y15" i="16" a="1"/>
  <c r="Y15" i="16" s="1"/>
  <c r="H15" i="16" a="1"/>
  <c r="H15" i="16" s="1"/>
  <c r="R15" i="16" a="1"/>
  <c r="R15" i="16" s="1"/>
  <c r="I15" i="16" a="1"/>
  <c r="I15" i="16" s="1"/>
  <c r="S15" i="16" a="1"/>
  <c r="S15" i="16" s="1"/>
  <c r="C15" i="16" a="1"/>
  <c r="C15" i="16" s="1"/>
  <c r="J15" i="16" a="1"/>
  <c r="J15" i="16" s="1"/>
  <c r="T15" i="16" a="1"/>
  <c r="T15" i="16" s="1"/>
  <c r="K15" i="16" a="1"/>
  <c r="K15" i="16" s="1"/>
  <c r="U15" i="16" a="1"/>
  <c r="U15" i="16" s="1"/>
  <c r="D15" i="16" a="1"/>
  <c r="D15" i="16" s="1"/>
  <c r="V15" i="16" a="1"/>
  <c r="V15" i="16" s="1"/>
  <c r="E15" i="16" a="1"/>
  <c r="E15" i="16" s="1"/>
  <c r="L15" i="16" a="1"/>
  <c r="L15" i="16" s="1"/>
  <c r="F15" i="16" a="1"/>
  <c r="F15" i="16" s="1"/>
  <c r="G15" i="16" a="1"/>
  <c r="G15" i="16" s="1"/>
  <c r="M15" i="16" a="1"/>
  <c r="M15" i="16" s="1"/>
  <c r="Q15" i="16" a="1"/>
  <c r="Q15" i="16" s="1"/>
  <c r="IF13" i="2"/>
  <c r="IA13" i="2" s="1"/>
  <c r="A33" i="39"/>
  <c r="FX67" i="2"/>
  <c r="GA66" i="2"/>
  <c r="B16" i="16"/>
  <c r="N16" i="16" l="1" a="1"/>
  <c r="N16" i="16" s="1"/>
  <c r="P16" i="16" a="1"/>
  <c r="P16" i="16" s="1"/>
  <c r="O16" i="16" a="1"/>
  <c r="O16" i="16" s="1"/>
  <c r="Y16" i="16" a="1"/>
  <c r="Y16" i="16" s="1"/>
  <c r="F16" i="16" a="1"/>
  <c r="F16" i="16" s="1"/>
  <c r="M16" i="16" a="1"/>
  <c r="M16" i="16" s="1"/>
  <c r="G16" i="16" a="1"/>
  <c r="G16" i="16" s="1"/>
  <c r="Q16" i="16" a="1"/>
  <c r="Q16" i="16" s="1"/>
  <c r="H16" i="16" a="1"/>
  <c r="H16" i="16" s="1"/>
  <c r="R16" i="16" a="1"/>
  <c r="R16" i="16" s="1"/>
  <c r="W16" i="16" a="1"/>
  <c r="W16" i="16" s="1"/>
  <c r="I16" i="16" a="1"/>
  <c r="I16" i="16" s="1"/>
  <c r="S16" i="16" a="1"/>
  <c r="S16" i="16" s="1"/>
  <c r="X16" i="16" a="1"/>
  <c r="X16" i="16" s="1"/>
  <c r="J16" i="16" a="1"/>
  <c r="J16" i="16" s="1"/>
  <c r="T16" i="16" a="1"/>
  <c r="T16" i="16" s="1"/>
  <c r="C16" i="16" a="1"/>
  <c r="C16" i="16" s="1"/>
  <c r="K16" i="16" a="1"/>
  <c r="K16" i="16" s="1"/>
  <c r="L16" i="16" a="1"/>
  <c r="L16" i="16" s="1"/>
  <c r="U16" i="16" a="1"/>
  <c r="U16" i="16" s="1"/>
  <c r="V16" i="16" a="1"/>
  <c r="V16" i="16" s="1"/>
  <c r="D16" i="16" a="1"/>
  <c r="D16" i="16" s="1"/>
  <c r="E16" i="16" a="1"/>
  <c r="E16" i="16" s="1"/>
  <c r="IF14" i="2"/>
  <c r="IA14" i="2" s="1"/>
  <c r="A34" i="39"/>
  <c r="FX68" i="2"/>
  <c r="GA67" i="2"/>
  <c r="B17" i="16"/>
  <c r="P17" i="16" l="1" a="1"/>
  <c r="P17" i="16" s="1"/>
  <c r="O17" i="16" a="1"/>
  <c r="O17" i="16" s="1"/>
  <c r="N17" i="16" a="1"/>
  <c r="N17" i="16" s="1"/>
  <c r="W17" i="16" a="1"/>
  <c r="W17" i="16" s="1"/>
  <c r="X17" i="16" a="1"/>
  <c r="X17" i="16" s="1"/>
  <c r="Y17" i="16" a="1"/>
  <c r="Y17" i="16" s="1"/>
  <c r="C17" i="16" a="1"/>
  <c r="C17" i="16" s="1"/>
  <c r="J17" i="16" a="1"/>
  <c r="J17" i="16" s="1"/>
  <c r="U17" i="16" a="1"/>
  <c r="U17" i="16" s="1"/>
  <c r="D17" i="16" a="1"/>
  <c r="D17" i="16" s="1"/>
  <c r="K17" i="16" a="1"/>
  <c r="K17" i="16" s="1"/>
  <c r="V17" i="16" a="1"/>
  <c r="V17" i="16" s="1"/>
  <c r="E17" i="16" a="1"/>
  <c r="E17" i="16" s="1"/>
  <c r="L17" i="16" a="1"/>
  <c r="L17" i="16" s="1"/>
  <c r="F17" i="16" a="1"/>
  <c r="F17" i="16" s="1"/>
  <c r="M17" i="16" a="1"/>
  <c r="M17" i="16" s="1"/>
  <c r="G17" i="16" a="1"/>
  <c r="G17" i="16" s="1"/>
  <c r="Q17" i="16" a="1"/>
  <c r="Q17" i="16" s="1"/>
  <c r="R17" i="16" a="1"/>
  <c r="R17" i="16" s="1"/>
  <c r="S17" i="16" a="1"/>
  <c r="S17" i="16" s="1"/>
  <c r="T17" i="16" a="1"/>
  <c r="T17" i="16" s="1"/>
  <c r="H17" i="16" a="1"/>
  <c r="H17" i="16" s="1"/>
  <c r="I17" i="16" a="1"/>
  <c r="I17" i="16" s="1"/>
  <c r="A35" i="39"/>
  <c r="FX69" i="2"/>
  <c r="GA68" i="2"/>
  <c r="B18" i="16"/>
  <c r="N18" i="16" l="1" a="1"/>
  <c r="N18" i="16" s="1"/>
  <c r="P18" i="16" a="1"/>
  <c r="P18" i="16" s="1"/>
  <c r="O18" i="16" a="1"/>
  <c r="O18" i="16" s="1"/>
  <c r="W18" i="16" a="1"/>
  <c r="W18" i="16" s="1"/>
  <c r="S18" i="16" a="1"/>
  <c r="S18" i="16" s="1"/>
  <c r="I18" i="16" a="1"/>
  <c r="I18" i="16" s="1"/>
  <c r="C18" i="16" a="1"/>
  <c r="C18" i="16" s="1"/>
  <c r="J18" i="16" a="1"/>
  <c r="J18" i="16" s="1"/>
  <c r="T18" i="16" a="1"/>
  <c r="T18" i="16" s="1"/>
  <c r="D18" i="16" a="1"/>
  <c r="D18" i="16" s="1"/>
  <c r="K18" i="16" a="1"/>
  <c r="K18" i="16" s="1"/>
  <c r="U18" i="16" a="1"/>
  <c r="U18" i="16" s="1"/>
  <c r="E18" i="16" a="1"/>
  <c r="E18" i="16" s="1"/>
  <c r="L18" i="16" a="1"/>
  <c r="L18" i="16" s="1"/>
  <c r="V18" i="16" a="1"/>
  <c r="V18" i="16" s="1"/>
  <c r="X18" i="16" a="1"/>
  <c r="X18" i="16" s="1"/>
  <c r="Q18" i="16" a="1"/>
  <c r="Q18" i="16" s="1"/>
  <c r="R18" i="16" a="1"/>
  <c r="R18" i="16" s="1"/>
  <c r="F18" i="16" a="1"/>
  <c r="F18" i="16" s="1"/>
  <c r="G18" i="16" a="1"/>
  <c r="G18" i="16" s="1"/>
  <c r="H18" i="16" a="1"/>
  <c r="H18" i="16" s="1"/>
  <c r="M18" i="16" a="1"/>
  <c r="M18" i="16" s="1"/>
  <c r="Y18" i="16" a="1"/>
  <c r="Y18" i="16" s="1"/>
  <c r="IF15" i="2"/>
  <c r="IA15" i="2" s="1"/>
  <c r="A36" i="39"/>
  <c r="FX70" i="2"/>
  <c r="GA69" i="2"/>
  <c r="B19" i="16"/>
  <c r="P19" i="16" l="1" a="1"/>
  <c r="P19" i="16" s="1"/>
  <c r="O19" i="16" a="1"/>
  <c r="O19" i="16" s="1"/>
  <c r="N19" i="16" a="1"/>
  <c r="N19" i="16" s="1"/>
  <c r="W19" i="16" a="1"/>
  <c r="W19" i="16" s="1"/>
  <c r="X19" i="16" a="1"/>
  <c r="X19" i="16" s="1"/>
  <c r="Y19" i="16" a="1"/>
  <c r="Y19" i="16" s="1"/>
  <c r="F19" i="16" a="1"/>
  <c r="F19" i="16" s="1"/>
  <c r="M19" i="16" a="1"/>
  <c r="M19" i="16" s="1"/>
  <c r="G19" i="16" a="1"/>
  <c r="G19" i="16" s="1"/>
  <c r="Q19" i="16" a="1"/>
  <c r="Q19" i="16" s="1"/>
  <c r="R19" i="16" a="1"/>
  <c r="R19" i="16" s="1"/>
  <c r="H19" i="16" a="1"/>
  <c r="H19" i="16" s="1"/>
  <c r="S19" i="16" a="1"/>
  <c r="S19" i="16" s="1"/>
  <c r="I19" i="16" a="1"/>
  <c r="I19" i="16" s="1"/>
  <c r="T19" i="16" a="1"/>
  <c r="T19" i="16" s="1"/>
  <c r="U19" i="16" a="1"/>
  <c r="U19" i="16" s="1"/>
  <c r="V19" i="16" a="1"/>
  <c r="V19" i="16" s="1"/>
  <c r="C19" i="16" a="1"/>
  <c r="C19" i="16" s="1"/>
  <c r="D19" i="16" a="1"/>
  <c r="D19" i="16" s="1"/>
  <c r="E19" i="16" a="1"/>
  <c r="E19" i="16" s="1"/>
  <c r="J19" i="16" a="1"/>
  <c r="J19" i="16" s="1"/>
  <c r="K19" i="16" a="1"/>
  <c r="K19" i="16" s="1"/>
  <c r="L19" i="16" a="1"/>
  <c r="L19" i="16" s="1"/>
  <c r="IF16" i="2"/>
  <c r="IA16" i="2" s="1"/>
  <c r="IF17" i="2"/>
  <c r="IA17" i="2" s="1"/>
  <c r="A37" i="39"/>
  <c r="FX71" i="2"/>
  <c r="GA70" i="2"/>
  <c r="B20" i="16"/>
  <c r="P20" i="16" l="1" a="1"/>
  <c r="P20" i="16" s="1"/>
  <c r="O20" i="16" a="1"/>
  <c r="O20" i="16" s="1"/>
  <c r="N20" i="16" a="1"/>
  <c r="N20" i="16" s="1"/>
  <c r="W20" i="16" a="1"/>
  <c r="W20" i="16" s="1"/>
  <c r="X20" i="16" a="1"/>
  <c r="X20" i="16" s="1"/>
  <c r="Y20" i="16" a="1"/>
  <c r="Y20" i="16" s="1"/>
  <c r="E20" i="16" a="1"/>
  <c r="E20" i="16" s="1"/>
  <c r="F20" i="16" a="1"/>
  <c r="F20" i="16" s="1"/>
  <c r="M20" i="16" a="1"/>
  <c r="M20" i="16" s="1"/>
  <c r="Q20" i="16" a="1"/>
  <c r="Q20" i="16" s="1"/>
  <c r="G20" i="16" a="1"/>
  <c r="G20" i="16" s="1"/>
  <c r="L20" i="16" a="1"/>
  <c r="L20" i="16" s="1"/>
  <c r="C20" i="16" a="1"/>
  <c r="C20" i="16" s="1"/>
  <c r="R20" i="16" a="1"/>
  <c r="R20" i="16" s="1"/>
  <c r="D20" i="16" a="1"/>
  <c r="D20" i="16" s="1"/>
  <c r="S20" i="16" a="1"/>
  <c r="S20" i="16" s="1"/>
  <c r="H20" i="16" a="1"/>
  <c r="H20" i="16" s="1"/>
  <c r="T20" i="16" a="1"/>
  <c r="T20" i="16" s="1"/>
  <c r="I20" i="16" a="1"/>
  <c r="I20" i="16" s="1"/>
  <c r="U20" i="16" a="1"/>
  <c r="U20" i="16" s="1"/>
  <c r="J20" i="16" a="1"/>
  <c r="J20" i="16" s="1"/>
  <c r="V20" i="16" a="1"/>
  <c r="V20" i="16" s="1"/>
  <c r="K20" i="16" a="1"/>
  <c r="K20" i="16" s="1"/>
  <c r="IF18" i="2"/>
  <c r="IA18" i="2" s="1"/>
  <c r="A38" i="39"/>
  <c r="FX72" i="2"/>
  <c r="GA71" i="2"/>
  <c r="B21" i="16"/>
  <c r="O21" i="16" l="1" a="1"/>
  <c r="O21" i="16" s="1"/>
  <c r="N21" i="16" a="1"/>
  <c r="N21" i="16" s="1"/>
  <c r="P21" i="16" a="1"/>
  <c r="P21" i="16" s="1"/>
  <c r="Y21" i="16" a="1"/>
  <c r="Y21" i="16" s="1"/>
  <c r="X21" i="16" a="1"/>
  <c r="X21" i="16" s="1"/>
  <c r="C21" i="16" a="1"/>
  <c r="C21" i="16" s="1"/>
  <c r="J21" i="16" a="1"/>
  <c r="J21" i="16" s="1"/>
  <c r="U21" i="16" a="1"/>
  <c r="U21" i="16" s="1"/>
  <c r="D21" i="16" a="1"/>
  <c r="D21" i="16" s="1"/>
  <c r="K21" i="16" a="1"/>
  <c r="K21" i="16" s="1"/>
  <c r="W21" i="16" a="1"/>
  <c r="W21" i="16" s="1"/>
  <c r="R21" i="16" a="1"/>
  <c r="R21" i="16" s="1"/>
  <c r="F21" i="16" a="1"/>
  <c r="F21" i="16" s="1"/>
  <c r="S21" i="16" a="1"/>
  <c r="S21" i="16" s="1"/>
  <c r="G21" i="16" a="1"/>
  <c r="G21" i="16" s="1"/>
  <c r="T21" i="16" a="1"/>
  <c r="T21" i="16" s="1"/>
  <c r="H21" i="16" a="1"/>
  <c r="H21" i="16" s="1"/>
  <c r="V21" i="16" a="1"/>
  <c r="V21" i="16" s="1"/>
  <c r="I21" i="16" a="1"/>
  <c r="I21" i="16" s="1"/>
  <c r="L21" i="16" a="1"/>
  <c r="L21" i="16" s="1"/>
  <c r="M21" i="16" a="1"/>
  <c r="M21" i="16" s="1"/>
  <c r="E21" i="16" a="1"/>
  <c r="E21" i="16" s="1"/>
  <c r="Q21" i="16" a="1"/>
  <c r="Q21" i="16" s="1"/>
  <c r="A39" i="39"/>
  <c r="FX73" i="2"/>
  <c r="GA72" i="2"/>
  <c r="B22" i="16"/>
  <c r="N22" i="16" l="1" a="1"/>
  <c r="N22" i="16" s="1"/>
  <c r="P22" i="16" a="1"/>
  <c r="P22" i="16" s="1"/>
  <c r="O22" i="16" a="1"/>
  <c r="O22" i="16" s="1"/>
  <c r="W22" i="16" a="1"/>
  <c r="W22" i="16" s="1"/>
  <c r="X22" i="16" a="1"/>
  <c r="X22" i="16" s="1"/>
  <c r="Y22" i="16" a="1"/>
  <c r="Y22" i="16" s="1"/>
  <c r="F22" i="16" a="1"/>
  <c r="F22" i="16" s="1"/>
  <c r="M22" i="16" a="1"/>
  <c r="M22" i="16" s="1"/>
  <c r="G22" i="16" a="1"/>
  <c r="G22" i="16" s="1"/>
  <c r="Q22" i="16" a="1"/>
  <c r="Q22" i="16" s="1"/>
  <c r="H22" i="16" a="1"/>
  <c r="H22" i="16" s="1"/>
  <c r="R22" i="16" a="1"/>
  <c r="R22" i="16" s="1"/>
  <c r="I22" i="16" a="1"/>
  <c r="I22" i="16" s="1"/>
  <c r="S22" i="16" a="1"/>
  <c r="S22" i="16" s="1"/>
  <c r="C22" i="16" a="1"/>
  <c r="C22" i="16" s="1"/>
  <c r="J22" i="16" a="1"/>
  <c r="J22" i="16" s="1"/>
  <c r="T22" i="16" a="1"/>
  <c r="T22" i="16" s="1"/>
  <c r="D22" i="16" a="1"/>
  <c r="D22" i="16" s="1"/>
  <c r="K22" i="16" a="1"/>
  <c r="K22" i="16" s="1"/>
  <c r="U22" i="16" a="1"/>
  <c r="U22" i="16" s="1"/>
  <c r="L22" i="16" a="1"/>
  <c r="L22" i="16" s="1"/>
  <c r="V22" i="16" a="1"/>
  <c r="V22" i="16" s="1"/>
  <c r="E22" i="16" a="1"/>
  <c r="E22" i="16" s="1"/>
  <c r="IF19" i="2"/>
  <c r="IA19" i="2" s="1"/>
  <c r="A40" i="39"/>
  <c r="FX74" i="2"/>
  <c r="GA73" i="2"/>
  <c r="B23" i="16"/>
  <c r="O23" i="16" l="1" a="1"/>
  <c r="O23" i="16" s="1"/>
  <c r="N23" i="16" a="1"/>
  <c r="N23" i="16" s="1"/>
  <c r="P23" i="16" a="1"/>
  <c r="P23" i="16" s="1"/>
  <c r="W23" i="16" a="1"/>
  <c r="W23" i="16" s="1"/>
  <c r="X23" i="16" a="1"/>
  <c r="X23" i="16" s="1"/>
  <c r="Y23" i="16" a="1"/>
  <c r="Y23" i="16" s="1"/>
  <c r="K23" i="16" a="1"/>
  <c r="K23" i="16" s="1"/>
  <c r="V23" i="16" a="1"/>
  <c r="V23" i="16" s="1"/>
  <c r="D23" i="16" a="1"/>
  <c r="D23" i="16" s="1"/>
  <c r="L23" i="16" a="1"/>
  <c r="L23" i="16" s="1"/>
  <c r="E23" i="16" a="1"/>
  <c r="E23" i="16" s="1"/>
  <c r="M23" i="16" a="1"/>
  <c r="M23" i="16" s="1"/>
  <c r="F23" i="16" a="1"/>
  <c r="F23" i="16" s="1"/>
  <c r="Q23" i="16" a="1"/>
  <c r="Q23" i="16" s="1"/>
  <c r="G23" i="16" a="1"/>
  <c r="G23" i="16" s="1"/>
  <c r="R23" i="16" a="1"/>
  <c r="R23" i="16" s="1"/>
  <c r="H23" i="16" a="1"/>
  <c r="H23" i="16" s="1"/>
  <c r="S23" i="16" a="1"/>
  <c r="S23" i="16" s="1"/>
  <c r="I23" i="16" a="1"/>
  <c r="I23" i="16" s="1"/>
  <c r="T23" i="16" a="1"/>
  <c r="T23" i="16" s="1"/>
  <c r="C23" i="16" a="1"/>
  <c r="C23" i="16" s="1"/>
  <c r="J23" i="16" a="1"/>
  <c r="J23" i="16" s="1"/>
  <c r="U23" i="16" a="1"/>
  <c r="U23" i="16" s="1"/>
  <c r="IF20" i="2"/>
  <c r="IA20" i="2" s="1"/>
  <c r="IF21" i="2"/>
  <c r="IA21" i="2" s="1"/>
  <c r="A41" i="39"/>
  <c r="FX75" i="2"/>
  <c r="GA74" i="2"/>
  <c r="B24" i="16"/>
  <c r="P24" i="16" l="1" a="1"/>
  <c r="P24" i="16" s="1"/>
  <c r="O24" i="16" a="1"/>
  <c r="O24" i="16" s="1"/>
  <c r="N24" i="16" a="1"/>
  <c r="N24" i="16" s="1"/>
  <c r="W24" i="16" a="1"/>
  <c r="W24" i="16" s="1"/>
  <c r="X24" i="16" a="1"/>
  <c r="X24" i="16" s="1"/>
  <c r="Y24" i="16" a="1"/>
  <c r="Y24" i="16" s="1"/>
  <c r="I24" i="16" a="1"/>
  <c r="I24" i="16" s="1"/>
  <c r="S24" i="16" a="1"/>
  <c r="S24" i="16" s="1"/>
  <c r="J24" i="16" a="1"/>
  <c r="J24" i="16" s="1"/>
  <c r="T24" i="16" a="1"/>
  <c r="T24" i="16" s="1"/>
  <c r="C24" i="16" a="1"/>
  <c r="C24" i="16" s="1"/>
  <c r="U24" i="16" a="1"/>
  <c r="U24" i="16" s="1"/>
  <c r="D24" i="16" a="1"/>
  <c r="D24" i="16" s="1"/>
  <c r="K24" i="16" a="1"/>
  <c r="K24" i="16" s="1"/>
  <c r="E24" i="16" a="1"/>
  <c r="E24" i="16" s="1"/>
  <c r="L24" i="16" a="1"/>
  <c r="L24" i="16" s="1"/>
  <c r="V24" i="16" a="1"/>
  <c r="V24" i="16" s="1"/>
  <c r="F24" i="16" a="1"/>
  <c r="F24" i="16" s="1"/>
  <c r="M24" i="16" a="1"/>
  <c r="M24" i="16" s="1"/>
  <c r="G24" i="16" a="1"/>
  <c r="G24" i="16" s="1"/>
  <c r="Q24" i="16" a="1"/>
  <c r="Q24" i="16" s="1"/>
  <c r="R24" i="16" a="1"/>
  <c r="R24" i="16" s="1"/>
  <c r="H24" i="16" a="1"/>
  <c r="H24" i="16" s="1"/>
  <c r="IF22" i="2"/>
  <c r="IA22" i="2" s="1"/>
  <c r="A42" i="39"/>
  <c r="FX76" i="2"/>
  <c r="GA75" i="2"/>
  <c r="B25" i="16"/>
  <c r="N25" i="16" l="1" a="1"/>
  <c r="N25" i="16" s="1"/>
  <c r="P25" i="16" a="1"/>
  <c r="P25" i="16" s="1"/>
  <c r="O25" i="16" a="1"/>
  <c r="O25" i="16" s="1"/>
  <c r="W25" i="16" a="1"/>
  <c r="W25" i="16" s="1"/>
  <c r="X25" i="16" a="1"/>
  <c r="X25" i="16" s="1"/>
  <c r="Y25" i="16" a="1"/>
  <c r="Y25" i="16" s="1"/>
  <c r="F25" i="16" a="1"/>
  <c r="F25" i="16" s="1"/>
  <c r="M25" i="16" a="1"/>
  <c r="M25" i="16" s="1"/>
  <c r="G25" i="16" a="1"/>
  <c r="G25" i="16" s="1"/>
  <c r="Q25" i="16" a="1"/>
  <c r="Q25" i="16" s="1"/>
  <c r="H25" i="16" a="1"/>
  <c r="H25" i="16" s="1"/>
  <c r="R25" i="16" a="1"/>
  <c r="R25" i="16" s="1"/>
  <c r="I25" i="16" a="1"/>
  <c r="I25" i="16" s="1"/>
  <c r="S25" i="16" a="1"/>
  <c r="S25" i="16" s="1"/>
  <c r="T25" i="16" a="1"/>
  <c r="T25" i="16" s="1"/>
  <c r="C25" i="16" a="1"/>
  <c r="C25" i="16" s="1"/>
  <c r="J25" i="16" a="1"/>
  <c r="J25" i="16" s="1"/>
  <c r="D25" i="16" a="1"/>
  <c r="D25" i="16" s="1"/>
  <c r="K25" i="16" a="1"/>
  <c r="K25" i="16" s="1"/>
  <c r="U25" i="16" a="1"/>
  <c r="U25" i="16" s="1"/>
  <c r="L25" i="16" a="1"/>
  <c r="L25" i="16" s="1"/>
  <c r="V25" i="16" a="1"/>
  <c r="V25" i="16" s="1"/>
  <c r="E25" i="16" a="1"/>
  <c r="E25" i="16" s="1"/>
  <c r="ID5" i="2"/>
  <c r="IB6" i="2" s="1"/>
  <c r="A43" i="39"/>
  <c r="FX77" i="2"/>
  <c r="GA76" i="2"/>
  <c r="B26" i="16"/>
  <c r="P26" i="16" l="1" a="1"/>
  <c r="P26" i="16" s="1"/>
  <c r="O26" i="16" a="1"/>
  <c r="O26" i="16" s="1"/>
  <c r="N26" i="16" a="1"/>
  <c r="N26" i="16" s="1"/>
  <c r="X26" i="16" a="1"/>
  <c r="X26" i="16" s="1"/>
  <c r="Y26" i="16" a="1"/>
  <c r="Y26" i="16" s="1"/>
  <c r="W26" i="16" a="1"/>
  <c r="W26" i="16" s="1"/>
  <c r="C26" i="16" a="1"/>
  <c r="C26" i="16" s="1"/>
  <c r="J26" i="16" a="1"/>
  <c r="J26" i="16" s="1"/>
  <c r="T26" i="16" a="1"/>
  <c r="T26" i="16" s="1"/>
  <c r="D26" i="16" a="1"/>
  <c r="D26" i="16" s="1"/>
  <c r="K26" i="16" a="1"/>
  <c r="K26" i="16" s="1"/>
  <c r="U26" i="16" a="1"/>
  <c r="U26" i="16" s="1"/>
  <c r="E26" i="16" a="1"/>
  <c r="E26" i="16" s="1"/>
  <c r="L26" i="16" a="1"/>
  <c r="L26" i="16" s="1"/>
  <c r="V26" i="16" a="1"/>
  <c r="V26" i="16" s="1"/>
  <c r="F26" i="16" a="1"/>
  <c r="F26" i="16" s="1"/>
  <c r="M26" i="16" a="1"/>
  <c r="M26" i="16" s="1"/>
  <c r="G26" i="16" a="1"/>
  <c r="G26" i="16" s="1"/>
  <c r="Q26" i="16" a="1"/>
  <c r="Q26" i="16" s="1"/>
  <c r="H26" i="16" a="1"/>
  <c r="H26" i="16" s="1"/>
  <c r="R26" i="16" a="1"/>
  <c r="R26" i="16" s="1"/>
  <c r="S26" i="16" a="1"/>
  <c r="S26" i="16" s="1"/>
  <c r="I26" i="16" a="1"/>
  <c r="I26" i="16" s="1"/>
  <c r="IF23" i="2"/>
  <c r="IA23" i="2" s="1"/>
  <c r="IB7" i="2"/>
  <c r="IC6" i="2"/>
  <c r="IF24" i="2"/>
  <c r="IA24" i="2" s="1"/>
  <c r="A44" i="39"/>
  <c r="FX78" i="2"/>
  <c r="GA77" i="2"/>
  <c r="B27" i="16"/>
  <c r="O27" i="16" l="1" a="1"/>
  <c r="O27" i="16" s="1"/>
  <c r="P27" i="16" a="1"/>
  <c r="P27" i="16" s="1"/>
  <c r="N27" i="16" a="1"/>
  <c r="N27" i="16" s="1"/>
  <c r="W27" i="16" a="1"/>
  <c r="W27" i="16" s="1"/>
  <c r="X27" i="16" a="1"/>
  <c r="X27" i="16" s="1"/>
  <c r="Y27" i="16" a="1"/>
  <c r="Y27" i="16" s="1"/>
  <c r="H27" i="16" a="1"/>
  <c r="H27" i="16" s="1"/>
  <c r="I27" i="16" a="1"/>
  <c r="I27" i="16" s="1"/>
  <c r="S27" i="16" a="1"/>
  <c r="S27" i="16" s="1"/>
  <c r="J27" i="16" a="1"/>
  <c r="J27" i="16" s="1"/>
  <c r="T27" i="16" a="1"/>
  <c r="T27" i="16" s="1"/>
  <c r="C27" i="16" a="1"/>
  <c r="C27" i="16" s="1"/>
  <c r="K27" i="16" a="1"/>
  <c r="K27" i="16" s="1"/>
  <c r="U27" i="16" a="1"/>
  <c r="U27" i="16" s="1"/>
  <c r="D27" i="16" a="1"/>
  <c r="D27" i="16" s="1"/>
  <c r="L27" i="16" a="1"/>
  <c r="L27" i="16" s="1"/>
  <c r="V27" i="16" a="1"/>
  <c r="V27" i="16" s="1"/>
  <c r="E27" i="16" a="1"/>
  <c r="E27" i="16" s="1"/>
  <c r="M27" i="16" a="1"/>
  <c r="M27" i="16" s="1"/>
  <c r="F27" i="16" a="1"/>
  <c r="F27" i="16" s="1"/>
  <c r="Q27" i="16" a="1"/>
  <c r="Q27" i="16" s="1"/>
  <c r="G27" i="16" a="1"/>
  <c r="G27" i="16" s="1"/>
  <c r="R27" i="16" a="1"/>
  <c r="R27" i="16" s="1"/>
  <c r="IB8" i="2"/>
  <c r="IC7" i="2"/>
  <c r="A45" i="39"/>
  <c r="FX79" i="2"/>
  <c r="GA78" i="2"/>
  <c r="B28" i="16"/>
  <c r="P28" i="16" l="1" a="1"/>
  <c r="P28" i="16" s="1"/>
  <c r="O28" i="16" a="1"/>
  <c r="O28" i="16" s="1"/>
  <c r="N28" i="16" a="1"/>
  <c r="N28" i="16" s="1"/>
  <c r="X28" i="16" a="1"/>
  <c r="X28" i="16" s="1"/>
  <c r="Y28" i="16" a="1"/>
  <c r="Y28" i="16" s="1"/>
  <c r="E28" i="16" a="1"/>
  <c r="E28" i="16" s="1"/>
  <c r="L28" i="16" a="1"/>
  <c r="L28" i="16" s="1"/>
  <c r="W28" i="16" a="1"/>
  <c r="W28" i="16" s="1"/>
  <c r="F28" i="16" a="1"/>
  <c r="F28" i="16" s="1"/>
  <c r="M28" i="16" a="1"/>
  <c r="M28" i="16" s="1"/>
  <c r="Q28" i="16" a="1"/>
  <c r="Q28" i="16" s="1"/>
  <c r="G28" i="16" a="1"/>
  <c r="G28" i="16" s="1"/>
  <c r="R28" i="16" a="1"/>
  <c r="R28" i="16" s="1"/>
  <c r="H28" i="16" a="1"/>
  <c r="H28" i="16" s="1"/>
  <c r="S28" i="16" a="1"/>
  <c r="S28" i="16" s="1"/>
  <c r="I28" i="16" a="1"/>
  <c r="I28" i="16" s="1"/>
  <c r="T28" i="16" a="1"/>
  <c r="T28" i="16" s="1"/>
  <c r="C28" i="16" a="1"/>
  <c r="C28" i="16" s="1"/>
  <c r="J28" i="16" a="1"/>
  <c r="J28" i="16" s="1"/>
  <c r="U28" i="16" a="1"/>
  <c r="U28" i="16" s="1"/>
  <c r="V28" i="16" a="1"/>
  <c r="V28" i="16" s="1"/>
  <c r="D28" i="16" a="1"/>
  <c r="D28" i="16" s="1"/>
  <c r="K28" i="16" a="1"/>
  <c r="K28" i="16" s="1"/>
  <c r="IF25" i="2"/>
  <c r="IA25" i="2" s="1"/>
  <c r="IB9" i="2"/>
  <c r="IC8" i="2"/>
  <c r="IF26" i="2"/>
  <c r="IA26" i="2" s="1"/>
  <c r="A46" i="39"/>
  <c r="FX80" i="2"/>
  <c r="GA79" i="2"/>
  <c r="B29" i="16"/>
  <c r="P29" i="16" l="1" a="1"/>
  <c r="P29" i="16" s="1"/>
  <c r="O29" i="16" a="1"/>
  <c r="O29" i="16" s="1"/>
  <c r="N29" i="16" a="1"/>
  <c r="N29" i="16" s="1"/>
  <c r="W29" i="16" a="1"/>
  <c r="W29" i="16" s="1"/>
  <c r="X29" i="16" a="1"/>
  <c r="X29" i="16" s="1"/>
  <c r="Y29" i="16" a="1"/>
  <c r="Y29" i="16" s="1"/>
  <c r="C29" i="16" a="1"/>
  <c r="C29" i="16" s="1"/>
  <c r="J29" i="16" a="1"/>
  <c r="J29" i="16" s="1"/>
  <c r="T29" i="16" a="1"/>
  <c r="T29" i="16" s="1"/>
  <c r="D29" i="16" a="1"/>
  <c r="D29" i="16" s="1"/>
  <c r="K29" i="16" a="1"/>
  <c r="K29" i="16" s="1"/>
  <c r="E29" i="16" a="1"/>
  <c r="E29" i="16" s="1"/>
  <c r="L29" i="16" a="1"/>
  <c r="L29" i="16" s="1"/>
  <c r="U29" i="16" a="1"/>
  <c r="U29" i="16" s="1"/>
  <c r="M29" i="16" a="1"/>
  <c r="M29" i="16" s="1"/>
  <c r="V29" i="16" a="1"/>
  <c r="V29" i="16" s="1"/>
  <c r="F29" i="16" a="1"/>
  <c r="F29" i="16" s="1"/>
  <c r="G29" i="16" a="1"/>
  <c r="G29" i="16" s="1"/>
  <c r="Q29" i="16" a="1"/>
  <c r="Q29" i="16" s="1"/>
  <c r="H29" i="16" a="1"/>
  <c r="H29" i="16" s="1"/>
  <c r="R29" i="16" a="1"/>
  <c r="R29" i="16" s="1"/>
  <c r="I29" i="16" a="1"/>
  <c r="I29" i="16" s="1"/>
  <c r="S29" i="16" a="1"/>
  <c r="S29" i="16" s="1"/>
  <c r="IB10" i="2"/>
  <c r="IC9" i="2"/>
  <c r="A47" i="39"/>
  <c r="GA80" i="2"/>
  <c r="FX81" i="2"/>
  <c r="B30" i="16"/>
  <c r="O30" i="16" l="1" a="1"/>
  <c r="O30" i="16" s="1"/>
  <c r="N30" i="16" a="1"/>
  <c r="N30" i="16" s="1"/>
  <c r="P30" i="16" a="1"/>
  <c r="P30" i="16" s="1"/>
  <c r="W30" i="16" a="1"/>
  <c r="W30" i="16" s="1"/>
  <c r="Y30" i="16" a="1"/>
  <c r="Y30" i="16" s="1"/>
  <c r="F30" i="16" a="1"/>
  <c r="F30" i="16" s="1"/>
  <c r="Q30" i="16" a="1"/>
  <c r="Q30" i="16" s="1"/>
  <c r="G30" i="16" a="1"/>
  <c r="G30" i="16" s="1"/>
  <c r="R30" i="16" a="1"/>
  <c r="R30" i="16" s="1"/>
  <c r="X30" i="16" a="1"/>
  <c r="X30" i="16" s="1"/>
  <c r="H30" i="16" a="1"/>
  <c r="H30" i="16" s="1"/>
  <c r="S30" i="16" a="1"/>
  <c r="S30" i="16" s="1"/>
  <c r="I30" i="16" a="1"/>
  <c r="I30" i="16" s="1"/>
  <c r="T30" i="16" a="1"/>
  <c r="T30" i="16" s="1"/>
  <c r="C30" i="16" a="1"/>
  <c r="C30" i="16" s="1"/>
  <c r="J30" i="16" a="1"/>
  <c r="J30" i="16" s="1"/>
  <c r="U30" i="16" a="1"/>
  <c r="U30" i="16" s="1"/>
  <c r="D30" i="16" a="1"/>
  <c r="D30" i="16" s="1"/>
  <c r="K30" i="16" a="1"/>
  <c r="K30" i="16" s="1"/>
  <c r="V30" i="16" a="1"/>
  <c r="V30" i="16" s="1"/>
  <c r="L30" i="16" a="1"/>
  <c r="L30" i="16" s="1"/>
  <c r="E30" i="16" a="1"/>
  <c r="E30" i="16" s="1"/>
  <c r="M30" i="16" a="1"/>
  <c r="M30" i="16" s="1"/>
  <c r="IF27" i="2"/>
  <c r="IA27" i="2" s="1"/>
  <c r="IB11" i="2"/>
  <c r="IC10" i="2"/>
  <c r="A48" i="39"/>
  <c r="GA81" i="2"/>
  <c r="FX82" i="2"/>
  <c r="B31" i="16"/>
  <c r="P31" i="16" l="1" a="1"/>
  <c r="P31" i="16" s="1"/>
  <c r="O31" i="16" a="1"/>
  <c r="O31" i="16" s="1"/>
  <c r="N31" i="16" a="1"/>
  <c r="N31" i="16" s="1"/>
  <c r="W31" i="16" a="1"/>
  <c r="W31" i="16" s="1"/>
  <c r="X31" i="16" a="1"/>
  <c r="X31" i="16" s="1"/>
  <c r="Y31" i="16" a="1"/>
  <c r="Y31" i="16" s="1"/>
  <c r="D31" i="16" a="1"/>
  <c r="D31" i="16" s="1"/>
  <c r="U31" i="16" a="1"/>
  <c r="U31" i="16" s="1"/>
  <c r="E31" i="16" a="1"/>
  <c r="E31" i="16" s="1"/>
  <c r="L31" i="16" a="1"/>
  <c r="L31" i="16" s="1"/>
  <c r="V31" i="16" a="1"/>
  <c r="V31" i="16" s="1"/>
  <c r="F31" i="16" a="1"/>
  <c r="F31" i="16" s="1"/>
  <c r="M31" i="16" a="1"/>
  <c r="M31" i="16" s="1"/>
  <c r="G31" i="16" a="1"/>
  <c r="G31" i="16" s="1"/>
  <c r="Q31" i="16" a="1"/>
  <c r="Q31" i="16" s="1"/>
  <c r="H31" i="16" a="1"/>
  <c r="H31" i="16" s="1"/>
  <c r="R31" i="16" a="1"/>
  <c r="R31" i="16" s="1"/>
  <c r="I31" i="16" a="1"/>
  <c r="I31" i="16" s="1"/>
  <c r="C31" i="16" a="1"/>
  <c r="C31" i="16" s="1"/>
  <c r="J31" i="16" a="1"/>
  <c r="J31" i="16" s="1"/>
  <c r="S31" i="16" a="1"/>
  <c r="S31" i="16" s="1"/>
  <c r="K31" i="16" a="1"/>
  <c r="K31" i="16" s="1"/>
  <c r="T31" i="16" a="1"/>
  <c r="T31" i="16" s="1"/>
  <c r="IF28" i="2"/>
  <c r="IA28" i="2" s="1"/>
  <c r="IB12" i="2"/>
  <c r="IC11" i="2"/>
  <c r="A49" i="39"/>
  <c r="FX83" i="2"/>
  <c r="GA82" i="2"/>
  <c r="B32" i="16"/>
  <c r="P32" i="16" l="1" a="1"/>
  <c r="P32" i="16" s="1"/>
  <c r="N32" i="16" a="1"/>
  <c r="N32" i="16" s="1"/>
  <c r="O32" i="16" a="1"/>
  <c r="O32" i="16" s="1"/>
  <c r="W32" i="16" a="1"/>
  <c r="W32" i="16" s="1"/>
  <c r="X32" i="16" a="1"/>
  <c r="X32" i="16" s="1"/>
  <c r="Y32" i="16" a="1"/>
  <c r="Y32" i="16" s="1"/>
  <c r="H32" i="16" a="1"/>
  <c r="H32" i="16" s="1"/>
  <c r="S32" i="16" a="1"/>
  <c r="S32" i="16" s="1"/>
  <c r="I32" i="16" a="1"/>
  <c r="I32" i="16" s="1"/>
  <c r="T32" i="16" a="1"/>
  <c r="T32" i="16" s="1"/>
  <c r="J32" i="16" a="1"/>
  <c r="J32" i="16" s="1"/>
  <c r="U32" i="16" a="1"/>
  <c r="U32" i="16" s="1"/>
  <c r="C32" i="16" a="1"/>
  <c r="C32" i="16" s="1"/>
  <c r="K32" i="16" a="1"/>
  <c r="K32" i="16" s="1"/>
  <c r="D32" i="16" a="1"/>
  <c r="D32" i="16" s="1"/>
  <c r="L32" i="16" a="1"/>
  <c r="L32" i="16" s="1"/>
  <c r="V32" i="16" a="1"/>
  <c r="V32" i="16" s="1"/>
  <c r="E32" i="16" a="1"/>
  <c r="E32" i="16" s="1"/>
  <c r="M32" i="16" a="1"/>
  <c r="M32" i="16" s="1"/>
  <c r="F32" i="16" a="1"/>
  <c r="F32" i="16" s="1"/>
  <c r="Q32" i="16" a="1"/>
  <c r="Q32" i="16" s="1"/>
  <c r="G32" i="16" a="1"/>
  <c r="G32" i="16" s="1"/>
  <c r="R32" i="16" a="1"/>
  <c r="R32" i="16" s="1"/>
  <c r="IF29" i="2"/>
  <c r="IA29" i="2" s="1"/>
  <c r="IB13" i="2"/>
  <c r="IC12" i="2"/>
  <c r="A50" i="39"/>
  <c r="FX84" i="2"/>
  <c r="GA83" i="2"/>
  <c r="B33" i="16"/>
  <c r="P33" i="16" l="1" a="1"/>
  <c r="P33" i="16" s="1"/>
  <c r="O33" i="16" a="1"/>
  <c r="O33" i="16" s="1"/>
  <c r="N33" i="16" a="1"/>
  <c r="N33" i="16" s="1"/>
  <c r="X33" i="16" a="1"/>
  <c r="X33" i="16" s="1"/>
  <c r="Y33" i="16" a="1"/>
  <c r="Y33" i="16" s="1"/>
  <c r="W33" i="16" a="1"/>
  <c r="W33" i="16" s="1"/>
  <c r="F33" i="16" a="1"/>
  <c r="F33" i="16" s="1"/>
  <c r="M33" i="16" a="1"/>
  <c r="M33" i="16" s="1"/>
  <c r="V33" i="16" a="1"/>
  <c r="V33" i="16" s="1"/>
  <c r="G33" i="16" a="1"/>
  <c r="G33" i="16" s="1"/>
  <c r="H33" i="16" a="1"/>
  <c r="H33" i="16" s="1"/>
  <c r="Q33" i="16" a="1"/>
  <c r="Q33" i="16" s="1"/>
  <c r="I33" i="16" a="1"/>
  <c r="I33" i="16" s="1"/>
  <c r="R33" i="16" a="1"/>
  <c r="R33" i="16" s="1"/>
  <c r="S33" i="16" a="1"/>
  <c r="S33" i="16" s="1"/>
  <c r="C33" i="16" a="1"/>
  <c r="C33" i="16" s="1"/>
  <c r="J33" i="16" a="1"/>
  <c r="J33" i="16" s="1"/>
  <c r="T33" i="16" a="1"/>
  <c r="T33" i="16" s="1"/>
  <c r="D33" i="16" a="1"/>
  <c r="D33" i="16" s="1"/>
  <c r="K33" i="16" a="1"/>
  <c r="K33" i="16" s="1"/>
  <c r="E33" i="16" a="1"/>
  <c r="E33" i="16" s="1"/>
  <c r="L33" i="16" a="1"/>
  <c r="L33" i="16" s="1"/>
  <c r="U33" i="16" a="1"/>
  <c r="U33" i="16" s="1"/>
  <c r="IB14" i="2"/>
  <c r="IC13" i="2"/>
  <c r="IF30" i="2"/>
  <c r="IA30" i="2" s="1"/>
  <c r="A51" i="39"/>
  <c r="FX85" i="2"/>
  <c r="GA84" i="2"/>
  <c r="B34" i="16"/>
  <c r="N34" i="16" l="1" a="1"/>
  <c r="N34" i="16" s="1"/>
  <c r="O34" i="16" a="1"/>
  <c r="O34" i="16" s="1"/>
  <c r="P34" i="16" a="1"/>
  <c r="P34" i="16" s="1"/>
  <c r="W34" i="16" a="1"/>
  <c r="W34" i="16" s="1"/>
  <c r="X34" i="16" a="1"/>
  <c r="X34" i="16" s="1"/>
  <c r="Y34" i="16" a="1"/>
  <c r="Y34" i="16" s="1"/>
  <c r="J34" i="16" a="1"/>
  <c r="J34" i="16" s="1"/>
  <c r="T34" i="16" a="1"/>
  <c r="T34" i="16" s="1"/>
  <c r="C34" i="16" a="1"/>
  <c r="C34" i="16" s="1"/>
  <c r="K34" i="16" a="1"/>
  <c r="K34" i="16" s="1"/>
  <c r="U34" i="16" a="1"/>
  <c r="U34" i="16" s="1"/>
  <c r="D34" i="16" a="1"/>
  <c r="D34" i="16" s="1"/>
  <c r="L34" i="16" a="1"/>
  <c r="L34" i="16" s="1"/>
  <c r="V34" i="16" a="1"/>
  <c r="V34" i="16" s="1"/>
  <c r="E34" i="16" a="1"/>
  <c r="E34" i="16" s="1"/>
  <c r="M34" i="16" a="1"/>
  <c r="M34" i="16" s="1"/>
  <c r="F34" i="16" a="1"/>
  <c r="F34" i="16" s="1"/>
  <c r="Q34" i="16" a="1"/>
  <c r="Q34" i="16" s="1"/>
  <c r="G34" i="16" a="1"/>
  <c r="G34" i="16" s="1"/>
  <c r="R34" i="16" a="1"/>
  <c r="R34" i="16" s="1"/>
  <c r="H34" i="16" a="1"/>
  <c r="H34" i="16" s="1"/>
  <c r="S34" i="16" a="1"/>
  <c r="S34" i="16" s="1"/>
  <c r="I34" i="16" a="1"/>
  <c r="I34" i="16" s="1"/>
  <c r="IF31" i="2"/>
  <c r="IA31" i="2" s="1"/>
  <c r="IB15" i="2"/>
  <c r="IC14" i="2"/>
  <c r="A52" i="39"/>
  <c r="FX86" i="2"/>
  <c r="GA85" i="2"/>
  <c r="B35" i="16"/>
  <c r="O35" i="16" l="1" a="1"/>
  <c r="O35" i="16" s="1"/>
  <c r="P35" i="16" a="1"/>
  <c r="P35" i="16" s="1"/>
  <c r="N35" i="16" a="1"/>
  <c r="N35" i="16" s="1"/>
  <c r="Y35" i="16" a="1"/>
  <c r="Y35" i="16" s="1"/>
  <c r="W35" i="16" a="1"/>
  <c r="W35" i="16" s="1"/>
  <c r="X35" i="16" a="1"/>
  <c r="X35" i="16" s="1"/>
  <c r="Q35" i="16" a="1"/>
  <c r="Q35" i="16" s="1"/>
  <c r="H35" i="16" a="1"/>
  <c r="H35" i="16" s="1"/>
  <c r="R35" i="16" a="1"/>
  <c r="R35" i="16" s="1"/>
  <c r="I35" i="16" a="1"/>
  <c r="I35" i="16" s="1"/>
  <c r="C35" i="16" a="1"/>
  <c r="C35" i="16" s="1"/>
  <c r="J35" i="16" a="1"/>
  <c r="J35" i="16" s="1"/>
  <c r="S35" i="16" a="1"/>
  <c r="S35" i="16" s="1"/>
  <c r="D35" i="16" a="1"/>
  <c r="D35" i="16" s="1"/>
  <c r="K35" i="16" a="1"/>
  <c r="K35" i="16" s="1"/>
  <c r="T35" i="16" a="1"/>
  <c r="T35" i="16" s="1"/>
  <c r="E35" i="16" a="1"/>
  <c r="E35" i="16" s="1"/>
  <c r="U35" i="16" a="1"/>
  <c r="U35" i="16" s="1"/>
  <c r="F35" i="16" a="1"/>
  <c r="F35" i="16" s="1"/>
  <c r="L35" i="16" a="1"/>
  <c r="L35" i="16" s="1"/>
  <c r="V35" i="16" a="1"/>
  <c r="V35" i="16" s="1"/>
  <c r="M35" i="16" a="1"/>
  <c r="M35" i="16" s="1"/>
  <c r="G35" i="16" a="1"/>
  <c r="G35" i="16" s="1"/>
  <c r="IF32" i="2"/>
  <c r="IA32" i="2" s="1"/>
  <c r="IB16" i="2"/>
  <c r="IC15" i="2"/>
  <c r="IF33" i="2"/>
  <c r="A53" i="39"/>
  <c r="FX87" i="2"/>
  <c r="GA86" i="2"/>
  <c r="B36" i="16"/>
  <c r="P36" i="16" l="1" a="1"/>
  <c r="P36" i="16" s="1"/>
  <c r="O36" i="16" a="1"/>
  <c r="O36" i="16" s="1"/>
  <c r="N36" i="16" a="1"/>
  <c r="N36" i="16" s="1"/>
  <c r="W36" i="16" a="1"/>
  <c r="W36" i="16" s="1"/>
  <c r="X36" i="16" a="1"/>
  <c r="X36" i="16" s="1"/>
  <c r="Y36" i="16" a="1"/>
  <c r="Y36" i="16" s="1"/>
  <c r="D36" i="16" a="1"/>
  <c r="D36" i="16" s="1"/>
  <c r="L36" i="16" a="1"/>
  <c r="L36" i="16" s="1"/>
  <c r="V36" i="16" a="1"/>
  <c r="V36" i="16" s="1"/>
  <c r="E36" i="16" a="1"/>
  <c r="E36" i="16" s="1"/>
  <c r="M36" i="16" a="1"/>
  <c r="M36" i="16" s="1"/>
  <c r="F36" i="16" a="1"/>
  <c r="F36" i="16" s="1"/>
  <c r="Q36" i="16" a="1"/>
  <c r="Q36" i="16" s="1"/>
  <c r="G36" i="16" a="1"/>
  <c r="G36" i="16" s="1"/>
  <c r="H36" i="16" a="1"/>
  <c r="H36" i="16" s="1"/>
  <c r="R36" i="16" a="1"/>
  <c r="R36" i="16" s="1"/>
  <c r="I36" i="16" a="1"/>
  <c r="I36" i="16" s="1"/>
  <c r="S36" i="16" a="1"/>
  <c r="S36" i="16" s="1"/>
  <c r="J36" i="16" a="1"/>
  <c r="J36" i="16" s="1"/>
  <c r="T36" i="16" a="1"/>
  <c r="T36" i="16" s="1"/>
  <c r="C36" i="16" a="1"/>
  <c r="C36" i="16" s="1"/>
  <c r="K36" i="16" a="1"/>
  <c r="K36" i="16" s="1"/>
  <c r="U36" i="16" a="1"/>
  <c r="U36" i="16" s="1"/>
  <c r="IA33" i="2"/>
  <c r="IB17" i="2"/>
  <c r="IC16" i="2"/>
  <c r="A54" i="39"/>
  <c r="FX88" i="2"/>
  <c r="GA87" i="2"/>
  <c r="B37" i="16"/>
  <c r="P37" i="16" l="1" a="1"/>
  <c r="P37" i="16" s="1"/>
  <c r="O37" i="16" a="1"/>
  <c r="O37" i="16" s="1"/>
  <c r="N37" i="16" a="1"/>
  <c r="N37" i="16" s="1"/>
  <c r="W37" i="16" a="1"/>
  <c r="W37" i="16" s="1"/>
  <c r="X37" i="16" a="1"/>
  <c r="X37" i="16" s="1"/>
  <c r="I37" i="16" a="1"/>
  <c r="I37" i="16" s="1"/>
  <c r="R37" i="16" a="1"/>
  <c r="R37" i="16" s="1"/>
  <c r="C37" i="16" a="1"/>
  <c r="C37" i="16" s="1"/>
  <c r="S37" i="16" a="1"/>
  <c r="S37" i="16" s="1"/>
  <c r="D37" i="16" a="1"/>
  <c r="D37" i="16" s="1"/>
  <c r="J37" i="16" a="1"/>
  <c r="J37" i="16" s="1"/>
  <c r="T37" i="16" a="1"/>
  <c r="T37" i="16" s="1"/>
  <c r="Y37" i="16" a="1"/>
  <c r="Y37" i="16" s="1"/>
  <c r="E37" i="16" a="1"/>
  <c r="E37" i="16" s="1"/>
  <c r="K37" i="16" a="1"/>
  <c r="K37" i="16" s="1"/>
  <c r="U37" i="16" a="1"/>
  <c r="U37" i="16" s="1"/>
  <c r="L37" i="16" a="1"/>
  <c r="L37" i="16" s="1"/>
  <c r="V37" i="16" a="1"/>
  <c r="V37" i="16" s="1"/>
  <c r="F37" i="16" a="1"/>
  <c r="F37" i="16" s="1"/>
  <c r="M37" i="16" a="1"/>
  <c r="M37" i="16" s="1"/>
  <c r="G37" i="16" a="1"/>
  <c r="G37" i="16" s="1"/>
  <c r="H37" i="16" a="1"/>
  <c r="H37" i="16" s="1"/>
  <c r="Q37" i="16" a="1"/>
  <c r="Q37" i="16" s="1"/>
  <c r="IF34" i="2"/>
  <c r="IA34" i="2" s="1"/>
  <c r="IB18" i="2"/>
  <c r="IC17" i="2"/>
  <c r="A55" i="39"/>
  <c r="FX89" i="2"/>
  <c r="GA88" i="2"/>
  <c r="B38" i="16"/>
  <c r="N38" i="16" l="1" a="1"/>
  <c r="N38" i="16" s="1"/>
  <c r="P38" i="16" a="1"/>
  <c r="P38" i="16" s="1"/>
  <c r="O38" i="16" a="1"/>
  <c r="O38" i="16" s="1"/>
  <c r="W38" i="16" a="1"/>
  <c r="W38" i="16" s="1"/>
  <c r="X38" i="16" a="1"/>
  <c r="X38" i="16" s="1"/>
  <c r="Y38" i="16" a="1"/>
  <c r="Y38" i="16" s="1"/>
  <c r="F38" i="16" a="1"/>
  <c r="F38" i="16" s="1"/>
  <c r="M38" i="16" a="1"/>
  <c r="M38" i="16" s="1"/>
  <c r="G38" i="16" a="1"/>
  <c r="G38" i="16" s="1"/>
  <c r="Q38" i="16" a="1"/>
  <c r="Q38" i="16" s="1"/>
  <c r="H38" i="16" a="1"/>
  <c r="H38" i="16" s="1"/>
  <c r="R38" i="16" a="1"/>
  <c r="R38" i="16" s="1"/>
  <c r="I38" i="16" a="1"/>
  <c r="I38" i="16" s="1"/>
  <c r="S38" i="16" a="1"/>
  <c r="S38" i="16" s="1"/>
  <c r="J38" i="16" a="1"/>
  <c r="J38" i="16" s="1"/>
  <c r="T38" i="16" a="1"/>
  <c r="T38" i="16" s="1"/>
  <c r="C38" i="16" a="1"/>
  <c r="C38" i="16" s="1"/>
  <c r="K38" i="16" a="1"/>
  <c r="K38" i="16" s="1"/>
  <c r="U38" i="16" a="1"/>
  <c r="U38" i="16" s="1"/>
  <c r="D38" i="16" a="1"/>
  <c r="D38" i="16" s="1"/>
  <c r="L38" i="16" a="1"/>
  <c r="L38" i="16" s="1"/>
  <c r="V38" i="16" a="1"/>
  <c r="V38" i="16" s="1"/>
  <c r="E38" i="16" a="1"/>
  <c r="E38" i="16" s="1"/>
  <c r="IF35" i="2"/>
  <c r="IA35" i="2" s="1"/>
  <c r="IB19" i="2"/>
  <c r="IC18" i="2"/>
  <c r="A56" i="39"/>
  <c r="FX90" i="2"/>
  <c r="GA89" i="2"/>
  <c r="B39" i="16"/>
  <c r="O39" i="16" l="1" a="1"/>
  <c r="O39" i="16" s="1"/>
  <c r="N39" i="16" a="1"/>
  <c r="N39" i="16" s="1"/>
  <c r="P39" i="16" a="1"/>
  <c r="P39" i="16" s="1"/>
  <c r="W39" i="16" a="1"/>
  <c r="W39" i="16" s="1"/>
  <c r="X39" i="16" a="1"/>
  <c r="X39" i="16" s="1"/>
  <c r="J39" i="16" a="1"/>
  <c r="J39" i="16" s="1"/>
  <c r="T39" i="16" a="1"/>
  <c r="T39" i="16" s="1"/>
  <c r="D39" i="16" a="1"/>
  <c r="D39" i="16" s="1"/>
  <c r="K39" i="16" a="1"/>
  <c r="K39" i="16" s="1"/>
  <c r="U39" i="16" a="1"/>
  <c r="U39" i="16" s="1"/>
  <c r="E39" i="16" a="1"/>
  <c r="E39" i="16" s="1"/>
  <c r="V39" i="16" a="1"/>
  <c r="V39" i="16" s="1"/>
  <c r="F39" i="16" a="1"/>
  <c r="F39" i="16" s="1"/>
  <c r="L39" i="16" a="1"/>
  <c r="L39" i="16" s="1"/>
  <c r="Y39" i="16" a="1"/>
  <c r="Y39" i="16" s="1"/>
  <c r="G39" i="16" a="1"/>
  <c r="G39" i="16" s="1"/>
  <c r="M39" i="16" a="1"/>
  <c r="M39" i="16" s="1"/>
  <c r="Q39" i="16" a="1"/>
  <c r="Q39" i="16" s="1"/>
  <c r="H39" i="16" a="1"/>
  <c r="H39" i="16" s="1"/>
  <c r="R39" i="16" a="1"/>
  <c r="R39" i="16" s="1"/>
  <c r="C39" i="16" a="1"/>
  <c r="C39" i="16" s="1"/>
  <c r="I39" i="16" a="1"/>
  <c r="I39" i="16" s="1"/>
  <c r="S39" i="16" a="1"/>
  <c r="S39" i="16" s="1"/>
  <c r="IF36" i="2"/>
  <c r="IA36" i="2" s="1"/>
  <c r="IB20" i="2"/>
  <c r="IC19" i="2"/>
  <c r="A57" i="39"/>
  <c r="FX91" i="2"/>
  <c r="GA90" i="2"/>
  <c r="B40" i="16"/>
  <c r="P40" i="16" l="1" a="1"/>
  <c r="P40" i="16" s="1"/>
  <c r="O40" i="16" a="1"/>
  <c r="O40" i="16" s="1"/>
  <c r="N40" i="16" a="1"/>
  <c r="N40" i="16" s="1"/>
  <c r="W40" i="16" a="1"/>
  <c r="W40" i="16" s="1"/>
  <c r="X40" i="16" a="1"/>
  <c r="X40" i="16" s="1"/>
  <c r="Y40" i="16" a="1"/>
  <c r="Y40" i="16" s="1"/>
  <c r="H40" i="16" a="1"/>
  <c r="H40" i="16" s="1"/>
  <c r="R40" i="16" a="1"/>
  <c r="R40" i="16" s="1"/>
  <c r="I40" i="16" a="1"/>
  <c r="I40" i="16" s="1"/>
  <c r="S40" i="16" a="1"/>
  <c r="S40" i="16" s="1"/>
  <c r="J40" i="16" a="1"/>
  <c r="J40" i="16" s="1"/>
  <c r="T40" i="16" a="1"/>
  <c r="T40" i="16" s="1"/>
  <c r="C40" i="16" a="1"/>
  <c r="C40" i="16" s="1"/>
  <c r="U40" i="16" a="1"/>
  <c r="U40" i="16" s="1"/>
  <c r="D40" i="16" a="1"/>
  <c r="D40" i="16" s="1"/>
  <c r="K40" i="16" a="1"/>
  <c r="K40" i="16" s="1"/>
  <c r="E40" i="16" a="1"/>
  <c r="E40" i="16" s="1"/>
  <c r="L40" i="16" a="1"/>
  <c r="L40" i="16" s="1"/>
  <c r="V40" i="16" a="1"/>
  <c r="V40" i="16" s="1"/>
  <c r="F40" i="16" a="1"/>
  <c r="F40" i="16" s="1"/>
  <c r="M40" i="16" a="1"/>
  <c r="M40" i="16" s="1"/>
  <c r="G40" i="16" a="1"/>
  <c r="G40" i="16" s="1"/>
  <c r="Q40" i="16" a="1"/>
  <c r="Q40" i="16" s="1"/>
  <c r="IB21" i="2"/>
  <c r="IC20" i="2"/>
  <c r="IF37" i="2"/>
  <c r="IA37" i="2" s="1"/>
  <c r="A58" i="39"/>
  <c r="FX92" i="2"/>
  <c r="GA91" i="2"/>
  <c r="B41" i="16"/>
  <c r="N41" i="16" l="1" a="1"/>
  <c r="N41" i="16" s="1"/>
  <c r="O41" i="16" a="1"/>
  <c r="O41" i="16" s="1"/>
  <c r="P41" i="16" a="1"/>
  <c r="P41" i="16" s="1"/>
  <c r="W41" i="16" a="1"/>
  <c r="W41" i="16" s="1"/>
  <c r="X41" i="16" a="1"/>
  <c r="X41" i="16" s="1"/>
  <c r="Y41" i="16" a="1"/>
  <c r="Y41" i="16" s="1"/>
  <c r="E41" i="16" a="1"/>
  <c r="E41" i="16" s="1"/>
  <c r="K41" i="16" a="1"/>
  <c r="K41" i="16" s="1"/>
  <c r="V41" i="16" a="1"/>
  <c r="V41" i="16" s="1"/>
  <c r="L41" i="16" a="1"/>
  <c r="L41" i="16" s="1"/>
  <c r="F41" i="16" a="1"/>
  <c r="F41" i="16" s="1"/>
  <c r="M41" i="16" a="1"/>
  <c r="M41" i="16" s="1"/>
  <c r="G41" i="16" a="1"/>
  <c r="G41" i="16" s="1"/>
  <c r="Q41" i="16" a="1"/>
  <c r="Q41" i="16" s="1"/>
  <c r="H41" i="16" a="1"/>
  <c r="H41" i="16" s="1"/>
  <c r="R41" i="16" a="1"/>
  <c r="R41" i="16" s="1"/>
  <c r="I41" i="16" a="1"/>
  <c r="I41" i="16" s="1"/>
  <c r="S41" i="16" a="1"/>
  <c r="S41" i="16" s="1"/>
  <c r="C41" i="16" a="1"/>
  <c r="C41" i="16" s="1"/>
  <c r="T41" i="16" a="1"/>
  <c r="T41" i="16" s="1"/>
  <c r="J41" i="16" a="1"/>
  <c r="J41" i="16" s="1"/>
  <c r="U41" i="16" a="1"/>
  <c r="U41" i="16" s="1"/>
  <c r="D41" i="16" a="1"/>
  <c r="D41" i="16" s="1"/>
  <c r="IF38" i="2"/>
  <c r="IA38" i="2" s="1"/>
  <c r="IB22" i="2"/>
  <c r="IC21" i="2"/>
  <c r="A59" i="39"/>
  <c r="GA92" i="2"/>
  <c r="FX93" i="2"/>
  <c r="B42" i="16"/>
  <c r="N42" i="16" l="1" a="1"/>
  <c r="N42" i="16" s="1"/>
  <c r="P42" i="16" a="1"/>
  <c r="P42" i="16" s="1"/>
  <c r="O42" i="16" a="1"/>
  <c r="O42" i="16" s="1"/>
  <c r="Y42" i="16" a="1"/>
  <c r="Y42" i="16" s="1"/>
  <c r="W42" i="16" a="1"/>
  <c r="W42" i="16" s="1"/>
  <c r="X42" i="16" a="1"/>
  <c r="X42" i="16" s="1"/>
  <c r="I42" i="16" a="1"/>
  <c r="I42" i="16" s="1"/>
  <c r="C42" i="16" a="1"/>
  <c r="C42" i="16" s="1"/>
  <c r="J42" i="16" a="1"/>
  <c r="J42" i="16" s="1"/>
  <c r="T42" i="16" a="1"/>
  <c r="T42" i="16" s="1"/>
  <c r="D42" i="16" a="1"/>
  <c r="D42" i="16" s="1"/>
  <c r="K42" i="16" a="1"/>
  <c r="K42" i="16" s="1"/>
  <c r="U42" i="16" a="1"/>
  <c r="U42" i="16" s="1"/>
  <c r="E42" i="16" a="1"/>
  <c r="E42" i="16" s="1"/>
  <c r="L42" i="16" a="1"/>
  <c r="L42" i="16" s="1"/>
  <c r="V42" i="16" a="1"/>
  <c r="V42" i="16" s="1"/>
  <c r="F42" i="16" a="1"/>
  <c r="F42" i="16" s="1"/>
  <c r="M42" i="16" a="1"/>
  <c r="M42" i="16" s="1"/>
  <c r="G42" i="16" a="1"/>
  <c r="G42" i="16" s="1"/>
  <c r="Q42" i="16" a="1"/>
  <c r="Q42" i="16" s="1"/>
  <c r="H42" i="16" a="1"/>
  <c r="H42" i="16" s="1"/>
  <c r="R42" i="16" a="1"/>
  <c r="R42" i="16" s="1"/>
  <c r="S42" i="16" a="1"/>
  <c r="S42" i="16" s="1"/>
  <c r="IF39" i="2"/>
  <c r="IA39" i="2" s="1"/>
  <c r="IB23" i="2"/>
  <c r="IC22" i="2"/>
  <c r="A60" i="39"/>
  <c r="FX94" i="2"/>
  <c r="GA93" i="2"/>
  <c r="B43" i="16"/>
  <c r="O43" i="16" l="1" a="1"/>
  <c r="O43" i="16" s="1"/>
  <c r="P43" i="16" a="1"/>
  <c r="P43" i="16" s="1"/>
  <c r="N43" i="16" a="1"/>
  <c r="N43" i="16" s="1"/>
  <c r="W43" i="16" a="1"/>
  <c r="W43" i="16" s="1"/>
  <c r="X43" i="16" a="1"/>
  <c r="X43" i="16" s="1"/>
  <c r="Y43" i="16" a="1"/>
  <c r="Y43" i="16" s="1"/>
  <c r="F43" i="16" a="1"/>
  <c r="F43" i="16" s="1"/>
  <c r="M43" i="16" a="1"/>
  <c r="M43" i="16" s="1"/>
  <c r="G43" i="16" a="1"/>
  <c r="G43" i="16" s="1"/>
  <c r="Q43" i="16" a="1"/>
  <c r="Q43" i="16" s="1"/>
  <c r="R43" i="16" a="1"/>
  <c r="R43" i="16" s="1"/>
  <c r="H43" i="16" a="1"/>
  <c r="H43" i="16" s="1"/>
  <c r="S43" i="16" a="1"/>
  <c r="S43" i="16" s="1"/>
  <c r="C43" i="16" a="1"/>
  <c r="C43" i="16" s="1"/>
  <c r="I43" i="16" a="1"/>
  <c r="I43" i="16" s="1"/>
  <c r="T43" i="16" a="1"/>
  <c r="T43" i="16" s="1"/>
  <c r="J43" i="16" a="1"/>
  <c r="J43" i="16" s="1"/>
  <c r="U43" i="16" a="1"/>
  <c r="U43" i="16" s="1"/>
  <c r="D43" i="16" a="1"/>
  <c r="D43" i="16" s="1"/>
  <c r="K43" i="16" a="1"/>
  <c r="K43" i="16" s="1"/>
  <c r="V43" i="16" a="1"/>
  <c r="V43" i="16" s="1"/>
  <c r="E43" i="16" a="1"/>
  <c r="E43" i="16" s="1"/>
  <c r="L43" i="16" a="1"/>
  <c r="L43" i="16" s="1"/>
  <c r="IF40" i="2"/>
  <c r="IA40" i="2" s="1"/>
  <c r="IB24" i="2"/>
  <c r="IC23" i="2"/>
  <c r="IF41" i="2"/>
  <c r="A61" i="39"/>
  <c r="FX95" i="2"/>
  <c r="GA94" i="2"/>
  <c r="B44" i="16"/>
  <c r="P44" i="16" l="1" a="1"/>
  <c r="P44" i="16" s="1"/>
  <c r="O44" i="16" a="1"/>
  <c r="O44" i="16" s="1"/>
  <c r="N44" i="16" a="1"/>
  <c r="N44" i="16" s="1"/>
  <c r="W44" i="16" a="1"/>
  <c r="W44" i="16" s="1"/>
  <c r="X44" i="16" a="1"/>
  <c r="X44" i="16" s="1"/>
  <c r="Y44" i="16" a="1"/>
  <c r="Y44" i="16" s="1"/>
  <c r="D44" i="16" a="1"/>
  <c r="D44" i="16" s="1"/>
  <c r="K44" i="16" a="1"/>
  <c r="K44" i="16" s="1"/>
  <c r="U44" i="16" a="1"/>
  <c r="U44" i="16" s="1"/>
  <c r="E44" i="16" a="1"/>
  <c r="E44" i="16" s="1"/>
  <c r="L44" i="16" a="1"/>
  <c r="L44" i="16" s="1"/>
  <c r="F44" i="16" a="1"/>
  <c r="F44" i="16" s="1"/>
  <c r="M44" i="16" a="1"/>
  <c r="M44" i="16" s="1"/>
  <c r="V44" i="16" a="1"/>
  <c r="V44" i="16" s="1"/>
  <c r="Q44" i="16" a="1"/>
  <c r="Q44" i="16" s="1"/>
  <c r="G44" i="16" a="1"/>
  <c r="G44" i="16" s="1"/>
  <c r="H44" i="16" a="1"/>
  <c r="H44" i="16" s="1"/>
  <c r="R44" i="16" a="1"/>
  <c r="R44" i="16" s="1"/>
  <c r="I44" i="16" a="1"/>
  <c r="I44" i="16" s="1"/>
  <c r="S44" i="16" a="1"/>
  <c r="S44" i="16" s="1"/>
  <c r="C44" i="16" a="1"/>
  <c r="C44" i="16" s="1"/>
  <c r="T44" i="16" a="1"/>
  <c r="T44" i="16" s="1"/>
  <c r="J44" i="16" a="1"/>
  <c r="J44" i="16" s="1"/>
  <c r="IA41" i="2"/>
  <c r="IB25" i="2"/>
  <c r="IC24" i="2"/>
  <c r="A62" i="39"/>
  <c r="FX96" i="2"/>
  <c r="GA95" i="2"/>
  <c r="B45" i="16"/>
  <c r="N45" i="16" l="1" a="1"/>
  <c r="N45" i="16" s="1"/>
  <c r="P45" i="16" a="1"/>
  <c r="P45" i="16" s="1"/>
  <c r="O45" i="16" a="1"/>
  <c r="O45" i="16" s="1"/>
  <c r="W45" i="16" a="1"/>
  <c r="W45" i="16" s="1"/>
  <c r="X45" i="16" a="1"/>
  <c r="X45" i="16" s="1"/>
  <c r="Y45" i="16" a="1"/>
  <c r="Y45" i="16" s="1"/>
  <c r="G45" i="16" a="1"/>
  <c r="G45" i="16" s="1"/>
  <c r="Q45" i="16" a="1"/>
  <c r="Q45" i="16" s="1"/>
  <c r="H45" i="16" a="1"/>
  <c r="H45" i="16" s="1"/>
  <c r="I45" i="16" a="1"/>
  <c r="I45" i="16" s="1"/>
  <c r="R45" i="16" a="1"/>
  <c r="R45" i="16" s="1"/>
  <c r="C45" i="16" a="1"/>
  <c r="C45" i="16" s="1"/>
  <c r="J45" i="16" a="1"/>
  <c r="J45" i="16" s="1"/>
  <c r="S45" i="16" a="1"/>
  <c r="S45" i="16" s="1"/>
  <c r="D45" i="16" a="1"/>
  <c r="D45" i="16" s="1"/>
  <c r="K45" i="16" a="1"/>
  <c r="K45" i="16" s="1"/>
  <c r="T45" i="16" a="1"/>
  <c r="T45" i="16" s="1"/>
  <c r="E45" i="16" a="1"/>
  <c r="E45" i="16" s="1"/>
  <c r="L45" i="16" a="1"/>
  <c r="L45" i="16" s="1"/>
  <c r="U45" i="16" a="1"/>
  <c r="U45" i="16" s="1"/>
  <c r="M45" i="16" a="1"/>
  <c r="M45" i="16" s="1"/>
  <c r="V45" i="16" a="1"/>
  <c r="V45" i="16" s="1"/>
  <c r="F45" i="16" a="1"/>
  <c r="F45" i="16" s="1"/>
  <c r="IB26" i="2"/>
  <c r="IC25" i="2"/>
  <c r="A63" i="39"/>
  <c r="FX97" i="2"/>
  <c r="GA96" i="2"/>
  <c r="B46" i="16"/>
  <c r="N46" i="16" l="1" a="1"/>
  <c r="N46" i="16" s="1"/>
  <c r="P46" i="16" a="1"/>
  <c r="P46" i="16" s="1"/>
  <c r="O46" i="16" a="1"/>
  <c r="O46" i="16" s="1"/>
  <c r="W46" i="16" a="1"/>
  <c r="W46" i="16" s="1"/>
  <c r="X46" i="16" a="1"/>
  <c r="X46" i="16" s="1"/>
  <c r="Y46" i="16" a="1"/>
  <c r="Y46" i="16" s="1"/>
  <c r="C46" i="16" a="1"/>
  <c r="C46" i="16" s="1"/>
  <c r="I46" i="16" a="1"/>
  <c r="I46" i="16" s="1"/>
  <c r="R46" i="16" a="1"/>
  <c r="R46" i="16" s="1"/>
  <c r="D46" i="16" a="1"/>
  <c r="D46" i="16" s="1"/>
  <c r="S46" i="16" a="1"/>
  <c r="S46" i="16" s="1"/>
  <c r="E46" i="16" a="1"/>
  <c r="E46" i="16" s="1"/>
  <c r="J46" i="16" a="1"/>
  <c r="J46" i="16" s="1"/>
  <c r="T46" i="16" a="1"/>
  <c r="T46" i="16" s="1"/>
  <c r="K46" i="16" a="1"/>
  <c r="K46" i="16" s="1"/>
  <c r="F46" i="16" a="1"/>
  <c r="F46" i="16" s="1"/>
  <c r="L46" i="16" a="1"/>
  <c r="L46" i="16" s="1"/>
  <c r="U46" i="16" a="1"/>
  <c r="U46" i="16" s="1"/>
  <c r="G46" i="16" a="1"/>
  <c r="G46" i="16" s="1"/>
  <c r="M46" i="16" a="1"/>
  <c r="M46" i="16" s="1"/>
  <c r="V46" i="16" a="1"/>
  <c r="V46" i="16" s="1"/>
  <c r="H46" i="16" a="1"/>
  <c r="H46" i="16" s="1"/>
  <c r="Q46" i="16" a="1"/>
  <c r="Q46" i="16" s="1"/>
  <c r="IB27" i="2"/>
  <c r="IC26" i="2"/>
  <c r="A64" i="39"/>
  <c r="FX98" i="2"/>
  <c r="GA97" i="2"/>
  <c r="B47" i="16"/>
  <c r="O47" i="16" l="1" a="1"/>
  <c r="O47" i="16" s="1"/>
  <c r="N47" i="16" a="1"/>
  <c r="N47" i="16" s="1"/>
  <c r="P47" i="16" a="1"/>
  <c r="P47" i="16" s="1"/>
  <c r="X47" i="16" a="1"/>
  <c r="X47" i="16" s="1"/>
  <c r="Y47" i="16" a="1"/>
  <c r="Y47" i="16" s="1"/>
  <c r="E47" i="16" a="1"/>
  <c r="E47" i="16" s="1"/>
  <c r="L47" i="16" a="1"/>
  <c r="L47" i="16" s="1"/>
  <c r="V47" i="16" a="1"/>
  <c r="V47" i="16" s="1"/>
  <c r="F47" i="16" a="1"/>
  <c r="F47" i="16" s="1"/>
  <c r="G47" i="16" a="1"/>
  <c r="G47" i="16" s="1"/>
  <c r="M47" i="16" a="1"/>
  <c r="M47" i="16" s="1"/>
  <c r="Q47" i="16" a="1"/>
  <c r="Q47" i="16" s="1"/>
  <c r="H47" i="16" a="1"/>
  <c r="H47" i="16" s="1"/>
  <c r="R47" i="16" a="1"/>
  <c r="R47" i="16" s="1"/>
  <c r="W47" i="16" a="1"/>
  <c r="W47" i="16" s="1"/>
  <c r="I47" i="16" a="1"/>
  <c r="I47" i="16" s="1"/>
  <c r="S47" i="16" a="1"/>
  <c r="S47" i="16" s="1"/>
  <c r="C47" i="16" a="1"/>
  <c r="C47" i="16" s="1"/>
  <c r="J47" i="16" a="1"/>
  <c r="J47" i="16" s="1"/>
  <c r="T47" i="16" a="1"/>
  <c r="T47" i="16" s="1"/>
  <c r="D47" i="16" a="1"/>
  <c r="D47" i="16" s="1"/>
  <c r="U47" i="16" a="1"/>
  <c r="U47" i="16" s="1"/>
  <c r="K47" i="16" a="1"/>
  <c r="K47" i="16" s="1"/>
  <c r="IB28" i="2"/>
  <c r="IC27" i="2"/>
  <c r="A65" i="39"/>
  <c r="FX99" i="2"/>
  <c r="GA98" i="2"/>
  <c r="B48" i="16"/>
  <c r="P48" i="16" l="1" a="1"/>
  <c r="P48" i="16" s="1"/>
  <c r="O48" i="16" a="1"/>
  <c r="O48" i="16" s="1"/>
  <c r="N48" i="16" a="1"/>
  <c r="N48" i="16" s="1"/>
  <c r="W48" i="16" a="1"/>
  <c r="W48" i="16" s="1"/>
  <c r="X48" i="16" a="1"/>
  <c r="X48" i="16" s="1"/>
  <c r="Y48" i="16" a="1"/>
  <c r="Y48" i="16" s="1"/>
  <c r="I48" i="16" a="1"/>
  <c r="I48" i="16" s="1"/>
  <c r="S48" i="16" a="1"/>
  <c r="S48" i="16" s="1"/>
  <c r="C48" i="16" a="1"/>
  <c r="C48" i="16" s="1"/>
  <c r="J48" i="16" a="1"/>
  <c r="J48" i="16" s="1"/>
  <c r="T48" i="16" a="1"/>
  <c r="T48" i="16" s="1"/>
  <c r="D48" i="16" a="1"/>
  <c r="D48" i="16" s="1"/>
  <c r="K48" i="16" a="1"/>
  <c r="K48" i="16" s="1"/>
  <c r="U48" i="16" a="1"/>
  <c r="U48" i="16" s="1"/>
  <c r="E48" i="16" a="1"/>
  <c r="E48" i="16" s="1"/>
  <c r="V48" i="16" a="1"/>
  <c r="V48" i="16" s="1"/>
  <c r="F48" i="16" a="1"/>
  <c r="F48" i="16" s="1"/>
  <c r="L48" i="16" a="1"/>
  <c r="L48" i="16" s="1"/>
  <c r="M48" i="16" a="1"/>
  <c r="M48" i="16" s="1"/>
  <c r="G48" i="16" a="1"/>
  <c r="G48" i="16" s="1"/>
  <c r="Q48" i="16" a="1"/>
  <c r="Q48" i="16" s="1"/>
  <c r="R48" i="16" a="1"/>
  <c r="R48" i="16" s="1"/>
  <c r="H48" i="16" a="1"/>
  <c r="H48" i="16" s="1"/>
  <c r="IB29" i="2"/>
  <c r="IC28" i="2"/>
  <c r="A66" i="39"/>
  <c r="FX100" i="2"/>
  <c r="GA99" i="2"/>
  <c r="B49" i="16"/>
  <c r="O49" i="16" l="1" a="1"/>
  <c r="O49" i="16" s="1"/>
  <c r="P49" i="16" a="1"/>
  <c r="P49" i="16" s="1"/>
  <c r="N49" i="16" a="1"/>
  <c r="N49" i="16" s="1"/>
  <c r="X49" i="16" a="1"/>
  <c r="X49" i="16" s="1"/>
  <c r="Y49" i="16" a="1"/>
  <c r="Y49" i="16" s="1"/>
  <c r="F49" i="16" a="1"/>
  <c r="F49" i="16" s="1"/>
  <c r="M49" i="16" a="1"/>
  <c r="M49" i="16" s="1"/>
  <c r="G49" i="16" a="1"/>
  <c r="G49" i="16" s="1"/>
  <c r="Q49" i="16" a="1"/>
  <c r="Q49" i="16" s="1"/>
  <c r="H49" i="16" a="1"/>
  <c r="H49" i="16" s="1"/>
  <c r="R49" i="16" a="1"/>
  <c r="R49" i="16" s="1"/>
  <c r="I49" i="16" a="1"/>
  <c r="I49" i="16" s="1"/>
  <c r="S49" i="16" a="1"/>
  <c r="S49" i="16" s="1"/>
  <c r="C49" i="16" a="1"/>
  <c r="C49" i="16" s="1"/>
  <c r="J49" i="16" a="1"/>
  <c r="J49" i="16" s="1"/>
  <c r="T49" i="16" a="1"/>
  <c r="T49" i="16" s="1"/>
  <c r="D49" i="16" a="1"/>
  <c r="D49" i="16" s="1"/>
  <c r="U49" i="16" a="1"/>
  <c r="U49" i="16" s="1"/>
  <c r="W49" i="16" a="1"/>
  <c r="W49" i="16" s="1"/>
  <c r="E49" i="16" a="1"/>
  <c r="E49" i="16" s="1"/>
  <c r="K49" i="16" a="1"/>
  <c r="K49" i="16" s="1"/>
  <c r="V49" i="16" a="1"/>
  <c r="V49" i="16" s="1"/>
  <c r="L49" i="16" a="1"/>
  <c r="L49" i="16" s="1"/>
  <c r="GA100" i="2"/>
  <c r="GA121" i="2" s="1"/>
  <c r="FX101" i="2"/>
  <c r="IB30" i="2"/>
  <c r="IC29" i="2"/>
  <c r="A67" i="39"/>
  <c r="B50" i="16"/>
  <c r="N50" i="16" l="1" a="1"/>
  <c r="N50" i="16" s="1"/>
  <c r="P50" i="16" a="1"/>
  <c r="P50" i="16" s="1"/>
  <c r="O50" i="16" a="1"/>
  <c r="O50" i="16" s="1"/>
  <c r="W50" i="16" a="1"/>
  <c r="W50" i="16" s="1"/>
  <c r="X50" i="16" a="1"/>
  <c r="X50" i="16" s="1"/>
  <c r="Y50" i="16" a="1"/>
  <c r="Y50" i="16" s="1"/>
  <c r="D50" i="16" a="1"/>
  <c r="D50" i="16" s="1"/>
  <c r="J50" i="16" a="1"/>
  <c r="J50" i="16" s="1"/>
  <c r="U50" i="16" a="1"/>
  <c r="U50" i="16" s="1"/>
  <c r="K50" i="16" a="1"/>
  <c r="K50" i="16" s="1"/>
  <c r="V50" i="16" a="1"/>
  <c r="V50" i="16" s="1"/>
  <c r="E50" i="16" a="1"/>
  <c r="E50" i="16" s="1"/>
  <c r="L50" i="16" a="1"/>
  <c r="L50" i="16" s="1"/>
  <c r="F50" i="16" a="1"/>
  <c r="F50" i="16" s="1"/>
  <c r="M50" i="16" a="1"/>
  <c r="M50" i="16" s="1"/>
  <c r="G50" i="16" a="1"/>
  <c r="G50" i="16" s="1"/>
  <c r="Q50" i="16" a="1"/>
  <c r="Q50" i="16" s="1"/>
  <c r="H50" i="16" a="1"/>
  <c r="H50" i="16" s="1"/>
  <c r="R50" i="16" a="1"/>
  <c r="R50" i="16" s="1"/>
  <c r="I50" i="16" a="1"/>
  <c r="I50" i="16" s="1"/>
  <c r="S50" i="16" a="1"/>
  <c r="S50" i="16" s="1"/>
  <c r="C50" i="16" a="1"/>
  <c r="C50" i="16" s="1"/>
  <c r="T50" i="16" a="1"/>
  <c r="T50" i="16" s="1"/>
  <c r="FX102" i="2"/>
  <c r="GA101" i="2"/>
  <c r="IB31" i="2"/>
  <c r="IC30" i="2"/>
  <c r="A68" i="39"/>
  <c r="B51" i="16"/>
  <c r="O51" i="16" l="1" a="1"/>
  <c r="O51" i="16" s="1"/>
  <c r="P51" i="16" a="1"/>
  <c r="P51" i="16" s="1"/>
  <c r="N51" i="16" a="1"/>
  <c r="N51" i="16" s="1"/>
  <c r="W51" i="16" a="1"/>
  <c r="W51" i="16" s="1"/>
  <c r="X51" i="16" a="1"/>
  <c r="X51" i="16" s="1"/>
  <c r="Y51" i="16" a="1"/>
  <c r="Y51" i="16" s="1"/>
  <c r="H51" i="16" a="1"/>
  <c r="H51" i="16" s="1"/>
  <c r="R51" i="16" a="1"/>
  <c r="R51" i="16" s="1"/>
  <c r="S51" i="16" a="1"/>
  <c r="S51" i="16" s="1"/>
  <c r="C51" i="16" a="1"/>
  <c r="C51" i="16" s="1"/>
  <c r="I51" i="16" a="1"/>
  <c r="I51" i="16" s="1"/>
  <c r="T51" i="16" a="1"/>
  <c r="T51" i="16" s="1"/>
  <c r="J51" i="16" a="1"/>
  <c r="J51" i="16" s="1"/>
  <c r="U51" i="16" a="1"/>
  <c r="U51" i="16" s="1"/>
  <c r="D51" i="16" a="1"/>
  <c r="D51" i="16" s="1"/>
  <c r="K51" i="16" a="1"/>
  <c r="K51" i="16" s="1"/>
  <c r="V51" i="16" a="1"/>
  <c r="V51" i="16" s="1"/>
  <c r="E51" i="16" a="1"/>
  <c r="E51" i="16" s="1"/>
  <c r="L51" i="16" a="1"/>
  <c r="L51" i="16" s="1"/>
  <c r="F51" i="16" a="1"/>
  <c r="F51" i="16" s="1"/>
  <c r="M51" i="16" a="1"/>
  <c r="M51" i="16" s="1"/>
  <c r="G51" i="16" a="1"/>
  <c r="G51" i="16" s="1"/>
  <c r="Q51" i="16" a="1"/>
  <c r="Q51" i="16" s="1"/>
  <c r="FX103" i="2"/>
  <c r="GA102" i="2"/>
  <c r="IB32" i="2"/>
  <c r="IC31" i="2"/>
  <c r="A69" i="39"/>
  <c r="B52" i="16"/>
  <c r="P52" i="16" l="1" a="1"/>
  <c r="P52" i="16" s="1"/>
  <c r="O52" i="16" a="1"/>
  <c r="O52" i="16" s="1"/>
  <c r="N52" i="16" a="1"/>
  <c r="N52" i="16" s="1"/>
  <c r="W52" i="16" a="1"/>
  <c r="W52" i="16" s="1"/>
  <c r="X52" i="16" a="1"/>
  <c r="X52" i="16" s="1"/>
  <c r="Y52" i="16" a="1"/>
  <c r="Y52" i="16" s="1"/>
  <c r="E52" i="16" a="1"/>
  <c r="E52" i="16" s="1"/>
  <c r="L52" i="16" a="1"/>
  <c r="L52" i="16" s="1"/>
  <c r="V52" i="16" a="1"/>
  <c r="V52" i="16" s="1"/>
  <c r="F52" i="16" a="1"/>
  <c r="F52" i="16" s="1"/>
  <c r="M52" i="16" a="1"/>
  <c r="M52" i="16" s="1"/>
  <c r="G52" i="16" a="1"/>
  <c r="G52" i="16" s="1"/>
  <c r="Q52" i="16" a="1"/>
  <c r="Q52" i="16" s="1"/>
  <c r="R52" i="16" a="1"/>
  <c r="R52" i="16" s="1"/>
  <c r="H52" i="16" a="1"/>
  <c r="H52" i="16" s="1"/>
  <c r="S52" i="16" a="1"/>
  <c r="S52" i="16" s="1"/>
  <c r="I52" i="16" a="1"/>
  <c r="I52" i="16" s="1"/>
  <c r="T52" i="16" a="1"/>
  <c r="T52" i="16" s="1"/>
  <c r="C52" i="16" a="1"/>
  <c r="C52" i="16" s="1"/>
  <c r="J52" i="16" a="1"/>
  <c r="J52" i="16" s="1"/>
  <c r="U52" i="16" a="1"/>
  <c r="U52" i="16" s="1"/>
  <c r="D52" i="16" a="1"/>
  <c r="D52" i="16" s="1"/>
  <c r="K52" i="16" a="1"/>
  <c r="K52" i="16" s="1"/>
  <c r="FX104" i="2"/>
  <c r="GA103" i="2"/>
  <c r="IB33" i="2"/>
  <c r="IC32" i="2"/>
  <c r="A70" i="39"/>
  <c r="B53" i="16"/>
  <c r="O53" i="16" l="1" a="1"/>
  <c r="O53" i="16" s="1"/>
  <c r="N53" i="16" a="1"/>
  <c r="N53" i="16" s="1"/>
  <c r="P53" i="16" a="1"/>
  <c r="P53" i="16" s="1"/>
  <c r="W53" i="16" a="1"/>
  <c r="W53" i="16" s="1"/>
  <c r="X53" i="16" a="1"/>
  <c r="X53" i="16" s="1"/>
  <c r="Y53" i="16" a="1"/>
  <c r="Y53" i="16" s="1"/>
  <c r="I53" i="16" a="1"/>
  <c r="I53" i="16" s="1"/>
  <c r="T53" i="16" a="1"/>
  <c r="T53" i="16" s="1"/>
  <c r="C53" i="16" a="1"/>
  <c r="C53" i="16" s="1"/>
  <c r="J53" i="16" a="1"/>
  <c r="J53" i="16" s="1"/>
  <c r="D53" i="16" a="1"/>
  <c r="D53" i="16" s="1"/>
  <c r="K53" i="16" a="1"/>
  <c r="K53" i="16" s="1"/>
  <c r="U53" i="16" a="1"/>
  <c r="U53" i="16" s="1"/>
  <c r="E53" i="16" a="1"/>
  <c r="E53" i="16" s="1"/>
  <c r="L53" i="16" a="1"/>
  <c r="L53" i="16" s="1"/>
  <c r="V53" i="16" a="1"/>
  <c r="V53" i="16" s="1"/>
  <c r="F53" i="16" a="1"/>
  <c r="F53" i="16" s="1"/>
  <c r="M53" i="16" a="1"/>
  <c r="M53" i="16" s="1"/>
  <c r="Q53" i="16" a="1"/>
  <c r="Q53" i="16" s="1"/>
  <c r="G53" i="16" a="1"/>
  <c r="G53" i="16" s="1"/>
  <c r="R53" i="16" a="1"/>
  <c r="R53" i="16" s="1"/>
  <c r="H53" i="16" a="1"/>
  <c r="H53" i="16" s="1"/>
  <c r="S53" i="16" a="1"/>
  <c r="S53" i="16" s="1"/>
  <c r="FX105" i="2"/>
  <c r="GA104" i="2"/>
  <c r="IB34" i="2"/>
  <c r="IC33" i="2"/>
  <c r="A71" i="39"/>
  <c r="B54" i="16"/>
  <c r="N54" i="16" l="1" a="1"/>
  <c r="N54" i="16" s="1"/>
  <c r="P54" i="16" a="1"/>
  <c r="P54" i="16" s="1"/>
  <c r="O54" i="16" a="1"/>
  <c r="O54" i="16" s="1"/>
  <c r="Y54" i="16" a="1"/>
  <c r="Y54" i="16" s="1"/>
  <c r="W54" i="16" a="1"/>
  <c r="W54" i="16" s="1"/>
  <c r="X54" i="16" a="1"/>
  <c r="X54" i="16" s="1"/>
  <c r="F54" i="16" a="1"/>
  <c r="F54" i="16" s="1"/>
  <c r="Q54" i="16" a="1"/>
  <c r="Q54" i="16" s="1"/>
  <c r="G54" i="16" a="1"/>
  <c r="G54" i="16" s="1"/>
  <c r="R54" i="16" a="1"/>
  <c r="R54" i="16" s="1"/>
  <c r="H54" i="16" a="1"/>
  <c r="H54" i="16" s="1"/>
  <c r="S54" i="16" a="1"/>
  <c r="S54" i="16" s="1"/>
  <c r="I54" i="16" a="1"/>
  <c r="I54" i="16" s="1"/>
  <c r="C54" i="16" a="1"/>
  <c r="C54" i="16" s="1"/>
  <c r="J54" i="16" a="1"/>
  <c r="J54" i="16" s="1"/>
  <c r="T54" i="16" a="1"/>
  <c r="T54" i="16" s="1"/>
  <c r="D54" i="16" a="1"/>
  <c r="D54" i="16" s="1"/>
  <c r="K54" i="16" a="1"/>
  <c r="K54" i="16" s="1"/>
  <c r="U54" i="16" a="1"/>
  <c r="U54" i="16" s="1"/>
  <c r="E54" i="16" a="1"/>
  <c r="E54" i="16" s="1"/>
  <c r="L54" i="16" a="1"/>
  <c r="L54" i="16" s="1"/>
  <c r="V54" i="16" a="1"/>
  <c r="V54" i="16" s="1"/>
  <c r="M54" i="16" a="1"/>
  <c r="M54" i="16" s="1"/>
  <c r="FX106" i="2"/>
  <c r="GA105" i="2"/>
  <c r="IB35" i="2"/>
  <c r="IC34" i="2"/>
  <c r="A72" i="39"/>
  <c r="B55" i="16"/>
  <c r="O55" i="16" l="1" a="1"/>
  <c r="O55" i="16" s="1"/>
  <c r="P55" i="16" a="1"/>
  <c r="P55" i="16" s="1"/>
  <c r="N55" i="16" a="1"/>
  <c r="N55" i="16" s="1"/>
  <c r="W55" i="16" a="1"/>
  <c r="W55" i="16" s="1"/>
  <c r="X55" i="16" a="1"/>
  <c r="X55" i="16" s="1"/>
  <c r="Y55" i="16" a="1"/>
  <c r="Y55" i="16" s="1"/>
  <c r="D55" i="16" a="1"/>
  <c r="D55" i="16" s="1"/>
  <c r="K55" i="16" a="1"/>
  <c r="K55" i="16" s="1"/>
  <c r="U55" i="16" a="1"/>
  <c r="U55" i="16" s="1"/>
  <c r="L55" i="16" a="1"/>
  <c r="L55" i="16" s="1"/>
  <c r="V55" i="16" a="1"/>
  <c r="V55" i="16" s="1"/>
  <c r="E55" i="16" a="1"/>
  <c r="E55" i="16" s="1"/>
  <c r="M55" i="16" a="1"/>
  <c r="M55" i="16" s="1"/>
  <c r="F55" i="16" a="1"/>
  <c r="F55" i="16" s="1"/>
  <c r="Q55" i="16" a="1"/>
  <c r="Q55" i="16" s="1"/>
  <c r="G55" i="16" a="1"/>
  <c r="G55" i="16" s="1"/>
  <c r="R55" i="16" a="1"/>
  <c r="R55" i="16" s="1"/>
  <c r="H55" i="16" a="1"/>
  <c r="H55" i="16" s="1"/>
  <c r="I55" i="16" a="1"/>
  <c r="I55" i="16" s="1"/>
  <c r="S55" i="16" a="1"/>
  <c r="S55" i="16" s="1"/>
  <c r="J55" i="16" a="1"/>
  <c r="J55" i="16" s="1"/>
  <c r="T55" i="16" a="1"/>
  <c r="T55" i="16" s="1"/>
  <c r="C55" i="16" a="1"/>
  <c r="C55" i="16" s="1"/>
  <c r="FX107" i="2"/>
  <c r="GA106" i="2"/>
  <c r="IB36" i="2"/>
  <c r="IC35" i="2"/>
  <c r="A73" i="39"/>
  <c r="B56" i="16"/>
  <c r="P56" i="16" l="1" a="1"/>
  <c r="P56" i="16" s="1"/>
  <c r="O56" i="16" a="1"/>
  <c r="O56" i="16" s="1"/>
  <c r="N56" i="16" a="1"/>
  <c r="N56" i="16" s="1"/>
  <c r="Y56" i="16" a="1"/>
  <c r="Y56" i="16" s="1"/>
  <c r="W56" i="16" a="1"/>
  <c r="W56" i="16" s="1"/>
  <c r="H56" i="16" a="1"/>
  <c r="H56" i="16" s="1"/>
  <c r="R56" i="16" a="1"/>
  <c r="R56" i="16" s="1"/>
  <c r="I56" i="16" a="1"/>
  <c r="I56" i="16" s="1"/>
  <c r="S56" i="16" a="1"/>
  <c r="S56" i="16" s="1"/>
  <c r="C56" i="16" a="1"/>
  <c r="C56" i="16" s="1"/>
  <c r="J56" i="16" a="1"/>
  <c r="J56" i="16" s="1"/>
  <c r="T56" i="16" a="1"/>
  <c r="T56" i="16" s="1"/>
  <c r="K56" i="16" a="1"/>
  <c r="K56" i="16" s="1"/>
  <c r="U56" i="16" a="1"/>
  <c r="U56" i="16" s="1"/>
  <c r="D56" i="16" a="1"/>
  <c r="D56" i="16" s="1"/>
  <c r="L56" i="16" a="1"/>
  <c r="L56" i="16" s="1"/>
  <c r="V56" i="16" a="1"/>
  <c r="V56" i="16" s="1"/>
  <c r="E56" i="16" a="1"/>
  <c r="E56" i="16" s="1"/>
  <c r="M56" i="16" a="1"/>
  <c r="M56" i="16" s="1"/>
  <c r="F56" i="16" a="1"/>
  <c r="F56" i="16" s="1"/>
  <c r="Q56" i="16" a="1"/>
  <c r="Q56" i="16" s="1"/>
  <c r="G56" i="16" a="1"/>
  <c r="G56" i="16" s="1"/>
  <c r="X56" i="16" a="1"/>
  <c r="X56" i="16" s="1"/>
  <c r="FX108" i="2"/>
  <c r="GA107" i="2"/>
  <c r="IB37" i="2"/>
  <c r="IC36" i="2"/>
  <c r="A74" i="39"/>
  <c r="B57" i="16"/>
  <c r="O57" i="16" l="1" a="1"/>
  <c r="O57" i="16" s="1"/>
  <c r="P57" i="16" a="1"/>
  <c r="P57" i="16" s="1"/>
  <c r="N57" i="16" a="1"/>
  <c r="N57" i="16" s="1"/>
  <c r="W57" i="16" a="1"/>
  <c r="W57" i="16" s="1"/>
  <c r="X57" i="16" a="1"/>
  <c r="X57" i="16" s="1"/>
  <c r="Y57" i="16" a="1"/>
  <c r="Y57" i="16" s="1"/>
  <c r="E57" i="16" a="1"/>
  <c r="E57" i="16" s="1"/>
  <c r="M57" i="16" a="1"/>
  <c r="M57" i="16" s="1"/>
  <c r="V57" i="16" a="1"/>
  <c r="V57" i="16" s="1"/>
  <c r="F57" i="16" a="1"/>
  <c r="F57" i="16" s="1"/>
  <c r="G57" i="16" a="1"/>
  <c r="G57" i="16" s="1"/>
  <c r="Q57" i="16" a="1"/>
  <c r="Q57" i="16" s="1"/>
  <c r="H57" i="16" a="1"/>
  <c r="H57" i="16" s="1"/>
  <c r="R57" i="16" a="1"/>
  <c r="R57" i="16" s="1"/>
  <c r="I57" i="16" a="1"/>
  <c r="I57" i="16" s="1"/>
  <c r="S57" i="16" a="1"/>
  <c r="S57" i="16" s="1"/>
  <c r="J57" i="16" a="1"/>
  <c r="J57" i="16" s="1"/>
  <c r="T57" i="16" a="1"/>
  <c r="T57" i="16" s="1"/>
  <c r="C57" i="16" a="1"/>
  <c r="C57" i="16" s="1"/>
  <c r="K57" i="16" a="1"/>
  <c r="K57" i="16" s="1"/>
  <c r="U57" i="16" a="1"/>
  <c r="U57" i="16" s="1"/>
  <c r="D57" i="16" a="1"/>
  <c r="D57" i="16" s="1"/>
  <c r="L57" i="16" a="1"/>
  <c r="L57" i="16" s="1"/>
  <c r="FX109" i="2"/>
  <c r="GA109" i="2" s="1"/>
  <c r="GA108" i="2"/>
  <c r="IB38" i="2"/>
  <c r="IC37" i="2"/>
  <c r="A75" i="39"/>
  <c r="B58" i="16"/>
  <c r="N58" i="16" l="1" a="1"/>
  <c r="N58" i="16" s="1"/>
  <c r="P58" i="16" a="1"/>
  <c r="P58" i="16" s="1"/>
  <c r="O58" i="16" a="1"/>
  <c r="O58" i="16" s="1"/>
  <c r="X58" i="16" a="1"/>
  <c r="X58" i="16" s="1"/>
  <c r="Y58" i="16" a="1"/>
  <c r="Y58" i="16" s="1"/>
  <c r="W58" i="16" a="1"/>
  <c r="W58" i="16" s="1"/>
  <c r="J58" i="16" a="1"/>
  <c r="J58" i="16" s="1"/>
  <c r="T58" i="16" a="1"/>
  <c r="T58" i="16" s="1"/>
  <c r="C58" i="16" a="1"/>
  <c r="C58" i="16" s="1"/>
  <c r="K58" i="16" a="1"/>
  <c r="K58" i="16" s="1"/>
  <c r="D58" i="16" a="1"/>
  <c r="D58" i="16" s="1"/>
  <c r="L58" i="16" a="1"/>
  <c r="L58" i="16" s="1"/>
  <c r="U58" i="16" a="1"/>
  <c r="U58" i="16" s="1"/>
  <c r="E58" i="16" a="1"/>
  <c r="E58" i="16" s="1"/>
  <c r="V58" i="16" a="1"/>
  <c r="V58" i="16" s="1"/>
  <c r="F58" i="16" a="1"/>
  <c r="F58" i="16" s="1"/>
  <c r="M58" i="16" a="1"/>
  <c r="M58" i="16" s="1"/>
  <c r="G58" i="16" a="1"/>
  <c r="G58" i="16" s="1"/>
  <c r="Q58" i="16" a="1"/>
  <c r="Q58" i="16" s="1"/>
  <c r="H58" i="16" a="1"/>
  <c r="H58" i="16" s="1"/>
  <c r="R58" i="16" a="1"/>
  <c r="R58" i="16" s="1"/>
  <c r="S58" i="16" a="1"/>
  <c r="S58" i="16" s="1"/>
  <c r="I58" i="16" a="1"/>
  <c r="I58" i="16" s="1"/>
  <c r="IB39" i="2"/>
  <c r="IC38" i="2"/>
  <c r="A76" i="39"/>
  <c r="B59" i="16"/>
  <c r="O59" i="16" l="1" a="1"/>
  <c r="O59" i="16" s="1"/>
  <c r="P59" i="16" a="1"/>
  <c r="P59" i="16" s="1"/>
  <c r="N59" i="16" a="1"/>
  <c r="N59" i="16" s="1"/>
  <c r="X59" i="16" a="1"/>
  <c r="X59" i="16" s="1"/>
  <c r="Y59" i="16" a="1"/>
  <c r="Y59" i="16" s="1"/>
  <c r="W59" i="16" a="1"/>
  <c r="W59" i="16" s="1"/>
  <c r="G59" i="16" a="1"/>
  <c r="G59" i="16" s="1"/>
  <c r="Q59" i="16" a="1"/>
  <c r="Q59" i="16" s="1"/>
  <c r="H59" i="16" a="1"/>
  <c r="H59" i="16" s="1"/>
  <c r="R59" i="16" a="1"/>
  <c r="R59" i="16" s="1"/>
  <c r="I59" i="16" a="1"/>
  <c r="I59" i="16" s="1"/>
  <c r="S59" i="16" a="1"/>
  <c r="S59" i="16" s="1"/>
  <c r="J59" i="16" a="1"/>
  <c r="J59" i="16" s="1"/>
  <c r="C59" i="16" a="1"/>
  <c r="C59" i="16" s="1"/>
  <c r="K59" i="16" a="1"/>
  <c r="K59" i="16" s="1"/>
  <c r="T59" i="16" a="1"/>
  <c r="T59" i="16" s="1"/>
  <c r="D59" i="16" a="1"/>
  <c r="D59" i="16" s="1"/>
  <c r="U59" i="16" a="1"/>
  <c r="U59" i="16" s="1"/>
  <c r="E59" i="16" a="1"/>
  <c r="E59" i="16" s="1"/>
  <c r="L59" i="16" a="1"/>
  <c r="L59" i="16" s="1"/>
  <c r="V59" i="16" a="1"/>
  <c r="V59" i="16" s="1"/>
  <c r="F59" i="16" a="1"/>
  <c r="F59" i="16" s="1"/>
  <c r="M59" i="16" a="1"/>
  <c r="M59" i="16" s="1"/>
  <c r="IB40" i="2"/>
  <c r="IC39" i="2"/>
  <c r="A77" i="39"/>
  <c r="B60" i="16"/>
  <c r="P60" i="16" l="1" a="1"/>
  <c r="P60" i="16" s="1"/>
  <c r="N60" i="16" a="1"/>
  <c r="N60" i="16" s="1"/>
  <c r="O60" i="16" a="1"/>
  <c r="O60" i="16" s="1"/>
  <c r="W60" i="16" a="1"/>
  <c r="W60" i="16" s="1"/>
  <c r="Y60" i="16" a="1"/>
  <c r="Y60" i="16" s="1"/>
  <c r="X60" i="16" a="1"/>
  <c r="X60" i="16" s="1"/>
  <c r="D60" i="16" a="1"/>
  <c r="D60" i="16" s="1"/>
  <c r="K60" i="16" a="1"/>
  <c r="K60" i="16" s="1"/>
  <c r="U60" i="16" a="1"/>
  <c r="U60" i="16" s="1"/>
  <c r="E60" i="16" a="1"/>
  <c r="E60" i="16" s="1"/>
  <c r="L60" i="16" a="1"/>
  <c r="L60" i="16" s="1"/>
  <c r="V60" i="16" a="1"/>
  <c r="V60" i="16" s="1"/>
  <c r="F60" i="16" a="1"/>
  <c r="F60" i="16" s="1"/>
  <c r="M60" i="16" a="1"/>
  <c r="M60" i="16" s="1"/>
  <c r="G60" i="16" a="1"/>
  <c r="G60" i="16" s="1"/>
  <c r="Q60" i="16" a="1"/>
  <c r="Q60" i="16" s="1"/>
  <c r="H60" i="16" a="1"/>
  <c r="H60" i="16" s="1"/>
  <c r="R60" i="16" a="1"/>
  <c r="R60" i="16" s="1"/>
  <c r="I60" i="16" a="1"/>
  <c r="I60" i="16" s="1"/>
  <c r="J60" i="16" a="1"/>
  <c r="J60" i="16" s="1"/>
  <c r="S60" i="16" a="1"/>
  <c r="S60" i="16" s="1"/>
  <c r="C60" i="16" a="1"/>
  <c r="C60" i="16" s="1"/>
  <c r="T60" i="16" a="1"/>
  <c r="T60" i="16" s="1"/>
  <c r="IB41" i="2"/>
  <c r="IC41" i="2" s="1"/>
  <c r="IC40" i="2"/>
  <c r="A78" i="39"/>
  <c r="B61" i="16"/>
  <c r="O61" i="16" l="1" a="1"/>
  <c r="O61" i="16" s="1"/>
  <c r="N61" i="16" a="1"/>
  <c r="N61" i="16" s="1"/>
  <c r="P61" i="16" a="1"/>
  <c r="P61" i="16" s="1"/>
  <c r="X61" i="16" a="1"/>
  <c r="X61" i="16" s="1"/>
  <c r="Y61" i="16" a="1"/>
  <c r="Y61" i="16" s="1"/>
  <c r="W61" i="16" a="1"/>
  <c r="W61" i="16" s="1"/>
  <c r="I61" i="16" a="1"/>
  <c r="I61" i="16" s="1"/>
  <c r="R61" i="16" a="1"/>
  <c r="R61" i="16" s="1"/>
  <c r="S61" i="16" a="1"/>
  <c r="S61" i="16" s="1"/>
  <c r="C61" i="16" a="1"/>
  <c r="C61" i="16" s="1"/>
  <c r="J61" i="16" a="1"/>
  <c r="J61" i="16" s="1"/>
  <c r="T61" i="16" a="1"/>
  <c r="T61" i="16" s="1"/>
  <c r="D61" i="16" a="1"/>
  <c r="D61" i="16" s="1"/>
  <c r="K61" i="16" a="1"/>
  <c r="K61" i="16" s="1"/>
  <c r="U61" i="16" a="1"/>
  <c r="U61" i="16" s="1"/>
  <c r="E61" i="16" a="1"/>
  <c r="E61" i="16" s="1"/>
  <c r="L61" i="16" a="1"/>
  <c r="L61" i="16" s="1"/>
  <c r="V61" i="16" a="1"/>
  <c r="V61" i="16" s="1"/>
  <c r="F61" i="16" a="1"/>
  <c r="F61" i="16" s="1"/>
  <c r="M61" i="16" a="1"/>
  <c r="M61" i="16" s="1"/>
  <c r="G61" i="16" a="1"/>
  <c r="G61" i="16" s="1"/>
  <c r="Q61" i="16" a="1"/>
  <c r="Q61" i="16" s="1"/>
  <c r="H61" i="16" a="1"/>
  <c r="H61" i="16" s="1"/>
  <c r="A79" i="39"/>
  <c r="B62" i="16"/>
  <c r="N62" i="16" l="1" a="1"/>
  <c r="N62" i="16" s="1"/>
  <c r="P62" i="16" a="1"/>
  <c r="P62" i="16" s="1"/>
  <c r="O62" i="16" a="1"/>
  <c r="O62" i="16" s="1"/>
  <c r="W62" i="16" a="1"/>
  <c r="W62" i="16" s="1"/>
  <c r="X62" i="16" a="1"/>
  <c r="X62" i="16" s="1"/>
  <c r="Y62" i="16" a="1"/>
  <c r="Y62" i="16" s="1"/>
  <c r="F62" i="16" a="1"/>
  <c r="F62" i="16" s="1"/>
  <c r="M62" i="16" a="1"/>
  <c r="M62" i="16" s="1"/>
  <c r="G62" i="16" a="1"/>
  <c r="G62" i="16" s="1"/>
  <c r="H62" i="16" a="1"/>
  <c r="H62" i="16" s="1"/>
  <c r="Q62" i="16" a="1"/>
  <c r="Q62" i="16" s="1"/>
  <c r="R62" i="16" a="1"/>
  <c r="R62" i="16" s="1"/>
  <c r="I62" i="16" a="1"/>
  <c r="I62" i="16" s="1"/>
  <c r="C62" i="16" a="1"/>
  <c r="C62" i="16" s="1"/>
  <c r="J62" i="16" a="1"/>
  <c r="J62" i="16" s="1"/>
  <c r="T62" i="16" a="1"/>
  <c r="T62" i="16" s="1"/>
  <c r="D62" i="16" a="1"/>
  <c r="D62" i="16" s="1"/>
  <c r="K62" i="16" a="1"/>
  <c r="K62" i="16" s="1"/>
  <c r="U62" i="16" a="1"/>
  <c r="U62" i="16" s="1"/>
  <c r="E62" i="16" a="1"/>
  <c r="E62" i="16" s="1"/>
  <c r="L62" i="16" a="1"/>
  <c r="L62" i="16" s="1"/>
  <c r="S62" i="16" a="1"/>
  <c r="S62" i="16" s="1"/>
  <c r="V62" i="16" a="1"/>
  <c r="V62" i="16" s="1"/>
  <c r="A80" i="39"/>
  <c r="B63" i="16"/>
  <c r="O63" i="16" l="1" a="1"/>
  <c r="O63" i="16" s="1"/>
  <c r="P63" i="16" a="1"/>
  <c r="P63" i="16" s="1"/>
  <c r="N63" i="16" a="1"/>
  <c r="N63" i="16" s="1"/>
  <c r="W63" i="16" a="1"/>
  <c r="W63" i="16" s="1"/>
  <c r="C63" i="16" a="1"/>
  <c r="C63" i="16" s="1"/>
  <c r="J63" i="16" a="1"/>
  <c r="J63" i="16" s="1"/>
  <c r="T63" i="16" a="1"/>
  <c r="T63" i="16" s="1"/>
  <c r="X63" i="16" a="1"/>
  <c r="X63" i="16" s="1"/>
  <c r="D63" i="16" a="1"/>
  <c r="D63" i="16" s="1"/>
  <c r="K63" i="16" a="1"/>
  <c r="K63" i="16" s="1"/>
  <c r="U63" i="16" a="1"/>
  <c r="U63" i="16" s="1"/>
  <c r="Y63" i="16" a="1"/>
  <c r="Y63" i="16" s="1"/>
  <c r="E63" i="16" a="1"/>
  <c r="E63" i="16" s="1"/>
  <c r="L63" i="16" a="1"/>
  <c r="L63" i="16" s="1"/>
  <c r="V63" i="16" a="1"/>
  <c r="V63" i="16" s="1"/>
  <c r="F63" i="16" a="1"/>
  <c r="F63" i="16" s="1"/>
  <c r="Q63" i="16" a="1"/>
  <c r="Q63" i="16" s="1"/>
  <c r="H63" i="16" a="1"/>
  <c r="H63" i="16" s="1"/>
  <c r="R63" i="16" a="1"/>
  <c r="R63" i="16" s="1"/>
  <c r="G63" i="16" a="1"/>
  <c r="G63" i="16" s="1"/>
  <c r="M63" i="16" a="1"/>
  <c r="M63" i="16" s="1"/>
  <c r="S63" i="16" a="1"/>
  <c r="S63" i="16" s="1"/>
  <c r="I63" i="16" a="1"/>
  <c r="I63" i="16" s="1"/>
  <c r="A81" i="39"/>
  <c r="B64" i="16"/>
  <c r="P64" i="16" l="1" a="1"/>
  <c r="P64" i="16" s="1"/>
  <c r="N64" i="16" a="1"/>
  <c r="N64" i="16" s="1"/>
  <c r="O64" i="16" a="1"/>
  <c r="O64" i="16" s="1"/>
  <c r="W64" i="16" a="1"/>
  <c r="W64" i="16" s="1"/>
  <c r="X64" i="16" a="1"/>
  <c r="X64" i="16" s="1"/>
  <c r="Y64" i="16" a="1"/>
  <c r="Y64" i="16" s="1"/>
  <c r="G64" i="16" a="1"/>
  <c r="G64" i="16" s="1"/>
  <c r="Q64" i="16" a="1"/>
  <c r="Q64" i="16" s="1"/>
  <c r="H64" i="16" a="1"/>
  <c r="H64" i="16" s="1"/>
  <c r="R64" i="16" a="1"/>
  <c r="R64" i="16" s="1"/>
  <c r="I64" i="16" a="1"/>
  <c r="I64" i="16" s="1"/>
  <c r="S64" i="16" a="1"/>
  <c r="S64" i="16" s="1"/>
  <c r="C64" i="16" a="1"/>
  <c r="C64" i="16" s="1"/>
  <c r="J64" i="16" a="1"/>
  <c r="J64" i="16" s="1"/>
  <c r="T64" i="16" a="1"/>
  <c r="T64" i="16" s="1"/>
  <c r="E64" i="16" a="1"/>
  <c r="E64" i="16" s="1"/>
  <c r="V64" i="16" a="1"/>
  <c r="V64" i="16" s="1"/>
  <c r="F64" i="16" a="1"/>
  <c r="F64" i="16" s="1"/>
  <c r="D64" i="16" a="1"/>
  <c r="D64" i="16" s="1"/>
  <c r="K64" i="16" a="1"/>
  <c r="K64" i="16" s="1"/>
  <c r="L64" i="16" a="1"/>
  <c r="L64" i="16" s="1"/>
  <c r="M64" i="16" a="1"/>
  <c r="M64" i="16" s="1"/>
  <c r="U64" i="16" a="1"/>
  <c r="U64" i="16" s="1"/>
  <c r="A82" i="39"/>
  <c r="B65" i="16"/>
  <c r="O65" i="16" l="1" a="1"/>
  <c r="O65" i="16" s="1"/>
  <c r="P65" i="16" a="1"/>
  <c r="P65" i="16" s="1"/>
  <c r="N65" i="16" a="1"/>
  <c r="N65" i="16" s="1"/>
  <c r="W65" i="16" a="1"/>
  <c r="W65" i="16" s="1"/>
  <c r="X65" i="16" a="1"/>
  <c r="X65" i="16" s="1"/>
  <c r="Y65" i="16" a="1"/>
  <c r="Y65" i="16" s="1"/>
  <c r="E65" i="16" a="1"/>
  <c r="E65" i="16" s="1"/>
  <c r="K65" i="16" a="1"/>
  <c r="K65" i="16" s="1"/>
  <c r="V65" i="16" a="1"/>
  <c r="V65" i="16" s="1"/>
  <c r="L65" i="16" a="1"/>
  <c r="L65" i="16" s="1"/>
  <c r="F65" i="16" a="1"/>
  <c r="F65" i="16" s="1"/>
  <c r="M65" i="16" a="1"/>
  <c r="M65" i="16" s="1"/>
  <c r="G65" i="16" a="1"/>
  <c r="G65" i="16" s="1"/>
  <c r="Q65" i="16" a="1"/>
  <c r="Q65" i="16" s="1"/>
  <c r="I65" i="16" a="1"/>
  <c r="I65" i="16" s="1"/>
  <c r="S65" i="16" a="1"/>
  <c r="S65" i="16" s="1"/>
  <c r="H65" i="16" a="1"/>
  <c r="H65" i="16" s="1"/>
  <c r="J65" i="16" a="1"/>
  <c r="J65" i="16" s="1"/>
  <c r="R65" i="16" a="1"/>
  <c r="R65" i="16" s="1"/>
  <c r="T65" i="16" a="1"/>
  <c r="T65" i="16" s="1"/>
  <c r="C65" i="16" a="1"/>
  <c r="C65" i="16" s="1"/>
  <c r="D65" i="16" a="1"/>
  <c r="D65" i="16" s="1"/>
  <c r="U65" i="16" a="1"/>
  <c r="U65" i="16" s="1"/>
  <c r="A83" i="39"/>
  <c r="B66" i="16"/>
  <c r="N66" i="16" l="1" a="1"/>
  <c r="N66" i="16" s="1"/>
  <c r="P66" i="16" a="1"/>
  <c r="P66" i="16" s="1"/>
  <c r="O66" i="16" a="1"/>
  <c r="O66" i="16" s="1"/>
  <c r="X66" i="16" a="1"/>
  <c r="X66" i="16" s="1"/>
  <c r="Y66" i="16" a="1"/>
  <c r="Y66" i="16" s="1"/>
  <c r="W66" i="16" a="1"/>
  <c r="W66" i="16" s="1"/>
  <c r="I66" i="16" a="1"/>
  <c r="I66" i="16" s="1"/>
  <c r="S66" i="16" a="1"/>
  <c r="S66" i="16" s="1"/>
  <c r="C66" i="16" a="1"/>
  <c r="C66" i="16" s="1"/>
  <c r="T66" i="16" a="1"/>
  <c r="T66" i="16" s="1"/>
  <c r="D66" i="16" a="1"/>
  <c r="D66" i="16" s="1"/>
  <c r="J66" i="16" a="1"/>
  <c r="J66" i="16" s="1"/>
  <c r="U66" i="16" a="1"/>
  <c r="U66" i="16" s="1"/>
  <c r="K66" i="16" a="1"/>
  <c r="K66" i="16" s="1"/>
  <c r="V66" i="16" a="1"/>
  <c r="V66" i="16" s="1"/>
  <c r="F66" i="16" a="1"/>
  <c r="F66" i="16" s="1"/>
  <c r="M66" i="16" a="1"/>
  <c r="M66" i="16" s="1"/>
  <c r="H66" i="16" a="1"/>
  <c r="H66" i="16" s="1"/>
  <c r="L66" i="16" a="1"/>
  <c r="L66" i="16" s="1"/>
  <c r="Q66" i="16" a="1"/>
  <c r="Q66" i="16" s="1"/>
  <c r="R66" i="16" a="1"/>
  <c r="R66" i="16" s="1"/>
  <c r="E66" i="16" a="1"/>
  <c r="E66" i="16" s="1"/>
  <c r="G66" i="16" a="1"/>
  <c r="G66" i="16" s="1"/>
  <c r="A84" i="39"/>
  <c r="B67" i="16"/>
  <c r="O67" i="16" l="1" a="1"/>
  <c r="O67" i="16" s="1"/>
  <c r="P67" i="16" a="1"/>
  <c r="P67" i="16" s="1"/>
  <c r="N67" i="16" a="1"/>
  <c r="N67" i="16" s="1"/>
  <c r="W67" i="16" a="1"/>
  <c r="W67" i="16" s="1"/>
  <c r="Y67" i="16" a="1"/>
  <c r="Y67" i="16" s="1"/>
  <c r="X67" i="16" a="1"/>
  <c r="X67" i="16" s="1"/>
  <c r="F67" i="16" a="1"/>
  <c r="F67" i="16" s="1"/>
  <c r="G67" i="16" a="1"/>
  <c r="G67" i="16" s="1"/>
  <c r="Q67" i="16" a="1"/>
  <c r="Q67" i="16" s="1"/>
  <c r="H67" i="16" a="1"/>
  <c r="H67" i="16" s="1"/>
  <c r="R67" i="16" a="1"/>
  <c r="R67" i="16" s="1"/>
  <c r="S67" i="16" a="1"/>
  <c r="S67" i="16" s="1"/>
  <c r="J67" i="16" a="1"/>
  <c r="J67" i="16" s="1"/>
  <c r="U67" i="16" a="1"/>
  <c r="U67" i="16" s="1"/>
  <c r="K67" i="16" a="1"/>
  <c r="K67" i="16" s="1"/>
  <c r="L67" i="16" a="1"/>
  <c r="L67" i="16" s="1"/>
  <c r="M67" i="16" a="1"/>
  <c r="M67" i="16" s="1"/>
  <c r="T67" i="16" a="1"/>
  <c r="T67" i="16" s="1"/>
  <c r="C67" i="16" a="1"/>
  <c r="C67" i="16" s="1"/>
  <c r="V67" i="16" a="1"/>
  <c r="V67" i="16" s="1"/>
  <c r="E67" i="16" a="1"/>
  <c r="E67" i="16" s="1"/>
  <c r="I67" i="16" a="1"/>
  <c r="I67" i="16" s="1"/>
  <c r="D67" i="16" a="1"/>
  <c r="D67" i="16" s="1"/>
  <c r="B68" i="16"/>
  <c r="P68" i="16" l="1" a="1"/>
  <c r="P68" i="16" s="1"/>
  <c r="N68" i="16" a="1"/>
  <c r="N68" i="16" s="1"/>
  <c r="O68" i="16" a="1"/>
  <c r="O68" i="16" s="1"/>
  <c r="Y68" i="16" a="1"/>
  <c r="Y68" i="16" s="1"/>
  <c r="W68" i="16" a="1"/>
  <c r="W68" i="16" s="1"/>
  <c r="X68" i="16" a="1"/>
  <c r="X68" i="16" s="1"/>
  <c r="D68" i="16" a="1"/>
  <c r="D68" i="16" s="1"/>
  <c r="K68" i="16" a="1"/>
  <c r="K68" i="16" s="1"/>
  <c r="F68" i="16" a="1"/>
  <c r="F68" i="16" s="1"/>
  <c r="M68" i="16" a="1"/>
  <c r="M68" i="16" s="1"/>
  <c r="R68" i="16" a="1"/>
  <c r="R68" i="16" s="1"/>
  <c r="G68" i="16" a="1"/>
  <c r="G68" i="16" s="1"/>
  <c r="U68" i="16" a="1"/>
  <c r="U68" i="16" s="1"/>
  <c r="H68" i="16" a="1"/>
  <c r="H68" i="16" s="1"/>
  <c r="V68" i="16" a="1"/>
  <c r="V68" i="16" s="1"/>
  <c r="I68" i="16" a="1"/>
  <c r="I68" i="16" s="1"/>
  <c r="J68" i="16" a="1"/>
  <c r="J68" i="16" s="1"/>
  <c r="L68" i="16" a="1"/>
  <c r="L68" i="16" s="1"/>
  <c r="C68" i="16" a="1"/>
  <c r="C68" i="16" s="1"/>
  <c r="S68" i="16" a="1"/>
  <c r="S68" i="16" s="1"/>
  <c r="E68" i="16" a="1"/>
  <c r="E68" i="16" s="1"/>
  <c r="T68" i="16" a="1"/>
  <c r="T68" i="16" s="1"/>
  <c r="Q68" i="16" a="1"/>
  <c r="Q68" i="16" s="1"/>
  <c r="B69" i="16"/>
  <c r="O69" i="16" l="1" a="1"/>
  <c r="O69" i="16" s="1"/>
  <c r="N69" i="16" a="1"/>
  <c r="N69" i="16" s="1"/>
  <c r="P69" i="16" a="1"/>
  <c r="P69" i="16" s="1"/>
  <c r="W69" i="16" a="1"/>
  <c r="W69" i="16" s="1"/>
  <c r="X69" i="16" a="1"/>
  <c r="X69" i="16" s="1"/>
  <c r="H69" i="16" a="1"/>
  <c r="H69" i="16" s="1"/>
  <c r="S69" i="16" a="1"/>
  <c r="S69" i="16" s="1"/>
  <c r="Y69" i="16" a="1"/>
  <c r="Y69" i="16" s="1"/>
  <c r="C69" i="16" a="1"/>
  <c r="C69" i="16" s="1"/>
  <c r="J69" i="16" a="1"/>
  <c r="J69" i="16" s="1"/>
  <c r="E69" i="16" a="1"/>
  <c r="E69" i="16" s="1"/>
  <c r="L69" i="16" a="1"/>
  <c r="L69" i="16" s="1"/>
  <c r="V69" i="16" a="1"/>
  <c r="V69" i="16" s="1"/>
  <c r="M69" i="16" a="1"/>
  <c r="M69" i="16" s="1"/>
  <c r="Q69" i="16" a="1"/>
  <c r="Q69" i="16" s="1"/>
  <c r="D69" i="16" a="1"/>
  <c r="D69" i="16" s="1"/>
  <c r="R69" i="16" a="1"/>
  <c r="R69" i="16" s="1"/>
  <c r="F69" i="16" a="1"/>
  <c r="F69" i="16" s="1"/>
  <c r="T69" i="16" a="1"/>
  <c r="T69" i="16" s="1"/>
  <c r="U69" i="16" a="1"/>
  <c r="U69" i="16" s="1"/>
  <c r="I69" i="16" a="1"/>
  <c r="I69" i="16" s="1"/>
  <c r="K69" i="16" a="1"/>
  <c r="K69" i="16" s="1"/>
  <c r="G69" i="16" a="1"/>
  <c r="G69" i="16" s="1"/>
  <c r="B70" i="16"/>
  <c r="N70" i="16" l="1" a="1"/>
  <c r="N70" i="16" s="1"/>
  <c r="P70" i="16" a="1"/>
  <c r="P70" i="16" s="1"/>
  <c r="O70" i="16" a="1"/>
  <c r="O70" i="16" s="1"/>
  <c r="Y70" i="16" a="1"/>
  <c r="Y70" i="16" s="1"/>
  <c r="W70" i="16" a="1"/>
  <c r="W70" i="16" s="1"/>
  <c r="M70" i="16" a="1"/>
  <c r="M70" i="16" s="1"/>
  <c r="G70" i="16" a="1"/>
  <c r="G70" i="16" s="1"/>
  <c r="R70" i="16" a="1"/>
  <c r="R70" i="16" s="1"/>
  <c r="X70" i="16" a="1"/>
  <c r="X70" i="16" s="1"/>
  <c r="I70" i="16" a="1"/>
  <c r="I70" i="16" s="1"/>
  <c r="F70" i="16" a="1"/>
  <c r="F70" i="16" s="1"/>
  <c r="U70" i="16" a="1"/>
  <c r="U70" i="16" s="1"/>
  <c r="H70" i="16" a="1"/>
  <c r="H70" i="16" s="1"/>
  <c r="V70" i="16" a="1"/>
  <c r="V70" i="16" s="1"/>
  <c r="J70" i="16" a="1"/>
  <c r="J70" i="16" s="1"/>
  <c r="K70" i="16" a="1"/>
  <c r="K70" i="16" s="1"/>
  <c r="L70" i="16" a="1"/>
  <c r="L70" i="16" s="1"/>
  <c r="D70" i="16" a="1"/>
  <c r="D70" i="16" s="1"/>
  <c r="S70" i="16" a="1"/>
  <c r="S70" i="16" s="1"/>
  <c r="E70" i="16" a="1"/>
  <c r="E70" i="16" s="1"/>
  <c r="T70" i="16" a="1"/>
  <c r="T70" i="16" s="1"/>
  <c r="C70" i="16" a="1"/>
  <c r="C70" i="16" s="1"/>
  <c r="Q70" i="16" a="1"/>
  <c r="Q70" i="16" s="1"/>
  <c r="B71" i="16"/>
  <c r="O71" i="16" l="1" a="1"/>
  <c r="O71" i="16" s="1"/>
  <c r="P71" i="16" a="1"/>
  <c r="P71" i="16" s="1"/>
  <c r="N71" i="16" a="1"/>
  <c r="N71" i="16" s="1"/>
  <c r="W71" i="16" a="1"/>
  <c r="W71" i="16" s="1"/>
  <c r="X71" i="16" a="1"/>
  <c r="X71" i="16" s="1"/>
  <c r="Y71" i="16" a="1"/>
  <c r="Y71" i="16" s="1"/>
  <c r="C71" i="16" a="1"/>
  <c r="C71" i="16" s="1"/>
  <c r="J71" i="16" a="1"/>
  <c r="J71" i="16" s="1"/>
  <c r="T71" i="16" a="1"/>
  <c r="T71" i="16" s="1"/>
  <c r="L71" i="16" a="1"/>
  <c r="L71" i="16" s="1"/>
  <c r="V71" i="16" a="1"/>
  <c r="V71" i="16" s="1"/>
  <c r="F71" i="16" a="1"/>
  <c r="F71" i="16" s="1"/>
  <c r="Q71" i="16" a="1"/>
  <c r="Q71" i="16" s="1"/>
  <c r="M71" i="16" a="1"/>
  <c r="M71" i="16" s="1"/>
  <c r="R71" i="16" a="1"/>
  <c r="R71" i="16" s="1"/>
  <c r="D71" i="16" a="1"/>
  <c r="D71" i="16" s="1"/>
  <c r="E71" i="16" a="1"/>
  <c r="E71" i="16" s="1"/>
  <c r="S71" i="16" a="1"/>
  <c r="S71" i="16" s="1"/>
  <c r="G71" i="16" a="1"/>
  <c r="G71" i="16" s="1"/>
  <c r="U71" i="16" a="1"/>
  <c r="U71" i="16" s="1"/>
  <c r="I71" i="16" a="1"/>
  <c r="I71" i="16" s="1"/>
  <c r="K71" i="16" a="1"/>
  <c r="K71" i="16" s="1"/>
  <c r="H71" i="16" a="1"/>
  <c r="H71" i="16" s="1"/>
  <c r="B72" i="16"/>
  <c r="P72" i="16" l="1" a="1"/>
  <c r="P72" i="16" s="1"/>
  <c r="N72" i="16" a="1"/>
  <c r="N72" i="16" s="1"/>
  <c r="O72" i="16" a="1"/>
  <c r="O72" i="16" s="1"/>
  <c r="X72" i="16" a="1"/>
  <c r="X72" i="16" s="1"/>
  <c r="W72" i="16" a="1"/>
  <c r="W72" i="16" s="1"/>
  <c r="Y72" i="16" a="1"/>
  <c r="Y72" i="16" s="1"/>
  <c r="G72" i="16" a="1"/>
  <c r="G72" i="16" s="1"/>
  <c r="I72" i="16" a="1"/>
  <c r="I72" i="16" s="1"/>
  <c r="S72" i="16" a="1"/>
  <c r="S72" i="16" s="1"/>
  <c r="K72" i="16" a="1"/>
  <c r="K72" i="16" s="1"/>
  <c r="U72" i="16" a="1"/>
  <c r="U72" i="16" s="1"/>
  <c r="F72" i="16" a="1"/>
  <c r="F72" i="16" s="1"/>
  <c r="V72" i="16" a="1"/>
  <c r="V72" i="16" s="1"/>
  <c r="H72" i="16" a="1"/>
  <c r="H72" i="16" s="1"/>
  <c r="J72" i="16" a="1"/>
  <c r="J72" i="16" s="1"/>
  <c r="L72" i="16" a="1"/>
  <c r="L72" i="16" s="1"/>
  <c r="M72" i="16" a="1"/>
  <c r="M72" i="16" s="1"/>
  <c r="D72" i="16" a="1"/>
  <c r="D72" i="16" s="1"/>
  <c r="R72" i="16" a="1"/>
  <c r="R72" i="16" s="1"/>
  <c r="E72" i="16" a="1"/>
  <c r="E72" i="16" s="1"/>
  <c r="T72" i="16" a="1"/>
  <c r="T72" i="16" s="1"/>
  <c r="C72" i="16" a="1"/>
  <c r="C72" i="16" s="1"/>
  <c r="Q72" i="16" a="1"/>
  <c r="Q72" i="16" s="1"/>
  <c r="B73" i="16"/>
  <c r="O73" i="16" l="1" a="1"/>
  <c r="O73" i="16" s="1"/>
  <c r="P73" i="16" a="1"/>
  <c r="P73" i="16" s="1"/>
  <c r="N73" i="16" a="1"/>
  <c r="N73" i="16" s="1"/>
  <c r="X73" i="16" a="1"/>
  <c r="X73" i="16" s="1"/>
  <c r="Y73" i="16" a="1"/>
  <c r="Y73" i="16" s="1"/>
  <c r="W73" i="16" a="1"/>
  <c r="W73" i="16" s="1"/>
  <c r="D73" i="16" a="1"/>
  <c r="D73" i="16" s="1"/>
  <c r="L73" i="16" a="1"/>
  <c r="L73" i="16" s="1"/>
  <c r="F73" i="16" a="1"/>
  <c r="F73" i="16" s="1"/>
  <c r="H73" i="16" a="1"/>
  <c r="H73" i="16" s="1"/>
  <c r="M73" i="16" a="1"/>
  <c r="M73" i="16" s="1"/>
  <c r="Q73" i="16" a="1"/>
  <c r="Q73" i="16" s="1"/>
  <c r="C73" i="16" a="1"/>
  <c r="C73" i="16" s="1"/>
  <c r="R73" i="16" a="1"/>
  <c r="R73" i="16" s="1"/>
  <c r="E73" i="16" a="1"/>
  <c r="E73" i="16" s="1"/>
  <c r="S73" i="16" a="1"/>
  <c r="S73" i="16" s="1"/>
  <c r="G73" i="16" a="1"/>
  <c r="G73" i="16" s="1"/>
  <c r="T73" i="16" a="1"/>
  <c r="T73" i="16" s="1"/>
  <c r="J73" i="16" a="1"/>
  <c r="J73" i="16" s="1"/>
  <c r="K73" i="16" a="1"/>
  <c r="K73" i="16" s="1"/>
  <c r="V73" i="16" a="1"/>
  <c r="V73" i="16" s="1"/>
  <c r="U73" i="16" a="1"/>
  <c r="U73" i="16" s="1"/>
  <c r="I73" i="16" a="1"/>
  <c r="I73" i="16" s="1"/>
  <c r="B74" i="16"/>
  <c r="N74" i="16" l="1" a="1"/>
  <c r="N74" i="16" s="1"/>
  <c r="P74" i="16" a="1"/>
  <c r="P74" i="16" s="1"/>
  <c r="O74" i="16" a="1"/>
  <c r="O74" i="16" s="1"/>
  <c r="W74" i="16" a="1"/>
  <c r="W74" i="16" s="1"/>
  <c r="X74" i="16" a="1"/>
  <c r="X74" i="16" s="1"/>
  <c r="Y74" i="16" a="1"/>
  <c r="Y74" i="16" s="1"/>
  <c r="C74" i="16" a="1"/>
  <c r="C74" i="16" s="1"/>
  <c r="K74" i="16" a="1"/>
  <c r="K74" i="16" s="1"/>
  <c r="D74" i="16" a="1"/>
  <c r="D74" i="16" s="1"/>
  <c r="V74" i="16" a="1"/>
  <c r="V74" i="16" s="1"/>
  <c r="E74" i="16" a="1"/>
  <c r="E74" i="16" s="1"/>
  <c r="M74" i="16" a="1"/>
  <c r="M74" i="16" s="1"/>
  <c r="F74" i="16" a="1"/>
  <c r="F74" i="16" s="1"/>
  <c r="Q74" i="16" a="1"/>
  <c r="Q74" i="16" s="1"/>
  <c r="G74" i="16" a="1"/>
  <c r="G74" i="16" s="1"/>
  <c r="R74" i="16" a="1"/>
  <c r="R74" i="16" s="1"/>
  <c r="H74" i="16" a="1"/>
  <c r="H74" i="16" s="1"/>
  <c r="S74" i="16" a="1"/>
  <c r="S74" i="16" s="1"/>
  <c r="J74" i="16" a="1"/>
  <c r="J74" i="16" s="1"/>
  <c r="L74" i="16" a="1"/>
  <c r="L74" i="16" s="1"/>
  <c r="U74" i="16" a="1"/>
  <c r="U74" i="16" s="1"/>
  <c r="I74" i="16" a="1"/>
  <c r="I74" i="16" s="1"/>
  <c r="T74" i="16" a="1"/>
  <c r="T74" i="16" s="1"/>
  <c r="B75" i="16"/>
  <c r="O75" i="16" l="1" a="1"/>
  <c r="O75" i="16" s="1"/>
  <c r="P75" i="16" a="1"/>
  <c r="P75" i="16" s="1"/>
  <c r="N75" i="16" a="1"/>
  <c r="N75" i="16" s="1"/>
  <c r="W75" i="16" a="1"/>
  <c r="W75" i="16" s="1"/>
  <c r="X75" i="16" a="1"/>
  <c r="X75" i="16" s="1"/>
  <c r="Y75" i="16" a="1"/>
  <c r="Y75" i="16" s="1"/>
  <c r="J75" i="16" a="1"/>
  <c r="J75" i="16" s="1"/>
  <c r="C75" i="16" a="1"/>
  <c r="C75" i="16" s="1"/>
  <c r="B5" i="2" s="1"/>
  <c r="K75" i="16" a="1"/>
  <c r="K75" i="16" s="1"/>
  <c r="T75" i="16" a="1"/>
  <c r="T75" i="16" s="1"/>
  <c r="D75" i="16" a="1"/>
  <c r="D75" i="16" s="1"/>
  <c r="U75" i="16" a="1"/>
  <c r="U75" i="16" s="1"/>
  <c r="E75" i="16" a="1"/>
  <c r="E75" i="16" s="1"/>
  <c r="L75" i="16" a="1"/>
  <c r="L75" i="16" s="1"/>
  <c r="V75" i="16" a="1"/>
  <c r="V75" i="16" s="1"/>
  <c r="F75" i="16" a="1"/>
  <c r="F75" i="16" s="1"/>
  <c r="M75" i="16" a="1"/>
  <c r="M75" i="16" s="1"/>
  <c r="H75" i="16" a="1"/>
  <c r="H75" i="16" s="1"/>
  <c r="R75" i="16" a="1"/>
  <c r="R75" i="16" s="1"/>
  <c r="I75" i="16" a="1"/>
  <c r="I75" i="16" s="1"/>
  <c r="S75" i="16" a="1"/>
  <c r="S75" i="16" s="1"/>
  <c r="G75" i="16" a="1"/>
  <c r="G75" i="16" s="1"/>
  <c r="Q75" i="16" a="1"/>
  <c r="Q75" i="16" s="1"/>
  <c r="B76" i="16"/>
  <c r="P76" i="16" l="1" a="1"/>
  <c r="P76" i="16" s="1"/>
  <c r="N76" i="16" a="1"/>
  <c r="N76" i="16" s="1"/>
  <c r="O76" i="16" a="1"/>
  <c r="O76" i="16" s="1"/>
  <c r="W76" i="16" a="1"/>
  <c r="W76" i="16" s="1"/>
  <c r="X76" i="16" a="1"/>
  <c r="X76" i="16" s="1"/>
  <c r="Y76" i="16" a="1"/>
  <c r="Y76" i="16" s="1"/>
  <c r="G76" i="16" a="1"/>
  <c r="G76" i="16" s="1"/>
  <c r="Q76" i="16" a="1"/>
  <c r="Q76" i="16" s="1"/>
  <c r="H76" i="16" a="1"/>
  <c r="H76" i="16" s="1"/>
  <c r="R76" i="16" a="1"/>
  <c r="R76" i="16" s="1"/>
  <c r="I76" i="16" a="1"/>
  <c r="I76" i="16" s="1"/>
  <c r="J76" i="16" a="1"/>
  <c r="J76" i="16" s="1"/>
  <c r="S76" i="16" a="1"/>
  <c r="S76" i="16" s="1"/>
  <c r="C76" i="16" a="1"/>
  <c r="C76" i="16" s="1"/>
  <c r="T76" i="16" a="1"/>
  <c r="T76" i="16" s="1"/>
  <c r="E76" i="16" a="1"/>
  <c r="E76" i="16" s="1"/>
  <c r="L76" i="16" a="1"/>
  <c r="L76" i="16" s="1"/>
  <c r="V76" i="16" a="1"/>
  <c r="V76" i="16" s="1"/>
  <c r="F76" i="16" a="1"/>
  <c r="F76" i="16" s="1"/>
  <c r="M76" i="16" a="1"/>
  <c r="M76" i="16" s="1"/>
  <c r="D76" i="16" a="1"/>
  <c r="D76" i="16" s="1"/>
  <c r="K76" i="16" a="1"/>
  <c r="K76" i="16" s="1"/>
  <c r="U76" i="16" a="1"/>
  <c r="U76" i="16" s="1"/>
  <c r="B77" i="16"/>
  <c r="B6" i="2" l="1"/>
  <c r="N77" i="16" a="1"/>
  <c r="N77" i="16" s="1"/>
  <c r="P77" i="16" a="1"/>
  <c r="P77" i="16" s="1"/>
  <c r="O77" i="16" a="1"/>
  <c r="O77" i="16" s="1"/>
  <c r="X77" i="16" a="1"/>
  <c r="X77" i="16" s="1"/>
  <c r="Y77" i="16" a="1"/>
  <c r="Y77" i="16" s="1"/>
  <c r="W77" i="16" a="1"/>
  <c r="W77" i="16" s="1"/>
  <c r="D77" i="16" a="1"/>
  <c r="D77" i="16" s="1"/>
  <c r="K77" i="16" a="1"/>
  <c r="K77" i="16" s="1"/>
  <c r="U77" i="16" a="1"/>
  <c r="U77" i="16" s="1"/>
  <c r="E77" i="16" a="1"/>
  <c r="E77" i="16" s="1"/>
  <c r="L77" i="16" a="1"/>
  <c r="L77" i="16" s="1"/>
  <c r="V77" i="16" a="1"/>
  <c r="V77" i="16" s="1"/>
  <c r="F77" i="16" a="1"/>
  <c r="F77" i="16" s="1"/>
  <c r="M77" i="16" a="1"/>
  <c r="M77" i="16" s="1"/>
  <c r="G77" i="16" a="1"/>
  <c r="G77" i="16" s="1"/>
  <c r="Q77" i="16" a="1"/>
  <c r="Q77" i="16" s="1"/>
  <c r="H77" i="16" a="1"/>
  <c r="H77" i="16" s="1"/>
  <c r="S77" i="16" a="1"/>
  <c r="S77" i="16" s="1"/>
  <c r="C77" i="16" a="1"/>
  <c r="C77" i="16" s="1"/>
  <c r="J77" i="16" a="1"/>
  <c r="J77" i="16" s="1"/>
  <c r="T77" i="16" a="1"/>
  <c r="T77" i="16" s="1"/>
  <c r="I77" i="16" a="1"/>
  <c r="I77" i="16" s="1"/>
  <c r="R77" i="16" a="1"/>
  <c r="R77" i="16" s="1"/>
  <c r="B78" i="16"/>
  <c r="B7" i="2" l="1"/>
  <c r="O78" i="16" a="1"/>
  <c r="O78" i="16" s="1"/>
  <c r="P78" i="16" a="1"/>
  <c r="P78" i="16" s="1"/>
  <c r="N78" i="16" a="1"/>
  <c r="N78" i="16" s="1"/>
  <c r="X78" i="16" a="1"/>
  <c r="X78" i="16" s="1"/>
  <c r="Y78" i="16" a="1"/>
  <c r="Y78" i="16" s="1"/>
  <c r="W78" i="16" a="1"/>
  <c r="W78" i="16" s="1"/>
  <c r="R78" i="16" a="1"/>
  <c r="R78" i="16" s="1"/>
  <c r="I78" i="16" a="1"/>
  <c r="I78" i="16" s="1"/>
  <c r="S78" i="16" a="1"/>
  <c r="S78" i="16" s="1"/>
  <c r="C78" i="16" a="1"/>
  <c r="C78" i="16" s="1"/>
  <c r="J78" i="16" a="1"/>
  <c r="J78" i="16" s="1"/>
  <c r="T78" i="16" a="1"/>
  <c r="T78" i="16" s="1"/>
  <c r="D78" i="16" a="1"/>
  <c r="D78" i="16" s="1"/>
  <c r="K78" i="16" a="1"/>
  <c r="K78" i="16" s="1"/>
  <c r="U78" i="16" a="1"/>
  <c r="U78" i="16" s="1"/>
  <c r="E78" i="16" a="1"/>
  <c r="E78" i="16" s="1"/>
  <c r="L78" i="16" a="1"/>
  <c r="L78" i="16" s="1"/>
  <c r="V78" i="16" a="1"/>
  <c r="V78" i="16" s="1"/>
  <c r="G78" i="16" a="1"/>
  <c r="G78" i="16" s="1"/>
  <c r="H78" i="16" a="1"/>
  <c r="H78" i="16" s="1"/>
  <c r="Q78" i="16" a="1"/>
  <c r="Q78" i="16" s="1"/>
  <c r="F78" i="16" a="1"/>
  <c r="F78" i="16" s="1"/>
  <c r="M78" i="16" a="1"/>
  <c r="M78" i="16" s="1"/>
  <c r="B79" i="16"/>
  <c r="B8" i="2" l="1"/>
  <c r="P79" i="16" a="1"/>
  <c r="P79" i="16" s="1"/>
  <c r="O79" i="16" a="1"/>
  <c r="O79" i="16" s="1"/>
  <c r="N79" i="16" a="1"/>
  <c r="N79" i="16" s="1"/>
  <c r="W79" i="16" a="1"/>
  <c r="W79" i="16" s="1"/>
  <c r="X79" i="16" a="1"/>
  <c r="X79" i="16" s="1"/>
  <c r="Y79" i="16" a="1"/>
  <c r="Y79" i="16" s="1"/>
  <c r="F79" i="16" a="1"/>
  <c r="F79" i="16" s="1"/>
  <c r="G79" i="16" a="1"/>
  <c r="G79" i="16" s="1"/>
  <c r="M79" i="16" a="1"/>
  <c r="M79" i="16" s="1"/>
  <c r="Q79" i="16" a="1"/>
  <c r="Q79" i="16" s="1"/>
  <c r="H79" i="16" a="1"/>
  <c r="H79" i="16" s="1"/>
  <c r="R79" i="16" a="1"/>
  <c r="R79" i="16" s="1"/>
  <c r="I79" i="16" a="1"/>
  <c r="I79" i="16" s="1"/>
  <c r="S79" i="16" a="1"/>
  <c r="S79" i="16" s="1"/>
  <c r="D79" i="16" a="1"/>
  <c r="D79" i="16" s="1"/>
  <c r="K79" i="16" a="1"/>
  <c r="K79" i="16" s="1"/>
  <c r="U79" i="16" a="1"/>
  <c r="U79" i="16" s="1"/>
  <c r="E79" i="16" a="1"/>
  <c r="E79" i="16" s="1"/>
  <c r="L79" i="16" a="1"/>
  <c r="L79" i="16" s="1"/>
  <c r="V79" i="16" a="1"/>
  <c r="V79" i="16" s="1"/>
  <c r="C79" i="16" a="1"/>
  <c r="C79" i="16" s="1"/>
  <c r="J79" i="16" a="1"/>
  <c r="J79" i="16" s="1"/>
  <c r="T79" i="16" a="1"/>
  <c r="T79" i="16" s="1"/>
  <c r="B80" i="16"/>
  <c r="G9" i="2" l="1"/>
  <c r="B9" i="2"/>
  <c r="N80" i="16" a="1"/>
  <c r="N80" i="16" s="1"/>
  <c r="P80" i="16" a="1"/>
  <c r="P80" i="16" s="1"/>
  <c r="O80" i="16" a="1"/>
  <c r="O80" i="16" s="1"/>
  <c r="Y80" i="16" a="1"/>
  <c r="Y80" i="16" s="1"/>
  <c r="W80" i="16" a="1"/>
  <c r="W80" i="16" s="1"/>
  <c r="X80" i="16" a="1"/>
  <c r="X80" i="16" s="1"/>
  <c r="C80" i="16" a="1"/>
  <c r="C80" i="16" s="1"/>
  <c r="J80" i="16" a="1"/>
  <c r="J80" i="16" s="1"/>
  <c r="T80" i="16" a="1"/>
  <c r="T80" i="16" s="1"/>
  <c r="D80" i="16" a="1"/>
  <c r="D80" i="16" s="1"/>
  <c r="K80" i="16" a="1"/>
  <c r="K80" i="16" s="1"/>
  <c r="U80" i="16" a="1"/>
  <c r="U80" i="16" s="1"/>
  <c r="E80" i="16" a="1"/>
  <c r="E80" i="16" s="1"/>
  <c r="V80" i="16" a="1"/>
  <c r="V80" i="16" s="1"/>
  <c r="F80" i="16" a="1"/>
  <c r="F80" i="16" s="1"/>
  <c r="L80" i="16" a="1"/>
  <c r="L80" i="16" s="1"/>
  <c r="M80" i="16" a="1"/>
  <c r="M80" i="16" s="1"/>
  <c r="H80" i="16" a="1"/>
  <c r="H80" i="16" s="1"/>
  <c r="R80" i="16" a="1"/>
  <c r="R80" i="16" s="1"/>
  <c r="I80" i="16" a="1"/>
  <c r="I80" i="16" s="1"/>
  <c r="S80" i="16" a="1"/>
  <c r="S80" i="16" s="1"/>
  <c r="Q80" i="16" a="1"/>
  <c r="Q80" i="16" s="1"/>
  <c r="G80" i="16" a="1"/>
  <c r="G80" i="16" s="1"/>
  <c r="B81" i="16"/>
  <c r="B10" i="2" l="1"/>
  <c r="G10" i="2"/>
  <c r="P81" i="16" a="1"/>
  <c r="P81" i="16" s="1"/>
  <c r="O81" i="16" a="1"/>
  <c r="O81" i="16" s="1"/>
  <c r="N81" i="16" a="1"/>
  <c r="N81" i="16" s="1"/>
  <c r="W81" i="16" a="1"/>
  <c r="W81" i="16" s="1"/>
  <c r="X81" i="16" a="1"/>
  <c r="X81" i="16" s="1"/>
  <c r="Y81" i="16" a="1"/>
  <c r="Y81" i="16" s="1"/>
  <c r="G81" i="16" a="1"/>
  <c r="G81" i="16" s="1"/>
  <c r="Q81" i="16" a="1"/>
  <c r="Q81" i="16" s="1"/>
  <c r="H81" i="16" a="1"/>
  <c r="H81" i="16" s="1"/>
  <c r="R81" i="16" a="1"/>
  <c r="R81" i="16" s="1"/>
  <c r="I81" i="16" a="1"/>
  <c r="I81" i="16" s="1"/>
  <c r="S81" i="16" a="1"/>
  <c r="S81" i="16" s="1"/>
  <c r="C81" i="16" a="1"/>
  <c r="C81" i="16" s="1"/>
  <c r="J81" i="16" a="1"/>
  <c r="J81" i="16" s="1"/>
  <c r="T81" i="16" a="1"/>
  <c r="T81" i="16" s="1"/>
  <c r="D81" i="16" a="1"/>
  <c r="D81" i="16" s="1"/>
  <c r="U81" i="16" a="1"/>
  <c r="U81" i="16" s="1"/>
  <c r="L81" i="16" a="1"/>
  <c r="L81" i="16" s="1"/>
  <c r="F81" i="16" a="1"/>
  <c r="F81" i="16" s="1"/>
  <c r="M81" i="16" a="1"/>
  <c r="M81" i="16" s="1"/>
  <c r="E81" i="16" a="1"/>
  <c r="E81" i="16" s="1"/>
  <c r="K81" i="16" a="1"/>
  <c r="K81" i="16" s="1"/>
  <c r="V81" i="16" a="1"/>
  <c r="V81" i="16" s="1"/>
  <c r="B82" i="16"/>
  <c r="G11" i="2" l="1"/>
  <c r="B11" i="2"/>
  <c r="P82" i="16" a="1"/>
  <c r="P82" i="16" s="1"/>
  <c r="O82" i="16" a="1"/>
  <c r="O82" i="16" s="1"/>
  <c r="N82" i="16" a="1"/>
  <c r="N82" i="16" s="1"/>
  <c r="Y82" i="16" a="1"/>
  <c r="Y82" i="16" s="1"/>
  <c r="W82" i="16" a="1"/>
  <c r="W82" i="16" s="1"/>
  <c r="K82" i="16" a="1"/>
  <c r="K82" i="16" s="1"/>
  <c r="V82" i="16" a="1"/>
  <c r="V82" i="16" s="1"/>
  <c r="E82" i="16" a="1"/>
  <c r="E82" i="16" s="1"/>
  <c r="L82" i="16" a="1"/>
  <c r="L82" i="16" s="1"/>
  <c r="F82" i="16" a="1"/>
  <c r="F82" i="16" s="1"/>
  <c r="M82" i="16" a="1"/>
  <c r="M82" i="16" s="1"/>
  <c r="G82" i="16" a="1"/>
  <c r="G82" i="16" s="1"/>
  <c r="Q82" i="16" a="1"/>
  <c r="Q82" i="16" s="1"/>
  <c r="H82" i="16" a="1"/>
  <c r="H82" i="16" s="1"/>
  <c r="R82" i="16" a="1"/>
  <c r="R82" i="16" s="1"/>
  <c r="C82" i="16" a="1"/>
  <c r="C82" i="16" s="1"/>
  <c r="T82" i="16" a="1"/>
  <c r="T82" i="16" s="1"/>
  <c r="X82" i="16" a="1"/>
  <c r="X82" i="16" s="1"/>
  <c r="D82" i="16" a="1"/>
  <c r="D82" i="16" s="1"/>
  <c r="J82" i="16" a="1"/>
  <c r="J82" i="16" s="1"/>
  <c r="U82" i="16" a="1"/>
  <c r="U82" i="16" s="1"/>
  <c r="I82" i="16" a="1"/>
  <c r="I82" i="16" s="1"/>
  <c r="S82" i="16" a="1"/>
  <c r="S82" i="16" s="1"/>
  <c r="B83" i="16"/>
  <c r="B12" i="2" l="1"/>
  <c r="G12" i="2"/>
  <c r="N83" i="16" a="1"/>
  <c r="N83" i="16" s="1"/>
  <c r="P83" i="16" a="1"/>
  <c r="P83" i="16" s="1"/>
  <c r="O83" i="16" a="1"/>
  <c r="O83" i="16" s="1"/>
  <c r="W83" i="16" a="1"/>
  <c r="W83" i="16" s="1"/>
  <c r="X83" i="16" a="1"/>
  <c r="X83" i="16" s="1"/>
  <c r="Y83" i="16" a="1"/>
  <c r="Y83" i="16" s="1"/>
  <c r="M83" i="16" a="1"/>
  <c r="M83" i="16" s="1"/>
  <c r="U83" i="16" a="1"/>
  <c r="U83" i="16" s="1"/>
  <c r="C83" i="16" a="1"/>
  <c r="C83" i="16" s="1"/>
  <c r="I83" i="16" a="1"/>
  <c r="I83" i="16" s="1"/>
  <c r="Q83" i="16" a="1"/>
  <c r="Q83" i="16" s="1"/>
  <c r="J83" i="16" a="1"/>
  <c r="J83" i="16" s="1"/>
  <c r="V83" i="16" a="1"/>
  <c r="V83" i="16" s="1"/>
  <c r="D83" i="16" a="1"/>
  <c r="D83" i="16" s="1"/>
  <c r="R83" i="16" a="1"/>
  <c r="R83" i="16" s="1"/>
  <c r="E83" i="16" a="1"/>
  <c r="E83" i="16" s="1"/>
  <c r="K83" i="16" a="1"/>
  <c r="K83" i="16" s="1"/>
  <c r="G83" i="16" a="1"/>
  <c r="G83" i="16" s="1"/>
  <c r="L83" i="16" a="1"/>
  <c r="L83" i="16" s="1"/>
  <c r="H83" i="16" a="1"/>
  <c r="H83" i="16" s="1"/>
  <c r="T83" i="16" a="1"/>
  <c r="T83" i="16" s="1"/>
  <c r="S83" i="16" a="1"/>
  <c r="S83" i="16" s="1"/>
  <c r="F83" i="16" a="1"/>
  <c r="F83" i="16" s="1"/>
  <c r="B84" i="16"/>
  <c r="B13" i="2" l="1"/>
  <c r="G13" i="2"/>
  <c r="P84" i="16" a="1"/>
  <c r="P84" i="16" s="1"/>
  <c r="O84" i="16" a="1"/>
  <c r="O84" i="16" s="1"/>
  <c r="N84" i="16" a="1"/>
  <c r="N84" i="16" s="1"/>
  <c r="X84" i="16" a="1"/>
  <c r="X84" i="16" s="1"/>
  <c r="W84" i="16" a="1"/>
  <c r="W84" i="16" s="1"/>
  <c r="Y84" i="16" a="1"/>
  <c r="Y84" i="16" s="1"/>
  <c r="J84" i="16" a="1"/>
  <c r="J84" i="16" s="1"/>
  <c r="V84" i="16" a="1"/>
  <c r="V84" i="16" s="1"/>
  <c r="F84" i="16" a="1"/>
  <c r="F84" i="16" s="1"/>
  <c r="R84" i="16" a="1"/>
  <c r="R84" i="16" s="1"/>
  <c r="K84" i="16" a="1"/>
  <c r="K84" i="16" s="1"/>
  <c r="G84" i="16" a="1"/>
  <c r="G84" i="16" s="1"/>
  <c r="S84" i="16" a="1"/>
  <c r="S84" i="16" s="1"/>
  <c r="C84" i="16" a="1"/>
  <c r="C84" i="16" s="1"/>
  <c r="G14" i="2" s="1"/>
  <c r="L84" i="16" a="1"/>
  <c r="L84" i="16" s="1"/>
  <c r="T84" i="16" a="1"/>
  <c r="T84" i="16" s="1"/>
  <c r="D84" i="16" a="1"/>
  <c r="D84" i="16" s="1"/>
  <c r="I84" i="16" a="1"/>
  <c r="I84" i="16" s="1"/>
  <c r="U84" i="16" a="1"/>
  <c r="U84" i="16" s="1"/>
  <c r="E84" i="16" a="1"/>
  <c r="E84" i="16" s="1"/>
  <c r="Q84" i="16" a="1"/>
  <c r="Q84" i="16" s="1"/>
  <c r="H84" i="16" a="1"/>
  <c r="H84" i="16" s="1"/>
  <c r="M84" i="16" a="1"/>
  <c r="M84" i="16" s="1"/>
  <c r="B85" i="16"/>
  <c r="B14" i="2" l="1"/>
  <c r="O85" i="16" a="1"/>
  <c r="O85" i="16" s="1"/>
  <c r="P85" i="16" a="1"/>
  <c r="P85" i="16" s="1"/>
  <c r="N85" i="16" a="1"/>
  <c r="N85" i="16" s="1"/>
  <c r="X85" i="16" a="1"/>
  <c r="X85" i="16" s="1"/>
  <c r="Y85" i="16" a="1"/>
  <c r="Y85" i="16" s="1"/>
  <c r="W85" i="16" a="1"/>
  <c r="W85" i="16" s="1"/>
  <c r="K85" i="16" a="1"/>
  <c r="K85" i="16" s="1"/>
  <c r="S85" i="16" a="1"/>
  <c r="S85" i="16" s="1"/>
  <c r="G85" i="16" a="1"/>
  <c r="G85" i="16" s="1"/>
  <c r="L85" i="16" a="1"/>
  <c r="L85" i="16" s="1"/>
  <c r="C85" i="16" a="1"/>
  <c r="C85" i="16" s="1"/>
  <c r="H85" i="16" a="1"/>
  <c r="H85" i="16" s="1"/>
  <c r="T85" i="16" a="1"/>
  <c r="T85" i="16" s="1"/>
  <c r="D85" i="16" a="1"/>
  <c r="D85" i="16" s="1"/>
  <c r="M85" i="16" a="1"/>
  <c r="M85" i="16" s="1"/>
  <c r="I85" i="16" a="1"/>
  <c r="I85" i="16" s="1"/>
  <c r="U85" i="16" a="1"/>
  <c r="U85" i="16" s="1"/>
  <c r="J85" i="16" a="1"/>
  <c r="J85" i="16" s="1"/>
  <c r="V85" i="16" a="1"/>
  <c r="V85" i="16" s="1"/>
  <c r="F85" i="16" a="1"/>
  <c r="F85" i="16" s="1"/>
  <c r="R85" i="16" a="1"/>
  <c r="R85" i="16" s="1"/>
  <c r="E85" i="16" a="1"/>
  <c r="E85" i="16" s="1"/>
  <c r="Q85" i="16" a="1"/>
  <c r="Q85" i="16" s="1"/>
  <c r="B86" i="16"/>
  <c r="B15" i="2" l="1"/>
  <c r="G15" i="2"/>
  <c r="N86" i="16" a="1"/>
  <c r="N86" i="16" s="1"/>
  <c r="P86" i="16" a="1"/>
  <c r="P86" i="16" s="1"/>
  <c r="O86" i="16" a="1"/>
  <c r="O86" i="16" s="1"/>
  <c r="W86" i="16" a="1"/>
  <c r="W86" i="16" s="1"/>
  <c r="X86" i="16" a="1"/>
  <c r="X86" i="16" s="1"/>
  <c r="Y86" i="16" a="1"/>
  <c r="Y86" i="16" s="1"/>
  <c r="H86" i="16" a="1"/>
  <c r="H86" i="16" s="1"/>
  <c r="T86" i="16" a="1"/>
  <c r="T86" i="16" s="1"/>
  <c r="D86" i="16" a="1"/>
  <c r="D86" i="16" s="1"/>
  <c r="M86" i="16" a="1"/>
  <c r="M86" i="16" s="1"/>
  <c r="I86" i="16" a="1"/>
  <c r="I86" i="16" s="1"/>
  <c r="U86" i="16" a="1"/>
  <c r="U86" i="16" s="1"/>
  <c r="E86" i="16" a="1"/>
  <c r="E86" i="16" s="1"/>
  <c r="Q86" i="16" a="1"/>
  <c r="Q86" i="16" s="1"/>
  <c r="V86" i="16" a="1"/>
  <c r="V86" i="16" s="1"/>
  <c r="J86" i="16" a="1"/>
  <c r="J86" i="16" s="1"/>
  <c r="R86" i="16" a="1"/>
  <c r="R86" i="16" s="1"/>
  <c r="G86" i="16" a="1"/>
  <c r="G86" i="16" s="1"/>
  <c r="S86" i="16" a="1"/>
  <c r="S86" i="16" s="1"/>
  <c r="C86" i="16" a="1"/>
  <c r="C86" i="16" s="1"/>
  <c r="L86" i="16" a="1"/>
  <c r="L86" i="16" s="1"/>
  <c r="F86" i="16" a="1"/>
  <c r="F86" i="16" s="1"/>
  <c r="K86" i="16" a="1"/>
  <c r="K86" i="16" s="1"/>
  <c r="B87" i="16"/>
  <c r="G16" i="2" l="1"/>
  <c r="B16" i="2"/>
  <c r="P87" i="16" a="1"/>
  <c r="P87" i="16" s="1"/>
  <c r="O87" i="16" a="1"/>
  <c r="O87" i="16" s="1"/>
  <c r="N87" i="16" a="1"/>
  <c r="N87" i="16" s="1"/>
  <c r="Y87" i="16" a="1"/>
  <c r="Y87" i="16" s="1"/>
  <c r="W87" i="16" a="1"/>
  <c r="W87" i="16" s="1"/>
  <c r="X87" i="16" a="1"/>
  <c r="X87" i="16" s="1"/>
  <c r="I87" i="16" a="1"/>
  <c r="I87" i="16" s="1"/>
  <c r="Q87" i="16" a="1"/>
  <c r="Q87" i="16" s="1"/>
  <c r="E87" i="16" a="1"/>
  <c r="E87" i="16" s="1"/>
  <c r="J87" i="16" a="1"/>
  <c r="J87" i="16" s="1"/>
  <c r="V87" i="16" a="1"/>
  <c r="V87" i="16" s="1"/>
  <c r="F87" i="16" a="1"/>
  <c r="F87" i="16" s="1"/>
  <c r="R87" i="16" a="1"/>
  <c r="R87" i="16" s="1"/>
  <c r="K87" i="16" a="1"/>
  <c r="K87" i="16" s="1"/>
  <c r="G87" i="16" a="1"/>
  <c r="G87" i="16" s="1"/>
  <c r="S87" i="16" a="1"/>
  <c r="S87" i="16" s="1"/>
  <c r="H87" i="16" a="1"/>
  <c r="H87" i="16" s="1"/>
  <c r="T87" i="16" a="1"/>
  <c r="T87" i="16" s="1"/>
  <c r="D87" i="16" a="1"/>
  <c r="D87" i="16" s="1"/>
  <c r="M87" i="16" a="1"/>
  <c r="M87" i="16" s="1"/>
  <c r="U87" i="16" a="1"/>
  <c r="U87" i="16" s="1"/>
  <c r="C87" i="16" a="1"/>
  <c r="C87" i="16" s="1"/>
  <c r="L87" i="16" a="1"/>
  <c r="L87" i="16" s="1"/>
  <c r="B88" i="16"/>
  <c r="B17" i="2" l="1"/>
  <c r="G17" i="2"/>
  <c r="O88" i="16" a="1"/>
  <c r="O88" i="16" s="1"/>
  <c r="P88" i="16" a="1"/>
  <c r="P88" i="16" s="1"/>
  <c r="N88" i="16" a="1"/>
  <c r="N88" i="16" s="1"/>
  <c r="W88" i="16" a="1"/>
  <c r="W88" i="16" s="1"/>
  <c r="X88" i="16" a="1"/>
  <c r="X88" i="16" s="1"/>
  <c r="Y88" i="16" a="1"/>
  <c r="Y88" i="16" s="1"/>
  <c r="F88" i="16" a="1"/>
  <c r="F88" i="16" s="1"/>
  <c r="R88" i="16" a="1"/>
  <c r="R88" i="16" s="1"/>
  <c r="K88" i="16" a="1"/>
  <c r="K88" i="16" s="1"/>
  <c r="G88" i="16" a="1"/>
  <c r="G88" i="16" s="1"/>
  <c r="S88" i="16" a="1"/>
  <c r="S88" i="16" s="1"/>
  <c r="C88" i="16" a="1"/>
  <c r="C88" i="16" s="1"/>
  <c r="L88" i="16" a="1"/>
  <c r="L88" i="16" s="1"/>
  <c r="T88" i="16" a="1"/>
  <c r="T88" i="16" s="1"/>
  <c r="H88" i="16" a="1"/>
  <c r="H88" i="16" s="1"/>
  <c r="M88" i="16" a="1"/>
  <c r="M88" i="16" s="1"/>
  <c r="E88" i="16" a="1"/>
  <c r="E88" i="16" s="1"/>
  <c r="Q88" i="16" a="1"/>
  <c r="Q88" i="16" s="1"/>
  <c r="J88" i="16" a="1"/>
  <c r="J88" i="16" s="1"/>
  <c r="V88" i="16" a="1"/>
  <c r="V88" i="16" s="1"/>
  <c r="D88" i="16" a="1"/>
  <c r="D88" i="16" s="1"/>
  <c r="I88" i="16" a="1"/>
  <c r="I88" i="16" s="1"/>
  <c r="U88" i="16" a="1"/>
  <c r="U88" i="16" s="1"/>
  <c r="B89" i="16"/>
  <c r="G18" i="2" l="1"/>
  <c r="B18" i="2"/>
  <c r="N89" i="16" a="1"/>
  <c r="N89" i="16" s="1"/>
  <c r="P89" i="16" a="1"/>
  <c r="P89" i="16" s="1"/>
  <c r="O89" i="16" a="1"/>
  <c r="O89" i="16" s="1"/>
  <c r="X89" i="16" a="1"/>
  <c r="X89" i="16" s="1"/>
  <c r="W89" i="16" a="1"/>
  <c r="W89" i="16" s="1"/>
  <c r="Y89" i="16" a="1"/>
  <c r="Y89" i="16" s="1"/>
  <c r="G89" i="16" a="1"/>
  <c r="G89" i="16" s="1"/>
  <c r="L89" i="16" a="1"/>
  <c r="L89" i="16" s="1"/>
  <c r="C89" i="16" a="1"/>
  <c r="C89" i="16" s="1"/>
  <c r="H89" i="16" a="1"/>
  <c r="H89" i="16" s="1"/>
  <c r="T89" i="16" a="1"/>
  <c r="T89" i="16" s="1"/>
  <c r="D89" i="16" a="1"/>
  <c r="D89" i="16" s="1"/>
  <c r="M89" i="16" a="1"/>
  <c r="M89" i="16" s="1"/>
  <c r="I89" i="16" a="1"/>
  <c r="I89" i="16" s="1"/>
  <c r="U89" i="16" a="1"/>
  <c r="U89" i="16" s="1"/>
  <c r="E89" i="16" a="1"/>
  <c r="E89" i="16" s="1"/>
  <c r="Q89" i="16" a="1"/>
  <c r="Q89" i="16" s="1"/>
  <c r="F89" i="16" a="1"/>
  <c r="F89" i="16" s="1"/>
  <c r="R89" i="16" a="1"/>
  <c r="R89" i="16" s="1"/>
  <c r="K89" i="16" a="1"/>
  <c r="K89" i="16" s="1"/>
  <c r="S89" i="16" a="1"/>
  <c r="S89" i="16" s="1"/>
  <c r="V89" i="16" a="1"/>
  <c r="V89" i="16" s="1"/>
  <c r="J89" i="16" a="1"/>
  <c r="J89" i="16" s="1"/>
  <c r="B90" i="16"/>
  <c r="B19" i="2" l="1"/>
  <c r="G19" i="2"/>
  <c r="P90" i="16" a="1"/>
  <c r="P90" i="16" s="1"/>
  <c r="O90" i="16" a="1"/>
  <c r="O90" i="16" s="1"/>
  <c r="N90" i="16" a="1"/>
  <c r="N90" i="16" s="1"/>
  <c r="X90" i="16" a="1"/>
  <c r="X90" i="16" s="1"/>
  <c r="Y90" i="16" a="1"/>
  <c r="Y90" i="16" s="1"/>
  <c r="W90" i="16" a="1"/>
  <c r="W90" i="16" s="1"/>
  <c r="D90" i="16" a="1"/>
  <c r="D90" i="16" s="1"/>
  <c r="M90" i="16" a="1"/>
  <c r="M90" i="16" s="1"/>
  <c r="I90" i="16" a="1"/>
  <c r="I90" i="16" s="1"/>
  <c r="U90" i="16" a="1"/>
  <c r="U90" i="16" s="1"/>
  <c r="E90" i="16" a="1"/>
  <c r="E90" i="16" s="1"/>
  <c r="Q90" i="16" a="1"/>
  <c r="Q90" i="16" s="1"/>
  <c r="V90" i="16" a="1"/>
  <c r="V90" i="16" s="1"/>
  <c r="J90" i="16" a="1"/>
  <c r="J90" i="16" s="1"/>
  <c r="R90" i="16" a="1"/>
  <c r="R90" i="16" s="1"/>
  <c r="C90" i="16" a="1"/>
  <c r="C90" i="16" s="1"/>
  <c r="L90" i="16" a="1"/>
  <c r="L90" i="16" s="1"/>
  <c r="H90" i="16" a="1"/>
  <c r="H90" i="16" s="1"/>
  <c r="T90" i="16" a="1"/>
  <c r="T90" i="16" s="1"/>
  <c r="F90" i="16" a="1"/>
  <c r="F90" i="16" s="1"/>
  <c r="G90" i="16" a="1"/>
  <c r="G90" i="16" s="1"/>
  <c r="K90" i="16" a="1"/>
  <c r="K90" i="16" s="1"/>
  <c r="S90" i="16" a="1"/>
  <c r="S90" i="16" s="1"/>
  <c r="B91" i="16"/>
  <c r="B20" i="2" l="1"/>
  <c r="G20" i="2"/>
  <c r="O91" i="16" a="1"/>
  <c r="O91" i="16" s="1"/>
  <c r="P91" i="16" a="1"/>
  <c r="P91" i="16" s="1"/>
  <c r="N91" i="16" a="1"/>
  <c r="N91" i="16" s="1"/>
  <c r="W91" i="16" a="1"/>
  <c r="W91" i="16" s="1"/>
  <c r="Y91" i="16" a="1"/>
  <c r="Y91" i="16" s="1"/>
  <c r="X91" i="16" a="1"/>
  <c r="X91" i="16" s="1"/>
  <c r="E91" i="16" a="1"/>
  <c r="E91" i="16" s="1"/>
  <c r="J91" i="16" a="1"/>
  <c r="J91" i="16" s="1"/>
  <c r="V91" i="16" a="1"/>
  <c r="V91" i="16" s="1"/>
  <c r="F91" i="16" a="1"/>
  <c r="F91" i="16" s="1"/>
  <c r="R91" i="16" a="1"/>
  <c r="R91" i="16" s="1"/>
  <c r="K91" i="16" a="1"/>
  <c r="K91" i="16" s="1"/>
  <c r="G91" i="16" a="1"/>
  <c r="G91" i="16" s="1"/>
  <c r="S91" i="16" a="1"/>
  <c r="S91" i="16" s="1"/>
  <c r="D91" i="16" a="1"/>
  <c r="D91" i="16" s="1"/>
  <c r="M91" i="16" a="1"/>
  <c r="M91" i="16" s="1"/>
  <c r="U91" i="16" a="1"/>
  <c r="U91" i="16" s="1"/>
  <c r="I91" i="16" a="1"/>
  <c r="I91" i="16" s="1"/>
  <c r="H91" i="16" a="1"/>
  <c r="H91" i="16" s="1"/>
  <c r="L91" i="16" a="1"/>
  <c r="L91" i="16" s="1"/>
  <c r="Q91" i="16" a="1"/>
  <c r="Q91" i="16" s="1"/>
  <c r="C91" i="16" a="1"/>
  <c r="C91" i="16" s="1"/>
  <c r="G21" i="2" s="1"/>
  <c r="T91" i="16" a="1"/>
  <c r="T91" i="16" s="1"/>
  <c r="B92" i="16"/>
  <c r="B21" i="2" l="1"/>
  <c r="O92" i="16" a="1"/>
  <c r="O92" i="16" s="1"/>
  <c r="N92" i="16" a="1"/>
  <c r="N92" i="16" s="1"/>
  <c r="P92" i="16" a="1"/>
  <c r="P92" i="16" s="1"/>
  <c r="X92" i="16" a="1"/>
  <c r="X92" i="16" s="1"/>
  <c r="Y92" i="16" a="1"/>
  <c r="Y92" i="16" s="1"/>
  <c r="W92" i="16" a="1"/>
  <c r="W92" i="16" s="1"/>
  <c r="K92" i="16" a="1"/>
  <c r="K92" i="16" s="1"/>
  <c r="G92" i="16" a="1"/>
  <c r="G92" i="16" s="1"/>
  <c r="S92" i="16" a="1"/>
  <c r="S92" i="16" s="1"/>
  <c r="C92" i="16" a="1"/>
  <c r="C92" i="16" s="1"/>
  <c r="L92" i="16" a="1"/>
  <c r="L92" i="16" s="1"/>
  <c r="T92" i="16" a="1"/>
  <c r="T92" i="16" s="1"/>
  <c r="H92" i="16" a="1"/>
  <c r="H92" i="16" s="1"/>
  <c r="M92" i="16" a="1"/>
  <c r="M92" i="16" s="1"/>
  <c r="J92" i="16" a="1"/>
  <c r="J92" i="16" s="1"/>
  <c r="V92" i="16" a="1"/>
  <c r="V92" i="16" s="1"/>
  <c r="Q92" i="16" a="1"/>
  <c r="Q92" i="16" s="1"/>
  <c r="D92" i="16" a="1"/>
  <c r="D92" i="16" s="1"/>
  <c r="R92" i="16" a="1"/>
  <c r="R92" i="16" s="1"/>
  <c r="E92" i="16" a="1"/>
  <c r="E92" i="16" s="1"/>
  <c r="U92" i="16" a="1"/>
  <c r="U92" i="16" s="1"/>
  <c r="F92" i="16" a="1"/>
  <c r="F92" i="16" s="1"/>
  <c r="I92" i="16" a="1"/>
  <c r="I92" i="16" s="1"/>
  <c r="B93" i="16"/>
  <c r="B22" i="2" l="1"/>
  <c r="G22" i="2"/>
  <c r="P93" i="16" a="1"/>
  <c r="P93" i="16" s="1"/>
  <c r="O93" i="16" a="1"/>
  <c r="O93" i="16" s="1"/>
  <c r="N93" i="16" a="1"/>
  <c r="N93" i="16" s="1"/>
  <c r="W93" i="16" a="1"/>
  <c r="W93" i="16" s="1"/>
  <c r="X93" i="16" a="1"/>
  <c r="X93" i="16" s="1"/>
  <c r="Y93" i="16" a="1"/>
  <c r="Y93" i="16" s="1"/>
  <c r="C93" i="16" a="1"/>
  <c r="C93" i="16" s="1"/>
  <c r="H93" i="16" a="1"/>
  <c r="H93" i="16" s="1"/>
  <c r="T93" i="16" a="1"/>
  <c r="T93" i="16" s="1"/>
  <c r="D93" i="16" a="1"/>
  <c r="D93" i="16" s="1"/>
  <c r="M93" i="16" a="1"/>
  <c r="M93" i="16" s="1"/>
  <c r="I93" i="16" a="1"/>
  <c r="I93" i="16" s="1"/>
  <c r="U93" i="16" a="1"/>
  <c r="U93" i="16" s="1"/>
  <c r="E93" i="16" a="1"/>
  <c r="E93" i="16" s="1"/>
  <c r="Q93" i="16" a="1"/>
  <c r="Q93" i="16" s="1"/>
  <c r="K93" i="16" a="1"/>
  <c r="K93" i="16" s="1"/>
  <c r="S93" i="16" a="1"/>
  <c r="S93" i="16" s="1"/>
  <c r="J93" i="16" a="1"/>
  <c r="J93" i="16" s="1"/>
  <c r="L93" i="16" a="1"/>
  <c r="L93" i="16" s="1"/>
  <c r="R93" i="16" a="1"/>
  <c r="R93" i="16" s="1"/>
  <c r="F93" i="16" a="1"/>
  <c r="F93" i="16" s="1"/>
  <c r="V93" i="16" a="1"/>
  <c r="V93" i="16" s="1"/>
  <c r="G93" i="16" a="1"/>
  <c r="G93" i="16" s="1"/>
  <c r="B94" i="16"/>
  <c r="B23" i="2" l="1"/>
  <c r="G23" i="2"/>
  <c r="O94" i="16" a="1"/>
  <c r="O94" i="16" s="1"/>
  <c r="N94" i="16" a="1"/>
  <c r="N94" i="16" s="1"/>
  <c r="P94" i="16" a="1"/>
  <c r="P94" i="16" s="1"/>
  <c r="W94" i="16" a="1"/>
  <c r="W94" i="16" s="1"/>
  <c r="X94" i="16" a="1"/>
  <c r="X94" i="16" s="1"/>
  <c r="Y94" i="16" a="1"/>
  <c r="Y94" i="16" s="1"/>
  <c r="I94" i="16" a="1"/>
  <c r="I94" i="16" s="1"/>
  <c r="U94" i="16" a="1"/>
  <c r="U94" i="16" s="1"/>
  <c r="E94" i="16" a="1"/>
  <c r="E94" i="16" s="1"/>
  <c r="Q94" i="16" a="1"/>
  <c r="Q94" i="16" s="1"/>
  <c r="V94" i="16" a="1"/>
  <c r="V94" i="16" s="1"/>
  <c r="J94" i="16" a="1"/>
  <c r="J94" i="16" s="1"/>
  <c r="R94" i="16" a="1"/>
  <c r="R94" i="16" s="1"/>
  <c r="F94" i="16" a="1"/>
  <c r="F94" i="16" s="1"/>
  <c r="K94" i="16" a="1"/>
  <c r="K94" i="16" s="1"/>
  <c r="H94" i="16" a="1"/>
  <c r="H94" i="16" s="1"/>
  <c r="T94" i="16" a="1"/>
  <c r="T94" i="16" s="1"/>
  <c r="D94" i="16" a="1"/>
  <c r="D94" i="16" s="1"/>
  <c r="G94" i="16" a="1"/>
  <c r="G94" i="16" s="1"/>
  <c r="L94" i="16" a="1"/>
  <c r="L94" i="16" s="1"/>
  <c r="M94" i="16" a="1"/>
  <c r="M94" i="16" s="1"/>
  <c r="C94" i="16" a="1"/>
  <c r="C94" i="16" s="1"/>
  <c r="S94" i="16" a="1"/>
  <c r="S94" i="16" s="1"/>
  <c r="B95" i="16"/>
  <c r="B24" i="2" l="1"/>
  <c r="G24" i="2"/>
  <c r="O95" i="16" a="1"/>
  <c r="O95" i="16" s="1"/>
  <c r="N95" i="16" a="1"/>
  <c r="N95" i="16" s="1"/>
  <c r="P95" i="16" a="1"/>
  <c r="P95" i="16" s="1"/>
  <c r="W95" i="16" a="1"/>
  <c r="W95" i="16" s="1"/>
  <c r="X95" i="16" a="1"/>
  <c r="X95" i="16" s="1"/>
  <c r="Y95" i="16" a="1"/>
  <c r="Y95" i="16" s="1"/>
  <c r="F95" i="16" a="1"/>
  <c r="F95" i="16" s="1"/>
  <c r="R95" i="16" a="1"/>
  <c r="R95" i="16" s="1"/>
  <c r="K95" i="16" a="1"/>
  <c r="K95" i="16" s="1"/>
  <c r="G95" i="16" a="1"/>
  <c r="G95" i="16" s="1"/>
  <c r="S95" i="16" a="1"/>
  <c r="S95" i="16" s="1"/>
  <c r="C95" i="16" a="1"/>
  <c r="C95" i="16" s="1"/>
  <c r="L95" i="16" a="1"/>
  <c r="L95" i="16" s="1"/>
  <c r="I95" i="16" a="1"/>
  <c r="I95" i="16" s="1"/>
  <c r="Q95" i="16" a="1"/>
  <c r="Q95" i="16" s="1"/>
  <c r="M95" i="16" a="1"/>
  <c r="M95" i="16" s="1"/>
  <c r="D95" i="16" a="1"/>
  <c r="D95" i="16" s="1"/>
  <c r="T95" i="16" a="1"/>
  <c r="T95" i="16" s="1"/>
  <c r="E95" i="16" a="1"/>
  <c r="E95" i="16" s="1"/>
  <c r="U95" i="16" a="1"/>
  <c r="U95" i="16" s="1"/>
  <c r="H95" i="16" a="1"/>
  <c r="H95" i="16" s="1"/>
  <c r="V95" i="16" a="1"/>
  <c r="V95" i="16" s="1"/>
  <c r="J95" i="16" a="1"/>
  <c r="J95" i="16" s="1"/>
  <c r="B96" i="16"/>
  <c r="B25" i="2" l="1"/>
  <c r="G25" i="2"/>
  <c r="P96" i="16" a="1"/>
  <c r="P96" i="16" s="1"/>
  <c r="N96" i="16" a="1"/>
  <c r="N96" i="16" s="1"/>
  <c r="O96" i="16" a="1"/>
  <c r="O96" i="16" s="1"/>
  <c r="W96" i="16" a="1"/>
  <c r="W96" i="16" s="1"/>
  <c r="Y96" i="16" a="1"/>
  <c r="Y96" i="16" s="1"/>
  <c r="X96" i="16" a="1"/>
  <c r="X96" i="16" s="1"/>
  <c r="G96" i="16" a="1"/>
  <c r="G96" i="16" s="1"/>
  <c r="S96" i="16" a="1"/>
  <c r="S96" i="16" s="1"/>
  <c r="C96" i="16" a="1"/>
  <c r="C96" i="16" s="1"/>
  <c r="L96" i="16" a="1"/>
  <c r="L96" i="16" s="1"/>
  <c r="T96" i="16" a="1"/>
  <c r="T96" i="16" s="1"/>
  <c r="H96" i="16" a="1"/>
  <c r="H96" i="16" s="1"/>
  <c r="M96" i="16" a="1"/>
  <c r="M96" i="16" s="1"/>
  <c r="D96" i="16" a="1"/>
  <c r="D96" i="16" s="1"/>
  <c r="I96" i="16" a="1"/>
  <c r="I96" i="16" s="1"/>
  <c r="U96" i="16" a="1"/>
  <c r="U96" i="16" s="1"/>
  <c r="F96" i="16" a="1"/>
  <c r="F96" i="16" s="1"/>
  <c r="R96" i="16" a="1"/>
  <c r="R96" i="16" s="1"/>
  <c r="V96" i="16" a="1"/>
  <c r="V96" i="16" s="1"/>
  <c r="J96" i="16" a="1"/>
  <c r="J96" i="16" s="1"/>
  <c r="K96" i="16" a="1"/>
  <c r="K96" i="16" s="1"/>
  <c r="Q96" i="16" a="1"/>
  <c r="Q96" i="16" s="1"/>
  <c r="E96" i="16" a="1"/>
  <c r="E96" i="16" s="1"/>
  <c r="B97" i="16"/>
  <c r="B26" i="2" l="1"/>
  <c r="G26" i="2"/>
  <c r="P97" i="16" a="1"/>
  <c r="P97" i="16" s="1"/>
  <c r="O97" i="16" a="1"/>
  <c r="O97" i="16" s="1"/>
  <c r="N97" i="16" a="1"/>
  <c r="N97" i="16" s="1"/>
  <c r="X97" i="16" a="1"/>
  <c r="X97" i="16" s="1"/>
  <c r="Y97" i="16" a="1"/>
  <c r="Y97" i="16" s="1"/>
  <c r="W97" i="16" a="1"/>
  <c r="W97" i="16" s="1"/>
  <c r="D97" i="16" a="1"/>
  <c r="D97" i="16" s="1"/>
  <c r="M97" i="16" a="1"/>
  <c r="M97" i="16" s="1"/>
  <c r="I97" i="16" a="1"/>
  <c r="I97" i="16" s="1"/>
  <c r="U97" i="16" a="1"/>
  <c r="U97" i="16" s="1"/>
  <c r="E97" i="16" a="1"/>
  <c r="E97" i="16" s="1"/>
  <c r="Q97" i="16" a="1"/>
  <c r="Q97" i="16" s="1"/>
  <c r="J97" i="16" a="1"/>
  <c r="J97" i="16" s="1"/>
  <c r="V97" i="16" a="1"/>
  <c r="V97" i="16" s="1"/>
  <c r="G97" i="16" a="1"/>
  <c r="G97" i="16" s="1"/>
  <c r="L97" i="16" a="1"/>
  <c r="L97" i="16" s="1"/>
  <c r="R97" i="16" a="1"/>
  <c r="R97" i="16" s="1"/>
  <c r="C97" i="16" a="1"/>
  <c r="C97" i="16" s="1"/>
  <c r="S97" i="16" a="1"/>
  <c r="S97" i="16" s="1"/>
  <c r="F97" i="16" a="1"/>
  <c r="F97" i="16" s="1"/>
  <c r="T97" i="16" a="1"/>
  <c r="T97" i="16" s="1"/>
  <c r="H97" i="16" a="1"/>
  <c r="H97" i="16" s="1"/>
  <c r="K97" i="16" a="1"/>
  <c r="K97" i="16" s="1"/>
  <c r="B98" i="16"/>
  <c r="B27" i="2" l="1"/>
  <c r="G27" i="2"/>
  <c r="O98" i="16" a="1"/>
  <c r="O98" i="16" s="1"/>
  <c r="N98" i="16" a="1"/>
  <c r="N98" i="16" s="1"/>
  <c r="P98" i="16" a="1"/>
  <c r="P98" i="16" s="1"/>
  <c r="W98" i="16" a="1"/>
  <c r="W98" i="16" s="1"/>
  <c r="X98" i="16" a="1"/>
  <c r="X98" i="16" s="1"/>
  <c r="Y98" i="16" a="1"/>
  <c r="Y98" i="16" s="1"/>
  <c r="E98" i="16" a="1"/>
  <c r="E98" i="16" s="1"/>
  <c r="Q98" i="16" a="1"/>
  <c r="Q98" i="16" s="1"/>
  <c r="V98" i="16" a="1"/>
  <c r="V98" i="16" s="1"/>
  <c r="J98" i="16" a="1"/>
  <c r="J98" i="16" s="1"/>
  <c r="R98" i="16" a="1"/>
  <c r="R98" i="16" s="1"/>
  <c r="F98" i="16" a="1"/>
  <c r="F98" i="16" s="1"/>
  <c r="K98" i="16" a="1"/>
  <c r="K98" i="16" s="1"/>
  <c r="G98" i="16" a="1"/>
  <c r="G98" i="16" s="1"/>
  <c r="S98" i="16" a="1"/>
  <c r="S98" i="16" s="1"/>
  <c r="D98" i="16" a="1"/>
  <c r="D98" i="16" s="1"/>
  <c r="M98" i="16" a="1"/>
  <c r="M98" i="16" s="1"/>
  <c r="I98" i="16" a="1"/>
  <c r="I98" i="16" s="1"/>
  <c r="L98" i="16" a="1"/>
  <c r="L98" i="16" s="1"/>
  <c r="C98" i="16" a="1"/>
  <c r="C98" i="16" s="1"/>
  <c r="G28" i="2" s="1"/>
  <c r="T98" i="16" a="1"/>
  <c r="T98" i="16" s="1"/>
  <c r="U98" i="16" a="1"/>
  <c r="U98" i="16" s="1"/>
  <c r="H98" i="16" a="1"/>
  <c r="H98" i="16" s="1"/>
  <c r="B99" i="16"/>
  <c r="B28" i="2" l="1"/>
  <c r="P99" i="16" a="1"/>
  <c r="P99" i="16" s="1"/>
  <c r="N99" i="16" a="1"/>
  <c r="N99" i="16" s="1"/>
  <c r="O99" i="16" a="1"/>
  <c r="O99" i="16" s="1"/>
  <c r="W99" i="16" a="1"/>
  <c r="W99" i="16" s="1"/>
  <c r="X99" i="16" a="1"/>
  <c r="X99" i="16" s="1"/>
  <c r="Y99" i="16" a="1"/>
  <c r="Y99" i="16" s="1"/>
  <c r="K99" i="16" a="1"/>
  <c r="K99" i="16" s="1"/>
  <c r="G99" i="16" a="1"/>
  <c r="G99" i="16" s="1"/>
  <c r="S99" i="16" a="1"/>
  <c r="S99" i="16" s="1"/>
  <c r="C99" i="16" a="1"/>
  <c r="C99" i="16" s="1"/>
  <c r="L99" i="16" a="1"/>
  <c r="L99" i="16" s="1"/>
  <c r="H99" i="16" a="1"/>
  <c r="H99" i="16" s="1"/>
  <c r="T99" i="16" a="1"/>
  <c r="T99" i="16" s="1"/>
  <c r="E99" i="16" a="1"/>
  <c r="E99" i="16" s="1"/>
  <c r="J99" i="16" a="1"/>
  <c r="J99" i="16" s="1"/>
  <c r="V99" i="16" a="1"/>
  <c r="V99" i="16" s="1"/>
  <c r="U99" i="16" a="1"/>
  <c r="U99" i="16" s="1"/>
  <c r="F99" i="16" a="1"/>
  <c r="F99" i="16" s="1"/>
  <c r="I99" i="16" a="1"/>
  <c r="I99" i="16" s="1"/>
  <c r="M99" i="16" a="1"/>
  <c r="M99" i="16" s="1"/>
  <c r="Q99" i="16" a="1"/>
  <c r="Q99" i="16" s="1"/>
  <c r="R99" i="16" a="1"/>
  <c r="R99" i="16" s="1"/>
  <c r="D99" i="16" a="1"/>
  <c r="D99" i="16" s="1"/>
  <c r="B100" i="16"/>
  <c r="B29" i="2" l="1"/>
  <c r="G29" i="2"/>
  <c r="P100" i="16" a="1"/>
  <c r="P100" i="16" s="1"/>
  <c r="O100" i="16" a="1"/>
  <c r="O100" i="16" s="1"/>
  <c r="N100" i="16" a="1"/>
  <c r="N100" i="16" s="1"/>
  <c r="W100" i="16" a="1"/>
  <c r="W100" i="16" s="1"/>
  <c r="X100" i="16" a="1"/>
  <c r="X100" i="16" s="1"/>
  <c r="Y100" i="16" a="1"/>
  <c r="Y100" i="16" s="1"/>
  <c r="C100" i="16" a="1"/>
  <c r="C100" i="16" s="1"/>
  <c r="L100" i="16" a="1"/>
  <c r="L100" i="16" s="1"/>
  <c r="T100" i="16" a="1"/>
  <c r="T100" i="16" s="1"/>
  <c r="H100" i="16" a="1"/>
  <c r="H100" i="16" s="1"/>
  <c r="M100" i="16" a="1"/>
  <c r="M100" i="16" s="1"/>
  <c r="D100" i="16" a="1"/>
  <c r="D100" i="16" s="1"/>
  <c r="I100" i="16" a="1"/>
  <c r="I100" i="16" s="1"/>
  <c r="U100" i="16" a="1"/>
  <c r="U100" i="16" s="1"/>
  <c r="E100" i="16" a="1"/>
  <c r="E100" i="16" s="1"/>
  <c r="Q100" i="16" a="1"/>
  <c r="Q100" i="16" s="1"/>
  <c r="K100" i="16" a="1"/>
  <c r="K100" i="16" s="1"/>
  <c r="R100" i="16" a="1"/>
  <c r="R100" i="16" s="1"/>
  <c r="S100" i="16" a="1"/>
  <c r="S100" i="16" s="1"/>
  <c r="F100" i="16" a="1"/>
  <c r="F100" i="16" s="1"/>
  <c r="V100" i="16" a="1"/>
  <c r="V100" i="16" s="1"/>
  <c r="G100" i="16" a="1"/>
  <c r="G100" i="16" s="1"/>
  <c r="J100" i="16" a="1"/>
  <c r="J100" i="16" s="1"/>
  <c r="B101" i="16"/>
  <c r="B30" i="2" l="1"/>
  <c r="G30" i="2"/>
  <c r="O101" i="16" a="1"/>
  <c r="O101" i="16" s="1"/>
  <c r="N101" i="16" a="1"/>
  <c r="N101" i="16" s="1"/>
  <c r="P101" i="16" a="1"/>
  <c r="P101" i="16" s="1"/>
  <c r="W101" i="16" a="1"/>
  <c r="W101" i="16" s="1"/>
  <c r="X101" i="16" a="1"/>
  <c r="X101" i="16" s="1"/>
  <c r="Y101" i="16" a="1"/>
  <c r="Y101" i="16" s="1"/>
  <c r="I101" i="16" a="1"/>
  <c r="I101" i="16" s="1"/>
  <c r="Q101" i="16" a="1"/>
  <c r="Q101" i="16" s="1"/>
  <c r="V101" i="16" a="1"/>
  <c r="V101" i="16" s="1"/>
  <c r="E101" i="16" a="1"/>
  <c r="E101" i="16" s="1"/>
  <c r="R101" i="16" a="1"/>
  <c r="R101" i="16" s="1"/>
  <c r="J101" i="16" a="1"/>
  <c r="J101" i="16" s="1"/>
  <c r="F101" i="16" a="1"/>
  <c r="F101" i="16" s="1"/>
  <c r="C101" i="16" a="1"/>
  <c r="C101" i="16" s="1"/>
  <c r="H101" i="16" a="1"/>
  <c r="H101" i="16" s="1"/>
  <c r="M101" i="16" a="1"/>
  <c r="M101" i="16" s="1"/>
  <c r="T101" i="16" a="1"/>
  <c r="T101" i="16" s="1"/>
  <c r="U101" i="16" a="1"/>
  <c r="U101" i="16" s="1"/>
  <c r="K101" i="16" a="1"/>
  <c r="K101" i="16" s="1"/>
  <c r="L101" i="16" a="1"/>
  <c r="L101" i="16" s="1"/>
  <c r="D101" i="16" a="1"/>
  <c r="D101" i="16" s="1"/>
  <c r="S101" i="16" a="1"/>
  <c r="S101" i="16" s="1"/>
  <c r="G101" i="16" a="1"/>
  <c r="G101" i="16" s="1"/>
  <c r="B102" i="16"/>
  <c r="B31" i="2" l="1"/>
  <c r="G31" i="2"/>
  <c r="P102" i="16" a="1"/>
  <c r="P102" i="16" s="1"/>
  <c r="N102" i="16" a="1"/>
  <c r="N102" i="16" s="1"/>
  <c r="O102" i="16" a="1"/>
  <c r="O102" i="16" s="1"/>
  <c r="X102" i="16" a="1"/>
  <c r="X102" i="16" s="1"/>
  <c r="Y102" i="16" a="1"/>
  <c r="Y102" i="16" s="1"/>
  <c r="W102" i="16" a="1"/>
  <c r="W102" i="16" s="1"/>
  <c r="G102" i="16" a="1"/>
  <c r="G102" i="16" s="1"/>
  <c r="V102" i="16" a="1"/>
  <c r="V102" i="16" s="1"/>
  <c r="C102" i="16" a="1"/>
  <c r="C102" i="16" s="1"/>
  <c r="M102" i="16" a="1"/>
  <c r="M102" i="16" s="1"/>
  <c r="H102" i="16" a="1"/>
  <c r="H102" i="16" s="1"/>
  <c r="Q102" i="16" a="1"/>
  <c r="Q102" i="16" s="1"/>
  <c r="F102" i="16" a="1"/>
  <c r="F102" i="16" s="1"/>
  <c r="K102" i="16" a="1"/>
  <c r="K102" i="16" s="1"/>
  <c r="T102" i="16" a="1"/>
  <c r="T102" i="16" s="1"/>
  <c r="J102" i="16" a="1"/>
  <c r="J102" i="16" s="1"/>
  <c r="L102" i="16" a="1"/>
  <c r="L102" i="16" s="1"/>
  <c r="D102" i="16" a="1"/>
  <c r="D102" i="16" s="1"/>
  <c r="R102" i="16" a="1"/>
  <c r="R102" i="16" s="1"/>
  <c r="S102" i="16" a="1"/>
  <c r="S102" i="16" s="1"/>
  <c r="E102" i="16" a="1"/>
  <c r="E102" i="16" s="1"/>
  <c r="U102" i="16" a="1"/>
  <c r="U102" i="16" s="1"/>
  <c r="I102" i="16" a="1"/>
  <c r="I102" i="16" s="1"/>
  <c r="B103" i="16"/>
  <c r="B32" i="2" l="1"/>
  <c r="G32" i="2"/>
  <c r="N103" i="16" a="1"/>
  <c r="N103" i="16" s="1"/>
  <c r="P103" i="16" a="1"/>
  <c r="P103" i="16" s="1"/>
  <c r="O103" i="16" a="1"/>
  <c r="O103" i="16" s="1"/>
  <c r="W103" i="16" a="1"/>
  <c r="W103" i="16" s="1"/>
  <c r="Y103" i="16" a="1"/>
  <c r="Y103" i="16" s="1"/>
  <c r="X103" i="16" a="1"/>
  <c r="X103" i="16" s="1"/>
  <c r="J103" i="16" a="1"/>
  <c r="J103" i="16" s="1"/>
  <c r="S103" i="16" a="1"/>
  <c r="S103" i="16" s="1"/>
  <c r="G103" i="16" a="1"/>
  <c r="G103" i="16" s="1"/>
  <c r="M103" i="16" a="1"/>
  <c r="M103" i="16" s="1"/>
  <c r="E103" i="16" a="1"/>
  <c r="E103" i="16" s="1"/>
  <c r="Q103" i="16" a="1"/>
  <c r="Q103" i="16" s="1"/>
  <c r="F103" i="16" a="1"/>
  <c r="F103" i="16" s="1"/>
  <c r="R103" i="16" a="1"/>
  <c r="R103" i="16" s="1"/>
  <c r="H103" i="16" a="1"/>
  <c r="H103" i="16" s="1"/>
  <c r="T103" i="16" a="1"/>
  <c r="T103" i="16" s="1"/>
  <c r="I103" i="16" a="1"/>
  <c r="I103" i="16" s="1"/>
  <c r="U103" i="16" a="1"/>
  <c r="U103" i="16" s="1"/>
  <c r="K103" i="16" a="1"/>
  <c r="K103" i="16" s="1"/>
  <c r="V103" i="16" a="1"/>
  <c r="V103" i="16" s="1"/>
  <c r="C103" i="16" a="1"/>
  <c r="C103" i="16" s="1"/>
  <c r="G33" i="2" s="1"/>
  <c r="D103" i="16" a="1"/>
  <c r="D103" i="16" s="1"/>
  <c r="L103" i="16" a="1"/>
  <c r="L103" i="16" s="1"/>
  <c r="B104" i="16"/>
  <c r="B33" i="2" l="1"/>
  <c r="O104" i="16" a="1"/>
  <c r="O104" i="16" s="1"/>
  <c r="N104" i="16" a="1"/>
  <c r="N104" i="16" s="1"/>
  <c r="P104" i="16" a="1"/>
  <c r="P104" i="16" s="1"/>
  <c r="X104" i="16" a="1"/>
  <c r="X104" i="16" s="1"/>
  <c r="Y104" i="16" a="1"/>
  <c r="Y104" i="16" s="1"/>
  <c r="W104" i="16" a="1"/>
  <c r="W104" i="16" s="1"/>
  <c r="F104" i="16" a="1"/>
  <c r="F104" i="16" s="1"/>
  <c r="L104" i="16" a="1"/>
  <c r="L104" i="16" s="1"/>
  <c r="D104" i="16" a="1"/>
  <c r="D104" i="16" s="1"/>
  <c r="K104" i="16" a="1"/>
  <c r="K104" i="16" s="1"/>
  <c r="E104" i="16" a="1"/>
  <c r="E104" i="16" s="1"/>
  <c r="M104" i="16" a="1"/>
  <c r="M104" i="16" s="1"/>
  <c r="V104" i="16" a="1"/>
  <c r="V104" i="16" s="1"/>
  <c r="Q104" i="16" a="1"/>
  <c r="Q104" i="16" s="1"/>
  <c r="G104" i="16" a="1"/>
  <c r="G104" i="16" s="1"/>
  <c r="H104" i="16" a="1"/>
  <c r="H104" i="16" s="1"/>
  <c r="R104" i="16" a="1"/>
  <c r="R104" i="16" s="1"/>
  <c r="I104" i="16" a="1"/>
  <c r="I104" i="16" s="1"/>
  <c r="S104" i="16" a="1"/>
  <c r="S104" i="16" s="1"/>
  <c r="J104" i="16" a="1"/>
  <c r="J104" i="16" s="1"/>
  <c r="T104" i="16" a="1"/>
  <c r="T104" i="16" s="1"/>
  <c r="U104" i="16" a="1"/>
  <c r="U104" i="16" s="1"/>
  <c r="C104" i="16" a="1"/>
  <c r="C104" i="16" s="1"/>
  <c r="B105" i="16"/>
  <c r="B34" i="2" l="1"/>
  <c r="G34" i="2"/>
  <c r="P105" i="16" a="1"/>
  <c r="P105" i="16" s="1"/>
  <c r="N105" i="16" a="1"/>
  <c r="N105" i="16" s="1"/>
  <c r="O105" i="16" a="1"/>
  <c r="O105" i="16" s="1"/>
  <c r="W105" i="16" a="1"/>
  <c r="W105" i="16" s="1"/>
  <c r="X105" i="16" a="1"/>
  <c r="X105" i="16" s="1"/>
  <c r="Y105" i="16" a="1"/>
  <c r="Y105" i="16" s="1"/>
  <c r="H105" i="16" a="1"/>
  <c r="H105" i="16" s="1"/>
  <c r="Q105" i="16" a="1"/>
  <c r="Q105" i="16" s="1"/>
  <c r="I105" i="16" a="1"/>
  <c r="I105" i="16" s="1"/>
  <c r="R105" i="16" a="1"/>
  <c r="R105" i="16" s="1"/>
  <c r="C105" i="16" a="1"/>
  <c r="C105" i="16" s="1"/>
  <c r="S105" i="16" a="1"/>
  <c r="S105" i="16" s="1"/>
  <c r="D105" i="16" a="1"/>
  <c r="D105" i="16" s="1"/>
  <c r="J105" i="16" a="1"/>
  <c r="J105" i="16" s="1"/>
  <c r="T105" i="16" a="1"/>
  <c r="T105" i="16" s="1"/>
  <c r="E105" i="16" a="1"/>
  <c r="E105" i="16" s="1"/>
  <c r="K105" i="16" a="1"/>
  <c r="K105" i="16" s="1"/>
  <c r="L105" i="16" a="1"/>
  <c r="L105" i="16" s="1"/>
  <c r="U105" i="16" a="1"/>
  <c r="U105" i="16" s="1"/>
  <c r="F105" i="16" a="1"/>
  <c r="F105" i="16" s="1"/>
  <c r="M105" i="16" a="1"/>
  <c r="M105" i="16" s="1"/>
  <c r="V105" i="16" a="1"/>
  <c r="V105" i="16" s="1"/>
  <c r="G105" i="16" a="1"/>
  <c r="G105" i="16" s="1"/>
  <c r="B106" i="16"/>
  <c r="B35" i="2" l="1"/>
  <c r="G35" i="2"/>
  <c r="N106" i="16" a="1"/>
  <c r="N106" i="16" s="1"/>
  <c r="P106" i="16" a="1"/>
  <c r="P106" i="16" s="1"/>
  <c r="O106" i="16" a="1"/>
  <c r="O106" i="16" s="1"/>
  <c r="W106" i="16" a="1"/>
  <c r="W106" i="16" s="1"/>
  <c r="X106" i="16" a="1"/>
  <c r="X106" i="16" s="1"/>
  <c r="Y106" i="16" a="1"/>
  <c r="Y106" i="16" s="1"/>
  <c r="D106" i="16" a="1"/>
  <c r="D106" i="16" s="1"/>
  <c r="J106" i="16" a="1"/>
  <c r="J106" i="16" s="1"/>
  <c r="K106" i="16" a="1"/>
  <c r="K106" i="16" s="1"/>
  <c r="T106" i="16" a="1"/>
  <c r="T106" i="16" s="1"/>
  <c r="E106" i="16" a="1"/>
  <c r="E106" i="16" s="1"/>
  <c r="L106" i="16" a="1"/>
  <c r="L106" i="16" s="1"/>
  <c r="U106" i="16" a="1"/>
  <c r="U106" i="16" s="1"/>
  <c r="F106" i="16" a="1"/>
  <c r="F106" i="16" s="1"/>
  <c r="V106" i="16" a="1"/>
  <c r="V106" i="16" s="1"/>
  <c r="G106" i="16" a="1"/>
  <c r="G106" i="16" s="1"/>
  <c r="M106" i="16" a="1"/>
  <c r="M106" i="16" s="1"/>
  <c r="H106" i="16" a="1"/>
  <c r="H106" i="16" s="1"/>
  <c r="Q106" i="16" a="1"/>
  <c r="Q106" i="16" s="1"/>
  <c r="R106" i="16" a="1"/>
  <c r="R106" i="16" s="1"/>
  <c r="C106" i="16" a="1"/>
  <c r="C106" i="16" s="1"/>
  <c r="I106" i="16" a="1"/>
  <c r="I106" i="16" s="1"/>
  <c r="S106" i="16" a="1"/>
  <c r="S106" i="16" s="1"/>
  <c r="B107" i="16"/>
  <c r="B36" i="2" l="1"/>
  <c r="G36" i="2"/>
  <c r="O107" i="16" a="1"/>
  <c r="O107" i="16" s="1"/>
  <c r="P107" i="16" a="1"/>
  <c r="P107" i="16" s="1"/>
  <c r="N107" i="16" a="1"/>
  <c r="N107" i="16" s="1"/>
  <c r="W107" i="16" a="1"/>
  <c r="W107" i="16" s="1"/>
  <c r="X107" i="16" a="1"/>
  <c r="X107" i="16" s="1"/>
  <c r="Y107" i="16" a="1"/>
  <c r="Y107" i="16" s="1"/>
  <c r="F107" i="16" a="1"/>
  <c r="F107" i="16" s="1"/>
  <c r="L107" i="16" a="1"/>
  <c r="L107" i="16" s="1"/>
  <c r="V107" i="16" a="1"/>
  <c r="V107" i="16" s="1"/>
  <c r="G107" i="16" a="1"/>
  <c r="G107" i="16" s="1"/>
  <c r="M107" i="16" a="1"/>
  <c r="M107" i="16" s="1"/>
  <c r="Q107" i="16" a="1"/>
  <c r="Q107" i="16" s="1"/>
  <c r="H107" i="16" a="1"/>
  <c r="H107" i="16" s="1"/>
  <c r="R107" i="16" a="1"/>
  <c r="R107" i="16" s="1"/>
  <c r="C107" i="16" a="1"/>
  <c r="C107" i="16" s="1"/>
  <c r="G37" i="2" s="1"/>
  <c r="I107" i="16" a="1"/>
  <c r="I107" i="16" s="1"/>
  <c r="J107" i="16" a="1"/>
  <c r="J107" i="16" s="1"/>
  <c r="S107" i="16" a="1"/>
  <c r="S107" i="16" s="1"/>
  <c r="D107" i="16" a="1"/>
  <c r="D107" i="16" s="1"/>
  <c r="K107" i="16" a="1"/>
  <c r="K107" i="16" s="1"/>
  <c r="T107" i="16" a="1"/>
  <c r="T107" i="16" s="1"/>
  <c r="U107" i="16" a="1"/>
  <c r="U107" i="16" s="1"/>
  <c r="E107" i="16" a="1"/>
  <c r="E107" i="16" s="1"/>
  <c r="B108" i="16"/>
  <c r="B37" i="2" l="1"/>
  <c r="P108" i="16" a="1"/>
  <c r="P108" i="16" s="1"/>
  <c r="O108" i="16" a="1"/>
  <c r="O108" i="16" s="1"/>
  <c r="N108" i="16" a="1"/>
  <c r="N108" i="16" s="1"/>
  <c r="X108" i="16" a="1"/>
  <c r="X108" i="16" s="1"/>
  <c r="Y108" i="16" a="1"/>
  <c r="Y108" i="16" s="1"/>
  <c r="W108" i="16" a="1"/>
  <c r="W108" i="16" s="1"/>
  <c r="H108" i="16" a="1"/>
  <c r="H108" i="16" s="1"/>
  <c r="I108" i="16" a="1"/>
  <c r="I108" i="16" s="1"/>
  <c r="R108" i="16" a="1"/>
  <c r="R108" i="16" s="1"/>
  <c r="C108" i="16" a="1"/>
  <c r="C108" i="16" s="1"/>
  <c r="J108" i="16" a="1"/>
  <c r="J108" i="16" s="1"/>
  <c r="S108" i="16" a="1"/>
  <c r="S108" i="16" s="1"/>
  <c r="D108" i="16" a="1"/>
  <c r="D108" i="16" s="1"/>
  <c r="T108" i="16" a="1"/>
  <c r="T108" i="16" s="1"/>
  <c r="E108" i="16" a="1"/>
  <c r="E108" i="16" s="1"/>
  <c r="K108" i="16" a="1"/>
  <c r="K108" i="16" s="1"/>
  <c r="U108" i="16" a="1"/>
  <c r="U108" i="16" s="1"/>
  <c r="F108" i="16" a="1"/>
  <c r="F108" i="16" s="1"/>
  <c r="L108" i="16" a="1"/>
  <c r="L108" i="16" s="1"/>
  <c r="M108" i="16" a="1"/>
  <c r="M108" i="16" s="1"/>
  <c r="V108" i="16" a="1"/>
  <c r="V108" i="16" s="1"/>
  <c r="G108" i="16" a="1"/>
  <c r="G108" i="16" s="1"/>
  <c r="Q108" i="16" a="1"/>
  <c r="Q108" i="16" s="1"/>
  <c r="B109" i="16"/>
  <c r="B38" i="2" l="1"/>
  <c r="G38" i="2"/>
  <c r="N109" i="16" a="1"/>
  <c r="N109" i="16" s="1"/>
  <c r="P109" i="16" a="1"/>
  <c r="P109" i="16" s="1"/>
  <c r="O109" i="16" a="1"/>
  <c r="O109" i="16" s="1"/>
  <c r="X109" i="16" a="1"/>
  <c r="X109" i="16" s="1"/>
  <c r="Y109" i="16" a="1"/>
  <c r="Y109" i="16" s="1"/>
  <c r="W109" i="16" a="1"/>
  <c r="W109" i="16" s="1"/>
  <c r="D109" i="16" a="1"/>
  <c r="D109" i="16" s="1"/>
  <c r="J109" i="16" a="1"/>
  <c r="J109" i="16" s="1"/>
  <c r="T109" i="16" a="1"/>
  <c r="T109" i="16" s="1"/>
  <c r="E109" i="16" a="1"/>
  <c r="E109" i="16" s="1"/>
  <c r="K109" i="16" a="1"/>
  <c r="K109" i="16" s="1"/>
  <c r="L109" i="16" a="1"/>
  <c r="L109" i="16" s="1"/>
  <c r="U109" i="16" a="1"/>
  <c r="U109" i="16" s="1"/>
  <c r="F109" i="16" a="1"/>
  <c r="F109" i="16" s="1"/>
  <c r="M109" i="16" a="1"/>
  <c r="M109" i="16" s="1"/>
  <c r="V109" i="16" a="1"/>
  <c r="V109" i="16" s="1"/>
  <c r="G109" i="16" a="1"/>
  <c r="G109" i="16" s="1"/>
  <c r="H109" i="16" a="1"/>
  <c r="H109" i="16" s="1"/>
  <c r="Q109" i="16" a="1"/>
  <c r="Q109" i="16" s="1"/>
  <c r="I109" i="16" a="1"/>
  <c r="I109" i="16" s="1"/>
  <c r="R109" i="16" a="1"/>
  <c r="R109" i="16" s="1"/>
  <c r="C109" i="16" a="1"/>
  <c r="C109" i="16" s="1"/>
  <c r="G39" i="2" s="1"/>
  <c r="S109" i="16" a="1"/>
  <c r="S109" i="16" s="1"/>
  <c r="B110" i="16"/>
  <c r="B39" i="2" l="1"/>
  <c r="O110" i="16" a="1"/>
  <c r="O110" i="16" s="1"/>
  <c r="N110" i="16" a="1"/>
  <c r="N110" i="16" s="1"/>
  <c r="P110" i="16" a="1"/>
  <c r="P110" i="16" s="1"/>
  <c r="W110" i="16" a="1"/>
  <c r="W110" i="16" s="1"/>
  <c r="X110" i="16" a="1"/>
  <c r="X110" i="16" s="1"/>
  <c r="Y110" i="16" a="1"/>
  <c r="Y110" i="16" s="1"/>
  <c r="F110" i="16" a="1"/>
  <c r="F110" i="16" s="1"/>
  <c r="V110" i="16" a="1"/>
  <c r="V110" i="16" s="1"/>
  <c r="G110" i="16" a="1"/>
  <c r="G110" i="16" s="1"/>
  <c r="M110" i="16" a="1"/>
  <c r="M110" i="16" s="1"/>
  <c r="H110" i="16" a="1"/>
  <c r="H110" i="16" s="1"/>
  <c r="Q110" i="16" a="1"/>
  <c r="Q110" i="16" s="1"/>
  <c r="R110" i="16" a="1"/>
  <c r="R110" i="16" s="1"/>
  <c r="C110" i="16" a="1"/>
  <c r="C110" i="16" s="1"/>
  <c r="I110" i="16" a="1"/>
  <c r="I110" i="16" s="1"/>
  <c r="S110" i="16" a="1"/>
  <c r="S110" i="16" s="1"/>
  <c r="D110" i="16" a="1"/>
  <c r="D110" i="16" s="1"/>
  <c r="J110" i="16" a="1"/>
  <c r="J110" i="16" s="1"/>
  <c r="K110" i="16" a="1"/>
  <c r="K110" i="16" s="1"/>
  <c r="T110" i="16" a="1"/>
  <c r="T110" i="16" s="1"/>
  <c r="L110" i="16" a="1"/>
  <c r="L110" i="16" s="1"/>
  <c r="U110" i="16" a="1"/>
  <c r="U110" i="16" s="1"/>
  <c r="E110" i="16" a="1"/>
  <c r="E110" i="16" s="1"/>
  <c r="B111" i="16"/>
  <c r="B40" i="2" l="1"/>
  <c r="G40" i="2"/>
  <c r="P111" i="16" a="1"/>
  <c r="P111" i="16" s="1"/>
  <c r="O111" i="16" a="1"/>
  <c r="O111" i="16" s="1"/>
  <c r="N111" i="16" a="1"/>
  <c r="N111" i="16" s="1"/>
  <c r="W111" i="16" a="1"/>
  <c r="W111" i="16" s="1"/>
  <c r="X111" i="16" a="1"/>
  <c r="X111" i="16" s="1"/>
  <c r="Y111" i="16" a="1"/>
  <c r="Y111" i="16" s="1"/>
  <c r="H111" i="16" a="1"/>
  <c r="H111" i="16" s="1"/>
  <c r="R111" i="16" a="1"/>
  <c r="R111" i="16" s="1"/>
  <c r="C111" i="16" a="1"/>
  <c r="C111" i="16" s="1"/>
  <c r="I111" i="16" a="1"/>
  <c r="I111" i="16" s="1"/>
  <c r="J111" i="16" a="1"/>
  <c r="J111" i="16" s="1"/>
  <c r="S111" i="16" a="1"/>
  <c r="S111" i="16" s="1"/>
  <c r="D111" i="16" a="1"/>
  <c r="D111" i="16" s="1"/>
  <c r="K111" i="16" a="1"/>
  <c r="K111" i="16" s="1"/>
  <c r="T111" i="16" a="1"/>
  <c r="T111" i="16" s="1"/>
  <c r="E111" i="16" a="1"/>
  <c r="E111" i="16" s="1"/>
  <c r="U111" i="16" a="1"/>
  <c r="U111" i="16" s="1"/>
  <c r="F111" i="16" a="1"/>
  <c r="F111" i="16" s="1"/>
  <c r="L111" i="16" a="1"/>
  <c r="L111" i="16" s="1"/>
  <c r="V111" i="16" a="1"/>
  <c r="V111" i="16" s="1"/>
  <c r="G111" i="16" a="1"/>
  <c r="G111" i="16" s="1"/>
  <c r="M111" i="16" a="1"/>
  <c r="M111" i="16" s="1"/>
  <c r="Q111" i="16" a="1"/>
  <c r="Q111" i="16" s="1"/>
  <c r="B112" i="16"/>
  <c r="B41" i="2" l="1"/>
  <c r="G41" i="2"/>
  <c r="N112" i="16" a="1"/>
  <c r="N112" i="16" s="1"/>
  <c r="P112" i="16" a="1"/>
  <c r="P112" i="16" s="1"/>
  <c r="O112" i="16" a="1"/>
  <c r="O112" i="16" s="1"/>
  <c r="W112" i="16" a="1"/>
  <c r="W112" i="16" s="1"/>
  <c r="X112" i="16" a="1"/>
  <c r="X112" i="16" s="1"/>
  <c r="Y112" i="16" a="1"/>
  <c r="Y112" i="16" s="1"/>
  <c r="D112" i="16" a="1"/>
  <c r="D112" i="16" s="1"/>
  <c r="T112" i="16" a="1"/>
  <c r="T112" i="16" s="1"/>
  <c r="E112" i="16" a="1"/>
  <c r="E112" i="16" s="1"/>
  <c r="K112" i="16" a="1"/>
  <c r="K112" i="16" s="1"/>
  <c r="U112" i="16" a="1"/>
  <c r="U112" i="16" s="1"/>
  <c r="F112" i="16" a="1"/>
  <c r="F112" i="16" s="1"/>
  <c r="L112" i="16" a="1"/>
  <c r="L112" i="16" s="1"/>
  <c r="M112" i="16" a="1"/>
  <c r="M112" i="16" s="1"/>
  <c r="V112" i="16" a="1"/>
  <c r="V112" i="16" s="1"/>
  <c r="G112" i="16" a="1"/>
  <c r="G112" i="16" s="1"/>
  <c r="Q112" i="16" a="1"/>
  <c r="Q112" i="16" s="1"/>
  <c r="H112" i="16" a="1"/>
  <c r="H112" i="16" s="1"/>
  <c r="I112" i="16" a="1"/>
  <c r="I112" i="16" s="1"/>
  <c r="R112" i="16" a="1"/>
  <c r="R112" i="16" s="1"/>
  <c r="C112" i="16" a="1"/>
  <c r="C112" i="16" s="1"/>
  <c r="J112" i="16" a="1"/>
  <c r="J112" i="16" s="1"/>
  <c r="S112" i="16" a="1"/>
  <c r="S112" i="16" s="1"/>
  <c r="B113" i="16"/>
  <c r="G42" i="2" l="1"/>
  <c r="B42" i="2"/>
  <c r="P113" i="16" a="1"/>
  <c r="P113" i="16" s="1"/>
  <c r="O113" i="16" a="1"/>
  <c r="O113" i="16" s="1"/>
  <c r="N113" i="16" a="1"/>
  <c r="N113" i="16" s="1"/>
  <c r="W113" i="16" a="1"/>
  <c r="W113" i="16" s="1"/>
  <c r="X113" i="16" a="1"/>
  <c r="X113" i="16" s="1"/>
  <c r="Y113" i="16" a="1"/>
  <c r="Y113" i="16" s="1"/>
  <c r="F113" i="16" a="1"/>
  <c r="F113" i="16" s="1"/>
  <c r="M113" i="16" a="1"/>
  <c r="M113" i="16" s="1"/>
  <c r="V113" i="16" a="1"/>
  <c r="V113" i="16" s="1"/>
  <c r="G113" i="16" a="1"/>
  <c r="G113" i="16" s="1"/>
  <c r="H113" i="16" a="1"/>
  <c r="H113" i="16" s="1"/>
  <c r="Q113" i="16" a="1"/>
  <c r="Q113" i="16" s="1"/>
  <c r="I113" i="16" a="1"/>
  <c r="I113" i="16" s="1"/>
  <c r="R113" i="16" a="1"/>
  <c r="R113" i="16" s="1"/>
  <c r="C113" i="16" a="1"/>
  <c r="C113" i="16" s="1"/>
  <c r="S113" i="16" a="1"/>
  <c r="S113" i="16" s="1"/>
  <c r="D113" i="16" a="1"/>
  <c r="D113" i="16" s="1"/>
  <c r="J113" i="16" a="1"/>
  <c r="J113" i="16" s="1"/>
  <c r="T113" i="16" a="1"/>
  <c r="T113" i="16" s="1"/>
  <c r="E113" i="16" a="1"/>
  <c r="E113" i="16" s="1"/>
  <c r="K113" i="16" a="1"/>
  <c r="K113" i="16" s="1"/>
  <c r="L113" i="16" a="1"/>
  <c r="L113" i="16" s="1"/>
  <c r="U113" i="16" a="1"/>
  <c r="U113" i="16" s="1"/>
  <c r="B114" i="16"/>
  <c r="B43" i="2" l="1"/>
  <c r="G43" i="2"/>
  <c r="P114" i="16" a="1"/>
  <c r="P114" i="16" s="1"/>
  <c r="O114" i="16" a="1"/>
  <c r="O114" i="16" s="1"/>
  <c r="N114" i="16" a="1"/>
  <c r="N114" i="16" s="1"/>
  <c r="W114" i="16" a="1"/>
  <c r="W114" i="16" s="1"/>
  <c r="X114" i="16" a="1"/>
  <c r="X114" i="16" s="1"/>
  <c r="Y114" i="16" a="1"/>
  <c r="Y114" i="16" s="1"/>
  <c r="R114" i="16" a="1"/>
  <c r="R114" i="16" s="1"/>
  <c r="C114" i="16" a="1"/>
  <c r="C114" i="16" s="1"/>
  <c r="I114" i="16" a="1"/>
  <c r="I114" i="16" s="1"/>
  <c r="S114" i="16" a="1"/>
  <c r="S114" i="16" s="1"/>
  <c r="D114" i="16" a="1"/>
  <c r="D114" i="16" s="1"/>
  <c r="J114" i="16" a="1"/>
  <c r="J114" i="16" s="1"/>
  <c r="K114" i="16" a="1"/>
  <c r="K114" i="16" s="1"/>
  <c r="T114" i="16" a="1"/>
  <c r="T114" i="16" s="1"/>
  <c r="E114" i="16" a="1"/>
  <c r="E114" i="16" s="1"/>
  <c r="L114" i="16" a="1"/>
  <c r="L114" i="16" s="1"/>
  <c r="U114" i="16" a="1"/>
  <c r="U114" i="16" s="1"/>
  <c r="F114" i="16" a="1"/>
  <c r="F114" i="16" s="1"/>
  <c r="V114" i="16" a="1"/>
  <c r="V114" i="16" s="1"/>
  <c r="G114" i="16" a="1"/>
  <c r="G114" i="16" s="1"/>
  <c r="M114" i="16" a="1"/>
  <c r="M114" i="16" s="1"/>
  <c r="H114" i="16" a="1"/>
  <c r="H114" i="16" s="1"/>
  <c r="Q114" i="16" a="1"/>
  <c r="Q114" i="16" s="1"/>
  <c r="B115" i="16"/>
  <c r="B44" i="2" l="1"/>
  <c r="G44" i="2"/>
  <c r="N115" i="16" a="1"/>
  <c r="N115" i="16" s="1"/>
  <c r="P115" i="16" a="1"/>
  <c r="P115" i="16" s="1"/>
  <c r="O115" i="16" a="1"/>
  <c r="O115" i="16" s="1"/>
  <c r="W115" i="16" a="1"/>
  <c r="W115" i="16" s="1"/>
  <c r="Y115" i="16" a="1"/>
  <c r="Y115" i="16" s="1"/>
  <c r="X115" i="16" a="1"/>
  <c r="X115" i="16" s="1"/>
  <c r="D115" i="16" a="1"/>
  <c r="D115" i="16" s="1"/>
  <c r="K115" i="16" a="1"/>
  <c r="K115" i="16" s="1"/>
  <c r="T115" i="16" a="1"/>
  <c r="T115" i="16" s="1"/>
  <c r="E115" i="16" a="1"/>
  <c r="E115" i="16" s="1"/>
  <c r="U115" i="16" a="1"/>
  <c r="U115" i="16" s="1"/>
  <c r="F115" i="16" a="1"/>
  <c r="F115" i="16" s="1"/>
  <c r="L115" i="16" a="1"/>
  <c r="L115" i="16" s="1"/>
  <c r="V115" i="16" a="1"/>
  <c r="V115" i="16" s="1"/>
  <c r="G115" i="16" a="1"/>
  <c r="G115" i="16" s="1"/>
  <c r="M115" i="16" a="1"/>
  <c r="M115" i="16" s="1"/>
  <c r="Q115" i="16" a="1"/>
  <c r="Q115" i="16" s="1"/>
  <c r="H115" i="16" a="1"/>
  <c r="H115" i="16" s="1"/>
  <c r="R115" i="16" a="1"/>
  <c r="R115" i="16" s="1"/>
  <c r="C115" i="16" a="1"/>
  <c r="C115" i="16" s="1"/>
  <c r="G45" i="2" s="1"/>
  <c r="I115" i="16" a="1"/>
  <c r="I115" i="16" s="1"/>
  <c r="J115" i="16" a="1"/>
  <c r="J115" i="16" s="1"/>
  <c r="S115" i="16" a="1"/>
  <c r="S115" i="16" s="1"/>
  <c r="B116" i="16"/>
  <c r="B45" i="2" l="1"/>
  <c r="P116" i="16" a="1"/>
  <c r="P116" i="16" s="1"/>
  <c r="O116" i="16" a="1"/>
  <c r="O116" i="16" s="1"/>
  <c r="N116" i="16" a="1"/>
  <c r="N116" i="16" s="1"/>
  <c r="X116" i="16" a="1"/>
  <c r="X116" i="16" s="1"/>
  <c r="Y116" i="16" a="1"/>
  <c r="Y116" i="16" s="1"/>
  <c r="W116" i="16" a="1"/>
  <c r="W116" i="16" s="1"/>
  <c r="M116" i="16" a="1"/>
  <c r="M116" i="16" s="1"/>
  <c r="V116" i="16" a="1"/>
  <c r="V116" i="16" s="1"/>
  <c r="G116" i="16" a="1"/>
  <c r="G116" i="16" s="1"/>
  <c r="Q116" i="16" a="1"/>
  <c r="Q116" i="16" s="1"/>
  <c r="H116" i="16" a="1"/>
  <c r="H116" i="16" s="1"/>
  <c r="I116" i="16" a="1"/>
  <c r="I116" i="16" s="1"/>
  <c r="R116" i="16" a="1"/>
  <c r="R116" i="16" s="1"/>
  <c r="C116" i="16" a="1"/>
  <c r="C116" i="16" s="1"/>
  <c r="J116" i="16" a="1"/>
  <c r="J116" i="16" s="1"/>
  <c r="S116" i="16" a="1"/>
  <c r="S116" i="16" s="1"/>
  <c r="D116" i="16" a="1"/>
  <c r="D116" i="16" s="1"/>
  <c r="T116" i="16" a="1"/>
  <c r="T116" i="16" s="1"/>
  <c r="E116" i="16" a="1"/>
  <c r="E116" i="16" s="1"/>
  <c r="K116" i="16" a="1"/>
  <c r="K116" i="16" s="1"/>
  <c r="U116" i="16" a="1"/>
  <c r="U116" i="16" s="1"/>
  <c r="L116" i="16" a="1"/>
  <c r="L116" i="16" s="1"/>
  <c r="F116" i="16" a="1"/>
  <c r="F116" i="16" s="1"/>
  <c r="B117" i="16"/>
  <c r="B46" i="2" l="1"/>
  <c r="G46" i="2"/>
  <c r="O117" i="16" a="1"/>
  <c r="O117" i="16" s="1"/>
  <c r="N117" i="16" a="1"/>
  <c r="N117" i="16" s="1"/>
  <c r="P117" i="16" a="1"/>
  <c r="P117" i="16" s="1"/>
  <c r="W117" i="16" a="1"/>
  <c r="W117" i="16" s="1"/>
  <c r="X117" i="16" a="1"/>
  <c r="X117" i="16" s="1"/>
  <c r="Y117" i="16" a="1"/>
  <c r="Y117" i="16" s="1"/>
  <c r="I117" i="16" a="1"/>
  <c r="I117" i="16" s="1"/>
  <c r="R117" i="16" a="1"/>
  <c r="R117" i="16" s="1"/>
  <c r="C117" i="16" a="1"/>
  <c r="C117" i="16" s="1"/>
  <c r="S117" i="16" a="1"/>
  <c r="S117" i="16" s="1"/>
  <c r="D117" i="16" a="1"/>
  <c r="D117" i="16" s="1"/>
  <c r="J117" i="16" a="1"/>
  <c r="J117" i="16" s="1"/>
  <c r="T117" i="16" a="1"/>
  <c r="T117" i="16" s="1"/>
  <c r="E117" i="16" a="1"/>
  <c r="E117" i="16" s="1"/>
  <c r="K117" i="16" a="1"/>
  <c r="K117" i="16" s="1"/>
  <c r="L117" i="16" a="1"/>
  <c r="L117" i="16" s="1"/>
  <c r="U117" i="16" a="1"/>
  <c r="U117" i="16" s="1"/>
  <c r="F117" i="16" a="1"/>
  <c r="F117" i="16" s="1"/>
  <c r="M117" i="16" a="1"/>
  <c r="M117" i="16" s="1"/>
  <c r="V117" i="16" a="1"/>
  <c r="V117" i="16" s="1"/>
  <c r="G117" i="16" a="1"/>
  <c r="G117" i="16" s="1"/>
  <c r="H117" i="16" a="1"/>
  <c r="H117" i="16" s="1"/>
  <c r="Q117" i="16" a="1"/>
  <c r="Q117" i="16" s="1"/>
  <c r="B118" i="16"/>
  <c r="B47" i="2" l="1"/>
  <c r="G47" i="2"/>
  <c r="N118" i="16" a="1"/>
  <c r="N118" i="16" s="1"/>
  <c r="P118" i="16" a="1"/>
  <c r="P118" i="16" s="1"/>
  <c r="O118" i="16" a="1"/>
  <c r="O118" i="16" s="1"/>
  <c r="Y118" i="16" a="1"/>
  <c r="Y118" i="16" s="1"/>
  <c r="W118" i="16" a="1"/>
  <c r="W118" i="16" s="1"/>
  <c r="X118" i="16" a="1"/>
  <c r="X118" i="16" s="1"/>
  <c r="K118" i="16" a="1"/>
  <c r="K118" i="16" s="1"/>
  <c r="T118" i="16" a="1"/>
  <c r="T118" i="16" s="1"/>
  <c r="E118" i="16" a="1"/>
  <c r="E118" i="16" s="1"/>
  <c r="L118" i="16" a="1"/>
  <c r="L118" i="16" s="1"/>
  <c r="U118" i="16" a="1"/>
  <c r="U118" i="16" s="1"/>
  <c r="F118" i="16" a="1"/>
  <c r="F118" i="16" s="1"/>
  <c r="V118" i="16" a="1"/>
  <c r="V118" i="16" s="1"/>
  <c r="G118" i="16" a="1"/>
  <c r="G118" i="16" s="1"/>
  <c r="M118" i="16" a="1"/>
  <c r="M118" i="16" s="1"/>
  <c r="H118" i="16" a="1"/>
  <c r="H118" i="16" s="1"/>
  <c r="Q118" i="16" a="1"/>
  <c r="Q118" i="16" s="1"/>
  <c r="R118" i="16" a="1"/>
  <c r="R118" i="16" s="1"/>
  <c r="C118" i="16" a="1"/>
  <c r="C118" i="16" s="1"/>
  <c r="I118" i="16" a="1"/>
  <c r="I118" i="16" s="1"/>
  <c r="S118" i="16" a="1"/>
  <c r="S118" i="16" s="1"/>
  <c r="D118" i="16" a="1"/>
  <c r="D118" i="16" s="1"/>
  <c r="J118" i="16" a="1"/>
  <c r="J118" i="16" s="1"/>
  <c r="B119" i="16"/>
  <c r="G48" i="2" l="1"/>
  <c r="B48" i="2"/>
  <c r="P119" i="16" a="1"/>
  <c r="P119" i="16" s="1"/>
  <c r="O119" i="16" a="1"/>
  <c r="O119" i="16" s="1"/>
  <c r="N119" i="16" a="1"/>
  <c r="N119" i="16" s="1"/>
  <c r="W119" i="16" a="1"/>
  <c r="W119" i="16" s="1"/>
  <c r="X119" i="16" a="1"/>
  <c r="X119" i="16" s="1"/>
  <c r="Y119" i="16" a="1"/>
  <c r="Y119" i="16" s="1"/>
  <c r="G119" i="16" a="1"/>
  <c r="G119" i="16" s="1"/>
  <c r="M119" i="16" a="1"/>
  <c r="M119" i="16" s="1"/>
  <c r="Q119" i="16" a="1"/>
  <c r="Q119" i="16" s="1"/>
  <c r="H119" i="16" a="1"/>
  <c r="H119" i="16" s="1"/>
  <c r="R119" i="16" a="1"/>
  <c r="R119" i="16" s="1"/>
  <c r="C119" i="16" a="1"/>
  <c r="C119" i="16" s="1"/>
  <c r="G49" i="2" s="1"/>
  <c r="I119" i="16" a="1"/>
  <c r="I119" i="16" s="1"/>
  <c r="J119" i="16" a="1"/>
  <c r="J119" i="16" s="1"/>
  <c r="S119" i="16" a="1"/>
  <c r="S119" i="16" s="1"/>
  <c r="D119" i="16" a="1"/>
  <c r="D119" i="16" s="1"/>
  <c r="K119" i="16" a="1"/>
  <c r="K119" i="16" s="1"/>
  <c r="T119" i="16" a="1"/>
  <c r="T119" i="16" s="1"/>
  <c r="E119" i="16" a="1"/>
  <c r="E119" i="16" s="1"/>
  <c r="U119" i="16" a="1"/>
  <c r="U119" i="16" s="1"/>
  <c r="L119" i="16" a="1"/>
  <c r="L119" i="16" s="1"/>
  <c r="V119" i="16" a="1"/>
  <c r="V119" i="16" s="1"/>
  <c r="F119" i="16" a="1"/>
  <c r="F119" i="16" s="1"/>
  <c r="B120" i="16"/>
  <c r="B49" i="2" l="1"/>
  <c r="O120" i="16" a="1"/>
  <c r="O120" i="16" s="1"/>
  <c r="P120" i="16" a="1"/>
  <c r="P120" i="16" s="1"/>
  <c r="N120" i="16" a="1"/>
  <c r="N120" i="16" s="1"/>
  <c r="W120" i="16" a="1"/>
  <c r="W120" i="16" s="1"/>
  <c r="X120" i="16" a="1"/>
  <c r="X120" i="16" s="1"/>
  <c r="Y120" i="16" a="1"/>
  <c r="Y120" i="16" s="1"/>
  <c r="I120" i="16" a="1"/>
  <c r="I120" i="16" s="1"/>
  <c r="R120" i="16" a="1"/>
  <c r="R120" i="16" s="1"/>
  <c r="C120" i="16" a="1"/>
  <c r="C120" i="16" s="1"/>
  <c r="J120" i="16" a="1"/>
  <c r="J120" i="16" s="1"/>
  <c r="S120" i="16" a="1"/>
  <c r="S120" i="16" s="1"/>
  <c r="D120" i="16" a="1"/>
  <c r="D120" i="16" s="1"/>
  <c r="T120" i="16" a="1"/>
  <c r="T120" i="16" s="1"/>
  <c r="E120" i="16" a="1"/>
  <c r="E120" i="16" s="1"/>
  <c r="K120" i="16" a="1"/>
  <c r="K120" i="16" s="1"/>
  <c r="U120" i="16" a="1"/>
  <c r="U120" i="16" s="1"/>
  <c r="F120" i="16" a="1"/>
  <c r="F120" i="16" s="1"/>
  <c r="L120" i="16" a="1"/>
  <c r="L120" i="16" s="1"/>
  <c r="M120" i="16" a="1"/>
  <c r="M120" i="16" s="1"/>
  <c r="V120" i="16" a="1"/>
  <c r="V120" i="16" s="1"/>
  <c r="G120" i="16" a="1"/>
  <c r="G120" i="16" s="1"/>
  <c r="Q120" i="16" a="1"/>
  <c r="Q120" i="16" s="1"/>
  <c r="H120" i="16" a="1"/>
  <c r="H120" i="16" s="1"/>
  <c r="B121" i="16"/>
  <c r="B50" i="2" l="1"/>
  <c r="G50" i="2"/>
  <c r="N121" i="16" a="1"/>
  <c r="N121" i="16" s="1"/>
  <c r="O121" i="16" a="1"/>
  <c r="O121" i="16" s="1"/>
  <c r="P121" i="16" a="1"/>
  <c r="P121" i="16" s="1"/>
  <c r="X121" i="16" a="1"/>
  <c r="X121" i="16" s="1"/>
  <c r="Y121" i="16" a="1"/>
  <c r="Y121" i="16" s="1"/>
  <c r="W121" i="16" a="1"/>
  <c r="W121" i="16" s="1"/>
  <c r="E121" i="16" a="1"/>
  <c r="E121" i="16" s="1"/>
  <c r="K121" i="16" a="1"/>
  <c r="K121" i="16" s="1"/>
  <c r="L121" i="16" a="1"/>
  <c r="L121" i="16" s="1"/>
  <c r="U121" i="16" a="1"/>
  <c r="U121" i="16" s="1"/>
  <c r="F121" i="16" a="1"/>
  <c r="F121" i="16" s="1"/>
  <c r="M121" i="16" a="1"/>
  <c r="M121" i="16" s="1"/>
  <c r="V121" i="16" a="1"/>
  <c r="V121" i="16" s="1"/>
  <c r="G121" i="16" a="1"/>
  <c r="G121" i="16" s="1"/>
  <c r="H121" i="16" a="1"/>
  <c r="H121" i="16" s="1"/>
  <c r="Q121" i="16" a="1"/>
  <c r="Q121" i="16" s="1"/>
  <c r="I121" i="16" a="1"/>
  <c r="I121" i="16" s="1"/>
  <c r="R121" i="16" a="1"/>
  <c r="R121" i="16" s="1"/>
  <c r="C121" i="16" a="1"/>
  <c r="C121" i="16" s="1"/>
  <c r="G51" i="2" s="1"/>
  <c r="S121" i="16" a="1"/>
  <c r="S121" i="16" s="1"/>
  <c r="D121" i="16" a="1"/>
  <c r="D121" i="16" s="1"/>
  <c r="J121" i="16" a="1"/>
  <c r="J121" i="16" s="1"/>
  <c r="T121" i="16" a="1"/>
  <c r="T121" i="16" s="1"/>
  <c r="B122" i="16"/>
  <c r="B51" i="2" l="1"/>
  <c r="P122" i="16" a="1"/>
  <c r="P122" i="16" s="1"/>
  <c r="O122" i="16" a="1"/>
  <c r="O122" i="16" s="1"/>
  <c r="N122" i="16" a="1"/>
  <c r="N122" i="16" s="1"/>
  <c r="W122" i="16" a="1"/>
  <c r="W122" i="16" s="1"/>
  <c r="X122" i="16" a="1"/>
  <c r="X122" i="16" s="1"/>
  <c r="Y122" i="16" a="1"/>
  <c r="Y122" i="16" s="1"/>
  <c r="G122" i="16" a="1"/>
  <c r="G122" i="16" s="1"/>
  <c r="M122" i="16" a="1"/>
  <c r="M122" i="16" s="1"/>
  <c r="H122" i="16" a="1"/>
  <c r="H122" i="16" s="1"/>
  <c r="Q122" i="16" a="1"/>
  <c r="Q122" i="16" s="1"/>
  <c r="R122" i="16" a="1"/>
  <c r="R122" i="16" s="1"/>
  <c r="C122" i="16" a="1"/>
  <c r="C122" i="16" s="1"/>
  <c r="I122" i="16" a="1"/>
  <c r="I122" i="16" s="1"/>
  <c r="S122" i="16" a="1"/>
  <c r="S122" i="16" s="1"/>
  <c r="D122" i="16" a="1"/>
  <c r="D122" i="16" s="1"/>
  <c r="J122" i="16" a="1"/>
  <c r="J122" i="16" s="1"/>
  <c r="K122" i="16" a="1"/>
  <c r="K122" i="16" s="1"/>
  <c r="T122" i="16" a="1"/>
  <c r="T122" i="16" s="1"/>
  <c r="E122" i="16" a="1"/>
  <c r="E122" i="16" s="1"/>
  <c r="L122" i="16" a="1"/>
  <c r="L122" i="16" s="1"/>
  <c r="U122" i="16" a="1"/>
  <c r="U122" i="16" s="1"/>
  <c r="V122" i="16" a="1"/>
  <c r="V122" i="16" s="1"/>
  <c r="F122" i="16" a="1"/>
  <c r="F122" i="16" s="1"/>
  <c r="B123" i="16"/>
  <c r="B52" i="2" l="1"/>
  <c r="G52" i="2"/>
  <c r="N123" i="16" a="1"/>
  <c r="N123" i="16" s="1"/>
  <c r="P123" i="16" a="1"/>
  <c r="P123" i="16" s="1"/>
  <c r="O123" i="16" a="1"/>
  <c r="O123" i="16" s="1"/>
  <c r="W123" i="16" a="1"/>
  <c r="W123" i="16" s="1"/>
  <c r="X123" i="16" a="1"/>
  <c r="X123" i="16" s="1"/>
  <c r="Y123" i="16" a="1"/>
  <c r="Y123" i="16" s="1"/>
  <c r="C123" i="16" a="1"/>
  <c r="C123" i="16" s="1"/>
  <c r="I123" i="16" a="1"/>
  <c r="I123" i="16" s="1"/>
  <c r="J123" i="16" a="1"/>
  <c r="J123" i="16" s="1"/>
  <c r="S123" i="16" a="1"/>
  <c r="S123" i="16" s="1"/>
  <c r="D123" i="16" a="1"/>
  <c r="D123" i="16" s="1"/>
  <c r="K123" i="16" a="1"/>
  <c r="K123" i="16" s="1"/>
  <c r="T123" i="16" a="1"/>
  <c r="T123" i="16" s="1"/>
  <c r="E123" i="16" a="1"/>
  <c r="E123" i="16" s="1"/>
  <c r="U123" i="16" a="1"/>
  <c r="U123" i="16" s="1"/>
  <c r="F123" i="16" a="1"/>
  <c r="F123" i="16" s="1"/>
  <c r="L123" i="16" a="1"/>
  <c r="L123" i="16" s="1"/>
  <c r="V123" i="16" a="1"/>
  <c r="V123" i="16" s="1"/>
  <c r="G123" i="16" a="1"/>
  <c r="G123" i="16" s="1"/>
  <c r="M123" i="16" a="1"/>
  <c r="M123" i="16" s="1"/>
  <c r="Q123" i="16" a="1"/>
  <c r="Q123" i="16" s="1"/>
  <c r="H123" i="16" a="1"/>
  <c r="H123" i="16" s="1"/>
  <c r="R123" i="16" a="1"/>
  <c r="R123" i="16" s="1"/>
  <c r="B124" i="16"/>
  <c r="B53" i="2" l="1"/>
  <c r="G53" i="2"/>
  <c r="P124" i="16" a="1"/>
  <c r="P124" i="16" s="1"/>
  <c r="O124" i="16" a="1"/>
  <c r="O124" i="16" s="1"/>
  <c r="N124" i="16" a="1"/>
  <c r="N124" i="16" s="1"/>
  <c r="Y124" i="16" a="1"/>
  <c r="Y124" i="16" s="1"/>
  <c r="X124" i="16" a="1"/>
  <c r="X124" i="16" s="1"/>
  <c r="W124" i="16" a="1"/>
  <c r="W124" i="16" s="1"/>
  <c r="E124" i="16" a="1"/>
  <c r="E124" i="16" s="1"/>
  <c r="K124" i="16" a="1"/>
  <c r="K124" i="16" s="1"/>
  <c r="U124" i="16" a="1"/>
  <c r="U124" i="16" s="1"/>
  <c r="F124" i="16" a="1"/>
  <c r="F124" i="16" s="1"/>
  <c r="L124" i="16" a="1"/>
  <c r="L124" i="16" s="1"/>
  <c r="M124" i="16" a="1"/>
  <c r="M124" i="16" s="1"/>
  <c r="V124" i="16" a="1"/>
  <c r="V124" i="16" s="1"/>
  <c r="G124" i="16" a="1"/>
  <c r="G124" i="16" s="1"/>
  <c r="Q124" i="16" a="1"/>
  <c r="Q124" i="16" s="1"/>
  <c r="H124" i="16" a="1"/>
  <c r="H124" i="16" s="1"/>
  <c r="I124" i="16" a="1"/>
  <c r="I124" i="16" s="1"/>
  <c r="R124" i="16" a="1"/>
  <c r="R124" i="16" s="1"/>
  <c r="C124" i="16" a="1"/>
  <c r="C124" i="16" s="1"/>
  <c r="J124" i="16" a="1"/>
  <c r="J124" i="16" s="1"/>
  <c r="S124" i="16" a="1"/>
  <c r="S124" i="16" s="1"/>
  <c r="D124" i="16" a="1"/>
  <c r="D124" i="16" s="1"/>
  <c r="T124" i="16" a="1"/>
  <c r="T124" i="16" s="1"/>
  <c r="B125" i="16"/>
  <c r="B54" i="2" l="1"/>
  <c r="G54" i="2"/>
  <c r="O125" i="16" a="1"/>
  <c r="O125" i="16" s="1"/>
  <c r="P125" i="16" a="1"/>
  <c r="P125" i="16" s="1"/>
  <c r="N125" i="16" a="1"/>
  <c r="N125" i="16" s="1"/>
  <c r="X125" i="16" a="1"/>
  <c r="X125" i="16" s="1"/>
  <c r="W125" i="16" a="1"/>
  <c r="W125" i="16" s="1"/>
  <c r="Y125" i="16" a="1"/>
  <c r="Y125" i="16" s="1"/>
  <c r="G125" i="16" a="1"/>
  <c r="G125" i="16" s="1"/>
  <c r="H125" i="16" a="1"/>
  <c r="H125" i="16" s="1"/>
  <c r="Q125" i="16" a="1"/>
  <c r="Q125" i="16" s="1"/>
  <c r="I125" i="16" a="1"/>
  <c r="I125" i="16" s="1"/>
  <c r="R125" i="16" a="1"/>
  <c r="R125" i="16" s="1"/>
  <c r="C125" i="16" a="1"/>
  <c r="C125" i="16" s="1"/>
  <c r="S125" i="16" a="1"/>
  <c r="S125" i="16" s="1"/>
  <c r="D125" i="16" a="1"/>
  <c r="D125" i="16" s="1"/>
  <c r="J125" i="16" a="1"/>
  <c r="J125" i="16" s="1"/>
  <c r="T125" i="16" a="1"/>
  <c r="T125" i="16" s="1"/>
  <c r="E125" i="16" a="1"/>
  <c r="E125" i="16" s="1"/>
  <c r="K125" i="16" a="1"/>
  <c r="K125" i="16" s="1"/>
  <c r="L125" i="16" a="1"/>
  <c r="L125" i="16" s="1"/>
  <c r="U125" i="16" a="1"/>
  <c r="U125" i="16" s="1"/>
  <c r="M125" i="16" a="1"/>
  <c r="M125" i="16" s="1"/>
  <c r="V125" i="16" a="1"/>
  <c r="V125" i="16" s="1"/>
  <c r="F125" i="16" a="1"/>
  <c r="F125" i="16" s="1"/>
  <c r="B126" i="16"/>
  <c r="G55" i="2" l="1"/>
  <c r="B55" i="2"/>
  <c r="N126" i="16" a="1"/>
  <c r="N126" i="16" s="1"/>
  <c r="O126" i="16" a="1"/>
  <c r="O126" i="16" s="1"/>
  <c r="P126" i="16" a="1"/>
  <c r="P126" i="16" s="1"/>
  <c r="Y126" i="16" a="1"/>
  <c r="Y126" i="16" s="1"/>
  <c r="W126" i="16" a="1"/>
  <c r="W126" i="16" s="1"/>
  <c r="X126" i="16" a="1"/>
  <c r="X126" i="16" s="1"/>
  <c r="C126" i="16" a="1"/>
  <c r="C126" i="16" s="1"/>
  <c r="G56" i="2" s="1"/>
  <c r="I126" i="16" a="1"/>
  <c r="I126" i="16" s="1"/>
  <c r="S126" i="16" a="1"/>
  <c r="S126" i="16" s="1"/>
  <c r="D126" i="16" a="1"/>
  <c r="D126" i="16" s="1"/>
  <c r="J126" i="16" a="1"/>
  <c r="J126" i="16" s="1"/>
  <c r="K126" i="16" a="1"/>
  <c r="K126" i="16" s="1"/>
  <c r="T126" i="16" a="1"/>
  <c r="T126" i="16" s="1"/>
  <c r="E126" i="16" a="1"/>
  <c r="E126" i="16" s="1"/>
  <c r="L126" i="16" a="1"/>
  <c r="L126" i="16" s="1"/>
  <c r="U126" i="16" a="1"/>
  <c r="U126" i="16" s="1"/>
  <c r="F126" i="16" a="1"/>
  <c r="F126" i="16" s="1"/>
  <c r="V126" i="16" a="1"/>
  <c r="V126" i="16" s="1"/>
  <c r="G126" i="16" a="1"/>
  <c r="G126" i="16" s="1"/>
  <c r="M126" i="16" a="1"/>
  <c r="M126" i="16" s="1"/>
  <c r="H126" i="16" a="1"/>
  <c r="H126" i="16" s="1"/>
  <c r="Q126" i="16" a="1"/>
  <c r="Q126" i="16" s="1"/>
  <c r="R126" i="16" a="1"/>
  <c r="R126" i="16" s="1"/>
  <c r="B127" i="16"/>
  <c r="B56" i="2" l="1"/>
  <c r="P127" i="16" a="1"/>
  <c r="P127" i="16" s="1"/>
  <c r="N127" i="16" a="1"/>
  <c r="N127" i="16" s="1"/>
  <c r="O127" i="16" a="1"/>
  <c r="O127" i="16" s="1"/>
  <c r="W127" i="16" a="1"/>
  <c r="W127" i="16" s="1"/>
  <c r="X127" i="16" a="1"/>
  <c r="X127" i="16" s="1"/>
  <c r="Y127" i="16" a="1"/>
  <c r="Y127" i="16" s="1"/>
  <c r="E127" i="16" a="1"/>
  <c r="E127" i="16" s="1"/>
  <c r="U127" i="16" a="1"/>
  <c r="U127" i="16" s="1"/>
  <c r="F127" i="16" a="1"/>
  <c r="F127" i="16" s="1"/>
  <c r="L127" i="16" a="1"/>
  <c r="L127" i="16" s="1"/>
  <c r="V127" i="16" a="1"/>
  <c r="V127" i="16" s="1"/>
  <c r="G127" i="16" a="1"/>
  <c r="G127" i="16" s="1"/>
  <c r="M127" i="16" a="1"/>
  <c r="M127" i="16" s="1"/>
  <c r="Q127" i="16" a="1"/>
  <c r="Q127" i="16" s="1"/>
  <c r="H127" i="16" a="1"/>
  <c r="H127" i="16" s="1"/>
  <c r="R127" i="16" a="1"/>
  <c r="R127" i="16" s="1"/>
  <c r="C127" i="16" a="1"/>
  <c r="C127" i="16" s="1"/>
  <c r="I127" i="16" a="1"/>
  <c r="I127" i="16" s="1"/>
  <c r="J127" i="16" a="1"/>
  <c r="J127" i="16" s="1"/>
  <c r="S127" i="16" a="1"/>
  <c r="S127" i="16" s="1"/>
  <c r="D127" i="16" a="1"/>
  <c r="D127" i="16" s="1"/>
  <c r="K127" i="16" a="1"/>
  <c r="K127" i="16" s="1"/>
  <c r="T127" i="16" a="1"/>
  <c r="T127" i="16" s="1"/>
  <c r="B128" i="16"/>
  <c r="B57" i="2" l="1"/>
  <c r="G57" i="2"/>
  <c r="N128" i="16" a="1"/>
  <c r="N128" i="16" s="1"/>
  <c r="P128" i="16" a="1"/>
  <c r="P128" i="16" s="1"/>
  <c r="O128" i="16" a="1"/>
  <c r="O128" i="16" s="1"/>
  <c r="X128" i="16" a="1"/>
  <c r="X128" i="16" s="1"/>
  <c r="W128" i="16" a="1"/>
  <c r="W128" i="16" s="1"/>
  <c r="Y128" i="16" a="1"/>
  <c r="Y128" i="16" s="1"/>
  <c r="G128" i="16" a="1"/>
  <c r="G128" i="16" s="1"/>
  <c r="Q128" i="16" a="1"/>
  <c r="Q128" i="16" s="1"/>
  <c r="H128" i="16" a="1"/>
  <c r="H128" i="16" s="1"/>
  <c r="I128" i="16" a="1"/>
  <c r="I128" i="16" s="1"/>
  <c r="R128" i="16" a="1"/>
  <c r="R128" i="16" s="1"/>
  <c r="C128" i="16" a="1"/>
  <c r="C128" i="16" s="1"/>
  <c r="J128" i="16" a="1"/>
  <c r="J128" i="16" s="1"/>
  <c r="S128" i="16" a="1"/>
  <c r="S128" i="16" s="1"/>
  <c r="D128" i="16" a="1"/>
  <c r="D128" i="16" s="1"/>
  <c r="T128" i="16" a="1"/>
  <c r="T128" i="16" s="1"/>
  <c r="E128" i="16" a="1"/>
  <c r="E128" i="16" s="1"/>
  <c r="K128" i="16" a="1"/>
  <c r="K128" i="16" s="1"/>
  <c r="U128" i="16" a="1"/>
  <c r="U128" i="16" s="1"/>
  <c r="F128" i="16" a="1"/>
  <c r="F128" i="16" s="1"/>
  <c r="L128" i="16" a="1"/>
  <c r="L128" i="16" s="1"/>
  <c r="M128" i="16" a="1"/>
  <c r="M128" i="16" s="1"/>
  <c r="V128" i="16" a="1"/>
  <c r="V128" i="16" s="1"/>
  <c r="B129" i="16"/>
  <c r="G58" i="2" l="1"/>
  <c r="B58" i="2"/>
  <c r="N129" i="16" a="1"/>
  <c r="N129" i="16" s="1"/>
  <c r="P129" i="16" a="1"/>
  <c r="P129" i="16" s="1"/>
  <c r="O129" i="16" a="1"/>
  <c r="O129" i="16" s="1"/>
  <c r="W129" i="16" a="1"/>
  <c r="W129" i="16" s="1"/>
  <c r="X129" i="16" a="1"/>
  <c r="X129" i="16" s="1"/>
  <c r="Y129" i="16" a="1"/>
  <c r="Y129" i="16" s="1"/>
  <c r="C129" i="16" a="1"/>
  <c r="C129" i="16" s="1"/>
  <c r="S129" i="16" a="1"/>
  <c r="S129" i="16" s="1"/>
  <c r="D129" i="16" a="1"/>
  <c r="D129" i="16" s="1"/>
  <c r="J129" i="16" a="1"/>
  <c r="J129" i="16" s="1"/>
  <c r="T129" i="16" a="1"/>
  <c r="T129" i="16" s="1"/>
  <c r="E129" i="16" a="1"/>
  <c r="E129" i="16" s="1"/>
  <c r="K129" i="16" a="1"/>
  <c r="K129" i="16" s="1"/>
  <c r="L129" i="16" a="1"/>
  <c r="L129" i="16" s="1"/>
  <c r="U129" i="16" a="1"/>
  <c r="U129" i="16" s="1"/>
  <c r="F129" i="16" a="1"/>
  <c r="F129" i="16" s="1"/>
  <c r="M129" i="16" a="1"/>
  <c r="M129" i="16" s="1"/>
  <c r="V129" i="16" a="1"/>
  <c r="V129" i="16" s="1"/>
  <c r="G129" i="16" a="1"/>
  <c r="G129" i="16" s="1"/>
  <c r="H129" i="16" a="1"/>
  <c r="H129" i="16" s="1"/>
  <c r="Q129" i="16" a="1"/>
  <c r="Q129" i="16" s="1"/>
  <c r="I129" i="16" a="1"/>
  <c r="I129" i="16" s="1"/>
  <c r="R129" i="16" a="1"/>
  <c r="R129" i="16" s="1"/>
  <c r="B130" i="16"/>
  <c r="B59" i="2" l="1"/>
  <c r="G59" i="2"/>
  <c r="P130" i="16" a="1"/>
  <c r="P130" i="16" s="1"/>
  <c r="O130" i="16" a="1"/>
  <c r="O130" i="16" s="1"/>
  <c r="N130" i="16" a="1"/>
  <c r="N130" i="16" s="1"/>
  <c r="X130" i="16" a="1"/>
  <c r="X130" i="16" s="1"/>
  <c r="Y130" i="16" a="1"/>
  <c r="Y130" i="16" s="1"/>
  <c r="W130" i="16" a="1"/>
  <c r="W130" i="16" s="1"/>
  <c r="E130" i="16" a="1"/>
  <c r="E130" i="16" s="1"/>
  <c r="L130" i="16" a="1"/>
  <c r="L130" i="16" s="1"/>
  <c r="U130" i="16" a="1"/>
  <c r="U130" i="16" s="1"/>
  <c r="F130" i="16" a="1"/>
  <c r="F130" i="16" s="1"/>
  <c r="V130" i="16" a="1"/>
  <c r="V130" i="16" s="1"/>
  <c r="G130" i="16" a="1"/>
  <c r="G130" i="16" s="1"/>
  <c r="M130" i="16" a="1"/>
  <c r="M130" i="16" s="1"/>
  <c r="H130" i="16" a="1"/>
  <c r="H130" i="16" s="1"/>
  <c r="Q130" i="16" a="1"/>
  <c r="Q130" i="16" s="1"/>
  <c r="R130" i="16" a="1"/>
  <c r="R130" i="16" s="1"/>
  <c r="C130" i="16" a="1"/>
  <c r="C130" i="16" s="1"/>
  <c r="I130" i="16" a="1"/>
  <c r="I130" i="16" s="1"/>
  <c r="S130" i="16" a="1"/>
  <c r="S130" i="16" s="1"/>
  <c r="D130" i="16" a="1"/>
  <c r="D130" i="16" s="1"/>
  <c r="J130" i="16" a="1"/>
  <c r="J130" i="16" s="1"/>
  <c r="K130" i="16" a="1"/>
  <c r="K130" i="16" s="1"/>
  <c r="T130" i="16" a="1"/>
  <c r="T130" i="16" s="1"/>
  <c r="B131" i="16"/>
  <c r="B60" i="2" l="1"/>
  <c r="G60" i="2"/>
  <c r="O131" i="16" a="1"/>
  <c r="O131" i="16" s="1"/>
  <c r="P131" i="16" a="1"/>
  <c r="P131" i="16" s="1"/>
  <c r="N131" i="16" a="1"/>
  <c r="N131" i="16" s="1"/>
  <c r="W131" i="16" a="1"/>
  <c r="W131" i="16" s="1"/>
  <c r="X131" i="16" a="1"/>
  <c r="X131" i="16" s="1"/>
  <c r="Y131" i="16" a="1"/>
  <c r="Y131" i="16" s="1"/>
  <c r="Q131" i="16" a="1"/>
  <c r="Q131" i="16" s="1"/>
  <c r="H131" i="16" a="1"/>
  <c r="H131" i="16" s="1"/>
  <c r="R131" i="16" a="1"/>
  <c r="R131" i="16" s="1"/>
  <c r="C131" i="16" a="1"/>
  <c r="C131" i="16" s="1"/>
  <c r="I131" i="16" a="1"/>
  <c r="I131" i="16" s="1"/>
  <c r="J131" i="16" a="1"/>
  <c r="J131" i="16" s="1"/>
  <c r="S131" i="16" a="1"/>
  <c r="S131" i="16" s="1"/>
  <c r="D131" i="16" a="1"/>
  <c r="D131" i="16" s="1"/>
  <c r="K131" i="16" a="1"/>
  <c r="K131" i="16" s="1"/>
  <c r="T131" i="16" a="1"/>
  <c r="T131" i="16" s="1"/>
  <c r="E131" i="16" a="1"/>
  <c r="E131" i="16" s="1"/>
  <c r="U131" i="16" a="1"/>
  <c r="U131" i="16" s="1"/>
  <c r="F131" i="16" a="1"/>
  <c r="F131" i="16" s="1"/>
  <c r="L131" i="16" a="1"/>
  <c r="L131" i="16" s="1"/>
  <c r="V131" i="16" a="1"/>
  <c r="V131" i="16" s="1"/>
  <c r="M131" i="16" a="1"/>
  <c r="M131" i="16" s="1"/>
  <c r="G131" i="16" a="1"/>
  <c r="G131" i="16" s="1"/>
  <c r="B132" i="16"/>
  <c r="B61" i="2" l="1"/>
  <c r="G61" i="2"/>
  <c r="N132" i="16" a="1"/>
  <c r="N132" i="16" s="1"/>
  <c r="O132" i="16" a="1"/>
  <c r="O132" i="16" s="1"/>
  <c r="P132" i="16" a="1"/>
  <c r="P132" i="16" s="1"/>
  <c r="Y132" i="16" a="1"/>
  <c r="Y132" i="16" s="1"/>
  <c r="W132" i="16" a="1"/>
  <c r="W132" i="16" s="1"/>
  <c r="X132" i="16" a="1"/>
  <c r="X132" i="16" s="1"/>
  <c r="C132" i="16" a="1"/>
  <c r="C132" i="16" s="1"/>
  <c r="J132" i="16" a="1"/>
  <c r="J132" i="16" s="1"/>
  <c r="S132" i="16" a="1"/>
  <c r="S132" i="16" s="1"/>
  <c r="D132" i="16" a="1"/>
  <c r="D132" i="16" s="1"/>
  <c r="T132" i="16" a="1"/>
  <c r="T132" i="16" s="1"/>
  <c r="E132" i="16" a="1"/>
  <c r="E132" i="16" s="1"/>
  <c r="K132" i="16" a="1"/>
  <c r="K132" i="16" s="1"/>
  <c r="U132" i="16" a="1"/>
  <c r="U132" i="16" s="1"/>
  <c r="F132" i="16" a="1"/>
  <c r="F132" i="16" s="1"/>
  <c r="L132" i="16" a="1"/>
  <c r="L132" i="16" s="1"/>
  <c r="M132" i="16" a="1"/>
  <c r="M132" i="16" s="1"/>
  <c r="V132" i="16" a="1"/>
  <c r="V132" i="16" s="1"/>
  <c r="G132" i="16" a="1"/>
  <c r="G132" i="16" s="1"/>
  <c r="Q132" i="16" a="1"/>
  <c r="Q132" i="16" s="1"/>
  <c r="H132" i="16" a="1"/>
  <c r="H132" i="16" s="1"/>
  <c r="I132" i="16" a="1"/>
  <c r="I132" i="16" s="1"/>
  <c r="R132" i="16" a="1"/>
  <c r="R132" i="16" s="1"/>
  <c r="B133" i="16"/>
  <c r="B62" i="2" l="1"/>
  <c r="G62" i="2"/>
  <c r="P133" i="16" a="1"/>
  <c r="P133" i="16" s="1"/>
  <c r="N133" i="16" a="1"/>
  <c r="N133" i="16" s="1"/>
  <c r="O133" i="16" a="1"/>
  <c r="O133" i="16" s="1"/>
  <c r="X133" i="16" a="1"/>
  <c r="X133" i="16" s="1"/>
  <c r="Y133" i="16" a="1"/>
  <c r="Y133" i="16" s="1"/>
  <c r="W133" i="16" a="1"/>
  <c r="W133" i="16" s="1"/>
  <c r="L133" i="16" a="1"/>
  <c r="L133" i="16" s="1"/>
  <c r="U133" i="16" a="1"/>
  <c r="U133" i="16" s="1"/>
  <c r="F133" i="16" a="1"/>
  <c r="F133" i="16" s="1"/>
  <c r="M133" i="16" a="1"/>
  <c r="M133" i="16" s="1"/>
  <c r="V133" i="16" a="1"/>
  <c r="V133" i="16" s="1"/>
  <c r="G133" i="16" a="1"/>
  <c r="G133" i="16" s="1"/>
  <c r="H133" i="16" a="1"/>
  <c r="H133" i="16" s="1"/>
  <c r="Q133" i="16" a="1"/>
  <c r="Q133" i="16" s="1"/>
  <c r="I133" i="16" a="1"/>
  <c r="I133" i="16" s="1"/>
  <c r="R133" i="16" a="1"/>
  <c r="R133" i="16" s="1"/>
  <c r="C133" i="16" a="1"/>
  <c r="C133" i="16" s="1"/>
  <c r="S133" i="16" a="1"/>
  <c r="S133" i="16" s="1"/>
  <c r="D133" i="16" a="1"/>
  <c r="D133" i="16" s="1"/>
  <c r="J133" i="16" a="1"/>
  <c r="J133" i="16" s="1"/>
  <c r="T133" i="16" a="1"/>
  <c r="T133" i="16" s="1"/>
  <c r="E133" i="16" a="1"/>
  <c r="E133" i="16" s="1"/>
  <c r="K133" i="16" a="1"/>
  <c r="K133" i="16" s="1"/>
  <c r="B134" i="16"/>
  <c r="B63" i="2" l="1"/>
  <c r="G63" i="2"/>
  <c r="P134" i="16" a="1"/>
  <c r="P134" i="16" s="1"/>
  <c r="N134" i="16" a="1"/>
  <c r="N134" i="16" s="1"/>
  <c r="O134" i="16" a="1"/>
  <c r="O134" i="16" s="1"/>
  <c r="X134" i="16" a="1"/>
  <c r="X134" i="16" s="1"/>
  <c r="Y134" i="16" a="1"/>
  <c r="Y134" i="16" s="1"/>
  <c r="W134" i="16" a="1"/>
  <c r="W134" i="16" s="1"/>
  <c r="H134" i="16" a="1"/>
  <c r="H134" i="16" s="1"/>
  <c r="Q134" i="16" a="1"/>
  <c r="Q134" i="16" s="1"/>
  <c r="C134" i="16" a="1"/>
  <c r="C134" i="16" s="1"/>
  <c r="I134" i="16" a="1"/>
  <c r="I134" i="16" s="1"/>
  <c r="D134" i="16" a="1"/>
  <c r="D134" i="16" s="1"/>
  <c r="J134" i="16" a="1"/>
  <c r="J134" i="16" s="1"/>
  <c r="R134" i="16" a="1"/>
  <c r="R134" i="16" s="1"/>
  <c r="K134" i="16" a="1"/>
  <c r="K134" i="16" s="1"/>
  <c r="S134" i="16" a="1"/>
  <c r="S134" i="16" s="1"/>
  <c r="E134" i="16" a="1"/>
  <c r="E134" i="16" s="1"/>
  <c r="L134" i="16" a="1"/>
  <c r="L134" i="16" s="1"/>
  <c r="T134" i="16" a="1"/>
  <c r="T134" i="16" s="1"/>
  <c r="F134" i="16" a="1"/>
  <c r="F134" i="16" s="1"/>
  <c r="U134" i="16" a="1"/>
  <c r="U134" i="16" s="1"/>
  <c r="M134" i="16" a="1"/>
  <c r="M134" i="16" s="1"/>
  <c r="V134" i="16" a="1"/>
  <c r="V134" i="16" s="1"/>
  <c r="G134" i="16" a="1"/>
  <c r="G134" i="16" s="1"/>
  <c r="B135" i="16"/>
  <c r="B64" i="2" l="1"/>
  <c r="G64" i="2"/>
  <c r="N135" i="16" a="1"/>
  <c r="N135" i="16" s="1"/>
  <c r="P135" i="16" a="1"/>
  <c r="P135" i="16" s="1"/>
  <c r="O135" i="16" a="1"/>
  <c r="O135" i="16" s="1"/>
  <c r="W135" i="16" a="1"/>
  <c r="W135" i="16" s="1"/>
  <c r="X135" i="16" a="1"/>
  <c r="X135" i="16" s="1"/>
  <c r="Y135" i="16" a="1"/>
  <c r="Y135" i="16" s="1"/>
  <c r="C135" i="16" a="1"/>
  <c r="C135" i="16" s="1"/>
  <c r="H135" i="16" a="1"/>
  <c r="H135" i="16" s="1"/>
  <c r="I135" i="16" a="1"/>
  <c r="I135" i="16" s="1"/>
  <c r="Q135" i="16" a="1"/>
  <c r="Q135" i="16" s="1"/>
  <c r="D135" i="16" a="1"/>
  <c r="D135" i="16" s="1"/>
  <c r="J135" i="16" a="1"/>
  <c r="J135" i="16" s="1"/>
  <c r="R135" i="16" a="1"/>
  <c r="R135" i="16" s="1"/>
  <c r="K135" i="16" a="1"/>
  <c r="K135" i="16" s="1"/>
  <c r="S135" i="16" a="1"/>
  <c r="S135" i="16" s="1"/>
  <c r="E135" i="16" a="1"/>
  <c r="E135" i="16" s="1"/>
  <c r="T135" i="16" a="1"/>
  <c r="T135" i="16" s="1"/>
  <c r="L135" i="16" a="1"/>
  <c r="L135" i="16" s="1"/>
  <c r="U135" i="16" a="1"/>
  <c r="U135" i="16" s="1"/>
  <c r="F135" i="16" a="1"/>
  <c r="F135" i="16" s="1"/>
  <c r="V135" i="16" a="1"/>
  <c r="V135" i="16" s="1"/>
  <c r="G135" i="16" a="1"/>
  <c r="G135" i="16" s="1"/>
  <c r="M135" i="16" a="1"/>
  <c r="M135" i="16" s="1"/>
  <c r="B136" i="16"/>
  <c r="B65" i="2" l="1"/>
  <c r="G65" i="2"/>
  <c r="P136" i="16" a="1"/>
  <c r="P136" i="16" s="1"/>
  <c r="O136" i="16" a="1"/>
  <c r="O136" i="16" s="1"/>
  <c r="N136" i="16" a="1"/>
  <c r="N136" i="16" s="1"/>
  <c r="Y136" i="16" a="1"/>
  <c r="Y136" i="16" s="1"/>
  <c r="W136" i="16" a="1"/>
  <c r="W136" i="16" s="1"/>
  <c r="X136" i="16" a="1"/>
  <c r="X136" i="16" s="1"/>
  <c r="C136" i="16" a="1"/>
  <c r="C136" i="16" s="1"/>
  <c r="I136" i="16" a="1"/>
  <c r="I136" i="16" s="1"/>
  <c r="Q136" i="16" a="1"/>
  <c r="Q136" i="16" s="1"/>
  <c r="J136" i="16" a="1"/>
  <c r="J136" i="16" s="1"/>
  <c r="R136" i="16" a="1"/>
  <c r="R136" i="16" s="1"/>
  <c r="D136" i="16" a="1"/>
  <c r="D136" i="16" s="1"/>
  <c r="S136" i="16" a="1"/>
  <c r="S136" i="16" s="1"/>
  <c r="K136" i="16" a="1"/>
  <c r="K136" i="16" s="1"/>
  <c r="T136" i="16" a="1"/>
  <c r="T136" i="16" s="1"/>
  <c r="E136" i="16" a="1"/>
  <c r="E136" i="16" s="1"/>
  <c r="U136" i="16" a="1"/>
  <c r="U136" i="16" s="1"/>
  <c r="F136" i="16" a="1"/>
  <c r="F136" i="16" s="1"/>
  <c r="L136" i="16" a="1"/>
  <c r="L136" i="16" s="1"/>
  <c r="G136" i="16" a="1"/>
  <c r="G136" i="16" s="1"/>
  <c r="V136" i="16" a="1"/>
  <c r="V136" i="16" s="1"/>
  <c r="H136" i="16" a="1"/>
  <c r="H136" i="16" s="1"/>
  <c r="M136" i="16" a="1"/>
  <c r="M136" i="16" s="1"/>
  <c r="B137" i="16"/>
  <c r="B66" i="2" l="1"/>
  <c r="G66" i="2"/>
  <c r="N137" i="16" a="1"/>
  <c r="N137" i="16" s="1"/>
  <c r="P137" i="16" a="1"/>
  <c r="P137" i="16" s="1"/>
  <c r="O137" i="16" a="1"/>
  <c r="O137" i="16" s="1"/>
  <c r="W137" i="16" a="1"/>
  <c r="W137" i="16" s="1"/>
  <c r="X137" i="16" a="1"/>
  <c r="X137" i="16" s="1"/>
  <c r="Y137" i="16" a="1"/>
  <c r="Y137" i="16" s="1"/>
  <c r="C137" i="16" a="1"/>
  <c r="C137" i="16" s="1"/>
  <c r="R137" i="16" a="1"/>
  <c r="R137" i="16" s="1"/>
  <c r="J137" i="16" a="1"/>
  <c r="J137" i="16" s="1"/>
  <c r="S137" i="16" a="1"/>
  <c r="S137" i="16" s="1"/>
  <c r="D137" i="16" a="1"/>
  <c r="D137" i="16" s="1"/>
  <c r="T137" i="16" a="1"/>
  <c r="T137" i="16" s="1"/>
  <c r="E137" i="16" a="1"/>
  <c r="E137" i="16" s="1"/>
  <c r="K137" i="16" a="1"/>
  <c r="K137" i="16" s="1"/>
  <c r="F137" i="16" a="1"/>
  <c r="F137" i="16" s="1"/>
  <c r="U137" i="16" a="1"/>
  <c r="U137" i="16" s="1"/>
  <c r="G137" i="16" a="1"/>
  <c r="G137" i="16" s="1"/>
  <c r="L137" i="16" a="1"/>
  <c r="L137" i="16" s="1"/>
  <c r="H137" i="16" a="1"/>
  <c r="H137" i="16" s="1"/>
  <c r="M137" i="16" a="1"/>
  <c r="M137" i="16" s="1"/>
  <c r="V137" i="16" a="1"/>
  <c r="V137" i="16" s="1"/>
  <c r="I137" i="16" a="1"/>
  <c r="I137" i="16" s="1"/>
  <c r="Q137" i="16" a="1"/>
  <c r="Q137" i="16" s="1"/>
  <c r="B138" i="16"/>
  <c r="B67" i="2" l="1"/>
  <c r="G67" i="2"/>
  <c r="P138" i="16" a="1"/>
  <c r="P138" i="16" s="1"/>
  <c r="O138" i="16" a="1"/>
  <c r="O138" i="16" s="1"/>
  <c r="N138" i="16" a="1"/>
  <c r="N138" i="16" s="1"/>
  <c r="X138" i="16" a="1"/>
  <c r="X138" i="16" s="1"/>
  <c r="Y138" i="16" a="1"/>
  <c r="Y138" i="16" s="1"/>
  <c r="W138" i="16" a="1"/>
  <c r="W138" i="16" s="1"/>
  <c r="C138" i="16" a="1"/>
  <c r="C138" i="16" s="1"/>
  <c r="S138" i="16" a="1"/>
  <c r="S138" i="16" s="1"/>
  <c r="D138" i="16" a="1"/>
  <c r="D138" i="16" s="1"/>
  <c r="J138" i="16" a="1"/>
  <c r="J138" i="16" s="1"/>
  <c r="E138" i="16" a="1"/>
  <c r="E138" i="16" s="1"/>
  <c r="T138" i="16" a="1"/>
  <c r="T138" i="16" s="1"/>
  <c r="F138" i="16" a="1"/>
  <c r="F138" i="16" s="1"/>
  <c r="K138" i="16" a="1"/>
  <c r="K138" i="16" s="1"/>
  <c r="G138" i="16" a="1"/>
  <c r="G138" i="16" s="1"/>
  <c r="L138" i="16" a="1"/>
  <c r="L138" i="16" s="1"/>
  <c r="U138" i="16" a="1"/>
  <c r="U138" i="16" s="1"/>
  <c r="H138" i="16" a="1"/>
  <c r="H138" i="16" s="1"/>
  <c r="M138" i="16" a="1"/>
  <c r="M138" i="16" s="1"/>
  <c r="Q138" i="16" a="1"/>
  <c r="Q138" i="16" s="1"/>
  <c r="V138" i="16" a="1"/>
  <c r="V138" i="16" s="1"/>
  <c r="I138" i="16" a="1"/>
  <c r="I138" i="16" s="1"/>
  <c r="R138" i="16" a="1"/>
  <c r="R138" i="16" s="1"/>
  <c r="B139" i="16"/>
  <c r="B68" i="2" l="1"/>
  <c r="G68" i="2"/>
  <c r="P139" i="16" a="1"/>
  <c r="P139" i="16" s="1"/>
  <c r="O139" i="16" a="1"/>
  <c r="O139" i="16" s="1"/>
  <c r="N139" i="16" a="1"/>
  <c r="N139" i="16" s="1"/>
  <c r="W139" i="16" a="1"/>
  <c r="W139" i="16" s="1"/>
  <c r="X139" i="16" a="1"/>
  <c r="X139" i="16" s="1"/>
  <c r="Y139" i="16" a="1"/>
  <c r="Y139" i="16" s="1"/>
  <c r="D139" i="16" a="1"/>
  <c r="D139" i="16" s="1"/>
  <c r="S139" i="16" a="1"/>
  <c r="S139" i="16" s="1"/>
  <c r="E139" i="16" a="1"/>
  <c r="E139" i="16" s="1"/>
  <c r="J139" i="16" a="1"/>
  <c r="J139" i="16" s="1"/>
  <c r="F139" i="16" a="1"/>
  <c r="F139" i="16" s="1"/>
  <c r="K139" i="16" a="1"/>
  <c r="K139" i="16" s="1"/>
  <c r="T139" i="16" a="1"/>
  <c r="T139" i="16" s="1"/>
  <c r="G139" i="16" a="1"/>
  <c r="G139" i="16" s="1"/>
  <c r="L139" i="16" a="1"/>
  <c r="L139" i="16" s="1"/>
  <c r="M139" i="16" a="1"/>
  <c r="M139" i="16" s="1"/>
  <c r="U139" i="16" a="1"/>
  <c r="U139" i="16" s="1"/>
  <c r="H139" i="16" a="1"/>
  <c r="H139" i="16" s="1"/>
  <c r="Q139" i="16" a="1"/>
  <c r="Q139" i="16" s="1"/>
  <c r="V139" i="16" a="1"/>
  <c r="V139" i="16" s="1"/>
  <c r="R139" i="16" a="1"/>
  <c r="R139" i="16" s="1"/>
  <c r="C139" i="16" a="1"/>
  <c r="C139" i="16" s="1"/>
  <c r="I139" i="16" a="1"/>
  <c r="I139" i="16" s="1"/>
  <c r="B140" i="16"/>
  <c r="B69" i="2" l="1"/>
  <c r="G69" i="2"/>
  <c r="N140" i="16" a="1"/>
  <c r="N140" i="16" s="1"/>
  <c r="P140" i="16" a="1"/>
  <c r="P140" i="16" s="1"/>
  <c r="O140" i="16" a="1"/>
  <c r="O140" i="16" s="1"/>
  <c r="X140" i="16" a="1"/>
  <c r="X140" i="16" s="1"/>
  <c r="Y140" i="16" a="1"/>
  <c r="Y140" i="16" s="1"/>
  <c r="W140" i="16" a="1"/>
  <c r="W140" i="16" s="1"/>
  <c r="E140" i="16" a="1"/>
  <c r="E140" i="16" s="1"/>
  <c r="J140" i="16" a="1"/>
  <c r="J140" i="16" s="1"/>
  <c r="S140" i="16" a="1"/>
  <c r="S140" i="16" s="1"/>
  <c r="F140" i="16" a="1"/>
  <c r="F140" i="16" s="1"/>
  <c r="K140" i="16" a="1"/>
  <c r="K140" i="16" s="1"/>
  <c r="L140" i="16" a="1"/>
  <c r="L140" i="16" s="1"/>
  <c r="T140" i="16" a="1"/>
  <c r="T140" i="16" s="1"/>
  <c r="G140" i="16" a="1"/>
  <c r="G140" i="16" s="1"/>
  <c r="M140" i="16" a="1"/>
  <c r="M140" i="16" s="1"/>
  <c r="U140" i="16" a="1"/>
  <c r="U140" i="16" s="1"/>
  <c r="Q140" i="16" a="1"/>
  <c r="Q140" i="16" s="1"/>
  <c r="V140" i="16" a="1"/>
  <c r="V140" i="16" s="1"/>
  <c r="H140" i="16" a="1"/>
  <c r="H140" i="16" s="1"/>
  <c r="C140" i="16" a="1"/>
  <c r="C140" i="16" s="1"/>
  <c r="R140" i="16" a="1"/>
  <c r="R140" i="16" s="1"/>
  <c r="D140" i="16" a="1"/>
  <c r="D140" i="16" s="1"/>
  <c r="I140" i="16" a="1"/>
  <c r="I140" i="16" s="1"/>
  <c r="B141" i="16"/>
  <c r="B70" i="2" l="1"/>
  <c r="G70" i="2"/>
  <c r="P141" i="16" a="1"/>
  <c r="P141" i="16" s="1"/>
  <c r="O141" i="16" a="1"/>
  <c r="O141" i="16" s="1"/>
  <c r="N141" i="16" a="1"/>
  <c r="N141" i="16" s="1"/>
  <c r="X141" i="16" a="1"/>
  <c r="X141" i="16" s="1"/>
  <c r="Y141" i="16" a="1"/>
  <c r="Y141" i="16" s="1"/>
  <c r="W141" i="16" a="1"/>
  <c r="W141" i="16" s="1"/>
  <c r="K141" i="16" a="1"/>
  <c r="K141" i="16" s="1"/>
  <c r="S141" i="16" a="1"/>
  <c r="S141" i="16" s="1"/>
  <c r="F141" i="16" a="1"/>
  <c r="F141" i="16" s="1"/>
  <c r="L141" i="16" a="1"/>
  <c r="L141" i="16" s="1"/>
  <c r="T141" i="16" a="1"/>
  <c r="T141" i="16" s="1"/>
  <c r="M141" i="16" a="1"/>
  <c r="M141" i="16" s="1"/>
  <c r="U141" i="16" a="1"/>
  <c r="U141" i="16" s="1"/>
  <c r="G141" i="16" a="1"/>
  <c r="G141" i="16" s="1"/>
  <c r="V141" i="16" a="1"/>
  <c r="V141" i="16" s="1"/>
  <c r="Q141" i="16" a="1"/>
  <c r="Q141" i="16" s="1"/>
  <c r="C141" i="16" a="1"/>
  <c r="C141" i="16" s="1"/>
  <c r="H141" i="16" a="1"/>
  <c r="H141" i="16" s="1"/>
  <c r="D141" i="16" a="1"/>
  <c r="D141" i="16" s="1"/>
  <c r="I141" i="16" a="1"/>
  <c r="I141" i="16" s="1"/>
  <c r="R141" i="16" a="1"/>
  <c r="R141" i="16" s="1"/>
  <c r="E141" i="16" a="1"/>
  <c r="E141" i="16" s="1"/>
  <c r="J141" i="16" a="1"/>
  <c r="J141" i="16" s="1"/>
  <c r="B142" i="16"/>
  <c r="B71" i="2" l="1"/>
  <c r="G71" i="2"/>
  <c r="P142" i="16" a="1"/>
  <c r="P142" i="16" s="1"/>
  <c r="O142" i="16" a="1"/>
  <c r="O142" i="16" s="1"/>
  <c r="N142" i="16" a="1"/>
  <c r="N142" i="16" s="1"/>
  <c r="X142" i="16" a="1"/>
  <c r="X142" i="16" s="1"/>
  <c r="W142" i="16" a="1"/>
  <c r="W142" i="16" s="1"/>
  <c r="Y142" i="16" a="1"/>
  <c r="Y142" i="16" s="1"/>
  <c r="L142" i="16" a="1"/>
  <c r="L142" i="16" s="1"/>
  <c r="V142" i="16" a="1"/>
  <c r="V142" i="16" s="1"/>
  <c r="F142" i="16" a="1"/>
  <c r="F142" i="16" s="1"/>
  <c r="M142" i="16" a="1"/>
  <c r="M142" i="16" s="1"/>
  <c r="G142" i="16" a="1"/>
  <c r="G142" i="16" s="1"/>
  <c r="Q142" i="16" a="1"/>
  <c r="Q142" i="16" s="1"/>
  <c r="C142" i="16" a="1"/>
  <c r="C142" i="16" s="1"/>
  <c r="H142" i="16" a="1"/>
  <c r="H142" i="16" s="1"/>
  <c r="R142" i="16" a="1"/>
  <c r="R142" i="16" s="1"/>
  <c r="D142" i="16" a="1"/>
  <c r="D142" i="16" s="1"/>
  <c r="I142" i="16" a="1"/>
  <c r="I142" i="16" s="1"/>
  <c r="S142" i="16" a="1"/>
  <c r="S142" i="16" s="1"/>
  <c r="J142" i="16" a="1"/>
  <c r="J142" i="16" s="1"/>
  <c r="T142" i="16" a="1"/>
  <c r="T142" i="16" s="1"/>
  <c r="U142" i="16" a="1"/>
  <c r="U142" i="16" s="1"/>
  <c r="E142" i="16" a="1"/>
  <c r="E142" i="16" s="1"/>
  <c r="K142" i="16" a="1"/>
  <c r="K142" i="16" s="1"/>
  <c r="B143" i="16"/>
  <c r="G72" i="2" l="1"/>
  <c r="B72" i="2"/>
  <c r="N143" i="16" a="1"/>
  <c r="N143" i="16" s="1"/>
  <c r="P143" i="16" a="1"/>
  <c r="P143" i="16" s="1"/>
  <c r="O143" i="16" a="1"/>
  <c r="O143" i="16" s="1"/>
  <c r="X143" i="16" a="1"/>
  <c r="X143" i="16" s="1"/>
  <c r="Y143" i="16" a="1"/>
  <c r="Y143" i="16" s="1"/>
  <c r="W143" i="16" a="1"/>
  <c r="W143" i="16" s="1"/>
  <c r="I143" i="16" a="1"/>
  <c r="I143" i="16" s="1"/>
  <c r="S143" i="16" a="1"/>
  <c r="S143" i="16" s="1"/>
  <c r="C143" i="16" a="1"/>
  <c r="C143" i="16" s="1"/>
  <c r="J143" i="16" a="1"/>
  <c r="J143" i="16" s="1"/>
  <c r="T143" i="16" a="1"/>
  <c r="T143" i="16" s="1"/>
  <c r="K143" i="16" a="1"/>
  <c r="K143" i="16" s="1"/>
  <c r="U143" i="16" a="1"/>
  <c r="U143" i="16" s="1"/>
  <c r="D143" i="16" a="1"/>
  <c r="D143" i="16" s="1"/>
  <c r="V143" i="16" a="1"/>
  <c r="V143" i="16" s="1"/>
  <c r="E143" i="16" a="1"/>
  <c r="E143" i="16" s="1"/>
  <c r="L143" i="16" a="1"/>
  <c r="L143" i="16" s="1"/>
  <c r="F143" i="16" a="1"/>
  <c r="F143" i="16" s="1"/>
  <c r="M143" i="16" a="1"/>
  <c r="M143" i="16" s="1"/>
  <c r="G143" i="16" a="1"/>
  <c r="G143" i="16" s="1"/>
  <c r="Q143" i="16" a="1"/>
  <c r="Q143" i="16" s="1"/>
  <c r="H143" i="16" a="1"/>
  <c r="H143" i="16" s="1"/>
  <c r="R143" i="16" a="1"/>
  <c r="R143" i="16" s="1"/>
  <c r="B144" i="16"/>
  <c r="B73" i="2" l="1"/>
  <c r="G73" i="2"/>
  <c r="P144" i="16" a="1"/>
  <c r="P144" i="16" s="1"/>
  <c r="O144" i="16" a="1"/>
  <c r="O144" i="16" s="1"/>
  <c r="N144" i="16" a="1"/>
  <c r="N144" i="16" s="1"/>
  <c r="W144" i="16" a="1"/>
  <c r="W144" i="16" s="1"/>
  <c r="X144" i="16" a="1"/>
  <c r="X144" i="16" s="1"/>
  <c r="Y144" i="16" a="1"/>
  <c r="Y144" i="16" s="1"/>
  <c r="F144" i="16" a="1"/>
  <c r="F144" i="16" s="1"/>
  <c r="M144" i="16" a="1"/>
  <c r="M144" i="16" s="1"/>
  <c r="G144" i="16" a="1"/>
  <c r="G144" i="16" s="1"/>
  <c r="Q144" i="16" a="1"/>
  <c r="Q144" i="16" s="1"/>
  <c r="H144" i="16" a="1"/>
  <c r="H144" i="16" s="1"/>
  <c r="R144" i="16" a="1"/>
  <c r="R144" i="16" s="1"/>
  <c r="I144" i="16" a="1"/>
  <c r="I144" i="16" s="1"/>
  <c r="S144" i="16" a="1"/>
  <c r="S144" i="16" s="1"/>
  <c r="J144" i="16" a="1"/>
  <c r="J144" i="16" s="1"/>
  <c r="T144" i="16" a="1"/>
  <c r="T144" i="16" s="1"/>
  <c r="C144" i="16" a="1"/>
  <c r="C144" i="16" s="1"/>
  <c r="U144" i="16" a="1"/>
  <c r="U144" i="16" s="1"/>
  <c r="D144" i="16" a="1"/>
  <c r="D144" i="16" s="1"/>
  <c r="K144" i="16" a="1"/>
  <c r="K144" i="16" s="1"/>
  <c r="E144" i="16" a="1"/>
  <c r="E144" i="16" s="1"/>
  <c r="L144" i="16" a="1"/>
  <c r="L144" i="16" s="1"/>
  <c r="V144" i="16" a="1"/>
  <c r="V144" i="16" s="1"/>
  <c r="B145" i="16"/>
  <c r="B74" i="2" l="1"/>
  <c r="G74" i="2"/>
  <c r="O145" i="16" a="1"/>
  <c r="O145" i="16" s="1"/>
  <c r="P145" i="16" a="1"/>
  <c r="P145" i="16" s="1"/>
  <c r="N145" i="16" a="1"/>
  <c r="N145" i="16" s="1"/>
  <c r="W145" i="16" a="1"/>
  <c r="W145" i="16" s="1"/>
  <c r="X145" i="16" a="1"/>
  <c r="X145" i="16" s="1"/>
  <c r="Y145" i="16" a="1"/>
  <c r="Y145" i="16" s="1"/>
  <c r="C145" i="16" a="1"/>
  <c r="C145" i="16" s="1"/>
  <c r="J145" i="16" a="1"/>
  <c r="J145" i="16" s="1"/>
  <c r="D145" i="16" a="1"/>
  <c r="D145" i="16" s="1"/>
  <c r="K145" i="16" a="1"/>
  <c r="K145" i="16" s="1"/>
  <c r="U145" i="16" a="1"/>
  <c r="U145" i="16" s="1"/>
  <c r="E145" i="16" a="1"/>
  <c r="E145" i="16" s="1"/>
  <c r="L145" i="16" a="1"/>
  <c r="L145" i="16" s="1"/>
  <c r="V145" i="16" a="1"/>
  <c r="V145" i="16" s="1"/>
  <c r="F145" i="16" a="1"/>
  <c r="F145" i="16" s="1"/>
  <c r="M145" i="16" a="1"/>
  <c r="M145" i="16" s="1"/>
  <c r="G145" i="16" a="1"/>
  <c r="G145" i="16" s="1"/>
  <c r="Q145" i="16" a="1"/>
  <c r="Q145" i="16" s="1"/>
  <c r="H145" i="16" a="1"/>
  <c r="H145" i="16" s="1"/>
  <c r="R145" i="16" a="1"/>
  <c r="R145" i="16" s="1"/>
  <c r="I145" i="16" a="1"/>
  <c r="I145" i="16" s="1"/>
  <c r="S145" i="16" a="1"/>
  <c r="S145" i="16" s="1"/>
  <c r="T145" i="16" a="1"/>
  <c r="T145" i="16" s="1"/>
  <c r="B146" i="16"/>
  <c r="B75" i="2" l="1"/>
  <c r="G75" i="2"/>
  <c r="N146" i="16" a="1"/>
  <c r="N146" i="16" s="1"/>
  <c r="P146" i="16" a="1"/>
  <c r="P146" i="16" s="1"/>
  <c r="O146" i="16" a="1"/>
  <c r="O146" i="16" s="1"/>
  <c r="W146" i="16" a="1"/>
  <c r="W146" i="16" s="1"/>
  <c r="X146" i="16" a="1"/>
  <c r="X146" i="16" s="1"/>
  <c r="Y146" i="16" a="1"/>
  <c r="Y146" i="16" s="1"/>
  <c r="H146" i="16" a="1"/>
  <c r="H146" i="16" s="1"/>
  <c r="R146" i="16" a="1"/>
  <c r="R146" i="16" s="1"/>
  <c r="S146" i="16" a="1"/>
  <c r="S146" i="16" s="1"/>
  <c r="I146" i="16" a="1"/>
  <c r="I146" i="16" s="1"/>
  <c r="C146" i="16" a="1"/>
  <c r="C146" i="16" s="1"/>
  <c r="J146" i="16" a="1"/>
  <c r="J146" i="16" s="1"/>
  <c r="T146" i="16" a="1"/>
  <c r="T146" i="16" s="1"/>
  <c r="D146" i="16" a="1"/>
  <c r="D146" i="16" s="1"/>
  <c r="K146" i="16" a="1"/>
  <c r="K146" i="16" s="1"/>
  <c r="U146" i="16" a="1"/>
  <c r="U146" i="16" s="1"/>
  <c r="E146" i="16" a="1"/>
  <c r="E146" i="16" s="1"/>
  <c r="L146" i="16" a="1"/>
  <c r="L146" i="16" s="1"/>
  <c r="V146" i="16" a="1"/>
  <c r="V146" i="16" s="1"/>
  <c r="F146" i="16" a="1"/>
  <c r="F146" i="16" s="1"/>
  <c r="M146" i="16" a="1"/>
  <c r="M146" i="16" s="1"/>
  <c r="G146" i="16" a="1"/>
  <c r="G146" i="16" s="1"/>
  <c r="Q146" i="16" a="1"/>
  <c r="Q146" i="16" s="1"/>
  <c r="B147" i="16"/>
  <c r="B76" i="2" l="1"/>
  <c r="G76" i="2"/>
  <c r="P147" i="16" a="1"/>
  <c r="P147" i="16" s="1"/>
  <c r="O147" i="16" a="1"/>
  <c r="O147" i="16" s="1"/>
  <c r="N147" i="16" a="1"/>
  <c r="N147" i="16" s="1"/>
  <c r="X147" i="16" a="1"/>
  <c r="X147" i="16" s="1"/>
  <c r="Y147" i="16" a="1"/>
  <c r="Y147" i="16" s="1"/>
  <c r="W147" i="16" a="1"/>
  <c r="W147" i="16" s="1"/>
  <c r="E147" i="16" a="1"/>
  <c r="E147" i="16" s="1"/>
  <c r="L147" i="16" a="1"/>
  <c r="L147" i="16" s="1"/>
  <c r="V147" i="16" a="1"/>
  <c r="V147" i="16" s="1"/>
  <c r="F147" i="16" a="1"/>
  <c r="F147" i="16" s="1"/>
  <c r="M147" i="16" a="1"/>
  <c r="M147" i="16" s="1"/>
  <c r="G147" i="16" a="1"/>
  <c r="G147" i="16" s="1"/>
  <c r="Q147" i="16" a="1"/>
  <c r="Q147" i="16" s="1"/>
  <c r="R147" i="16" a="1"/>
  <c r="R147" i="16" s="1"/>
  <c r="H147" i="16" a="1"/>
  <c r="H147" i="16" s="1"/>
  <c r="I147" i="16" a="1"/>
  <c r="I147" i="16" s="1"/>
  <c r="S147" i="16" a="1"/>
  <c r="S147" i="16" s="1"/>
  <c r="C147" i="16" a="1"/>
  <c r="C147" i="16" s="1"/>
  <c r="J147" i="16" a="1"/>
  <c r="J147" i="16" s="1"/>
  <c r="T147" i="16" a="1"/>
  <c r="T147" i="16" s="1"/>
  <c r="D147" i="16" a="1"/>
  <c r="D147" i="16" s="1"/>
  <c r="K147" i="16" a="1"/>
  <c r="K147" i="16" s="1"/>
  <c r="U147" i="16" a="1"/>
  <c r="U147" i="16" s="1"/>
  <c r="B148" i="16"/>
  <c r="B77" i="2" l="1"/>
  <c r="G77" i="2"/>
  <c r="P148" i="16" a="1"/>
  <c r="P148" i="16" s="1"/>
  <c r="O148" i="16" a="1"/>
  <c r="O148" i="16" s="1"/>
  <c r="N148" i="16" a="1"/>
  <c r="N148" i="16" s="1"/>
  <c r="W148" i="16" a="1"/>
  <c r="W148" i="16" s="1"/>
  <c r="X148" i="16" a="1"/>
  <c r="X148" i="16" s="1"/>
  <c r="Y148" i="16" a="1"/>
  <c r="Y148" i="16" s="1"/>
  <c r="I148" i="16" a="1"/>
  <c r="I148" i="16" s="1"/>
  <c r="S148" i="16" a="1"/>
  <c r="S148" i="16" s="1"/>
  <c r="C148" i="16" a="1"/>
  <c r="C148" i="16" s="1"/>
  <c r="J148" i="16" a="1"/>
  <c r="J148" i="16" s="1"/>
  <c r="T148" i="16" a="1"/>
  <c r="T148" i="16" s="1"/>
  <c r="D148" i="16" a="1"/>
  <c r="D148" i="16" s="1"/>
  <c r="K148" i="16" a="1"/>
  <c r="K148" i="16" s="1"/>
  <c r="U148" i="16" a="1"/>
  <c r="U148" i="16" s="1"/>
  <c r="E148" i="16" a="1"/>
  <c r="E148" i="16" s="1"/>
  <c r="L148" i="16" a="1"/>
  <c r="L148" i="16" s="1"/>
  <c r="V148" i="16" a="1"/>
  <c r="V148" i="16" s="1"/>
  <c r="F148" i="16" a="1"/>
  <c r="F148" i="16" s="1"/>
  <c r="M148" i="16" a="1"/>
  <c r="M148" i="16" s="1"/>
  <c r="Q148" i="16" a="1"/>
  <c r="Q148" i="16" s="1"/>
  <c r="G148" i="16" a="1"/>
  <c r="G148" i="16" s="1"/>
  <c r="H148" i="16" a="1"/>
  <c r="H148" i="16" s="1"/>
  <c r="R148" i="16" a="1"/>
  <c r="R148" i="16" s="1"/>
  <c r="B149" i="16"/>
  <c r="B78" i="2" l="1"/>
  <c r="G78" i="2"/>
  <c r="N149" i="16" a="1"/>
  <c r="N149" i="16" s="1"/>
  <c r="P149" i="16" a="1"/>
  <c r="P149" i="16" s="1"/>
  <c r="O149" i="16" a="1"/>
  <c r="O149" i="16" s="1"/>
  <c r="W149" i="16" a="1"/>
  <c r="W149" i="16" s="1"/>
  <c r="X149" i="16" a="1"/>
  <c r="X149" i="16" s="1"/>
  <c r="Y149" i="16" a="1"/>
  <c r="Y149" i="16" s="1"/>
  <c r="F149" i="16" a="1"/>
  <c r="F149" i="16" s="1"/>
  <c r="G149" i="16" a="1"/>
  <c r="G149" i="16" s="1"/>
  <c r="Q149" i="16" a="1"/>
  <c r="Q149" i="16" s="1"/>
  <c r="H149" i="16" a="1"/>
  <c r="H149" i="16" s="1"/>
  <c r="R149" i="16" a="1"/>
  <c r="R149" i="16" s="1"/>
  <c r="I149" i="16" a="1"/>
  <c r="I149" i="16" s="1"/>
  <c r="S149" i="16" a="1"/>
  <c r="S149" i="16" s="1"/>
  <c r="C149" i="16" a="1"/>
  <c r="C149" i="16" s="1"/>
  <c r="G79" i="2" s="1"/>
  <c r="J149" i="16" a="1"/>
  <c r="J149" i="16" s="1"/>
  <c r="T149" i="16" a="1"/>
  <c r="T149" i="16" s="1"/>
  <c r="D149" i="16" a="1"/>
  <c r="D149" i="16" s="1"/>
  <c r="K149" i="16" a="1"/>
  <c r="K149" i="16" s="1"/>
  <c r="U149" i="16" a="1"/>
  <c r="U149" i="16" s="1"/>
  <c r="E149" i="16" a="1"/>
  <c r="E149" i="16" s="1"/>
  <c r="L149" i="16" a="1"/>
  <c r="L149" i="16" s="1"/>
  <c r="V149" i="16" a="1"/>
  <c r="V149" i="16" s="1"/>
  <c r="M149" i="16" a="1"/>
  <c r="M149" i="16" s="1"/>
  <c r="B150" i="16"/>
  <c r="B79" i="2" l="1"/>
  <c r="P150" i="16" a="1"/>
  <c r="P150" i="16" s="1"/>
  <c r="O150" i="16" a="1"/>
  <c r="O150" i="16" s="1"/>
  <c r="N150" i="16" a="1"/>
  <c r="N150" i="16" s="1"/>
  <c r="W150" i="16" a="1"/>
  <c r="W150" i="16" s="1"/>
  <c r="X150" i="16" a="1"/>
  <c r="X150" i="16" s="1"/>
  <c r="Y150" i="16" a="1"/>
  <c r="Y150" i="16" s="1"/>
  <c r="D150" i="16" a="1"/>
  <c r="D150" i="16" s="1"/>
  <c r="K150" i="16" a="1"/>
  <c r="K150" i="16" s="1"/>
  <c r="U150" i="16" a="1"/>
  <c r="U150" i="16" s="1"/>
  <c r="L150" i="16" a="1"/>
  <c r="L150" i="16" s="1"/>
  <c r="V150" i="16" a="1"/>
  <c r="V150" i="16" s="1"/>
  <c r="E150" i="16" a="1"/>
  <c r="E150" i="16" s="1"/>
  <c r="F150" i="16" a="1"/>
  <c r="F150" i="16" s="1"/>
  <c r="M150" i="16" a="1"/>
  <c r="M150" i="16" s="1"/>
  <c r="G150" i="16" a="1"/>
  <c r="G150" i="16" s="1"/>
  <c r="Q150" i="16" a="1"/>
  <c r="Q150" i="16" s="1"/>
  <c r="H150" i="16" a="1"/>
  <c r="H150" i="16" s="1"/>
  <c r="R150" i="16" a="1"/>
  <c r="R150" i="16" s="1"/>
  <c r="I150" i="16" a="1"/>
  <c r="I150" i="16" s="1"/>
  <c r="S150" i="16" a="1"/>
  <c r="S150" i="16" s="1"/>
  <c r="C150" i="16" a="1"/>
  <c r="C150" i="16" s="1"/>
  <c r="J150" i="16" a="1"/>
  <c r="J150" i="16" s="1"/>
  <c r="T150" i="16" a="1"/>
  <c r="T150" i="16" s="1"/>
  <c r="B151" i="16"/>
  <c r="B80" i="2" l="1"/>
  <c r="G80" i="2"/>
  <c r="P151" i="16" a="1"/>
  <c r="P151" i="16" s="1"/>
  <c r="O151" i="16" a="1"/>
  <c r="O151" i="16" s="1"/>
  <c r="N151" i="16" a="1"/>
  <c r="N151" i="16" s="1"/>
  <c r="W151" i="16" a="1"/>
  <c r="W151" i="16" s="1"/>
  <c r="X151" i="16" a="1"/>
  <c r="X151" i="16" s="1"/>
  <c r="Y151" i="16" a="1"/>
  <c r="Y151" i="16" s="1"/>
  <c r="H151" i="16" a="1"/>
  <c r="H151" i="16" s="1"/>
  <c r="R151" i="16" a="1"/>
  <c r="R151" i="16" s="1"/>
  <c r="I151" i="16" a="1"/>
  <c r="I151" i="16" s="1"/>
  <c r="S151" i="16" a="1"/>
  <c r="S151" i="16" s="1"/>
  <c r="C151" i="16" a="1"/>
  <c r="C151" i="16" s="1"/>
  <c r="J151" i="16" a="1"/>
  <c r="J151" i="16" s="1"/>
  <c r="T151" i="16" a="1"/>
  <c r="T151" i="16" s="1"/>
  <c r="K151" i="16" a="1"/>
  <c r="K151" i="16" s="1"/>
  <c r="U151" i="16" a="1"/>
  <c r="U151" i="16" s="1"/>
  <c r="D151" i="16" a="1"/>
  <c r="D151" i="16" s="1"/>
  <c r="V151" i="16" a="1"/>
  <c r="V151" i="16" s="1"/>
  <c r="E151" i="16" a="1"/>
  <c r="E151" i="16" s="1"/>
  <c r="L151" i="16" a="1"/>
  <c r="L151" i="16" s="1"/>
  <c r="F151" i="16" a="1"/>
  <c r="F151" i="16" s="1"/>
  <c r="M151" i="16" a="1"/>
  <c r="M151" i="16" s="1"/>
  <c r="G151" i="16" a="1"/>
  <c r="G151" i="16" s="1"/>
  <c r="Q151" i="16" a="1"/>
  <c r="Q151" i="16" s="1"/>
  <c r="B152" i="16"/>
  <c r="B81" i="2" l="1"/>
  <c r="G81" i="2"/>
  <c r="O152" i="16" a="1"/>
  <c r="O152" i="16" s="1"/>
  <c r="N152" i="16" a="1"/>
  <c r="N152" i="16" s="1"/>
  <c r="P152" i="16" a="1"/>
  <c r="P152" i="16" s="1"/>
  <c r="W152" i="16" a="1"/>
  <c r="W152" i="16" s="1"/>
  <c r="X152" i="16" a="1"/>
  <c r="X152" i="16" s="1"/>
  <c r="Y152" i="16" a="1"/>
  <c r="Y152" i="16" s="1"/>
  <c r="E152" i="16" a="1"/>
  <c r="E152" i="16" s="1"/>
  <c r="L152" i="16" a="1"/>
  <c r="L152" i="16" s="1"/>
  <c r="V152" i="16" a="1"/>
  <c r="V152" i="16" s="1"/>
  <c r="F152" i="16" a="1"/>
  <c r="F152" i="16" s="1"/>
  <c r="M152" i="16" a="1"/>
  <c r="M152" i="16" s="1"/>
  <c r="G152" i="16" a="1"/>
  <c r="G152" i="16" s="1"/>
  <c r="Q152" i="16" a="1"/>
  <c r="Q152" i="16" s="1"/>
  <c r="H152" i="16" a="1"/>
  <c r="H152" i="16" s="1"/>
  <c r="R152" i="16" a="1"/>
  <c r="R152" i="16" s="1"/>
  <c r="I152" i="16" a="1"/>
  <c r="I152" i="16" s="1"/>
  <c r="S152" i="16" a="1"/>
  <c r="S152" i="16" s="1"/>
  <c r="J152" i="16" a="1"/>
  <c r="J152" i="16" s="1"/>
  <c r="T152" i="16" a="1"/>
  <c r="T152" i="16" s="1"/>
  <c r="C152" i="16" a="1"/>
  <c r="C152" i="16" s="1"/>
  <c r="U152" i="16" a="1"/>
  <c r="U152" i="16" s="1"/>
  <c r="D152" i="16" a="1"/>
  <c r="D152" i="16" s="1"/>
  <c r="K152" i="16" a="1"/>
  <c r="K152" i="16" s="1"/>
  <c r="B153" i="16"/>
  <c r="G82" i="2" l="1"/>
  <c r="B82" i="2"/>
  <c r="P153" i="16" a="1"/>
  <c r="P153" i="16" s="1"/>
  <c r="O153" i="16" a="1"/>
  <c r="O153" i="16" s="1"/>
  <c r="N153" i="16" a="1"/>
  <c r="N153" i="16" s="1"/>
  <c r="W153" i="16" a="1"/>
  <c r="W153" i="16" s="1"/>
  <c r="X153" i="16" a="1"/>
  <c r="X153" i="16" s="1"/>
  <c r="Y153" i="16" a="1"/>
  <c r="Y153" i="16" s="1"/>
  <c r="T153" i="16" a="1"/>
  <c r="T153" i="16" s="1"/>
  <c r="C153" i="16" a="1"/>
  <c r="C153" i="16" s="1"/>
  <c r="J153" i="16" a="1"/>
  <c r="J153" i="16" s="1"/>
  <c r="D153" i="16" a="1"/>
  <c r="D153" i="16" s="1"/>
  <c r="K153" i="16" a="1"/>
  <c r="K153" i="16" s="1"/>
  <c r="U153" i="16" a="1"/>
  <c r="U153" i="16" s="1"/>
  <c r="E153" i="16" a="1"/>
  <c r="E153" i="16" s="1"/>
  <c r="L153" i="16" a="1"/>
  <c r="L153" i="16" s="1"/>
  <c r="V153" i="16" a="1"/>
  <c r="V153" i="16" s="1"/>
  <c r="F153" i="16" a="1"/>
  <c r="F153" i="16" s="1"/>
  <c r="M153" i="16" a="1"/>
  <c r="M153" i="16" s="1"/>
  <c r="G153" i="16" a="1"/>
  <c r="G153" i="16" s="1"/>
  <c r="Q153" i="16" a="1"/>
  <c r="Q153" i="16" s="1"/>
  <c r="H153" i="16" a="1"/>
  <c r="H153" i="16" s="1"/>
  <c r="R153" i="16" a="1"/>
  <c r="R153" i="16" s="1"/>
  <c r="I153" i="16" a="1"/>
  <c r="I153" i="16" s="1"/>
  <c r="S153" i="16" a="1"/>
  <c r="S153" i="16" s="1"/>
  <c r="B154" i="16"/>
  <c r="B83" i="2" l="1"/>
  <c r="G83" i="2"/>
  <c r="P154" i="16" a="1"/>
  <c r="P154" i="16" s="1"/>
  <c r="O154" i="16" a="1"/>
  <c r="O154" i="16" s="1"/>
  <c r="N154" i="16" a="1"/>
  <c r="N154" i="16" s="1"/>
  <c r="W154" i="16" a="1"/>
  <c r="W154" i="16" s="1"/>
  <c r="Y154" i="16" a="1"/>
  <c r="Y154" i="16" s="1"/>
  <c r="X154" i="16" a="1"/>
  <c r="X154" i="16" s="1"/>
  <c r="F154" i="16" a="1"/>
  <c r="F154" i="16" s="1"/>
  <c r="V154" i="16" a="1"/>
  <c r="V154" i="16" s="1"/>
  <c r="H154" i="16" a="1"/>
  <c r="H154" i="16" s="1"/>
  <c r="Q154" i="16" a="1"/>
  <c r="Q154" i="16" s="1"/>
  <c r="R154" i="16" a="1"/>
  <c r="R154" i="16" s="1"/>
  <c r="C154" i="16" a="1"/>
  <c r="C154" i="16" s="1"/>
  <c r="I154" i="16" a="1"/>
  <c r="I154" i="16" s="1"/>
  <c r="S154" i="16" a="1"/>
  <c r="S154" i="16" s="1"/>
  <c r="D154" i="16" a="1"/>
  <c r="D154" i="16" s="1"/>
  <c r="J154" i="16" a="1"/>
  <c r="J154" i="16" s="1"/>
  <c r="K154" i="16" a="1"/>
  <c r="K154" i="16" s="1"/>
  <c r="T154" i="16" a="1"/>
  <c r="T154" i="16" s="1"/>
  <c r="U154" i="16" a="1"/>
  <c r="U154" i="16" s="1"/>
  <c r="E154" i="16" a="1"/>
  <c r="E154" i="16" s="1"/>
  <c r="G154" i="16" a="1"/>
  <c r="G154" i="16" s="1"/>
  <c r="L154" i="16" a="1"/>
  <c r="L154" i="16" s="1"/>
  <c r="M154" i="16" a="1"/>
  <c r="M154" i="16" s="1"/>
  <c r="B155" i="16"/>
  <c r="G84" i="2" l="1"/>
  <c r="B84" i="2"/>
  <c r="O155" i="16" a="1"/>
  <c r="O155" i="16" s="1"/>
  <c r="N155" i="16" a="1"/>
  <c r="N155" i="16" s="1"/>
  <c r="P155" i="16" a="1"/>
  <c r="P155" i="16" s="1"/>
  <c r="W155" i="16" a="1"/>
  <c r="W155" i="16" s="1"/>
  <c r="X155" i="16" a="1"/>
  <c r="X155" i="16" s="1"/>
  <c r="Y155" i="16" a="1"/>
  <c r="Y155" i="16" s="1"/>
  <c r="H155" i="16" a="1"/>
  <c r="H155" i="16" s="1"/>
  <c r="R155" i="16" a="1"/>
  <c r="R155" i="16" s="1"/>
  <c r="D155" i="16" a="1"/>
  <c r="D155" i="16" s="1"/>
  <c r="K155" i="16" a="1"/>
  <c r="K155" i="16" s="1"/>
  <c r="T155" i="16" a="1"/>
  <c r="T155" i="16" s="1"/>
  <c r="E155" i="16" a="1"/>
  <c r="E155" i="16" s="1"/>
  <c r="U155" i="16" a="1"/>
  <c r="U155" i="16" s="1"/>
  <c r="F155" i="16" a="1"/>
  <c r="F155" i="16" s="1"/>
  <c r="L155" i="16" a="1"/>
  <c r="L155" i="16" s="1"/>
  <c r="V155" i="16" a="1"/>
  <c r="V155" i="16" s="1"/>
  <c r="G155" i="16" a="1"/>
  <c r="G155" i="16" s="1"/>
  <c r="M155" i="16" a="1"/>
  <c r="M155" i="16" s="1"/>
  <c r="S155" i="16" a="1"/>
  <c r="S155" i="16" s="1"/>
  <c r="C155" i="16" a="1"/>
  <c r="C155" i="16" s="1"/>
  <c r="I155" i="16" a="1"/>
  <c r="I155" i="16" s="1"/>
  <c r="J155" i="16" a="1"/>
  <c r="J155" i="16" s="1"/>
  <c r="Q155" i="16" a="1"/>
  <c r="Q155" i="16" s="1"/>
  <c r="B156" i="16"/>
  <c r="B85" i="2" l="1"/>
  <c r="G85" i="2"/>
  <c r="P156" i="16" a="1"/>
  <c r="P156" i="16" s="1"/>
  <c r="N156" i="16" a="1"/>
  <c r="N156" i="16" s="1"/>
  <c r="O156" i="16" a="1"/>
  <c r="O156" i="16" s="1"/>
  <c r="W156" i="16" a="1"/>
  <c r="W156" i="16" s="1"/>
  <c r="X156" i="16" a="1"/>
  <c r="X156" i="16" s="1"/>
  <c r="Y156" i="16" a="1"/>
  <c r="Y156" i="16" s="1"/>
  <c r="D156" i="16" a="1"/>
  <c r="D156" i="16" s="1"/>
  <c r="T156" i="16" a="1"/>
  <c r="T156" i="16" s="1"/>
  <c r="M156" i="16" a="1"/>
  <c r="M156" i="16" s="1"/>
  <c r="V156" i="16" a="1"/>
  <c r="V156" i="16" s="1"/>
  <c r="G156" i="16" a="1"/>
  <c r="G156" i="16" s="1"/>
  <c r="Q156" i="16" a="1"/>
  <c r="Q156" i="16" s="1"/>
  <c r="H156" i="16" a="1"/>
  <c r="H156" i="16" s="1"/>
  <c r="I156" i="16" a="1"/>
  <c r="I156" i="16" s="1"/>
  <c r="R156" i="16" a="1"/>
  <c r="R156" i="16" s="1"/>
  <c r="S156" i="16" a="1"/>
  <c r="S156" i="16" s="1"/>
  <c r="C156" i="16" a="1"/>
  <c r="C156" i="16" s="1"/>
  <c r="U156" i="16" a="1"/>
  <c r="U156" i="16" s="1"/>
  <c r="E156" i="16" a="1"/>
  <c r="E156" i="16" s="1"/>
  <c r="F156" i="16" a="1"/>
  <c r="F156" i="16" s="1"/>
  <c r="J156" i="16" a="1"/>
  <c r="J156" i="16" s="1"/>
  <c r="K156" i="16" a="1"/>
  <c r="K156" i="16" s="1"/>
  <c r="L156" i="16" a="1"/>
  <c r="L156" i="16" s="1"/>
  <c r="B157" i="16"/>
  <c r="B86" i="2" l="1"/>
  <c r="G86" i="2"/>
  <c r="P157" i="16" a="1"/>
  <c r="P157" i="16" s="1"/>
  <c r="O157" i="16" a="1"/>
  <c r="O157" i="16" s="1"/>
  <c r="N157" i="16" a="1"/>
  <c r="N157" i="16" s="1"/>
  <c r="W157" i="16" a="1"/>
  <c r="W157" i="16" s="1"/>
  <c r="X157" i="16" a="1"/>
  <c r="X157" i="16" s="1"/>
  <c r="Y157" i="16" a="1"/>
  <c r="Y157" i="16" s="1"/>
  <c r="I157" i="16" a="1"/>
  <c r="I157" i="16" s="1"/>
  <c r="R157" i="16" a="1"/>
  <c r="R157" i="16" s="1"/>
  <c r="G157" i="16" a="1"/>
  <c r="G157" i="16" s="1"/>
  <c r="Q157" i="16" a="1"/>
  <c r="Q157" i="16" s="1"/>
  <c r="H157" i="16" a="1"/>
  <c r="H157" i="16" s="1"/>
  <c r="S157" i="16" a="1"/>
  <c r="S157" i="16" s="1"/>
  <c r="T157" i="16" a="1"/>
  <c r="T157" i="16" s="1"/>
  <c r="C157" i="16" a="1"/>
  <c r="C157" i="16" s="1"/>
  <c r="G87" i="2" s="1"/>
  <c r="J157" i="16" a="1"/>
  <c r="J157" i="16" s="1"/>
  <c r="D157" i="16" a="1"/>
  <c r="D157" i="16" s="1"/>
  <c r="K157" i="16" a="1"/>
  <c r="K157" i="16" s="1"/>
  <c r="U157" i="16" a="1"/>
  <c r="U157" i="16" s="1"/>
  <c r="E157" i="16" a="1"/>
  <c r="E157" i="16" s="1"/>
  <c r="L157" i="16" a="1"/>
  <c r="L157" i="16" s="1"/>
  <c r="V157" i="16" a="1"/>
  <c r="V157" i="16" s="1"/>
  <c r="M157" i="16" a="1"/>
  <c r="M157" i="16" s="1"/>
  <c r="F157" i="16" a="1"/>
  <c r="F157" i="16" s="1"/>
  <c r="B158" i="16"/>
  <c r="B87" i="2" l="1"/>
  <c r="O158" i="16" a="1"/>
  <c r="O158" i="16" s="1"/>
  <c r="N158" i="16" a="1"/>
  <c r="N158" i="16" s="1"/>
  <c r="P158" i="16" a="1"/>
  <c r="P158" i="16" s="1"/>
  <c r="W158" i="16" a="1"/>
  <c r="W158" i="16" s="1"/>
  <c r="X158" i="16" a="1"/>
  <c r="X158" i="16" s="1"/>
  <c r="Y158" i="16" a="1"/>
  <c r="Y158" i="16" s="1"/>
  <c r="K158" i="16" a="1"/>
  <c r="K158" i="16" s="1"/>
  <c r="T158" i="16" a="1"/>
  <c r="T158" i="16" s="1"/>
  <c r="E158" i="16" a="1"/>
  <c r="E158" i="16" s="1"/>
  <c r="F158" i="16" a="1"/>
  <c r="F158" i="16" s="1"/>
  <c r="M158" i="16" a="1"/>
  <c r="M158" i="16" s="1"/>
  <c r="G158" i="16" a="1"/>
  <c r="G158" i="16" s="1"/>
  <c r="Q158" i="16" a="1"/>
  <c r="Q158" i="16" s="1"/>
  <c r="H158" i="16" a="1"/>
  <c r="H158" i="16" s="1"/>
  <c r="R158" i="16" a="1"/>
  <c r="R158" i="16" s="1"/>
  <c r="S158" i="16" a="1"/>
  <c r="S158" i="16" s="1"/>
  <c r="I158" i="16" a="1"/>
  <c r="I158" i="16" s="1"/>
  <c r="C158" i="16" a="1"/>
  <c r="C158" i="16" s="1"/>
  <c r="J158" i="16" a="1"/>
  <c r="J158" i="16" s="1"/>
  <c r="U158" i="16" a="1"/>
  <c r="U158" i="16" s="1"/>
  <c r="D158" i="16" a="1"/>
  <c r="D158" i="16" s="1"/>
  <c r="L158" i="16" a="1"/>
  <c r="L158" i="16" s="1"/>
  <c r="V158" i="16" a="1"/>
  <c r="V158" i="16" s="1"/>
  <c r="B159" i="16"/>
  <c r="B88" i="2" l="1"/>
  <c r="G88" i="2"/>
  <c r="P159" i="16" a="1"/>
  <c r="P159" i="16" s="1"/>
  <c r="O159" i="16" a="1"/>
  <c r="O159" i="16" s="1"/>
  <c r="N159" i="16" a="1"/>
  <c r="N159" i="16" s="1"/>
  <c r="W159" i="16" a="1"/>
  <c r="W159" i="16" s="1"/>
  <c r="X159" i="16" a="1"/>
  <c r="X159" i="16" s="1"/>
  <c r="Y159" i="16" a="1"/>
  <c r="Y159" i="16" s="1"/>
  <c r="C159" i="16" a="1"/>
  <c r="C159" i="16" s="1"/>
  <c r="I159" i="16" a="1"/>
  <c r="I159" i="16" s="1"/>
  <c r="J159" i="16" a="1"/>
  <c r="J159" i="16" s="1"/>
  <c r="S159" i="16" a="1"/>
  <c r="S159" i="16" s="1"/>
  <c r="D159" i="16" a="1"/>
  <c r="D159" i="16" s="1"/>
  <c r="K159" i="16" a="1"/>
  <c r="K159" i="16" s="1"/>
  <c r="T159" i="16" a="1"/>
  <c r="T159" i="16" s="1"/>
  <c r="E159" i="16" a="1"/>
  <c r="E159" i="16" s="1"/>
  <c r="U159" i="16" a="1"/>
  <c r="U159" i="16" s="1"/>
  <c r="F159" i="16" a="1"/>
  <c r="F159" i="16" s="1"/>
  <c r="L159" i="16" a="1"/>
  <c r="L159" i="16" s="1"/>
  <c r="V159" i="16" a="1"/>
  <c r="V159" i="16" s="1"/>
  <c r="G159" i="16" a="1"/>
  <c r="G159" i="16" s="1"/>
  <c r="M159" i="16" a="1"/>
  <c r="M159" i="16" s="1"/>
  <c r="Q159" i="16" a="1"/>
  <c r="Q159" i="16" s="1"/>
  <c r="H159" i="16" a="1"/>
  <c r="H159" i="16" s="1"/>
  <c r="R159" i="16" a="1"/>
  <c r="R159" i="16" s="1"/>
  <c r="B160" i="16"/>
  <c r="B89" i="2" l="1"/>
  <c r="G89" i="2"/>
  <c r="P160" i="16" a="1"/>
  <c r="P160" i="16" s="1"/>
  <c r="O160" i="16" a="1"/>
  <c r="O160" i="16" s="1"/>
  <c r="N160" i="16" a="1"/>
  <c r="N160" i="16" s="1"/>
  <c r="Y160" i="16" a="1"/>
  <c r="Y160" i="16" s="1"/>
  <c r="W160" i="16" a="1"/>
  <c r="W160" i="16" s="1"/>
  <c r="X160" i="16" a="1"/>
  <c r="X160" i="16" s="1"/>
  <c r="E160" i="16" a="1"/>
  <c r="E160" i="16" s="1"/>
  <c r="K160" i="16" a="1"/>
  <c r="K160" i="16" s="1"/>
  <c r="U160" i="16" a="1"/>
  <c r="U160" i="16" s="1"/>
  <c r="F160" i="16" a="1"/>
  <c r="F160" i="16" s="1"/>
  <c r="L160" i="16" a="1"/>
  <c r="L160" i="16" s="1"/>
  <c r="M160" i="16" a="1"/>
  <c r="M160" i="16" s="1"/>
  <c r="V160" i="16" a="1"/>
  <c r="V160" i="16" s="1"/>
  <c r="G160" i="16" a="1"/>
  <c r="G160" i="16" s="1"/>
  <c r="Q160" i="16" a="1"/>
  <c r="Q160" i="16" s="1"/>
  <c r="H160" i="16" a="1"/>
  <c r="H160" i="16" s="1"/>
  <c r="I160" i="16" a="1"/>
  <c r="I160" i="16" s="1"/>
  <c r="R160" i="16" a="1"/>
  <c r="R160" i="16" s="1"/>
  <c r="C160" i="16" a="1"/>
  <c r="C160" i="16" s="1"/>
  <c r="J160" i="16" a="1"/>
  <c r="J160" i="16" s="1"/>
  <c r="S160" i="16" a="1"/>
  <c r="S160" i="16" s="1"/>
  <c r="T160" i="16" a="1"/>
  <c r="T160" i="16" s="1"/>
  <c r="D160" i="16" a="1"/>
  <c r="D160" i="16" s="1"/>
  <c r="B161" i="16"/>
  <c r="B90" i="2" l="1"/>
  <c r="G90" i="2"/>
  <c r="O161" i="16" a="1"/>
  <c r="O161" i="16" s="1"/>
  <c r="N161" i="16" a="1"/>
  <c r="N161" i="16" s="1"/>
  <c r="P161" i="16" a="1"/>
  <c r="P161" i="16" s="1"/>
  <c r="W161" i="16" a="1"/>
  <c r="W161" i="16" s="1"/>
  <c r="X161" i="16" a="1"/>
  <c r="X161" i="16" s="1"/>
  <c r="Y161" i="16" a="1"/>
  <c r="Y161" i="16" s="1"/>
  <c r="G161" i="16" a="1"/>
  <c r="G161" i="16" s="1"/>
  <c r="Q161" i="16" a="1"/>
  <c r="Q161" i="16" s="1"/>
  <c r="V161" i="16" a="1"/>
  <c r="V161" i="16" s="1"/>
  <c r="H161" i="16" a="1"/>
  <c r="H161" i="16" s="1"/>
  <c r="R161" i="16" a="1"/>
  <c r="R161" i="16" s="1"/>
  <c r="I161" i="16" a="1"/>
  <c r="I161" i="16" s="1"/>
  <c r="C161" i="16" a="1"/>
  <c r="C161" i="16" s="1"/>
  <c r="S161" i="16" a="1"/>
  <c r="S161" i="16" s="1"/>
  <c r="D161" i="16" a="1"/>
  <c r="D161" i="16" s="1"/>
  <c r="J161" i="16" a="1"/>
  <c r="J161" i="16" s="1"/>
  <c r="E161" i="16" a="1"/>
  <c r="E161" i="16" s="1"/>
  <c r="K161" i="16" a="1"/>
  <c r="K161" i="16" s="1"/>
  <c r="T161" i="16" a="1"/>
  <c r="T161" i="16" s="1"/>
  <c r="L161" i="16" a="1"/>
  <c r="L161" i="16" s="1"/>
  <c r="F161" i="16" a="1"/>
  <c r="F161" i="16" s="1"/>
  <c r="M161" i="16" a="1"/>
  <c r="M161" i="16" s="1"/>
  <c r="U161" i="16" a="1"/>
  <c r="U161" i="16" s="1"/>
  <c r="B162" i="16"/>
  <c r="B91" i="2" l="1"/>
  <c r="G91" i="2"/>
  <c r="P162" i="16" a="1"/>
  <c r="P162" i="16" s="1"/>
  <c r="O162" i="16" a="1"/>
  <c r="O162" i="16" s="1"/>
  <c r="N162" i="16" a="1"/>
  <c r="N162" i="16" s="1"/>
  <c r="W162" i="16" a="1"/>
  <c r="W162" i="16" s="1"/>
  <c r="Y162" i="16" a="1"/>
  <c r="Y162" i="16" s="1"/>
  <c r="H162" i="16" a="1"/>
  <c r="H162" i="16" s="1"/>
  <c r="C162" i="16" a="1"/>
  <c r="C162" i="16" s="1"/>
  <c r="G92" i="2" s="1"/>
  <c r="R162" i="16" a="1"/>
  <c r="R162" i="16" s="1"/>
  <c r="D162" i="16" a="1"/>
  <c r="D162" i="16" s="1"/>
  <c r="I162" i="16" a="1"/>
  <c r="I162" i="16" s="1"/>
  <c r="E162" i="16" a="1"/>
  <c r="E162" i="16" s="1"/>
  <c r="J162" i="16" a="1"/>
  <c r="J162" i="16" s="1"/>
  <c r="S162" i="16" a="1"/>
  <c r="S162" i="16" s="1"/>
  <c r="F162" i="16" a="1"/>
  <c r="F162" i="16" s="1"/>
  <c r="K162" i="16" a="1"/>
  <c r="K162" i="16" s="1"/>
  <c r="L162" i="16" a="1"/>
  <c r="L162" i="16" s="1"/>
  <c r="T162" i="16" a="1"/>
  <c r="T162" i="16" s="1"/>
  <c r="X162" i="16" a="1"/>
  <c r="X162" i="16" s="1"/>
  <c r="G162" i="16" a="1"/>
  <c r="G162" i="16" s="1"/>
  <c r="M162" i="16" a="1"/>
  <c r="M162" i="16" s="1"/>
  <c r="U162" i="16" a="1"/>
  <c r="U162" i="16" s="1"/>
  <c r="V162" i="16" a="1"/>
  <c r="V162" i="16" s="1"/>
  <c r="Q162" i="16" a="1"/>
  <c r="Q162" i="16" s="1"/>
  <c r="B163" i="16"/>
  <c r="B92" i="2" l="1"/>
  <c r="N163" i="16" a="1"/>
  <c r="N163" i="16" s="1"/>
  <c r="P163" i="16" a="1"/>
  <c r="P163" i="16" s="1"/>
  <c r="O163" i="16" a="1"/>
  <c r="O163" i="16" s="1"/>
  <c r="W163" i="16" a="1"/>
  <c r="W163" i="16" s="1"/>
  <c r="X163" i="16" a="1"/>
  <c r="X163" i="16" s="1"/>
  <c r="Y163" i="16" a="1"/>
  <c r="Y163" i="16" s="1"/>
  <c r="C163" i="16" a="1"/>
  <c r="C163" i="16" s="1"/>
  <c r="G93" i="2" s="1"/>
  <c r="H163" i="16" a="1"/>
  <c r="H163" i="16" s="1"/>
  <c r="D163" i="16" a="1"/>
  <c r="D163" i="16" s="1"/>
  <c r="I163" i="16" a="1"/>
  <c r="I163" i="16" s="1"/>
  <c r="R163" i="16" a="1"/>
  <c r="R163" i="16" s="1"/>
  <c r="E163" i="16" a="1"/>
  <c r="E163" i="16" s="1"/>
  <c r="J163" i="16" a="1"/>
  <c r="J163" i="16" s="1"/>
  <c r="K163" i="16" a="1"/>
  <c r="K163" i="16" s="1"/>
  <c r="S163" i="16" a="1"/>
  <c r="S163" i="16" s="1"/>
  <c r="F163" i="16" a="1"/>
  <c r="F163" i="16" s="1"/>
  <c r="L163" i="16" a="1"/>
  <c r="L163" i="16" s="1"/>
  <c r="T163" i="16" a="1"/>
  <c r="T163" i="16" s="1"/>
  <c r="M163" i="16" a="1"/>
  <c r="M163" i="16" s="1"/>
  <c r="U163" i="16" a="1"/>
  <c r="U163" i="16" s="1"/>
  <c r="G163" i="16" a="1"/>
  <c r="G163" i="16" s="1"/>
  <c r="V163" i="16" a="1"/>
  <c r="V163" i="16" s="1"/>
  <c r="Q163" i="16" a="1"/>
  <c r="Q163" i="16" s="1"/>
  <c r="B164" i="16"/>
  <c r="B93" i="2" l="1"/>
  <c r="O164" i="16" a="1"/>
  <c r="O164" i="16" s="1"/>
  <c r="N164" i="16" a="1"/>
  <c r="N164" i="16" s="1"/>
  <c r="P164" i="16" a="1"/>
  <c r="P164" i="16" s="1"/>
  <c r="Y164" i="16" a="1"/>
  <c r="Y164" i="16" s="1"/>
  <c r="W164" i="16" a="1"/>
  <c r="W164" i="16" s="1"/>
  <c r="X164" i="16" a="1"/>
  <c r="X164" i="16" s="1"/>
  <c r="D164" i="16" a="1"/>
  <c r="D164" i="16" s="1"/>
  <c r="I164" i="16" a="1"/>
  <c r="I164" i="16" s="1"/>
  <c r="J164" i="16" a="1"/>
  <c r="J164" i="16" s="1"/>
  <c r="R164" i="16" a="1"/>
  <c r="R164" i="16" s="1"/>
  <c r="E164" i="16" a="1"/>
  <c r="E164" i="16" s="1"/>
  <c r="K164" i="16" a="1"/>
  <c r="K164" i="16" s="1"/>
  <c r="S164" i="16" a="1"/>
  <c r="S164" i="16" s="1"/>
  <c r="L164" i="16" a="1"/>
  <c r="L164" i="16" s="1"/>
  <c r="T164" i="16" a="1"/>
  <c r="T164" i="16" s="1"/>
  <c r="F164" i="16" a="1"/>
  <c r="F164" i="16" s="1"/>
  <c r="U164" i="16" a="1"/>
  <c r="U164" i="16" s="1"/>
  <c r="M164" i="16" a="1"/>
  <c r="M164" i="16" s="1"/>
  <c r="V164" i="16" a="1"/>
  <c r="V164" i="16" s="1"/>
  <c r="G164" i="16" a="1"/>
  <c r="G164" i="16" s="1"/>
  <c r="C164" i="16" a="1"/>
  <c r="C164" i="16" s="1"/>
  <c r="G94" i="2" s="1"/>
  <c r="H164" i="16" a="1"/>
  <c r="H164" i="16" s="1"/>
  <c r="Q164" i="16" a="1"/>
  <c r="Q164" i="16" s="1"/>
  <c r="B165" i="16"/>
  <c r="B94" i="2" l="1"/>
  <c r="P165" i="16" a="1"/>
  <c r="P165" i="16" s="1"/>
  <c r="O165" i="16" a="1"/>
  <c r="O165" i="16" s="1"/>
  <c r="N165" i="16" a="1"/>
  <c r="N165" i="16" s="1"/>
  <c r="W165" i="16" a="1"/>
  <c r="W165" i="16" s="1"/>
  <c r="X165" i="16" a="1"/>
  <c r="X165" i="16" s="1"/>
  <c r="Y165" i="16" a="1"/>
  <c r="Y165" i="16" s="1"/>
  <c r="D165" i="16" a="1"/>
  <c r="D165" i="16" s="1"/>
  <c r="J165" i="16" a="1"/>
  <c r="J165" i="16" s="1"/>
  <c r="R165" i="16" a="1"/>
  <c r="R165" i="16" s="1"/>
  <c r="K165" i="16" a="1"/>
  <c r="K165" i="16" s="1"/>
  <c r="S165" i="16" a="1"/>
  <c r="S165" i="16" s="1"/>
  <c r="E165" i="16" a="1"/>
  <c r="E165" i="16" s="1"/>
  <c r="T165" i="16" a="1"/>
  <c r="T165" i="16" s="1"/>
  <c r="L165" i="16" a="1"/>
  <c r="L165" i="16" s="1"/>
  <c r="U165" i="16" a="1"/>
  <c r="U165" i="16" s="1"/>
  <c r="F165" i="16" a="1"/>
  <c r="F165" i="16" s="1"/>
  <c r="V165" i="16" a="1"/>
  <c r="V165" i="16" s="1"/>
  <c r="G165" i="16" a="1"/>
  <c r="G165" i="16" s="1"/>
  <c r="M165" i="16" a="1"/>
  <c r="M165" i="16" s="1"/>
  <c r="C165" i="16" a="1"/>
  <c r="C165" i="16" s="1"/>
  <c r="H165" i="16" a="1"/>
  <c r="H165" i="16" s="1"/>
  <c r="I165" i="16" a="1"/>
  <c r="I165" i="16" s="1"/>
  <c r="Q165" i="16" a="1"/>
  <c r="Q165" i="16" s="1"/>
  <c r="B166" i="16"/>
  <c r="B95" i="2" l="1"/>
  <c r="G95" i="2"/>
  <c r="N166" i="16" a="1"/>
  <c r="N166" i="16" s="1"/>
  <c r="P166" i="16" a="1"/>
  <c r="P166" i="16" s="1"/>
  <c r="O166" i="16" a="1"/>
  <c r="O166" i="16" s="1"/>
  <c r="X166" i="16" a="1"/>
  <c r="X166" i="16" s="1"/>
  <c r="Y166" i="16" a="1"/>
  <c r="Y166" i="16" s="1"/>
  <c r="W166" i="16" a="1"/>
  <c r="W166" i="16" s="1"/>
  <c r="D166" i="16" a="1"/>
  <c r="D166" i="16" s="1"/>
  <c r="S166" i="16" a="1"/>
  <c r="S166" i="16" s="1"/>
  <c r="K166" i="16" a="1"/>
  <c r="K166" i="16" s="1"/>
  <c r="T166" i="16" a="1"/>
  <c r="T166" i="16" s="1"/>
  <c r="E166" i="16" a="1"/>
  <c r="E166" i="16" s="1"/>
  <c r="U166" i="16" a="1"/>
  <c r="U166" i="16" s="1"/>
  <c r="F166" i="16" a="1"/>
  <c r="F166" i="16" s="1"/>
  <c r="L166" i="16" a="1"/>
  <c r="L166" i="16" s="1"/>
  <c r="G166" i="16" a="1"/>
  <c r="G166" i="16" s="1"/>
  <c r="V166" i="16" a="1"/>
  <c r="V166" i="16" s="1"/>
  <c r="H166" i="16" a="1"/>
  <c r="H166" i="16" s="1"/>
  <c r="M166" i="16" a="1"/>
  <c r="M166" i="16" s="1"/>
  <c r="C166" i="16" a="1"/>
  <c r="C166" i="16" s="1"/>
  <c r="I166" i="16" a="1"/>
  <c r="I166" i="16" s="1"/>
  <c r="Q166" i="16" a="1"/>
  <c r="Q166" i="16" s="1"/>
  <c r="J166" i="16" a="1"/>
  <c r="J166" i="16" s="1"/>
  <c r="R166" i="16" a="1"/>
  <c r="R166" i="16" s="1"/>
  <c r="B167" i="16"/>
  <c r="B96" i="2" l="1"/>
  <c r="G96" i="2"/>
  <c r="O167" i="16" a="1"/>
  <c r="O167" i="16" s="1"/>
  <c r="N167" i="16" a="1"/>
  <c r="N167" i="16" s="1"/>
  <c r="P167" i="16" a="1"/>
  <c r="P167" i="16" s="1"/>
  <c r="W167" i="16" a="1"/>
  <c r="W167" i="16" s="1"/>
  <c r="X167" i="16" a="1"/>
  <c r="X167" i="16" s="1"/>
  <c r="Y167" i="16" a="1"/>
  <c r="Y167" i="16" s="1"/>
  <c r="D167" i="16" a="1"/>
  <c r="D167" i="16" s="1"/>
  <c r="E167" i="16" a="1"/>
  <c r="E167" i="16" s="1"/>
  <c r="K167" i="16" a="1"/>
  <c r="K167" i="16" s="1"/>
  <c r="R167" i="16" a="1"/>
  <c r="R167" i="16" s="1"/>
  <c r="V167" i="16" a="1"/>
  <c r="V167" i="16" s="1"/>
  <c r="F167" i="16" a="1"/>
  <c r="F167" i="16" s="1"/>
  <c r="G167" i="16" a="1"/>
  <c r="G167" i="16" s="1"/>
  <c r="L167" i="16" a="1"/>
  <c r="L167" i="16" s="1"/>
  <c r="S167" i="16" a="1"/>
  <c r="S167" i="16" s="1"/>
  <c r="H167" i="16" a="1"/>
  <c r="H167" i="16" s="1"/>
  <c r="I167" i="16" a="1"/>
  <c r="I167" i="16" s="1"/>
  <c r="M167" i="16" a="1"/>
  <c r="M167" i="16" s="1"/>
  <c r="T167" i="16" a="1"/>
  <c r="T167" i="16" s="1"/>
  <c r="C167" i="16" a="1"/>
  <c r="C167" i="16" s="1"/>
  <c r="J167" i="16" a="1"/>
  <c r="J167" i="16" s="1"/>
  <c r="Q167" i="16" a="1"/>
  <c r="Q167" i="16" s="1"/>
  <c r="U167" i="16" a="1"/>
  <c r="U167" i="16" s="1"/>
  <c r="B168" i="16"/>
  <c r="G97" i="2" l="1"/>
  <c r="B97" i="2"/>
  <c r="P168" i="16" a="1"/>
  <c r="P168" i="16" s="1"/>
  <c r="O168" i="16" a="1"/>
  <c r="O168" i="16" s="1"/>
  <c r="N168" i="16" a="1"/>
  <c r="N168" i="16" s="1"/>
  <c r="Y168" i="16" a="1"/>
  <c r="Y168" i="16" s="1"/>
  <c r="W168" i="16" a="1"/>
  <c r="W168" i="16" s="1"/>
  <c r="X168" i="16" a="1"/>
  <c r="X168" i="16" s="1"/>
  <c r="F168" i="16" a="1"/>
  <c r="F168" i="16" s="1"/>
  <c r="J168" i="16" a="1"/>
  <c r="J168" i="16" s="1"/>
  <c r="Q168" i="16" a="1"/>
  <c r="Q168" i="16" s="1"/>
  <c r="U168" i="16" a="1"/>
  <c r="U168" i="16" s="1"/>
  <c r="C168" i="16" a="1"/>
  <c r="C168" i="16" s="1"/>
  <c r="G168" i="16" a="1"/>
  <c r="G168" i="16" s="1"/>
  <c r="K168" i="16" a="1"/>
  <c r="K168" i="16" s="1"/>
  <c r="R168" i="16" a="1"/>
  <c r="R168" i="16" s="1"/>
  <c r="V168" i="16" a="1"/>
  <c r="V168" i="16" s="1"/>
  <c r="D168" i="16" a="1"/>
  <c r="D168" i="16" s="1"/>
  <c r="H168" i="16" a="1"/>
  <c r="H168" i="16" s="1"/>
  <c r="L168" i="16" a="1"/>
  <c r="L168" i="16" s="1"/>
  <c r="S168" i="16" a="1"/>
  <c r="S168" i="16" s="1"/>
  <c r="I168" i="16" a="1"/>
  <c r="I168" i="16" s="1"/>
  <c r="E168" i="16" a="1"/>
  <c r="E168" i="16" s="1"/>
  <c r="M168" i="16" a="1"/>
  <c r="M168" i="16" s="1"/>
  <c r="T168" i="16" a="1"/>
  <c r="T168" i="16" s="1"/>
  <c r="B169" i="16"/>
  <c r="B98" i="2" l="1"/>
  <c r="G98" i="2"/>
  <c r="N169" i="16" a="1"/>
  <c r="N169" i="16" s="1"/>
  <c r="P169" i="16" a="1"/>
  <c r="P169" i="16" s="1"/>
  <c r="O169" i="16" a="1"/>
  <c r="O169" i="16" s="1"/>
  <c r="W169" i="16" a="1"/>
  <c r="W169" i="16" s="1"/>
  <c r="X169" i="16" a="1"/>
  <c r="X169" i="16" s="1"/>
  <c r="Y169" i="16" a="1"/>
  <c r="Y169" i="16" s="1"/>
  <c r="E169" i="16" a="1"/>
  <c r="E169" i="16" s="1"/>
  <c r="I169" i="16" a="1"/>
  <c r="I169" i="16" s="1"/>
  <c r="M169" i="16" a="1"/>
  <c r="M169" i="16" s="1"/>
  <c r="T169" i="16" a="1"/>
  <c r="T169" i="16" s="1"/>
  <c r="F169" i="16" a="1"/>
  <c r="F169" i="16" s="1"/>
  <c r="J169" i="16" a="1"/>
  <c r="J169" i="16" s="1"/>
  <c r="Q169" i="16" a="1"/>
  <c r="Q169" i="16" s="1"/>
  <c r="U169" i="16" a="1"/>
  <c r="U169" i="16" s="1"/>
  <c r="C169" i="16" a="1"/>
  <c r="C169" i="16" s="1"/>
  <c r="G99" i="2" s="1"/>
  <c r="G169" i="16" a="1"/>
  <c r="G169" i="16" s="1"/>
  <c r="K169" i="16" a="1"/>
  <c r="K169" i="16" s="1"/>
  <c r="R169" i="16" a="1"/>
  <c r="R169" i="16" s="1"/>
  <c r="V169" i="16" a="1"/>
  <c r="V169" i="16" s="1"/>
  <c r="D169" i="16" a="1"/>
  <c r="D169" i="16" s="1"/>
  <c r="H169" i="16" a="1"/>
  <c r="H169" i="16" s="1"/>
  <c r="L169" i="16" a="1"/>
  <c r="L169" i="16" s="1"/>
  <c r="S169" i="16" a="1"/>
  <c r="S169" i="16" s="1"/>
  <c r="B170" i="16"/>
  <c r="B99" i="2" l="1"/>
  <c r="O170" i="16" a="1"/>
  <c r="O170" i="16" s="1"/>
  <c r="N170" i="16" a="1"/>
  <c r="N170" i="16" s="1"/>
  <c r="P170" i="16" a="1"/>
  <c r="P170" i="16" s="1"/>
  <c r="X170" i="16" a="1"/>
  <c r="X170" i="16" s="1"/>
  <c r="Y170" i="16" a="1"/>
  <c r="Y170" i="16" s="1"/>
  <c r="W170" i="16" a="1"/>
  <c r="W170" i="16" s="1"/>
  <c r="D170" i="16" a="1"/>
  <c r="D170" i="16" s="1"/>
  <c r="H170" i="16" a="1"/>
  <c r="H170" i="16" s="1"/>
  <c r="L170" i="16" a="1"/>
  <c r="L170" i="16" s="1"/>
  <c r="S170" i="16" a="1"/>
  <c r="S170" i="16" s="1"/>
  <c r="E170" i="16" a="1"/>
  <c r="E170" i="16" s="1"/>
  <c r="I170" i="16" a="1"/>
  <c r="I170" i="16" s="1"/>
  <c r="M170" i="16" a="1"/>
  <c r="M170" i="16" s="1"/>
  <c r="T170" i="16" a="1"/>
  <c r="T170" i="16" s="1"/>
  <c r="F170" i="16" a="1"/>
  <c r="F170" i="16" s="1"/>
  <c r="J170" i="16" a="1"/>
  <c r="J170" i="16" s="1"/>
  <c r="Q170" i="16" a="1"/>
  <c r="Q170" i="16" s="1"/>
  <c r="U170" i="16" a="1"/>
  <c r="U170" i="16" s="1"/>
  <c r="G170" i="16" a="1"/>
  <c r="G170" i="16" s="1"/>
  <c r="K170" i="16" a="1"/>
  <c r="K170" i="16" s="1"/>
  <c r="R170" i="16" a="1"/>
  <c r="R170" i="16" s="1"/>
  <c r="C170" i="16" a="1"/>
  <c r="C170" i="16" s="1"/>
  <c r="G100" i="2" s="1"/>
  <c r="V170" i="16" a="1"/>
  <c r="V170" i="16" s="1"/>
  <c r="B171" i="16"/>
  <c r="B100" i="2" l="1"/>
  <c r="P171" i="16" a="1"/>
  <c r="P171" i="16" s="1"/>
  <c r="O171" i="16" a="1"/>
  <c r="O171" i="16" s="1"/>
  <c r="N171" i="16" a="1"/>
  <c r="N171" i="16" s="1"/>
  <c r="W171" i="16" a="1"/>
  <c r="W171" i="16" s="1"/>
  <c r="X171" i="16" a="1"/>
  <c r="X171" i="16" s="1"/>
  <c r="Y171" i="16" a="1"/>
  <c r="Y171" i="16" s="1"/>
  <c r="C171" i="16" a="1"/>
  <c r="C171" i="16" s="1"/>
  <c r="G171" i="16" a="1"/>
  <c r="G171" i="16" s="1"/>
  <c r="K171" i="16" a="1"/>
  <c r="K171" i="16" s="1"/>
  <c r="R171" i="16" a="1"/>
  <c r="R171" i="16" s="1"/>
  <c r="V171" i="16" a="1"/>
  <c r="V171" i="16" s="1"/>
  <c r="D171" i="16" a="1"/>
  <c r="D171" i="16" s="1"/>
  <c r="H171" i="16" a="1"/>
  <c r="H171" i="16" s="1"/>
  <c r="L171" i="16" a="1"/>
  <c r="L171" i="16" s="1"/>
  <c r="S171" i="16" a="1"/>
  <c r="S171" i="16" s="1"/>
  <c r="E171" i="16" a="1"/>
  <c r="E171" i="16" s="1"/>
  <c r="I171" i="16" a="1"/>
  <c r="I171" i="16" s="1"/>
  <c r="M171" i="16" a="1"/>
  <c r="M171" i="16" s="1"/>
  <c r="T171" i="16" a="1"/>
  <c r="T171" i="16" s="1"/>
  <c r="U171" i="16" a="1"/>
  <c r="U171" i="16" s="1"/>
  <c r="F171" i="16" a="1"/>
  <c r="F171" i="16" s="1"/>
  <c r="J171" i="16" a="1"/>
  <c r="J171" i="16" s="1"/>
  <c r="Q171" i="16" a="1"/>
  <c r="Q171" i="16" s="1"/>
  <c r="B172" i="16"/>
  <c r="B101" i="2" l="1"/>
  <c r="G101" i="2"/>
  <c r="N172" i="16" a="1"/>
  <c r="N172" i="16" s="1"/>
  <c r="P172" i="16" a="1"/>
  <c r="P172" i="16" s="1"/>
  <c r="O172" i="16" a="1"/>
  <c r="O172" i="16" s="1"/>
  <c r="X172" i="16" a="1"/>
  <c r="X172" i="16" s="1"/>
  <c r="Y172" i="16" a="1"/>
  <c r="Y172" i="16" s="1"/>
  <c r="W172" i="16" a="1"/>
  <c r="W172" i="16" s="1"/>
  <c r="F172" i="16" a="1"/>
  <c r="F172" i="16" s="1"/>
  <c r="J172" i="16" a="1"/>
  <c r="J172" i="16" s="1"/>
  <c r="Q172" i="16" a="1"/>
  <c r="Q172" i="16" s="1"/>
  <c r="U172" i="16" a="1"/>
  <c r="U172" i="16" s="1"/>
  <c r="C172" i="16" a="1"/>
  <c r="C172" i="16" s="1"/>
  <c r="G172" i="16" a="1"/>
  <c r="G172" i="16" s="1"/>
  <c r="K172" i="16" a="1"/>
  <c r="K172" i="16" s="1"/>
  <c r="R172" i="16" a="1"/>
  <c r="R172" i="16" s="1"/>
  <c r="V172" i="16" a="1"/>
  <c r="V172" i="16" s="1"/>
  <c r="D172" i="16" a="1"/>
  <c r="D172" i="16" s="1"/>
  <c r="H172" i="16" a="1"/>
  <c r="H172" i="16" s="1"/>
  <c r="L172" i="16" a="1"/>
  <c r="L172" i="16" s="1"/>
  <c r="S172" i="16" a="1"/>
  <c r="S172" i="16" s="1"/>
  <c r="E172" i="16" a="1"/>
  <c r="E172" i="16" s="1"/>
  <c r="I172" i="16" a="1"/>
  <c r="I172" i="16" s="1"/>
  <c r="M172" i="16" a="1"/>
  <c r="M172" i="16" s="1"/>
  <c r="T172" i="16" a="1"/>
  <c r="T172" i="16" s="1"/>
  <c r="B173" i="16"/>
  <c r="B102" i="2" l="1"/>
  <c r="G102" i="2"/>
  <c r="P173" i="16" a="1"/>
  <c r="P173" i="16" s="1"/>
  <c r="O173" i="16" a="1"/>
  <c r="O173" i="16" s="1"/>
  <c r="N173" i="16" a="1"/>
  <c r="N173" i="16" s="1"/>
  <c r="W173" i="16" a="1"/>
  <c r="W173" i="16" s="1"/>
  <c r="X173" i="16" a="1"/>
  <c r="X173" i="16" s="1"/>
  <c r="Y173" i="16" a="1"/>
  <c r="Y173" i="16" s="1"/>
  <c r="T173" i="16" a="1"/>
  <c r="T173" i="16" s="1"/>
  <c r="E173" i="16" a="1"/>
  <c r="E173" i="16" s="1"/>
  <c r="I173" i="16" a="1"/>
  <c r="I173" i="16" s="1"/>
  <c r="M173" i="16" a="1"/>
  <c r="M173" i="16" s="1"/>
  <c r="U173" i="16" a="1"/>
  <c r="U173" i="16" s="1"/>
  <c r="Q173" i="16" a="1"/>
  <c r="Q173" i="16" s="1"/>
  <c r="F173" i="16" a="1"/>
  <c r="F173" i="16" s="1"/>
  <c r="J173" i="16" a="1"/>
  <c r="J173" i="16" s="1"/>
  <c r="V173" i="16" a="1"/>
  <c r="V173" i="16" s="1"/>
  <c r="R173" i="16" a="1"/>
  <c r="R173" i="16" s="1"/>
  <c r="C173" i="16" a="1"/>
  <c r="C173" i="16" s="1"/>
  <c r="G173" i="16" a="1"/>
  <c r="G173" i="16" s="1"/>
  <c r="K173" i="16" a="1"/>
  <c r="K173" i="16" s="1"/>
  <c r="S173" i="16" a="1"/>
  <c r="S173" i="16" s="1"/>
  <c r="D173" i="16" a="1"/>
  <c r="D173" i="16" s="1"/>
  <c r="H173" i="16" a="1"/>
  <c r="H173" i="16" s="1"/>
  <c r="L173" i="16" a="1"/>
  <c r="L173" i="16" s="1"/>
  <c r="B174" i="16"/>
  <c r="B103" i="2" l="1"/>
  <c r="G103" i="2"/>
  <c r="P174" i="16" a="1"/>
  <c r="P174" i="16" s="1"/>
  <c r="O174" i="16" a="1"/>
  <c r="O174" i="16" s="1"/>
  <c r="N174" i="16" a="1"/>
  <c r="N174" i="16" s="1"/>
  <c r="X174" i="16" a="1"/>
  <c r="X174" i="16" s="1"/>
  <c r="Y174" i="16" a="1"/>
  <c r="Y174" i="16" s="1"/>
  <c r="W174" i="16" a="1"/>
  <c r="W174" i="16" s="1"/>
  <c r="E174" i="16" a="1"/>
  <c r="E174" i="16" s="1"/>
  <c r="Q174" i="16" a="1"/>
  <c r="Q174" i="16" s="1"/>
  <c r="J174" i="16" a="1"/>
  <c r="J174" i="16" s="1"/>
  <c r="R174" i="16" a="1"/>
  <c r="R174" i="16" s="1"/>
  <c r="F174" i="16" a="1"/>
  <c r="F174" i="16" s="1"/>
  <c r="K174" i="16" a="1"/>
  <c r="K174" i="16" s="1"/>
  <c r="S174" i="16" a="1"/>
  <c r="S174" i="16" s="1"/>
  <c r="G174" i="16" a="1"/>
  <c r="G174" i="16" s="1"/>
  <c r="T174" i="16" a="1"/>
  <c r="T174" i="16" s="1"/>
  <c r="C174" i="16" a="1"/>
  <c r="C174" i="16" s="1"/>
  <c r="L174" i="16" a="1"/>
  <c r="L174" i="16" s="1"/>
  <c r="H174" i="16" a="1"/>
  <c r="H174" i="16" s="1"/>
  <c r="M174" i="16" a="1"/>
  <c r="M174" i="16" s="1"/>
  <c r="U174" i="16" a="1"/>
  <c r="U174" i="16" s="1"/>
  <c r="D174" i="16" a="1"/>
  <c r="D174" i="16" s="1"/>
  <c r="I174" i="16" a="1"/>
  <c r="I174" i="16" s="1"/>
  <c r="V174" i="16" a="1"/>
  <c r="V174" i="16" s="1"/>
  <c r="B175" i="16"/>
  <c r="B104" i="2" l="1"/>
  <c r="G104" i="2"/>
  <c r="N175" i="16" a="1"/>
  <c r="N175" i="16" s="1"/>
  <c r="P175" i="16" a="1"/>
  <c r="P175" i="16" s="1"/>
  <c r="O175" i="16" a="1"/>
  <c r="O175" i="16" s="1"/>
  <c r="W175" i="16" a="1"/>
  <c r="W175" i="16" s="1"/>
  <c r="X175" i="16" a="1"/>
  <c r="X175" i="16" s="1"/>
  <c r="Y175" i="16" a="1"/>
  <c r="Y175" i="16" s="1"/>
  <c r="H175" i="16" a="1"/>
  <c r="H175" i="16" s="1"/>
  <c r="M175" i="16" a="1"/>
  <c r="M175" i="16" s="1"/>
  <c r="C175" i="16" a="1"/>
  <c r="C175" i="16" s="1"/>
  <c r="Q175" i="16" a="1"/>
  <c r="Q175" i="16" s="1"/>
  <c r="V175" i="16" a="1"/>
  <c r="V175" i="16" s="1"/>
  <c r="D175" i="16" a="1"/>
  <c r="D175" i="16" s="1"/>
  <c r="I175" i="16" a="1"/>
  <c r="I175" i="16" s="1"/>
  <c r="J175" i="16" a="1"/>
  <c r="J175" i="16" s="1"/>
  <c r="R175" i="16" a="1"/>
  <c r="R175" i="16" s="1"/>
  <c r="E175" i="16" a="1"/>
  <c r="E175" i="16" s="1"/>
  <c r="S175" i="16" a="1"/>
  <c r="S175" i="16" s="1"/>
  <c r="F175" i="16" a="1"/>
  <c r="F175" i="16" s="1"/>
  <c r="K175" i="16" a="1"/>
  <c r="K175" i="16" s="1"/>
  <c r="L175" i="16" a="1"/>
  <c r="L175" i="16" s="1"/>
  <c r="T175" i="16" a="1"/>
  <c r="T175" i="16" s="1"/>
  <c r="G175" i="16" a="1"/>
  <c r="G175" i="16" s="1"/>
  <c r="U175" i="16" a="1"/>
  <c r="U175" i="16" s="1"/>
  <c r="B176" i="16"/>
  <c r="B105" i="2" l="1"/>
  <c r="G105" i="2"/>
  <c r="P176" i="16" a="1"/>
  <c r="P176" i="16" s="1"/>
  <c r="O176" i="16" a="1"/>
  <c r="O176" i="16" s="1"/>
  <c r="N176" i="16" a="1"/>
  <c r="N176" i="16" s="1"/>
  <c r="X176" i="16" a="1"/>
  <c r="X176" i="16" s="1"/>
  <c r="Y176" i="16" a="1"/>
  <c r="Y176" i="16" s="1"/>
  <c r="W176" i="16" a="1"/>
  <c r="W176" i="16" s="1"/>
  <c r="Q176" i="16" a="1"/>
  <c r="Q176" i="16" s="1"/>
  <c r="H176" i="16" a="1"/>
  <c r="H176" i="16" s="1"/>
  <c r="R176" i="16" a="1"/>
  <c r="R176" i="16" s="1"/>
  <c r="C176" i="16" a="1"/>
  <c r="C176" i="16" s="1"/>
  <c r="I176" i="16" a="1"/>
  <c r="I176" i="16" s="1"/>
  <c r="S176" i="16" a="1"/>
  <c r="S176" i="16" s="1"/>
  <c r="J176" i="16" a="1"/>
  <c r="J176" i="16" s="1"/>
  <c r="T176" i="16" a="1"/>
  <c r="T176" i="16" s="1"/>
  <c r="D176" i="16" a="1"/>
  <c r="D176" i="16" s="1"/>
  <c r="K176" i="16" a="1"/>
  <c r="K176" i="16" s="1"/>
  <c r="U176" i="16" a="1"/>
  <c r="U176" i="16" s="1"/>
  <c r="E176" i="16" a="1"/>
  <c r="E176" i="16" s="1"/>
  <c r="V176" i="16" a="1"/>
  <c r="V176" i="16" s="1"/>
  <c r="F176" i="16" a="1"/>
  <c r="F176" i="16" s="1"/>
  <c r="L176" i="16" a="1"/>
  <c r="L176" i="16" s="1"/>
  <c r="M176" i="16" a="1"/>
  <c r="M176" i="16" s="1"/>
  <c r="G176" i="16" a="1"/>
  <c r="G176" i="16" s="1"/>
  <c r="B177" i="16"/>
  <c r="B106" i="2" l="1"/>
  <c r="G106" i="2"/>
  <c r="O177" i="16" a="1"/>
  <c r="O177" i="16" s="1"/>
  <c r="P177" i="16" a="1"/>
  <c r="P177" i="16" s="1"/>
  <c r="N177" i="16" a="1"/>
  <c r="N177" i="16" s="1"/>
  <c r="W177" i="16" a="1"/>
  <c r="W177" i="16" s="1"/>
  <c r="X177" i="16" a="1"/>
  <c r="X177" i="16" s="1"/>
  <c r="Y177" i="16" a="1"/>
  <c r="Y177" i="16" s="1"/>
  <c r="E177" i="16" a="1"/>
  <c r="E177" i="16" s="1"/>
  <c r="L177" i="16" a="1"/>
  <c r="L177" i="16" s="1"/>
  <c r="F177" i="16" a="1"/>
  <c r="F177" i="16" s="1"/>
  <c r="M177" i="16" a="1"/>
  <c r="M177" i="16" s="1"/>
  <c r="Q177" i="16" a="1"/>
  <c r="Q177" i="16" s="1"/>
  <c r="G177" i="16" a="1"/>
  <c r="G177" i="16" s="1"/>
  <c r="R177" i="16" a="1"/>
  <c r="R177" i="16" s="1"/>
  <c r="H177" i="16" a="1"/>
  <c r="H177" i="16" s="1"/>
  <c r="S177" i="16" a="1"/>
  <c r="S177" i="16" s="1"/>
  <c r="I177" i="16" a="1"/>
  <c r="I177" i="16" s="1"/>
  <c r="T177" i="16" a="1"/>
  <c r="T177" i="16" s="1"/>
  <c r="C177" i="16" a="1"/>
  <c r="C177" i="16" s="1"/>
  <c r="J177" i="16" a="1"/>
  <c r="J177" i="16" s="1"/>
  <c r="U177" i="16" a="1"/>
  <c r="U177" i="16" s="1"/>
  <c r="D177" i="16" a="1"/>
  <c r="D177" i="16" s="1"/>
  <c r="K177" i="16" a="1"/>
  <c r="K177" i="16" s="1"/>
  <c r="V177" i="16" a="1"/>
  <c r="V177" i="16" s="1"/>
  <c r="B178" i="16"/>
  <c r="B107" i="2" l="1"/>
  <c r="G107" i="2"/>
  <c r="N178" i="16" a="1"/>
  <c r="N178" i="16" s="1"/>
  <c r="P178" i="16" a="1"/>
  <c r="P178" i="16" s="1"/>
  <c r="O178" i="16" a="1"/>
  <c r="O178" i="16" s="1"/>
  <c r="X178" i="16" a="1"/>
  <c r="X178" i="16" s="1"/>
  <c r="Y178" i="16" a="1"/>
  <c r="Y178" i="16" s="1"/>
  <c r="W178" i="16" a="1"/>
  <c r="W178" i="16" s="1"/>
  <c r="C178" i="16" a="1"/>
  <c r="C178" i="16" s="1"/>
  <c r="J178" i="16" a="1"/>
  <c r="J178" i="16" s="1"/>
  <c r="U178" i="16" a="1"/>
  <c r="U178" i="16" s="1"/>
  <c r="D178" i="16" a="1"/>
  <c r="D178" i="16" s="1"/>
  <c r="K178" i="16" a="1"/>
  <c r="K178" i="16" s="1"/>
  <c r="V178" i="16" a="1"/>
  <c r="V178" i="16" s="1"/>
  <c r="E178" i="16" a="1"/>
  <c r="E178" i="16" s="1"/>
  <c r="L178" i="16" a="1"/>
  <c r="L178" i="16" s="1"/>
  <c r="M178" i="16" a="1"/>
  <c r="M178" i="16" s="1"/>
  <c r="F178" i="16" a="1"/>
  <c r="F178" i="16" s="1"/>
  <c r="Q178" i="16" a="1"/>
  <c r="Q178" i="16" s="1"/>
  <c r="G178" i="16" a="1"/>
  <c r="G178" i="16" s="1"/>
  <c r="R178" i="16" a="1"/>
  <c r="R178" i="16" s="1"/>
  <c r="H178" i="16" a="1"/>
  <c r="H178" i="16" s="1"/>
  <c r="S178" i="16" a="1"/>
  <c r="S178" i="16" s="1"/>
  <c r="I178" i="16" a="1"/>
  <c r="I178" i="16" s="1"/>
  <c r="T178" i="16" a="1"/>
  <c r="T178" i="16" s="1"/>
  <c r="B179" i="16"/>
  <c r="B108" i="2" l="1"/>
  <c r="G108" i="2"/>
  <c r="P179" i="16" a="1"/>
  <c r="P179" i="16" s="1"/>
  <c r="O179" i="16" a="1"/>
  <c r="O179" i="16" s="1"/>
  <c r="N179" i="16" a="1"/>
  <c r="N179" i="16" s="1"/>
  <c r="W179" i="16" a="1"/>
  <c r="W179" i="16" s="1"/>
  <c r="X179" i="16" a="1"/>
  <c r="X179" i="16" s="1"/>
  <c r="Y179" i="16" a="1"/>
  <c r="Y179" i="16" s="1"/>
  <c r="H179" i="16" a="1"/>
  <c r="H179" i="16" s="1"/>
  <c r="S179" i="16" a="1"/>
  <c r="S179" i="16" s="1"/>
  <c r="I179" i="16" a="1"/>
  <c r="I179" i="16" s="1"/>
  <c r="T179" i="16" a="1"/>
  <c r="T179" i="16" s="1"/>
  <c r="C179" i="16" a="1"/>
  <c r="C179" i="16" s="1"/>
  <c r="J179" i="16" a="1"/>
  <c r="J179" i="16" s="1"/>
  <c r="U179" i="16" a="1"/>
  <c r="U179" i="16" s="1"/>
  <c r="D179" i="16" a="1"/>
  <c r="D179" i="16" s="1"/>
  <c r="K179" i="16" a="1"/>
  <c r="K179" i="16" s="1"/>
  <c r="V179" i="16" a="1"/>
  <c r="V179" i="16" s="1"/>
  <c r="L179" i="16" a="1"/>
  <c r="L179" i="16" s="1"/>
  <c r="E179" i="16" a="1"/>
  <c r="E179" i="16" s="1"/>
  <c r="M179" i="16" a="1"/>
  <c r="M179" i="16" s="1"/>
  <c r="F179" i="16" a="1"/>
  <c r="F179" i="16" s="1"/>
  <c r="Q179" i="16" a="1"/>
  <c r="Q179" i="16" s="1"/>
  <c r="R179" i="16" a="1"/>
  <c r="R179" i="16" s="1"/>
  <c r="G179" i="16" a="1"/>
  <c r="G179" i="16" s="1"/>
  <c r="B180" i="16"/>
  <c r="B109" i="2" l="1"/>
  <c r="G109" i="2"/>
  <c r="P180" i="16" a="1"/>
  <c r="P180" i="16" s="1"/>
  <c r="O180" i="16" a="1"/>
  <c r="O180" i="16" s="1"/>
  <c r="N180" i="16" a="1"/>
  <c r="N180" i="16" s="1"/>
  <c r="X180" i="16" a="1"/>
  <c r="X180" i="16" s="1"/>
  <c r="Y180" i="16" a="1"/>
  <c r="Y180" i="16" s="1"/>
  <c r="W180" i="16" a="1"/>
  <c r="W180" i="16" s="1"/>
  <c r="F180" i="16" a="1"/>
  <c r="F180" i="16" s="1"/>
  <c r="Q180" i="16" a="1"/>
  <c r="Q180" i="16" s="1"/>
  <c r="G180" i="16" a="1"/>
  <c r="G180" i="16" s="1"/>
  <c r="R180" i="16" a="1"/>
  <c r="R180" i="16" s="1"/>
  <c r="H180" i="16" a="1"/>
  <c r="H180" i="16" s="1"/>
  <c r="S180" i="16" a="1"/>
  <c r="S180" i="16" s="1"/>
  <c r="I180" i="16" a="1"/>
  <c r="I180" i="16" s="1"/>
  <c r="T180" i="16" a="1"/>
  <c r="T180" i="16" s="1"/>
  <c r="C180" i="16" a="1"/>
  <c r="C180" i="16" s="1"/>
  <c r="J180" i="16" a="1"/>
  <c r="J180" i="16" s="1"/>
  <c r="U180" i="16" a="1"/>
  <c r="U180" i="16" s="1"/>
  <c r="K180" i="16" a="1"/>
  <c r="K180" i="16" s="1"/>
  <c r="V180" i="16" a="1"/>
  <c r="V180" i="16" s="1"/>
  <c r="D180" i="16" a="1"/>
  <c r="D180" i="16" s="1"/>
  <c r="L180" i="16" a="1"/>
  <c r="L180" i="16" s="1"/>
  <c r="E180" i="16" a="1"/>
  <c r="E180" i="16" s="1"/>
  <c r="M180" i="16" a="1"/>
  <c r="M180" i="16" s="1"/>
  <c r="B181" i="16"/>
  <c r="B110" i="2" l="1"/>
  <c r="G110" i="2"/>
  <c r="N181" i="16" a="1"/>
  <c r="N181" i="16" s="1"/>
  <c r="O181" i="16" a="1"/>
  <c r="O181" i="16" s="1"/>
  <c r="P181" i="16" a="1"/>
  <c r="P181" i="16" s="1"/>
  <c r="W181" i="16" a="1"/>
  <c r="W181" i="16" s="1"/>
  <c r="X181" i="16" a="1"/>
  <c r="X181" i="16" s="1"/>
  <c r="Y181" i="16" a="1"/>
  <c r="Y181" i="16" s="1"/>
  <c r="D181" i="16" a="1"/>
  <c r="D181" i="16" s="1"/>
  <c r="L181" i="16" a="1"/>
  <c r="L181" i="16" s="1"/>
  <c r="V181" i="16" a="1"/>
  <c r="V181" i="16" s="1"/>
  <c r="E181" i="16" a="1"/>
  <c r="E181" i="16" s="1"/>
  <c r="M181" i="16" a="1"/>
  <c r="M181" i="16" s="1"/>
  <c r="F181" i="16" a="1"/>
  <c r="F181" i="16" s="1"/>
  <c r="Q181" i="16" a="1"/>
  <c r="Q181" i="16" s="1"/>
  <c r="G181" i="16" a="1"/>
  <c r="G181" i="16" s="1"/>
  <c r="R181" i="16" a="1"/>
  <c r="R181" i="16" s="1"/>
  <c r="H181" i="16" a="1"/>
  <c r="H181" i="16" s="1"/>
  <c r="S181" i="16" a="1"/>
  <c r="S181" i="16" s="1"/>
  <c r="I181" i="16" a="1"/>
  <c r="I181" i="16" s="1"/>
  <c r="T181" i="16" a="1"/>
  <c r="T181" i="16" s="1"/>
  <c r="J181" i="16" a="1"/>
  <c r="J181" i="16" s="1"/>
  <c r="U181" i="16" a="1"/>
  <c r="U181" i="16" s="1"/>
  <c r="C181" i="16" a="1"/>
  <c r="C181" i="16" s="1"/>
  <c r="G111" i="2" s="1"/>
  <c r="K181" i="16" a="1"/>
  <c r="K181" i="16" s="1"/>
  <c r="B182" i="16"/>
  <c r="B111" i="2" l="1"/>
  <c r="P182" i="16" a="1"/>
  <c r="P182" i="16" s="1"/>
  <c r="O182" i="16" a="1"/>
  <c r="O182" i="16" s="1"/>
  <c r="N182" i="16" a="1"/>
  <c r="N182" i="16" s="1"/>
  <c r="W182" i="16" a="1"/>
  <c r="W182" i="16" s="1"/>
  <c r="X182" i="16" a="1"/>
  <c r="X182" i="16" s="1"/>
  <c r="Y182" i="16" a="1"/>
  <c r="Y182" i="16" s="1"/>
  <c r="J182" i="16" a="1"/>
  <c r="J182" i="16" s="1"/>
  <c r="C182" i="16" a="1"/>
  <c r="C182" i="16" s="1"/>
  <c r="K182" i="16" a="1"/>
  <c r="K182" i="16" s="1"/>
  <c r="U182" i="16" a="1"/>
  <c r="U182" i="16" s="1"/>
  <c r="D182" i="16" a="1"/>
  <c r="D182" i="16" s="1"/>
  <c r="L182" i="16" a="1"/>
  <c r="L182" i="16" s="1"/>
  <c r="V182" i="16" a="1"/>
  <c r="V182" i="16" s="1"/>
  <c r="E182" i="16" a="1"/>
  <c r="E182" i="16" s="1"/>
  <c r="M182" i="16" a="1"/>
  <c r="M182" i="16" s="1"/>
  <c r="F182" i="16" a="1"/>
  <c r="F182" i="16" s="1"/>
  <c r="Q182" i="16" a="1"/>
  <c r="Q182" i="16" s="1"/>
  <c r="G182" i="16" a="1"/>
  <c r="G182" i="16" s="1"/>
  <c r="R182" i="16" a="1"/>
  <c r="R182" i="16" s="1"/>
  <c r="H182" i="16" a="1"/>
  <c r="H182" i="16" s="1"/>
  <c r="S182" i="16" a="1"/>
  <c r="S182" i="16" s="1"/>
  <c r="I182" i="16" a="1"/>
  <c r="I182" i="16" s="1"/>
  <c r="T182" i="16" a="1"/>
  <c r="T182" i="16" s="1"/>
  <c r="B183" i="16"/>
  <c r="B112" i="2" l="1"/>
  <c r="G112" i="2"/>
  <c r="P183" i="16" a="1"/>
  <c r="P183" i="16" s="1"/>
  <c r="O183" i="16" a="1"/>
  <c r="O183" i="16" s="1"/>
  <c r="N183" i="16" a="1"/>
  <c r="N183" i="16" s="1"/>
  <c r="W183" i="16" a="1"/>
  <c r="W183" i="16" s="1"/>
  <c r="X183" i="16" a="1"/>
  <c r="X183" i="16" s="1"/>
  <c r="Y183" i="16" a="1"/>
  <c r="Y183" i="16" s="1"/>
  <c r="H183" i="16" a="1"/>
  <c r="H183" i="16" s="1"/>
  <c r="S183" i="16" a="1"/>
  <c r="S183" i="16" s="1"/>
  <c r="I183" i="16" a="1"/>
  <c r="I183" i="16" s="1"/>
  <c r="J183" i="16" a="1"/>
  <c r="J183" i="16" s="1"/>
  <c r="T183" i="16" a="1"/>
  <c r="T183" i="16" s="1"/>
  <c r="C183" i="16" a="1"/>
  <c r="C183" i="16" s="1"/>
  <c r="K183" i="16" a="1"/>
  <c r="K183" i="16" s="1"/>
  <c r="U183" i="16" a="1"/>
  <c r="U183" i="16" s="1"/>
  <c r="D183" i="16" a="1"/>
  <c r="D183" i="16" s="1"/>
  <c r="L183" i="16" a="1"/>
  <c r="L183" i="16" s="1"/>
  <c r="V183" i="16" a="1"/>
  <c r="V183" i="16" s="1"/>
  <c r="E183" i="16" a="1"/>
  <c r="E183" i="16" s="1"/>
  <c r="M183" i="16" a="1"/>
  <c r="M183" i="16" s="1"/>
  <c r="F183" i="16" a="1"/>
  <c r="F183" i="16" s="1"/>
  <c r="Q183" i="16" a="1"/>
  <c r="Q183" i="16" s="1"/>
  <c r="R183" i="16" a="1"/>
  <c r="R183" i="16" s="1"/>
  <c r="G183" i="16" a="1"/>
  <c r="G183" i="16" s="1"/>
  <c r="B184" i="16"/>
  <c r="G113" i="2" l="1"/>
  <c r="B113" i="2"/>
  <c r="O184" i="16" a="1"/>
  <c r="O184" i="16" s="1"/>
  <c r="N184" i="16" a="1"/>
  <c r="N184" i="16" s="1"/>
  <c r="P184" i="16" a="1"/>
  <c r="P184" i="16" s="1"/>
  <c r="X184" i="16" a="1"/>
  <c r="X184" i="16" s="1"/>
  <c r="Y184" i="16" a="1"/>
  <c r="Y184" i="16" s="1"/>
  <c r="W184" i="16" a="1"/>
  <c r="W184" i="16" s="1"/>
  <c r="F184" i="16" a="1"/>
  <c r="F184" i="16" s="1"/>
  <c r="Q184" i="16" a="1"/>
  <c r="Q184" i="16" s="1"/>
  <c r="G184" i="16" a="1"/>
  <c r="G184" i="16" s="1"/>
  <c r="R184" i="16" a="1"/>
  <c r="R184" i="16" s="1"/>
  <c r="H184" i="16" a="1"/>
  <c r="H184" i="16" s="1"/>
  <c r="I184" i="16" a="1"/>
  <c r="I184" i="16" s="1"/>
  <c r="S184" i="16" a="1"/>
  <c r="S184" i="16" s="1"/>
  <c r="J184" i="16" a="1"/>
  <c r="J184" i="16" s="1"/>
  <c r="T184" i="16" a="1"/>
  <c r="T184" i="16" s="1"/>
  <c r="C184" i="16" a="1"/>
  <c r="C184" i="16" s="1"/>
  <c r="K184" i="16" a="1"/>
  <c r="K184" i="16" s="1"/>
  <c r="U184" i="16" a="1"/>
  <c r="U184" i="16" s="1"/>
  <c r="D184" i="16" a="1"/>
  <c r="D184" i="16" s="1"/>
  <c r="L184" i="16" a="1"/>
  <c r="L184" i="16" s="1"/>
  <c r="V184" i="16" a="1"/>
  <c r="V184" i="16" s="1"/>
  <c r="E184" i="16" a="1"/>
  <c r="E184" i="16" s="1"/>
  <c r="M184" i="16" a="1"/>
  <c r="M184" i="16" s="1"/>
  <c r="B185" i="16"/>
  <c r="B114" i="2" l="1"/>
  <c r="G114" i="2"/>
  <c r="P185" i="16" a="1"/>
  <c r="P185" i="16" s="1"/>
  <c r="O185" i="16" a="1"/>
  <c r="O185" i="16" s="1"/>
  <c r="N185" i="16" a="1"/>
  <c r="N185" i="16" s="1"/>
  <c r="W185" i="16" a="1"/>
  <c r="W185" i="16" s="1"/>
  <c r="X185" i="16" a="1"/>
  <c r="X185" i="16" s="1"/>
  <c r="Y185" i="16" a="1"/>
  <c r="Y185" i="16" s="1"/>
  <c r="D185" i="16" a="1"/>
  <c r="D185" i="16" s="1"/>
  <c r="L185" i="16" a="1"/>
  <c r="L185" i="16" s="1"/>
  <c r="V185" i="16" a="1"/>
  <c r="V185" i="16" s="1"/>
  <c r="E185" i="16" a="1"/>
  <c r="E185" i="16" s="1"/>
  <c r="M185" i="16" a="1"/>
  <c r="M185" i="16" s="1"/>
  <c r="F185" i="16" a="1"/>
  <c r="F185" i="16" s="1"/>
  <c r="Q185" i="16" a="1"/>
  <c r="Q185" i="16" s="1"/>
  <c r="G185" i="16" a="1"/>
  <c r="G185" i="16" s="1"/>
  <c r="H185" i="16" a="1"/>
  <c r="H185" i="16" s="1"/>
  <c r="R185" i="16" a="1"/>
  <c r="R185" i="16" s="1"/>
  <c r="I185" i="16" a="1"/>
  <c r="I185" i="16" s="1"/>
  <c r="S185" i="16" a="1"/>
  <c r="S185" i="16" s="1"/>
  <c r="J185" i="16" a="1"/>
  <c r="J185" i="16" s="1"/>
  <c r="T185" i="16" a="1"/>
  <c r="T185" i="16" s="1"/>
  <c r="C185" i="16" a="1"/>
  <c r="C185" i="16" s="1"/>
  <c r="K185" i="16" a="1"/>
  <c r="K185" i="16" s="1"/>
  <c r="U185" i="16" a="1"/>
  <c r="U185" i="16" s="1"/>
  <c r="B186" i="16"/>
  <c r="G115" i="2" l="1"/>
  <c r="B115" i="2"/>
  <c r="P186" i="16" a="1"/>
  <c r="P186" i="16" s="1"/>
  <c r="O186" i="16" a="1"/>
  <c r="O186" i="16" s="1"/>
  <c r="N186" i="16" a="1"/>
  <c r="N186" i="16" s="1"/>
  <c r="W186" i="16" a="1"/>
  <c r="W186" i="16" s="1"/>
  <c r="X186" i="16" a="1"/>
  <c r="X186" i="16" s="1"/>
  <c r="Y186" i="16" a="1"/>
  <c r="Y186" i="16" s="1"/>
  <c r="J186" i="16" a="1"/>
  <c r="J186" i="16" s="1"/>
  <c r="T186" i="16" a="1"/>
  <c r="T186" i="16" s="1"/>
  <c r="C186" i="16" a="1"/>
  <c r="C186" i="16" s="1"/>
  <c r="K186" i="16" a="1"/>
  <c r="K186" i="16" s="1"/>
  <c r="U186" i="16" a="1"/>
  <c r="U186" i="16" s="1"/>
  <c r="D186" i="16" a="1"/>
  <c r="D186" i="16" s="1"/>
  <c r="L186" i="16" a="1"/>
  <c r="L186" i="16" s="1"/>
  <c r="V186" i="16" a="1"/>
  <c r="V186" i="16" s="1"/>
  <c r="E186" i="16" a="1"/>
  <c r="E186" i="16" s="1"/>
  <c r="M186" i="16" a="1"/>
  <c r="M186" i="16" s="1"/>
  <c r="F186" i="16" a="1"/>
  <c r="F186" i="16" s="1"/>
  <c r="G186" i="16" a="1"/>
  <c r="G186" i="16" s="1"/>
  <c r="Q186" i="16" a="1"/>
  <c r="Q186" i="16" s="1"/>
  <c r="H186" i="16" a="1"/>
  <c r="H186" i="16" s="1"/>
  <c r="R186" i="16" a="1"/>
  <c r="R186" i="16" s="1"/>
  <c r="S186" i="16" a="1"/>
  <c r="S186" i="16" s="1"/>
  <c r="I186" i="16" a="1"/>
  <c r="I186" i="16" s="1"/>
  <c r="B187" i="16"/>
  <c r="B116" i="2" l="1"/>
  <c r="G116" i="2"/>
  <c r="O187" i="16" a="1"/>
  <c r="O187" i="16" s="1"/>
  <c r="N187" i="16" a="1"/>
  <c r="N187" i="16" s="1"/>
  <c r="P187" i="16" a="1"/>
  <c r="P187" i="16" s="1"/>
  <c r="Y187" i="16" a="1"/>
  <c r="Y187" i="16" s="1"/>
  <c r="W187" i="16" a="1"/>
  <c r="W187" i="16" s="1"/>
  <c r="X187" i="16" a="1"/>
  <c r="X187" i="16" s="1"/>
  <c r="H187" i="16" a="1"/>
  <c r="H187" i="16" s="1"/>
  <c r="R187" i="16" a="1"/>
  <c r="R187" i="16" s="1"/>
  <c r="I187" i="16" a="1"/>
  <c r="I187" i="16" s="1"/>
  <c r="S187" i="16" a="1"/>
  <c r="S187" i="16" s="1"/>
  <c r="J187" i="16" a="1"/>
  <c r="J187" i="16" s="1"/>
  <c r="T187" i="16" a="1"/>
  <c r="T187" i="16" s="1"/>
  <c r="C187" i="16" a="1"/>
  <c r="C187" i="16" s="1"/>
  <c r="G117" i="2" s="1"/>
  <c r="K187" i="16" a="1"/>
  <c r="K187" i="16" s="1"/>
  <c r="U187" i="16" a="1"/>
  <c r="U187" i="16" s="1"/>
  <c r="D187" i="16" a="1"/>
  <c r="D187" i="16" s="1"/>
  <c r="L187" i="16" a="1"/>
  <c r="L187" i="16" s="1"/>
  <c r="V187" i="16" a="1"/>
  <c r="V187" i="16" s="1"/>
  <c r="E187" i="16" a="1"/>
  <c r="E187" i="16" s="1"/>
  <c r="F187" i="16" a="1"/>
  <c r="F187" i="16" s="1"/>
  <c r="M187" i="16" a="1"/>
  <c r="M187" i="16" s="1"/>
  <c r="G187" i="16" a="1"/>
  <c r="G187" i="16" s="1"/>
  <c r="Q187" i="16" a="1"/>
  <c r="Q187" i="16" s="1"/>
  <c r="B188" i="16"/>
  <c r="B117" i="2" l="1"/>
  <c r="P188" i="16" a="1"/>
  <c r="P188" i="16" s="1"/>
  <c r="N188" i="16" a="1"/>
  <c r="N188" i="16" s="1"/>
  <c r="O188" i="16" a="1"/>
  <c r="O188" i="16" s="1"/>
  <c r="W188" i="16" a="1"/>
  <c r="W188" i="16" s="1"/>
  <c r="X188" i="16" a="1"/>
  <c r="X188" i="16" s="1"/>
  <c r="Y188" i="16" a="1"/>
  <c r="Y188" i="16" s="1"/>
  <c r="F188" i="16" a="1"/>
  <c r="F188" i="16" s="1"/>
  <c r="M188" i="16" a="1"/>
  <c r="M188" i="16" s="1"/>
  <c r="G188" i="16" a="1"/>
  <c r="G188" i="16" s="1"/>
  <c r="Q188" i="16" a="1"/>
  <c r="Q188" i="16" s="1"/>
  <c r="H188" i="16" a="1"/>
  <c r="H188" i="16" s="1"/>
  <c r="R188" i="16" a="1"/>
  <c r="R188" i="16" s="1"/>
  <c r="I188" i="16" a="1"/>
  <c r="I188" i="16" s="1"/>
  <c r="S188" i="16" a="1"/>
  <c r="S188" i="16" s="1"/>
  <c r="J188" i="16" a="1"/>
  <c r="J188" i="16" s="1"/>
  <c r="T188" i="16" a="1"/>
  <c r="T188" i="16" s="1"/>
  <c r="C188" i="16" a="1"/>
  <c r="C188" i="16" s="1"/>
  <c r="K188" i="16" a="1"/>
  <c r="K188" i="16" s="1"/>
  <c r="U188" i="16" a="1"/>
  <c r="U188" i="16" s="1"/>
  <c r="D188" i="16" a="1"/>
  <c r="D188" i="16" s="1"/>
  <c r="V188" i="16" a="1"/>
  <c r="V188" i="16" s="1"/>
  <c r="E188" i="16" a="1"/>
  <c r="E188" i="16" s="1"/>
  <c r="L188" i="16" a="1"/>
  <c r="L188" i="16" s="1"/>
  <c r="B189" i="16"/>
  <c r="B118" i="2" l="1"/>
  <c r="G118" i="2"/>
  <c r="P189" i="16" a="1"/>
  <c r="P189" i="16" s="1"/>
  <c r="O189" i="16" a="1"/>
  <c r="O189" i="16" s="1"/>
  <c r="N189" i="16" a="1"/>
  <c r="N189" i="16" s="1"/>
  <c r="W189" i="16" a="1"/>
  <c r="W189" i="16" s="1"/>
  <c r="X189" i="16" a="1"/>
  <c r="X189" i="16" s="1"/>
  <c r="Y189" i="16" a="1"/>
  <c r="Y189" i="16" s="1"/>
  <c r="D189" i="16" a="1"/>
  <c r="D189" i="16" s="1"/>
  <c r="K189" i="16" a="1"/>
  <c r="K189" i="16" s="1"/>
  <c r="V189" i="16" a="1"/>
  <c r="V189" i="16" s="1"/>
  <c r="E189" i="16" a="1"/>
  <c r="E189" i="16" s="1"/>
  <c r="L189" i="16" a="1"/>
  <c r="L189" i="16" s="1"/>
  <c r="F189" i="16" a="1"/>
  <c r="F189" i="16" s="1"/>
  <c r="M189" i="16" a="1"/>
  <c r="M189" i="16" s="1"/>
  <c r="G189" i="16" a="1"/>
  <c r="G189" i="16" s="1"/>
  <c r="Q189" i="16" a="1"/>
  <c r="Q189" i="16" s="1"/>
  <c r="H189" i="16" a="1"/>
  <c r="H189" i="16" s="1"/>
  <c r="R189" i="16" a="1"/>
  <c r="R189" i="16" s="1"/>
  <c r="I189" i="16" a="1"/>
  <c r="I189" i="16" s="1"/>
  <c r="S189" i="16" a="1"/>
  <c r="S189" i="16" s="1"/>
  <c r="J189" i="16" a="1"/>
  <c r="J189" i="16" s="1"/>
  <c r="T189" i="16" a="1"/>
  <c r="T189" i="16" s="1"/>
  <c r="C189" i="16" a="1"/>
  <c r="C189" i="16" s="1"/>
  <c r="U189" i="16" a="1"/>
  <c r="U189" i="16" s="1"/>
  <c r="B190" i="16"/>
  <c r="B119" i="2" l="1"/>
  <c r="G119" i="2"/>
  <c r="O190" i="16" a="1"/>
  <c r="O190" i="16" s="1"/>
  <c r="N190" i="16" a="1"/>
  <c r="N190" i="16" s="1"/>
  <c r="P190" i="16" a="1"/>
  <c r="P190" i="16" s="1"/>
  <c r="W190" i="16" a="1"/>
  <c r="W190" i="16" s="1"/>
  <c r="X190" i="16" a="1"/>
  <c r="X190" i="16" s="1"/>
  <c r="Y190" i="16" a="1"/>
  <c r="Y190" i="16" s="1"/>
  <c r="T190" i="16" a="1"/>
  <c r="T190" i="16" s="1"/>
  <c r="C190" i="16" a="1"/>
  <c r="C190" i="16" s="1"/>
  <c r="J190" i="16" a="1"/>
  <c r="J190" i="16" s="1"/>
  <c r="U190" i="16" a="1"/>
  <c r="U190" i="16" s="1"/>
  <c r="D190" i="16" a="1"/>
  <c r="D190" i="16" s="1"/>
  <c r="K190" i="16" a="1"/>
  <c r="K190" i="16" s="1"/>
  <c r="V190" i="16" a="1"/>
  <c r="V190" i="16" s="1"/>
  <c r="E190" i="16" a="1"/>
  <c r="E190" i="16" s="1"/>
  <c r="L190" i="16" a="1"/>
  <c r="L190" i="16" s="1"/>
  <c r="F190" i="16" a="1"/>
  <c r="F190" i="16" s="1"/>
  <c r="M190" i="16" a="1"/>
  <c r="M190" i="16" s="1"/>
  <c r="G190" i="16" a="1"/>
  <c r="G190" i="16" s="1"/>
  <c r="Q190" i="16" a="1"/>
  <c r="Q190" i="16" s="1"/>
  <c r="H190" i="16" a="1"/>
  <c r="H190" i="16" s="1"/>
  <c r="R190" i="16" a="1"/>
  <c r="R190" i="16" s="1"/>
  <c r="S190" i="16" a="1"/>
  <c r="S190" i="16" s="1"/>
  <c r="I190" i="16" a="1"/>
  <c r="I190" i="16" s="1"/>
  <c r="B191" i="16"/>
  <c r="B120" i="2" l="1"/>
  <c r="G120" i="2"/>
  <c r="P191" i="16" a="1"/>
  <c r="P191" i="16" s="1"/>
  <c r="O191" i="16" a="1"/>
  <c r="O191" i="16" s="1"/>
  <c r="N191" i="16" a="1"/>
  <c r="N191" i="16" s="1"/>
  <c r="Y191" i="16" a="1"/>
  <c r="Y191" i="16" s="1"/>
  <c r="W191" i="16" a="1"/>
  <c r="W191" i="16" s="1"/>
  <c r="X191" i="16" a="1"/>
  <c r="X191" i="16" s="1"/>
  <c r="H191" i="16" a="1"/>
  <c r="H191" i="16" s="1"/>
  <c r="R191" i="16" a="1"/>
  <c r="R191" i="16" s="1"/>
  <c r="S191" i="16" a="1"/>
  <c r="S191" i="16" s="1"/>
  <c r="I191" i="16" a="1"/>
  <c r="I191" i="16" s="1"/>
  <c r="T191" i="16" a="1"/>
  <c r="T191" i="16" s="1"/>
  <c r="C191" i="16" a="1"/>
  <c r="C191" i="16" s="1"/>
  <c r="J191" i="16" a="1"/>
  <c r="J191" i="16" s="1"/>
  <c r="U191" i="16" a="1"/>
  <c r="U191" i="16" s="1"/>
  <c r="D191" i="16" a="1"/>
  <c r="D191" i="16" s="1"/>
  <c r="K191" i="16" a="1"/>
  <c r="K191" i="16" s="1"/>
  <c r="V191" i="16" a="1"/>
  <c r="V191" i="16" s="1"/>
  <c r="E191" i="16" a="1"/>
  <c r="E191" i="16" s="1"/>
  <c r="L191" i="16" a="1"/>
  <c r="L191" i="16" s="1"/>
  <c r="F191" i="16" a="1"/>
  <c r="F191" i="16" s="1"/>
  <c r="M191" i="16" a="1"/>
  <c r="M191" i="16" s="1"/>
  <c r="G191" i="16" a="1"/>
  <c r="G191" i="16" s="1"/>
  <c r="Q191" i="16" a="1"/>
  <c r="Q191" i="16" s="1"/>
  <c r="B192" i="16"/>
  <c r="G121" i="2" l="1"/>
  <c r="B121" i="2"/>
  <c r="P192" i="16" a="1"/>
  <c r="P192" i="16" s="1"/>
  <c r="N192" i="16" a="1"/>
  <c r="N192" i="16" s="1"/>
  <c r="O192" i="16" a="1"/>
  <c r="O192" i="16" s="1"/>
  <c r="W192" i="16" a="1"/>
  <c r="W192" i="16" s="1"/>
  <c r="X192" i="16" a="1"/>
  <c r="X192" i="16" s="1"/>
  <c r="Y192" i="16" a="1"/>
  <c r="Y192" i="16" s="1"/>
  <c r="F192" i="16" a="1"/>
  <c r="F192" i="16" s="1"/>
  <c r="M192" i="16" a="1"/>
  <c r="M192" i="16" s="1"/>
  <c r="G192" i="16" a="1"/>
  <c r="G192" i="16" s="1"/>
  <c r="Q192" i="16" a="1"/>
  <c r="Q192" i="16" s="1"/>
  <c r="R192" i="16" a="1"/>
  <c r="R192" i="16" s="1"/>
  <c r="H192" i="16" a="1"/>
  <c r="H192" i="16" s="1"/>
  <c r="S192" i="16" a="1"/>
  <c r="S192" i="16" s="1"/>
  <c r="I192" i="16" a="1"/>
  <c r="I192" i="16" s="1"/>
  <c r="T192" i="16" a="1"/>
  <c r="T192" i="16" s="1"/>
  <c r="C192" i="16" a="1"/>
  <c r="C192" i="16" s="1"/>
  <c r="J192" i="16" a="1"/>
  <c r="J192" i="16" s="1"/>
  <c r="U192" i="16" a="1"/>
  <c r="U192" i="16" s="1"/>
  <c r="D192" i="16" a="1"/>
  <c r="D192" i="16" s="1"/>
  <c r="K192" i="16" a="1"/>
  <c r="K192" i="16" s="1"/>
  <c r="V192" i="16" a="1"/>
  <c r="V192" i="16" s="1"/>
  <c r="E192" i="16" a="1"/>
  <c r="E192" i="16" s="1"/>
  <c r="L192" i="16" a="1"/>
  <c r="L192" i="16" s="1"/>
  <c r="B193" i="16"/>
  <c r="B122" i="2" l="1"/>
  <c r="G122" i="2"/>
  <c r="O193" i="16" a="1"/>
  <c r="O193" i="16" s="1"/>
  <c r="N193" i="16" a="1"/>
  <c r="N193" i="16" s="1"/>
  <c r="P193" i="16" a="1"/>
  <c r="P193" i="16" s="1"/>
  <c r="Y193" i="16" a="1"/>
  <c r="Y193" i="16" s="1"/>
  <c r="X193" i="16" a="1"/>
  <c r="X193" i="16" s="1"/>
  <c r="W193" i="16" a="1"/>
  <c r="W193" i="16" s="1"/>
  <c r="D193" i="16" a="1"/>
  <c r="D193" i="16" s="1"/>
  <c r="K193" i="16" a="1"/>
  <c r="K193" i="16" s="1"/>
  <c r="V193" i="16" a="1"/>
  <c r="V193" i="16" s="1"/>
  <c r="E193" i="16" a="1"/>
  <c r="E193" i="16" s="1"/>
  <c r="L193" i="16" a="1"/>
  <c r="L193" i="16" s="1"/>
  <c r="F193" i="16" a="1"/>
  <c r="F193" i="16" s="1"/>
  <c r="M193" i="16" a="1"/>
  <c r="M193" i="16" s="1"/>
  <c r="Q193" i="16" a="1"/>
  <c r="Q193" i="16" s="1"/>
  <c r="G193" i="16" a="1"/>
  <c r="G193" i="16" s="1"/>
  <c r="R193" i="16" a="1"/>
  <c r="R193" i="16" s="1"/>
  <c r="H193" i="16" a="1"/>
  <c r="H193" i="16" s="1"/>
  <c r="S193" i="16" a="1"/>
  <c r="S193" i="16" s="1"/>
  <c r="I193" i="16" a="1"/>
  <c r="I193" i="16" s="1"/>
  <c r="T193" i="16" a="1"/>
  <c r="T193" i="16" s="1"/>
  <c r="U193" i="16" a="1"/>
  <c r="U193" i="16" s="1"/>
  <c r="C193" i="16" a="1"/>
  <c r="C193" i="16" s="1"/>
  <c r="G123" i="2" s="1"/>
  <c r="J193" i="16" a="1"/>
  <c r="J193" i="16" s="1"/>
  <c r="B194" i="16"/>
  <c r="B123" i="2" l="1"/>
  <c r="P194" i="16" a="1"/>
  <c r="P194" i="16" s="1"/>
  <c r="O194" i="16" a="1"/>
  <c r="O194" i="16" s="1"/>
  <c r="N194" i="16" a="1"/>
  <c r="N194" i="16" s="1"/>
  <c r="W194" i="16" a="1"/>
  <c r="W194" i="16" s="1"/>
  <c r="X194" i="16" a="1"/>
  <c r="X194" i="16" s="1"/>
  <c r="Y194" i="16" a="1"/>
  <c r="Y194" i="16" s="1"/>
  <c r="I194" i="16" a="1"/>
  <c r="I194" i="16" s="1"/>
  <c r="T194" i="16" a="1"/>
  <c r="T194" i="16" s="1"/>
  <c r="C194" i="16" a="1"/>
  <c r="C194" i="16" s="1"/>
  <c r="J194" i="16" a="1"/>
  <c r="J194" i="16" s="1"/>
  <c r="U194" i="16" a="1"/>
  <c r="U194" i="16" s="1"/>
  <c r="D194" i="16" a="1"/>
  <c r="D194" i="16" s="1"/>
  <c r="K194" i="16" a="1"/>
  <c r="K194" i="16" s="1"/>
  <c r="V194" i="16" a="1"/>
  <c r="V194" i="16" s="1"/>
  <c r="E194" i="16" a="1"/>
  <c r="E194" i="16" s="1"/>
  <c r="L194" i="16" a="1"/>
  <c r="L194" i="16" s="1"/>
  <c r="M194" i="16" a="1"/>
  <c r="M194" i="16" s="1"/>
  <c r="F194" i="16" a="1"/>
  <c r="F194" i="16" s="1"/>
  <c r="Q194" i="16" a="1"/>
  <c r="Q194" i="16" s="1"/>
  <c r="G194" i="16" a="1"/>
  <c r="G194" i="16" s="1"/>
  <c r="R194" i="16" a="1"/>
  <c r="R194" i="16" s="1"/>
  <c r="HD11" i="2" s="1"/>
  <c r="H194" i="16" a="1"/>
  <c r="H194" i="16" s="1"/>
  <c r="S194" i="16" a="1"/>
  <c r="S194" i="16" s="1"/>
  <c r="GE44" i="2"/>
  <c r="HG11" i="2"/>
  <c r="HF11" i="2"/>
  <c r="B195" i="16"/>
  <c r="B124" i="2" l="1"/>
  <c r="G124" i="2"/>
  <c r="N195" i="16" a="1"/>
  <c r="N195" i="16" s="1"/>
  <c r="P195" i="16" a="1"/>
  <c r="P195" i="16" s="1"/>
  <c r="O195" i="16" a="1"/>
  <c r="O195" i="16" s="1"/>
  <c r="Y195" i="16" a="1"/>
  <c r="Y195" i="16" s="1"/>
  <c r="W195" i="16" a="1"/>
  <c r="W195" i="16" s="1"/>
  <c r="X195" i="16" a="1"/>
  <c r="X195" i="16" s="1"/>
  <c r="GE45" i="2" s="1"/>
  <c r="G195" i="16" a="1"/>
  <c r="G195" i="16" s="1"/>
  <c r="R195" i="16" a="1"/>
  <c r="R195" i="16" s="1"/>
  <c r="HD13" i="2" s="1"/>
  <c r="H195" i="16" a="1"/>
  <c r="H195" i="16" s="1"/>
  <c r="S195" i="16" a="1"/>
  <c r="S195" i="16" s="1"/>
  <c r="I195" i="16" a="1"/>
  <c r="I195" i="16" s="1"/>
  <c r="T195" i="16" a="1"/>
  <c r="T195" i="16" s="1"/>
  <c r="C195" i="16" a="1"/>
  <c r="C195" i="16" s="1"/>
  <c r="G125" i="2" s="1"/>
  <c r="J195" i="16" a="1"/>
  <c r="J195" i="16" s="1"/>
  <c r="U195" i="16" a="1"/>
  <c r="U195" i="16" s="1"/>
  <c r="D195" i="16" a="1"/>
  <c r="D195" i="16" s="1"/>
  <c r="K195" i="16" a="1"/>
  <c r="K195" i="16" s="1"/>
  <c r="V195" i="16" a="1"/>
  <c r="V195" i="16" s="1"/>
  <c r="L195" i="16" a="1"/>
  <c r="L195" i="16" s="1"/>
  <c r="E195" i="16" a="1"/>
  <c r="E195" i="16" s="1"/>
  <c r="M195" i="16" a="1"/>
  <c r="M195" i="16" s="1"/>
  <c r="F195" i="16" a="1"/>
  <c r="F195" i="16" s="1"/>
  <c r="Q195" i="16" a="1"/>
  <c r="Q195" i="16" s="1"/>
  <c r="GE43" i="2"/>
  <c r="GE42" i="2"/>
  <c r="GE26" i="2"/>
  <c r="GE25" i="2"/>
  <c r="GE19" i="2"/>
  <c r="GE41" i="2"/>
  <c r="GE18" i="2"/>
  <c r="GE35" i="2"/>
  <c r="GE17" i="2"/>
  <c r="GE34" i="2"/>
  <c r="GE11" i="2"/>
  <c r="GE33" i="2"/>
  <c r="GE10" i="2"/>
  <c r="GE27" i="2"/>
  <c r="GE9" i="2"/>
  <c r="GE40" i="2"/>
  <c r="GE32" i="2"/>
  <c r="GE24" i="2"/>
  <c r="GE16" i="2"/>
  <c r="GE8" i="2"/>
  <c r="GE39" i="2"/>
  <c r="GE31" i="2"/>
  <c r="GE23" i="2"/>
  <c r="GE15" i="2"/>
  <c r="GE7" i="2"/>
  <c r="GE38" i="2"/>
  <c r="GE30" i="2"/>
  <c r="GE22" i="2"/>
  <c r="GE14" i="2"/>
  <c r="GE6" i="2"/>
  <c r="GE37" i="2"/>
  <c r="GE29" i="2"/>
  <c r="GE21" i="2"/>
  <c r="GE13" i="2"/>
  <c r="GE5" i="2"/>
  <c r="GE36" i="2"/>
  <c r="GE28" i="2"/>
  <c r="GE20" i="2"/>
  <c r="GE12" i="2"/>
  <c r="HE12" i="2"/>
  <c r="HE5" i="2"/>
  <c r="HE6" i="2"/>
  <c r="HE7" i="2"/>
  <c r="HE8" i="2"/>
  <c r="HE9" i="2"/>
  <c r="HE10" i="2"/>
  <c r="GF43" i="2"/>
  <c r="HB12" i="2"/>
  <c r="GU12" i="2" s="1"/>
  <c r="HB5" i="2"/>
  <c r="GU5" i="2" s="1"/>
  <c r="HB6" i="2"/>
  <c r="GU6" i="2" s="1"/>
  <c r="HB7" i="2"/>
  <c r="GU7" i="2" s="1"/>
  <c r="HB8" i="2"/>
  <c r="GU8" i="2" s="1"/>
  <c r="HB9" i="2"/>
  <c r="GU9" i="2" s="1"/>
  <c r="HB10" i="2"/>
  <c r="GU10" i="2" s="1"/>
  <c r="HC12" i="2"/>
  <c r="HC5" i="2"/>
  <c r="HC6" i="2"/>
  <c r="HC7" i="2"/>
  <c r="HC8" i="2"/>
  <c r="HC9" i="2"/>
  <c r="HC10" i="2"/>
  <c r="HE11" i="2"/>
  <c r="HF12" i="2"/>
  <c r="HF5" i="2"/>
  <c r="HF6" i="2"/>
  <c r="HF7" i="2"/>
  <c r="HF8" i="2"/>
  <c r="HF9" i="2"/>
  <c r="HF10" i="2"/>
  <c r="HH12" i="2"/>
  <c r="HH5" i="2"/>
  <c r="HH6" i="2"/>
  <c r="HH7" i="2"/>
  <c r="HH8" i="2"/>
  <c r="HH9" i="2"/>
  <c r="HH10" i="2"/>
  <c r="HB11" i="2"/>
  <c r="GU11" i="2" s="1"/>
  <c r="HG12" i="2"/>
  <c r="HG5" i="2"/>
  <c r="HG6" i="2"/>
  <c r="HG7" i="2"/>
  <c r="HG8" i="2"/>
  <c r="HG9" i="2"/>
  <c r="HG10" i="2"/>
  <c r="HC11" i="2"/>
  <c r="HD12" i="2"/>
  <c r="HD5" i="2"/>
  <c r="HD6" i="2"/>
  <c r="HD7" i="2"/>
  <c r="HD8" i="2"/>
  <c r="HD9" i="2"/>
  <c r="HD10" i="2"/>
  <c r="HH11" i="2"/>
  <c r="GD44" i="2"/>
  <c r="GD5" i="2"/>
  <c r="GD6" i="2"/>
  <c r="GD7" i="2"/>
  <c r="GD8" i="2"/>
  <c r="GD9" i="2"/>
  <c r="GD10" i="2"/>
  <c r="GD11" i="2"/>
  <c r="GD12" i="2"/>
  <c r="GD13" i="2"/>
  <c r="GD14" i="2"/>
  <c r="GD15" i="2"/>
  <c r="GD16" i="2"/>
  <c r="GD17" i="2"/>
  <c r="GD18" i="2"/>
  <c r="GD19" i="2"/>
  <c r="GD20" i="2"/>
  <c r="GD21" i="2"/>
  <c r="GD22" i="2"/>
  <c r="GD23" i="2"/>
  <c r="GD24" i="2"/>
  <c r="GD25" i="2"/>
  <c r="GD26" i="2"/>
  <c r="GD27" i="2"/>
  <c r="GD28" i="2"/>
  <c r="GD29" i="2"/>
  <c r="GD30" i="2"/>
  <c r="GD31" i="2"/>
  <c r="GD32" i="2"/>
  <c r="GD33" i="2"/>
  <c r="GD34" i="2"/>
  <c r="GD35" i="2"/>
  <c r="GD36" i="2"/>
  <c r="GD37" i="2"/>
  <c r="GD38" i="2"/>
  <c r="GD39" i="2"/>
  <c r="GD40" i="2"/>
  <c r="GD41" i="2"/>
  <c r="GD42" i="2"/>
  <c r="HE13" i="2"/>
  <c r="HH13" i="2"/>
  <c r="HG13" i="2"/>
  <c r="HF13" i="2"/>
  <c r="GD45" i="2"/>
  <c r="HC13" i="2"/>
  <c r="GF44" i="2"/>
  <c r="GF5" i="2"/>
  <c r="GF6" i="2"/>
  <c r="GF7" i="2"/>
  <c r="GF8" i="2"/>
  <c r="GF9" i="2"/>
  <c r="GF10" i="2"/>
  <c r="GF11" i="2"/>
  <c r="GF12" i="2"/>
  <c r="GF13" i="2"/>
  <c r="GF14" i="2"/>
  <c r="GF15" i="2"/>
  <c r="GF16" i="2"/>
  <c r="GF17" i="2"/>
  <c r="GF18" i="2"/>
  <c r="GF19" i="2"/>
  <c r="GF20" i="2"/>
  <c r="GF21" i="2"/>
  <c r="GF22" i="2"/>
  <c r="GF23" i="2"/>
  <c r="GF24" i="2"/>
  <c r="GF25" i="2"/>
  <c r="GF26" i="2"/>
  <c r="GF27" i="2"/>
  <c r="GF28" i="2"/>
  <c r="GF29" i="2"/>
  <c r="GF30" i="2"/>
  <c r="GF31" i="2"/>
  <c r="GF32" i="2"/>
  <c r="GF33" i="2"/>
  <c r="GF34" i="2"/>
  <c r="GF35" i="2"/>
  <c r="GF36" i="2"/>
  <c r="GF37" i="2"/>
  <c r="GF38" i="2"/>
  <c r="GF39" i="2"/>
  <c r="GF40" i="2"/>
  <c r="GF41" i="2"/>
  <c r="GF42" i="2"/>
  <c r="GD43" i="2"/>
  <c r="B196" i="16"/>
  <c r="B125" i="2" l="1"/>
  <c r="O196" i="16" a="1"/>
  <c r="O196" i="16" s="1"/>
  <c r="N196" i="16" a="1"/>
  <c r="N196" i="16" s="1"/>
  <c r="P196" i="16" a="1"/>
  <c r="P196" i="16" s="1"/>
  <c r="W196" i="16" a="1"/>
  <c r="W196" i="16" s="1"/>
  <c r="GD46" i="2" s="1"/>
  <c r="X196" i="16" a="1"/>
  <c r="X196" i="16" s="1"/>
  <c r="Y196" i="16" a="1"/>
  <c r="Y196" i="16" s="1"/>
  <c r="F196" i="16" a="1"/>
  <c r="F196" i="16" s="1"/>
  <c r="Q196" i="16" a="1"/>
  <c r="Q196" i="16" s="1"/>
  <c r="HC14" i="2" s="1"/>
  <c r="G196" i="16" a="1"/>
  <c r="G196" i="16" s="1"/>
  <c r="R196" i="16" a="1"/>
  <c r="R196" i="16" s="1"/>
  <c r="H196" i="16" a="1"/>
  <c r="H196" i="16" s="1"/>
  <c r="I196" i="16" a="1"/>
  <c r="I196" i="16" s="1"/>
  <c r="S196" i="16" a="1"/>
  <c r="S196" i="16" s="1"/>
  <c r="HE14" i="2" s="1"/>
  <c r="J196" i="16" a="1"/>
  <c r="J196" i="16" s="1"/>
  <c r="T196" i="16" a="1"/>
  <c r="T196" i="16" s="1"/>
  <c r="HF14" i="2" s="1"/>
  <c r="C196" i="16" a="1"/>
  <c r="C196" i="16" s="1"/>
  <c r="K196" i="16" a="1"/>
  <c r="K196" i="16" s="1"/>
  <c r="U196" i="16" a="1"/>
  <c r="U196" i="16" s="1"/>
  <c r="D196" i="16" a="1"/>
  <c r="D196" i="16" s="1"/>
  <c r="L196" i="16" a="1"/>
  <c r="L196" i="16" s="1"/>
  <c r="V196" i="16" a="1"/>
  <c r="V196" i="16" s="1"/>
  <c r="HH14" i="2" s="1"/>
  <c r="E196" i="16" a="1"/>
  <c r="E196" i="16" s="1"/>
  <c r="M196" i="16" a="1"/>
  <c r="M196" i="16" s="1"/>
  <c r="GE46" i="2"/>
  <c r="GY11" i="2"/>
  <c r="GV11" i="2"/>
  <c r="GY10" i="2"/>
  <c r="GV10" i="2"/>
  <c r="GY12" i="2"/>
  <c r="GV12" i="2"/>
  <c r="GY9" i="2"/>
  <c r="GV9" i="2"/>
  <c r="GF45" i="2"/>
  <c r="HB13" i="2"/>
  <c r="GU13" i="2" s="1"/>
  <c r="GY13" i="2"/>
  <c r="GV13" i="2"/>
  <c r="GY8" i="2"/>
  <c r="GV8" i="2"/>
  <c r="GY7" i="2"/>
  <c r="GV7" i="2"/>
  <c r="GY6" i="2"/>
  <c r="GV6" i="2"/>
  <c r="GY5" i="2"/>
  <c r="GV5" i="2"/>
  <c r="HG14" i="2"/>
  <c r="HD14" i="2"/>
  <c r="B197" i="16"/>
  <c r="B126" i="2" l="1"/>
  <c r="G126" i="2"/>
  <c r="P197" i="16" a="1"/>
  <c r="P197" i="16" s="1"/>
  <c r="O197" i="16" a="1"/>
  <c r="O197" i="16" s="1"/>
  <c r="N197" i="16" a="1"/>
  <c r="N197" i="16" s="1"/>
  <c r="Y197" i="16" a="1"/>
  <c r="Y197" i="16" s="1"/>
  <c r="W197" i="16" a="1"/>
  <c r="W197" i="16" s="1"/>
  <c r="X197" i="16" a="1"/>
  <c r="X197" i="16" s="1"/>
  <c r="GE47" i="2" s="1"/>
  <c r="C197" i="16" a="1"/>
  <c r="C197" i="16" s="1"/>
  <c r="K197" i="16" a="1"/>
  <c r="K197" i="16" s="1"/>
  <c r="D197" i="16" a="1"/>
  <c r="D197" i="16" s="1"/>
  <c r="L197" i="16" a="1"/>
  <c r="L197" i="16" s="1"/>
  <c r="V197" i="16" a="1"/>
  <c r="V197" i="16" s="1"/>
  <c r="HH15" i="2" s="1"/>
  <c r="E197" i="16" a="1"/>
  <c r="E197" i="16" s="1"/>
  <c r="M197" i="16" a="1"/>
  <c r="M197" i="16" s="1"/>
  <c r="F197" i="16" a="1"/>
  <c r="F197" i="16" s="1"/>
  <c r="Q197" i="16" a="1"/>
  <c r="Q197" i="16" s="1"/>
  <c r="G197" i="16" a="1"/>
  <c r="G197" i="16" s="1"/>
  <c r="R197" i="16" a="1"/>
  <c r="R197" i="16" s="1"/>
  <c r="HD15" i="2" s="1"/>
  <c r="H197" i="16" a="1"/>
  <c r="H197" i="16" s="1"/>
  <c r="S197" i="16" a="1"/>
  <c r="S197" i="16" s="1"/>
  <c r="HE15" i="2" s="1"/>
  <c r="I197" i="16" a="1"/>
  <c r="I197" i="16" s="1"/>
  <c r="T197" i="16" a="1"/>
  <c r="T197" i="16" s="1"/>
  <c r="HF15" i="2" s="1"/>
  <c r="U197" i="16" a="1"/>
  <c r="U197" i="16" s="1"/>
  <c r="HG15" i="2" s="1"/>
  <c r="J197" i="16" a="1"/>
  <c r="J197" i="16" s="1"/>
  <c r="GW5" i="2"/>
  <c r="GW6" i="2"/>
  <c r="GW11" i="2"/>
  <c r="GW13" i="2"/>
  <c r="GW7" i="2"/>
  <c r="GW9" i="2"/>
  <c r="GW8" i="2"/>
  <c r="GW12" i="2"/>
  <c r="GF46" i="2"/>
  <c r="HB14" i="2"/>
  <c r="GU14" i="2" s="1"/>
  <c r="GY14" i="2"/>
  <c r="GV14" i="2"/>
  <c r="GW10" i="2"/>
  <c r="GD47" i="2"/>
  <c r="HC15" i="2"/>
  <c r="B198" i="16"/>
  <c r="B127" i="2" l="1"/>
  <c r="G127" i="2"/>
  <c r="N198" i="16" a="1"/>
  <c r="N198" i="16" s="1"/>
  <c r="P198" i="16" a="1"/>
  <c r="P198" i="16" s="1"/>
  <c r="O198" i="16" a="1"/>
  <c r="O198" i="16" s="1"/>
  <c r="W198" i="16" a="1"/>
  <c r="W198" i="16" s="1"/>
  <c r="X198" i="16" a="1"/>
  <c r="X198" i="16" s="1"/>
  <c r="Y198" i="16" a="1"/>
  <c r="Y198" i="16" s="1"/>
  <c r="I198" i="16" a="1"/>
  <c r="I198" i="16" s="1"/>
  <c r="S198" i="16" a="1"/>
  <c r="S198" i="16" s="1"/>
  <c r="HE16" i="2" s="1"/>
  <c r="J198" i="16" a="1"/>
  <c r="J198" i="16" s="1"/>
  <c r="T198" i="16" a="1"/>
  <c r="T198" i="16" s="1"/>
  <c r="C198" i="16" a="1"/>
  <c r="C198" i="16" s="1"/>
  <c r="K198" i="16" a="1"/>
  <c r="K198" i="16" s="1"/>
  <c r="D198" i="16" a="1"/>
  <c r="D198" i="16" s="1"/>
  <c r="L198" i="16" a="1"/>
  <c r="L198" i="16" s="1"/>
  <c r="U198" i="16" a="1"/>
  <c r="U198" i="16" s="1"/>
  <c r="E198" i="16" a="1"/>
  <c r="E198" i="16" s="1"/>
  <c r="M198" i="16" a="1"/>
  <c r="M198" i="16" s="1"/>
  <c r="V198" i="16" a="1"/>
  <c r="V198" i="16" s="1"/>
  <c r="HH16" i="2" s="1"/>
  <c r="F198" i="16" a="1"/>
  <c r="F198" i="16" s="1"/>
  <c r="G198" i="16" a="1"/>
  <c r="G198" i="16" s="1"/>
  <c r="Q198" i="16" a="1"/>
  <c r="Q198" i="16" s="1"/>
  <c r="HC16" i="2" s="1"/>
  <c r="H198" i="16" a="1"/>
  <c r="H198" i="16" s="1"/>
  <c r="R198" i="16" a="1"/>
  <c r="R198" i="16" s="1"/>
  <c r="HD16" i="2" s="1"/>
  <c r="GE48" i="2"/>
  <c r="GW14" i="2"/>
  <c r="GY15" i="2"/>
  <c r="GV15" i="2"/>
  <c r="GF47" i="2"/>
  <c r="HB15" i="2"/>
  <c r="GU15" i="2" s="1"/>
  <c r="HG16" i="2"/>
  <c r="HF16" i="2"/>
  <c r="GD48" i="2"/>
  <c r="B199" i="16"/>
  <c r="G128" i="2" l="1"/>
  <c r="B128" i="2"/>
  <c r="O199" i="16" a="1"/>
  <c r="O199" i="16" s="1"/>
  <c r="N199" i="16" a="1"/>
  <c r="N199" i="16" s="1"/>
  <c r="P199" i="16" a="1"/>
  <c r="P199" i="16" s="1"/>
  <c r="Y199" i="16" a="1"/>
  <c r="Y199" i="16" s="1"/>
  <c r="W199" i="16" a="1"/>
  <c r="W199" i="16" s="1"/>
  <c r="X199" i="16" a="1"/>
  <c r="X199" i="16" s="1"/>
  <c r="GE49" i="2" s="1"/>
  <c r="F199" i="16" a="1"/>
  <c r="F199" i="16" s="1"/>
  <c r="Q199" i="16" a="1"/>
  <c r="Q199" i="16" s="1"/>
  <c r="HC17" i="2" s="1"/>
  <c r="G199" i="16" a="1"/>
  <c r="G199" i="16" s="1"/>
  <c r="R199" i="16" a="1"/>
  <c r="R199" i="16" s="1"/>
  <c r="H199" i="16" a="1"/>
  <c r="H199" i="16" s="1"/>
  <c r="S199" i="16" a="1"/>
  <c r="S199" i="16" s="1"/>
  <c r="I199" i="16" a="1"/>
  <c r="I199" i="16" s="1"/>
  <c r="J199" i="16" a="1"/>
  <c r="J199" i="16" s="1"/>
  <c r="T199" i="16" a="1"/>
  <c r="T199" i="16" s="1"/>
  <c r="C199" i="16" a="1"/>
  <c r="C199" i="16" s="1"/>
  <c r="K199" i="16" a="1"/>
  <c r="K199" i="16" s="1"/>
  <c r="U199" i="16" a="1"/>
  <c r="U199" i="16" s="1"/>
  <c r="HG17" i="2" s="1"/>
  <c r="D199" i="16" a="1"/>
  <c r="D199" i="16" s="1"/>
  <c r="L199" i="16" a="1"/>
  <c r="L199" i="16" s="1"/>
  <c r="V199" i="16" a="1"/>
  <c r="V199" i="16" s="1"/>
  <c r="HH17" i="2" s="1"/>
  <c r="E199" i="16" a="1"/>
  <c r="E199" i="16" s="1"/>
  <c r="M199" i="16" a="1"/>
  <c r="M199" i="16" s="1"/>
  <c r="GY16" i="2"/>
  <c r="GV16" i="2"/>
  <c r="GF48" i="2"/>
  <c r="HB16" i="2"/>
  <c r="GU16" i="2" s="1"/>
  <c r="GW15" i="2"/>
  <c r="HF17" i="2"/>
  <c r="HE17" i="2"/>
  <c r="HD17" i="2"/>
  <c r="GD49" i="2"/>
  <c r="B200" i="16"/>
  <c r="B129" i="2" l="1"/>
  <c r="G129" i="2"/>
  <c r="P200" i="16" a="1"/>
  <c r="P200" i="16" s="1"/>
  <c r="O200" i="16" a="1"/>
  <c r="O200" i="16" s="1"/>
  <c r="N200" i="16" a="1"/>
  <c r="N200" i="16" s="1"/>
  <c r="W200" i="16" a="1"/>
  <c r="W200" i="16" s="1"/>
  <c r="X200" i="16" a="1"/>
  <c r="X200" i="16" s="1"/>
  <c r="Y200" i="16" a="1"/>
  <c r="Y200" i="16" s="1"/>
  <c r="D200" i="16" a="1"/>
  <c r="D200" i="16" s="1"/>
  <c r="U200" i="16" a="1"/>
  <c r="U200" i="16" s="1"/>
  <c r="HG18" i="2" s="1"/>
  <c r="E200" i="16" a="1"/>
  <c r="E200" i="16" s="1"/>
  <c r="L200" i="16" a="1"/>
  <c r="L200" i="16" s="1"/>
  <c r="V200" i="16" a="1"/>
  <c r="V200" i="16" s="1"/>
  <c r="HH18" i="2" s="1"/>
  <c r="F200" i="16" a="1"/>
  <c r="F200" i="16" s="1"/>
  <c r="M200" i="16" a="1"/>
  <c r="M200" i="16" s="1"/>
  <c r="G200" i="16" a="1"/>
  <c r="G200" i="16" s="1"/>
  <c r="Q200" i="16" a="1"/>
  <c r="Q200" i="16" s="1"/>
  <c r="H200" i="16" a="1"/>
  <c r="H200" i="16" s="1"/>
  <c r="R200" i="16" a="1"/>
  <c r="R200" i="16" s="1"/>
  <c r="HD18" i="2" s="1"/>
  <c r="I200" i="16" a="1"/>
  <c r="I200" i="16" s="1"/>
  <c r="J200" i="16" a="1"/>
  <c r="J200" i="16" s="1"/>
  <c r="S200" i="16" a="1"/>
  <c r="S200" i="16" s="1"/>
  <c r="HE18" i="2" s="1"/>
  <c r="T200" i="16" a="1"/>
  <c r="T200" i="16" s="1"/>
  <c r="HF18" i="2" s="1"/>
  <c r="C200" i="16" a="1"/>
  <c r="C200" i="16" s="1"/>
  <c r="G130" i="2" s="1"/>
  <c r="K200" i="16" a="1"/>
  <c r="K200" i="16" s="1"/>
  <c r="GE50" i="2"/>
  <c r="GY17" i="2"/>
  <c r="GV17" i="2"/>
  <c r="GF49" i="2"/>
  <c r="HB17" i="2"/>
  <c r="GU17" i="2" s="1"/>
  <c r="GW16" i="2"/>
  <c r="GD50" i="2"/>
  <c r="HC18" i="2"/>
  <c r="B201" i="16"/>
  <c r="B130" i="2" l="1"/>
  <c r="N201" i="16" a="1"/>
  <c r="N201" i="16" s="1"/>
  <c r="P201" i="16" a="1"/>
  <c r="P201" i="16" s="1"/>
  <c r="O201" i="16" a="1"/>
  <c r="O201" i="16" s="1"/>
  <c r="Y201" i="16" a="1"/>
  <c r="Y201" i="16" s="1"/>
  <c r="X201" i="16" a="1"/>
  <c r="X201" i="16" s="1"/>
  <c r="W201" i="16" a="1"/>
  <c r="W201" i="16" s="1"/>
  <c r="GD51" i="2" s="1"/>
  <c r="I201" i="16" a="1"/>
  <c r="I201" i="16" s="1"/>
  <c r="S201" i="16" a="1"/>
  <c r="S201" i="16" s="1"/>
  <c r="HE19" i="2" s="1"/>
  <c r="J201" i="16" a="1"/>
  <c r="J201" i="16" s="1"/>
  <c r="T201" i="16" a="1"/>
  <c r="T201" i="16" s="1"/>
  <c r="C201" i="16" a="1"/>
  <c r="C201" i="16" s="1"/>
  <c r="K201" i="16" a="1"/>
  <c r="K201" i="16" s="1"/>
  <c r="U201" i="16" a="1"/>
  <c r="U201" i="16" s="1"/>
  <c r="D201" i="16" a="1"/>
  <c r="D201" i="16" s="1"/>
  <c r="L201" i="16" a="1"/>
  <c r="L201" i="16" s="1"/>
  <c r="V201" i="16" a="1"/>
  <c r="V201" i="16" s="1"/>
  <c r="HH19" i="2" s="1"/>
  <c r="E201" i="16" a="1"/>
  <c r="E201" i="16" s="1"/>
  <c r="M201" i="16" a="1"/>
  <c r="M201" i="16" s="1"/>
  <c r="F201" i="16" a="1"/>
  <c r="F201" i="16" s="1"/>
  <c r="Q201" i="16" a="1"/>
  <c r="Q201" i="16" s="1"/>
  <c r="HC19" i="2" s="1"/>
  <c r="G201" i="16" a="1"/>
  <c r="G201" i="16" s="1"/>
  <c r="H201" i="16" a="1"/>
  <c r="H201" i="16" s="1"/>
  <c r="R201" i="16" a="1"/>
  <c r="R201" i="16" s="1"/>
  <c r="HD19" i="2" s="1"/>
  <c r="GE51" i="2"/>
  <c r="GF50" i="2"/>
  <c r="HB18" i="2"/>
  <c r="GU18" i="2" s="1"/>
  <c r="GY18" i="2"/>
  <c r="GV18" i="2"/>
  <c r="GW17" i="2"/>
  <c r="HG19" i="2"/>
  <c r="HF19" i="2"/>
  <c r="B202" i="16"/>
  <c r="B131" i="2" l="1"/>
  <c r="G131" i="2"/>
  <c r="O202" i="16" a="1"/>
  <c r="O202" i="16" s="1"/>
  <c r="N202" i="16" a="1"/>
  <c r="N202" i="16" s="1"/>
  <c r="P202" i="16" a="1"/>
  <c r="P202" i="16" s="1"/>
  <c r="W202" i="16" a="1"/>
  <c r="W202" i="16" s="1"/>
  <c r="X202" i="16" a="1"/>
  <c r="X202" i="16" s="1"/>
  <c r="Y202" i="16" a="1"/>
  <c r="Y202" i="16" s="1"/>
  <c r="G202" i="16" a="1"/>
  <c r="G202" i="16" s="1"/>
  <c r="H202" i="16" a="1"/>
  <c r="H202" i="16" s="1"/>
  <c r="Q202" i="16" a="1"/>
  <c r="Q202" i="16" s="1"/>
  <c r="I202" i="16" a="1"/>
  <c r="I202" i="16" s="1"/>
  <c r="R202" i="16" a="1"/>
  <c r="R202" i="16" s="1"/>
  <c r="HD20" i="2" s="1"/>
  <c r="S202" i="16" a="1"/>
  <c r="S202" i="16" s="1"/>
  <c r="C202" i="16" a="1"/>
  <c r="C202" i="16" s="1"/>
  <c r="G132" i="2" s="1"/>
  <c r="J202" i="16" a="1"/>
  <c r="J202" i="16" s="1"/>
  <c r="T202" i="16" a="1"/>
  <c r="T202" i="16" s="1"/>
  <c r="D202" i="16" a="1"/>
  <c r="D202" i="16" s="1"/>
  <c r="K202" i="16" a="1"/>
  <c r="K202" i="16" s="1"/>
  <c r="U202" i="16" a="1"/>
  <c r="U202" i="16" s="1"/>
  <c r="HG20" i="2" s="1"/>
  <c r="E202" i="16" a="1"/>
  <c r="E202" i="16" s="1"/>
  <c r="L202" i="16" a="1"/>
  <c r="L202" i="16" s="1"/>
  <c r="V202" i="16" a="1"/>
  <c r="V202" i="16" s="1"/>
  <c r="HH20" i="2" s="1"/>
  <c r="F202" i="16" a="1"/>
  <c r="F202" i="16" s="1"/>
  <c r="M202" i="16" a="1"/>
  <c r="M202" i="16" s="1"/>
  <c r="GE52" i="2"/>
  <c r="GW18" i="2"/>
  <c r="GY19" i="2"/>
  <c r="GV19" i="2"/>
  <c r="GF51" i="2"/>
  <c r="HB19" i="2"/>
  <c r="GU19" i="2" s="1"/>
  <c r="HF20" i="2"/>
  <c r="HE20" i="2"/>
  <c r="GD52" i="2"/>
  <c r="HC20" i="2"/>
  <c r="B203" i="16"/>
  <c r="B132" i="2" l="1"/>
  <c r="P203" i="16" a="1"/>
  <c r="P203" i="16" s="1"/>
  <c r="O203" i="16" a="1"/>
  <c r="O203" i="16" s="1"/>
  <c r="N203" i="16" a="1"/>
  <c r="N203" i="16" s="1"/>
  <c r="X203" i="16" a="1"/>
  <c r="X203" i="16" s="1"/>
  <c r="GE53" i="2" s="1"/>
  <c r="Y203" i="16" a="1"/>
  <c r="Y203" i="16" s="1"/>
  <c r="W203" i="16" a="1"/>
  <c r="W203" i="16" s="1"/>
  <c r="D203" i="16" a="1"/>
  <c r="D203" i="16" s="1"/>
  <c r="L203" i="16" a="1"/>
  <c r="L203" i="16" s="1"/>
  <c r="E203" i="16" a="1"/>
  <c r="E203" i="16" s="1"/>
  <c r="M203" i="16" a="1"/>
  <c r="M203" i="16" s="1"/>
  <c r="F203" i="16" a="1"/>
  <c r="F203" i="16" s="1"/>
  <c r="Q203" i="16" a="1"/>
  <c r="Q203" i="16" s="1"/>
  <c r="HC21" i="2" s="1"/>
  <c r="HC32" i="2" s="1"/>
  <c r="G203" i="16" a="1"/>
  <c r="G203" i="16" s="1"/>
  <c r="R203" i="16" a="1"/>
  <c r="R203" i="16" s="1"/>
  <c r="H203" i="16" a="1"/>
  <c r="H203" i="16" s="1"/>
  <c r="S203" i="16" a="1"/>
  <c r="S203" i="16" s="1"/>
  <c r="HE21" i="2" s="1"/>
  <c r="HE32" i="2" s="1"/>
  <c r="I203" i="16" a="1"/>
  <c r="I203" i="16" s="1"/>
  <c r="T203" i="16" a="1"/>
  <c r="T203" i="16" s="1"/>
  <c r="HF21" i="2" s="1"/>
  <c r="HF32" i="2" s="1"/>
  <c r="J203" i="16" a="1"/>
  <c r="J203" i="16" s="1"/>
  <c r="U203" i="16" a="1"/>
  <c r="U203" i="16" s="1"/>
  <c r="HG21" i="2" s="1"/>
  <c r="HG32" i="2" s="1"/>
  <c r="C203" i="16" a="1"/>
  <c r="C203" i="16" s="1"/>
  <c r="K203" i="16" a="1"/>
  <c r="K203" i="16" s="1"/>
  <c r="V203" i="16" a="1"/>
  <c r="V203" i="16" s="1"/>
  <c r="HH21" i="2" s="1"/>
  <c r="HH32" i="2" s="1"/>
  <c r="GF52" i="2"/>
  <c r="HB20" i="2"/>
  <c r="GU20" i="2" s="1"/>
  <c r="GY20" i="2"/>
  <c r="GV20" i="2"/>
  <c r="GW19" i="2"/>
  <c r="HD21" i="2"/>
  <c r="HD32" i="2" s="1"/>
  <c r="GD53" i="2"/>
  <c r="B204" i="16"/>
  <c r="B133" i="2" l="1"/>
  <c r="G133" i="2"/>
  <c r="N204" i="16" a="1"/>
  <c r="N204" i="16" s="1"/>
  <c r="P204" i="16" a="1"/>
  <c r="P204" i="16" s="1"/>
  <c r="O204" i="16" a="1"/>
  <c r="O204" i="16" s="1"/>
  <c r="W204" i="16" a="1"/>
  <c r="W204" i="16" s="1"/>
  <c r="X204" i="16" a="1"/>
  <c r="X204" i="16" s="1"/>
  <c r="Y204" i="16" a="1"/>
  <c r="Y204" i="16" s="1"/>
  <c r="C204" i="16" a="1"/>
  <c r="C204" i="16" s="1"/>
  <c r="J204" i="16" a="1"/>
  <c r="J204" i="16" s="1"/>
  <c r="T204" i="16" a="1"/>
  <c r="T204" i="16" s="1"/>
  <c r="D204" i="16" a="1"/>
  <c r="D204" i="16" s="1"/>
  <c r="K204" i="16" a="1"/>
  <c r="K204" i="16" s="1"/>
  <c r="U204" i="16" a="1"/>
  <c r="U204" i="16" s="1"/>
  <c r="HG22" i="2" s="1"/>
  <c r="E204" i="16" a="1"/>
  <c r="E204" i="16" s="1"/>
  <c r="V204" i="16" a="1"/>
  <c r="V204" i="16" s="1"/>
  <c r="HH22" i="2" s="1"/>
  <c r="F204" i="16" a="1"/>
  <c r="F204" i="16" s="1"/>
  <c r="L204" i="16" a="1"/>
  <c r="L204" i="16" s="1"/>
  <c r="G204" i="16" a="1"/>
  <c r="G204" i="16" s="1"/>
  <c r="M204" i="16" a="1"/>
  <c r="M204" i="16" s="1"/>
  <c r="Q204" i="16" a="1"/>
  <c r="Q204" i="16" s="1"/>
  <c r="HC22" i="2" s="1"/>
  <c r="H204" i="16" a="1"/>
  <c r="H204" i="16" s="1"/>
  <c r="R204" i="16" a="1"/>
  <c r="R204" i="16" s="1"/>
  <c r="HD22" i="2" s="1"/>
  <c r="S204" i="16" a="1"/>
  <c r="S204" i="16" s="1"/>
  <c r="HE22" i="2" s="1"/>
  <c r="I204" i="16" a="1"/>
  <c r="I204" i="16" s="1"/>
  <c r="GE54" i="2"/>
  <c r="GF53" i="2"/>
  <c r="HB21" i="2"/>
  <c r="GY21" i="2"/>
  <c r="GV21" i="2"/>
  <c r="GW20" i="2"/>
  <c r="HF22" i="2"/>
  <c r="GD54" i="2"/>
  <c r="B205" i="16"/>
  <c r="B134" i="2" l="1"/>
  <c r="G134" i="2"/>
  <c r="P205" i="16" a="1"/>
  <c r="P205" i="16" s="1"/>
  <c r="O205" i="16" a="1"/>
  <c r="O205" i="16" s="1"/>
  <c r="N205" i="16" a="1"/>
  <c r="N205" i="16" s="1"/>
  <c r="Y205" i="16" a="1"/>
  <c r="Y205" i="16" s="1"/>
  <c r="W205" i="16" a="1"/>
  <c r="W205" i="16" s="1"/>
  <c r="X205" i="16" a="1"/>
  <c r="X205" i="16" s="1"/>
  <c r="GE55" i="2" s="1"/>
  <c r="H205" i="16" a="1"/>
  <c r="H205" i="16" s="1"/>
  <c r="S205" i="16" a="1"/>
  <c r="S205" i="16" s="1"/>
  <c r="HE23" i="2" s="1"/>
  <c r="I205" i="16" a="1"/>
  <c r="I205" i="16" s="1"/>
  <c r="T205" i="16" a="1"/>
  <c r="T205" i="16" s="1"/>
  <c r="J205" i="16" a="1"/>
  <c r="J205" i="16" s="1"/>
  <c r="U205" i="16" a="1"/>
  <c r="U205" i="16" s="1"/>
  <c r="HG23" i="2" s="1"/>
  <c r="C205" i="16" a="1"/>
  <c r="C205" i="16" s="1"/>
  <c r="K205" i="16" a="1"/>
  <c r="K205" i="16" s="1"/>
  <c r="V205" i="16" a="1"/>
  <c r="V205" i="16" s="1"/>
  <c r="D205" i="16" a="1"/>
  <c r="D205" i="16" s="1"/>
  <c r="L205" i="16" a="1"/>
  <c r="L205" i="16" s="1"/>
  <c r="E205" i="16" a="1"/>
  <c r="E205" i="16" s="1"/>
  <c r="M205" i="16" a="1"/>
  <c r="M205" i="16" s="1"/>
  <c r="F205" i="16" a="1"/>
  <c r="F205" i="16" s="1"/>
  <c r="Q205" i="16" a="1"/>
  <c r="Q205" i="16" s="1"/>
  <c r="HC23" i="2" s="1"/>
  <c r="G205" i="16" a="1"/>
  <c r="G205" i="16" s="1"/>
  <c r="R205" i="16" a="1"/>
  <c r="R205" i="16" s="1"/>
  <c r="HD23" i="2" s="1"/>
  <c r="GF54" i="2"/>
  <c r="HB22" i="2"/>
  <c r="GU22" i="2" s="1"/>
  <c r="GV22" i="2"/>
  <c r="GY22" i="2"/>
  <c r="GU21" i="2"/>
  <c r="HB32" i="2"/>
  <c r="GW21" i="2"/>
  <c r="HH23" i="2"/>
  <c r="HF23" i="2"/>
  <c r="GD55" i="2"/>
  <c r="B206" i="16"/>
  <c r="GW22" i="2" l="1"/>
  <c r="G135" i="2"/>
  <c r="B135" i="2"/>
  <c r="P206" i="16" a="1"/>
  <c r="P206" i="16" s="1"/>
  <c r="O206" i="16" a="1"/>
  <c r="O206" i="16" s="1"/>
  <c r="N206" i="16" a="1"/>
  <c r="N206" i="16" s="1"/>
  <c r="W206" i="16" a="1"/>
  <c r="W206" i="16" s="1"/>
  <c r="X206" i="16" a="1"/>
  <c r="X206" i="16" s="1"/>
  <c r="Y206" i="16" a="1"/>
  <c r="Y206" i="16" s="1"/>
  <c r="F206" i="16" a="1"/>
  <c r="F206" i="16" s="1"/>
  <c r="M206" i="16" a="1"/>
  <c r="M206" i="16" s="1"/>
  <c r="G206" i="16" a="1"/>
  <c r="G206" i="16" s="1"/>
  <c r="Q206" i="16" a="1"/>
  <c r="Q206" i="16" s="1"/>
  <c r="HC24" i="2" s="1"/>
  <c r="H206" i="16" a="1"/>
  <c r="H206" i="16" s="1"/>
  <c r="R206" i="16" a="1"/>
  <c r="R206" i="16" s="1"/>
  <c r="I206" i="16" a="1"/>
  <c r="I206" i="16" s="1"/>
  <c r="S206" i="16" a="1"/>
  <c r="S206" i="16" s="1"/>
  <c r="HE24" i="2" s="1"/>
  <c r="C206" i="16" a="1"/>
  <c r="C206" i="16" s="1"/>
  <c r="T206" i="16" a="1"/>
  <c r="T206" i="16" s="1"/>
  <c r="HF24" i="2" s="1"/>
  <c r="D206" i="16" a="1"/>
  <c r="D206" i="16" s="1"/>
  <c r="J206" i="16" a="1"/>
  <c r="J206" i="16" s="1"/>
  <c r="U206" i="16" a="1"/>
  <c r="U206" i="16" s="1"/>
  <c r="HG24" i="2" s="1"/>
  <c r="E206" i="16" a="1"/>
  <c r="E206" i="16" s="1"/>
  <c r="K206" i="16" a="1"/>
  <c r="K206" i="16" s="1"/>
  <c r="V206" i="16" a="1"/>
  <c r="V206" i="16" s="1"/>
  <c r="HH24" i="2" s="1"/>
  <c r="L206" i="16" a="1"/>
  <c r="L206" i="16" s="1"/>
  <c r="GF55" i="2"/>
  <c r="HB23" i="2"/>
  <c r="GU23" i="2" s="1"/>
  <c r="GV23" i="2"/>
  <c r="GY23" i="2"/>
  <c r="GE56" i="2"/>
  <c r="HD24" i="2"/>
  <c r="GD56" i="2"/>
  <c r="B207" i="16"/>
  <c r="B136" i="2" l="1"/>
  <c r="G136" i="2"/>
  <c r="N207" i="16" a="1"/>
  <c r="N207" i="16" s="1"/>
  <c r="P207" i="16" a="1"/>
  <c r="P207" i="16" s="1"/>
  <c r="O207" i="16" a="1"/>
  <c r="O207" i="16" s="1"/>
  <c r="X207" i="16" a="1"/>
  <c r="X207" i="16" s="1"/>
  <c r="Y207" i="16" a="1"/>
  <c r="Y207" i="16" s="1"/>
  <c r="W207" i="16" a="1"/>
  <c r="W207" i="16" s="1"/>
  <c r="GD57" i="2" s="1"/>
  <c r="D207" i="16" a="1"/>
  <c r="D207" i="16" s="1"/>
  <c r="L207" i="16" a="1"/>
  <c r="L207" i="16" s="1"/>
  <c r="E207" i="16" a="1"/>
  <c r="E207" i="16" s="1"/>
  <c r="M207" i="16" a="1"/>
  <c r="M207" i="16" s="1"/>
  <c r="F207" i="16" a="1"/>
  <c r="F207" i="16" s="1"/>
  <c r="Q207" i="16" a="1"/>
  <c r="Q207" i="16" s="1"/>
  <c r="HC25" i="2" s="1"/>
  <c r="G207" i="16" a="1"/>
  <c r="G207" i="16" s="1"/>
  <c r="R207" i="16" a="1"/>
  <c r="R207" i="16" s="1"/>
  <c r="HD25" i="2" s="1"/>
  <c r="H207" i="16" a="1"/>
  <c r="H207" i="16" s="1"/>
  <c r="S207" i="16" a="1"/>
  <c r="S207" i="16" s="1"/>
  <c r="HE25" i="2" s="1"/>
  <c r="I207" i="16" a="1"/>
  <c r="I207" i="16" s="1"/>
  <c r="T207" i="16" a="1"/>
  <c r="T207" i="16" s="1"/>
  <c r="HF25" i="2" s="1"/>
  <c r="J207" i="16" a="1"/>
  <c r="J207" i="16" s="1"/>
  <c r="U207" i="16" a="1"/>
  <c r="U207" i="16" s="1"/>
  <c r="HG25" i="2" s="1"/>
  <c r="C207" i="16" a="1"/>
  <c r="C207" i="16" s="1"/>
  <c r="V207" i="16" a="1"/>
  <c r="V207" i="16" s="1"/>
  <c r="HH25" i="2" s="1"/>
  <c r="K207" i="16" a="1"/>
  <c r="K207" i="16" s="1"/>
  <c r="GW23" i="2"/>
  <c r="GF56" i="2"/>
  <c r="HB24" i="2"/>
  <c r="GU24" i="2" s="1"/>
  <c r="GY24" i="2"/>
  <c r="GV24" i="2"/>
  <c r="GE57" i="2"/>
  <c r="B208" i="16"/>
  <c r="B137" i="2" l="1"/>
  <c r="G137" i="2"/>
  <c r="P208" i="16" a="1"/>
  <c r="P208" i="16" s="1"/>
  <c r="O208" i="16" a="1"/>
  <c r="O208" i="16" s="1"/>
  <c r="N208" i="16" a="1"/>
  <c r="N208" i="16" s="1"/>
  <c r="W208" i="16" a="1"/>
  <c r="W208" i="16" s="1"/>
  <c r="X208" i="16" a="1"/>
  <c r="X208" i="16" s="1"/>
  <c r="Y208" i="16" a="1"/>
  <c r="Y208" i="16" s="1"/>
  <c r="C208" i="16" a="1"/>
  <c r="C208" i="16" s="1"/>
  <c r="I208" i="16" a="1"/>
  <c r="I208" i="16" s="1"/>
  <c r="R208" i="16" a="1"/>
  <c r="R208" i="16" s="1"/>
  <c r="HD26" i="2" s="1"/>
  <c r="J208" i="16" a="1"/>
  <c r="J208" i="16" s="1"/>
  <c r="D208" i="16" a="1"/>
  <c r="D208" i="16" s="1"/>
  <c r="K208" i="16" a="1"/>
  <c r="K208" i="16" s="1"/>
  <c r="S208" i="16" a="1"/>
  <c r="S208" i="16" s="1"/>
  <c r="E208" i="16" a="1"/>
  <c r="E208" i="16" s="1"/>
  <c r="T208" i="16" a="1"/>
  <c r="T208" i="16" s="1"/>
  <c r="F208" i="16" a="1"/>
  <c r="F208" i="16" s="1"/>
  <c r="L208" i="16" a="1"/>
  <c r="L208" i="16" s="1"/>
  <c r="U208" i="16" a="1"/>
  <c r="U208" i="16" s="1"/>
  <c r="HG26" i="2" s="1"/>
  <c r="G208" i="16" a="1"/>
  <c r="G208" i="16" s="1"/>
  <c r="M208" i="16" a="1"/>
  <c r="M208" i="16" s="1"/>
  <c r="V208" i="16" a="1"/>
  <c r="V208" i="16" s="1"/>
  <c r="HH26" i="2" s="1"/>
  <c r="H208" i="16" a="1"/>
  <c r="H208" i="16" s="1"/>
  <c r="Q208" i="16" a="1"/>
  <c r="Q208" i="16" s="1"/>
  <c r="HC26" i="2" s="1"/>
  <c r="GW24" i="2"/>
  <c r="GY25" i="2"/>
  <c r="GV25" i="2"/>
  <c r="GF57" i="2"/>
  <c r="HB25" i="2"/>
  <c r="GU25" i="2" s="1"/>
  <c r="GE58" i="2"/>
  <c r="HF26" i="2"/>
  <c r="HE26" i="2"/>
  <c r="GD58" i="2"/>
  <c r="B209" i="16"/>
  <c r="B138" i="2" l="1"/>
  <c r="G138" i="2"/>
  <c r="P209" i="16" a="1"/>
  <c r="P209" i="16" s="1"/>
  <c r="O209" i="16" a="1"/>
  <c r="O209" i="16" s="1"/>
  <c r="N209" i="16" a="1"/>
  <c r="N209" i="16" s="1"/>
  <c r="X209" i="16" a="1"/>
  <c r="X209" i="16" s="1"/>
  <c r="Y209" i="16" a="1"/>
  <c r="Y209" i="16" s="1"/>
  <c r="W209" i="16" a="1"/>
  <c r="W209" i="16" s="1"/>
  <c r="GD59" i="2" s="1"/>
  <c r="K209" i="16" a="1"/>
  <c r="K209" i="16" s="1"/>
  <c r="T209" i="16" a="1"/>
  <c r="T209" i="16" s="1"/>
  <c r="HF27" i="2" s="1"/>
  <c r="E209" i="16" a="1"/>
  <c r="E209" i="16" s="1"/>
  <c r="L209" i="16" a="1"/>
  <c r="L209" i="16" s="1"/>
  <c r="U209" i="16" a="1"/>
  <c r="U209" i="16" s="1"/>
  <c r="HG27" i="2" s="1"/>
  <c r="F209" i="16" a="1"/>
  <c r="F209" i="16" s="1"/>
  <c r="V209" i="16" a="1"/>
  <c r="V209" i="16" s="1"/>
  <c r="HH27" i="2" s="1"/>
  <c r="G209" i="16" a="1"/>
  <c r="G209" i="16" s="1"/>
  <c r="M209" i="16" a="1"/>
  <c r="M209" i="16" s="1"/>
  <c r="H209" i="16" a="1"/>
  <c r="H209" i="16" s="1"/>
  <c r="Q209" i="16" a="1"/>
  <c r="Q209" i="16" s="1"/>
  <c r="HC27" i="2" s="1"/>
  <c r="I209" i="16" a="1"/>
  <c r="I209" i="16" s="1"/>
  <c r="C209" i="16" a="1"/>
  <c r="C209" i="16" s="1"/>
  <c r="J209" i="16" a="1"/>
  <c r="J209" i="16" s="1"/>
  <c r="R209" i="16" a="1"/>
  <c r="R209" i="16" s="1"/>
  <c r="HD27" i="2" s="1"/>
  <c r="D209" i="16" a="1"/>
  <c r="D209" i="16" s="1"/>
  <c r="S209" i="16" a="1"/>
  <c r="S209" i="16" s="1"/>
  <c r="HE27" i="2" s="1"/>
  <c r="GY26" i="2"/>
  <c r="GV26" i="2"/>
  <c r="GF58" i="2"/>
  <c r="HB26" i="2"/>
  <c r="GU26" i="2" s="1"/>
  <c r="GW25" i="2"/>
  <c r="GE59" i="2"/>
  <c r="B210" i="16"/>
  <c r="B139" i="2" l="1"/>
  <c r="G139" i="2"/>
  <c r="N210" i="16" a="1"/>
  <c r="N210" i="16" s="1"/>
  <c r="P210" i="16" a="1"/>
  <c r="P210" i="16" s="1"/>
  <c r="O210" i="16" a="1"/>
  <c r="O210" i="16" s="1"/>
  <c r="W210" i="16" a="1"/>
  <c r="W210" i="16" s="1"/>
  <c r="X210" i="16" a="1"/>
  <c r="X210" i="16" s="1"/>
  <c r="Y210" i="16" a="1"/>
  <c r="Y210" i="16" s="1"/>
  <c r="H210" i="16" a="1"/>
  <c r="H210" i="16" s="1"/>
  <c r="I210" i="16" a="1"/>
  <c r="I210" i="16" s="1"/>
  <c r="Q210" i="16" a="1"/>
  <c r="Q210" i="16" s="1"/>
  <c r="HC28" i="2" s="1"/>
  <c r="R210" i="16" a="1"/>
  <c r="R210" i="16" s="1"/>
  <c r="HD28" i="2" s="1"/>
  <c r="C210" i="16" a="1"/>
  <c r="C210" i="16" s="1"/>
  <c r="J210" i="16" a="1"/>
  <c r="J210" i="16" s="1"/>
  <c r="S210" i="16" a="1"/>
  <c r="S210" i="16" s="1"/>
  <c r="HE28" i="2" s="1"/>
  <c r="D210" i="16" a="1"/>
  <c r="D210" i="16" s="1"/>
  <c r="K210" i="16" a="1"/>
  <c r="K210" i="16" s="1"/>
  <c r="T210" i="16" a="1"/>
  <c r="T210" i="16" s="1"/>
  <c r="HF28" i="2" s="1"/>
  <c r="E210" i="16" a="1"/>
  <c r="E210" i="16" s="1"/>
  <c r="U210" i="16" a="1"/>
  <c r="U210" i="16" s="1"/>
  <c r="HG28" i="2" s="1"/>
  <c r="F210" i="16" a="1"/>
  <c r="F210" i="16" s="1"/>
  <c r="L210" i="16" a="1"/>
  <c r="L210" i="16" s="1"/>
  <c r="V210" i="16" a="1"/>
  <c r="V210" i="16" s="1"/>
  <c r="HH28" i="2" s="1"/>
  <c r="G210" i="16" a="1"/>
  <c r="G210" i="16" s="1"/>
  <c r="M210" i="16" a="1"/>
  <c r="M210" i="16" s="1"/>
  <c r="GV27" i="2"/>
  <c r="GY27" i="2"/>
  <c r="GF59" i="2"/>
  <c r="HB27" i="2"/>
  <c r="GU27" i="2" s="1"/>
  <c r="GW26" i="2"/>
  <c r="GE60" i="2"/>
  <c r="GD60" i="2"/>
  <c r="GF60" i="2"/>
  <c r="B211" i="16"/>
  <c r="HB28" i="2" l="1"/>
  <c r="GU28" i="2" s="1"/>
  <c r="B140" i="2"/>
  <c r="G140" i="2"/>
  <c r="P211" i="16" a="1"/>
  <c r="P211" i="16" s="1"/>
  <c r="O211" i="16" a="1"/>
  <c r="O211" i="16" s="1"/>
  <c r="N211" i="16" a="1"/>
  <c r="N211" i="16" s="1"/>
  <c r="Y211" i="16" a="1"/>
  <c r="Y211" i="16" s="1"/>
  <c r="W211" i="16" a="1"/>
  <c r="W211" i="16" s="1"/>
  <c r="GD61" i="2" s="1"/>
  <c r="X211" i="16" a="1"/>
  <c r="X211" i="16" s="1"/>
  <c r="D211" i="16" a="1"/>
  <c r="D211" i="16" s="1"/>
  <c r="T211" i="16" a="1"/>
  <c r="T211" i="16" s="1"/>
  <c r="HF29" i="2" s="1"/>
  <c r="E211" i="16" a="1"/>
  <c r="E211" i="16" s="1"/>
  <c r="K211" i="16" a="1"/>
  <c r="K211" i="16" s="1"/>
  <c r="U211" i="16" a="1"/>
  <c r="U211" i="16" s="1"/>
  <c r="HG29" i="2" s="1"/>
  <c r="F211" i="16" a="1"/>
  <c r="F211" i="16" s="1"/>
  <c r="L211" i="16" a="1"/>
  <c r="L211" i="16" s="1"/>
  <c r="G211" i="16" a="1"/>
  <c r="G211" i="16" s="1"/>
  <c r="V211" i="16" a="1"/>
  <c r="V211" i="16" s="1"/>
  <c r="HH29" i="2" s="1"/>
  <c r="H211" i="16" a="1"/>
  <c r="H211" i="16" s="1"/>
  <c r="M211" i="16" a="1"/>
  <c r="M211" i="16" s="1"/>
  <c r="Q211" i="16" a="1"/>
  <c r="Q211" i="16" s="1"/>
  <c r="HC29" i="2" s="1"/>
  <c r="I211" i="16" a="1"/>
  <c r="I211" i="16" s="1"/>
  <c r="R211" i="16" a="1"/>
  <c r="R211" i="16" s="1"/>
  <c r="HD29" i="2" s="1"/>
  <c r="J211" i="16" a="1"/>
  <c r="J211" i="16" s="1"/>
  <c r="C211" i="16" a="1"/>
  <c r="C211" i="16" s="1"/>
  <c r="S211" i="16" a="1"/>
  <c r="S211" i="16" s="1"/>
  <c r="HE29" i="2" s="1"/>
  <c r="GW27" i="2"/>
  <c r="GV28" i="2"/>
  <c r="GY28" i="2"/>
  <c r="GW28" i="2" s="1"/>
  <c r="GE61" i="2"/>
  <c r="B212" i="16"/>
  <c r="HB29" i="2" l="1"/>
  <c r="GU29" i="2" s="1"/>
  <c r="B141" i="2"/>
  <c r="G141" i="2"/>
  <c r="GF61" i="2"/>
  <c r="P212" i="16" a="1"/>
  <c r="P212" i="16" s="1"/>
  <c r="O212" i="16" a="1"/>
  <c r="O212" i="16" s="1"/>
  <c r="N212" i="16" a="1"/>
  <c r="N212" i="16" s="1"/>
  <c r="W212" i="16" a="1"/>
  <c r="W212" i="16" s="1"/>
  <c r="GD62" i="2" s="1"/>
  <c r="X212" i="16" a="1"/>
  <c r="X212" i="16" s="1"/>
  <c r="Y212" i="16" a="1"/>
  <c r="Y212" i="16" s="1"/>
  <c r="G212" i="16" a="1"/>
  <c r="G212" i="16" s="1"/>
  <c r="M212" i="16" a="1"/>
  <c r="M212" i="16" s="1"/>
  <c r="V212" i="16" a="1"/>
  <c r="V212" i="16" s="1"/>
  <c r="HH30" i="2" s="1"/>
  <c r="H212" i="16" a="1"/>
  <c r="H212" i="16" s="1"/>
  <c r="I212" i="16" a="1"/>
  <c r="I212" i="16" s="1"/>
  <c r="Q212" i="16" a="1"/>
  <c r="Q212" i="16" s="1"/>
  <c r="HC30" i="2" s="1"/>
  <c r="R212" i="16" a="1"/>
  <c r="R212" i="16" s="1"/>
  <c r="HD30" i="2" s="1"/>
  <c r="C212" i="16" a="1"/>
  <c r="C212" i="16" s="1"/>
  <c r="J212" i="16" a="1"/>
  <c r="J212" i="16" s="1"/>
  <c r="S212" i="16" a="1"/>
  <c r="S212" i="16" s="1"/>
  <c r="HE30" i="2" s="1"/>
  <c r="D212" i="16" a="1"/>
  <c r="D212" i="16" s="1"/>
  <c r="K212" i="16" a="1"/>
  <c r="K212" i="16" s="1"/>
  <c r="T212" i="16" a="1"/>
  <c r="T212" i="16" s="1"/>
  <c r="HF30" i="2" s="1"/>
  <c r="E212" i="16" a="1"/>
  <c r="E212" i="16" s="1"/>
  <c r="F212" i="16" a="1"/>
  <c r="F212" i="16" s="1"/>
  <c r="L212" i="16" a="1"/>
  <c r="L212" i="16" s="1"/>
  <c r="U212" i="16" a="1"/>
  <c r="U212" i="16" s="1"/>
  <c r="HG30" i="2" s="1"/>
  <c r="GY29" i="2"/>
  <c r="GV29" i="2"/>
  <c r="GE62" i="2"/>
  <c r="B213" i="16"/>
  <c r="HB30" i="2" l="1"/>
  <c r="GU30" i="2" s="1"/>
  <c r="B142" i="2"/>
  <c r="K142" i="2"/>
  <c r="G142" i="2"/>
  <c r="N213" i="16" a="1"/>
  <c r="N213" i="16" s="1"/>
  <c r="P213" i="16" a="1"/>
  <c r="P213" i="16" s="1"/>
  <c r="O213" i="16" a="1"/>
  <c r="O213" i="16" s="1"/>
  <c r="X213" i="16" a="1"/>
  <c r="X213" i="16" s="1"/>
  <c r="GE63" i="2" s="1"/>
  <c r="Y213" i="16" a="1"/>
  <c r="Y213" i="16" s="1"/>
  <c r="W213" i="16" a="1"/>
  <c r="W213" i="16" s="1"/>
  <c r="C213" i="16" a="1"/>
  <c r="C213" i="16" s="1"/>
  <c r="I213" i="16" a="1"/>
  <c r="I213" i="16" s="1"/>
  <c r="R213" i="16" a="1"/>
  <c r="R213" i="16" s="1"/>
  <c r="D213" i="16" a="1"/>
  <c r="D213" i="16" s="1"/>
  <c r="J213" i="16" a="1"/>
  <c r="J213" i="16" s="1"/>
  <c r="S213" i="16" a="1"/>
  <c r="S213" i="16" s="1"/>
  <c r="E213" i="16" a="1"/>
  <c r="E213" i="16" s="1"/>
  <c r="K213" i="16" a="1"/>
  <c r="K213" i="16" s="1"/>
  <c r="F213" i="16" a="1"/>
  <c r="F213" i="16" s="1"/>
  <c r="L213" i="16" a="1"/>
  <c r="L213" i="16" s="1"/>
  <c r="T213" i="16" a="1"/>
  <c r="T213" i="16" s="1"/>
  <c r="M213" i="16" a="1"/>
  <c r="M213" i="16" s="1"/>
  <c r="U213" i="16" a="1"/>
  <c r="U213" i="16" s="1"/>
  <c r="G213" i="16" a="1"/>
  <c r="G213" i="16" s="1"/>
  <c r="V213" i="16" a="1"/>
  <c r="V213" i="16" s="1"/>
  <c r="H213" i="16" a="1"/>
  <c r="H213" i="16" s="1"/>
  <c r="Q213" i="16" a="1"/>
  <c r="Q213" i="16" s="1"/>
  <c r="GV30" i="2"/>
  <c r="GY30" i="2"/>
  <c r="GF62" i="2"/>
  <c r="GW29" i="2"/>
  <c r="GD63" i="2"/>
  <c r="GF63" i="2"/>
  <c r="B214" i="16"/>
  <c r="B143" i="2" l="1"/>
  <c r="H142" i="2"/>
  <c r="K143" i="2"/>
  <c r="C142" i="2"/>
  <c r="G143" i="2"/>
  <c r="P214" i="16" a="1"/>
  <c r="P214" i="16" s="1"/>
  <c r="O214" i="16" a="1"/>
  <c r="O214" i="16" s="1"/>
  <c r="N214" i="16" a="1"/>
  <c r="N214" i="16" s="1"/>
  <c r="W214" i="16" a="1"/>
  <c r="W214" i="16" s="1"/>
  <c r="X214" i="16" a="1"/>
  <c r="X214" i="16" s="1"/>
  <c r="GE64" i="2" s="1"/>
  <c r="Y214" i="16" a="1"/>
  <c r="Y214" i="16" s="1"/>
  <c r="C214" i="16" a="1"/>
  <c r="C214" i="16" s="1"/>
  <c r="I214" i="16" a="1"/>
  <c r="I214" i="16" s="1"/>
  <c r="R214" i="16" a="1"/>
  <c r="R214" i="16" s="1"/>
  <c r="D214" i="16" a="1"/>
  <c r="D214" i="16" s="1"/>
  <c r="J214" i="16" a="1"/>
  <c r="J214" i="16" s="1"/>
  <c r="E214" i="16" a="1"/>
  <c r="E214" i="16" s="1"/>
  <c r="K214" i="16" a="1"/>
  <c r="K214" i="16" s="1"/>
  <c r="S214" i="16" a="1"/>
  <c r="S214" i="16" s="1"/>
  <c r="L214" i="16" a="1"/>
  <c r="L214" i="16" s="1"/>
  <c r="T214" i="16" a="1"/>
  <c r="T214" i="16" s="1"/>
  <c r="F214" i="16" a="1"/>
  <c r="F214" i="16" s="1"/>
  <c r="M214" i="16" a="1"/>
  <c r="M214" i="16" s="1"/>
  <c r="U214" i="16" a="1"/>
  <c r="U214" i="16" s="1"/>
  <c r="V214" i="16" a="1"/>
  <c r="V214" i="16" s="1"/>
  <c r="G214" i="16" a="1"/>
  <c r="G214" i="16" s="1"/>
  <c r="Q214" i="16" a="1"/>
  <c r="Q214" i="16" s="1"/>
  <c r="H214" i="16" a="1"/>
  <c r="H214" i="16" s="1"/>
  <c r="GW30" i="2"/>
  <c r="GD64" i="2"/>
  <c r="GF64" i="2"/>
  <c r="B215" i="16"/>
  <c r="K144" i="2" l="1"/>
  <c r="C143" i="2"/>
  <c r="H144" i="2"/>
  <c r="H143" i="2"/>
  <c r="B144" i="2"/>
  <c r="G144" i="2"/>
  <c r="P215" i="16" a="1"/>
  <c r="P215" i="16" s="1"/>
  <c r="O215" i="16" a="1"/>
  <c r="O215" i="16" s="1"/>
  <c r="N215" i="16" a="1"/>
  <c r="N215" i="16" s="1"/>
  <c r="X215" i="16" a="1"/>
  <c r="X215" i="16" s="1"/>
  <c r="Y215" i="16" a="1"/>
  <c r="Y215" i="16" s="1"/>
  <c r="W215" i="16" a="1"/>
  <c r="W215" i="16" s="1"/>
  <c r="E215" i="16" a="1"/>
  <c r="E215" i="16" s="1"/>
  <c r="J215" i="16" a="1"/>
  <c r="J215" i="16" s="1"/>
  <c r="S215" i="16" a="1"/>
  <c r="S215" i="16" s="1"/>
  <c r="K215" i="16" a="1"/>
  <c r="K215" i="16" s="1"/>
  <c r="T215" i="16" a="1"/>
  <c r="T215" i="16" s="1"/>
  <c r="F215" i="16" a="1"/>
  <c r="F215" i="16" s="1"/>
  <c r="L215" i="16" a="1"/>
  <c r="L215" i="16" s="1"/>
  <c r="U215" i="16" a="1"/>
  <c r="U215" i="16" s="1"/>
  <c r="V215" i="16" a="1"/>
  <c r="V215" i="16" s="1"/>
  <c r="G215" i="16" a="1"/>
  <c r="G215" i="16" s="1"/>
  <c r="M215" i="16" a="1"/>
  <c r="M215" i="16" s="1"/>
  <c r="H215" i="16" a="1"/>
  <c r="H215" i="16" s="1"/>
  <c r="Q215" i="16" a="1"/>
  <c r="Q215" i="16" s="1"/>
  <c r="C215" i="16" a="1"/>
  <c r="C215" i="16" s="1"/>
  <c r="D215" i="16" a="1"/>
  <c r="D215" i="16" s="1"/>
  <c r="I215" i="16" a="1"/>
  <c r="I215" i="16" s="1"/>
  <c r="R215" i="16" a="1"/>
  <c r="R215" i="16" s="1"/>
  <c r="GE65" i="2"/>
  <c r="GD65" i="2"/>
  <c r="B216" i="16"/>
  <c r="GF65" i="2" l="1"/>
  <c r="B145" i="2"/>
  <c r="K145" i="2"/>
  <c r="C144" i="2"/>
  <c r="G145" i="2"/>
  <c r="O216" i="16" a="1"/>
  <c r="O216" i="16" s="1"/>
  <c r="N216" i="16" a="1"/>
  <c r="N216" i="16" s="1"/>
  <c r="P216" i="16" a="1"/>
  <c r="P216" i="16" s="1"/>
  <c r="W216" i="16" a="1"/>
  <c r="W216" i="16" s="1"/>
  <c r="X216" i="16" a="1"/>
  <c r="X216" i="16" s="1"/>
  <c r="Y216" i="16" a="1"/>
  <c r="Y216" i="16" s="1"/>
  <c r="E216" i="16" a="1"/>
  <c r="E216" i="16" s="1"/>
  <c r="T216" i="16" a="1"/>
  <c r="T216" i="16" s="1"/>
  <c r="F216" i="16" a="1"/>
  <c r="F216" i="16" s="1"/>
  <c r="L216" i="16" a="1"/>
  <c r="L216" i="16" s="1"/>
  <c r="U216" i="16" a="1"/>
  <c r="U216" i="16" s="1"/>
  <c r="G216" i="16" a="1"/>
  <c r="G216" i="16" s="1"/>
  <c r="V216" i="16" a="1"/>
  <c r="V216" i="16" s="1"/>
  <c r="H216" i="16" a="1"/>
  <c r="H216" i="16" s="1"/>
  <c r="M216" i="16" a="1"/>
  <c r="M216" i="16" s="1"/>
  <c r="C216" i="16" a="1"/>
  <c r="C216" i="16" s="1"/>
  <c r="I216" i="16" a="1"/>
  <c r="I216" i="16" s="1"/>
  <c r="Q216" i="16" a="1"/>
  <c r="Q216" i="16" s="1"/>
  <c r="D216" i="16" a="1"/>
  <c r="D216" i="16" s="1"/>
  <c r="J216" i="16" a="1"/>
  <c r="J216" i="16" s="1"/>
  <c r="R216" i="16" a="1"/>
  <c r="R216" i="16" s="1"/>
  <c r="K216" i="16" a="1"/>
  <c r="K216" i="16" s="1"/>
  <c r="S216" i="16" a="1"/>
  <c r="S216" i="16" s="1"/>
  <c r="GE66" i="2"/>
  <c r="GD66" i="2"/>
  <c r="B217" i="16"/>
  <c r="K146" i="2" l="1"/>
  <c r="C145" i="2"/>
  <c r="H145" i="2"/>
  <c r="G146" i="2"/>
  <c r="GF66" i="2"/>
  <c r="B146" i="2"/>
  <c r="H146" i="2"/>
  <c r="P217" i="16" a="1"/>
  <c r="P217" i="16" s="1"/>
  <c r="O217" i="16" a="1"/>
  <c r="O217" i="16" s="1"/>
  <c r="N217" i="16" a="1"/>
  <c r="N217" i="16" s="1"/>
  <c r="X217" i="16" a="1"/>
  <c r="X217" i="16" s="1"/>
  <c r="Y217" i="16" a="1"/>
  <c r="Y217" i="16" s="1"/>
  <c r="W217" i="16" a="1"/>
  <c r="W217" i="16" s="1"/>
  <c r="F217" i="16" a="1"/>
  <c r="F217" i="16" s="1"/>
  <c r="G217" i="16" a="1"/>
  <c r="G217" i="16" s="1"/>
  <c r="M217" i="16" a="1"/>
  <c r="M217" i="16" s="1"/>
  <c r="V217" i="16" a="1"/>
  <c r="V217" i="16" s="1"/>
  <c r="H217" i="16" a="1"/>
  <c r="H217" i="16" s="1"/>
  <c r="Q217" i="16" a="1"/>
  <c r="Q217" i="16" s="1"/>
  <c r="C217" i="16" a="1"/>
  <c r="C217" i="16" s="1"/>
  <c r="I217" i="16" a="1"/>
  <c r="I217" i="16" s="1"/>
  <c r="R217" i="16" a="1"/>
  <c r="R217" i="16" s="1"/>
  <c r="J217" i="16" a="1"/>
  <c r="J217" i="16" s="1"/>
  <c r="D217" i="16" a="1"/>
  <c r="D217" i="16" s="1"/>
  <c r="S217" i="16" a="1"/>
  <c r="S217" i="16" s="1"/>
  <c r="K217" i="16" a="1"/>
  <c r="K217" i="16" s="1"/>
  <c r="T217" i="16" a="1"/>
  <c r="T217" i="16" s="1"/>
  <c r="E217" i="16" a="1"/>
  <c r="E217" i="16" s="1"/>
  <c r="L217" i="16" a="1"/>
  <c r="L217" i="16" s="1"/>
  <c r="U217" i="16" a="1"/>
  <c r="U217" i="16" s="1"/>
  <c r="GE67" i="2"/>
  <c r="GD67" i="2"/>
  <c r="B218" i="16"/>
  <c r="B147" i="2" l="1"/>
  <c r="G147" i="2"/>
  <c r="K147" i="2"/>
  <c r="C146" i="2"/>
  <c r="GF67" i="2"/>
  <c r="P218" i="16" a="1"/>
  <c r="P218" i="16" s="1"/>
  <c r="O218" i="16" a="1"/>
  <c r="O218" i="16" s="1"/>
  <c r="N218" i="16" a="1"/>
  <c r="N218" i="16" s="1"/>
  <c r="W218" i="16" a="1"/>
  <c r="W218" i="16" s="1"/>
  <c r="X218" i="16" a="1"/>
  <c r="X218" i="16" s="1"/>
  <c r="Y218" i="16" a="1"/>
  <c r="Y218" i="16" s="1"/>
  <c r="H218" i="16" a="1"/>
  <c r="H218" i="16" s="1"/>
  <c r="M218" i="16" a="1"/>
  <c r="M218" i="16" s="1"/>
  <c r="I218" i="16" a="1"/>
  <c r="I218" i="16" s="1"/>
  <c r="Q218" i="16" a="1"/>
  <c r="Q218" i="16" s="1"/>
  <c r="R218" i="16" a="1"/>
  <c r="R218" i="16" s="1"/>
  <c r="C218" i="16" a="1"/>
  <c r="C218" i="16" s="1"/>
  <c r="J218" i="16" a="1"/>
  <c r="J218" i="16" s="1"/>
  <c r="S218" i="16" a="1"/>
  <c r="S218" i="16" s="1"/>
  <c r="D218" i="16" a="1"/>
  <c r="D218" i="16" s="1"/>
  <c r="T218" i="16" a="1"/>
  <c r="T218" i="16" s="1"/>
  <c r="E218" i="16" a="1"/>
  <c r="E218" i="16" s="1"/>
  <c r="K218" i="16" a="1"/>
  <c r="K218" i="16" s="1"/>
  <c r="U218" i="16" a="1"/>
  <c r="U218" i="16" s="1"/>
  <c r="F218" i="16" a="1"/>
  <c r="F218" i="16" s="1"/>
  <c r="G218" i="16" a="1"/>
  <c r="G218" i="16" s="1"/>
  <c r="L218" i="16" a="1"/>
  <c r="L218" i="16" s="1"/>
  <c r="V218" i="16" a="1"/>
  <c r="V218" i="16" s="1"/>
  <c r="GE68" i="2"/>
  <c r="GD68" i="2"/>
  <c r="B219" i="16"/>
  <c r="B148" i="2" l="1"/>
  <c r="K148" i="2"/>
  <c r="C147" i="2"/>
  <c r="H147" i="2"/>
  <c r="GF68" i="2"/>
  <c r="G148" i="2"/>
  <c r="O219" i="16" a="1"/>
  <c r="O219" i="16" s="1"/>
  <c r="N219" i="16" a="1"/>
  <c r="N219" i="16" s="1"/>
  <c r="P219" i="16" a="1"/>
  <c r="P219" i="16" s="1"/>
  <c r="W219" i="16" a="1"/>
  <c r="W219" i="16" s="1"/>
  <c r="X219" i="16" a="1"/>
  <c r="X219" i="16" s="1"/>
  <c r="Y219" i="16" a="1"/>
  <c r="Y219" i="16" s="1"/>
  <c r="R219" i="16" a="1"/>
  <c r="R219" i="16" s="1"/>
  <c r="C219" i="16" a="1"/>
  <c r="C219" i="16" s="1"/>
  <c r="I219" i="16" a="1"/>
  <c r="I219" i="16" s="1"/>
  <c r="S219" i="16" a="1"/>
  <c r="S219" i="16" s="1"/>
  <c r="D219" i="16" a="1"/>
  <c r="D219" i="16" s="1"/>
  <c r="J219" i="16" a="1"/>
  <c r="J219" i="16" s="1"/>
  <c r="T219" i="16" a="1"/>
  <c r="T219" i="16" s="1"/>
  <c r="E219" i="16" a="1"/>
  <c r="E219" i="16" s="1"/>
  <c r="K219" i="16" a="1"/>
  <c r="K219" i="16" s="1"/>
  <c r="F219" i="16" a="1"/>
  <c r="F219" i="16" s="1"/>
  <c r="L219" i="16" a="1"/>
  <c r="L219" i="16" s="1"/>
  <c r="U219" i="16" a="1"/>
  <c r="U219" i="16" s="1"/>
  <c r="G219" i="16" a="1"/>
  <c r="G219" i="16" s="1"/>
  <c r="M219" i="16" a="1"/>
  <c r="M219" i="16" s="1"/>
  <c r="V219" i="16" a="1"/>
  <c r="V219" i="16" s="1"/>
  <c r="Q219" i="16" a="1"/>
  <c r="Q219" i="16" s="1"/>
  <c r="H219" i="16" a="1"/>
  <c r="H219" i="16" s="1"/>
  <c r="B220" i="16"/>
  <c r="K149" i="2" l="1"/>
  <c r="C148" i="2"/>
  <c r="H148" i="2"/>
  <c r="B149" i="2"/>
  <c r="G149" i="2"/>
  <c r="P220" i="16" a="1"/>
  <c r="P220" i="16" s="1"/>
  <c r="O220" i="16" a="1"/>
  <c r="O220" i="16" s="1"/>
  <c r="N220" i="16" a="1"/>
  <c r="N220" i="16" s="1"/>
  <c r="W220" i="16" a="1"/>
  <c r="W220" i="16" s="1"/>
  <c r="X220" i="16" a="1"/>
  <c r="X220" i="16" s="1"/>
  <c r="Y220" i="16" a="1"/>
  <c r="Y220" i="16" s="1"/>
  <c r="D220" i="16" a="1"/>
  <c r="D220" i="16" s="1"/>
  <c r="E220" i="16" a="1"/>
  <c r="E220" i="16" s="1"/>
  <c r="J220" i="16" a="1"/>
  <c r="J220" i="16" s="1"/>
  <c r="T220" i="16" a="1"/>
  <c r="T220" i="16" s="1"/>
  <c r="F220" i="16" a="1"/>
  <c r="F220" i="16" s="1"/>
  <c r="K220" i="16" a="1"/>
  <c r="K220" i="16" s="1"/>
  <c r="G220" i="16" a="1"/>
  <c r="G220" i="16" s="1"/>
  <c r="L220" i="16" a="1"/>
  <c r="L220" i="16" s="1"/>
  <c r="U220" i="16" a="1"/>
  <c r="U220" i="16" s="1"/>
  <c r="M220" i="16" a="1"/>
  <c r="M220" i="16" s="1"/>
  <c r="V220" i="16" a="1"/>
  <c r="V220" i="16" s="1"/>
  <c r="H220" i="16" a="1"/>
  <c r="H220" i="16" s="1"/>
  <c r="Q220" i="16" a="1"/>
  <c r="Q220" i="16" s="1"/>
  <c r="R220" i="16" a="1"/>
  <c r="R220" i="16" s="1"/>
  <c r="C220" i="16" a="1"/>
  <c r="C220" i="16" s="1"/>
  <c r="I220" i="16" a="1"/>
  <c r="I220" i="16" s="1"/>
  <c r="S220" i="16" a="1"/>
  <c r="S220" i="16" s="1"/>
  <c r="B221" i="16"/>
  <c r="B150" i="2" l="1"/>
  <c r="K150" i="2"/>
  <c r="C149" i="2"/>
  <c r="G150" i="2"/>
  <c r="H149" i="2"/>
  <c r="P221" i="16" a="1"/>
  <c r="P221" i="16" s="1"/>
  <c r="O221" i="16" a="1"/>
  <c r="O221" i="16" s="1"/>
  <c r="N221" i="16" a="1"/>
  <c r="N221" i="16" s="1"/>
  <c r="X221" i="16" a="1"/>
  <c r="X221" i="16" s="1"/>
  <c r="Y221" i="16" a="1"/>
  <c r="Y221" i="16" s="1"/>
  <c r="W221" i="16" a="1"/>
  <c r="W221" i="16" s="1"/>
  <c r="F221" i="16" a="1"/>
  <c r="F221" i="16" s="1"/>
  <c r="L221" i="16" a="1"/>
  <c r="L221" i="16" s="1"/>
  <c r="U221" i="16" a="1"/>
  <c r="U221" i="16" s="1"/>
  <c r="M221" i="16" a="1"/>
  <c r="M221" i="16" s="1"/>
  <c r="V221" i="16" a="1"/>
  <c r="V221" i="16" s="1"/>
  <c r="G221" i="16" a="1"/>
  <c r="G221" i="16" s="1"/>
  <c r="Q221" i="16" a="1"/>
  <c r="Q221" i="16" s="1"/>
  <c r="H221" i="16" a="1"/>
  <c r="H221" i="16" s="1"/>
  <c r="R221" i="16" a="1"/>
  <c r="R221" i="16" s="1"/>
  <c r="C221" i="16" a="1"/>
  <c r="C221" i="16" s="1"/>
  <c r="I221" i="16" a="1"/>
  <c r="I221" i="16" s="1"/>
  <c r="D221" i="16" a="1"/>
  <c r="D221" i="16" s="1"/>
  <c r="J221" i="16" a="1"/>
  <c r="J221" i="16" s="1"/>
  <c r="S221" i="16" a="1"/>
  <c r="S221" i="16" s="1"/>
  <c r="E221" i="16" a="1"/>
  <c r="E221" i="16" s="1"/>
  <c r="K221" i="16" a="1"/>
  <c r="K221" i="16" s="1"/>
  <c r="T221" i="16" a="1"/>
  <c r="T221" i="16" s="1"/>
  <c r="B222" i="16"/>
  <c r="G151" i="2" l="1"/>
  <c r="K151" i="2"/>
  <c r="C150" i="2"/>
  <c r="H150" i="2"/>
  <c r="B151" i="2"/>
  <c r="O222" i="16" a="1"/>
  <c r="O222" i="16" s="1"/>
  <c r="N222" i="16" a="1"/>
  <c r="N222" i="16" s="1"/>
  <c r="P222" i="16" a="1"/>
  <c r="P222" i="16" s="1"/>
  <c r="W222" i="16" a="1"/>
  <c r="W222" i="16" s="1"/>
  <c r="X222" i="16" a="1"/>
  <c r="X222" i="16" s="1"/>
  <c r="Y222" i="16" a="1"/>
  <c r="Y222" i="16" s="1"/>
  <c r="G222" i="16" a="1"/>
  <c r="G222" i="16" s="1"/>
  <c r="Q222" i="16" a="1"/>
  <c r="Q222" i="16" s="1"/>
  <c r="C222" i="16" a="1"/>
  <c r="C222" i="16" s="1"/>
  <c r="H222" i="16" a="1"/>
  <c r="H222" i="16" s="1"/>
  <c r="R222" i="16" a="1"/>
  <c r="R222" i="16" s="1"/>
  <c r="D222" i="16" a="1"/>
  <c r="D222" i="16" s="1"/>
  <c r="I222" i="16" a="1"/>
  <c r="I222" i="16" s="1"/>
  <c r="E222" i="16" a="1"/>
  <c r="E222" i="16" s="1"/>
  <c r="J222" i="16" a="1"/>
  <c r="J222" i="16" s="1"/>
  <c r="S222" i="16" a="1"/>
  <c r="S222" i="16" s="1"/>
  <c r="K222" i="16" a="1"/>
  <c r="K222" i="16" s="1"/>
  <c r="T222" i="16" a="1"/>
  <c r="T222" i="16" s="1"/>
  <c r="F222" i="16" a="1"/>
  <c r="F222" i="16" s="1"/>
  <c r="L222" i="16" a="1"/>
  <c r="L222" i="16" s="1"/>
  <c r="U222" i="16" a="1"/>
  <c r="U222" i="16" s="1"/>
  <c r="V222" i="16" a="1"/>
  <c r="V222" i="16" s="1"/>
  <c r="M222" i="16" a="1"/>
  <c r="M222" i="16" s="1"/>
  <c r="B223" i="16"/>
  <c r="K152" i="2" l="1"/>
  <c r="C151" i="2"/>
  <c r="H151" i="2"/>
  <c r="B152" i="2"/>
  <c r="G152" i="2"/>
  <c r="P223" i="16" a="1"/>
  <c r="P223" i="16" s="1"/>
  <c r="O223" i="16" a="1"/>
  <c r="O223" i="16" s="1"/>
  <c r="N223" i="16" a="1"/>
  <c r="N223" i="16" s="1"/>
  <c r="W223" i="16" a="1"/>
  <c r="W223" i="16" s="1"/>
  <c r="X223" i="16" a="1"/>
  <c r="X223" i="16" s="1"/>
  <c r="Y223" i="16" a="1"/>
  <c r="Y223" i="16" s="1"/>
  <c r="C223" i="16" a="1"/>
  <c r="C223" i="16" s="1"/>
  <c r="G153" i="2" s="1"/>
  <c r="I223" i="16" a="1"/>
  <c r="I223" i="16" s="1"/>
  <c r="R223" i="16" a="1"/>
  <c r="R223" i="16" s="1"/>
  <c r="D223" i="16" a="1"/>
  <c r="D223" i="16" s="1"/>
  <c r="J223" i="16" a="1"/>
  <c r="J223" i="16" s="1"/>
  <c r="S223" i="16" a="1"/>
  <c r="S223" i="16" s="1"/>
  <c r="K223" i="16" a="1"/>
  <c r="K223" i="16" s="1"/>
  <c r="T223" i="16" a="1"/>
  <c r="T223" i="16" s="1"/>
  <c r="E223" i="16" a="1"/>
  <c r="E223" i="16" s="1"/>
  <c r="L223" i="16" a="1"/>
  <c r="L223" i="16" s="1"/>
  <c r="U223" i="16" a="1"/>
  <c r="U223" i="16" s="1"/>
  <c r="F223" i="16" a="1"/>
  <c r="F223" i="16" s="1"/>
  <c r="V223" i="16" a="1"/>
  <c r="V223" i="16" s="1"/>
  <c r="M223" i="16" a="1"/>
  <c r="M223" i="16" s="1"/>
  <c r="G223" i="16" a="1"/>
  <c r="G223" i="16" s="1"/>
  <c r="H223" i="16" a="1"/>
  <c r="H223" i="16" s="1"/>
  <c r="Q223" i="16" a="1"/>
  <c r="Q223" i="16" s="1"/>
  <c r="B224" i="16"/>
  <c r="K153" i="2" l="1"/>
  <c r="C152" i="2"/>
  <c r="H152" i="2"/>
  <c r="B153" i="2"/>
  <c r="P224" i="16" a="1"/>
  <c r="P224" i="16" s="1"/>
  <c r="O224" i="16" a="1"/>
  <c r="O224" i="16" s="1"/>
  <c r="N224" i="16" a="1"/>
  <c r="N224" i="16" s="1"/>
  <c r="X224" i="16" a="1"/>
  <c r="X224" i="16" s="1"/>
  <c r="Y224" i="16" a="1"/>
  <c r="Y224" i="16" s="1"/>
  <c r="W224" i="16" a="1"/>
  <c r="W224" i="16" s="1"/>
  <c r="K224" i="16" a="1"/>
  <c r="K224" i="16" s="1"/>
  <c r="T224" i="16" a="1"/>
  <c r="T224" i="16" s="1"/>
  <c r="E224" i="16" a="1"/>
  <c r="E224" i="16" s="1"/>
  <c r="L224" i="16" a="1"/>
  <c r="L224" i="16" s="1"/>
  <c r="U224" i="16" a="1"/>
  <c r="U224" i="16" s="1"/>
  <c r="V224" i="16" a="1"/>
  <c r="V224" i="16" s="1"/>
  <c r="F224" i="16" a="1"/>
  <c r="F224" i="16" s="1"/>
  <c r="M224" i="16" a="1"/>
  <c r="M224" i="16" s="1"/>
  <c r="G224" i="16" a="1"/>
  <c r="G224" i="16" s="1"/>
  <c r="C224" i="16" a="1"/>
  <c r="C224" i="16" s="1"/>
  <c r="B154" i="2" s="1"/>
  <c r="H224" i="16" a="1"/>
  <c r="H224" i="16" s="1"/>
  <c r="Q224" i="16" a="1"/>
  <c r="Q224" i="16" s="1"/>
  <c r="I224" i="16" a="1"/>
  <c r="I224" i="16" s="1"/>
  <c r="R224" i="16" a="1"/>
  <c r="R224" i="16" s="1"/>
  <c r="D224" i="16" a="1"/>
  <c r="D224" i="16" s="1"/>
  <c r="J224" i="16" a="1"/>
  <c r="J224" i="16" s="1"/>
  <c r="S224" i="16" a="1"/>
  <c r="S224" i="16" s="1"/>
  <c r="B225" i="16"/>
  <c r="G154" i="2" l="1"/>
  <c r="K154" i="2"/>
  <c r="C153" i="2"/>
  <c r="H153" i="2"/>
  <c r="H154" i="2"/>
  <c r="O225" i="16" a="1"/>
  <c r="O225" i="16" s="1"/>
  <c r="N225" i="16" a="1"/>
  <c r="N225" i="16" s="1"/>
  <c r="P225" i="16" a="1"/>
  <c r="P225" i="16" s="1"/>
  <c r="W225" i="16" a="1"/>
  <c r="W225" i="16" s="1"/>
  <c r="X225" i="16" a="1"/>
  <c r="X225" i="16" s="1"/>
  <c r="Y225" i="16" a="1"/>
  <c r="Y225" i="16" s="1"/>
  <c r="F225" i="16" a="1"/>
  <c r="F225" i="16" s="1"/>
  <c r="L225" i="16" a="1"/>
  <c r="L225" i="16" s="1"/>
  <c r="V225" i="16" a="1"/>
  <c r="V225" i="16" s="1"/>
  <c r="G225" i="16" a="1"/>
  <c r="G225" i="16" s="1"/>
  <c r="M225" i="16" a="1"/>
  <c r="M225" i="16" s="1"/>
  <c r="H225" i="16" a="1"/>
  <c r="H225" i="16" s="1"/>
  <c r="Q225" i="16" a="1"/>
  <c r="Q225" i="16" s="1"/>
  <c r="I225" i="16" a="1"/>
  <c r="I225" i="16" s="1"/>
  <c r="R225" i="16" a="1"/>
  <c r="R225" i="16" s="1"/>
  <c r="C225" i="16" a="1"/>
  <c r="C225" i="16" s="1"/>
  <c r="B155" i="2" s="1"/>
  <c r="J225" i="16" a="1"/>
  <c r="J225" i="16" s="1"/>
  <c r="S225" i="16" a="1"/>
  <c r="S225" i="16" s="1"/>
  <c r="D225" i="16" a="1"/>
  <c r="D225" i="16" s="1"/>
  <c r="T225" i="16" a="1"/>
  <c r="T225" i="16" s="1"/>
  <c r="K225" i="16" a="1"/>
  <c r="K225" i="16" s="1"/>
  <c r="U225" i="16" a="1"/>
  <c r="U225" i="16" s="1"/>
  <c r="E225" i="16" a="1"/>
  <c r="E225" i="16" s="1"/>
  <c r="B226" i="16"/>
  <c r="K155" i="2" l="1"/>
  <c r="C154" i="2"/>
  <c r="G155" i="2"/>
  <c r="P226" i="16" a="1"/>
  <c r="P226" i="16" s="1"/>
  <c r="O226" i="16" a="1"/>
  <c r="O226" i="16" s="1"/>
  <c r="N226" i="16" a="1"/>
  <c r="N226" i="16" s="1"/>
  <c r="W226" i="16" a="1"/>
  <c r="W226" i="16" s="1"/>
  <c r="X226" i="16" a="1"/>
  <c r="X226" i="16" s="1"/>
  <c r="Y226" i="16" a="1"/>
  <c r="Y226" i="16" s="1"/>
  <c r="H226" i="16" a="1"/>
  <c r="H226" i="16" s="1"/>
  <c r="Q226" i="16" a="1"/>
  <c r="Q226" i="16" s="1"/>
  <c r="I226" i="16" a="1"/>
  <c r="I226" i="16" s="1"/>
  <c r="R226" i="16" a="1"/>
  <c r="R226" i="16" s="1"/>
  <c r="C226" i="16" a="1"/>
  <c r="C226" i="16" s="1"/>
  <c r="B156" i="2" s="1"/>
  <c r="J226" i="16" a="1"/>
  <c r="J226" i="16" s="1"/>
  <c r="S226" i="16" a="1"/>
  <c r="S226" i="16" s="1"/>
  <c r="T226" i="16" a="1"/>
  <c r="T226" i="16" s="1"/>
  <c r="D226" i="16" a="1"/>
  <c r="D226" i="16" s="1"/>
  <c r="K226" i="16" a="1"/>
  <c r="K226" i="16" s="1"/>
  <c r="E226" i="16" a="1"/>
  <c r="E226" i="16" s="1"/>
  <c r="U226" i="16" a="1"/>
  <c r="U226" i="16" s="1"/>
  <c r="F226" i="16" a="1"/>
  <c r="F226" i="16" s="1"/>
  <c r="L226" i="16" a="1"/>
  <c r="L226" i="16" s="1"/>
  <c r="V226" i="16" a="1"/>
  <c r="V226" i="16" s="1"/>
  <c r="G226" i="16" a="1"/>
  <c r="G226" i="16" s="1"/>
  <c r="M226" i="16" a="1"/>
  <c r="M226" i="16" s="1"/>
  <c r="B227" i="16"/>
  <c r="G156" i="2" l="1"/>
  <c r="K156" i="2"/>
  <c r="C155" i="2"/>
  <c r="H155" i="2"/>
  <c r="N227" i="16" a="1"/>
  <c r="N227" i="16" s="1"/>
  <c r="P227" i="16" a="1"/>
  <c r="P227" i="16" s="1"/>
  <c r="O227" i="16" a="1"/>
  <c r="O227" i="16" s="1"/>
  <c r="W227" i="16" a="1"/>
  <c r="W227" i="16" s="1"/>
  <c r="X227" i="16" a="1"/>
  <c r="X227" i="16" s="1"/>
  <c r="Y227" i="16" a="1"/>
  <c r="Y227" i="16" s="1"/>
  <c r="C227" i="16" a="1"/>
  <c r="C227" i="16" s="1"/>
  <c r="D227" i="16" a="1"/>
  <c r="D227" i="16" s="1"/>
  <c r="J227" i="16" a="1"/>
  <c r="J227" i="16" s="1"/>
  <c r="T227" i="16" a="1"/>
  <c r="T227" i="16" s="1"/>
  <c r="E227" i="16" a="1"/>
  <c r="E227" i="16" s="1"/>
  <c r="K227" i="16" a="1"/>
  <c r="K227" i="16" s="1"/>
  <c r="F227" i="16" a="1"/>
  <c r="F227" i="16" s="1"/>
  <c r="L227" i="16" a="1"/>
  <c r="L227" i="16" s="1"/>
  <c r="U227" i="16" a="1"/>
  <c r="U227" i="16" s="1"/>
  <c r="G227" i="16" a="1"/>
  <c r="G227" i="16" s="1"/>
  <c r="M227" i="16" a="1"/>
  <c r="M227" i="16" s="1"/>
  <c r="H227" i="16" a="1"/>
  <c r="H227" i="16" s="1"/>
  <c r="Q227" i="16" a="1"/>
  <c r="Q227" i="16" s="1"/>
  <c r="V227" i="16" a="1"/>
  <c r="V227" i="16" s="1"/>
  <c r="R227" i="16" a="1"/>
  <c r="R227" i="16" s="1"/>
  <c r="I227" i="16" a="1"/>
  <c r="I227" i="16" s="1"/>
  <c r="S227" i="16" a="1"/>
  <c r="S227" i="16" s="1"/>
  <c r="B228" i="16"/>
  <c r="C156" i="2" l="1"/>
  <c r="H156" i="2"/>
  <c r="O228" i="16" a="1"/>
  <c r="O228" i="16" s="1"/>
  <c r="N228" i="16" a="1"/>
  <c r="N228" i="16" s="1"/>
  <c r="P228" i="16" a="1"/>
  <c r="P228" i="16" s="1"/>
  <c r="W228" i="16" a="1"/>
  <c r="W228" i="16" s="1"/>
  <c r="X228" i="16" a="1"/>
  <c r="X228" i="16" s="1"/>
  <c r="Y228" i="16" a="1"/>
  <c r="Y228" i="16" s="1"/>
  <c r="E228" i="16" a="1"/>
  <c r="E228" i="16" s="1"/>
  <c r="K228" i="16" a="1"/>
  <c r="K228" i="16" s="1"/>
  <c r="F228" i="16" a="1"/>
  <c r="F228" i="16" s="1"/>
  <c r="L228" i="16" a="1"/>
  <c r="L228" i="16" s="1"/>
  <c r="U228" i="16" a="1"/>
  <c r="U228" i="16" s="1"/>
  <c r="G228" i="16" a="1"/>
  <c r="G228" i="16" s="1"/>
  <c r="M228" i="16" a="1"/>
  <c r="M228" i="16" s="1"/>
  <c r="V228" i="16" a="1"/>
  <c r="V228" i="16" s="1"/>
  <c r="H228" i="16" a="1"/>
  <c r="H228" i="16" s="1"/>
  <c r="Q228" i="16" a="1"/>
  <c r="Q228" i="16" s="1"/>
  <c r="R228" i="16" a="1"/>
  <c r="R228" i="16" s="1"/>
  <c r="I228" i="16" a="1"/>
  <c r="I228" i="16" s="1"/>
  <c r="C228" i="16" a="1"/>
  <c r="C228" i="16" s="1"/>
  <c r="S228" i="16" a="1"/>
  <c r="S228" i="16" s="1"/>
  <c r="T228" i="16" a="1"/>
  <c r="T228" i="16" s="1"/>
  <c r="J228" i="16" a="1"/>
  <c r="J228" i="16" s="1"/>
  <c r="D228" i="16" a="1"/>
  <c r="D228" i="16" s="1"/>
  <c r="B229" i="16"/>
  <c r="P229" i="16" l="1" a="1"/>
  <c r="P229" i="16" s="1"/>
  <c r="O229" i="16" a="1"/>
  <c r="O229" i="16" s="1"/>
  <c r="N229" i="16" a="1"/>
  <c r="N229" i="16" s="1"/>
  <c r="W229" i="16" a="1"/>
  <c r="W229" i="16" s="1"/>
  <c r="X229" i="16" a="1"/>
  <c r="X229" i="16" s="1"/>
  <c r="Y229" i="16" a="1"/>
  <c r="Y229" i="16" s="1"/>
  <c r="G229" i="16" a="1"/>
  <c r="G229" i="16" s="1"/>
  <c r="Q229" i="16" a="1"/>
  <c r="Q229" i="16" s="1"/>
  <c r="V229" i="16" a="1"/>
  <c r="V229" i="16" s="1"/>
  <c r="H229" i="16" a="1"/>
  <c r="H229" i="16" s="1"/>
  <c r="R229" i="16" a="1"/>
  <c r="R229" i="16" s="1"/>
  <c r="C229" i="16" a="1"/>
  <c r="C229" i="16" s="1"/>
  <c r="I229" i="16" a="1"/>
  <c r="I229" i="16" s="1"/>
  <c r="D229" i="16" a="1"/>
  <c r="D229" i="16" s="1"/>
  <c r="J229" i="16" a="1"/>
  <c r="J229" i="16" s="1"/>
  <c r="S229" i="16" a="1"/>
  <c r="S229" i="16" s="1"/>
  <c r="E229" i="16" a="1"/>
  <c r="E229" i="16" s="1"/>
  <c r="K229" i="16" a="1"/>
  <c r="K229" i="16" s="1"/>
  <c r="F229" i="16" a="1"/>
  <c r="F229" i="16" s="1"/>
  <c r="L229" i="16" a="1"/>
  <c r="L229" i="16" s="1"/>
  <c r="T229" i="16" a="1"/>
  <c r="T229" i="16" s="1"/>
  <c r="M229" i="16" a="1"/>
  <c r="M229" i="16" s="1"/>
  <c r="U229" i="16" a="1"/>
  <c r="U229" i="16" s="1"/>
  <c r="B230" i="16"/>
  <c r="N230" i="16" l="1" a="1"/>
  <c r="N230" i="16" s="1"/>
  <c r="P230" i="16" a="1"/>
  <c r="P230" i="16" s="1"/>
  <c r="O230" i="16" a="1"/>
  <c r="O230" i="16" s="1"/>
  <c r="W230" i="16" a="1"/>
  <c r="W230" i="16" s="1"/>
  <c r="X230" i="16" a="1"/>
  <c r="X230" i="16" s="1"/>
  <c r="Y230" i="16" a="1"/>
  <c r="Y230" i="16" s="1"/>
  <c r="H230" i="16" a="1"/>
  <c r="H230" i="16" s="1"/>
  <c r="R230" i="16" a="1"/>
  <c r="R230" i="16" s="1"/>
  <c r="C230" i="16" a="1"/>
  <c r="C230" i="16" s="1"/>
  <c r="I230" i="16" a="1"/>
  <c r="I230" i="16" s="1"/>
  <c r="D230" i="16" a="1"/>
  <c r="D230" i="16" s="1"/>
  <c r="J230" i="16" a="1"/>
  <c r="J230" i="16" s="1"/>
  <c r="S230" i="16" a="1"/>
  <c r="S230" i="16" s="1"/>
  <c r="E230" i="16" a="1"/>
  <c r="E230" i="16" s="1"/>
  <c r="K230" i="16" a="1"/>
  <c r="K230" i="16" s="1"/>
  <c r="T230" i="16" a="1"/>
  <c r="T230" i="16" s="1"/>
  <c r="F230" i="16" a="1"/>
  <c r="F230" i="16" s="1"/>
  <c r="L230" i="16" a="1"/>
  <c r="L230" i="16" s="1"/>
  <c r="U230" i="16" a="1"/>
  <c r="U230" i="16" s="1"/>
  <c r="M230" i="16" a="1"/>
  <c r="M230" i="16" s="1"/>
  <c r="V230" i="16" a="1"/>
  <c r="V230" i="16" s="1"/>
  <c r="G230" i="16" a="1"/>
  <c r="G230" i="16" s="1"/>
  <c r="Q230" i="16" a="1"/>
  <c r="Q230" i="16" s="1"/>
  <c r="B231" i="16"/>
  <c r="O231" i="16" l="1" a="1"/>
  <c r="O231" i="16" s="1"/>
  <c r="N231" i="16" a="1"/>
  <c r="N231" i="16" s="1"/>
  <c r="P231" i="16" a="1"/>
  <c r="P231" i="16" s="1"/>
  <c r="W231" i="16" a="1"/>
  <c r="W231" i="16" s="1"/>
  <c r="X231" i="16" a="1"/>
  <c r="X231" i="16" s="1"/>
  <c r="Y231" i="16" a="1"/>
  <c r="Y231" i="16" s="1"/>
  <c r="K231" i="16" a="1"/>
  <c r="K231" i="16" s="1"/>
  <c r="S231" i="16" a="1"/>
  <c r="S231" i="16" s="1"/>
  <c r="E231" i="16" a="1"/>
  <c r="E231" i="16" s="1"/>
  <c r="L231" i="16" a="1"/>
  <c r="L231" i="16" s="1"/>
  <c r="T231" i="16" a="1"/>
  <c r="T231" i="16" s="1"/>
  <c r="U231" i="16" a="1"/>
  <c r="U231" i="16" s="1"/>
  <c r="F231" i="16" a="1"/>
  <c r="F231" i="16" s="1"/>
  <c r="M231" i="16" a="1"/>
  <c r="M231" i="16" s="1"/>
  <c r="V231" i="16" a="1"/>
  <c r="V231" i="16" s="1"/>
  <c r="G231" i="16" a="1"/>
  <c r="G231" i="16" s="1"/>
  <c r="H231" i="16" a="1"/>
  <c r="H231" i="16" s="1"/>
  <c r="Q231" i="16" a="1"/>
  <c r="Q231" i="16" s="1"/>
  <c r="C231" i="16" a="1"/>
  <c r="C231" i="16" s="1"/>
  <c r="I231" i="16" a="1"/>
  <c r="I231" i="16" s="1"/>
  <c r="R231" i="16" a="1"/>
  <c r="R231" i="16" s="1"/>
  <c r="J231" i="16" a="1"/>
  <c r="J231" i="16" s="1"/>
  <c r="D231" i="16" a="1"/>
  <c r="D231" i="16" s="1"/>
  <c r="B232" i="16"/>
  <c r="P232" i="16" l="1" a="1"/>
  <c r="P232" i="16" s="1"/>
  <c r="O232" i="16" a="1"/>
  <c r="O232" i="16" s="1"/>
  <c r="N232" i="16" a="1"/>
  <c r="N232" i="16" s="1"/>
  <c r="X232" i="16" a="1"/>
  <c r="X232" i="16" s="1"/>
  <c r="Y232" i="16" a="1"/>
  <c r="Y232" i="16" s="1"/>
  <c r="W232" i="16" a="1"/>
  <c r="W232" i="16" s="1"/>
  <c r="L232" i="16" a="1"/>
  <c r="L232" i="16" s="1"/>
  <c r="V232" i="16" a="1"/>
  <c r="V232" i="16" s="1"/>
  <c r="F232" i="16" a="1"/>
  <c r="F232" i="16" s="1"/>
  <c r="M232" i="16" a="1"/>
  <c r="M232" i="16" s="1"/>
  <c r="G232" i="16" a="1"/>
  <c r="G232" i="16" s="1"/>
  <c r="H232" i="16" a="1"/>
  <c r="H232" i="16" s="1"/>
  <c r="Q232" i="16" a="1"/>
  <c r="Q232" i="16" s="1"/>
  <c r="C232" i="16" a="1"/>
  <c r="C232" i="16" s="1"/>
  <c r="I232" i="16" a="1"/>
  <c r="I232" i="16" s="1"/>
  <c r="R232" i="16" a="1"/>
  <c r="R232" i="16" s="1"/>
  <c r="D232" i="16" a="1"/>
  <c r="D232" i="16" s="1"/>
  <c r="J232" i="16" a="1"/>
  <c r="J232" i="16" s="1"/>
  <c r="S232" i="16" a="1"/>
  <c r="S232" i="16" s="1"/>
  <c r="K232" i="16" a="1"/>
  <c r="K232" i="16" s="1"/>
  <c r="T232" i="16" a="1"/>
  <c r="T232" i="16" s="1"/>
  <c r="E232" i="16" a="1"/>
  <c r="E232" i="16" s="1"/>
  <c r="U232" i="16" a="1"/>
  <c r="U232" i="16" s="1"/>
  <c r="B233" i="16"/>
  <c r="N233" i="16" l="1" a="1"/>
  <c r="N233" i="16" s="1"/>
  <c r="P233" i="16" a="1"/>
  <c r="P233" i="16" s="1"/>
  <c r="O233" i="16" a="1"/>
  <c r="O233" i="16" s="1"/>
  <c r="W233" i="16" a="1"/>
  <c r="W233" i="16" s="1"/>
  <c r="X233" i="16" a="1"/>
  <c r="X233" i="16" s="1"/>
  <c r="Y233" i="16" a="1"/>
  <c r="Y233" i="16" s="1"/>
  <c r="H233" i="16" a="1"/>
  <c r="H233" i="16" s="1"/>
  <c r="M233" i="16" a="1"/>
  <c r="M233" i="16" s="1"/>
  <c r="I233" i="16" a="1"/>
  <c r="I233" i="16" s="1"/>
  <c r="Q233" i="16" a="1"/>
  <c r="Q233" i="16" s="1"/>
  <c r="C233" i="16" a="1"/>
  <c r="C233" i="16" s="1"/>
  <c r="J233" i="16" a="1"/>
  <c r="J233" i="16" s="1"/>
  <c r="R233" i="16" a="1"/>
  <c r="R233" i="16" s="1"/>
  <c r="S233" i="16" a="1"/>
  <c r="S233" i="16" s="1"/>
  <c r="D233" i="16" a="1"/>
  <c r="D233" i="16" s="1"/>
  <c r="K233" i="16" a="1"/>
  <c r="K233" i="16" s="1"/>
  <c r="T233" i="16" a="1"/>
  <c r="T233" i="16" s="1"/>
  <c r="E233" i="16" a="1"/>
  <c r="E233" i="16" s="1"/>
  <c r="U233" i="16" a="1"/>
  <c r="U233" i="16" s="1"/>
  <c r="F233" i="16" a="1"/>
  <c r="F233" i="16" s="1"/>
  <c r="L233" i="16" a="1"/>
  <c r="L233" i="16" s="1"/>
  <c r="V233" i="16" a="1"/>
  <c r="V233" i="16" s="1"/>
  <c r="G233" i="16" a="1"/>
  <c r="G233" i="16" s="1"/>
  <c r="B234" i="16"/>
  <c r="O234" i="16" l="1" a="1"/>
  <c r="O234" i="16" s="1"/>
  <c r="N234" i="16" a="1"/>
  <c r="N234" i="16" s="1"/>
  <c r="P234" i="16" a="1"/>
  <c r="P234" i="16" s="1"/>
  <c r="X234" i="16" a="1"/>
  <c r="X234" i="16" s="1"/>
  <c r="Y234" i="16" a="1"/>
  <c r="Y234" i="16" s="1"/>
  <c r="W234" i="16" a="1"/>
  <c r="W234" i="16" s="1"/>
  <c r="C234" i="16" a="1"/>
  <c r="C234" i="16" s="1"/>
  <c r="S234" i="16" a="1"/>
  <c r="S234" i="16" s="1"/>
  <c r="J234" i="16" a="1"/>
  <c r="J234" i="16" s="1"/>
  <c r="T234" i="16" a="1"/>
  <c r="T234" i="16" s="1"/>
  <c r="D234" i="16" a="1"/>
  <c r="D234" i="16" s="1"/>
  <c r="K234" i="16" a="1"/>
  <c r="K234" i="16" s="1"/>
  <c r="E234" i="16" a="1"/>
  <c r="E234" i="16" s="1"/>
  <c r="U234" i="16" a="1"/>
  <c r="U234" i="16" s="1"/>
  <c r="F234" i="16" a="1"/>
  <c r="F234" i="16" s="1"/>
  <c r="L234" i="16" a="1"/>
  <c r="L234" i="16" s="1"/>
  <c r="G234" i="16" a="1"/>
  <c r="G234" i="16" s="1"/>
  <c r="M234" i="16" a="1"/>
  <c r="M234" i="16" s="1"/>
  <c r="V234" i="16" a="1"/>
  <c r="V234" i="16" s="1"/>
  <c r="H234" i="16" a="1"/>
  <c r="H234" i="16" s="1"/>
  <c r="Q234" i="16" a="1"/>
  <c r="Q234" i="16" s="1"/>
  <c r="R234" i="16" a="1"/>
  <c r="R234" i="16" s="1"/>
  <c r="I234" i="16" a="1"/>
  <c r="I234" i="16" s="1"/>
  <c r="B235" i="16"/>
  <c r="P235" i="16" l="1" a="1"/>
  <c r="P235" i="16" s="1"/>
  <c r="O235" i="16" a="1"/>
  <c r="O235" i="16" s="1"/>
  <c r="N235" i="16" a="1"/>
  <c r="N235" i="16" s="1"/>
  <c r="W235" i="16" a="1"/>
  <c r="W235" i="16" s="1"/>
  <c r="X235" i="16" a="1"/>
  <c r="X235" i="16" s="1"/>
  <c r="Y235" i="16" a="1"/>
  <c r="Y235" i="16" s="1"/>
  <c r="E235" i="16" a="1"/>
  <c r="E235" i="16" s="1"/>
  <c r="F235" i="16" a="1"/>
  <c r="F235" i="16" s="1"/>
  <c r="K235" i="16" a="1"/>
  <c r="K235" i="16" s="1"/>
  <c r="U235" i="16" a="1"/>
  <c r="U235" i="16" s="1"/>
  <c r="G235" i="16" a="1"/>
  <c r="G235" i="16" s="1"/>
  <c r="L235" i="16" a="1"/>
  <c r="L235" i="16" s="1"/>
  <c r="H235" i="16" a="1"/>
  <c r="H235" i="16" s="1"/>
  <c r="M235" i="16" a="1"/>
  <c r="M235" i="16" s="1"/>
  <c r="V235" i="16" a="1"/>
  <c r="V235" i="16" s="1"/>
  <c r="Q235" i="16" a="1"/>
  <c r="Q235" i="16" s="1"/>
  <c r="I235" i="16" a="1"/>
  <c r="I235" i="16" s="1"/>
  <c r="R235" i="16" a="1"/>
  <c r="R235" i="16" s="1"/>
  <c r="C235" i="16" a="1"/>
  <c r="C235" i="16" s="1"/>
  <c r="S235" i="16" a="1"/>
  <c r="S235" i="16" s="1"/>
  <c r="D235" i="16" a="1"/>
  <c r="D235" i="16" s="1"/>
  <c r="J235" i="16" a="1"/>
  <c r="J235" i="16" s="1"/>
  <c r="T235" i="16" a="1"/>
  <c r="T235" i="16" s="1"/>
  <c r="B236" i="16"/>
  <c r="N236" i="16" l="1" a="1"/>
  <c r="N236" i="16" s="1"/>
  <c r="P236" i="16" a="1"/>
  <c r="P236" i="16" s="1"/>
  <c r="O236" i="16" a="1"/>
  <c r="O236" i="16" s="1"/>
  <c r="X236" i="16" a="1"/>
  <c r="X236" i="16" s="1"/>
  <c r="Y236" i="16" a="1"/>
  <c r="Y236" i="16" s="1"/>
  <c r="W236" i="16" a="1"/>
  <c r="W236" i="16" s="1"/>
  <c r="G236" i="16" a="1"/>
  <c r="G236" i="16" s="1"/>
  <c r="M236" i="16" a="1"/>
  <c r="M236" i="16" s="1"/>
  <c r="V236" i="16" a="1"/>
  <c r="V236" i="16" s="1"/>
  <c r="Q236" i="16" a="1"/>
  <c r="Q236" i="16" s="1"/>
  <c r="H236" i="16" a="1"/>
  <c r="H236" i="16" s="1"/>
  <c r="R236" i="16" a="1"/>
  <c r="R236" i="16" s="1"/>
  <c r="I236" i="16" a="1"/>
  <c r="I236" i="16" s="1"/>
  <c r="C236" i="16" a="1"/>
  <c r="C236" i="16" s="1"/>
  <c r="S236" i="16" a="1"/>
  <c r="S236" i="16" s="1"/>
  <c r="D236" i="16" a="1"/>
  <c r="D236" i="16" s="1"/>
  <c r="J236" i="16" a="1"/>
  <c r="J236" i="16" s="1"/>
  <c r="E236" i="16" a="1"/>
  <c r="E236" i="16" s="1"/>
  <c r="K236" i="16" a="1"/>
  <c r="K236" i="16" s="1"/>
  <c r="T236" i="16" a="1"/>
  <c r="T236" i="16" s="1"/>
  <c r="F236" i="16" a="1"/>
  <c r="F236" i="16" s="1"/>
  <c r="L236" i="16" a="1"/>
  <c r="L236" i="16" s="1"/>
  <c r="U236" i="16" a="1"/>
  <c r="U236" i="16" s="1"/>
  <c r="B237" i="16"/>
  <c r="P237" i="16" l="1" a="1"/>
  <c r="P237" i="16" s="1"/>
  <c r="O237" i="16" a="1"/>
  <c r="O237" i="16" s="1"/>
  <c r="N237" i="16" a="1"/>
  <c r="N237" i="16" s="1"/>
  <c r="W237" i="16" a="1"/>
  <c r="W237" i="16" s="1"/>
  <c r="X237" i="16" a="1"/>
  <c r="X237" i="16" s="1"/>
  <c r="Y237" i="16" a="1"/>
  <c r="Y237" i="16" s="1"/>
  <c r="H237" i="16" a="1"/>
  <c r="H237" i="16" s="1"/>
  <c r="R237" i="16" a="1"/>
  <c r="R237" i="16" s="1"/>
  <c r="C237" i="16" a="1"/>
  <c r="C237" i="16" s="1"/>
  <c r="D237" i="16" a="1"/>
  <c r="D237" i="16" s="1"/>
  <c r="I237" i="16" a="1"/>
  <c r="I237" i="16" s="1"/>
  <c r="S237" i="16" a="1"/>
  <c r="S237" i="16" s="1"/>
  <c r="E237" i="16" a="1"/>
  <c r="E237" i="16" s="1"/>
  <c r="J237" i="16" a="1"/>
  <c r="J237" i="16" s="1"/>
  <c r="F237" i="16" a="1"/>
  <c r="F237" i="16" s="1"/>
  <c r="K237" i="16" a="1"/>
  <c r="K237" i="16" s="1"/>
  <c r="T237" i="16" a="1"/>
  <c r="T237" i="16" s="1"/>
  <c r="L237" i="16" a="1"/>
  <c r="L237" i="16" s="1"/>
  <c r="U237" i="16" a="1"/>
  <c r="U237" i="16" s="1"/>
  <c r="G237" i="16" a="1"/>
  <c r="G237" i="16" s="1"/>
  <c r="M237" i="16" a="1"/>
  <c r="M237" i="16" s="1"/>
  <c r="V237" i="16" a="1"/>
  <c r="V237" i="16" s="1"/>
  <c r="Q237" i="16" a="1"/>
  <c r="Q237" i="16" s="1"/>
  <c r="B238" i="16"/>
  <c r="P238" i="16" l="1" a="1"/>
  <c r="P238" i="16" s="1"/>
  <c r="O238" i="16" a="1"/>
  <c r="O238" i="16" s="1"/>
  <c r="N238" i="16" a="1"/>
  <c r="N238" i="16" s="1"/>
  <c r="Y238" i="16" a="1"/>
  <c r="Y238" i="16" s="1"/>
  <c r="W238" i="16" a="1"/>
  <c r="W238" i="16" s="1"/>
  <c r="X238" i="16" a="1"/>
  <c r="X238" i="16" s="1"/>
  <c r="D238" i="16" a="1"/>
  <c r="D238" i="16" s="1"/>
  <c r="J238" i="16" a="1"/>
  <c r="J238" i="16" s="1"/>
  <c r="S238" i="16" a="1"/>
  <c r="S238" i="16" s="1"/>
  <c r="E238" i="16" a="1"/>
  <c r="E238" i="16" s="1"/>
  <c r="K238" i="16" a="1"/>
  <c r="K238" i="16" s="1"/>
  <c r="T238" i="16" a="1"/>
  <c r="T238" i="16" s="1"/>
  <c r="L238" i="16" a="1"/>
  <c r="L238" i="16" s="1"/>
  <c r="U238" i="16" a="1"/>
  <c r="U238" i="16" s="1"/>
  <c r="F238" i="16" a="1"/>
  <c r="F238" i="16" s="1"/>
  <c r="M238" i="16" a="1"/>
  <c r="M238" i="16" s="1"/>
  <c r="V238" i="16" a="1"/>
  <c r="V238" i="16" s="1"/>
  <c r="G238" i="16" a="1"/>
  <c r="G238" i="16" s="1"/>
  <c r="Q238" i="16" a="1"/>
  <c r="Q238" i="16" s="1"/>
  <c r="H238" i="16" a="1"/>
  <c r="H238" i="16" s="1"/>
  <c r="C238" i="16" a="1"/>
  <c r="C238" i="16" s="1"/>
  <c r="I238" i="16" a="1"/>
  <c r="I238" i="16" s="1"/>
  <c r="R238" i="16" a="1"/>
  <c r="R238" i="16" s="1"/>
  <c r="B239" i="16"/>
  <c r="N239" i="16" l="1" a="1"/>
  <c r="N239" i="16" s="1"/>
  <c r="P239" i="16" a="1"/>
  <c r="P239" i="16" s="1"/>
  <c r="O239" i="16" a="1"/>
  <c r="O239" i="16" s="1"/>
  <c r="W239" i="16" a="1"/>
  <c r="W239" i="16" s="1"/>
  <c r="X239" i="16" a="1"/>
  <c r="X239" i="16" s="1"/>
  <c r="Y239" i="16" a="1"/>
  <c r="Y239" i="16" s="1"/>
  <c r="L239" i="16" a="1"/>
  <c r="L239" i="16" s="1"/>
  <c r="U239" i="16" a="1"/>
  <c r="U239" i="16" s="1"/>
  <c r="F239" i="16" a="1"/>
  <c r="F239" i="16" s="1"/>
  <c r="M239" i="16" a="1"/>
  <c r="M239" i="16" s="1"/>
  <c r="V239" i="16" a="1"/>
  <c r="V239" i="16" s="1"/>
  <c r="G239" i="16" a="1"/>
  <c r="G239" i="16" s="1"/>
  <c r="Q239" i="16" a="1"/>
  <c r="Q239" i="16" s="1"/>
  <c r="C239" i="16" a="1"/>
  <c r="C239" i="16" s="1"/>
  <c r="H239" i="16" a="1"/>
  <c r="H239" i="16" s="1"/>
  <c r="D239" i="16" a="1"/>
  <c r="D239" i="16" s="1"/>
  <c r="I239" i="16" a="1"/>
  <c r="I239" i="16" s="1"/>
  <c r="R239" i="16" a="1"/>
  <c r="R239" i="16" s="1"/>
  <c r="J239" i="16" a="1"/>
  <c r="J239" i="16" s="1"/>
  <c r="S239" i="16" a="1"/>
  <c r="S239" i="16" s="1"/>
  <c r="E239" i="16" a="1"/>
  <c r="E239" i="16" s="1"/>
  <c r="K239" i="16" a="1"/>
  <c r="K239" i="16" s="1"/>
  <c r="T239" i="16" a="1"/>
  <c r="T239" i="16" s="1"/>
  <c r="B240" i="16"/>
  <c r="P240" i="16" l="1" a="1"/>
  <c r="P240" i="16" s="1"/>
  <c r="O240" i="16" a="1"/>
  <c r="O240" i="16" s="1"/>
  <c r="N240" i="16" a="1"/>
  <c r="N240" i="16" s="1"/>
  <c r="Y240" i="16" a="1"/>
  <c r="Y240" i="16" s="1"/>
  <c r="W240" i="16" a="1"/>
  <c r="W240" i="16" s="1"/>
  <c r="X240" i="16" a="1"/>
  <c r="X240" i="16" s="1"/>
  <c r="G240" i="16" a="1"/>
  <c r="G240" i="16" s="1"/>
  <c r="M240" i="16" a="1"/>
  <c r="M240" i="16" s="1"/>
  <c r="H240" i="16" a="1"/>
  <c r="H240" i="16" s="1"/>
  <c r="Q240" i="16" a="1"/>
  <c r="Q240" i="16" s="1"/>
  <c r="C240" i="16" a="1"/>
  <c r="C240" i="16" s="1"/>
  <c r="I240" i="16" a="1"/>
  <c r="I240" i="16" s="1"/>
  <c r="R240" i="16" a="1"/>
  <c r="R240" i="16" s="1"/>
  <c r="J240" i="16" a="1"/>
  <c r="J240" i="16" s="1"/>
  <c r="S240" i="16" a="1"/>
  <c r="S240" i="16" s="1"/>
  <c r="D240" i="16" a="1"/>
  <c r="D240" i="16" s="1"/>
  <c r="K240" i="16" a="1"/>
  <c r="K240" i="16" s="1"/>
  <c r="T240" i="16" a="1"/>
  <c r="T240" i="16" s="1"/>
  <c r="E240" i="16" a="1"/>
  <c r="E240" i="16" s="1"/>
  <c r="U240" i="16" a="1"/>
  <c r="U240" i="16" s="1"/>
  <c r="L240" i="16" a="1"/>
  <c r="L240" i="16" s="1"/>
  <c r="V240" i="16" a="1"/>
  <c r="V240" i="16" s="1"/>
  <c r="F240" i="16" a="1"/>
  <c r="F240" i="16" s="1"/>
  <c r="B241" i="16"/>
  <c r="P241" i="16" l="1" a="1"/>
  <c r="P241" i="16" s="1"/>
  <c r="O241" i="16" a="1"/>
  <c r="O241" i="16" s="1"/>
  <c r="N241" i="16" a="1"/>
  <c r="N241" i="16" s="1"/>
  <c r="W241" i="16" a="1"/>
  <c r="W241" i="16" s="1"/>
  <c r="X241" i="16" a="1"/>
  <c r="X241" i="16" s="1"/>
  <c r="Y241" i="16" a="1"/>
  <c r="Y241" i="16" s="1"/>
  <c r="C241" i="16" a="1"/>
  <c r="C241" i="16" s="1"/>
  <c r="I241" i="16" a="1"/>
  <c r="I241" i="16" s="1"/>
  <c r="R241" i="16" a="1"/>
  <c r="R241" i="16" s="1"/>
  <c r="J241" i="16" a="1"/>
  <c r="J241" i="16" s="1"/>
  <c r="S241" i="16" a="1"/>
  <c r="S241" i="16" s="1"/>
  <c r="D241" i="16" a="1"/>
  <c r="D241" i="16" s="1"/>
  <c r="K241" i="16" a="1"/>
  <c r="K241" i="16" s="1"/>
  <c r="T241" i="16" a="1"/>
  <c r="T241" i="16" s="1"/>
  <c r="U241" i="16" a="1"/>
  <c r="U241" i="16" s="1"/>
  <c r="E241" i="16" a="1"/>
  <c r="E241" i="16" s="1"/>
  <c r="L241" i="16" a="1"/>
  <c r="L241" i="16" s="1"/>
  <c r="F241" i="16" a="1"/>
  <c r="F241" i="16" s="1"/>
  <c r="V241" i="16" a="1"/>
  <c r="V241" i="16" s="1"/>
  <c r="G241" i="16" a="1"/>
  <c r="G241" i="16" s="1"/>
  <c r="M241" i="16" a="1"/>
  <c r="M241" i="16" s="1"/>
  <c r="H241" i="16" a="1"/>
  <c r="H241" i="16" s="1"/>
  <c r="Q241" i="16" a="1"/>
  <c r="Q241" i="16" s="1"/>
  <c r="B242" i="16"/>
  <c r="N242" i="16" l="1" a="1"/>
  <c r="N242" i="16" s="1"/>
  <c r="P242" i="16" a="1"/>
  <c r="P242" i="16" s="1"/>
  <c r="O242" i="16" a="1"/>
  <c r="O242" i="16" s="1"/>
  <c r="W242" i="16" a="1"/>
  <c r="W242" i="16" s="1"/>
  <c r="X242" i="16" a="1"/>
  <c r="X242" i="16" s="1"/>
  <c r="Y242" i="16" a="1"/>
  <c r="Y242" i="16" s="1"/>
  <c r="D242" i="16" a="1"/>
  <c r="D242" i="16" s="1"/>
  <c r="E242" i="16" a="1"/>
  <c r="E242" i="16" s="1"/>
  <c r="K242" i="16" a="1"/>
  <c r="K242" i="16" s="1"/>
  <c r="U242" i="16" a="1"/>
  <c r="U242" i="16" s="1"/>
  <c r="F242" i="16" a="1"/>
  <c r="F242" i="16" s="1"/>
  <c r="L242" i="16" a="1"/>
  <c r="L242" i="16" s="1"/>
  <c r="G242" i="16" a="1"/>
  <c r="G242" i="16" s="1"/>
  <c r="M242" i="16" a="1"/>
  <c r="M242" i="16" s="1"/>
  <c r="V242" i="16" a="1"/>
  <c r="V242" i="16" s="1"/>
  <c r="H242" i="16" a="1"/>
  <c r="H242" i="16" s="1"/>
  <c r="Q242" i="16" a="1"/>
  <c r="Q242" i="16" s="1"/>
  <c r="I242" i="16" a="1"/>
  <c r="I242" i="16" s="1"/>
  <c r="R242" i="16" a="1"/>
  <c r="R242" i="16" s="1"/>
  <c r="C242" i="16" a="1"/>
  <c r="C242" i="16" s="1"/>
  <c r="S242" i="16" a="1"/>
  <c r="S242" i="16" s="1"/>
  <c r="J242" i="16" a="1"/>
  <c r="J242" i="16" s="1"/>
  <c r="T242" i="16" a="1"/>
  <c r="T242" i="16" s="1"/>
  <c r="B243" i="16"/>
  <c r="P243" i="16" l="1" a="1"/>
  <c r="P243" i="16" s="1"/>
  <c r="O243" i="16" a="1"/>
  <c r="O243" i="16" s="1"/>
  <c r="N243" i="16" a="1"/>
  <c r="N243" i="16" s="1"/>
  <c r="W243" i="16" a="1"/>
  <c r="W243" i="16" s="1"/>
  <c r="X243" i="16" a="1"/>
  <c r="X243" i="16" s="1"/>
  <c r="Y243" i="16" a="1"/>
  <c r="Y243" i="16" s="1"/>
  <c r="F243" i="16" a="1"/>
  <c r="F243" i="16" s="1"/>
  <c r="L243" i="16" a="1"/>
  <c r="L243" i="16" s="1"/>
  <c r="G243" i="16" a="1"/>
  <c r="G243" i="16" s="1"/>
  <c r="M243" i="16" a="1"/>
  <c r="M243" i="16" s="1"/>
  <c r="V243" i="16" a="1"/>
  <c r="V243" i="16" s="1"/>
  <c r="H243" i="16" a="1"/>
  <c r="H243" i="16" s="1"/>
  <c r="Q243" i="16" a="1"/>
  <c r="Q243" i="16" s="1"/>
  <c r="I243" i="16" a="1"/>
  <c r="I243" i="16" s="1"/>
  <c r="R243" i="16" a="1"/>
  <c r="R243" i="16" s="1"/>
  <c r="S243" i="16" a="1"/>
  <c r="S243" i="16" s="1"/>
  <c r="C243" i="16" a="1"/>
  <c r="C243" i="16" s="1"/>
  <c r="J243" i="16" a="1"/>
  <c r="J243" i="16" s="1"/>
  <c r="D243" i="16" a="1"/>
  <c r="D243" i="16" s="1"/>
  <c r="T243" i="16" a="1"/>
  <c r="T243" i="16" s="1"/>
  <c r="K243" i="16" a="1"/>
  <c r="K243" i="16" s="1"/>
  <c r="U243" i="16" a="1"/>
  <c r="U243" i="16" s="1"/>
  <c r="E243" i="16" a="1"/>
  <c r="E243" i="16" s="1"/>
  <c r="B244" i="16"/>
  <c r="P244" i="16" l="1" a="1"/>
  <c r="P244" i="16" s="1"/>
  <c r="O244" i="16" a="1"/>
  <c r="O244" i="16" s="1"/>
  <c r="N244" i="16" a="1"/>
  <c r="N244" i="16" s="1"/>
  <c r="W244" i="16" a="1"/>
  <c r="W244" i="16" s="1"/>
  <c r="X244" i="16" a="1"/>
  <c r="X244" i="16" s="1"/>
  <c r="Y244" i="16" a="1"/>
  <c r="Y244" i="16" s="1"/>
  <c r="H244" i="16" a="1"/>
  <c r="H244" i="16" s="1"/>
  <c r="R244" i="16" a="1"/>
  <c r="R244" i="16" s="1"/>
  <c r="C244" i="16" a="1"/>
  <c r="C244" i="16" s="1"/>
  <c r="I244" i="16" a="1"/>
  <c r="I244" i="16" s="1"/>
  <c r="S244" i="16" a="1"/>
  <c r="S244" i="16" s="1"/>
  <c r="D244" i="16" a="1"/>
  <c r="D244" i="16" s="1"/>
  <c r="J244" i="16" a="1"/>
  <c r="J244" i="16" s="1"/>
  <c r="E244" i="16" a="1"/>
  <c r="E244" i="16" s="1"/>
  <c r="K244" i="16" a="1"/>
  <c r="K244" i="16" s="1"/>
  <c r="T244" i="16" a="1"/>
  <c r="T244" i="16" s="1"/>
  <c r="F244" i="16" a="1"/>
  <c r="F244" i="16" s="1"/>
  <c r="L244" i="16" a="1"/>
  <c r="L244" i="16" s="1"/>
  <c r="G244" i="16" a="1"/>
  <c r="G244" i="16" s="1"/>
  <c r="M244" i="16" a="1"/>
  <c r="M244" i="16" s="1"/>
  <c r="U244" i="16" a="1"/>
  <c r="U244" i="16" s="1"/>
  <c r="Q244" i="16" a="1"/>
  <c r="Q244" i="16" s="1"/>
  <c r="V244" i="16" a="1"/>
  <c r="V244" i="16" s="1"/>
  <c r="B245" i="16"/>
  <c r="N245" i="16" l="1" a="1"/>
  <c r="N245" i="16" s="1"/>
  <c r="P245" i="16" a="1"/>
  <c r="P245" i="16" s="1"/>
  <c r="O245" i="16" a="1"/>
  <c r="O245" i="16" s="1"/>
  <c r="W245" i="16" a="1"/>
  <c r="W245" i="16" s="1"/>
  <c r="X245" i="16" a="1"/>
  <c r="X245" i="16" s="1"/>
  <c r="Y245" i="16" a="1"/>
  <c r="Y245" i="16" s="1"/>
  <c r="C245" i="16" a="1"/>
  <c r="C245" i="16" s="1"/>
  <c r="I245" i="16" a="1"/>
  <c r="I245" i="16" s="1"/>
  <c r="S245" i="16" a="1"/>
  <c r="S245" i="16" s="1"/>
  <c r="D245" i="16" a="1"/>
  <c r="D245" i="16" s="1"/>
  <c r="J245" i="16" a="1"/>
  <c r="J245" i="16" s="1"/>
  <c r="E245" i="16" a="1"/>
  <c r="E245" i="16" s="1"/>
  <c r="K245" i="16" a="1"/>
  <c r="K245" i="16" s="1"/>
  <c r="T245" i="16" a="1"/>
  <c r="T245" i="16" s="1"/>
  <c r="F245" i="16" a="1"/>
  <c r="F245" i="16" s="1"/>
  <c r="L245" i="16" a="1"/>
  <c r="L245" i="16" s="1"/>
  <c r="U245" i="16" a="1"/>
  <c r="U245" i="16" s="1"/>
  <c r="G245" i="16" a="1"/>
  <c r="G245" i="16" s="1"/>
  <c r="M245" i="16" a="1"/>
  <c r="M245" i="16" s="1"/>
  <c r="V245" i="16" a="1"/>
  <c r="V245" i="16" s="1"/>
  <c r="Q245" i="16" a="1"/>
  <c r="Q245" i="16" s="1"/>
  <c r="H245" i="16" a="1"/>
  <c r="H245" i="16" s="1"/>
  <c r="R245" i="16" a="1"/>
  <c r="R245" i="16" s="1"/>
  <c r="B246" i="16"/>
  <c r="P246" i="16" l="1" a="1"/>
  <c r="P246" i="16" s="1"/>
  <c r="O246" i="16" a="1"/>
  <c r="O246" i="16" s="1"/>
  <c r="N246" i="16" a="1"/>
  <c r="N246" i="16" s="1"/>
  <c r="W246" i="16" a="1"/>
  <c r="W246" i="16" s="1"/>
  <c r="X246" i="16" a="1"/>
  <c r="X246" i="16" s="1"/>
  <c r="Y246" i="16" a="1"/>
  <c r="Y246" i="16" s="1"/>
  <c r="L246" i="16" a="1"/>
  <c r="L246" i="16" s="1"/>
  <c r="T246" i="16" a="1"/>
  <c r="T246" i="16" s="1"/>
  <c r="F246" i="16" a="1"/>
  <c r="F246" i="16" s="1"/>
  <c r="M246" i="16" a="1"/>
  <c r="M246" i="16" s="1"/>
  <c r="U246" i="16" a="1"/>
  <c r="U246" i="16" s="1"/>
  <c r="V246" i="16" a="1"/>
  <c r="V246" i="16" s="1"/>
  <c r="G246" i="16" a="1"/>
  <c r="G246" i="16" s="1"/>
  <c r="Q246" i="16" a="1"/>
  <c r="Q246" i="16" s="1"/>
  <c r="H246" i="16" a="1"/>
  <c r="H246" i="16" s="1"/>
  <c r="C246" i="16" a="1"/>
  <c r="C246" i="16" s="1"/>
  <c r="I246" i="16" a="1"/>
  <c r="I246" i="16" s="1"/>
  <c r="R246" i="16" a="1"/>
  <c r="R246" i="16" s="1"/>
  <c r="D246" i="16" a="1"/>
  <c r="D246" i="16" s="1"/>
  <c r="J246" i="16" a="1"/>
  <c r="J246" i="16" s="1"/>
  <c r="K246" i="16" a="1"/>
  <c r="K246" i="16" s="1"/>
  <c r="S246" i="16" a="1"/>
  <c r="S246" i="16" s="1"/>
  <c r="E246" i="16" a="1"/>
  <c r="E246" i="16" s="1"/>
  <c r="B247" i="16"/>
  <c r="P247" i="16" l="1" a="1"/>
  <c r="P247" i="16" s="1"/>
  <c r="O247" i="16" a="1"/>
  <c r="O247" i="16" s="1"/>
  <c r="N247" i="16" a="1"/>
  <c r="N247" i="16" s="1"/>
  <c r="W247" i="16" a="1"/>
  <c r="W247" i="16" s="1"/>
  <c r="X247" i="16" a="1"/>
  <c r="X247" i="16" s="1"/>
  <c r="Y247" i="16" a="1"/>
  <c r="Y247" i="16" s="1"/>
  <c r="M247" i="16" a="1"/>
  <c r="M247" i="16" s="1"/>
  <c r="G247" i="16" a="1"/>
  <c r="G247" i="16" s="1"/>
  <c r="Q247" i="16" a="1"/>
  <c r="Q247" i="16" s="1"/>
  <c r="H247" i="16" a="1"/>
  <c r="H247" i="16" s="1"/>
  <c r="C247" i="16" a="1"/>
  <c r="C247" i="16" s="1"/>
  <c r="I247" i="16" a="1"/>
  <c r="I247" i="16" s="1"/>
  <c r="R247" i="16" a="1"/>
  <c r="R247" i="16" s="1"/>
  <c r="D247" i="16" a="1"/>
  <c r="D247" i="16" s="1"/>
  <c r="J247" i="16" a="1"/>
  <c r="J247" i="16" s="1"/>
  <c r="S247" i="16" a="1"/>
  <c r="S247" i="16" s="1"/>
  <c r="E247" i="16" a="1"/>
  <c r="E247" i="16" s="1"/>
  <c r="K247" i="16" a="1"/>
  <c r="K247" i="16" s="1"/>
  <c r="T247" i="16" a="1"/>
  <c r="T247" i="16" s="1"/>
  <c r="L247" i="16" a="1"/>
  <c r="L247" i="16" s="1"/>
  <c r="U247" i="16" a="1"/>
  <c r="U247" i="16" s="1"/>
  <c r="F247" i="16" a="1"/>
  <c r="F247" i="16" s="1"/>
  <c r="V247" i="16" a="1"/>
  <c r="V247" i="16" s="1"/>
  <c r="B248" i="16"/>
  <c r="N248" i="16" l="1" a="1"/>
  <c r="N248" i="16" s="1"/>
  <c r="P248" i="16" a="1"/>
  <c r="P248" i="16" s="1"/>
  <c r="O248" i="16" a="1"/>
  <c r="O248" i="16" s="1"/>
  <c r="W248" i="16" a="1"/>
  <c r="W248" i="16" s="1"/>
  <c r="X248" i="16" a="1"/>
  <c r="X248" i="16" s="1"/>
  <c r="Y248" i="16" a="1"/>
  <c r="Y248" i="16" s="1"/>
  <c r="C248" i="16" a="1"/>
  <c r="C248" i="16" s="1"/>
  <c r="I248" i="16" a="1"/>
  <c r="I248" i="16" s="1"/>
  <c r="Q248" i="16" a="1"/>
  <c r="Q248" i="16" s="1"/>
  <c r="J248" i="16" a="1"/>
  <c r="J248" i="16" s="1"/>
  <c r="R248" i="16" a="1"/>
  <c r="R248" i="16" s="1"/>
  <c r="D248" i="16" a="1"/>
  <c r="D248" i="16" s="1"/>
  <c r="K248" i="16" a="1"/>
  <c r="K248" i="16" s="1"/>
  <c r="S248" i="16" a="1"/>
  <c r="S248" i="16" s="1"/>
  <c r="T248" i="16" a="1"/>
  <c r="T248" i="16" s="1"/>
  <c r="E248" i="16" a="1"/>
  <c r="E248" i="16" s="1"/>
  <c r="L248" i="16" a="1"/>
  <c r="L248" i="16" s="1"/>
  <c r="U248" i="16" a="1"/>
  <c r="U248" i="16" s="1"/>
  <c r="F248" i="16" a="1"/>
  <c r="F248" i="16" s="1"/>
  <c r="V248" i="16" a="1"/>
  <c r="V248" i="16" s="1"/>
  <c r="G248" i="16" a="1"/>
  <c r="G248" i="16" s="1"/>
  <c r="M248" i="16" a="1"/>
  <c r="M248" i="16" s="1"/>
  <c r="H248" i="16" a="1"/>
  <c r="H248" i="16" s="1"/>
  <c r="B249" i="16"/>
  <c r="P249" i="16" l="1" a="1"/>
  <c r="P249" i="16" s="1"/>
  <c r="O249" i="16" a="1"/>
  <c r="O249" i="16" s="1"/>
  <c r="N249" i="16" a="1"/>
  <c r="N249" i="16" s="1"/>
  <c r="X249" i="16" a="1"/>
  <c r="X249" i="16" s="1"/>
  <c r="Y249" i="16" a="1"/>
  <c r="Y249" i="16" s="1"/>
  <c r="W249" i="16" a="1"/>
  <c r="W249" i="16" s="1"/>
  <c r="D249" i="16" a="1"/>
  <c r="D249" i="16" s="1"/>
  <c r="T249" i="16" a="1"/>
  <c r="T249" i="16" s="1"/>
  <c r="K249" i="16" a="1"/>
  <c r="K249" i="16" s="1"/>
  <c r="U249" i="16" a="1"/>
  <c r="U249" i="16" s="1"/>
  <c r="E249" i="16" a="1"/>
  <c r="E249" i="16" s="1"/>
  <c r="L249" i="16" a="1"/>
  <c r="L249" i="16" s="1"/>
  <c r="F249" i="16" a="1"/>
  <c r="F249" i="16" s="1"/>
  <c r="V249" i="16" a="1"/>
  <c r="V249" i="16" s="1"/>
  <c r="G249" i="16" a="1"/>
  <c r="G249" i="16" s="1"/>
  <c r="M249" i="16" a="1"/>
  <c r="M249" i="16" s="1"/>
  <c r="H249" i="16" a="1"/>
  <c r="H249" i="16" s="1"/>
  <c r="Q249" i="16" a="1"/>
  <c r="Q249" i="16" s="1"/>
  <c r="C249" i="16" a="1"/>
  <c r="C249" i="16" s="1"/>
  <c r="I249" i="16" a="1"/>
  <c r="I249" i="16" s="1"/>
  <c r="R249" i="16" a="1"/>
  <c r="R249" i="16" s="1"/>
  <c r="J249" i="16" a="1"/>
  <c r="J249" i="16" s="1"/>
  <c r="S249" i="16" a="1"/>
  <c r="S249" i="16" s="1"/>
  <c r="B250" i="16"/>
  <c r="P250" i="16" l="1" a="1"/>
  <c r="P250" i="16" s="1"/>
  <c r="O250" i="16" a="1"/>
  <c r="O250" i="16" s="1"/>
  <c r="N250" i="16" a="1"/>
  <c r="N250" i="16" s="1"/>
  <c r="W250" i="16" a="1"/>
  <c r="W250" i="16" s="1"/>
  <c r="X250" i="16" a="1"/>
  <c r="X250" i="16" s="1"/>
  <c r="Y250" i="16" a="1"/>
  <c r="Y250" i="16" s="1"/>
  <c r="F250" i="16" a="1"/>
  <c r="F250" i="16" s="1"/>
  <c r="G250" i="16" a="1"/>
  <c r="G250" i="16" s="1"/>
  <c r="L250" i="16" a="1"/>
  <c r="L250" i="16" s="1"/>
  <c r="V250" i="16" a="1"/>
  <c r="V250" i="16" s="1"/>
  <c r="H250" i="16" a="1"/>
  <c r="H250" i="16" s="1"/>
  <c r="M250" i="16" a="1"/>
  <c r="M250" i="16" s="1"/>
  <c r="I250" i="16" a="1"/>
  <c r="I250" i="16" s="1"/>
  <c r="Q250" i="16" a="1"/>
  <c r="Q250" i="16" s="1"/>
  <c r="R250" i="16" a="1"/>
  <c r="R250" i="16" s="1"/>
  <c r="C250" i="16" a="1"/>
  <c r="C250" i="16" s="1"/>
  <c r="J250" i="16" a="1"/>
  <c r="J250" i="16" s="1"/>
  <c r="S250" i="16" a="1"/>
  <c r="S250" i="16" s="1"/>
  <c r="D250" i="16" a="1"/>
  <c r="D250" i="16" s="1"/>
  <c r="T250" i="16" a="1"/>
  <c r="T250" i="16" s="1"/>
  <c r="E250" i="16" a="1"/>
  <c r="E250" i="16" s="1"/>
  <c r="K250" i="16" a="1"/>
  <c r="K250" i="16" s="1"/>
  <c r="U250" i="16" a="1"/>
  <c r="U250" i="16" s="1"/>
  <c r="B251" i="16"/>
  <c r="O251" i="16" l="1" a="1"/>
  <c r="O251" i="16" s="1"/>
  <c r="N251" i="16" a="1"/>
  <c r="N251" i="16" s="1"/>
  <c r="P251" i="16" a="1"/>
  <c r="P251" i="16" s="1"/>
  <c r="X251" i="16" a="1"/>
  <c r="X251" i="16" s="1"/>
  <c r="Y251" i="16" a="1"/>
  <c r="Y251" i="16" s="1"/>
  <c r="W251" i="16" a="1"/>
  <c r="W251" i="16" s="1"/>
  <c r="H251" i="16" a="1"/>
  <c r="H251" i="16" s="1"/>
  <c r="Q251" i="16" a="1"/>
  <c r="Q251" i="16" s="1"/>
  <c r="R251" i="16" a="1"/>
  <c r="R251" i="16" s="1"/>
  <c r="I251" i="16" a="1"/>
  <c r="I251" i="16" s="1"/>
  <c r="S251" i="16" a="1"/>
  <c r="S251" i="16" s="1"/>
  <c r="C251" i="16" a="1"/>
  <c r="C251" i="16" s="1"/>
  <c r="J251" i="16" a="1"/>
  <c r="J251" i="16" s="1"/>
  <c r="D251" i="16" a="1"/>
  <c r="D251" i="16" s="1"/>
  <c r="T251" i="16" a="1"/>
  <c r="T251" i="16" s="1"/>
  <c r="E251" i="16" a="1"/>
  <c r="E251" i="16" s="1"/>
  <c r="K251" i="16" a="1"/>
  <c r="K251" i="16" s="1"/>
  <c r="F251" i="16" a="1"/>
  <c r="F251" i="16" s="1"/>
  <c r="L251" i="16" a="1"/>
  <c r="L251" i="16" s="1"/>
  <c r="U251" i="16" a="1"/>
  <c r="U251" i="16" s="1"/>
  <c r="V251" i="16" a="1"/>
  <c r="V251" i="16" s="1"/>
  <c r="G251" i="16" a="1"/>
  <c r="G251" i="16" s="1"/>
  <c r="M251" i="16" a="1"/>
  <c r="M251" i="16" s="1"/>
  <c r="B252" i="16"/>
  <c r="N252" i="16" l="1" a="1"/>
  <c r="N252" i="16" s="1"/>
  <c r="P252" i="16" a="1"/>
  <c r="P252" i="16" s="1"/>
  <c r="O252" i="16" a="1"/>
  <c r="O252" i="16" s="1"/>
  <c r="W252" i="16" a="1"/>
  <c r="W252" i="16" s="1"/>
  <c r="X252" i="16" a="1"/>
  <c r="X252" i="16" s="1"/>
  <c r="Y252" i="16" a="1"/>
  <c r="Y252" i="16" s="1"/>
  <c r="C252" i="16" a="1"/>
  <c r="C252" i="16" s="1"/>
  <c r="I252" i="16" a="1"/>
  <c r="I252" i="16" s="1"/>
  <c r="S252" i="16" a="1"/>
  <c r="S252" i="16" s="1"/>
  <c r="D252" i="16" a="1"/>
  <c r="D252" i="16" s="1"/>
  <c r="T252" i="16" a="1"/>
  <c r="T252" i="16" s="1"/>
  <c r="E252" i="16" a="1"/>
  <c r="E252" i="16" s="1"/>
  <c r="J252" i="16" a="1"/>
  <c r="J252" i="16" s="1"/>
  <c r="F252" i="16" a="1"/>
  <c r="F252" i="16" s="1"/>
  <c r="K252" i="16" a="1"/>
  <c r="K252" i="16" s="1"/>
  <c r="U252" i="16" a="1"/>
  <c r="U252" i="16" s="1"/>
  <c r="G252" i="16" a="1"/>
  <c r="G252" i="16" s="1"/>
  <c r="L252" i="16" a="1"/>
  <c r="L252" i="16" s="1"/>
  <c r="V252" i="16" a="1"/>
  <c r="V252" i="16" s="1"/>
  <c r="M252" i="16" a="1"/>
  <c r="M252" i="16" s="1"/>
  <c r="H252" i="16" a="1"/>
  <c r="H252" i="16" s="1"/>
  <c r="Q252" i="16" a="1"/>
  <c r="Q252" i="16" s="1"/>
  <c r="R252" i="16" a="1"/>
  <c r="R252" i="16" s="1"/>
  <c r="B253" i="16"/>
  <c r="P253" i="16" l="1" a="1"/>
  <c r="P253" i="16" s="1"/>
  <c r="O253" i="16" a="1"/>
  <c r="O253" i="16" s="1"/>
  <c r="N253" i="16" a="1"/>
  <c r="N253" i="16" s="1"/>
  <c r="Y253" i="16" a="1"/>
  <c r="Y253" i="16" s="1"/>
  <c r="W253" i="16" a="1"/>
  <c r="W253" i="16" s="1"/>
  <c r="X253" i="16" a="1"/>
  <c r="X253" i="16" s="1"/>
  <c r="E253" i="16" a="1"/>
  <c r="E253" i="16" s="1"/>
  <c r="L253" i="16" a="1"/>
  <c r="L253" i="16" s="1"/>
  <c r="U253" i="16" a="1"/>
  <c r="U253" i="16" s="1"/>
  <c r="F253" i="16" a="1"/>
  <c r="F253" i="16" s="1"/>
  <c r="M253" i="16" a="1"/>
  <c r="M253" i="16" s="1"/>
  <c r="V253" i="16" a="1"/>
  <c r="V253" i="16" s="1"/>
  <c r="Q253" i="16" a="1"/>
  <c r="Q253" i="16" s="1"/>
  <c r="G253" i="16" a="1"/>
  <c r="G253" i="16" s="1"/>
  <c r="H253" i="16" a="1"/>
  <c r="H253" i="16" s="1"/>
  <c r="R253" i="16" a="1"/>
  <c r="R253" i="16" s="1"/>
  <c r="I253" i="16" a="1"/>
  <c r="I253" i="16" s="1"/>
  <c r="C253" i="16" a="1"/>
  <c r="C253" i="16" s="1"/>
  <c r="J253" i="16" a="1"/>
  <c r="J253" i="16" s="1"/>
  <c r="S253" i="16" a="1"/>
  <c r="S253" i="16" s="1"/>
  <c r="D253" i="16" a="1"/>
  <c r="D253" i="16" s="1"/>
  <c r="K253" i="16" a="1"/>
  <c r="K253" i="16" s="1"/>
  <c r="T253" i="16" a="1"/>
  <c r="T253" i="16" s="1"/>
  <c r="B254" i="16"/>
  <c r="N254" i="16" l="1" a="1"/>
  <c r="N254" i="16" s="1"/>
  <c r="P254" i="16" a="1"/>
  <c r="P254" i="16" s="1"/>
  <c r="O254" i="16" a="1"/>
  <c r="O254" i="16" s="1"/>
  <c r="W254" i="16" a="1"/>
  <c r="W254" i="16" s="1"/>
  <c r="X254" i="16" a="1"/>
  <c r="X254" i="16" s="1"/>
  <c r="Y254" i="16" a="1"/>
  <c r="Y254" i="16" s="1"/>
  <c r="R254" i="16" a="1"/>
  <c r="R254" i="16" s="1"/>
  <c r="H254" i="16" a="1"/>
  <c r="H254" i="16" s="1"/>
  <c r="C254" i="16" a="1"/>
  <c r="C254" i="16" s="1"/>
  <c r="I254" i="16" a="1"/>
  <c r="I254" i="16" s="1"/>
  <c r="S254" i="16" a="1"/>
  <c r="S254" i="16" s="1"/>
  <c r="D254" i="16" a="1"/>
  <c r="D254" i="16" s="1"/>
  <c r="J254" i="16" a="1"/>
  <c r="J254" i="16" s="1"/>
  <c r="T254" i="16" a="1"/>
  <c r="T254" i="16" s="1"/>
  <c r="E254" i="16" a="1"/>
  <c r="E254" i="16" s="1"/>
  <c r="K254" i="16" a="1"/>
  <c r="K254" i="16" s="1"/>
  <c r="U254" i="16" a="1"/>
  <c r="U254" i="16" s="1"/>
  <c r="F254" i="16" a="1"/>
  <c r="F254" i="16" s="1"/>
  <c r="L254" i="16" a="1"/>
  <c r="L254" i="16" s="1"/>
  <c r="V254" i="16" a="1"/>
  <c r="V254" i="16" s="1"/>
  <c r="M254" i="16" a="1"/>
  <c r="M254" i="16" s="1"/>
  <c r="G254" i="16" a="1"/>
  <c r="G254" i="16" s="1"/>
  <c r="Q254" i="16" a="1"/>
  <c r="Q254" i="16" s="1"/>
  <c r="B255" i="16"/>
  <c r="P255" i="16" l="1" a="1"/>
  <c r="P255" i="16" s="1"/>
  <c r="O255" i="16" a="1"/>
  <c r="O255" i="16" s="1"/>
  <c r="N255" i="16" a="1"/>
  <c r="N255" i="16" s="1"/>
  <c r="Y255" i="16" a="1"/>
  <c r="Y255" i="16" s="1"/>
  <c r="W255" i="16" a="1"/>
  <c r="W255" i="16" s="1"/>
  <c r="X255" i="16" a="1"/>
  <c r="X255" i="16" s="1"/>
  <c r="L255" i="16" a="1"/>
  <c r="L255" i="16" s="1"/>
  <c r="U255" i="16" a="1"/>
  <c r="U255" i="16" s="1"/>
  <c r="E255" i="16" a="1"/>
  <c r="E255" i="16" s="1"/>
  <c r="F255" i="16" a="1"/>
  <c r="F255" i="16" s="1"/>
  <c r="M255" i="16" a="1"/>
  <c r="M255" i="16" s="1"/>
  <c r="V255" i="16" a="1"/>
  <c r="V255" i="16" s="1"/>
  <c r="G255" i="16" a="1"/>
  <c r="G255" i="16" s="1"/>
  <c r="H255" i="16" a="1"/>
  <c r="H255" i="16" s="1"/>
  <c r="Q255" i="16" a="1"/>
  <c r="Q255" i="16" s="1"/>
  <c r="I255" i="16" a="1"/>
  <c r="I255" i="16" s="1"/>
  <c r="R255" i="16" a="1"/>
  <c r="R255" i="16" s="1"/>
  <c r="C255" i="16" a="1"/>
  <c r="C255" i="16" s="1"/>
  <c r="J255" i="16" a="1"/>
  <c r="J255" i="16" s="1"/>
  <c r="S255" i="16" a="1"/>
  <c r="S255" i="16" s="1"/>
  <c r="K255" i="16" a="1"/>
  <c r="K255" i="16" s="1"/>
  <c r="D255" i="16" a="1"/>
  <c r="D255" i="16" s="1"/>
  <c r="T255" i="16" a="1"/>
  <c r="T255" i="16" s="1"/>
  <c r="B256" i="16"/>
  <c r="P256" i="16" l="1" a="1"/>
  <c r="P256" i="16" s="1"/>
  <c r="O256" i="16" a="1"/>
  <c r="O256" i="16" s="1"/>
  <c r="N256" i="16" a="1"/>
  <c r="N256" i="16" s="1"/>
  <c r="W256" i="16" a="1"/>
  <c r="W256" i="16" s="1"/>
  <c r="X256" i="16" a="1"/>
  <c r="X256" i="16" s="1"/>
  <c r="Y256" i="16" a="1"/>
  <c r="Y256" i="16" s="1"/>
  <c r="F256" i="16" a="1"/>
  <c r="F256" i="16" s="1"/>
  <c r="G256" i="16" a="1"/>
  <c r="G256" i="16" s="1"/>
  <c r="Q256" i="16" a="1"/>
  <c r="Q256" i="16" s="1"/>
  <c r="H256" i="16" a="1"/>
  <c r="H256" i="16" s="1"/>
  <c r="R256" i="16" a="1"/>
  <c r="R256" i="16" s="1"/>
  <c r="C256" i="16" a="1"/>
  <c r="C256" i="16" s="1"/>
  <c r="I256" i="16" a="1"/>
  <c r="I256" i="16" s="1"/>
  <c r="D256" i="16" a="1"/>
  <c r="D256" i="16" s="1"/>
  <c r="J256" i="16" a="1"/>
  <c r="J256" i="16" s="1"/>
  <c r="S256" i="16" a="1"/>
  <c r="S256" i="16" s="1"/>
  <c r="K256" i="16" a="1"/>
  <c r="K256" i="16" s="1"/>
  <c r="T256" i="16" a="1"/>
  <c r="T256" i="16" s="1"/>
  <c r="E256" i="16" a="1"/>
  <c r="E256" i="16" s="1"/>
  <c r="L256" i="16" a="1"/>
  <c r="L256" i="16" s="1"/>
  <c r="U256" i="16" a="1"/>
  <c r="U256" i="16" s="1"/>
  <c r="M256" i="16" a="1"/>
  <c r="M256" i="16" s="1"/>
  <c r="V256" i="16" a="1"/>
  <c r="V256" i="16" s="1"/>
  <c r="B257" i="16"/>
  <c r="O257" i="16" l="1" a="1"/>
  <c r="O257" i="16" s="1"/>
  <c r="N257" i="16" a="1"/>
  <c r="N257" i="16" s="1"/>
  <c r="P257" i="16" a="1"/>
  <c r="P257" i="16" s="1"/>
  <c r="Y257" i="16" a="1"/>
  <c r="Y257" i="16" s="1"/>
  <c r="W257" i="16" a="1"/>
  <c r="W257" i="16" s="1"/>
  <c r="X257" i="16" a="1"/>
  <c r="X257" i="16" s="1"/>
  <c r="J257" i="16" a="1"/>
  <c r="J257" i="16" s="1"/>
  <c r="S257" i="16" a="1"/>
  <c r="S257" i="16" s="1"/>
  <c r="C257" i="16" a="1"/>
  <c r="C257" i="16" s="1"/>
  <c r="T257" i="16" a="1"/>
  <c r="T257" i="16" s="1"/>
  <c r="D257" i="16" a="1"/>
  <c r="D257" i="16" s="1"/>
  <c r="K257" i="16" a="1"/>
  <c r="K257" i="16" s="1"/>
  <c r="U257" i="16" a="1"/>
  <c r="U257" i="16" s="1"/>
  <c r="E257" i="16" a="1"/>
  <c r="E257" i="16" s="1"/>
  <c r="V257" i="16" a="1"/>
  <c r="V257" i="16" s="1"/>
  <c r="F257" i="16" a="1"/>
  <c r="F257" i="16" s="1"/>
  <c r="L257" i="16" a="1"/>
  <c r="L257" i="16" s="1"/>
  <c r="G257" i="16" a="1"/>
  <c r="G257" i="16" s="1"/>
  <c r="M257" i="16" a="1"/>
  <c r="M257" i="16" s="1"/>
  <c r="H257" i="16" a="1"/>
  <c r="H257" i="16" s="1"/>
  <c r="Q257" i="16" a="1"/>
  <c r="Q257" i="16" s="1"/>
  <c r="I257" i="16" a="1"/>
  <c r="I257" i="16" s="1"/>
  <c r="R257" i="16" a="1"/>
  <c r="R257" i="16" s="1"/>
  <c r="B258" i="16"/>
  <c r="P258" i="16" l="1" a="1"/>
  <c r="P258" i="16" s="1"/>
  <c r="O258" i="16" a="1"/>
  <c r="O258" i="16" s="1"/>
  <c r="N258" i="16" a="1"/>
  <c r="N258" i="16" s="1"/>
  <c r="W258" i="16" a="1"/>
  <c r="W258" i="16" s="1"/>
  <c r="X258" i="16" a="1"/>
  <c r="X258" i="16" s="1"/>
  <c r="Y258" i="16" a="1"/>
  <c r="Y258" i="16" s="1"/>
  <c r="E258" i="16" a="1"/>
  <c r="E258" i="16" s="1"/>
  <c r="L258" i="16" a="1"/>
  <c r="L258" i="16" s="1"/>
  <c r="U258" i="16" a="1"/>
  <c r="U258" i="16" s="1"/>
  <c r="F258" i="16" a="1"/>
  <c r="F258" i="16" s="1"/>
  <c r="G258" i="16" a="1"/>
  <c r="G258" i="16" s="1"/>
  <c r="H258" i="16" a="1"/>
  <c r="H258" i="16" s="1"/>
  <c r="Q258" i="16" a="1"/>
  <c r="Q258" i="16" s="1"/>
  <c r="I258" i="16" a="1"/>
  <c r="I258" i="16" s="1"/>
  <c r="R258" i="16" a="1"/>
  <c r="R258" i="16" s="1"/>
  <c r="C258" i="16" a="1"/>
  <c r="C258" i="16" s="1"/>
  <c r="J258" i="16" a="1"/>
  <c r="J258" i="16" s="1"/>
  <c r="S258" i="16" a="1"/>
  <c r="S258" i="16" s="1"/>
  <c r="K258" i="16" a="1"/>
  <c r="K258" i="16" s="1"/>
  <c r="T258" i="16" a="1"/>
  <c r="T258" i="16" s="1"/>
  <c r="M258" i="16" a="1"/>
  <c r="M258" i="16" s="1"/>
  <c r="V258" i="16" a="1"/>
  <c r="V258" i="16" s="1"/>
  <c r="D258" i="16" a="1"/>
  <c r="D258" i="16" s="1"/>
  <c r="B259" i="16"/>
  <c r="O259" i="16" l="1" a="1"/>
  <c r="O259" i="16" s="1"/>
  <c r="N259" i="16" a="1"/>
  <c r="N259" i="16" s="1"/>
  <c r="P259" i="16" a="1"/>
  <c r="P259" i="16" s="1"/>
  <c r="W259" i="16" a="1"/>
  <c r="W259" i="16" s="1"/>
  <c r="X259" i="16" a="1"/>
  <c r="X259" i="16" s="1"/>
  <c r="Y259" i="16" a="1"/>
  <c r="Y259" i="16" s="1"/>
  <c r="C259" i="16" a="1"/>
  <c r="C259" i="16" s="1"/>
  <c r="S259" i="16" a="1"/>
  <c r="S259" i="16" s="1"/>
  <c r="D259" i="16" a="1"/>
  <c r="D259" i="16" s="1"/>
  <c r="J259" i="16" a="1"/>
  <c r="J259" i="16" s="1"/>
  <c r="T259" i="16" a="1"/>
  <c r="T259" i="16" s="1"/>
  <c r="E259" i="16" a="1"/>
  <c r="E259" i="16" s="1"/>
  <c r="K259" i="16" a="1"/>
  <c r="K259" i="16" s="1"/>
  <c r="F259" i="16" a="1"/>
  <c r="F259" i="16" s="1"/>
  <c r="L259" i="16" a="1"/>
  <c r="L259" i="16" s="1"/>
  <c r="U259" i="16" a="1"/>
  <c r="U259" i="16" s="1"/>
  <c r="G259" i="16" a="1"/>
  <c r="G259" i="16" s="1"/>
  <c r="M259" i="16" a="1"/>
  <c r="M259" i="16" s="1"/>
  <c r="V259" i="16" a="1"/>
  <c r="V259" i="16" s="1"/>
  <c r="R259" i="16" a="1"/>
  <c r="R259" i="16" s="1"/>
  <c r="H259" i="16" a="1"/>
  <c r="H259" i="16" s="1"/>
  <c r="I259" i="16" a="1"/>
  <c r="I259" i="16" s="1"/>
  <c r="Q259" i="16" a="1"/>
  <c r="Q259" i="16" s="1"/>
  <c r="B260" i="16"/>
  <c r="P260" i="16" l="1" a="1"/>
  <c r="P260" i="16" s="1"/>
  <c r="O260" i="16" a="1"/>
  <c r="O260" i="16" s="1"/>
  <c r="N260" i="16" a="1"/>
  <c r="N260" i="16" s="1"/>
  <c r="W260" i="16" a="1"/>
  <c r="W260" i="16" s="1"/>
  <c r="X260" i="16" a="1"/>
  <c r="X260" i="16" s="1"/>
  <c r="Y260" i="16" a="1"/>
  <c r="Y260" i="16" s="1"/>
  <c r="C260" i="16" a="1"/>
  <c r="C260" i="16" s="1"/>
  <c r="J260" i="16" a="1"/>
  <c r="J260" i="16" s="1"/>
  <c r="T260" i="16" a="1"/>
  <c r="T260" i="16" s="1"/>
  <c r="E260" i="16" a="1"/>
  <c r="E260" i="16" s="1"/>
  <c r="L260" i="16" a="1"/>
  <c r="L260" i="16" s="1"/>
  <c r="V260" i="16" a="1"/>
  <c r="V260" i="16" s="1"/>
  <c r="F260" i="16" a="1"/>
  <c r="F260" i="16" s="1"/>
  <c r="M260" i="16" a="1"/>
  <c r="M260" i="16" s="1"/>
  <c r="G260" i="16" a="1"/>
  <c r="G260" i="16" s="1"/>
  <c r="Q260" i="16" a="1"/>
  <c r="Q260" i="16" s="1"/>
  <c r="H260" i="16" a="1"/>
  <c r="H260" i="16" s="1"/>
  <c r="R260" i="16" a="1"/>
  <c r="R260" i="16" s="1"/>
  <c r="I260" i="16" a="1"/>
  <c r="I260" i="16" s="1"/>
  <c r="D260" i="16" a="1"/>
  <c r="D260" i="16" s="1"/>
  <c r="K260" i="16" a="1"/>
  <c r="K260" i="16" s="1"/>
  <c r="S260" i="16" a="1"/>
  <c r="S260" i="16" s="1"/>
  <c r="U260" i="16" a="1"/>
  <c r="U260" i="16" s="1"/>
  <c r="B261" i="16"/>
  <c r="P261" i="16" l="1" a="1"/>
  <c r="P261" i="16" s="1"/>
  <c r="O261" i="16" a="1"/>
  <c r="O261" i="16" s="1"/>
  <c r="N261" i="16" a="1"/>
  <c r="N261" i="16" s="1"/>
  <c r="W261" i="16" a="1"/>
  <c r="W261" i="16" s="1"/>
  <c r="X261" i="16" a="1"/>
  <c r="X261" i="16" s="1"/>
  <c r="Y261" i="16" a="1"/>
  <c r="Y261" i="16" s="1"/>
  <c r="G261" i="16" a="1"/>
  <c r="G261" i="16" s="1"/>
  <c r="Q261" i="16" a="1"/>
  <c r="Q261" i="16" s="1"/>
  <c r="H261" i="16" a="1"/>
  <c r="H261" i="16" s="1"/>
  <c r="C261" i="16" a="1"/>
  <c r="C261" i="16" s="1"/>
  <c r="I261" i="16" a="1"/>
  <c r="I261" i="16" s="1"/>
  <c r="S261" i="16" a="1"/>
  <c r="S261" i="16" s="1"/>
  <c r="D261" i="16" a="1"/>
  <c r="D261" i="16" s="1"/>
  <c r="J261" i="16" a="1"/>
  <c r="J261" i="16" s="1"/>
  <c r="E261" i="16" a="1"/>
  <c r="E261" i="16" s="1"/>
  <c r="K261" i="16" a="1"/>
  <c r="K261" i="16" s="1"/>
  <c r="T261" i="16" a="1"/>
  <c r="T261" i="16" s="1"/>
  <c r="F261" i="16" a="1"/>
  <c r="F261" i="16" s="1"/>
  <c r="L261" i="16" a="1"/>
  <c r="L261" i="16" s="1"/>
  <c r="U261" i="16" a="1"/>
  <c r="U261" i="16" s="1"/>
  <c r="M261" i="16" a="1"/>
  <c r="M261" i="16" s="1"/>
  <c r="R261" i="16" a="1"/>
  <c r="R261" i="16" s="1"/>
  <c r="V261" i="16" a="1"/>
  <c r="V261" i="16" s="1"/>
  <c r="B262" i="16"/>
  <c r="N262" i="16" l="1" a="1"/>
  <c r="N262" i="16" s="1"/>
  <c r="P262" i="16" a="1"/>
  <c r="P262" i="16" s="1"/>
  <c r="O262" i="16" a="1"/>
  <c r="O262" i="16" s="1"/>
  <c r="W262" i="16" a="1"/>
  <c r="W262" i="16" s="1"/>
  <c r="X262" i="16" a="1"/>
  <c r="X262" i="16" s="1"/>
  <c r="Y262" i="16" a="1"/>
  <c r="Y262" i="16" s="1"/>
  <c r="C262" i="16" a="1"/>
  <c r="C262" i="16" s="1"/>
  <c r="J262" i="16" a="1"/>
  <c r="J262" i="16" s="1"/>
  <c r="S262" i="16" a="1"/>
  <c r="S262" i="16" s="1"/>
  <c r="E262" i="16" a="1"/>
  <c r="E262" i="16" s="1"/>
  <c r="U262" i="16" a="1"/>
  <c r="U262" i="16" s="1"/>
  <c r="F262" i="16" a="1"/>
  <c r="F262" i="16" s="1"/>
  <c r="L262" i="16" a="1"/>
  <c r="L262" i="16" s="1"/>
  <c r="V262" i="16" a="1"/>
  <c r="V262" i="16" s="1"/>
  <c r="G262" i="16" a="1"/>
  <c r="G262" i="16" s="1"/>
  <c r="M262" i="16" a="1"/>
  <c r="M262" i="16" s="1"/>
  <c r="H262" i="16" a="1"/>
  <c r="H262" i="16" s="1"/>
  <c r="Q262" i="16" a="1"/>
  <c r="Q262" i="16" s="1"/>
  <c r="D262" i="16" a="1"/>
  <c r="D262" i="16" s="1"/>
  <c r="I262" i="16" a="1"/>
  <c r="I262" i="16" s="1"/>
  <c r="K262" i="16" a="1"/>
  <c r="K262" i="16" s="1"/>
  <c r="T262" i="16" a="1"/>
  <c r="T262" i="16" s="1"/>
  <c r="R262" i="16" a="1"/>
  <c r="R262" i="16" s="1"/>
  <c r="B263" i="16"/>
  <c r="P263" i="16" l="1" a="1"/>
  <c r="P263" i="16" s="1"/>
  <c r="O263" i="16" a="1"/>
  <c r="O263" i="16" s="1"/>
  <c r="N263" i="16" a="1"/>
  <c r="N263" i="16" s="1"/>
  <c r="W263" i="16" a="1"/>
  <c r="W263" i="16" s="1"/>
  <c r="X263" i="16" a="1"/>
  <c r="X263" i="16" s="1"/>
  <c r="Y263" i="16" a="1"/>
  <c r="Y263" i="16" s="1"/>
  <c r="L263" i="16" a="1"/>
  <c r="L263" i="16" s="1"/>
  <c r="G263" i="16" a="1"/>
  <c r="G263" i="16" s="1"/>
  <c r="V263" i="16" a="1"/>
  <c r="V263" i="16" s="1"/>
  <c r="H263" i="16" a="1"/>
  <c r="H263" i="16" s="1"/>
  <c r="Q263" i="16" a="1"/>
  <c r="Q263" i="16" s="1"/>
  <c r="C263" i="16" a="1"/>
  <c r="C263" i="16" s="1"/>
  <c r="D263" i="16" a="1"/>
  <c r="D263" i="16" s="1"/>
  <c r="I263" i="16" a="1"/>
  <c r="I263" i="16" s="1"/>
  <c r="R263" i="16" a="1"/>
  <c r="R263" i="16" s="1"/>
  <c r="J263" i="16" a="1"/>
  <c r="J263" i="16" s="1"/>
  <c r="S263" i="16" a="1"/>
  <c r="S263" i="16" s="1"/>
  <c r="E263" i="16" a="1"/>
  <c r="E263" i="16" s="1"/>
  <c r="F263" i="16" a="1"/>
  <c r="F263" i="16" s="1"/>
  <c r="K263" i="16" a="1"/>
  <c r="K263" i="16" s="1"/>
  <c r="M263" i="16" a="1"/>
  <c r="M263" i="16" s="1"/>
  <c r="T263" i="16" a="1"/>
  <c r="T263" i="16" s="1"/>
  <c r="U263" i="16" a="1"/>
  <c r="U263" i="16" s="1"/>
  <c r="B264" i="16"/>
  <c r="P264" i="16" l="1" a="1"/>
  <c r="P264" i="16" s="1"/>
  <c r="O264" i="16" a="1"/>
  <c r="O264" i="16" s="1"/>
  <c r="N264" i="16" a="1"/>
  <c r="N264" i="16" s="1"/>
  <c r="X264" i="16" a="1"/>
  <c r="X264" i="16" s="1"/>
  <c r="Y264" i="16" a="1"/>
  <c r="Y264" i="16" s="1"/>
  <c r="W264" i="16" a="1"/>
  <c r="W264" i="16" s="1"/>
  <c r="G264" i="16" a="1"/>
  <c r="G264" i="16" s="1"/>
  <c r="M264" i="16" a="1"/>
  <c r="M264" i="16" s="1"/>
  <c r="I264" i="16" a="1"/>
  <c r="I264" i="16" s="1"/>
  <c r="R264" i="16" a="1"/>
  <c r="R264" i="16" s="1"/>
  <c r="C264" i="16" a="1"/>
  <c r="C264" i="16" s="1"/>
  <c r="S264" i="16" a="1"/>
  <c r="S264" i="16" s="1"/>
  <c r="D264" i="16" a="1"/>
  <c r="D264" i="16" s="1"/>
  <c r="J264" i="16" a="1"/>
  <c r="J264" i="16" s="1"/>
  <c r="T264" i="16" a="1"/>
  <c r="T264" i="16" s="1"/>
  <c r="E264" i="16" a="1"/>
  <c r="E264" i="16" s="1"/>
  <c r="K264" i="16" a="1"/>
  <c r="K264" i="16" s="1"/>
  <c r="U264" i="16" a="1"/>
  <c r="U264" i="16" s="1"/>
  <c r="V264" i="16" a="1"/>
  <c r="V264" i="16" s="1"/>
  <c r="L264" i="16" a="1"/>
  <c r="L264" i="16" s="1"/>
  <c r="Q264" i="16" a="1"/>
  <c r="Q264" i="16" s="1"/>
  <c r="F264" i="16" a="1"/>
  <c r="F264" i="16" s="1"/>
  <c r="H264" i="16" a="1"/>
  <c r="H264" i="16" s="1"/>
  <c r="B265" i="16"/>
  <c r="P265" i="16" l="1" a="1"/>
  <c r="P265" i="16" s="1"/>
  <c r="O265" i="16" a="1"/>
  <c r="O265" i="16" s="1"/>
  <c r="N265" i="16" a="1"/>
  <c r="N265" i="16" s="1"/>
  <c r="W265" i="16" a="1"/>
  <c r="W265" i="16" s="1"/>
  <c r="X265" i="16" a="1"/>
  <c r="X265" i="16" s="1"/>
  <c r="Y265" i="16" a="1"/>
  <c r="Y265" i="16" s="1"/>
  <c r="C265" i="16" a="1"/>
  <c r="C265" i="16" s="1"/>
  <c r="Q265" i="16" a="1"/>
  <c r="Q265" i="16" s="1"/>
  <c r="D265" i="16" a="1"/>
  <c r="D265" i="16" s="1"/>
  <c r="J265" i="16" a="1"/>
  <c r="J265" i="16" s="1"/>
  <c r="E265" i="16" a="1"/>
  <c r="E265" i="16" s="1"/>
  <c r="K265" i="16" a="1"/>
  <c r="K265" i="16" s="1"/>
  <c r="S265" i="16" a="1"/>
  <c r="S265" i="16" s="1"/>
  <c r="F265" i="16" a="1"/>
  <c r="F265" i="16" s="1"/>
  <c r="T265" i="16" a="1"/>
  <c r="T265" i="16" s="1"/>
  <c r="G265" i="16" a="1"/>
  <c r="G265" i="16" s="1"/>
  <c r="V265" i="16" a="1"/>
  <c r="V265" i="16" s="1"/>
  <c r="M265" i="16" a="1"/>
  <c r="M265" i="16" s="1"/>
  <c r="R265" i="16" a="1"/>
  <c r="R265" i="16" s="1"/>
  <c r="U265" i="16" a="1"/>
  <c r="U265" i="16" s="1"/>
  <c r="L265" i="16" a="1"/>
  <c r="L265" i="16" s="1"/>
  <c r="H265" i="16" a="1"/>
  <c r="H265" i="16" s="1"/>
  <c r="I265" i="16" a="1"/>
  <c r="I265" i="16" s="1"/>
  <c r="B266" i="16"/>
  <c r="P266" i="16" l="1" a="1"/>
  <c r="P266" i="16" s="1"/>
  <c r="O266" i="16" a="1"/>
  <c r="O266" i="16" s="1"/>
  <c r="N266" i="16" a="1"/>
  <c r="N266" i="16" s="1"/>
  <c r="X266" i="16" a="1"/>
  <c r="X266" i="16" s="1"/>
  <c r="Y266" i="16" a="1"/>
  <c r="Y266" i="16" s="1"/>
  <c r="W266" i="16" a="1"/>
  <c r="W266" i="16" s="1"/>
  <c r="S266" i="16" a="1"/>
  <c r="S266" i="16" s="1"/>
  <c r="E266" i="16" a="1"/>
  <c r="E266" i="16" s="1"/>
  <c r="K266" i="16" a="1"/>
  <c r="K266" i="16" s="1"/>
  <c r="F266" i="16" a="1"/>
  <c r="F266" i="16" s="1"/>
  <c r="L266" i="16" a="1"/>
  <c r="L266" i="16" s="1"/>
  <c r="U266" i="16" a="1"/>
  <c r="U266" i="16" s="1"/>
  <c r="G266" i="16" a="1"/>
  <c r="G266" i="16" s="1"/>
  <c r="M266" i="16" a="1"/>
  <c r="M266" i="16" s="1"/>
  <c r="H266" i="16" a="1"/>
  <c r="H266" i="16" s="1"/>
  <c r="Q266" i="16" a="1"/>
  <c r="Q266" i="16" s="1"/>
  <c r="R266" i="16" a="1"/>
  <c r="R266" i="16" s="1"/>
  <c r="T266" i="16" a="1"/>
  <c r="T266" i="16" s="1"/>
  <c r="C266" i="16" a="1"/>
  <c r="C266" i="16" s="1"/>
  <c r="V266" i="16" a="1"/>
  <c r="V266" i="16" s="1"/>
  <c r="D266" i="16" a="1"/>
  <c r="D266" i="16" s="1"/>
  <c r="J266" i="16" a="1"/>
  <c r="J266" i="16" s="1"/>
  <c r="I266" i="16" a="1"/>
  <c r="I266" i="16" s="1"/>
  <c r="B267" i="16"/>
  <c r="O267" i="16" l="1" a="1"/>
  <c r="O267" i="16" s="1"/>
  <c r="N267" i="16" a="1"/>
  <c r="N267" i="16" s="1"/>
  <c r="P267" i="16" a="1"/>
  <c r="P267" i="16" s="1"/>
  <c r="W267" i="16" a="1"/>
  <c r="W267" i="16" s="1"/>
  <c r="X267" i="16" a="1"/>
  <c r="X267" i="16" s="1"/>
  <c r="Y267" i="16" a="1"/>
  <c r="Y267" i="16" s="1"/>
  <c r="D267" i="16" a="1"/>
  <c r="D267" i="16" s="1"/>
  <c r="R267" i="16" a="1"/>
  <c r="R267" i="16" s="1"/>
  <c r="E267" i="16" a="1"/>
  <c r="E267" i="16" s="1"/>
  <c r="T267" i="16" a="1"/>
  <c r="T267" i="16" s="1"/>
  <c r="F267" i="16" a="1"/>
  <c r="F267" i="16" s="1"/>
  <c r="K267" i="16" a="1"/>
  <c r="K267" i="16" s="1"/>
  <c r="U267" i="16" a="1"/>
  <c r="U267" i="16" s="1"/>
  <c r="L267" i="16" a="1"/>
  <c r="L267" i="16" s="1"/>
  <c r="H267" i="16" a="1"/>
  <c r="H267" i="16" s="1"/>
  <c r="J267" i="16" a="1"/>
  <c r="J267" i="16" s="1"/>
  <c r="I267" i="16" a="1"/>
  <c r="I267" i="16" s="1"/>
  <c r="M267" i="16" a="1"/>
  <c r="M267" i="16" s="1"/>
  <c r="Q267" i="16" a="1"/>
  <c r="Q267" i="16" s="1"/>
  <c r="S267" i="16" a="1"/>
  <c r="S267" i="16" s="1"/>
  <c r="C267" i="16" a="1"/>
  <c r="C267" i="16" s="1"/>
  <c r="V267" i="16" a="1"/>
  <c r="V267" i="16" s="1"/>
  <c r="G267" i="16" a="1"/>
  <c r="G267" i="16" s="1"/>
  <c r="B268" i="16"/>
  <c r="N268" i="16" l="1" a="1"/>
  <c r="N268" i="16" s="1"/>
  <c r="P268" i="16" a="1"/>
  <c r="P268" i="16" s="1"/>
  <c r="O268" i="16" a="1"/>
  <c r="O268" i="16" s="1"/>
  <c r="X268" i="16" a="1"/>
  <c r="X268" i="16" s="1"/>
  <c r="Y268" i="16" a="1"/>
  <c r="Y268" i="16" s="1"/>
  <c r="W268" i="16" a="1"/>
  <c r="W268" i="16" s="1"/>
  <c r="E268" i="16" a="1"/>
  <c r="E268" i="16" s="1"/>
  <c r="K268" i="16" a="1"/>
  <c r="K268" i="16" s="1"/>
  <c r="T268" i="16" a="1"/>
  <c r="T268" i="16" s="1"/>
  <c r="F268" i="16" a="1"/>
  <c r="F268" i="16" s="1"/>
  <c r="M268" i="16" a="1"/>
  <c r="M268" i="16" s="1"/>
  <c r="V268" i="16" a="1"/>
  <c r="V268" i="16" s="1"/>
  <c r="G268" i="16" a="1"/>
  <c r="G268" i="16" s="1"/>
  <c r="Q268" i="16" a="1"/>
  <c r="Q268" i="16" s="1"/>
  <c r="R268" i="16" a="1"/>
  <c r="R268" i="16" s="1"/>
  <c r="C268" i="16" a="1"/>
  <c r="C268" i="16" s="1"/>
  <c r="I268" i="16" a="1"/>
  <c r="I268" i="16" s="1"/>
  <c r="S268" i="16" a="1"/>
  <c r="S268" i="16" s="1"/>
  <c r="J268" i="16" a="1"/>
  <c r="J268" i="16" s="1"/>
  <c r="L268" i="16" a="1"/>
  <c r="L268" i="16" s="1"/>
  <c r="H268" i="16" a="1"/>
  <c r="H268" i="16" s="1"/>
  <c r="U268" i="16" a="1"/>
  <c r="U268" i="16" s="1"/>
  <c r="D268" i="16" a="1"/>
  <c r="D268" i="16" s="1"/>
  <c r="B269" i="16"/>
  <c r="P269" i="16" l="1" a="1"/>
  <c r="P269" i="16" s="1"/>
  <c r="O269" i="16" a="1"/>
  <c r="O269" i="16" s="1"/>
  <c r="N269" i="16" a="1"/>
  <c r="N269" i="16" s="1"/>
  <c r="W269" i="16" a="1"/>
  <c r="W269" i="16" s="1"/>
  <c r="X269" i="16" a="1"/>
  <c r="X269" i="16" s="1"/>
  <c r="Y269" i="16" a="1"/>
  <c r="Y269" i="16" s="1"/>
  <c r="G269" i="16" a="1"/>
  <c r="G269" i="16" s="1"/>
  <c r="L269" i="16" a="1"/>
  <c r="L269" i="16" s="1"/>
  <c r="H269" i="16" a="1"/>
  <c r="H269" i="16" s="1"/>
  <c r="Q269" i="16" a="1"/>
  <c r="Q269" i="16" s="1"/>
  <c r="C269" i="16" a="1"/>
  <c r="C269" i="16" s="1"/>
  <c r="E269" i="16" a="1"/>
  <c r="E269" i="16" s="1"/>
  <c r="K269" i="16" a="1"/>
  <c r="K269" i="16" s="1"/>
  <c r="T269" i="16" a="1"/>
  <c r="T269" i="16" s="1"/>
  <c r="U269" i="16" a="1"/>
  <c r="U269" i="16" s="1"/>
  <c r="S269" i="16" a="1"/>
  <c r="S269" i="16" s="1"/>
  <c r="I269" i="16" a="1"/>
  <c r="I269" i="16" s="1"/>
  <c r="V269" i="16" a="1"/>
  <c r="V269" i="16" s="1"/>
  <c r="J269" i="16" a="1"/>
  <c r="J269" i="16" s="1"/>
  <c r="M269" i="16" a="1"/>
  <c r="M269" i="16" s="1"/>
  <c r="F269" i="16" a="1"/>
  <c r="F269" i="16" s="1"/>
  <c r="D269" i="16" a="1"/>
  <c r="D269" i="16" s="1"/>
  <c r="R269" i="16" a="1"/>
  <c r="R269" i="16" s="1"/>
  <c r="B270" i="16"/>
  <c r="N270" i="16" l="1" a="1"/>
  <c r="N270" i="16" s="1"/>
  <c r="P270" i="16" a="1"/>
  <c r="P270" i="16" s="1"/>
  <c r="O270" i="16" a="1"/>
  <c r="O270" i="16" s="1"/>
  <c r="Y270" i="16" a="1"/>
  <c r="Y270" i="16" s="1"/>
  <c r="W270" i="16" a="1"/>
  <c r="W270" i="16" s="1"/>
  <c r="X270" i="16" a="1"/>
  <c r="X270" i="16" s="1"/>
  <c r="M270" i="16" a="1"/>
  <c r="M270" i="16" s="1"/>
  <c r="C270" i="16" a="1"/>
  <c r="C270" i="16" s="1"/>
  <c r="H270" i="16" a="1"/>
  <c r="H270" i="16" s="1"/>
  <c r="Q270" i="16" a="1"/>
  <c r="Q270" i="16" s="1"/>
  <c r="V270" i="16" a="1"/>
  <c r="V270" i="16" s="1"/>
  <c r="K270" i="16" a="1"/>
  <c r="K270" i="16" s="1"/>
  <c r="S270" i="16" a="1"/>
  <c r="S270" i="16" s="1"/>
  <c r="I270" i="16" a="1"/>
  <c r="I270" i="16" s="1"/>
  <c r="T270" i="16" a="1"/>
  <c r="T270" i="16" s="1"/>
  <c r="J270" i="16" a="1"/>
  <c r="J270" i="16" s="1"/>
  <c r="U270" i="16" a="1"/>
  <c r="U270" i="16" s="1"/>
  <c r="L270" i="16" a="1"/>
  <c r="L270" i="16" s="1"/>
  <c r="D270" i="16" a="1"/>
  <c r="D270" i="16" s="1"/>
  <c r="E270" i="16" a="1"/>
  <c r="E270" i="16" s="1"/>
  <c r="F270" i="16" a="1"/>
  <c r="F270" i="16" s="1"/>
  <c r="R270" i="16" a="1"/>
  <c r="R270" i="16" s="1"/>
  <c r="G270" i="16" a="1"/>
  <c r="G270" i="16" s="1"/>
  <c r="B271" i="16"/>
  <c r="P271" i="16" l="1" a="1"/>
  <c r="P271" i="16" s="1"/>
  <c r="O271" i="16" a="1"/>
  <c r="O271" i="16" s="1"/>
  <c r="N271" i="16" a="1"/>
  <c r="N271" i="16" s="1"/>
  <c r="W271" i="16" a="1"/>
  <c r="W271" i="16" s="1"/>
  <c r="X271" i="16" a="1"/>
  <c r="X271" i="16" s="1"/>
  <c r="Y271" i="16" a="1"/>
  <c r="Y271" i="16" s="1"/>
  <c r="M271" i="16" a="1"/>
  <c r="M271" i="16" s="1"/>
  <c r="H271" i="16" a="1"/>
  <c r="H271" i="16" s="1"/>
  <c r="K271" i="16" a="1"/>
  <c r="K271" i="16" s="1"/>
  <c r="T271" i="16" a="1"/>
  <c r="T271" i="16" s="1"/>
  <c r="V271" i="16" a="1"/>
  <c r="V271" i="16" s="1"/>
  <c r="J271" i="16" a="1"/>
  <c r="J271" i="16" s="1"/>
  <c r="C271" i="16" a="1"/>
  <c r="C271" i="16" s="1"/>
  <c r="L271" i="16" a="1"/>
  <c r="L271" i="16" s="1"/>
  <c r="I271" i="16" a="1"/>
  <c r="I271" i="16" s="1"/>
  <c r="D271" i="16" a="1"/>
  <c r="D271" i="16" s="1"/>
  <c r="Q271" i="16" a="1"/>
  <c r="Q271" i="16" s="1"/>
  <c r="U271" i="16" a="1"/>
  <c r="U271" i="16" s="1"/>
  <c r="E271" i="16" a="1"/>
  <c r="E271" i="16" s="1"/>
  <c r="R271" i="16" a="1"/>
  <c r="R271" i="16" s="1"/>
  <c r="F271" i="16" a="1"/>
  <c r="F271" i="16" s="1"/>
  <c r="S271" i="16" a="1"/>
  <c r="S271" i="16" s="1"/>
  <c r="G271" i="16" a="1"/>
  <c r="G271" i="16" s="1"/>
  <c r="B272" i="16"/>
  <c r="P272" i="16" l="1" a="1"/>
  <c r="P272" i="16" s="1"/>
  <c r="O272" i="16" a="1"/>
  <c r="O272" i="16" s="1"/>
  <c r="N272" i="16" a="1"/>
  <c r="N272" i="16" s="1"/>
  <c r="Y272" i="16" a="1"/>
  <c r="Y272" i="16" s="1"/>
  <c r="W272" i="16" a="1"/>
  <c r="W272" i="16" s="1"/>
  <c r="X272" i="16" a="1"/>
  <c r="X272" i="16" s="1"/>
  <c r="G272" i="16" a="1"/>
  <c r="G272" i="16" s="1"/>
  <c r="U272" i="16" a="1"/>
  <c r="U272" i="16" s="1"/>
  <c r="C272" i="16" a="1"/>
  <c r="C272" i="16" s="1"/>
  <c r="E272" i="16" a="1"/>
  <c r="E272" i="16" s="1"/>
  <c r="K272" i="16" a="1"/>
  <c r="K272" i="16" s="1"/>
  <c r="T272" i="16" a="1"/>
  <c r="T272" i="16" s="1"/>
  <c r="I272" i="16" a="1"/>
  <c r="I272" i="16" s="1"/>
  <c r="J272" i="16" a="1"/>
  <c r="J272" i="16" s="1"/>
  <c r="D272" i="16" a="1"/>
  <c r="D272" i="16" s="1"/>
  <c r="L272" i="16" a="1"/>
  <c r="L272" i="16" s="1"/>
  <c r="V272" i="16" a="1"/>
  <c r="V272" i="16" s="1"/>
  <c r="M272" i="16" a="1"/>
  <c r="M272" i="16" s="1"/>
  <c r="F272" i="16" a="1"/>
  <c r="F272" i="16" s="1"/>
  <c r="Q272" i="16" a="1"/>
  <c r="Q272" i="16" s="1"/>
  <c r="S272" i="16" a="1"/>
  <c r="S272" i="16" s="1"/>
  <c r="H272" i="16" a="1"/>
  <c r="H272" i="16" s="1"/>
  <c r="R272" i="16" a="1"/>
  <c r="R272" i="16" s="1"/>
  <c r="B273" i="16"/>
  <c r="O273" i="16" l="1" a="1"/>
  <c r="O273" i="16" s="1"/>
  <c r="N273" i="16" a="1"/>
  <c r="N273" i="16" s="1"/>
  <c r="P273" i="16" a="1"/>
  <c r="P273" i="16" s="1"/>
  <c r="W273" i="16" a="1"/>
  <c r="W273" i="16" s="1"/>
  <c r="X273" i="16" a="1"/>
  <c r="X273" i="16" s="1"/>
  <c r="Y273" i="16" a="1"/>
  <c r="Y273" i="16" s="1"/>
  <c r="H273" i="16" a="1"/>
  <c r="H273" i="16" s="1"/>
  <c r="Q273" i="16" a="1"/>
  <c r="Q273" i="16" s="1"/>
  <c r="I273" i="16" a="1"/>
  <c r="I273" i="16" s="1"/>
  <c r="R273" i="16" a="1"/>
  <c r="R273" i="16" s="1"/>
  <c r="G273" i="16" a="1"/>
  <c r="G273" i="16" s="1"/>
  <c r="J273" i="16" a="1"/>
  <c r="J273" i="16" s="1"/>
  <c r="S273" i="16" a="1"/>
  <c r="S273" i="16" s="1"/>
  <c r="C273" i="16" a="1"/>
  <c r="C273" i="16" s="1"/>
  <c r="D273" i="16" a="1"/>
  <c r="D273" i="16" s="1"/>
  <c r="K273" i="16" a="1"/>
  <c r="K273" i="16" s="1"/>
  <c r="T273" i="16" a="1"/>
  <c r="T273" i="16" s="1"/>
  <c r="E273" i="16" a="1"/>
  <c r="E273" i="16" s="1"/>
  <c r="U273" i="16" a="1"/>
  <c r="U273" i="16" s="1"/>
  <c r="M273" i="16" a="1"/>
  <c r="M273" i="16" s="1"/>
  <c r="F273" i="16" a="1"/>
  <c r="F273" i="16" s="1"/>
  <c r="L273" i="16" a="1"/>
  <c r="L273" i="16" s="1"/>
  <c r="V273" i="16" a="1"/>
  <c r="V273" i="16" s="1"/>
  <c r="B274" i="16"/>
  <c r="P274" i="16" l="1" a="1"/>
  <c r="P274" i="16" s="1"/>
  <c r="O274" i="16" a="1"/>
  <c r="O274" i="16" s="1"/>
  <c r="N274" i="16" a="1"/>
  <c r="N274" i="16" s="1"/>
  <c r="W274" i="16" a="1"/>
  <c r="W274" i="16" s="1"/>
  <c r="Y274" i="16" a="1"/>
  <c r="Y274" i="16" s="1"/>
  <c r="X274" i="16" a="1"/>
  <c r="X274" i="16" s="1"/>
  <c r="H274" i="16" a="1"/>
  <c r="H274" i="16" s="1"/>
  <c r="R274" i="16" a="1"/>
  <c r="R274" i="16" s="1"/>
  <c r="K274" i="16" a="1"/>
  <c r="K274" i="16" s="1"/>
  <c r="D274" i="16" a="1"/>
  <c r="D274" i="16" s="1"/>
  <c r="U274" i="16" a="1"/>
  <c r="U274" i="16" s="1"/>
  <c r="E274" i="16" a="1"/>
  <c r="E274" i="16" s="1"/>
  <c r="L274" i="16" a="1"/>
  <c r="L274" i="16" s="1"/>
  <c r="V274" i="16" a="1"/>
  <c r="V274" i="16" s="1"/>
  <c r="C274" i="16" a="1"/>
  <c r="C274" i="16" s="1"/>
  <c r="F274" i="16" a="1"/>
  <c r="F274" i="16" s="1"/>
  <c r="M274" i="16" a="1"/>
  <c r="M274" i="16" s="1"/>
  <c r="T274" i="16" a="1"/>
  <c r="T274" i="16" s="1"/>
  <c r="Q274" i="16" a="1"/>
  <c r="Q274" i="16" s="1"/>
  <c r="G274" i="16" a="1"/>
  <c r="G274" i="16" s="1"/>
  <c r="I274" i="16" a="1"/>
  <c r="I274" i="16" s="1"/>
  <c r="S274" i="16" a="1"/>
  <c r="S274" i="16" s="1"/>
  <c r="J274" i="16" a="1"/>
  <c r="J274" i="16" s="1"/>
  <c r="B275" i="16"/>
  <c r="O275" i="16" l="1" a="1"/>
  <c r="O275" i="16" s="1"/>
  <c r="N275" i="16" a="1"/>
  <c r="N275" i="16" s="1"/>
  <c r="P275" i="16" a="1"/>
  <c r="P275" i="16" s="1"/>
  <c r="W275" i="16" a="1"/>
  <c r="W275" i="16" s="1"/>
  <c r="X275" i="16" a="1"/>
  <c r="X275" i="16" s="1"/>
  <c r="Y275" i="16" a="1"/>
  <c r="Y275" i="16" s="1"/>
  <c r="H275" i="16" a="1"/>
  <c r="H275" i="16" s="1"/>
  <c r="M275" i="16" a="1"/>
  <c r="M275" i="16" s="1"/>
  <c r="V275" i="16" a="1"/>
  <c r="V275" i="16" s="1"/>
  <c r="G275" i="16" a="1"/>
  <c r="G275" i="16" s="1"/>
  <c r="Q275" i="16" a="1"/>
  <c r="Q275" i="16" s="1"/>
  <c r="I275" i="16" a="1"/>
  <c r="I275" i="16" s="1"/>
  <c r="R275" i="16" a="1"/>
  <c r="R275" i="16" s="1"/>
  <c r="C275" i="16" a="1"/>
  <c r="C275" i="16" s="1"/>
  <c r="S275" i="16" a="1"/>
  <c r="S275" i="16" s="1"/>
  <c r="D275" i="16" a="1"/>
  <c r="D275" i="16" s="1"/>
  <c r="J275" i="16" a="1"/>
  <c r="J275" i="16" s="1"/>
  <c r="T275" i="16" a="1"/>
  <c r="T275" i="16" s="1"/>
  <c r="E275" i="16" a="1"/>
  <c r="E275" i="16" s="1"/>
  <c r="K275" i="16" a="1"/>
  <c r="K275" i="16" s="1"/>
  <c r="F275" i="16" a="1"/>
  <c r="F275" i="16" s="1"/>
  <c r="L275" i="16" a="1"/>
  <c r="L275" i="16" s="1"/>
  <c r="U275" i="16" a="1"/>
  <c r="U275" i="16" s="1"/>
  <c r="B276" i="16"/>
  <c r="P276" i="16" l="1" a="1"/>
  <c r="P276" i="16" s="1"/>
  <c r="O276" i="16" a="1"/>
  <c r="O276" i="16" s="1"/>
  <c r="N276" i="16" a="1"/>
  <c r="N276" i="16" s="1"/>
  <c r="W276" i="16" a="1"/>
  <c r="W276" i="16" s="1"/>
  <c r="X276" i="16" a="1"/>
  <c r="X276" i="16" s="1"/>
  <c r="Y276" i="16" a="1"/>
  <c r="Y276" i="16" s="1"/>
  <c r="I276" i="16" a="1"/>
  <c r="I276" i="16" s="1"/>
  <c r="R276" i="16" a="1"/>
  <c r="R276" i="16" s="1"/>
  <c r="C276" i="16" a="1"/>
  <c r="C276" i="16" s="1"/>
  <c r="D276" i="16" a="1"/>
  <c r="D276" i="16" s="1"/>
  <c r="J276" i="16" a="1"/>
  <c r="J276" i="16" s="1"/>
  <c r="S276" i="16" a="1"/>
  <c r="S276" i="16" s="1"/>
  <c r="K276" i="16" a="1"/>
  <c r="K276" i="16" s="1"/>
  <c r="T276" i="16" a="1"/>
  <c r="T276" i="16" s="1"/>
  <c r="E276" i="16" a="1"/>
  <c r="E276" i="16" s="1"/>
  <c r="L276" i="16" a="1"/>
  <c r="L276" i="16" s="1"/>
  <c r="U276" i="16" a="1"/>
  <c r="U276" i="16" s="1"/>
  <c r="H276" i="16" a="1"/>
  <c r="H276" i="16" s="1"/>
  <c r="F276" i="16" a="1"/>
  <c r="F276" i="16" s="1"/>
  <c r="M276" i="16" a="1"/>
  <c r="M276" i="16" s="1"/>
  <c r="V276" i="16" a="1"/>
  <c r="V276" i="16" s="1"/>
  <c r="Q276" i="16" a="1"/>
  <c r="Q276" i="16" s="1"/>
  <c r="G276" i="16" a="1"/>
  <c r="G276" i="16" s="1"/>
  <c r="B277" i="16"/>
  <c r="P277" i="16" l="1" a="1"/>
  <c r="P277" i="16" s="1"/>
  <c r="O277" i="16" a="1"/>
  <c r="O277" i="16" s="1"/>
  <c r="N277" i="16" a="1"/>
  <c r="N277" i="16" s="1"/>
  <c r="W277" i="16" a="1"/>
  <c r="W277" i="16" s="1"/>
  <c r="X277" i="16" a="1"/>
  <c r="X277" i="16" s="1"/>
  <c r="Y277" i="16" a="1"/>
  <c r="Y277" i="16" s="1"/>
  <c r="E277" i="16" a="1"/>
  <c r="E277" i="16" s="1"/>
  <c r="F277" i="16" a="1"/>
  <c r="F277" i="16" s="1"/>
  <c r="K277" i="16" a="1"/>
  <c r="K277" i="16" s="1"/>
  <c r="T277" i="16" a="1"/>
  <c r="T277" i="16" s="1"/>
  <c r="D277" i="16" a="1"/>
  <c r="D277" i="16" s="1"/>
  <c r="L277" i="16" a="1"/>
  <c r="L277" i="16" s="1"/>
  <c r="U277" i="16" a="1"/>
  <c r="U277" i="16" s="1"/>
  <c r="J277" i="16" a="1"/>
  <c r="J277" i="16" s="1"/>
  <c r="G277" i="16" a="1"/>
  <c r="G277" i="16" s="1"/>
  <c r="M277" i="16" a="1"/>
  <c r="M277" i="16" s="1"/>
  <c r="V277" i="16" a="1"/>
  <c r="V277" i="16" s="1"/>
  <c r="Q277" i="16" a="1"/>
  <c r="Q277" i="16" s="1"/>
  <c r="H277" i="16" a="1"/>
  <c r="H277" i="16" s="1"/>
  <c r="R277" i="16" a="1"/>
  <c r="R277" i="16" s="1"/>
  <c r="C277" i="16" a="1"/>
  <c r="C277" i="16" s="1"/>
  <c r="I277" i="16" a="1"/>
  <c r="I277" i="16" s="1"/>
  <c r="S277" i="16" a="1"/>
  <c r="S277" i="16" s="1"/>
  <c r="B278" i="16"/>
  <c r="N278" i="16" l="1" a="1"/>
  <c r="N278" i="16" s="1"/>
  <c r="P278" i="16" a="1"/>
  <c r="P278" i="16" s="1"/>
  <c r="O278" i="16" a="1"/>
  <c r="O278" i="16" s="1"/>
  <c r="W278" i="16" a="1"/>
  <c r="W278" i="16" s="1"/>
  <c r="X278" i="16" a="1"/>
  <c r="X278" i="16" s="1"/>
  <c r="Y278" i="16" a="1"/>
  <c r="Y278" i="16" s="1"/>
  <c r="F278" i="16" a="1"/>
  <c r="F278" i="16" s="1"/>
  <c r="L278" i="16" a="1"/>
  <c r="L278" i="16" s="1"/>
  <c r="V278" i="16" a="1"/>
  <c r="V278" i="16" s="1"/>
  <c r="U278" i="16" a="1"/>
  <c r="U278" i="16" s="1"/>
  <c r="G278" i="16" a="1"/>
  <c r="G278" i="16" s="1"/>
  <c r="M278" i="16" a="1"/>
  <c r="M278" i="16" s="1"/>
  <c r="H278" i="16" a="1"/>
  <c r="H278" i="16" s="1"/>
  <c r="Q278" i="16" a="1"/>
  <c r="Q278" i="16" s="1"/>
  <c r="E278" i="16" a="1"/>
  <c r="E278" i="16" s="1"/>
  <c r="I278" i="16" a="1"/>
  <c r="I278" i="16" s="1"/>
  <c r="R278" i="16" a="1"/>
  <c r="R278" i="16" s="1"/>
  <c r="C278" i="16" a="1"/>
  <c r="C278" i="16" s="1"/>
  <c r="J278" i="16" a="1"/>
  <c r="J278" i="16" s="1"/>
  <c r="S278" i="16" a="1"/>
  <c r="S278" i="16" s="1"/>
  <c r="D278" i="16" a="1"/>
  <c r="D278" i="16" s="1"/>
  <c r="K278" i="16" a="1"/>
  <c r="K278" i="16" s="1"/>
  <c r="T278" i="16" a="1"/>
  <c r="T278" i="16" s="1"/>
  <c r="B279" i="16"/>
  <c r="P279" i="16" l="1" a="1"/>
  <c r="P279" i="16" s="1"/>
  <c r="O279" i="16" a="1"/>
  <c r="O279" i="16" s="1"/>
  <c r="N279" i="16" a="1"/>
  <c r="N279" i="16" s="1"/>
  <c r="W279" i="16" a="1"/>
  <c r="W279" i="16" s="1"/>
  <c r="X279" i="16" a="1"/>
  <c r="X279" i="16" s="1"/>
  <c r="Y279" i="16" a="1"/>
  <c r="Y279" i="16" s="1"/>
  <c r="H279" i="16" a="1"/>
  <c r="H279" i="16" s="1"/>
  <c r="V279" i="16" a="1"/>
  <c r="V279" i="16" s="1"/>
  <c r="C279" i="16" a="1"/>
  <c r="C279" i="16" s="1"/>
  <c r="Q279" i="16" a="1"/>
  <c r="Q279" i="16" s="1"/>
  <c r="M279" i="16" a="1"/>
  <c r="M279" i="16" s="1"/>
  <c r="D279" i="16" a="1"/>
  <c r="D279" i="16" s="1"/>
  <c r="I279" i="16" a="1"/>
  <c r="I279" i="16" s="1"/>
  <c r="J279" i="16" a="1"/>
  <c r="J279" i="16" s="1"/>
  <c r="R279" i="16" a="1"/>
  <c r="R279" i="16" s="1"/>
  <c r="E279" i="16" a="1"/>
  <c r="E279" i="16" s="1"/>
  <c r="S279" i="16" a="1"/>
  <c r="S279" i="16" s="1"/>
  <c r="G279" i="16" a="1"/>
  <c r="G279" i="16" s="1"/>
  <c r="K279" i="16" a="1"/>
  <c r="K279" i="16" s="1"/>
  <c r="T279" i="16" a="1"/>
  <c r="T279" i="16" s="1"/>
  <c r="U279" i="16" a="1"/>
  <c r="U279" i="16" s="1"/>
  <c r="F279" i="16" a="1"/>
  <c r="F279" i="16" s="1"/>
  <c r="L279" i="16" a="1"/>
  <c r="L279" i="16" s="1"/>
  <c r="B280" i="16"/>
  <c r="P280" i="16" l="1" a="1"/>
  <c r="P280" i="16" s="1"/>
  <c r="O280" i="16" a="1"/>
  <c r="O280" i="16" s="1"/>
  <c r="N280" i="16" a="1"/>
  <c r="N280" i="16" s="1"/>
  <c r="W280" i="16" a="1"/>
  <c r="W280" i="16" s="1"/>
  <c r="X280" i="16" a="1"/>
  <c r="X280" i="16" s="1"/>
  <c r="Y280" i="16" a="1"/>
  <c r="Y280" i="16" s="1"/>
  <c r="H280" i="16" a="1"/>
  <c r="H280" i="16" s="1"/>
  <c r="M280" i="16" a="1"/>
  <c r="M280" i="16" s="1"/>
  <c r="C280" i="16" a="1"/>
  <c r="C280" i="16" s="1"/>
  <c r="I280" i="16" a="1"/>
  <c r="I280" i="16" s="1"/>
  <c r="Q280" i="16" a="1"/>
  <c r="Q280" i="16" s="1"/>
  <c r="D280" i="16" a="1"/>
  <c r="D280" i="16" s="1"/>
  <c r="R280" i="16" a="1"/>
  <c r="R280" i="16" s="1"/>
  <c r="E280" i="16" a="1"/>
  <c r="E280" i="16" s="1"/>
  <c r="J280" i="16" a="1"/>
  <c r="J280" i="16" s="1"/>
  <c r="S280" i="16" a="1"/>
  <c r="S280" i="16" s="1"/>
  <c r="K280" i="16" a="1"/>
  <c r="K280" i="16" s="1"/>
  <c r="T280" i="16" a="1"/>
  <c r="T280" i="16" s="1"/>
  <c r="F280" i="16" a="1"/>
  <c r="F280" i="16" s="1"/>
  <c r="U280" i="16" a="1"/>
  <c r="U280" i="16" s="1"/>
  <c r="G280" i="16" a="1"/>
  <c r="G280" i="16" s="1"/>
  <c r="L280" i="16" a="1"/>
  <c r="L280" i="16" s="1"/>
  <c r="V280" i="16" a="1"/>
  <c r="V280" i="16" s="1"/>
  <c r="B281" i="16"/>
  <c r="P281" i="16" l="1" a="1"/>
  <c r="P281" i="16" s="1"/>
  <c r="O281" i="16" a="1"/>
  <c r="O281" i="16" s="1"/>
  <c r="N281" i="16" a="1"/>
  <c r="N281" i="16" s="1"/>
  <c r="X281" i="16" a="1"/>
  <c r="X281" i="16" s="1"/>
  <c r="Y281" i="16" a="1"/>
  <c r="Y281" i="16" s="1"/>
  <c r="W281" i="16" a="1"/>
  <c r="W281" i="16" s="1"/>
  <c r="C281" i="16" a="1"/>
  <c r="C281" i="16" s="1"/>
  <c r="Q281" i="16" a="1"/>
  <c r="Q281" i="16" s="1"/>
  <c r="I281" i="16" a="1"/>
  <c r="I281" i="16" s="1"/>
  <c r="R281" i="16" a="1"/>
  <c r="R281" i="16" s="1"/>
  <c r="D281" i="16" a="1"/>
  <c r="D281" i="16" s="1"/>
  <c r="J281" i="16" a="1"/>
  <c r="J281" i="16" s="1"/>
  <c r="M281" i="16" a="1"/>
  <c r="M281" i="16" s="1"/>
  <c r="E281" i="16" a="1"/>
  <c r="E281" i="16" s="1"/>
  <c r="K281" i="16" a="1"/>
  <c r="K281" i="16" s="1"/>
  <c r="S281" i="16" a="1"/>
  <c r="S281" i="16" s="1"/>
  <c r="H281" i="16" a="1"/>
  <c r="H281" i="16" s="1"/>
  <c r="F281" i="16" a="1"/>
  <c r="F281" i="16" s="1"/>
  <c r="T281" i="16" a="1"/>
  <c r="T281" i="16" s="1"/>
  <c r="L281" i="16" a="1"/>
  <c r="L281" i="16" s="1"/>
  <c r="U281" i="16" a="1"/>
  <c r="U281" i="16" s="1"/>
  <c r="G281" i="16" a="1"/>
  <c r="G281" i="16" s="1"/>
  <c r="V281" i="16" a="1"/>
  <c r="V281" i="16" s="1"/>
  <c r="B282" i="16"/>
  <c r="P282" i="16" l="1" a="1"/>
  <c r="P282" i="16" s="1"/>
  <c r="O282" i="16" a="1"/>
  <c r="O282" i="16" s="1"/>
  <c r="N282" i="16" a="1"/>
  <c r="N282" i="16" s="1"/>
  <c r="W282" i="16" a="1"/>
  <c r="W282" i="16" s="1"/>
  <c r="X282" i="16" a="1"/>
  <c r="X282" i="16" s="1"/>
  <c r="Y282" i="16" a="1"/>
  <c r="Y282" i="16" s="1"/>
  <c r="I282" i="16" a="1"/>
  <c r="I282" i="16" s="1"/>
  <c r="Q282" i="16" a="1"/>
  <c r="Q282" i="16" s="1"/>
  <c r="D282" i="16" a="1"/>
  <c r="D282" i="16" s="1"/>
  <c r="R282" i="16" a="1"/>
  <c r="R282" i="16" s="1"/>
  <c r="V282" i="16" a="1"/>
  <c r="V282" i="16" s="1"/>
  <c r="E282" i="16" a="1"/>
  <c r="E282" i="16" s="1"/>
  <c r="J282" i="16" a="1"/>
  <c r="J282" i="16" s="1"/>
  <c r="S282" i="16" a="1"/>
  <c r="S282" i="16" s="1"/>
  <c r="T282" i="16" a="1"/>
  <c r="T282" i="16" s="1"/>
  <c r="F282" i="16" a="1"/>
  <c r="F282" i="16" s="1"/>
  <c r="K282" i="16" a="1"/>
  <c r="K282" i="16" s="1"/>
  <c r="H282" i="16" a="1"/>
  <c r="H282" i="16" s="1"/>
  <c r="G282" i="16" a="1"/>
  <c r="G282" i="16" s="1"/>
  <c r="L282" i="16" a="1"/>
  <c r="L282" i="16" s="1"/>
  <c r="U282" i="16" a="1"/>
  <c r="U282" i="16" s="1"/>
  <c r="M282" i="16" a="1"/>
  <c r="M282" i="16" s="1"/>
  <c r="C282" i="16" a="1"/>
  <c r="C282" i="16" s="1"/>
  <c r="B283" i="16"/>
  <c r="O283" i="16" l="1" a="1"/>
  <c r="O283" i="16" s="1"/>
  <c r="N283" i="16" a="1"/>
  <c r="N283" i="16" s="1"/>
  <c r="P283" i="16" a="1"/>
  <c r="P283" i="16" s="1"/>
  <c r="X283" i="16" a="1"/>
  <c r="X283" i="16" s="1"/>
  <c r="Y283" i="16" a="1"/>
  <c r="Y283" i="16" s="1"/>
  <c r="W283" i="16" a="1"/>
  <c r="W283" i="16" s="1"/>
  <c r="I283" i="16" a="1"/>
  <c r="I283" i="16" s="1"/>
  <c r="Q283" i="16" a="1"/>
  <c r="Q283" i="16" s="1"/>
  <c r="C283" i="16" a="1"/>
  <c r="C283" i="16" s="1"/>
  <c r="R283" i="16" a="1"/>
  <c r="R283" i="16" s="1"/>
  <c r="D283" i="16" a="1"/>
  <c r="D283" i="16" s="1"/>
  <c r="J283" i="16" a="1"/>
  <c r="J283" i="16" s="1"/>
  <c r="S283" i="16" a="1"/>
  <c r="S283" i="16" s="1"/>
  <c r="V283" i="16" a="1"/>
  <c r="V283" i="16" s="1"/>
  <c r="H283" i="16" a="1"/>
  <c r="H283" i="16" s="1"/>
  <c r="E283" i="16" a="1"/>
  <c r="E283" i="16" s="1"/>
  <c r="K283" i="16" a="1"/>
  <c r="K283" i="16" s="1"/>
  <c r="T283" i="16" a="1"/>
  <c r="T283" i="16" s="1"/>
  <c r="F283" i="16" a="1"/>
  <c r="F283" i="16" s="1"/>
  <c r="L283" i="16" a="1"/>
  <c r="L283" i="16" s="1"/>
  <c r="U283" i="16" a="1"/>
  <c r="U283" i="16" s="1"/>
  <c r="G283" i="16" a="1"/>
  <c r="G283" i="16" s="1"/>
  <c r="M283" i="16" a="1"/>
  <c r="M283" i="16" s="1"/>
  <c r="B284" i="16"/>
  <c r="N284" i="16" l="1" a="1"/>
  <c r="N284" i="16" s="1"/>
  <c r="P284" i="16" a="1"/>
  <c r="P284" i="16" s="1"/>
  <c r="O284" i="16" a="1"/>
  <c r="O284" i="16" s="1"/>
  <c r="W284" i="16" a="1"/>
  <c r="W284" i="16" s="1"/>
  <c r="X284" i="16" a="1"/>
  <c r="X284" i="16" s="1"/>
  <c r="Y284" i="16" a="1"/>
  <c r="Y284" i="16" s="1"/>
  <c r="C284" i="16" a="1"/>
  <c r="C284" i="16" s="1"/>
  <c r="I284" i="16" a="1"/>
  <c r="I284" i="16" s="1"/>
  <c r="D284" i="16" a="1"/>
  <c r="D284" i="16" s="1"/>
  <c r="J284" i="16" a="1"/>
  <c r="J284" i="16" s="1"/>
  <c r="S284" i="16" a="1"/>
  <c r="S284" i="16" s="1"/>
  <c r="E284" i="16" a="1"/>
  <c r="E284" i="16" s="1"/>
  <c r="K284" i="16" a="1"/>
  <c r="K284" i="16" s="1"/>
  <c r="L284" i="16" a="1"/>
  <c r="L284" i="16" s="1"/>
  <c r="T284" i="16" a="1"/>
  <c r="T284" i="16" s="1"/>
  <c r="F284" i="16" a="1"/>
  <c r="F284" i="16" s="1"/>
  <c r="G284" i="16" a="1"/>
  <c r="G284" i="16" s="1"/>
  <c r="M284" i="16" a="1"/>
  <c r="M284" i="16" s="1"/>
  <c r="U284" i="16" a="1"/>
  <c r="U284" i="16" s="1"/>
  <c r="R284" i="16" a="1"/>
  <c r="R284" i="16" s="1"/>
  <c r="Q284" i="16" a="1"/>
  <c r="Q284" i="16" s="1"/>
  <c r="V284" i="16" a="1"/>
  <c r="V284" i="16" s="1"/>
  <c r="H284" i="16" a="1"/>
  <c r="H284" i="16" s="1"/>
  <c r="B285" i="16"/>
  <c r="P285" i="16" l="1" a="1"/>
  <c r="P285" i="16" s="1"/>
  <c r="O285" i="16" a="1"/>
  <c r="O285" i="16" s="1"/>
  <c r="N285" i="16" a="1"/>
  <c r="N285" i="16" s="1"/>
  <c r="Y285" i="16" a="1"/>
  <c r="Y285" i="16" s="1"/>
  <c r="W285" i="16" a="1"/>
  <c r="W285" i="16" s="1"/>
  <c r="X285" i="16" a="1"/>
  <c r="X285" i="16" s="1"/>
  <c r="C285" i="16" a="1"/>
  <c r="C285" i="16" s="1"/>
  <c r="I285" i="16" a="1"/>
  <c r="I285" i="16" s="1"/>
  <c r="R285" i="16" a="1"/>
  <c r="R285" i="16" s="1"/>
  <c r="D285" i="16" a="1"/>
  <c r="D285" i="16" s="1"/>
  <c r="J285" i="16" a="1"/>
  <c r="J285" i="16" s="1"/>
  <c r="S285" i="16" a="1"/>
  <c r="S285" i="16" s="1"/>
  <c r="E285" i="16" a="1"/>
  <c r="E285" i="16" s="1"/>
  <c r="K285" i="16" a="1"/>
  <c r="K285" i="16" s="1"/>
  <c r="F285" i="16" a="1"/>
  <c r="F285" i="16" s="1"/>
  <c r="T285" i="16" a="1"/>
  <c r="T285" i="16" s="1"/>
  <c r="G285" i="16" a="1"/>
  <c r="G285" i="16" s="1"/>
  <c r="L285" i="16" a="1"/>
  <c r="L285" i="16" s="1"/>
  <c r="U285" i="16" a="1"/>
  <c r="U285" i="16" s="1"/>
  <c r="M285" i="16" a="1"/>
  <c r="M285" i="16" s="1"/>
  <c r="V285" i="16" a="1"/>
  <c r="V285" i="16" s="1"/>
  <c r="H285" i="16" a="1"/>
  <c r="H285" i="16" s="1"/>
  <c r="Q285" i="16" a="1"/>
  <c r="Q285" i="16" s="1"/>
  <c r="B286" i="16"/>
  <c r="N286" i="16" l="1" a="1"/>
  <c r="N286" i="16" s="1"/>
  <c r="P286" i="16" a="1"/>
  <c r="P286" i="16" s="1"/>
  <c r="O286" i="16" a="1"/>
  <c r="O286" i="16" s="1"/>
  <c r="W286" i="16" a="1"/>
  <c r="W286" i="16" s="1"/>
  <c r="X286" i="16" a="1"/>
  <c r="X286" i="16" s="1"/>
  <c r="Y286" i="16" a="1"/>
  <c r="Y286" i="16" s="1"/>
  <c r="D286" i="16" a="1"/>
  <c r="D286" i="16" s="1"/>
  <c r="K286" i="16" a="1"/>
  <c r="K286" i="16" s="1"/>
  <c r="T286" i="16" a="1"/>
  <c r="T286" i="16" s="1"/>
  <c r="S286" i="16" a="1"/>
  <c r="S286" i="16" s="1"/>
  <c r="E286" i="16" a="1"/>
  <c r="E286" i="16" s="1"/>
  <c r="L286" i="16" a="1"/>
  <c r="L286" i="16" s="1"/>
  <c r="M286" i="16" a="1"/>
  <c r="M286" i="16" s="1"/>
  <c r="U286" i="16" a="1"/>
  <c r="U286" i="16" s="1"/>
  <c r="F286" i="16" a="1"/>
  <c r="F286" i="16" s="1"/>
  <c r="V286" i="16" a="1"/>
  <c r="V286" i="16" s="1"/>
  <c r="G286" i="16" a="1"/>
  <c r="G286" i="16" s="1"/>
  <c r="Q286" i="16" a="1"/>
  <c r="Q286" i="16" s="1"/>
  <c r="J286" i="16" a="1"/>
  <c r="J286" i="16" s="1"/>
  <c r="H286" i="16" a="1"/>
  <c r="H286" i="16" s="1"/>
  <c r="C286" i="16" a="1"/>
  <c r="C286" i="16" s="1"/>
  <c r="I286" i="16" a="1"/>
  <c r="I286" i="16" s="1"/>
  <c r="R286" i="16" a="1"/>
  <c r="R286" i="16" s="1"/>
  <c r="B287" i="16"/>
  <c r="P287" i="16" l="1" a="1"/>
  <c r="P287" i="16" s="1"/>
  <c r="O287" i="16" a="1"/>
  <c r="O287" i="16" s="1"/>
  <c r="N287" i="16" a="1"/>
  <c r="N287" i="16" s="1"/>
  <c r="Y287" i="16" a="1"/>
  <c r="Y287" i="16" s="1"/>
  <c r="W287" i="16" a="1"/>
  <c r="W287" i="16" s="1"/>
  <c r="X287" i="16" a="1"/>
  <c r="X287" i="16" s="1"/>
  <c r="K287" i="16" a="1"/>
  <c r="K287" i="16" s="1"/>
  <c r="T287" i="16" a="1"/>
  <c r="T287" i="16" s="1"/>
  <c r="F287" i="16" a="1"/>
  <c r="F287" i="16" s="1"/>
  <c r="L287" i="16" a="1"/>
  <c r="L287" i="16" s="1"/>
  <c r="U287" i="16" a="1"/>
  <c r="U287" i="16" s="1"/>
  <c r="E287" i="16" a="1"/>
  <c r="E287" i="16" s="1"/>
  <c r="M287" i="16" a="1"/>
  <c r="M287" i="16" s="1"/>
  <c r="G287" i="16" a="1"/>
  <c r="G287" i="16" s="1"/>
  <c r="Q287" i="16" a="1"/>
  <c r="Q287" i="16" s="1"/>
  <c r="V287" i="16" a="1"/>
  <c r="V287" i="16" s="1"/>
  <c r="J287" i="16" a="1"/>
  <c r="J287" i="16" s="1"/>
  <c r="H287" i="16" a="1"/>
  <c r="H287" i="16" s="1"/>
  <c r="C287" i="16" a="1"/>
  <c r="C287" i="16" s="1"/>
  <c r="I287" i="16" a="1"/>
  <c r="I287" i="16" s="1"/>
  <c r="R287" i="16" a="1"/>
  <c r="R287" i="16" s="1"/>
  <c r="D287" i="16" a="1"/>
  <c r="D287" i="16" s="1"/>
  <c r="S287" i="16" a="1"/>
  <c r="S287" i="16" s="1"/>
  <c r="B288" i="16"/>
  <c r="P288" i="16" l="1" a="1"/>
  <c r="P288" i="16" s="1"/>
  <c r="O288" i="16" a="1"/>
  <c r="O288" i="16" s="1"/>
  <c r="N288" i="16" a="1"/>
  <c r="N288" i="16" s="1"/>
  <c r="W288" i="16" a="1"/>
  <c r="W288" i="16" s="1"/>
  <c r="X288" i="16" a="1"/>
  <c r="X288" i="16" s="1"/>
  <c r="Y288" i="16" a="1"/>
  <c r="Y288" i="16" s="1"/>
  <c r="E288" i="16" a="1"/>
  <c r="E288" i="16" s="1"/>
  <c r="L288" i="16" a="1"/>
  <c r="L288" i="16" s="1"/>
  <c r="F288" i="16" a="1"/>
  <c r="F288" i="16" s="1"/>
  <c r="U288" i="16" a="1"/>
  <c r="U288" i="16" s="1"/>
  <c r="G288" i="16" a="1"/>
  <c r="G288" i="16" s="1"/>
  <c r="M288" i="16" a="1"/>
  <c r="M288" i="16" s="1"/>
  <c r="V288" i="16" a="1"/>
  <c r="V288" i="16" s="1"/>
  <c r="T288" i="16" a="1"/>
  <c r="T288" i="16" s="1"/>
  <c r="H288" i="16" a="1"/>
  <c r="H288" i="16" s="1"/>
  <c r="Q288" i="16" a="1"/>
  <c r="Q288" i="16" s="1"/>
  <c r="C288" i="16" a="1"/>
  <c r="C288" i="16" s="1"/>
  <c r="I288" i="16" a="1"/>
  <c r="I288" i="16" s="1"/>
  <c r="R288" i="16" a="1"/>
  <c r="R288" i="16" s="1"/>
  <c r="J288" i="16" a="1"/>
  <c r="J288" i="16" s="1"/>
  <c r="D288" i="16" a="1"/>
  <c r="D288" i="16" s="1"/>
  <c r="K288" i="16" a="1"/>
  <c r="K288" i="16" s="1"/>
  <c r="S288" i="16" a="1"/>
  <c r="S288" i="16" s="1"/>
  <c r="B289" i="16"/>
  <c r="O289" i="16" l="1" a="1"/>
  <c r="O289" i="16" s="1"/>
  <c r="N289" i="16" a="1"/>
  <c r="N289" i="16" s="1"/>
  <c r="P289" i="16" a="1"/>
  <c r="P289" i="16" s="1"/>
  <c r="Y289" i="16" a="1"/>
  <c r="Y289" i="16" s="1"/>
  <c r="W289" i="16" a="1"/>
  <c r="W289" i="16" s="1"/>
  <c r="X289" i="16" a="1"/>
  <c r="X289" i="16" s="1"/>
  <c r="F289" i="16" a="1"/>
  <c r="F289" i="16" s="1"/>
  <c r="K289" i="16" a="1"/>
  <c r="K289" i="16" s="1"/>
  <c r="T289" i="16" a="1"/>
  <c r="T289" i="16" s="1"/>
  <c r="U289" i="16" a="1"/>
  <c r="U289" i="16" s="1"/>
  <c r="G289" i="16" a="1"/>
  <c r="G289" i="16" s="1"/>
  <c r="L289" i="16" a="1"/>
  <c r="L289" i="16" s="1"/>
  <c r="V289" i="16" a="1"/>
  <c r="V289" i="16" s="1"/>
  <c r="M289" i="16" a="1"/>
  <c r="M289" i="16" s="1"/>
  <c r="C289" i="16" a="1"/>
  <c r="C289" i="16" s="1"/>
  <c r="H289" i="16" a="1"/>
  <c r="H289" i="16" s="1"/>
  <c r="Q289" i="16" a="1"/>
  <c r="Q289" i="16" s="1"/>
  <c r="D289" i="16" a="1"/>
  <c r="D289" i="16" s="1"/>
  <c r="I289" i="16" a="1"/>
  <c r="I289" i="16" s="1"/>
  <c r="R289" i="16" a="1"/>
  <c r="R289" i="16" s="1"/>
  <c r="J289" i="16" a="1"/>
  <c r="J289" i="16" s="1"/>
  <c r="S289" i="16" a="1"/>
  <c r="S289" i="16" s="1"/>
  <c r="E289" i="16" a="1"/>
  <c r="E289" i="16" s="1"/>
  <c r="B290" i="16"/>
  <c r="P290" i="16" l="1" a="1"/>
  <c r="P290" i="16" s="1"/>
  <c r="O290" i="16" a="1"/>
  <c r="O290" i="16" s="1"/>
  <c r="N290" i="16" a="1"/>
  <c r="N290" i="16" s="1"/>
  <c r="W290" i="16" a="1"/>
  <c r="W290" i="16" s="1"/>
  <c r="X290" i="16" a="1"/>
  <c r="X290" i="16" s="1"/>
  <c r="Y290" i="16" a="1"/>
  <c r="Y290" i="16" s="1"/>
  <c r="G290" i="16" a="1"/>
  <c r="G290" i="16" s="1"/>
  <c r="M290" i="16" a="1"/>
  <c r="M290" i="16" s="1"/>
  <c r="V290" i="16" a="1"/>
  <c r="V290" i="16" s="1"/>
  <c r="Q290" i="16" a="1"/>
  <c r="Q290" i="16" s="1"/>
  <c r="H290" i="16" a="1"/>
  <c r="H290" i="16" s="1"/>
  <c r="R290" i="16" a="1"/>
  <c r="R290" i="16" s="1"/>
  <c r="I290" i="16" a="1"/>
  <c r="I290" i="16" s="1"/>
  <c r="L290" i="16" a="1"/>
  <c r="L290" i="16" s="1"/>
  <c r="C290" i="16" a="1"/>
  <c r="C290" i="16" s="1"/>
  <c r="J290" i="16" a="1"/>
  <c r="J290" i="16" s="1"/>
  <c r="S290" i="16" a="1"/>
  <c r="S290" i="16" s="1"/>
  <c r="D290" i="16" a="1"/>
  <c r="D290" i="16" s="1"/>
  <c r="T290" i="16" a="1"/>
  <c r="T290" i="16" s="1"/>
  <c r="F290" i="16" a="1"/>
  <c r="F290" i="16" s="1"/>
  <c r="E290" i="16" a="1"/>
  <c r="E290" i="16" s="1"/>
  <c r="K290" i="16" a="1"/>
  <c r="K290" i="16" s="1"/>
  <c r="U290" i="16" a="1"/>
  <c r="U290" i="16" s="1"/>
  <c r="B291" i="16"/>
  <c r="O291" i="16" l="1" a="1"/>
  <c r="O291" i="16" s="1"/>
  <c r="N291" i="16" a="1"/>
  <c r="N291" i="16" s="1"/>
  <c r="P291" i="16" a="1"/>
  <c r="P291" i="16" s="1"/>
  <c r="W291" i="16" a="1"/>
  <c r="W291" i="16" s="1"/>
  <c r="Y291" i="16" a="1"/>
  <c r="Y291" i="16" s="1"/>
  <c r="X291" i="16" a="1"/>
  <c r="X291" i="16" s="1"/>
  <c r="S291" i="16" a="1"/>
  <c r="S291" i="16" s="1"/>
  <c r="C291" i="16" a="1"/>
  <c r="C291" i="16" s="1"/>
  <c r="J291" i="16" a="1"/>
  <c r="J291" i="16" s="1"/>
  <c r="T291" i="16" a="1"/>
  <c r="T291" i="16" s="1"/>
  <c r="R291" i="16" a="1"/>
  <c r="R291" i="16" s="1"/>
  <c r="D291" i="16" a="1"/>
  <c r="D291" i="16" s="1"/>
  <c r="K291" i="16" a="1"/>
  <c r="K291" i="16" s="1"/>
  <c r="U291" i="16" a="1"/>
  <c r="U291" i="16" s="1"/>
  <c r="E291" i="16" a="1"/>
  <c r="E291" i="16" s="1"/>
  <c r="L291" i="16" a="1"/>
  <c r="L291" i="16" s="1"/>
  <c r="V291" i="16" a="1"/>
  <c r="V291" i="16" s="1"/>
  <c r="F291" i="16" a="1"/>
  <c r="F291" i="16" s="1"/>
  <c r="M291" i="16" a="1"/>
  <c r="M291" i="16" s="1"/>
  <c r="I291" i="16" a="1"/>
  <c r="I291" i="16" s="1"/>
  <c r="G291" i="16" a="1"/>
  <c r="G291" i="16" s="1"/>
  <c r="Q291" i="16" a="1"/>
  <c r="Q291" i="16" s="1"/>
  <c r="H291" i="16" a="1"/>
  <c r="H291" i="16" s="1"/>
  <c r="B292" i="16"/>
  <c r="P292" i="16" l="1" a="1"/>
  <c r="P292" i="16" s="1"/>
  <c r="O292" i="16" a="1"/>
  <c r="O292" i="16" s="1"/>
  <c r="N292" i="16" a="1"/>
  <c r="N292" i="16" s="1"/>
  <c r="W292" i="16" a="1"/>
  <c r="W292" i="16" s="1"/>
  <c r="X292" i="16" a="1"/>
  <c r="X292" i="16" s="1"/>
  <c r="Y292" i="16" a="1"/>
  <c r="Y292" i="16" s="1"/>
  <c r="G292" i="16" a="1"/>
  <c r="G292" i="16" s="1"/>
  <c r="F292" i="16" a="1"/>
  <c r="F292" i="16" s="1"/>
  <c r="H292" i="16" a="1"/>
  <c r="H292" i="16" s="1"/>
  <c r="Q292" i="16" a="1"/>
  <c r="Q292" i="16" s="1"/>
  <c r="R292" i="16" a="1"/>
  <c r="R292" i="16" s="1"/>
  <c r="M292" i="16" a="1"/>
  <c r="M292" i="16" s="1"/>
  <c r="I292" i="16" a="1"/>
  <c r="I292" i="16" s="1"/>
  <c r="S292" i="16" a="1"/>
  <c r="S292" i="16" s="1"/>
  <c r="C292" i="16" a="1"/>
  <c r="C292" i="16" s="1"/>
  <c r="J292" i="16" a="1"/>
  <c r="J292" i="16" s="1"/>
  <c r="T292" i="16" a="1"/>
  <c r="T292" i="16" s="1"/>
  <c r="D292" i="16" a="1"/>
  <c r="D292" i="16" s="1"/>
  <c r="K292" i="16" a="1"/>
  <c r="K292" i="16" s="1"/>
  <c r="U292" i="16" a="1"/>
  <c r="U292" i="16" s="1"/>
  <c r="E292" i="16" a="1"/>
  <c r="E292" i="16" s="1"/>
  <c r="L292" i="16" a="1"/>
  <c r="L292" i="16" s="1"/>
  <c r="V292" i="16" a="1"/>
  <c r="V292" i="16" s="1"/>
  <c r="B293" i="16"/>
  <c r="P293" i="16" l="1" a="1"/>
  <c r="P293" i="16" s="1"/>
  <c r="O293" i="16" a="1"/>
  <c r="O293" i="16" s="1"/>
  <c r="N293" i="16" a="1"/>
  <c r="N293" i="16" s="1"/>
  <c r="W293" i="16" a="1"/>
  <c r="W293" i="16" s="1"/>
  <c r="X293" i="16" a="1"/>
  <c r="X293" i="16" s="1"/>
  <c r="Y293" i="16" a="1"/>
  <c r="Y293" i="16" s="1"/>
  <c r="D293" i="16" a="1"/>
  <c r="D293" i="16" s="1"/>
  <c r="K293" i="16" a="1"/>
  <c r="K293" i="16" s="1"/>
  <c r="U293" i="16" a="1"/>
  <c r="U293" i="16" s="1"/>
  <c r="E293" i="16" a="1"/>
  <c r="E293" i="16" s="1"/>
  <c r="L293" i="16" a="1"/>
  <c r="L293" i="16" s="1"/>
  <c r="V293" i="16" a="1"/>
  <c r="V293" i="16" s="1"/>
  <c r="F293" i="16" a="1"/>
  <c r="F293" i="16" s="1"/>
  <c r="G293" i="16" a="1"/>
  <c r="G293" i="16" s="1"/>
  <c r="M293" i="16" a="1"/>
  <c r="M293" i="16" s="1"/>
  <c r="T293" i="16" a="1"/>
  <c r="T293" i="16" s="1"/>
  <c r="Q293" i="16" a="1"/>
  <c r="Q293" i="16" s="1"/>
  <c r="H293" i="16" a="1"/>
  <c r="H293" i="16" s="1"/>
  <c r="R293" i="16" a="1"/>
  <c r="R293" i="16" s="1"/>
  <c r="J293" i="16" a="1"/>
  <c r="J293" i="16" s="1"/>
  <c r="I293" i="16" a="1"/>
  <c r="I293" i="16" s="1"/>
  <c r="S293" i="16" a="1"/>
  <c r="S293" i="16" s="1"/>
  <c r="C293" i="16" a="1"/>
  <c r="C293" i="16" s="1"/>
  <c r="B294" i="16"/>
  <c r="N294" i="16" l="1" a="1"/>
  <c r="N294" i="16" s="1"/>
  <c r="P294" i="16" a="1"/>
  <c r="P294" i="16" s="1"/>
  <c r="O294" i="16" a="1"/>
  <c r="O294" i="16" s="1"/>
  <c r="W294" i="16" a="1"/>
  <c r="W294" i="16" s="1"/>
  <c r="X294" i="16" a="1"/>
  <c r="X294" i="16" s="1"/>
  <c r="Y294" i="16" a="1"/>
  <c r="Y294" i="16" s="1"/>
  <c r="H294" i="16" a="1"/>
  <c r="H294" i="16" s="1"/>
  <c r="R294" i="16" a="1"/>
  <c r="R294" i="16" s="1"/>
  <c r="Q294" i="16" a="1"/>
  <c r="Q294" i="16" s="1"/>
  <c r="I294" i="16" a="1"/>
  <c r="I294" i="16" s="1"/>
  <c r="S294" i="16" a="1"/>
  <c r="S294" i="16" s="1"/>
  <c r="C294" i="16" a="1"/>
  <c r="C294" i="16" s="1"/>
  <c r="J294" i="16" a="1"/>
  <c r="J294" i="16" s="1"/>
  <c r="T294" i="16" a="1"/>
  <c r="T294" i="16" s="1"/>
  <c r="D294" i="16" a="1"/>
  <c r="D294" i="16" s="1"/>
  <c r="K294" i="16" a="1"/>
  <c r="K294" i="16" s="1"/>
  <c r="U294" i="16" a="1"/>
  <c r="U294" i="16" s="1"/>
  <c r="E294" i="16" a="1"/>
  <c r="E294" i="16" s="1"/>
  <c r="V294" i="16" a="1"/>
  <c r="V294" i="16" s="1"/>
  <c r="G294" i="16" a="1"/>
  <c r="G294" i="16" s="1"/>
  <c r="F294" i="16" a="1"/>
  <c r="F294" i="16" s="1"/>
  <c r="L294" i="16" a="1"/>
  <c r="L294" i="16" s="1"/>
  <c r="M294" i="16" a="1"/>
  <c r="M294" i="16" s="1"/>
  <c r="B295" i="16"/>
  <c r="P295" i="16" l="1" a="1"/>
  <c r="P295" i="16" s="1"/>
  <c r="O295" i="16" a="1"/>
  <c r="O295" i="16" s="1"/>
  <c r="N295" i="16" a="1"/>
  <c r="N295" i="16" s="1"/>
  <c r="W295" i="16" a="1"/>
  <c r="W295" i="16" s="1"/>
  <c r="X295" i="16" a="1"/>
  <c r="X295" i="16" s="1"/>
  <c r="Y295" i="16" a="1"/>
  <c r="Y295" i="16" s="1"/>
  <c r="L295" i="16" a="1"/>
  <c r="L295" i="16" s="1"/>
  <c r="F295" i="16" a="1"/>
  <c r="F295" i="16" s="1"/>
  <c r="M295" i="16" a="1"/>
  <c r="M295" i="16" s="1"/>
  <c r="E295" i="16" a="1"/>
  <c r="E295" i="16" s="1"/>
  <c r="G295" i="16" a="1"/>
  <c r="G295" i="16" s="1"/>
  <c r="Q295" i="16" a="1"/>
  <c r="Q295" i="16" s="1"/>
  <c r="K295" i="16" a="1"/>
  <c r="K295" i="16" s="1"/>
  <c r="H295" i="16" a="1"/>
  <c r="H295" i="16" s="1"/>
  <c r="R295" i="16" a="1"/>
  <c r="R295" i="16" s="1"/>
  <c r="I295" i="16" a="1"/>
  <c r="I295" i="16" s="1"/>
  <c r="S295" i="16" a="1"/>
  <c r="S295" i="16" s="1"/>
  <c r="C295" i="16" a="1"/>
  <c r="C295" i="16" s="1"/>
  <c r="J295" i="16" a="1"/>
  <c r="J295" i="16" s="1"/>
  <c r="T295" i="16" a="1"/>
  <c r="T295" i="16" s="1"/>
  <c r="D295" i="16" a="1"/>
  <c r="D295" i="16" s="1"/>
  <c r="U295" i="16" a="1"/>
  <c r="U295" i="16" s="1"/>
  <c r="V295" i="16" a="1"/>
  <c r="V295" i="16" s="1"/>
  <c r="B296" i="16"/>
  <c r="P296" i="16" l="1" a="1"/>
  <c r="P296" i="16" s="1"/>
  <c r="O296" i="16" a="1"/>
  <c r="O296" i="16" s="1"/>
  <c r="N296" i="16" a="1"/>
  <c r="N296" i="16" s="1"/>
  <c r="X296" i="16" a="1"/>
  <c r="X296" i="16" s="1"/>
  <c r="Y296" i="16" a="1"/>
  <c r="Y296" i="16" s="1"/>
  <c r="W296" i="16" a="1"/>
  <c r="W296" i="16" s="1"/>
  <c r="C296" i="16" a="1"/>
  <c r="C296" i="16" s="1"/>
  <c r="T296" i="16" a="1"/>
  <c r="T296" i="16" s="1"/>
  <c r="S296" i="16" a="1"/>
  <c r="S296" i="16" s="1"/>
  <c r="D296" i="16" a="1"/>
  <c r="D296" i="16" s="1"/>
  <c r="J296" i="16" a="1"/>
  <c r="J296" i="16" s="1"/>
  <c r="U296" i="16" a="1"/>
  <c r="U296" i="16" s="1"/>
  <c r="K296" i="16" a="1"/>
  <c r="K296" i="16" s="1"/>
  <c r="V296" i="16" a="1"/>
  <c r="V296" i="16" s="1"/>
  <c r="E296" i="16" a="1"/>
  <c r="E296" i="16" s="1"/>
  <c r="L296" i="16" a="1"/>
  <c r="L296" i="16" s="1"/>
  <c r="F296" i="16" a="1"/>
  <c r="F296" i="16" s="1"/>
  <c r="M296" i="16" a="1"/>
  <c r="M296" i="16" s="1"/>
  <c r="G296" i="16" a="1"/>
  <c r="G296" i="16" s="1"/>
  <c r="Q296" i="16" a="1"/>
  <c r="Q296" i="16" s="1"/>
  <c r="I296" i="16" a="1"/>
  <c r="I296" i="16" s="1"/>
  <c r="H296" i="16" a="1"/>
  <c r="H296" i="16" s="1"/>
  <c r="R296" i="16" a="1"/>
  <c r="R296" i="16" s="1"/>
  <c r="B297" i="16"/>
  <c r="P297" i="16" l="1" a="1"/>
  <c r="P297" i="16" s="1"/>
  <c r="O297" i="16" a="1"/>
  <c r="O297" i="16" s="1"/>
  <c r="N297" i="16" a="1"/>
  <c r="N297" i="16" s="1"/>
  <c r="W297" i="16" a="1"/>
  <c r="W297" i="16" s="1"/>
  <c r="X297" i="16" a="1"/>
  <c r="X297" i="16" s="1"/>
  <c r="Y297" i="16" a="1"/>
  <c r="Y297" i="16" s="1"/>
  <c r="G297" i="16" a="1"/>
  <c r="G297" i="16" s="1"/>
  <c r="Q297" i="16" a="1"/>
  <c r="Q297" i="16" s="1"/>
  <c r="H297" i="16" a="1"/>
  <c r="H297" i="16" s="1"/>
  <c r="R297" i="16" a="1"/>
  <c r="R297" i="16" s="1"/>
  <c r="M297" i="16" a="1"/>
  <c r="M297" i="16" s="1"/>
  <c r="S297" i="16" a="1"/>
  <c r="S297" i="16" s="1"/>
  <c r="C297" i="16" a="1"/>
  <c r="C297" i="16" s="1"/>
  <c r="I297" i="16" a="1"/>
  <c r="I297" i="16" s="1"/>
  <c r="T297" i="16" a="1"/>
  <c r="T297" i="16" s="1"/>
  <c r="J297" i="16" a="1"/>
  <c r="J297" i="16" s="1"/>
  <c r="U297" i="16" a="1"/>
  <c r="U297" i="16" s="1"/>
  <c r="F297" i="16" a="1"/>
  <c r="F297" i="16" s="1"/>
  <c r="D297" i="16" a="1"/>
  <c r="D297" i="16" s="1"/>
  <c r="K297" i="16" a="1"/>
  <c r="K297" i="16" s="1"/>
  <c r="V297" i="16" a="1"/>
  <c r="V297" i="16" s="1"/>
  <c r="E297" i="16" a="1"/>
  <c r="E297" i="16" s="1"/>
  <c r="L297" i="16" a="1"/>
  <c r="L297" i="16" s="1"/>
  <c r="B298" i="16"/>
  <c r="P298" i="16" l="1" a="1"/>
  <c r="P298" i="16" s="1"/>
  <c r="O298" i="16" a="1"/>
  <c r="O298" i="16" s="1"/>
  <c r="N298" i="16" a="1"/>
  <c r="N298" i="16" s="1"/>
  <c r="X298" i="16" a="1"/>
  <c r="X298" i="16" s="1"/>
  <c r="Y298" i="16" a="1"/>
  <c r="Y298" i="16" s="1"/>
  <c r="W298" i="16" a="1"/>
  <c r="W298" i="16" s="1"/>
  <c r="D298" i="16" a="1"/>
  <c r="D298" i="16" s="1"/>
  <c r="K298" i="16" a="1"/>
  <c r="K298" i="16" s="1"/>
  <c r="E298" i="16" a="1"/>
  <c r="E298" i="16" s="1"/>
  <c r="L298" i="16" a="1"/>
  <c r="L298" i="16" s="1"/>
  <c r="V298" i="16" a="1"/>
  <c r="V298" i="16" s="1"/>
  <c r="F298" i="16" a="1"/>
  <c r="F298" i="16" s="1"/>
  <c r="M298" i="16" a="1"/>
  <c r="M298" i="16" s="1"/>
  <c r="U298" i="16" a="1"/>
  <c r="U298" i="16" s="1"/>
  <c r="G298" i="16" a="1"/>
  <c r="G298" i="16" s="1"/>
  <c r="Q298" i="16" a="1"/>
  <c r="Q298" i="16" s="1"/>
  <c r="C298" i="16" a="1"/>
  <c r="C298" i="16" s="1"/>
  <c r="R298" i="16" a="1"/>
  <c r="R298" i="16" s="1"/>
  <c r="H298" i="16" a="1"/>
  <c r="H298" i="16" s="1"/>
  <c r="S298" i="16" a="1"/>
  <c r="S298" i="16" s="1"/>
  <c r="I298" i="16" a="1"/>
  <c r="I298" i="16" s="1"/>
  <c r="T298" i="16" a="1"/>
  <c r="T298" i="16" s="1"/>
  <c r="J298" i="16" a="1"/>
  <c r="J298" i="16" s="1"/>
  <c r="B299" i="16"/>
  <c r="O299" i="16" l="1" a="1"/>
  <c r="O299" i="16" s="1"/>
  <c r="N299" i="16" a="1"/>
  <c r="N299" i="16" s="1"/>
  <c r="P299" i="16" a="1"/>
  <c r="P299" i="16" s="1"/>
  <c r="W299" i="16" a="1"/>
  <c r="W299" i="16" s="1"/>
  <c r="X299" i="16" a="1"/>
  <c r="X299" i="16" s="1"/>
  <c r="Y299" i="16" a="1"/>
  <c r="Y299" i="16" s="1"/>
  <c r="H299" i="16" a="1"/>
  <c r="H299" i="16" s="1"/>
  <c r="S299" i="16" a="1"/>
  <c r="S299" i="16" s="1"/>
  <c r="I299" i="16" a="1"/>
  <c r="I299" i="16" s="1"/>
  <c r="T299" i="16" a="1"/>
  <c r="T299" i="16" s="1"/>
  <c r="C299" i="16" a="1"/>
  <c r="C299" i="16" s="1"/>
  <c r="J299" i="16" a="1"/>
  <c r="J299" i="16" s="1"/>
  <c r="D299" i="16" a="1"/>
  <c r="D299" i="16" s="1"/>
  <c r="K299" i="16" a="1"/>
  <c r="K299" i="16" s="1"/>
  <c r="U299" i="16" a="1"/>
  <c r="U299" i="16" s="1"/>
  <c r="E299" i="16" a="1"/>
  <c r="E299" i="16" s="1"/>
  <c r="L299" i="16" a="1"/>
  <c r="L299" i="16" s="1"/>
  <c r="V299" i="16" a="1"/>
  <c r="V299" i="16" s="1"/>
  <c r="R299" i="16" a="1"/>
  <c r="R299" i="16" s="1"/>
  <c r="F299" i="16" a="1"/>
  <c r="F299" i="16" s="1"/>
  <c r="M299" i="16" a="1"/>
  <c r="M299" i="16" s="1"/>
  <c r="G299" i="16" a="1"/>
  <c r="G299" i="16" s="1"/>
  <c r="Q299" i="16" a="1"/>
  <c r="Q299" i="16" s="1"/>
  <c r="B300" i="16"/>
  <c r="N300" i="16" l="1" a="1"/>
  <c r="N300" i="16" s="1"/>
  <c r="P300" i="16" a="1"/>
  <c r="P300" i="16" s="1"/>
  <c r="O300" i="16" a="1"/>
  <c r="O300" i="16" s="1"/>
  <c r="X300" i="16" a="1"/>
  <c r="X300" i="16" s="1"/>
  <c r="Y300" i="16" a="1"/>
  <c r="Y300" i="16" s="1"/>
  <c r="W300" i="16" a="1"/>
  <c r="W300" i="16" s="1"/>
  <c r="M300" i="16" a="1"/>
  <c r="M300" i="16" s="1"/>
  <c r="E300" i="16" a="1"/>
  <c r="E300" i="16" s="1"/>
  <c r="F300" i="16" a="1"/>
  <c r="F300" i="16" s="1"/>
  <c r="Q300" i="16" a="1"/>
  <c r="Q300" i="16" s="1"/>
  <c r="L300" i="16" a="1"/>
  <c r="L300" i="16" s="1"/>
  <c r="G300" i="16" a="1"/>
  <c r="G300" i="16" s="1"/>
  <c r="R300" i="16" a="1"/>
  <c r="R300" i="16" s="1"/>
  <c r="H300" i="16" a="1"/>
  <c r="H300" i="16" s="1"/>
  <c r="S300" i="16" a="1"/>
  <c r="S300" i="16" s="1"/>
  <c r="V300" i="16" a="1"/>
  <c r="V300" i="16" s="1"/>
  <c r="I300" i="16" a="1"/>
  <c r="I300" i="16" s="1"/>
  <c r="C300" i="16" a="1"/>
  <c r="C300" i="16" s="1"/>
  <c r="J300" i="16" a="1"/>
  <c r="J300" i="16" s="1"/>
  <c r="T300" i="16" a="1"/>
  <c r="T300" i="16" s="1"/>
  <c r="D300" i="16" a="1"/>
  <c r="D300" i="16" s="1"/>
  <c r="K300" i="16" a="1"/>
  <c r="K300" i="16" s="1"/>
  <c r="U300" i="16" a="1"/>
  <c r="U300" i="16" s="1"/>
  <c r="B301" i="16"/>
  <c r="P301" i="16" l="1" a="1"/>
  <c r="P301" i="16" s="1"/>
  <c r="O301" i="16" a="1"/>
  <c r="O301" i="16" s="1"/>
  <c r="N301" i="16" a="1"/>
  <c r="N301" i="16" s="1"/>
  <c r="W301" i="16" a="1"/>
  <c r="W301" i="16" s="1"/>
  <c r="X301" i="16" a="1"/>
  <c r="X301" i="16" s="1"/>
  <c r="Y301" i="16" a="1"/>
  <c r="Y301" i="16" s="1"/>
  <c r="C301" i="16" a="1"/>
  <c r="C301" i="16" s="1"/>
  <c r="J301" i="16" a="1"/>
  <c r="J301" i="16" s="1"/>
  <c r="T301" i="16" a="1"/>
  <c r="T301" i="16" s="1"/>
  <c r="D301" i="16" a="1"/>
  <c r="D301" i="16" s="1"/>
  <c r="K301" i="16" a="1"/>
  <c r="K301" i="16" s="1"/>
  <c r="U301" i="16" a="1"/>
  <c r="U301" i="16" s="1"/>
  <c r="L301" i="16" a="1"/>
  <c r="L301" i="16" s="1"/>
  <c r="V301" i="16" a="1"/>
  <c r="V301" i="16" s="1"/>
  <c r="S301" i="16" a="1"/>
  <c r="S301" i="16" s="1"/>
  <c r="E301" i="16" a="1"/>
  <c r="E301" i="16" s="1"/>
  <c r="M301" i="16" a="1"/>
  <c r="M301" i="16" s="1"/>
  <c r="F301" i="16" a="1"/>
  <c r="F301" i="16" s="1"/>
  <c r="Q301" i="16" a="1"/>
  <c r="Q301" i="16" s="1"/>
  <c r="G301" i="16" a="1"/>
  <c r="G301" i="16" s="1"/>
  <c r="R301" i="16" a="1"/>
  <c r="R301" i="16" s="1"/>
  <c r="H301" i="16" a="1"/>
  <c r="H301" i="16" s="1"/>
  <c r="I301" i="16" a="1"/>
  <c r="I301" i="16" s="1"/>
  <c r="B302" i="16"/>
  <c r="N302" i="16" l="1" a="1"/>
  <c r="N302" i="16" s="1"/>
  <c r="P302" i="16" a="1"/>
  <c r="P302" i="16" s="1"/>
  <c r="O302" i="16" a="1"/>
  <c r="O302" i="16" s="1"/>
  <c r="Y302" i="16" a="1"/>
  <c r="Y302" i="16" s="1"/>
  <c r="W302" i="16" a="1"/>
  <c r="W302" i="16" s="1"/>
  <c r="X302" i="16" a="1"/>
  <c r="X302" i="16" s="1"/>
  <c r="G302" i="16" a="1"/>
  <c r="G302" i="16" s="1"/>
  <c r="H302" i="16" a="1"/>
  <c r="H302" i="16" s="1"/>
  <c r="R302" i="16" a="1"/>
  <c r="R302" i="16" s="1"/>
  <c r="I302" i="16" a="1"/>
  <c r="I302" i="16" s="1"/>
  <c r="S302" i="16" a="1"/>
  <c r="S302" i="16" s="1"/>
  <c r="C302" i="16" a="1"/>
  <c r="C302" i="16" s="1"/>
  <c r="J302" i="16" a="1"/>
  <c r="J302" i="16" s="1"/>
  <c r="T302" i="16" a="1"/>
  <c r="T302" i="16" s="1"/>
  <c r="K302" i="16" a="1"/>
  <c r="K302" i="16" s="1"/>
  <c r="U302" i="16" a="1"/>
  <c r="U302" i="16" s="1"/>
  <c r="Q302" i="16" a="1"/>
  <c r="Q302" i="16" s="1"/>
  <c r="D302" i="16" a="1"/>
  <c r="D302" i="16" s="1"/>
  <c r="L302" i="16" a="1"/>
  <c r="L302" i="16" s="1"/>
  <c r="V302" i="16" a="1"/>
  <c r="V302" i="16" s="1"/>
  <c r="F302" i="16" a="1"/>
  <c r="F302" i="16" s="1"/>
  <c r="E302" i="16" a="1"/>
  <c r="E302" i="16" s="1"/>
  <c r="M302" i="16" a="1"/>
  <c r="M302" i="16" s="1"/>
  <c r="B303" i="16"/>
  <c r="P303" i="16" l="1" a="1"/>
  <c r="P303" i="16" s="1"/>
  <c r="O303" i="16" a="1"/>
  <c r="O303" i="16" s="1"/>
  <c r="N303" i="16" a="1"/>
  <c r="N303" i="16" s="1"/>
  <c r="W303" i="16" a="1"/>
  <c r="W303" i="16" s="1"/>
  <c r="X303" i="16" a="1"/>
  <c r="X303" i="16" s="1"/>
  <c r="Y303" i="16" a="1"/>
  <c r="Y303" i="16" s="1"/>
  <c r="D303" i="16" a="1"/>
  <c r="D303" i="16" s="1"/>
  <c r="L303" i="16" a="1"/>
  <c r="L303" i="16" s="1"/>
  <c r="C303" i="16" a="1"/>
  <c r="C303" i="16" s="1"/>
  <c r="E303" i="16" a="1"/>
  <c r="E303" i="16" s="1"/>
  <c r="M303" i="16" a="1"/>
  <c r="M303" i="16" s="1"/>
  <c r="V303" i="16" a="1"/>
  <c r="V303" i="16" s="1"/>
  <c r="K303" i="16" a="1"/>
  <c r="K303" i="16" s="1"/>
  <c r="F303" i="16" a="1"/>
  <c r="F303" i="16" s="1"/>
  <c r="G303" i="16" a="1"/>
  <c r="G303" i="16" s="1"/>
  <c r="Q303" i="16" a="1"/>
  <c r="Q303" i="16" s="1"/>
  <c r="U303" i="16" a="1"/>
  <c r="U303" i="16" s="1"/>
  <c r="H303" i="16" a="1"/>
  <c r="H303" i="16" s="1"/>
  <c r="R303" i="16" a="1"/>
  <c r="R303" i="16" s="1"/>
  <c r="I303" i="16" a="1"/>
  <c r="I303" i="16" s="1"/>
  <c r="S303" i="16" a="1"/>
  <c r="S303" i="16" s="1"/>
  <c r="J303" i="16" a="1"/>
  <c r="J303" i="16" s="1"/>
  <c r="T303" i="16" a="1"/>
  <c r="T303" i="16" s="1"/>
  <c r="B304" i="16"/>
  <c r="P304" i="16" l="1" a="1"/>
  <c r="P304" i="16" s="1"/>
  <c r="O304" i="16" a="1"/>
  <c r="O304" i="16" s="1"/>
  <c r="N304" i="16" a="1"/>
  <c r="N304" i="16" s="1"/>
  <c r="Y304" i="16" a="1"/>
  <c r="Y304" i="16" s="1"/>
  <c r="W304" i="16" a="1"/>
  <c r="W304" i="16" s="1"/>
  <c r="X304" i="16" a="1"/>
  <c r="X304" i="16" s="1"/>
  <c r="I304" i="16" a="1"/>
  <c r="I304" i="16" s="1"/>
  <c r="S304" i="16" a="1"/>
  <c r="S304" i="16" s="1"/>
  <c r="J304" i="16" a="1"/>
  <c r="J304" i="16" s="1"/>
  <c r="T304" i="16" a="1"/>
  <c r="T304" i="16" s="1"/>
  <c r="C304" i="16" a="1"/>
  <c r="C304" i="16" s="1"/>
  <c r="K304" i="16" a="1"/>
  <c r="K304" i="16" s="1"/>
  <c r="H304" i="16" a="1"/>
  <c r="H304" i="16" s="1"/>
  <c r="D304" i="16" a="1"/>
  <c r="D304" i="16" s="1"/>
  <c r="L304" i="16" a="1"/>
  <c r="L304" i="16" s="1"/>
  <c r="U304" i="16" a="1"/>
  <c r="U304" i="16" s="1"/>
  <c r="E304" i="16" a="1"/>
  <c r="E304" i="16" s="1"/>
  <c r="V304" i="16" a="1"/>
  <c r="V304" i="16" s="1"/>
  <c r="F304" i="16" a="1"/>
  <c r="F304" i="16" s="1"/>
  <c r="M304" i="16" a="1"/>
  <c r="M304" i="16" s="1"/>
  <c r="G304" i="16" a="1"/>
  <c r="G304" i="16" s="1"/>
  <c r="Q304" i="16" a="1"/>
  <c r="Q304" i="16" s="1"/>
  <c r="R304" i="16" a="1"/>
  <c r="R304" i="16" s="1"/>
  <c r="B305" i="16"/>
  <c r="O305" i="16" l="1" a="1"/>
  <c r="O305" i="16" s="1"/>
  <c r="P305" i="16" a="1"/>
  <c r="P305" i="16" s="1"/>
  <c r="N305" i="16" a="1"/>
  <c r="N305" i="16" s="1"/>
  <c r="W305" i="16" a="1"/>
  <c r="W305" i="16" s="1"/>
  <c r="X305" i="16" a="1"/>
  <c r="X305" i="16" s="1"/>
  <c r="Y305" i="16" a="1"/>
  <c r="Y305" i="16" s="1"/>
  <c r="F305" i="16" a="1"/>
  <c r="F305" i="16" s="1"/>
  <c r="M305" i="16" a="1"/>
  <c r="M305" i="16" s="1"/>
  <c r="G305" i="16" a="1"/>
  <c r="G305" i="16" s="1"/>
  <c r="Q305" i="16" a="1"/>
  <c r="Q305" i="16" s="1"/>
  <c r="H305" i="16" a="1"/>
  <c r="H305" i="16" s="1"/>
  <c r="R305" i="16" a="1"/>
  <c r="R305" i="16" s="1"/>
  <c r="I305" i="16" a="1"/>
  <c r="I305" i="16" s="1"/>
  <c r="S305" i="16" a="1"/>
  <c r="S305" i="16" s="1"/>
  <c r="L305" i="16" a="1"/>
  <c r="L305" i="16" s="1"/>
  <c r="J305" i="16" a="1"/>
  <c r="J305" i="16" s="1"/>
  <c r="V305" i="16" a="1"/>
  <c r="V305" i="16" s="1"/>
  <c r="C305" i="16" a="1"/>
  <c r="C305" i="16" s="1"/>
  <c r="K305" i="16" a="1"/>
  <c r="K305" i="16" s="1"/>
  <c r="T305" i="16" a="1"/>
  <c r="T305" i="16" s="1"/>
  <c r="E305" i="16" a="1"/>
  <c r="E305" i="16" s="1"/>
  <c r="D305" i="16" a="1"/>
  <c r="D305" i="16" s="1"/>
  <c r="U305" i="16" a="1"/>
  <c r="U305" i="16" s="1"/>
  <c r="B306" i="16"/>
  <c r="P306" i="16" l="1" a="1"/>
  <c r="P306" i="16" s="1"/>
  <c r="O306" i="16" a="1"/>
  <c r="O306" i="16" s="1"/>
  <c r="N306" i="16" a="1"/>
  <c r="N306" i="16" s="1"/>
  <c r="W306" i="16" a="1"/>
  <c r="W306" i="16" s="1"/>
  <c r="X306" i="16" a="1"/>
  <c r="X306" i="16" s="1"/>
  <c r="Y306" i="16" a="1"/>
  <c r="Y306" i="16" s="1"/>
  <c r="C306" i="16" a="1"/>
  <c r="C306" i="16" s="1"/>
  <c r="T306" i="16" a="1"/>
  <c r="T306" i="16" s="1"/>
  <c r="J306" i="16" a="1"/>
  <c r="J306" i="16" s="1"/>
  <c r="D306" i="16" a="1"/>
  <c r="D306" i="16" s="1"/>
  <c r="K306" i="16" a="1"/>
  <c r="K306" i="16" s="1"/>
  <c r="U306" i="16" a="1"/>
  <c r="U306" i="16" s="1"/>
  <c r="S306" i="16" a="1"/>
  <c r="S306" i="16" s="1"/>
  <c r="E306" i="16" a="1"/>
  <c r="E306" i="16" s="1"/>
  <c r="L306" i="16" a="1"/>
  <c r="L306" i="16" s="1"/>
  <c r="V306" i="16" a="1"/>
  <c r="V306" i="16" s="1"/>
  <c r="F306" i="16" a="1"/>
  <c r="F306" i="16" s="1"/>
  <c r="M306" i="16" a="1"/>
  <c r="M306" i="16" s="1"/>
  <c r="G306" i="16" a="1"/>
  <c r="G306" i="16" s="1"/>
  <c r="Q306" i="16" a="1"/>
  <c r="Q306" i="16" s="1"/>
  <c r="H306" i="16" a="1"/>
  <c r="H306" i="16" s="1"/>
  <c r="R306" i="16" a="1"/>
  <c r="R306" i="16" s="1"/>
  <c r="I306" i="16" a="1"/>
  <c r="I306" i="16" s="1"/>
  <c r="B307" i="16"/>
  <c r="O307" i="16" l="1" a="1"/>
  <c r="O307" i="16" s="1"/>
  <c r="N307" i="16" a="1"/>
  <c r="N307" i="16" s="1"/>
  <c r="P307" i="16" a="1"/>
  <c r="P307" i="16" s="1"/>
  <c r="W307" i="16" a="1"/>
  <c r="W307" i="16" s="1"/>
  <c r="X307" i="16" a="1"/>
  <c r="X307" i="16" s="1"/>
  <c r="Y307" i="16" a="1"/>
  <c r="Y307" i="16" s="1"/>
  <c r="H307" i="16" a="1"/>
  <c r="H307" i="16" s="1"/>
  <c r="I307" i="16" a="1"/>
  <c r="I307" i="16" s="1"/>
  <c r="R307" i="16" a="1"/>
  <c r="R307" i="16" s="1"/>
  <c r="S307" i="16" a="1"/>
  <c r="S307" i="16" s="1"/>
  <c r="G307" i="16" a="1"/>
  <c r="G307" i="16" s="1"/>
  <c r="C307" i="16" a="1"/>
  <c r="C307" i="16" s="1"/>
  <c r="J307" i="16" a="1"/>
  <c r="J307" i="16" s="1"/>
  <c r="T307" i="16" a="1"/>
  <c r="T307" i="16" s="1"/>
  <c r="D307" i="16" a="1"/>
  <c r="D307" i="16" s="1"/>
  <c r="K307" i="16" a="1"/>
  <c r="K307" i="16" s="1"/>
  <c r="U307" i="16" a="1"/>
  <c r="U307" i="16" s="1"/>
  <c r="E307" i="16" a="1"/>
  <c r="E307" i="16" s="1"/>
  <c r="L307" i="16" a="1"/>
  <c r="L307" i="16" s="1"/>
  <c r="V307" i="16" a="1"/>
  <c r="V307" i="16" s="1"/>
  <c r="F307" i="16" a="1"/>
  <c r="F307" i="16" s="1"/>
  <c r="M307" i="16" a="1"/>
  <c r="M307" i="16" s="1"/>
  <c r="Q307" i="16" a="1"/>
  <c r="Q307" i="16" s="1"/>
  <c r="B308" i="16"/>
  <c r="N308" i="16" l="1" a="1"/>
  <c r="N308" i="16" s="1"/>
  <c r="P308" i="16" a="1"/>
  <c r="P308" i="16" s="1"/>
  <c r="O308" i="16" a="1"/>
  <c r="O308" i="16" s="1"/>
  <c r="W308" i="16" a="1"/>
  <c r="W308" i="16" s="1"/>
  <c r="Y308" i="16" a="1"/>
  <c r="Y308" i="16" s="1"/>
  <c r="X308" i="16" a="1"/>
  <c r="X308" i="16" s="1"/>
  <c r="E308" i="16" a="1"/>
  <c r="E308" i="16" s="1"/>
  <c r="L308" i="16" a="1"/>
  <c r="L308" i="16" s="1"/>
  <c r="V308" i="16" a="1"/>
  <c r="V308" i="16" s="1"/>
  <c r="U308" i="16" a="1"/>
  <c r="U308" i="16" s="1"/>
  <c r="F308" i="16" a="1"/>
  <c r="F308" i="16" s="1"/>
  <c r="M308" i="16" a="1"/>
  <c r="M308" i="16" s="1"/>
  <c r="G308" i="16" a="1"/>
  <c r="G308" i="16" s="1"/>
  <c r="H308" i="16" a="1"/>
  <c r="H308" i="16" s="1"/>
  <c r="Q308" i="16" a="1"/>
  <c r="Q308" i="16" s="1"/>
  <c r="K308" i="16" a="1"/>
  <c r="K308" i="16" s="1"/>
  <c r="R308" i="16" a="1"/>
  <c r="R308" i="16" s="1"/>
  <c r="I308" i="16" a="1"/>
  <c r="I308" i="16" s="1"/>
  <c r="S308" i="16" a="1"/>
  <c r="S308" i="16" s="1"/>
  <c r="D308" i="16" a="1"/>
  <c r="D308" i="16" s="1"/>
  <c r="C308" i="16" a="1"/>
  <c r="C308" i="16" s="1"/>
  <c r="J308" i="16" a="1"/>
  <c r="J308" i="16" s="1"/>
  <c r="T308" i="16" a="1"/>
  <c r="T308" i="16" s="1"/>
  <c r="B309" i="16"/>
  <c r="P309" i="16" l="1" a="1"/>
  <c r="P309" i="16" s="1"/>
  <c r="O309" i="16" a="1"/>
  <c r="O309" i="16" s="1"/>
  <c r="N309" i="16" a="1"/>
  <c r="N309" i="16" s="1"/>
  <c r="W309" i="16" a="1"/>
  <c r="W309" i="16" s="1"/>
  <c r="X309" i="16" a="1"/>
  <c r="X309" i="16" s="1"/>
  <c r="Y309" i="16" a="1"/>
  <c r="Y309" i="16" s="1"/>
  <c r="I309" i="16" a="1"/>
  <c r="I309" i="16" s="1"/>
  <c r="S309" i="16" a="1"/>
  <c r="S309" i="16" s="1"/>
  <c r="C309" i="16" a="1"/>
  <c r="C309" i="16" s="1"/>
  <c r="J309" i="16" a="1"/>
  <c r="J309" i="16" s="1"/>
  <c r="T309" i="16" a="1"/>
  <c r="T309" i="16" s="1"/>
  <c r="R309" i="16" a="1"/>
  <c r="R309" i="16" s="1"/>
  <c r="D309" i="16" a="1"/>
  <c r="D309" i="16" s="1"/>
  <c r="K309" i="16" a="1"/>
  <c r="K309" i="16" s="1"/>
  <c r="U309" i="16" a="1"/>
  <c r="U309" i="16" s="1"/>
  <c r="E309" i="16" a="1"/>
  <c r="E309" i="16" s="1"/>
  <c r="L309" i="16" a="1"/>
  <c r="L309" i="16" s="1"/>
  <c r="V309" i="16" a="1"/>
  <c r="V309" i="16" s="1"/>
  <c r="F309" i="16" a="1"/>
  <c r="F309" i="16" s="1"/>
  <c r="H309" i="16" a="1"/>
  <c r="H309" i="16" s="1"/>
  <c r="G309" i="16" a="1"/>
  <c r="G309" i="16" s="1"/>
  <c r="M309" i="16" a="1"/>
  <c r="M309" i="16" s="1"/>
  <c r="Q309" i="16" a="1"/>
  <c r="Q309" i="16" s="1"/>
  <c r="B310" i="16"/>
  <c r="N310" i="16" l="1" a="1"/>
  <c r="N310" i="16" s="1"/>
  <c r="P310" i="16" a="1"/>
  <c r="P310" i="16" s="1"/>
  <c r="O310" i="16" a="1"/>
  <c r="O310" i="16" s="1"/>
  <c r="W310" i="16" a="1"/>
  <c r="W310" i="16" s="1"/>
  <c r="X310" i="16" a="1"/>
  <c r="X310" i="16" s="1"/>
  <c r="Y310" i="16" a="1"/>
  <c r="Y310" i="16" s="1"/>
  <c r="M310" i="16" a="1"/>
  <c r="M310" i="16" s="1"/>
  <c r="G310" i="16" a="1"/>
  <c r="G310" i="16" s="1"/>
  <c r="Q310" i="16" a="1"/>
  <c r="Q310" i="16" s="1"/>
  <c r="H310" i="16" a="1"/>
  <c r="H310" i="16" s="1"/>
  <c r="R310" i="16" a="1"/>
  <c r="R310" i="16" s="1"/>
  <c r="F310" i="16" a="1"/>
  <c r="F310" i="16" s="1"/>
  <c r="I310" i="16" a="1"/>
  <c r="I310" i="16" s="1"/>
  <c r="S310" i="16" a="1"/>
  <c r="S310" i="16" s="1"/>
  <c r="C310" i="16" a="1"/>
  <c r="C310" i="16" s="1"/>
  <c r="J310" i="16" a="1"/>
  <c r="J310" i="16" s="1"/>
  <c r="T310" i="16" a="1"/>
  <c r="T310" i="16" s="1"/>
  <c r="D310" i="16" a="1"/>
  <c r="D310" i="16" s="1"/>
  <c r="K310" i="16" a="1"/>
  <c r="K310" i="16" s="1"/>
  <c r="U310" i="16" a="1"/>
  <c r="U310" i="16" s="1"/>
  <c r="E310" i="16" a="1"/>
  <c r="E310" i="16" s="1"/>
  <c r="V310" i="16" a="1"/>
  <c r="V310" i="16" s="1"/>
  <c r="L310" i="16" a="1"/>
  <c r="L310" i="16" s="1"/>
  <c r="B311" i="16"/>
  <c r="P311" i="16" l="1" a="1"/>
  <c r="P311" i="16" s="1"/>
  <c r="O311" i="16" a="1"/>
  <c r="O311" i="16" s="1"/>
  <c r="N311" i="16" a="1"/>
  <c r="N311" i="16" s="1"/>
  <c r="W311" i="16" a="1"/>
  <c r="W311" i="16" s="1"/>
  <c r="X311" i="16" a="1"/>
  <c r="X311" i="16" s="1"/>
  <c r="Y311" i="16" a="1"/>
  <c r="Y311" i="16" s="1"/>
  <c r="D311" i="16" a="1"/>
  <c r="D311" i="16" s="1"/>
  <c r="U311" i="16" a="1"/>
  <c r="U311" i="16" s="1"/>
  <c r="E311" i="16" a="1"/>
  <c r="E311" i="16" s="1"/>
  <c r="K311" i="16" a="1"/>
  <c r="K311" i="16" s="1"/>
  <c r="V311" i="16" a="1"/>
  <c r="V311" i="16" s="1"/>
  <c r="L311" i="16" a="1"/>
  <c r="L311" i="16" s="1"/>
  <c r="F311" i="16" a="1"/>
  <c r="F311" i="16" s="1"/>
  <c r="M311" i="16" a="1"/>
  <c r="M311" i="16" s="1"/>
  <c r="J311" i="16" a="1"/>
  <c r="J311" i="16" s="1"/>
  <c r="G311" i="16" a="1"/>
  <c r="G311" i="16" s="1"/>
  <c r="Q311" i="16" a="1"/>
  <c r="Q311" i="16" s="1"/>
  <c r="T311" i="16" a="1"/>
  <c r="T311" i="16" s="1"/>
  <c r="H311" i="16" a="1"/>
  <c r="H311" i="16" s="1"/>
  <c r="R311" i="16" a="1"/>
  <c r="R311" i="16" s="1"/>
  <c r="C311" i="16" a="1"/>
  <c r="C311" i="16" s="1"/>
  <c r="I311" i="16" a="1"/>
  <c r="I311" i="16" s="1"/>
  <c r="S311" i="16" a="1"/>
  <c r="S311" i="16" s="1"/>
  <c r="B312" i="16"/>
  <c r="P312" i="16" l="1" a="1"/>
  <c r="P312" i="16" s="1"/>
  <c r="O312" i="16" a="1"/>
  <c r="O312" i="16" s="1"/>
  <c r="N312" i="16" a="1"/>
  <c r="N312" i="16" s="1"/>
  <c r="W312" i="16" a="1"/>
  <c r="W312" i="16" s="1"/>
  <c r="X312" i="16" a="1"/>
  <c r="X312" i="16" s="1"/>
  <c r="Y312" i="16" a="1"/>
  <c r="Y312" i="16" s="1"/>
  <c r="H312" i="16" a="1"/>
  <c r="H312" i="16" s="1"/>
  <c r="R312" i="16" a="1"/>
  <c r="R312" i="16" s="1"/>
  <c r="G312" i="16" a="1"/>
  <c r="G312" i="16" s="1"/>
  <c r="I312" i="16" a="1"/>
  <c r="I312" i="16" s="1"/>
  <c r="S312" i="16" a="1"/>
  <c r="S312" i="16" s="1"/>
  <c r="Q312" i="16" a="1"/>
  <c r="Q312" i="16" s="1"/>
  <c r="C312" i="16" a="1"/>
  <c r="C312" i="16" s="1"/>
  <c r="T312" i="16" a="1"/>
  <c r="T312" i="16" s="1"/>
  <c r="D312" i="16" a="1"/>
  <c r="D312" i="16" s="1"/>
  <c r="J312" i="16" a="1"/>
  <c r="J312" i="16" s="1"/>
  <c r="U312" i="16" a="1"/>
  <c r="U312" i="16" s="1"/>
  <c r="K312" i="16" a="1"/>
  <c r="K312" i="16" s="1"/>
  <c r="V312" i="16" a="1"/>
  <c r="V312" i="16" s="1"/>
  <c r="E312" i="16" a="1"/>
  <c r="E312" i="16" s="1"/>
  <c r="L312" i="16" a="1"/>
  <c r="L312" i="16" s="1"/>
  <c r="F312" i="16" a="1"/>
  <c r="F312" i="16" s="1"/>
  <c r="M312" i="16" a="1"/>
  <c r="M312" i="16" s="1"/>
  <c r="B313" i="16"/>
  <c r="O313" i="16" l="1" a="1"/>
  <c r="O313" i="16" s="1"/>
  <c r="P313" i="16" a="1"/>
  <c r="P313" i="16" s="1"/>
  <c r="N313" i="16" a="1"/>
  <c r="N313" i="16" s="1"/>
  <c r="X313" i="16" a="1"/>
  <c r="X313" i="16" s="1"/>
  <c r="Y313" i="16" a="1"/>
  <c r="Y313" i="16" s="1"/>
  <c r="W313" i="16" a="1"/>
  <c r="W313" i="16" s="1"/>
  <c r="E313" i="16" a="1"/>
  <c r="E313" i="16" s="1"/>
  <c r="L313" i="16" a="1"/>
  <c r="L313" i="16" s="1"/>
  <c r="F313" i="16" a="1"/>
  <c r="F313" i="16" s="1"/>
  <c r="M313" i="16" a="1"/>
  <c r="M313" i="16" s="1"/>
  <c r="G313" i="16" a="1"/>
  <c r="G313" i="16" s="1"/>
  <c r="Q313" i="16" a="1"/>
  <c r="Q313" i="16" s="1"/>
  <c r="D313" i="16" a="1"/>
  <c r="D313" i="16" s="1"/>
  <c r="H313" i="16" a="1"/>
  <c r="H313" i="16" s="1"/>
  <c r="R313" i="16" a="1"/>
  <c r="R313" i="16" s="1"/>
  <c r="V313" i="16" a="1"/>
  <c r="V313" i="16" s="1"/>
  <c r="S313" i="16" a="1"/>
  <c r="S313" i="16" s="1"/>
  <c r="C313" i="16" a="1"/>
  <c r="C313" i="16" s="1"/>
  <c r="I313" i="16" a="1"/>
  <c r="I313" i="16" s="1"/>
  <c r="T313" i="16" a="1"/>
  <c r="T313" i="16" s="1"/>
  <c r="J313" i="16" a="1"/>
  <c r="J313" i="16" s="1"/>
  <c r="U313" i="16" a="1"/>
  <c r="U313" i="16" s="1"/>
  <c r="K313" i="16" a="1"/>
  <c r="K313" i="16" s="1"/>
  <c r="B314" i="16"/>
  <c r="P314" i="16" l="1" a="1"/>
  <c r="P314" i="16" s="1"/>
  <c r="O314" i="16" a="1"/>
  <c r="O314" i="16" s="1"/>
  <c r="N314" i="16" a="1"/>
  <c r="N314" i="16" s="1"/>
  <c r="W314" i="16" a="1"/>
  <c r="W314" i="16" s="1"/>
  <c r="X314" i="16" a="1"/>
  <c r="X314" i="16" s="1"/>
  <c r="Y314" i="16" a="1"/>
  <c r="Y314" i="16" s="1"/>
  <c r="H314" i="16" a="1"/>
  <c r="H314" i="16" s="1"/>
  <c r="Q314" i="16" a="1"/>
  <c r="Q314" i="16" s="1"/>
  <c r="V314" i="16" a="1"/>
  <c r="V314" i="16" s="1"/>
  <c r="C314" i="16" a="1"/>
  <c r="C314" i="16" s="1"/>
  <c r="D314" i="16" a="1"/>
  <c r="D314" i="16" s="1"/>
  <c r="I314" i="16" a="1"/>
  <c r="I314" i="16" s="1"/>
  <c r="R314" i="16" a="1"/>
  <c r="R314" i="16" s="1"/>
  <c r="E314" i="16" a="1"/>
  <c r="E314" i="16" s="1"/>
  <c r="J314" i="16" a="1"/>
  <c r="J314" i="16" s="1"/>
  <c r="F314" i="16" a="1"/>
  <c r="F314" i="16" s="1"/>
  <c r="K314" i="16" a="1"/>
  <c r="K314" i="16" s="1"/>
  <c r="S314" i="16" a="1"/>
  <c r="S314" i="16" s="1"/>
  <c r="U314" i="16" a="1"/>
  <c r="U314" i="16" s="1"/>
  <c r="M314" i="16" a="1"/>
  <c r="M314" i="16" s="1"/>
  <c r="G314" i="16" a="1"/>
  <c r="G314" i="16" s="1"/>
  <c r="L314" i="16" a="1"/>
  <c r="L314" i="16" s="1"/>
  <c r="T314" i="16" a="1"/>
  <c r="T314" i="16" s="1"/>
  <c r="B315" i="16"/>
  <c r="O315" i="16" l="1" a="1"/>
  <c r="O315" i="16" s="1"/>
  <c r="N315" i="16" a="1"/>
  <c r="N315" i="16" s="1"/>
  <c r="P315" i="16" a="1"/>
  <c r="P315" i="16" s="1"/>
  <c r="X315" i="16" a="1"/>
  <c r="X315" i="16" s="1"/>
  <c r="Y315" i="16" a="1"/>
  <c r="Y315" i="16" s="1"/>
  <c r="W315" i="16" a="1"/>
  <c r="W315" i="16" s="1"/>
  <c r="G315" i="16" a="1"/>
  <c r="G315" i="16" s="1"/>
  <c r="U315" i="16" a="1"/>
  <c r="U315" i="16" s="1"/>
  <c r="V315" i="16" a="1"/>
  <c r="V315" i="16" s="1"/>
  <c r="M315" i="16" a="1"/>
  <c r="M315" i="16" s="1"/>
  <c r="C315" i="16" a="1"/>
  <c r="C315" i="16" s="1"/>
  <c r="Q315" i="16" a="1"/>
  <c r="Q315" i="16" s="1"/>
  <c r="H315" i="16" a="1"/>
  <c r="H315" i="16" s="1"/>
  <c r="D315" i="16" a="1"/>
  <c r="D315" i="16" s="1"/>
  <c r="I315" i="16" a="1"/>
  <c r="I315" i="16" s="1"/>
  <c r="R315" i="16" a="1"/>
  <c r="R315" i="16" s="1"/>
  <c r="E315" i="16" a="1"/>
  <c r="E315" i="16" s="1"/>
  <c r="J315" i="16" a="1"/>
  <c r="J315" i="16" s="1"/>
  <c r="K315" i="16" a="1"/>
  <c r="K315" i="16" s="1"/>
  <c r="S315" i="16" a="1"/>
  <c r="S315" i="16" s="1"/>
  <c r="F315" i="16" a="1"/>
  <c r="F315" i="16" s="1"/>
  <c r="L315" i="16" a="1"/>
  <c r="L315" i="16" s="1"/>
  <c r="T315" i="16" a="1"/>
  <c r="T315" i="16" s="1"/>
  <c r="B316" i="16"/>
  <c r="P316" i="16" l="1" a="1"/>
  <c r="P316" i="16" s="1"/>
  <c r="N316" i="16" a="1"/>
  <c r="N316" i="16" s="1"/>
  <c r="O316" i="16" a="1"/>
  <c r="O316" i="16" s="1"/>
  <c r="W316" i="16" a="1"/>
  <c r="W316" i="16" s="1"/>
  <c r="X316" i="16" a="1"/>
  <c r="X316" i="16" s="1"/>
  <c r="Y316" i="16" a="1"/>
  <c r="Y316" i="16" s="1"/>
  <c r="U316" i="16" a="1"/>
  <c r="U316" i="16" s="1"/>
  <c r="G316" i="16" a="1"/>
  <c r="G316" i="16" s="1"/>
  <c r="M316" i="16" a="1"/>
  <c r="M316" i="16" s="1"/>
  <c r="F316" i="16" a="1"/>
  <c r="F316" i="16" s="1"/>
  <c r="C316" i="16" a="1"/>
  <c r="C316" i="16" s="1"/>
  <c r="H316" i="16" a="1"/>
  <c r="H316" i="16" s="1"/>
  <c r="V316" i="16" a="1"/>
  <c r="V316" i="16" s="1"/>
  <c r="T316" i="16" a="1"/>
  <c r="T316" i="16" s="1"/>
  <c r="D316" i="16" a="1"/>
  <c r="D316" i="16" s="1"/>
  <c r="I316" i="16" a="1"/>
  <c r="I316" i="16" s="1"/>
  <c r="Q316" i="16" a="1"/>
  <c r="Q316" i="16" s="1"/>
  <c r="E316" i="16" a="1"/>
  <c r="E316" i="16" s="1"/>
  <c r="J316" i="16" a="1"/>
  <c r="J316" i="16" s="1"/>
  <c r="R316" i="16" a="1"/>
  <c r="R316" i="16" s="1"/>
  <c r="K316" i="16" a="1"/>
  <c r="K316" i="16" s="1"/>
  <c r="S316" i="16" a="1"/>
  <c r="S316" i="16" s="1"/>
  <c r="L316" i="16" a="1"/>
  <c r="L316" i="16" s="1"/>
  <c r="B317" i="16"/>
  <c r="P317" i="16" l="1" a="1"/>
  <c r="P317" i="16" s="1"/>
  <c r="O317" i="16" a="1"/>
  <c r="O317" i="16" s="1"/>
  <c r="N317" i="16" a="1"/>
  <c r="N317" i="16" s="1"/>
  <c r="Y317" i="16" a="1"/>
  <c r="Y317" i="16" s="1"/>
  <c r="X317" i="16" a="1"/>
  <c r="X317" i="16" s="1"/>
  <c r="W317" i="16" a="1"/>
  <c r="W317" i="16" s="1"/>
  <c r="L317" i="16" a="1"/>
  <c r="L317" i="16" s="1"/>
  <c r="T317" i="16" a="1"/>
  <c r="T317" i="16" s="1"/>
  <c r="F317" i="16" a="1"/>
  <c r="F317" i="16" s="1"/>
  <c r="U317" i="16" a="1"/>
  <c r="U317" i="16" s="1"/>
  <c r="G317" i="16" a="1"/>
  <c r="G317" i="16" s="1"/>
  <c r="M317" i="16" a="1"/>
  <c r="M317" i="16" s="1"/>
  <c r="V317" i="16" a="1"/>
  <c r="V317" i="16" s="1"/>
  <c r="R317" i="16" a="1"/>
  <c r="R317" i="16" s="1"/>
  <c r="C317" i="16" a="1"/>
  <c r="C317" i="16" s="1"/>
  <c r="H317" i="16" a="1"/>
  <c r="H317" i="16" s="1"/>
  <c r="E317" i="16" a="1"/>
  <c r="E317" i="16" s="1"/>
  <c r="I317" i="16" a="1"/>
  <c r="I317" i="16" s="1"/>
  <c r="Q317" i="16" a="1"/>
  <c r="Q317" i="16" s="1"/>
  <c r="D317" i="16" a="1"/>
  <c r="D317" i="16" s="1"/>
  <c r="J317" i="16" a="1"/>
  <c r="J317" i="16" s="1"/>
  <c r="S317" i="16" a="1"/>
  <c r="S317" i="16" s="1"/>
  <c r="K317" i="16" a="1"/>
  <c r="K317" i="16" s="1"/>
  <c r="B318" i="16"/>
  <c r="N318" i="16" l="1" a="1"/>
  <c r="N318" i="16" s="1"/>
  <c r="P318" i="16" a="1"/>
  <c r="P318" i="16" s="1"/>
  <c r="O318" i="16" a="1"/>
  <c r="O318" i="16" s="1"/>
  <c r="B319" i="16"/>
  <c r="W318" i="16" a="1"/>
  <c r="W318" i="16" s="1"/>
  <c r="X318" i="16" a="1"/>
  <c r="X318" i="16" s="1"/>
  <c r="Y318" i="16" a="1"/>
  <c r="Y318" i="16" s="1"/>
  <c r="E318" i="16" a="1"/>
  <c r="E318" i="16" s="1"/>
  <c r="K318" i="16" a="1"/>
  <c r="K318" i="16" s="1"/>
  <c r="F318" i="16" a="1"/>
  <c r="F318" i="16" s="1"/>
  <c r="T318" i="16" a="1"/>
  <c r="T318" i="16" s="1"/>
  <c r="G318" i="16" a="1"/>
  <c r="G318" i="16" s="1"/>
  <c r="L318" i="16" a="1"/>
  <c r="L318" i="16" s="1"/>
  <c r="U318" i="16" a="1"/>
  <c r="U318" i="16" s="1"/>
  <c r="V318" i="16" a="1"/>
  <c r="V318" i="16" s="1"/>
  <c r="C318" i="16" a="1"/>
  <c r="C318" i="16" s="1"/>
  <c r="H318" i="16" a="1"/>
  <c r="H318" i="16" s="1"/>
  <c r="M318" i="16" a="1"/>
  <c r="M318" i="16" s="1"/>
  <c r="Q318" i="16" a="1"/>
  <c r="Q318" i="16" s="1"/>
  <c r="S318" i="16" a="1"/>
  <c r="S318" i="16" s="1"/>
  <c r="I318" i="16" a="1"/>
  <c r="I318" i="16" s="1"/>
  <c r="D318" i="16" a="1"/>
  <c r="D318" i="16" s="1"/>
  <c r="J318" i="16" a="1"/>
  <c r="J318" i="16" s="1"/>
  <c r="R318" i="16" a="1"/>
  <c r="R318" i="16" s="1"/>
  <c r="DG6" i="2"/>
  <c r="CU6" i="2" s="1"/>
  <c r="DG7" i="2"/>
  <c r="CU7" i="2" s="1"/>
  <c r="DG8" i="2"/>
  <c r="CU8" i="2" s="1"/>
  <c r="DG9" i="2"/>
  <c r="CU9" i="2" s="1"/>
  <c r="DG10" i="2"/>
  <c r="CU10" i="2" s="1"/>
  <c r="DG11" i="2"/>
  <c r="CU11" i="2" s="1"/>
  <c r="DG12" i="2"/>
  <c r="CU12" i="2" s="1"/>
  <c r="DG13" i="2"/>
  <c r="CU13" i="2" s="1"/>
  <c r="DG14" i="2"/>
  <c r="CU14" i="2" s="1"/>
  <c r="DG15" i="2"/>
  <c r="CU15" i="2" s="1"/>
  <c r="DG16" i="2"/>
  <c r="CU16" i="2" s="1"/>
  <c r="DG17" i="2"/>
  <c r="CU17" i="2" s="1"/>
  <c r="DG18" i="2"/>
  <c r="CU18" i="2" s="1"/>
  <c r="DG19" i="2"/>
  <c r="CU19" i="2" s="1"/>
  <c r="DG20" i="2"/>
  <c r="CU20" i="2" s="1"/>
  <c r="DG5" i="2"/>
  <c r="CU5" i="2" s="1"/>
  <c r="BU5" i="2"/>
  <c r="CZ5" i="2"/>
  <c r="CQ5" i="2" s="1"/>
  <c r="DA5" i="2"/>
  <c r="CR5" i="2" s="1"/>
  <c r="DB5" i="2"/>
  <c r="DC5" i="2"/>
  <c r="CS5" i="2" s="1"/>
  <c r="DD5" i="2"/>
  <c r="DE5" i="2"/>
  <c r="DF5" i="2"/>
  <c r="CZ6" i="2"/>
  <c r="CQ6" i="2" s="1"/>
  <c r="DA6" i="2"/>
  <c r="CR6" i="2" s="1"/>
  <c r="DB6" i="2"/>
  <c r="DC6" i="2"/>
  <c r="CS6" i="2" s="1"/>
  <c r="DD6" i="2"/>
  <c r="DE6" i="2"/>
  <c r="DF6" i="2"/>
  <c r="CZ7" i="2"/>
  <c r="CQ7" i="2" s="1"/>
  <c r="DA7" i="2"/>
  <c r="CR7" i="2" s="1"/>
  <c r="DB7" i="2"/>
  <c r="DC7" i="2"/>
  <c r="CS7" i="2" s="1"/>
  <c r="DD7" i="2"/>
  <c r="DE7" i="2"/>
  <c r="DF7" i="2"/>
  <c r="CZ8" i="2"/>
  <c r="CQ8" i="2" s="1"/>
  <c r="DA8" i="2"/>
  <c r="CR8" i="2" s="1"/>
  <c r="DB8" i="2"/>
  <c r="DC8" i="2"/>
  <c r="CS8" i="2" s="1"/>
  <c r="DD8" i="2"/>
  <c r="DE8" i="2"/>
  <c r="DF8" i="2"/>
  <c r="CZ9" i="2"/>
  <c r="CQ9" i="2" s="1"/>
  <c r="DA9" i="2"/>
  <c r="CR9" i="2" s="1"/>
  <c r="DB9" i="2"/>
  <c r="DC9" i="2"/>
  <c r="CS9" i="2" s="1"/>
  <c r="DD9" i="2"/>
  <c r="DE9" i="2"/>
  <c r="DF9" i="2"/>
  <c r="CZ10" i="2"/>
  <c r="CQ10" i="2" s="1"/>
  <c r="DA10" i="2"/>
  <c r="CR10" i="2" s="1"/>
  <c r="DB10" i="2"/>
  <c r="DC10" i="2"/>
  <c r="CS10" i="2" s="1"/>
  <c r="DD10" i="2"/>
  <c r="DE10" i="2"/>
  <c r="DF10" i="2"/>
  <c r="CZ11" i="2"/>
  <c r="CQ11" i="2" s="1"/>
  <c r="DA11" i="2"/>
  <c r="CR11" i="2" s="1"/>
  <c r="DB11" i="2"/>
  <c r="DC11" i="2"/>
  <c r="CS11" i="2" s="1"/>
  <c r="DD11" i="2"/>
  <c r="DE11" i="2"/>
  <c r="DF11" i="2"/>
  <c r="CZ12" i="2"/>
  <c r="CQ12" i="2" s="1"/>
  <c r="DA12" i="2"/>
  <c r="CR12" i="2" s="1"/>
  <c r="DB12" i="2"/>
  <c r="DC12" i="2"/>
  <c r="CS12" i="2" s="1"/>
  <c r="DD12" i="2"/>
  <c r="DE12" i="2"/>
  <c r="DF12" i="2"/>
  <c r="CZ13" i="2"/>
  <c r="CQ13" i="2" s="1"/>
  <c r="DA13" i="2"/>
  <c r="CR13" i="2" s="1"/>
  <c r="DB13" i="2"/>
  <c r="DC13" i="2"/>
  <c r="CS13" i="2" s="1"/>
  <c r="DD13" i="2"/>
  <c r="DE13" i="2"/>
  <c r="DF13" i="2"/>
  <c r="CZ14" i="2"/>
  <c r="CQ14" i="2" s="1"/>
  <c r="DA14" i="2"/>
  <c r="CR14" i="2" s="1"/>
  <c r="DB14" i="2"/>
  <c r="DC14" i="2"/>
  <c r="CS14" i="2" s="1"/>
  <c r="DD14" i="2"/>
  <c r="DE14" i="2"/>
  <c r="DF14" i="2"/>
  <c r="CZ15" i="2"/>
  <c r="CQ15" i="2" s="1"/>
  <c r="DA15" i="2"/>
  <c r="CR15" i="2" s="1"/>
  <c r="DB15" i="2"/>
  <c r="DC15" i="2"/>
  <c r="CS15" i="2" s="1"/>
  <c r="DD15" i="2"/>
  <c r="DE15" i="2"/>
  <c r="DF15" i="2"/>
  <c r="CZ16" i="2"/>
  <c r="CQ16" i="2" s="1"/>
  <c r="DA16" i="2"/>
  <c r="CR16" i="2" s="1"/>
  <c r="DB16" i="2"/>
  <c r="DC16" i="2"/>
  <c r="CS16" i="2" s="1"/>
  <c r="DD16" i="2"/>
  <c r="DE16" i="2"/>
  <c r="DF16" i="2"/>
  <c r="CZ17" i="2"/>
  <c r="CQ17" i="2" s="1"/>
  <c r="DA17" i="2"/>
  <c r="CR17" i="2" s="1"/>
  <c r="DB17" i="2"/>
  <c r="DC17" i="2"/>
  <c r="CS17" i="2" s="1"/>
  <c r="DD17" i="2"/>
  <c r="DE17" i="2"/>
  <c r="DF17" i="2"/>
  <c r="CZ18" i="2"/>
  <c r="CQ18" i="2" s="1"/>
  <c r="DA18" i="2"/>
  <c r="CR18" i="2" s="1"/>
  <c r="DB18" i="2"/>
  <c r="DC18" i="2"/>
  <c r="CS18" i="2" s="1"/>
  <c r="DD18" i="2"/>
  <c r="DE18" i="2"/>
  <c r="DF18" i="2"/>
  <c r="CZ19" i="2"/>
  <c r="CQ19" i="2" s="1"/>
  <c r="DA19" i="2"/>
  <c r="CR19" i="2" s="1"/>
  <c r="DB19" i="2"/>
  <c r="DC19" i="2"/>
  <c r="CS19" i="2" s="1"/>
  <c r="DD19" i="2"/>
  <c r="DE19" i="2"/>
  <c r="DF19" i="2"/>
  <c r="CZ20" i="2"/>
  <c r="CQ20" i="2" s="1"/>
  <c r="DA20" i="2"/>
  <c r="CR20" i="2" s="1"/>
  <c r="DB20" i="2"/>
  <c r="DC20" i="2"/>
  <c r="CS20" i="2" s="1"/>
  <c r="DD20" i="2"/>
  <c r="DE20" i="2"/>
  <c r="DF20" i="2"/>
  <c r="CY6" i="2"/>
  <c r="CP6" i="2" s="1"/>
  <c r="CY7" i="2"/>
  <c r="CP7" i="2" s="1"/>
  <c r="CY8" i="2"/>
  <c r="CP8" i="2" s="1"/>
  <c r="CY9" i="2"/>
  <c r="CP9" i="2" s="1"/>
  <c r="CY10" i="2"/>
  <c r="CP10" i="2" s="1"/>
  <c r="CY11" i="2"/>
  <c r="CP11" i="2" s="1"/>
  <c r="CY12" i="2"/>
  <c r="CP12" i="2" s="1"/>
  <c r="CY13" i="2"/>
  <c r="CP13" i="2" s="1"/>
  <c r="CY14" i="2"/>
  <c r="CP14" i="2" s="1"/>
  <c r="CY15" i="2"/>
  <c r="CP15" i="2" s="1"/>
  <c r="CY16" i="2"/>
  <c r="CP16" i="2" s="1"/>
  <c r="CY17" i="2"/>
  <c r="CP17" i="2" s="1"/>
  <c r="CY18" i="2"/>
  <c r="CP18" i="2" s="1"/>
  <c r="CY19" i="2"/>
  <c r="CP19" i="2" s="1"/>
  <c r="CY20" i="2"/>
  <c r="CP20" i="2" s="1"/>
  <c r="CY5" i="2"/>
  <c r="CP5" i="2" s="1"/>
  <c r="CX6" i="2"/>
  <c r="CO6" i="2" s="1"/>
  <c r="CX7" i="2"/>
  <c r="CO7" i="2" s="1"/>
  <c r="CX8" i="2"/>
  <c r="CO8" i="2" s="1"/>
  <c r="CX9" i="2"/>
  <c r="CO9" i="2" s="1"/>
  <c r="CX10" i="2"/>
  <c r="CO10" i="2" s="1"/>
  <c r="CX11" i="2"/>
  <c r="CO11" i="2" s="1"/>
  <c r="CX12" i="2"/>
  <c r="CO12" i="2" s="1"/>
  <c r="CX13" i="2"/>
  <c r="CO13" i="2" s="1"/>
  <c r="CX14" i="2"/>
  <c r="CO14" i="2" s="1"/>
  <c r="CX15" i="2"/>
  <c r="CO15" i="2" s="1"/>
  <c r="CX16" i="2"/>
  <c r="CO16" i="2" s="1"/>
  <c r="CX17" i="2"/>
  <c r="CO17" i="2" s="1"/>
  <c r="CX18" i="2"/>
  <c r="CO18" i="2" s="1"/>
  <c r="CX19" i="2"/>
  <c r="CO19" i="2" s="1"/>
  <c r="CX20" i="2"/>
  <c r="CO20" i="2" s="1"/>
  <c r="CX5" i="2"/>
  <c r="CO5" i="2" s="1"/>
  <c r="B320" i="16" l="1"/>
  <c r="P319" i="16" a="1"/>
  <c r="P319" i="16" s="1"/>
  <c r="O319" i="16" a="1"/>
  <c r="O319" i="16" s="1"/>
  <c r="N319" i="16" a="1"/>
  <c r="N319" i="16" s="1"/>
  <c r="D319" i="16" a="1"/>
  <c r="D319" i="16" s="1"/>
  <c r="K319" i="16" a="1"/>
  <c r="K319" i="16" s="1"/>
  <c r="E319" i="16" a="1"/>
  <c r="E319" i="16" s="1"/>
  <c r="L319" i="16" a="1"/>
  <c r="L319" i="16" s="1"/>
  <c r="V319" i="16" a="1"/>
  <c r="V319" i="16" s="1"/>
  <c r="F319" i="16" a="1"/>
  <c r="F319" i="16" s="1"/>
  <c r="M319" i="16" a="1"/>
  <c r="M319" i="16" s="1"/>
  <c r="W319" i="16" a="1"/>
  <c r="W319" i="16" s="1"/>
  <c r="Q319" i="16" a="1"/>
  <c r="Q319" i="16" s="1"/>
  <c r="X319" i="16" a="1"/>
  <c r="X319" i="16" s="1"/>
  <c r="G319" i="16" a="1"/>
  <c r="G319" i="16" s="1"/>
  <c r="R319" i="16" a="1"/>
  <c r="R319" i="16" s="1"/>
  <c r="Y319" i="16" a="1"/>
  <c r="Y319" i="16" s="1"/>
  <c r="H319" i="16" a="1"/>
  <c r="H319" i="16" s="1"/>
  <c r="S319" i="16" a="1"/>
  <c r="S319" i="16" s="1"/>
  <c r="C319" i="16" a="1"/>
  <c r="C319" i="16" s="1"/>
  <c r="I319" i="16" a="1"/>
  <c r="I319" i="16" s="1"/>
  <c r="J319" i="16" a="1"/>
  <c r="J319" i="16" s="1"/>
  <c r="T319" i="16" a="1"/>
  <c r="T319" i="16" s="1"/>
  <c r="U319" i="16" a="1"/>
  <c r="U319" i="16" s="1"/>
  <c r="CT20" i="2"/>
  <c r="CT6" i="2"/>
  <c r="CT5" i="2"/>
  <c r="CT15" i="2"/>
  <c r="CT16" i="2"/>
  <c r="CT17" i="2"/>
  <c r="CT9" i="2"/>
  <c r="CT18" i="2"/>
  <c r="CT10" i="2"/>
  <c r="CT19" i="2"/>
  <c r="CT11" i="2"/>
  <c r="CT12" i="2"/>
  <c r="CT13" i="2"/>
  <c r="CT14" i="2"/>
  <c r="CT7" i="2"/>
  <c r="CT8" i="2"/>
  <c r="BW20" i="2"/>
  <c r="BW19" i="2"/>
  <c r="BW18" i="2"/>
  <c r="BW17" i="2"/>
  <c r="BW16" i="2"/>
  <c r="BW15" i="2"/>
  <c r="BW14" i="2"/>
  <c r="BW13" i="2"/>
  <c r="BW11" i="2"/>
  <c r="BW10" i="2"/>
  <c r="BW9" i="2"/>
  <c r="BW8" i="2"/>
  <c r="BW7" i="2"/>
  <c r="BW6" i="2"/>
  <c r="BW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R6" i="2"/>
  <c r="BS6" i="2"/>
  <c r="BT6" i="2"/>
  <c r="BR7" i="2"/>
  <c r="BS7" i="2"/>
  <c r="BT7" i="2"/>
  <c r="BR8" i="2"/>
  <c r="BS8" i="2"/>
  <c r="BT8" i="2"/>
  <c r="BS9" i="2"/>
  <c r="BT9" i="2"/>
  <c r="BR10" i="2"/>
  <c r="BS10" i="2"/>
  <c r="BT10" i="2"/>
  <c r="BR11" i="2"/>
  <c r="BS11" i="2"/>
  <c r="BT11" i="2"/>
  <c r="BR12" i="2"/>
  <c r="BS12" i="2"/>
  <c r="BT12" i="2"/>
  <c r="BR13" i="2"/>
  <c r="BS13" i="2"/>
  <c r="BT13" i="2"/>
  <c r="BR14" i="2"/>
  <c r="BS14" i="2"/>
  <c r="BT14" i="2"/>
  <c r="BR15" i="2"/>
  <c r="BS15" i="2"/>
  <c r="BT15" i="2"/>
  <c r="BR16" i="2"/>
  <c r="BS16" i="2"/>
  <c r="BT16" i="2"/>
  <c r="BR17" i="2"/>
  <c r="BS17" i="2"/>
  <c r="BT17" i="2"/>
  <c r="BR18" i="2"/>
  <c r="BS18" i="2"/>
  <c r="BT18" i="2"/>
  <c r="BR19" i="2"/>
  <c r="BS19" i="2"/>
  <c r="BT19" i="2"/>
  <c r="BR20" i="2"/>
  <c r="BS20" i="2"/>
  <c r="BT20" i="2"/>
  <c r="BS5" i="2"/>
  <c r="BT5" i="2"/>
  <c r="BR5" i="2"/>
  <c r="BK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5" i="2"/>
  <c r="CH6" i="2"/>
  <c r="CI6" i="2"/>
  <c r="CJ6" i="2"/>
  <c r="CK6" i="2"/>
  <c r="CH7" i="2"/>
  <c r="CI7" i="2"/>
  <c r="CJ7" i="2"/>
  <c r="CK7" i="2"/>
  <c r="CH8" i="2"/>
  <c r="CI8" i="2"/>
  <c r="CJ8" i="2"/>
  <c r="CK8" i="2"/>
  <c r="CH9" i="2"/>
  <c r="CI9" i="2"/>
  <c r="CJ9" i="2"/>
  <c r="CK9" i="2"/>
  <c r="CH10" i="2"/>
  <c r="CI10" i="2"/>
  <c r="CJ10" i="2"/>
  <c r="CK10" i="2"/>
  <c r="CH11" i="2"/>
  <c r="CI11" i="2"/>
  <c r="CJ11" i="2"/>
  <c r="CK11" i="2"/>
  <c r="CH12" i="2"/>
  <c r="CI12" i="2"/>
  <c r="CJ12" i="2"/>
  <c r="CK12" i="2"/>
  <c r="CH13" i="2"/>
  <c r="CI13" i="2"/>
  <c r="CJ13" i="2"/>
  <c r="CK13" i="2"/>
  <c r="CH14" i="2"/>
  <c r="CI14" i="2"/>
  <c r="CJ14" i="2"/>
  <c r="CK14" i="2"/>
  <c r="CH15" i="2"/>
  <c r="CI15" i="2"/>
  <c r="CJ15" i="2"/>
  <c r="CK15" i="2"/>
  <c r="CH16" i="2"/>
  <c r="CI16" i="2"/>
  <c r="CJ16" i="2"/>
  <c r="CK16" i="2"/>
  <c r="CH17" i="2"/>
  <c r="CI17" i="2"/>
  <c r="CJ17" i="2"/>
  <c r="CK17" i="2"/>
  <c r="CH18" i="2"/>
  <c r="CI18" i="2"/>
  <c r="CJ18" i="2"/>
  <c r="CK18" i="2"/>
  <c r="CH19" i="2"/>
  <c r="CI19" i="2"/>
  <c r="CJ19" i="2"/>
  <c r="CK19" i="2"/>
  <c r="CH20" i="2"/>
  <c r="CI20" i="2"/>
  <c r="CJ20" i="2"/>
  <c r="CK20" i="2"/>
  <c r="CK5" i="2"/>
  <c r="CI5" i="2"/>
  <c r="CJ5" i="2"/>
  <c r="CH5" i="2"/>
  <c r="BN5" i="2"/>
  <c r="BN6" i="2"/>
  <c r="BN7" i="2"/>
  <c r="BN8" i="2"/>
  <c r="BN9" i="2"/>
  <c r="BN10" i="2"/>
  <c r="BN11" i="2"/>
  <c r="BN12" i="2"/>
  <c r="BN34" i="2" s="1"/>
  <c r="BN13" i="2"/>
  <c r="BN14" i="2"/>
  <c r="BN15" i="2"/>
  <c r="BN16" i="2"/>
  <c r="BN17" i="2"/>
  <c r="BN18" i="2"/>
  <c r="BN19" i="2"/>
  <c r="BN20" i="2"/>
  <c r="BJ5" i="2"/>
  <c r="BL5" i="2"/>
  <c r="BM5" i="2"/>
  <c r="BJ6" i="2"/>
  <c r="BK6" i="2"/>
  <c r="BL6" i="2"/>
  <c r="BM6" i="2"/>
  <c r="BJ7" i="2"/>
  <c r="BK7" i="2"/>
  <c r="BL7" i="2"/>
  <c r="BM7" i="2"/>
  <c r="BJ8" i="2"/>
  <c r="BK8" i="2"/>
  <c r="BL8" i="2"/>
  <c r="BM8" i="2"/>
  <c r="BJ9" i="2"/>
  <c r="BK9" i="2"/>
  <c r="BL9" i="2"/>
  <c r="BM9" i="2"/>
  <c r="BJ10" i="2"/>
  <c r="BK10" i="2"/>
  <c r="BL10" i="2"/>
  <c r="BM10" i="2"/>
  <c r="BJ11" i="2"/>
  <c r="BK11" i="2"/>
  <c r="BL11" i="2"/>
  <c r="BM11" i="2"/>
  <c r="BJ12" i="2"/>
  <c r="BJ34" i="2" s="1"/>
  <c r="BK12" i="2"/>
  <c r="BK34" i="2" s="1"/>
  <c r="BL12" i="2"/>
  <c r="BL34" i="2" s="1"/>
  <c r="BM12" i="2"/>
  <c r="BM34" i="2" s="1"/>
  <c r="BJ13" i="2"/>
  <c r="BK13" i="2"/>
  <c r="BL13" i="2"/>
  <c r="BM13" i="2"/>
  <c r="BJ14" i="2"/>
  <c r="BK14" i="2"/>
  <c r="BL14" i="2"/>
  <c r="BM14" i="2"/>
  <c r="BJ15" i="2"/>
  <c r="BK15" i="2"/>
  <c r="BL15" i="2"/>
  <c r="BM15" i="2"/>
  <c r="BJ16" i="2"/>
  <c r="BK16" i="2"/>
  <c r="BL16" i="2"/>
  <c r="BM16" i="2"/>
  <c r="BJ17" i="2"/>
  <c r="BK17" i="2"/>
  <c r="BL17" i="2"/>
  <c r="BM17" i="2"/>
  <c r="BJ18" i="2"/>
  <c r="BK18" i="2"/>
  <c r="BL18" i="2"/>
  <c r="BM18" i="2"/>
  <c r="BJ19" i="2"/>
  <c r="BK19" i="2"/>
  <c r="BL19" i="2"/>
  <c r="BM19" i="2"/>
  <c r="BJ20" i="2"/>
  <c r="BK20" i="2"/>
  <c r="BL20" i="2"/>
  <c r="BM20" i="2"/>
  <c r="B321" i="16" l="1"/>
  <c r="P320" i="16" a="1"/>
  <c r="P320" i="16" s="1"/>
  <c r="O320" i="16" a="1"/>
  <c r="O320" i="16" s="1"/>
  <c r="N320" i="16" a="1"/>
  <c r="N320" i="16" s="1"/>
  <c r="F320" i="16" a="1"/>
  <c r="F320" i="16" s="1"/>
  <c r="M320" i="16" a="1"/>
  <c r="M320" i="16" s="1"/>
  <c r="V320" i="16" a="1"/>
  <c r="V320" i="16" s="1"/>
  <c r="G320" i="16" a="1"/>
  <c r="G320" i="16" s="1"/>
  <c r="Q320" i="16" a="1"/>
  <c r="Q320" i="16" s="1"/>
  <c r="W320" i="16" a="1"/>
  <c r="W320" i="16" s="1"/>
  <c r="H320" i="16" a="1"/>
  <c r="H320" i="16" s="1"/>
  <c r="X320" i="16" a="1"/>
  <c r="X320" i="16" s="1"/>
  <c r="I320" i="16" a="1"/>
  <c r="I320" i="16" s="1"/>
  <c r="R320" i="16" a="1"/>
  <c r="R320" i="16" s="1"/>
  <c r="Y320" i="16" a="1"/>
  <c r="Y320" i="16" s="1"/>
  <c r="J320" i="16" a="1"/>
  <c r="J320" i="16" s="1"/>
  <c r="S320" i="16" a="1"/>
  <c r="S320" i="16" s="1"/>
  <c r="C320" i="16" a="1"/>
  <c r="C320" i="16" s="1"/>
  <c r="T320" i="16" a="1"/>
  <c r="T320" i="16" s="1"/>
  <c r="L320" i="16" a="1"/>
  <c r="L320" i="16" s="1"/>
  <c r="U320" i="16" a="1"/>
  <c r="U320" i="16" s="1"/>
  <c r="D320" i="16" a="1"/>
  <c r="D320" i="16" s="1"/>
  <c r="K320" i="16" a="1"/>
  <c r="K320" i="16" s="1"/>
  <c r="E320" i="16" a="1"/>
  <c r="E320" i="16" s="1"/>
  <c r="B322" i="16" l="1"/>
  <c r="O321" i="16" a="1"/>
  <c r="O321" i="16" s="1"/>
  <c r="P321" i="16" a="1"/>
  <c r="P321" i="16" s="1"/>
  <c r="N321" i="16" a="1"/>
  <c r="N321" i="16" s="1"/>
  <c r="G321" i="16" a="1"/>
  <c r="G321" i="16" s="1"/>
  <c r="Q321" i="16" a="1"/>
  <c r="Q321" i="16" s="1"/>
  <c r="Y321" i="16" a="1"/>
  <c r="Y321" i="16" s="1"/>
  <c r="H321" i="16" a="1"/>
  <c r="H321" i="16" s="1"/>
  <c r="R321" i="16" a="1"/>
  <c r="R321" i="16" s="1"/>
  <c r="I321" i="16" a="1"/>
  <c r="I321" i="16" s="1"/>
  <c r="S321" i="16" a="1"/>
  <c r="S321" i="16" s="1"/>
  <c r="J321" i="16" a="1"/>
  <c r="J321" i="16" s="1"/>
  <c r="T321" i="16" a="1"/>
  <c r="T321" i="16" s="1"/>
  <c r="C321" i="16" a="1"/>
  <c r="C321" i="16" s="1"/>
  <c r="U321" i="16" a="1"/>
  <c r="U321" i="16" s="1"/>
  <c r="D321" i="16" a="1"/>
  <c r="D321" i="16" s="1"/>
  <c r="K321" i="16" a="1"/>
  <c r="K321" i="16" s="1"/>
  <c r="V321" i="16" a="1"/>
  <c r="V321" i="16" s="1"/>
  <c r="X321" i="16" a="1"/>
  <c r="X321" i="16" s="1"/>
  <c r="E321" i="16" a="1"/>
  <c r="E321" i="16" s="1"/>
  <c r="F321" i="16" a="1"/>
  <c r="F321" i="16" s="1"/>
  <c r="L321" i="16" a="1"/>
  <c r="L321" i="16" s="1"/>
  <c r="M321" i="16" a="1"/>
  <c r="M321" i="16" s="1"/>
  <c r="W321" i="16" a="1"/>
  <c r="W321" i="16" s="1"/>
  <c r="B323" i="16" l="1"/>
  <c r="P322" i="16" a="1"/>
  <c r="P322" i="16" s="1"/>
  <c r="O322" i="16" a="1"/>
  <c r="O322" i="16" s="1"/>
  <c r="N322" i="16" a="1"/>
  <c r="N322" i="16" s="1"/>
  <c r="H322" i="16" a="1"/>
  <c r="H322" i="16" s="1"/>
  <c r="R322" i="16" a="1"/>
  <c r="R322" i="16" s="1"/>
  <c r="I322" i="16" a="1"/>
  <c r="I322" i="16" s="1"/>
  <c r="S322" i="16" a="1"/>
  <c r="S322" i="16" s="1"/>
  <c r="C322" i="16" a="1"/>
  <c r="C322" i="16" s="1"/>
  <c r="J322" i="16" a="1"/>
  <c r="J322" i="16" s="1"/>
  <c r="T322" i="16" a="1"/>
  <c r="T322" i="16" s="1"/>
  <c r="D322" i="16" a="1"/>
  <c r="D322" i="16" s="1"/>
  <c r="U322" i="16" a="1"/>
  <c r="U322" i="16" s="1"/>
  <c r="E322" i="16" a="1"/>
  <c r="E322" i="16" s="1"/>
  <c r="K322" i="16" a="1"/>
  <c r="K322" i="16" s="1"/>
  <c r="V322" i="16" a="1"/>
  <c r="V322" i="16" s="1"/>
  <c r="F322" i="16" a="1"/>
  <c r="F322" i="16" s="1"/>
  <c r="L322" i="16" a="1"/>
  <c r="L322" i="16" s="1"/>
  <c r="W322" i="16" a="1"/>
  <c r="W322" i="16" s="1"/>
  <c r="G322" i="16" a="1"/>
  <c r="G322" i="16" s="1"/>
  <c r="M322" i="16" a="1"/>
  <c r="M322" i="16" s="1"/>
  <c r="Q322" i="16" a="1"/>
  <c r="Q322" i="16" s="1"/>
  <c r="X322" i="16" a="1"/>
  <c r="X322" i="16" s="1"/>
  <c r="Y322" i="16" a="1"/>
  <c r="Y322" i="16" s="1"/>
  <c r="B324" i="16" l="1"/>
  <c r="O323" i="16" a="1"/>
  <c r="O323" i="16" s="1"/>
  <c r="N323" i="16" a="1"/>
  <c r="N323" i="16" s="1"/>
  <c r="P323" i="16" a="1"/>
  <c r="P323" i="16" s="1"/>
  <c r="J323" i="16" a="1"/>
  <c r="J323" i="16" s="1"/>
  <c r="U323" i="16" a="1"/>
  <c r="U323" i="16" s="1"/>
  <c r="C323" i="16" a="1"/>
  <c r="C323" i="16" s="1"/>
  <c r="K323" i="16" a="1"/>
  <c r="K323" i="16" s="1"/>
  <c r="D323" i="16" a="1"/>
  <c r="D323" i="16" s="1"/>
  <c r="L323" i="16" a="1"/>
  <c r="L323" i="16" s="1"/>
  <c r="V323" i="16" a="1"/>
  <c r="V323" i="16" s="1"/>
  <c r="E323" i="16" a="1"/>
  <c r="E323" i="16" s="1"/>
  <c r="M323" i="16" a="1"/>
  <c r="M323" i="16" s="1"/>
  <c r="W323" i="16" a="1"/>
  <c r="W323" i="16" s="1"/>
  <c r="F323" i="16" a="1"/>
  <c r="F323" i="16" s="1"/>
  <c r="Q323" i="16" a="1"/>
  <c r="Q323" i="16" s="1"/>
  <c r="X323" i="16" a="1"/>
  <c r="X323" i="16" s="1"/>
  <c r="G323" i="16" a="1"/>
  <c r="G323" i="16" s="1"/>
  <c r="R323" i="16" a="1"/>
  <c r="R323" i="16" s="1"/>
  <c r="Y323" i="16" a="1"/>
  <c r="Y323" i="16" s="1"/>
  <c r="I323" i="16" a="1"/>
  <c r="I323" i="16" s="1"/>
  <c r="S323" i="16" a="1"/>
  <c r="S323" i="16" s="1"/>
  <c r="T323" i="16" a="1"/>
  <c r="T323" i="16" s="1"/>
  <c r="H323" i="16" a="1"/>
  <c r="H323" i="16" s="1"/>
  <c r="B325" i="16" l="1"/>
  <c r="P324" i="16" a="1"/>
  <c r="P324" i="16" s="1"/>
  <c r="N324" i="16" a="1"/>
  <c r="N324" i="16" s="1"/>
  <c r="O324" i="16" a="1"/>
  <c r="O324" i="16" s="1"/>
  <c r="D324" i="16" a="1"/>
  <c r="D324" i="16" s="1"/>
  <c r="L324" i="16" a="1"/>
  <c r="L324" i="16" s="1"/>
  <c r="V324" i="16" a="1"/>
  <c r="V324" i="16" s="1"/>
  <c r="E324" i="16" a="1"/>
  <c r="E324" i="16" s="1"/>
  <c r="M324" i="16" a="1"/>
  <c r="M324" i="16" s="1"/>
  <c r="W324" i="16" a="1"/>
  <c r="W324" i="16" s="1"/>
  <c r="F324" i="16" a="1"/>
  <c r="F324" i="16" s="1"/>
  <c r="Q324" i="16" a="1"/>
  <c r="Q324" i="16" s="1"/>
  <c r="X324" i="16" a="1"/>
  <c r="X324" i="16" s="1"/>
  <c r="G324" i="16" a="1"/>
  <c r="G324" i="16" s="1"/>
  <c r="Y324" i="16" a="1"/>
  <c r="Y324" i="16" s="1"/>
  <c r="H324" i="16" a="1"/>
  <c r="H324" i="16" s="1"/>
  <c r="R324" i="16" a="1"/>
  <c r="R324" i="16" s="1"/>
  <c r="I324" i="16" a="1"/>
  <c r="I324" i="16" s="1"/>
  <c r="S324" i="16" a="1"/>
  <c r="S324" i="16" s="1"/>
  <c r="U324" i="16" a="1"/>
  <c r="U324" i="16" s="1"/>
  <c r="C324" i="16" a="1"/>
  <c r="C324" i="16" s="1"/>
  <c r="J324" i="16" a="1"/>
  <c r="J324" i="16" s="1"/>
  <c r="K324" i="16" a="1"/>
  <c r="K324" i="16" s="1"/>
  <c r="T324" i="16" a="1"/>
  <c r="T324" i="16" s="1"/>
  <c r="B326" i="16" l="1"/>
  <c r="P325" i="16" a="1"/>
  <c r="P325" i="16" s="1"/>
  <c r="O325" i="16" a="1"/>
  <c r="O325" i="16" s="1"/>
  <c r="N325" i="16" a="1"/>
  <c r="N325" i="16" s="1"/>
  <c r="M325" i="16" a="1"/>
  <c r="M325" i="16" s="1"/>
  <c r="W325" i="16" a="1"/>
  <c r="W325" i="16" s="1"/>
  <c r="G325" i="16" a="1"/>
  <c r="G325" i="16" s="1"/>
  <c r="Q325" i="16" a="1"/>
  <c r="Q325" i="16" s="1"/>
  <c r="X325" i="16" a="1"/>
  <c r="X325" i="16" s="1"/>
  <c r="H325" i="16" a="1"/>
  <c r="H325" i="16" s="1"/>
  <c r="Y325" i="16" a="1"/>
  <c r="Y325" i="16" s="1"/>
  <c r="I325" i="16" a="1"/>
  <c r="I325" i="16" s="1"/>
  <c r="R325" i="16" a="1"/>
  <c r="R325" i="16" s="1"/>
  <c r="C325" i="16" a="1"/>
  <c r="C325" i="16" s="1"/>
  <c r="J325" i="16" a="1"/>
  <c r="J325" i="16" s="1"/>
  <c r="S325" i="16" a="1"/>
  <c r="S325" i="16" s="1"/>
  <c r="D325" i="16" a="1"/>
  <c r="D325" i="16" s="1"/>
  <c r="T325" i="16" a="1"/>
  <c r="T325" i="16" s="1"/>
  <c r="E325" i="16" a="1"/>
  <c r="E325" i="16" s="1"/>
  <c r="F325" i="16" a="1"/>
  <c r="F325" i="16" s="1"/>
  <c r="K325" i="16" a="1"/>
  <c r="K325" i="16" s="1"/>
  <c r="L325" i="16" a="1"/>
  <c r="L325" i="16" s="1"/>
  <c r="U325" i="16" a="1"/>
  <c r="U325" i="16" s="1"/>
  <c r="V325" i="16" a="1"/>
  <c r="V325" i="16" s="1"/>
  <c r="B327" i="16" l="1"/>
  <c r="N326" i="16" a="1"/>
  <c r="N326" i="16" s="1"/>
  <c r="P326" i="16" a="1"/>
  <c r="P326" i="16" s="1"/>
  <c r="O326" i="16" a="1"/>
  <c r="O326" i="16" s="1"/>
  <c r="G326" i="16" a="1"/>
  <c r="G326" i="16" s="1"/>
  <c r="R326" i="16" a="1"/>
  <c r="R326" i="16" s="1"/>
  <c r="H326" i="16" a="1"/>
  <c r="H326" i="16" s="1"/>
  <c r="S326" i="16" a="1"/>
  <c r="S326" i="16" s="1"/>
  <c r="I326" i="16" a="1"/>
  <c r="I326" i="16" s="1"/>
  <c r="T326" i="16" a="1"/>
  <c r="T326" i="16" s="1"/>
  <c r="C326" i="16" a="1"/>
  <c r="C326" i="16" s="1"/>
  <c r="J326" i="16" a="1"/>
  <c r="J326" i="16" s="1"/>
  <c r="U326" i="16" a="1"/>
  <c r="U326" i="16" s="1"/>
  <c r="D326" i="16" a="1"/>
  <c r="D326" i="16" s="1"/>
  <c r="K326" i="16" a="1"/>
  <c r="K326" i="16" s="1"/>
  <c r="V326" i="16" a="1"/>
  <c r="V326" i="16" s="1"/>
  <c r="E326" i="16" a="1"/>
  <c r="E326" i="16" s="1"/>
  <c r="L326" i="16" a="1"/>
  <c r="L326" i="16" s="1"/>
  <c r="W326" i="16" a="1"/>
  <c r="W326" i="16" s="1"/>
  <c r="M326" i="16" a="1"/>
  <c r="M326" i="16" s="1"/>
  <c r="Q326" i="16" a="1"/>
  <c r="Q326" i="16" s="1"/>
  <c r="X326" i="16" a="1"/>
  <c r="X326" i="16" s="1"/>
  <c r="Y326" i="16" a="1"/>
  <c r="Y326" i="16" s="1"/>
  <c r="F326" i="16" a="1"/>
  <c r="F326" i="16" s="1"/>
  <c r="B328" i="16" l="1"/>
  <c r="P327" i="16" a="1"/>
  <c r="P327" i="16" s="1"/>
  <c r="O327" i="16" a="1"/>
  <c r="O327" i="16" s="1"/>
  <c r="N327" i="16" a="1"/>
  <c r="N327" i="16" s="1"/>
  <c r="I327" i="16" a="1"/>
  <c r="I327" i="16" s="1"/>
  <c r="T327" i="16" a="1"/>
  <c r="T327" i="16" s="1"/>
  <c r="C327" i="16" a="1"/>
  <c r="C327" i="16" s="1"/>
  <c r="J327" i="16" a="1"/>
  <c r="J327" i="16" s="1"/>
  <c r="U327" i="16" a="1"/>
  <c r="U327" i="16" s="1"/>
  <c r="D327" i="16" a="1"/>
  <c r="D327" i="16" s="1"/>
  <c r="K327" i="16" a="1"/>
  <c r="K327" i="16" s="1"/>
  <c r="E327" i="16" a="1"/>
  <c r="E327" i="16" s="1"/>
  <c r="L327" i="16" a="1"/>
  <c r="L327" i="16" s="1"/>
  <c r="V327" i="16" a="1"/>
  <c r="V327" i="16" s="1"/>
  <c r="F327" i="16" a="1"/>
  <c r="F327" i="16" s="1"/>
  <c r="M327" i="16" a="1"/>
  <c r="M327" i="16" s="1"/>
  <c r="W327" i="16" a="1"/>
  <c r="W327" i="16" s="1"/>
  <c r="Q327" i="16" a="1"/>
  <c r="Q327" i="16" s="1"/>
  <c r="X327" i="16" a="1"/>
  <c r="X327" i="16" s="1"/>
  <c r="S327" i="16" a="1"/>
  <c r="S327" i="16" s="1"/>
  <c r="Y327" i="16" a="1"/>
  <c r="Y327" i="16" s="1"/>
  <c r="G327" i="16" a="1"/>
  <c r="G327" i="16" s="1"/>
  <c r="H327" i="16" a="1"/>
  <c r="H327" i="16" s="1"/>
  <c r="R327" i="16" a="1"/>
  <c r="R327" i="16" s="1"/>
  <c r="B329" i="16" l="1"/>
  <c r="P328" i="16" a="1"/>
  <c r="P328" i="16" s="1"/>
  <c r="O328" i="16" a="1"/>
  <c r="O328" i="16" s="1"/>
  <c r="N328" i="16" a="1"/>
  <c r="N328" i="16" s="1"/>
  <c r="D328" i="16" a="1"/>
  <c r="D328" i="16" s="1"/>
  <c r="K328" i="16" a="1"/>
  <c r="K328" i="16" s="1"/>
  <c r="U328" i="16" a="1"/>
  <c r="U328" i="16" s="1"/>
  <c r="E328" i="16" a="1"/>
  <c r="E328" i="16" s="1"/>
  <c r="L328" i="16" a="1"/>
  <c r="L328" i="16" s="1"/>
  <c r="F328" i="16" a="1"/>
  <c r="F328" i="16" s="1"/>
  <c r="M328" i="16" a="1"/>
  <c r="M328" i="16" s="1"/>
  <c r="V328" i="16" a="1"/>
  <c r="V328" i="16" s="1"/>
  <c r="G328" i="16" a="1"/>
  <c r="G328" i="16" s="1"/>
  <c r="Q328" i="16" a="1"/>
  <c r="Q328" i="16" s="1"/>
  <c r="W328" i="16" a="1"/>
  <c r="W328" i="16" s="1"/>
  <c r="H328" i="16" a="1"/>
  <c r="H328" i="16" s="1"/>
  <c r="X328" i="16" a="1"/>
  <c r="X328" i="16" s="1"/>
  <c r="I328" i="16" a="1"/>
  <c r="I328" i="16" s="1"/>
  <c r="R328" i="16" a="1"/>
  <c r="R328" i="16" s="1"/>
  <c r="Y328" i="16" a="1"/>
  <c r="Y328" i="16" s="1"/>
  <c r="C328" i="16" a="1"/>
  <c r="C328" i="16" s="1"/>
  <c r="J328" i="16" a="1"/>
  <c r="J328" i="16" s="1"/>
  <c r="S328" i="16" a="1"/>
  <c r="S328" i="16" s="1"/>
  <c r="T328" i="16" a="1"/>
  <c r="T328" i="16" s="1"/>
  <c r="B330" i="16" l="1"/>
  <c r="O329" i="16" a="1"/>
  <c r="O329" i="16" s="1"/>
  <c r="P329" i="16" a="1"/>
  <c r="P329" i="16" s="1"/>
  <c r="N329" i="16" a="1"/>
  <c r="N329" i="16" s="1"/>
  <c r="E329" i="16" a="1"/>
  <c r="E329" i="16" s="1"/>
  <c r="L329" i="16" a="1"/>
  <c r="L329" i="16" s="1"/>
  <c r="W329" i="16" a="1"/>
  <c r="W329" i="16" s="1"/>
  <c r="F329" i="16" a="1"/>
  <c r="F329" i="16" s="1"/>
  <c r="M329" i="16" a="1"/>
  <c r="M329" i="16" s="1"/>
  <c r="X329" i="16" a="1"/>
  <c r="X329" i="16" s="1"/>
  <c r="G329" i="16" a="1"/>
  <c r="G329" i="16" s="1"/>
  <c r="Q329" i="16" a="1"/>
  <c r="Q329" i="16" s="1"/>
  <c r="Y329" i="16" a="1"/>
  <c r="Y329" i="16" s="1"/>
  <c r="H329" i="16" a="1"/>
  <c r="H329" i="16" s="1"/>
  <c r="R329" i="16" a="1"/>
  <c r="R329" i="16" s="1"/>
  <c r="I329" i="16" a="1"/>
  <c r="I329" i="16" s="1"/>
  <c r="S329" i="16" a="1"/>
  <c r="S329" i="16" s="1"/>
  <c r="J329" i="16" a="1"/>
  <c r="J329" i="16" s="1"/>
  <c r="T329" i="16" a="1"/>
  <c r="T329" i="16" s="1"/>
  <c r="D329" i="16" a="1"/>
  <c r="D329" i="16" s="1"/>
  <c r="K329" i="16" a="1"/>
  <c r="K329" i="16" s="1"/>
  <c r="U329" i="16" a="1"/>
  <c r="U329" i="16" s="1"/>
  <c r="V329" i="16" a="1"/>
  <c r="V329" i="16" s="1"/>
  <c r="C329" i="16" a="1"/>
  <c r="C329" i="16" s="1"/>
  <c r="B331" i="16" l="1"/>
  <c r="P330" i="16" a="1"/>
  <c r="P330" i="16" s="1"/>
  <c r="O330" i="16" a="1"/>
  <c r="O330" i="16" s="1"/>
  <c r="N330" i="16" a="1"/>
  <c r="N330" i="16" s="1"/>
  <c r="G330" i="16" a="1"/>
  <c r="G330" i="16" s="1"/>
  <c r="Q330" i="16" a="1"/>
  <c r="Q330" i="16" s="1"/>
  <c r="Y330" i="16" a="1"/>
  <c r="Y330" i="16" s="1"/>
  <c r="H330" i="16" a="1"/>
  <c r="H330" i="16" s="1"/>
  <c r="R330" i="16" a="1"/>
  <c r="R330" i="16" s="1"/>
  <c r="I330" i="16" a="1"/>
  <c r="I330" i="16" s="1"/>
  <c r="S330" i="16" a="1"/>
  <c r="S330" i="16" s="1"/>
  <c r="C330" i="16" a="1"/>
  <c r="C330" i="16" s="1"/>
  <c r="J330" i="16" a="1"/>
  <c r="J330" i="16" s="1"/>
  <c r="T330" i="16" a="1"/>
  <c r="T330" i="16" s="1"/>
  <c r="D330" i="16" a="1"/>
  <c r="D330" i="16" s="1"/>
  <c r="U330" i="16" a="1"/>
  <c r="U330" i="16" s="1"/>
  <c r="E330" i="16" a="1"/>
  <c r="E330" i="16" s="1"/>
  <c r="K330" i="16" a="1"/>
  <c r="K330" i="16" s="1"/>
  <c r="V330" i="16" a="1"/>
  <c r="V330" i="16" s="1"/>
  <c r="M330" i="16" a="1"/>
  <c r="M330" i="16" s="1"/>
  <c r="W330" i="16" a="1"/>
  <c r="W330" i="16" s="1"/>
  <c r="X330" i="16" a="1"/>
  <c r="X330" i="16" s="1"/>
  <c r="F330" i="16" a="1"/>
  <c r="F330" i="16" s="1"/>
  <c r="L330" i="16" a="1"/>
  <c r="L330" i="16" s="1"/>
  <c r="B332" i="16" l="1"/>
  <c r="O331" i="16" a="1"/>
  <c r="O331" i="16" s="1"/>
  <c r="N331" i="16" a="1"/>
  <c r="N331" i="16" s="1"/>
  <c r="P331" i="16" a="1"/>
  <c r="P331" i="16" s="1"/>
  <c r="I331" i="16" a="1"/>
  <c r="I331" i="16" s="1"/>
  <c r="S331" i="16" a="1"/>
  <c r="S331" i="16" s="1"/>
  <c r="J331" i="16" a="1"/>
  <c r="J331" i="16" s="1"/>
  <c r="T331" i="16" a="1"/>
  <c r="T331" i="16" s="1"/>
  <c r="C331" i="16" a="1"/>
  <c r="C331" i="16" s="1"/>
  <c r="K331" i="16" a="1"/>
  <c r="K331" i="16" s="1"/>
  <c r="U331" i="16" a="1"/>
  <c r="U331" i="16" s="1"/>
  <c r="D331" i="16" a="1"/>
  <c r="D331" i="16" s="1"/>
  <c r="L331" i="16" a="1"/>
  <c r="L331" i="16" s="1"/>
  <c r="E331" i="16" a="1"/>
  <c r="E331" i="16" s="1"/>
  <c r="M331" i="16" a="1"/>
  <c r="M331" i="16" s="1"/>
  <c r="V331" i="16" a="1"/>
  <c r="V331" i="16" s="1"/>
  <c r="F331" i="16" a="1"/>
  <c r="F331" i="16" s="1"/>
  <c r="Q331" i="16" a="1"/>
  <c r="Q331" i="16" s="1"/>
  <c r="W331" i="16" a="1"/>
  <c r="W331" i="16" s="1"/>
  <c r="Y331" i="16" a="1"/>
  <c r="Y331" i="16" s="1"/>
  <c r="G331" i="16" a="1"/>
  <c r="G331" i="16" s="1"/>
  <c r="H331" i="16" a="1"/>
  <c r="H331" i="16" s="1"/>
  <c r="X331" i="16" a="1"/>
  <c r="X331" i="16" s="1"/>
  <c r="R331" i="16" a="1"/>
  <c r="R331" i="16" s="1"/>
  <c r="B333" i="16" l="1"/>
  <c r="P332" i="16" a="1"/>
  <c r="P332" i="16" s="1"/>
  <c r="N332" i="16" a="1"/>
  <c r="N332" i="16" s="1"/>
  <c r="O332" i="16" a="1"/>
  <c r="O332" i="16" s="1"/>
  <c r="J332" i="16" a="1"/>
  <c r="J332" i="16" s="1"/>
  <c r="T332" i="16" a="1"/>
  <c r="T332" i="16" s="1"/>
  <c r="C332" i="16" a="1"/>
  <c r="C332" i="16" s="1"/>
  <c r="K332" i="16" a="1"/>
  <c r="K332" i="16" s="1"/>
  <c r="U332" i="16" a="1"/>
  <c r="U332" i="16" s="1"/>
  <c r="D332" i="16" a="1"/>
  <c r="D332" i="16" s="1"/>
  <c r="L332" i="16" a="1"/>
  <c r="L332" i="16" s="1"/>
  <c r="V332" i="16" a="1"/>
  <c r="V332" i="16" s="1"/>
  <c r="E332" i="16" a="1"/>
  <c r="E332" i="16" s="1"/>
  <c r="M332" i="16" a="1"/>
  <c r="M332" i="16" s="1"/>
  <c r="W332" i="16" a="1"/>
  <c r="W332" i="16" s="1"/>
  <c r="F332" i="16" a="1"/>
  <c r="F332" i="16" s="1"/>
  <c r="Q332" i="16" a="1"/>
  <c r="Q332" i="16" s="1"/>
  <c r="X332" i="16" a="1"/>
  <c r="X332" i="16" s="1"/>
  <c r="G332" i="16" a="1"/>
  <c r="G332" i="16" s="1"/>
  <c r="Y332" i="16" a="1"/>
  <c r="Y332" i="16" s="1"/>
  <c r="H332" i="16" a="1"/>
  <c r="H332" i="16" s="1"/>
  <c r="I332" i="16" a="1"/>
  <c r="I332" i="16" s="1"/>
  <c r="R332" i="16" a="1"/>
  <c r="R332" i="16" s="1"/>
  <c r="S332" i="16" a="1"/>
  <c r="S332" i="16" s="1"/>
  <c r="B334" i="16" l="1"/>
  <c r="P333" i="16" a="1"/>
  <c r="P333" i="16" s="1"/>
  <c r="O333" i="16" a="1"/>
  <c r="O333" i="16" s="1"/>
  <c r="N333" i="16" a="1"/>
  <c r="N333" i="16" s="1"/>
  <c r="E333" i="16" a="1"/>
  <c r="E333" i="16" s="1"/>
  <c r="L333" i="16" a="1"/>
  <c r="L333" i="16" s="1"/>
  <c r="V333" i="16" a="1"/>
  <c r="V333" i="16" s="1"/>
  <c r="F333" i="16" a="1"/>
  <c r="F333" i="16" s="1"/>
  <c r="M333" i="16" a="1"/>
  <c r="M333" i="16" s="1"/>
  <c r="W333" i="16" a="1"/>
  <c r="W333" i="16" s="1"/>
  <c r="G333" i="16" a="1"/>
  <c r="G333" i="16" s="1"/>
  <c r="Q333" i="16" a="1"/>
  <c r="Q333" i="16" s="1"/>
  <c r="X333" i="16" a="1"/>
  <c r="X333" i="16" s="1"/>
  <c r="H333" i="16" a="1"/>
  <c r="H333" i="16" s="1"/>
  <c r="Y333" i="16" a="1"/>
  <c r="Y333" i="16" s="1"/>
  <c r="I333" i="16" a="1"/>
  <c r="I333" i="16" s="1"/>
  <c r="R333" i="16" a="1"/>
  <c r="R333" i="16" s="1"/>
  <c r="J333" i="16" a="1"/>
  <c r="J333" i="16" s="1"/>
  <c r="S333" i="16" a="1"/>
  <c r="S333" i="16" s="1"/>
  <c r="K333" i="16" a="1"/>
  <c r="K333" i="16" s="1"/>
  <c r="T333" i="16" a="1"/>
  <c r="T333" i="16" s="1"/>
  <c r="U333" i="16" a="1"/>
  <c r="U333" i="16" s="1"/>
  <c r="C333" i="16" a="1"/>
  <c r="C333" i="16" s="1"/>
  <c r="D333" i="16" a="1"/>
  <c r="D333" i="16" s="1"/>
  <c r="B335" i="16" l="1"/>
  <c r="N334" i="16" a="1"/>
  <c r="N334" i="16" s="1"/>
  <c r="P334" i="16" a="1"/>
  <c r="P334" i="16" s="1"/>
  <c r="O334" i="16" a="1"/>
  <c r="O334" i="16" s="1"/>
  <c r="Q334" i="16" a="1"/>
  <c r="Q334" i="16" s="1"/>
  <c r="X334" i="16" a="1"/>
  <c r="X334" i="16" s="1"/>
  <c r="G334" i="16" a="1"/>
  <c r="G334" i="16" s="1"/>
  <c r="R334" i="16" a="1"/>
  <c r="R334" i="16" s="1"/>
  <c r="Y334" i="16" a="1"/>
  <c r="Y334" i="16" s="1"/>
  <c r="H334" i="16" a="1"/>
  <c r="H334" i="16" s="1"/>
  <c r="S334" i="16" a="1"/>
  <c r="S334" i="16" s="1"/>
  <c r="I334" i="16" a="1"/>
  <c r="I334" i="16" s="1"/>
  <c r="T334" i="16" a="1"/>
  <c r="T334" i="16" s="1"/>
  <c r="C334" i="16" a="1"/>
  <c r="C334" i="16" s="1"/>
  <c r="J334" i="16" a="1"/>
  <c r="J334" i="16" s="1"/>
  <c r="U334" i="16" a="1"/>
  <c r="U334" i="16" s="1"/>
  <c r="D334" i="16" a="1"/>
  <c r="D334" i="16" s="1"/>
  <c r="K334" i="16" a="1"/>
  <c r="K334" i="16" s="1"/>
  <c r="W334" i="16" a="1"/>
  <c r="W334" i="16" s="1"/>
  <c r="E334" i="16" a="1"/>
  <c r="E334" i="16" s="1"/>
  <c r="F334" i="16" a="1"/>
  <c r="F334" i="16" s="1"/>
  <c r="L334" i="16" a="1"/>
  <c r="L334" i="16" s="1"/>
  <c r="M334" i="16" a="1"/>
  <c r="M334" i="16" s="1"/>
  <c r="V334" i="16" a="1"/>
  <c r="V334" i="16" s="1"/>
  <c r="B336" i="16" l="1"/>
  <c r="P335" i="16" a="1"/>
  <c r="P335" i="16" s="1"/>
  <c r="O335" i="16" a="1"/>
  <c r="O335" i="16" s="1"/>
  <c r="N335" i="16" a="1"/>
  <c r="N335" i="16" s="1"/>
  <c r="G335" i="16" a="1"/>
  <c r="G335" i="16" s="1"/>
  <c r="R335" i="16" a="1"/>
  <c r="R335" i="16" s="1"/>
  <c r="Y335" i="16" a="1"/>
  <c r="Y335" i="16" s="1"/>
  <c r="H335" i="16" a="1"/>
  <c r="H335" i="16" s="1"/>
  <c r="S335" i="16" a="1"/>
  <c r="S335" i="16" s="1"/>
  <c r="I335" i="16" a="1"/>
  <c r="I335" i="16" s="1"/>
  <c r="T335" i="16" a="1"/>
  <c r="T335" i="16" s="1"/>
  <c r="C335" i="16" a="1"/>
  <c r="C335" i="16" s="1"/>
  <c r="J335" i="16" a="1"/>
  <c r="J335" i="16" s="1"/>
  <c r="U335" i="16" a="1"/>
  <c r="U335" i="16" s="1"/>
  <c r="D335" i="16" a="1"/>
  <c r="D335" i="16" s="1"/>
  <c r="K335" i="16" a="1"/>
  <c r="K335" i="16" s="1"/>
  <c r="E335" i="16" a="1"/>
  <c r="E335" i="16" s="1"/>
  <c r="L335" i="16" a="1"/>
  <c r="L335" i="16" s="1"/>
  <c r="V335" i="16" a="1"/>
  <c r="V335" i="16" s="1"/>
  <c r="F335" i="16" a="1"/>
  <c r="F335" i="16" s="1"/>
  <c r="M335" i="16" a="1"/>
  <c r="M335" i="16" s="1"/>
  <c r="Q335" i="16" a="1"/>
  <c r="Q335" i="16" s="1"/>
  <c r="W335" i="16" a="1"/>
  <c r="W335" i="16" s="1"/>
  <c r="X335" i="16" a="1"/>
  <c r="X335" i="16" s="1"/>
  <c r="B337" i="16" l="1"/>
  <c r="P336" i="16" a="1"/>
  <c r="P336" i="16" s="1"/>
  <c r="O336" i="16" a="1"/>
  <c r="O336" i="16" s="1"/>
  <c r="N336" i="16" a="1"/>
  <c r="N336" i="16" s="1"/>
  <c r="I336" i="16" a="1"/>
  <c r="I336" i="16" s="1"/>
  <c r="S336" i="16" a="1"/>
  <c r="S336" i="16" s="1"/>
  <c r="C336" i="16" a="1"/>
  <c r="C336" i="16" s="1"/>
  <c r="T336" i="16" a="1"/>
  <c r="T336" i="16" s="1"/>
  <c r="D336" i="16" a="1"/>
  <c r="D336" i="16" s="1"/>
  <c r="J336" i="16" a="1"/>
  <c r="J336" i="16" s="1"/>
  <c r="U336" i="16" a="1"/>
  <c r="U336" i="16" s="1"/>
  <c r="E336" i="16" a="1"/>
  <c r="E336" i="16" s="1"/>
  <c r="K336" i="16" a="1"/>
  <c r="K336" i="16" s="1"/>
  <c r="V336" i="16" a="1"/>
  <c r="V336" i="16" s="1"/>
  <c r="L336" i="16" a="1"/>
  <c r="L336" i="16" s="1"/>
  <c r="W336" i="16" a="1"/>
  <c r="W336" i="16" s="1"/>
  <c r="F336" i="16" a="1"/>
  <c r="F336" i="16" s="1"/>
  <c r="M336" i="16" a="1"/>
  <c r="M336" i="16" s="1"/>
  <c r="X336" i="16" a="1"/>
  <c r="X336" i="16" s="1"/>
  <c r="H336" i="16" a="1"/>
  <c r="H336" i="16" s="1"/>
  <c r="Q336" i="16" a="1"/>
  <c r="Q336" i="16" s="1"/>
  <c r="R336" i="16" a="1"/>
  <c r="R336" i="16" s="1"/>
  <c r="Y336" i="16" a="1"/>
  <c r="Y336" i="16" s="1"/>
  <c r="G336" i="16" a="1"/>
  <c r="G336" i="16" s="1"/>
  <c r="B338" i="16" l="1"/>
  <c r="O337" i="16" a="1"/>
  <c r="O337" i="16" s="1"/>
  <c r="P337" i="16" a="1"/>
  <c r="P337" i="16" s="1"/>
  <c r="N337" i="16" a="1"/>
  <c r="N337" i="16" s="1"/>
  <c r="D337" i="16" a="1"/>
  <c r="D337" i="16" s="1"/>
  <c r="L337" i="16" a="1"/>
  <c r="L337" i="16" s="1"/>
  <c r="W337" i="16" a="1"/>
  <c r="W337" i="16" s="1"/>
  <c r="E337" i="16" a="1"/>
  <c r="E337" i="16" s="1"/>
  <c r="M337" i="16" a="1"/>
  <c r="M337" i="16" s="1"/>
  <c r="X337" i="16" a="1"/>
  <c r="X337" i="16" s="1"/>
  <c r="F337" i="16" a="1"/>
  <c r="F337" i="16" s="1"/>
  <c r="Q337" i="16" a="1"/>
  <c r="Q337" i="16" s="1"/>
  <c r="Y337" i="16" a="1"/>
  <c r="Y337" i="16" s="1"/>
  <c r="G337" i="16" a="1"/>
  <c r="G337" i="16" s="1"/>
  <c r="R337" i="16" a="1"/>
  <c r="R337" i="16" s="1"/>
  <c r="H337" i="16" a="1"/>
  <c r="H337" i="16" s="1"/>
  <c r="S337" i="16" a="1"/>
  <c r="S337" i="16" s="1"/>
  <c r="I337" i="16" a="1"/>
  <c r="I337" i="16" s="1"/>
  <c r="T337" i="16" a="1"/>
  <c r="T337" i="16" s="1"/>
  <c r="V337" i="16" a="1"/>
  <c r="V337" i="16" s="1"/>
  <c r="C337" i="16" a="1"/>
  <c r="C337" i="16" s="1"/>
  <c r="J337" i="16" a="1"/>
  <c r="J337" i="16" s="1"/>
  <c r="U337" i="16" a="1"/>
  <c r="U337" i="16" s="1"/>
  <c r="K337" i="16" a="1"/>
  <c r="K337" i="16" s="1"/>
  <c r="B339" i="16" l="1"/>
  <c r="P338" i="16" a="1"/>
  <c r="P338" i="16" s="1"/>
  <c r="O338" i="16" a="1"/>
  <c r="O338" i="16" s="1"/>
  <c r="N338" i="16" a="1"/>
  <c r="N338" i="16" s="1"/>
  <c r="H338" i="16" a="1"/>
  <c r="H338" i="16" s="1"/>
  <c r="S338" i="16" a="1"/>
  <c r="S338" i="16" s="1"/>
  <c r="I338" i="16" a="1"/>
  <c r="I338" i="16" s="1"/>
  <c r="T338" i="16" a="1"/>
  <c r="T338" i="16" s="1"/>
  <c r="J338" i="16" a="1"/>
  <c r="J338" i="16" s="1"/>
  <c r="U338" i="16" a="1"/>
  <c r="U338" i="16" s="1"/>
  <c r="C338" i="16" a="1"/>
  <c r="C338" i="16" s="1"/>
  <c r="K338" i="16" a="1"/>
  <c r="K338" i="16" s="1"/>
  <c r="V338" i="16" a="1"/>
  <c r="V338" i="16" s="1"/>
  <c r="D338" i="16" a="1"/>
  <c r="D338" i="16" s="1"/>
  <c r="L338" i="16" a="1"/>
  <c r="L338" i="16" s="1"/>
  <c r="W338" i="16" a="1"/>
  <c r="W338" i="16" s="1"/>
  <c r="E338" i="16" a="1"/>
  <c r="E338" i="16" s="1"/>
  <c r="M338" i="16" a="1"/>
  <c r="M338" i="16" s="1"/>
  <c r="X338" i="16" a="1"/>
  <c r="X338" i="16" s="1"/>
  <c r="F338" i="16" a="1"/>
  <c r="F338" i="16" s="1"/>
  <c r="G338" i="16" a="1"/>
  <c r="G338" i="16" s="1"/>
  <c r="Q338" i="16" a="1"/>
  <c r="Q338" i="16" s="1"/>
  <c r="R338" i="16" a="1"/>
  <c r="R338" i="16" s="1"/>
  <c r="Y338" i="16" a="1"/>
  <c r="Y338" i="16" s="1"/>
  <c r="B340" i="16" l="1"/>
  <c r="O339" i="16" a="1"/>
  <c r="O339" i="16" s="1"/>
  <c r="N339" i="16" a="1"/>
  <c r="N339" i="16" s="1"/>
  <c r="P339" i="16" a="1"/>
  <c r="P339" i="16" s="1"/>
  <c r="D339" i="16" a="1"/>
  <c r="D339" i="16" s="1"/>
  <c r="L339" i="16" a="1"/>
  <c r="L339" i="16" s="1"/>
  <c r="W339" i="16" a="1"/>
  <c r="W339" i="16" s="1"/>
  <c r="E339" i="16" a="1"/>
  <c r="E339" i="16" s="1"/>
  <c r="M339" i="16" a="1"/>
  <c r="M339" i="16" s="1"/>
  <c r="X339" i="16" a="1"/>
  <c r="X339" i="16" s="1"/>
  <c r="F339" i="16" a="1"/>
  <c r="F339" i="16" s="1"/>
  <c r="Q339" i="16" a="1"/>
  <c r="Q339" i="16" s="1"/>
  <c r="Y339" i="16" a="1"/>
  <c r="Y339" i="16" s="1"/>
  <c r="G339" i="16" a="1"/>
  <c r="G339" i="16" s="1"/>
  <c r="R339" i="16" a="1"/>
  <c r="R339" i="16" s="1"/>
  <c r="H339" i="16" a="1"/>
  <c r="H339" i="16" s="1"/>
  <c r="S339" i="16" a="1"/>
  <c r="S339" i="16" s="1"/>
  <c r="I339" i="16" a="1"/>
  <c r="I339" i="16" s="1"/>
  <c r="T339" i="16" a="1"/>
  <c r="T339" i="16" s="1"/>
  <c r="K339" i="16" a="1"/>
  <c r="K339" i="16" s="1"/>
  <c r="U339" i="16" a="1"/>
  <c r="U339" i="16" s="1"/>
  <c r="V339" i="16" a="1"/>
  <c r="V339" i="16" s="1"/>
  <c r="C339" i="16" a="1"/>
  <c r="C339" i="16" s="1"/>
  <c r="J339" i="16" a="1"/>
  <c r="J339" i="16" s="1"/>
  <c r="B341" i="16" l="1"/>
  <c r="P340" i="16" a="1"/>
  <c r="P340" i="16" s="1"/>
  <c r="N340" i="16" a="1"/>
  <c r="N340" i="16" s="1"/>
  <c r="O340" i="16" a="1"/>
  <c r="O340" i="16" s="1"/>
  <c r="H340" i="16" a="1"/>
  <c r="H340" i="16" s="1"/>
  <c r="S340" i="16" a="1"/>
  <c r="S340" i="16" s="1"/>
  <c r="I340" i="16" a="1"/>
  <c r="I340" i="16" s="1"/>
  <c r="T340" i="16" a="1"/>
  <c r="T340" i="16" s="1"/>
  <c r="J340" i="16" a="1"/>
  <c r="J340" i="16" s="1"/>
  <c r="U340" i="16" a="1"/>
  <c r="U340" i="16" s="1"/>
  <c r="C340" i="16" a="1"/>
  <c r="C340" i="16" s="1"/>
  <c r="K340" i="16" a="1"/>
  <c r="K340" i="16" s="1"/>
  <c r="V340" i="16" a="1"/>
  <c r="V340" i="16" s="1"/>
  <c r="D340" i="16" a="1"/>
  <c r="D340" i="16" s="1"/>
  <c r="L340" i="16" a="1"/>
  <c r="L340" i="16" s="1"/>
  <c r="W340" i="16" a="1"/>
  <c r="W340" i="16" s="1"/>
  <c r="E340" i="16" a="1"/>
  <c r="E340" i="16" s="1"/>
  <c r="M340" i="16" a="1"/>
  <c r="M340" i="16" s="1"/>
  <c r="X340" i="16" a="1"/>
  <c r="X340" i="16" s="1"/>
  <c r="F340" i="16" a="1"/>
  <c r="F340" i="16" s="1"/>
  <c r="G340" i="16" a="1"/>
  <c r="G340" i="16" s="1"/>
  <c r="Q340" i="16" a="1"/>
  <c r="Q340" i="16" s="1"/>
  <c r="R340" i="16" a="1"/>
  <c r="R340" i="16" s="1"/>
  <c r="Y340" i="16" a="1"/>
  <c r="Y340" i="16" s="1"/>
  <c r="B342" i="16" l="1"/>
  <c r="P341" i="16" a="1"/>
  <c r="P341" i="16" s="1"/>
  <c r="O341" i="16" a="1"/>
  <c r="O341" i="16" s="1"/>
  <c r="N341" i="16" a="1"/>
  <c r="N341" i="16" s="1"/>
  <c r="D341" i="16" a="1"/>
  <c r="D341" i="16" s="1"/>
  <c r="L341" i="16" a="1"/>
  <c r="L341" i="16" s="1"/>
  <c r="W341" i="16" a="1"/>
  <c r="W341" i="16" s="1"/>
  <c r="E341" i="16" a="1"/>
  <c r="E341" i="16" s="1"/>
  <c r="M341" i="16" a="1"/>
  <c r="M341" i="16" s="1"/>
  <c r="X341" i="16" a="1"/>
  <c r="X341" i="16" s="1"/>
  <c r="F341" i="16" a="1"/>
  <c r="F341" i="16" s="1"/>
  <c r="Q341" i="16" a="1"/>
  <c r="Q341" i="16" s="1"/>
  <c r="Y341" i="16" a="1"/>
  <c r="Y341" i="16" s="1"/>
  <c r="G341" i="16" a="1"/>
  <c r="G341" i="16" s="1"/>
  <c r="R341" i="16" a="1"/>
  <c r="R341" i="16" s="1"/>
  <c r="H341" i="16" a="1"/>
  <c r="H341" i="16" s="1"/>
  <c r="S341" i="16" a="1"/>
  <c r="S341" i="16" s="1"/>
  <c r="I341" i="16" a="1"/>
  <c r="I341" i="16" s="1"/>
  <c r="T341" i="16" a="1"/>
  <c r="T341" i="16" s="1"/>
  <c r="C341" i="16" a="1"/>
  <c r="C341" i="16" s="1"/>
  <c r="J341" i="16" a="1"/>
  <c r="J341" i="16" s="1"/>
  <c r="K341" i="16" a="1"/>
  <c r="K341" i="16" s="1"/>
  <c r="U341" i="16" a="1"/>
  <c r="U341" i="16" s="1"/>
  <c r="V341" i="16" a="1"/>
  <c r="V341" i="16" s="1"/>
  <c r="B343" i="16" l="1"/>
  <c r="N342" i="16" a="1"/>
  <c r="N342" i="16" s="1"/>
  <c r="P342" i="16" a="1"/>
  <c r="P342" i="16" s="1"/>
  <c r="O342" i="16" a="1"/>
  <c r="O342" i="16" s="1"/>
  <c r="H342" i="16" a="1"/>
  <c r="H342" i="16" s="1"/>
  <c r="S342" i="16" a="1"/>
  <c r="S342" i="16" s="1"/>
  <c r="I342" i="16" a="1"/>
  <c r="I342" i="16" s="1"/>
  <c r="T342" i="16" a="1"/>
  <c r="T342" i="16" s="1"/>
  <c r="J342" i="16" a="1"/>
  <c r="J342" i="16" s="1"/>
  <c r="U342" i="16" a="1"/>
  <c r="U342" i="16" s="1"/>
  <c r="C342" i="16" a="1"/>
  <c r="C342" i="16" s="1"/>
  <c r="K342" i="16" a="1"/>
  <c r="K342" i="16" s="1"/>
  <c r="V342" i="16" a="1"/>
  <c r="V342" i="16" s="1"/>
  <c r="D342" i="16" a="1"/>
  <c r="D342" i="16" s="1"/>
  <c r="L342" i="16" a="1"/>
  <c r="L342" i="16" s="1"/>
  <c r="W342" i="16" a="1"/>
  <c r="W342" i="16" s="1"/>
  <c r="E342" i="16" a="1"/>
  <c r="E342" i="16" s="1"/>
  <c r="M342" i="16" a="1"/>
  <c r="M342" i="16" s="1"/>
  <c r="X342" i="16" a="1"/>
  <c r="X342" i="16" s="1"/>
  <c r="R342" i="16" a="1"/>
  <c r="R342" i="16" s="1"/>
  <c r="Y342" i="16" a="1"/>
  <c r="Y342" i="16" s="1"/>
  <c r="F342" i="16" a="1"/>
  <c r="F342" i="16" s="1"/>
  <c r="G342" i="16" a="1"/>
  <c r="G342" i="16" s="1"/>
  <c r="Q342" i="16" a="1"/>
  <c r="Q342" i="16" s="1"/>
  <c r="B344" i="16" l="1"/>
  <c r="P343" i="16" a="1"/>
  <c r="P343" i="16" s="1"/>
  <c r="O343" i="16" a="1"/>
  <c r="O343" i="16" s="1"/>
  <c r="N343" i="16" a="1"/>
  <c r="N343" i="16" s="1"/>
  <c r="D343" i="16" a="1"/>
  <c r="D343" i="16" s="1"/>
  <c r="L343" i="16" a="1"/>
  <c r="L343" i="16" s="1"/>
  <c r="W343" i="16" a="1"/>
  <c r="W343" i="16" s="1"/>
  <c r="E343" i="16" a="1"/>
  <c r="E343" i="16" s="1"/>
  <c r="M343" i="16" a="1"/>
  <c r="M343" i="16" s="1"/>
  <c r="X343" i="16" a="1"/>
  <c r="X343" i="16" s="1"/>
  <c r="F343" i="16" a="1"/>
  <c r="F343" i="16" s="1"/>
  <c r="Q343" i="16" a="1"/>
  <c r="Q343" i="16" s="1"/>
  <c r="Y343" i="16" a="1"/>
  <c r="Y343" i="16" s="1"/>
  <c r="G343" i="16" a="1"/>
  <c r="G343" i="16" s="1"/>
  <c r="R343" i="16" a="1"/>
  <c r="R343" i="16" s="1"/>
  <c r="H343" i="16" a="1"/>
  <c r="H343" i="16" s="1"/>
  <c r="S343" i="16" a="1"/>
  <c r="S343" i="16" s="1"/>
  <c r="I343" i="16" a="1"/>
  <c r="I343" i="16" s="1"/>
  <c r="T343" i="16" a="1"/>
  <c r="T343" i="16" s="1"/>
  <c r="C343" i="16" a="1"/>
  <c r="C343" i="16" s="1"/>
  <c r="J343" i="16" a="1"/>
  <c r="J343" i="16" s="1"/>
  <c r="K343" i="16" a="1"/>
  <c r="K343" i="16" s="1"/>
  <c r="U343" i="16" a="1"/>
  <c r="U343" i="16" s="1"/>
  <c r="V343" i="16" a="1"/>
  <c r="V343" i="16" s="1"/>
  <c r="B345" i="16" l="1"/>
  <c r="P344" i="16" a="1"/>
  <c r="P344" i="16" s="1"/>
  <c r="O344" i="16" a="1"/>
  <c r="O344" i="16" s="1"/>
  <c r="N344" i="16" a="1"/>
  <c r="N344" i="16" s="1"/>
  <c r="H344" i="16" a="1"/>
  <c r="H344" i="16" s="1"/>
  <c r="S344" i="16" a="1"/>
  <c r="S344" i="16" s="1"/>
  <c r="I344" i="16" a="1"/>
  <c r="I344" i="16" s="1"/>
  <c r="T344" i="16" a="1"/>
  <c r="T344" i="16" s="1"/>
  <c r="J344" i="16" a="1"/>
  <c r="J344" i="16" s="1"/>
  <c r="U344" i="16" a="1"/>
  <c r="U344" i="16" s="1"/>
  <c r="C344" i="16" a="1"/>
  <c r="C344" i="16" s="1"/>
  <c r="K344" i="16" a="1"/>
  <c r="K344" i="16" s="1"/>
  <c r="V344" i="16" a="1"/>
  <c r="V344" i="16" s="1"/>
  <c r="D344" i="16" a="1"/>
  <c r="D344" i="16" s="1"/>
  <c r="L344" i="16" a="1"/>
  <c r="L344" i="16" s="1"/>
  <c r="W344" i="16" a="1"/>
  <c r="W344" i="16" s="1"/>
  <c r="E344" i="16" a="1"/>
  <c r="E344" i="16" s="1"/>
  <c r="M344" i="16" a="1"/>
  <c r="M344" i="16" s="1"/>
  <c r="X344" i="16" a="1"/>
  <c r="X344" i="16" s="1"/>
  <c r="G344" i="16" a="1"/>
  <c r="G344" i="16" s="1"/>
  <c r="Q344" i="16" a="1"/>
  <c r="Q344" i="16" s="1"/>
  <c r="R344" i="16" a="1"/>
  <c r="R344" i="16" s="1"/>
  <c r="Y344" i="16" a="1"/>
  <c r="Y344" i="16" s="1"/>
  <c r="F344" i="16" a="1"/>
  <c r="F344" i="16" s="1"/>
  <c r="B346" i="16" l="1"/>
  <c r="O345" i="16" a="1"/>
  <c r="O345" i="16" s="1"/>
  <c r="P345" i="16" a="1"/>
  <c r="P345" i="16" s="1"/>
  <c r="N345" i="16" a="1"/>
  <c r="N345" i="16" s="1"/>
  <c r="D345" i="16" a="1"/>
  <c r="D345" i="16" s="1"/>
  <c r="L345" i="16" a="1"/>
  <c r="L345" i="16" s="1"/>
  <c r="W345" i="16" a="1"/>
  <c r="W345" i="16" s="1"/>
  <c r="E345" i="16" a="1"/>
  <c r="E345" i="16" s="1"/>
  <c r="M345" i="16" a="1"/>
  <c r="M345" i="16" s="1"/>
  <c r="X345" i="16" a="1"/>
  <c r="X345" i="16" s="1"/>
  <c r="F345" i="16" a="1"/>
  <c r="F345" i="16" s="1"/>
  <c r="Q345" i="16" a="1"/>
  <c r="Q345" i="16" s="1"/>
  <c r="Y345" i="16" a="1"/>
  <c r="Y345" i="16" s="1"/>
  <c r="G345" i="16" a="1"/>
  <c r="G345" i="16" s="1"/>
  <c r="R345" i="16" a="1"/>
  <c r="R345" i="16" s="1"/>
  <c r="H345" i="16" a="1"/>
  <c r="H345" i="16" s="1"/>
  <c r="S345" i="16" a="1"/>
  <c r="S345" i="16" s="1"/>
  <c r="I345" i="16" a="1"/>
  <c r="I345" i="16" s="1"/>
  <c r="T345" i="16" a="1"/>
  <c r="T345" i="16" s="1"/>
  <c r="V345" i="16" a="1"/>
  <c r="V345" i="16" s="1"/>
  <c r="C345" i="16" a="1"/>
  <c r="C345" i="16" s="1"/>
  <c r="J345" i="16" a="1"/>
  <c r="J345" i="16" s="1"/>
  <c r="K345" i="16" a="1"/>
  <c r="K345" i="16" s="1"/>
  <c r="U345" i="16" a="1"/>
  <c r="U345" i="16" s="1"/>
  <c r="B347" i="16" l="1"/>
  <c r="P346" i="16" a="1"/>
  <c r="P346" i="16" s="1"/>
  <c r="O346" i="16" a="1"/>
  <c r="O346" i="16" s="1"/>
  <c r="N346" i="16" a="1"/>
  <c r="N346" i="16" s="1"/>
  <c r="H346" i="16" a="1"/>
  <c r="H346" i="16" s="1"/>
  <c r="S346" i="16" a="1"/>
  <c r="S346" i="16" s="1"/>
  <c r="I346" i="16" a="1"/>
  <c r="I346" i="16" s="1"/>
  <c r="T346" i="16" a="1"/>
  <c r="T346" i="16" s="1"/>
  <c r="J346" i="16" a="1"/>
  <c r="J346" i="16" s="1"/>
  <c r="U346" i="16" a="1"/>
  <c r="U346" i="16" s="1"/>
  <c r="C346" i="16" a="1"/>
  <c r="C346" i="16" s="1"/>
  <c r="K346" i="16" a="1"/>
  <c r="K346" i="16" s="1"/>
  <c r="V346" i="16" a="1"/>
  <c r="V346" i="16" s="1"/>
  <c r="D346" i="16" a="1"/>
  <c r="D346" i="16" s="1"/>
  <c r="L346" i="16" a="1"/>
  <c r="L346" i="16" s="1"/>
  <c r="W346" i="16" a="1"/>
  <c r="W346" i="16" s="1"/>
  <c r="E346" i="16" a="1"/>
  <c r="E346" i="16" s="1"/>
  <c r="M346" i="16" a="1"/>
  <c r="M346" i="16" s="1"/>
  <c r="X346" i="16" a="1"/>
  <c r="X346" i="16" s="1"/>
  <c r="F346" i="16" a="1"/>
  <c r="F346" i="16" s="1"/>
  <c r="G346" i="16" a="1"/>
  <c r="G346" i="16" s="1"/>
  <c r="Q346" i="16" a="1"/>
  <c r="Q346" i="16" s="1"/>
  <c r="R346" i="16" a="1"/>
  <c r="R346" i="16" s="1"/>
  <c r="Y346" i="16" a="1"/>
  <c r="Y346" i="16" s="1"/>
  <c r="B348" i="16" l="1"/>
  <c r="O347" i="16" a="1"/>
  <c r="O347" i="16" s="1"/>
  <c r="N347" i="16" a="1"/>
  <c r="N347" i="16" s="1"/>
  <c r="P347" i="16" a="1"/>
  <c r="P347" i="16" s="1"/>
  <c r="D347" i="16" a="1"/>
  <c r="D347" i="16" s="1"/>
  <c r="L347" i="16" a="1"/>
  <c r="L347" i="16" s="1"/>
  <c r="W347" i="16" a="1"/>
  <c r="W347" i="16" s="1"/>
  <c r="E347" i="16" a="1"/>
  <c r="E347" i="16" s="1"/>
  <c r="M347" i="16" a="1"/>
  <c r="M347" i="16" s="1"/>
  <c r="X347" i="16" a="1"/>
  <c r="X347" i="16" s="1"/>
  <c r="F347" i="16" a="1"/>
  <c r="F347" i="16" s="1"/>
  <c r="Q347" i="16" a="1"/>
  <c r="Q347" i="16" s="1"/>
  <c r="Y347" i="16" a="1"/>
  <c r="Y347" i="16" s="1"/>
  <c r="G347" i="16" a="1"/>
  <c r="G347" i="16" s="1"/>
  <c r="R347" i="16" a="1"/>
  <c r="R347" i="16" s="1"/>
  <c r="H347" i="16" a="1"/>
  <c r="H347" i="16" s="1"/>
  <c r="S347" i="16" a="1"/>
  <c r="S347" i="16" s="1"/>
  <c r="I347" i="16" a="1"/>
  <c r="I347" i="16" s="1"/>
  <c r="T347" i="16" a="1"/>
  <c r="T347" i="16" s="1"/>
  <c r="K347" i="16" a="1"/>
  <c r="K347" i="16" s="1"/>
  <c r="U347" i="16" a="1"/>
  <c r="U347" i="16" s="1"/>
  <c r="V347" i="16" a="1"/>
  <c r="V347" i="16" s="1"/>
  <c r="C347" i="16" a="1"/>
  <c r="C347" i="16" s="1"/>
  <c r="J347" i="16" a="1"/>
  <c r="J347" i="16" s="1"/>
  <c r="B349" i="16" l="1"/>
  <c r="P348" i="16" a="1"/>
  <c r="P348" i="16" s="1"/>
  <c r="N348" i="16" a="1"/>
  <c r="N348" i="16" s="1"/>
  <c r="O348" i="16" a="1"/>
  <c r="O348" i="16" s="1"/>
  <c r="H348" i="16" a="1"/>
  <c r="H348" i="16" s="1"/>
  <c r="S348" i="16" a="1"/>
  <c r="S348" i="16" s="1"/>
  <c r="I348" i="16" a="1"/>
  <c r="I348" i="16" s="1"/>
  <c r="T348" i="16" a="1"/>
  <c r="T348" i="16" s="1"/>
  <c r="J348" i="16" a="1"/>
  <c r="J348" i="16" s="1"/>
  <c r="U348" i="16" a="1"/>
  <c r="U348" i="16" s="1"/>
  <c r="C348" i="16" a="1"/>
  <c r="C348" i="16" s="1"/>
  <c r="K348" i="16" a="1"/>
  <c r="K348" i="16" s="1"/>
  <c r="V348" i="16" a="1"/>
  <c r="V348" i="16" s="1"/>
  <c r="D348" i="16" a="1"/>
  <c r="D348" i="16" s="1"/>
  <c r="L348" i="16" a="1"/>
  <c r="L348" i="16" s="1"/>
  <c r="W348" i="16" a="1"/>
  <c r="W348" i="16" s="1"/>
  <c r="E348" i="16" a="1"/>
  <c r="E348" i="16" s="1"/>
  <c r="M348" i="16" a="1"/>
  <c r="M348" i="16" s="1"/>
  <c r="X348" i="16" a="1"/>
  <c r="X348" i="16" s="1"/>
  <c r="F348" i="16" a="1"/>
  <c r="F348" i="16" s="1"/>
  <c r="G348" i="16" a="1"/>
  <c r="G348" i="16" s="1"/>
  <c r="Q348" i="16" a="1"/>
  <c r="Q348" i="16" s="1"/>
  <c r="R348" i="16" a="1"/>
  <c r="R348" i="16" s="1"/>
  <c r="Y348" i="16" a="1"/>
  <c r="Y348" i="16" s="1"/>
  <c r="B350" i="16" l="1"/>
  <c r="P349" i="16" a="1"/>
  <c r="P349" i="16" s="1"/>
  <c r="O349" i="16" a="1"/>
  <c r="O349" i="16" s="1"/>
  <c r="N349" i="16" a="1"/>
  <c r="N349" i="16" s="1"/>
  <c r="D349" i="16" a="1"/>
  <c r="D349" i="16" s="1"/>
  <c r="L349" i="16" a="1"/>
  <c r="L349" i="16" s="1"/>
  <c r="W349" i="16" a="1"/>
  <c r="W349" i="16" s="1"/>
  <c r="E349" i="16" a="1"/>
  <c r="E349" i="16" s="1"/>
  <c r="M349" i="16" a="1"/>
  <c r="M349" i="16" s="1"/>
  <c r="X349" i="16" a="1"/>
  <c r="X349" i="16" s="1"/>
  <c r="F349" i="16" a="1"/>
  <c r="F349" i="16" s="1"/>
  <c r="Q349" i="16" a="1"/>
  <c r="Q349" i="16" s="1"/>
  <c r="Y349" i="16" a="1"/>
  <c r="Y349" i="16" s="1"/>
  <c r="G349" i="16" a="1"/>
  <c r="G349" i="16" s="1"/>
  <c r="R349" i="16" a="1"/>
  <c r="R349" i="16" s="1"/>
  <c r="H349" i="16" a="1"/>
  <c r="H349" i="16" s="1"/>
  <c r="S349" i="16" a="1"/>
  <c r="S349" i="16" s="1"/>
  <c r="I349" i="16" a="1"/>
  <c r="I349" i="16" s="1"/>
  <c r="T349" i="16" a="1"/>
  <c r="T349" i="16" s="1"/>
  <c r="C349" i="16" a="1"/>
  <c r="C349" i="16" s="1"/>
  <c r="J349" i="16" a="1"/>
  <c r="J349" i="16" s="1"/>
  <c r="K349" i="16" a="1"/>
  <c r="K349" i="16" s="1"/>
  <c r="U349" i="16" a="1"/>
  <c r="U349" i="16" s="1"/>
  <c r="V349" i="16" a="1"/>
  <c r="V349" i="16" s="1"/>
  <c r="B351" i="16" l="1"/>
  <c r="N350" i="16" a="1"/>
  <c r="N350" i="16" s="1"/>
  <c r="P350" i="16" a="1"/>
  <c r="P350" i="16" s="1"/>
  <c r="O350" i="16" a="1"/>
  <c r="O350" i="16" s="1"/>
  <c r="H350" i="16" a="1"/>
  <c r="H350" i="16" s="1"/>
  <c r="S350" i="16" a="1"/>
  <c r="S350" i="16" s="1"/>
  <c r="I350" i="16" a="1"/>
  <c r="I350" i="16" s="1"/>
  <c r="T350" i="16" a="1"/>
  <c r="T350" i="16" s="1"/>
  <c r="J350" i="16" a="1"/>
  <c r="J350" i="16" s="1"/>
  <c r="U350" i="16" a="1"/>
  <c r="U350" i="16" s="1"/>
  <c r="C350" i="16" a="1"/>
  <c r="C350" i="16" s="1"/>
  <c r="K350" i="16" a="1"/>
  <c r="K350" i="16" s="1"/>
  <c r="V350" i="16" a="1"/>
  <c r="V350" i="16" s="1"/>
  <c r="D350" i="16" a="1"/>
  <c r="D350" i="16" s="1"/>
  <c r="L350" i="16" a="1"/>
  <c r="L350" i="16" s="1"/>
  <c r="W350" i="16" a="1"/>
  <c r="W350" i="16" s="1"/>
  <c r="E350" i="16" a="1"/>
  <c r="E350" i="16" s="1"/>
  <c r="M350" i="16" a="1"/>
  <c r="M350" i="16" s="1"/>
  <c r="X350" i="16" a="1"/>
  <c r="X350" i="16" s="1"/>
  <c r="R350" i="16" a="1"/>
  <c r="R350" i="16" s="1"/>
  <c r="Y350" i="16" a="1"/>
  <c r="Y350" i="16" s="1"/>
  <c r="F350" i="16" a="1"/>
  <c r="F350" i="16" s="1"/>
  <c r="Q350" i="16" a="1"/>
  <c r="Q350" i="16" s="1"/>
  <c r="G350" i="16" a="1"/>
  <c r="G350" i="16" s="1"/>
  <c r="B352" i="16" l="1"/>
  <c r="P351" i="16" a="1"/>
  <c r="P351" i="16" s="1"/>
  <c r="O351" i="16" a="1"/>
  <c r="O351" i="16" s="1"/>
  <c r="N351" i="16" a="1"/>
  <c r="N351" i="16" s="1"/>
  <c r="D351" i="16" a="1"/>
  <c r="D351" i="16" s="1"/>
  <c r="L351" i="16" a="1"/>
  <c r="L351" i="16" s="1"/>
  <c r="W351" i="16" a="1"/>
  <c r="W351" i="16" s="1"/>
  <c r="E351" i="16" a="1"/>
  <c r="E351" i="16" s="1"/>
  <c r="M351" i="16" a="1"/>
  <c r="M351" i="16" s="1"/>
  <c r="X351" i="16" a="1"/>
  <c r="X351" i="16" s="1"/>
  <c r="F351" i="16" a="1"/>
  <c r="F351" i="16" s="1"/>
  <c r="Q351" i="16" a="1"/>
  <c r="Q351" i="16" s="1"/>
  <c r="Y351" i="16" a="1"/>
  <c r="Y351" i="16" s="1"/>
  <c r="G351" i="16" a="1"/>
  <c r="G351" i="16" s="1"/>
  <c r="R351" i="16" a="1"/>
  <c r="R351" i="16" s="1"/>
  <c r="H351" i="16" a="1"/>
  <c r="H351" i="16" s="1"/>
  <c r="S351" i="16" a="1"/>
  <c r="S351" i="16" s="1"/>
  <c r="I351" i="16" a="1"/>
  <c r="I351" i="16" s="1"/>
  <c r="T351" i="16" a="1"/>
  <c r="T351" i="16" s="1"/>
  <c r="C351" i="16" a="1"/>
  <c r="C351" i="16" s="1"/>
  <c r="J351" i="16" a="1"/>
  <c r="J351" i="16" s="1"/>
  <c r="K351" i="16" a="1"/>
  <c r="K351" i="16" s="1"/>
  <c r="U351" i="16" a="1"/>
  <c r="U351" i="16" s="1"/>
  <c r="V351" i="16" a="1"/>
  <c r="V351" i="16" s="1"/>
  <c r="B353" i="16" l="1"/>
  <c r="P352" i="16" a="1"/>
  <c r="P352" i="16" s="1"/>
  <c r="O352" i="16" a="1"/>
  <c r="O352" i="16" s="1"/>
  <c r="N352" i="16" a="1"/>
  <c r="N352" i="16" s="1"/>
  <c r="H352" i="16" a="1"/>
  <c r="H352" i="16" s="1"/>
  <c r="S352" i="16" a="1"/>
  <c r="S352" i="16" s="1"/>
  <c r="I352" i="16" a="1"/>
  <c r="I352" i="16" s="1"/>
  <c r="T352" i="16" a="1"/>
  <c r="T352" i="16" s="1"/>
  <c r="J352" i="16" a="1"/>
  <c r="J352" i="16" s="1"/>
  <c r="U352" i="16" a="1"/>
  <c r="U352" i="16" s="1"/>
  <c r="C352" i="16" a="1"/>
  <c r="C352" i="16" s="1"/>
  <c r="K352" i="16" a="1"/>
  <c r="K352" i="16" s="1"/>
  <c r="V352" i="16" a="1"/>
  <c r="V352" i="16" s="1"/>
  <c r="D352" i="16" a="1"/>
  <c r="D352" i="16" s="1"/>
  <c r="L352" i="16" a="1"/>
  <c r="L352" i="16" s="1"/>
  <c r="W352" i="16" a="1"/>
  <c r="W352" i="16" s="1"/>
  <c r="E352" i="16" a="1"/>
  <c r="E352" i="16" s="1"/>
  <c r="M352" i="16" a="1"/>
  <c r="M352" i="16" s="1"/>
  <c r="X352" i="16" a="1"/>
  <c r="X352" i="16" s="1"/>
  <c r="G352" i="16" a="1"/>
  <c r="G352" i="16" s="1"/>
  <c r="Q352" i="16" a="1"/>
  <c r="Q352" i="16" s="1"/>
  <c r="R352" i="16" a="1"/>
  <c r="R352" i="16" s="1"/>
  <c r="Y352" i="16" a="1"/>
  <c r="Y352" i="16" s="1"/>
  <c r="F352" i="16" a="1"/>
  <c r="F352" i="16" s="1"/>
  <c r="B354" i="16" l="1"/>
  <c r="O353" i="16" a="1"/>
  <c r="O353" i="16" s="1"/>
  <c r="P353" i="16" a="1"/>
  <c r="P353" i="16" s="1"/>
  <c r="N353" i="16" a="1"/>
  <c r="N353" i="16" s="1"/>
  <c r="I353" i="16" a="1"/>
  <c r="I353" i="16" s="1"/>
  <c r="Q353" i="16" a="1"/>
  <c r="Q353" i="16" s="1"/>
  <c r="D353" i="16" a="1"/>
  <c r="D353" i="16" s="1"/>
  <c r="J353" i="16" a="1"/>
  <c r="J353" i="16" s="1"/>
  <c r="R353" i="16" a="1"/>
  <c r="R353" i="16" s="1"/>
  <c r="X353" i="16" a="1"/>
  <c r="X353" i="16" s="1"/>
  <c r="K353" i="16" a="1"/>
  <c r="K353" i="16" s="1"/>
  <c r="S353" i="16" a="1"/>
  <c r="S353" i="16" s="1"/>
  <c r="E353" i="16" a="1"/>
  <c r="E353" i="16" s="1"/>
  <c r="T353" i="16" a="1"/>
  <c r="T353" i="16" s="1"/>
  <c r="Y353" i="16" a="1"/>
  <c r="Y353" i="16" s="1"/>
  <c r="L353" i="16" a="1"/>
  <c r="L353" i="16" s="1"/>
  <c r="U353" i="16" a="1"/>
  <c r="U353" i="16" s="1"/>
  <c r="F353" i="16" a="1"/>
  <c r="F353" i="16" s="1"/>
  <c r="V353" i="16" a="1"/>
  <c r="V353" i="16" s="1"/>
  <c r="W353" i="16" a="1"/>
  <c r="W353" i="16" s="1"/>
  <c r="C353" i="16" a="1"/>
  <c r="C353" i="16" s="1"/>
  <c r="G353" i="16" a="1"/>
  <c r="G353" i="16" s="1"/>
  <c r="H353" i="16" a="1"/>
  <c r="H353" i="16" s="1"/>
  <c r="M353" i="16" a="1"/>
  <c r="M353" i="16" s="1"/>
  <c r="B355" i="16" l="1"/>
  <c r="P354" i="16" a="1"/>
  <c r="P354" i="16" s="1"/>
  <c r="O354" i="16" a="1"/>
  <c r="O354" i="16" s="1"/>
  <c r="N354" i="16" a="1"/>
  <c r="N354" i="16" s="1"/>
  <c r="G354" i="16" a="1"/>
  <c r="G354" i="16" s="1"/>
  <c r="L354" i="16" a="1"/>
  <c r="L354" i="16" s="1"/>
  <c r="M354" i="16" a="1"/>
  <c r="M354" i="16" s="1"/>
  <c r="U354" i="16" a="1"/>
  <c r="U354" i="16" s="1"/>
  <c r="H354" i="16" a="1"/>
  <c r="H354" i="16" s="1"/>
  <c r="Q354" i="16" a="1"/>
  <c r="Q354" i="16" s="1"/>
  <c r="V354" i="16" a="1"/>
  <c r="V354" i="16" s="1"/>
  <c r="R354" i="16" a="1"/>
  <c r="R354" i="16" s="1"/>
  <c r="W354" i="16" a="1"/>
  <c r="W354" i="16" s="1"/>
  <c r="C354" i="16" a="1"/>
  <c r="C354" i="16" s="1"/>
  <c r="I354" i="16" a="1"/>
  <c r="I354" i="16" s="1"/>
  <c r="X354" i="16" a="1"/>
  <c r="X354" i="16" s="1"/>
  <c r="D354" i="16" a="1"/>
  <c r="D354" i="16" s="1"/>
  <c r="S354" i="16" a="1"/>
  <c r="S354" i="16" s="1"/>
  <c r="Y354" i="16" a="1"/>
  <c r="Y354" i="16" s="1"/>
  <c r="T354" i="16" a="1"/>
  <c r="T354" i="16" s="1"/>
  <c r="E354" i="16" a="1"/>
  <c r="E354" i="16" s="1"/>
  <c r="F354" i="16" a="1"/>
  <c r="F354" i="16" s="1"/>
  <c r="J354" i="16" a="1"/>
  <c r="J354" i="16" s="1"/>
  <c r="K354" i="16" a="1"/>
  <c r="K354" i="16" s="1"/>
  <c r="B356" i="16" l="1"/>
  <c r="O355" i="16" a="1"/>
  <c r="O355" i="16" s="1"/>
  <c r="N355" i="16" a="1"/>
  <c r="N355" i="16" s="1"/>
  <c r="P355" i="16" a="1"/>
  <c r="P355" i="16" s="1"/>
  <c r="D355" i="16" a="1"/>
  <c r="D355" i="16" s="1"/>
  <c r="J355" i="16" a="1"/>
  <c r="J355" i="16" s="1"/>
  <c r="R355" i="16" a="1"/>
  <c r="R355" i="16" s="1"/>
  <c r="X355" i="16" a="1"/>
  <c r="X355" i="16" s="1"/>
  <c r="K355" i="16" a="1"/>
  <c r="K355" i="16" s="1"/>
  <c r="S355" i="16" a="1"/>
  <c r="S355" i="16" s="1"/>
  <c r="E355" i="16" a="1"/>
  <c r="E355" i="16" s="1"/>
  <c r="T355" i="16" a="1"/>
  <c r="T355" i="16" s="1"/>
  <c r="Y355" i="16" a="1"/>
  <c r="Y355" i="16" s="1"/>
  <c r="L355" i="16" a="1"/>
  <c r="L355" i="16" s="1"/>
  <c r="U355" i="16" a="1"/>
  <c r="U355" i="16" s="1"/>
  <c r="F355" i="16" a="1"/>
  <c r="F355" i="16" s="1"/>
  <c r="V355" i="16" a="1"/>
  <c r="V355" i="16" s="1"/>
  <c r="G355" i="16" a="1"/>
  <c r="G355" i="16" s="1"/>
  <c r="M355" i="16" a="1"/>
  <c r="M355" i="16" s="1"/>
  <c r="C355" i="16" a="1"/>
  <c r="C355" i="16" s="1"/>
  <c r="H355" i="16" a="1"/>
  <c r="H355" i="16" s="1"/>
  <c r="I355" i="16" a="1"/>
  <c r="I355" i="16" s="1"/>
  <c r="W355" i="16" a="1"/>
  <c r="W355" i="16" s="1"/>
  <c r="Q355" i="16" a="1"/>
  <c r="Q355" i="16" s="1"/>
  <c r="P356" i="16" l="1" a="1"/>
  <c r="P356" i="16" s="1"/>
  <c r="N356" i="16" a="1"/>
  <c r="N356" i="16" s="1"/>
  <c r="O356" i="16" a="1"/>
  <c r="O356" i="16" s="1"/>
  <c r="M356" i="16" a="1"/>
  <c r="M356" i="16" s="1"/>
  <c r="U356" i="16" a="1"/>
  <c r="U356" i="16" s="1"/>
  <c r="H356" i="16" a="1"/>
  <c r="H356" i="16" s="1"/>
  <c r="Q356" i="16" a="1"/>
  <c r="Q356" i="16" s="1"/>
  <c r="V356" i="16" a="1"/>
  <c r="V356" i="16" s="1"/>
  <c r="R356" i="16" a="1"/>
  <c r="R356" i="16" s="1"/>
  <c r="W356" i="16" a="1"/>
  <c r="W356" i="16" s="1"/>
  <c r="C356" i="16" a="1"/>
  <c r="C356" i="16" s="1"/>
  <c r="I356" i="16" a="1"/>
  <c r="I356" i="16" s="1"/>
  <c r="X356" i="16" a="1"/>
  <c r="X356" i="16" s="1"/>
  <c r="D356" i="16" a="1"/>
  <c r="D356" i="16" s="1"/>
  <c r="S356" i="16" a="1"/>
  <c r="S356" i="16" s="1"/>
  <c r="Y356" i="16" a="1"/>
  <c r="Y356" i="16" s="1"/>
  <c r="E356" i="16" a="1"/>
  <c r="E356" i="16" s="1"/>
  <c r="J356" i="16" a="1"/>
  <c r="J356" i="16" s="1"/>
  <c r="F356" i="16" a="1"/>
  <c r="F356" i="16" s="1"/>
  <c r="G356" i="16" a="1"/>
  <c r="G356" i="16" s="1"/>
  <c r="K356" i="16" a="1"/>
  <c r="K356" i="16" s="1"/>
  <c r="L356" i="16" a="1"/>
  <c r="L356" i="16" s="1"/>
  <c r="T356" i="16" a="1"/>
  <c r="T356" i="16" s="1"/>
  <c r="B357" i="16"/>
  <c r="P357" i="16" l="1" a="1"/>
  <c r="P357" i="16" s="1"/>
  <c r="O357" i="16" a="1"/>
  <c r="O357" i="16" s="1"/>
  <c r="N357" i="16" a="1"/>
  <c r="N357" i="16" s="1"/>
  <c r="K357" i="16" a="1"/>
  <c r="K357" i="16" s="1"/>
  <c r="S357" i="16" a="1"/>
  <c r="S357" i="16" s="1"/>
  <c r="E357" i="16" a="1"/>
  <c r="E357" i="16" s="1"/>
  <c r="T357" i="16" a="1"/>
  <c r="T357" i="16" s="1"/>
  <c r="Y357" i="16" a="1"/>
  <c r="Y357" i="16" s="1"/>
  <c r="L357" i="16" a="1"/>
  <c r="L357" i="16" s="1"/>
  <c r="U357" i="16" a="1"/>
  <c r="U357" i="16" s="1"/>
  <c r="F357" i="16" a="1"/>
  <c r="F357" i="16" s="1"/>
  <c r="V357" i="16" a="1"/>
  <c r="V357" i="16" s="1"/>
  <c r="G357" i="16" a="1"/>
  <c r="G357" i="16" s="1"/>
  <c r="M357" i="16" a="1"/>
  <c r="M357" i="16" s="1"/>
  <c r="C357" i="16" a="1"/>
  <c r="C357" i="16" s="1"/>
  <c r="H357" i="16" a="1"/>
  <c r="H357" i="16" s="1"/>
  <c r="W357" i="16" a="1"/>
  <c r="W357" i="16" s="1"/>
  <c r="D357" i="16" a="1"/>
  <c r="D357" i="16" s="1"/>
  <c r="I357" i="16" a="1"/>
  <c r="I357" i="16" s="1"/>
  <c r="J357" i="16" a="1"/>
  <c r="J357" i="16" s="1"/>
  <c r="Q357" i="16" a="1"/>
  <c r="Q357" i="16" s="1"/>
  <c r="R357" i="16" a="1"/>
  <c r="R357" i="16" s="1"/>
  <c r="B358" i="16"/>
  <c r="X357" i="16" a="1"/>
  <c r="X357" i="16" s="1"/>
  <c r="P358" i="16" l="1" a="1"/>
  <c r="P358" i="16" s="1"/>
  <c r="O358" i="16" a="1"/>
  <c r="O358" i="16" s="1"/>
  <c r="N358" i="16" a="1"/>
  <c r="N358" i="16" s="1"/>
  <c r="H358" i="16" a="1"/>
  <c r="H358" i="16" s="1"/>
  <c r="Q358" i="16" a="1"/>
  <c r="Q358" i="16" s="1"/>
  <c r="V358" i="16" a="1"/>
  <c r="V358" i="16" s="1"/>
  <c r="R358" i="16" a="1"/>
  <c r="R358" i="16" s="1"/>
  <c r="W358" i="16" a="1"/>
  <c r="W358" i="16" s="1"/>
  <c r="C358" i="16" a="1"/>
  <c r="C358" i="16" s="1"/>
  <c r="I358" i="16" a="1"/>
  <c r="I358" i="16" s="1"/>
  <c r="X358" i="16" a="1"/>
  <c r="X358" i="16" s="1"/>
  <c r="D358" i="16" a="1"/>
  <c r="D358" i="16" s="1"/>
  <c r="S358" i="16" a="1"/>
  <c r="S358" i="16" s="1"/>
  <c r="Y358" i="16" a="1"/>
  <c r="Y358" i="16" s="1"/>
  <c r="E358" i="16" a="1"/>
  <c r="E358" i="16" s="1"/>
  <c r="J358" i="16" a="1"/>
  <c r="J358" i="16" s="1"/>
  <c r="F358" i="16" a="1"/>
  <c r="F358" i="16" s="1"/>
  <c r="K358" i="16" a="1"/>
  <c r="K358" i="16" s="1"/>
  <c r="T358" i="16" a="1"/>
  <c r="T358" i="16" s="1"/>
  <c r="L358" i="16" a="1"/>
  <c r="L358" i="16" s="1"/>
  <c r="M358" i="16" a="1"/>
  <c r="M358" i="16" s="1"/>
  <c r="U358" i="16" a="1"/>
  <c r="U358" i="16" s="1"/>
  <c r="B6" i="16"/>
  <c r="G358" i="16" a="1"/>
  <c r="G358" i="16" s="1"/>
  <c r="P6" i="16" l="1" a="1"/>
  <c r="P6" i="16" s="1"/>
  <c r="O6" i="16" a="1"/>
  <c r="O6" i="16" s="1"/>
  <c r="N6" i="16" a="1"/>
  <c r="N6" i="16" s="1"/>
  <c r="Y6" i="16" a="1"/>
  <c r="Y6" i="16" s="1"/>
  <c r="X6" i="16" a="1"/>
  <c r="X6" i="16" s="1"/>
  <c r="J6" i="16" a="1"/>
  <c r="J6" i="16" s="1"/>
  <c r="S6" i="16" a="1"/>
  <c r="S6" i="16" s="1"/>
  <c r="D6" i="16" a="1"/>
  <c r="D6" i="16" s="1"/>
  <c r="K6" i="16" a="1"/>
  <c r="K6" i="16" s="1"/>
  <c r="T6" i="16" a="1"/>
  <c r="T6" i="16" s="1"/>
  <c r="C6" i="16" a="1"/>
  <c r="C6" i="16" s="1"/>
  <c r="E6" i="16" a="1"/>
  <c r="E6" i="16" s="1"/>
  <c r="U6" i="16" a="1"/>
  <c r="U6" i="16" s="1"/>
  <c r="F6" i="16" a="1"/>
  <c r="F6" i="16" s="1"/>
  <c r="L6" i="16" a="1"/>
  <c r="L6" i="16" s="1"/>
  <c r="V6" i="16" a="1"/>
  <c r="V6" i="16" s="1"/>
  <c r="G6" i="16" a="1"/>
  <c r="G6" i="16" s="1"/>
  <c r="M6" i="16" a="1"/>
  <c r="M6" i="16" s="1"/>
  <c r="Q6" i="16" a="1"/>
  <c r="Q6" i="16" s="1"/>
  <c r="H6" i="16" a="1"/>
  <c r="H6" i="16" s="1"/>
  <c r="I6" i="16" a="1"/>
  <c r="I6" i="16" s="1"/>
  <c r="W6" i="16" a="1"/>
  <c r="W6" i="16" s="1"/>
  <c r="R6" i="16" a="1"/>
  <c r="R6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<sst xmlns="http://schemas.openxmlformats.org/spreadsheetml/2006/main" count="2946" uniqueCount="1411">
  <si>
    <t>NPELQ@UK</t>
  </si>
  <si>
    <t>DSI3Q@UK</t>
  </si>
  <si>
    <t>DS3YQ@UK</t>
  </si>
  <si>
    <t>DS6YQ@UK</t>
  </si>
  <si>
    <t>DS7KQ@UK</t>
  </si>
  <si>
    <t>DS3ZQ@UK</t>
  </si>
  <si>
    <t>20001</t>
  </si>
  <si>
    <t>.DTLM</t>
  </si>
  <si>
    <t>.LSOURCE</t>
  </si>
  <si>
    <t>.TN</t>
  </si>
  <si>
    <t>.T1</t>
  </si>
  <si>
    <t>.DESC</t>
  </si>
  <si>
    <t>Office for National Statistics</t>
  </si>
  <si>
    <t>Q1-1997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</si>
  <si>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</si>
  <si>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</si>
  <si>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</si>
  <si>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</si>
  <si>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</si>
  <si>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</si>
  <si>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</si>
  <si>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</si>
  <si>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</si>
  <si>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</si>
  <si>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</si>
  <si>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</si>
  <si>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</si>
  <si>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</si>
  <si>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</si>
  <si>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</si>
  <si>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</si>
  <si>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</si>
  <si>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</si>
  <si>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</si>
  <si>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</si>
  <si>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</si>
  <si>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</si>
  <si>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</si>
  <si>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</si>
  <si>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</si>
  <si>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</si>
  <si>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</si>
  <si>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</si>
  <si>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</si>
  <si>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</si>
  <si>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</si>
  <si>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</si>
  <si>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</si>
  <si>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</si>
  <si>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</si>
  <si>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</si>
  <si>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</si>
  <si>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</si>
  <si>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</si>
  <si>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</si>
  <si>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</si>
  <si>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</si>
  <si>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</si>
  <si>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</si>
  <si>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</si>
  <si>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</si>
  <si>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</si>
  <si>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</si>
  <si>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</si>
  <si>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</si>
  <si>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</si>
  <si>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</si>
  <si>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</si>
  <si>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</si>
  <si>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</si>
  <si>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</si>
  <si>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</si>
  <si>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</si>
  <si>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</si>
  <si>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</si>
  <si>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</si>
  <si>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</si>
  <si>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</si>
  <si>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</si>
  <si>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</si>
  <si>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</si>
  <si>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</si>
  <si>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</si>
  <si>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</si>
  <si>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</si>
  <si>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</si>
  <si>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</si>
  <si>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</si>
  <si>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</si>
  <si>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</si>
  <si>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</si>
  <si>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</si>
  <si>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</si>
  <si>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</si>
  <si>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</si>
  <si>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</si>
  <si>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</si>
  <si>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</si>
  <si>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</si>
  <si>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</si>
  <si>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</si>
  <si>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DS43Q@UK</t>
  </si>
  <si>
    <t>Total</t>
  </si>
  <si>
    <t>Manufacturing</t>
  </si>
  <si>
    <t>Other production</t>
  </si>
  <si>
    <t>Construction</t>
  </si>
  <si>
    <t>Business investment by industry (Q4 2019=100)</t>
  </si>
  <si>
    <t>Services</t>
  </si>
  <si>
    <t>100 LINE</t>
  </si>
  <si>
    <t>Transport equipment</t>
  </si>
  <si>
    <t>Intellectual property products</t>
  </si>
  <si>
    <t>NPEL</t>
  </si>
  <si>
    <t xml:space="preserve">EDOH  </t>
  </si>
  <si>
    <t xml:space="preserve">EDOP  </t>
  </si>
  <si>
    <t xml:space="preserve">EDQZ  </t>
  </si>
  <si>
    <t xml:space="preserve">EDRA  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</si>
  <si>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</si>
  <si>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</si>
  <si>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</si>
  <si>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</si>
  <si>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</si>
  <si>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</si>
  <si>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</si>
  <si>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</si>
  <si>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</si>
  <si>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</si>
  <si>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</si>
  <si>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</si>
  <si>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</si>
  <si>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</si>
  <si>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</si>
  <si>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</si>
  <si>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</si>
  <si>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</si>
  <si>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</si>
  <si>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</si>
  <si>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</si>
  <si>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</si>
  <si>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</si>
  <si>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</si>
  <si>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</si>
  <si>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</si>
  <si>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</si>
  <si>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</si>
  <si>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</si>
  <si>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</si>
  <si>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</si>
  <si>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</si>
  <si>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</si>
  <si>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</si>
  <si>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</si>
  <si>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</si>
  <si>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</si>
  <si>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</si>
  <si>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</si>
  <si>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</si>
  <si>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</si>
  <si>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</si>
  <si>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</si>
  <si>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</si>
  <si>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</si>
  <si>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</si>
  <si>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</si>
  <si>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</si>
  <si>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</si>
  <si>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</si>
  <si>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</si>
  <si>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</si>
  <si>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</si>
  <si>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</si>
  <si>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</si>
  <si>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</si>
  <si>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</si>
  <si>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</si>
  <si>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</si>
  <si>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</si>
  <si>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</si>
  <si>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</si>
  <si>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</si>
  <si>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</si>
  <si>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</si>
  <si>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</si>
  <si>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</si>
  <si>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</si>
  <si>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</si>
  <si>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</si>
  <si>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</si>
  <si>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</si>
  <si>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</si>
  <si>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</si>
  <si>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</si>
  <si>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</si>
  <si>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</si>
  <si>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</si>
  <si>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</si>
  <si>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</si>
  <si>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</si>
  <si>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</si>
  <si>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</si>
  <si>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</si>
  <si>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</si>
  <si>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</si>
  <si>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</si>
  <si>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</si>
  <si>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</si>
  <si>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</si>
  <si>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</si>
  <si>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</si>
  <si>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</si>
  <si>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</si>
  <si>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</si>
  <si>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</si>
  <si>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</si>
  <si>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</si>
  <si>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</si>
  <si>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</si>
  <si>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https://www.ons.gov.uk/economy/grossdomesticproductgdp/datasets/businessinvestmentbyasset</t>
  </si>
  <si>
    <t>ICT and other machinery</t>
  </si>
  <si>
    <t>Other buildings</t>
  </si>
  <si>
    <t>Intellectual property</t>
  </si>
  <si>
    <t>Other</t>
  </si>
  <si>
    <t>Business investment by industry (£bn)</t>
  </si>
  <si>
    <t>Business investment by industry (Diff vs Q4 2019, £bn)</t>
  </si>
  <si>
    <t>Business investment by asset (Diff vs Q4 2019, £bn)</t>
  </si>
  <si>
    <t>DS86Q@UK</t>
  </si>
  <si>
    <t>DS8MQ@UK</t>
  </si>
  <si>
    <t>DS7WQ@UK</t>
  </si>
  <si>
    <t>DS8EQ@UK</t>
  </si>
  <si>
    <t>DSG9Q@UK</t>
  </si>
  <si>
    <t>DS9TQ@UK</t>
  </si>
  <si>
    <t>DSA3Q@UK</t>
  </si>
  <si>
    <t>DSH2Q@UK</t>
  </si>
  <si>
    <t>Business investment by sector - services (Diff vs Q4 2019, £bn)</t>
  </si>
  <si>
    <t>Education</t>
  </si>
  <si>
    <t>Other services</t>
  </si>
  <si>
    <t>Distribution</t>
  </si>
  <si>
    <t>Total services</t>
  </si>
  <si>
    <t>Hotels &amp; restaurants</t>
  </si>
  <si>
    <t>Transport</t>
  </si>
  <si>
    <t>Information &amp; comms</t>
  </si>
  <si>
    <t>Real estate</t>
  </si>
  <si>
    <t>Health</t>
  </si>
  <si>
    <t>Financial interm.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</si>
  <si>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</si>
  <si>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</si>
  <si>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</si>
  <si>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</si>
  <si>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</si>
  <si>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</si>
  <si>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</si>
  <si>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</si>
  <si>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</si>
  <si>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</si>
  <si>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</si>
  <si>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</si>
  <si>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</si>
  <si>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</si>
  <si>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</si>
  <si>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</si>
  <si>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</si>
  <si>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</si>
  <si>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</si>
  <si>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</si>
  <si>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</si>
  <si>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</si>
  <si>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</si>
  <si>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</si>
  <si>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</si>
  <si>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</si>
  <si>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</si>
  <si>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</si>
  <si>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</si>
  <si>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</si>
  <si>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</si>
  <si>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</si>
  <si>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</si>
  <si>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</si>
  <si>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</si>
  <si>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</si>
  <si>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</si>
  <si>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</si>
  <si>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</si>
  <si>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</si>
  <si>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</si>
  <si>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</si>
  <si>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</si>
  <si>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</si>
  <si>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</si>
  <si>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</si>
  <si>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</si>
  <si>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</si>
  <si>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</si>
  <si>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</si>
  <si>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</si>
  <si>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</si>
  <si>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</si>
  <si>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</si>
  <si>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</si>
  <si>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</si>
  <si>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</si>
  <si>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</si>
  <si>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</si>
  <si>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</si>
  <si>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</si>
  <si>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</si>
  <si>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</si>
  <si>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</si>
  <si>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</si>
  <si>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</si>
  <si>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</si>
  <si>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</si>
  <si>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</si>
  <si>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</si>
  <si>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</si>
  <si>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</si>
  <si>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</si>
  <si>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</si>
  <si>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</si>
  <si>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</si>
  <si>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</si>
  <si>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</si>
  <si>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</si>
  <si>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</si>
  <si>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</si>
  <si>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</si>
  <si>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</si>
  <si>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</si>
  <si>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</si>
  <si>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</si>
  <si>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</si>
  <si>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</si>
  <si>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</si>
  <si>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</si>
  <si>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</si>
  <si>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</si>
  <si>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</si>
  <si>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</si>
  <si>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</si>
  <si>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</si>
  <si>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</si>
  <si>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</si>
  <si>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</si>
  <si>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</si>
  <si>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</si>
  <si>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</si>
  <si>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</si>
  <si>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</si>
  <si>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</si>
  <si>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</si>
  <si>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</si>
  <si>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</si>
  <si>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</si>
  <si>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</si>
  <si>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</si>
  <si>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</si>
  <si>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</si>
  <si>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</si>
  <si>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</si>
  <si>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</si>
  <si>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</si>
  <si>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</si>
  <si>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</si>
  <si>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</si>
  <si>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</si>
  <si>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</si>
  <si>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</si>
  <si>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</si>
  <si>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</si>
  <si>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</si>
  <si>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</si>
  <si>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</si>
  <si>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</si>
  <si>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</si>
  <si>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</si>
  <si>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</si>
  <si>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</si>
  <si>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</si>
  <si>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</si>
  <si>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</si>
  <si>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</si>
  <si>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</si>
  <si>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</si>
  <si>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</si>
  <si>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</si>
  <si>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</si>
  <si>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</si>
  <si>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</si>
  <si>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</si>
  <si>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</si>
  <si>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</si>
  <si>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</si>
  <si>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</si>
  <si>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</si>
  <si>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</si>
  <si>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</si>
  <si>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</si>
  <si>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</si>
  <si>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</si>
  <si>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</si>
  <si>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</si>
  <si>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</si>
  <si>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</si>
  <si>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</si>
  <si>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</si>
  <si>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</si>
  <si>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</si>
  <si>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</si>
  <si>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</si>
  <si>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</si>
  <si>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</si>
  <si>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</si>
  <si>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</si>
  <si>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</si>
  <si>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</si>
  <si>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</si>
  <si>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</si>
  <si>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</si>
  <si>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</si>
  <si>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</si>
  <si>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</si>
  <si>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</si>
  <si>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</si>
  <si>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</si>
  <si>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</si>
  <si>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</si>
  <si>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</si>
  <si>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</si>
  <si>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</si>
  <si>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</si>
  <si>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</si>
  <si>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</si>
  <si>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</si>
  <si>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</si>
  <si>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</si>
  <si>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</si>
  <si>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</si>
  <si>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</si>
  <si>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</si>
  <si>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</si>
  <si>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</si>
  <si>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</si>
  <si>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</si>
  <si>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</si>
  <si>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</si>
  <si>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</si>
  <si>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</si>
  <si>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</si>
  <si>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</si>
  <si>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</si>
  <si>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</si>
  <si>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</si>
  <si>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</si>
  <si>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</si>
  <si>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</si>
  <si>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</si>
  <si>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</si>
  <si>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</si>
  <si>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</si>
  <si>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</si>
  <si>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</si>
  <si>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</si>
  <si>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</si>
  <si>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</si>
  <si>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</si>
  <si>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</si>
  <si>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</si>
  <si>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</si>
  <si>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</si>
  <si>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</si>
  <si>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</si>
  <si>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</si>
  <si>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</si>
  <si>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</si>
  <si>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</si>
  <si>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Investment, private sector business, real, LCU</t>
  </si>
  <si>
    <t>Pound</t>
  </si>
  <si>
    <t>Millions</t>
  </si>
  <si>
    <t>Level</t>
  </si>
  <si>
    <t>Office for National Statistics\Haver Analytics</t>
  </si>
  <si>
    <t>chained 2019</t>
  </si>
  <si>
    <t>NA</t>
  </si>
  <si>
    <t>2021</t>
  </si>
  <si>
    <t>UK: Gross Fixed Capital Formation: Business Investment (SA, Mil.Chn.2019.GBP)</t>
  </si>
  <si>
    <t>GBR</t>
  </si>
  <si>
    <t>IPNR</t>
  </si>
  <si>
    <t>Investment, total fixed investment, real, LCU</t>
  </si>
  <si>
    <t>NPQTQ@UK</t>
  </si>
  <si>
    <t>U.K.: Gross Fixed Capital Formation (SA, Mil.Chn.2019.GBP)</t>
  </si>
  <si>
    <t>IF</t>
  </si>
  <si>
    <t>Investment, government, real, LCU</t>
  </si>
  <si>
    <t>DLWFQ@UK</t>
  </si>
  <si>
    <t>U.K.: Gross Fixed Capital Formation: General Government(SA, Mil.Chn.2019.GBP)</t>
  </si>
  <si>
    <t>GI</t>
  </si>
  <si>
    <t>Investment, private dwellings, real, LCU</t>
  </si>
  <si>
    <t>L636Q@UK</t>
  </si>
  <si>
    <t>UK: Gross Fixed Capital Formation: Pvt Sector Dwellings (SA, Mil.Chn.2019.GBP)</t>
  </si>
  <si>
    <t>IPRD</t>
  </si>
  <si>
    <t>Oxford Economics calculation using Office for National Statistics data</t>
  </si>
  <si>
    <t>IOTH</t>
  </si>
  <si>
    <t>Company profits, LCU</t>
  </si>
  <si>
    <t>CGBZQ@UK</t>
  </si>
  <si>
    <t xml:space="preserve">U.K.: Gross Operating Surplus of Corporations (SA, Mil.Pounds) </t>
  </si>
  <si>
    <t>COGTP</t>
  </si>
  <si>
    <t>RQAWQ@UK</t>
  </si>
  <si>
    <t xml:space="preserve">UK: Net Lending/Net Borrowing: Nonfinancial Corporations (SA, Mil.GBP) </t>
  </si>
  <si>
    <t>CINAF</t>
  </si>
  <si>
    <t>CONAF</t>
  </si>
  <si>
    <t>GDP, nominal, LCU</t>
  </si>
  <si>
    <t>YBHAQ@UK</t>
  </si>
  <si>
    <t xml:space="preserve">U.K.: Gross Domestic Product (SA, Mil.Pounds) </t>
  </si>
  <si>
    <t>GDP!</t>
  </si>
  <si>
    <t>UK</t>
  </si>
  <si>
    <t>L</t>
  </si>
  <si>
    <t>https://twitter.com/Gilesyb/status/1519332233206714375?s=20&amp;t=cwRE5RP0CO_DabR5P63a5w</t>
  </si>
  <si>
    <t>Financing:</t>
  </si>
  <si>
    <t>20221</t>
  </si>
  <si>
    <t>UBCMIPM@UK</t>
  </si>
  <si>
    <t>UBCSIPM@UK</t>
  </si>
  <si>
    <t>UCBICEP@UK</t>
  </si>
  <si>
    <t>UCBDCE@UK</t>
  </si>
  <si>
    <t>UCBSBKV@UK</t>
  </si>
  <si>
    <t>UCBSCKV@UK</t>
  </si>
  <si>
    <t>The British Chambers of Commerce</t>
  </si>
  <si>
    <t>Q1-1989</t>
  </si>
  <si>
    <t>UK: BCC Survey: Manufacturing: Plant &amp; Machinery Investment Plans, Bal (% Bal)</t>
  </si>
  <si>
    <t>UK: BCC Survey: Service: Plant &amp; Machinery Investment Plans, Balance (% Bal)</t>
  </si>
  <si>
    <t>Confederation of British Industry</t>
  </si>
  <si>
    <t>Q2-1958</t>
  </si>
  <si>
    <t>UK: CBI Ind Trends: Cap Expenditure: Plant/Mach Over Next Yr Vs Last Yr(% Bal)</t>
  </si>
  <si>
    <t>Q3-1983</t>
  </si>
  <si>
    <t>UK: Dist Trades: Total: Capital Expenduture over Year, Bal (% Bal)</t>
  </si>
  <si>
    <t>Q4-1998</t>
  </si>
  <si>
    <t>UK: Svce Sector: Cap Exp: Vehicles/Plant/Mach: Next 12 Mos: Business (% Bal)</t>
  </si>
  <si>
    <t>UK: Svce Sector: Cap Exp: Vehicles/Plant/Mach: Next 12 Mos: Consumer (% Bal)</t>
  </si>
  <si>
    <t>20222</t>
  </si>
  <si>
    <t>UNVAI3@UK</t>
  </si>
  <si>
    <t>Bank of England</t>
  </si>
  <si>
    <t>Q4-2017 &lt;- Oct-2017</t>
  </si>
  <si>
    <t>UK: BoE Agents' Survey: Investment Intentions (NSA, % Bal)</t>
  </si>
  <si>
    <t>2022</t>
  </si>
  <si>
    <t>BCC</t>
  </si>
  <si>
    <t>CBI</t>
  </si>
  <si>
    <t>BoE agents</t>
  </si>
  <si>
    <t>Surveys vs business investment</t>
  </si>
  <si>
    <t>Weights</t>
  </si>
  <si>
    <t>Retail</t>
  </si>
  <si>
    <t>B&amp;P</t>
  </si>
  <si>
    <t>Consumer</t>
  </si>
  <si>
    <t>19901 !Q</t>
  </si>
  <si>
    <t>19901</t>
  </si>
  <si>
    <t>19902</t>
  </si>
  <si>
    <t>19903</t>
  </si>
  <si>
    <t>19904</t>
  </si>
  <si>
    <t>19911</t>
  </si>
  <si>
    <t>19912</t>
  </si>
  <si>
    <t>19913</t>
  </si>
  <si>
    <t>19914</t>
  </si>
  <si>
    <t>19921</t>
  </si>
  <si>
    <t>19922</t>
  </si>
  <si>
    <t>19923</t>
  </si>
  <si>
    <t>19924</t>
  </si>
  <si>
    <t>19931</t>
  </si>
  <si>
    <t>19932</t>
  </si>
  <si>
    <t>19933</t>
  </si>
  <si>
    <t>19934</t>
  </si>
  <si>
    <t>19941</t>
  </si>
  <si>
    <t>19942</t>
  </si>
  <si>
    <t>19943</t>
  </si>
  <si>
    <t>19944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</si>
  <si>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</si>
  <si>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</si>
  <si>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</si>
  <si>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</si>
  <si>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</si>
  <si>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</si>
  <si>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</si>
  <si>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</si>
  <si>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</si>
  <si>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</si>
  <si>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</si>
  <si>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</si>
  <si>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</si>
  <si>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</si>
  <si>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</si>
  <si>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</si>
  <si>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</si>
  <si>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</si>
  <si>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</si>
  <si>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</si>
  <si>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UNVAI1@UK</t>
  </si>
  <si>
    <t>UNVAI2@UK</t>
  </si>
  <si>
    <t>Whole economy weighted averages</t>
  </si>
  <si>
    <t>Standard deviations</t>
  </si>
  <si>
    <t>LT av</t>
  </si>
  <si>
    <t>STDEV</t>
  </si>
  <si>
    <t>Max</t>
  </si>
  <si>
    <t>Min</t>
  </si>
  <si>
    <t>Average</t>
  </si>
  <si>
    <t>ZERO LINE</t>
  </si>
  <si>
    <t>Business investment (RHS)</t>
  </si>
  <si>
    <t>Range of surveys* (LHS)</t>
  </si>
  <si>
    <t>Business investment exc nuclear fuels</t>
  </si>
  <si>
    <t>FSM5</t>
  </si>
  <si>
    <t>D7QK</t>
  </si>
  <si>
    <t>FSM6</t>
  </si>
  <si>
    <t>G93X</t>
  </si>
  <si>
    <t>GAO3</t>
  </si>
  <si>
    <t>GAO4</t>
  </si>
  <si>
    <t>GAN7</t>
  </si>
  <si>
    <t>GAN8</t>
  </si>
  <si>
    <t>UNZ8YB@UK</t>
  </si>
  <si>
    <t>UNZ8YC@UK</t>
  </si>
  <si>
    <t>USVVHL@UK</t>
  </si>
  <si>
    <t>200001 !M</t>
  </si>
  <si>
    <t>200001</t>
  </si>
  <si>
    <t>Apr-2011</t>
  </si>
  <si>
    <t>UK: MFI Net Lending ex Overdrafts, All Cur: SMEs, Amt O/S (EOP, NSA, Mil.GBP)</t>
  </si>
  <si>
    <t>UK: MFI Net Lending ex Overdrafts, All Cur: Lrge Bus, Amt O/S(EOP, NSA, Mil.GBP)</t>
  </si>
  <si>
    <t>Sep-1997</t>
  </si>
  <si>
    <t>UK: M4 Holdings by Private Nonfinancial Corps (EOP, SA, Mil.GBP)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</si>
  <si>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</si>
  <si>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</si>
  <si>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</si>
  <si>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</si>
  <si>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</si>
  <si>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</si>
  <si>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</si>
  <si>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</si>
  <si>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</si>
  <si>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</si>
  <si>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</si>
  <si>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</si>
  <si>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</si>
  <si>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</si>
  <si>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</si>
  <si>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</si>
  <si>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</si>
  <si>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</si>
  <si>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</si>
  <si>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</si>
  <si>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</si>
  <si>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</si>
  <si>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</si>
  <si>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</si>
  <si>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</si>
  <si>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</si>
  <si>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</si>
  <si>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</si>
  <si>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</si>
  <si>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</si>
  <si>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</si>
  <si>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</si>
  <si>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</si>
  <si>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</si>
  <si>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</si>
  <si>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</si>
  <si>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</si>
  <si>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</si>
  <si>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</si>
  <si>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</si>
  <si>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</si>
  <si>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</si>
  <si>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</si>
  <si>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</si>
  <si>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</si>
  <si>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</si>
  <si>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</si>
  <si>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</si>
  <si>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</si>
  <si>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</si>
  <si>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</si>
  <si>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</si>
  <si>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</si>
  <si>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</si>
  <si>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</si>
  <si>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</si>
  <si>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</si>
  <si>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</si>
  <si>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</si>
  <si>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</si>
  <si>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</si>
  <si>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</si>
  <si>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</si>
  <si>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</si>
  <si>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</si>
  <si>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</si>
  <si>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</si>
  <si>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</si>
  <si>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</si>
  <si>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</si>
  <si>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</si>
  <si>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</si>
  <si>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</si>
  <si>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</si>
  <si>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</si>
  <si>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</si>
  <si>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</si>
  <si>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</si>
  <si>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</si>
  <si>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</si>
  <si>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</si>
  <si>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</si>
  <si>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</si>
  <si>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</si>
  <si>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</si>
  <si>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</si>
  <si>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</si>
  <si>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</si>
  <si>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</si>
  <si>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</si>
  <si>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</si>
  <si>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</si>
  <si>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</si>
  <si>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</si>
  <si>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</si>
  <si>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</si>
  <si>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</si>
  <si>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</si>
  <si>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</si>
  <si>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</si>
  <si>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</si>
  <si>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</si>
  <si>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</si>
  <si>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</si>
  <si>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</si>
  <si>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</si>
  <si>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</si>
  <si>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</si>
  <si>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</si>
  <si>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</si>
  <si>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</si>
  <si>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</si>
  <si>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</si>
  <si>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</si>
  <si>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</si>
  <si>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</si>
  <si>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</si>
  <si>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</si>
  <si>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</si>
  <si>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</si>
  <si>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</si>
  <si>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</si>
  <si>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</si>
  <si>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</si>
  <si>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</si>
  <si>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</si>
  <si>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</si>
  <si>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</si>
  <si>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</si>
  <si>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</si>
  <si>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</si>
  <si>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</si>
  <si>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</si>
  <si>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</si>
  <si>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</si>
  <si>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</si>
  <si>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</si>
  <si>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</si>
  <si>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</si>
  <si>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</si>
  <si>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</si>
  <si>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</si>
  <si>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</si>
  <si>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</si>
  <si>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</si>
  <si>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</si>
  <si>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</si>
  <si>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</si>
  <si>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</si>
  <si>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</si>
  <si>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</si>
  <si>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</si>
  <si>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</si>
  <si>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</si>
  <si>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</si>
  <si>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</si>
  <si>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</si>
  <si>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</si>
  <si>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</si>
  <si>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</si>
  <si>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</si>
  <si>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</si>
  <si>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</si>
  <si>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</si>
  <si>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</si>
  <si>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</si>
  <si>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</si>
  <si>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</si>
  <si>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</si>
  <si>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</si>
  <si>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</si>
  <si>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</si>
  <si>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</si>
  <si>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</si>
  <si>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</si>
  <si>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</si>
  <si>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</si>
  <si>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</si>
  <si>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</si>
  <si>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</si>
  <si>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</si>
  <si>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</si>
  <si>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</si>
  <si>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</si>
  <si>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</si>
  <si>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</si>
  <si>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</si>
  <si>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</si>
  <si>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</si>
  <si>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</si>
  <si>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</si>
  <si>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</si>
  <si>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</si>
  <si>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</si>
  <si>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</si>
  <si>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</si>
  <si>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</si>
  <si>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</si>
  <si>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</si>
  <si>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</si>
  <si>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</si>
  <si>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</si>
  <si>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</si>
  <si>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</si>
  <si>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</si>
  <si>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</si>
  <si>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</si>
  <si>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</si>
  <si>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</si>
  <si>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</si>
  <si>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</si>
  <si>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</si>
  <si>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</si>
  <si>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</si>
  <si>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</si>
  <si>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</si>
  <si>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</si>
  <si>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</si>
  <si>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</si>
  <si>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</si>
  <si>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</si>
  <si>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</si>
  <si>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</si>
  <si>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</si>
  <si>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</si>
  <si>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</si>
  <si>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</si>
  <si>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</si>
  <si>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</si>
  <si>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</si>
  <si>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</si>
  <si>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</si>
  <si>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</si>
  <si>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</si>
  <si>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</si>
  <si>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</si>
  <si>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</si>
  <si>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</si>
  <si>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</si>
  <si>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</si>
  <si>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</si>
  <si>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</si>
  <si>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</si>
  <si>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</si>
  <si>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</si>
  <si>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</si>
  <si>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</si>
  <si>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</si>
  <si>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</si>
  <si>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</si>
  <si>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</si>
  <si>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</si>
  <si>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</si>
  <si>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</si>
  <si>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</si>
  <si>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</si>
  <si>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</si>
  <si>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</si>
  <si>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</si>
  <si>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</si>
  <si>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</si>
  <si>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</si>
  <si>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</si>
  <si>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</si>
  <si>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</si>
  <si>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</si>
  <si>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SMEs</t>
  </si>
  <si>
    <t>Large</t>
  </si>
  <si>
    <t>Corporate debt - SMEs vs large (Feb20=100)</t>
  </si>
  <si>
    <t>Corporate deposits vs pre-pandemic trend</t>
  </si>
  <si>
    <t>Actual</t>
  </si>
  <si>
    <t>Monthly change</t>
  </si>
  <si>
    <t>Av monthly change</t>
  </si>
  <si>
    <t>Difference</t>
  </si>
  <si>
    <t>UNZKM4@UK</t>
  </si>
  <si>
    <t>UNZKM7@UK</t>
  </si>
  <si>
    <t>UNZKME@UK</t>
  </si>
  <si>
    <t>UNZKN2@UK</t>
  </si>
  <si>
    <t>UNZKN5@UK</t>
  </si>
  <si>
    <t>UNZKN8@UK</t>
  </si>
  <si>
    <t>UNZKO3@UK</t>
  </si>
  <si>
    <t>UNZKO6@UK</t>
  </si>
  <si>
    <t>UNZKO9@UK</t>
  </si>
  <si>
    <t>UNZKP2@UK</t>
  </si>
  <si>
    <t>UNZKP5@UK</t>
  </si>
  <si>
    <t>UNZKP8@UK</t>
  </si>
  <si>
    <t>UNZKQ3@UK</t>
  </si>
  <si>
    <t>UNZKQ6@UK</t>
  </si>
  <si>
    <t>UNZKQ9@UK</t>
  </si>
  <si>
    <t>UNZKR4@UK</t>
  </si>
  <si>
    <t>UNZKM5@UK</t>
  </si>
  <si>
    <t>UNZKM8@UK</t>
  </si>
  <si>
    <t>UNZKMF@UK</t>
  </si>
  <si>
    <t>UNZKN3@UK</t>
  </si>
  <si>
    <t>UNZKN6@UK</t>
  </si>
  <si>
    <t>UNZKN9@UK</t>
  </si>
  <si>
    <t>UNZKO4@UK</t>
  </si>
  <si>
    <t>UNZKO7@UK</t>
  </si>
  <si>
    <t>UNZKOD@UK</t>
  </si>
  <si>
    <t>UNZKP3@UK</t>
  </si>
  <si>
    <t>UNZKP6@UK</t>
  </si>
  <si>
    <t>UNZKP9@UK</t>
  </si>
  <si>
    <t>UNZKQ4@UK</t>
  </si>
  <si>
    <t>UNZKQ7@UK</t>
  </si>
  <si>
    <t>UNZKR2@UK</t>
  </si>
  <si>
    <t>UNZKR5@UK</t>
  </si>
  <si>
    <t>Jan-2016</t>
  </si>
  <si>
    <t>UK: MFI Loans ex Overdrafts to SMEs: Agr, Hunt, Forestry, Fishing (EOP, Mil.GBP)</t>
  </si>
  <si>
    <t>UK: MFI Loans ex Overdrafts to SMEs: Mining and Quarrying (EOP, Mil.GBP)</t>
  </si>
  <si>
    <t>UK: MFI Loans ex Overdrafts to SMEs: Manufacturing (EOP, Mil.GBP)</t>
  </si>
  <si>
    <t>UK: MFI Loans ex Overdrafts to SMEs: Elec, Gas and Water Supply (EOP, Mil.GBP)</t>
  </si>
  <si>
    <t>UK: MFI Loans ex Overdrafts to SMEs: Construction (EOP, Mil.GBP)</t>
  </si>
  <si>
    <t>UK: MFI Loans ex Overdrafts to SMEs: Construction: Devt of Bldgs (EOP, Mil.GBP)</t>
  </si>
  <si>
    <t>UK: MFI Loans ex Overdrafts to SMEs: Wholesale and Retail Trade (EOP, Mil.GBP)</t>
  </si>
  <si>
    <t>UK: MFI Loans ex Overdrafts to SMEs: Accom &amp; Food Svc Activities (EOP, Mil.GBP)</t>
  </si>
  <si>
    <t>UK: MFI Loans ex Overdrafts to SMEs: Transport, Storage &amp; Comm (EOP, Mil.GBP)</t>
  </si>
  <si>
    <t>UK: MFI Loans ex Overdrafts to SMEs:  Real Estate, Prof Svcs etc (EOP, Mil.GBP)</t>
  </si>
  <si>
    <t>UK: MFI Loans ex Overdrafts to SMEs: Real Estate: Buy, Sell, Rent (EOP, Mil.GBP)</t>
  </si>
  <si>
    <t>UK: MFI Loans ex Overdrafts to SMEs: Real Est -Fee/Contract Basis (EOP, Mil.GBP)</t>
  </si>
  <si>
    <t>UK: MFI Loans ex Overdrafts to SMEs: Public Admin and Defense (EOP, Mil.GBP)</t>
  </si>
  <si>
    <t>UK: MFI Loans ex Overdrafts to SMEs: Education (EOP, Mil.GBP)</t>
  </si>
  <si>
    <t>UK: MFI Loans ex Overdrafts to SMEs: Human Health and Social Work (EOP, Mil.GBP)</t>
  </si>
  <si>
    <t>UK: MFI Loans ex Overdrafts to SMEs: Rec, Personal &amp; Comm Svc (EOP, Mil.GBP)</t>
  </si>
  <si>
    <t>UK: MFI Loans ex Overdrafts to Lrg Bus: Agr/Hunt/Forestry/Fishing (EOP, Mil.GBP)</t>
  </si>
  <si>
    <t>UK: MFI Loans ex Overdrafts to Large Bus: Mining &amp; Quarrying (EOP, Mil.GBP)</t>
  </si>
  <si>
    <t>UK: MFI Loans ex Overdrafts to Large Bus: Manufacturing (EOP, Mil.GBP)</t>
  </si>
  <si>
    <t>UK: MFI Loans ex Overdrafts to Large Bus: Elec, Gas, Water Supply (EOP, Mil.GBP)</t>
  </si>
  <si>
    <t>UK: MFI Loans ex Overdrafts to Large Bus: Construction (EOP, Mil.GBP)</t>
  </si>
  <si>
    <t>UK: MFI Loans ex Overdrafts to Lrg Bus: Constr: Devt of Bldgs (EOP, Mil.GBP)</t>
  </si>
  <si>
    <t>UK: MFI Loans ex Overdrafts to Large Bus: Wholesale/Retail Trade (EOP, Mil.GBP)</t>
  </si>
  <si>
    <t>UK: MFI Loans ex Overdrafts to Large Bus: Accom/Food Svc Activs (EOP, Mil.GBP)</t>
  </si>
  <si>
    <t>UK: MFI Loans ex Overdrafts to Large Bus: Transport/Storage/Comm (EOP, Mil.GBP)</t>
  </si>
  <si>
    <t>UK: MFI Loans ex Overdrafts to Large Bus:  Real Estate/Prof Svcs (EOP, Mil.GBP)</t>
  </si>
  <si>
    <t>UK: MFI Loans ex Overdrafts to Lrg Bus: Real Est: Buy/Sell/Rent (EOP, Mil.GBP)</t>
  </si>
  <si>
    <t>Services - business investment shortfall vs change in debt</t>
  </si>
  <si>
    <t>Investment</t>
  </si>
  <si>
    <t>Loans (exc overdrafts)</t>
  </si>
  <si>
    <t>UK: MFI Lns ex Overdrafts to Lrg Bus: Real Est-Fee/Contract Basis (EOP, Mil.GBP)</t>
  </si>
  <si>
    <t>UK: MFI Loans ex Overdrafts to Large Bus: Public Admin &amp; Defense (EOP, Mil.GBP)</t>
  </si>
  <si>
    <t>UK: MFI Loans ex Overdrafts to Large Bus: Education (EOP, Mil.GBP)</t>
  </si>
  <si>
    <t>UK: MFI Loans ex Overdrafts to Large Bus: Human Health &amp; Soc Work (EOP, Mil.GBP)</t>
  </si>
  <si>
    <t>UK: MFI Loans ex Overdrafts to Large Bus: Rec, Personal/Comm Svcs (EOP, Mil.GBP)</t>
  </si>
  <si>
    <t>Transport &amp; comms</t>
  </si>
  <si>
    <t>Utilities</t>
  </si>
  <si>
    <t>JAN007E</t>
  </si>
  <si>
    <t>2019</t>
  </si>
  <si>
    <t>JAN007E.db</t>
  </si>
  <si>
    <t>Business investment forecasts</t>
  </si>
  <si>
    <t>January 2020</t>
  </si>
  <si>
    <t>Q4 2019 = 100</t>
  </si>
  <si>
    <t>United States</t>
  </si>
  <si>
    <t>US$</t>
  </si>
  <si>
    <t>Billions</t>
  </si>
  <si>
    <t>Bureau of Economic Analysis\Haver Analytics</t>
  </si>
  <si>
    <t>FNH@USNA / 4</t>
  </si>
  <si>
    <t>USA</t>
  </si>
  <si>
    <t>Japan</t>
  </si>
  <si>
    <t>Yen</t>
  </si>
  <si>
    <t>2015</t>
  </si>
  <si>
    <t>REDFOC2@JAPAN/4</t>
  </si>
  <si>
    <t>Japan: GDP: Gross Private Dom Invest: Plant/Equipmt(SAAR,Bil.Chn.2015.Yen)/4</t>
  </si>
  <si>
    <t>JPN</t>
  </si>
  <si>
    <t>Germany</t>
  </si>
  <si>
    <t>Euro</t>
  </si>
  <si>
    <t>Federal Statistics Office, Germany</t>
  </si>
  <si>
    <t>Investment, total fixed investment, real - Investment, government,real - Investment, private dwellings,real</t>
  </si>
  <si>
    <t>DEU</t>
  </si>
  <si>
    <t>France</t>
  </si>
  <si>
    <t>Institut National de la Statistique et des Etudes Economiques\Haver Analytics</t>
  </si>
  <si>
    <t>France: GDP: Gross Fixed Capital Formation: Total - GFCF: Public Administration - GFCF: Households excl Sole Proprietorships (SA/WDA, Mil.Chn.2010.Euros)</t>
  </si>
  <si>
    <t>FRA</t>
  </si>
  <si>
    <t>Italy</t>
  </si>
  <si>
    <t>Statistical Office of the European Communities\Istituto Nazionale di Statistica\Haver Analytics</t>
  </si>
  <si>
    <t>2010</t>
  </si>
  <si>
    <t>Investment, total fixed investment, real - Investment, private dwellings, real-Investment, government, real</t>
  </si>
  <si>
    <t>ITA</t>
  </si>
  <si>
    <t>Canada</t>
  </si>
  <si>
    <t>C$</t>
  </si>
  <si>
    <t>Statistics Canada\Haver Analytics</t>
  </si>
  <si>
    <t>V6E05737@CANADA/4+V6E05738@CANADA/4+V6E05736@CANADA/4</t>
  </si>
  <si>
    <t>CAN</t>
  </si>
  <si>
    <t>US</t>
  </si>
  <si>
    <t>Business investment history</t>
  </si>
  <si>
    <t>IPNR - UK vs G7</t>
  </si>
  <si>
    <t>G7 bottom</t>
  </si>
  <si>
    <t>Range of G7 exc. UK</t>
  </si>
  <si>
    <t>G7 top</t>
  </si>
  <si>
    <t>UNHSDC@UK</t>
  </si>
  <si>
    <t>Jan-1999</t>
  </si>
  <si>
    <t>UK: Banks Weighted Average Interest Rate, Other Loans to Nonfin Corps (%)</t>
  </si>
  <si>
    <t>Super deduction</t>
  </si>
  <si>
    <t>JUN007C</t>
  </si>
  <si>
    <t>JUN007C.db</t>
  </si>
  <si>
    <t>June 2021</t>
  </si>
  <si>
    <t>% of GDP</t>
  </si>
  <si>
    <t>202204</t>
  </si>
  <si>
    <t>20223</t>
  </si>
  <si>
    <t>20224</t>
  </si>
  <si>
    <t>20231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</si>
  <si>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</si>
  <si>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</si>
  <si>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</si>
  <si>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</si>
  <si>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</si>
  <si>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</si>
  <si>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</si>
  <si>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</si>
  <si>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</si>
  <si>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20232</t>
  </si>
  <si>
    <t>202302</t>
  </si>
  <si>
    <t>202303</t>
  </si>
  <si>
    <t>2023</t>
  </si>
  <si>
    <t>JUN008B</t>
  </si>
  <si>
    <t>JUN008B.db</t>
  </si>
  <si>
    <t>https://www.ons.gov.uk/economy/grossdomesticproductgdp/datasets/totalbusinessinvestmentandgeneralgovernmentdataexcludingbritishnuclearfuelsbnfl</t>
  </si>
  <si>
    <t>GDP! in 2022</t>
  </si>
  <si>
    <t>DLWOQ@UK</t>
  </si>
  <si>
    <t>Total business investment</t>
  </si>
  <si>
    <t>DLWLQ@UK</t>
  </si>
  <si>
    <t>DFEGQ@UK</t>
  </si>
  <si>
    <t>DLWTQ@UK</t>
  </si>
  <si>
    <t>EQDOQ@UK</t>
  </si>
  <si>
    <t>Q1-1955</t>
  </si>
  <si>
    <t>Investment by asset (Q4 2019=100)</t>
  </si>
  <si>
    <t>Dwellings</t>
  </si>
  <si>
    <t>20233</t>
  </si>
  <si>
    <t>202304</t>
  </si>
  <si>
    <t>202305</t>
  </si>
  <si>
    <t>202306</t>
  </si>
  <si>
    <t>202307</t>
  </si>
  <si>
    <t>202308</t>
  </si>
  <si>
    <t>20234</t>
  </si>
  <si>
    <t>20241</t>
  </si>
  <si>
    <t>202309</t>
  </si>
  <si>
    <t>202310</t>
  </si>
  <si>
    <t>202311</t>
  </si>
  <si>
    <t>chained 2017</t>
  </si>
  <si>
    <t>Real Private Nonresidential Fixed Investment (SAAR, Bil.Chn.2017$) / 4</t>
  </si>
  <si>
    <t>Canada: GDP: Busines GFCF: Machinery and Equipment (SAAR, Mil.Chn.2017.C$)/4 + Canada:GDP: Busines GFCF: Intellectual Property Products(SAARMil.Chn.2017.C$)/4+Canada: GDP: Busines GFCF: Nonresidential Structures (SAAR, Mil.Chn.2017.C$)/4</t>
  </si>
  <si>
    <t>Business investment &amp; ICT (Q1 2021=100)</t>
  </si>
  <si>
    <t>https://www.gov.uk/guidance/super-deduction</t>
  </si>
  <si>
    <t>ICT equipment and other machinery</t>
  </si>
  <si>
    <t>Business investment by industry (Diff vs Q1 2021, £bn)</t>
  </si>
  <si>
    <t>Other buildings &amp; structures</t>
  </si>
  <si>
    <t>UNHSDE@UK</t>
  </si>
  <si>
    <t>UK: Banks Weighted Avg Interest Rate, HH Loans Secured on Dwellings (%)</t>
  </si>
  <si>
    <t>R112RD@INTDAILY</t>
  </si>
  <si>
    <t>Jan-1953 &lt;- 01-Jan-1953</t>
  </si>
  <si>
    <t>United Kingdom: Official Bank Rate (%)</t>
  </si>
  <si>
    <t>202312</t>
  </si>
  <si>
    <t>Interest rates</t>
  </si>
  <si>
    <t>Bank Rate</t>
  </si>
  <si>
    <t>Non-financial corporations</t>
  </si>
  <si>
    <t>Secured household</t>
  </si>
  <si>
    <t>Interest rates - change since Bank Rate started to rise</t>
  </si>
  <si>
    <t>https://bankunderground.co.uk/2022/05/25/debt-and-investment-what-can-we-learn-from-smes-investment-behaviour-during-and-after-the-global-financial-crisis/</t>
  </si>
  <si>
    <t>Debt and investmet:</t>
  </si>
  <si>
    <t>https://bankunderground.co.uk/2021/09/28/weighed-down-by-debt-revisiting-the-link-between-corporate-debt-overhang-and-investment/</t>
  </si>
  <si>
    <t>Average hours of work per week</t>
  </si>
  <si>
    <t>Hours per week</t>
  </si>
  <si>
    <t>ONS\Haver Analytics</t>
  </si>
  <si>
    <t>YBUVQ@UK</t>
  </si>
  <si>
    <t>UK: LFS: Average Actual Weekly Hours Worked: All Workers (SA, Number)</t>
  </si>
  <si>
    <t>AVHR</t>
  </si>
  <si>
    <t>Thousands</t>
  </si>
  <si>
    <t>MGRZQ@UK</t>
  </si>
  <si>
    <t xml:space="preserve">UK: LFS: Employment: Aged 16 and Over (SA, Thous) </t>
  </si>
  <si>
    <t>ETILO</t>
  </si>
  <si>
    <t>Capital stock, real, LCU</t>
  </si>
  <si>
    <t>(MLR3A@UK-MLO9A@UK)*1000, interpolated</t>
  </si>
  <si>
    <t>(UK: Net Capital Stock at CVM: Assets (Bil.GBP)  - UK: Net Capital Stock at CVM: Dwellings excluding Land (Bil.GBP)) *1000, interpolated</t>
  </si>
  <si>
    <t>K</t>
  </si>
  <si>
    <t>Capital stock per hour worked</t>
  </si>
  <si>
    <t>Hours worked</t>
  </si>
  <si>
    <t>Pre-2008 trend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</si>
  <si>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</si>
  <si>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</si>
  <si>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</si>
  <si>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</si>
  <si>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</si>
  <si>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</si>
  <si>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</si>
  <si>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</si>
  <si>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</si>
  <si>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</si>
  <si>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</si>
  <si>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</si>
  <si>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</si>
  <si>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</si>
  <si>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</si>
  <si>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</si>
  <si>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</si>
  <si>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</si>
  <si>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</si>
  <si>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</si>
  <si>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</si>
  <si>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</si>
  <si>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</si>
  <si>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</si>
  <si>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</si>
  <si>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</si>
  <si>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</si>
  <si>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</si>
  <si>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</si>
  <si>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</si>
  <si>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</si>
  <si>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</si>
  <si>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</si>
  <si>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</si>
  <si>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</si>
  <si>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</si>
  <si>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</si>
  <si>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</si>
  <si>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</si>
  <si>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</si>
  <si>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</si>
  <si>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2016</t>
  </si>
  <si>
    <t>2017</t>
  </si>
  <si>
    <t>2018</t>
  </si>
  <si>
    <t>2020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</si>
  <si>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</si>
  <si>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</si>
  <si>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</si>
  <si>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</si>
  <si>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</si>
  <si>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</si>
  <si>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</si>
  <si>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</si>
  <si>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</si>
  <si>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</si>
  <si>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</si>
  <si>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</si>
  <si>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</si>
  <si>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</si>
  <si>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</si>
  <si>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</si>
  <si>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</si>
  <si>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</si>
  <si>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</si>
  <si>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</si>
  <si>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</si>
  <si>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</si>
  <si>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</si>
  <si>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</si>
  <si>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</si>
  <si>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</si>
  <si>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</si>
  <si>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Business investment by industry (cont to rise since Q1 2021)</t>
  </si>
  <si>
    <t>202401</t>
  </si>
  <si>
    <t>Q2-2024</t>
  </si>
  <si>
    <t>20242</t>
  </si>
  <si>
    <t>202402</t>
  </si>
  <si>
    <t>202403</t>
  </si>
  <si>
    <t>202404</t>
  </si>
  <si>
    <t>202405</t>
  </si>
  <si>
    <t>Sep-19-2024 12:17</t>
  </si>
  <si>
    <t>Q2-2024 &lt;- Aug-2024</t>
  </si>
  <si>
    <t>Jul-25-2024 11:00</t>
  </si>
  <si>
    <t>Q3-2024</t>
  </si>
  <si>
    <t>Aug-27-2024 11:00</t>
  </si>
  <si>
    <t>Aug-29-2024 00:01</t>
  </si>
  <si>
    <t>20243</t>
  </si>
  <si>
    <t>202406</t>
  </si>
  <si>
    <t>202407</t>
  </si>
  <si>
    <t>202408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</si>
  <si>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</si>
  <si>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</si>
  <si>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</si>
  <si>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</si>
  <si>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</si>
  <si>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</si>
  <si>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</si>
  <si>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</si>
  <si>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</si>
  <si>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</si>
  <si>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</si>
  <si>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</si>
  <si>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</si>
  <si>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</si>
  <si>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</si>
  <si>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</si>
  <si>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</si>
  <si>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</si>
  <si>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</si>
  <si>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</si>
  <si>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</si>
  <si>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</si>
  <si>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</si>
  <si>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</si>
  <si>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</si>
  <si>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</si>
  <si>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</si>
  <si>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</si>
  <si>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</si>
  <si>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</si>
  <si>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</si>
  <si>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</si>
  <si>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</si>
  <si>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</si>
  <si>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</si>
  <si>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</si>
  <si>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</si>
  <si>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</si>
  <si>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</si>
  <si>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</si>
  <si>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Investment, public corporations and asset transfer costs, real, LCU</t>
  </si>
  <si>
    <t>Net acquisition of financial assets, non-financial corporations, LCU</t>
  </si>
  <si>
    <t>Net acquisition of financial assets - corporations, LCU</t>
  </si>
  <si>
    <t>Employment, aged 16 and over, ILO definition</t>
  </si>
  <si>
    <t>Person</t>
  </si>
  <si>
    <t>Corporate gearing rate</t>
  </si>
  <si>
    <t>%</t>
  </si>
  <si>
    <t>100*ROCGQ@UK/CAERQ@UK</t>
  </si>
  <si>
    <t>100 * UK: IA: Pvt NFC: Uses: Interest (SA, Mil.GBP) / UK: Gross Operating Surplus: Private Nonfinancial Corporations (SA, Mil.Pounds)</t>
  </si>
  <si>
    <t>CGEAR</t>
  </si>
  <si>
    <t>M4 lending to PNFCs</t>
  </si>
  <si>
    <t>Bank of England \ Haver Analytics</t>
  </si>
  <si>
    <t>USBC57@UK</t>
  </si>
  <si>
    <t>UK: M4: MFI Lending to Private Nonfinancial Corporations (SA, Mil.GBP)</t>
  </si>
  <si>
    <t>MLPNFC</t>
  </si>
  <si>
    <t>Corporate borrowing rate, period average</t>
  </si>
  <si>
    <t>Oxford Economics calculation</t>
  </si>
  <si>
    <t>Weighted average of RCRED and RLOAN</t>
  </si>
  <si>
    <t>RCORP</t>
  </si>
  <si>
    <t>Cabinet Office of Japan\Haver Analytics</t>
  </si>
  <si>
    <t>chained 2020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</si>
  <si>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</si>
  <si>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</si>
  <si>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</si>
  <si>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</si>
  <si>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</si>
  <si>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</si>
  <si>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</si>
  <si>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</si>
  <si>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</si>
  <si>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</si>
  <si>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September 2024</t>
  </si>
  <si>
    <t>CAERQ@UK</t>
  </si>
  <si>
    <t>ROCGQ@UK</t>
  </si>
  <si>
    <t>Q1-1987</t>
  </si>
  <si>
    <t>UK: IA: Pvt NFC: Uses: Interest (SA, Mil.GBP)</t>
  </si>
  <si>
    <t>UK: Gross Operating Surplus: Private Nonfinancial Corporations (SA, Mil.Pounds)</t>
  </si>
  <si>
    <t>Actual CGEAR</t>
  </si>
  <si>
    <t>CGEAR forecast</t>
  </si>
  <si>
    <t>Business investment (LHS)</t>
  </si>
  <si>
    <t>Business investment &amp; corporate gearing rate</t>
  </si>
  <si>
    <t>Business investment &amp; corporate gearing rate (4qma)</t>
  </si>
  <si>
    <t>OCT003L</t>
  </si>
  <si>
    <t>OCT003L.db</t>
  </si>
  <si>
    <t>Table 1: Chained Volume Measure, Seasonally Adjusted (CVM SA) Levels (Quarterly]</t>
  </si>
  <si>
    <t>This worksheet contains 3 tables seperated by a blank row. Some cells refer to notes which can be found on the notes worksheet</t>
  </si>
  <si>
    <t>Time period column and title row</t>
  </si>
  <si>
    <t>Business Investment [note 1]</t>
  </si>
  <si>
    <t>Transport Equipment [note 2]</t>
  </si>
  <si>
    <t>ICT equipment and other machinery and equipment [note 3]</t>
  </si>
  <si>
    <t>Other buildings and structures [note 4]</t>
  </si>
  <si>
    <t>Intellectual Property Products [note 5]</t>
  </si>
  <si>
    <t>Series Identifier</t>
  </si>
  <si>
    <t xml:space="preserve">Table 2: CVM SA Growth (Quarter on Quarter) </t>
  </si>
  <si>
    <t>[NA]</t>
  </si>
  <si>
    <t xml:space="preserve">Table 3: CVM SA Growth (Quarter on Quarter 4) </t>
  </si>
  <si>
    <t>Table 1: General Government and Business investment data, excluding the British Nuclear Fuels (BNFL) adjustment in 2005 Q2.</t>
  </si>
  <si>
    <t>This worksheet contains one table.</t>
  </si>
  <si>
    <t>General Government CP NSA</t>
  </si>
  <si>
    <t>General Government CP SA</t>
  </si>
  <si>
    <t>General Government CVM NSA</t>
  </si>
  <si>
    <t>General Government CVM SA</t>
  </si>
  <si>
    <t>Business Investment CP NSA</t>
  </si>
  <si>
    <t>Business Investment CP SA</t>
  </si>
  <si>
    <t>Business Investment CVM NSA</t>
  </si>
  <si>
    <t>Business Investment CVM SA</t>
  </si>
  <si>
    <t>Series identifier</t>
  </si>
  <si>
    <t>Sep-30-2024 07:24</t>
  </si>
  <si>
    <t>UK: Gross Fixed Capital Formation: Business Investment  (SA, Mil.Chn.2022.GBP)</t>
  </si>
  <si>
    <t>UK: Gross Fixed Capital Formation: Total  (SA, Mil.Chn.2022.GBP)</t>
  </si>
  <si>
    <t>UK: Gross Fixed Capital Formation: Transport Equipment (SA, Mil.Chn.2022.GBP)</t>
  </si>
  <si>
    <t>UK: GDP: GFCF: Plant &amp; Machinery (SA, Mil.Chained.2022.Pounds)</t>
  </si>
  <si>
    <t>UK: Gross Fixed Capital Formation: Dwellings (SA, Mil.Chn.2022.GBP)</t>
  </si>
  <si>
    <t>UK: GFCF: Other Buildings &amp; Structures (SA, Mil.Chn.2022.GBP)</t>
  </si>
  <si>
    <t>UK: GDP: GFCF: All Intangible Fixed Assets (SA, Mil.Chained.2022.Pounds)</t>
  </si>
  <si>
    <t>Sep-30-2024 12:35</t>
  </si>
  <si>
    <t>UK: Capital Expenditures: Manufacturing: Total(SA, Mil.Chn.2022.GBP)</t>
  </si>
  <si>
    <t>UK: Capex: Pv Sector Non-Mfg: Other Production(SA, Mil.Chn.2022.GBP)</t>
  </si>
  <si>
    <t>UK: Capital Expenditures: Pv Sector Non-Mfg: Construction(SA, Mil.Chn.2022.GBP)</t>
  </si>
  <si>
    <t>UK: Capex: Pv Sector Non-Mfg: Distribution Services(SA, Mil.Chn.2022.GBP)</t>
  </si>
  <si>
    <t>UK: Business Inv: Pv Sector Non-Mfg: Oth Svcs: Total(SA, Mil.Chn.2022.GBP)</t>
  </si>
  <si>
    <t>UK: Capex: Non-Mfg: Total Public Corporations(SA, Mil.Chn.2022.GBP)</t>
  </si>
  <si>
    <t>UK: GFCF: Private Sector Non-Mfg: Hotels &amp; Restaurants (SA, Mil.Chn.2022.GBP)</t>
  </si>
  <si>
    <t>UK: GFCF: Pv Sector Non-Mfg: Financial Intermediation (SA, Mil.Chn.2022.GBP)</t>
  </si>
  <si>
    <t>UK: GFCF: Private Sector Non-Mfg: Transp &amp; Storage (SA, Mil.Chn.2022.GBP)</t>
  </si>
  <si>
    <t>UK: GFCF: Pv Sector Non-Mfg: Information &amp; Communication (SA, Mil.Chn.2022.GBP)</t>
  </si>
  <si>
    <t>UK: GFCF: Pv Sec Non-Mfg: Real Estate, Renting &amp; Business (SA, Mil.Chn.2022.GBP)</t>
  </si>
  <si>
    <t>UK: GFCF: Private Sector Non-Mfg: Education (SA, Mil.Chn.2022.GBP)</t>
  </si>
  <si>
    <t>UK: GFCF: Pv Sec Non-Mfg: Health &amp; Social Work (SA, Mil.Chn.2022.GBP)</t>
  </si>
  <si>
    <t>UK: GFCF: Private Sector Non-Mfg: Other Services (SA, Mil.Chn.2022.GBP)</t>
  </si>
  <si>
    <t>Sep-30-2024 11:08</t>
  </si>
  <si>
    <t>Sep-30-2024 07:23</t>
  </si>
  <si>
    <t>Sep-30-2024 09:42</t>
  </si>
  <si>
    <t>Aug-2024</t>
  </si>
  <si>
    <t>Sep-30-2024 09:33</t>
  </si>
  <si>
    <t>Sep-30-2024 10:41</t>
  </si>
  <si>
    <t>202409</t>
  </si>
  <si>
    <t>SEP017K</t>
  </si>
  <si>
    <t>SEP017K.db</t>
  </si>
  <si>
    <t>Business investment historical revisions</t>
  </si>
  <si>
    <t>2022 = 100</t>
  </si>
  <si>
    <t>October 2024</t>
  </si>
  <si>
    <t>Q4 2019= 100</t>
  </si>
  <si>
    <t>All firms</t>
  </si>
  <si>
    <t>Corporate debt servicing costs (RHS)</t>
  </si>
  <si>
    <t>GFC</t>
  </si>
  <si>
    <t>Covid</t>
  </si>
  <si>
    <t>UNVWLK@UK</t>
  </si>
  <si>
    <t>UK: MFIs Liabs: Strlng Deps: Pvt Nonfinancial Corp: Amt Outs(EOP, NSA, Mil.GBP)</t>
  </si>
  <si>
    <t>UNVAP9@UK</t>
  </si>
  <si>
    <t>Oct-2017</t>
  </si>
  <si>
    <t>UK: BoE Agents' Survey: Profit Margins (NSA, % Bal)</t>
  </si>
  <si>
    <t>Business investment by industry (cont to change since Q4 2019)</t>
  </si>
  <si>
    <t>Q2 2024 vs Q4 2019</t>
  </si>
  <si>
    <t>Business investment by industry (cont to change since 2016)</t>
  </si>
  <si>
    <t>ICT equipment &amp; oth. machinery</t>
  </si>
  <si>
    <t>Hiking cycle</t>
  </si>
  <si>
    <t>Cutting cycle</t>
  </si>
  <si>
    <t>Assuming 2016-2019 trend had continued</t>
  </si>
  <si>
    <t>UCBICEYN@UK</t>
  </si>
  <si>
    <t>UCBICEYS@UK</t>
  </si>
  <si>
    <t>UCBICEYE@UK</t>
  </si>
  <si>
    <t>UCBICEYF@UK</t>
  </si>
  <si>
    <t>UCBICEYD@UK</t>
  </si>
  <si>
    <t>UCBICEYL@UK</t>
  </si>
  <si>
    <t>UCBICEYO@UK</t>
  </si>
  <si>
    <t>UCBSBFI@UK</t>
  </si>
  <si>
    <t>UCBSBFS@UK</t>
  </si>
  <si>
    <t>UCBSBFN@UK</t>
  </si>
  <si>
    <t>UCBSBFC@UK</t>
  </si>
  <si>
    <t>UCBSBFU@UK</t>
  </si>
  <si>
    <t>UCBSBFH@UK</t>
  </si>
  <si>
    <t>UCBSBFO@UK</t>
  </si>
  <si>
    <t>UCBSCFI@UK</t>
  </si>
  <si>
    <t>UCBSCFS@UK</t>
  </si>
  <si>
    <t>UCBSCFN@UK</t>
  </si>
  <si>
    <t>UCBSCFC@UK</t>
  </si>
  <si>
    <t>UCBSCFU@UK</t>
  </si>
  <si>
    <t>UCBSCFH@UK</t>
  </si>
  <si>
    <t>UCBSCFO@UK</t>
  </si>
  <si>
    <t>Oct-08-2024 00:04</t>
  </si>
  <si>
    <t>Q4-1979</t>
  </si>
  <si>
    <t>UK: CBI Ind Trends: Limits to Cap Exp: Inadequate Net Return Over Nxt Yr(% Bal)</t>
  </si>
  <si>
    <t>UK: CBI Ind Trend: Limit to Cap Expend: Internal Fin Shortage Over Nxt Yr(% Bal)</t>
  </si>
  <si>
    <t>UK: CBI Ind Trends: Limit to Cap Expend: Unable to Raise Fin Over Next Yr(% Bal)</t>
  </si>
  <si>
    <t>UK: CBI Ind Trends: Limits to Cap Exp: Cost of Finance Over Next Yr (% Bal)</t>
  </si>
  <si>
    <t>UK: CBI Ind Trends: Limit to Cap Exp: Uncertainty Abt Demand Ovr Nxt Yr(% Bal)</t>
  </si>
  <si>
    <t>UK: CBI Ind Trends: Limits to Cap Exp: Labor Shortage Over Next Yr (% Bal)</t>
  </si>
  <si>
    <t>UK: CBI Ind Trends: Other Limits to Capital Expenditure Over Next Yr(% Bal)</t>
  </si>
  <si>
    <t>UK: Svce Sector:Limit Cap Exp Next 12 Ms: Inadequate Net Return: Business(% Bal)</t>
  </si>
  <si>
    <t>UK: Svce Sector:Limit Cap Exp Next 12 Mo: Internal Finan Shortge:Business(% Bal)</t>
  </si>
  <si>
    <t>UK: Svce Sector:Limit Cap Exp Next 12 Mths: Insuff Ex Finance: Business (% Bal)</t>
  </si>
  <si>
    <t>UK: Service Sector: Limit Cap Exp Next 12 Mos: Cost of Finance: Business (% Bal)</t>
  </si>
  <si>
    <t>UK: Svce Sector:Limit Cap Exp Next 12 Mths: Demand/Sales Uncertain: Bus (% Bal)</t>
  </si>
  <si>
    <t>UK: Service Sector: Limit Cap Exp Next 12 Mos: Labor Shortage: Business (% Bal)</t>
  </si>
  <si>
    <t>UK: Svce Sector: Limit Cap Exp Next 12 Months: Other Reasons: Business (% Bal)</t>
  </si>
  <si>
    <t>UK: Svce Sector:Limit Cap Exp Next 12 Mos: Inadequate Net Return: Consumer(%)</t>
  </si>
  <si>
    <t>UK: Svce Sector:Limit Cap Exp Next 12 Mo: Internal Finan Shortge:Consumer(%)</t>
  </si>
  <si>
    <t>UK: Svce Sector:Limit Cap Exp Next 12 Mo: Insuff External Finance: Consumer(%)</t>
  </si>
  <si>
    <t>UK: Service Sector: Limit Cap Exp Next 12 Mos: Cost of Finance: Consumer (%)</t>
  </si>
  <si>
    <t>UK: Svce Sector:Limit Cap Exp Next 12 Mo: Demand/Sales Uncertain: Consumer(%)</t>
  </si>
  <si>
    <t>UK: Service Sector: Limit Cap Exp Next 12 Mos: Labor Shortage: Consumer (%)</t>
  </si>
  <si>
    <t>UK: Service Sector: Limit Cap Exp Next 12 Months: Other Reasons: Consumer (%)</t>
  </si>
  <si>
    <t>Av since 2000</t>
  </si>
  <si>
    <t>St dev</t>
  </si>
  <si>
    <t>CBI surveys - constraints on investment</t>
  </si>
  <si>
    <t>Z scores</t>
  </si>
  <si>
    <t>Labour Shortage</t>
  </si>
  <si>
    <t>Demand uncertainty</t>
  </si>
  <si>
    <t>Cost of finance</t>
  </si>
  <si>
    <t>Unable to raise finance</t>
  </si>
  <si>
    <t>Inadequate net return</t>
  </si>
  <si>
    <t>Internal finance shortage</t>
  </si>
  <si>
    <t>Consumer services</t>
  </si>
  <si>
    <t>Business investment forecast</t>
  </si>
  <si>
    <t>Business &amp; professional services</t>
  </si>
  <si>
    <t>UNOC3P27@UK</t>
  </si>
  <si>
    <t>UNOC3F27@UK</t>
  </si>
  <si>
    <t>Oct-10-2024 09:34</t>
  </si>
  <si>
    <t>Q2-2007</t>
  </si>
  <si>
    <t>UK: BoE Srvy: Corp Credit Demand Factor: Capital Investment, Past 3 Mos(0+=incr)</t>
  </si>
  <si>
    <t>UK: BoE Srvy: Corp Credit Demand Factor: Capital Investment, Next 3 Mos(0+=incr)</t>
  </si>
  <si>
    <t>Oct-15-2024 13:54</t>
  </si>
  <si>
    <t>Sep-2024 &lt;- 15-Oct-2024</t>
  </si>
  <si>
    <t>Business investment &amp; expected loan growth</t>
  </si>
  <si>
    <t>Expected change in loan demand due to investment (LHS)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</si>
</sst>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\ 000"/>
    <numFmt numFmtId="166" formatCode="###0.0;\-###0.0;0.0;@"/>
    <numFmt numFmtId="167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0000"/>
      <name val="Calibri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</fills>
  <borders count="6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8">
    <xf numFmtId="0" fontId="0" fillId="0" borderId="0"/>
    <xf numFmtId="0" fontId="3" fillId="0" borderId="0"/>
    <xf numFmtId="0" fontId="2" fillId="0" borderId="0"/>
    <xf numFmtId="0" fontId="6" fillId="0" borderId="0"/>
    <xf numFmtId="0" fontId="9" fillId="0" borderId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0"/>
  </cellStyleXfs>
  <cellXfs count="55">
    <xf numFmtId="0" fontId="0" fillId="0" borderId="0" xfId="0"/>
    <xf numFmtId="0" fontId="0" fillId="0" borderId="0" xfId="0" applyFill="1"/>
    <xf numFmtId="0" fontId="0" fillId="0" borderId="0" xfId="0" quotePrefix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165" fontId="0" fillId="2" borderId="0" xfId="0" applyNumberFormat="1" applyFill="1"/>
    <xf numFmtId="165" fontId="0" fillId="2" borderId="1" xfId="0" applyNumberFormat="1" applyFill="1" applyBorder="1"/>
    <xf numFmtId="165" fontId="0" fillId="2" borderId="2" xfId="0" applyNumberFormat="1" applyFill="1" applyBorder="1"/>
    <xf numFmtId="0" fontId="0" fillId="2" borderId="0" xfId="0" applyFill="1" applyAlignment="1">
      <alignment horizontal="left"/>
    </xf>
    <xf numFmtId="0" fontId="3" fillId="0" borderId="0" xfId="1"/>
    <xf numFmtId="0" fontId="3" fillId="3" borderId="3" xfId="1" applyFill="1" applyBorder="1"/>
    <xf numFmtId="0" fontId="4" fillId="4" borderId="3" xfId="1" applyFont="1" applyFill="1" applyBorder="1" applyAlignment="1">
      <alignment horizontal="left" wrapText="1"/>
    </xf>
    <xf numFmtId="0" fontId="3" fillId="3" borderId="3" xfId="1" quotePrefix="1" applyFill="1" applyBorder="1"/>
    <xf numFmtId="166" fontId="3" fillId="3" borderId="3" xfId="1" applyNumberFormat="1" applyFill="1" applyBorder="1"/>
    <xf numFmtId="166" fontId="5" fillId="3" borderId="3" xfId="1" applyNumberFormat="1" applyFont="1" applyFill="1" applyBorder="1"/>
    <xf numFmtId="0" fontId="2" fillId="0" borderId="0" xfId="2"/>
    <xf numFmtId="0" fontId="0" fillId="0" borderId="0" xfId="2" applyFont="1"/>
    <xf numFmtId="0" fontId="2" fillId="0" borderId="0" xfId="2" applyAlignment="1">
      <alignment horizontal="right"/>
    </xf>
    <xf numFmtId="2" fontId="0" fillId="0" borderId="0" xfId="0" applyNumberFormat="1"/>
    <xf numFmtId="0" fontId="0" fillId="0" borderId="0" xfId="0" applyNumberFormat="1"/>
    <xf numFmtId="0" fontId="6" fillId="0" borderId="0" xfId="3"/>
    <xf numFmtId="0" fontId="8" fillId="0" borderId="0" xfId="3" applyFont="1" applyAlignment="1">
      <alignment horizontal="center"/>
    </xf>
    <xf numFmtId="1" fontId="6" fillId="0" borderId="0" xfId="3" applyNumberFormat="1"/>
    <xf numFmtId="17" fontId="0" fillId="0" borderId="0" xfId="0" applyNumberFormat="1"/>
    <xf numFmtId="17" fontId="0" fillId="0" borderId="0" xfId="0" quotePrefix="1" applyNumberFormat="1"/>
    <xf numFmtId="0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0" fillId="0" borderId="0" xfId="0" quotePrefix="1" applyNumberForma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67" fontId="0" fillId="0" borderId="0" xfId="0" applyNumberFormat="1"/>
    <xf numFmtId="14" fontId="0" fillId="0" borderId="0" xfId="0" applyNumberFormat="1"/>
    <xf numFmtId="0" fontId="9" fillId="0" borderId="0" xfId="4"/>
    <xf numFmtId="0" fontId="9" fillId="3" borderId="3" xfId="4" applyFill="1" applyBorder="1"/>
    <xf numFmtId="0" fontId="9" fillId="3" borderId="3" xfId="4" quotePrefix="1" applyFill="1" applyBorder="1"/>
    <xf numFmtId="166" fontId="9" fillId="3" borderId="3" xfId="4" applyNumberFormat="1" applyFill="1" applyBorder="1"/>
    <xf numFmtId="166" fontId="5" fillId="3" borderId="3" xfId="4" applyNumberFormat="1" applyFont="1" applyFill="1" applyBorder="1"/>
    <xf numFmtId="0" fontId="10" fillId="0" borderId="0" xfId="0" applyFont="1"/>
    <xf numFmtId="0" fontId="5" fillId="0" borderId="0" xfId="1" applyFont="1"/>
    <xf numFmtId="0" fontId="5" fillId="0" borderId="0" xfId="4" applyFont="1"/>
    <xf numFmtId="0" fontId="14" fillId="0" borderId="0" xfId="5" applyFont="1" applyFill="1" applyBorder="1"/>
    <xf numFmtId="0" fontId="15" fillId="0" borderId="0" xfId="0" applyFont="1" applyAlignment="1">
      <alignment vertical="top"/>
    </xf>
    <xf numFmtId="0" fontId="6" fillId="0" borderId="0" xfId="0" applyFont="1"/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4" fillId="0" borderId="0" xfId="5" applyFont="1" applyBorder="1"/>
    <xf numFmtId="0" fontId="15" fillId="0" borderId="0" xfId="0" applyFont="1"/>
    <xf numFmtId="0" fontId="7" fillId="0" borderId="0" xfId="0" applyFont="1" applyAlignment="1">
      <alignment vertical="top"/>
    </xf>
    <xf numFmtId="0" fontId="18" fillId="0" borderId="0" xfId="6" applyFont="1" applyBorder="1" applyAlignment="1">
      <alignment horizontal="left" vertical="top" wrapText="1"/>
    </xf>
    <xf numFmtId="0" fontId="18" fillId="0" borderId="0" xfId="6" applyFont="1" applyBorder="1" applyAlignment="1">
      <alignment horizontal="left" vertical="top"/>
    </xf>
  </cellXfs>
  <cellStyles count="8">
    <cellStyle name="Heading 1" xfId="5" builtinId="16"/>
    <cellStyle name="Heading 2" xfId="6" builtinId="17"/>
    <cellStyle name="Normal" xfId="0" builtinId="0"/>
    <cellStyle name="Normal 2" xfId="1" xr:uid="{30D2D7FC-1AAA-4BD0-819D-79454F445657}"/>
    <cellStyle name="Normal 2 5" xfId="2" xr:uid="{7ED22F5D-5C7B-4F5A-80AE-E71944B6CFC3}"/>
    <cellStyle name="Normal 3" xfId="3" xr:uid="{FD78D3CB-A01D-4936-8833-93D2535B7264}"/>
    <cellStyle name="Normal 4" xfId="4" xr:uid="{D07D9CFD-A3B9-476D-8228-A6DCD4D219DA}"/>
    <cellStyle name="Normal 5" xfId="7" xr:uid="{603B9D29-00F0-4D9D-AC4E-1E5319035DE2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3.xml"/><Relationship Id="rId18" Type="http://schemas.openxmlformats.org/officeDocument/2006/relationships/worksheet" Target="worksheets/sheet8.xml"/><Relationship Id="rId26" Type="http://schemas.openxmlformats.org/officeDocument/2006/relationships/chartsheet" Target="chartsheets/sheet14.xml"/><Relationship Id="rId39" Type="http://schemas.openxmlformats.org/officeDocument/2006/relationships/chartsheet" Target="chartsheets/sheet27.xml"/><Relationship Id="rId21" Type="http://schemas.openxmlformats.org/officeDocument/2006/relationships/worksheet" Target="worksheets/sheet11.xml"/><Relationship Id="rId34" Type="http://schemas.openxmlformats.org/officeDocument/2006/relationships/chartsheet" Target="chartsheets/sheet22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6.xml"/><Relationship Id="rId29" Type="http://schemas.openxmlformats.org/officeDocument/2006/relationships/chartsheet" Target="chartsheets/sheet17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12.xml"/><Relationship Id="rId32" Type="http://schemas.openxmlformats.org/officeDocument/2006/relationships/chartsheet" Target="chartsheets/sheet20.xml"/><Relationship Id="rId37" Type="http://schemas.openxmlformats.org/officeDocument/2006/relationships/chartsheet" Target="chartsheets/sheet25.xml"/><Relationship Id="rId40" Type="http://schemas.openxmlformats.org/officeDocument/2006/relationships/chartsheet" Target="chartsheets/sheet28.xml"/><Relationship Id="rId45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5.xml"/><Relationship Id="rId23" Type="http://schemas.openxmlformats.org/officeDocument/2006/relationships/chartsheet" Target="chartsheets/sheet11.xml"/><Relationship Id="rId28" Type="http://schemas.openxmlformats.org/officeDocument/2006/relationships/chartsheet" Target="chartsheets/sheet16.xml"/><Relationship Id="rId36" Type="http://schemas.openxmlformats.org/officeDocument/2006/relationships/chartsheet" Target="chartsheets/sheet24.xml"/><Relationship Id="rId10" Type="http://schemas.openxmlformats.org/officeDocument/2006/relationships/chartsheet" Target="chartsheets/sheet9.xml"/><Relationship Id="rId19" Type="http://schemas.openxmlformats.org/officeDocument/2006/relationships/worksheet" Target="worksheets/sheet9.xml"/><Relationship Id="rId31" Type="http://schemas.openxmlformats.org/officeDocument/2006/relationships/chartsheet" Target="chartsheets/sheet19.xml"/><Relationship Id="rId44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worksheet" Target="worksheets/sheet4.xml"/><Relationship Id="rId22" Type="http://schemas.openxmlformats.org/officeDocument/2006/relationships/worksheet" Target="worksheets/sheet12.xml"/><Relationship Id="rId27" Type="http://schemas.openxmlformats.org/officeDocument/2006/relationships/chartsheet" Target="chartsheets/sheet15.xml"/><Relationship Id="rId30" Type="http://schemas.openxmlformats.org/officeDocument/2006/relationships/chartsheet" Target="chartsheets/sheet18.xml"/><Relationship Id="rId35" Type="http://schemas.openxmlformats.org/officeDocument/2006/relationships/chartsheet" Target="chartsheets/sheet23.xml"/><Relationship Id="rId43" Type="http://schemas.openxmlformats.org/officeDocument/2006/relationships/theme" Target="theme/theme1.xml"/><Relationship Id="rId8" Type="http://schemas.openxmlformats.org/officeDocument/2006/relationships/chartsheet" Target="chartsheets/sheet7.xml"/><Relationship Id="rId3" Type="http://schemas.openxmlformats.org/officeDocument/2006/relationships/chartsheet" Target="chartsheets/sheet2.xml"/><Relationship Id="rId12" Type="http://schemas.openxmlformats.org/officeDocument/2006/relationships/worksheet" Target="worksheets/sheet2.xml"/><Relationship Id="rId17" Type="http://schemas.openxmlformats.org/officeDocument/2006/relationships/worksheet" Target="worksheets/sheet7.xml"/><Relationship Id="rId25" Type="http://schemas.openxmlformats.org/officeDocument/2006/relationships/chartsheet" Target="chartsheets/sheet13.xml"/><Relationship Id="rId33" Type="http://schemas.openxmlformats.org/officeDocument/2006/relationships/chartsheet" Target="chartsheets/sheet21.xml"/><Relationship Id="rId38" Type="http://schemas.openxmlformats.org/officeDocument/2006/relationships/chartsheet" Target="chartsheets/sheet26.xml"/><Relationship Id="rId46" Type="http://schemas.openxmlformats.org/officeDocument/2006/relationships/sheetMetadata" Target="metadata.xml"/><Relationship Id="rId20" Type="http://schemas.openxmlformats.org/officeDocument/2006/relationships/worksheet" Target="worksheets/sheet10.xml"/><Relationship Id="rId41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8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6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8.xml"/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0.xml"/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2.xml"/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4.xml"/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6.xml"/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8.xml"/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0.xml"/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2.xml"/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4.xml"/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6.xml"/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8.xml"/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0.xml"/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2.xml"/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54.xml"/></Relationships>
</file>

<file path=xl/charts/_rels/chart2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6.xml"/><Relationship Id="rId1" Type="http://schemas.openxmlformats.org/officeDocument/2006/relationships/themeOverride" Target="../theme/themeOverrid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Data'!$G$4</c:f>
              <c:strCache>
                <c:ptCount val="1"/>
                <c:pt idx="0">
                  <c:v>Business investment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Data'!$F$45:$F$156</c:f>
              <c:numCache>
                <c:formatCode>General</c:formatCode>
                <c:ptCount val="112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  <c:pt idx="108">
                  <c:v>2027</c:v>
                </c:pt>
              </c:numCache>
            </c:numRef>
          </c:cat>
          <c:val>
            <c:numRef>
              <c:f>'Chart Data'!$G$45:$G$156</c:f>
              <c:numCache>
                <c:formatCode>0.0</c:formatCode>
                <c:ptCount val="112"/>
                <c:pt idx="0">
                  <c:v>3.2725918145510846</c:v>
                </c:pt>
                <c:pt idx="1">
                  <c:v>6.0573384994029755</c:v>
                </c:pt>
                <c:pt idx="2">
                  <c:v>5.2256732268532113</c:v>
                </c:pt>
                <c:pt idx="3">
                  <c:v>6.4966631457653135</c:v>
                </c:pt>
                <c:pt idx="4">
                  <c:v>5.3544079993850247</c:v>
                </c:pt>
                <c:pt idx="5">
                  <c:v>1.5313830123326211</c:v>
                </c:pt>
                <c:pt idx="6">
                  <c:v>2.0911644725173595</c:v>
                </c:pt>
                <c:pt idx="7">
                  <c:v>-0.42772853045099923</c:v>
                </c:pt>
                <c:pt idx="8">
                  <c:v>-2.0935297023034427</c:v>
                </c:pt>
                <c:pt idx="9">
                  <c:v>-3.0499499312615641</c:v>
                </c:pt>
                <c:pt idx="10">
                  <c:v>-4.4004079848462769</c:v>
                </c:pt>
                <c:pt idx="11">
                  <c:v>-1.83768181560926</c:v>
                </c:pt>
                <c:pt idx="12">
                  <c:v>1.4830484183492088</c:v>
                </c:pt>
                <c:pt idx="13">
                  <c:v>3.1068006489035183</c:v>
                </c:pt>
                <c:pt idx="14">
                  <c:v>2.6438277467084159</c:v>
                </c:pt>
                <c:pt idx="15">
                  <c:v>-1.1260183460848783</c:v>
                </c:pt>
                <c:pt idx="16">
                  <c:v>-4.9473238243185946</c:v>
                </c:pt>
                <c:pt idx="17">
                  <c:v>-6.0575018393797091</c:v>
                </c:pt>
                <c:pt idx="18">
                  <c:v>-5.7785443413898685</c:v>
                </c:pt>
                <c:pt idx="19">
                  <c:v>-3.7069216863957033</c:v>
                </c:pt>
                <c:pt idx="20">
                  <c:v>-2.0960735022315768</c:v>
                </c:pt>
                <c:pt idx="21">
                  <c:v>1.7540530282492028</c:v>
                </c:pt>
                <c:pt idx="22">
                  <c:v>4.2014692868139969</c:v>
                </c:pt>
                <c:pt idx="23">
                  <c:v>5.2415325828271797</c:v>
                </c:pt>
                <c:pt idx="24">
                  <c:v>8.1288697341264982</c:v>
                </c:pt>
                <c:pt idx="25">
                  <c:v>6.2815833177914504</c:v>
                </c:pt>
                <c:pt idx="26">
                  <c:v>6.5450135100154405</c:v>
                </c:pt>
                <c:pt idx="27">
                  <c:v>7.6780109155669019</c:v>
                </c:pt>
                <c:pt idx="28">
                  <c:v>7.3145401009928168</c:v>
                </c:pt>
                <c:pt idx="29">
                  <c:v>10.13770973995587</c:v>
                </c:pt>
                <c:pt idx="30">
                  <c:v>8.4117252035094801</c:v>
                </c:pt>
                <c:pt idx="31">
                  <c:v>8.7147040591667881</c:v>
                </c:pt>
                <c:pt idx="32">
                  <c:v>5.7407107098205179</c:v>
                </c:pt>
                <c:pt idx="33">
                  <c:v>2.1668538132378456</c:v>
                </c:pt>
                <c:pt idx="34">
                  <c:v>1.8074412795616723</c:v>
                </c:pt>
                <c:pt idx="35">
                  <c:v>-3.3867479355092378</c:v>
                </c:pt>
                <c:pt idx="36">
                  <c:v>-5.733791772825092</c:v>
                </c:pt>
                <c:pt idx="37">
                  <c:v>-10.672805584434874</c:v>
                </c:pt>
                <c:pt idx="38">
                  <c:v>-15.235188492112561</c:v>
                </c:pt>
                <c:pt idx="39">
                  <c:v>-16.768252353090819</c:v>
                </c:pt>
                <c:pt idx="40">
                  <c:v>-15.00590411713768</c:v>
                </c:pt>
                <c:pt idx="41">
                  <c:v>-10.252615943956723</c:v>
                </c:pt>
                <c:pt idx="42">
                  <c:v>-3.9134443679314623</c:v>
                </c:pt>
                <c:pt idx="43">
                  <c:v>4.2526529414641301</c:v>
                </c:pt>
                <c:pt idx="44">
                  <c:v>5.833827306856354</c:v>
                </c:pt>
                <c:pt idx="45">
                  <c:v>8.2447678978342829</c:v>
                </c:pt>
                <c:pt idx="46">
                  <c:v>8.5957048805966441</c:v>
                </c:pt>
                <c:pt idx="47">
                  <c:v>5.930260511641805</c:v>
                </c:pt>
                <c:pt idx="48">
                  <c:v>9.3698949824970725</c:v>
                </c:pt>
                <c:pt idx="49">
                  <c:v>8.2426233997398448</c:v>
                </c:pt>
                <c:pt idx="50">
                  <c:v>6.6877324459606813</c:v>
                </c:pt>
                <c:pt idx="51">
                  <c:v>7.0385192319401213</c:v>
                </c:pt>
                <c:pt idx="52">
                  <c:v>2.8438066787581429</c:v>
                </c:pt>
                <c:pt idx="53">
                  <c:v>2.927813969177584</c:v>
                </c:pt>
                <c:pt idx="54">
                  <c:v>4.4652264852198753</c:v>
                </c:pt>
                <c:pt idx="55">
                  <c:v>3.5944957828926594</c:v>
                </c:pt>
                <c:pt idx="56">
                  <c:v>5.7362636222645147</c:v>
                </c:pt>
                <c:pt idx="57">
                  <c:v>5.7699693271953567</c:v>
                </c:pt>
                <c:pt idx="58">
                  <c:v>4.3215359216382865</c:v>
                </c:pt>
                <c:pt idx="59">
                  <c:v>5.4904407727250026</c:v>
                </c:pt>
                <c:pt idx="60">
                  <c:v>6.563649742457689</c:v>
                </c:pt>
                <c:pt idx="61">
                  <c:v>7.1917891118588262</c:v>
                </c:pt>
                <c:pt idx="62">
                  <c:v>8.3908549109397601</c:v>
                </c:pt>
                <c:pt idx="63">
                  <c:v>9.3560278049865442</c:v>
                </c:pt>
                <c:pt idx="64">
                  <c:v>8.0997099848087331</c:v>
                </c:pt>
                <c:pt idx="65">
                  <c:v>8.3641208617496901</c:v>
                </c:pt>
                <c:pt idx="66">
                  <c:v>9.3455579864824667</c:v>
                </c:pt>
                <c:pt idx="67">
                  <c:v>6.7944318717790164</c:v>
                </c:pt>
                <c:pt idx="68">
                  <c:v>5.2524220163951973</c:v>
                </c:pt>
                <c:pt idx="69">
                  <c:v>3.1096699440251063</c:v>
                </c:pt>
                <c:pt idx="70">
                  <c:v>-0.52760596762934098</c:v>
                </c:pt>
                <c:pt idx="71">
                  <c:v>-0.25891095327041924</c:v>
                </c:pt>
                <c:pt idx="72">
                  <c:v>-0.68498415999417306</c:v>
                </c:pt>
                <c:pt idx="73">
                  <c:v>-1.4547879865798974</c:v>
                </c:pt>
                <c:pt idx="74">
                  <c:v>-0.76337435127460385</c:v>
                </c:pt>
                <c:pt idx="75">
                  <c:v>-1.6720560276888619</c:v>
                </c:pt>
                <c:pt idx="76">
                  <c:v>-1.4498953011822358</c:v>
                </c:pt>
                <c:pt idx="77">
                  <c:v>9.9265354340394296E-2</c:v>
                </c:pt>
                <c:pt idx="78">
                  <c:v>1.0792476102374327</c:v>
                </c:pt>
                <c:pt idx="79">
                  <c:v>2.1731226864093012</c:v>
                </c:pt>
                <c:pt idx="80">
                  <c:v>1.9838202284348849</c:v>
                </c:pt>
                <c:pt idx="81">
                  <c:v>-4.3260542631529342</c:v>
                </c:pt>
                <c:pt idx="82">
                  <c:v>-7.970713849908484</c:v>
                </c:pt>
                <c:pt idx="83">
                  <c:v>-10.219240784770411</c:v>
                </c:pt>
                <c:pt idx="84">
                  <c:v>-12.744724489878646</c:v>
                </c:pt>
                <c:pt idx="85">
                  <c:v>-3.9301684113142277</c:v>
                </c:pt>
                <c:pt idx="86">
                  <c:v>0.14762169950586213</c:v>
                </c:pt>
                <c:pt idx="87">
                  <c:v>1.7817010831625568</c:v>
                </c:pt>
                <c:pt idx="88">
                  <c:v>7.3407536792032158</c:v>
                </c:pt>
                <c:pt idx="89">
                  <c:v>4.0619705751226087</c:v>
                </c:pt>
                <c:pt idx="90">
                  <c:v>4.7275230815400748</c:v>
                </c:pt>
                <c:pt idx="91">
                  <c:v>5.9201472625016072</c:v>
                </c:pt>
                <c:pt idx="92">
                  <c:v>5.1426865051543702</c:v>
                </c:pt>
                <c:pt idx="93">
                  <c:v>4.8660945713783876</c:v>
                </c:pt>
                <c:pt idx="94">
                  <c:v>2.8984407922461042</c:v>
                </c:pt>
                <c:pt idx="95">
                  <c:v>2.7493002464803462</c:v>
                </c:pt>
                <c:pt idx="96">
                  <c:v>0.77794104935604569</c:v>
                </c:pt>
                <c:pt idx="97">
                  <c:v>6.8636142648781373E-2</c:v>
                </c:pt>
                <c:pt idx="98">
                  <c:v>1.2895305883412922</c:v>
                </c:pt>
                <c:pt idx="99">
                  <c:v>1.3763920455700518</c:v>
                </c:pt>
                <c:pt idx="100">
                  <c:v>2.6694930137763917</c:v>
                </c:pt>
                <c:pt idx="101">
                  <c:v>3.3189350731004152</c:v>
                </c:pt>
                <c:pt idx="102">
                  <c:v>3.0713175990870312</c:v>
                </c:pt>
                <c:pt idx="103">
                  <c:v>3.0929076698634761</c:v>
                </c:pt>
                <c:pt idx="104">
                  <c:v>3.2005295992886484</c:v>
                </c:pt>
                <c:pt idx="105">
                  <c:v>3.4716989184257363</c:v>
                </c:pt>
                <c:pt idx="106">
                  <c:v>3.6315013470345159</c:v>
                </c:pt>
                <c:pt idx="107">
                  <c:v>3.6241870632795159</c:v>
                </c:pt>
                <c:pt idx="108">
                  <c:v>3.4458599980749405</c:v>
                </c:pt>
                <c:pt idx="109">
                  <c:v>3.1765310175213557</c:v>
                </c:pt>
                <c:pt idx="110">
                  <c:v>2.9187963818824381</c:v>
                </c:pt>
                <c:pt idx="111">
                  <c:v>2.7002496472025461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D-47AE-9243-C8E30621F826}"/>
            </c:ext>
          </c:extLst>
        </c:ser>
        <c:ser>
          <c:idx val="2"/>
          <c:order val="2"/>
          <c:tx>
            <c:strRef>
              <c:f>'Chart Data'!$D$4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val>
            <c:numRef>
              <c:f>'Chart Data'!$D$45:$D$156</c:f>
              <c:numCache>
                <c:formatCode>0.0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0-47C0-91F4-22FA3F357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Data'!$H$4</c:f>
              <c:strCache>
                <c:ptCount val="1"/>
                <c:pt idx="0">
                  <c:v>Corporate debt servicing costs (RHS)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Data'!$A$5:$A$156</c:f>
              <c:numCache>
                <c:formatCode>General</c:formatCode>
                <c:ptCount val="152"/>
                <c:pt idx="0">
                  <c:v>1990</c:v>
                </c:pt>
                <c:pt idx="4">
                  <c:v>1991</c:v>
                </c:pt>
                <c:pt idx="8">
                  <c:v>1992</c:v>
                </c:pt>
                <c:pt idx="12">
                  <c:v>1993</c:v>
                </c:pt>
                <c:pt idx="16">
                  <c:v>1994</c:v>
                </c:pt>
                <c:pt idx="20">
                  <c:v>1995</c:v>
                </c:pt>
                <c:pt idx="24">
                  <c:v>1996</c:v>
                </c:pt>
                <c:pt idx="28">
                  <c:v>1997</c:v>
                </c:pt>
                <c:pt idx="32">
                  <c:v>1998</c:v>
                </c:pt>
                <c:pt idx="36">
                  <c:v>1999</c:v>
                </c:pt>
                <c:pt idx="40">
                  <c:v>2000</c:v>
                </c:pt>
                <c:pt idx="44">
                  <c:v>2001</c:v>
                </c:pt>
                <c:pt idx="48">
                  <c:v>2002</c:v>
                </c:pt>
                <c:pt idx="52">
                  <c:v>2003</c:v>
                </c:pt>
                <c:pt idx="56">
                  <c:v>2004</c:v>
                </c:pt>
                <c:pt idx="60">
                  <c:v>2005</c:v>
                </c:pt>
                <c:pt idx="64">
                  <c:v>2006</c:v>
                </c:pt>
                <c:pt idx="68">
                  <c:v>2007</c:v>
                </c:pt>
                <c:pt idx="72">
                  <c:v>2008</c:v>
                </c:pt>
                <c:pt idx="76">
                  <c:v>2009</c:v>
                </c:pt>
                <c:pt idx="80">
                  <c:v>2010</c:v>
                </c:pt>
                <c:pt idx="84">
                  <c:v>2011</c:v>
                </c:pt>
                <c:pt idx="88">
                  <c:v>2012</c:v>
                </c:pt>
                <c:pt idx="92">
                  <c:v>2013</c:v>
                </c:pt>
                <c:pt idx="96">
                  <c:v>2014</c:v>
                </c:pt>
                <c:pt idx="100">
                  <c:v>2015</c:v>
                </c:pt>
                <c:pt idx="104">
                  <c:v>2016</c:v>
                </c:pt>
                <c:pt idx="108">
                  <c:v>2017</c:v>
                </c:pt>
                <c:pt idx="112">
                  <c:v>2018</c:v>
                </c:pt>
                <c:pt idx="116">
                  <c:v>2019</c:v>
                </c:pt>
                <c:pt idx="120">
                  <c:v>2020</c:v>
                </c:pt>
                <c:pt idx="124">
                  <c:v>2021</c:v>
                </c:pt>
                <c:pt idx="128">
                  <c:v>2022</c:v>
                </c:pt>
                <c:pt idx="132">
                  <c:v>2023</c:v>
                </c:pt>
                <c:pt idx="136">
                  <c:v>2024</c:v>
                </c:pt>
                <c:pt idx="140">
                  <c:v>2025</c:v>
                </c:pt>
                <c:pt idx="144">
                  <c:v>2026</c:v>
                </c:pt>
                <c:pt idx="148">
                  <c:v>2027</c:v>
                </c:pt>
              </c:numCache>
            </c:numRef>
          </c:cat>
          <c:val>
            <c:numRef>
              <c:f>'Chart Data'!$H$45:$H$156</c:f>
              <c:numCache>
                <c:formatCode>0.0</c:formatCode>
                <c:ptCount val="112"/>
                <c:pt idx="0">
                  <c:v>17.127815701080351</c:v>
                </c:pt>
                <c:pt idx="1">
                  <c:v>17.789095511710251</c:v>
                </c:pt>
                <c:pt idx="2">
                  <c:v>18.892943018850598</c:v>
                </c:pt>
                <c:pt idx="3">
                  <c:v>19.934867447511042</c:v>
                </c:pt>
                <c:pt idx="4">
                  <c:v>21.281854510303049</c:v>
                </c:pt>
                <c:pt idx="5">
                  <c:v>21.345553775074581</c:v>
                </c:pt>
                <c:pt idx="6">
                  <c:v>21.109877147680347</c:v>
                </c:pt>
                <c:pt idx="7">
                  <c:v>20.172195653012754</c:v>
                </c:pt>
                <c:pt idx="8">
                  <c:v>19.197984739197047</c:v>
                </c:pt>
                <c:pt idx="9">
                  <c:v>18.694187675985969</c:v>
                </c:pt>
                <c:pt idx="10">
                  <c:v>18.048177386912357</c:v>
                </c:pt>
                <c:pt idx="11">
                  <c:v>17.78166378028002</c:v>
                </c:pt>
                <c:pt idx="12">
                  <c:v>17.199831246599395</c:v>
                </c:pt>
                <c:pt idx="13">
                  <c:v>16.538560680054566</c:v>
                </c:pt>
                <c:pt idx="14">
                  <c:v>15.970064378194436</c:v>
                </c:pt>
                <c:pt idx="15">
                  <c:v>15.842300521026447</c:v>
                </c:pt>
                <c:pt idx="16">
                  <c:v>16.304255875394624</c:v>
                </c:pt>
                <c:pt idx="17">
                  <c:v>16.773858952807274</c:v>
                </c:pt>
                <c:pt idx="18">
                  <c:v>17.485386555290699</c:v>
                </c:pt>
                <c:pt idx="19">
                  <c:v>17.914320920429397</c:v>
                </c:pt>
                <c:pt idx="20">
                  <c:v>17.977183676222833</c:v>
                </c:pt>
                <c:pt idx="21">
                  <c:v>18.416056117825526</c:v>
                </c:pt>
                <c:pt idx="22">
                  <c:v>18.599745816784591</c:v>
                </c:pt>
                <c:pt idx="23">
                  <c:v>18.836484073130165</c:v>
                </c:pt>
                <c:pt idx="24">
                  <c:v>19.263320715620559</c:v>
                </c:pt>
                <c:pt idx="25">
                  <c:v>19.344771560401725</c:v>
                </c:pt>
                <c:pt idx="26">
                  <c:v>19.912000486845233</c:v>
                </c:pt>
                <c:pt idx="27">
                  <c:v>21.130533526749183</c:v>
                </c:pt>
                <c:pt idx="28">
                  <c:v>22.164095977568046</c:v>
                </c:pt>
                <c:pt idx="29">
                  <c:v>22.921168811396132</c:v>
                </c:pt>
                <c:pt idx="30">
                  <c:v>23.810946912834879</c:v>
                </c:pt>
                <c:pt idx="31">
                  <c:v>24.015554144038866</c:v>
                </c:pt>
                <c:pt idx="32">
                  <c:v>24.026473087407517</c:v>
                </c:pt>
                <c:pt idx="33">
                  <c:v>24.359401611441093</c:v>
                </c:pt>
                <c:pt idx="34">
                  <c:v>23.782421373964215</c:v>
                </c:pt>
                <c:pt idx="35">
                  <c:v>23.653219647293923</c:v>
                </c:pt>
                <c:pt idx="36">
                  <c:v>21.435713060923355</c:v>
                </c:pt>
                <c:pt idx="37">
                  <c:v>19.091700196607373</c:v>
                </c:pt>
                <c:pt idx="38">
                  <c:v>16.644868332398591</c:v>
                </c:pt>
                <c:pt idx="39">
                  <c:v>13.881197304419597</c:v>
                </c:pt>
                <c:pt idx="40">
                  <c:v>12.55003962828833</c:v>
                </c:pt>
                <c:pt idx="41">
                  <c:v>11.622711969689412</c:v>
                </c:pt>
                <c:pt idx="42">
                  <c:v>10.762892178495694</c:v>
                </c:pt>
                <c:pt idx="43">
                  <c:v>10.100907705323909</c:v>
                </c:pt>
                <c:pt idx="44">
                  <c:v>9.6548171065508406</c:v>
                </c:pt>
                <c:pt idx="45">
                  <c:v>9.5074641383586691</c:v>
                </c:pt>
                <c:pt idx="46">
                  <c:v>9.6660836133527717</c:v>
                </c:pt>
                <c:pt idx="47">
                  <c:v>9.3274338992904546</c:v>
                </c:pt>
                <c:pt idx="48">
                  <c:v>9.7563699097964758</c:v>
                </c:pt>
                <c:pt idx="49">
                  <c:v>9.8149126199183971</c:v>
                </c:pt>
                <c:pt idx="50">
                  <c:v>9.7860957653701668</c:v>
                </c:pt>
                <c:pt idx="51">
                  <c:v>9.7605376075640216</c:v>
                </c:pt>
                <c:pt idx="52">
                  <c:v>9.6359136880330656</c:v>
                </c:pt>
                <c:pt idx="53">
                  <c:v>9.4579846487118964</c:v>
                </c:pt>
                <c:pt idx="54">
                  <c:v>9.2684777181071425</c:v>
                </c:pt>
                <c:pt idx="55">
                  <c:v>9.2843935382201934</c:v>
                </c:pt>
                <c:pt idx="56">
                  <c:v>9.0609197750987676</c:v>
                </c:pt>
                <c:pt idx="57">
                  <c:v>8.8584914582809233</c:v>
                </c:pt>
                <c:pt idx="58">
                  <c:v>8.6633676238766135</c:v>
                </c:pt>
                <c:pt idx="59">
                  <c:v>8.6703881684023258</c:v>
                </c:pt>
                <c:pt idx="60">
                  <c:v>8.2608908079965921</c:v>
                </c:pt>
                <c:pt idx="61">
                  <c:v>7.9045320541496791</c:v>
                </c:pt>
                <c:pt idx="62">
                  <c:v>7.7577262538511285</c:v>
                </c:pt>
                <c:pt idx="63">
                  <c:v>7.3712732826052783</c:v>
                </c:pt>
                <c:pt idx="64">
                  <c:v>7.4477548478822309</c:v>
                </c:pt>
                <c:pt idx="65">
                  <c:v>7.5208321518676229</c:v>
                </c:pt>
                <c:pt idx="66">
                  <c:v>7.3770474412179938</c:v>
                </c:pt>
                <c:pt idx="67">
                  <c:v>7.4834466350052775</c:v>
                </c:pt>
                <c:pt idx="68">
                  <c:v>7.158016636255673</c:v>
                </c:pt>
                <c:pt idx="69">
                  <c:v>6.8982519918084417</c:v>
                </c:pt>
                <c:pt idx="70">
                  <c:v>6.8350984936252264</c:v>
                </c:pt>
                <c:pt idx="71">
                  <c:v>6.4446153506842059</c:v>
                </c:pt>
                <c:pt idx="72">
                  <c:v>6.921530184847116</c:v>
                </c:pt>
                <c:pt idx="73">
                  <c:v>7.1349139641547694</c:v>
                </c:pt>
                <c:pt idx="74">
                  <c:v>7.4099168473519308</c:v>
                </c:pt>
                <c:pt idx="75">
                  <c:v>7.8772031389933925</c:v>
                </c:pt>
                <c:pt idx="76">
                  <c:v>7.8445710370182287</c:v>
                </c:pt>
                <c:pt idx="77">
                  <c:v>7.959971450459614</c:v>
                </c:pt>
                <c:pt idx="78">
                  <c:v>7.9310435977540994</c:v>
                </c:pt>
                <c:pt idx="79">
                  <c:v>7.5572921827124429</c:v>
                </c:pt>
                <c:pt idx="80">
                  <c:v>7.3946680420609701</c:v>
                </c:pt>
                <c:pt idx="81">
                  <c:v>7.1599584123807176</c:v>
                </c:pt>
                <c:pt idx="82">
                  <c:v>6.7688301128739532</c:v>
                </c:pt>
                <c:pt idx="83">
                  <c:v>6.7022225293369848</c:v>
                </c:pt>
                <c:pt idx="84">
                  <c:v>6.5274618914079019</c:v>
                </c:pt>
                <c:pt idx="85">
                  <c:v>6.2893327444798413</c:v>
                </c:pt>
                <c:pt idx="86">
                  <c:v>6.2103522440593775</c:v>
                </c:pt>
                <c:pt idx="87">
                  <c:v>5.9994885406248777</c:v>
                </c:pt>
                <c:pt idx="88">
                  <c:v>5.7103496852309235</c:v>
                </c:pt>
                <c:pt idx="89">
                  <c:v>5.6279752047528984</c:v>
                </c:pt>
                <c:pt idx="90">
                  <c:v>5.7606452291416268</c:v>
                </c:pt>
                <c:pt idx="91">
                  <c:v>6.1243267407960298</c:v>
                </c:pt>
                <c:pt idx="92">
                  <c:v>6.8665839330876075</c:v>
                </c:pt>
                <c:pt idx="93">
                  <c:v>7.8541043772484445</c:v>
                </c:pt>
                <c:pt idx="94">
                  <c:v>9.0583706605835062</c:v>
                </c:pt>
                <c:pt idx="95">
                  <c:v>10.161250088901891</c:v>
                </c:pt>
                <c:pt idx="96">
                  <c:v>10.950234447675815</c:v>
                </c:pt>
                <c:pt idx="97">
                  <c:v>11.469061070978423</c:v>
                </c:pt>
                <c:pt idx="98">
                  <c:v>11.499073403637212</c:v>
                </c:pt>
                <c:pt idx="99">
                  <c:v>11.408926550491206</c:v>
                </c:pt>
                <c:pt idx="100">
                  <c:v>11.272148742540832</c:v>
                </c:pt>
                <c:pt idx="101">
                  <c:v>11.112176593925637</c:v>
                </c:pt>
                <c:pt idx="102">
                  <c:v>11.020270735235101</c:v>
                </c:pt>
                <c:pt idx="103">
                  <c:v>10.925084773841547</c:v>
                </c:pt>
                <c:pt idx="104">
                  <c:v>10.834674313042152</c:v>
                </c:pt>
                <c:pt idx="105">
                  <c:v>10.744875919545912</c:v>
                </c:pt>
                <c:pt idx="106">
                  <c:v>10.648545576038199</c:v>
                </c:pt>
                <c:pt idx="107">
                  <c:v>10.549005843993097</c:v>
                </c:pt>
                <c:pt idx="108">
                  <c:v>10.433923028992622</c:v>
                </c:pt>
                <c:pt idx="109">
                  <c:v>10.312192828268014</c:v>
                </c:pt>
                <c:pt idx="110">
                  <c:v>10.189183451684526</c:v>
                </c:pt>
                <c:pt idx="111">
                  <c:v>10.083255557632596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D-47AE-9243-C8E30621F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6"/>
        <c:tickMarkSkip val="4"/>
        <c:noMultiLvlLbl val="0"/>
      </c:catAx>
      <c:valAx>
        <c:axId val="263608576"/>
        <c:scaling>
          <c:orientation val="minMax"/>
          <c:max val="2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1510040240"/>
        <c:scaling>
          <c:orientation val="maxMin"/>
          <c:max val="25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catAx>
        <c:axId val="1510036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0040240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14491166570280409"/>
          <c:y val="0.15565514706701264"/>
          <c:w val="0.49068991799753831"/>
          <c:h val="0.1067732870024910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2454724575256E-2"/>
          <c:y val="0.14714391023940784"/>
          <c:w val="0.87876696160292855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Data'!$GP$4</c:f>
              <c:strCache>
                <c:ptCount val="1"/>
                <c:pt idx="0">
                  <c:v>September 2024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Data'!$GO$49:$GO$82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Data'!$GP$49:$GP$82</c:f>
              <c:numCache>
                <c:formatCode>0.0</c:formatCode>
                <c:ptCount val="34"/>
                <c:pt idx="0">
                  <c:v>99.396086781980344</c:v>
                </c:pt>
                <c:pt idx="1">
                  <c:v>99.132529279318589</c:v>
                </c:pt>
                <c:pt idx="2">
                  <c:v>101.54294590962247</c:v>
                </c:pt>
                <c:pt idx="3">
                  <c:v>97.821723421709464</c:v>
                </c:pt>
                <c:pt idx="4">
                  <c:v>100.09076152409544</c:v>
                </c:pt>
                <c:pt idx="5">
                  <c:v>99.540956137748068</c:v>
                </c:pt>
                <c:pt idx="6">
                  <c:v>97.826959663484189</c:v>
                </c:pt>
                <c:pt idx="7">
                  <c:v>99.526992826348774</c:v>
                </c:pt>
                <c:pt idx="8">
                  <c:v>98.945769989352968</c:v>
                </c:pt>
                <c:pt idx="9">
                  <c:v>96.903635697205587</c:v>
                </c:pt>
                <c:pt idx="10">
                  <c:v>97.006615118775414</c:v>
                </c:pt>
                <c:pt idx="11">
                  <c:v>97.715253172289806</c:v>
                </c:pt>
                <c:pt idx="12">
                  <c:v>98.753774457612622</c:v>
                </c:pt>
                <c:pt idx="13">
                  <c:v>100.30719285078456</c:v>
                </c:pt>
                <c:pt idx="14">
                  <c:v>99.90749306197965</c:v>
                </c:pt>
                <c:pt idx="15">
                  <c:v>100</c:v>
                </c:pt>
                <c:pt idx="16">
                  <c:v>97.7292164836891</c:v>
                </c:pt>
                <c:pt idx="17">
                  <c:v>79.000925069380202</c:v>
                </c:pt>
                <c:pt idx="18">
                  <c:v>87.515054195102365</c:v>
                </c:pt>
                <c:pt idx="19">
                  <c:v>92.342869111409769</c:v>
                </c:pt>
                <c:pt idx="20">
                  <c:v>83.977100169305146</c:v>
                </c:pt>
                <c:pt idx="21">
                  <c:v>93.737454837414688</c:v>
                </c:pt>
                <c:pt idx="22">
                  <c:v>92.568027507723457</c:v>
                </c:pt>
                <c:pt idx="23">
                  <c:v>93.276665561237849</c:v>
                </c:pt>
                <c:pt idx="24">
                  <c:v>96.168816434817515</c:v>
                </c:pt>
                <c:pt idx="25">
                  <c:v>99.179655455291226</c:v>
                </c:pt>
                <c:pt idx="26">
                  <c:v>101.36665910320633</c:v>
                </c:pt>
                <c:pt idx="27">
                  <c:v>101.79254010088492</c:v>
                </c:pt>
                <c:pt idx="28">
                  <c:v>106.3026896828583</c:v>
                </c:pt>
                <c:pt idx="29">
                  <c:v>106.27301764613478</c:v>
                </c:pt>
                <c:pt idx="30">
                  <c:v>103.25694238388634</c:v>
                </c:pt>
                <c:pt idx="31">
                  <c:v>104.68818180231443</c:v>
                </c:pt>
                <c:pt idx="32">
                  <c:v>105.24671425828636</c:v>
                </c:pt>
                <c:pt idx="33">
                  <c:v>105.15246190634109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F-4E52-9B9D-E1EB0C8AF627}"/>
            </c:ext>
          </c:extLst>
        </c:ser>
        <c:ser>
          <c:idx val="1"/>
          <c:order val="1"/>
          <c:tx>
            <c:strRef>
              <c:f>'Chart Data'!$GQ$4</c:f>
              <c:strCache>
                <c:ptCount val="1"/>
                <c:pt idx="0">
                  <c:v>October 2024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Data'!$GO$49:$GO$82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Data'!$GQ$49:$GQ$82</c:f>
              <c:numCache>
                <c:formatCode>0.0</c:formatCode>
                <c:ptCount val="34"/>
                <c:pt idx="0">
                  <c:v>99.499951608220144</c:v>
                </c:pt>
                <c:pt idx="1">
                  <c:v>99.201535632480571</c:v>
                </c:pt>
                <c:pt idx="2">
                  <c:v>101.58241120108397</c:v>
                </c:pt>
                <c:pt idx="3">
                  <c:v>97.823982966093496</c:v>
                </c:pt>
                <c:pt idx="4">
                  <c:v>100.07420072910283</c:v>
                </c:pt>
                <c:pt idx="5">
                  <c:v>99.574152337322957</c:v>
                </c:pt>
                <c:pt idx="6">
                  <c:v>97.882053101913087</c:v>
                </c:pt>
                <c:pt idx="7">
                  <c:v>99.546730328741489</c:v>
                </c:pt>
                <c:pt idx="8">
                  <c:v>98.948285317933994</c:v>
                </c:pt>
                <c:pt idx="9">
                  <c:v>96.872277962383464</c:v>
                </c:pt>
                <c:pt idx="10">
                  <c:v>96.969061522082782</c:v>
                </c:pt>
                <c:pt idx="11">
                  <c:v>97.648159499306388</c:v>
                </c:pt>
                <c:pt idx="12">
                  <c:v>98.720843952640578</c:v>
                </c:pt>
                <c:pt idx="13">
                  <c:v>100.30164209439623</c:v>
                </c:pt>
                <c:pt idx="14">
                  <c:v>99.899990321644026</c:v>
                </c:pt>
                <c:pt idx="15">
                  <c:v>100</c:v>
                </c:pt>
                <c:pt idx="16">
                  <c:v>97.749782236990683</c:v>
                </c:pt>
                <c:pt idx="17">
                  <c:v>78.960867180694905</c:v>
                </c:pt>
                <c:pt idx="18">
                  <c:v>88.25047585250185</c:v>
                </c:pt>
                <c:pt idx="19">
                  <c:v>93.194502693809085</c:v>
                </c:pt>
                <c:pt idx="20">
                  <c:v>86.827757524921765</c:v>
                </c:pt>
                <c:pt idx="21">
                  <c:v>93.536471271413362</c:v>
                </c:pt>
                <c:pt idx="22">
                  <c:v>91.94115559570281</c:v>
                </c:pt>
                <c:pt idx="23">
                  <c:v>92.231506274800793</c:v>
                </c:pt>
                <c:pt idx="24">
                  <c:v>95.014033616156397</c:v>
                </c:pt>
                <c:pt idx="25">
                  <c:v>97.319095396328677</c:v>
                </c:pt>
                <c:pt idx="26">
                  <c:v>98.214343323547439</c:v>
                </c:pt>
                <c:pt idx="27">
                  <c:v>95.570539084427537</c:v>
                </c:pt>
                <c:pt idx="28">
                  <c:v>100.7871729522212</c:v>
                </c:pt>
                <c:pt idx="29">
                  <c:v>100.25486337387488</c:v>
                </c:pt>
                <c:pt idx="30">
                  <c:v>97.261025260509086</c:v>
                </c:pt>
                <c:pt idx="31">
                  <c:v>98.430493273542595</c:v>
                </c:pt>
                <c:pt idx="32">
                  <c:v>98.993450979127005</c:v>
                </c:pt>
                <c:pt idx="33">
                  <c:v>100.41294318805045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F-4E52-9B9D-E1EB0C8AF627}"/>
            </c:ext>
          </c:extLst>
        </c:ser>
        <c:ser>
          <c:idx val="2"/>
          <c:order val="2"/>
          <c:tx>
            <c:strRef>
              <c:f>'Chart Data'!$GR$4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Data'!$GO$49:$GO$82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Data'!$GR$49:$GR$82</c:f>
              <c:numCache>
                <c:formatCode>0.0</c:formatCode>
                <c:ptCount val="3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F-4E52-9B9D-E1EB0C8A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in val="7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8300310673576853"/>
          <c:y val="8.9653456938550896E-2"/>
          <c:w val="0.62550524491492954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963996025920487E-2"/>
          <c:y val="0.14725688325786473"/>
          <c:w val="0.91361454394471875"/>
          <c:h val="0.713187006015182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Data'!$AP$4</c:f>
              <c:strCache>
                <c:ptCount val="1"/>
                <c:pt idx="0">
                  <c:v>Transport equipment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invertIfNegative val="0"/>
          <c:cat>
            <c:numRef>
              <c:f>'Chart Data'!$AO$5:$AO$38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Data'!$AP$5:$AP$38</c:f>
              <c:numCache>
                <c:formatCode>0.0</c:formatCode>
                <c:ptCount val="34"/>
                <c:pt idx="0">
                  <c:v>1.2876666815233202</c:v>
                </c:pt>
                <c:pt idx="1">
                  <c:v>0.34278351559746034</c:v>
                </c:pt>
                <c:pt idx="2">
                  <c:v>1.3249433758908926</c:v>
                </c:pt>
                <c:pt idx="3">
                  <c:v>-2.9553935730116736</c:v>
                </c:pt>
                <c:pt idx="4">
                  <c:v>-1.1790780501047393</c:v>
                </c:pt>
                <c:pt idx="5">
                  <c:v>0.46433795375258813</c:v>
                </c:pt>
                <c:pt idx="6">
                  <c:v>-0.50161464812016066</c:v>
                </c:pt>
                <c:pt idx="7">
                  <c:v>0.45137214701604117</c:v>
                </c:pt>
                <c:pt idx="8">
                  <c:v>-2.6717665506497084</c:v>
                </c:pt>
                <c:pt idx="9">
                  <c:v>-6.1401198526760208</c:v>
                </c:pt>
                <c:pt idx="10">
                  <c:v>-2.2649643642905475</c:v>
                </c:pt>
                <c:pt idx="11">
                  <c:v>-1.9521642767713521</c:v>
                </c:pt>
                <c:pt idx="12">
                  <c:v>-2.8111489730675885</c:v>
                </c:pt>
                <c:pt idx="13">
                  <c:v>-1.9943031486651295</c:v>
                </c:pt>
                <c:pt idx="14">
                  <c:v>-2.953772847169605</c:v>
                </c:pt>
                <c:pt idx="15">
                  <c:v>-4.1644550511946772</c:v>
                </c:pt>
                <c:pt idx="16">
                  <c:v>-3.4853709233680301</c:v>
                </c:pt>
                <c:pt idx="17">
                  <c:v>-8.1174053799994326</c:v>
                </c:pt>
                <c:pt idx="18">
                  <c:v>-2.8792194584344597</c:v>
                </c:pt>
                <c:pt idx="19">
                  <c:v>-1.1693536950523291</c:v>
                </c:pt>
                <c:pt idx="20">
                  <c:v>-5.8305612168409615</c:v>
                </c:pt>
                <c:pt idx="21">
                  <c:v>-5.9148389606285177</c:v>
                </c:pt>
                <c:pt idx="22">
                  <c:v>-4.5955681251848635</c:v>
                </c:pt>
                <c:pt idx="23">
                  <c:v>-3.3378848717398086</c:v>
                </c:pt>
                <c:pt idx="24">
                  <c:v>-4.3459763455063349</c:v>
                </c:pt>
                <c:pt idx="25">
                  <c:v>-0.8662779625855439</c:v>
                </c:pt>
                <c:pt idx="26">
                  <c:v>-1.0559028861075432</c:v>
                </c:pt>
                <c:pt idx="27">
                  <c:v>-8.5088106708589434E-2</c:v>
                </c:pt>
                <c:pt idx="28">
                  <c:v>1.0607650636337485</c:v>
                </c:pt>
                <c:pt idx="29">
                  <c:v>2.2357912991333171</c:v>
                </c:pt>
                <c:pt idx="30">
                  <c:v>1.3298055534170978</c:v>
                </c:pt>
                <c:pt idx="31">
                  <c:v>1.7560564498810791</c:v>
                </c:pt>
                <c:pt idx="32">
                  <c:v>1.5307755578335758</c:v>
                </c:pt>
                <c:pt idx="33">
                  <c:v>2.6442142113345461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4-4D22-B551-13EC2AE1498E}"/>
            </c:ext>
          </c:extLst>
        </c:ser>
        <c:ser>
          <c:idx val="1"/>
          <c:order val="1"/>
          <c:tx>
            <c:strRef>
              <c:f>'Chart Data'!$AQ$4</c:f>
              <c:strCache>
                <c:ptCount val="1"/>
                <c:pt idx="0">
                  <c:v>ICT equipment &amp; oth. machinery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Data'!$AO$5:$AO$38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Data'!$AQ$5:$AQ$38</c:f>
              <c:numCache>
                <c:formatCode>0.0</c:formatCode>
                <c:ptCount val="34"/>
                <c:pt idx="0">
                  <c:v>0.16166740274631994</c:v>
                </c:pt>
                <c:pt idx="1">
                  <c:v>0.14870159600977298</c:v>
                </c:pt>
                <c:pt idx="2">
                  <c:v>0.28646329258558445</c:v>
                </c:pt>
                <c:pt idx="3">
                  <c:v>-0.59683229134167737</c:v>
                </c:pt>
                <c:pt idx="4">
                  <c:v>0.27187676000696914</c:v>
                </c:pt>
                <c:pt idx="5">
                  <c:v>0.31563635774281512</c:v>
                </c:pt>
                <c:pt idx="6">
                  <c:v>0.29618764763799466</c:v>
                </c:pt>
                <c:pt idx="7">
                  <c:v>0.34480942290004579</c:v>
                </c:pt>
                <c:pt idx="8">
                  <c:v>0.9282707260446591</c:v>
                </c:pt>
                <c:pt idx="9">
                  <c:v>0.52470999136963492</c:v>
                </c:pt>
                <c:pt idx="10">
                  <c:v>0.29942909932213146</c:v>
                </c:pt>
                <c:pt idx="11">
                  <c:v>-0.62762608234097639</c:v>
                </c:pt>
                <c:pt idx="12">
                  <c:v>-0.71352455197060005</c:v>
                </c:pt>
                <c:pt idx="13">
                  <c:v>-0.37965502850451571</c:v>
                </c:pt>
                <c:pt idx="14">
                  <c:v>-1.2613298865897091</c:v>
                </c:pt>
                <c:pt idx="15">
                  <c:v>-1.2986065809572818</c:v>
                </c:pt>
                <c:pt idx="16">
                  <c:v>-1.313193113535897</c:v>
                </c:pt>
                <c:pt idx="17">
                  <c:v>-6.9014558169876379</c:v>
                </c:pt>
                <c:pt idx="18">
                  <c:v>-4.8593412559814908</c:v>
                </c:pt>
                <c:pt idx="19">
                  <c:v>-2.6843271759257386</c:v>
                </c:pt>
                <c:pt idx="20">
                  <c:v>-2.1916265199369538</c:v>
                </c:pt>
                <c:pt idx="21">
                  <c:v>-2.0279332098880483</c:v>
                </c:pt>
                <c:pt idx="22">
                  <c:v>-1.1543619810131969</c:v>
                </c:pt>
                <c:pt idx="23">
                  <c:v>-2.0408990166245955</c:v>
                </c:pt>
                <c:pt idx="24">
                  <c:v>5.6320223011875864E-2</c:v>
                </c:pt>
                <c:pt idx="25">
                  <c:v>0.75647378678541188</c:v>
                </c:pt>
                <c:pt idx="26">
                  <c:v>1.2216221034590342</c:v>
                </c:pt>
                <c:pt idx="27">
                  <c:v>-0.56279704865824165</c:v>
                </c:pt>
                <c:pt idx="28">
                  <c:v>0.93799508109706931</c:v>
                </c:pt>
                <c:pt idx="29">
                  <c:v>0.73702507668059136</c:v>
                </c:pt>
                <c:pt idx="30">
                  <c:v>0.13897724095736275</c:v>
                </c:pt>
                <c:pt idx="31">
                  <c:v>-0.16085703982528574</c:v>
                </c:pt>
                <c:pt idx="32">
                  <c:v>0.90233911257156518</c:v>
                </c:pt>
                <c:pt idx="33">
                  <c:v>-0.59845301718374577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4-4D22-B551-13EC2AE1498E}"/>
            </c:ext>
          </c:extLst>
        </c:ser>
        <c:ser>
          <c:idx val="2"/>
          <c:order val="2"/>
          <c:tx>
            <c:strRef>
              <c:f>'Chart Data'!$AR$4</c:f>
              <c:strCache>
                <c:ptCount val="1"/>
                <c:pt idx="0">
                  <c:v>Other buildings &amp; structures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Data'!$AO$5:$AO$38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Data'!$AR$5:$AR$38</c:f>
              <c:numCache>
                <c:formatCode>0.0</c:formatCode>
                <c:ptCount val="34"/>
                <c:pt idx="0">
                  <c:v>-0.32455034987419118</c:v>
                </c:pt>
                <c:pt idx="1">
                  <c:v>0.44205297342414807</c:v>
                </c:pt>
                <c:pt idx="2">
                  <c:v>0.25404877574421703</c:v>
                </c:pt>
                <c:pt idx="3">
                  <c:v>-0.37155139929417391</c:v>
                </c:pt>
                <c:pt idx="4">
                  <c:v>-0.2175824442976787</c:v>
                </c:pt>
                <c:pt idx="5">
                  <c:v>-1.7264782032633315</c:v>
                </c:pt>
                <c:pt idx="6">
                  <c:v>-2.0781757109921677</c:v>
                </c:pt>
                <c:pt idx="7">
                  <c:v>-2.0781757109921677</c:v>
                </c:pt>
                <c:pt idx="8">
                  <c:v>-1.1235681900138978</c:v>
                </c:pt>
                <c:pt idx="9">
                  <c:v>-0.58548721044719876</c:v>
                </c:pt>
                <c:pt idx="10">
                  <c:v>-0.61628100144649778</c:v>
                </c:pt>
                <c:pt idx="11">
                  <c:v>0.75161160925920678</c:v>
                </c:pt>
                <c:pt idx="12">
                  <c:v>1.8634295369181086</c:v>
                </c:pt>
                <c:pt idx="13">
                  <c:v>1.6332864673444001</c:v>
                </c:pt>
                <c:pt idx="14">
                  <c:v>0.62195354189373708</c:v>
                </c:pt>
                <c:pt idx="15">
                  <c:v>1.443661543822401</c:v>
                </c:pt>
                <c:pt idx="16">
                  <c:v>-0.83507899012572784</c:v>
                </c:pt>
                <c:pt idx="17">
                  <c:v>-5.7474990174349578</c:v>
                </c:pt>
                <c:pt idx="18">
                  <c:v>-5.1154159390282938</c:v>
                </c:pt>
                <c:pt idx="19">
                  <c:v>-4.4444354404119881</c:v>
                </c:pt>
                <c:pt idx="20">
                  <c:v>-6.3893064508940336</c:v>
                </c:pt>
                <c:pt idx="21">
                  <c:v>-3.2013387195455483</c:v>
                </c:pt>
                <c:pt idx="22">
                  <c:v>-4.5270924583574752</c:v>
                </c:pt>
                <c:pt idx="23">
                  <c:v>-4.8868935952966535</c:v>
                </c:pt>
                <c:pt idx="24">
                  <c:v>-3.1446133150731552</c:v>
                </c:pt>
                <c:pt idx="25">
                  <c:v>-4.1397389821031343</c:v>
                </c:pt>
                <c:pt idx="26">
                  <c:v>-4.0943586585252207</c:v>
                </c:pt>
                <c:pt idx="27">
                  <c:v>-5.6048751433329418</c:v>
                </c:pt>
                <c:pt idx="28">
                  <c:v>-3.6519005036405554</c:v>
                </c:pt>
                <c:pt idx="29">
                  <c:v>-5.6616005478053344</c:v>
                </c:pt>
                <c:pt idx="30">
                  <c:v>-6.473584194681588</c:v>
                </c:pt>
                <c:pt idx="31">
                  <c:v>-5.024655291872465</c:v>
                </c:pt>
                <c:pt idx="32">
                  <c:v>-4.9274117413483625</c:v>
                </c:pt>
                <c:pt idx="33">
                  <c:v>-3.7993865552687773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4-4D22-B551-13EC2AE1498E}"/>
            </c:ext>
          </c:extLst>
        </c:ser>
        <c:ser>
          <c:idx val="3"/>
          <c:order val="3"/>
          <c:tx>
            <c:strRef>
              <c:f>'Chart Data'!$AS$4</c:f>
              <c:strCache>
                <c:ptCount val="1"/>
                <c:pt idx="0">
                  <c:v>Intellectual property products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Data'!$AO$5:$AO$38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Data'!$AS$5:$AS$38</c:f>
              <c:numCache>
                <c:formatCode>0.0</c:formatCode>
                <c:ptCount val="34"/>
                <c:pt idx="0">
                  <c:v>-0.33143843470298173</c:v>
                </c:pt>
                <c:pt idx="1">
                  <c:v>-6.2397944919632256E-2</c:v>
                </c:pt>
                <c:pt idx="2">
                  <c:v>0.17260730218028145</c:v>
                </c:pt>
                <c:pt idx="3">
                  <c:v>0.22122907744233253</c:v>
                </c:pt>
                <c:pt idx="4">
                  <c:v>0.20988399654785395</c:v>
                </c:pt>
                <c:pt idx="5">
                  <c:v>0.74958570195662133</c:v>
                </c:pt>
                <c:pt idx="6">
                  <c:v>1.5178097510970288</c:v>
                </c:pt>
                <c:pt idx="7">
                  <c:v>2.183928072187129</c:v>
                </c:pt>
                <c:pt idx="8">
                  <c:v>2.0737187149264797</c:v>
                </c:pt>
                <c:pt idx="9">
                  <c:v>2.3930017058139486</c:v>
                </c:pt>
                <c:pt idx="10">
                  <c:v>1.6896066903562761</c:v>
                </c:pt>
                <c:pt idx="11">
                  <c:v>1.606949672410789</c:v>
                </c:pt>
                <c:pt idx="12">
                  <c:v>2.6344898562821362</c:v>
                </c:pt>
                <c:pt idx="13">
                  <c:v>2.8711158292241179</c:v>
                </c:pt>
                <c:pt idx="14">
                  <c:v>3.597201006470748</c:v>
                </c:pt>
                <c:pt idx="15">
                  <c:v>3.9602435950940631</c:v>
                </c:pt>
                <c:pt idx="16">
                  <c:v>4.3184240061911723</c:v>
                </c:pt>
                <c:pt idx="17">
                  <c:v>1.041316353528928</c:v>
                </c:pt>
                <c:pt idx="18">
                  <c:v>1.5323962836756442</c:v>
                </c:pt>
                <c:pt idx="19">
                  <c:v>1.8176440318796772</c:v>
                </c:pt>
                <c:pt idx="20">
                  <c:v>1.8581621779313866</c:v>
                </c:pt>
                <c:pt idx="21">
                  <c:v>5.2568242687487592</c:v>
                </c:pt>
                <c:pt idx="22">
                  <c:v>2.7544235685951954</c:v>
                </c:pt>
                <c:pt idx="23">
                  <c:v>2.8792194584344597</c:v>
                </c:pt>
                <c:pt idx="24">
                  <c:v>2.7074225191752124</c:v>
                </c:pt>
                <c:pt idx="25">
                  <c:v>1.8451963711948394</c:v>
                </c:pt>
                <c:pt idx="26">
                  <c:v>2.423795496813248</c:v>
                </c:pt>
                <c:pt idx="27">
                  <c:v>2.091546699189232</c:v>
                </c:pt>
                <c:pt idx="28">
                  <c:v>2.7333541326483064</c:v>
                </c:pt>
                <c:pt idx="29">
                  <c:v>3.2341584178474334</c:v>
                </c:pt>
                <c:pt idx="30">
                  <c:v>2.5421084832842391</c:v>
                </c:pt>
                <c:pt idx="31">
                  <c:v>2.1417892002933514</c:v>
                </c:pt>
                <c:pt idx="32">
                  <c:v>1.7722637083017629</c:v>
                </c:pt>
                <c:pt idx="33">
                  <c:v>2.4578307394966834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4-4D22-B551-13EC2AE14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Data'!$AT$4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Data'!$AO$5:$AO$38</c:f>
              <c:numCache>
                <c:formatCode>General</c:formatCode>
                <c:ptCount val="34"/>
                <c:pt idx="0">
                  <c:v>2016</c:v>
                </c:pt>
                <c:pt idx="4">
                  <c:v>2017</c:v>
                </c:pt>
                <c:pt idx="8">
                  <c:v>2018</c:v>
                </c:pt>
                <c:pt idx="12">
                  <c:v>2019</c:v>
                </c:pt>
                <c:pt idx="16">
                  <c:v>2020</c:v>
                </c:pt>
                <c:pt idx="20">
                  <c:v>2021</c:v>
                </c:pt>
                <c:pt idx="24">
                  <c:v>2022</c:v>
                </c:pt>
                <c:pt idx="28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'Chart Data'!$AT$5:$AT$38</c:f>
              <c:numCache>
                <c:formatCode>0.0</c:formatCode>
                <c:ptCount val="34"/>
                <c:pt idx="0">
                  <c:v>-2.7147157854645203E-2</c:v>
                </c:pt>
                <c:pt idx="1">
                  <c:v>-0.32698143863729368</c:v>
                </c:pt>
                <c:pt idx="2">
                  <c:v>2.0652099042556209</c:v>
                </c:pt>
                <c:pt idx="3">
                  <c:v>-1.7110813077636819</c:v>
                </c:pt>
                <c:pt idx="4">
                  <c:v>0.54983124192169464</c:v>
                </c:pt>
                <c:pt idx="5">
                  <c:v>4.7406230880499833E-2</c:v>
                </c:pt>
                <c:pt idx="6">
                  <c:v>-1.6527351774492205</c:v>
                </c:pt>
                <c:pt idx="7">
                  <c:v>1.9853891565337536E-2</c:v>
                </c:pt>
                <c:pt idx="8">
                  <c:v>-0.58143539584202786</c:v>
                </c:pt>
                <c:pt idx="9">
                  <c:v>-2.6673095545840204</c:v>
                </c:pt>
                <c:pt idx="10">
                  <c:v>-2.5700660040599184</c:v>
                </c:pt>
                <c:pt idx="11">
                  <c:v>-1.8877404245491343</c:v>
                </c:pt>
                <c:pt idx="12">
                  <c:v>-0.80995773957366812</c:v>
                </c:pt>
                <c:pt idx="13">
                  <c:v>0.7783535856533349</c:v>
                </c:pt>
                <c:pt idx="14">
                  <c:v>0.37479285097831067</c:v>
                </c:pt>
                <c:pt idx="15">
                  <c:v>0.47527785318654964</c:v>
                </c:pt>
                <c:pt idx="16">
                  <c:v>-1.7856346964988268</c:v>
                </c:pt>
                <c:pt idx="17">
                  <c:v>-20.663849304911206</c:v>
                </c:pt>
                <c:pt idx="18">
                  <c:v>-11.33008918043946</c:v>
                </c:pt>
                <c:pt idx="19">
                  <c:v>-6.3625644744999041</c:v>
                </c:pt>
                <c:pt idx="20">
                  <c:v>-12.759569373143762</c:v>
                </c:pt>
                <c:pt idx="21">
                  <c:v>-6.0189705959814095</c:v>
                </c:pt>
                <c:pt idx="22">
                  <c:v>-7.6218684537870285</c:v>
                </c:pt>
                <c:pt idx="23">
                  <c:v>-7.3301378022147219</c:v>
                </c:pt>
                <c:pt idx="24">
                  <c:v>-4.5360064504888511</c:v>
                </c:pt>
                <c:pt idx="25">
                  <c:v>-2.2183684963310819</c:v>
                </c:pt>
                <c:pt idx="26">
                  <c:v>-1.3188656539831363</c:v>
                </c:pt>
                <c:pt idx="27">
                  <c:v>-3.9752353091331951</c:v>
                </c:pt>
                <c:pt idx="28">
                  <c:v>1.2661920641159143</c:v>
                </c:pt>
                <c:pt idx="29">
                  <c:v>0.73135253623335217</c:v>
                </c:pt>
                <c:pt idx="30">
                  <c:v>-2.2767146266455431</c:v>
                </c:pt>
                <c:pt idx="31">
                  <c:v>-1.1016883911459747</c:v>
                </c:pt>
                <c:pt idx="32">
                  <c:v>-0.53605507226411353</c:v>
                </c:pt>
                <c:pt idx="33">
                  <c:v>0.89018366875605237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A4-4D22-B551-13EC2AE14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6.8054154247668197E-2"/>
          <c:y val="0.62600927359327607"/>
          <c:w val="0.45495380874000912"/>
          <c:h val="0.245612120267144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0534443960726301E-2"/>
          <c:y val="0.14714391023940784"/>
          <c:w val="0.91918441958370456"/>
          <c:h val="0.631181728229298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Data'!$IH$5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Data'!$II$4:$IO$4</c:f>
              <c:strCache>
                <c:ptCount val="7"/>
                <c:pt idx="0">
                  <c:v>Inadequate net return</c:v>
                </c:pt>
                <c:pt idx="1">
                  <c:v>Internal finance shortage</c:v>
                </c:pt>
                <c:pt idx="2">
                  <c:v>Unable to raise finance</c:v>
                </c:pt>
                <c:pt idx="3">
                  <c:v>Cost of finance</c:v>
                </c:pt>
                <c:pt idx="4">
                  <c:v>Demand uncertainty</c:v>
                </c:pt>
                <c:pt idx="5">
                  <c:v>Labour Shortage</c:v>
                </c:pt>
                <c:pt idx="6">
                  <c:v>Other</c:v>
                </c:pt>
              </c:strCache>
            </c:strRef>
          </c:cat>
          <c:val>
            <c:numRef>
              <c:f>'Chart Data'!$II$5:$IO$5</c:f>
              <c:numCache>
                <c:formatCode>0.00</c:formatCode>
                <c:ptCount val="7"/>
                <c:pt idx="0">
                  <c:v>-0.64986460872601481</c:v>
                </c:pt>
                <c:pt idx="1">
                  <c:v>-0.15549090964451012</c:v>
                </c:pt>
                <c:pt idx="2">
                  <c:v>-0.15552630160793851</c:v>
                </c:pt>
                <c:pt idx="3">
                  <c:v>0.98209824585779837</c:v>
                </c:pt>
                <c:pt idx="4">
                  <c:v>-0.97139905386288428</c:v>
                </c:pt>
                <c:pt idx="5">
                  <c:v>0.91449688770989157</c:v>
                </c:pt>
                <c:pt idx="6">
                  <c:v>1.8777180581230737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Data'!$IH$6</c:f>
              <c:strCache>
                <c:ptCount val="1"/>
                <c:pt idx="0">
                  <c:v>Business &amp; professional services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Data'!$II$4:$IO$4</c:f>
              <c:strCache>
                <c:ptCount val="7"/>
                <c:pt idx="0">
                  <c:v>Inadequate net return</c:v>
                </c:pt>
                <c:pt idx="1">
                  <c:v>Internal finance shortage</c:v>
                </c:pt>
                <c:pt idx="2">
                  <c:v>Unable to raise finance</c:v>
                </c:pt>
                <c:pt idx="3">
                  <c:v>Cost of finance</c:v>
                </c:pt>
                <c:pt idx="4">
                  <c:v>Demand uncertainty</c:v>
                </c:pt>
                <c:pt idx="5">
                  <c:v>Labour Shortage</c:v>
                </c:pt>
                <c:pt idx="6">
                  <c:v>Other</c:v>
                </c:pt>
              </c:strCache>
            </c:strRef>
          </c:cat>
          <c:val>
            <c:numRef>
              <c:f>'Chart Data'!$II$6:$IO$6</c:f>
              <c:numCache>
                <c:formatCode>0.00</c:formatCode>
                <c:ptCount val="7"/>
                <c:pt idx="0">
                  <c:v>0.40991030319539873</c:v>
                </c:pt>
                <c:pt idx="1">
                  <c:v>0.74386751696634346</c:v>
                </c:pt>
                <c:pt idx="2">
                  <c:v>-4.8963608845271823E-2</c:v>
                </c:pt>
                <c:pt idx="3">
                  <c:v>2.0208248259994459</c:v>
                </c:pt>
                <c:pt idx="4">
                  <c:v>-1.5628406069096805</c:v>
                </c:pt>
                <c:pt idx="5">
                  <c:v>0.48966085351538741</c:v>
                </c:pt>
                <c:pt idx="6">
                  <c:v>2.6192848273583986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ser>
          <c:idx val="2"/>
          <c:order val="2"/>
          <c:tx>
            <c:strRef>
              <c:f>'Chart Data'!$IH$7</c:f>
              <c:strCache>
                <c:ptCount val="1"/>
                <c:pt idx="0">
                  <c:v>Consumer services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Data'!$II$4:$IO$4</c:f>
              <c:strCache>
                <c:ptCount val="7"/>
                <c:pt idx="0">
                  <c:v>Inadequate net return</c:v>
                </c:pt>
                <c:pt idx="1">
                  <c:v>Internal finance shortage</c:v>
                </c:pt>
                <c:pt idx="2">
                  <c:v>Unable to raise finance</c:v>
                </c:pt>
                <c:pt idx="3">
                  <c:v>Cost of finance</c:v>
                </c:pt>
                <c:pt idx="4">
                  <c:v>Demand uncertainty</c:v>
                </c:pt>
                <c:pt idx="5">
                  <c:v>Labour Shortage</c:v>
                </c:pt>
                <c:pt idx="6">
                  <c:v>Other</c:v>
                </c:pt>
              </c:strCache>
            </c:strRef>
          </c:cat>
          <c:val>
            <c:numRef>
              <c:f>'Chart Data'!$II$7:$IO$7</c:f>
              <c:numCache>
                <c:formatCode>0.00</c:formatCode>
                <c:ptCount val="7"/>
                <c:pt idx="0">
                  <c:v>0.27759280942383374</c:v>
                </c:pt>
                <c:pt idx="1">
                  <c:v>1.8605197055503393</c:v>
                </c:pt>
                <c:pt idx="2">
                  <c:v>0.81079387700502714</c:v>
                </c:pt>
                <c:pt idx="3">
                  <c:v>2.5848416201871802</c:v>
                </c:pt>
                <c:pt idx="4">
                  <c:v>-0.15880748305911005</c:v>
                </c:pt>
                <c:pt idx="5">
                  <c:v>0.98110399169463891</c:v>
                </c:pt>
                <c:pt idx="6">
                  <c:v>0.16358535612903249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7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320663730592996"/>
          <c:y val="0.61993325091789264"/>
          <c:w val="0.45314328929222836"/>
          <c:h val="0.1579627844042620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2454724575256E-2"/>
          <c:y val="0.14714391023940784"/>
          <c:w val="0.81922944377715501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Data'!$FW$4</c:f>
              <c:strCache>
                <c:ptCount val="1"/>
                <c:pt idx="0">
                  <c:v>Actual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Data'!$FV$6:$FV$110</c:f>
              <c:numCache>
                <c:formatCode>mmm\-yy</c:formatCode>
                <c:ptCount val="10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</c:numCache>
            </c:numRef>
          </c:cat>
          <c:val>
            <c:numRef>
              <c:f>'Chart Data'!$FW$6:$FW$110</c:f>
              <c:numCache>
                <c:formatCode>0</c:formatCode>
                <c:ptCount val="105"/>
                <c:pt idx="0">
                  <c:v>347433</c:v>
                </c:pt>
                <c:pt idx="1">
                  <c:v>347792</c:v>
                </c:pt>
                <c:pt idx="2">
                  <c:v>349767</c:v>
                </c:pt>
                <c:pt idx="3">
                  <c:v>345227</c:v>
                </c:pt>
                <c:pt idx="4">
                  <c:v>346739</c:v>
                </c:pt>
                <c:pt idx="5">
                  <c:v>350230</c:v>
                </c:pt>
                <c:pt idx="6">
                  <c:v>352760</c:v>
                </c:pt>
                <c:pt idx="7">
                  <c:v>355987</c:v>
                </c:pt>
                <c:pt idx="8">
                  <c:v>358565</c:v>
                </c:pt>
                <c:pt idx="9">
                  <c:v>359546</c:v>
                </c:pt>
                <c:pt idx="10">
                  <c:v>359015</c:v>
                </c:pt>
                <c:pt idx="11">
                  <c:v>362472</c:v>
                </c:pt>
                <c:pt idx="12">
                  <c:v>364162</c:v>
                </c:pt>
                <c:pt idx="13">
                  <c:v>366516</c:v>
                </c:pt>
                <c:pt idx="14">
                  <c:v>372600</c:v>
                </c:pt>
                <c:pt idx="15">
                  <c:v>376274</c:v>
                </c:pt>
                <c:pt idx="16">
                  <c:v>379101</c:v>
                </c:pt>
                <c:pt idx="17">
                  <c:v>384147</c:v>
                </c:pt>
                <c:pt idx="18">
                  <c:v>379497</c:v>
                </c:pt>
                <c:pt idx="19">
                  <c:v>384008</c:v>
                </c:pt>
                <c:pt idx="20">
                  <c:v>389067</c:v>
                </c:pt>
                <c:pt idx="21">
                  <c:v>390045</c:v>
                </c:pt>
                <c:pt idx="22">
                  <c:v>393924</c:v>
                </c:pt>
                <c:pt idx="23">
                  <c:v>392951</c:v>
                </c:pt>
                <c:pt idx="24">
                  <c:v>394807</c:v>
                </c:pt>
                <c:pt idx="25">
                  <c:v>397088</c:v>
                </c:pt>
                <c:pt idx="26">
                  <c:v>397011</c:v>
                </c:pt>
                <c:pt idx="27">
                  <c:v>404718</c:v>
                </c:pt>
                <c:pt idx="28">
                  <c:v>408391</c:v>
                </c:pt>
                <c:pt idx="29">
                  <c:v>409566</c:v>
                </c:pt>
                <c:pt idx="30">
                  <c:v>411523</c:v>
                </c:pt>
                <c:pt idx="31">
                  <c:v>412988</c:v>
                </c:pt>
                <c:pt idx="32">
                  <c:v>411346</c:v>
                </c:pt>
                <c:pt idx="33">
                  <c:v>414056</c:v>
                </c:pt>
                <c:pt idx="34">
                  <c:v>414516</c:v>
                </c:pt>
                <c:pt idx="35">
                  <c:v>417396</c:v>
                </c:pt>
                <c:pt idx="36">
                  <c:v>417188</c:v>
                </c:pt>
                <c:pt idx="37">
                  <c:v>415695</c:v>
                </c:pt>
                <c:pt idx="38">
                  <c:v>416369</c:v>
                </c:pt>
                <c:pt idx="39">
                  <c:v>417156</c:v>
                </c:pt>
                <c:pt idx="40">
                  <c:v>420131</c:v>
                </c:pt>
                <c:pt idx="41">
                  <c:v>414313</c:v>
                </c:pt>
                <c:pt idx="42">
                  <c:v>419391</c:v>
                </c:pt>
                <c:pt idx="43">
                  <c:v>421653</c:v>
                </c:pt>
                <c:pt idx="44">
                  <c:v>421639</c:v>
                </c:pt>
                <c:pt idx="45">
                  <c:v>422164</c:v>
                </c:pt>
                <c:pt idx="46">
                  <c:v>425151</c:v>
                </c:pt>
                <c:pt idx="47">
                  <c:v>425654</c:v>
                </c:pt>
                <c:pt idx="48">
                  <c:v>426743</c:v>
                </c:pt>
                <c:pt idx="49">
                  <c:v>430867</c:v>
                </c:pt>
                <c:pt idx="50">
                  <c:v>455382</c:v>
                </c:pt>
                <c:pt idx="51">
                  <c:v>476368</c:v>
                </c:pt>
                <c:pt idx="52">
                  <c:v>503178</c:v>
                </c:pt>
                <c:pt idx="53">
                  <c:v>510678</c:v>
                </c:pt>
                <c:pt idx="54">
                  <c:v>525238</c:v>
                </c:pt>
                <c:pt idx="55">
                  <c:v>525230</c:v>
                </c:pt>
                <c:pt idx="56">
                  <c:v>529249</c:v>
                </c:pt>
                <c:pt idx="57">
                  <c:v>540612</c:v>
                </c:pt>
                <c:pt idx="58">
                  <c:v>542612</c:v>
                </c:pt>
                <c:pt idx="59">
                  <c:v>545039</c:v>
                </c:pt>
                <c:pt idx="60">
                  <c:v>556985</c:v>
                </c:pt>
                <c:pt idx="61">
                  <c:v>556435</c:v>
                </c:pt>
                <c:pt idx="62">
                  <c:v>557431</c:v>
                </c:pt>
                <c:pt idx="63">
                  <c:v>561235</c:v>
                </c:pt>
                <c:pt idx="64">
                  <c:v>561962</c:v>
                </c:pt>
                <c:pt idx="65">
                  <c:v>568234</c:v>
                </c:pt>
                <c:pt idx="66">
                  <c:v>560853</c:v>
                </c:pt>
                <c:pt idx="67">
                  <c:v>562186</c:v>
                </c:pt>
                <c:pt idx="68">
                  <c:v>566619</c:v>
                </c:pt>
                <c:pt idx="69">
                  <c:v>571792</c:v>
                </c:pt>
                <c:pt idx="70">
                  <c:v>575639</c:v>
                </c:pt>
                <c:pt idx="71">
                  <c:v>577308</c:v>
                </c:pt>
                <c:pt idx="72">
                  <c:v>582151</c:v>
                </c:pt>
                <c:pt idx="73">
                  <c:v>583881</c:v>
                </c:pt>
                <c:pt idx="74">
                  <c:v>589607</c:v>
                </c:pt>
                <c:pt idx="75">
                  <c:v>587443</c:v>
                </c:pt>
                <c:pt idx="76">
                  <c:v>594591</c:v>
                </c:pt>
                <c:pt idx="77">
                  <c:v>587965</c:v>
                </c:pt>
                <c:pt idx="78">
                  <c:v>585595</c:v>
                </c:pt>
                <c:pt idx="79">
                  <c:v>589162</c:v>
                </c:pt>
                <c:pt idx="80">
                  <c:v>588050</c:v>
                </c:pt>
                <c:pt idx="81">
                  <c:v>586304</c:v>
                </c:pt>
                <c:pt idx="82">
                  <c:v>579762</c:v>
                </c:pt>
                <c:pt idx="83">
                  <c:v>576162</c:v>
                </c:pt>
                <c:pt idx="84">
                  <c:v>578613</c:v>
                </c:pt>
                <c:pt idx="85">
                  <c:v>575731</c:v>
                </c:pt>
                <c:pt idx="86">
                  <c:v>570773</c:v>
                </c:pt>
                <c:pt idx="87">
                  <c:v>568313</c:v>
                </c:pt>
                <c:pt idx="88">
                  <c:v>566071</c:v>
                </c:pt>
                <c:pt idx="89">
                  <c:v>560816</c:v>
                </c:pt>
                <c:pt idx="90">
                  <c:v>560802</c:v>
                </c:pt>
                <c:pt idx="91">
                  <c:v>559861</c:v>
                </c:pt>
                <c:pt idx="92">
                  <c:v>558213</c:v>
                </c:pt>
                <c:pt idx="93">
                  <c:v>557412</c:v>
                </c:pt>
                <c:pt idx="94">
                  <c:v>557434</c:v>
                </c:pt>
                <c:pt idx="95">
                  <c:v>556245</c:v>
                </c:pt>
                <c:pt idx="96">
                  <c:v>552971</c:v>
                </c:pt>
                <c:pt idx="97">
                  <c:v>554370</c:v>
                </c:pt>
                <c:pt idx="98">
                  <c:v>553959</c:v>
                </c:pt>
                <c:pt idx="99">
                  <c:v>559892</c:v>
                </c:pt>
                <c:pt idx="100">
                  <c:v>560638</c:v>
                </c:pt>
                <c:pt idx="101">
                  <c:v>558587</c:v>
                </c:pt>
                <c:pt idx="102">
                  <c:v>559019</c:v>
                </c:pt>
                <c:pt idx="103">
                  <c:v>556998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Data'!$FX$4</c:f>
              <c:strCache>
                <c:ptCount val="1"/>
                <c:pt idx="0">
                  <c:v>Assuming 2016-2019 trend had continued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Data'!$FV$6:$FV$110</c:f>
              <c:numCache>
                <c:formatCode>mmm\-yy</c:formatCode>
                <c:ptCount val="105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</c:numCache>
            </c:numRef>
          </c:cat>
          <c:val>
            <c:numRef>
              <c:f>'Chart Data'!$FX$6:$FX$110</c:f>
              <c:numCache>
                <c:formatCode>0.0</c:formatCode>
                <c:ptCount val="105"/>
                <c:pt idx="47" formatCode="0">
                  <c:v>425654</c:v>
                </c:pt>
                <c:pt idx="48" formatCode="0">
                  <c:v>427368.60416666669</c:v>
                </c:pt>
                <c:pt idx="49" formatCode="0">
                  <c:v>429083.20833333337</c:v>
                </c:pt>
                <c:pt idx="50" formatCode="0">
                  <c:v>430797.81250000006</c:v>
                </c:pt>
                <c:pt idx="51" formatCode="0">
                  <c:v>432512.41666666674</c:v>
                </c:pt>
                <c:pt idx="52" formatCode="0">
                  <c:v>434227.02083333343</c:v>
                </c:pt>
                <c:pt idx="53" formatCode="0">
                  <c:v>435941.62500000012</c:v>
                </c:pt>
                <c:pt idx="54" formatCode="0">
                  <c:v>437656.2291666668</c:v>
                </c:pt>
                <c:pt idx="55" formatCode="0">
                  <c:v>439370.83333333349</c:v>
                </c:pt>
                <c:pt idx="56" formatCode="0">
                  <c:v>441085.43750000017</c:v>
                </c:pt>
                <c:pt idx="57" formatCode="0">
                  <c:v>442800.04166666686</c:v>
                </c:pt>
                <c:pt idx="58" formatCode="0">
                  <c:v>444514.64583333355</c:v>
                </c:pt>
                <c:pt idx="59" formatCode="0">
                  <c:v>446229.25000000023</c:v>
                </c:pt>
                <c:pt idx="60" formatCode="0">
                  <c:v>447943.85416666692</c:v>
                </c:pt>
                <c:pt idx="61" formatCode="0">
                  <c:v>449658.4583333336</c:v>
                </c:pt>
                <c:pt idx="62" formatCode="0">
                  <c:v>451373.06250000029</c:v>
                </c:pt>
                <c:pt idx="63" formatCode="0">
                  <c:v>453087.66666666698</c:v>
                </c:pt>
                <c:pt idx="64" formatCode="0">
                  <c:v>454802.27083333366</c:v>
                </c:pt>
                <c:pt idx="65" formatCode="0">
                  <c:v>456516.87500000035</c:v>
                </c:pt>
                <c:pt idx="66" formatCode="0">
                  <c:v>458231.47916666704</c:v>
                </c:pt>
                <c:pt idx="67" formatCode="0">
                  <c:v>459946.08333333372</c:v>
                </c:pt>
                <c:pt idx="68" formatCode="0">
                  <c:v>461660.68750000041</c:v>
                </c:pt>
                <c:pt idx="69" formatCode="0">
                  <c:v>463375.29166666709</c:v>
                </c:pt>
                <c:pt idx="70" formatCode="0">
                  <c:v>465089.89583333378</c:v>
                </c:pt>
                <c:pt idx="71" formatCode="0">
                  <c:v>466804.50000000047</c:v>
                </c:pt>
                <c:pt idx="72" formatCode="0">
                  <c:v>468519.10416666715</c:v>
                </c:pt>
                <c:pt idx="73" formatCode="0">
                  <c:v>470233.70833333384</c:v>
                </c:pt>
                <c:pt idx="74" formatCode="0">
                  <c:v>471948.31250000052</c:v>
                </c:pt>
                <c:pt idx="75" formatCode="0">
                  <c:v>473662.91666666721</c:v>
                </c:pt>
                <c:pt idx="76" formatCode="0">
                  <c:v>475377.5208333339</c:v>
                </c:pt>
                <c:pt idx="77" formatCode="0">
                  <c:v>477092.12500000058</c:v>
                </c:pt>
                <c:pt idx="78" formatCode="0">
                  <c:v>478806.72916666727</c:v>
                </c:pt>
                <c:pt idx="79" formatCode="0">
                  <c:v>480521.33333333395</c:v>
                </c:pt>
                <c:pt idx="80" formatCode="0">
                  <c:v>482235.93750000064</c:v>
                </c:pt>
                <c:pt idx="81" formatCode="0">
                  <c:v>483950.54166666733</c:v>
                </c:pt>
                <c:pt idx="82" formatCode="0">
                  <c:v>485665.14583333401</c:v>
                </c:pt>
                <c:pt idx="83" formatCode="0">
                  <c:v>487379.7500000007</c:v>
                </c:pt>
                <c:pt idx="84" formatCode="0">
                  <c:v>489094.35416666738</c:v>
                </c:pt>
                <c:pt idx="85" formatCode="0">
                  <c:v>490808.95833333407</c:v>
                </c:pt>
                <c:pt idx="86" formatCode="0">
                  <c:v>492523.56250000076</c:v>
                </c:pt>
                <c:pt idx="87" formatCode="0">
                  <c:v>494238.16666666744</c:v>
                </c:pt>
                <c:pt idx="88" formatCode="0">
                  <c:v>495952.77083333413</c:v>
                </c:pt>
                <c:pt idx="89" formatCode="0">
                  <c:v>497667.37500000081</c:v>
                </c:pt>
                <c:pt idx="90" formatCode="0">
                  <c:v>499381.9791666675</c:v>
                </c:pt>
                <c:pt idx="91" formatCode="0">
                  <c:v>501096.58333333419</c:v>
                </c:pt>
                <c:pt idx="92" formatCode="0">
                  <c:v>502811.18750000087</c:v>
                </c:pt>
                <c:pt idx="93" formatCode="0">
                  <c:v>504525.79166666756</c:v>
                </c:pt>
                <c:pt idx="94" formatCode="0">
                  <c:v>506240.39583333425</c:v>
                </c:pt>
                <c:pt idx="95" formatCode="0">
                  <c:v>507955.00000000093</c:v>
                </c:pt>
                <c:pt idx="96" formatCode="0">
                  <c:v>509669.60416666762</c:v>
                </c:pt>
                <c:pt idx="97" formatCode="0">
                  <c:v>511384.2083333343</c:v>
                </c:pt>
                <c:pt idx="98" formatCode="0">
                  <c:v>513098.81250000099</c:v>
                </c:pt>
                <c:pt idx="99" formatCode="0">
                  <c:v>514813.41666666768</c:v>
                </c:pt>
                <c:pt idx="100" formatCode="0">
                  <c:v>516528.02083333436</c:v>
                </c:pt>
                <c:pt idx="101" formatCode="0">
                  <c:v>518242.62500000105</c:v>
                </c:pt>
                <c:pt idx="102" formatCode="0">
                  <c:v>519957.22916666773</c:v>
                </c:pt>
                <c:pt idx="103" formatCode="0">
                  <c:v>521671.83333333442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"/>
        <c:majorTimeUnit val="years"/>
      </c:dateAx>
      <c:valAx>
        <c:axId val="263608576"/>
        <c:scaling>
          <c:orientation val="minMax"/>
          <c:min val="30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2457215657758476"/>
          <c:y val="0.12617155929889878"/>
          <c:w val="0.79979656159438783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4211011759123327E-2"/>
          <c:y val="0.201948122821281"/>
          <c:w val="0.87464116138025116"/>
          <c:h val="0.65849580683602671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'Chart Data'!$BD$4</c:f>
              <c:strCache>
                <c:ptCount val="1"/>
                <c:pt idx="0">
                  <c:v>Hiking cycle</c:v>
                </c:pt>
              </c:strCache>
            </c:strRef>
          </c:tx>
          <c:spPr>
            <a:solidFill>
              <a:srgbClr val="7B7C77">
                <a:lumMod val="40000"/>
                <a:lumOff val="60000"/>
              </a:srgbClr>
            </a:solidFill>
            <a:ln>
              <a:noFill/>
            </a:ln>
          </c:spPr>
          <c:invertIfNegative val="0"/>
          <c:cat>
            <c:numRef>
              <c:f>'Chart Data'!$BA$5:$BA$38</c:f>
              <c:numCache>
                <c:formatCode>m/d/yyyy</c:formatCode>
                <c:ptCount val="3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</c:numCache>
            </c:numRef>
          </c:cat>
          <c:val>
            <c:numRef>
              <c:f>'Chart Data'!$BD$5:$BD$38</c:f>
              <c:numCache>
                <c:formatCode>0</c:formatCode>
                <c:ptCount val="3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79-4D88-B5F8-3AD02BA8CE04}"/>
            </c:ext>
          </c:extLst>
        </c:ser>
        <c:ser>
          <c:idx val="3"/>
          <c:order val="3"/>
          <c:tx>
            <c:strRef>
              <c:f>'Chart Data'!$BE$4</c:f>
              <c:strCache>
                <c:ptCount val="1"/>
                <c:pt idx="0">
                  <c:v>Cutting cycle</c:v>
                </c:pt>
              </c:strCache>
            </c:strRef>
          </c:tx>
          <c:spPr>
            <a:solidFill>
              <a:srgbClr val="7B7C77">
                <a:lumMod val="40000"/>
                <a:lumOff val="60000"/>
              </a:srgbClr>
            </a:solidFill>
            <a:ln>
              <a:noFill/>
            </a:ln>
          </c:spPr>
          <c:invertIfNegative val="0"/>
          <c:dPt>
            <c:idx val="3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C24-498A-8048-9B5BEECF4024}"/>
              </c:ext>
            </c:extLst>
          </c:dPt>
          <c:cat>
            <c:numRef>
              <c:f>'Chart Data'!$BA$5:$BA$38</c:f>
              <c:numCache>
                <c:formatCode>m/d/yyyy</c:formatCode>
                <c:ptCount val="3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</c:numCache>
            </c:numRef>
          </c:cat>
          <c:val>
            <c:numRef>
              <c:f>'Chart Data'!$BE$5:$BE$38</c:f>
              <c:numCache>
                <c:formatCode>0</c:formatCode>
                <c:ptCount val="34"/>
                <c:pt idx="32" formatCode="0.00">
                  <c:v>1000</c:v>
                </c:pt>
                <c:pt idx="33" formatCode="0.0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4-498A-8048-9B5BEECF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'Chart Data'!$BB$4</c:f>
              <c:strCache>
                <c:ptCount val="1"/>
                <c:pt idx="0">
                  <c:v>Non-financial corporations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Data'!$BA$5:$BA$38</c:f>
              <c:numCache>
                <c:formatCode>m/d/yyyy</c:formatCode>
                <c:ptCount val="3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</c:numCache>
            </c:numRef>
          </c:cat>
          <c:val>
            <c:numRef>
              <c:f>'Chart Data'!$BB$5:$BB$38</c:f>
              <c:numCache>
                <c:formatCode>0.00</c:formatCode>
                <c:ptCount val="34"/>
                <c:pt idx="0">
                  <c:v>4.9999999999999822E-2</c:v>
                </c:pt>
                <c:pt idx="1">
                  <c:v>0.10999999999999988</c:v>
                </c:pt>
                <c:pt idx="2">
                  <c:v>0.25</c:v>
                </c:pt>
                <c:pt idx="3">
                  <c:v>0.34999999999999964</c:v>
                </c:pt>
                <c:pt idx="4">
                  <c:v>0.44999999999999973</c:v>
                </c:pt>
                <c:pt idx="5">
                  <c:v>0.64999999999999991</c:v>
                </c:pt>
                <c:pt idx="6">
                  <c:v>0.7799999999999998</c:v>
                </c:pt>
                <c:pt idx="7">
                  <c:v>0.85999999999999988</c:v>
                </c:pt>
                <c:pt idx="8">
                  <c:v>1.17</c:v>
                </c:pt>
                <c:pt idx="9">
                  <c:v>1.38</c:v>
                </c:pt>
                <c:pt idx="10">
                  <c:v>1.63</c:v>
                </c:pt>
                <c:pt idx="11">
                  <c:v>2.12</c:v>
                </c:pt>
                <c:pt idx="12">
                  <c:v>2.4399999999999995</c:v>
                </c:pt>
                <c:pt idx="13">
                  <c:v>2.5999999999999996</c:v>
                </c:pt>
                <c:pt idx="14">
                  <c:v>2.95</c:v>
                </c:pt>
                <c:pt idx="15">
                  <c:v>3.09</c:v>
                </c:pt>
                <c:pt idx="16">
                  <c:v>3.21</c:v>
                </c:pt>
                <c:pt idx="17">
                  <c:v>3.34</c:v>
                </c:pt>
                <c:pt idx="18">
                  <c:v>3.62</c:v>
                </c:pt>
                <c:pt idx="19">
                  <c:v>3.8099999999999996</c:v>
                </c:pt>
                <c:pt idx="20">
                  <c:v>4.01</c:v>
                </c:pt>
                <c:pt idx="21">
                  <c:v>4.1099999999999994</c:v>
                </c:pt>
                <c:pt idx="22">
                  <c:v>4.08</c:v>
                </c:pt>
                <c:pt idx="23">
                  <c:v>4.0999999999999996</c:v>
                </c:pt>
                <c:pt idx="24">
                  <c:v>4.12</c:v>
                </c:pt>
                <c:pt idx="25">
                  <c:v>4.1399999999999997</c:v>
                </c:pt>
                <c:pt idx="26">
                  <c:v>4.1499999999999995</c:v>
                </c:pt>
                <c:pt idx="27">
                  <c:v>4.18</c:v>
                </c:pt>
                <c:pt idx="28">
                  <c:v>4.17</c:v>
                </c:pt>
                <c:pt idx="29">
                  <c:v>4.18</c:v>
                </c:pt>
                <c:pt idx="30">
                  <c:v>4.22</c:v>
                </c:pt>
                <c:pt idx="31">
                  <c:v>4.18</c:v>
                </c:pt>
                <c:pt idx="32">
                  <c:v>4.0699999999999994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9-4D88-B5F8-3AD02BA8CE04}"/>
            </c:ext>
          </c:extLst>
        </c:ser>
        <c:ser>
          <c:idx val="1"/>
          <c:order val="1"/>
          <c:tx>
            <c:strRef>
              <c:f>'Chart Data'!$BC$4</c:f>
              <c:strCache>
                <c:ptCount val="1"/>
                <c:pt idx="0">
                  <c:v>Secured household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Data'!$BA$5:$BA$38</c:f>
              <c:numCache>
                <c:formatCode>m/d/yyyy</c:formatCode>
                <c:ptCount val="3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</c:numCache>
            </c:numRef>
          </c:cat>
          <c:val>
            <c:numRef>
              <c:f>'Chart Data'!$BC$5:$BC$38</c:f>
              <c:numCache>
                <c:formatCode>0.00</c:formatCode>
                <c:ptCount val="34"/>
                <c:pt idx="0">
                  <c:v>-1.0000000000000231E-2</c:v>
                </c:pt>
                <c:pt idx="1">
                  <c:v>-1.0000000000000231E-2</c:v>
                </c:pt>
                <c:pt idx="2">
                  <c:v>0</c:v>
                </c:pt>
                <c:pt idx="3">
                  <c:v>2.9999999999999805E-2</c:v>
                </c:pt>
                <c:pt idx="4">
                  <c:v>2.9999999999999805E-2</c:v>
                </c:pt>
                <c:pt idx="5">
                  <c:v>6.0000000000000053E-2</c:v>
                </c:pt>
                <c:pt idx="6">
                  <c:v>0.10000000000000009</c:v>
                </c:pt>
                <c:pt idx="7">
                  <c:v>0.10999999999999988</c:v>
                </c:pt>
                <c:pt idx="8">
                  <c:v>0.16000000000000014</c:v>
                </c:pt>
                <c:pt idx="9">
                  <c:v>0.22999999999999998</c:v>
                </c:pt>
                <c:pt idx="10">
                  <c:v>0.27</c:v>
                </c:pt>
                <c:pt idx="11">
                  <c:v>0.37000000000000011</c:v>
                </c:pt>
                <c:pt idx="12">
                  <c:v>0.48999999999999977</c:v>
                </c:pt>
                <c:pt idx="13">
                  <c:v>0.5299999999999998</c:v>
                </c:pt>
                <c:pt idx="14">
                  <c:v>0.62999999999999989</c:v>
                </c:pt>
                <c:pt idx="15">
                  <c:v>0.73</c:v>
                </c:pt>
                <c:pt idx="16">
                  <c:v>0.73999999999999977</c:v>
                </c:pt>
                <c:pt idx="17">
                  <c:v>0.81</c:v>
                </c:pt>
                <c:pt idx="18">
                  <c:v>0.91000000000000014</c:v>
                </c:pt>
                <c:pt idx="19">
                  <c:v>0.96</c:v>
                </c:pt>
                <c:pt idx="20">
                  <c:v>1.0499999999999998</c:v>
                </c:pt>
                <c:pt idx="21">
                  <c:v>1.1400000000000001</c:v>
                </c:pt>
                <c:pt idx="22">
                  <c:v>1.2000000000000002</c:v>
                </c:pt>
                <c:pt idx="23">
                  <c:v>1.2599999999999998</c:v>
                </c:pt>
                <c:pt idx="24">
                  <c:v>1.35</c:v>
                </c:pt>
                <c:pt idx="25">
                  <c:v>1.4</c:v>
                </c:pt>
                <c:pt idx="26">
                  <c:v>1.4700000000000002</c:v>
                </c:pt>
                <c:pt idx="27">
                  <c:v>1.4899999999999998</c:v>
                </c:pt>
                <c:pt idx="28">
                  <c:v>1.56</c:v>
                </c:pt>
                <c:pt idx="29">
                  <c:v>1.6</c:v>
                </c:pt>
                <c:pt idx="30">
                  <c:v>1.6400000000000001</c:v>
                </c:pt>
                <c:pt idx="31">
                  <c:v>1.6800000000000002</c:v>
                </c:pt>
                <c:pt idx="32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9-4D88-B5F8-3AD02BA8CE04}"/>
            </c:ext>
          </c:extLst>
        </c:ser>
        <c:ser>
          <c:idx val="4"/>
          <c:order val="4"/>
          <c:tx>
            <c:strRef>
              <c:f>'Chart Data'!$BF$4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Data'!$BA$5:$BA$38</c:f>
              <c:numCache>
                <c:formatCode>m/d/yyyy</c:formatCode>
                <c:ptCount val="3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</c:numCache>
            </c:numRef>
          </c:cat>
          <c:val>
            <c:numRef>
              <c:f>'Chart Data'!$BF$5:$BF$38</c:f>
              <c:numCache>
                <c:formatCode>0.00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24-498A-8048-9B5BEECF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6"/>
        <c:tickMarkSkip val="3"/>
        <c:noMultiLvlLbl val="0"/>
      </c:catAx>
      <c:valAx>
        <c:axId val="263608576"/>
        <c:scaling>
          <c:orientation val="minMax"/>
          <c:max val="5"/>
          <c:min val="0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3463540786215283"/>
          <c:y val="7.730776227229022E-2"/>
          <c:w val="0.74646037041979918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4458966532899485E-2"/>
          <c:y val="0.14714391023940784"/>
          <c:w val="0.87045113504395588"/>
          <c:h val="0.712639860869834"/>
        </c:manualLayout>
      </c:layout>
      <c:lineChart>
        <c:grouping val="standard"/>
        <c:varyColors val="0"/>
        <c:ser>
          <c:idx val="2"/>
          <c:order val="0"/>
          <c:tx>
            <c:strRef>
              <c:f>'Chart Data'!$FD$4</c:f>
              <c:strCache>
                <c:ptCount val="1"/>
                <c:pt idx="0">
                  <c:v>All firms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Data'!$FC$5:$FC$73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Data'!$FD$5:$FD$73</c:f>
              <c:numCache>
                <c:formatCode>0.0</c:formatCode>
                <c:ptCount val="69"/>
                <c:pt idx="0">
                  <c:v>98.455792884388401</c:v>
                </c:pt>
                <c:pt idx="1">
                  <c:v>99.010631946881276</c:v>
                </c:pt>
                <c:pt idx="2">
                  <c:v>98.884853235383915</c:v>
                </c:pt>
                <c:pt idx="3">
                  <c:v>98.093039788910502</c:v>
                </c:pt>
                <c:pt idx="4">
                  <c:v>99.160108096776696</c:v>
                </c:pt>
                <c:pt idx="5">
                  <c:v>99.441515177753573</c:v>
                </c:pt>
                <c:pt idx="6">
                  <c:v>98.930880952272446</c:v>
                </c:pt>
                <c:pt idx="7">
                  <c:v>99.53767209125337</c:v>
                </c:pt>
                <c:pt idx="8">
                  <c:v>99.759379856265923</c:v>
                </c:pt>
                <c:pt idx="9">
                  <c:v>99.863967589195795</c:v>
                </c:pt>
                <c:pt idx="10">
                  <c:v>100.82827104400889</c:v>
                </c:pt>
                <c:pt idx="11">
                  <c:v>100.93992243646125</c:v>
                </c:pt>
                <c:pt idx="12">
                  <c:v>99.743657517328757</c:v>
                </c:pt>
                <c:pt idx="13">
                  <c:v>100</c:v>
                </c:pt>
                <c:pt idx="14">
                  <c:v>107.71465549848929</c:v>
                </c:pt>
                <c:pt idx="15">
                  <c:v>110.99310495686609</c:v>
                </c:pt>
                <c:pt idx="16">
                  <c:v>113.54627608427175</c:v>
                </c:pt>
                <c:pt idx="17">
                  <c:v>112.34522610546271</c:v>
                </c:pt>
                <c:pt idx="18">
                  <c:v>111.57779367734115</c:v>
                </c:pt>
                <c:pt idx="19">
                  <c:v>112.20053501524383</c:v>
                </c:pt>
                <c:pt idx="20">
                  <c:v>111.60308613563137</c:v>
                </c:pt>
                <c:pt idx="21">
                  <c:v>110.41639133585196</c:v>
                </c:pt>
                <c:pt idx="22">
                  <c:v>110.5492337068718</c:v>
                </c:pt>
                <c:pt idx="23">
                  <c:v>111.13073238756247</c:v>
                </c:pt>
                <c:pt idx="24">
                  <c:v>110.51323182930552</c:v>
                </c:pt>
                <c:pt idx="25">
                  <c:v>110.92862058122526</c:v>
                </c:pt>
                <c:pt idx="26">
                  <c:v>111.49052330324064</c:v>
                </c:pt>
                <c:pt idx="27">
                  <c:v>110.22020388911422</c:v>
                </c:pt>
                <c:pt idx="28">
                  <c:v>110.15503593351956</c:v>
                </c:pt>
                <c:pt idx="29">
                  <c:v>110.97510401808297</c:v>
                </c:pt>
                <c:pt idx="30">
                  <c:v>111.46614228488878</c:v>
                </c:pt>
                <c:pt idx="31">
                  <c:v>111.11409860868693</c:v>
                </c:pt>
                <c:pt idx="32">
                  <c:v>110.30679068326094</c:v>
                </c:pt>
                <c:pt idx="33">
                  <c:v>110.87325060496826</c:v>
                </c:pt>
                <c:pt idx="34">
                  <c:v>111.13802390706959</c:v>
                </c:pt>
                <c:pt idx="35">
                  <c:v>111.56457779823454</c:v>
                </c:pt>
                <c:pt idx="36">
                  <c:v>110.47700209175466</c:v>
                </c:pt>
                <c:pt idx="37">
                  <c:v>111.33557851371489</c:v>
                </c:pt>
                <c:pt idx="38">
                  <c:v>112.21466233428883</c:v>
                </c:pt>
                <c:pt idx="39">
                  <c:v>111.5258416008531</c:v>
                </c:pt>
                <c:pt idx="40">
                  <c:v>111.44586274625968</c:v>
                </c:pt>
                <c:pt idx="41">
                  <c:v>112.24610701216318</c:v>
                </c:pt>
                <c:pt idx="42">
                  <c:v>111.83254114012023</c:v>
                </c:pt>
                <c:pt idx="43">
                  <c:v>113.32616333915135</c:v>
                </c:pt>
                <c:pt idx="44">
                  <c:v>113.96143697620687</c:v>
                </c:pt>
                <c:pt idx="45">
                  <c:v>112.31127496775781</c:v>
                </c:pt>
                <c:pt idx="46">
                  <c:v>112.22423245364187</c:v>
                </c:pt>
                <c:pt idx="47">
                  <c:v>113.17759862919434</c:v>
                </c:pt>
                <c:pt idx="48">
                  <c:v>110.81628560881909</c:v>
                </c:pt>
                <c:pt idx="49">
                  <c:v>110.8285900479873</c:v>
                </c:pt>
                <c:pt idx="50">
                  <c:v>111.77010750434073</c:v>
                </c:pt>
                <c:pt idx="51">
                  <c:v>111.12412444800918</c:v>
                </c:pt>
                <c:pt idx="52">
                  <c:v>111.24329521995324</c:v>
                </c:pt>
                <c:pt idx="53">
                  <c:v>109.89755415092534</c:v>
                </c:pt>
                <c:pt idx="54">
                  <c:v>109.93127742864563</c:v>
                </c:pt>
                <c:pt idx="55">
                  <c:v>110.23387548819001</c:v>
                </c:pt>
                <c:pt idx="56">
                  <c:v>111.1981789430031</c:v>
                </c:pt>
                <c:pt idx="57">
                  <c:v>111.12070654824025</c:v>
                </c:pt>
                <c:pt idx="58">
                  <c:v>110.62944042144981</c:v>
                </c:pt>
                <c:pt idx="59">
                  <c:v>111.0070044159265</c:v>
                </c:pt>
                <c:pt idx="60">
                  <c:v>110.23843268788195</c:v>
                </c:pt>
                <c:pt idx="61">
                  <c:v>110.26007938641864</c:v>
                </c:pt>
                <c:pt idx="62">
                  <c:v>111.01315663551061</c:v>
                </c:pt>
                <c:pt idx="63">
                  <c:v>110.30154990361522</c:v>
                </c:pt>
                <c:pt idx="64">
                  <c:v>110.28810616452402</c:v>
                </c:pt>
                <c:pt idx="65">
                  <c:v>111.15351838602217</c:v>
                </c:pt>
                <c:pt idx="66">
                  <c:v>110.44669671380329</c:v>
                </c:pt>
                <c:pt idx="67">
                  <c:v>111.60376971558517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0"/>
          <c:order val="1"/>
          <c:tx>
            <c:strRef>
              <c:f>'Chart Data'!$FE$4</c:f>
              <c:strCache>
                <c:ptCount val="1"/>
                <c:pt idx="0">
                  <c:v>SMEs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Data'!$FC$5:$FC$73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Data'!$FE$5:$FE$73</c:f>
              <c:numCache>
                <c:formatCode>0.0</c:formatCode>
                <c:ptCount val="69"/>
                <c:pt idx="0">
                  <c:v>98.994790661778893</c:v>
                </c:pt>
                <c:pt idx="1">
                  <c:v>98.881600102900506</c:v>
                </c:pt>
                <c:pt idx="2">
                  <c:v>99.062319120200655</c:v>
                </c:pt>
                <c:pt idx="3">
                  <c:v>98.668081548652637</c:v>
                </c:pt>
                <c:pt idx="4">
                  <c:v>99.295131519711873</c:v>
                </c:pt>
                <c:pt idx="5">
                  <c:v>100.0553090230883</c:v>
                </c:pt>
                <c:pt idx="6">
                  <c:v>99.586468583188619</c:v>
                </c:pt>
                <c:pt idx="7">
                  <c:v>99.743391857997295</c:v>
                </c:pt>
                <c:pt idx="8">
                  <c:v>99.527300791047651</c:v>
                </c:pt>
                <c:pt idx="9">
                  <c:v>99.468132998906682</c:v>
                </c:pt>
                <c:pt idx="10">
                  <c:v>100.59617981863786</c:v>
                </c:pt>
                <c:pt idx="11">
                  <c:v>100.46369541449612</c:v>
                </c:pt>
                <c:pt idx="12">
                  <c:v>100.03858769052671</c:v>
                </c:pt>
                <c:pt idx="13">
                  <c:v>100</c:v>
                </c:pt>
                <c:pt idx="14">
                  <c:v>101.42710142131325</c:v>
                </c:pt>
                <c:pt idx="15">
                  <c:v>102.26252492121679</c:v>
                </c:pt>
                <c:pt idx="16">
                  <c:v>115.31931313910862</c:v>
                </c:pt>
                <c:pt idx="17">
                  <c:v>122.10495851823269</c:v>
                </c:pt>
                <c:pt idx="18">
                  <c:v>125.37719467489872</c:v>
                </c:pt>
                <c:pt idx="19">
                  <c:v>127.06926490449545</c:v>
                </c:pt>
                <c:pt idx="20">
                  <c:v>128.86552189851437</c:v>
                </c:pt>
                <c:pt idx="21">
                  <c:v>130.04566210045664</c:v>
                </c:pt>
                <c:pt idx="22">
                  <c:v>131.10618046176603</c:v>
                </c:pt>
                <c:pt idx="23">
                  <c:v>131.79497073766802</c:v>
                </c:pt>
                <c:pt idx="24">
                  <c:v>132.17055759212809</c:v>
                </c:pt>
                <c:pt idx="25">
                  <c:v>132.72107531030935</c:v>
                </c:pt>
                <c:pt idx="26">
                  <c:v>133.46903337835229</c:v>
                </c:pt>
                <c:pt idx="27">
                  <c:v>133.107595343752</c:v>
                </c:pt>
                <c:pt idx="28">
                  <c:v>132.4085150170429</c:v>
                </c:pt>
                <c:pt idx="29">
                  <c:v>131.99498360023151</c:v>
                </c:pt>
                <c:pt idx="30">
                  <c:v>131.1100392308187</c:v>
                </c:pt>
                <c:pt idx="31">
                  <c:v>130.41674705768861</c:v>
                </c:pt>
                <c:pt idx="32">
                  <c:v>130.29776834523122</c:v>
                </c:pt>
                <c:pt idx="33">
                  <c:v>129.76976011319056</c:v>
                </c:pt>
                <c:pt idx="34">
                  <c:v>129.55881407164446</c:v>
                </c:pt>
                <c:pt idx="35">
                  <c:v>128.93497974146246</c:v>
                </c:pt>
                <c:pt idx="36">
                  <c:v>127.8423049713808</c:v>
                </c:pt>
                <c:pt idx="37">
                  <c:v>128.41340279117628</c:v>
                </c:pt>
                <c:pt idx="38">
                  <c:v>128.25133449096404</c:v>
                </c:pt>
                <c:pt idx="39">
                  <c:v>127.34902566081421</c:v>
                </c:pt>
                <c:pt idx="40">
                  <c:v>126.59656569554312</c:v>
                </c:pt>
                <c:pt idx="41">
                  <c:v>125.58363881921667</c:v>
                </c:pt>
                <c:pt idx="42">
                  <c:v>125.10708084121165</c:v>
                </c:pt>
                <c:pt idx="43">
                  <c:v>124.54884558492508</c:v>
                </c:pt>
                <c:pt idx="44">
                  <c:v>124.30510000643129</c:v>
                </c:pt>
                <c:pt idx="45">
                  <c:v>122.82268956202971</c:v>
                </c:pt>
                <c:pt idx="46">
                  <c:v>122.10431539005724</c:v>
                </c:pt>
                <c:pt idx="47">
                  <c:v>121.21808476429352</c:v>
                </c:pt>
                <c:pt idx="48">
                  <c:v>119.59289986494308</c:v>
                </c:pt>
                <c:pt idx="49">
                  <c:v>119.32857418483505</c:v>
                </c:pt>
                <c:pt idx="50">
                  <c:v>118.81535790082964</c:v>
                </c:pt>
                <c:pt idx="51">
                  <c:v>117.85902630394239</c:v>
                </c:pt>
                <c:pt idx="52">
                  <c:v>117.29886166312946</c:v>
                </c:pt>
                <c:pt idx="53">
                  <c:v>116.45700688147147</c:v>
                </c:pt>
                <c:pt idx="54">
                  <c:v>115.66017107209467</c:v>
                </c:pt>
                <c:pt idx="55">
                  <c:v>115.24728278345874</c:v>
                </c:pt>
                <c:pt idx="56">
                  <c:v>114.91800115763071</c:v>
                </c:pt>
                <c:pt idx="57">
                  <c:v>114.14817673162261</c:v>
                </c:pt>
                <c:pt idx="58">
                  <c:v>113.62659978133642</c:v>
                </c:pt>
                <c:pt idx="59">
                  <c:v>112.77959997427487</c:v>
                </c:pt>
                <c:pt idx="60">
                  <c:v>111.9930542157052</c:v>
                </c:pt>
                <c:pt idx="61">
                  <c:v>112.11846420991705</c:v>
                </c:pt>
                <c:pt idx="62">
                  <c:v>111.90237314296741</c:v>
                </c:pt>
                <c:pt idx="63">
                  <c:v>111.2785388127854</c:v>
                </c:pt>
                <c:pt idx="64">
                  <c:v>110.09325358543958</c:v>
                </c:pt>
                <c:pt idx="65">
                  <c:v>110.52672197568975</c:v>
                </c:pt>
                <c:pt idx="66">
                  <c:v>109.96655733487684</c:v>
                </c:pt>
                <c:pt idx="67">
                  <c:v>109.41603961669561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2"/>
          <c:tx>
            <c:strRef>
              <c:f>'Chart Data'!$FF$4</c:f>
              <c:strCache>
                <c:ptCount val="1"/>
                <c:pt idx="0">
                  <c:v>Large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Data'!$FC$5:$FC$73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Data'!$FF$5:$FF$73</c:f>
              <c:numCache>
                <c:formatCode>0.0</c:formatCode>
                <c:ptCount val="69"/>
                <c:pt idx="0">
                  <c:v>98.160041781943434</c:v>
                </c:pt>
                <c:pt idx="1">
                  <c:v>99.081432443114451</c:v>
                </c:pt>
                <c:pt idx="2">
                  <c:v>98.787476709389637</c:v>
                </c:pt>
                <c:pt idx="3">
                  <c:v>97.777511151261933</c:v>
                </c:pt>
                <c:pt idx="4">
                  <c:v>99.086019987578339</c:v>
                </c:pt>
                <c:pt idx="5">
                  <c:v>99.104723053469584</c:v>
                </c:pt>
                <c:pt idx="6">
                  <c:v>98.571156343515327</c:v>
                </c:pt>
                <c:pt idx="7">
                  <c:v>99.424792501835014</c:v>
                </c:pt>
                <c:pt idx="8">
                  <c:v>99.886722940545425</c:v>
                </c:pt>
                <c:pt idx="9">
                  <c:v>100.08116424820732</c:v>
                </c:pt>
                <c:pt idx="10">
                  <c:v>100.95562080063239</c:v>
                </c:pt>
                <c:pt idx="11">
                  <c:v>101.20123087346846</c:v>
                </c:pt>
                <c:pt idx="12">
                  <c:v>99.581827677714415</c:v>
                </c:pt>
                <c:pt idx="13">
                  <c:v>100</c:v>
                </c:pt>
                <c:pt idx="14">
                  <c:v>111.16467167297159</c:v>
                </c:pt>
                <c:pt idx="15">
                  <c:v>115.78362317203998</c:v>
                </c:pt>
                <c:pt idx="16">
                  <c:v>112.57340071142228</c:v>
                </c:pt>
                <c:pt idx="17">
                  <c:v>106.99000621082943</c:v>
                </c:pt>
                <c:pt idx="18">
                  <c:v>104.00598498108519</c:v>
                </c:pt>
                <c:pt idx="19">
                  <c:v>104.04197956072498</c:v>
                </c:pt>
                <c:pt idx="20">
                  <c:v>102.1310908474959</c:v>
                </c:pt>
                <c:pt idx="21">
                  <c:v>99.645700412173227</c:v>
                </c:pt>
                <c:pt idx="22">
                  <c:v>99.269521766134034</c:v>
                </c:pt>
                <c:pt idx="23">
                  <c:v>99.79214894698211</c:v>
                </c:pt>
                <c:pt idx="24">
                  <c:v>98.62973575743888</c:v>
                </c:pt>
                <c:pt idx="25">
                  <c:v>98.970978487945345</c:v>
                </c:pt>
                <c:pt idx="26">
                  <c:v>99.430791598441644</c:v>
                </c:pt>
                <c:pt idx="27">
                  <c:v>97.661763875557568</c:v>
                </c:pt>
                <c:pt idx="28">
                  <c:v>97.944427192140481</c:v>
                </c:pt>
                <c:pt idx="29">
                  <c:v>99.441378239512161</c:v>
                </c:pt>
                <c:pt idx="30">
                  <c:v>100.68742589351251</c:v>
                </c:pt>
                <c:pt idx="31">
                  <c:v>100.52262718084806</c:v>
                </c:pt>
                <c:pt idx="32">
                  <c:v>99.337629157021055</c:v>
                </c:pt>
                <c:pt idx="33">
                  <c:v>100.50462989102817</c:v>
                </c:pt>
                <c:pt idx="34">
                  <c:v>101.03043306419738</c:v>
                </c:pt>
                <c:pt idx="35">
                  <c:v>102.03334086161142</c:v>
                </c:pt>
                <c:pt idx="36">
                  <c:v>100.94856303991871</c:v>
                </c:pt>
                <c:pt idx="37">
                  <c:v>101.96488058268874</c:v>
                </c:pt>
                <c:pt idx="38">
                  <c:v>103.41525040935011</c:v>
                </c:pt>
                <c:pt idx="39">
                  <c:v>102.84357179154198</c:v>
                </c:pt>
                <c:pt idx="40">
                  <c:v>103.13258709276721</c:v>
                </c:pt>
                <c:pt idx="41">
                  <c:v>104.92772853029192</c:v>
                </c:pt>
                <c:pt idx="42">
                  <c:v>104.54872677996725</c:v>
                </c:pt>
                <c:pt idx="43">
                  <c:v>107.16821466884987</c:v>
                </c:pt>
                <c:pt idx="44">
                  <c:v>108.28581107786121</c:v>
                </c:pt>
                <c:pt idx="45">
                  <c:v>106.54360284568911</c:v>
                </c:pt>
                <c:pt idx="46">
                  <c:v>106.80297555191689</c:v>
                </c:pt>
                <c:pt idx="47">
                  <c:v>108.76573880639151</c:v>
                </c:pt>
                <c:pt idx="48">
                  <c:v>106.00050815877138</c:v>
                </c:pt>
                <c:pt idx="49">
                  <c:v>106.16460109536445</c:v>
                </c:pt>
                <c:pt idx="50">
                  <c:v>107.90433911128676</c:v>
                </c:pt>
                <c:pt idx="51">
                  <c:v>107.4286460391847</c:v>
                </c:pt>
                <c:pt idx="52">
                  <c:v>107.92057196092824</c:v>
                </c:pt>
                <c:pt idx="53">
                  <c:v>106.29834566088871</c:v>
                </c:pt>
                <c:pt idx="54">
                  <c:v>106.78780136638248</c:v>
                </c:pt>
                <c:pt idx="55">
                  <c:v>107.48299079668003</c:v>
                </c:pt>
                <c:pt idx="56">
                  <c:v>109.1570916379651</c:v>
                </c:pt>
                <c:pt idx="57">
                  <c:v>109.45951668454632</c:v>
                </c:pt>
                <c:pt idx="58">
                  <c:v>108.9848822765513</c:v>
                </c:pt>
                <c:pt idx="59">
                  <c:v>110.03437129467561</c:v>
                </c:pt>
                <c:pt idx="60">
                  <c:v>109.27566201795493</c:v>
                </c:pt>
                <c:pt idx="61">
                  <c:v>109.24037321438654</c:v>
                </c:pt>
                <c:pt idx="62">
                  <c:v>110.52523855231213</c:v>
                </c:pt>
                <c:pt idx="63">
                  <c:v>109.76547061148439</c:v>
                </c:pt>
                <c:pt idx="64">
                  <c:v>110.3950228671447</c:v>
                </c:pt>
                <c:pt idx="65">
                  <c:v>111.49744509062165</c:v>
                </c:pt>
                <c:pt idx="66">
                  <c:v>110.71015188301057</c:v>
                </c:pt>
                <c:pt idx="67">
                  <c:v>112.80418948675963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3"/>
          <c:order val="3"/>
          <c:tx>
            <c:strRef>
              <c:f>'Chart Data'!$FG$4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Data'!$FC$5:$FC$73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Data'!$FG$5:$FG$73</c:f>
              <c:numCache>
                <c:formatCode>General</c:formatCode>
                <c:ptCount val="6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B-4D71-B2A6-2094A6FEA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9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842106262140961"/>
          <c:y val="9.0415381245661106E-2"/>
          <c:w val="0.48226771653543304"/>
          <c:h val="7.0465795735929052E-2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Data'!$IR$4</c:f>
              <c:strCache>
                <c:ptCount val="1"/>
                <c:pt idx="0">
                  <c:v>Expected change in loan demand due to investment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Data'!$IQ$5:$IQ$76</c:f>
              <c:numCache>
                <c:formatCode>General</c:formatCode>
                <c:ptCount val="72"/>
                <c:pt idx="0">
                  <c:v>2007</c:v>
                </c:pt>
                <c:pt idx="4">
                  <c:v>2008</c:v>
                </c:pt>
                <c:pt idx="8">
                  <c:v>2009</c:v>
                </c:pt>
                <c:pt idx="12">
                  <c:v>2010</c:v>
                </c:pt>
                <c:pt idx="16">
                  <c:v>2011</c:v>
                </c:pt>
                <c:pt idx="20">
                  <c:v>2012</c:v>
                </c:pt>
                <c:pt idx="24">
                  <c:v>2013</c:v>
                </c:pt>
                <c:pt idx="28">
                  <c:v>2014</c:v>
                </c:pt>
                <c:pt idx="32">
                  <c:v>2015</c:v>
                </c:pt>
                <c:pt idx="36">
                  <c:v>2016</c:v>
                </c:pt>
                <c:pt idx="40">
                  <c:v>2017</c:v>
                </c:pt>
                <c:pt idx="44">
                  <c:v>2018</c:v>
                </c:pt>
                <c:pt idx="48">
                  <c:v>2019</c:v>
                </c:pt>
                <c:pt idx="52">
                  <c:v>2020</c:v>
                </c:pt>
                <c:pt idx="56">
                  <c:v>2021</c:v>
                </c:pt>
                <c:pt idx="60">
                  <c:v>2022</c:v>
                </c:pt>
                <c:pt idx="64">
                  <c:v>2023</c:v>
                </c:pt>
                <c:pt idx="68">
                  <c:v>2024</c:v>
                </c:pt>
              </c:numCache>
            </c:numRef>
          </c:cat>
          <c:val>
            <c:numRef>
              <c:f>'Chart Data'!$IR$5:$IR$76</c:f>
              <c:numCache>
                <c:formatCode>General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-4.2</c:v>
                </c:pt>
                <c:pt idx="3">
                  <c:v>-27.5</c:v>
                </c:pt>
                <c:pt idx="4">
                  <c:v>-8.3000000000000007</c:v>
                </c:pt>
                <c:pt idx="5">
                  <c:v>-10.6</c:v>
                </c:pt>
                <c:pt idx="6">
                  <c:v>-15.1</c:v>
                </c:pt>
                <c:pt idx="7">
                  <c:v>-51.7</c:v>
                </c:pt>
                <c:pt idx="8">
                  <c:v>-47.5</c:v>
                </c:pt>
                <c:pt idx="9">
                  <c:v>-28.4</c:v>
                </c:pt>
                <c:pt idx="10">
                  <c:v>-24.2</c:v>
                </c:pt>
                <c:pt idx="11">
                  <c:v>-6.6</c:v>
                </c:pt>
                <c:pt idx="12">
                  <c:v>-5.2</c:v>
                </c:pt>
                <c:pt idx="13">
                  <c:v>-0.7</c:v>
                </c:pt>
                <c:pt idx="14">
                  <c:v>0.7</c:v>
                </c:pt>
                <c:pt idx="15">
                  <c:v>2.2999999999999998</c:v>
                </c:pt>
                <c:pt idx="16">
                  <c:v>-0.8</c:v>
                </c:pt>
                <c:pt idx="17">
                  <c:v>-0.9</c:v>
                </c:pt>
                <c:pt idx="18">
                  <c:v>-7.4</c:v>
                </c:pt>
                <c:pt idx="19">
                  <c:v>-12.2</c:v>
                </c:pt>
                <c:pt idx="20">
                  <c:v>-3.2</c:v>
                </c:pt>
                <c:pt idx="21">
                  <c:v>-1.6</c:v>
                </c:pt>
                <c:pt idx="22">
                  <c:v>-1.3</c:v>
                </c:pt>
                <c:pt idx="23">
                  <c:v>-6.5</c:v>
                </c:pt>
                <c:pt idx="24">
                  <c:v>-0.9</c:v>
                </c:pt>
                <c:pt idx="25">
                  <c:v>3.9</c:v>
                </c:pt>
                <c:pt idx="26">
                  <c:v>2.8</c:v>
                </c:pt>
                <c:pt idx="27">
                  <c:v>19.399999999999999</c:v>
                </c:pt>
                <c:pt idx="28">
                  <c:v>37.6</c:v>
                </c:pt>
                <c:pt idx="29">
                  <c:v>25.2</c:v>
                </c:pt>
                <c:pt idx="30">
                  <c:v>24.6</c:v>
                </c:pt>
                <c:pt idx="31">
                  <c:v>3.8</c:v>
                </c:pt>
                <c:pt idx="32">
                  <c:v>3.9</c:v>
                </c:pt>
                <c:pt idx="33">
                  <c:v>1.1000000000000001</c:v>
                </c:pt>
                <c:pt idx="34">
                  <c:v>10.5</c:v>
                </c:pt>
                <c:pt idx="35">
                  <c:v>0</c:v>
                </c:pt>
                <c:pt idx="36">
                  <c:v>0.6</c:v>
                </c:pt>
                <c:pt idx="37">
                  <c:v>-4.9000000000000004</c:v>
                </c:pt>
                <c:pt idx="38">
                  <c:v>0</c:v>
                </c:pt>
                <c:pt idx="39">
                  <c:v>-6</c:v>
                </c:pt>
                <c:pt idx="40">
                  <c:v>-2.6</c:v>
                </c:pt>
                <c:pt idx="41">
                  <c:v>11.5</c:v>
                </c:pt>
                <c:pt idx="42">
                  <c:v>-10.9</c:v>
                </c:pt>
                <c:pt idx="43">
                  <c:v>-11</c:v>
                </c:pt>
                <c:pt idx="44">
                  <c:v>-11</c:v>
                </c:pt>
                <c:pt idx="45">
                  <c:v>0.8</c:v>
                </c:pt>
                <c:pt idx="46">
                  <c:v>-8.6</c:v>
                </c:pt>
                <c:pt idx="47">
                  <c:v>-17.3</c:v>
                </c:pt>
                <c:pt idx="48">
                  <c:v>-14.2</c:v>
                </c:pt>
                <c:pt idx="49">
                  <c:v>-9.6</c:v>
                </c:pt>
                <c:pt idx="50">
                  <c:v>-8.1</c:v>
                </c:pt>
                <c:pt idx="51">
                  <c:v>-18.5</c:v>
                </c:pt>
                <c:pt idx="52">
                  <c:v>-27.4</c:v>
                </c:pt>
                <c:pt idx="53">
                  <c:v>-52.3</c:v>
                </c:pt>
                <c:pt idx="54">
                  <c:v>-14.8</c:v>
                </c:pt>
                <c:pt idx="55">
                  <c:v>-18.5</c:v>
                </c:pt>
                <c:pt idx="56">
                  <c:v>-6.8</c:v>
                </c:pt>
                <c:pt idx="57">
                  <c:v>23.7</c:v>
                </c:pt>
                <c:pt idx="58">
                  <c:v>18.2</c:v>
                </c:pt>
                <c:pt idx="59">
                  <c:v>14.1</c:v>
                </c:pt>
                <c:pt idx="60">
                  <c:v>1.6</c:v>
                </c:pt>
                <c:pt idx="61">
                  <c:v>-3.1</c:v>
                </c:pt>
                <c:pt idx="62">
                  <c:v>-5.4</c:v>
                </c:pt>
                <c:pt idx="63">
                  <c:v>-10.199999999999999</c:v>
                </c:pt>
                <c:pt idx="64">
                  <c:v>-14.9</c:v>
                </c:pt>
                <c:pt idx="65">
                  <c:v>1</c:v>
                </c:pt>
                <c:pt idx="66">
                  <c:v>-6.9</c:v>
                </c:pt>
                <c:pt idx="67">
                  <c:v>-2.5</c:v>
                </c:pt>
                <c:pt idx="68">
                  <c:v>10.9</c:v>
                </c:pt>
                <c:pt idx="69">
                  <c:v>1.4</c:v>
                </c:pt>
                <c:pt idx="70">
                  <c:v>3.4</c:v>
                </c:pt>
                <c:pt idx="71">
                  <c:v>14.7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Data'!$IS$4</c:f>
              <c:strCache>
                <c:ptCount val="1"/>
                <c:pt idx="0">
                  <c:v>Business investment (RHS)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Data'!$IQ$5:$IQ$76</c:f>
              <c:numCache>
                <c:formatCode>General</c:formatCode>
                <c:ptCount val="72"/>
                <c:pt idx="0">
                  <c:v>2007</c:v>
                </c:pt>
                <c:pt idx="4">
                  <c:v>2008</c:v>
                </c:pt>
                <c:pt idx="8">
                  <c:v>2009</c:v>
                </c:pt>
                <c:pt idx="12">
                  <c:v>2010</c:v>
                </c:pt>
                <c:pt idx="16">
                  <c:v>2011</c:v>
                </c:pt>
                <c:pt idx="20">
                  <c:v>2012</c:v>
                </c:pt>
                <c:pt idx="24">
                  <c:v>2013</c:v>
                </c:pt>
                <c:pt idx="28">
                  <c:v>2014</c:v>
                </c:pt>
                <c:pt idx="32">
                  <c:v>2015</c:v>
                </c:pt>
                <c:pt idx="36">
                  <c:v>2016</c:v>
                </c:pt>
                <c:pt idx="40">
                  <c:v>2017</c:v>
                </c:pt>
                <c:pt idx="44">
                  <c:v>2018</c:v>
                </c:pt>
                <c:pt idx="48">
                  <c:v>2019</c:v>
                </c:pt>
                <c:pt idx="52">
                  <c:v>2020</c:v>
                </c:pt>
                <c:pt idx="56">
                  <c:v>2021</c:v>
                </c:pt>
                <c:pt idx="60">
                  <c:v>2022</c:v>
                </c:pt>
                <c:pt idx="64">
                  <c:v>2023</c:v>
                </c:pt>
                <c:pt idx="68">
                  <c:v>2024</c:v>
                </c:pt>
              </c:numCache>
            </c:numRef>
          </c:cat>
          <c:val>
            <c:numRef>
              <c:f>'Chart Data'!$IS$5:$IS$76</c:f>
              <c:numCache>
                <c:formatCode>0.0</c:formatCode>
                <c:ptCount val="72"/>
                <c:pt idx="0">
                  <c:v>8.6831896551724075</c:v>
                </c:pt>
                <c:pt idx="1">
                  <c:v>14.678178963893252</c:v>
                </c:pt>
                <c:pt idx="2">
                  <c:v>1.794973241988207</c:v>
                </c:pt>
                <c:pt idx="3">
                  <c:v>10.124898688667683</c:v>
                </c:pt>
                <c:pt idx="4">
                  <c:v>-2.5877967042773009</c:v>
                </c:pt>
                <c:pt idx="5">
                  <c:v>-0.28356311723868322</c:v>
                </c:pt>
                <c:pt idx="6">
                  <c:v>0.3416180832566118</c:v>
                </c:pt>
                <c:pt idx="7">
                  <c:v>-10.58104206374667</c:v>
                </c:pt>
                <c:pt idx="8">
                  <c:v>-12.224167413077113</c:v>
                </c:pt>
                <c:pt idx="9">
                  <c:v>-19.833300647185727</c:v>
                </c:pt>
                <c:pt idx="10">
                  <c:v>-18.498736035227925</c:v>
                </c:pt>
                <c:pt idx="11">
                  <c:v>-16.389498564916426</c:v>
                </c:pt>
                <c:pt idx="12">
                  <c:v>-3.8034277232774416</c:v>
                </c:pt>
                <c:pt idx="13">
                  <c:v>-4.6480906133028466E-2</c:v>
                </c:pt>
                <c:pt idx="14">
                  <c:v>6.8012406823753091</c:v>
                </c:pt>
                <c:pt idx="15">
                  <c:v>14.884648392144983</c:v>
                </c:pt>
                <c:pt idx="16">
                  <c:v>2.0516405892138101</c:v>
                </c:pt>
                <c:pt idx="17">
                  <c:v>9.5060942777424273</c:v>
                </c:pt>
                <c:pt idx="18">
                  <c:v>8.2464810174016847</c:v>
                </c:pt>
                <c:pt idx="19">
                  <c:v>4.0821707129517826</c:v>
                </c:pt>
                <c:pt idx="20">
                  <c:v>16.057169855894159</c:v>
                </c:pt>
                <c:pt idx="21">
                  <c:v>5.078002771445167</c:v>
                </c:pt>
                <c:pt idx="22">
                  <c:v>2.2307326149984874</c:v>
                </c:pt>
                <c:pt idx="23">
                  <c:v>5.5221328604901476</c:v>
                </c:pt>
                <c:pt idx="24">
                  <c:v>-1.1968978362204119</c:v>
                </c:pt>
                <c:pt idx="25">
                  <c:v>5.3090568766750224</c:v>
                </c:pt>
                <c:pt idx="26">
                  <c:v>8.4530889542635776</c:v>
                </c:pt>
                <c:pt idx="27">
                  <c:v>2.0984616615655538</c:v>
                </c:pt>
                <c:pt idx="28">
                  <c:v>7.2519005335915487</c:v>
                </c:pt>
                <c:pt idx="29">
                  <c:v>5.4635427186426888</c:v>
                </c:pt>
                <c:pt idx="30">
                  <c:v>2.6110883437737931</c:v>
                </c:pt>
                <c:pt idx="31">
                  <c:v>6.7322387240879245</c:v>
                </c:pt>
                <c:pt idx="32">
                  <c:v>11.335215812827748</c:v>
                </c:pt>
                <c:pt idx="33">
                  <c:v>8.0053624437422144</c:v>
                </c:pt>
                <c:pt idx="34">
                  <c:v>7.4684772065955363</c:v>
                </c:pt>
                <c:pt idx="35">
                  <c:v>10.581194698388231</c:v>
                </c:pt>
                <c:pt idx="36">
                  <c:v>6.4251207729468574</c:v>
                </c:pt>
                <c:pt idx="37">
                  <c:v>9.0504477347282517</c:v>
                </c:pt>
                <c:pt idx="38">
                  <c:v>11.444397253486226</c:v>
                </c:pt>
                <c:pt idx="39">
                  <c:v>0.67565324213951783</c:v>
                </c:pt>
                <c:pt idx="40">
                  <c:v>0.57713507554633114</c:v>
                </c:pt>
                <c:pt idx="41">
                  <c:v>0.37561586367258482</c:v>
                </c:pt>
                <c:pt idx="42">
                  <c:v>-3.6427153632393794</c:v>
                </c:pt>
                <c:pt idx="43">
                  <c:v>1.7610685134800796</c:v>
                </c:pt>
                <c:pt idx="44">
                  <c:v>-1.1250805931656949</c:v>
                </c:pt>
                <c:pt idx="45">
                  <c:v>-2.7134294508342816</c:v>
                </c:pt>
                <c:pt idx="46">
                  <c:v>-0.9327466587564448</c:v>
                </c:pt>
                <c:pt idx="47">
                  <c:v>-1.9072156595855039</c:v>
                </c:pt>
                <c:pt idx="48">
                  <c:v>-0.22985882429656934</c:v>
                </c:pt>
                <c:pt idx="49">
                  <c:v>3.5400882524352584</c:v>
                </c:pt>
                <c:pt idx="50">
                  <c:v>3.0225401314147859</c:v>
                </c:pt>
                <c:pt idx="51">
                  <c:v>2.4084842077441548</c:v>
                </c:pt>
                <c:pt idx="52">
                  <c:v>-0.98364405810362765</c:v>
                </c:pt>
                <c:pt idx="53">
                  <c:v>-21.276595744680847</c:v>
                </c:pt>
                <c:pt idx="54">
                  <c:v>-11.661176774526904</c:v>
                </c:pt>
                <c:pt idx="55">
                  <c:v>-6.8054973061909223</c:v>
                </c:pt>
                <c:pt idx="56">
                  <c:v>-11.173451707123883</c:v>
                </c:pt>
                <c:pt idx="57">
                  <c:v>18.459275602132742</c:v>
                </c:pt>
                <c:pt idx="58">
                  <c:v>4.1820508133796341</c:v>
                </c:pt>
                <c:pt idx="59">
                  <c:v>-1.0333189095629636</c:v>
                </c:pt>
                <c:pt idx="60">
                  <c:v>9.4281786430853831</c:v>
                </c:pt>
                <c:pt idx="61">
                  <c:v>4.0440098642799294</c:v>
                </c:pt>
                <c:pt idx="62">
                  <c:v>6.8230464226815002</c:v>
                </c:pt>
                <c:pt idx="63">
                  <c:v>3.6202735317779622</c:v>
                </c:pt>
                <c:pt idx="64">
                  <c:v>6.0760912007877366</c:v>
                </c:pt>
                <c:pt idx="65">
                  <c:v>3.0166412517403707</c:v>
                </c:pt>
                <c:pt idx="66">
                  <c:v>-0.97065054937836015</c:v>
                </c:pt>
                <c:pt idx="67">
                  <c:v>2.9925060761544664</c:v>
                </c:pt>
                <c:pt idx="68">
                  <c:v>-1.7797125572164729</c:v>
                </c:pt>
                <c:pt idx="69">
                  <c:v>0.15767795083021507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8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1510040240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catAx>
        <c:axId val="151003649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10040240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258020396034671"/>
          <c:y val="0.12362171133135495"/>
          <c:w val="0.76139249140279974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0038291496986383E-2"/>
          <c:y val="0.14714391023940784"/>
          <c:w val="0.86982219601972466"/>
          <c:h val="0.712639860869834"/>
        </c:manualLayout>
      </c:layout>
      <c:areaChart>
        <c:grouping val="stacked"/>
        <c:varyColors val="0"/>
        <c:ser>
          <c:idx val="1"/>
          <c:order val="0"/>
          <c:tx>
            <c:strRef>
              <c:f>'Chart Data'!$EA$4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 w="38100">
              <a:noFill/>
            </a:ln>
          </c:spPr>
          <c:cat>
            <c:numRef>
              <c:f>'Chart Data'!$DZ$5:$DZ$104</c:f>
              <c:numCache>
                <c:formatCode>General</c:formatCode>
                <c:ptCount val="100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</c:numCache>
            </c:numRef>
          </c:cat>
          <c:val>
            <c:numRef>
              <c:f>'Chart Data'!$EA$5:$EA$104</c:f>
              <c:numCache>
                <c:formatCode>0.0</c:formatCode>
                <c:ptCount val="100"/>
                <c:pt idx="0">
                  <c:v>0.51551789311648233</c:v>
                </c:pt>
                <c:pt idx="1">
                  <c:v>0.67591526976069161</c:v>
                </c:pt>
                <c:pt idx="2">
                  <c:v>-0.10433780403867025</c:v>
                </c:pt>
                <c:pt idx="3">
                  <c:v>0.11963872981646802</c:v>
                </c:pt>
                <c:pt idx="4">
                  <c:v>0.55360156140786487</c:v>
                </c:pt>
                <c:pt idx="5">
                  <c:v>0.52228063905237465</c:v>
                </c:pt>
                <c:pt idx="6">
                  <c:v>-0.69878275569901571</c:v>
                </c:pt>
                <c:pt idx="7">
                  <c:v>0.24340865655281924</c:v>
                </c:pt>
                <c:pt idx="8">
                  <c:v>-1.1124459951943269</c:v>
                </c:pt>
                <c:pt idx="9">
                  <c:v>-1.2544626817135534</c:v>
                </c:pt>
                <c:pt idx="10">
                  <c:v>-1.0540850989439021</c:v>
                </c:pt>
                <c:pt idx="11">
                  <c:v>-0.79940429700877069</c:v>
                </c:pt>
                <c:pt idx="12">
                  <c:v>-1.3653239597928006</c:v>
                </c:pt>
                <c:pt idx="13">
                  <c:v>-0.42530750383697485</c:v>
                </c:pt>
                <c:pt idx="14">
                  <c:v>-0.45725568841905578</c:v>
                </c:pt>
                <c:pt idx="15">
                  <c:v>-1.0449714889710884</c:v>
                </c:pt>
                <c:pt idx="16">
                  <c:v>-0.18842778098514018</c:v>
                </c:pt>
                <c:pt idx="17">
                  <c:v>-0.4356854562199407</c:v>
                </c:pt>
                <c:pt idx="18">
                  <c:v>0.3723733064916086</c:v>
                </c:pt>
                <c:pt idx="19">
                  <c:v>0.71175285658206378</c:v>
                </c:pt>
                <c:pt idx="20">
                  <c:v>0.76376657043621532</c:v>
                </c:pt>
                <c:pt idx="21">
                  <c:v>0.59313104359054369</c:v>
                </c:pt>
                <c:pt idx="22">
                  <c:v>0.22528641896362997</c:v>
                </c:pt>
                <c:pt idx="23">
                  <c:v>-1.2643555863718974</c:v>
                </c:pt>
                <c:pt idx="24">
                  <c:v>-0.94643812409191852</c:v>
                </c:pt>
                <c:pt idx="25">
                  <c:v>-1.3084075747459747</c:v>
                </c:pt>
                <c:pt idx="26">
                  <c:v>0.1254814906446122</c:v>
                </c:pt>
                <c:pt idx="27">
                  <c:v>-0.23205880080674648</c:v>
                </c:pt>
                <c:pt idx="28">
                  <c:v>0.29351540831878586</c:v>
                </c:pt>
                <c:pt idx="29">
                  <c:v>-0.23819430970255681</c:v>
                </c:pt>
                <c:pt idx="30">
                  <c:v>-0.25448421225517409</c:v>
                </c:pt>
                <c:pt idx="31">
                  <c:v>0.47774044209764999</c:v>
                </c:pt>
                <c:pt idx="32">
                  <c:v>0.55666213209207593</c:v>
                </c:pt>
                <c:pt idx="33">
                  <c:v>0.58592648657723478</c:v>
                </c:pt>
                <c:pt idx="34">
                  <c:v>3.5767056034050171E-2</c:v>
                </c:pt>
                <c:pt idx="35">
                  <c:v>-0.64289853381975026</c:v>
                </c:pt>
                <c:pt idx="36">
                  <c:v>-2.4770438620582218</c:v>
                </c:pt>
                <c:pt idx="37">
                  <c:v>-2.9544859923820068</c:v>
                </c:pt>
                <c:pt idx="38">
                  <c:v>-3.2923412724184398</c:v>
                </c:pt>
                <c:pt idx="39">
                  <c:v>-2.6434968391591136</c:v>
                </c:pt>
                <c:pt idx="40">
                  <c:v>-2.2401380586717714</c:v>
                </c:pt>
                <c:pt idx="41">
                  <c:v>-1.3991777096710187</c:v>
                </c:pt>
                <c:pt idx="42">
                  <c:v>-1.1397977958017416</c:v>
                </c:pt>
                <c:pt idx="43">
                  <c:v>-0.46285273903517854</c:v>
                </c:pt>
                <c:pt idx="44">
                  <c:v>-0.62579853102918725</c:v>
                </c:pt>
                <c:pt idx="45">
                  <c:v>-0.68245003928091197</c:v>
                </c:pt>
                <c:pt idx="46">
                  <c:v>-0.40410854654791384</c:v>
                </c:pt>
                <c:pt idx="47">
                  <c:v>-0.34327166982510915</c:v>
                </c:pt>
                <c:pt idx="48">
                  <c:v>-0.52159693152244335</c:v>
                </c:pt>
                <c:pt idx="49">
                  <c:v>-0.4894263099707496</c:v>
                </c:pt>
                <c:pt idx="50">
                  <c:v>-0.3353673570886222</c:v>
                </c:pt>
                <c:pt idx="51">
                  <c:v>-0.19361266329888596</c:v>
                </c:pt>
                <c:pt idx="52">
                  <c:v>-0.39082176108012834</c:v>
                </c:pt>
                <c:pt idx="53">
                  <c:v>-0.21532676140794146</c:v>
                </c:pt>
                <c:pt idx="54">
                  <c:v>-7.4761115831267461E-2</c:v>
                </c:pt>
                <c:pt idx="55">
                  <c:v>5.2583375700383329E-2</c:v>
                </c:pt>
                <c:pt idx="56">
                  <c:v>0.20584958851963828</c:v>
                </c:pt>
                <c:pt idx="57">
                  <c:v>0.30866470961809117</c:v>
                </c:pt>
                <c:pt idx="58">
                  <c:v>0.52421081734876496</c:v>
                </c:pt>
                <c:pt idx="59">
                  <c:v>0.14163886245420806</c:v>
                </c:pt>
                <c:pt idx="60">
                  <c:v>0.52546735662705324</c:v>
                </c:pt>
                <c:pt idx="61">
                  <c:v>0.59206011567781025</c:v>
                </c:pt>
                <c:pt idx="62">
                  <c:v>0.53447786013205367</c:v>
                </c:pt>
                <c:pt idx="63">
                  <c:v>0.44070684051540443</c:v>
                </c:pt>
                <c:pt idx="64">
                  <c:v>0.45810504712364764</c:v>
                </c:pt>
                <c:pt idx="65">
                  <c:v>0.43305508988800717</c:v>
                </c:pt>
                <c:pt idx="66">
                  <c:v>0.23073013620235688</c:v>
                </c:pt>
                <c:pt idx="67">
                  <c:v>0.16096790021646265</c:v>
                </c:pt>
                <c:pt idx="68">
                  <c:v>-0.37946530858938859</c:v>
                </c:pt>
                <c:pt idx="69">
                  <c:v>-0.40138556593853375</c:v>
                </c:pt>
                <c:pt idx="70">
                  <c:v>-0.18349063852502878</c:v>
                </c:pt>
                <c:pt idx="71">
                  <c:v>3.0170005417927533E-2</c:v>
                </c:pt>
                <c:pt idx="72">
                  <c:v>-1.1524752091423915E-2</c:v>
                </c:pt>
                <c:pt idx="73">
                  <c:v>8.1114210072040185E-2</c:v>
                </c:pt>
                <c:pt idx="74">
                  <c:v>0.11295033295495281</c:v>
                </c:pt>
                <c:pt idx="75">
                  <c:v>0.14206133977633412</c:v>
                </c:pt>
                <c:pt idx="76">
                  <c:v>3.5964344823565062E-3</c:v>
                </c:pt>
                <c:pt idx="77">
                  <c:v>-0.17357477299126117</c:v>
                </c:pt>
                <c:pt idx="78">
                  <c:v>-0.54817050245801424</c:v>
                </c:pt>
                <c:pt idx="79">
                  <c:v>-0.61928049335203861</c:v>
                </c:pt>
                <c:pt idx="80">
                  <c:v>-0.68295273911786403</c:v>
                </c:pt>
                <c:pt idx="81">
                  <c:v>-0.95148601116445031</c:v>
                </c:pt>
                <c:pt idx="82">
                  <c:v>-0.52377212470330059</c:v>
                </c:pt>
                <c:pt idx="83">
                  <c:v>-4.2112372790238268</c:v>
                </c:pt>
                <c:pt idx="84">
                  <c:v>-3.6437121672287427</c:v>
                </c:pt>
                <c:pt idx="85">
                  <c:v>-3.1661703239850523</c:v>
                </c:pt>
                <c:pt idx="86">
                  <c:v>-1.9245615315514581</c:v>
                </c:pt>
                <c:pt idx="87">
                  <c:v>0.10220098337297766</c:v>
                </c:pt>
                <c:pt idx="88">
                  <c:v>0.48892944408379979</c:v>
                </c:pt>
                <c:pt idx="89">
                  <c:v>0.27283651021864908</c:v>
                </c:pt>
                <c:pt idx="90">
                  <c:v>0.31829391723812833</c:v>
                </c:pt>
                <c:pt idx="91">
                  <c:v>0.23857320443141541</c:v>
                </c:pt>
                <c:pt idx="92">
                  <c:v>-0.60131764432915624</c:v>
                </c:pt>
                <c:pt idx="93">
                  <c:v>-0.63348826588084994</c:v>
                </c:pt>
                <c:pt idx="94">
                  <c:v>-0.44187621871573035</c:v>
                </c:pt>
                <c:pt idx="95">
                  <c:v>-0.43627916809960759</c:v>
                </c:pt>
                <c:pt idx="96">
                  <c:v>-0.60998511472856409</c:v>
                </c:pt>
                <c:pt idx="97">
                  <c:v>-0.29221721218950714</c:v>
                </c:pt>
                <c:pt idx="98">
                  <c:v>-0.52377212470330059</c:v>
                </c:pt>
                <c:pt idx="99">
                  <c:v>-0.52377212470330059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1"/>
          <c:tx>
            <c:strRef>
              <c:f>'Chart Data'!$EB$4</c:f>
              <c:strCache>
                <c:ptCount val="1"/>
                <c:pt idx="0">
                  <c:v>Range of surveys* (LHS)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cat>
            <c:numRef>
              <c:f>'Chart Data'!$DZ$5:$DZ$104</c:f>
              <c:numCache>
                <c:formatCode>General</c:formatCode>
                <c:ptCount val="100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</c:numCache>
            </c:numRef>
          </c:cat>
          <c:val>
            <c:numRef>
              <c:f>'Chart Data'!$EB$5:$EB$104</c:f>
              <c:numCache>
                <c:formatCode>0.0</c:formatCode>
                <c:ptCount val="100"/>
                <c:pt idx="0">
                  <c:v>0.44336509086543552</c:v>
                </c:pt>
                <c:pt idx="1">
                  <c:v>0.61095198244478333</c:v>
                </c:pt>
                <c:pt idx="2">
                  <c:v>0.94152221449553508</c:v>
                </c:pt>
                <c:pt idx="3">
                  <c:v>0.8622883787802903</c:v>
                </c:pt>
                <c:pt idx="4">
                  <c:v>0.47171534991298048</c:v>
                </c:pt>
                <c:pt idx="5">
                  <c:v>0.65269527879469402</c:v>
                </c:pt>
                <c:pt idx="6">
                  <c:v>1.6045185978097916</c:v>
                </c:pt>
                <c:pt idx="7">
                  <c:v>0.33434291733439908</c:v>
                </c:pt>
                <c:pt idx="8">
                  <c:v>1.204864559480102</c:v>
                </c:pt>
                <c:pt idx="9">
                  <c:v>1.0643543847952501</c:v>
                </c:pt>
                <c:pt idx="10">
                  <c:v>1.3947672186465214</c:v>
                </c:pt>
                <c:pt idx="11">
                  <c:v>1.3449852493442953</c:v>
                </c:pt>
                <c:pt idx="12">
                  <c:v>1.7346723346665311</c:v>
                </c:pt>
                <c:pt idx="13">
                  <c:v>0.7680823077751342</c:v>
                </c:pt>
                <c:pt idx="14">
                  <c:v>7.6143914645878219E-2</c:v>
                </c:pt>
                <c:pt idx="15">
                  <c:v>1.0464752392179049</c:v>
                </c:pt>
                <c:pt idx="16">
                  <c:v>0.47805544305215747</c:v>
                </c:pt>
                <c:pt idx="17">
                  <c:v>1.271483004611206</c:v>
                </c:pt>
                <c:pt idx="18">
                  <c:v>0.3571299581573727</c:v>
                </c:pt>
                <c:pt idx="19">
                  <c:v>0.36777692982617627</c:v>
                </c:pt>
                <c:pt idx="20">
                  <c:v>0.2211146494222781</c:v>
                </c:pt>
                <c:pt idx="21">
                  <c:v>0.49622814300498463</c:v>
                </c:pt>
                <c:pt idx="22">
                  <c:v>0.61102622744127089</c:v>
                </c:pt>
                <c:pt idx="23">
                  <c:v>2.1119764491649726</c:v>
                </c:pt>
                <c:pt idx="24">
                  <c:v>1.4167231516557042</c:v>
                </c:pt>
                <c:pt idx="25">
                  <c:v>1.5499253405340632</c:v>
                </c:pt>
                <c:pt idx="26">
                  <c:v>0.45436276747814608</c:v>
                </c:pt>
                <c:pt idx="27">
                  <c:v>0.89722082235234046</c:v>
                </c:pt>
                <c:pt idx="28">
                  <c:v>0.88355319376382235</c:v>
                </c:pt>
                <c:pt idx="29">
                  <c:v>1.3225853621482471</c:v>
                </c:pt>
                <c:pt idx="30">
                  <c:v>1.5392872807296656</c:v>
                </c:pt>
                <c:pt idx="31">
                  <c:v>1.0617516094401429</c:v>
                </c:pt>
                <c:pt idx="32">
                  <c:v>0.84278486067148517</c:v>
                </c:pt>
                <c:pt idx="33">
                  <c:v>0.23159560236501631</c:v>
                </c:pt>
                <c:pt idx="34">
                  <c:v>0.69388096786228204</c:v>
                </c:pt>
                <c:pt idx="35">
                  <c:v>0.42287413304614629</c:v>
                </c:pt>
                <c:pt idx="36">
                  <c:v>1.6905798264147016</c:v>
                </c:pt>
                <c:pt idx="37">
                  <c:v>1.0087003789086071</c:v>
                </c:pt>
                <c:pt idx="38">
                  <c:v>0.62632922445342576</c:v>
                </c:pt>
                <c:pt idx="39">
                  <c:v>0.24841347871486752</c:v>
                </c:pt>
                <c:pt idx="40">
                  <c:v>1.432232783058015</c:v>
                </c:pt>
                <c:pt idx="41">
                  <c:v>0.45658901165051957</c:v>
                </c:pt>
                <c:pt idx="42">
                  <c:v>0.59563635839952433</c:v>
                </c:pt>
                <c:pt idx="43">
                  <c:v>0.54884017709764166</c:v>
                </c:pt>
                <c:pt idx="44">
                  <c:v>0.93585559150168496</c:v>
                </c:pt>
                <c:pt idx="45">
                  <c:v>1.6148227252210141</c:v>
                </c:pt>
                <c:pt idx="46">
                  <c:v>1.4487488041480097</c:v>
                </c:pt>
                <c:pt idx="47">
                  <c:v>1.603148981720715</c:v>
                </c:pt>
                <c:pt idx="48">
                  <c:v>1.0171013258747907</c:v>
                </c:pt>
                <c:pt idx="49">
                  <c:v>0.80918486911552656</c:v>
                </c:pt>
                <c:pt idx="50">
                  <c:v>0.22147540659644915</c:v>
                </c:pt>
                <c:pt idx="51">
                  <c:v>0.97692483874247604</c:v>
                </c:pt>
                <c:pt idx="52">
                  <c:v>0.16428267694533846</c:v>
                </c:pt>
                <c:pt idx="53">
                  <c:v>0.4448606967620814</c:v>
                </c:pt>
                <c:pt idx="54">
                  <c:v>0.60574617767644301</c:v>
                </c:pt>
                <c:pt idx="55">
                  <c:v>5.7307342524257142E-2</c:v>
                </c:pt>
                <c:pt idx="56">
                  <c:v>0.5844905528521479</c:v>
                </c:pt>
                <c:pt idx="57">
                  <c:v>1.1453337030524728</c:v>
                </c:pt>
                <c:pt idx="58">
                  <c:v>0.92419054470567574</c:v>
                </c:pt>
                <c:pt idx="59">
                  <c:v>1.0564062599478488</c:v>
                </c:pt>
                <c:pt idx="60">
                  <c:v>0.60054678781995297</c:v>
                </c:pt>
                <c:pt idx="61">
                  <c:v>0.69899250499874466</c:v>
                </c:pt>
                <c:pt idx="62">
                  <c:v>0.80083759106746166</c:v>
                </c:pt>
                <c:pt idx="63">
                  <c:v>0.57901302018931777</c:v>
                </c:pt>
                <c:pt idx="64">
                  <c:v>0.30566152331256768</c:v>
                </c:pt>
                <c:pt idx="65">
                  <c:v>0.66348929715430516</c:v>
                </c:pt>
                <c:pt idx="66">
                  <c:v>0.30547953330222405</c:v>
                </c:pt>
                <c:pt idx="67">
                  <c:v>1.2159826338999058</c:v>
                </c:pt>
                <c:pt idx="68">
                  <c:v>0.38471811850776294</c:v>
                </c:pt>
                <c:pt idx="69">
                  <c:v>0.60960355030915447</c:v>
                </c:pt>
                <c:pt idx="70">
                  <c:v>0.66112763442548461</c:v>
                </c:pt>
                <c:pt idx="71">
                  <c:v>0.3604368427313594</c:v>
                </c:pt>
                <c:pt idx="72">
                  <c:v>0.7845526514306187</c:v>
                </c:pt>
                <c:pt idx="73">
                  <c:v>0.30526858502514803</c:v>
                </c:pt>
                <c:pt idx="74">
                  <c:v>0.58769022784591962</c:v>
                </c:pt>
                <c:pt idx="75">
                  <c:v>7.0378973543098772E-2</c:v>
                </c:pt>
                <c:pt idx="76">
                  <c:v>0.24309462737754597</c:v>
                </c:pt>
                <c:pt idx="77">
                  <c:v>0.43312449774212469</c:v>
                </c:pt>
                <c:pt idx="78">
                  <c:v>0.47966904728236337</c:v>
                </c:pt>
                <c:pt idx="79">
                  <c:v>0.80626011138703579</c:v>
                </c:pt>
                <c:pt idx="80">
                  <c:v>0.64595840945265282</c:v>
                </c:pt>
                <c:pt idx="81">
                  <c:v>0.46205970119370071</c:v>
                </c:pt>
                <c:pt idx="82">
                  <c:v>1.4208498302123664</c:v>
                </c:pt>
                <c:pt idx="83">
                  <c:v>1.4875380284789133</c:v>
                </c:pt>
                <c:pt idx="84">
                  <c:v>2.315972509680996</c:v>
                </c:pt>
                <c:pt idx="85">
                  <c:v>1.9663212000285617</c:v>
                </c:pt>
                <c:pt idx="86">
                  <c:v>1.62580407100043</c:v>
                </c:pt>
                <c:pt idx="87">
                  <c:v>1.1119516726100294</c:v>
                </c:pt>
                <c:pt idx="88">
                  <c:v>0.80195743553892151</c:v>
                </c:pt>
                <c:pt idx="89">
                  <c:v>1.2734088979159748</c:v>
                </c:pt>
                <c:pt idx="90">
                  <c:v>1.6655415484522902</c:v>
                </c:pt>
                <c:pt idx="91">
                  <c:v>0.8294608150109174</c:v>
                </c:pt>
                <c:pt idx="92">
                  <c:v>0.90923362534902541</c:v>
                </c:pt>
                <c:pt idx="93">
                  <c:v>0.54245364280136066</c:v>
                </c:pt>
                <c:pt idx="94">
                  <c:v>0.23646532284155647</c:v>
                </c:pt>
                <c:pt idx="95">
                  <c:v>1.1512214530131333</c:v>
                </c:pt>
                <c:pt idx="96">
                  <c:v>0.72293544768351692</c:v>
                </c:pt>
                <c:pt idx="97">
                  <c:v>0.20116937098482085</c:v>
                </c:pt>
                <c:pt idx="98">
                  <c:v>0.51408177371787167</c:v>
                </c:pt>
                <c:pt idx="99">
                  <c:v>0.65254667901184926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2"/>
          <c:tx>
            <c:strRef>
              <c:f>'Chart Data'!$EC$4</c:f>
              <c:strCache>
                <c:ptCount val="1"/>
                <c:pt idx="0">
                  <c:v>Business investment (RHS)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Data'!$DZ$5:$DZ$104</c:f>
              <c:numCache>
                <c:formatCode>General</c:formatCode>
                <c:ptCount val="100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</c:numCache>
            </c:numRef>
          </c:cat>
          <c:val>
            <c:numRef>
              <c:f>'Chart Data'!$EC$5:$EC$104</c:f>
              <c:numCache>
                <c:formatCode>0.0</c:formatCode>
                <c:ptCount val="100"/>
                <c:pt idx="0">
                  <c:v>6.0508083140877522</c:v>
                </c:pt>
                <c:pt idx="1">
                  <c:v>12.089860352155423</c:v>
                </c:pt>
                <c:pt idx="2">
                  <c:v>1.6332696074960573</c:v>
                </c:pt>
                <c:pt idx="3">
                  <c:v>6.3559423053999309</c:v>
                </c:pt>
                <c:pt idx="4">
                  <c:v>1.6481753163396284</c:v>
                </c:pt>
                <c:pt idx="5">
                  <c:v>-3.0572227157497855</c:v>
                </c:pt>
                <c:pt idx="6">
                  <c:v>3.903764427207923</c:v>
                </c:pt>
                <c:pt idx="7">
                  <c:v>-3.9183161103763631</c:v>
                </c:pt>
                <c:pt idx="8">
                  <c:v>-5.0785918859797441</c:v>
                </c:pt>
                <c:pt idx="9">
                  <c:v>-6.866031916320237</c:v>
                </c:pt>
                <c:pt idx="10">
                  <c:v>-1.743328416253187</c:v>
                </c:pt>
                <c:pt idx="11">
                  <c:v>6.6654223922730571</c:v>
                </c:pt>
                <c:pt idx="12">
                  <c:v>8.5101328074885352</c:v>
                </c:pt>
                <c:pt idx="13">
                  <c:v>-0.8039356851451851</c:v>
                </c:pt>
                <c:pt idx="14">
                  <c:v>-3.6258586961466777</c:v>
                </c:pt>
                <c:pt idx="15">
                  <c:v>-7.8871391076115511</c:v>
                </c:pt>
                <c:pt idx="16">
                  <c:v>-7.0566855691546415</c:v>
                </c:pt>
                <c:pt idx="17">
                  <c:v>-5.515906616668687</c:v>
                </c:pt>
                <c:pt idx="18">
                  <c:v>-2.3815143504531733</c:v>
                </c:pt>
                <c:pt idx="19">
                  <c:v>0.36804862990928999</c:v>
                </c:pt>
                <c:pt idx="20">
                  <c:v>-0.92579505300353082</c:v>
                </c:pt>
                <c:pt idx="21">
                  <c:v>23.182691076686734</c:v>
                </c:pt>
                <c:pt idx="22">
                  <c:v>7.2801566769022497</c:v>
                </c:pt>
                <c:pt idx="23">
                  <c:v>4.445338191109327</c:v>
                </c:pt>
                <c:pt idx="24">
                  <c:v>10.326461706731349</c:v>
                </c:pt>
                <c:pt idx="25">
                  <c:v>-7.3146396724105722</c:v>
                </c:pt>
                <c:pt idx="26">
                  <c:v>8.2330403425738155</c:v>
                </c:pt>
                <c:pt idx="27">
                  <c:v>8.9947449488085631</c:v>
                </c:pt>
                <c:pt idx="28">
                  <c:v>8.6831896551724075</c:v>
                </c:pt>
                <c:pt idx="29">
                  <c:v>14.678178963893252</c:v>
                </c:pt>
                <c:pt idx="30">
                  <c:v>1.794973241988207</c:v>
                </c:pt>
                <c:pt idx="31">
                  <c:v>10.124898688667683</c:v>
                </c:pt>
                <c:pt idx="32">
                  <c:v>-2.5877967042773009</c:v>
                </c:pt>
                <c:pt idx="33">
                  <c:v>-0.28356311723868322</c:v>
                </c:pt>
                <c:pt idx="34">
                  <c:v>0.3416180832566118</c:v>
                </c:pt>
                <c:pt idx="35">
                  <c:v>-10.58104206374667</c:v>
                </c:pt>
                <c:pt idx="36">
                  <c:v>-12.224167413077113</c:v>
                </c:pt>
                <c:pt idx="37">
                  <c:v>-19.833300647185727</c:v>
                </c:pt>
                <c:pt idx="38">
                  <c:v>-18.498736035227925</c:v>
                </c:pt>
                <c:pt idx="39">
                  <c:v>-16.389498564916426</c:v>
                </c:pt>
                <c:pt idx="40">
                  <c:v>-3.8034277232774416</c:v>
                </c:pt>
                <c:pt idx="41">
                  <c:v>-4.6480906133028466E-2</c:v>
                </c:pt>
                <c:pt idx="42">
                  <c:v>6.8012406823753091</c:v>
                </c:pt>
                <c:pt idx="43">
                  <c:v>14.884648392144983</c:v>
                </c:pt>
                <c:pt idx="44">
                  <c:v>2.0516405892138101</c:v>
                </c:pt>
                <c:pt idx="45">
                  <c:v>9.5060942777424273</c:v>
                </c:pt>
                <c:pt idx="46">
                  <c:v>8.2464810174016847</c:v>
                </c:pt>
                <c:pt idx="47">
                  <c:v>4.0821707129517826</c:v>
                </c:pt>
                <c:pt idx="48">
                  <c:v>16.057169855894159</c:v>
                </c:pt>
                <c:pt idx="49">
                  <c:v>5.078002771445167</c:v>
                </c:pt>
                <c:pt idx="50">
                  <c:v>2.2307326149984874</c:v>
                </c:pt>
                <c:pt idx="51">
                  <c:v>5.5221328604901476</c:v>
                </c:pt>
                <c:pt idx="52">
                  <c:v>-1.1968978362204119</c:v>
                </c:pt>
                <c:pt idx="53">
                  <c:v>5.3090568766750224</c:v>
                </c:pt>
                <c:pt idx="54">
                  <c:v>8.4530889542635776</c:v>
                </c:pt>
                <c:pt idx="55">
                  <c:v>2.0984616615655538</c:v>
                </c:pt>
                <c:pt idx="56">
                  <c:v>7.2519005335915487</c:v>
                </c:pt>
                <c:pt idx="57">
                  <c:v>5.4635427186426888</c:v>
                </c:pt>
                <c:pt idx="58">
                  <c:v>2.6110883437737931</c:v>
                </c:pt>
                <c:pt idx="59">
                  <c:v>6.7322387240879245</c:v>
                </c:pt>
                <c:pt idx="60">
                  <c:v>11.335215812827748</c:v>
                </c:pt>
                <c:pt idx="61">
                  <c:v>8.0053624437422144</c:v>
                </c:pt>
                <c:pt idx="62">
                  <c:v>7.4684772065955363</c:v>
                </c:pt>
                <c:pt idx="63">
                  <c:v>10.581194698388231</c:v>
                </c:pt>
                <c:pt idx="64">
                  <c:v>6.4251207729468574</c:v>
                </c:pt>
                <c:pt idx="65">
                  <c:v>9.0504477347282517</c:v>
                </c:pt>
                <c:pt idx="66">
                  <c:v>11.444397253486226</c:v>
                </c:pt>
                <c:pt idx="67">
                  <c:v>0.67565324213951783</c:v>
                </c:pt>
                <c:pt idx="68">
                  <c:v>0.57713507554633114</c:v>
                </c:pt>
                <c:pt idx="69">
                  <c:v>0.37561586367258482</c:v>
                </c:pt>
                <c:pt idx="70">
                  <c:v>-3.6427153632393794</c:v>
                </c:pt>
                <c:pt idx="71">
                  <c:v>1.7610685134800796</c:v>
                </c:pt>
                <c:pt idx="72">
                  <c:v>-1.1250805931656949</c:v>
                </c:pt>
                <c:pt idx="73">
                  <c:v>-2.7134294508342816</c:v>
                </c:pt>
                <c:pt idx="74">
                  <c:v>-0.9327466587564448</c:v>
                </c:pt>
                <c:pt idx="75">
                  <c:v>-1.9072156595855039</c:v>
                </c:pt>
                <c:pt idx="76">
                  <c:v>-0.22985882429656934</c:v>
                </c:pt>
                <c:pt idx="77">
                  <c:v>3.5400882524352584</c:v>
                </c:pt>
                <c:pt idx="78">
                  <c:v>3.0225401314147859</c:v>
                </c:pt>
                <c:pt idx="79">
                  <c:v>2.4084842077441548</c:v>
                </c:pt>
                <c:pt idx="80">
                  <c:v>-0.98364405810362765</c:v>
                </c:pt>
                <c:pt idx="81">
                  <c:v>-21.276595744680847</c:v>
                </c:pt>
                <c:pt idx="82">
                  <c:v>-11.661176774526904</c:v>
                </c:pt>
                <c:pt idx="83">
                  <c:v>-6.8054973061909223</c:v>
                </c:pt>
                <c:pt idx="84">
                  <c:v>-11.173451707123883</c:v>
                </c:pt>
                <c:pt idx="85">
                  <c:v>18.459275602132742</c:v>
                </c:pt>
                <c:pt idx="86">
                  <c:v>4.1820508133796341</c:v>
                </c:pt>
                <c:pt idx="87">
                  <c:v>-1.0333189095629636</c:v>
                </c:pt>
                <c:pt idx="88">
                  <c:v>9.4281786430853831</c:v>
                </c:pt>
                <c:pt idx="89">
                  <c:v>4.0440098642799294</c:v>
                </c:pt>
                <c:pt idx="90">
                  <c:v>6.8230464226815002</c:v>
                </c:pt>
                <c:pt idx="91">
                  <c:v>3.6202735317779622</c:v>
                </c:pt>
                <c:pt idx="92">
                  <c:v>6.0760912007877366</c:v>
                </c:pt>
                <c:pt idx="93">
                  <c:v>3.0166412517403707</c:v>
                </c:pt>
                <c:pt idx="94">
                  <c:v>-0.97065054937836015</c:v>
                </c:pt>
                <c:pt idx="95">
                  <c:v>2.9925060761544664</c:v>
                </c:pt>
                <c:pt idx="96">
                  <c:v>-1.7797125572164729</c:v>
                </c:pt>
                <c:pt idx="97">
                  <c:v>0.15767795083021507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3"/>
          <c:order val="3"/>
          <c:tx>
            <c:strRef>
              <c:f>'Chart Data'!$ED$4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Data'!$DZ$5:$DZ$104</c:f>
              <c:numCache>
                <c:formatCode>General</c:formatCode>
                <c:ptCount val="100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</c:numCache>
            </c:numRef>
          </c:cat>
          <c:val>
            <c:numRef>
              <c:f>'Chart Data'!$ED$5:$ED$104</c:f>
              <c:numCache>
                <c:formatCode>0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534143"/>
        <c:axId val="1145555775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8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1145555775"/>
        <c:scaling>
          <c:orientation val="minMax"/>
          <c:max val="20"/>
          <c:min val="-30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 baseline="0">
                <a:solidFill>
                  <a:srgbClr val="495057"/>
                </a:solidFill>
                <a:latin typeface="Segoe UI" panose="020B0502040204020203" pitchFamily="34" charset="0"/>
              </a:defRPr>
            </a:pPr>
            <a:endParaRPr lang="en-US"/>
          </a:p>
        </c:txPr>
        <c:crossAx val="1145534143"/>
        <c:crosses val="max"/>
        <c:crossBetween val="between"/>
      </c:valAx>
      <c:catAx>
        <c:axId val="114553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5555775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5.0944377715497424E-2"/>
          <c:y val="0.73571179840143741"/>
          <c:w val="0.41819095215104973"/>
          <c:h val="0.101357627326287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65478341223756E-2"/>
          <c:y val="0.14714391023940784"/>
          <c:w val="0.87575393798628021"/>
          <c:h val="0.712639860869834"/>
        </c:manualLayout>
      </c:layout>
      <c:areaChart>
        <c:grouping val="stacked"/>
        <c:varyColors val="0"/>
        <c:ser>
          <c:idx val="1"/>
          <c:order val="1"/>
          <c:tx>
            <c:strRef>
              <c:f>'Chart Data'!$HL$4</c:f>
              <c:strCache>
                <c:ptCount val="1"/>
                <c:pt idx="0">
                  <c:v>G7 bottom</c:v>
                </c:pt>
              </c:strCache>
            </c:strRef>
          </c:tx>
          <c:spPr>
            <a:noFill/>
            <a:ln w="25400">
              <a:noFill/>
            </a:ln>
          </c:spPr>
          <c:cat>
            <c:numRef>
              <c:f>'Chart Data'!$HJ$5:$HJ$44</c:f>
              <c:numCache>
                <c:formatCode>General</c:formatCode>
                <c:ptCount val="40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  <c:pt idx="28">
                  <c:v>2025</c:v>
                </c:pt>
                <c:pt idx="32">
                  <c:v>2026</c:v>
                </c:pt>
                <c:pt idx="36">
                  <c:v>2027</c:v>
                </c:pt>
              </c:numCache>
            </c:numRef>
          </c:cat>
          <c:val>
            <c:numRef>
              <c:f>'Chart Data'!$HL$5:$HL$44</c:f>
              <c:numCache>
                <c:formatCode>0.0</c:formatCode>
                <c:ptCount val="40"/>
                <c:pt idx="0">
                  <c:v>93.701190328580282</c:v>
                </c:pt>
                <c:pt idx="1">
                  <c:v>94.856788592684424</c:v>
                </c:pt>
                <c:pt idx="2">
                  <c:v>95.909497830130192</c:v>
                </c:pt>
                <c:pt idx="3">
                  <c:v>96.743942963422185</c:v>
                </c:pt>
                <c:pt idx="4">
                  <c:v>97.150650960942343</c:v>
                </c:pt>
                <c:pt idx="5">
                  <c:v>98.65593304401736</c:v>
                </c:pt>
                <c:pt idx="6">
                  <c:v>99.556106633601985</c:v>
                </c:pt>
                <c:pt idx="7">
                  <c:v>100</c:v>
                </c:pt>
                <c:pt idx="8">
                  <c:v>90.759915932531982</c:v>
                </c:pt>
                <c:pt idx="9">
                  <c:v>76.366352082487452</c:v>
                </c:pt>
                <c:pt idx="10">
                  <c:v>88.731969962492769</c:v>
                </c:pt>
                <c:pt idx="11">
                  <c:v>91.349546820607571</c:v>
                </c:pt>
                <c:pt idx="12">
                  <c:v>92.798391518917938</c:v>
                </c:pt>
                <c:pt idx="13">
                  <c:v>94.75415828916104</c:v>
                </c:pt>
                <c:pt idx="14">
                  <c:v>91.957594589654548</c:v>
                </c:pt>
                <c:pt idx="15">
                  <c:v>92.716139645403047</c:v>
                </c:pt>
                <c:pt idx="16">
                  <c:v>94.818131968561502</c:v>
                </c:pt>
                <c:pt idx="17">
                  <c:v>96.636812282946437</c:v>
                </c:pt>
                <c:pt idx="18">
                  <c:v>96.865289709376711</c:v>
                </c:pt>
                <c:pt idx="19">
                  <c:v>96.865289709376711</c:v>
                </c:pt>
                <c:pt idx="20">
                  <c:v>97.340522756351675</c:v>
                </c:pt>
                <c:pt idx="21">
                  <c:v>97.313105465180044</c:v>
                </c:pt>
                <c:pt idx="22">
                  <c:v>97.002376165234878</c:v>
                </c:pt>
                <c:pt idx="23">
                  <c:v>95.658928897824893</c:v>
                </c:pt>
                <c:pt idx="24">
                  <c:v>95.110583074392238</c:v>
                </c:pt>
                <c:pt idx="25">
                  <c:v>92.478523121915543</c:v>
                </c:pt>
                <c:pt idx="26">
                  <c:v>92.674191189910431</c:v>
                </c:pt>
                <c:pt idx="27">
                  <c:v>92.952476695302508</c:v>
                </c:pt>
                <c:pt idx="28">
                  <c:v>93.173642844086999</c:v>
                </c:pt>
                <c:pt idx="29">
                  <c:v>93.395083165783205</c:v>
                </c:pt>
                <c:pt idx="30">
                  <c:v>93.695211113142022</c:v>
                </c:pt>
                <c:pt idx="31">
                  <c:v>94.182233595320781</c:v>
                </c:pt>
                <c:pt idx="32">
                  <c:v>94.860902942789266</c:v>
                </c:pt>
                <c:pt idx="33">
                  <c:v>95.519009321878997</c:v>
                </c:pt>
                <c:pt idx="34">
                  <c:v>96.180771339791633</c:v>
                </c:pt>
                <c:pt idx="35">
                  <c:v>96.846188996527133</c:v>
                </c:pt>
                <c:pt idx="36">
                  <c:v>97.622372509596048</c:v>
                </c:pt>
                <c:pt idx="37">
                  <c:v>98.392798391518923</c:v>
                </c:pt>
                <c:pt idx="38">
                  <c:v>99.196033631877171</c:v>
                </c:pt>
                <c:pt idx="39">
                  <c:v>100.019649058673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4DD8-8C9F-2F1768E3D9B8}"/>
            </c:ext>
          </c:extLst>
        </c:ser>
        <c:ser>
          <c:idx val="2"/>
          <c:order val="2"/>
          <c:tx>
            <c:strRef>
              <c:f>'Chart Data'!$HM$4</c:f>
              <c:strCache>
                <c:ptCount val="1"/>
                <c:pt idx="0">
                  <c:v>Range of G7 exc. UK</c:v>
                </c:pt>
              </c:strCache>
            </c:strRef>
          </c:tx>
          <c:spPr>
            <a:solidFill>
              <a:srgbClr val="7B7C77">
                <a:alpha val="69000"/>
              </a:srgbClr>
            </a:solidFill>
            <a:ln w="25400">
              <a:noFill/>
            </a:ln>
          </c:spPr>
          <c:cat>
            <c:numRef>
              <c:f>'Chart Data'!$HJ$5:$HJ$44</c:f>
              <c:numCache>
                <c:formatCode>General</c:formatCode>
                <c:ptCount val="40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  <c:pt idx="28">
                  <c:v>2025</c:v>
                </c:pt>
                <c:pt idx="32">
                  <c:v>2026</c:v>
                </c:pt>
                <c:pt idx="36">
                  <c:v>2027</c:v>
                </c:pt>
              </c:numCache>
            </c:numRef>
          </c:cat>
          <c:val>
            <c:numRef>
              <c:f>'Chart Data'!$HM$5:$HM$44</c:f>
              <c:numCache>
                <c:formatCode>0.0</c:formatCode>
                <c:ptCount val="40"/>
                <c:pt idx="0">
                  <c:v>11.699942148336987</c:v>
                </c:pt>
                <c:pt idx="1">
                  <c:v>12.084499574435711</c:v>
                </c:pt>
                <c:pt idx="2">
                  <c:v>7.9581682654078918</c:v>
                </c:pt>
                <c:pt idx="3">
                  <c:v>9.3122804465752438</c:v>
                </c:pt>
                <c:pt idx="4">
                  <c:v>8.9744031301927834</c:v>
                </c:pt>
                <c:pt idx="5">
                  <c:v>6.8336367088657255</c:v>
                </c:pt>
                <c:pt idx="6">
                  <c:v>8.1859148662979067</c:v>
                </c:pt>
                <c:pt idx="7">
                  <c:v>0</c:v>
                </c:pt>
                <c:pt idx="8">
                  <c:v>13.660056406022704</c:v>
                </c:pt>
                <c:pt idx="9">
                  <c:v>20.702577323621867</c:v>
                </c:pt>
                <c:pt idx="10">
                  <c:v>8.4496915378172019</c:v>
                </c:pt>
                <c:pt idx="11">
                  <c:v>9.0571363784004859</c:v>
                </c:pt>
                <c:pt idx="12">
                  <c:v>8.6609885182798081</c:v>
                </c:pt>
                <c:pt idx="13">
                  <c:v>8.3803612396672236</c:v>
                </c:pt>
                <c:pt idx="14">
                  <c:v>10.558214461802365</c:v>
                </c:pt>
                <c:pt idx="15">
                  <c:v>9.7210222041442051</c:v>
                </c:pt>
                <c:pt idx="16">
                  <c:v>11.757664878357659</c:v>
                </c:pt>
                <c:pt idx="17">
                  <c:v>12.846704702081297</c:v>
                </c:pt>
                <c:pt idx="18">
                  <c:v>13.732254991791919</c:v>
                </c:pt>
                <c:pt idx="19">
                  <c:v>13.50412638209977</c:v>
                </c:pt>
                <c:pt idx="20">
                  <c:v>14.190299046159851</c:v>
                </c:pt>
                <c:pt idx="21">
                  <c:v>16.870647017734129</c:v>
                </c:pt>
                <c:pt idx="22">
                  <c:v>17.49447600457961</c:v>
                </c:pt>
                <c:pt idx="23">
                  <c:v>19.915255527990681</c:v>
                </c:pt>
                <c:pt idx="24">
                  <c:v>21.746300068724608</c:v>
                </c:pt>
                <c:pt idx="25">
                  <c:v>25.492725573502412</c:v>
                </c:pt>
                <c:pt idx="26">
                  <c:v>26.744830457734594</c:v>
                </c:pt>
                <c:pt idx="27">
                  <c:v>27.150287335266796</c:v>
                </c:pt>
                <c:pt idx="28">
                  <c:v>28.010372238564571</c:v>
                </c:pt>
                <c:pt idx="29">
                  <c:v>29.188413450720176</c:v>
                </c:pt>
                <c:pt idx="30">
                  <c:v>30.485336306310543</c:v>
                </c:pt>
                <c:pt idx="31">
                  <c:v>31.693132529313104</c:v>
                </c:pt>
                <c:pt idx="32">
                  <c:v>32.759593303381152</c:v>
                </c:pt>
                <c:pt idx="33">
                  <c:v>33.824262401515938</c:v>
                </c:pt>
                <c:pt idx="34">
                  <c:v>34.821161124942549</c:v>
                </c:pt>
                <c:pt idx="35">
                  <c:v>35.739112151505054</c:v>
                </c:pt>
                <c:pt idx="36">
                  <c:v>36.42357571112241</c:v>
                </c:pt>
                <c:pt idx="37">
                  <c:v>37.045507503508517</c:v>
                </c:pt>
                <c:pt idx="38">
                  <c:v>37.566852271903585</c:v>
                </c:pt>
                <c:pt idx="39">
                  <c:v>38.024454230557041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9-4DD8-8C9F-2F1768E3D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Data'!$HK$4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Data'!$HJ$5:$HJ$44</c:f>
              <c:numCache>
                <c:formatCode>General</c:formatCode>
                <c:ptCount val="40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  <c:pt idx="28">
                  <c:v>2025</c:v>
                </c:pt>
                <c:pt idx="32">
                  <c:v>2026</c:v>
                </c:pt>
                <c:pt idx="36">
                  <c:v>2027</c:v>
                </c:pt>
              </c:numCache>
            </c:numRef>
          </c:cat>
          <c:val>
            <c:numRef>
              <c:f>'Chart Data'!$HK$5:$HK$44</c:f>
              <c:numCache>
                <c:formatCode>0.0</c:formatCode>
                <c:ptCount val="40"/>
                <c:pt idx="0">
                  <c:v>98.948285317933994</c:v>
                </c:pt>
                <c:pt idx="1">
                  <c:v>96.872277962383464</c:v>
                </c:pt>
                <c:pt idx="2">
                  <c:v>96.969061522082782</c:v>
                </c:pt>
                <c:pt idx="3">
                  <c:v>97.648159499306388</c:v>
                </c:pt>
                <c:pt idx="4">
                  <c:v>98.720843952640578</c:v>
                </c:pt>
                <c:pt idx="5">
                  <c:v>100.30164209439623</c:v>
                </c:pt>
                <c:pt idx="6">
                  <c:v>99.899990321644026</c:v>
                </c:pt>
                <c:pt idx="7">
                  <c:v>100</c:v>
                </c:pt>
                <c:pt idx="8">
                  <c:v>97.749782236990683</c:v>
                </c:pt>
                <c:pt idx="9">
                  <c:v>78.960867180694905</c:v>
                </c:pt>
                <c:pt idx="10">
                  <c:v>88.25047585250185</c:v>
                </c:pt>
                <c:pt idx="11">
                  <c:v>93.194502693809085</c:v>
                </c:pt>
                <c:pt idx="12">
                  <c:v>86.827757524921765</c:v>
                </c:pt>
                <c:pt idx="13">
                  <c:v>93.536471271413362</c:v>
                </c:pt>
                <c:pt idx="14">
                  <c:v>91.94115559570281</c:v>
                </c:pt>
                <c:pt idx="15">
                  <c:v>92.231506274800793</c:v>
                </c:pt>
                <c:pt idx="16">
                  <c:v>95.014033616156397</c:v>
                </c:pt>
                <c:pt idx="17">
                  <c:v>97.319095396328677</c:v>
                </c:pt>
                <c:pt idx="18">
                  <c:v>98.214343323547439</c:v>
                </c:pt>
                <c:pt idx="19">
                  <c:v>95.570539084427537</c:v>
                </c:pt>
                <c:pt idx="20">
                  <c:v>100.7871729522212</c:v>
                </c:pt>
                <c:pt idx="21">
                  <c:v>100.25486337387488</c:v>
                </c:pt>
                <c:pt idx="22">
                  <c:v>97.261025260509086</c:v>
                </c:pt>
                <c:pt idx="23">
                  <c:v>98.430493273542595</c:v>
                </c:pt>
                <c:pt idx="24">
                  <c:v>98.993450979127005</c:v>
                </c:pt>
                <c:pt idx="25">
                  <c:v>100.41294318805045</c:v>
                </c:pt>
                <c:pt idx="26">
                  <c:v>101.11583379036682</c:v>
                </c:pt>
                <c:pt idx="27">
                  <c:v>101.67193599380586</c:v>
                </c:pt>
                <c:pt idx="28">
                  <c:v>102.28201116237055</c:v>
                </c:pt>
                <c:pt idx="29">
                  <c:v>103.14117495241474</c:v>
                </c:pt>
                <c:pt idx="30">
                  <c:v>104.11070426170275</c:v>
                </c:pt>
                <c:pt idx="31">
                  <c:v>105.09976771945672</c:v>
                </c:pt>
                <c:pt idx="32">
                  <c:v>106.10867180694905</c:v>
                </c:pt>
                <c:pt idx="33">
                  <c:v>107.06366745168887</c:v>
                </c:pt>
                <c:pt idx="34">
                  <c:v>107.8666645159209</c:v>
                </c:pt>
                <c:pt idx="35">
                  <c:v>108.62175371810174</c:v>
                </c:pt>
                <c:pt idx="36">
                  <c:v>109.32778978610833</c:v>
                </c:pt>
                <c:pt idx="37">
                  <c:v>109.98372423137724</c:v>
                </c:pt>
                <c:pt idx="38">
                  <c:v>110.64362680259381</c:v>
                </c:pt>
                <c:pt idx="39">
                  <c:v>111.30752976094462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9-4DD8-8C9F-2F1768E3D9B8}"/>
            </c:ext>
          </c:extLst>
        </c:ser>
        <c:ser>
          <c:idx val="3"/>
          <c:order val="3"/>
          <c:tx>
            <c:strRef>
              <c:f>'Chart Data'!$HN$4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Data'!$HJ$5:$HJ$44</c:f>
              <c:numCache>
                <c:formatCode>General</c:formatCode>
                <c:ptCount val="40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  <c:pt idx="28">
                  <c:v>2025</c:v>
                </c:pt>
                <c:pt idx="32">
                  <c:v>2026</c:v>
                </c:pt>
                <c:pt idx="36">
                  <c:v>2027</c:v>
                </c:pt>
              </c:numCache>
            </c:numRef>
          </c:cat>
          <c:val>
            <c:numRef>
              <c:f>'Chart Data'!$HN$5:$HN$44</c:f>
              <c:numCache>
                <c:formatCode>0.0</c:formatCode>
                <c:ptCount val="4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9-4DD8-8C9F-2F1768E3D9B8}"/>
            </c:ext>
          </c:extLst>
        </c:ser>
        <c:ser>
          <c:idx val="4"/>
          <c:order val="4"/>
          <c:tx>
            <c:strRef>
              <c:f>'Chart Data'!$HO$4</c:f>
              <c:strCache>
                <c:ptCount val="1"/>
                <c:pt idx="0">
                  <c:v>G7 top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numRef>
              <c:f>'Chart Data'!$HJ$5:$HJ$44</c:f>
              <c:numCache>
                <c:formatCode>General</c:formatCode>
                <c:ptCount val="40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  <c:pt idx="28">
                  <c:v>2025</c:v>
                </c:pt>
                <c:pt idx="32">
                  <c:v>2026</c:v>
                </c:pt>
                <c:pt idx="36">
                  <c:v>2027</c:v>
                </c:pt>
              </c:numCache>
            </c:numRef>
          </c:cat>
          <c:val>
            <c:numRef>
              <c:f>'Chart Data'!$HO$5:$HO$44</c:f>
              <c:numCache>
                <c:formatCode>0.0</c:formatCode>
                <c:ptCount val="40"/>
                <c:pt idx="0">
                  <c:v>105.40113247691727</c:v>
                </c:pt>
                <c:pt idx="1">
                  <c:v>106.94128816712013</c:v>
                </c:pt>
                <c:pt idx="2">
                  <c:v>103.86766609553808</c:v>
                </c:pt>
                <c:pt idx="3">
                  <c:v>106.05622340999743</c:v>
                </c:pt>
                <c:pt idx="4">
                  <c:v>106.12505409113513</c:v>
                </c:pt>
                <c:pt idx="5">
                  <c:v>105.48956975288309</c:v>
                </c:pt>
                <c:pt idx="6">
                  <c:v>107.74202149989989</c:v>
                </c:pt>
                <c:pt idx="7">
                  <c:v>100</c:v>
                </c:pt>
                <c:pt idx="8">
                  <c:v>104.41997233855469</c:v>
                </c:pt>
                <c:pt idx="9">
                  <c:v>97.068929406109319</c:v>
                </c:pt>
                <c:pt idx="10">
                  <c:v>97.181661500309971</c:v>
                </c:pt>
                <c:pt idx="11">
                  <c:v>100.40668319900806</c:v>
                </c:pt>
                <c:pt idx="12">
                  <c:v>101.45938003719775</c:v>
                </c:pt>
                <c:pt idx="13">
                  <c:v>103.13451952882826</c:v>
                </c:pt>
                <c:pt idx="14">
                  <c:v>102.51580905145691</c:v>
                </c:pt>
                <c:pt idx="15">
                  <c:v>102.43716184954725</c:v>
                </c:pt>
                <c:pt idx="16">
                  <c:v>106.57579684691916</c:v>
                </c:pt>
                <c:pt idx="17">
                  <c:v>109.48351698502773</c:v>
                </c:pt>
                <c:pt idx="18">
                  <c:v>110.59754470116863</c:v>
                </c:pt>
                <c:pt idx="19">
                  <c:v>110.36941609147648</c:v>
                </c:pt>
                <c:pt idx="20">
                  <c:v>111.53082180251153</c:v>
                </c:pt>
                <c:pt idx="21">
                  <c:v>114.18375248291417</c:v>
                </c:pt>
                <c:pt idx="22">
                  <c:v>114.49685216981449</c:v>
                </c:pt>
                <c:pt idx="23">
                  <c:v>115.57418442581557</c:v>
                </c:pt>
                <c:pt idx="24">
                  <c:v>116.85688314311685</c:v>
                </c:pt>
                <c:pt idx="25">
                  <c:v>117.97124869541796</c:v>
                </c:pt>
                <c:pt idx="26">
                  <c:v>119.41902164764502</c:v>
                </c:pt>
                <c:pt idx="27">
                  <c:v>120.1027640305693</c:v>
                </c:pt>
                <c:pt idx="28">
                  <c:v>121.18401508265157</c:v>
                </c:pt>
                <c:pt idx="29">
                  <c:v>122.58349661650338</c:v>
                </c:pt>
                <c:pt idx="30">
                  <c:v>124.18054741945257</c:v>
                </c:pt>
                <c:pt idx="31">
                  <c:v>125.87536612463389</c:v>
                </c:pt>
                <c:pt idx="32">
                  <c:v>127.62049624617042</c:v>
                </c:pt>
                <c:pt idx="33">
                  <c:v>129.34327172339493</c:v>
                </c:pt>
                <c:pt idx="34">
                  <c:v>131.00193246473418</c:v>
                </c:pt>
                <c:pt idx="35">
                  <c:v>132.58530114803219</c:v>
                </c:pt>
                <c:pt idx="36">
                  <c:v>134.04594822071846</c:v>
                </c:pt>
                <c:pt idx="37">
                  <c:v>135.43830589502744</c:v>
                </c:pt>
                <c:pt idx="38">
                  <c:v>136.76288590378076</c:v>
                </c:pt>
                <c:pt idx="39">
                  <c:v>138.04410328923004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9-4DD8-8C9F-2F1768E3D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in val="7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603828758693299"/>
          <c:y val="8.090256044727083E-2"/>
          <c:w val="0.45009190800302501"/>
          <c:h val="6.5451224537526873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Data'!$B$4</c:f>
              <c:strCache>
                <c:ptCount val="1"/>
                <c:pt idx="0">
                  <c:v>Business investment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Data'!$A$45:$A$156</c:f>
              <c:numCache>
                <c:formatCode>General</c:formatCode>
                <c:ptCount val="112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  <c:pt idx="104">
                  <c:v>2026</c:v>
                </c:pt>
                <c:pt idx="108">
                  <c:v>2027</c:v>
                </c:pt>
              </c:numCache>
            </c:numRef>
          </c:cat>
          <c:val>
            <c:numRef>
              <c:f>'Chart Data'!$B$45:$B$156</c:f>
              <c:numCache>
                <c:formatCode>0.0</c:formatCode>
                <c:ptCount val="112"/>
                <c:pt idx="0">
                  <c:v>6.0508083140877522</c:v>
                </c:pt>
                <c:pt idx="1">
                  <c:v>12.089860352155423</c:v>
                </c:pt>
                <c:pt idx="2">
                  <c:v>1.6332696074960573</c:v>
                </c:pt>
                <c:pt idx="3">
                  <c:v>6.3559423053999309</c:v>
                </c:pt>
                <c:pt idx="4">
                  <c:v>1.6481753163396284</c:v>
                </c:pt>
                <c:pt idx="5">
                  <c:v>-3.0572227157497855</c:v>
                </c:pt>
                <c:pt idx="6">
                  <c:v>3.903764427207923</c:v>
                </c:pt>
                <c:pt idx="7">
                  <c:v>-3.9183161103763631</c:v>
                </c:pt>
                <c:pt idx="8">
                  <c:v>-5.0785918859797441</c:v>
                </c:pt>
                <c:pt idx="9">
                  <c:v>-6.866031916320237</c:v>
                </c:pt>
                <c:pt idx="10">
                  <c:v>-1.743328416253187</c:v>
                </c:pt>
                <c:pt idx="11">
                  <c:v>6.6654223922730571</c:v>
                </c:pt>
                <c:pt idx="12">
                  <c:v>8.5101328074885352</c:v>
                </c:pt>
                <c:pt idx="13">
                  <c:v>-0.8039356851451851</c:v>
                </c:pt>
                <c:pt idx="14">
                  <c:v>-3.6258586961466777</c:v>
                </c:pt>
                <c:pt idx="15">
                  <c:v>-7.8871391076115511</c:v>
                </c:pt>
                <c:pt idx="16">
                  <c:v>-7.0566855691546415</c:v>
                </c:pt>
                <c:pt idx="17">
                  <c:v>-5.515906616668687</c:v>
                </c:pt>
                <c:pt idx="18">
                  <c:v>-2.3815143504531733</c:v>
                </c:pt>
                <c:pt idx="19">
                  <c:v>0.36804862990928999</c:v>
                </c:pt>
                <c:pt idx="20">
                  <c:v>-0.92579505300353082</c:v>
                </c:pt>
                <c:pt idx="21">
                  <c:v>10.647804378440661</c:v>
                </c:pt>
                <c:pt idx="22">
                  <c:v>7.2801566769022497</c:v>
                </c:pt>
                <c:pt idx="23">
                  <c:v>4.445338191109327</c:v>
                </c:pt>
                <c:pt idx="24">
                  <c:v>10.326461706731349</c:v>
                </c:pt>
                <c:pt idx="25">
                  <c:v>3.1853471716014603</c:v>
                </c:pt>
                <c:pt idx="26">
                  <c:v>8.2330403425738155</c:v>
                </c:pt>
                <c:pt idx="27">
                  <c:v>8.9947449488085631</c:v>
                </c:pt>
                <c:pt idx="28">
                  <c:v>8.6831896551724075</c:v>
                </c:pt>
                <c:pt idx="29">
                  <c:v>14.678178963893252</c:v>
                </c:pt>
                <c:pt idx="30">
                  <c:v>1.794973241988207</c:v>
                </c:pt>
                <c:pt idx="31">
                  <c:v>10.124898688667683</c:v>
                </c:pt>
                <c:pt idx="32">
                  <c:v>-2.5877967042773009</c:v>
                </c:pt>
                <c:pt idx="33">
                  <c:v>-0.28356311723868322</c:v>
                </c:pt>
                <c:pt idx="34">
                  <c:v>0.3416180832566118</c:v>
                </c:pt>
                <c:pt idx="35">
                  <c:v>-10.58104206374667</c:v>
                </c:pt>
                <c:pt idx="36">
                  <c:v>-12.224167413077113</c:v>
                </c:pt>
                <c:pt idx="37">
                  <c:v>-19.833300647185727</c:v>
                </c:pt>
                <c:pt idx="38">
                  <c:v>-18.498736035227925</c:v>
                </c:pt>
                <c:pt idx="39">
                  <c:v>-16.389498564916426</c:v>
                </c:pt>
                <c:pt idx="40">
                  <c:v>-3.8034277232774416</c:v>
                </c:pt>
                <c:pt idx="41">
                  <c:v>-4.6480906133028466E-2</c:v>
                </c:pt>
                <c:pt idx="42">
                  <c:v>6.8012406823753091</c:v>
                </c:pt>
                <c:pt idx="43">
                  <c:v>14.884648392144983</c:v>
                </c:pt>
                <c:pt idx="44">
                  <c:v>2.0516405892138101</c:v>
                </c:pt>
                <c:pt idx="45">
                  <c:v>9.5060942777424273</c:v>
                </c:pt>
                <c:pt idx="46">
                  <c:v>8.2464810174016847</c:v>
                </c:pt>
                <c:pt idx="47">
                  <c:v>4.0821707129517826</c:v>
                </c:pt>
                <c:pt idx="48">
                  <c:v>16.057169855894159</c:v>
                </c:pt>
                <c:pt idx="49">
                  <c:v>5.078002771445167</c:v>
                </c:pt>
                <c:pt idx="50">
                  <c:v>2.2307326149984874</c:v>
                </c:pt>
                <c:pt idx="51">
                  <c:v>5.5221328604901476</c:v>
                </c:pt>
                <c:pt idx="52">
                  <c:v>-1.1968978362204119</c:v>
                </c:pt>
                <c:pt idx="53">
                  <c:v>5.3090568766750224</c:v>
                </c:pt>
                <c:pt idx="54">
                  <c:v>8.4530889542635776</c:v>
                </c:pt>
                <c:pt idx="55">
                  <c:v>2.0984616615655538</c:v>
                </c:pt>
                <c:pt idx="56">
                  <c:v>7.2519005335915487</c:v>
                </c:pt>
                <c:pt idx="57">
                  <c:v>5.4635427186426888</c:v>
                </c:pt>
                <c:pt idx="58">
                  <c:v>2.6110883437737931</c:v>
                </c:pt>
                <c:pt idx="59">
                  <c:v>6.7322387240879245</c:v>
                </c:pt>
                <c:pt idx="60">
                  <c:v>11.335215812827748</c:v>
                </c:pt>
                <c:pt idx="61">
                  <c:v>8.0053624437422144</c:v>
                </c:pt>
                <c:pt idx="62">
                  <c:v>7.4684772065955363</c:v>
                </c:pt>
                <c:pt idx="63">
                  <c:v>10.581194698388231</c:v>
                </c:pt>
                <c:pt idx="64">
                  <c:v>6.4251207729468574</c:v>
                </c:pt>
                <c:pt idx="65">
                  <c:v>9.0504477347282517</c:v>
                </c:pt>
                <c:pt idx="66">
                  <c:v>11.444397253486226</c:v>
                </c:pt>
                <c:pt idx="67">
                  <c:v>0.67565324213951783</c:v>
                </c:pt>
                <c:pt idx="68">
                  <c:v>0.57713507554633114</c:v>
                </c:pt>
                <c:pt idx="69">
                  <c:v>0.37561586367258482</c:v>
                </c:pt>
                <c:pt idx="70">
                  <c:v>-3.6427153632393794</c:v>
                </c:pt>
                <c:pt idx="71">
                  <c:v>1.7610685134800796</c:v>
                </c:pt>
                <c:pt idx="72">
                  <c:v>-1.1250805931656949</c:v>
                </c:pt>
                <c:pt idx="73">
                  <c:v>-2.7134294508342816</c:v>
                </c:pt>
                <c:pt idx="74">
                  <c:v>-0.9327466587564448</c:v>
                </c:pt>
                <c:pt idx="75">
                  <c:v>-1.9072156595855039</c:v>
                </c:pt>
                <c:pt idx="76">
                  <c:v>-0.22985882429656934</c:v>
                </c:pt>
                <c:pt idx="77">
                  <c:v>3.5400882524352584</c:v>
                </c:pt>
                <c:pt idx="78">
                  <c:v>3.0225401314147859</c:v>
                </c:pt>
                <c:pt idx="79">
                  <c:v>2.4084842077441548</c:v>
                </c:pt>
                <c:pt idx="80">
                  <c:v>-0.98364405810362765</c:v>
                </c:pt>
                <c:pt idx="81">
                  <c:v>-21.276595744680847</c:v>
                </c:pt>
                <c:pt idx="82">
                  <c:v>-11.661176774526904</c:v>
                </c:pt>
                <c:pt idx="83">
                  <c:v>-6.8054973061909223</c:v>
                </c:pt>
                <c:pt idx="84">
                  <c:v>-11.173451707123883</c:v>
                </c:pt>
                <c:pt idx="85">
                  <c:v>18.459275602132742</c:v>
                </c:pt>
                <c:pt idx="86">
                  <c:v>4.1820508133796341</c:v>
                </c:pt>
                <c:pt idx="87">
                  <c:v>-1.0333189095629636</c:v>
                </c:pt>
                <c:pt idx="88">
                  <c:v>9.4281786430853831</c:v>
                </c:pt>
                <c:pt idx="89">
                  <c:v>4.0440098642799294</c:v>
                </c:pt>
                <c:pt idx="90">
                  <c:v>6.8230464226815002</c:v>
                </c:pt>
                <c:pt idx="91">
                  <c:v>3.6202735317779622</c:v>
                </c:pt>
                <c:pt idx="92">
                  <c:v>6.0760912007877366</c:v>
                </c:pt>
                <c:pt idx="93">
                  <c:v>3.0166412517403707</c:v>
                </c:pt>
                <c:pt idx="94">
                  <c:v>-0.97065054937836015</c:v>
                </c:pt>
                <c:pt idx="95">
                  <c:v>2.9925060761544664</c:v>
                </c:pt>
                <c:pt idx="96">
                  <c:v>-1.7797125572164729</c:v>
                </c:pt>
                <c:pt idx="97">
                  <c:v>0.15767795083021507</c:v>
                </c:pt>
                <c:pt idx="98">
                  <c:v>3.963364070585107</c:v>
                </c:pt>
                <c:pt idx="99">
                  <c:v>3.2931285950738243</c:v>
                </c:pt>
                <c:pt idx="100">
                  <c:v>3.3219977187550986</c:v>
                </c:pt>
                <c:pt idx="101">
                  <c:v>2.7170120481927684</c:v>
                </c:pt>
                <c:pt idx="102">
                  <c:v>2.9618214666012666</c:v>
                </c:pt>
                <c:pt idx="103">
                  <c:v>3.3714630218703689</c:v>
                </c:pt>
                <c:pt idx="104">
                  <c:v>3.7412841232694838</c:v>
                </c:pt>
                <c:pt idx="105">
                  <c:v>3.8030325920601626</c:v>
                </c:pt>
                <c:pt idx="106">
                  <c:v>3.607660020027148</c:v>
                </c:pt>
                <c:pt idx="107">
                  <c:v>3.3510882802769704</c:v>
                </c:pt>
                <c:pt idx="108">
                  <c:v>3.0337934914650866</c:v>
                </c:pt>
                <c:pt idx="109">
                  <c:v>2.7274021609674293</c:v>
                </c:pt>
                <c:pt idx="110">
                  <c:v>2.5744397484943393</c:v>
                </c:pt>
                <c:pt idx="111">
                  <c:v>2.472594992171695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2"/>
          <c:order val="2"/>
          <c:tx>
            <c:strRef>
              <c:f>'Chart Data'!$D$4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val>
            <c:numRef>
              <c:f>'Chart Data'!$D$45:$D$156</c:f>
              <c:numCache>
                <c:formatCode>0.0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3-4855-85FA-E1B66A76E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Data'!$C$4</c:f>
              <c:strCache>
                <c:ptCount val="1"/>
                <c:pt idx="0">
                  <c:v>Corporate debt servicing costs (RHS)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Data'!$A$5:$A$156</c:f>
              <c:numCache>
                <c:formatCode>General</c:formatCode>
                <c:ptCount val="152"/>
                <c:pt idx="0">
                  <c:v>1990</c:v>
                </c:pt>
                <c:pt idx="4">
                  <c:v>1991</c:v>
                </c:pt>
                <c:pt idx="8">
                  <c:v>1992</c:v>
                </c:pt>
                <c:pt idx="12">
                  <c:v>1993</c:v>
                </c:pt>
                <c:pt idx="16">
                  <c:v>1994</c:v>
                </c:pt>
                <c:pt idx="20">
                  <c:v>1995</c:v>
                </c:pt>
                <c:pt idx="24">
                  <c:v>1996</c:v>
                </c:pt>
                <c:pt idx="28">
                  <c:v>1997</c:v>
                </c:pt>
                <c:pt idx="32">
                  <c:v>1998</c:v>
                </c:pt>
                <c:pt idx="36">
                  <c:v>1999</c:v>
                </c:pt>
                <c:pt idx="40">
                  <c:v>2000</c:v>
                </c:pt>
                <c:pt idx="44">
                  <c:v>2001</c:v>
                </c:pt>
                <c:pt idx="48">
                  <c:v>2002</c:v>
                </c:pt>
                <c:pt idx="52">
                  <c:v>2003</c:v>
                </c:pt>
                <c:pt idx="56">
                  <c:v>2004</c:v>
                </c:pt>
                <c:pt idx="60">
                  <c:v>2005</c:v>
                </c:pt>
                <c:pt idx="64">
                  <c:v>2006</c:v>
                </c:pt>
                <c:pt idx="68">
                  <c:v>2007</c:v>
                </c:pt>
                <c:pt idx="72">
                  <c:v>2008</c:v>
                </c:pt>
                <c:pt idx="76">
                  <c:v>2009</c:v>
                </c:pt>
                <c:pt idx="80">
                  <c:v>2010</c:v>
                </c:pt>
                <c:pt idx="84">
                  <c:v>2011</c:v>
                </c:pt>
                <c:pt idx="88">
                  <c:v>2012</c:v>
                </c:pt>
                <c:pt idx="92">
                  <c:v>2013</c:v>
                </c:pt>
                <c:pt idx="96">
                  <c:v>2014</c:v>
                </c:pt>
                <c:pt idx="100">
                  <c:v>2015</c:v>
                </c:pt>
                <c:pt idx="104">
                  <c:v>2016</c:v>
                </c:pt>
                <c:pt idx="108">
                  <c:v>2017</c:v>
                </c:pt>
                <c:pt idx="112">
                  <c:v>2018</c:v>
                </c:pt>
                <c:pt idx="116">
                  <c:v>2019</c:v>
                </c:pt>
                <c:pt idx="120">
                  <c:v>2020</c:v>
                </c:pt>
                <c:pt idx="124">
                  <c:v>2021</c:v>
                </c:pt>
                <c:pt idx="128">
                  <c:v>2022</c:v>
                </c:pt>
                <c:pt idx="132">
                  <c:v>2023</c:v>
                </c:pt>
                <c:pt idx="136">
                  <c:v>2024</c:v>
                </c:pt>
                <c:pt idx="140">
                  <c:v>2025</c:v>
                </c:pt>
                <c:pt idx="144">
                  <c:v>2026</c:v>
                </c:pt>
                <c:pt idx="148">
                  <c:v>2027</c:v>
                </c:pt>
              </c:numCache>
            </c:numRef>
          </c:cat>
          <c:val>
            <c:numRef>
              <c:f>'Chart Data'!$C$45:$C$156</c:f>
              <c:numCache>
                <c:formatCode>0.0</c:formatCode>
                <c:ptCount val="112"/>
                <c:pt idx="0">
                  <c:v>17.36069473724929</c:v>
                </c:pt>
                <c:pt idx="1">
                  <c:v>19.715352780862016</c:v>
                </c:pt>
                <c:pt idx="2">
                  <c:v>21.035439137134052</c:v>
                </c:pt>
                <c:pt idx="3">
                  <c:v>21.627983134798807</c:v>
                </c:pt>
                <c:pt idx="4">
                  <c:v>22.74864298841732</c:v>
                </c:pt>
                <c:pt idx="5">
                  <c:v>19.970149839948153</c:v>
                </c:pt>
                <c:pt idx="6">
                  <c:v>20.092732627557112</c:v>
                </c:pt>
                <c:pt idx="7">
                  <c:v>17.877257156128433</c:v>
                </c:pt>
                <c:pt idx="8">
                  <c:v>18.851799333154489</c:v>
                </c:pt>
                <c:pt idx="9">
                  <c:v>17.954961587103838</c:v>
                </c:pt>
                <c:pt idx="10">
                  <c:v>17.508691471262665</c:v>
                </c:pt>
                <c:pt idx="11">
                  <c:v>16.811202729599088</c:v>
                </c:pt>
                <c:pt idx="12">
                  <c:v>16.524469198431984</c:v>
                </c:pt>
                <c:pt idx="13">
                  <c:v>15.309879320924525</c:v>
                </c:pt>
                <c:pt idx="14">
                  <c:v>15.234706263822146</c:v>
                </c:pt>
                <c:pt idx="15">
                  <c:v>16.300147300927129</c:v>
                </c:pt>
                <c:pt idx="16">
                  <c:v>18.372290615904696</c:v>
                </c:pt>
                <c:pt idx="17">
                  <c:v>17.188291630575122</c:v>
                </c:pt>
                <c:pt idx="18">
                  <c:v>18.080816673755848</c:v>
                </c:pt>
                <c:pt idx="19">
                  <c:v>18.015884761481921</c:v>
                </c:pt>
                <c:pt idx="20">
                  <c:v>18.623741639078439</c:v>
                </c:pt>
                <c:pt idx="21">
                  <c:v>18.943781396985891</c:v>
                </c:pt>
                <c:pt idx="22">
                  <c:v>18.815575469592115</c:v>
                </c:pt>
                <c:pt idx="23">
                  <c:v>18.96283778686422</c:v>
                </c:pt>
                <c:pt idx="24">
                  <c:v>20.331088209040008</c:v>
                </c:pt>
                <c:pt idx="25">
                  <c:v>19.26958477611057</c:v>
                </c:pt>
                <c:pt idx="26">
                  <c:v>21.084491175366129</c:v>
                </c:pt>
                <c:pt idx="27">
                  <c:v>23.836969946480032</c:v>
                </c:pt>
                <c:pt idx="28">
                  <c:v>24.465338012315435</c:v>
                </c:pt>
                <c:pt idx="29">
                  <c:v>22.297876111422919</c:v>
                </c:pt>
                <c:pt idx="30">
                  <c:v>24.64360358112113</c:v>
                </c:pt>
                <c:pt idx="31">
                  <c:v>24.65539887129599</c:v>
                </c:pt>
                <c:pt idx="32">
                  <c:v>24.509013785790032</c:v>
                </c:pt>
                <c:pt idx="33">
                  <c:v>23.629590207557211</c:v>
                </c:pt>
                <c:pt idx="34">
                  <c:v>22.335682631213626</c:v>
                </c:pt>
                <c:pt idx="35">
                  <c:v>24.138591964614818</c:v>
                </c:pt>
                <c:pt idx="36">
                  <c:v>15.63898744030778</c:v>
                </c:pt>
                <c:pt idx="37">
                  <c:v>14.253538750293265</c:v>
                </c:pt>
                <c:pt idx="38">
                  <c:v>12.548355174378505</c:v>
                </c:pt>
                <c:pt idx="39">
                  <c:v>13.083907852698839</c:v>
                </c:pt>
                <c:pt idx="40">
                  <c:v>10.31435673578271</c:v>
                </c:pt>
                <c:pt idx="41">
                  <c:v>10.544228115897592</c:v>
                </c:pt>
                <c:pt idx="42">
                  <c:v>9.1090760096036334</c:v>
                </c:pt>
                <c:pt idx="43">
                  <c:v>10.435969960011704</c:v>
                </c:pt>
                <c:pt idx="44">
                  <c:v>8.5299943406904362</c:v>
                </c:pt>
                <c:pt idx="45">
                  <c:v>9.9548162431289029</c:v>
                </c:pt>
                <c:pt idx="46">
                  <c:v>9.7435539095800436</c:v>
                </c:pt>
                <c:pt idx="47">
                  <c:v>9.0813711037624341</c:v>
                </c:pt>
                <c:pt idx="48">
                  <c:v>10.245738382714523</c:v>
                </c:pt>
                <c:pt idx="49">
                  <c:v>10.188987083616588</c:v>
                </c:pt>
                <c:pt idx="50">
                  <c:v>9.6282864913871258</c:v>
                </c:pt>
                <c:pt idx="51">
                  <c:v>8.9791384725378549</c:v>
                </c:pt>
                <c:pt idx="52">
                  <c:v>9.7472427045906933</c:v>
                </c:pt>
                <c:pt idx="53">
                  <c:v>9.477270926331915</c:v>
                </c:pt>
                <c:pt idx="54">
                  <c:v>8.8702587689681085</c:v>
                </c:pt>
                <c:pt idx="55">
                  <c:v>9.0428017529900604</c:v>
                </c:pt>
                <c:pt idx="56">
                  <c:v>8.8533476521049863</c:v>
                </c:pt>
                <c:pt idx="57">
                  <c:v>8.6675576590605345</c:v>
                </c:pt>
                <c:pt idx="58">
                  <c:v>8.0897634313508728</c:v>
                </c:pt>
                <c:pt idx="59">
                  <c:v>9.0708839310929115</c:v>
                </c:pt>
                <c:pt idx="60">
                  <c:v>7.2153582104820462</c:v>
                </c:pt>
                <c:pt idx="61">
                  <c:v>7.2421226436728894</c:v>
                </c:pt>
                <c:pt idx="62">
                  <c:v>7.5025402301566668</c:v>
                </c:pt>
                <c:pt idx="63">
                  <c:v>7.5250720461095097</c:v>
                </c:pt>
                <c:pt idx="64">
                  <c:v>7.5212844715898575</c:v>
                </c:pt>
                <c:pt idx="65">
                  <c:v>7.5344318596144575</c:v>
                </c:pt>
                <c:pt idx="66">
                  <c:v>6.9274013875581524</c:v>
                </c:pt>
                <c:pt idx="67">
                  <c:v>7.9506688212586409</c:v>
                </c:pt>
                <c:pt idx="68">
                  <c:v>6.2195644765914411</c:v>
                </c:pt>
                <c:pt idx="69">
                  <c:v>6.4953732818255325</c:v>
                </c:pt>
                <c:pt idx="70">
                  <c:v>6.6747873948252918</c:v>
                </c:pt>
                <c:pt idx="71">
                  <c:v>6.3887362494945616</c:v>
                </c:pt>
                <c:pt idx="72">
                  <c:v>8.127223813243079</c:v>
                </c:pt>
                <c:pt idx="73">
                  <c:v>7.3489083990561426</c:v>
                </c:pt>
                <c:pt idx="74">
                  <c:v>7.7747989276139409</c:v>
                </c:pt>
                <c:pt idx="75">
                  <c:v>8.257881416060405</c:v>
                </c:pt>
                <c:pt idx="76">
                  <c:v>7.9966954053424288</c:v>
                </c:pt>
                <c:pt idx="77">
                  <c:v>7.8105100528216802</c:v>
                </c:pt>
                <c:pt idx="78">
                  <c:v>7.6590875167918808</c:v>
                </c:pt>
                <c:pt idx="79">
                  <c:v>6.7628757558937806</c:v>
                </c:pt>
                <c:pt idx="80">
                  <c:v>7.3461988427365386</c:v>
                </c:pt>
                <c:pt idx="81">
                  <c:v>6.8716715341006704</c:v>
                </c:pt>
                <c:pt idx="82">
                  <c:v>6.0945743187648223</c:v>
                </c:pt>
                <c:pt idx="83">
                  <c:v>6.4964454217459071</c:v>
                </c:pt>
                <c:pt idx="84">
                  <c:v>6.647156291020206</c:v>
                </c:pt>
                <c:pt idx="85">
                  <c:v>5.9191549463884305</c:v>
                </c:pt>
                <c:pt idx="86">
                  <c:v>5.7786523170829653</c:v>
                </c:pt>
                <c:pt idx="87">
                  <c:v>5.6529906080079089</c:v>
                </c:pt>
                <c:pt idx="88">
                  <c:v>5.4906008694443891</c:v>
                </c:pt>
                <c:pt idx="89">
                  <c:v>5.5896570244763293</c:v>
                </c:pt>
                <c:pt idx="90">
                  <c:v>6.3093324146378809</c:v>
                </c:pt>
                <c:pt idx="91">
                  <c:v>7.1077166546255208</c:v>
                </c:pt>
                <c:pt idx="92">
                  <c:v>8.4596296386107017</c:v>
                </c:pt>
                <c:pt idx="93">
                  <c:v>9.5397388011196718</c:v>
                </c:pt>
                <c:pt idx="94">
                  <c:v>11.126397547978128</c:v>
                </c:pt>
                <c:pt idx="95">
                  <c:v>11.519234367899056</c:v>
                </c:pt>
                <c:pt idx="96">
                  <c:v>11.615567073706403</c:v>
                </c:pt>
                <c:pt idx="97">
                  <c:v>11.615045294330113</c:v>
                </c:pt>
                <c:pt idx="98">
                  <c:v>11.246446878613273</c:v>
                </c:pt>
                <c:pt idx="99">
                  <c:v>11.158646955315032</c:v>
                </c:pt>
                <c:pt idx="100">
                  <c:v>11.068455841904903</c:v>
                </c:pt>
                <c:pt idx="101">
                  <c:v>10.97515669986934</c:v>
                </c:pt>
                <c:pt idx="102">
                  <c:v>10.878823443851129</c:v>
                </c:pt>
                <c:pt idx="103">
                  <c:v>10.777903109740818</c:v>
                </c:pt>
                <c:pt idx="104">
                  <c:v>10.706813998707316</c:v>
                </c:pt>
                <c:pt idx="105">
                  <c:v>10.615963125884383</c:v>
                </c:pt>
                <c:pt idx="106">
                  <c:v>10.493502069820279</c:v>
                </c:pt>
                <c:pt idx="107">
                  <c:v>10.379744181560412</c:v>
                </c:pt>
                <c:pt idx="108">
                  <c:v>10.246482738705412</c:v>
                </c:pt>
                <c:pt idx="109">
                  <c:v>10.129042322985949</c:v>
                </c:pt>
                <c:pt idx="110">
                  <c:v>10.001464563486332</c:v>
                </c:pt>
                <c:pt idx="111">
                  <c:v>9.9560326053526893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6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1510040240"/>
        <c:scaling>
          <c:orientation val="maxMin"/>
          <c:max val="25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catAx>
        <c:axId val="1510036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0040240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1177929720631027"/>
          <c:y val="9.5306255034952311E-2"/>
          <c:w val="0.50123605735723697"/>
          <c:h val="0.1218605100105061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5713606174088705E-2"/>
          <c:y val="0.14714391023940784"/>
          <c:w val="0.84382347952033609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Data'!$IA$4</c:f>
              <c:strCache>
                <c:ptCount val="1"/>
                <c:pt idx="0">
                  <c:v>Actual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Data'!$HZ$5:$HZ$38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'Chart Data'!$IA$5:$IA$38</c:f>
              <c:numCache>
                <c:formatCode>General</c:formatCode>
                <c:ptCount val="34"/>
                <c:pt idx="0">
                  <c:v>1.7494581612621201</c:v>
                </c:pt>
                <c:pt idx="1">
                  <c:v>1.8782796504962043</c:v>
                </c:pt>
                <c:pt idx="2">
                  <c:v>1.9672479561572678</c:v>
                </c:pt>
                <c:pt idx="3">
                  <c:v>2.027719468748606</c:v>
                </c:pt>
                <c:pt idx="4">
                  <c:v>2.0419878691496938</c:v>
                </c:pt>
                <c:pt idx="5">
                  <c:v>2.065040207661319</c:v>
                </c:pt>
                <c:pt idx="6">
                  <c:v>2.0977144531785208</c:v>
                </c:pt>
                <c:pt idx="7">
                  <c:v>2.1276915229056725</c:v>
                </c:pt>
                <c:pt idx="8">
                  <c:v>2.2021899427598783</c:v>
                </c:pt>
                <c:pt idx="9">
                  <c:v>2.2674166209102911</c:v>
                </c:pt>
                <c:pt idx="10">
                  <c:v>2.3578095546675466</c:v>
                </c:pt>
                <c:pt idx="11">
                  <c:v>2.4158079783577859</c:v>
                </c:pt>
                <c:pt idx="12">
                  <c:v>2.4890828114083314</c:v>
                </c:pt>
                <c:pt idx="13">
                  <c:v>2.5367095196111653</c:v>
                </c:pt>
                <c:pt idx="14">
                  <c:v>2.5780621183646915</c:v>
                </c:pt>
                <c:pt idx="15">
                  <c:v>2.6071244061001342</c:v>
                </c:pt>
                <c:pt idx="16">
                  <c:v>2.6658952845574251</c:v>
                </c:pt>
                <c:pt idx="17">
                  <c:v>2.7319853292905272</c:v>
                </c:pt>
                <c:pt idx="18">
                  <c:v>2.7896222261221948</c:v>
                </c:pt>
                <c:pt idx="19">
                  <c:v>2.9013706040341707</c:v>
                </c:pt>
                <c:pt idx="20">
                  <c:v>2.920269691760577</c:v>
                </c:pt>
                <c:pt idx="21">
                  <c:v>2.9449111136622959</c:v>
                </c:pt>
                <c:pt idx="22">
                  <c:v>2.924583061017235</c:v>
                </c:pt>
                <c:pt idx="23">
                  <c:v>2.9082165771732726</c:v>
                </c:pt>
                <c:pt idx="24">
                  <c:v>2.8823709743384351</c:v>
                </c:pt>
                <c:pt idx="25">
                  <c:v>2.906981920779685</c:v>
                </c:pt>
                <c:pt idx="26">
                  <c:v>2.9439930588938807</c:v>
                </c:pt>
                <c:pt idx="27">
                  <c:v>2.9815356943791929</c:v>
                </c:pt>
                <c:pt idx="28">
                  <c:v>3.0141874561937256</c:v>
                </c:pt>
                <c:pt idx="29">
                  <c:v>3.0304697888859704</c:v>
                </c:pt>
                <c:pt idx="30">
                  <c:v>3.4108596891924376</c:v>
                </c:pt>
                <c:pt idx="31">
                  <c:v>3.2196744652834921</c:v>
                </c:pt>
                <c:pt idx="32">
                  <c:v>3.1423334863211507</c:v>
                </c:pt>
                <c:pt idx="33">
                  <c:v>3.195611001435493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Data'!$IB$4</c:f>
              <c:strCache>
                <c:ptCount val="1"/>
                <c:pt idx="0">
                  <c:v>Pre-2008 trend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Data'!$HZ$5:$HZ$38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'Chart Data'!$IB$5:$IB$38</c:f>
              <c:numCache>
                <c:formatCode>General</c:formatCode>
                <c:ptCount val="34"/>
                <c:pt idx="0">
                  <c:v>1.7494581612621201</c:v>
                </c:pt>
                <c:pt idx="1">
                  <c:v>1.795933757292312</c:v>
                </c:pt>
                <c:pt idx="2">
                  <c:v>1.8436440104718943</c:v>
                </c:pt>
                <c:pt idx="3">
                  <c:v>1.8926217203431375</c:v>
                </c:pt>
                <c:pt idx="4">
                  <c:v>1.9429005577914</c:v>
                </c:pt>
                <c:pt idx="5">
                  <c:v>1.9945150881929754</c:v>
                </c:pt>
                <c:pt idx="6">
                  <c:v>2.0475007951778768</c:v>
                </c:pt>
                <c:pt idx="7">
                  <c:v>2.1018941050238995</c:v>
                </c:pt>
                <c:pt idx="8">
                  <c:v>2.157732411698726</c:v>
                </c:pt>
                <c:pt idx="9">
                  <c:v>2.2150541025672945</c:v>
                </c:pt>
                <c:pt idx="10">
                  <c:v>2.2738985847821009</c:v>
                </c:pt>
                <c:pt idx="11">
                  <c:v>2.334306312374578</c:v>
                </c:pt>
                <c:pt idx="12">
                  <c:v>2.3963188140661762</c:v>
                </c:pt>
                <c:pt idx="13">
                  <c:v>2.4599787218182665</c:v>
                </c:pt>
                <c:pt idx="14">
                  <c:v>2.52532980014049</c:v>
                </c:pt>
                <c:pt idx="15">
                  <c:v>2.5924169761777054</c:v>
                </c:pt>
                <c:pt idx="16">
                  <c:v>2.6612863705962178</c:v>
                </c:pt>
                <c:pt idx="17">
                  <c:v>2.7319853292905227</c:v>
                </c:pt>
                <c:pt idx="18">
                  <c:v>2.8045624559323601</c:v>
                </c:pt>
                <c:pt idx="19">
                  <c:v>2.8790676453844593</c:v>
                </c:pt>
                <c:pt idx="20">
                  <c:v>2.955552118001942</c:v>
                </c:pt>
                <c:pt idx="21">
                  <c:v>3.0340684548449675</c:v>
                </c:pt>
                <c:pt idx="22">
                  <c:v>3.1146706338268264</c:v>
                </c:pt>
                <c:pt idx="23">
                  <c:v>3.1974140668223345</c:v>
                </c:pt>
                <c:pt idx="24">
                  <c:v>3.2823556377620369</c:v>
                </c:pt>
                <c:pt idx="25">
                  <c:v>3.3695537417384114</c:v>
                </c:pt>
                <c:pt idx="26">
                  <c:v>3.4590683251509566</c:v>
                </c:pt>
                <c:pt idx="27">
                  <c:v>3.5509609269177624</c:v>
                </c:pt>
                <c:pt idx="28">
                  <c:v>3.6452947207818953</c:v>
                </c:pt>
                <c:pt idx="29">
                  <c:v>3.7421345587416823</c:v>
                </c:pt>
                <c:pt idx="30">
                  <c:v>3.8415470156347515</c:v>
                </c:pt>
                <c:pt idx="31">
                  <c:v>3.9436004349064797</c:v>
                </c:pt>
                <c:pt idx="32">
                  <c:v>4.0483649755943105</c:v>
                </c:pt>
                <c:pt idx="33">
                  <c:v>4.1559126605602437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9958545012381926"/>
          <c:y val="9.031617966205005E-2"/>
          <c:w val="0.44501789818645549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2454724575256E-2"/>
          <c:y val="0.14714391023940784"/>
          <c:w val="0.87876696160292855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Data'!$GK$4</c:f>
              <c:strCache>
                <c:ptCount val="1"/>
                <c:pt idx="0">
                  <c:v>September 2024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Data'!$GJ$45:$GJ$82</c:f>
              <c:numCache>
                <c:formatCode>General</c:formatCode>
                <c:ptCount val="38"/>
                <c:pt idx="0">
                  <c:v>2015</c:v>
                </c:pt>
                <c:pt idx="4">
                  <c:v>2016</c:v>
                </c:pt>
                <c:pt idx="8">
                  <c:v>2017</c:v>
                </c:pt>
                <c:pt idx="12">
                  <c:v>2018</c:v>
                </c:pt>
                <c:pt idx="16">
                  <c:v>2019</c:v>
                </c:pt>
                <c:pt idx="20">
                  <c:v>2020</c:v>
                </c:pt>
                <c:pt idx="24">
                  <c:v>2021</c:v>
                </c:pt>
                <c:pt idx="28">
                  <c:v>2022</c:v>
                </c:pt>
                <c:pt idx="32">
                  <c:v>2023</c:v>
                </c:pt>
                <c:pt idx="36">
                  <c:v>2024</c:v>
                </c:pt>
              </c:numCache>
            </c:numRef>
          </c:cat>
          <c:val>
            <c:numRef>
              <c:f>'Chart Data'!$GK$45:$GK$82</c:f>
              <c:numCache>
                <c:formatCode>0.0</c:formatCode>
                <c:ptCount val="38"/>
                <c:pt idx="0">
                  <c:v>93.659254457618133</c:v>
                </c:pt>
                <c:pt idx="1">
                  <c:v>91.167981359250518</c:v>
                </c:pt>
                <c:pt idx="2">
                  <c:v>91.386975126687901</c:v>
                </c:pt>
                <c:pt idx="3">
                  <c:v>97.44346675893604</c:v>
                </c:pt>
                <c:pt idx="4">
                  <c:v>99.768304594051244</c:v>
                </c:pt>
                <c:pt idx="5">
                  <c:v>99.50376012298689</c:v>
                </c:pt>
                <c:pt idx="6">
                  <c:v>101.92320326563507</c:v>
                </c:pt>
                <c:pt idx="7">
                  <c:v>98.188045568223131</c:v>
                </c:pt>
                <c:pt idx="8">
                  <c:v>100.46558074957186</c:v>
                </c:pt>
                <c:pt idx="9">
                  <c:v>99.913716455629668</c:v>
                </c:pt>
                <c:pt idx="10">
                  <c:v>98.193301418641624</c:v>
                </c:pt>
                <c:pt idx="11">
                  <c:v>99.899700854513682</c:v>
                </c:pt>
                <c:pt idx="12">
                  <c:v>99.316301458060508</c:v>
                </c:pt>
                <c:pt idx="13">
                  <c:v>97.266519794846644</c:v>
                </c:pt>
                <c:pt idx="14">
                  <c:v>97.369884853077082</c:v>
                </c:pt>
                <c:pt idx="15">
                  <c:v>98.08117660971368</c:v>
                </c:pt>
                <c:pt idx="16">
                  <c:v>99.123586942715619</c:v>
                </c:pt>
                <c:pt idx="17">
                  <c:v>100.68282256686976</c:v>
                </c:pt>
                <c:pt idx="18">
                  <c:v>100.28162598492447</c:v>
                </c:pt>
                <c:pt idx="19">
                  <c:v>100.37447934231791</c:v>
                </c:pt>
                <c:pt idx="20">
                  <c:v>98.09519221082968</c:v>
                </c:pt>
                <c:pt idx="21">
                  <c:v>79.296767214005087</c:v>
                </c:pt>
                <c:pt idx="22">
                  <c:v>87.842779994481361</c:v>
                </c:pt>
                <c:pt idx="23">
                  <c:v>92.688674080335673</c:v>
                </c:pt>
                <c:pt idx="24">
                  <c:v>84.291577061716822</c:v>
                </c:pt>
                <c:pt idx="25">
                  <c:v>94.088482241795404</c:v>
                </c:pt>
                <c:pt idx="26">
                  <c:v>92.914675648331041</c:v>
                </c:pt>
                <c:pt idx="27">
                  <c:v>93.625967404967653</c:v>
                </c:pt>
                <c:pt idx="28">
                  <c:v>96.528948786117553</c:v>
                </c:pt>
                <c:pt idx="29">
                  <c:v>99.551062776753369</c:v>
                </c:pt>
                <c:pt idx="30">
                  <c:v>101.74625630154566</c:v>
                </c:pt>
                <c:pt idx="31">
                  <c:v>102.17373213558344</c:v>
                </c:pt>
                <c:pt idx="32">
                  <c:v>106.70077129604891</c:v>
                </c:pt>
                <c:pt idx="33">
                  <c:v>106.67098814367743</c:v>
                </c:pt>
                <c:pt idx="34">
                  <c:v>103.6436183026231</c:v>
                </c:pt>
                <c:pt idx="35">
                  <c:v>105.08021741701232</c:v>
                </c:pt>
                <c:pt idx="36">
                  <c:v>105.640841461652</c:v>
                </c:pt>
                <c:pt idx="37">
                  <c:v>105.54623615411904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Data'!$GL$4</c:f>
              <c:strCache>
                <c:ptCount val="1"/>
                <c:pt idx="0">
                  <c:v>October 2024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Data'!$GJ$45:$GJ$82</c:f>
              <c:numCache>
                <c:formatCode>General</c:formatCode>
                <c:ptCount val="38"/>
                <c:pt idx="0">
                  <c:v>2015</c:v>
                </c:pt>
                <c:pt idx="4">
                  <c:v>2016</c:v>
                </c:pt>
                <c:pt idx="8">
                  <c:v>2017</c:v>
                </c:pt>
                <c:pt idx="12">
                  <c:v>2018</c:v>
                </c:pt>
                <c:pt idx="16">
                  <c:v>2019</c:v>
                </c:pt>
                <c:pt idx="20">
                  <c:v>2020</c:v>
                </c:pt>
                <c:pt idx="24">
                  <c:v>2021</c:v>
                </c:pt>
                <c:pt idx="28">
                  <c:v>2022</c:v>
                </c:pt>
                <c:pt idx="32">
                  <c:v>2023</c:v>
                </c:pt>
                <c:pt idx="36">
                  <c:v>2024</c:v>
                </c:pt>
              </c:numCache>
            </c:numRef>
          </c:cat>
          <c:val>
            <c:numRef>
              <c:f>'Chart Data'!$GL$45:$GL$82</c:f>
              <c:numCache>
                <c:formatCode>0.0</c:formatCode>
                <c:ptCount val="38"/>
                <c:pt idx="0">
                  <c:v>96.854242386263948</c:v>
                </c:pt>
                <c:pt idx="1">
                  <c:v>94.23904415758031</c:v>
                </c:pt>
                <c:pt idx="2">
                  <c:v>94.427873167063538</c:v>
                </c:pt>
                <c:pt idx="3">
                  <c:v>100.66090153319129</c:v>
                </c:pt>
                <c:pt idx="4">
                  <c:v>103.07724443330409</c:v>
                </c:pt>
                <c:pt idx="5">
                  <c:v>102.76809959476961</c:v>
                </c:pt>
                <c:pt idx="6">
                  <c:v>105.23457409032042</c:v>
                </c:pt>
                <c:pt idx="7">
                  <c:v>101.34102017796715</c:v>
                </c:pt>
                <c:pt idx="8">
                  <c:v>103.67213936583532</c:v>
                </c:pt>
                <c:pt idx="9">
                  <c:v>103.1541128796424</c:v>
                </c:pt>
                <c:pt idx="10">
                  <c:v>101.40117809249278</c:v>
                </c:pt>
                <c:pt idx="11">
                  <c:v>103.12570497556084</c:v>
                </c:pt>
                <c:pt idx="12">
                  <c:v>102.50574424531061</c:v>
                </c:pt>
                <c:pt idx="13">
                  <c:v>100.35509880101934</c:v>
                </c:pt>
                <c:pt idx="14">
                  <c:v>100.4553619918954</c:v>
                </c:pt>
                <c:pt idx="15">
                  <c:v>101.158875381209</c:v>
                </c:pt>
                <c:pt idx="16">
                  <c:v>102.27012574675189</c:v>
                </c:pt>
                <c:pt idx="17">
                  <c:v>103.90775786439403</c:v>
                </c:pt>
                <c:pt idx="18">
                  <c:v>103.49166562225842</c:v>
                </c:pt>
                <c:pt idx="19">
                  <c:v>103.59527091949701</c:v>
                </c:pt>
                <c:pt idx="20">
                  <c:v>101.26415173162886</c:v>
                </c:pt>
                <c:pt idx="21">
                  <c:v>81.799724276225092</c:v>
                </c:pt>
                <c:pt idx="22">
                  <c:v>91.423319547144587</c:v>
                </c:pt>
                <c:pt idx="23">
                  <c:v>96.545097547729455</c:v>
                </c:pt>
                <c:pt idx="24">
                  <c:v>89.949450641266665</c:v>
                </c:pt>
                <c:pt idx="25">
                  <c:v>96.899360822158158</c:v>
                </c:pt>
                <c:pt idx="26">
                  <c:v>95.246689225884623</c:v>
                </c:pt>
                <c:pt idx="27">
                  <c:v>95.54747879851277</c:v>
                </c:pt>
                <c:pt idx="28">
                  <c:v>98.430045536199188</c:v>
                </c:pt>
                <c:pt idx="29">
                  <c:v>100.81798053223044</c:v>
                </c:pt>
                <c:pt idx="30">
                  <c:v>101.7454150478339</c:v>
                </c:pt>
                <c:pt idx="31">
                  <c:v>99.006558883736474</c:v>
                </c:pt>
                <c:pt idx="32">
                  <c:v>104.41074487195554</c:v>
                </c:pt>
                <c:pt idx="33">
                  <c:v>103.85929732213728</c:v>
                </c:pt>
                <c:pt idx="34">
                  <c:v>100.7578226177048</c:v>
                </c:pt>
                <c:pt idx="35">
                  <c:v>101.96933617412374</c:v>
                </c:pt>
                <c:pt idx="36">
                  <c:v>102.55253373438609</c:v>
                </c:pt>
                <c:pt idx="37">
                  <c:v>104.02306053390149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Data'!$GM$4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Data'!$GJ$45:$GJ$82</c:f>
              <c:numCache>
                <c:formatCode>General</c:formatCode>
                <c:ptCount val="38"/>
                <c:pt idx="0">
                  <c:v>2015</c:v>
                </c:pt>
                <c:pt idx="4">
                  <c:v>2016</c:v>
                </c:pt>
                <c:pt idx="8">
                  <c:v>2017</c:v>
                </c:pt>
                <c:pt idx="12">
                  <c:v>2018</c:v>
                </c:pt>
                <c:pt idx="16">
                  <c:v>2019</c:v>
                </c:pt>
                <c:pt idx="20">
                  <c:v>2020</c:v>
                </c:pt>
                <c:pt idx="24">
                  <c:v>2021</c:v>
                </c:pt>
                <c:pt idx="28">
                  <c:v>2022</c:v>
                </c:pt>
                <c:pt idx="32">
                  <c:v>2023</c:v>
                </c:pt>
                <c:pt idx="36">
                  <c:v>2024</c:v>
                </c:pt>
              </c:numCache>
            </c:numRef>
          </c:cat>
          <c:val>
            <c:numRef>
              <c:f>'Chart Data'!$GM$45:$GM$82</c:f>
              <c:numCache>
                <c:formatCode>0.0</c:formatCode>
                <c:ptCount val="3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in val="7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8300310673576853"/>
          <c:y val="8.9653456938550896E-2"/>
          <c:w val="0.62550524491492954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963996025920487E-2"/>
          <c:y val="0.14725688325786473"/>
          <c:w val="0.91361454394471875"/>
          <c:h val="0.713187006015182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Data'!$AI$4</c:f>
              <c:strCache>
                <c:ptCount val="1"/>
                <c:pt idx="0">
                  <c:v>Transport equipment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invertIfNegative val="0"/>
          <c:cat>
            <c:numRef>
              <c:f>'Chart Data'!$AH$5:$AH$26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Data'!$AI$5:$AI$26</c:f>
              <c:numCache>
                <c:formatCode>0.0</c:formatCode>
                <c:ptCount val="22"/>
                <c:pt idx="0">
                  <c:v>1.34690453914895</c:v>
                </c:pt>
                <c:pt idx="1">
                  <c:v>2.1598864406232861</c:v>
                </c:pt>
                <c:pt idx="2">
                  <c:v>1.2049553182566055</c:v>
                </c:pt>
                <c:pt idx="3">
                  <c:v>0</c:v>
                </c:pt>
                <c:pt idx="4">
                  <c:v>0.67587185856695808</c:v>
                </c:pt>
                <c:pt idx="5">
                  <c:v>-3.9342517017775913</c:v>
                </c:pt>
                <c:pt idx="6">
                  <c:v>1.2791560473594219</c:v>
                </c:pt>
                <c:pt idx="7">
                  <c:v>2.9809336387392329</c:v>
                </c:pt>
                <c:pt idx="8">
                  <c:v>-1.6582249895151144</c:v>
                </c:pt>
                <c:pt idx="9">
                  <c:v>-1.7421040745878631</c:v>
                </c:pt>
                <c:pt idx="10">
                  <c:v>-0.42907378133367746</c:v>
                </c:pt>
                <c:pt idx="11">
                  <c:v>0.82266025744426874</c:v>
                </c:pt>
                <c:pt idx="12">
                  <c:v>-0.18066264477207472</c:v>
                </c:pt>
                <c:pt idx="13">
                  <c:v>3.2825757331354648</c:v>
                </c:pt>
                <c:pt idx="14">
                  <c:v>3.0938477917217795</c:v>
                </c:pt>
                <c:pt idx="15">
                  <c:v>4.0600703293867149</c:v>
                </c:pt>
                <c:pt idx="16">
                  <c:v>5.2005032745104369</c:v>
                </c:pt>
                <c:pt idx="17">
                  <c:v>6.3699712875439563</c:v>
                </c:pt>
                <c:pt idx="18">
                  <c:v>5.4682711230119043</c:v>
                </c:pt>
                <c:pt idx="19">
                  <c:v>5.8925057263606151</c:v>
                </c:pt>
                <c:pt idx="20">
                  <c:v>5.6682904797238445</c:v>
                </c:pt>
                <c:pt idx="21">
                  <c:v>6.7764622382811242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4-4205-AD23-F19059930F33}"/>
            </c:ext>
          </c:extLst>
        </c:ser>
        <c:ser>
          <c:idx val="1"/>
          <c:order val="1"/>
          <c:tx>
            <c:strRef>
              <c:f>'Chart Data'!$AJ$4</c:f>
              <c:strCache>
                <c:ptCount val="1"/>
                <c:pt idx="0">
                  <c:v>ICT equipment and other machinery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Data'!$AH$5:$AH$26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Data'!$AJ$5:$AJ$26</c:f>
              <c:numCache>
                <c:formatCode>0.0</c:formatCode>
                <c:ptCount val="22"/>
                <c:pt idx="0">
                  <c:v>0.58231441752427648</c:v>
                </c:pt>
                <c:pt idx="1">
                  <c:v>0.91460463915862822</c:v>
                </c:pt>
                <c:pt idx="2">
                  <c:v>3.7100364551408201E-2</c:v>
                </c:pt>
                <c:pt idx="3">
                  <c:v>0</c:v>
                </c:pt>
                <c:pt idx="4">
                  <c:v>-1.4517533954898861E-2</c:v>
                </c:pt>
                <c:pt idx="5">
                  <c:v>-5.576346098009485</c:v>
                </c:pt>
                <c:pt idx="6">
                  <c:v>-3.5438913443236442</c:v>
                </c:pt>
                <c:pt idx="7">
                  <c:v>-1.3791657257153918</c:v>
                </c:pt>
                <c:pt idx="8">
                  <c:v>-0.88879568990547475</c:v>
                </c:pt>
                <c:pt idx="9">
                  <c:v>-0.72587669774494301</c:v>
                </c:pt>
                <c:pt idx="10">
                  <c:v>0.14356228022066653</c:v>
                </c:pt>
                <c:pt idx="11">
                  <c:v>-0.73878117237151986</c:v>
                </c:pt>
                <c:pt idx="12">
                  <c:v>1.3485175984772719</c:v>
                </c:pt>
                <c:pt idx="13">
                  <c:v>2.0453592283124173</c:v>
                </c:pt>
                <c:pt idx="14">
                  <c:v>2.508307255540859</c:v>
                </c:pt>
                <c:pt idx="15">
                  <c:v>0.73232893505823138</c:v>
                </c:pt>
                <c:pt idx="16">
                  <c:v>2.2260218730844921</c:v>
                </c:pt>
                <c:pt idx="17">
                  <c:v>2.0260025163725519</c:v>
                </c:pt>
                <c:pt idx="18">
                  <c:v>1.4307836242216989</c:v>
                </c:pt>
                <c:pt idx="19">
                  <c:v>1.1323676484821112</c:v>
                </c:pt>
                <c:pt idx="20">
                  <c:v>2.1905345678614059</c:v>
                </c:pt>
                <c:pt idx="21">
                  <c:v>0.69684162983514542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4-4205-AD23-F19059930F33}"/>
            </c:ext>
          </c:extLst>
        </c:ser>
        <c:ser>
          <c:idx val="2"/>
          <c:order val="2"/>
          <c:tx>
            <c:strRef>
              <c:f>'Chart Data'!$AK$4</c:f>
              <c:strCache>
                <c:ptCount val="1"/>
                <c:pt idx="0">
                  <c:v>Other buildings &amp; structures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Data'!$AH$5:$AH$26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Data'!$AK$5:$AK$26</c:f>
              <c:numCache>
                <c:formatCode>0.0</c:formatCode>
                <c:ptCount val="22"/>
                <c:pt idx="0">
                  <c:v>0.41778236603542279</c:v>
                </c:pt>
                <c:pt idx="1">
                  <c:v>0.18872794141368521</c:v>
                </c:pt>
                <c:pt idx="2">
                  <c:v>-0.81782107945930249</c:v>
                </c:pt>
                <c:pt idx="3">
                  <c:v>0</c:v>
                </c:pt>
                <c:pt idx="4">
                  <c:v>-2.2679614156208663</c:v>
                </c:pt>
                <c:pt idx="5">
                  <c:v>-7.1571442397651381</c:v>
                </c:pt>
                <c:pt idx="6">
                  <c:v>-6.5280511017195213</c:v>
                </c:pt>
                <c:pt idx="7">
                  <c:v>-5.8602445397941736</c:v>
                </c:pt>
                <c:pt idx="8">
                  <c:v>-7.7959157337806877</c:v>
                </c:pt>
                <c:pt idx="9">
                  <c:v>-4.6230280349711261</c:v>
                </c:pt>
                <c:pt idx="10">
                  <c:v>-5.9425105655386012</c:v>
                </c:pt>
                <c:pt idx="11">
                  <c:v>-6.3006097364261064</c:v>
                </c:pt>
                <c:pt idx="12">
                  <c:v>-4.5665709584798524</c:v>
                </c:pt>
                <c:pt idx="13">
                  <c:v>-5.5569893860696196</c:v>
                </c:pt>
                <c:pt idx="14">
                  <c:v>-5.5118237248766011</c:v>
                </c:pt>
                <c:pt idx="15">
                  <c:v>-7.0151950188727943</c:v>
                </c:pt>
                <c:pt idx="16">
                  <c:v>-5.0714585282446691</c:v>
                </c:pt>
                <c:pt idx="17">
                  <c:v>-7.0716520953640671</c:v>
                </c:pt>
                <c:pt idx="18">
                  <c:v>-7.8797948188534379</c:v>
                </c:pt>
                <c:pt idx="19">
                  <c:v>-6.4377197793334844</c:v>
                </c:pt>
                <c:pt idx="20">
                  <c:v>-6.3409362196341581</c:v>
                </c:pt>
                <c:pt idx="21">
                  <c:v>-5.2182469271219798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F4-4205-AD23-F19059930F33}"/>
            </c:ext>
          </c:extLst>
        </c:ser>
        <c:ser>
          <c:idx val="3"/>
          <c:order val="3"/>
          <c:tx>
            <c:strRef>
              <c:f>'Chart Data'!$AL$4</c:f>
              <c:strCache>
                <c:ptCount val="1"/>
                <c:pt idx="0">
                  <c:v>Intellectual property products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Data'!$AH$5:$AH$26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Data'!$AL$5:$AL$26</c:f>
              <c:numCache>
                <c:formatCode>0.0</c:formatCode>
                <c:ptCount val="22"/>
                <c:pt idx="0">
                  <c:v>-1.3194825305674742</c:v>
                </c:pt>
                <c:pt idx="1">
                  <c:v>-1.0839758686324483</c:v>
                </c:pt>
                <c:pt idx="2">
                  <c:v>-0.36132528954414944</c:v>
                </c:pt>
                <c:pt idx="3">
                  <c:v>0</c:v>
                </c:pt>
                <c:pt idx="4">
                  <c:v>0.35648611155918314</c:v>
                </c:pt>
                <c:pt idx="5">
                  <c:v>-2.9051198503080942</c:v>
                </c:pt>
                <c:pt idx="6">
                  <c:v>-2.4163628738264995</c:v>
                </c:pt>
                <c:pt idx="7">
                  <c:v>-2.1324644320418105</c:v>
                </c:pt>
                <c:pt idx="8">
                  <c:v>-2.0921379488337584</c:v>
                </c:pt>
                <c:pt idx="9">
                  <c:v>1.2904474626576765</c:v>
                </c:pt>
                <c:pt idx="10">
                  <c:v>-1.2001161402716392</c:v>
                </c:pt>
                <c:pt idx="11">
                  <c:v>-1.0759105719908377</c:v>
                </c:pt>
                <c:pt idx="12">
                  <c:v>-1.24689486079298</c:v>
                </c:pt>
                <c:pt idx="13">
                  <c:v>-2.1050424234603349</c:v>
                </c:pt>
                <c:pt idx="14">
                  <c:v>-1.5291802432493466</c:v>
                </c:pt>
                <c:pt idx="15">
                  <c:v>-1.8598574055553763</c:v>
                </c:pt>
                <c:pt idx="16">
                  <c:v>-1.2210859115398265</c:v>
                </c:pt>
                <c:pt idx="17">
                  <c:v>-0.72265057908829888</c:v>
                </c:pt>
                <c:pt idx="18">
                  <c:v>-1.4114269122818337</c:v>
                </c:pt>
                <c:pt idx="19">
                  <c:v>-1.8098525663773914</c:v>
                </c:pt>
                <c:pt idx="20">
                  <c:v>-2.1776300932348289</c:v>
                </c:pt>
                <c:pt idx="21">
                  <c:v>-1.4953059973545826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F4-4205-AD23-F19059930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Data'!$AM$4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Data'!$AH$5:$AH$26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Data'!$AM$5:$AM$26</c:f>
              <c:numCache>
                <c:formatCode>0.0</c:formatCode>
                <c:ptCount val="22"/>
                <c:pt idx="0">
                  <c:v>-1.2791560473594219</c:v>
                </c:pt>
                <c:pt idx="1">
                  <c:v>0.30164209439623191</c:v>
                </c:pt>
                <c:pt idx="2">
                  <c:v>-0.10000967835596994</c:v>
                </c:pt>
                <c:pt idx="3">
                  <c:v>0</c:v>
                </c:pt>
                <c:pt idx="4">
                  <c:v>-2.2502177630093234</c:v>
                </c:pt>
                <c:pt idx="5">
                  <c:v>-21.039132819305095</c:v>
                </c:pt>
                <c:pt idx="6">
                  <c:v>-11.749524147498144</c:v>
                </c:pt>
                <c:pt idx="7">
                  <c:v>-6.8054973061909223</c:v>
                </c:pt>
                <c:pt idx="8">
                  <c:v>-13.172242475078233</c:v>
                </c:pt>
                <c:pt idx="9">
                  <c:v>-6.4635287285866374</c:v>
                </c:pt>
                <c:pt idx="10">
                  <c:v>-8.0588444042971901</c:v>
                </c:pt>
                <c:pt idx="11">
                  <c:v>-7.768493725199213</c:v>
                </c:pt>
                <c:pt idx="12">
                  <c:v>-4.9875794431719198</c:v>
                </c:pt>
                <c:pt idx="13">
                  <c:v>-2.6809046036713231</c:v>
                </c:pt>
                <c:pt idx="14">
                  <c:v>-1.7856566764525601</c:v>
                </c:pt>
                <c:pt idx="15">
                  <c:v>-4.4294609155724745</c:v>
                </c:pt>
                <c:pt idx="16">
                  <c:v>0.78717295222118266</c:v>
                </c:pt>
                <c:pt idx="17">
                  <c:v>0.25486337387489111</c:v>
                </c:pt>
                <c:pt idx="18">
                  <c:v>-2.7389747394909185</c:v>
                </c:pt>
                <c:pt idx="19">
                  <c:v>-1.5695067264573992</c:v>
                </c:pt>
                <c:pt idx="20">
                  <c:v>-1.0065490208729877</c:v>
                </c:pt>
                <c:pt idx="21">
                  <c:v>0.41294318805045654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F4-4205-AD23-F19059930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46730085857911829"/>
          <c:y val="0.61846566208926845"/>
          <c:w val="0.5197372362353011"/>
          <c:h val="0.245612120267144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Data'!$BZ$4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Data'!$BY$5:$BY$26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Data'!$BZ$5:$BZ$26</c:f>
              <c:numCache>
                <c:formatCode>0.0</c:formatCode>
                <c:ptCount val="22"/>
                <c:pt idx="0">
                  <c:v>1.0549408007226506</c:v>
                </c:pt>
                <c:pt idx="1">
                  <c:v>0.59683195147917545</c:v>
                </c:pt>
                <c:pt idx="2">
                  <c:v>0.23550666193502598</c:v>
                </c:pt>
                <c:pt idx="3">
                  <c:v>0</c:v>
                </c:pt>
                <c:pt idx="4">
                  <c:v>-4.0326483208052391E-2</c:v>
                </c:pt>
                <c:pt idx="5">
                  <c:v>-1.7066167693647771</c:v>
                </c:pt>
                <c:pt idx="6">
                  <c:v>-0.92750911378520506</c:v>
                </c:pt>
                <c:pt idx="7">
                  <c:v>-0.52263122237635906</c:v>
                </c:pt>
                <c:pt idx="8">
                  <c:v>-0.4935961544665613</c:v>
                </c:pt>
                <c:pt idx="9">
                  <c:v>7.903990708778269E-2</c:v>
                </c:pt>
                <c:pt idx="10">
                  <c:v>0.3806820014840146</c:v>
                </c:pt>
                <c:pt idx="11">
                  <c:v>0.65328902797044874</c:v>
                </c:pt>
                <c:pt idx="12">
                  <c:v>0.62264090073232892</c:v>
                </c:pt>
                <c:pt idx="13">
                  <c:v>1.5082104719811595</c:v>
                </c:pt>
                <c:pt idx="14">
                  <c:v>1.2823821660160661</c:v>
                </c:pt>
                <c:pt idx="15">
                  <c:v>1.2597993354195567</c:v>
                </c:pt>
                <c:pt idx="16">
                  <c:v>1.6791947607833015</c:v>
                </c:pt>
                <c:pt idx="17">
                  <c:v>2.1163338387585893</c:v>
                </c:pt>
                <c:pt idx="18">
                  <c:v>1.774365261154305</c:v>
                </c:pt>
                <c:pt idx="19">
                  <c:v>1.6840339387682681</c:v>
                </c:pt>
                <c:pt idx="20">
                  <c:v>1.8469529309287998</c:v>
                </c:pt>
                <c:pt idx="21">
                  <c:v>1.9566409652547019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Data'!$CA$4</c:f>
              <c:strCache>
                <c:ptCount val="1"/>
                <c:pt idx="0">
                  <c:v>Other production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Data'!$BY$5:$BY$26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Data'!$CA$5:$CA$26</c:f>
              <c:numCache>
                <c:formatCode>0.0</c:formatCode>
                <c:ptCount val="22"/>
                <c:pt idx="0">
                  <c:v>-2.0469722876407395</c:v>
                </c:pt>
                <c:pt idx="1">
                  <c:v>-2.6196083491950835</c:v>
                </c:pt>
                <c:pt idx="2">
                  <c:v>-2.7373616801625964</c:v>
                </c:pt>
                <c:pt idx="3">
                  <c:v>0</c:v>
                </c:pt>
                <c:pt idx="4">
                  <c:v>-2.8228538245636674</c:v>
                </c:pt>
                <c:pt idx="5">
                  <c:v>-4.6165757976578377</c:v>
                </c:pt>
                <c:pt idx="6">
                  <c:v>-4.3778430170661675</c:v>
                </c:pt>
                <c:pt idx="7">
                  <c:v>-4.785947027131658</c:v>
                </c:pt>
                <c:pt idx="8">
                  <c:v>-3.0002903506790979</c:v>
                </c:pt>
                <c:pt idx="9">
                  <c:v>-2.5195986708391134</c:v>
                </c:pt>
                <c:pt idx="10">
                  <c:v>-2.7744620447140047</c:v>
                </c:pt>
                <c:pt idx="11">
                  <c:v>-2.647030357776559</c:v>
                </c:pt>
                <c:pt idx="12">
                  <c:v>-4.7504597219085714</c:v>
                </c:pt>
                <c:pt idx="13">
                  <c:v>-3.0825563764235246</c:v>
                </c:pt>
                <c:pt idx="14">
                  <c:v>-2.0695551182372487</c:v>
                </c:pt>
                <c:pt idx="15">
                  <c:v>-2.0872987708487916</c:v>
                </c:pt>
                <c:pt idx="16">
                  <c:v>-1.6130593283220955</c:v>
                </c:pt>
                <c:pt idx="17">
                  <c:v>-2.2760267122624769</c:v>
                </c:pt>
                <c:pt idx="18">
                  <c:v>-2.409910636513211</c:v>
                </c:pt>
                <c:pt idx="19">
                  <c:v>-1.3017388779559314</c:v>
                </c:pt>
                <c:pt idx="20">
                  <c:v>-1.3081911152692196</c:v>
                </c:pt>
                <c:pt idx="21">
                  <c:v>1.24689486079298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Data'!$CB$4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Data'!$BY$5:$BY$26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Data'!$CB$5:$CB$26</c:f>
              <c:numCache>
                <c:formatCode>0.0</c:formatCode>
                <c:ptCount val="22"/>
                <c:pt idx="0">
                  <c:v>-0.44520437461689844</c:v>
                </c:pt>
                <c:pt idx="1">
                  <c:v>-0.10484885634093621</c:v>
                </c:pt>
                <c:pt idx="2">
                  <c:v>-0.31615962835113076</c:v>
                </c:pt>
                <c:pt idx="3">
                  <c:v>0</c:v>
                </c:pt>
                <c:pt idx="4">
                  <c:v>-0.34035551827596222</c:v>
                </c:pt>
                <c:pt idx="5">
                  <c:v>-1.8405006936155113</c:v>
                </c:pt>
                <c:pt idx="6">
                  <c:v>-1.129141529825467</c:v>
                </c:pt>
                <c:pt idx="7">
                  <c:v>-1.3485175984772719</c:v>
                </c:pt>
                <c:pt idx="8">
                  <c:v>-0.91621769848695034</c:v>
                </c:pt>
                <c:pt idx="9">
                  <c:v>-1.350130657805594</c:v>
                </c:pt>
                <c:pt idx="10">
                  <c:v>-1.0404232667677518</c:v>
                </c:pt>
                <c:pt idx="11">
                  <c:v>-1.5791850824273317</c:v>
                </c:pt>
                <c:pt idx="12">
                  <c:v>-1.0194534954995644</c:v>
                </c:pt>
                <c:pt idx="13">
                  <c:v>-1.164628835048553</c:v>
                </c:pt>
                <c:pt idx="14">
                  <c:v>-0.57586218021098812</c:v>
                </c:pt>
                <c:pt idx="15">
                  <c:v>-0.55166629028615666</c:v>
                </c:pt>
                <c:pt idx="16">
                  <c:v>-0.69038939252185694</c:v>
                </c:pt>
                <c:pt idx="17">
                  <c:v>-1.363035132432171</c:v>
                </c:pt>
                <c:pt idx="18">
                  <c:v>-1.8808271768235636</c:v>
                </c:pt>
                <c:pt idx="19">
                  <c:v>-1.7662999645126947</c:v>
                </c:pt>
                <c:pt idx="20">
                  <c:v>-1.7082298286930993</c:v>
                </c:pt>
                <c:pt idx="21">
                  <c:v>-1.5082104719811595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Data'!$CC$4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Data'!$BY$5:$BY$26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Data'!$CC$5:$CC$26</c:f>
              <c:numCache>
                <c:formatCode>0.0</c:formatCode>
                <c:ptCount val="22"/>
                <c:pt idx="0">
                  <c:v>-0.20969771268187243</c:v>
                </c:pt>
                <c:pt idx="1">
                  <c:v>-0.28551150111301093</c:v>
                </c:pt>
                <c:pt idx="2">
                  <c:v>0.67587185856695808</c:v>
                </c:pt>
                <c:pt idx="3">
                  <c:v>0</c:v>
                </c:pt>
                <c:pt idx="4">
                  <c:v>-4.910152595412459</c:v>
                </c:pt>
                <c:pt idx="5">
                  <c:v>-5.3521308513727135</c:v>
                </c:pt>
                <c:pt idx="6">
                  <c:v>-8.2169242184727551</c:v>
                </c:pt>
                <c:pt idx="7">
                  <c:v>-6.5199858050779103</c:v>
                </c:pt>
                <c:pt idx="8">
                  <c:v>-7.7781720811691448</c:v>
                </c:pt>
                <c:pt idx="9">
                  <c:v>-7.4345904442365383</c:v>
                </c:pt>
                <c:pt idx="10">
                  <c:v>-6.0102590573281285</c:v>
                </c:pt>
                <c:pt idx="11">
                  <c:v>-6.0973642610575221</c:v>
                </c:pt>
                <c:pt idx="12">
                  <c:v>-1.5759589637706874</c:v>
                </c:pt>
                <c:pt idx="13">
                  <c:v>-1.7614607865277285</c:v>
                </c:pt>
                <c:pt idx="14">
                  <c:v>-2.277639771590799</c:v>
                </c:pt>
                <c:pt idx="15">
                  <c:v>-4.931122366680647</c:v>
                </c:pt>
                <c:pt idx="16">
                  <c:v>-0.38713423879730297</c:v>
                </c:pt>
                <c:pt idx="17">
                  <c:v>-5.9683195147917541E-2</c:v>
                </c:pt>
                <c:pt idx="18">
                  <c:v>-2.0614898215956385</c:v>
                </c:pt>
                <c:pt idx="19">
                  <c:v>-1.9824499145078556</c:v>
                </c:pt>
                <c:pt idx="20">
                  <c:v>-1.635642158918605</c:v>
                </c:pt>
                <c:pt idx="21">
                  <c:v>-3.068038842468626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ser>
          <c:idx val="4"/>
          <c:order val="4"/>
          <c:tx>
            <c:strRef>
              <c:f>'Chart Data'!$CD$4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Data'!$BY$5:$BY$26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Data'!$CD$5:$CD$26</c:f>
              <c:numCache>
                <c:formatCode>0.0</c:formatCode>
                <c:ptCount val="22"/>
                <c:pt idx="0">
                  <c:v>0.36777752685743759</c:v>
                </c:pt>
                <c:pt idx="1">
                  <c:v>2.7147788495660876</c:v>
                </c:pt>
                <c:pt idx="2">
                  <c:v>2.0421331096557731</c:v>
                </c:pt>
                <c:pt idx="3">
                  <c:v>0</c:v>
                </c:pt>
                <c:pt idx="4">
                  <c:v>5.8634706584508178</c:v>
                </c:pt>
                <c:pt idx="5">
                  <c:v>-7.5233087072942553</c:v>
                </c:pt>
                <c:pt idx="6">
                  <c:v>2.9018937316514508</c:v>
                </c:pt>
                <c:pt idx="7">
                  <c:v>6.371584346872277</c:v>
                </c:pt>
                <c:pt idx="8">
                  <c:v>-0.98396619027648047</c:v>
                </c:pt>
                <c:pt idx="9">
                  <c:v>4.7617511372068257</c:v>
                </c:pt>
                <c:pt idx="10">
                  <c:v>1.3856179630286798</c:v>
                </c:pt>
                <c:pt idx="11">
                  <c:v>1.9017969480917509</c:v>
                </c:pt>
                <c:pt idx="12">
                  <c:v>1.7372648966028958</c:v>
                </c:pt>
                <c:pt idx="13">
                  <c:v>1.8195309223473235</c:v>
                </c:pt>
                <c:pt idx="14">
                  <c:v>1.8550182275704099</c:v>
                </c:pt>
                <c:pt idx="15">
                  <c:v>1.8808271768235638</c:v>
                </c:pt>
                <c:pt idx="16">
                  <c:v>1.7985611510791366</c:v>
                </c:pt>
                <c:pt idx="17">
                  <c:v>1.8372745749588673</c:v>
                </c:pt>
                <c:pt idx="18">
                  <c:v>1.8388876342871894</c:v>
                </c:pt>
                <c:pt idx="19">
                  <c:v>1.796948091750814</c:v>
                </c:pt>
                <c:pt idx="20">
                  <c:v>1.7985611510791366</c:v>
                </c:pt>
                <c:pt idx="21">
                  <c:v>1.7856566764525605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5"/>
          <c:order val="5"/>
          <c:tx>
            <c:strRef>
              <c:f>'Chart Data'!$CE$4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Data'!$BY$5:$BY$26</c:f>
              <c:numCache>
                <c:formatCode>General</c:formatCode>
                <c:ptCount val="22"/>
                <c:pt idx="0">
                  <c:v>2019</c:v>
                </c:pt>
                <c:pt idx="4">
                  <c:v>2020</c:v>
                </c:pt>
                <c:pt idx="8">
                  <c:v>2021</c:v>
                </c:pt>
                <c:pt idx="12">
                  <c:v>2022</c:v>
                </c:pt>
                <c:pt idx="16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'Chart Data'!$CE$5:$CE$26</c:f>
              <c:numCache>
                <c:formatCode>0.0</c:formatCode>
                <c:ptCount val="22"/>
                <c:pt idx="0">
                  <c:v>-1.2791560473594219</c:v>
                </c:pt>
                <c:pt idx="1">
                  <c:v>0.30164209439623191</c:v>
                </c:pt>
                <c:pt idx="2">
                  <c:v>-0.10000967835596994</c:v>
                </c:pt>
                <c:pt idx="3">
                  <c:v>0</c:v>
                </c:pt>
                <c:pt idx="4">
                  <c:v>-2.2502177630093234</c:v>
                </c:pt>
                <c:pt idx="5">
                  <c:v>-21.039132819305095</c:v>
                </c:pt>
                <c:pt idx="6">
                  <c:v>-11.749524147498144</c:v>
                </c:pt>
                <c:pt idx="7">
                  <c:v>-6.8054973061909223</c:v>
                </c:pt>
                <c:pt idx="8">
                  <c:v>-13.172242475078233</c:v>
                </c:pt>
                <c:pt idx="9">
                  <c:v>-6.4635287285866374</c:v>
                </c:pt>
                <c:pt idx="10">
                  <c:v>-8.0588444042971901</c:v>
                </c:pt>
                <c:pt idx="11">
                  <c:v>-7.768493725199213</c:v>
                </c:pt>
                <c:pt idx="12">
                  <c:v>-4.9859663838435981</c:v>
                </c:pt>
                <c:pt idx="13">
                  <c:v>-2.6809046036713231</c:v>
                </c:pt>
                <c:pt idx="14">
                  <c:v>-1.7856566764525601</c:v>
                </c:pt>
                <c:pt idx="15">
                  <c:v>-4.4294609155724745</c:v>
                </c:pt>
                <c:pt idx="16">
                  <c:v>0.78717295222118266</c:v>
                </c:pt>
                <c:pt idx="17">
                  <c:v>0.25486337387489111</c:v>
                </c:pt>
                <c:pt idx="18">
                  <c:v>-2.7389747394909185</c:v>
                </c:pt>
                <c:pt idx="19">
                  <c:v>-1.5695067264573992</c:v>
                </c:pt>
                <c:pt idx="20">
                  <c:v>-1.0065490208729877</c:v>
                </c:pt>
                <c:pt idx="21">
                  <c:v>0.41294318805045654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70753291491055248"/>
          <c:y val="0.56960364277580966"/>
          <c:w val="0.25329777807301718"/>
          <c:h val="0.2986056224742054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963996025920487E-2"/>
          <c:y val="0.14725688325786473"/>
          <c:w val="0.91361454394471875"/>
          <c:h val="0.713187006015182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Data'!$AB$4</c:f>
              <c:strCache>
                <c:ptCount val="1"/>
                <c:pt idx="0">
                  <c:v>Transport equipment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Data'!$AA$5:$AA$18</c:f>
              <c:numCache>
                <c:formatCode>General</c:formatCode>
                <c:ptCount val="14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'Chart Data'!$AB$5:$AB$18</c:f>
              <c:numCache>
                <c:formatCode>0.0</c:formatCode>
                <c:ptCount val="14"/>
                <c:pt idx="0">
                  <c:v>0</c:v>
                </c:pt>
                <c:pt idx="1">
                  <c:v>-9.6603997919298509E-2</c:v>
                </c:pt>
                <c:pt idx="2">
                  <c:v>1.4156201233558743</c:v>
                </c:pt>
                <c:pt idx="3">
                  <c:v>2.8572490153823291</c:v>
                </c:pt>
                <c:pt idx="4">
                  <c:v>1.7017165787322583</c:v>
                </c:pt>
                <c:pt idx="5">
                  <c:v>5.6903470312848334</c:v>
                </c:pt>
                <c:pt idx="6">
                  <c:v>5.4729880359664111</c:v>
                </c:pt>
                <c:pt idx="7">
                  <c:v>6.5857917812290996</c:v>
                </c:pt>
                <c:pt idx="8">
                  <c:v>7.8992345990934094</c:v>
                </c:pt>
                <c:pt idx="9">
                  <c:v>9.246117262391321</c:v>
                </c:pt>
                <c:pt idx="10">
                  <c:v>8.207624284758861</c:v>
                </c:pt>
                <c:pt idx="11">
                  <c:v>8.6962175819276215</c:v>
                </c:pt>
                <c:pt idx="12">
                  <c:v>8.4379876644125726</c:v>
                </c:pt>
                <c:pt idx="13">
                  <c:v>9.7142750984617656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2-4B37-97F7-979AACFBEE31}"/>
            </c:ext>
          </c:extLst>
        </c:ser>
        <c:ser>
          <c:idx val="1"/>
          <c:order val="1"/>
          <c:tx>
            <c:strRef>
              <c:f>'Chart Data'!$AC$4</c:f>
              <c:strCache>
                <c:ptCount val="1"/>
                <c:pt idx="0">
                  <c:v>ICT equipment and other machinery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Data'!$AA$5:$AA$18</c:f>
              <c:numCache>
                <c:formatCode>General</c:formatCode>
                <c:ptCount val="14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'Chart Data'!$AC$5:$AC$18</c:f>
              <c:numCache>
                <c:formatCode>0.0</c:formatCode>
                <c:ptCount val="14"/>
                <c:pt idx="0">
                  <c:v>0</c:v>
                </c:pt>
                <c:pt idx="1">
                  <c:v>0.18763468826632981</c:v>
                </c:pt>
                <c:pt idx="2">
                  <c:v>1.1889722820836739</c:v>
                </c:pt>
                <c:pt idx="3">
                  <c:v>0.17277253474028387</c:v>
                </c:pt>
                <c:pt idx="4">
                  <c:v>2.5767258675782121</c:v>
                </c:pt>
                <c:pt idx="5">
                  <c:v>3.3792821579846919</c:v>
                </c:pt>
                <c:pt idx="6">
                  <c:v>3.9124619157315896</c:v>
                </c:pt>
                <c:pt idx="7">
                  <c:v>1.8670580367095193</c:v>
                </c:pt>
                <c:pt idx="8">
                  <c:v>3.587352307349335</c:v>
                </c:pt>
                <c:pt idx="9">
                  <c:v>3.3569889276956233</c:v>
                </c:pt>
                <c:pt idx="10">
                  <c:v>2.6714720963067551</c:v>
                </c:pt>
                <c:pt idx="11">
                  <c:v>2.3277847960169429</c:v>
                </c:pt>
                <c:pt idx="12">
                  <c:v>3.5464813851527088</c:v>
                </c:pt>
                <c:pt idx="13">
                  <c:v>1.826187114512893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2-4B37-97F7-979AACFBEE31}"/>
            </c:ext>
          </c:extLst>
        </c:ser>
        <c:ser>
          <c:idx val="2"/>
          <c:order val="2"/>
          <c:tx>
            <c:strRef>
              <c:f>'Chart Data'!$AD$4</c:f>
              <c:strCache>
                <c:ptCount val="1"/>
                <c:pt idx="0">
                  <c:v>Other buildings &amp; structures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Data'!$AA$5:$AA$18</c:f>
              <c:numCache>
                <c:formatCode>General</c:formatCode>
                <c:ptCount val="14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'Chart Data'!$AD$5:$AD$18</c:f>
              <c:numCache>
                <c:formatCode>0.0</c:formatCode>
                <c:ptCount val="14"/>
                <c:pt idx="0">
                  <c:v>0</c:v>
                </c:pt>
                <c:pt idx="1">
                  <c:v>3.6542319982165417</c:v>
                </c:pt>
                <c:pt idx="2">
                  <c:v>2.1345768001783458</c:v>
                </c:pt>
                <c:pt idx="3">
                  <c:v>1.7221520398305716</c:v>
                </c:pt>
                <c:pt idx="4">
                  <c:v>3.7192539198929926</c:v>
                </c:pt>
                <c:pt idx="5">
                  <c:v>2.5785836367689678</c:v>
                </c:pt>
                <c:pt idx="6">
                  <c:v>2.6306011741101285</c:v>
                </c:pt>
                <c:pt idx="7">
                  <c:v>0.89916028832577843</c:v>
                </c:pt>
                <c:pt idx="8">
                  <c:v>3.1377721631864453</c:v>
                </c:pt>
                <c:pt idx="9">
                  <c:v>0.8341383666493275</c:v>
                </c:pt>
                <c:pt idx="10">
                  <c:v>-9.6603997919298509E-2</c:v>
                </c:pt>
                <c:pt idx="11">
                  <c:v>1.5642416586163337</c:v>
                </c:pt>
                <c:pt idx="12">
                  <c:v>1.675707810061678</c:v>
                </c:pt>
                <c:pt idx="13">
                  <c:v>2.9687151668276734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2-4B37-97F7-979AACFBEE31}"/>
            </c:ext>
          </c:extLst>
        </c:ser>
        <c:ser>
          <c:idx val="3"/>
          <c:order val="3"/>
          <c:tx>
            <c:strRef>
              <c:f>'Chart Data'!$AE$4</c:f>
              <c:strCache>
                <c:ptCount val="1"/>
                <c:pt idx="0">
                  <c:v>Intellectual property products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Data'!$AA$5:$AA$18</c:f>
              <c:numCache>
                <c:formatCode>General</c:formatCode>
                <c:ptCount val="14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'Chart Data'!$AE$5:$AE$18</c:f>
              <c:numCache>
                <c:formatCode>0.0</c:formatCode>
                <c:ptCount val="14"/>
                <c:pt idx="0">
                  <c:v>0</c:v>
                </c:pt>
                <c:pt idx="1">
                  <c:v>3.8957419930147874</c:v>
                </c:pt>
                <c:pt idx="2">
                  <c:v>1.0273463624879247</c:v>
                </c:pt>
                <c:pt idx="3">
                  <c:v>1.1703945901761166</c:v>
                </c:pt>
                <c:pt idx="4">
                  <c:v>0.97347105595600791</c:v>
                </c:pt>
                <c:pt idx="5">
                  <c:v>-1.4862153526045923E-2</c:v>
                </c:pt>
                <c:pt idx="6">
                  <c:v>0.64836144757375336</c:v>
                </c:pt>
                <c:pt idx="7">
                  <c:v>0.26751876346882664</c:v>
                </c:pt>
                <c:pt idx="8">
                  <c:v>1.0031953630080999</c:v>
                </c:pt>
                <c:pt idx="9">
                  <c:v>1.5772460429516237</c:v>
                </c:pt>
                <c:pt idx="10">
                  <c:v>0.7839785984989226</c:v>
                </c:pt>
                <c:pt idx="11">
                  <c:v>0.32510960838225461</c:v>
                </c:pt>
                <c:pt idx="12">
                  <c:v>-9.8461767110054249E-2</c:v>
                </c:pt>
                <c:pt idx="13">
                  <c:v>0.68737460057962407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F2-4B37-97F7-979AACFBE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Data'!$AF$4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Data'!$AA$5:$AA$18</c:f>
              <c:numCache>
                <c:formatCode>General</c:formatCode>
                <c:ptCount val="14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'Chart Data'!$AF$5:$AF$18</c:f>
              <c:numCache>
                <c:formatCode>0.0</c:formatCode>
                <c:ptCount val="14"/>
                <c:pt idx="0">
                  <c:v>0</c:v>
                </c:pt>
                <c:pt idx="1">
                  <c:v>7.7264620643531234</c:v>
                </c:pt>
                <c:pt idx="2">
                  <c:v>5.8891283346957035</c:v>
                </c:pt>
                <c:pt idx="3">
                  <c:v>6.2235267890317303</c:v>
                </c:pt>
                <c:pt idx="4">
                  <c:v>9.4263208738946336</c:v>
                </c:pt>
                <c:pt idx="5">
                  <c:v>12.082930816675329</c:v>
                </c:pt>
                <c:pt idx="6">
                  <c:v>13.113992717544765</c:v>
                </c:pt>
                <c:pt idx="7">
                  <c:v>10.069109013896105</c:v>
                </c:pt>
                <c:pt idx="8">
                  <c:v>16.077134576800177</c:v>
                </c:pt>
                <c:pt idx="9">
                  <c:v>15.464070743850789</c:v>
                </c:pt>
                <c:pt idx="10">
                  <c:v>12.016051125808126</c:v>
                </c:pt>
                <c:pt idx="11">
                  <c:v>13.362933789106046</c:v>
                </c:pt>
                <c:pt idx="12">
                  <c:v>14.011295236679789</c:v>
                </c:pt>
                <c:pt idx="13">
                  <c:v>15.646132124544842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F2-4B37-97F7-979AACFBE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7.5587110933167251E-2"/>
          <c:y val="0.12247320570077254"/>
          <c:w val="0.5197372362353011"/>
          <c:h val="0.245612120267144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65478341223756E-2"/>
          <c:y val="0.14714391023940784"/>
          <c:w val="0.87575393798628021"/>
          <c:h val="0.712639860869834"/>
        </c:manualLayout>
      </c:layout>
      <c:areaChart>
        <c:grouping val="stacked"/>
        <c:varyColors val="0"/>
        <c:ser>
          <c:idx val="1"/>
          <c:order val="1"/>
          <c:tx>
            <c:strRef>
              <c:f>'Chart Data'!$GV$4</c:f>
              <c:strCache>
                <c:ptCount val="1"/>
                <c:pt idx="0">
                  <c:v>G7 bottom</c:v>
                </c:pt>
              </c:strCache>
            </c:strRef>
          </c:tx>
          <c:spPr>
            <a:noFill/>
            <a:ln w="38100">
              <a:noFill/>
            </a:ln>
          </c:spPr>
          <c:cat>
            <c:numRef>
              <c:f>'Chart Data'!$GT$5:$GT$30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Data'!$GV$5:$GV$30</c:f>
              <c:numCache>
                <c:formatCode>0.0</c:formatCode>
                <c:ptCount val="26"/>
                <c:pt idx="0">
                  <c:v>93.701190328580282</c:v>
                </c:pt>
                <c:pt idx="1">
                  <c:v>94.856788592684424</c:v>
                </c:pt>
                <c:pt idx="2">
                  <c:v>95.909497830130192</c:v>
                </c:pt>
                <c:pt idx="3">
                  <c:v>96.743942963422185</c:v>
                </c:pt>
                <c:pt idx="4">
                  <c:v>97.150650960942343</c:v>
                </c:pt>
                <c:pt idx="5">
                  <c:v>98.65593304401736</c:v>
                </c:pt>
                <c:pt idx="6">
                  <c:v>99.556106633601985</c:v>
                </c:pt>
                <c:pt idx="7">
                  <c:v>100</c:v>
                </c:pt>
                <c:pt idx="8">
                  <c:v>90.759915932531982</c:v>
                </c:pt>
                <c:pt idx="9">
                  <c:v>76.366352082487452</c:v>
                </c:pt>
                <c:pt idx="10">
                  <c:v>88.731969962492769</c:v>
                </c:pt>
                <c:pt idx="11">
                  <c:v>91.349546820607571</c:v>
                </c:pt>
                <c:pt idx="12">
                  <c:v>92.798391518917938</c:v>
                </c:pt>
                <c:pt idx="13">
                  <c:v>94.75415828916104</c:v>
                </c:pt>
                <c:pt idx="14">
                  <c:v>91.957594589654548</c:v>
                </c:pt>
                <c:pt idx="15">
                  <c:v>92.716139645403047</c:v>
                </c:pt>
                <c:pt idx="16">
                  <c:v>94.818131968561502</c:v>
                </c:pt>
                <c:pt idx="17">
                  <c:v>96.636812282946437</c:v>
                </c:pt>
                <c:pt idx="18">
                  <c:v>96.865289709376711</c:v>
                </c:pt>
                <c:pt idx="19">
                  <c:v>96.865289709376711</c:v>
                </c:pt>
                <c:pt idx="20">
                  <c:v>97.340522756351675</c:v>
                </c:pt>
                <c:pt idx="21">
                  <c:v>97.313105465180044</c:v>
                </c:pt>
                <c:pt idx="22">
                  <c:v>97.002376165234878</c:v>
                </c:pt>
                <c:pt idx="23">
                  <c:v>95.658928897824893</c:v>
                </c:pt>
                <c:pt idx="24">
                  <c:v>95.110583074392238</c:v>
                </c:pt>
                <c:pt idx="25">
                  <c:v>92.478523121915543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Data'!$GW$4</c:f>
              <c:strCache>
                <c:ptCount val="1"/>
                <c:pt idx="0">
                  <c:v>Range of G7 exc. UK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cat>
            <c:numRef>
              <c:f>'Chart Data'!$GT$5:$GT$30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Data'!$GW$5:$GW$30</c:f>
              <c:numCache>
                <c:formatCode>0.0</c:formatCode>
                <c:ptCount val="26"/>
                <c:pt idx="0">
                  <c:v>11.699942148336987</c:v>
                </c:pt>
                <c:pt idx="1">
                  <c:v>12.084499574435711</c:v>
                </c:pt>
                <c:pt idx="2">
                  <c:v>7.9581682654078918</c:v>
                </c:pt>
                <c:pt idx="3">
                  <c:v>9.3122804465752438</c:v>
                </c:pt>
                <c:pt idx="4">
                  <c:v>8.9744031301927834</c:v>
                </c:pt>
                <c:pt idx="5">
                  <c:v>6.8336367088657255</c:v>
                </c:pt>
                <c:pt idx="6">
                  <c:v>8.1859148662979067</c:v>
                </c:pt>
                <c:pt idx="7">
                  <c:v>0</c:v>
                </c:pt>
                <c:pt idx="8">
                  <c:v>13.660056406022704</c:v>
                </c:pt>
                <c:pt idx="9">
                  <c:v>20.702577323621867</c:v>
                </c:pt>
                <c:pt idx="10">
                  <c:v>8.4496915378172019</c:v>
                </c:pt>
                <c:pt idx="11">
                  <c:v>9.0571363784004859</c:v>
                </c:pt>
                <c:pt idx="12">
                  <c:v>8.6609885182798081</c:v>
                </c:pt>
                <c:pt idx="13">
                  <c:v>8.3803612396672236</c:v>
                </c:pt>
                <c:pt idx="14">
                  <c:v>10.558214461802365</c:v>
                </c:pt>
                <c:pt idx="15">
                  <c:v>9.7210222041442051</c:v>
                </c:pt>
                <c:pt idx="16">
                  <c:v>11.757664878357659</c:v>
                </c:pt>
                <c:pt idx="17">
                  <c:v>12.846704702081297</c:v>
                </c:pt>
                <c:pt idx="18">
                  <c:v>13.732254991791919</c:v>
                </c:pt>
                <c:pt idx="19">
                  <c:v>13.50412638209977</c:v>
                </c:pt>
                <c:pt idx="20">
                  <c:v>14.190299046159851</c:v>
                </c:pt>
                <c:pt idx="21">
                  <c:v>16.870647017734129</c:v>
                </c:pt>
                <c:pt idx="22">
                  <c:v>17.49447600457961</c:v>
                </c:pt>
                <c:pt idx="23">
                  <c:v>19.915255527990681</c:v>
                </c:pt>
                <c:pt idx="24">
                  <c:v>21.746300068724608</c:v>
                </c:pt>
                <c:pt idx="25">
                  <c:v>25.492725573502412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Data'!$GU$4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Data'!$GT$5:$GT$30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Data'!$GU$5:$GU$30</c:f>
              <c:numCache>
                <c:formatCode>0.0</c:formatCode>
                <c:ptCount val="26"/>
                <c:pt idx="0">
                  <c:v>98.948285317933994</c:v>
                </c:pt>
                <c:pt idx="1">
                  <c:v>96.872277962383464</c:v>
                </c:pt>
                <c:pt idx="2">
                  <c:v>96.969061522082782</c:v>
                </c:pt>
                <c:pt idx="3">
                  <c:v>97.648159499306388</c:v>
                </c:pt>
                <c:pt idx="4">
                  <c:v>98.720843952640578</c:v>
                </c:pt>
                <c:pt idx="5">
                  <c:v>100.30164209439623</c:v>
                </c:pt>
                <c:pt idx="6">
                  <c:v>99.899990321644026</c:v>
                </c:pt>
                <c:pt idx="7">
                  <c:v>100</c:v>
                </c:pt>
                <c:pt idx="8">
                  <c:v>97.749782236990683</c:v>
                </c:pt>
                <c:pt idx="9">
                  <c:v>78.960867180694905</c:v>
                </c:pt>
                <c:pt idx="10">
                  <c:v>88.25047585250185</c:v>
                </c:pt>
                <c:pt idx="11">
                  <c:v>93.194502693809085</c:v>
                </c:pt>
                <c:pt idx="12">
                  <c:v>86.827757524921765</c:v>
                </c:pt>
                <c:pt idx="13">
                  <c:v>93.536471271413362</c:v>
                </c:pt>
                <c:pt idx="14">
                  <c:v>91.94115559570281</c:v>
                </c:pt>
                <c:pt idx="15">
                  <c:v>92.231506274800793</c:v>
                </c:pt>
                <c:pt idx="16">
                  <c:v>95.014033616156397</c:v>
                </c:pt>
                <c:pt idx="17">
                  <c:v>97.319095396328677</c:v>
                </c:pt>
                <c:pt idx="18">
                  <c:v>98.214343323547439</c:v>
                </c:pt>
                <c:pt idx="19">
                  <c:v>95.570539084427537</c:v>
                </c:pt>
                <c:pt idx="20">
                  <c:v>100.7871729522212</c:v>
                </c:pt>
                <c:pt idx="21">
                  <c:v>100.25486337387488</c:v>
                </c:pt>
                <c:pt idx="22">
                  <c:v>97.261025260509086</c:v>
                </c:pt>
                <c:pt idx="23">
                  <c:v>98.430493273542595</c:v>
                </c:pt>
                <c:pt idx="24">
                  <c:v>98.993450979127005</c:v>
                </c:pt>
                <c:pt idx="25">
                  <c:v>100.41294318805045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3"/>
          <c:order val="3"/>
          <c:tx>
            <c:strRef>
              <c:f>'Chart Data'!$GX$4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Data'!$GT$5:$GT$30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Data'!$GX$5:$GX$30</c:f>
              <c:numCache>
                <c:formatCode>0.0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ax val="115"/>
          <c:min val="7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738857447209811"/>
          <c:y val="0.11484880783463076"/>
          <c:w val="0.67876304704468648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4659047908261736E-2"/>
          <c:y val="0.14714391023940784"/>
          <c:w val="0.88706036841924207"/>
          <c:h val="0.7126398608698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Data'!$DS$4</c:f>
              <c:strCache>
                <c:ptCount val="1"/>
                <c:pt idx="0">
                  <c:v>Transport equipment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  <a:effectLst/>
          </c:spPr>
          <c:invertIfNegative val="0"/>
          <c:cat>
            <c:numRef>
              <c:f>'Chart Data'!$DR$5:$DR$27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Data'!$DS$5:$DS$27</c:f>
              <c:numCache>
                <c:formatCode>0</c:formatCode>
                <c:ptCount val="23"/>
                <c:pt idx="0">
                  <c:v>917</c:v>
                </c:pt>
                <c:pt idx="1">
                  <c:v>-1222</c:v>
                </c:pt>
                <c:pt idx="2">
                  <c:v>1170</c:v>
                </c:pt>
                <c:pt idx="3">
                  <c:v>1359</c:v>
                </c:pt>
                <c:pt idx="4">
                  <c:v>834</c:v>
                </c:pt>
                <c:pt idx="5">
                  <c:v>1336</c:v>
                </c:pt>
                <c:pt idx="6">
                  <c:v>749</c:v>
                </c:pt>
                <c:pt idx="7">
                  <c:v>0</c:v>
                </c:pt>
                <c:pt idx="8">
                  <c:v>413</c:v>
                </c:pt>
                <c:pt idx="9">
                  <c:v>-2462</c:v>
                </c:pt>
                <c:pt idx="10">
                  <c:v>779</c:v>
                </c:pt>
                <c:pt idx="11">
                  <c:v>1845</c:v>
                </c:pt>
                <c:pt idx="12">
                  <c:v>-1030</c:v>
                </c:pt>
                <c:pt idx="13">
                  <c:v>-1072</c:v>
                </c:pt>
                <c:pt idx="14">
                  <c:v>-271</c:v>
                </c:pt>
                <c:pt idx="15">
                  <c:v>511</c:v>
                </c:pt>
                <c:pt idx="16">
                  <c:v>-100</c:v>
                </c:pt>
                <c:pt idx="17">
                  <c:v>2042</c:v>
                </c:pt>
                <c:pt idx="18">
                  <c:v>1915</c:v>
                </c:pt>
                <c:pt idx="19">
                  <c:v>2518</c:v>
                </c:pt>
                <c:pt idx="20">
                  <c:v>3198</c:v>
                </c:pt>
                <c:pt idx="21">
                  <c:v>3935</c:v>
                </c:pt>
                <c:pt idx="22">
                  <c:v>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B9C-474D-B836-BD9C9C06998E}"/>
            </c:ext>
          </c:extLst>
        </c:ser>
        <c:ser>
          <c:idx val="1"/>
          <c:order val="1"/>
          <c:tx>
            <c:strRef>
              <c:f>'Chart Data'!$DT$4</c:f>
              <c:strCache>
                <c:ptCount val="1"/>
                <c:pt idx="0">
                  <c:v>ICT and other machinery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  <a:effectLst/>
          </c:spPr>
          <c:invertIfNegative val="0"/>
          <c:cat>
            <c:numRef>
              <c:f>'Chart Data'!$DR$5:$DR$27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Data'!$DT$5:$DT$27</c:f>
              <c:numCache>
                <c:formatCode>0</c:formatCode>
                <c:ptCount val="23"/>
                <c:pt idx="0">
                  <c:v>569</c:v>
                </c:pt>
                <c:pt idx="1">
                  <c:v>724</c:v>
                </c:pt>
                <c:pt idx="2">
                  <c:v>-21</c:v>
                </c:pt>
                <c:pt idx="3">
                  <c:v>-485</c:v>
                </c:pt>
                <c:pt idx="4">
                  <c:v>-82</c:v>
                </c:pt>
                <c:pt idx="5">
                  <c:v>-148</c:v>
                </c:pt>
                <c:pt idx="6">
                  <c:v>-181</c:v>
                </c:pt>
                <c:pt idx="7">
                  <c:v>0</c:v>
                </c:pt>
                <c:pt idx="8">
                  <c:v>-701</c:v>
                </c:pt>
                <c:pt idx="9">
                  <c:v>-2884</c:v>
                </c:pt>
                <c:pt idx="10">
                  <c:v>-1824</c:v>
                </c:pt>
                <c:pt idx="11">
                  <c:v>-423</c:v>
                </c:pt>
                <c:pt idx="12">
                  <c:v>-655</c:v>
                </c:pt>
                <c:pt idx="13">
                  <c:v>458</c:v>
                </c:pt>
                <c:pt idx="14">
                  <c:v>1118</c:v>
                </c:pt>
                <c:pt idx="15">
                  <c:v>559</c:v>
                </c:pt>
                <c:pt idx="16">
                  <c:v>1750</c:v>
                </c:pt>
                <c:pt idx="17">
                  <c:v>1724</c:v>
                </c:pt>
                <c:pt idx="18">
                  <c:v>2098</c:v>
                </c:pt>
                <c:pt idx="19">
                  <c:v>1120</c:v>
                </c:pt>
                <c:pt idx="20">
                  <c:v>2776</c:v>
                </c:pt>
                <c:pt idx="21">
                  <c:v>2283</c:v>
                </c:pt>
                <c:pt idx="22">
                  <c:v>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B9C-474D-B836-BD9C9C06998E}"/>
            </c:ext>
          </c:extLst>
        </c:ser>
        <c:ser>
          <c:idx val="2"/>
          <c:order val="2"/>
          <c:tx>
            <c:strRef>
              <c:f>'Chart Data'!$DU$4</c:f>
              <c:strCache>
                <c:ptCount val="1"/>
                <c:pt idx="0">
                  <c:v>Dwellings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Data'!$DR$5:$DR$27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Data'!$DU$5:$DU$27</c:f>
              <c:numCache>
                <c:formatCode>0</c:formatCode>
                <c:ptCount val="23"/>
                <c:pt idx="0">
                  <c:v>-686</c:v>
                </c:pt>
                <c:pt idx="1">
                  <c:v>202</c:v>
                </c:pt>
                <c:pt idx="2">
                  <c:v>-258</c:v>
                </c:pt>
                <c:pt idx="3">
                  <c:v>-258</c:v>
                </c:pt>
                <c:pt idx="4">
                  <c:v>394</c:v>
                </c:pt>
                <c:pt idx="5">
                  <c:v>523</c:v>
                </c:pt>
                <c:pt idx="6">
                  <c:v>1222</c:v>
                </c:pt>
                <c:pt idx="7">
                  <c:v>0</c:v>
                </c:pt>
                <c:pt idx="8">
                  <c:v>-765</c:v>
                </c:pt>
                <c:pt idx="9">
                  <c:v>-11130</c:v>
                </c:pt>
                <c:pt idx="10">
                  <c:v>-2369</c:v>
                </c:pt>
                <c:pt idx="11">
                  <c:v>-898</c:v>
                </c:pt>
                <c:pt idx="12">
                  <c:v>764</c:v>
                </c:pt>
                <c:pt idx="13">
                  <c:v>370</c:v>
                </c:pt>
                <c:pt idx="14">
                  <c:v>455</c:v>
                </c:pt>
                <c:pt idx="15">
                  <c:v>652</c:v>
                </c:pt>
                <c:pt idx="16">
                  <c:v>1901</c:v>
                </c:pt>
                <c:pt idx="17">
                  <c:v>1666</c:v>
                </c:pt>
                <c:pt idx="18">
                  <c:v>1869</c:v>
                </c:pt>
                <c:pt idx="19">
                  <c:v>1587</c:v>
                </c:pt>
                <c:pt idx="20">
                  <c:v>1138</c:v>
                </c:pt>
                <c:pt idx="21">
                  <c:v>171</c:v>
                </c:pt>
                <c:pt idx="22">
                  <c:v>-289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B9C-474D-B836-BD9C9C06998E}"/>
            </c:ext>
          </c:extLst>
        </c:ser>
        <c:ser>
          <c:idx val="3"/>
          <c:order val="3"/>
          <c:tx>
            <c:strRef>
              <c:f>'Chart Data'!$DV$4</c:f>
              <c:strCache>
                <c:ptCount val="1"/>
                <c:pt idx="0">
                  <c:v>Other buildings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  <a:effectLst/>
          </c:spPr>
          <c:invertIfNegative val="0"/>
          <c:cat>
            <c:numRef>
              <c:f>'Chart Data'!$DR$5:$DR$27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Data'!$DV$5:$DV$27</c:f>
              <c:numCache>
                <c:formatCode>0</c:formatCode>
                <c:ptCount val="23"/>
                <c:pt idx="0">
                  <c:v>-226</c:v>
                </c:pt>
                <c:pt idx="1">
                  <c:v>-521</c:v>
                </c:pt>
                <c:pt idx="2">
                  <c:v>-594</c:v>
                </c:pt>
                <c:pt idx="3">
                  <c:v>-412</c:v>
                </c:pt>
                <c:pt idx="4">
                  <c:v>1384</c:v>
                </c:pt>
                <c:pt idx="5">
                  <c:v>115</c:v>
                </c:pt>
                <c:pt idx="6">
                  <c:v>-331</c:v>
                </c:pt>
                <c:pt idx="7">
                  <c:v>0</c:v>
                </c:pt>
                <c:pt idx="8">
                  <c:v>-2369</c:v>
                </c:pt>
                <c:pt idx="9">
                  <c:v>-4970</c:v>
                </c:pt>
                <c:pt idx="10">
                  <c:v>-4816</c:v>
                </c:pt>
                <c:pt idx="11">
                  <c:v>-2752</c:v>
                </c:pt>
                <c:pt idx="12">
                  <c:v>-3411</c:v>
                </c:pt>
                <c:pt idx="13">
                  <c:v>-1775</c:v>
                </c:pt>
                <c:pt idx="14">
                  <c:v>-2317</c:v>
                </c:pt>
                <c:pt idx="15">
                  <c:v>-2212</c:v>
                </c:pt>
                <c:pt idx="16">
                  <c:v>113</c:v>
                </c:pt>
                <c:pt idx="17">
                  <c:v>-1391</c:v>
                </c:pt>
                <c:pt idx="18">
                  <c:v>-2057</c:v>
                </c:pt>
                <c:pt idx="19">
                  <c:v>-3100</c:v>
                </c:pt>
                <c:pt idx="20">
                  <c:v>-2215</c:v>
                </c:pt>
                <c:pt idx="21">
                  <c:v>-3305</c:v>
                </c:pt>
                <c:pt idx="22">
                  <c:v>-3936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B9C-474D-B836-BD9C9C06998E}"/>
            </c:ext>
          </c:extLst>
        </c:ser>
        <c:ser>
          <c:idx val="4"/>
          <c:order val="4"/>
          <c:tx>
            <c:strRef>
              <c:f>'Chart Data'!$DW$4</c:f>
              <c:strCache>
                <c:ptCount val="1"/>
                <c:pt idx="0">
                  <c:v>Intellectual property</c:v>
                </c:pt>
              </c:strCache>
            </c:strRef>
          </c:tx>
          <c:spPr>
            <a:solidFill>
              <a:srgbClr val="965793"/>
            </a:solidFill>
            <a:ln w="6350">
              <a:solidFill>
                <a:srgbClr val="495057"/>
              </a:solidFill>
              <a:prstDash val="solid"/>
            </a:ln>
            <a:effectLst/>
          </c:spPr>
          <c:invertIfNegative val="0"/>
          <c:cat>
            <c:numRef>
              <c:f>'Chart Data'!$DR$5:$DR$27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Data'!$DW$5:$DW$27</c:f>
              <c:numCache>
                <c:formatCode>0</c:formatCode>
                <c:ptCount val="23"/>
                <c:pt idx="0">
                  <c:v>-1513</c:v>
                </c:pt>
                <c:pt idx="1">
                  <c:v>-790</c:v>
                </c:pt>
                <c:pt idx="2">
                  <c:v>-2508</c:v>
                </c:pt>
                <c:pt idx="3">
                  <c:v>-2580</c:v>
                </c:pt>
                <c:pt idx="4">
                  <c:v>-1435</c:v>
                </c:pt>
                <c:pt idx="5">
                  <c:v>-1535</c:v>
                </c:pt>
                <c:pt idx="6">
                  <c:v>-365</c:v>
                </c:pt>
                <c:pt idx="7">
                  <c:v>0</c:v>
                </c:pt>
                <c:pt idx="8">
                  <c:v>-57</c:v>
                </c:pt>
                <c:pt idx="9">
                  <c:v>-1939</c:v>
                </c:pt>
                <c:pt idx="10">
                  <c:v>-1655</c:v>
                </c:pt>
                <c:pt idx="11">
                  <c:v>-1454</c:v>
                </c:pt>
                <c:pt idx="12">
                  <c:v>-1872</c:v>
                </c:pt>
                <c:pt idx="13">
                  <c:v>869</c:v>
                </c:pt>
                <c:pt idx="14">
                  <c:v>-591</c:v>
                </c:pt>
                <c:pt idx="15">
                  <c:v>-536</c:v>
                </c:pt>
                <c:pt idx="16">
                  <c:v>-576</c:v>
                </c:pt>
                <c:pt idx="17">
                  <c:v>-1011</c:v>
                </c:pt>
                <c:pt idx="18">
                  <c:v>-496</c:v>
                </c:pt>
                <c:pt idx="19">
                  <c:v>-290</c:v>
                </c:pt>
                <c:pt idx="20">
                  <c:v>-19</c:v>
                </c:pt>
                <c:pt idx="21">
                  <c:v>-28</c:v>
                </c:pt>
                <c:pt idx="2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B9C-474D-B836-BD9C9C069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4926592"/>
        <c:axId val="274950400"/>
      </c:barChart>
      <c:lineChart>
        <c:grouping val="standard"/>
        <c:varyColors val="0"/>
        <c:ser>
          <c:idx val="5"/>
          <c:order val="5"/>
          <c:tx>
            <c:strRef>
              <c:f>'Chart Data'!$DX$4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  <a:prstDash val="solid"/>
            </a:ln>
            <a:effectLst/>
          </c:spPr>
          <c:marker>
            <c:symbol val="none"/>
          </c:marker>
          <c:cat>
            <c:numRef>
              <c:f>'Chart Data'!$DR$5:$DR$27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Data'!$DX$5:$DX$27</c:f>
              <c:numCache>
                <c:formatCode>0</c:formatCode>
                <c:ptCount val="23"/>
                <c:pt idx="0">
                  <c:v>-588</c:v>
                </c:pt>
                <c:pt idx="1">
                  <c:v>-1856</c:v>
                </c:pt>
                <c:pt idx="2">
                  <c:v>-1878</c:v>
                </c:pt>
                <c:pt idx="3">
                  <c:v>-2023</c:v>
                </c:pt>
                <c:pt idx="4">
                  <c:v>1263</c:v>
                </c:pt>
                <c:pt idx="5">
                  <c:v>361</c:v>
                </c:pt>
                <c:pt idx="6">
                  <c:v>1257</c:v>
                </c:pt>
                <c:pt idx="7">
                  <c:v>0</c:v>
                </c:pt>
                <c:pt idx="8">
                  <c:v>-3468</c:v>
                </c:pt>
                <c:pt idx="9">
                  <c:v>-23448</c:v>
                </c:pt>
                <c:pt idx="10">
                  <c:v>-9609</c:v>
                </c:pt>
                <c:pt idx="11">
                  <c:v>-3337</c:v>
                </c:pt>
                <c:pt idx="12">
                  <c:v>-6192</c:v>
                </c:pt>
                <c:pt idx="13">
                  <c:v>-1085</c:v>
                </c:pt>
                <c:pt idx="14">
                  <c:v>-1503</c:v>
                </c:pt>
                <c:pt idx="15">
                  <c:v>-840</c:v>
                </c:pt>
                <c:pt idx="16">
                  <c:v>3356</c:v>
                </c:pt>
                <c:pt idx="17">
                  <c:v>3297</c:v>
                </c:pt>
                <c:pt idx="18">
                  <c:v>3596</c:v>
                </c:pt>
                <c:pt idx="19">
                  <c:v>2102</c:v>
                </c:pt>
                <c:pt idx="20">
                  <c:v>5145</c:v>
                </c:pt>
                <c:pt idx="21">
                  <c:v>3324</c:v>
                </c:pt>
                <c:pt idx="22">
                  <c:v>1414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5-4A16-BD8F-BE447D3A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noMultiLvlLbl val="0"/>
      </c:catAx>
      <c:valAx>
        <c:axId val="274950400"/>
        <c:scaling>
          <c:orientation val="minMax"/>
          <c:max val="1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191218470572538"/>
          <c:y val="0.51085054962189136"/>
          <c:w val="0.33785310734463275"/>
          <c:h val="0.3361302609451046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963996025920487E-2"/>
          <c:y val="0.14725688325786473"/>
          <c:w val="0.91361454394471875"/>
          <c:h val="0.713187006015182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Data'!$U$4</c:f>
              <c:strCache>
                <c:ptCount val="1"/>
                <c:pt idx="0">
                  <c:v>Transport equipment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Data'!$T$5:$T$15</c:f>
              <c:numCache>
                <c:formatCode>General</c:formatCode>
                <c:ptCount val="11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'Chart Data'!$U$5:$U$15</c:f>
              <c:numCache>
                <c:formatCode>0</c:formatCode>
                <c:ptCount val="11"/>
                <c:pt idx="0">
                  <c:v>0</c:v>
                </c:pt>
                <c:pt idx="1">
                  <c:v>-52</c:v>
                </c:pt>
                <c:pt idx="2">
                  <c:v>762</c:v>
                </c:pt>
                <c:pt idx="3">
                  <c:v>1538</c:v>
                </c:pt>
                <c:pt idx="4">
                  <c:v>916</c:v>
                </c:pt>
                <c:pt idx="5">
                  <c:v>3063</c:v>
                </c:pt>
                <c:pt idx="6">
                  <c:v>2946</c:v>
                </c:pt>
                <c:pt idx="7">
                  <c:v>3545</c:v>
                </c:pt>
                <c:pt idx="8">
                  <c:v>4252</c:v>
                </c:pt>
                <c:pt idx="9">
                  <c:v>4977</c:v>
                </c:pt>
                <c:pt idx="10">
                  <c:v>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Data'!$V$4</c:f>
              <c:strCache>
                <c:ptCount val="1"/>
                <c:pt idx="0">
                  <c:v>ICT equipment and other machinery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Data'!$T$5:$T$15</c:f>
              <c:numCache>
                <c:formatCode>General</c:formatCode>
                <c:ptCount val="11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'Chart Data'!$V$5:$V$15</c:f>
              <c:numCache>
                <c:formatCode>0</c:formatCode>
                <c:ptCount val="11"/>
                <c:pt idx="0">
                  <c:v>0</c:v>
                </c:pt>
                <c:pt idx="1">
                  <c:v>101</c:v>
                </c:pt>
                <c:pt idx="2">
                  <c:v>640</c:v>
                </c:pt>
                <c:pt idx="3">
                  <c:v>93</c:v>
                </c:pt>
                <c:pt idx="4">
                  <c:v>1387</c:v>
                </c:pt>
                <c:pt idx="5">
                  <c:v>1819</c:v>
                </c:pt>
                <c:pt idx="6">
                  <c:v>2106</c:v>
                </c:pt>
                <c:pt idx="7">
                  <c:v>1005</c:v>
                </c:pt>
                <c:pt idx="8">
                  <c:v>1931</c:v>
                </c:pt>
                <c:pt idx="9">
                  <c:v>1807</c:v>
                </c:pt>
                <c:pt idx="10">
                  <c:v>1438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Data'!$W$4</c:f>
              <c:strCache>
                <c:ptCount val="1"/>
                <c:pt idx="0">
                  <c:v>Other buildings &amp; structures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Data'!$T$5:$T$15</c:f>
              <c:numCache>
                <c:formatCode>General</c:formatCode>
                <c:ptCount val="11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'Chart Data'!$W$5:$W$15</c:f>
              <c:numCache>
                <c:formatCode>0</c:formatCode>
                <c:ptCount val="11"/>
                <c:pt idx="0">
                  <c:v>0</c:v>
                </c:pt>
                <c:pt idx="1">
                  <c:v>1967</c:v>
                </c:pt>
                <c:pt idx="2">
                  <c:v>1149</c:v>
                </c:pt>
                <c:pt idx="3">
                  <c:v>927</c:v>
                </c:pt>
                <c:pt idx="4">
                  <c:v>2002</c:v>
                </c:pt>
                <c:pt idx="5">
                  <c:v>1388</c:v>
                </c:pt>
                <c:pt idx="6">
                  <c:v>1416</c:v>
                </c:pt>
                <c:pt idx="7">
                  <c:v>484</c:v>
                </c:pt>
                <c:pt idx="8">
                  <c:v>1689</c:v>
                </c:pt>
                <c:pt idx="9">
                  <c:v>449</c:v>
                </c:pt>
                <c:pt idx="10">
                  <c:v>-52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Data'!$X$4</c:f>
              <c:strCache>
                <c:ptCount val="1"/>
                <c:pt idx="0">
                  <c:v>Intellectual property products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Data'!$T$5:$T$15</c:f>
              <c:numCache>
                <c:formatCode>General</c:formatCode>
                <c:ptCount val="11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'Chart Data'!$X$5:$X$15</c:f>
              <c:numCache>
                <c:formatCode>0</c:formatCode>
                <c:ptCount val="11"/>
                <c:pt idx="0">
                  <c:v>0</c:v>
                </c:pt>
                <c:pt idx="1">
                  <c:v>2097</c:v>
                </c:pt>
                <c:pt idx="2">
                  <c:v>553</c:v>
                </c:pt>
                <c:pt idx="3">
                  <c:v>630</c:v>
                </c:pt>
                <c:pt idx="4">
                  <c:v>524</c:v>
                </c:pt>
                <c:pt idx="5">
                  <c:v>-8</c:v>
                </c:pt>
                <c:pt idx="6">
                  <c:v>349</c:v>
                </c:pt>
                <c:pt idx="7">
                  <c:v>144</c:v>
                </c:pt>
                <c:pt idx="8">
                  <c:v>540</c:v>
                </c:pt>
                <c:pt idx="9">
                  <c:v>849</c:v>
                </c:pt>
                <c:pt idx="10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Data'!$Y$4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Data'!$T$5:$T$15</c:f>
              <c:numCache>
                <c:formatCode>General</c:formatCode>
                <c:ptCount val="11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'Chart Data'!$Y$5:$Y$15</c:f>
              <c:numCache>
                <c:formatCode>0</c:formatCode>
                <c:ptCount val="11"/>
                <c:pt idx="0">
                  <c:v>0</c:v>
                </c:pt>
                <c:pt idx="1">
                  <c:v>4159</c:v>
                </c:pt>
                <c:pt idx="2">
                  <c:v>3170</c:v>
                </c:pt>
                <c:pt idx="3">
                  <c:v>3350</c:v>
                </c:pt>
                <c:pt idx="4">
                  <c:v>5074</c:v>
                </c:pt>
                <c:pt idx="5">
                  <c:v>6504</c:v>
                </c:pt>
                <c:pt idx="6">
                  <c:v>7059</c:v>
                </c:pt>
                <c:pt idx="7">
                  <c:v>5420</c:v>
                </c:pt>
                <c:pt idx="8">
                  <c:v>8654</c:v>
                </c:pt>
                <c:pt idx="9">
                  <c:v>8324</c:v>
                </c:pt>
                <c:pt idx="10">
                  <c:v>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  <c:min val="-4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  <c:dispUnits>
          <c:builtInUnit val="thousands"/>
        </c:dispUnits>
      </c:valAx>
      <c:spPr>
        <a:noFill/>
      </c:spPr>
    </c:plotArea>
    <c:legend>
      <c:legendPos val="t"/>
      <c:layout>
        <c:manualLayout>
          <c:xMode val="edge"/>
          <c:yMode val="edge"/>
          <c:x val="0.10421234633806367"/>
          <c:y val="8.0983342428731064E-2"/>
          <c:w val="0.51672405356110152"/>
          <c:h val="0.2776724439190144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2454724575256E-2"/>
          <c:y val="0.14714391023940784"/>
          <c:w val="0.87876696160292855"/>
          <c:h val="0.712639860869834"/>
        </c:manualLayout>
      </c:layout>
      <c:areaChart>
        <c:grouping val="standard"/>
        <c:varyColors val="0"/>
        <c:ser>
          <c:idx val="2"/>
          <c:order val="2"/>
          <c:tx>
            <c:strRef>
              <c:f>'Chart Data'!$Q$4</c:f>
              <c:strCache>
                <c:ptCount val="1"/>
                <c:pt idx="0">
                  <c:v>Super deduction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 w="38100">
              <a:noFill/>
            </a:ln>
          </c:spPr>
          <c:cat>
            <c:numRef>
              <c:f>'Chart Data'!$N$5:$N$27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Data'!$Q$5:$Q$27</c:f>
              <c:numCache>
                <c:formatCode>General</c:formatCode>
                <c:ptCount val="23"/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Data'!$O$4</c:f>
              <c:strCache>
                <c:ptCount val="1"/>
                <c:pt idx="0">
                  <c:v>Total business investment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Data'!$N$5:$N$27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Data'!$O$5:$O$27</c:f>
              <c:numCache>
                <c:formatCode>0.0</c:formatCode>
                <c:ptCount val="23"/>
                <c:pt idx="0">
                  <c:v>113.95927769933863</c:v>
                </c:pt>
                <c:pt idx="1">
                  <c:v>111.568328750836</c:v>
                </c:pt>
                <c:pt idx="2">
                  <c:v>111.67979490228134</c:v>
                </c:pt>
                <c:pt idx="3">
                  <c:v>112.4619157315895</c:v>
                </c:pt>
                <c:pt idx="4">
                  <c:v>113.69733224344208</c:v>
                </c:pt>
                <c:pt idx="5">
                  <c:v>115.5179460503827</c:v>
                </c:pt>
                <c:pt idx="6">
                  <c:v>115.05536152188452</c:v>
                </c:pt>
                <c:pt idx="7">
                  <c:v>115.17054321171139</c:v>
                </c:pt>
                <c:pt idx="8">
                  <c:v>112.57895519060712</c:v>
                </c:pt>
                <c:pt idx="9">
                  <c:v>90.939659656684256</c:v>
                </c:pt>
                <c:pt idx="10">
                  <c:v>101.63855242624655</c:v>
                </c:pt>
                <c:pt idx="11">
                  <c:v>107.33261499591291</c:v>
                </c:pt>
                <c:pt idx="12">
                  <c:v>100</c:v>
                </c:pt>
                <c:pt idx="13">
                  <c:v>107.72646206435313</c:v>
                </c:pt>
                <c:pt idx="14">
                  <c:v>105.8891283346957</c:v>
                </c:pt>
                <c:pt idx="15">
                  <c:v>106.22352678903172</c:v>
                </c:pt>
                <c:pt idx="16">
                  <c:v>109.42632087389464</c:v>
                </c:pt>
                <c:pt idx="17">
                  <c:v>112.08293081667533</c:v>
                </c:pt>
                <c:pt idx="18">
                  <c:v>113.11399271754476</c:v>
                </c:pt>
                <c:pt idx="19">
                  <c:v>110.06910901389611</c:v>
                </c:pt>
                <c:pt idx="20">
                  <c:v>116.07713457680018</c:v>
                </c:pt>
                <c:pt idx="21">
                  <c:v>115.46407074385078</c:v>
                </c:pt>
                <c:pt idx="22">
                  <c:v>112.01605112580812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Data'!$P$4</c:f>
              <c:strCache>
                <c:ptCount val="1"/>
                <c:pt idx="0">
                  <c:v>ICT equipment and other machinery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Data'!$N$5:$N$27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Data'!$P$5:$P$27</c:f>
              <c:numCache>
                <c:formatCode>0.0</c:formatCode>
                <c:ptCount val="23"/>
                <c:pt idx="0">
                  <c:v>115.73483733856466</c:v>
                </c:pt>
                <c:pt idx="1">
                  <c:v>113.69952591139447</c:v>
                </c:pt>
                <c:pt idx="2">
                  <c:v>112.56334804642798</c:v>
                </c:pt>
                <c:pt idx="3">
                  <c:v>107.88785352296877</c:v>
                </c:pt>
                <c:pt idx="4">
                  <c:v>107.45463462481608</c:v>
                </c:pt>
                <c:pt idx="5">
                  <c:v>109.13846656857937</c:v>
                </c:pt>
                <c:pt idx="6">
                  <c:v>104.69184240640837</c:v>
                </c:pt>
                <c:pt idx="7">
                  <c:v>104.50384175249306</c:v>
                </c:pt>
                <c:pt idx="8">
                  <c:v>104.43027627922183</c:v>
                </c:pt>
                <c:pt idx="9">
                  <c:v>76.246526074873302</c:v>
                </c:pt>
                <c:pt idx="10">
                  <c:v>86.54569233284289</c:v>
                </c:pt>
                <c:pt idx="11">
                  <c:v>97.515121791727978</c:v>
                </c:pt>
                <c:pt idx="12">
                  <c:v>100</c:v>
                </c:pt>
                <c:pt idx="13">
                  <c:v>100.82556808893249</c:v>
                </c:pt>
                <c:pt idx="14">
                  <c:v>105.23132254373057</c:v>
                </c:pt>
                <c:pt idx="15">
                  <c:v>100.76017655713585</c:v>
                </c:pt>
                <c:pt idx="16">
                  <c:v>111.33725682524114</c:v>
                </c:pt>
                <c:pt idx="17">
                  <c:v>114.86839954225927</c:v>
                </c:pt>
                <c:pt idx="18">
                  <c:v>117.21432074546345</c:v>
                </c:pt>
                <c:pt idx="19">
                  <c:v>108.21481118195193</c:v>
                </c:pt>
                <c:pt idx="20">
                  <c:v>115.78388098741212</c:v>
                </c:pt>
                <c:pt idx="21">
                  <c:v>114.77031224456434</c:v>
                </c:pt>
                <c:pt idx="22">
                  <c:v>111.75412784044467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3"/>
          <c:order val="3"/>
          <c:tx>
            <c:strRef>
              <c:f>'Chart Data'!$R$4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Data'!$N$5:$N$27</c:f>
              <c:numCache>
                <c:formatCode>General</c:formatCode>
                <c:ptCount val="23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'Chart Data'!$R$5:$R$27</c:f>
              <c:numCache>
                <c:formatCode>General</c:formatCode>
                <c:ptCount val="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ax val="135"/>
          <c:min val="8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48087536515562673"/>
          <c:y val="2.2415069403453284E-2"/>
          <c:w val="0.51690437000459688"/>
          <c:h val="0.1088633722764852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645654462683686E-2"/>
          <c:y val="0.14714391023940784"/>
          <c:w val="0.6038214036804721"/>
          <c:h val="0.7126398608698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Data'!$CO$4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Data'!$CN$5:$CN$30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Data'!$CO$5:$CO$30</c:f>
              <c:numCache>
                <c:formatCode>0</c:formatCode>
                <c:ptCount val="26"/>
                <c:pt idx="0">
                  <c:v>-251</c:v>
                </c:pt>
                <c:pt idx="1">
                  <c:v>-89</c:v>
                </c:pt>
                <c:pt idx="2">
                  <c:v>-139</c:v>
                </c:pt>
                <c:pt idx="3">
                  <c:v>-626</c:v>
                </c:pt>
                <c:pt idx="4">
                  <c:v>-297</c:v>
                </c:pt>
                <c:pt idx="5">
                  <c:v>-258</c:v>
                </c:pt>
                <c:pt idx="6">
                  <c:v>182</c:v>
                </c:pt>
                <c:pt idx="7">
                  <c:v>0</c:v>
                </c:pt>
                <c:pt idx="8">
                  <c:v>-87</c:v>
                </c:pt>
                <c:pt idx="9">
                  <c:v>-1446</c:v>
                </c:pt>
                <c:pt idx="10">
                  <c:v>-1143</c:v>
                </c:pt>
                <c:pt idx="11">
                  <c:v>-480</c:v>
                </c:pt>
                <c:pt idx="12">
                  <c:v>-135</c:v>
                </c:pt>
                <c:pt idx="13">
                  <c:v>334</c:v>
                </c:pt>
                <c:pt idx="14">
                  <c:v>601</c:v>
                </c:pt>
                <c:pt idx="15">
                  <c:v>551</c:v>
                </c:pt>
                <c:pt idx="16">
                  <c:v>-814</c:v>
                </c:pt>
                <c:pt idx="17">
                  <c:v>-26</c:v>
                </c:pt>
                <c:pt idx="18">
                  <c:v>-597</c:v>
                </c:pt>
                <c:pt idx="19">
                  <c:v>35</c:v>
                </c:pt>
                <c:pt idx="20">
                  <c:v>-1413</c:v>
                </c:pt>
                <c:pt idx="21">
                  <c:v>-1977</c:v>
                </c:pt>
                <c:pt idx="22">
                  <c:v>-2332</c:v>
                </c:pt>
                <c:pt idx="23">
                  <c:v>-2649</c:v>
                </c:pt>
                <c:pt idx="24">
                  <c:v>-2447</c:v>
                </c:pt>
                <c:pt idx="25">
                  <c:v>-2499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3-4D48-B764-1A5E9B50D8F3}"/>
            </c:ext>
          </c:extLst>
        </c:ser>
        <c:ser>
          <c:idx val="1"/>
          <c:order val="1"/>
          <c:tx>
            <c:strRef>
              <c:f>'Chart Data'!$CP$4</c:f>
              <c:strCache>
                <c:ptCount val="1"/>
                <c:pt idx="0">
                  <c:v>Hotels &amp; restaurants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Data'!$CN$5:$CN$30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Data'!$CP$5:$CP$30</c:f>
              <c:numCache>
                <c:formatCode>0</c:formatCode>
                <c:ptCount val="26"/>
                <c:pt idx="0">
                  <c:v>94</c:v>
                </c:pt>
                <c:pt idx="1">
                  <c:v>45</c:v>
                </c:pt>
                <c:pt idx="2">
                  <c:v>73</c:v>
                </c:pt>
                <c:pt idx="3">
                  <c:v>265</c:v>
                </c:pt>
                <c:pt idx="4">
                  <c:v>65</c:v>
                </c:pt>
                <c:pt idx="5">
                  <c:v>-104</c:v>
                </c:pt>
                <c:pt idx="6">
                  <c:v>-127</c:v>
                </c:pt>
                <c:pt idx="7">
                  <c:v>0</c:v>
                </c:pt>
                <c:pt idx="8">
                  <c:v>244</c:v>
                </c:pt>
                <c:pt idx="9">
                  <c:v>-754</c:v>
                </c:pt>
                <c:pt idx="10">
                  <c:v>-543</c:v>
                </c:pt>
                <c:pt idx="11">
                  <c:v>-580</c:v>
                </c:pt>
                <c:pt idx="12">
                  <c:v>-849</c:v>
                </c:pt>
                <c:pt idx="13">
                  <c:v>-538</c:v>
                </c:pt>
                <c:pt idx="14">
                  <c:v>-569</c:v>
                </c:pt>
                <c:pt idx="15">
                  <c:v>-314</c:v>
                </c:pt>
                <c:pt idx="16">
                  <c:v>-218</c:v>
                </c:pt>
                <c:pt idx="17">
                  <c:v>-100</c:v>
                </c:pt>
                <c:pt idx="18">
                  <c:v>-187</c:v>
                </c:pt>
                <c:pt idx="19">
                  <c:v>-194</c:v>
                </c:pt>
                <c:pt idx="20">
                  <c:v>-142</c:v>
                </c:pt>
                <c:pt idx="21">
                  <c:v>-30</c:v>
                </c:pt>
                <c:pt idx="22">
                  <c:v>102</c:v>
                </c:pt>
                <c:pt idx="23">
                  <c:v>-127</c:v>
                </c:pt>
                <c:pt idx="24">
                  <c:v>132</c:v>
                </c:pt>
                <c:pt idx="2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3-4D48-B764-1A5E9B50D8F3}"/>
            </c:ext>
          </c:extLst>
        </c:ser>
        <c:ser>
          <c:idx val="2"/>
          <c:order val="2"/>
          <c:tx>
            <c:strRef>
              <c:f>'Chart Data'!$CQ$4</c:f>
              <c:strCache>
                <c:ptCount val="1"/>
                <c:pt idx="0">
                  <c:v>Financial interm.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Data'!$CN$5:$CN$30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Data'!$CQ$5:$CQ$30</c:f>
              <c:numCache>
                <c:formatCode>0</c:formatCode>
                <c:ptCount val="26"/>
                <c:pt idx="0">
                  <c:v>80</c:v>
                </c:pt>
                <c:pt idx="1">
                  <c:v>75</c:v>
                </c:pt>
                <c:pt idx="2">
                  <c:v>-309</c:v>
                </c:pt>
                <c:pt idx="3">
                  <c:v>67</c:v>
                </c:pt>
                <c:pt idx="4">
                  <c:v>138</c:v>
                </c:pt>
                <c:pt idx="5">
                  <c:v>52</c:v>
                </c:pt>
                <c:pt idx="6">
                  <c:v>-18</c:v>
                </c:pt>
                <c:pt idx="7">
                  <c:v>0</c:v>
                </c:pt>
                <c:pt idx="8">
                  <c:v>-284</c:v>
                </c:pt>
                <c:pt idx="9">
                  <c:v>-291</c:v>
                </c:pt>
                <c:pt idx="10">
                  <c:v>-485</c:v>
                </c:pt>
                <c:pt idx="11">
                  <c:v>-196</c:v>
                </c:pt>
                <c:pt idx="12">
                  <c:v>-1564</c:v>
                </c:pt>
                <c:pt idx="13">
                  <c:v>-1446</c:v>
                </c:pt>
                <c:pt idx="14">
                  <c:v>-1237</c:v>
                </c:pt>
                <c:pt idx="15">
                  <c:v>-1364</c:v>
                </c:pt>
                <c:pt idx="16">
                  <c:v>-1329</c:v>
                </c:pt>
                <c:pt idx="17">
                  <c:v>-1165</c:v>
                </c:pt>
                <c:pt idx="18">
                  <c:v>-1235</c:v>
                </c:pt>
                <c:pt idx="19">
                  <c:v>-1171</c:v>
                </c:pt>
                <c:pt idx="20">
                  <c:v>-1146</c:v>
                </c:pt>
                <c:pt idx="21">
                  <c:v>-1185</c:v>
                </c:pt>
                <c:pt idx="22">
                  <c:v>-1092</c:v>
                </c:pt>
                <c:pt idx="23">
                  <c:v>-1506</c:v>
                </c:pt>
                <c:pt idx="24">
                  <c:v>-1116</c:v>
                </c:pt>
                <c:pt idx="25">
                  <c:v>-1406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73-4D48-B764-1A5E9B50D8F3}"/>
            </c:ext>
          </c:extLst>
        </c:ser>
        <c:ser>
          <c:idx val="3"/>
          <c:order val="3"/>
          <c:tx>
            <c:strRef>
              <c:f>'Chart Data'!$CR$4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Data'!$CN$5:$CN$30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Data'!$CR$5:$CR$30</c:f>
              <c:numCache>
                <c:formatCode>0</c:formatCode>
                <c:ptCount val="26"/>
                <c:pt idx="0">
                  <c:v>-442</c:v>
                </c:pt>
                <c:pt idx="1">
                  <c:v>-1635</c:v>
                </c:pt>
                <c:pt idx="2">
                  <c:v>800</c:v>
                </c:pt>
                <c:pt idx="3">
                  <c:v>2021</c:v>
                </c:pt>
                <c:pt idx="4">
                  <c:v>867</c:v>
                </c:pt>
                <c:pt idx="5">
                  <c:v>2139</c:v>
                </c:pt>
                <c:pt idx="6">
                  <c:v>230</c:v>
                </c:pt>
                <c:pt idx="7">
                  <c:v>0</c:v>
                </c:pt>
                <c:pt idx="8">
                  <c:v>-343</c:v>
                </c:pt>
                <c:pt idx="9">
                  <c:v>-1008</c:v>
                </c:pt>
                <c:pt idx="10">
                  <c:v>-15</c:v>
                </c:pt>
                <c:pt idx="11">
                  <c:v>2091</c:v>
                </c:pt>
                <c:pt idx="12">
                  <c:v>-2254</c:v>
                </c:pt>
                <c:pt idx="13">
                  <c:v>-811</c:v>
                </c:pt>
                <c:pt idx="14">
                  <c:v>-585</c:v>
                </c:pt>
                <c:pt idx="15">
                  <c:v>980</c:v>
                </c:pt>
                <c:pt idx="16">
                  <c:v>-83</c:v>
                </c:pt>
                <c:pt idx="17">
                  <c:v>164</c:v>
                </c:pt>
                <c:pt idx="18">
                  <c:v>308</c:v>
                </c:pt>
                <c:pt idx="19">
                  <c:v>2491</c:v>
                </c:pt>
                <c:pt idx="20">
                  <c:v>1357</c:v>
                </c:pt>
                <c:pt idx="21">
                  <c:v>2993</c:v>
                </c:pt>
                <c:pt idx="22">
                  <c:v>-12</c:v>
                </c:pt>
                <c:pt idx="23">
                  <c:v>1191</c:v>
                </c:pt>
                <c:pt idx="24">
                  <c:v>-264</c:v>
                </c:pt>
                <c:pt idx="25">
                  <c:v>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73-4D48-B764-1A5E9B50D8F3}"/>
            </c:ext>
          </c:extLst>
        </c:ser>
        <c:ser>
          <c:idx val="4"/>
          <c:order val="4"/>
          <c:tx>
            <c:strRef>
              <c:f>'Chart Data'!$CS$4</c:f>
              <c:strCache>
                <c:ptCount val="1"/>
                <c:pt idx="0">
                  <c:v>Real estate</c:v>
                </c:pt>
              </c:strCache>
            </c:strRef>
          </c:tx>
          <c:spPr>
            <a:solidFill>
              <a:srgbClr val="965793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Data'!$CN$5:$CN$30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Data'!$CS$5:$CS$30</c:f>
              <c:numCache>
                <c:formatCode>0</c:formatCode>
                <c:ptCount val="26"/>
                <c:pt idx="0">
                  <c:v>1041</c:v>
                </c:pt>
                <c:pt idx="1">
                  <c:v>1220</c:v>
                </c:pt>
                <c:pt idx="2">
                  <c:v>519</c:v>
                </c:pt>
                <c:pt idx="3">
                  <c:v>311</c:v>
                </c:pt>
                <c:pt idx="4">
                  <c:v>100</c:v>
                </c:pt>
                <c:pt idx="5">
                  <c:v>95</c:v>
                </c:pt>
                <c:pt idx="6">
                  <c:v>427</c:v>
                </c:pt>
                <c:pt idx="7">
                  <c:v>0</c:v>
                </c:pt>
                <c:pt idx="8">
                  <c:v>370</c:v>
                </c:pt>
                <c:pt idx="9">
                  <c:v>-2522</c:v>
                </c:pt>
                <c:pt idx="10">
                  <c:v>-732</c:v>
                </c:pt>
                <c:pt idx="11">
                  <c:v>-222</c:v>
                </c:pt>
                <c:pt idx="12">
                  <c:v>-982</c:v>
                </c:pt>
                <c:pt idx="13">
                  <c:v>-493</c:v>
                </c:pt>
                <c:pt idx="14">
                  <c:v>-323</c:v>
                </c:pt>
                <c:pt idx="15">
                  <c:v>-587</c:v>
                </c:pt>
                <c:pt idx="16">
                  <c:v>1954</c:v>
                </c:pt>
                <c:pt idx="17">
                  <c:v>1029</c:v>
                </c:pt>
                <c:pt idx="18">
                  <c:v>1472</c:v>
                </c:pt>
                <c:pt idx="19">
                  <c:v>-1942</c:v>
                </c:pt>
                <c:pt idx="20">
                  <c:v>2084</c:v>
                </c:pt>
                <c:pt idx="21">
                  <c:v>1075</c:v>
                </c:pt>
                <c:pt idx="22">
                  <c:v>2619</c:v>
                </c:pt>
                <c:pt idx="23">
                  <c:v>2888</c:v>
                </c:pt>
                <c:pt idx="24">
                  <c:v>2685</c:v>
                </c:pt>
                <c:pt idx="25">
                  <c:v>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73-4D48-B764-1A5E9B50D8F3}"/>
            </c:ext>
          </c:extLst>
        </c:ser>
        <c:ser>
          <c:idx val="5"/>
          <c:order val="5"/>
          <c:tx>
            <c:strRef>
              <c:f>'Chart Data'!$CT$4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Data'!$CN$5:$CN$30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Data'!$CT$5:$CT$30</c:f>
              <c:numCache>
                <c:formatCode>0</c:formatCode>
                <c:ptCount val="26"/>
                <c:pt idx="0">
                  <c:v>-437</c:v>
                </c:pt>
                <c:pt idx="1">
                  <c:v>-558</c:v>
                </c:pt>
                <c:pt idx="2">
                  <c:v>9</c:v>
                </c:pt>
                <c:pt idx="3">
                  <c:v>-43</c:v>
                </c:pt>
                <c:pt idx="4">
                  <c:v>-403</c:v>
                </c:pt>
                <c:pt idx="5">
                  <c:v>-31</c:v>
                </c:pt>
                <c:pt idx="6">
                  <c:v>-103</c:v>
                </c:pt>
                <c:pt idx="7">
                  <c:v>0</c:v>
                </c:pt>
                <c:pt idx="8">
                  <c:v>-481</c:v>
                </c:pt>
                <c:pt idx="9">
                  <c:v>-1411</c:v>
                </c:pt>
                <c:pt idx="10">
                  <c:v>-1399</c:v>
                </c:pt>
                <c:pt idx="11">
                  <c:v>-902</c:v>
                </c:pt>
                <c:pt idx="12">
                  <c:v>-1219</c:v>
                </c:pt>
                <c:pt idx="13">
                  <c:v>-560</c:v>
                </c:pt>
                <c:pt idx="14">
                  <c:v>-473</c:v>
                </c:pt>
                <c:pt idx="15">
                  <c:v>-172</c:v>
                </c:pt>
                <c:pt idx="16">
                  <c:v>199</c:v>
                </c:pt>
                <c:pt idx="17">
                  <c:v>-308</c:v>
                </c:pt>
                <c:pt idx="18">
                  <c:v>-487</c:v>
                </c:pt>
                <c:pt idx="19">
                  <c:v>-1590</c:v>
                </c:pt>
                <c:pt idx="20">
                  <c:v>-294</c:v>
                </c:pt>
                <c:pt idx="21">
                  <c:v>-227</c:v>
                </c:pt>
                <c:pt idx="22">
                  <c:v>123</c:v>
                </c:pt>
                <c:pt idx="23">
                  <c:v>-340</c:v>
                </c:pt>
                <c:pt idx="24">
                  <c:v>682</c:v>
                </c:pt>
                <c:pt idx="25">
                  <c:v>-1167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73-4D48-B764-1A5E9B50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274926592"/>
        <c:axId val="274950400"/>
      </c:barChart>
      <c:lineChart>
        <c:grouping val="standard"/>
        <c:varyColors val="0"/>
        <c:ser>
          <c:idx val="6"/>
          <c:order val="6"/>
          <c:tx>
            <c:strRef>
              <c:f>'Chart Data'!$CU$4</c:f>
              <c:strCache>
                <c:ptCount val="1"/>
                <c:pt idx="0">
                  <c:v>Total services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Data'!$CN$5:$CN$30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Data'!$CU$5:$CU$30</c:f>
              <c:numCache>
                <c:formatCode>0</c:formatCode>
                <c:ptCount val="26"/>
                <c:pt idx="0">
                  <c:v>-1750</c:v>
                </c:pt>
                <c:pt idx="1">
                  <c:v>-2017</c:v>
                </c:pt>
                <c:pt idx="2">
                  <c:v>1729</c:v>
                </c:pt>
                <c:pt idx="3">
                  <c:v>1182</c:v>
                </c:pt>
                <c:pt idx="4">
                  <c:v>-130</c:v>
                </c:pt>
                <c:pt idx="5">
                  <c:v>-177</c:v>
                </c:pt>
                <c:pt idx="6">
                  <c:v>419</c:v>
                </c:pt>
                <c:pt idx="7">
                  <c:v>0</c:v>
                </c:pt>
                <c:pt idx="8">
                  <c:v>-3044</c:v>
                </c:pt>
                <c:pt idx="9">
                  <c:v>-3318</c:v>
                </c:pt>
                <c:pt idx="10">
                  <c:v>-5094</c:v>
                </c:pt>
                <c:pt idx="11">
                  <c:v>-4042</c:v>
                </c:pt>
                <c:pt idx="12">
                  <c:v>-4822</c:v>
                </c:pt>
                <c:pt idx="13">
                  <c:v>-4609</c:v>
                </c:pt>
                <c:pt idx="14">
                  <c:v>-3726</c:v>
                </c:pt>
                <c:pt idx="15">
                  <c:v>-3780</c:v>
                </c:pt>
                <c:pt idx="16">
                  <c:v>-977</c:v>
                </c:pt>
                <c:pt idx="17">
                  <c:v>-1092</c:v>
                </c:pt>
                <c:pt idx="18">
                  <c:v>-1412</c:v>
                </c:pt>
                <c:pt idx="19">
                  <c:v>-3057</c:v>
                </c:pt>
                <c:pt idx="20">
                  <c:v>-240</c:v>
                </c:pt>
                <c:pt idx="21">
                  <c:v>-37</c:v>
                </c:pt>
                <c:pt idx="22">
                  <c:v>-1278</c:v>
                </c:pt>
                <c:pt idx="23">
                  <c:v>-1229</c:v>
                </c:pt>
                <c:pt idx="24">
                  <c:v>-1014</c:v>
                </c:pt>
                <c:pt idx="25">
                  <c:v>-1902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73-4D48-B764-1A5E9B50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74950400"/>
        <c:scaling>
          <c:orientation val="minMax"/>
          <c:min val="-8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9987158384862913"/>
          <c:y val="0.22283011653246312"/>
          <c:w val="0.29108886812877205"/>
          <c:h val="0.4487290573826786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2454724575256E-2"/>
          <c:y val="0.14714391023940784"/>
          <c:w val="0.87876696160292855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Data'!$BJ$4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Data'!$BI$5:$BI$30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Data'!$BJ$5:$BJ$30</c:f>
              <c:numCache>
                <c:formatCode>0.0</c:formatCode>
                <c:ptCount val="26"/>
                <c:pt idx="0">
                  <c:v>98.948285317933994</c:v>
                </c:pt>
                <c:pt idx="1">
                  <c:v>96.872277962383464</c:v>
                </c:pt>
                <c:pt idx="2">
                  <c:v>96.969061522082782</c:v>
                </c:pt>
                <c:pt idx="3">
                  <c:v>97.648159499306388</c:v>
                </c:pt>
                <c:pt idx="4">
                  <c:v>98.720843952640578</c:v>
                </c:pt>
                <c:pt idx="5">
                  <c:v>100.30164209439623</c:v>
                </c:pt>
                <c:pt idx="6">
                  <c:v>99.899990321644026</c:v>
                </c:pt>
                <c:pt idx="7">
                  <c:v>100</c:v>
                </c:pt>
                <c:pt idx="8">
                  <c:v>97.749782236990683</c:v>
                </c:pt>
                <c:pt idx="9">
                  <c:v>78.960867180694905</c:v>
                </c:pt>
                <c:pt idx="10">
                  <c:v>88.25047585250185</c:v>
                </c:pt>
                <c:pt idx="11">
                  <c:v>93.194502693809085</c:v>
                </c:pt>
                <c:pt idx="12">
                  <c:v>86.827757524921765</c:v>
                </c:pt>
                <c:pt idx="13">
                  <c:v>93.536471271413362</c:v>
                </c:pt>
                <c:pt idx="14">
                  <c:v>91.94115559570281</c:v>
                </c:pt>
                <c:pt idx="15">
                  <c:v>92.231506274800793</c:v>
                </c:pt>
                <c:pt idx="16">
                  <c:v>95.014033616156397</c:v>
                </c:pt>
                <c:pt idx="17">
                  <c:v>97.319095396328677</c:v>
                </c:pt>
                <c:pt idx="18">
                  <c:v>98.214343323547439</c:v>
                </c:pt>
                <c:pt idx="19">
                  <c:v>95.570539084427537</c:v>
                </c:pt>
                <c:pt idx="20">
                  <c:v>100.7871729522212</c:v>
                </c:pt>
                <c:pt idx="21">
                  <c:v>100.25486337387488</c:v>
                </c:pt>
                <c:pt idx="22">
                  <c:v>97.261025260509086</c:v>
                </c:pt>
                <c:pt idx="23">
                  <c:v>98.430493273542595</c:v>
                </c:pt>
                <c:pt idx="24">
                  <c:v>98.993450979127005</c:v>
                </c:pt>
                <c:pt idx="25">
                  <c:v>100.41294318805045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Data'!$BK$4</c:f>
              <c:strCache>
                <c:ptCount val="1"/>
                <c:pt idx="0">
                  <c:v>Manufacturing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Data'!$BI$5:$BI$30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Data'!$BK$5:$BK$30</c:f>
              <c:numCache>
                <c:formatCode>0.0</c:formatCode>
                <c:ptCount val="26"/>
                <c:pt idx="0">
                  <c:v>104.10239931448157</c:v>
                </c:pt>
                <c:pt idx="1">
                  <c:v>102.28149100257069</c:v>
                </c:pt>
                <c:pt idx="2">
                  <c:v>105.40916880891173</c:v>
                </c:pt>
                <c:pt idx="3">
                  <c:v>105.09854327335046</c:v>
                </c:pt>
                <c:pt idx="4">
                  <c:v>107.00514138817481</c:v>
                </c:pt>
                <c:pt idx="5">
                  <c:v>103.96315338474722</c:v>
                </c:pt>
                <c:pt idx="6">
                  <c:v>101.56383890317053</c:v>
                </c:pt>
                <c:pt idx="7">
                  <c:v>100</c:v>
                </c:pt>
                <c:pt idx="8">
                  <c:v>99.73221936589546</c:v>
                </c:pt>
                <c:pt idx="9">
                  <c:v>88.667523564695799</c:v>
                </c:pt>
                <c:pt idx="10">
                  <c:v>93.841045415595545</c:v>
                </c:pt>
                <c:pt idx="11">
                  <c:v>96.529562982005146</c:v>
                </c:pt>
                <c:pt idx="12">
                  <c:v>96.722365038560412</c:v>
                </c:pt>
                <c:pt idx="13">
                  <c:v>100.5248500428449</c:v>
                </c:pt>
                <c:pt idx="14">
                  <c:v>102.52784918594686</c:v>
                </c:pt>
                <c:pt idx="15">
                  <c:v>104.33804627249357</c:v>
                </c:pt>
                <c:pt idx="16">
                  <c:v>104.13453299057412</c:v>
                </c:pt>
                <c:pt idx="17">
                  <c:v>110.01499571550985</c:v>
                </c:pt>
                <c:pt idx="18">
                  <c:v>108.51542416452442</c:v>
                </c:pt>
                <c:pt idx="19">
                  <c:v>108.36546700942588</c:v>
                </c:pt>
                <c:pt idx="20">
                  <c:v>111.1503856041131</c:v>
                </c:pt>
                <c:pt idx="21">
                  <c:v>114.05312767780633</c:v>
                </c:pt>
                <c:pt idx="22">
                  <c:v>111.78234790059982</c:v>
                </c:pt>
                <c:pt idx="23">
                  <c:v>111.18251928020567</c:v>
                </c:pt>
                <c:pt idx="24">
                  <c:v>112.264353041988</c:v>
                </c:pt>
                <c:pt idx="25">
                  <c:v>112.99271636675236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Data'!$BL$4</c:f>
              <c:strCache>
                <c:ptCount val="1"/>
                <c:pt idx="0">
                  <c:v>Other production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Data'!$BI$5:$BI$30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Data'!$BL$5:$BL$30</c:f>
              <c:numCache>
                <c:formatCode>0.0</c:formatCode>
                <c:ptCount val="26"/>
                <c:pt idx="0">
                  <c:v>87.403786145204904</c:v>
                </c:pt>
                <c:pt idx="1">
                  <c:v>91.231537341377162</c:v>
                </c:pt>
                <c:pt idx="2">
                  <c:v>85.105055127938428</c:v>
                </c:pt>
                <c:pt idx="3">
                  <c:v>90.81547742874973</c:v>
                </c:pt>
                <c:pt idx="4">
                  <c:v>86.800499271895148</c:v>
                </c:pt>
                <c:pt idx="5">
                  <c:v>83.107967547326808</c:v>
                </c:pt>
                <c:pt idx="6">
                  <c:v>82.348658206781778</c:v>
                </c:pt>
                <c:pt idx="7">
                  <c:v>100</c:v>
                </c:pt>
                <c:pt idx="8">
                  <c:v>81.797378822550442</c:v>
                </c:pt>
                <c:pt idx="9">
                  <c:v>70.230913251508227</c:v>
                </c:pt>
                <c:pt idx="10">
                  <c:v>71.770334928229659</c:v>
                </c:pt>
                <c:pt idx="11">
                  <c:v>69.138755980861248</c:v>
                </c:pt>
                <c:pt idx="12">
                  <c:v>80.653214062825057</c:v>
                </c:pt>
                <c:pt idx="13">
                  <c:v>83.752860411899306</c:v>
                </c:pt>
                <c:pt idx="14">
                  <c:v>82.10942375702102</c:v>
                </c:pt>
                <c:pt idx="15">
                  <c:v>82.931142084460163</c:v>
                </c:pt>
                <c:pt idx="16">
                  <c:v>69.367588932806328</c:v>
                </c:pt>
                <c:pt idx="17">
                  <c:v>80.122737674225093</c:v>
                </c:pt>
                <c:pt idx="18">
                  <c:v>86.654878302475552</c:v>
                </c:pt>
                <c:pt idx="19">
                  <c:v>86.540461826503019</c:v>
                </c:pt>
                <c:pt idx="20">
                  <c:v>89.59850218431454</c:v>
                </c:pt>
                <c:pt idx="21">
                  <c:v>85.323486582067815</c:v>
                </c:pt>
                <c:pt idx="22">
                  <c:v>84.46016226336593</c:v>
                </c:pt>
                <c:pt idx="23">
                  <c:v>91.605991262741838</c:v>
                </c:pt>
                <c:pt idx="24">
                  <c:v>91.564385271479097</c:v>
                </c:pt>
                <c:pt idx="25">
                  <c:v>108.04035781152486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Data'!$BM$4</c:f>
              <c:strCache>
                <c:ptCount val="1"/>
                <c:pt idx="0">
                  <c:v>Construction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Data'!$BI$5:$BI$30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Data'!$BM$5:$BM$30</c:f>
              <c:numCache>
                <c:formatCode>0.0</c:formatCode>
                <c:ptCount val="26"/>
                <c:pt idx="0">
                  <c:v>59.678416821273963</c:v>
                </c:pt>
                <c:pt idx="1">
                  <c:v>63.234384662956089</c:v>
                </c:pt>
                <c:pt idx="2">
                  <c:v>70.34632034632034</c:v>
                </c:pt>
                <c:pt idx="3">
                  <c:v>75.81941867656154</c:v>
                </c:pt>
                <c:pt idx="4">
                  <c:v>91.465677179962896</c:v>
                </c:pt>
                <c:pt idx="5">
                  <c:v>97.990105132962285</c:v>
                </c:pt>
                <c:pt idx="6">
                  <c:v>93.939393939393938</c:v>
                </c:pt>
                <c:pt idx="7">
                  <c:v>100</c:v>
                </c:pt>
                <c:pt idx="8">
                  <c:v>93.475572047000625</c:v>
                </c:pt>
                <c:pt idx="9">
                  <c:v>64.718614718614717</c:v>
                </c:pt>
                <c:pt idx="10">
                  <c:v>78.354978354978357</c:v>
                </c:pt>
                <c:pt idx="11">
                  <c:v>74.149659863945587</c:v>
                </c:pt>
                <c:pt idx="12">
                  <c:v>82.436611008039591</c:v>
                </c:pt>
                <c:pt idx="13">
                  <c:v>74.118738404452685</c:v>
                </c:pt>
                <c:pt idx="14">
                  <c:v>80.055658627087197</c:v>
                </c:pt>
                <c:pt idx="15">
                  <c:v>69.72789115646259</c:v>
                </c:pt>
                <c:pt idx="16">
                  <c:v>80.457637600494749</c:v>
                </c:pt>
                <c:pt idx="17">
                  <c:v>77.674706246134818</c:v>
                </c:pt>
                <c:pt idx="18">
                  <c:v>88.961038961038966</c:v>
                </c:pt>
                <c:pt idx="19">
                  <c:v>89.424860853432293</c:v>
                </c:pt>
                <c:pt idx="20">
                  <c:v>86.765615337043911</c:v>
                </c:pt>
                <c:pt idx="21">
                  <c:v>73.871366728509585</c:v>
                </c:pt>
                <c:pt idx="22">
                  <c:v>63.945578231292522</c:v>
                </c:pt>
                <c:pt idx="23">
                  <c:v>66.14100185528757</c:v>
                </c:pt>
                <c:pt idx="24">
                  <c:v>67.254174397031534</c:v>
                </c:pt>
                <c:pt idx="25">
                  <c:v>71.088435374149668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Data'!$BN$4</c:f>
              <c:strCache>
                <c:ptCount val="1"/>
                <c:pt idx="0">
                  <c:v>Services</c:v>
                </c:pt>
              </c:strCache>
            </c:strRef>
          </c:tx>
          <c:spPr>
            <a:ln w="38100">
              <a:solidFill>
                <a:srgbClr val="965793"/>
              </a:solidFill>
            </a:ln>
          </c:spPr>
          <c:marker>
            <c:symbol val="none"/>
          </c:marker>
          <c:cat>
            <c:numRef>
              <c:f>'Chart Data'!$BI$5:$BI$30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Data'!$BN$5:$BN$30</c:f>
              <c:numCache>
                <c:formatCode>0.0</c:formatCode>
                <c:ptCount val="26"/>
                <c:pt idx="0">
                  <c:v>95.58259289176091</c:v>
                </c:pt>
                <c:pt idx="1">
                  <c:v>94.90862277867528</c:v>
                </c:pt>
                <c:pt idx="2">
                  <c:v>104.36439822294024</c:v>
                </c:pt>
                <c:pt idx="3">
                  <c:v>102.98364297253634</c:v>
                </c:pt>
                <c:pt idx="4">
                  <c:v>99.67184975767367</c:v>
                </c:pt>
                <c:pt idx="5">
                  <c:v>99.553210823909538</c:v>
                </c:pt>
                <c:pt idx="6">
                  <c:v>101.0576534733441</c:v>
                </c:pt>
                <c:pt idx="7">
                  <c:v>100</c:v>
                </c:pt>
                <c:pt idx="8">
                  <c:v>92.316235864297255</c:v>
                </c:pt>
                <c:pt idx="9">
                  <c:v>91.624596122778684</c:v>
                </c:pt>
                <c:pt idx="10">
                  <c:v>87.141558966074314</c:v>
                </c:pt>
                <c:pt idx="11">
                  <c:v>89.797051696284328</c:v>
                </c:pt>
                <c:pt idx="12">
                  <c:v>87.82815024232633</c:v>
                </c:pt>
                <c:pt idx="13">
                  <c:v>88.36581179321486</c:v>
                </c:pt>
                <c:pt idx="14">
                  <c:v>90.594709208400644</c:v>
                </c:pt>
                <c:pt idx="15">
                  <c:v>90.458400646203557</c:v>
                </c:pt>
                <c:pt idx="16">
                  <c:v>97.533824717285938</c:v>
                </c:pt>
                <c:pt idx="17">
                  <c:v>97.24353796445881</c:v>
                </c:pt>
                <c:pt idx="18">
                  <c:v>96.43578352180937</c:v>
                </c:pt>
                <c:pt idx="19">
                  <c:v>92.283420840064622</c:v>
                </c:pt>
                <c:pt idx="20">
                  <c:v>99.394184168012927</c:v>
                </c:pt>
                <c:pt idx="21">
                  <c:v>99.906603392568655</c:v>
                </c:pt>
                <c:pt idx="22">
                  <c:v>96.774030694668824</c:v>
                </c:pt>
                <c:pt idx="23">
                  <c:v>96.89771809369951</c:v>
                </c:pt>
                <c:pt idx="24">
                  <c:v>97.440428109854608</c:v>
                </c:pt>
                <c:pt idx="25">
                  <c:v>95.198909531502423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Data'!$BO$4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Data'!$BI$5:$BI$30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Data'!$BO$5:$BO$30</c:f>
              <c:numCache>
                <c:formatCode>General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in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0.32149698236872931"/>
          <c:y val="8.463531167514951E-2"/>
          <c:w val="0.36669375224642264"/>
          <c:h val="0.2451583721568489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178583333234479E-2"/>
          <c:y val="0.14714391023940784"/>
          <c:w val="0.5872488989723742"/>
          <c:h val="0.7126398608698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Data'!$CX$4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Data'!$CX$5:$CX$30</c:f>
              <c:numCache>
                <c:formatCode>0</c:formatCode>
                <c:ptCount val="26"/>
                <c:pt idx="0">
                  <c:v>-251</c:v>
                </c:pt>
                <c:pt idx="1">
                  <c:v>-89</c:v>
                </c:pt>
                <c:pt idx="2">
                  <c:v>-139</c:v>
                </c:pt>
                <c:pt idx="3">
                  <c:v>-626</c:v>
                </c:pt>
                <c:pt idx="4">
                  <c:v>-297</c:v>
                </c:pt>
                <c:pt idx="5">
                  <c:v>-258</c:v>
                </c:pt>
                <c:pt idx="6">
                  <c:v>182</c:v>
                </c:pt>
                <c:pt idx="7">
                  <c:v>0</c:v>
                </c:pt>
                <c:pt idx="8">
                  <c:v>-87</c:v>
                </c:pt>
                <c:pt idx="9">
                  <c:v>-1446</c:v>
                </c:pt>
                <c:pt idx="10">
                  <c:v>-1143</c:v>
                </c:pt>
                <c:pt idx="11">
                  <c:v>-480</c:v>
                </c:pt>
                <c:pt idx="12">
                  <c:v>-135</c:v>
                </c:pt>
                <c:pt idx="13">
                  <c:v>334</c:v>
                </c:pt>
                <c:pt idx="14">
                  <c:v>601</c:v>
                </c:pt>
                <c:pt idx="15">
                  <c:v>551</c:v>
                </c:pt>
                <c:pt idx="16">
                  <c:v>-814</c:v>
                </c:pt>
                <c:pt idx="17">
                  <c:v>-26</c:v>
                </c:pt>
                <c:pt idx="18">
                  <c:v>-597</c:v>
                </c:pt>
                <c:pt idx="19">
                  <c:v>35</c:v>
                </c:pt>
                <c:pt idx="20">
                  <c:v>-1413</c:v>
                </c:pt>
                <c:pt idx="21">
                  <c:v>-1977</c:v>
                </c:pt>
                <c:pt idx="22">
                  <c:v>-2332</c:v>
                </c:pt>
                <c:pt idx="23">
                  <c:v>-2649</c:v>
                </c:pt>
                <c:pt idx="24">
                  <c:v>-2447</c:v>
                </c:pt>
                <c:pt idx="25">
                  <c:v>-2499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0-4161-8D98-F774720E592F}"/>
            </c:ext>
          </c:extLst>
        </c:ser>
        <c:ser>
          <c:idx val="1"/>
          <c:order val="1"/>
          <c:tx>
            <c:strRef>
              <c:f>'Chart Data'!$CY$4</c:f>
              <c:strCache>
                <c:ptCount val="1"/>
                <c:pt idx="0">
                  <c:v>Hotels &amp; restaurants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Data'!$CY$5:$CY$30</c:f>
              <c:numCache>
                <c:formatCode>0</c:formatCode>
                <c:ptCount val="26"/>
                <c:pt idx="0">
                  <c:v>94</c:v>
                </c:pt>
                <c:pt idx="1">
                  <c:v>45</c:v>
                </c:pt>
                <c:pt idx="2">
                  <c:v>73</c:v>
                </c:pt>
                <c:pt idx="3">
                  <c:v>265</c:v>
                </c:pt>
                <c:pt idx="4">
                  <c:v>65</c:v>
                </c:pt>
                <c:pt idx="5">
                  <c:v>-104</c:v>
                </c:pt>
                <c:pt idx="6">
                  <c:v>-127</c:v>
                </c:pt>
                <c:pt idx="7">
                  <c:v>0</c:v>
                </c:pt>
                <c:pt idx="8">
                  <c:v>244</c:v>
                </c:pt>
                <c:pt idx="9">
                  <c:v>-754</c:v>
                </c:pt>
                <c:pt idx="10">
                  <c:v>-543</c:v>
                </c:pt>
                <c:pt idx="11">
                  <c:v>-580</c:v>
                </c:pt>
                <c:pt idx="12">
                  <c:v>-849</c:v>
                </c:pt>
                <c:pt idx="13">
                  <c:v>-538</c:v>
                </c:pt>
                <c:pt idx="14">
                  <c:v>-569</c:v>
                </c:pt>
                <c:pt idx="15">
                  <c:v>-314</c:v>
                </c:pt>
                <c:pt idx="16">
                  <c:v>-218</c:v>
                </c:pt>
                <c:pt idx="17">
                  <c:v>-100</c:v>
                </c:pt>
                <c:pt idx="18">
                  <c:v>-187</c:v>
                </c:pt>
                <c:pt idx="19">
                  <c:v>-194</c:v>
                </c:pt>
                <c:pt idx="20">
                  <c:v>-142</c:v>
                </c:pt>
                <c:pt idx="21">
                  <c:v>-30</c:v>
                </c:pt>
                <c:pt idx="22">
                  <c:v>102</c:v>
                </c:pt>
                <c:pt idx="23">
                  <c:v>-127</c:v>
                </c:pt>
                <c:pt idx="24">
                  <c:v>132</c:v>
                </c:pt>
                <c:pt idx="2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0-4161-8D98-F774720E592F}"/>
            </c:ext>
          </c:extLst>
        </c:ser>
        <c:ser>
          <c:idx val="2"/>
          <c:order val="2"/>
          <c:tx>
            <c:strRef>
              <c:f>'Chart Data'!$CZ$4</c:f>
              <c:strCache>
                <c:ptCount val="1"/>
                <c:pt idx="0">
                  <c:v>Financial interm.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Data'!$CZ$5:$CZ$30</c:f>
              <c:numCache>
                <c:formatCode>0</c:formatCode>
                <c:ptCount val="26"/>
                <c:pt idx="0">
                  <c:v>80</c:v>
                </c:pt>
                <c:pt idx="1">
                  <c:v>75</c:v>
                </c:pt>
                <c:pt idx="2">
                  <c:v>-309</c:v>
                </c:pt>
                <c:pt idx="3">
                  <c:v>67</c:v>
                </c:pt>
                <c:pt idx="4">
                  <c:v>138</c:v>
                </c:pt>
                <c:pt idx="5">
                  <c:v>52</c:v>
                </c:pt>
                <c:pt idx="6">
                  <c:v>-18</c:v>
                </c:pt>
                <c:pt idx="7">
                  <c:v>0</c:v>
                </c:pt>
                <c:pt idx="8">
                  <c:v>-284</c:v>
                </c:pt>
                <c:pt idx="9">
                  <c:v>-291</c:v>
                </c:pt>
                <c:pt idx="10">
                  <c:v>-485</c:v>
                </c:pt>
                <c:pt idx="11">
                  <c:v>-196</c:v>
                </c:pt>
                <c:pt idx="12">
                  <c:v>-1564</c:v>
                </c:pt>
                <c:pt idx="13">
                  <c:v>-1446</c:v>
                </c:pt>
                <c:pt idx="14">
                  <c:v>-1237</c:v>
                </c:pt>
                <c:pt idx="15">
                  <c:v>-1364</c:v>
                </c:pt>
                <c:pt idx="16">
                  <c:v>-1329</c:v>
                </c:pt>
                <c:pt idx="17">
                  <c:v>-1165</c:v>
                </c:pt>
                <c:pt idx="18">
                  <c:v>-1235</c:v>
                </c:pt>
                <c:pt idx="19">
                  <c:v>-1171</c:v>
                </c:pt>
                <c:pt idx="20">
                  <c:v>-1146</c:v>
                </c:pt>
                <c:pt idx="21">
                  <c:v>-1185</c:v>
                </c:pt>
                <c:pt idx="22">
                  <c:v>-1092</c:v>
                </c:pt>
                <c:pt idx="23">
                  <c:v>-1506</c:v>
                </c:pt>
                <c:pt idx="24">
                  <c:v>-1116</c:v>
                </c:pt>
                <c:pt idx="25">
                  <c:v>-1406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0-4161-8D98-F774720E592F}"/>
            </c:ext>
          </c:extLst>
        </c:ser>
        <c:ser>
          <c:idx val="3"/>
          <c:order val="3"/>
          <c:tx>
            <c:strRef>
              <c:f>'Chart Data'!$DA$4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Data'!$DA$5:$DA$30</c:f>
              <c:numCache>
                <c:formatCode>0</c:formatCode>
                <c:ptCount val="26"/>
                <c:pt idx="0">
                  <c:v>-442</c:v>
                </c:pt>
                <c:pt idx="1">
                  <c:v>-1635</c:v>
                </c:pt>
                <c:pt idx="2">
                  <c:v>800</c:v>
                </c:pt>
                <c:pt idx="3">
                  <c:v>2021</c:v>
                </c:pt>
                <c:pt idx="4">
                  <c:v>867</c:v>
                </c:pt>
                <c:pt idx="5">
                  <c:v>2139</c:v>
                </c:pt>
                <c:pt idx="6">
                  <c:v>230</c:v>
                </c:pt>
                <c:pt idx="7">
                  <c:v>0</c:v>
                </c:pt>
                <c:pt idx="8">
                  <c:v>-343</c:v>
                </c:pt>
                <c:pt idx="9">
                  <c:v>-1008</c:v>
                </c:pt>
                <c:pt idx="10">
                  <c:v>-15</c:v>
                </c:pt>
                <c:pt idx="11">
                  <c:v>2091</c:v>
                </c:pt>
                <c:pt idx="12">
                  <c:v>-2254</c:v>
                </c:pt>
                <c:pt idx="13">
                  <c:v>-811</c:v>
                </c:pt>
                <c:pt idx="14">
                  <c:v>-585</c:v>
                </c:pt>
                <c:pt idx="15">
                  <c:v>980</c:v>
                </c:pt>
                <c:pt idx="16">
                  <c:v>-83</c:v>
                </c:pt>
                <c:pt idx="17">
                  <c:v>164</c:v>
                </c:pt>
                <c:pt idx="18">
                  <c:v>308</c:v>
                </c:pt>
                <c:pt idx="19">
                  <c:v>2491</c:v>
                </c:pt>
                <c:pt idx="20">
                  <c:v>1357</c:v>
                </c:pt>
                <c:pt idx="21">
                  <c:v>2993</c:v>
                </c:pt>
                <c:pt idx="22">
                  <c:v>-12</c:v>
                </c:pt>
                <c:pt idx="23">
                  <c:v>1191</c:v>
                </c:pt>
                <c:pt idx="24">
                  <c:v>-264</c:v>
                </c:pt>
                <c:pt idx="25">
                  <c:v>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60-4161-8D98-F774720E592F}"/>
            </c:ext>
          </c:extLst>
        </c:ser>
        <c:ser>
          <c:idx val="4"/>
          <c:order val="4"/>
          <c:tx>
            <c:strRef>
              <c:f>'Chart Data'!$DB$4</c:f>
              <c:strCache>
                <c:ptCount val="1"/>
                <c:pt idx="0">
                  <c:v>Information &amp; comms</c:v>
                </c:pt>
              </c:strCache>
            </c:strRef>
          </c:tx>
          <c:spPr>
            <a:solidFill>
              <a:srgbClr val="965793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Data'!$DB$5:$DB$30</c:f>
              <c:numCache>
                <c:formatCode>0</c:formatCode>
                <c:ptCount val="26"/>
                <c:pt idx="0">
                  <c:v>-155</c:v>
                </c:pt>
                <c:pt idx="1">
                  <c:v>-202</c:v>
                </c:pt>
                <c:pt idx="2">
                  <c:v>122</c:v>
                </c:pt>
                <c:pt idx="3">
                  <c:v>178</c:v>
                </c:pt>
                <c:pt idx="4">
                  <c:v>-23</c:v>
                </c:pt>
                <c:pt idx="5">
                  <c:v>246</c:v>
                </c:pt>
                <c:pt idx="6">
                  <c:v>309</c:v>
                </c:pt>
                <c:pt idx="7">
                  <c:v>0</c:v>
                </c:pt>
                <c:pt idx="8">
                  <c:v>-86</c:v>
                </c:pt>
                <c:pt idx="9">
                  <c:v>-91</c:v>
                </c:pt>
                <c:pt idx="10">
                  <c:v>-52</c:v>
                </c:pt>
                <c:pt idx="11">
                  <c:v>433</c:v>
                </c:pt>
                <c:pt idx="12">
                  <c:v>108</c:v>
                </c:pt>
                <c:pt idx="13">
                  <c:v>557</c:v>
                </c:pt>
                <c:pt idx="14">
                  <c:v>467</c:v>
                </c:pt>
                <c:pt idx="15">
                  <c:v>946</c:v>
                </c:pt>
                <c:pt idx="16">
                  <c:v>1450</c:v>
                </c:pt>
                <c:pt idx="17">
                  <c:v>555</c:v>
                </c:pt>
                <c:pt idx="18">
                  <c:v>531</c:v>
                </c:pt>
                <c:pt idx="19">
                  <c:v>49</c:v>
                </c:pt>
                <c:pt idx="20">
                  <c:v>496</c:v>
                </c:pt>
                <c:pt idx="21">
                  <c:v>543</c:v>
                </c:pt>
                <c:pt idx="22">
                  <c:v>769</c:v>
                </c:pt>
                <c:pt idx="23">
                  <c:v>274</c:v>
                </c:pt>
                <c:pt idx="24">
                  <c:v>909</c:v>
                </c:pt>
                <c:pt idx="25">
                  <c:v>-90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60-4161-8D98-F774720E592F}"/>
            </c:ext>
          </c:extLst>
        </c:ser>
        <c:ser>
          <c:idx val="5"/>
          <c:order val="5"/>
          <c:tx>
            <c:strRef>
              <c:f>'Chart Data'!$DC$4</c:f>
              <c:strCache>
                <c:ptCount val="1"/>
                <c:pt idx="0">
                  <c:v>Real estate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Data'!$DC$5:$DC$30</c:f>
              <c:numCache>
                <c:formatCode>0</c:formatCode>
                <c:ptCount val="26"/>
                <c:pt idx="0">
                  <c:v>1041</c:v>
                </c:pt>
                <c:pt idx="1">
                  <c:v>1220</c:v>
                </c:pt>
                <c:pt idx="2">
                  <c:v>519</c:v>
                </c:pt>
                <c:pt idx="3">
                  <c:v>311</c:v>
                </c:pt>
                <c:pt idx="4">
                  <c:v>100</c:v>
                </c:pt>
                <c:pt idx="5">
                  <c:v>95</c:v>
                </c:pt>
                <c:pt idx="6">
                  <c:v>427</c:v>
                </c:pt>
                <c:pt idx="7">
                  <c:v>0</c:v>
                </c:pt>
                <c:pt idx="8">
                  <c:v>370</c:v>
                </c:pt>
                <c:pt idx="9">
                  <c:v>-2522</c:v>
                </c:pt>
                <c:pt idx="10">
                  <c:v>-732</c:v>
                </c:pt>
                <c:pt idx="11">
                  <c:v>-222</c:v>
                </c:pt>
                <c:pt idx="12">
                  <c:v>-982</c:v>
                </c:pt>
                <c:pt idx="13">
                  <c:v>-493</c:v>
                </c:pt>
                <c:pt idx="14">
                  <c:v>-323</c:v>
                </c:pt>
                <c:pt idx="15">
                  <c:v>-587</c:v>
                </c:pt>
                <c:pt idx="16">
                  <c:v>1954</c:v>
                </c:pt>
                <c:pt idx="17">
                  <c:v>1029</c:v>
                </c:pt>
                <c:pt idx="18">
                  <c:v>1472</c:v>
                </c:pt>
                <c:pt idx="19">
                  <c:v>-1942</c:v>
                </c:pt>
                <c:pt idx="20">
                  <c:v>2084</c:v>
                </c:pt>
                <c:pt idx="21">
                  <c:v>1075</c:v>
                </c:pt>
                <c:pt idx="22">
                  <c:v>2619</c:v>
                </c:pt>
                <c:pt idx="23">
                  <c:v>2888</c:v>
                </c:pt>
                <c:pt idx="24">
                  <c:v>2685</c:v>
                </c:pt>
                <c:pt idx="25">
                  <c:v>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60-4161-8D98-F774720E592F}"/>
            </c:ext>
          </c:extLst>
        </c:ser>
        <c:ser>
          <c:idx val="6"/>
          <c:order val="6"/>
          <c:tx>
            <c:strRef>
              <c:f>'Chart Data'!$DD$4</c:f>
              <c:strCache>
                <c:ptCount val="1"/>
                <c:pt idx="0">
                  <c:v>Education</c:v>
                </c:pt>
              </c:strCache>
            </c:strRef>
          </c:tx>
          <c:spPr>
            <a:pattFill prst="wdDnDiag">
              <a:fgClr>
                <a:srgbClr val="495057"/>
              </a:fgClr>
              <a:bgClr>
                <a:sysClr val="window" lastClr="FFFFFF"/>
              </a:bgClr>
            </a:pattFill>
            <a:ln w="635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Data'!$DD$5:$DD$30</c:f>
              <c:numCache>
                <c:formatCode>0</c:formatCode>
                <c:ptCount val="26"/>
                <c:pt idx="0">
                  <c:v>127</c:v>
                </c:pt>
                <c:pt idx="1">
                  <c:v>95</c:v>
                </c:pt>
                <c:pt idx="2">
                  <c:v>26</c:v>
                </c:pt>
                <c:pt idx="3">
                  <c:v>112</c:v>
                </c:pt>
                <c:pt idx="4">
                  <c:v>167</c:v>
                </c:pt>
                <c:pt idx="5">
                  <c:v>127</c:v>
                </c:pt>
                <c:pt idx="6">
                  <c:v>91</c:v>
                </c:pt>
                <c:pt idx="7">
                  <c:v>0</c:v>
                </c:pt>
                <c:pt idx="8">
                  <c:v>-189</c:v>
                </c:pt>
                <c:pt idx="9">
                  <c:v>-269</c:v>
                </c:pt>
                <c:pt idx="10">
                  <c:v>-367</c:v>
                </c:pt>
                <c:pt idx="11">
                  <c:v>-414</c:v>
                </c:pt>
                <c:pt idx="12">
                  <c:v>-328</c:v>
                </c:pt>
                <c:pt idx="13">
                  <c:v>-270</c:v>
                </c:pt>
                <c:pt idx="14">
                  <c:v>-256</c:v>
                </c:pt>
                <c:pt idx="15">
                  <c:v>-225</c:v>
                </c:pt>
                <c:pt idx="16">
                  <c:v>-216</c:v>
                </c:pt>
                <c:pt idx="17">
                  <c:v>-20</c:v>
                </c:pt>
                <c:pt idx="18">
                  <c:v>-80</c:v>
                </c:pt>
                <c:pt idx="19">
                  <c:v>-835</c:v>
                </c:pt>
                <c:pt idx="20">
                  <c:v>-132</c:v>
                </c:pt>
                <c:pt idx="21">
                  <c:v>-467</c:v>
                </c:pt>
                <c:pt idx="22">
                  <c:v>-109</c:v>
                </c:pt>
                <c:pt idx="23">
                  <c:v>-317</c:v>
                </c:pt>
                <c:pt idx="24">
                  <c:v>247</c:v>
                </c:pt>
                <c:pt idx="25">
                  <c:v>-332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60-4161-8D98-F774720E592F}"/>
            </c:ext>
          </c:extLst>
        </c:ser>
        <c:ser>
          <c:idx val="7"/>
          <c:order val="7"/>
          <c:tx>
            <c:strRef>
              <c:f>'Chart Data'!$DE$4</c:f>
              <c:strCache>
                <c:ptCount val="1"/>
                <c:pt idx="0">
                  <c:v>Health</c:v>
                </c:pt>
              </c:strCache>
            </c:strRef>
          </c:tx>
          <c:spPr>
            <a:pattFill prst="wdUpDiag">
              <a:fgClr>
                <a:srgbClr val="BD1B21"/>
              </a:fgClr>
              <a:bgClr>
                <a:sysClr val="window" lastClr="FFFFFF"/>
              </a:bgClr>
            </a:pattFill>
            <a:ln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Data'!$DE$5:$DE$30</c:f>
              <c:numCache>
                <c:formatCode>0</c:formatCode>
                <c:ptCount val="26"/>
                <c:pt idx="0">
                  <c:v>147</c:v>
                </c:pt>
                <c:pt idx="1">
                  <c:v>-110</c:v>
                </c:pt>
                <c:pt idx="2">
                  <c:v>-40</c:v>
                </c:pt>
                <c:pt idx="3">
                  <c:v>27</c:v>
                </c:pt>
                <c:pt idx="4">
                  <c:v>-107</c:v>
                </c:pt>
                <c:pt idx="5">
                  <c:v>14</c:v>
                </c:pt>
                <c:pt idx="6">
                  <c:v>-52</c:v>
                </c:pt>
                <c:pt idx="7">
                  <c:v>0</c:v>
                </c:pt>
                <c:pt idx="8">
                  <c:v>17</c:v>
                </c:pt>
                <c:pt idx="9">
                  <c:v>-124</c:v>
                </c:pt>
                <c:pt idx="10">
                  <c:v>-236</c:v>
                </c:pt>
                <c:pt idx="11">
                  <c:v>-186</c:v>
                </c:pt>
                <c:pt idx="12">
                  <c:v>-193</c:v>
                </c:pt>
                <c:pt idx="13">
                  <c:v>-136</c:v>
                </c:pt>
                <c:pt idx="14">
                  <c:v>-164</c:v>
                </c:pt>
                <c:pt idx="15">
                  <c:v>-184</c:v>
                </c:pt>
                <c:pt idx="16">
                  <c:v>-231</c:v>
                </c:pt>
                <c:pt idx="17">
                  <c:v>-183</c:v>
                </c:pt>
                <c:pt idx="18">
                  <c:v>-265</c:v>
                </c:pt>
                <c:pt idx="19">
                  <c:v>-285</c:v>
                </c:pt>
                <c:pt idx="20">
                  <c:v>-261</c:v>
                </c:pt>
                <c:pt idx="21">
                  <c:v>-267</c:v>
                </c:pt>
                <c:pt idx="22">
                  <c:v>-513</c:v>
                </c:pt>
                <c:pt idx="23">
                  <c:v>-401</c:v>
                </c:pt>
                <c:pt idx="24">
                  <c:v>-558</c:v>
                </c:pt>
                <c:pt idx="25">
                  <c:v>-587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60-4161-8D98-F774720E592F}"/>
            </c:ext>
          </c:extLst>
        </c:ser>
        <c:ser>
          <c:idx val="8"/>
          <c:order val="8"/>
          <c:tx>
            <c:strRef>
              <c:f>'Chart Data'!$DF$4</c:f>
              <c:strCache>
                <c:ptCount val="1"/>
                <c:pt idx="0">
                  <c:v>Other services</c:v>
                </c:pt>
              </c:strCache>
            </c:strRef>
          </c:tx>
          <c:spPr>
            <a:solidFill>
              <a:sysClr val="window" lastClr="FFFFFF"/>
            </a:solidFill>
            <a:ln w="12700">
              <a:solidFill>
                <a:srgbClr val="495057"/>
              </a:solidFill>
            </a:ln>
          </c:spPr>
          <c:invertIfNegative val="0"/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Data'!$DF$5:$DF$30</c:f>
              <c:numCache>
                <c:formatCode>0</c:formatCode>
                <c:ptCount val="26"/>
                <c:pt idx="0">
                  <c:v>-556</c:v>
                </c:pt>
                <c:pt idx="1">
                  <c:v>-341</c:v>
                </c:pt>
                <c:pt idx="2">
                  <c:v>-99</c:v>
                </c:pt>
                <c:pt idx="3">
                  <c:v>-360</c:v>
                </c:pt>
                <c:pt idx="4">
                  <c:v>-440</c:v>
                </c:pt>
                <c:pt idx="5">
                  <c:v>-418</c:v>
                </c:pt>
                <c:pt idx="6">
                  <c:v>-451</c:v>
                </c:pt>
                <c:pt idx="7">
                  <c:v>0</c:v>
                </c:pt>
                <c:pt idx="8">
                  <c:v>-223</c:v>
                </c:pt>
                <c:pt idx="9">
                  <c:v>-927</c:v>
                </c:pt>
                <c:pt idx="10">
                  <c:v>-744</c:v>
                </c:pt>
                <c:pt idx="11">
                  <c:v>-735</c:v>
                </c:pt>
                <c:pt idx="12">
                  <c:v>-806</c:v>
                </c:pt>
                <c:pt idx="13">
                  <c:v>-711</c:v>
                </c:pt>
                <c:pt idx="14">
                  <c:v>-520</c:v>
                </c:pt>
                <c:pt idx="15">
                  <c:v>-709</c:v>
                </c:pt>
                <c:pt idx="16">
                  <c:v>-804</c:v>
                </c:pt>
                <c:pt idx="17">
                  <c:v>-660</c:v>
                </c:pt>
                <c:pt idx="18">
                  <c:v>-673</c:v>
                </c:pt>
                <c:pt idx="19">
                  <c:v>-519</c:v>
                </c:pt>
                <c:pt idx="20">
                  <c:v>-397</c:v>
                </c:pt>
                <c:pt idx="21">
                  <c:v>-36</c:v>
                </c:pt>
                <c:pt idx="22">
                  <c:v>-24</c:v>
                </c:pt>
                <c:pt idx="23">
                  <c:v>104</c:v>
                </c:pt>
                <c:pt idx="24">
                  <c:v>84</c:v>
                </c:pt>
                <c:pt idx="25">
                  <c:v>-158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60-4161-8D98-F774720E5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274926592"/>
        <c:axId val="274950400"/>
      </c:barChart>
      <c:lineChart>
        <c:grouping val="standard"/>
        <c:varyColors val="0"/>
        <c:ser>
          <c:idx val="9"/>
          <c:order val="9"/>
          <c:tx>
            <c:strRef>
              <c:f>'Chart Data'!$DG$4</c:f>
              <c:strCache>
                <c:ptCount val="1"/>
                <c:pt idx="0">
                  <c:v>Total services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Data'!$CW$5:$CW$30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Data'!$DG$5:$DG$30</c:f>
              <c:numCache>
                <c:formatCode>0</c:formatCode>
                <c:ptCount val="26"/>
                <c:pt idx="0">
                  <c:v>-1750</c:v>
                </c:pt>
                <c:pt idx="1">
                  <c:v>-2017</c:v>
                </c:pt>
                <c:pt idx="2">
                  <c:v>1729</c:v>
                </c:pt>
                <c:pt idx="3">
                  <c:v>1182</c:v>
                </c:pt>
                <c:pt idx="4">
                  <c:v>-130</c:v>
                </c:pt>
                <c:pt idx="5">
                  <c:v>-177</c:v>
                </c:pt>
                <c:pt idx="6">
                  <c:v>419</c:v>
                </c:pt>
                <c:pt idx="7">
                  <c:v>0</c:v>
                </c:pt>
                <c:pt idx="8">
                  <c:v>-3044</c:v>
                </c:pt>
                <c:pt idx="9">
                  <c:v>-3318</c:v>
                </c:pt>
                <c:pt idx="10">
                  <c:v>-5094</c:v>
                </c:pt>
                <c:pt idx="11">
                  <c:v>-4042</c:v>
                </c:pt>
                <c:pt idx="12">
                  <c:v>-4822</c:v>
                </c:pt>
                <c:pt idx="13">
                  <c:v>-4609</c:v>
                </c:pt>
                <c:pt idx="14">
                  <c:v>-3726</c:v>
                </c:pt>
                <c:pt idx="15">
                  <c:v>-3780</c:v>
                </c:pt>
                <c:pt idx="16">
                  <c:v>-977</c:v>
                </c:pt>
                <c:pt idx="17">
                  <c:v>-1092</c:v>
                </c:pt>
                <c:pt idx="18">
                  <c:v>-1412</c:v>
                </c:pt>
                <c:pt idx="19">
                  <c:v>-3057</c:v>
                </c:pt>
                <c:pt idx="20">
                  <c:v>-240</c:v>
                </c:pt>
                <c:pt idx="21">
                  <c:v>-37</c:v>
                </c:pt>
                <c:pt idx="22">
                  <c:v>-1278</c:v>
                </c:pt>
                <c:pt idx="23">
                  <c:v>-1229</c:v>
                </c:pt>
                <c:pt idx="24">
                  <c:v>-1014</c:v>
                </c:pt>
                <c:pt idx="25">
                  <c:v>-1902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60-4161-8D98-F774720E5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749504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r"/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331698313299896E-2"/>
          <c:y val="0.14714391023940784"/>
          <c:w val="0.8933877180142038"/>
          <c:h val="0.712639860869834"/>
        </c:manualLayout>
      </c:layout>
      <c:areaChart>
        <c:grouping val="stacked"/>
        <c:varyColors val="0"/>
        <c:ser>
          <c:idx val="0"/>
          <c:order val="0"/>
          <c:tx>
            <c:strRef>
              <c:f>'Chart Data'!$CH$4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rgbClr val="BD1B21"/>
            </a:solidFill>
            <a:ln w="12700">
              <a:solidFill>
                <a:srgbClr val="BD1B21"/>
              </a:solidFill>
              <a:prstDash val="solid"/>
            </a:ln>
            <a:effectLst/>
          </c:spPr>
          <c:cat>
            <c:numRef>
              <c:f>'Chart Data'!$CG$5:$CG$30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Data'!$CH$5:$CH$30</c:f>
              <c:numCache>
                <c:formatCode>0</c:formatCode>
                <c:ptCount val="26"/>
                <c:pt idx="0">
                  <c:v>9719</c:v>
                </c:pt>
                <c:pt idx="1">
                  <c:v>9549</c:v>
                </c:pt>
                <c:pt idx="2">
                  <c:v>9841</c:v>
                </c:pt>
                <c:pt idx="3">
                  <c:v>9812</c:v>
                </c:pt>
                <c:pt idx="4">
                  <c:v>9990</c:v>
                </c:pt>
                <c:pt idx="5">
                  <c:v>9706</c:v>
                </c:pt>
                <c:pt idx="6">
                  <c:v>9482</c:v>
                </c:pt>
                <c:pt idx="7">
                  <c:v>9336</c:v>
                </c:pt>
                <c:pt idx="8">
                  <c:v>9311</c:v>
                </c:pt>
                <c:pt idx="9">
                  <c:v>8278</c:v>
                </c:pt>
                <c:pt idx="10">
                  <c:v>8761</c:v>
                </c:pt>
                <c:pt idx="11">
                  <c:v>9012</c:v>
                </c:pt>
                <c:pt idx="12">
                  <c:v>9030</c:v>
                </c:pt>
                <c:pt idx="13">
                  <c:v>9385</c:v>
                </c:pt>
                <c:pt idx="14">
                  <c:v>9572</c:v>
                </c:pt>
                <c:pt idx="15">
                  <c:v>9741</c:v>
                </c:pt>
                <c:pt idx="16">
                  <c:v>9722</c:v>
                </c:pt>
                <c:pt idx="17">
                  <c:v>10271</c:v>
                </c:pt>
                <c:pt idx="18">
                  <c:v>10131</c:v>
                </c:pt>
                <c:pt idx="19">
                  <c:v>10117</c:v>
                </c:pt>
                <c:pt idx="20">
                  <c:v>10377</c:v>
                </c:pt>
                <c:pt idx="21">
                  <c:v>10648</c:v>
                </c:pt>
                <c:pt idx="22">
                  <c:v>10436</c:v>
                </c:pt>
                <c:pt idx="23">
                  <c:v>10380</c:v>
                </c:pt>
                <c:pt idx="24">
                  <c:v>10481</c:v>
                </c:pt>
                <c:pt idx="25">
                  <c:v>10549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B9C-474D-B836-BD9C9C06998E}"/>
            </c:ext>
          </c:extLst>
        </c:ser>
        <c:ser>
          <c:idx val="1"/>
          <c:order val="1"/>
          <c:tx>
            <c:strRef>
              <c:f>'Chart Data'!$CI$4</c:f>
              <c:strCache>
                <c:ptCount val="1"/>
                <c:pt idx="0">
                  <c:v>Other production</c:v>
                </c:pt>
              </c:strCache>
            </c:strRef>
          </c:tx>
          <c:spPr>
            <a:solidFill>
              <a:srgbClr val="003469"/>
            </a:solidFill>
            <a:ln w="12700">
              <a:solidFill>
                <a:srgbClr val="003469"/>
              </a:solidFill>
              <a:prstDash val="solid"/>
            </a:ln>
            <a:effectLst/>
          </c:spPr>
          <c:cat>
            <c:numRef>
              <c:f>'Chart Data'!$CG$5:$CG$30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Data'!$CI$5:$CI$30</c:f>
              <c:numCache>
                <c:formatCode>0</c:formatCode>
                <c:ptCount val="26"/>
                <c:pt idx="0">
                  <c:v>8403</c:v>
                </c:pt>
                <c:pt idx="1">
                  <c:v>8771</c:v>
                </c:pt>
                <c:pt idx="2">
                  <c:v>8182</c:v>
                </c:pt>
                <c:pt idx="3">
                  <c:v>8731</c:v>
                </c:pt>
                <c:pt idx="4">
                  <c:v>8345</c:v>
                </c:pt>
                <c:pt idx="5">
                  <c:v>7990</c:v>
                </c:pt>
                <c:pt idx="6">
                  <c:v>7917</c:v>
                </c:pt>
                <c:pt idx="7">
                  <c:v>9614</c:v>
                </c:pt>
                <c:pt idx="8">
                  <c:v>7864</c:v>
                </c:pt>
                <c:pt idx="9">
                  <c:v>6752</c:v>
                </c:pt>
                <c:pt idx="10">
                  <c:v>6900</c:v>
                </c:pt>
                <c:pt idx="11">
                  <c:v>6647</c:v>
                </c:pt>
                <c:pt idx="12">
                  <c:v>7754</c:v>
                </c:pt>
                <c:pt idx="13">
                  <c:v>8052</c:v>
                </c:pt>
                <c:pt idx="14">
                  <c:v>7894</c:v>
                </c:pt>
                <c:pt idx="15">
                  <c:v>7973</c:v>
                </c:pt>
                <c:pt idx="16">
                  <c:v>6669</c:v>
                </c:pt>
                <c:pt idx="17">
                  <c:v>7703</c:v>
                </c:pt>
                <c:pt idx="18">
                  <c:v>8331</c:v>
                </c:pt>
                <c:pt idx="19">
                  <c:v>8320</c:v>
                </c:pt>
                <c:pt idx="20">
                  <c:v>8614</c:v>
                </c:pt>
                <c:pt idx="21">
                  <c:v>8203</c:v>
                </c:pt>
                <c:pt idx="22">
                  <c:v>8120</c:v>
                </c:pt>
                <c:pt idx="23">
                  <c:v>8807</c:v>
                </c:pt>
                <c:pt idx="24">
                  <c:v>8803</c:v>
                </c:pt>
                <c:pt idx="25">
                  <c:v>10387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B9C-474D-B836-BD9C9C06998E}"/>
            </c:ext>
          </c:extLst>
        </c:ser>
        <c:ser>
          <c:idx val="2"/>
          <c:order val="2"/>
          <c:tx>
            <c:strRef>
              <c:f>'Chart Data'!$CJ$4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rgbClr val="D1A21E"/>
            </a:solidFill>
            <a:ln w="12700">
              <a:solidFill>
                <a:srgbClr val="D1A21E"/>
              </a:solidFill>
              <a:prstDash val="solid"/>
            </a:ln>
            <a:effectLst/>
          </c:spPr>
          <c:cat>
            <c:numRef>
              <c:f>'Chart Data'!$CG$5:$CG$30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Data'!$CJ$5:$CJ$30</c:f>
              <c:numCache>
                <c:formatCode>0</c:formatCode>
                <c:ptCount val="26"/>
                <c:pt idx="0">
                  <c:v>1930</c:v>
                </c:pt>
                <c:pt idx="1">
                  <c:v>2045</c:v>
                </c:pt>
                <c:pt idx="2">
                  <c:v>2275</c:v>
                </c:pt>
                <c:pt idx="3">
                  <c:v>2452</c:v>
                </c:pt>
                <c:pt idx="4">
                  <c:v>2958</c:v>
                </c:pt>
                <c:pt idx="5">
                  <c:v>3169</c:v>
                </c:pt>
                <c:pt idx="6">
                  <c:v>3038</c:v>
                </c:pt>
                <c:pt idx="7">
                  <c:v>3234</c:v>
                </c:pt>
                <c:pt idx="8">
                  <c:v>3023</c:v>
                </c:pt>
                <c:pt idx="9">
                  <c:v>2093</c:v>
                </c:pt>
                <c:pt idx="10">
                  <c:v>2534</c:v>
                </c:pt>
                <c:pt idx="11">
                  <c:v>2398</c:v>
                </c:pt>
                <c:pt idx="12">
                  <c:v>2666</c:v>
                </c:pt>
                <c:pt idx="13">
                  <c:v>2397</c:v>
                </c:pt>
                <c:pt idx="14">
                  <c:v>2589</c:v>
                </c:pt>
                <c:pt idx="15">
                  <c:v>2255</c:v>
                </c:pt>
                <c:pt idx="16">
                  <c:v>2602</c:v>
                </c:pt>
                <c:pt idx="17">
                  <c:v>2512</c:v>
                </c:pt>
                <c:pt idx="18">
                  <c:v>2877</c:v>
                </c:pt>
                <c:pt idx="19">
                  <c:v>2892</c:v>
                </c:pt>
                <c:pt idx="20">
                  <c:v>2806</c:v>
                </c:pt>
                <c:pt idx="21">
                  <c:v>2389</c:v>
                </c:pt>
                <c:pt idx="22">
                  <c:v>2068</c:v>
                </c:pt>
                <c:pt idx="23">
                  <c:v>2139</c:v>
                </c:pt>
                <c:pt idx="24">
                  <c:v>2175</c:v>
                </c:pt>
                <c:pt idx="25">
                  <c:v>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B9C-474D-B836-BD9C9C06998E}"/>
            </c:ext>
          </c:extLst>
        </c:ser>
        <c:ser>
          <c:idx val="3"/>
          <c:order val="3"/>
          <c:tx>
            <c:strRef>
              <c:f>'Chart Data'!$CK$4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rgbClr val="7B7C77"/>
            </a:solidFill>
            <a:ln w="12700">
              <a:solidFill>
                <a:srgbClr val="7B7C77"/>
              </a:solidFill>
              <a:prstDash val="solid"/>
            </a:ln>
            <a:effectLst/>
          </c:spPr>
          <c:cat>
            <c:numRef>
              <c:f>'Chart Data'!$CG$5:$CG$30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Data'!$CK$5:$CK$30</c:f>
              <c:numCache>
                <c:formatCode>0</c:formatCode>
                <c:ptCount val="26"/>
                <c:pt idx="0">
                  <c:v>37866</c:v>
                </c:pt>
                <c:pt idx="1">
                  <c:v>37599</c:v>
                </c:pt>
                <c:pt idx="2">
                  <c:v>41345</c:v>
                </c:pt>
                <c:pt idx="3">
                  <c:v>40798</c:v>
                </c:pt>
                <c:pt idx="4">
                  <c:v>39486</c:v>
                </c:pt>
                <c:pt idx="5">
                  <c:v>39439</c:v>
                </c:pt>
                <c:pt idx="6">
                  <c:v>40035</c:v>
                </c:pt>
                <c:pt idx="7">
                  <c:v>39616</c:v>
                </c:pt>
                <c:pt idx="8">
                  <c:v>36572</c:v>
                </c:pt>
                <c:pt idx="9">
                  <c:v>36298</c:v>
                </c:pt>
                <c:pt idx="10">
                  <c:v>34522</c:v>
                </c:pt>
                <c:pt idx="11">
                  <c:v>35574</c:v>
                </c:pt>
                <c:pt idx="12">
                  <c:v>34794</c:v>
                </c:pt>
                <c:pt idx="13">
                  <c:v>35007</c:v>
                </c:pt>
                <c:pt idx="14">
                  <c:v>35890</c:v>
                </c:pt>
                <c:pt idx="15">
                  <c:v>35836</c:v>
                </c:pt>
                <c:pt idx="16">
                  <c:v>38639</c:v>
                </c:pt>
                <c:pt idx="17">
                  <c:v>38524</c:v>
                </c:pt>
                <c:pt idx="18">
                  <c:v>38204</c:v>
                </c:pt>
                <c:pt idx="19">
                  <c:v>36559</c:v>
                </c:pt>
                <c:pt idx="20">
                  <c:v>39376</c:v>
                </c:pt>
                <c:pt idx="21">
                  <c:v>39579</c:v>
                </c:pt>
                <c:pt idx="22">
                  <c:v>38338</c:v>
                </c:pt>
                <c:pt idx="23">
                  <c:v>38387</c:v>
                </c:pt>
                <c:pt idx="24">
                  <c:v>38602</c:v>
                </c:pt>
                <c:pt idx="25">
                  <c:v>37714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B9C-474D-B836-BD9C9C06998E}"/>
            </c:ext>
          </c:extLst>
        </c:ser>
        <c:ser>
          <c:idx val="4"/>
          <c:order val="4"/>
          <c:tx>
            <c:strRef>
              <c:f>'Chart Data'!$CL$4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965793"/>
            </a:solidFill>
          </c:spPr>
          <c:cat>
            <c:numRef>
              <c:f>'Chart Data'!$CG$5:$CG$30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Data'!$CL$5:$CL$30</c:f>
              <c:numCache>
                <c:formatCode>0</c:formatCode>
                <c:ptCount val="26"/>
                <c:pt idx="0">
                  <c:v>1403</c:v>
                </c:pt>
                <c:pt idx="1">
                  <c:v>1258</c:v>
                </c:pt>
                <c:pt idx="2">
                  <c:v>1247</c:v>
                </c:pt>
                <c:pt idx="3">
                  <c:v>1235</c:v>
                </c:pt>
                <c:pt idx="4">
                  <c:v>1254</c:v>
                </c:pt>
                <c:pt idx="5">
                  <c:v>1352</c:v>
                </c:pt>
                <c:pt idx="6">
                  <c:v>1338</c:v>
                </c:pt>
                <c:pt idx="7">
                  <c:v>1358</c:v>
                </c:pt>
                <c:pt idx="8">
                  <c:v>1395</c:v>
                </c:pt>
                <c:pt idx="9">
                  <c:v>1186</c:v>
                </c:pt>
                <c:pt idx="10">
                  <c:v>1253</c:v>
                </c:pt>
                <c:pt idx="11">
                  <c:v>1291</c:v>
                </c:pt>
                <c:pt idx="12">
                  <c:v>1303</c:v>
                </c:pt>
                <c:pt idx="13">
                  <c:v>1301</c:v>
                </c:pt>
                <c:pt idx="14">
                  <c:v>1317</c:v>
                </c:pt>
                <c:pt idx="15">
                  <c:v>1280</c:v>
                </c:pt>
                <c:pt idx="16">
                  <c:v>1270</c:v>
                </c:pt>
                <c:pt idx="17">
                  <c:v>1322</c:v>
                </c:pt>
                <c:pt idx="18">
                  <c:v>1344</c:v>
                </c:pt>
                <c:pt idx="19">
                  <c:v>1360</c:v>
                </c:pt>
                <c:pt idx="20">
                  <c:v>1309</c:v>
                </c:pt>
                <c:pt idx="21">
                  <c:v>1333</c:v>
                </c:pt>
                <c:pt idx="22">
                  <c:v>1334</c:v>
                </c:pt>
                <c:pt idx="23">
                  <c:v>1308</c:v>
                </c:pt>
                <c:pt idx="24">
                  <c:v>1309</c:v>
                </c:pt>
                <c:pt idx="25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300-427D-B82B-A6E68FCA9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926592"/>
        <c:axId val="274950400"/>
      </c:area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749504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259703130329052"/>
          <c:y val="6.6882728767814915E-3"/>
          <c:w val="0.24960753588048498"/>
          <c:h val="0.2204578344153099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952454724575256E-2"/>
          <c:y val="0.14714391023940784"/>
          <c:w val="0.87876696160292855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Data'!$DJ$4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Data'!$DI$5:$DI$30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Data'!$DJ$5:$DJ$30</c:f>
              <c:numCache>
                <c:formatCode>0.0</c:formatCode>
                <c:ptCount val="26"/>
                <c:pt idx="0">
                  <c:v>99.463919405570493</c:v>
                </c:pt>
                <c:pt idx="1">
                  <c:v>98.307881661120476</c:v>
                </c:pt>
                <c:pt idx="2">
                  <c:v>98.28782422391393</c:v>
                </c:pt>
                <c:pt idx="3">
                  <c:v>98.155627478688984</c:v>
                </c:pt>
                <c:pt idx="4">
                  <c:v>101.15147923599399</c:v>
                </c:pt>
                <c:pt idx="5">
                  <c:v>100.32912431052559</c:v>
                </c:pt>
                <c:pt idx="6">
                  <c:v>101.14600902584674</c:v>
                </c:pt>
                <c:pt idx="7">
                  <c:v>100</c:v>
                </c:pt>
                <c:pt idx="8">
                  <c:v>96.838218534895375</c:v>
                </c:pt>
                <c:pt idx="9">
                  <c:v>78.622418744586781</c:v>
                </c:pt>
                <c:pt idx="10">
                  <c:v>91.239458449195425</c:v>
                </c:pt>
                <c:pt idx="11">
                  <c:v>96.957651456443443</c:v>
                </c:pt>
                <c:pt idx="12">
                  <c:v>94.354743128048497</c:v>
                </c:pt>
                <c:pt idx="13">
                  <c:v>99.010803665040797</c:v>
                </c:pt>
                <c:pt idx="14">
                  <c:v>98.629712358116421</c:v>
                </c:pt>
                <c:pt idx="15">
                  <c:v>99.234170579386429</c:v>
                </c:pt>
                <c:pt idx="16">
                  <c:v>103.05967087568948</c:v>
                </c:pt>
                <c:pt idx="17">
                  <c:v>103.00588047590828</c:v>
                </c:pt>
                <c:pt idx="18">
                  <c:v>103.27847928157907</c:v>
                </c:pt>
                <c:pt idx="19">
                  <c:v>101.91639695491634</c:v>
                </c:pt>
                <c:pt idx="20">
                  <c:v>104.69070520125814</c:v>
                </c:pt>
                <c:pt idx="21">
                  <c:v>103.03049642157087</c:v>
                </c:pt>
                <c:pt idx="22">
                  <c:v>101.28914619136617</c:v>
                </c:pt>
                <c:pt idx="23">
                  <c:v>101.96562884624151</c:v>
                </c:pt>
                <c:pt idx="24">
                  <c:v>103.18548570907599</c:v>
                </c:pt>
                <c:pt idx="25">
                  <c:v>103.78173861512514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1-4F1A-B423-7A4019FBCCF6}"/>
            </c:ext>
          </c:extLst>
        </c:ser>
        <c:ser>
          <c:idx val="1"/>
          <c:order val="1"/>
          <c:tx>
            <c:strRef>
              <c:f>'Chart Data'!$DK$4</c:f>
              <c:strCache>
                <c:ptCount val="1"/>
                <c:pt idx="0">
                  <c:v>Transport equipment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Data'!$DI$5:$DI$30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Data'!$DK$5:$DK$30</c:f>
              <c:numCache>
                <c:formatCode>0.0</c:formatCode>
                <c:ptCount val="26"/>
                <c:pt idx="0">
                  <c:v>120.35968028419184</c:v>
                </c:pt>
                <c:pt idx="1">
                  <c:v>72.868561278863226</c:v>
                </c:pt>
                <c:pt idx="2">
                  <c:v>125.97690941385436</c:v>
                </c:pt>
                <c:pt idx="3">
                  <c:v>130.17317939609237</c:v>
                </c:pt>
                <c:pt idx="4">
                  <c:v>118.51687388987567</c:v>
                </c:pt>
                <c:pt idx="5">
                  <c:v>129.66252220248668</c:v>
                </c:pt>
                <c:pt idx="6">
                  <c:v>116.62966252220248</c:v>
                </c:pt>
                <c:pt idx="7">
                  <c:v>100</c:v>
                </c:pt>
                <c:pt idx="8">
                  <c:v>109.16962699822381</c:v>
                </c:pt>
                <c:pt idx="9">
                  <c:v>45.337477797513323</c:v>
                </c:pt>
                <c:pt idx="10">
                  <c:v>117.29573712255772</c:v>
                </c:pt>
                <c:pt idx="11">
                  <c:v>140.96358792184725</c:v>
                </c:pt>
                <c:pt idx="12">
                  <c:v>77.131438721136774</c:v>
                </c:pt>
                <c:pt idx="13">
                  <c:v>76.198934280639435</c:v>
                </c:pt>
                <c:pt idx="14">
                  <c:v>93.983126110124331</c:v>
                </c:pt>
                <c:pt idx="15">
                  <c:v>111.34547069271758</c:v>
                </c:pt>
                <c:pt idx="16">
                  <c:v>97.779751332149203</c:v>
                </c:pt>
                <c:pt idx="17">
                  <c:v>145.33747779751332</c:v>
                </c:pt>
                <c:pt idx="18">
                  <c:v>142.5177619893428</c:v>
                </c:pt>
                <c:pt idx="19">
                  <c:v>155.90586145648314</c:v>
                </c:pt>
                <c:pt idx="20">
                  <c:v>171.00355239786856</c:v>
                </c:pt>
                <c:pt idx="21">
                  <c:v>187.36678507992895</c:v>
                </c:pt>
                <c:pt idx="22">
                  <c:v>175.08880994671404</c:v>
                </c:pt>
                <c:pt idx="23">
                  <c:v>180.72824156305506</c:v>
                </c:pt>
                <c:pt idx="24">
                  <c:v>177.4644760213144</c:v>
                </c:pt>
                <c:pt idx="25">
                  <c:v>192.98401420959149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1-4F1A-B423-7A4019FBCCF6}"/>
            </c:ext>
          </c:extLst>
        </c:ser>
        <c:ser>
          <c:idx val="2"/>
          <c:order val="2"/>
          <c:tx>
            <c:strRef>
              <c:f>'Chart Data'!$DL$4</c:f>
              <c:strCache>
                <c:ptCount val="1"/>
                <c:pt idx="0">
                  <c:v>ICT and other machinery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Data'!$DI$5:$DI$30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Data'!$DL$5:$DL$30</c:f>
              <c:numCache>
                <c:formatCode>0.0</c:formatCode>
                <c:ptCount val="26"/>
                <c:pt idx="0">
                  <c:v>103.42750436720681</c:v>
                </c:pt>
                <c:pt idx="1">
                  <c:v>104.36118306126136</c:v>
                </c:pt>
                <c:pt idx="2">
                  <c:v>99.873501596289387</c:v>
                </c:pt>
                <c:pt idx="3">
                  <c:v>97.078489247635673</c:v>
                </c:pt>
                <c:pt idx="4">
                  <c:v>99.506053852177573</c:v>
                </c:pt>
                <c:pt idx="5">
                  <c:v>99.108487440515631</c:v>
                </c:pt>
                <c:pt idx="6">
                  <c:v>98.909704234684654</c:v>
                </c:pt>
                <c:pt idx="7">
                  <c:v>100</c:v>
                </c:pt>
                <c:pt idx="8">
                  <c:v>95.777362809469309</c:v>
                </c:pt>
                <c:pt idx="9">
                  <c:v>82.627552557074878</c:v>
                </c:pt>
                <c:pt idx="10">
                  <c:v>89.01271007770616</c:v>
                </c:pt>
                <c:pt idx="11">
                  <c:v>97.451960725257507</c:v>
                </c:pt>
                <c:pt idx="12">
                  <c:v>96.054454550930672</c:v>
                </c:pt>
                <c:pt idx="13">
                  <c:v>102.75886994759351</c:v>
                </c:pt>
                <c:pt idx="14">
                  <c:v>106.73453406421301</c:v>
                </c:pt>
                <c:pt idx="15">
                  <c:v>103.3672670321065</c:v>
                </c:pt>
                <c:pt idx="16">
                  <c:v>110.54153364255166</c:v>
                </c:pt>
                <c:pt idx="17">
                  <c:v>110.38491657129089</c:v>
                </c:pt>
                <c:pt idx="18">
                  <c:v>112.63779290404192</c:v>
                </c:pt>
                <c:pt idx="19">
                  <c:v>106.74658153123306</c:v>
                </c:pt>
                <c:pt idx="20">
                  <c:v>116.72188422384193</c:v>
                </c:pt>
                <c:pt idx="21">
                  <c:v>113.75218360339738</c:v>
                </c:pt>
                <c:pt idx="22">
                  <c:v>111.84266008071803</c:v>
                </c:pt>
                <c:pt idx="23">
                  <c:v>114.24612975121981</c:v>
                </c:pt>
                <c:pt idx="24">
                  <c:v>117.48689837961568</c:v>
                </c:pt>
                <c:pt idx="25">
                  <c:v>110.55358110957172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1-4F1A-B423-7A4019FBCCF6}"/>
            </c:ext>
          </c:extLst>
        </c:ser>
        <c:ser>
          <c:idx val="3"/>
          <c:order val="3"/>
          <c:tx>
            <c:strRef>
              <c:f>'Chart Data'!$DN$4</c:f>
              <c:strCache>
                <c:ptCount val="1"/>
                <c:pt idx="0">
                  <c:v>Other buildings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Data'!$DI$5:$DI$30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Data'!$DN$5:$DN$30</c:f>
              <c:numCache>
                <c:formatCode>0.0</c:formatCode>
                <c:ptCount val="26"/>
                <c:pt idx="0">
                  <c:v>99.39035904075962</c:v>
                </c:pt>
                <c:pt idx="1">
                  <c:v>98.594588762105147</c:v>
                </c:pt>
                <c:pt idx="2">
                  <c:v>98.397669337217778</c:v>
                </c:pt>
                <c:pt idx="3">
                  <c:v>98.888619136252061</c:v>
                </c:pt>
                <c:pt idx="4">
                  <c:v>103.73337649375523</c:v>
                </c:pt>
                <c:pt idx="5">
                  <c:v>100.31021553235684</c:v>
                </c:pt>
                <c:pt idx="6">
                  <c:v>99.107118772085997</c:v>
                </c:pt>
                <c:pt idx="7">
                  <c:v>100</c:v>
                </c:pt>
                <c:pt idx="8">
                  <c:v>93.609560033449327</c:v>
                </c:pt>
                <c:pt idx="9">
                  <c:v>86.593293949448352</c:v>
                </c:pt>
                <c:pt idx="10">
                  <c:v>87.008713010169672</c:v>
                </c:pt>
                <c:pt idx="11">
                  <c:v>92.576407434382674</c:v>
                </c:pt>
                <c:pt idx="12">
                  <c:v>90.798737557659621</c:v>
                </c:pt>
                <c:pt idx="13">
                  <c:v>95.211890696231563</c:v>
                </c:pt>
                <c:pt idx="14">
                  <c:v>93.749831404601977</c:v>
                </c:pt>
                <c:pt idx="15">
                  <c:v>94.0330716732756</c:v>
                </c:pt>
                <c:pt idx="16">
                  <c:v>100.30482047962019</c:v>
                </c:pt>
                <c:pt idx="17">
                  <c:v>96.247740821666525</c:v>
                </c:pt>
                <c:pt idx="18">
                  <c:v>94.451188260365242</c:v>
                </c:pt>
                <c:pt idx="19">
                  <c:v>91.637668258207228</c:v>
                </c:pt>
                <c:pt idx="20">
                  <c:v>94.024979094170646</c:v>
                </c:pt>
                <c:pt idx="21">
                  <c:v>91.084675352701566</c:v>
                </c:pt>
                <c:pt idx="22">
                  <c:v>89.382536214291491</c:v>
                </c:pt>
                <c:pt idx="23">
                  <c:v>90.998354508915327</c:v>
                </c:pt>
                <c:pt idx="24">
                  <c:v>91.537859782579375</c:v>
                </c:pt>
                <c:pt idx="25">
                  <c:v>94.564484367834694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D1-4F1A-B423-7A4019FBCCF6}"/>
            </c:ext>
          </c:extLst>
        </c:ser>
        <c:ser>
          <c:idx val="4"/>
          <c:order val="4"/>
          <c:tx>
            <c:strRef>
              <c:f>'Chart Data'!$DO$4</c:f>
              <c:strCache>
                <c:ptCount val="1"/>
                <c:pt idx="0">
                  <c:v>Intellectual property</c:v>
                </c:pt>
              </c:strCache>
            </c:strRef>
          </c:tx>
          <c:spPr>
            <a:ln w="38100">
              <a:solidFill>
                <a:srgbClr val="965793"/>
              </a:solidFill>
            </a:ln>
          </c:spPr>
          <c:marker>
            <c:symbol val="none"/>
          </c:marker>
          <c:cat>
            <c:numRef>
              <c:f>'Chart Data'!$DI$5:$DI$30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Data'!$DO$5:$DO$30</c:f>
              <c:numCache>
                <c:formatCode>0.0</c:formatCode>
                <c:ptCount val="26"/>
                <c:pt idx="0">
                  <c:v>94.274794717523747</c:v>
                </c:pt>
                <c:pt idx="1">
                  <c:v>97.01063306466871</c:v>
                </c:pt>
                <c:pt idx="2">
                  <c:v>90.509705982517872</c:v>
                </c:pt>
                <c:pt idx="3">
                  <c:v>90.237257350437048</c:v>
                </c:pt>
                <c:pt idx="4">
                  <c:v>94.569947402277975</c:v>
                </c:pt>
                <c:pt idx="5">
                  <c:v>94.191546524387931</c:v>
                </c:pt>
                <c:pt idx="6">
                  <c:v>98.61883679570137</c:v>
                </c:pt>
                <c:pt idx="7">
                  <c:v>100</c:v>
                </c:pt>
                <c:pt idx="8">
                  <c:v>99.78431149960268</c:v>
                </c:pt>
                <c:pt idx="9">
                  <c:v>92.662806977712194</c:v>
                </c:pt>
                <c:pt idx="10">
                  <c:v>93.737465470919886</c:v>
                </c:pt>
                <c:pt idx="11">
                  <c:v>94.498051235478869</c:v>
                </c:pt>
                <c:pt idx="12">
                  <c:v>92.916335565898507</c:v>
                </c:pt>
                <c:pt idx="13">
                  <c:v>103.28830362886441</c:v>
                </c:pt>
                <c:pt idx="14">
                  <c:v>97.763650811669876</c:v>
                </c:pt>
                <c:pt idx="15">
                  <c:v>97.971771294509409</c:v>
                </c:pt>
                <c:pt idx="16">
                  <c:v>97.82041094335338</c:v>
                </c:pt>
                <c:pt idx="17">
                  <c:v>96.174367124531727</c:v>
                </c:pt>
                <c:pt idx="18">
                  <c:v>98.123131645665424</c:v>
                </c:pt>
                <c:pt idx="19">
                  <c:v>98.902637454118889</c:v>
                </c:pt>
                <c:pt idx="20">
                  <c:v>99.928103833200893</c:v>
                </c:pt>
                <c:pt idx="21">
                  <c:v>99.89404775419078</c:v>
                </c:pt>
                <c:pt idx="22">
                  <c:v>100.0908162106936</c:v>
                </c:pt>
                <c:pt idx="23">
                  <c:v>99.114541945737315</c:v>
                </c:pt>
                <c:pt idx="24">
                  <c:v>97.12036931925681</c:v>
                </c:pt>
                <c:pt idx="25">
                  <c:v>99.981079956105503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1-4F1A-B423-7A4019FBCCF6}"/>
            </c:ext>
          </c:extLst>
        </c:ser>
        <c:ser>
          <c:idx val="5"/>
          <c:order val="5"/>
          <c:tx>
            <c:strRef>
              <c:f>'Chart Data'!$DP$4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Data'!$DI$5:$DI$30</c:f>
              <c:numCache>
                <c:formatCode>General</c:formatCode>
                <c:ptCount val="26"/>
                <c:pt idx="0">
                  <c:v>2018</c:v>
                </c:pt>
                <c:pt idx="4">
                  <c:v>2019</c:v>
                </c:pt>
                <c:pt idx="8">
                  <c:v>2020</c:v>
                </c:pt>
                <c:pt idx="12">
                  <c:v>2021</c:v>
                </c:pt>
                <c:pt idx="16">
                  <c:v>2022</c:v>
                </c:pt>
                <c:pt idx="20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'Chart Data'!$DP$5:$DP$30</c:f>
              <c:numCache>
                <c:formatCode>General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D1-4F1A-B423-7A4019FBC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in val="4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0.39984423980900691"/>
          <c:y val="8.6543192001989844E-2"/>
          <c:w val="0.45407143712922909"/>
          <c:h val="0.2451583721568489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88218847220368635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Data'!$AW$4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Data'!$AV$5:$AV$64</c:f>
              <c:numCache>
                <c:formatCode>m/d/yyyy</c:formatCode>
                <c:ptCount val="60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</c:numCache>
            </c:numRef>
          </c:cat>
          <c:val>
            <c:numRef>
              <c:f>'Chart Data'!$AW$5:$AW$64</c:f>
              <c:numCache>
                <c:formatCode>0.00</c:formatCode>
                <c:ptCount val="60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0.34772727272727261</c:v>
                </c:pt>
                <c:pt idx="15">
                  <c:v>0.10000000000000003</c:v>
                </c:pt>
                <c:pt idx="16">
                  <c:v>0.10000000000000002</c:v>
                </c:pt>
                <c:pt idx="17">
                  <c:v>0.10000000000000003</c:v>
                </c:pt>
                <c:pt idx="18">
                  <c:v>0.10000000000000003</c:v>
                </c:pt>
                <c:pt idx="19">
                  <c:v>0.10000000000000002</c:v>
                </c:pt>
                <c:pt idx="20">
                  <c:v>0.10000000000000003</c:v>
                </c:pt>
                <c:pt idx="21">
                  <c:v>0.10000000000000003</c:v>
                </c:pt>
                <c:pt idx="22">
                  <c:v>0.10000000000000002</c:v>
                </c:pt>
                <c:pt idx="23">
                  <c:v>0.10000000000000003</c:v>
                </c:pt>
                <c:pt idx="24">
                  <c:v>0.10000000000000002</c:v>
                </c:pt>
                <c:pt idx="25">
                  <c:v>0.10000000000000002</c:v>
                </c:pt>
                <c:pt idx="26">
                  <c:v>0.10000000000000003</c:v>
                </c:pt>
                <c:pt idx="27">
                  <c:v>0.10000000000000003</c:v>
                </c:pt>
                <c:pt idx="28">
                  <c:v>0.10000000000000002</c:v>
                </c:pt>
                <c:pt idx="29">
                  <c:v>0.10000000000000003</c:v>
                </c:pt>
                <c:pt idx="30">
                  <c:v>0.10000000000000003</c:v>
                </c:pt>
                <c:pt idx="31">
                  <c:v>0.10000000000000003</c:v>
                </c:pt>
                <c:pt idx="32">
                  <c:v>0.10000000000000003</c:v>
                </c:pt>
                <c:pt idx="33">
                  <c:v>0.10000000000000002</c:v>
                </c:pt>
                <c:pt idx="34">
                  <c:v>0.10000000000000003</c:v>
                </c:pt>
                <c:pt idx="35">
                  <c:v>0.17826086956521739</c:v>
                </c:pt>
                <c:pt idx="36">
                  <c:v>0.25</c:v>
                </c:pt>
                <c:pt idx="37">
                  <c:v>0.47499999999999998</c:v>
                </c:pt>
                <c:pt idx="38">
                  <c:v>0.61956521739130432</c:v>
                </c:pt>
                <c:pt idx="39">
                  <c:v>0.75</c:v>
                </c:pt>
                <c:pt idx="40">
                  <c:v>0.96590909090909094</c:v>
                </c:pt>
                <c:pt idx="41">
                  <c:v>1.125</c:v>
                </c:pt>
                <c:pt idx="42">
                  <c:v>1.25</c:v>
                </c:pt>
                <c:pt idx="43">
                  <c:v>1.6847826086956521</c:v>
                </c:pt>
                <c:pt idx="44">
                  <c:v>1.9090909090909092</c:v>
                </c:pt>
                <c:pt idx="45">
                  <c:v>2.25</c:v>
                </c:pt>
                <c:pt idx="46">
                  <c:v>2.9318181818181817</c:v>
                </c:pt>
                <c:pt idx="47">
                  <c:v>3.2727272727272729</c:v>
                </c:pt>
                <c:pt idx="48">
                  <c:v>3.5</c:v>
                </c:pt>
                <c:pt idx="49">
                  <c:v>3.9750000000000001</c:v>
                </c:pt>
                <c:pt idx="50">
                  <c:v>4.0760869565217392</c:v>
                </c:pt>
                <c:pt idx="51">
                  <c:v>4.25</c:v>
                </c:pt>
                <c:pt idx="52">
                  <c:v>4.4130434782608692</c:v>
                </c:pt>
                <c:pt idx="53">
                  <c:v>4.6590909090909092</c:v>
                </c:pt>
                <c:pt idx="54">
                  <c:v>5</c:v>
                </c:pt>
                <c:pt idx="55">
                  <c:v>5.2282608695652177</c:v>
                </c:pt>
                <c:pt idx="56">
                  <c:v>5.25</c:v>
                </c:pt>
                <c:pt idx="57">
                  <c:v>5.25</c:v>
                </c:pt>
                <c:pt idx="58">
                  <c:v>5.25</c:v>
                </c:pt>
                <c:pt idx="59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Data'!$AX$4</c:f>
              <c:strCache>
                <c:ptCount val="1"/>
                <c:pt idx="0">
                  <c:v>Non-financial corporations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Data'!$AV$5:$AV$64</c:f>
              <c:numCache>
                <c:formatCode>m/d/yyyy</c:formatCode>
                <c:ptCount val="60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</c:numCache>
            </c:numRef>
          </c:cat>
          <c:val>
            <c:numRef>
              <c:f>'Chart Data'!$AX$5:$AX$64</c:f>
              <c:numCache>
                <c:formatCode>0.00</c:formatCode>
                <c:ptCount val="60"/>
                <c:pt idx="0">
                  <c:v>3.35</c:v>
                </c:pt>
                <c:pt idx="1">
                  <c:v>3.34</c:v>
                </c:pt>
                <c:pt idx="2">
                  <c:v>3.34</c:v>
                </c:pt>
                <c:pt idx="3">
                  <c:v>3.34</c:v>
                </c:pt>
                <c:pt idx="4">
                  <c:v>3.32</c:v>
                </c:pt>
                <c:pt idx="5">
                  <c:v>3.31</c:v>
                </c:pt>
                <c:pt idx="6">
                  <c:v>3.3</c:v>
                </c:pt>
                <c:pt idx="7">
                  <c:v>3.27</c:v>
                </c:pt>
                <c:pt idx="8">
                  <c:v>3.27</c:v>
                </c:pt>
                <c:pt idx="9">
                  <c:v>3.26</c:v>
                </c:pt>
                <c:pt idx="10">
                  <c:v>3.24</c:v>
                </c:pt>
                <c:pt idx="11">
                  <c:v>3.28</c:v>
                </c:pt>
                <c:pt idx="12">
                  <c:v>3.29</c:v>
                </c:pt>
                <c:pt idx="13">
                  <c:v>3.3</c:v>
                </c:pt>
                <c:pt idx="14">
                  <c:v>3.21</c:v>
                </c:pt>
                <c:pt idx="15">
                  <c:v>2.98</c:v>
                </c:pt>
                <c:pt idx="16">
                  <c:v>2.86</c:v>
                </c:pt>
                <c:pt idx="17">
                  <c:v>2.79</c:v>
                </c:pt>
                <c:pt idx="18">
                  <c:v>2.66</c:v>
                </c:pt>
                <c:pt idx="19">
                  <c:v>2.5299999999999998</c:v>
                </c:pt>
                <c:pt idx="20">
                  <c:v>2.52</c:v>
                </c:pt>
                <c:pt idx="21">
                  <c:v>2.46</c:v>
                </c:pt>
                <c:pt idx="22">
                  <c:v>2.4500000000000002</c:v>
                </c:pt>
                <c:pt idx="23">
                  <c:v>2.4500000000000002</c:v>
                </c:pt>
                <c:pt idx="24">
                  <c:v>2.41</c:v>
                </c:pt>
                <c:pt idx="25">
                  <c:v>2.4300000000000002</c:v>
                </c:pt>
                <c:pt idx="26">
                  <c:v>2.44</c:v>
                </c:pt>
                <c:pt idx="27">
                  <c:v>2.42</c:v>
                </c:pt>
                <c:pt idx="28">
                  <c:v>2.5</c:v>
                </c:pt>
                <c:pt idx="29">
                  <c:v>2.5499999999999998</c:v>
                </c:pt>
                <c:pt idx="30">
                  <c:v>2.5499999999999998</c:v>
                </c:pt>
                <c:pt idx="31">
                  <c:v>2.65</c:v>
                </c:pt>
                <c:pt idx="32">
                  <c:v>2.65</c:v>
                </c:pt>
                <c:pt idx="33">
                  <c:v>2.66</c:v>
                </c:pt>
                <c:pt idx="34">
                  <c:v>2.7</c:v>
                </c:pt>
                <c:pt idx="35">
                  <c:v>2.75</c:v>
                </c:pt>
                <c:pt idx="36">
                  <c:v>2.81</c:v>
                </c:pt>
                <c:pt idx="37">
                  <c:v>2.95</c:v>
                </c:pt>
                <c:pt idx="38">
                  <c:v>3.05</c:v>
                </c:pt>
                <c:pt idx="39">
                  <c:v>3.15</c:v>
                </c:pt>
                <c:pt idx="40">
                  <c:v>3.35</c:v>
                </c:pt>
                <c:pt idx="41">
                  <c:v>3.48</c:v>
                </c:pt>
                <c:pt idx="42">
                  <c:v>3.56</c:v>
                </c:pt>
                <c:pt idx="43">
                  <c:v>3.87</c:v>
                </c:pt>
                <c:pt idx="44">
                  <c:v>4.08</c:v>
                </c:pt>
                <c:pt idx="45">
                  <c:v>4.33</c:v>
                </c:pt>
                <c:pt idx="46">
                  <c:v>4.82</c:v>
                </c:pt>
                <c:pt idx="47">
                  <c:v>5.14</c:v>
                </c:pt>
                <c:pt idx="48">
                  <c:v>5.3</c:v>
                </c:pt>
                <c:pt idx="49">
                  <c:v>5.65</c:v>
                </c:pt>
                <c:pt idx="50">
                  <c:v>5.79</c:v>
                </c:pt>
                <c:pt idx="51">
                  <c:v>5.91</c:v>
                </c:pt>
                <c:pt idx="52">
                  <c:v>6.04</c:v>
                </c:pt>
                <c:pt idx="53">
                  <c:v>6.32</c:v>
                </c:pt>
                <c:pt idx="54">
                  <c:v>6.51</c:v>
                </c:pt>
                <c:pt idx="55">
                  <c:v>6.71</c:v>
                </c:pt>
                <c:pt idx="56">
                  <c:v>6.81</c:v>
                </c:pt>
                <c:pt idx="57">
                  <c:v>6.78</c:v>
                </c:pt>
                <c:pt idx="58">
                  <c:v>6.8</c:v>
                </c:pt>
                <c:pt idx="59">
                  <c:v>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Data'!$AY$4</c:f>
              <c:strCache>
                <c:ptCount val="1"/>
                <c:pt idx="0">
                  <c:v>Secured household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Data'!$AV$5:$AV$64</c:f>
              <c:numCache>
                <c:formatCode>m/d/yyyy</c:formatCode>
                <c:ptCount val="60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</c:numCache>
            </c:numRef>
          </c:cat>
          <c:val>
            <c:numRef>
              <c:f>'Chart Data'!$AY$5:$AY$64</c:f>
              <c:numCache>
                <c:formatCode>0.00</c:formatCode>
                <c:ptCount val="60"/>
                <c:pt idx="0">
                  <c:v>2.48</c:v>
                </c:pt>
                <c:pt idx="1">
                  <c:v>2.46</c:v>
                </c:pt>
                <c:pt idx="2">
                  <c:v>2.4500000000000002</c:v>
                </c:pt>
                <c:pt idx="3">
                  <c:v>2.4500000000000002</c:v>
                </c:pt>
                <c:pt idx="4">
                  <c:v>2.4300000000000002</c:v>
                </c:pt>
                <c:pt idx="5">
                  <c:v>2.4300000000000002</c:v>
                </c:pt>
                <c:pt idx="6">
                  <c:v>2.42</c:v>
                </c:pt>
                <c:pt idx="7">
                  <c:v>2.42</c:v>
                </c:pt>
                <c:pt idx="8">
                  <c:v>2.4</c:v>
                </c:pt>
                <c:pt idx="9">
                  <c:v>2.39</c:v>
                </c:pt>
                <c:pt idx="10">
                  <c:v>2.4</c:v>
                </c:pt>
                <c:pt idx="11">
                  <c:v>2.37</c:v>
                </c:pt>
                <c:pt idx="12">
                  <c:v>2.37</c:v>
                </c:pt>
                <c:pt idx="13">
                  <c:v>2.37</c:v>
                </c:pt>
                <c:pt idx="14">
                  <c:v>2.33</c:v>
                </c:pt>
                <c:pt idx="15">
                  <c:v>2.21</c:v>
                </c:pt>
                <c:pt idx="16">
                  <c:v>2.17</c:v>
                </c:pt>
                <c:pt idx="17">
                  <c:v>2.17</c:v>
                </c:pt>
                <c:pt idx="18">
                  <c:v>2.16</c:v>
                </c:pt>
                <c:pt idx="19">
                  <c:v>2.14</c:v>
                </c:pt>
                <c:pt idx="20">
                  <c:v>2.13</c:v>
                </c:pt>
                <c:pt idx="21">
                  <c:v>2.12</c:v>
                </c:pt>
                <c:pt idx="22">
                  <c:v>2.12</c:v>
                </c:pt>
                <c:pt idx="23">
                  <c:v>2.12</c:v>
                </c:pt>
                <c:pt idx="24">
                  <c:v>2.09</c:v>
                </c:pt>
                <c:pt idx="25">
                  <c:v>2.09</c:v>
                </c:pt>
                <c:pt idx="26">
                  <c:v>2.09</c:v>
                </c:pt>
                <c:pt idx="27">
                  <c:v>2.0699999999999998</c:v>
                </c:pt>
                <c:pt idx="28">
                  <c:v>2.0699999999999998</c:v>
                </c:pt>
                <c:pt idx="29">
                  <c:v>2.08</c:v>
                </c:pt>
                <c:pt idx="30">
                  <c:v>2.0499999999999998</c:v>
                </c:pt>
                <c:pt idx="31">
                  <c:v>2.06</c:v>
                </c:pt>
                <c:pt idx="32">
                  <c:v>2.0499999999999998</c:v>
                </c:pt>
                <c:pt idx="33">
                  <c:v>2.0299999999999998</c:v>
                </c:pt>
                <c:pt idx="34">
                  <c:v>2.02</c:v>
                </c:pt>
                <c:pt idx="35">
                  <c:v>2.0099999999999998</c:v>
                </c:pt>
                <c:pt idx="36">
                  <c:v>2.0099999999999998</c:v>
                </c:pt>
                <c:pt idx="37">
                  <c:v>2.02</c:v>
                </c:pt>
                <c:pt idx="38">
                  <c:v>2.0499999999999998</c:v>
                </c:pt>
                <c:pt idx="39">
                  <c:v>2.0499999999999998</c:v>
                </c:pt>
                <c:pt idx="40">
                  <c:v>2.08</c:v>
                </c:pt>
                <c:pt idx="41">
                  <c:v>2.12</c:v>
                </c:pt>
                <c:pt idx="42">
                  <c:v>2.13</c:v>
                </c:pt>
                <c:pt idx="43">
                  <c:v>2.1800000000000002</c:v>
                </c:pt>
                <c:pt idx="44">
                  <c:v>2.25</c:v>
                </c:pt>
                <c:pt idx="45">
                  <c:v>2.29</c:v>
                </c:pt>
                <c:pt idx="46">
                  <c:v>2.39</c:v>
                </c:pt>
                <c:pt idx="47">
                  <c:v>2.5099999999999998</c:v>
                </c:pt>
                <c:pt idx="48">
                  <c:v>2.5499999999999998</c:v>
                </c:pt>
                <c:pt idx="49">
                  <c:v>2.65</c:v>
                </c:pt>
                <c:pt idx="50">
                  <c:v>2.75</c:v>
                </c:pt>
                <c:pt idx="51">
                  <c:v>2.76</c:v>
                </c:pt>
                <c:pt idx="52">
                  <c:v>2.83</c:v>
                </c:pt>
                <c:pt idx="53">
                  <c:v>2.93</c:v>
                </c:pt>
                <c:pt idx="54">
                  <c:v>2.98</c:v>
                </c:pt>
                <c:pt idx="55">
                  <c:v>3.07</c:v>
                </c:pt>
                <c:pt idx="56">
                  <c:v>3.16</c:v>
                </c:pt>
                <c:pt idx="57">
                  <c:v>3.22</c:v>
                </c:pt>
                <c:pt idx="58">
                  <c:v>3.28</c:v>
                </c:pt>
                <c:pt idx="59">
                  <c:v>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05111140768421"/>
          <c:y val="0.10363557954689091"/>
          <c:w val="0.58060257722022035"/>
          <c:h val="0.169415508613831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16554710322225E-2"/>
          <c:y val="0.15091573949295942"/>
          <c:w val="0.90016073413388031"/>
          <c:h val="0.673010230744895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'Chart Data'!$FI$5</c:f>
              <c:strCache>
                <c:ptCount val="1"/>
                <c:pt idx="0">
                  <c:v>Investment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002060"/>
              </a:solidFill>
              <a:ln w="12700">
                <a:solidFill>
                  <a:srgbClr val="002060"/>
                </a:solidFill>
              </a:ln>
              <a:effectLst/>
            </c:spPr>
          </c:marker>
          <c:xVal>
            <c:numRef>
              <c:f>'Chart Data'!$FJ$6:$FT$6</c:f>
              <c:numCache>
                <c:formatCode>0.0</c:formatCode>
                <c:ptCount val="11"/>
                <c:pt idx="0">
                  <c:v>-10.687934603747539</c:v>
                </c:pt>
                <c:pt idx="1">
                  <c:v>74.410266087941125</c:v>
                </c:pt>
                <c:pt idx="2">
                  <c:v>5.3551277228738536</c:v>
                </c:pt>
                <c:pt idx="3">
                  <c:v>-1.0601874808150891</c:v>
                </c:pt>
                <c:pt idx="4">
                  <c:v>0.13226484089317037</c:v>
                </c:pt>
                <c:pt idx="5">
                  <c:v>32.185076424967995</c:v>
                </c:pt>
                <c:pt idx="6">
                  <c:v>17.050047535332837</c:v>
                </c:pt>
                <c:pt idx="7">
                  <c:v>-22.896941995864616</c:v>
                </c:pt>
                <c:pt idx="8">
                  <c:v>-2.7274588066728112</c:v>
                </c:pt>
                <c:pt idx="9">
                  <c:v>4.9358210930263269</c:v>
                </c:pt>
                <c:pt idx="10">
                  <c:v>9.8896070468455157</c:v>
                </c:pt>
              </c:numCache>
            </c:numRef>
          </c:xVal>
          <c:yVal>
            <c:numRef>
              <c:f>'Chart Data'!$FJ$5:$FT$5</c:f>
              <c:numCache>
                <c:formatCode>0.0</c:formatCode>
                <c:ptCount val="11"/>
                <c:pt idx="0">
                  <c:v>12.992716366752365</c:v>
                </c:pt>
                <c:pt idx="1">
                  <c:v>8.0403578115248564</c:v>
                </c:pt>
                <c:pt idx="2">
                  <c:v>-28.911564625850339</c:v>
                </c:pt>
                <c:pt idx="3">
                  <c:v>-44.648919063784163</c:v>
                </c:pt>
                <c:pt idx="4">
                  <c:v>9.302325581395344</c:v>
                </c:pt>
                <c:pt idx="5">
                  <c:v>24.249763083078868</c:v>
                </c:pt>
                <c:pt idx="6">
                  <c:v>14.619818222123705</c:v>
                </c:pt>
                <c:pt idx="7">
                  <c:v>-6.3022019741837525</c:v>
                </c:pt>
                <c:pt idx="8">
                  <c:v>-47.300564061240934</c:v>
                </c:pt>
                <c:pt idx="9">
                  <c:v>-6.9942452412571914</c:v>
                </c:pt>
                <c:pt idx="10">
                  <c:v>-4.8010904684975824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1-41DE-B265-3BAE78B92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  <c:min val="-20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0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autoZero"/>
        <c:crossBetween val="midCat"/>
      </c:valAx>
      <c:valAx>
        <c:axId val="115931028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low"/>
        <c:spPr>
          <a:noFill/>
          <a:ln w="0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4458966532899485E-2"/>
          <c:y val="0.14714391023940784"/>
          <c:w val="0.87726044979460416"/>
          <c:h val="0.712639860869834"/>
        </c:manualLayout>
      </c:layout>
      <c:areaChart>
        <c:grouping val="standard"/>
        <c:varyColors val="0"/>
        <c:ser>
          <c:idx val="3"/>
          <c:order val="3"/>
          <c:tx>
            <c:strRef>
              <c:f>'Chart Data'!$GG$4</c:f>
              <c:strCache>
                <c:ptCount val="1"/>
                <c:pt idx="0">
                  <c:v>Super deduction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>
              <a:noFill/>
            </a:ln>
          </c:spPr>
          <c:cat>
            <c:numRef>
              <c:f>'Chart Data'!$GC$5:$GC$68</c:f>
              <c:numCache>
                <c:formatCode>General</c:formatCode>
                <c:ptCount val="64"/>
                <c:pt idx="0">
                  <c:v>2010</c:v>
                </c:pt>
                <c:pt idx="4">
                  <c:v>2011</c:v>
                </c:pt>
                <c:pt idx="8">
                  <c:v>2012</c:v>
                </c:pt>
                <c:pt idx="12">
                  <c:v>2013</c:v>
                </c:pt>
                <c:pt idx="16">
                  <c:v>2014</c:v>
                </c:pt>
                <c:pt idx="20">
                  <c:v>2015</c:v>
                </c:pt>
                <c:pt idx="24">
                  <c:v>2016</c:v>
                </c:pt>
                <c:pt idx="28">
                  <c:v>2017</c:v>
                </c:pt>
                <c:pt idx="32">
                  <c:v>2018</c:v>
                </c:pt>
                <c:pt idx="36">
                  <c:v>2019</c:v>
                </c:pt>
                <c:pt idx="40">
                  <c:v>2020</c:v>
                </c:pt>
                <c:pt idx="44">
                  <c:v>2021</c:v>
                </c:pt>
                <c:pt idx="48">
                  <c:v>2022</c:v>
                </c:pt>
                <c:pt idx="52">
                  <c:v>2023</c:v>
                </c:pt>
                <c:pt idx="56">
                  <c:v>2024</c:v>
                </c:pt>
                <c:pt idx="60">
                  <c:v>2025</c:v>
                </c:pt>
              </c:numCache>
            </c:numRef>
          </c:cat>
          <c:val>
            <c:numRef>
              <c:f>'Chart Data'!$GG$5:$GG$68</c:f>
              <c:numCache>
                <c:formatCode>0.0</c:formatCode>
                <c:ptCount val="64"/>
                <c:pt idx="45" formatCode="0">
                  <c:v>1000</c:v>
                </c:pt>
                <c:pt idx="46" formatCode="0">
                  <c:v>1000</c:v>
                </c:pt>
                <c:pt idx="47" formatCode="0">
                  <c:v>1000</c:v>
                </c:pt>
                <c:pt idx="48" formatCode="0">
                  <c:v>1000</c:v>
                </c:pt>
                <c:pt idx="49" formatCode="0">
                  <c:v>1000</c:v>
                </c:pt>
                <c:pt idx="50" formatCode="0">
                  <c:v>1000</c:v>
                </c:pt>
                <c:pt idx="51" formatCode="0">
                  <c:v>1000</c:v>
                </c:pt>
                <c:pt idx="52" formatCode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E-4B43-83E6-6F370E78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07040"/>
        <c:axId val="263608576"/>
      </c:areaChart>
      <c:lineChart>
        <c:grouping val="standard"/>
        <c:varyColors val="0"/>
        <c:ser>
          <c:idx val="0"/>
          <c:order val="0"/>
          <c:tx>
            <c:strRef>
              <c:f>'Chart Data'!$GD$4</c:f>
              <c:strCache>
                <c:ptCount val="1"/>
                <c:pt idx="0">
                  <c:v>January 2020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Data'!$GC$5:$GC$68</c:f>
              <c:numCache>
                <c:formatCode>General</c:formatCode>
                <c:ptCount val="64"/>
                <c:pt idx="0">
                  <c:v>2010</c:v>
                </c:pt>
                <c:pt idx="4">
                  <c:v>2011</c:v>
                </c:pt>
                <c:pt idx="8">
                  <c:v>2012</c:v>
                </c:pt>
                <c:pt idx="12">
                  <c:v>2013</c:v>
                </c:pt>
                <c:pt idx="16">
                  <c:v>2014</c:v>
                </c:pt>
                <c:pt idx="20">
                  <c:v>2015</c:v>
                </c:pt>
                <c:pt idx="24">
                  <c:v>2016</c:v>
                </c:pt>
                <c:pt idx="28">
                  <c:v>2017</c:v>
                </c:pt>
                <c:pt idx="32">
                  <c:v>2018</c:v>
                </c:pt>
                <c:pt idx="36">
                  <c:v>2019</c:v>
                </c:pt>
                <c:pt idx="40">
                  <c:v>2020</c:v>
                </c:pt>
                <c:pt idx="44">
                  <c:v>2021</c:v>
                </c:pt>
                <c:pt idx="48">
                  <c:v>2022</c:v>
                </c:pt>
                <c:pt idx="52">
                  <c:v>2023</c:v>
                </c:pt>
                <c:pt idx="56">
                  <c:v>2024</c:v>
                </c:pt>
                <c:pt idx="60">
                  <c:v>2025</c:v>
                </c:pt>
              </c:numCache>
            </c:numRef>
          </c:cat>
          <c:val>
            <c:numRef>
              <c:f>'Chart Data'!$GD$5:$GD$68</c:f>
              <c:numCache>
                <c:formatCode>0.0</c:formatCode>
                <c:ptCount val="64"/>
                <c:pt idx="0">
                  <c:v>73.538661776588583</c:v>
                </c:pt>
                <c:pt idx="1">
                  <c:v>72.32501278161898</c:v>
                </c:pt>
                <c:pt idx="2">
                  <c:v>74.929721255872678</c:v>
                </c:pt>
                <c:pt idx="3">
                  <c:v>79.266197980423556</c:v>
                </c:pt>
                <c:pt idx="4">
                  <c:v>72.139538184381109</c:v>
                </c:pt>
                <c:pt idx="5">
                  <c:v>73.802761474829481</c:v>
                </c:pt>
                <c:pt idx="6">
                  <c:v>76.125225996764684</c:v>
                </c:pt>
                <c:pt idx="7">
                  <c:v>79.008146366875195</c:v>
                </c:pt>
                <c:pt idx="8">
                  <c:v>80.264131954692587</c:v>
                </c:pt>
                <c:pt idx="9">
                  <c:v>77.369115415196973</c:v>
                </c:pt>
                <c:pt idx="10">
                  <c:v>78.546475902011352</c:v>
                </c:pt>
                <c:pt idx="11">
                  <c:v>85.322346785886509</c:v>
                </c:pt>
                <c:pt idx="12">
                  <c:v>80.548391935241952</c:v>
                </c:pt>
                <c:pt idx="13">
                  <c:v>82.705542142247722</c:v>
                </c:pt>
                <c:pt idx="14">
                  <c:v>84.461502731315036</c:v>
                </c:pt>
                <c:pt idx="15">
                  <c:v>84.310300614001548</c:v>
                </c:pt>
                <c:pt idx="16">
                  <c:v>85.630799105206023</c:v>
                </c:pt>
                <c:pt idx="17">
                  <c:v>88.775803145326606</c:v>
                </c:pt>
                <c:pt idx="18">
                  <c:v>88.4895271365464</c:v>
                </c:pt>
                <c:pt idx="19">
                  <c:v>90.428946294620744</c:v>
                </c:pt>
                <c:pt idx="20">
                  <c:v>94.049732997221099</c:v>
                </c:pt>
                <c:pt idx="21">
                  <c:v>94.456970699852093</c:v>
                </c:pt>
                <c:pt idx="22">
                  <c:v>94.005380376142483</c:v>
                </c:pt>
                <c:pt idx="23">
                  <c:v>96.315748728692597</c:v>
                </c:pt>
                <c:pt idx="24">
                  <c:v>97.722936433823463</c:v>
                </c:pt>
                <c:pt idx="25">
                  <c:v>98.692646012860635</c:v>
                </c:pt>
                <c:pt idx="26">
                  <c:v>100.28732434346024</c:v>
                </c:pt>
                <c:pt idx="27">
                  <c:v>98.384193693541121</c:v>
                </c:pt>
                <c:pt idx="28">
                  <c:v>100.61996900154992</c:v>
                </c:pt>
                <c:pt idx="29">
                  <c:v>101.78926537544091</c:v>
                </c:pt>
                <c:pt idx="30">
                  <c:v>102.01707656552657</c:v>
                </c:pt>
                <c:pt idx="31">
                  <c:v>102.22271144507292</c:v>
                </c:pt>
                <c:pt idx="32">
                  <c:v>101.35581930580891</c:v>
                </c:pt>
                <c:pt idx="33">
                  <c:v>100.51715156177674</c:v>
                </c:pt>
                <c:pt idx="34">
                  <c:v>99.613970914357495</c:v>
                </c:pt>
                <c:pt idx="35">
                  <c:v>99.059563150874709</c:v>
                </c:pt>
                <c:pt idx="36">
                  <c:v>100.03330478637358</c:v>
                </c:pt>
                <c:pt idx="37">
                  <c:v>100.11394591560745</c:v>
                </c:pt>
                <c:pt idx="38">
                  <c:v>100.15023442376267</c:v>
                </c:pt>
                <c:pt idx="39">
                  <c:v>100</c:v>
                </c:pt>
                <c:pt idx="40">
                  <c:v>99.900004999749996</c:v>
                </c:pt>
                <c:pt idx="41">
                  <c:v>99.900004999749996</c:v>
                </c:pt>
                <c:pt idx="42">
                  <c:v>100.09977323714459</c:v>
                </c:pt>
                <c:pt idx="43">
                  <c:v>100.52025624525226</c:v>
                </c:pt>
                <c:pt idx="44">
                  <c:v>100.97263281997191</c:v>
                </c:pt>
                <c:pt idx="45">
                  <c:v>101.43710556407663</c:v>
                </c:pt>
                <c:pt idx="46">
                  <c:v>101.8935545158226</c:v>
                </c:pt>
                <c:pt idx="47">
                  <c:v>102.35205981636402</c:v>
                </c:pt>
                <c:pt idx="48">
                  <c:v>102.81262146570089</c:v>
                </c:pt>
                <c:pt idx="49">
                  <c:v>103.27525962411555</c:v>
                </c:pt>
                <c:pt idx="50">
                  <c:v>103.74005493273724</c:v>
                </c:pt>
                <c:pt idx="51">
                  <c:v>104.20688642987204</c:v>
                </c:pt>
                <c:pt idx="52">
                  <c:v>104.67581459636695</c:v>
                </c:pt>
                <c:pt idx="53">
                  <c:v>105.14681927193963</c:v>
                </c:pt>
                <c:pt idx="54">
                  <c:v>105.61994077715468</c:v>
                </c:pt>
                <c:pt idx="55">
                  <c:v>106.0953202339883</c:v>
                </c:pt>
                <c:pt idx="56">
                  <c:v>106.57275603961737</c:v>
                </c:pt>
                <c:pt idx="57">
                  <c:v>107.05224819404191</c:v>
                </c:pt>
                <c:pt idx="58">
                  <c:v>107.53393781923806</c:v>
                </c:pt>
                <c:pt idx="59">
                  <c:v>108.01796603718199</c:v>
                </c:pt>
                <c:pt idx="60">
                  <c:v>108.5040304436391</c:v>
                </c:pt>
                <c:pt idx="61">
                  <c:v>108.99231248115014</c:v>
                </c:pt>
                <c:pt idx="62">
                  <c:v>109.48277182915047</c:v>
                </c:pt>
                <c:pt idx="63">
                  <c:v>109.98639584149825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Data'!$GE$4</c:f>
              <c:strCache>
                <c:ptCount val="1"/>
                <c:pt idx="0">
                  <c:v>June 2021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Data'!$GC$5:$GC$68</c:f>
              <c:numCache>
                <c:formatCode>General</c:formatCode>
                <c:ptCount val="64"/>
                <c:pt idx="0">
                  <c:v>2010</c:v>
                </c:pt>
                <c:pt idx="4">
                  <c:v>2011</c:v>
                </c:pt>
                <c:pt idx="8">
                  <c:v>2012</c:v>
                </c:pt>
                <c:pt idx="12">
                  <c:v>2013</c:v>
                </c:pt>
                <c:pt idx="16">
                  <c:v>2014</c:v>
                </c:pt>
                <c:pt idx="20">
                  <c:v>2015</c:v>
                </c:pt>
                <c:pt idx="24">
                  <c:v>2016</c:v>
                </c:pt>
                <c:pt idx="28">
                  <c:v>2017</c:v>
                </c:pt>
                <c:pt idx="32">
                  <c:v>2018</c:v>
                </c:pt>
                <c:pt idx="36">
                  <c:v>2019</c:v>
                </c:pt>
                <c:pt idx="40">
                  <c:v>2020</c:v>
                </c:pt>
                <c:pt idx="44">
                  <c:v>2021</c:v>
                </c:pt>
                <c:pt idx="48">
                  <c:v>2022</c:v>
                </c:pt>
                <c:pt idx="52">
                  <c:v>2023</c:v>
                </c:pt>
                <c:pt idx="56">
                  <c:v>2024</c:v>
                </c:pt>
                <c:pt idx="60">
                  <c:v>2025</c:v>
                </c:pt>
              </c:numCache>
            </c:numRef>
          </c:cat>
          <c:val>
            <c:numRef>
              <c:f>'Chart Data'!$GE$5:$GE$68</c:f>
              <c:numCache>
                <c:formatCode>0.0</c:formatCode>
                <c:ptCount val="64"/>
                <c:pt idx="0">
                  <c:v>70.761517912687083</c:v>
                </c:pt>
                <c:pt idx="1">
                  <c:v>69.916200095143992</c:v>
                </c:pt>
                <c:pt idx="2">
                  <c:v>72.56010539027335</c:v>
                </c:pt>
                <c:pt idx="3">
                  <c:v>77.5496761444725</c:v>
                </c:pt>
                <c:pt idx="4">
                  <c:v>70.642587916712401</c:v>
                </c:pt>
                <c:pt idx="5">
                  <c:v>72.46496139349361</c:v>
                </c:pt>
                <c:pt idx="6">
                  <c:v>74.706334394554844</c:v>
                </c:pt>
                <c:pt idx="7">
                  <c:v>77.483807223624993</c:v>
                </c:pt>
                <c:pt idx="8">
                  <c:v>78.609067954770012</c:v>
                </c:pt>
                <c:pt idx="9">
                  <c:v>75.873678047352428</c:v>
                </c:pt>
                <c:pt idx="10">
                  <c:v>76.856222783327837</c:v>
                </c:pt>
                <c:pt idx="11">
                  <c:v>83.413839792146959</c:v>
                </c:pt>
                <c:pt idx="12">
                  <c:v>79.348263622058766</c:v>
                </c:pt>
                <c:pt idx="13">
                  <c:v>81.600614776594583</c:v>
                </c:pt>
                <c:pt idx="14">
                  <c:v>83.232700259816298</c:v>
                </c:pt>
                <c:pt idx="15">
                  <c:v>83.307717641892637</c:v>
                </c:pt>
                <c:pt idx="16">
                  <c:v>84.637903904563245</c:v>
                </c:pt>
                <c:pt idx="17">
                  <c:v>87.713616569692974</c:v>
                </c:pt>
                <c:pt idx="18">
                  <c:v>87.457459655285987</c:v>
                </c:pt>
                <c:pt idx="19">
                  <c:v>89.579902660372525</c:v>
                </c:pt>
                <c:pt idx="20">
                  <c:v>93.016064697917813</c:v>
                </c:pt>
                <c:pt idx="21">
                  <c:v>92.979470853002525</c:v>
                </c:pt>
                <c:pt idx="22">
                  <c:v>92.536685329527572</c:v>
                </c:pt>
                <c:pt idx="23">
                  <c:v>97.842792842243938</c:v>
                </c:pt>
                <c:pt idx="24">
                  <c:v>98.40999743843085</c:v>
                </c:pt>
                <c:pt idx="25">
                  <c:v>99.707249240677726</c:v>
                </c:pt>
                <c:pt idx="26">
                  <c:v>100.67332674644125</c:v>
                </c:pt>
                <c:pt idx="27">
                  <c:v>98.371573901269798</c:v>
                </c:pt>
                <c:pt idx="28">
                  <c:v>100.63307351703443</c:v>
                </c:pt>
                <c:pt idx="29">
                  <c:v>101.02828704211953</c:v>
                </c:pt>
                <c:pt idx="30">
                  <c:v>100.76115197423793</c:v>
                </c:pt>
                <c:pt idx="31">
                  <c:v>100.85812566326344</c:v>
                </c:pt>
                <c:pt idx="32">
                  <c:v>99.946938924872839</c:v>
                </c:pt>
                <c:pt idx="33">
                  <c:v>98.715556043473484</c:v>
                </c:pt>
                <c:pt idx="34">
                  <c:v>97.356094704870642</c:v>
                </c:pt>
                <c:pt idx="35">
                  <c:v>97.087129944743282</c:v>
                </c:pt>
                <c:pt idx="36">
                  <c:v>98.389870823727449</c:v>
                </c:pt>
                <c:pt idx="37">
                  <c:v>98.894865883558381</c:v>
                </c:pt>
                <c:pt idx="38">
                  <c:v>100.23420060745782</c:v>
                </c:pt>
                <c:pt idx="39">
                  <c:v>100</c:v>
                </c:pt>
                <c:pt idx="40">
                  <c:v>99.582830167965753</c:v>
                </c:pt>
                <c:pt idx="41">
                  <c:v>77.223990924726465</c:v>
                </c:pt>
                <c:pt idx="42">
                  <c:v>87.435503348336809</c:v>
                </c:pt>
                <c:pt idx="43">
                  <c:v>92.622680865078493</c:v>
                </c:pt>
                <c:pt idx="44">
                  <c:v>81.564020931679295</c:v>
                </c:pt>
                <c:pt idx="45">
                  <c:v>91.67795586782303</c:v>
                </c:pt>
                <c:pt idx="46">
                  <c:v>94.428294360888486</c:v>
                </c:pt>
                <c:pt idx="47">
                  <c:v>95.844695722179523</c:v>
                </c:pt>
                <c:pt idx="48">
                  <c:v>97.761627694221829</c:v>
                </c:pt>
                <c:pt idx="49">
                  <c:v>99.716855124967978</c:v>
                </c:pt>
                <c:pt idx="50">
                  <c:v>101.7111830790061</c:v>
                </c:pt>
                <c:pt idx="51">
                  <c:v>103.74539832400191</c:v>
                </c:pt>
                <c:pt idx="52">
                  <c:v>105.82032422146594</c:v>
                </c:pt>
                <c:pt idx="53">
                  <c:v>103.17480879716032</c:v>
                </c:pt>
                <c:pt idx="54">
                  <c:v>102.0398689940352</c:v>
                </c:pt>
                <c:pt idx="55">
                  <c:v>100.9174442858711</c:v>
                </c:pt>
                <c:pt idx="56">
                  <c:v>100.8165367585172</c:v>
                </c:pt>
                <c:pt idx="57">
                  <c:v>101.16939290811287</c:v>
                </c:pt>
                <c:pt idx="58">
                  <c:v>101.52342006074578</c:v>
                </c:pt>
                <c:pt idx="59">
                  <c:v>101.87889267025285</c:v>
                </c:pt>
                <c:pt idx="60">
                  <c:v>102.28640172722947</c:v>
                </c:pt>
                <c:pt idx="61">
                  <c:v>102.69553921030483</c:v>
                </c:pt>
                <c:pt idx="62">
                  <c:v>103.15770117466241</c:v>
                </c:pt>
                <c:pt idx="63">
                  <c:v>103.632176967834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Data'!$GF$4</c:f>
              <c:strCache>
                <c:ptCount val="1"/>
                <c:pt idx="0">
                  <c:v>September 2024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Data'!$GC$5:$GC$68</c:f>
              <c:numCache>
                <c:formatCode>General</c:formatCode>
                <c:ptCount val="64"/>
                <c:pt idx="0">
                  <c:v>2010</c:v>
                </c:pt>
                <c:pt idx="4">
                  <c:v>2011</c:v>
                </c:pt>
                <c:pt idx="8">
                  <c:v>2012</c:v>
                </c:pt>
                <c:pt idx="12">
                  <c:v>2013</c:v>
                </c:pt>
                <c:pt idx="16">
                  <c:v>2014</c:v>
                </c:pt>
                <c:pt idx="20">
                  <c:v>2015</c:v>
                </c:pt>
                <c:pt idx="24">
                  <c:v>2016</c:v>
                </c:pt>
                <c:pt idx="28">
                  <c:v>2017</c:v>
                </c:pt>
                <c:pt idx="32">
                  <c:v>2018</c:v>
                </c:pt>
                <c:pt idx="36">
                  <c:v>2019</c:v>
                </c:pt>
                <c:pt idx="40">
                  <c:v>2020</c:v>
                </c:pt>
                <c:pt idx="44">
                  <c:v>2021</c:v>
                </c:pt>
                <c:pt idx="48">
                  <c:v>2022</c:v>
                </c:pt>
                <c:pt idx="52">
                  <c:v>2023</c:v>
                </c:pt>
                <c:pt idx="56">
                  <c:v>2024</c:v>
                </c:pt>
                <c:pt idx="60">
                  <c:v>2025</c:v>
                </c:pt>
              </c:numCache>
            </c:numRef>
          </c:cat>
          <c:val>
            <c:numRef>
              <c:f>'Chart Data'!$GF$5:$GF$68</c:f>
              <c:numCache>
                <c:formatCode>0.0</c:formatCode>
                <c:ptCount val="64"/>
                <c:pt idx="0">
                  <c:v>66.908087879472205</c:v>
                </c:pt>
                <c:pt idx="1">
                  <c:v>65.906378036584186</c:v>
                </c:pt>
                <c:pt idx="2">
                  <c:v>68.872794141368516</c:v>
                </c:pt>
                <c:pt idx="3">
                  <c:v>73.418395328580189</c:v>
                </c:pt>
                <c:pt idx="4">
                  <c:v>68.280801367874318</c:v>
                </c:pt>
                <c:pt idx="5">
                  <c:v>72.171500467787212</c:v>
                </c:pt>
                <c:pt idx="6">
                  <c:v>74.552376036390626</c:v>
                </c:pt>
                <c:pt idx="7">
                  <c:v>76.415459560602642</c:v>
                </c:pt>
                <c:pt idx="8">
                  <c:v>79.244765622479591</c:v>
                </c:pt>
                <c:pt idx="9">
                  <c:v>75.836371261734996</c:v>
                </c:pt>
                <c:pt idx="10">
                  <c:v>76.215440203890694</c:v>
                </c:pt>
                <c:pt idx="11">
                  <c:v>80.635222763493246</c:v>
                </c:pt>
                <c:pt idx="12">
                  <c:v>78.2962867374262</c:v>
                </c:pt>
                <c:pt idx="13">
                  <c:v>79.86256734522695</c:v>
                </c:pt>
                <c:pt idx="14">
                  <c:v>82.657999161209148</c:v>
                </c:pt>
                <c:pt idx="15">
                  <c:v>82.32732199890313</c:v>
                </c:pt>
                <c:pt idx="16">
                  <c:v>83.974255573119976</c:v>
                </c:pt>
                <c:pt idx="17">
                  <c:v>84.225892828338218</c:v>
                </c:pt>
                <c:pt idx="18">
                  <c:v>84.816272542504109</c:v>
                </c:pt>
                <c:pt idx="19">
                  <c:v>87.869793851017846</c:v>
                </c:pt>
                <c:pt idx="20">
                  <c:v>93.492918669548658</c:v>
                </c:pt>
                <c:pt idx="21">
                  <c:v>90.968480820724579</c:v>
                </c:pt>
                <c:pt idx="22">
                  <c:v>91.150756524824985</c:v>
                </c:pt>
                <c:pt idx="23">
                  <c:v>97.167467819466395</c:v>
                </c:pt>
                <c:pt idx="24">
                  <c:v>99.499951608220144</c:v>
                </c:pt>
                <c:pt idx="25">
                  <c:v>99.201535632480571</c:v>
                </c:pt>
                <c:pt idx="26">
                  <c:v>101.58241120108397</c:v>
                </c:pt>
                <c:pt idx="27">
                  <c:v>97.823982966093496</c:v>
                </c:pt>
                <c:pt idx="28">
                  <c:v>100.07420072910283</c:v>
                </c:pt>
                <c:pt idx="29">
                  <c:v>99.574152337322957</c:v>
                </c:pt>
                <c:pt idx="30">
                  <c:v>97.882053101913087</c:v>
                </c:pt>
                <c:pt idx="31">
                  <c:v>99.546730328741489</c:v>
                </c:pt>
                <c:pt idx="32">
                  <c:v>98.948285317933994</c:v>
                </c:pt>
                <c:pt idx="33">
                  <c:v>96.872277962383464</c:v>
                </c:pt>
                <c:pt idx="34">
                  <c:v>96.969061522082782</c:v>
                </c:pt>
                <c:pt idx="35">
                  <c:v>97.648159499306388</c:v>
                </c:pt>
                <c:pt idx="36">
                  <c:v>98.720843952640578</c:v>
                </c:pt>
                <c:pt idx="37">
                  <c:v>100.30164209439623</c:v>
                </c:pt>
                <c:pt idx="38">
                  <c:v>99.899990321644026</c:v>
                </c:pt>
                <c:pt idx="39">
                  <c:v>100</c:v>
                </c:pt>
                <c:pt idx="40">
                  <c:v>97.749782236990683</c:v>
                </c:pt>
                <c:pt idx="41">
                  <c:v>78.960867180694905</c:v>
                </c:pt>
                <c:pt idx="42">
                  <c:v>88.25047585250185</c:v>
                </c:pt>
                <c:pt idx="43">
                  <c:v>93.194502693809085</c:v>
                </c:pt>
                <c:pt idx="44">
                  <c:v>86.827757524921765</c:v>
                </c:pt>
                <c:pt idx="45">
                  <c:v>93.536471271413362</c:v>
                </c:pt>
                <c:pt idx="46">
                  <c:v>91.94115559570281</c:v>
                </c:pt>
                <c:pt idx="47">
                  <c:v>92.231506274800793</c:v>
                </c:pt>
                <c:pt idx="48">
                  <c:v>95.014033616156397</c:v>
                </c:pt>
                <c:pt idx="49">
                  <c:v>97.319095396328677</c:v>
                </c:pt>
                <c:pt idx="50">
                  <c:v>98.214343323547439</c:v>
                </c:pt>
                <c:pt idx="51">
                  <c:v>95.570539084427537</c:v>
                </c:pt>
                <c:pt idx="52">
                  <c:v>100.7871729522212</c:v>
                </c:pt>
                <c:pt idx="53">
                  <c:v>100.25486337387488</c:v>
                </c:pt>
                <c:pt idx="54">
                  <c:v>97.261025260509086</c:v>
                </c:pt>
                <c:pt idx="55">
                  <c:v>98.430493273542595</c:v>
                </c:pt>
                <c:pt idx="56">
                  <c:v>98.993450979127005</c:v>
                </c:pt>
                <c:pt idx="57">
                  <c:v>100.41294318805045</c:v>
                </c:pt>
                <c:pt idx="58">
                  <c:v>101.11583379036682</c:v>
                </c:pt>
                <c:pt idx="59">
                  <c:v>101.67193599380586</c:v>
                </c:pt>
                <c:pt idx="60">
                  <c:v>102.28201116237055</c:v>
                </c:pt>
                <c:pt idx="61">
                  <c:v>103.14117495241474</c:v>
                </c:pt>
                <c:pt idx="62">
                  <c:v>104.11070426170275</c:v>
                </c:pt>
                <c:pt idx="63">
                  <c:v>105.09976771945672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4"/>
          <c:order val="4"/>
          <c:tx>
            <c:strRef>
              <c:f>'Chart Data'!$GH$4</c:f>
              <c:strCache>
                <c:ptCount val="1"/>
                <c:pt idx="0">
                  <c:v>100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Data'!$GC$5:$GC$68</c:f>
              <c:numCache>
                <c:formatCode>General</c:formatCode>
                <c:ptCount val="64"/>
                <c:pt idx="0">
                  <c:v>2010</c:v>
                </c:pt>
                <c:pt idx="4">
                  <c:v>2011</c:v>
                </c:pt>
                <c:pt idx="8">
                  <c:v>2012</c:v>
                </c:pt>
                <c:pt idx="12">
                  <c:v>2013</c:v>
                </c:pt>
                <c:pt idx="16">
                  <c:v>2014</c:v>
                </c:pt>
                <c:pt idx="20">
                  <c:v>2015</c:v>
                </c:pt>
                <c:pt idx="24">
                  <c:v>2016</c:v>
                </c:pt>
                <c:pt idx="28">
                  <c:v>2017</c:v>
                </c:pt>
                <c:pt idx="32">
                  <c:v>2018</c:v>
                </c:pt>
                <c:pt idx="36">
                  <c:v>2019</c:v>
                </c:pt>
                <c:pt idx="40">
                  <c:v>2020</c:v>
                </c:pt>
                <c:pt idx="44">
                  <c:v>2021</c:v>
                </c:pt>
                <c:pt idx="48">
                  <c:v>2022</c:v>
                </c:pt>
                <c:pt idx="52">
                  <c:v>2023</c:v>
                </c:pt>
                <c:pt idx="56">
                  <c:v>2024</c:v>
                </c:pt>
                <c:pt idx="60">
                  <c:v>2025</c:v>
                </c:pt>
              </c:numCache>
            </c:numRef>
          </c:cat>
          <c:val>
            <c:numRef>
              <c:f>'Chart Data'!$GH$5:$GH$68</c:f>
              <c:numCache>
                <c:formatCode>General</c:formatCode>
                <c:ptCount val="6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E-4B43-83E6-6F370E78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8"/>
        <c:tickMarkSkip val="4"/>
        <c:noMultiLvlLbl val="0"/>
      </c:catAx>
      <c:valAx>
        <c:axId val="263608576"/>
        <c:scaling>
          <c:orientation val="minMax"/>
          <c:max val="120"/>
          <c:min val="6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1682067707638236"/>
          <c:y val="8.0276648587243427E-2"/>
          <c:w val="0.62800041520233696"/>
          <c:h val="6.2454569416446705E-2"/>
        </c:manualLayout>
      </c:layout>
      <c:overlay val="0"/>
      <c:txPr>
        <a:bodyPr/>
        <a:lstStyle/>
        <a:p>
          <a:pPr>
            <a:defRPr sz="1800" baseline="0">
              <a:solidFill>
                <a:srgbClr val="495057"/>
              </a:solidFill>
              <a:latin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9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4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5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6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7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8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9.bin"/></Relationships>
</file>

<file path=xl/chart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BBC4A8-349A-4DB2-96E2-C81BCB89099A}">
  <sheetPr codeName="Chart1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AD32BE-8C36-499E-B07D-513A5E6A679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1526A3-61FF-4556-9A00-8FFD217A8C00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0ADDC6-9079-4115-96CA-C32E9A47930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F5F815-8ED5-45E6-BE83-92FB881662DF}">
  <sheetPr codeName="Chart3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BD22FE-4BAA-4ABF-83B6-F3201B46A8AB}">
  <sheetPr codeName="Chart4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49C32A-100A-4BB2-BDF3-89A7C6875DD2}">
  <sheetPr codeName="Chart5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F63459-B144-4683-A97B-897859DFBD6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30F4CB-3984-43F8-8043-549C1196747D}">
  <sheetPr codeName="Chart6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3AF6D8-D7C7-4763-ABE7-C5D308B4847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708F5F-28CA-41B6-8168-DAD81B8DC95E}">
  <sheetPr codeName="Chart1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3045E3-F3DB-404A-B429-659D351B80BF}">
  <sheetPr codeName="Chart9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62E8BF-A88F-46CB-AA33-62075AB22B8F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89B3CF-B739-49CA-959C-1905A69088DE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1B587C-8BFE-48B8-847C-7C473D90F59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2E09A6-2F3A-4B0F-9283-75A8A57801CD}">
  <sheetPr codeName="Chart3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EF9DF1-9C6E-4F69-B7FF-36D038F3CDA4}">
  <sheetPr codeName="Chart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858BA6-B589-44BF-8132-7FAFDC8A4C38}">
  <sheetPr codeName="Chart2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47765A-CFB7-453B-89F5-0A2FEE935089}">
  <sheetPr codeName="Chart23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3D1FFA-5FDE-40A1-B30C-031393D460C2}">
  <sheetPr codeName="Chart24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135435-8F44-4725-9422-A824FFCA6608}">
  <sheetPr codeName="Chart25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88A596-F8B2-434B-8320-CDE31A7E1EFF}">
  <sheetPr codeName="Chart26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933E18-842F-4506-A1BC-CB24265B0D12}">
  <sheetPr codeName="Chart27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C9BBF2-4255-4D20-84C4-875734C07712}">
  <sheetPr codeName="Chart28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5331ED-30D3-4493-9D80-8C1D6E465DFF}">
  <sheetPr codeName="Chart29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C0F334-D9DF-4C25-B2E8-90F143415DB8}">
  <sheetPr codeName="Chart30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5855BE-8F32-4B15-93A0-4A299F9B3458}">
  <sheetPr codeName="Chart7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0ECD58-8222-4C3E-A0A3-1BFFAEFC9CC1}">
  <sheetPr codeName="Chart8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521D8-60DD-462F-3D09-03E06CBA89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DE251EA-7FE3-6C93-4534-F07169F5A79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 &amp; corporate gearing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092C20B-8C1F-B83E-5D1E-FF25ABBBF774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0.82896</cdr:x>
      <cdr:y>0.14536</cdr:y>
    </cdr:from>
    <cdr:to>
      <cdr:x>0.82896</cdr:x>
      <cdr:y>0.85636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BB9E4DB-9C3B-3F4E-114F-04E13D6280CD}"/>
            </a:ext>
          </a:extLst>
        </cdr:cNvPr>
        <cdr:cNvCxnSpPr/>
      </cdr:nvCxnSpPr>
      <cdr:spPr>
        <a:xfrm xmlns:a="http://schemas.openxmlformats.org/drawingml/2006/main">
          <a:off x="6987824" y="978877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0.82519</cdr:x>
      <cdr:y>0.20293</cdr:y>
    </cdr:from>
    <cdr:to>
      <cdr:x>0.97584</cdr:x>
      <cdr:y>0.28219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4E294BF-C3D1-8C38-4A33-14D2D16C8408}"/>
            </a:ext>
          </a:extLst>
        </cdr:cNvPr>
        <cdr:cNvSpPr txBox="1"/>
      </cdr:nvSpPr>
      <cdr:spPr>
        <a:xfrm xmlns:a="http://schemas.openxmlformats.org/drawingml/2006/main">
          <a:off x="6956049" y="1366598"/>
          <a:ext cx="1269923" cy="533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0.22712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5123614-54B7-7070-0FB1-4BAD06E607D8}"/>
            </a:ext>
          </a:extLst>
        </cdr:cNvPr>
        <cdr:cNvSpPr txBox="1"/>
      </cdr:nvSpPr>
      <cdr:spPr>
        <a:xfrm xmlns:a="http://schemas.openxmlformats.org/drawingml/2006/main">
          <a:off x="0" y="508363"/>
          <a:ext cx="1914525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 (4QMA)</a:t>
          </a:r>
        </a:p>
      </cdr:txBody>
    </cdr:sp>
  </cdr:relSizeAnchor>
  <cdr:relSizeAnchor xmlns:cdr="http://schemas.openxmlformats.org/drawingml/2006/chartDrawing">
    <cdr:from>
      <cdr:x>0.48814</cdr:x>
      <cdr:y>0.07697</cdr:y>
    </cdr:from>
    <cdr:to>
      <cdr:x>1</cdr:x>
      <cdr:y>0.12792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230C17A0-741D-B9DC-7393-0E2F0E50F767}"/>
            </a:ext>
          </a:extLst>
        </cdr:cNvPr>
        <cdr:cNvSpPr txBox="1"/>
      </cdr:nvSpPr>
      <cdr:spPr>
        <a:xfrm xmlns:a="http://schemas.openxmlformats.org/drawingml/2006/main">
          <a:off x="4114800" y="518329"/>
          <a:ext cx="4314825" cy="343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corporate profits, inverted (4QMA)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C68C7-AEAC-B66C-D057-FE336321DC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7FE9C9-D7CB-136B-960B-C6168C65FB2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85B0923-6A2C-817F-A737-A3399D8BC39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0.24405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2C17FB-7A74-D3C1-679C-5A36B826B4E4}"/>
            </a:ext>
          </a:extLst>
        </cdr:cNvPr>
        <cdr:cNvSpPr txBox="1"/>
      </cdr:nvSpPr>
      <cdr:spPr>
        <a:xfrm xmlns:a="http://schemas.openxmlformats.org/drawingml/2006/main">
          <a:off x="0" y="508034"/>
          <a:ext cx="2057400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Q4 2019=100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24364-597A-00DB-18D7-35FD095221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4930DB-F2F4-9FF7-2662-1814A33AA29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business investment since 2016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545BB72-707C-61AB-9F04-5E236F8EC4B1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0.07122</cdr:y>
    </cdr:from>
    <cdr:to>
      <cdr:x>1</cdr:x>
      <cdr:y>0.12215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BEBC716-6635-AD96-1F24-A9348F935DCA}"/>
            </a:ext>
          </a:extLst>
        </cdr:cNvPr>
        <cdr:cNvSpPr txBox="1"/>
      </cdr:nvSpPr>
      <cdr:spPr>
        <a:xfrm xmlns:a="http://schemas.openxmlformats.org/drawingml/2006/main">
          <a:off x="38102" y="479608"/>
          <a:ext cx="8391523" cy="3429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Contributions to % change in business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investment compared with 2016 average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0.57062</cdr:x>
      <cdr:y>0.1426</cdr:y>
    </cdr:from>
    <cdr:to>
      <cdr:x>0.90056</cdr:x>
      <cdr:y>0.19218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BF7DAD-9AE8-1CCE-A9FD-54403CBA6575}"/>
            </a:ext>
          </a:extLst>
        </cdr:cNvPr>
        <cdr:cNvSpPr txBox="1"/>
      </cdr:nvSpPr>
      <cdr:spPr>
        <a:xfrm xmlns:a="http://schemas.openxmlformats.org/drawingml/2006/main">
          <a:off x="4810144" y="960300"/>
          <a:ext cx="2781271" cy="333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Super deduction</a:t>
          </a:r>
        </a:p>
      </cdr:txBody>
    </cdr:sp>
  </cdr:relSizeAnchor>
  <cdr:relSizeAnchor xmlns:cdr="http://schemas.openxmlformats.org/drawingml/2006/chartDrawing">
    <cdr:from>
      <cdr:x>0.8418</cdr:x>
      <cdr:y>0.15717</cdr:y>
    </cdr:from>
    <cdr:to>
      <cdr:x>0.8418</cdr:x>
      <cdr:y>0.85214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81F18528-B085-72E2-56F1-F5A025552BF0}"/>
            </a:ext>
          </a:extLst>
        </cdr:cNvPr>
        <cdr:cNvCxnSpPr/>
      </cdr:nvCxnSpPr>
      <cdr:spPr>
        <a:xfrm xmlns:a="http://schemas.openxmlformats.org/drawingml/2006/main">
          <a:off x="7096031" y="1058438"/>
          <a:ext cx="0" cy="4680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0.62862</cdr:x>
      <cdr:y>0.15376</cdr:y>
    </cdr:from>
    <cdr:to>
      <cdr:x>0.62862</cdr:x>
      <cdr:y>0.84872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289B6783-58D2-EEBD-1D70-6640CE4DF251}"/>
            </a:ext>
          </a:extLst>
        </cdr:cNvPr>
        <cdr:cNvCxnSpPr/>
      </cdr:nvCxnSpPr>
      <cdr:spPr>
        <a:xfrm xmlns:a="http://schemas.openxmlformats.org/drawingml/2006/main">
          <a:off x="5299038" y="1035424"/>
          <a:ext cx="0" cy="4679982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6E9A2-FDD5-DD78-5D08-37E4AE65E7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13F423-3634-BCF6-CE52-40EB59F8E04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CBI surveys - constraints on investment (latest results)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97FAD994-F04C-AE6B-7494-1F2AD3D4DBA2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0.07407</cdr:y>
    </cdr:from>
    <cdr:to>
      <cdr:x>0.43839</cdr:x>
      <cdr:y>0.12502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D1A9382B-5E53-9076-67A3-BBDB2368717A}"/>
            </a:ext>
          </a:extLst>
        </cdr:cNvPr>
        <cdr:cNvSpPr txBox="1"/>
      </cdr:nvSpPr>
      <cdr:spPr>
        <a:xfrm xmlns:a="http://schemas.openxmlformats.org/drawingml/2006/main">
          <a:off x="38100" y="498475"/>
          <a:ext cx="36576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Z scores (2000-2023 average)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767CB-F7BE-4938-ACF4-02333BB9FE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AA7F2C3-00B7-49D2-9FD3-3EA52D97BBA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Private non-financial corporate deposits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A62447B-9DD1-4C40-A217-F1E5CE7238E3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0.00339</cdr:x>
      <cdr:y>0.07124</cdr:y>
    </cdr:from>
    <cdr:to>
      <cdr:x>0.12429</cdr:x>
      <cdr:y>0.12219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EA30E43-7354-41F7-BAE8-F7319D230B45}"/>
            </a:ext>
          </a:extLst>
        </cdr:cNvPr>
        <cdr:cNvSpPr txBox="1"/>
      </cdr:nvSpPr>
      <cdr:spPr>
        <a:xfrm xmlns:a="http://schemas.openxmlformats.org/drawingml/2006/main">
          <a:off x="28575" y="479425"/>
          <a:ext cx="10191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  <cdr:relSizeAnchor xmlns:cdr="http://schemas.openxmlformats.org/drawingml/2006/chartDrawing">
    <cdr:from>
      <cdr:x>0.90956</cdr:x>
      <cdr:y>0.33115</cdr:y>
    </cdr:from>
    <cdr:to>
      <cdr:x>0.90956</cdr:x>
      <cdr:y>0.40599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F1E76B4D-6809-44EC-BA92-195ABA84F078}"/>
            </a:ext>
          </a:extLst>
        </cdr:cNvPr>
        <cdr:cNvCxnSpPr/>
      </cdr:nvCxnSpPr>
      <cdr:spPr>
        <a:xfrm xmlns:a="http://schemas.openxmlformats.org/drawingml/2006/main">
          <a:off x="7667250" y="2230022"/>
          <a:ext cx="0" cy="504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headEnd type="triangle" w="lg" len="med"/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0.84634</cdr:x>
      <cdr:y>0.33404</cdr:y>
    </cdr:from>
    <cdr:to>
      <cdr:x>1</cdr:x>
      <cdr:y>0.39065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0BD5F2A-8E95-4F91-BDCE-75689A4D1FA1}"/>
            </a:ext>
          </a:extLst>
        </cdr:cNvPr>
        <cdr:cNvSpPr txBox="1"/>
      </cdr:nvSpPr>
      <cdr:spPr>
        <a:xfrm xmlns:a="http://schemas.openxmlformats.org/drawingml/2006/main">
          <a:off x="7134329" y="2249478"/>
          <a:ext cx="1295296" cy="38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£35bn</a:t>
          </a:r>
        </a:p>
      </cdr:txBody>
    </cdr:sp>
  </cdr:relSizeAnchor>
  <cdr:relSizeAnchor xmlns:cdr="http://schemas.openxmlformats.org/drawingml/2006/chartDrawing">
    <cdr:from>
      <cdr:x>0.63766</cdr:x>
      <cdr:y>0.35408</cdr:y>
    </cdr:from>
    <cdr:to>
      <cdr:x>0.79132</cdr:x>
      <cdr:y>0.41069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AE98C13-4D46-A6B1-4429-EC45D08FBDC5}"/>
            </a:ext>
          </a:extLst>
        </cdr:cNvPr>
        <cdr:cNvSpPr txBox="1"/>
      </cdr:nvSpPr>
      <cdr:spPr>
        <a:xfrm xmlns:a="http://schemas.openxmlformats.org/drawingml/2006/main">
          <a:off x="5375275" y="2384425"/>
          <a:ext cx="1295296" cy="38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£119bn</a:t>
          </a:r>
        </a:p>
      </cdr:txBody>
    </cdr:sp>
  </cdr:relSizeAnchor>
  <cdr:relSizeAnchor xmlns:cdr="http://schemas.openxmlformats.org/drawingml/2006/chartDrawing">
    <cdr:from>
      <cdr:x>0.68169</cdr:x>
      <cdr:y>0.27646</cdr:y>
    </cdr:from>
    <cdr:to>
      <cdr:x>0.68169</cdr:x>
      <cdr:y>0.49564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A0BD42D7-83A4-BC2D-183F-D568C1149E38}"/>
            </a:ext>
          </a:extLst>
        </cdr:cNvPr>
        <cdr:cNvCxnSpPr/>
      </cdr:nvCxnSpPr>
      <cdr:spPr>
        <a:xfrm xmlns:a="http://schemas.openxmlformats.org/drawingml/2006/main">
          <a:off x="5746375" y="1861722"/>
          <a:ext cx="0" cy="1476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headEnd type="triangle" w="lg" len="med"/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85D69-95A8-D30F-B4B3-38C8A0BFF3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E2AC8-A0BA-1901-47DA-3CB1645040A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average interest rate on outstanding loans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5101722-BB3F-771C-9E9A-748DB70450D3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0.00226</cdr:x>
      <cdr:y>0.13062</cdr:y>
    </cdr:from>
    <cdr:to>
      <cdr:x>0.76949</cdr:x>
      <cdr:y>0.18156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079E47F-990B-E1CD-C0F8-EAA29A4154C9}"/>
            </a:ext>
          </a:extLst>
        </cdr:cNvPr>
        <cdr:cNvSpPr txBox="1"/>
      </cdr:nvSpPr>
      <cdr:spPr>
        <a:xfrm xmlns:a="http://schemas.openxmlformats.org/drawingml/2006/main">
          <a:off x="19053" y="879628"/>
          <a:ext cx="6467461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 change since BoE started to increase Bank Rate </a:t>
          </a:r>
        </a:p>
      </cdr:txBody>
    </cdr:sp>
  </cdr:relSizeAnchor>
  <cdr:relSizeAnchor xmlns:cdr="http://schemas.openxmlformats.org/drawingml/2006/chartDrawing">
    <cdr:from>
      <cdr:x>0.07345</cdr:x>
      <cdr:y>0.21075</cdr:y>
    </cdr:from>
    <cdr:to>
      <cdr:x>0.61356</cdr:x>
      <cdr:y>0.27723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0BF0C64-85C2-65DA-4D1D-BD3482C47890}"/>
            </a:ext>
          </a:extLst>
        </cdr:cNvPr>
        <cdr:cNvSpPr txBox="1"/>
      </cdr:nvSpPr>
      <cdr:spPr>
        <a:xfrm xmlns:a="http://schemas.openxmlformats.org/drawingml/2006/main">
          <a:off x="619125" y="1419225"/>
          <a:ext cx="455295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Bank Rate increasing</a:t>
          </a:r>
        </a:p>
      </cdr:txBody>
    </cdr:sp>
  </cdr:relSizeAnchor>
  <cdr:relSizeAnchor xmlns:cdr="http://schemas.openxmlformats.org/drawingml/2006/chartDrawing">
    <cdr:from>
      <cdr:x>0.64896</cdr:x>
      <cdr:y>0.21122</cdr:y>
    </cdr:from>
    <cdr:to>
      <cdr:x>0.91337</cdr:x>
      <cdr:y>0.2777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36EEDDE-D39D-E49A-FAD1-72D834BB9B52}"/>
            </a:ext>
          </a:extLst>
        </cdr:cNvPr>
        <cdr:cNvSpPr txBox="1"/>
      </cdr:nvSpPr>
      <cdr:spPr>
        <a:xfrm xmlns:a="http://schemas.openxmlformats.org/drawingml/2006/main">
          <a:off x="5470525" y="1422400"/>
          <a:ext cx="222885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Bank Rate falling</a:t>
          </a:r>
        </a:p>
      </cdr:txBody>
    </cdr:sp>
  </cdr:relSizeAnchor>
  <cdr:relSizeAnchor xmlns:cdr="http://schemas.openxmlformats.org/drawingml/2006/chartDrawing">
    <cdr:from>
      <cdr:x>0.86554</cdr:x>
      <cdr:y>0.24187</cdr:y>
    </cdr:from>
    <cdr:to>
      <cdr:x>0.92106</cdr:x>
      <cdr:y>0.24187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37C2958C-BCC6-3A18-843B-7EC0F70BD8C8}"/>
            </a:ext>
          </a:extLst>
        </cdr:cNvPr>
        <cdr:cNvCxnSpPr/>
      </cdr:nvCxnSpPr>
      <cdr:spPr>
        <a:xfrm xmlns:a="http://schemas.openxmlformats.org/drawingml/2006/main" flipV="1">
          <a:off x="7296150" y="1628775"/>
          <a:ext cx="468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CBD22-D915-4BA7-9463-D46CE74E0B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5B04BB-C7C3-4028-9EC3-1C37445B994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Stock of outstanding loans (exc. overdrafts) to firms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9EDFCBD-9700-4847-9039-D5D98867F5FB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0.00565</cdr:x>
      <cdr:y>0.07124</cdr:y>
    </cdr:from>
    <cdr:to>
      <cdr:x>0.29151</cdr:x>
      <cdr:y>0.12219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B2B1692-A8AF-4C40-B080-9CF77BC7754E}"/>
            </a:ext>
          </a:extLst>
        </cdr:cNvPr>
        <cdr:cNvSpPr txBox="1"/>
      </cdr:nvSpPr>
      <cdr:spPr>
        <a:xfrm xmlns:a="http://schemas.openxmlformats.org/drawingml/2006/main">
          <a:off x="47625" y="479425"/>
          <a:ext cx="24098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February 2020=100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95BE0-3742-F1D4-BD28-6306EF44EF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C7F3F9-FEC9-7476-EBCE-8313BF25F36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BoE Credit Conditions Survey &amp; business investment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DB08DE4-EB95-8C6C-264D-AB498B0FCA93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0.84935</cdr:x>
      <cdr:y>0.06982</cdr:y>
    </cdr:from>
    <cdr:to>
      <cdr:x>1</cdr:x>
      <cdr:y>0.14908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3DF0363-0DF9-DEFB-9A37-39CE43C42607}"/>
            </a:ext>
          </a:extLst>
        </cdr:cNvPr>
        <cdr:cNvSpPr txBox="1"/>
      </cdr:nvSpPr>
      <cdr:spPr>
        <a:xfrm xmlns:a="http://schemas.openxmlformats.org/drawingml/2006/main">
          <a:off x="7160070" y="4699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0.00113</cdr:x>
      <cdr:y>0.06982</cdr:y>
    </cdr:from>
    <cdr:to>
      <cdr:x>0.45873</cdr:x>
      <cdr:y>0.12078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302F95-27A5-69D0-35A1-64061C26E266}"/>
            </a:ext>
          </a:extLst>
        </cdr:cNvPr>
        <cdr:cNvSpPr txBox="1"/>
      </cdr:nvSpPr>
      <cdr:spPr>
        <a:xfrm xmlns:a="http://schemas.openxmlformats.org/drawingml/2006/main">
          <a:off x="9525" y="469900"/>
          <a:ext cx="3857624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balance, advanced three months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85D56-141B-4E6E-BB01-65EABBE72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50BF17B-FF4C-4063-A3F3-7B8AA431C40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EB1348B-426B-4D78-9CEE-48F7E885ED48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0.00791</cdr:x>
      <cdr:y>0.06841</cdr:y>
    </cdr:from>
    <cdr:to>
      <cdr:x>0.58189</cdr:x>
      <cdr:y>0.11936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A6432D8-C0B3-4377-9AF1-1043A6718C8F}"/>
            </a:ext>
          </a:extLst>
        </cdr:cNvPr>
        <cdr:cNvSpPr txBox="1"/>
      </cdr:nvSpPr>
      <cdr:spPr>
        <a:xfrm xmlns:a="http://schemas.openxmlformats.org/drawingml/2006/main">
          <a:off x="66675" y="460375"/>
          <a:ext cx="48387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Z scores (2000-2023 average)</a:t>
          </a:r>
        </a:p>
      </cdr:txBody>
    </cdr:sp>
  </cdr:relSizeAnchor>
  <cdr:relSizeAnchor xmlns:cdr="http://schemas.openxmlformats.org/drawingml/2006/chartDrawing">
    <cdr:from>
      <cdr:x>0.42602</cdr:x>
      <cdr:y>0.07549</cdr:y>
    </cdr:from>
    <cdr:to>
      <cdr:x>1</cdr:x>
      <cdr:y>0.12644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709CE438-C9AC-471F-84D5-FD090D6B2038}"/>
            </a:ext>
          </a:extLst>
        </cdr:cNvPr>
        <cdr:cNvSpPr txBox="1"/>
      </cdr:nvSpPr>
      <cdr:spPr>
        <a:xfrm xmlns:a="http://schemas.openxmlformats.org/drawingml/2006/main">
          <a:off x="3591370" y="508000"/>
          <a:ext cx="48387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0.42712</cdr:x>
      <cdr:y>0.79966</cdr:y>
    </cdr:from>
    <cdr:to>
      <cdr:x>0.92989</cdr:x>
      <cdr:y>0.86194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A55A719-00C5-42EB-8258-3463F5755C78}"/>
            </a:ext>
          </a:extLst>
        </cdr:cNvPr>
        <cdr:cNvSpPr txBox="1"/>
      </cdr:nvSpPr>
      <cdr:spPr>
        <a:xfrm xmlns:a="http://schemas.openxmlformats.org/drawingml/2006/main">
          <a:off x="3600451" y="5385050"/>
          <a:ext cx="4238174" cy="4194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CBI, BCC &amp; BoE, advanced 6 months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67502-3E5E-589C-14AC-51483DC54D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904704B-C9A5-4DE2-9F43-0A1AC14D950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Business investment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A0046AD-B5D0-4081-A66A-45A3E05495D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0.00452</cdr:x>
      <cdr:y>0.07407</cdr:y>
    </cdr:from>
    <cdr:to>
      <cdr:x>0.29264</cdr:x>
      <cdr:y>0.12502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D0F743-C7BA-4A2A-A32A-DE9100918B9D}"/>
            </a:ext>
          </a:extLst>
        </cdr:cNvPr>
        <cdr:cNvSpPr txBox="1"/>
      </cdr:nvSpPr>
      <cdr:spPr>
        <a:xfrm xmlns:a="http://schemas.openxmlformats.org/drawingml/2006/main">
          <a:off x="38100" y="498475"/>
          <a:ext cx="24288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Q4 2019 = 100</a:t>
          </a:r>
        </a:p>
      </cdr:txBody>
    </cdr:sp>
  </cdr:relSizeAnchor>
  <cdr:relSizeAnchor xmlns:cdr="http://schemas.openxmlformats.org/drawingml/2006/chartDrawing">
    <cdr:from>
      <cdr:x>0.64633</cdr:x>
      <cdr:y>0.15983</cdr:y>
    </cdr:from>
    <cdr:to>
      <cdr:x>0.64633</cdr:x>
      <cdr:y>0.85997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D0FC1CC5-7178-73DE-18BE-3E4D3ABBC221}"/>
            </a:ext>
          </a:extLst>
        </cdr:cNvPr>
        <cdr:cNvCxnSpPr/>
      </cdr:nvCxnSpPr>
      <cdr:spPr>
        <a:xfrm xmlns:a="http://schemas.openxmlformats.org/drawingml/2006/main">
          <a:off x="5448300" y="1076325"/>
          <a:ext cx="0" cy="471487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0.70395</cdr:x>
      <cdr:y>0.74116</cdr:y>
    </cdr:from>
    <cdr:to>
      <cdr:x>0.90621</cdr:x>
      <cdr:y>0.8232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AD594A7-BC45-CB5C-FF20-87D999D49577}"/>
            </a:ext>
          </a:extLst>
        </cdr:cNvPr>
        <cdr:cNvSpPr txBox="1"/>
      </cdr:nvSpPr>
      <cdr:spPr>
        <a:xfrm xmlns:a="http://schemas.openxmlformats.org/drawingml/2006/main">
          <a:off x="5934075" y="4991100"/>
          <a:ext cx="1704975" cy="552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Forecast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E1CBB-BF60-9163-BA21-56178A5F4C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DE251EA-7FE3-6C93-4534-F07169F5A79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investment &amp; corporate gearing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092C20B-8C1F-B83E-5D1E-FF25ABBBF774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0.82896</cdr:x>
      <cdr:y>0.14536</cdr:y>
    </cdr:from>
    <cdr:to>
      <cdr:x>0.82896</cdr:x>
      <cdr:y>0.85636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2BB9E4DB-9C3B-3F4E-114F-04E13D6280CD}"/>
            </a:ext>
          </a:extLst>
        </cdr:cNvPr>
        <cdr:cNvCxnSpPr/>
      </cdr:nvCxnSpPr>
      <cdr:spPr>
        <a:xfrm xmlns:a="http://schemas.openxmlformats.org/drawingml/2006/main">
          <a:off x="6987824" y="978877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0.82519</cdr:x>
      <cdr:y>0.20293</cdr:y>
    </cdr:from>
    <cdr:to>
      <cdr:x>0.97584</cdr:x>
      <cdr:y>0.28219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4E294BF-C3D1-8C38-4A33-14D2D16C8408}"/>
            </a:ext>
          </a:extLst>
        </cdr:cNvPr>
        <cdr:cNvSpPr txBox="1"/>
      </cdr:nvSpPr>
      <cdr:spPr>
        <a:xfrm xmlns:a="http://schemas.openxmlformats.org/drawingml/2006/main">
          <a:off x="6956049" y="1366598"/>
          <a:ext cx="1269923" cy="533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0.14605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5123614-54B7-7070-0FB1-4BAD06E607D8}"/>
            </a:ext>
          </a:extLst>
        </cdr:cNvPr>
        <cdr:cNvSpPr txBox="1"/>
      </cdr:nvSpPr>
      <cdr:spPr>
        <a:xfrm xmlns:a="http://schemas.openxmlformats.org/drawingml/2006/main">
          <a:off x="0" y="508000"/>
          <a:ext cx="12312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0.66667</cdr:x>
      <cdr:y>0.07697</cdr:y>
    </cdr:from>
    <cdr:to>
      <cdr:x>1</cdr:x>
      <cdr:y>0.12792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230C17A0-741D-B9DC-7393-0E2F0E50F767}"/>
            </a:ext>
          </a:extLst>
        </cdr:cNvPr>
        <cdr:cNvSpPr txBox="1"/>
      </cdr:nvSpPr>
      <cdr:spPr>
        <a:xfrm xmlns:a="http://schemas.openxmlformats.org/drawingml/2006/main">
          <a:off x="5619750" y="518331"/>
          <a:ext cx="2809875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corporate profits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CD406-67FA-70FB-78AD-9228058E3F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41EE10C-C160-A97E-7DFF-A35001F4681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Non-residential capital stock per hour worked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AA2FA81-52AE-A4C6-AEBB-CF2EEE91B445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0.07124</cdr:y>
    </cdr:from>
    <cdr:to>
      <cdr:x>0.29943</cdr:x>
      <cdr:y>0.12219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9E41E3C-08D8-946A-96A3-735B18E901C0}"/>
            </a:ext>
          </a:extLst>
        </cdr:cNvPr>
        <cdr:cNvSpPr txBox="1"/>
      </cdr:nvSpPr>
      <cdr:spPr>
        <a:xfrm xmlns:a="http://schemas.openxmlformats.org/drawingml/2006/main">
          <a:off x="38101" y="479743"/>
          <a:ext cx="2486023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£000s, 2022 prices</a:t>
          </a:r>
        </a:p>
      </cdr:txBody>
    </cdr:sp>
  </cdr:relSizeAnchor>
  <cdr:relSizeAnchor xmlns:cdr="http://schemas.openxmlformats.org/drawingml/2006/chartDrawing">
    <cdr:from>
      <cdr:x>0.7808</cdr:x>
      <cdr:y>0.24061</cdr:y>
    </cdr:from>
    <cdr:to>
      <cdr:x>1</cdr:x>
      <cdr:y>0.31138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BDFFA1B-88BD-791F-4655-B0CC80B15585}"/>
            </a:ext>
          </a:extLst>
        </cdr:cNvPr>
        <cdr:cNvSpPr txBox="1"/>
      </cdr:nvSpPr>
      <cdr:spPr>
        <a:xfrm xmlns:a="http://schemas.openxmlformats.org/drawingml/2006/main">
          <a:off x="6581851" y="1620299"/>
          <a:ext cx="1847774" cy="476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23%</a:t>
          </a:r>
        </a:p>
      </cdr:txBody>
    </cdr:sp>
  </cdr:relSizeAnchor>
  <cdr:relSizeAnchor xmlns:cdr="http://schemas.openxmlformats.org/drawingml/2006/chartDrawing">
    <cdr:from>
      <cdr:x>0.92876</cdr:x>
      <cdr:y>0.20663</cdr:y>
    </cdr:from>
    <cdr:to>
      <cdr:x>0.92876</cdr:x>
      <cdr:y>0.35097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28729715-9087-D1E3-2EE0-1C4167C32BD2}"/>
            </a:ext>
          </a:extLst>
        </cdr:cNvPr>
        <cdr:cNvCxnSpPr/>
      </cdr:nvCxnSpPr>
      <cdr:spPr>
        <a:xfrm xmlns:a="http://schemas.openxmlformats.org/drawingml/2006/main">
          <a:off x="7829099" y="1391464"/>
          <a:ext cx="0" cy="97201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headEnd type="triangle" w="lg" len="med"/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51432-8FA0-22F8-7CEF-052BAE845D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7FE9C9-D7CB-136B-960B-C6168C65FB2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85B0923-6A2C-817F-A737-A3399D8BC39D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0.17082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2C17FB-7A74-D3C1-679C-5A36B826B4E4}"/>
            </a:ext>
          </a:extLst>
        </cdr:cNvPr>
        <cdr:cNvSpPr txBox="1"/>
      </cdr:nvSpPr>
      <cdr:spPr>
        <a:xfrm xmlns:a="http://schemas.openxmlformats.org/drawingml/2006/main">
          <a:off x="0" y="508000"/>
          <a:ext cx="144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2022=100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217F0-E87C-EA67-3726-2D1D71DC87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4930DB-F2F4-9FF7-2662-1814A33AA29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business investment since Q4 2019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545BB72-707C-61AB-9F04-5E236F8EC4B1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0.07122</cdr:y>
    </cdr:from>
    <cdr:to>
      <cdr:x>0.17062</cdr:x>
      <cdr:y>0.12215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BEBC716-6635-AD96-1F24-A9348F935DCA}"/>
            </a:ext>
          </a:extLst>
        </cdr:cNvPr>
        <cdr:cNvSpPr txBox="1"/>
      </cdr:nvSpPr>
      <cdr:spPr>
        <a:xfrm xmlns:a="http://schemas.openxmlformats.org/drawingml/2006/main">
          <a:off x="38102" y="479608"/>
          <a:ext cx="1400173" cy="3429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change</a:t>
          </a:r>
        </a:p>
      </cdr:txBody>
    </cdr:sp>
  </cdr:relSizeAnchor>
  <cdr:relSizeAnchor xmlns:cdr="http://schemas.openxmlformats.org/drawingml/2006/chartDrawing">
    <cdr:from>
      <cdr:x>0.4452</cdr:x>
      <cdr:y>0.1327</cdr:y>
    </cdr:from>
    <cdr:to>
      <cdr:x>0.77514</cdr:x>
      <cdr:y>0.18228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BF7DAD-9AE8-1CCE-A9FD-54403CBA6575}"/>
            </a:ext>
          </a:extLst>
        </cdr:cNvPr>
        <cdr:cNvSpPr txBox="1"/>
      </cdr:nvSpPr>
      <cdr:spPr>
        <a:xfrm xmlns:a="http://schemas.openxmlformats.org/drawingml/2006/main">
          <a:off x="3752850" y="893652"/>
          <a:ext cx="2781300" cy="333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Super deduction</a:t>
          </a:r>
        </a:p>
      </cdr:txBody>
    </cdr:sp>
  </cdr:relSizeAnchor>
  <cdr:relSizeAnchor xmlns:cdr="http://schemas.openxmlformats.org/drawingml/2006/chartDrawing">
    <cdr:from>
      <cdr:x>0.77626</cdr:x>
      <cdr:y>0.14303</cdr:y>
    </cdr:from>
    <cdr:to>
      <cdr:x>0.77626</cdr:x>
      <cdr:y>0.57605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81F18528-B085-72E2-56F1-F5A025552BF0}"/>
            </a:ext>
          </a:extLst>
        </cdr:cNvPr>
        <cdr:cNvCxnSpPr/>
      </cdr:nvCxnSpPr>
      <cdr:spPr>
        <a:xfrm xmlns:a="http://schemas.openxmlformats.org/drawingml/2006/main">
          <a:off x="6543615" y="963210"/>
          <a:ext cx="0" cy="2916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0.44444</cdr:x>
      <cdr:y>0.14527</cdr:y>
    </cdr:from>
    <cdr:to>
      <cdr:x>0.44444</cdr:x>
      <cdr:y>0.84023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289B6783-58D2-EEBD-1D70-6640CE4DF251}"/>
            </a:ext>
          </a:extLst>
        </cdr:cNvPr>
        <cdr:cNvCxnSpPr/>
      </cdr:nvCxnSpPr>
      <cdr:spPr>
        <a:xfrm xmlns:a="http://schemas.openxmlformats.org/drawingml/2006/main">
          <a:off x="3746495" y="978246"/>
          <a:ext cx="0" cy="4680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0.71525</cdr:x>
      <cdr:y>0.16668</cdr:y>
    </cdr:from>
    <cdr:to>
      <cdr:x>0.77077</cdr:x>
      <cdr:y>0.16668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D2340D34-4025-43BD-1362-61D4DE4A029E}"/>
            </a:ext>
          </a:extLst>
        </cdr:cNvPr>
        <cdr:cNvCxnSpPr/>
      </cdr:nvCxnSpPr>
      <cdr:spPr>
        <a:xfrm xmlns:a="http://schemas.openxmlformats.org/drawingml/2006/main">
          <a:off x="6029282" y="1122464"/>
          <a:ext cx="468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0.44698</cdr:x>
      <cdr:y>0.1667</cdr:y>
    </cdr:from>
    <cdr:to>
      <cdr:x>0.5025</cdr:x>
      <cdr:y>0.1667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6CBB518-015C-0F2A-AC7B-7B1A69A83931}"/>
            </a:ext>
          </a:extLst>
        </cdr:cNvPr>
        <cdr:cNvCxnSpPr/>
      </cdr:nvCxnSpPr>
      <cdr:spPr>
        <a:xfrm xmlns:a="http://schemas.openxmlformats.org/drawingml/2006/main" flipH="1">
          <a:off x="3767907" y="1122568"/>
          <a:ext cx="468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C3500-4A83-3755-5EDF-210A53AF18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B442643-AF29-B678-5F1E-3A2604EFC8A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business investment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since Q4 2019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18EFDC6-95FC-9004-9F88-9182C58C62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1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899945F-1BDA-F04E-DE2A-C4CEA1F61A55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change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B177A-8CE9-02B4-AF51-43FAEAB955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4930DB-F2F4-9FF7-2662-1814A33AA29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 business investment since Q1 2021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545BB72-707C-61AB-9F04-5E236F8EC4B1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0.07122</cdr:y>
    </cdr:from>
    <cdr:to>
      <cdr:x>0.17062</cdr:x>
      <cdr:y>0.12215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BEBC716-6635-AD96-1F24-A9348F935DCA}"/>
            </a:ext>
          </a:extLst>
        </cdr:cNvPr>
        <cdr:cNvSpPr txBox="1"/>
      </cdr:nvSpPr>
      <cdr:spPr>
        <a:xfrm xmlns:a="http://schemas.openxmlformats.org/drawingml/2006/main">
          <a:off x="38102" y="479608"/>
          <a:ext cx="1400173" cy="3429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change</a:t>
          </a:r>
        </a:p>
      </cdr:txBody>
    </cdr:sp>
  </cdr:relSizeAnchor>
  <cdr:relSizeAnchor xmlns:cdr="http://schemas.openxmlformats.org/drawingml/2006/chartDrawing">
    <cdr:from>
      <cdr:x>0.12316</cdr:x>
      <cdr:y>0.82153</cdr:y>
    </cdr:from>
    <cdr:to>
      <cdr:x>0.65537</cdr:x>
      <cdr:y>0.87111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BF7DAD-9AE8-1CCE-A9FD-54403CBA6575}"/>
            </a:ext>
          </a:extLst>
        </cdr:cNvPr>
        <cdr:cNvSpPr txBox="1"/>
      </cdr:nvSpPr>
      <cdr:spPr>
        <a:xfrm xmlns:a="http://schemas.openxmlformats.org/drawingml/2006/main">
          <a:off x="1038226" y="5532297"/>
          <a:ext cx="4486274" cy="333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Super deduction</a:t>
          </a:r>
        </a:p>
      </cdr:txBody>
    </cdr:sp>
  </cdr:relSizeAnchor>
  <cdr:relSizeAnchor xmlns:cdr="http://schemas.openxmlformats.org/drawingml/2006/chartDrawing">
    <cdr:from>
      <cdr:x>0.65649</cdr:x>
      <cdr:y>0.12606</cdr:y>
    </cdr:from>
    <cdr:to>
      <cdr:x>0.65649</cdr:x>
      <cdr:y>0.85948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81F18528-B085-72E2-56F1-F5A025552BF0}"/>
            </a:ext>
          </a:extLst>
        </cdr:cNvPr>
        <cdr:cNvCxnSpPr/>
      </cdr:nvCxnSpPr>
      <cdr:spPr>
        <a:xfrm xmlns:a="http://schemas.openxmlformats.org/drawingml/2006/main">
          <a:off x="5533971" y="848895"/>
          <a:ext cx="0" cy="4938978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0.12241</cdr:x>
      <cdr:y>0.37016</cdr:y>
    </cdr:from>
    <cdr:to>
      <cdr:x>0.12241</cdr:x>
      <cdr:y>0.85732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289B6783-58D2-EEBD-1D70-6640CE4DF251}"/>
            </a:ext>
          </a:extLst>
        </cdr:cNvPr>
        <cdr:cNvCxnSpPr/>
      </cdr:nvCxnSpPr>
      <cdr:spPr>
        <a:xfrm xmlns:a="http://schemas.openxmlformats.org/drawingml/2006/main">
          <a:off x="1031881" y="2492722"/>
          <a:ext cx="0" cy="328062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0.49717</cdr:x>
      <cdr:y>0.84985</cdr:y>
    </cdr:from>
    <cdr:to>
      <cdr:x>0.64664</cdr:x>
      <cdr:y>0.84985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D2340D34-4025-43BD-1362-61D4DE4A029E}"/>
            </a:ext>
          </a:extLst>
        </cdr:cNvPr>
        <cdr:cNvCxnSpPr/>
      </cdr:nvCxnSpPr>
      <cdr:spPr>
        <a:xfrm xmlns:a="http://schemas.openxmlformats.org/drawingml/2006/main">
          <a:off x="4190964" y="5723054"/>
          <a:ext cx="1259976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0.12608</cdr:x>
      <cdr:y>0.85128</cdr:y>
    </cdr:from>
    <cdr:to>
      <cdr:x>0.27555</cdr:x>
      <cdr:y>0.85128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6CBB518-015C-0F2A-AC7B-7B1A69A83931}"/>
            </a:ext>
          </a:extLst>
        </cdr:cNvPr>
        <cdr:cNvCxnSpPr/>
      </cdr:nvCxnSpPr>
      <cdr:spPr>
        <a:xfrm xmlns:a="http://schemas.openxmlformats.org/drawingml/2006/main" flipH="1">
          <a:off x="1062817" y="5732646"/>
          <a:ext cx="1259976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498B6-807B-41F4-9D95-94C94EEABF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904704B-C9A5-4DE2-9F43-0A1AC14D9509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Business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investment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A0046AD-B5D0-4081-A66A-45A3E05495D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0.07407</cdr:y>
    </cdr:from>
    <cdr:to>
      <cdr:x>0.29264</cdr:x>
      <cdr:y>0.12502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D0F743-C7BA-4A2A-A32A-DE9100918B9D}"/>
            </a:ext>
          </a:extLst>
        </cdr:cNvPr>
        <cdr:cNvSpPr txBox="1"/>
      </cdr:nvSpPr>
      <cdr:spPr>
        <a:xfrm xmlns:a="http://schemas.openxmlformats.org/drawingml/2006/main">
          <a:off x="38100" y="498475"/>
          <a:ext cx="24288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Q4 2019 = 100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BDBF4-BCC2-4EF7-BE8B-EDD9B429DF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56D281-B8B1-4D5D-8B70-C54DE3F305B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Investment relative to pre-pandemic level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FAB1F4D-FEB3-4FDB-833D-39A0B5772D0B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0.40789</cdr:x>
      <cdr:y>0.12361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3B5CA7-BA45-413E-850E-81EFA2B8452B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34004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 difference from Q4 2019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246F6-4984-8CEC-B57B-B06A6B8A92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04930DB-F2F4-9FF7-2662-1814A33AA29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 business investment since Q1 2021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545BB72-707C-61AB-9F04-5E236F8EC4B1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0.07122</cdr:y>
    </cdr:from>
    <cdr:to>
      <cdr:x>0.13898</cdr:x>
      <cdr:y>0.12215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BEBC716-6635-AD96-1F24-A9348F935DCA}"/>
            </a:ext>
          </a:extLst>
        </cdr:cNvPr>
        <cdr:cNvSpPr txBox="1"/>
      </cdr:nvSpPr>
      <cdr:spPr>
        <a:xfrm xmlns:a="http://schemas.openxmlformats.org/drawingml/2006/main">
          <a:off x="38100" y="478900"/>
          <a:ext cx="113347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  <cdr:relSizeAnchor xmlns:cdr="http://schemas.openxmlformats.org/drawingml/2006/chartDrawing">
    <cdr:from>
      <cdr:x>0.14689</cdr:x>
      <cdr:y>0.82011</cdr:y>
    </cdr:from>
    <cdr:to>
      <cdr:x>0.81243</cdr:x>
      <cdr:y>0.86969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BF7DAD-9AE8-1CCE-A9FD-54403CBA6575}"/>
            </a:ext>
          </a:extLst>
        </cdr:cNvPr>
        <cdr:cNvSpPr txBox="1"/>
      </cdr:nvSpPr>
      <cdr:spPr>
        <a:xfrm xmlns:a="http://schemas.openxmlformats.org/drawingml/2006/main">
          <a:off x="1238249" y="5514975"/>
          <a:ext cx="561022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Super deduction</a:t>
          </a:r>
        </a:p>
      </cdr:txBody>
    </cdr:sp>
  </cdr:relSizeAnchor>
  <cdr:relSizeAnchor xmlns:cdr="http://schemas.openxmlformats.org/drawingml/2006/chartDrawing">
    <cdr:from>
      <cdr:x>0.81469</cdr:x>
      <cdr:y>0.12465</cdr:y>
    </cdr:from>
    <cdr:to>
      <cdr:x>0.81469</cdr:x>
      <cdr:y>0.85807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81F18528-B085-72E2-56F1-F5A025552BF0}"/>
            </a:ext>
          </a:extLst>
        </cdr:cNvPr>
        <cdr:cNvCxnSpPr/>
      </cdr:nvCxnSpPr>
      <cdr:spPr>
        <a:xfrm xmlns:a="http://schemas.openxmlformats.org/drawingml/2006/main">
          <a:off x="6867525" y="838199"/>
          <a:ext cx="0" cy="4932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0.14727</cdr:x>
      <cdr:y>0.37016</cdr:y>
    </cdr:from>
    <cdr:to>
      <cdr:x>0.14727</cdr:x>
      <cdr:y>0.85732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289B6783-58D2-EEBD-1D70-6640CE4DF251}"/>
            </a:ext>
          </a:extLst>
        </cdr:cNvPr>
        <cdr:cNvCxnSpPr/>
      </cdr:nvCxnSpPr>
      <cdr:spPr>
        <a:xfrm xmlns:a="http://schemas.openxmlformats.org/drawingml/2006/main">
          <a:off x="1241425" y="2489199"/>
          <a:ext cx="0" cy="3276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495057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</cdr:x>
      <cdr:y>0.85127</cdr:y>
    </cdr:from>
    <cdr:to>
      <cdr:x>0.80499</cdr:x>
      <cdr:y>0.85127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D2340D34-4025-43BD-1362-61D4DE4A029E}"/>
            </a:ext>
          </a:extLst>
        </cdr:cNvPr>
        <cdr:cNvCxnSpPr/>
      </cdr:nvCxnSpPr>
      <cdr:spPr>
        <a:xfrm xmlns:a="http://schemas.openxmlformats.org/drawingml/2006/main">
          <a:off x="5057775" y="5724525"/>
          <a:ext cx="1728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0.15546</cdr:x>
      <cdr:y>0.85269</cdr:y>
    </cdr:from>
    <cdr:to>
      <cdr:x>0.36045</cdr:x>
      <cdr:y>0.85269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6CBB518-015C-0F2A-AC7B-7B1A69A83931}"/>
            </a:ext>
          </a:extLst>
        </cdr:cNvPr>
        <cdr:cNvCxnSpPr/>
      </cdr:nvCxnSpPr>
      <cdr:spPr>
        <a:xfrm xmlns:a="http://schemas.openxmlformats.org/drawingml/2006/main" flipH="1">
          <a:off x="1310475" y="5734050"/>
          <a:ext cx="17280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F7BB1-AA54-54A5-D744-2263D4FA6A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BC3720-5B12-39DE-4473-54B8D668675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investment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0E2AB54-77CC-187C-1143-7F5CE8BCFA87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0.35817</cdr:x>
      <cdr:y>0.21277</cdr:y>
    </cdr:from>
    <cdr:to>
      <cdr:x>0.59507</cdr:x>
      <cdr:y>0.29203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737728B-4A96-0431-2851-44489B3420E7}"/>
            </a:ext>
          </a:extLst>
        </cdr:cNvPr>
        <cdr:cNvSpPr txBox="1"/>
      </cdr:nvSpPr>
      <cdr:spPr>
        <a:xfrm xmlns:a="http://schemas.openxmlformats.org/drawingml/2006/main">
          <a:off x="3019425" y="1431925"/>
          <a:ext cx="199707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Super-deduction</a:t>
          </a:r>
        </a:p>
        <a:p xmlns:a="http://schemas.openxmlformats.org/drawingml/2006/main"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0.00452</cdr:x>
      <cdr:y>0.06982</cdr:y>
    </cdr:from>
    <cdr:to>
      <cdr:x>0.24744</cdr:x>
      <cdr:y>0.12078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5AE458F-57B4-6AC0-497D-ADFAC137B157}"/>
            </a:ext>
          </a:extLst>
        </cdr:cNvPr>
        <cdr:cNvSpPr txBox="1"/>
      </cdr:nvSpPr>
      <cdr:spPr>
        <a:xfrm xmlns:a="http://schemas.openxmlformats.org/drawingml/2006/main">
          <a:off x="38100" y="469900"/>
          <a:ext cx="20478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Q1 2021=100</a:t>
          </a:r>
        </a:p>
      </cdr:txBody>
    </cdr:sp>
  </cdr:relSizeAnchor>
  <cdr:relSizeAnchor xmlns:cdr="http://schemas.openxmlformats.org/drawingml/2006/chartDrawing">
    <cdr:from>
      <cdr:x>0.5785</cdr:x>
      <cdr:y>0.24627</cdr:y>
    </cdr:from>
    <cdr:to>
      <cdr:x>0.64629</cdr:x>
      <cdr:y>0.24627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44D467CE-4075-FF93-5A89-77F5D091B8B7}"/>
            </a:ext>
          </a:extLst>
        </cdr:cNvPr>
        <cdr:cNvCxnSpPr/>
      </cdr:nvCxnSpPr>
      <cdr:spPr>
        <a:xfrm xmlns:a="http://schemas.openxmlformats.org/drawingml/2006/main">
          <a:off x="4876800" y="1657350"/>
          <a:ext cx="57150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979FB-7613-417A-B2DC-83AE694838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E7A9D5-6162-4B7D-B2F4-4DD679A01CF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 relative to pre-pandemic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level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045BE4B-A7A9-4129-A9C8-950E6D66FEED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0.00339</cdr:x>
      <cdr:y>0.06841</cdr:y>
    </cdr:from>
    <cdr:to>
      <cdr:x>0.41356</cdr:x>
      <cdr:y>0.11936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7D87375-1065-487F-971C-83857B0437BD}"/>
            </a:ext>
          </a:extLst>
        </cdr:cNvPr>
        <cdr:cNvSpPr txBox="1"/>
      </cdr:nvSpPr>
      <cdr:spPr>
        <a:xfrm xmlns:a="http://schemas.openxmlformats.org/drawingml/2006/main">
          <a:off x="28576" y="460685"/>
          <a:ext cx="3457574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 difference from Q4 2019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7A4F3-CC3D-4011-BE8B-761D2961E0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F199F3-4D59-4D3B-A215-54FA5032BC7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investment by industry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1B1B783-92AF-420C-9866-DBCD6B1161B4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0.07124</cdr:y>
    </cdr:from>
    <cdr:to>
      <cdr:x>0.27004</cdr:x>
      <cdr:y>0.12219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8F5BD9B-3021-4E1D-895D-57831485100C}"/>
            </a:ext>
          </a:extLst>
        </cdr:cNvPr>
        <cdr:cNvSpPr txBox="1"/>
      </cdr:nvSpPr>
      <cdr:spPr>
        <a:xfrm xmlns:a="http://schemas.openxmlformats.org/drawingml/2006/main">
          <a:off x="38100" y="479425"/>
          <a:ext cx="22383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Q4 2019 = 100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40632-30B9-48ED-80BA-E169EF7973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E7A9D5-6162-4B7D-B2F4-4DD679A01CF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 relative to pre-pandemic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level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045BE4B-A7A9-4129-A9C8-950E6D66FEED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0.00339</cdr:x>
      <cdr:y>0.06841</cdr:y>
    </cdr:from>
    <cdr:to>
      <cdr:x>0.37738</cdr:x>
      <cdr:y>0.11936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7D87375-1065-487F-971C-83857B0437BD}"/>
            </a:ext>
          </a:extLst>
        </cdr:cNvPr>
        <cdr:cNvSpPr txBox="1"/>
      </cdr:nvSpPr>
      <cdr:spPr>
        <a:xfrm xmlns:a="http://schemas.openxmlformats.org/drawingml/2006/main">
          <a:off x="28575" y="460375"/>
          <a:ext cx="31527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 difference from Q4 2019</a:t>
          </a: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C4DAF-EF5A-493E-9A00-BD32CA6331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CFE214-303D-4976-96B4-7C85A79D4BC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 by industry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D58BADE-3C30-4F92-ACDC-683ACA67503E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0.00339</cdr:x>
      <cdr:y>0.07124</cdr:y>
    </cdr:from>
    <cdr:to>
      <cdr:x>0.28699</cdr:x>
      <cdr:y>0.12219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8570F6D-1ED1-4A2E-8DB5-497220C11559}"/>
            </a:ext>
          </a:extLst>
        </cdr:cNvPr>
        <cdr:cNvSpPr txBox="1"/>
      </cdr:nvSpPr>
      <cdr:spPr>
        <a:xfrm xmlns:a="http://schemas.openxmlformats.org/drawingml/2006/main">
          <a:off x="28575" y="479425"/>
          <a:ext cx="23907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£bn, 2019 prices</a:t>
          </a: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11B8C-7B24-47C5-908E-8B9CCE1DE9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F199F3-4D59-4D3B-A215-54FA5032BC7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investment by asset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1B1B783-92AF-420C-9866-DBCD6B1161B4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0.00452</cdr:x>
      <cdr:y>0.07124</cdr:y>
    </cdr:from>
    <cdr:to>
      <cdr:x>0.27004</cdr:x>
      <cdr:y>0.12219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8F5BD9B-3021-4E1D-895D-57831485100C}"/>
            </a:ext>
          </a:extLst>
        </cdr:cNvPr>
        <cdr:cNvSpPr txBox="1"/>
      </cdr:nvSpPr>
      <cdr:spPr>
        <a:xfrm xmlns:a="http://schemas.openxmlformats.org/drawingml/2006/main">
          <a:off x="38100" y="479425"/>
          <a:ext cx="22383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Q4 2019 = 100</a:t>
          </a: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29B91-2727-6928-E034-CEDAEB6B87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CE2AC8-A0BA-1901-47DA-3CB1645040A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Average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interest rate on outstanding loans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5101722-BB3F-771C-9E9A-748DB70450D3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0.00678</cdr:x>
      <cdr:y>0.07263</cdr:y>
    </cdr:from>
    <cdr:to>
      <cdr:x>0.10734</cdr:x>
      <cdr:y>0.12357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079E47F-990B-E1CD-C0F8-EAA29A4154C9}"/>
            </a:ext>
          </a:extLst>
        </cdr:cNvPr>
        <cdr:cNvSpPr txBox="1"/>
      </cdr:nvSpPr>
      <cdr:spPr>
        <a:xfrm xmlns:a="http://schemas.openxmlformats.org/drawingml/2006/main">
          <a:off x="57150" y="488425"/>
          <a:ext cx="8477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4C4DF-2858-4089-84FD-F4E41E42FC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73216BF-D5E9-4276-8427-E0C895CD9F2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Changes in investment and debt by sector</a:t>
          </a:r>
        </a:p>
      </cdr:txBody>
    </cdr:sp>
  </cdr:relSizeAnchor>
  <cdr:relSizeAnchor xmlns:cdr="http://schemas.openxmlformats.org/drawingml/2006/chartDrawing">
    <cdr:from>
      <cdr:x>0.00678</cdr:x>
      <cdr:y>0.06985</cdr:y>
    </cdr:from>
    <cdr:to>
      <cdr:x>0.58415</cdr:x>
      <cdr:y>0.12082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18A7355-C206-479D-BFBA-E7B389AC0D76}"/>
            </a:ext>
          </a:extLst>
        </cdr:cNvPr>
        <cdr:cNvSpPr txBox="1"/>
      </cdr:nvSpPr>
      <cdr:spPr>
        <a:xfrm xmlns:a="http://schemas.openxmlformats.org/drawingml/2006/main">
          <a:off x="57150" y="470068"/>
          <a:ext cx="4867275" cy="34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Change in investment, Q4 2019 - Q2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2024, %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</cdr:x>
      <cdr:y>0.93711</cdr:y>
    </cdr:from>
    <cdr:to>
      <cdr:x>0.95602</cdr:x>
      <cdr:y>1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06C2DC33-134F-48DA-8BB0-0F33272CBDE6}"/>
            </a:ext>
          </a:extLst>
        </cdr:cNvPr>
        <cdr:cNvSpPr/>
      </cdr:nvSpPr>
      <cdr:spPr>
        <a:xfrm xmlns:a="http://schemas.openxmlformats.org/drawingml/2006/main">
          <a:off x="0" y="6306565"/>
          <a:ext cx="8059303" cy="4232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0.03164</cdr:x>
      <cdr:y>0.88506</cdr:y>
    </cdr:from>
    <cdr:to>
      <cdr:x>1</cdr:x>
      <cdr:y>0.93603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4A966566-5482-4003-9C5A-3F629FF91062}"/>
            </a:ext>
          </a:extLst>
        </cdr:cNvPr>
        <cdr:cNvSpPr txBox="1"/>
      </cdr:nvSpPr>
      <cdr:spPr>
        <a:xfrm xmlns:a="http://schemas.openxmlformats.org/drawingml/2006/main">
          <a:off x="266700" y="5956300"/>
          <a:ext cx="8163370" cy="34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Change in stock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outstanding loans (exc overdrafts)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, Q4 2019 - Q2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2024, %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0.05172</cdr:x>
      <cdr:y>0.20847</cdr:y>
    </cdr:from>
    <cdr:to>
      <cdr:x>0.25308</cdr:x>
      <cdr:y>0.27922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A96217E-0C71-4B24-92D9-1E544784F11E}"/>
            </a:ext>
          </a:extLst>
        </cdr:cNvPr>
        <cdr:cNvSpPr txBox="1"/>
      </cdr:nvSpPr>
      <cdr:spPr>
        <a:xfrm xmlns:a="http://schemas.openxmlformats.org/drawingml/2006/main">
          <a:off x="435978" y="1403882"/>
          <a:ext cx="1697389" cy="4764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Manufacturing</a:t>
          </a:r>
        </a:p>
      </cdr:txBody>
    </cdr:sp>
  </cdr:relSizeAnchor>
  <cdr:relSizeAnchor xmlns:cdr="http://schemas.openxmlformats.org/drawingml/2006/chartDrawing">
    <cdr:from>
      <cdr:x>0.79864</cdr:x>
      <cdr:y>0.24361</cdr:y>
    </cdr:from>
    <cdr:to>
      <cdr:x>1</cdr:x>
      <cdr:y>0.31436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B6B24CE-183A-444A-87DF-1AD758576DA3}"/>
            </a:ext>
          </a:extLst>
        </cdr:cNvPr>
        <cdr:cNvSpPr txBox="1"/>
      </cdr:nvSpPr>
      <cdr:spPr>
        <a:xfrm xmlns:a="http://schemas.openxmlformats.org/drawingml/2006/main">
          <a:off x="6732236" y="1640517"/>
          <a:ext cx="1697389" cy="4764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Utilities</a:t>
          </a:r>
        </a:p>
      </cdr:txBody>
    </cdr:sp>
  </cdr:relSizeAnchor>
  <cdr:relSizeAnchor xmlns:cdr="http://schemas.openxmlformats.org/drawingml/2006/chartDrawing">
    <cdr:from>
      <cdr:x>0.23886</cdr:x>
      <cdr:y>0.66745</cdr:y>
    </cdr:from>
    <cdr:to>
      <cdr:x>0.44021</cdr:x>
      <cdr:y>0.78726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5DCE9A6-8314-4CC1-866C-415E0BF5C69D}"/>
            </a:ext>
          </a:extLst>
        </cdr:cNvPr>
        <cdr:cNvSpPr txBox="1"/>
      </cdr:nvSpPr>
      <cdr:spPr>
        <a:xfrm xmlns:a="http://schemas.openxmlformats.org/drawingml/2006/main">
          <a:off x="2013507" y="4494740"/>
          <a:ext cx="1697305" cy="8068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Distribution</a:t>
          </a:r>
        </a:p>
      </cdr:txBody>
    </cdr:sp>
  </cdr:relSizeAnchor>
  <cdr:relSizeAnchor xmlns:cdr="http://schemas.openxmlformats.org/drawingml/2006/chartDrawing">
    <cdr:from>
      <cdr:x>0.34688</cdr:x>
      <cdr:y>0.41324</cdr:y>
    </cdr:from>
    <cdr:to>
      <cdr:x>0.54823</cdr:x>
      <cdr:y>0.48401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5DCE9A6-8314-4CC1-866C-415E0BF5C69D}"/>
            </a:ext>
          </a:extLst>
        </cdr:cNvPr>
        <cdr:cNvSpPr txBox="1"/>
      </cdr:nvSpPr>
      <cdr:spPr>
        <a:xfrm xmlns:a="http://schemas.openxmlformats.org/drawingml/2006/main">
          <a:off x="2924075" y="2782864"/>
          <a:ext cx="1697305" cy="4765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Other services</a:t>
          </a:r>
        </a:p>
      </cdr:txBody>
    </cdr:sp>
  </cdr:relSizeAnchor>
  <cdr:relSizeAnchor xmlns:cdr="http://schemas.openxmlformats.org/drawingml/2006/chartDrawing">
    <cdr:from>
      <cdr:x>0.55561</cdr:x>
      <cdr:y>0.15908</cdr:y>
    </cdr:from>
    <cdr:to>
      <cdr:x>0.83766</cdr:x>
      <cdr:y>0.22984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5DCE9A6-8314-4CC1-866C-415E0BF5C69D}"/>
            </a:ext>
          </a:extLst>
        </cdr:cNvPr>
        <cdr:cNvSpPr txBox="1"/>
      </cdr:nvSpPr>
      <cdr:spPr>
        <a:xfrm xmlns:a="http://schemas.openxmlformats.org/drawingml/2006/main">
          <a:off x="4683589" y="1071258"/>
          <a:ext cx="2377575" cy="4765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Transport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&amp; Comms</a:t>
          </a:r>
          <a:endParaRPr lang="en-GB" sz="18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0.0354</cdr:x>
      <cdr:y>0.72324</cdr:y>
    </cdr:from>
    <cdr:to>
      <cdr:x>0.23675</cdr:x>
      <cdr:y>0.84305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07DB4C5-764A-2649-8B5F-AD4EEAE1FDAA}"/>
            </a:ext>
          </a:extLst>
        </cdr:cNvPr>
        <cdr:cNvSpPr txBox="1"/>
      </cdr:nvSpPr>
      <cdr:spPr>
        <a:xfrm xmlns:a="http://schemas.openxmlformats.org/drawingml/2006/main">
          <a:off x="298450" y="4870450"/>
          <a:ext cx="1697305" cy="8068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Health</a:t>
          </a: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A8561-59F9-49F0-8AA3-E0919DB821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1C031BF-0C50-4B35-BF74-3FEA1C25BC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Business investment forecasts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6CB4076-45C4-4FDC-A93B-C65990D22D64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0.00452</cdr:x>
      <cdr:y>0.06982</cdr:y>
    </cdr:from>
    <cdr:to>
      <cdr:x>0.23954</cdr:x>
      <cdr:y>0.12078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9616BBD-2724-42F5-B153-B44532758B85}"/>
            </a:ext>
          </a:extLst>
        </cdr:cNvPr>
        <cdr:cNvSpPr txBox="1"/>
      </cdr:nvSpPr>
      <cdr:spPr>
        <a:xfrm xmlns:a="http://schemas.openxmlformats.org/drawingml/2006/main">
          <a:off x="38100" y="469900"/>
          <a:ext cx="19812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Q4 2019 = 100</a:t>
          </a:r>
        </a:p>
      </cdr:txBody>
    </cdr:sp>
  </cdr:relSizeAnchor>
  <cdr:relSizeAnchor xmlns:cdr="http://schemas.openxmlformats.org/drawingml/2006/chartDrawing">
    <cdr:from>
      <cdr:x>0.46667</cdr:x>
      <cdr:y>0.76662</cdr:y>
    </cdr:from>
    <cdr:to>
      <cdr:x>0.71977</cdr:x>
      <cdr:y>0.8331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F1673BE-C761-49C8-90BB-5617B2D044F3}"/>
            </a:ext>
          </a:extLst>
        </cdr:cNvPr>
        <cdr:cNvSpPr txBox="1"/>
      </cdr:nvSpPr>
      <cdr:spPr>
        <a:xfrm xmlns:a="http://schemas.openxmlformats.org/drawingml/2006/main">
          <a:off x="3933825" y="5162550"/>
          <a:ext cx="213360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Super-deduction</a:t>
          </a:r>
        </a:p>
      </cdr:txBody>
    </cdr:sp>
  </cdr:relSizeAnchor>
  <cdr:relSizeAnchor xmlns:cdr="http://schemas.openxmlformats.org/drawingml/2006/chartDrawing">
    <cdr:from>
      <cdr:x>0.68136</cdr:x>
      <cdr:y>0.79774</cdr:y>
    </cdr:from>
    <cdr:to>
      <cdr:x>0.72881</cdr:x>
      <cdr:y>0.79774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0FDE2047-F2FA-4263-9758-9B58F5E6BB57}"/>
            </a:ext>
          </a:extLst>
        </cdr:cNvPr>
        <cdr:cNvCxnSpPr/>
      </cdr:nvCxnSpPr>
      <cdr:spPr>
        <a:xfrm xmlns:a="http://schemas.openxmlformats.org/drawingml/2006/main">
          <a:off x="5743575" y="5372100"/>
          <a:ext cx="400050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lobal%20macro%20team/Key%20Charts/PMI/Table_P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data&amp;trend"/>
      <sheetName val="Melbourne Metro Employ Table"/>
      <sheetName val="Melb Metro WtCo Employ Table"/>
      <sheetName val="Melb Metro OWF Employ Table"/>
      <sheetName val="Melb Metro SAOWF Table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6.bin"/><Relationship Id="rId4" Type="http://schemas.openxmlformats.org/officeDocument/2006/relationships/customProperty" Target="../customProperty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7.bin"/><Relationship Id="rId4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UNHSDC@U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4AB7-C33A-46A6-9E34-26ABE086DCA0}">
  <sheetPr codeName="Sheet1">
    <tabColor rgb="FFC00000"/>
  </sheetPr>
  <dimension ref="A1"/>
  <sheetViews>
    <sheetView workbookViewId="0">
      <selection activeCell="E34" sqref="E34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DA46-6179-4CEC-BBEC-552C24D3B71C}">
  <sheetPr codeName="Sheet10">
    <tabColor rgb="FFC00000"/>
  </sheetPr>
  <dimension ref="A1"/>
  <sheetViews>
    <sheetView workbookViewId="0">
      <selection activeCell="F36" sqref="F36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D4C8-689F-407E-AD8E-1737C01E9AE8}">
  <sheetPr codeName="Sheet12"/>
  <dimension ref="A1:IX156"/>
  <sheetViews>
    <sheetView topLeftCell="AO1" workbookViewId="0">
      <pane ySplit="4" topLeftCell="A5" activePane="bottomLeft" state="frozen"/>
      <selection pane="bottomLeft" activeCell="AQ11" sqref="AQ11"/>
    </sheetView>
  </sheetViews>
  <sheetFormatPr defaultRowHeight="15" x14ac:dyDescent="0.25"/>
  <cols>
    <col min="5" max="5" width="2.7109375" customWidth="1"/>
    <col min="10" max="10" width="2.7109375" customWidth="1"/>
    <col min="13" max="13" width="2.7109375" customWidth="1"/>
    <col min="19" max="19" width="2.7109375" customWidth="1"/>
    <col min="26" max="26" width="2.7109375" customWidth="1"/>
    <col min="33" max="33" width="2.7109375" customWidth="1"/>
    <col min="40" max="40" width="2.7109375" customWidth="1"/>
    <col min="47" max="47" width="2.7109375" customWidth="1"/>
    <col min="48" max="48" width="10.7109375" bestFit="1" customWidth="1"/>
    <col min="52" max="52" width="2.7109375" customWidth="1"/>
    <col min="53" max="53" width="10.7109375" bestFit="1" customWidth="1"/>
    <col min="59" max="59" width="2.7109375" customWidth="1"/>
    <col min="68" max="68" width="2.7109375" customWidth="1"/>
    <col min="76" max="76" width="2.7109375" customWidth="1"/>
    <col min="84" max="84" width="2.7109375" customWidth="1"/>
    <col min="91" max="91" width="2.7109375" customWidth="1"/>
    <col min="100" max="100" width="2.7109375" customWidth="1"/>
    <col min="112" max="112" width="2.7109375" customWidth="1"/>
    <col min="121" max="121" width="2.7109375" customWidth="1"/>
    <col min="129" max="129" width="2.7109375" customWidth="1"/>
    <col min="135" max="135" width="2.7109375" customWidth="1"/>
    <col min="138" max="138" width="2.7109375" customWidth="1"/>
    <col min="139" max="139" width="9.140625" style="22"/>
    <col min="141" max="141" width="2.7109375" customWidth="1"/>
    <col min="146" max="146" width="2.7109375" customWidth="1"/>
    <col min="151" max="151" width="2.7109375" customWidth="1"/>
    <col min="158" max="158" width="2.7109375" customWidth="1"/>
    <col min="159" max="159" width="10.7109375" bestFit="1" customWidth="1"/>
    <col min="164" max="164" width="2.7109375" customWidth="1"/>
    <col min="165" max="168" width="11.28515625" customWidth="1"/>
    <col min="169" max="176" width="9.140625" customWidth="1"/>
    <col min="177" max="177" width="2.7109375" customWidth="1"/>
    <col min="178" max="178" width="10.7109375" bestFit="1" customWidth="1"/>
    <col min="184" max="184" width="2.7109375" customWidth="1"/>
    <col min="185" max="185" width="10.7109375" style="22" bestFit="1" customWidth="1"/>
    <col min="191" max="191" width="2.7109375" customWidth="1"/>
    <col min="192" max="192" width="10.7109375" style="22" bestFit="1" customWidth="1"/>
    <col min="196" max="196" width="2.7109375" customWidth="1"/>
    <col min="197" max="197" width="10.7109375" style="22" bestFit="1" customWidth="1"/>
    <col min="201" max="201" width="2.7109375" customWidth="1"/>
    <col min="208" max="208" width="2.7109375" customWidth="1"/>
    <col min="209" max="216" width="9.140625" customWidth="1"/>
    <col min="217" max="217" width="2.7109375" customWidth="1"/>
    <col min="224" max="224" width="2.7109375" customWidth="1"/>
    <col min="225" max="232" width="9.140625" customWidth="1"/>
    <col min="233" max="233" width="2.7109375" customWidth="1"/>
    <col min="234" max="234" width="11.7109375" customWidth="1"/>
    <col min="235" max="238" width="9.140625" customWidth="1"/>
    <col min="239" max="239" width="2.7109375" customWidth="1"/>
    <col min="240" max="240" width="9.140625" customWidth="1"/>
    <col min="241" max="241" width="2.7109375" customWidth="1"/>
    <col min="242" max="242" width="13.5703125" customWidth="1"/>
    <col min="243" max="249" width="9.140625" customWidth="1"/>
    <col min="250" max="250" width="2.7109375" customWidth="1"/>
    <col min="251" max="253" width="9.140625" customWidth="1"/>
    <col min="254" max="254" width="9.28515625" customWidth="1"/>
    <col min="255" max="256" width="2.7109375" customWidth="1"/>
    <col min="257" max="257" width="19.28515625" bestFit="1" customWidth="1"/>
  </cols>
  <sheetData>
    <row r="1" spans="1:258" x14ac:dyDescent="0.25">
      <c r="A1" s="6" t="s">
        <v>1265</v>
      </c>
      <c r="F1" s="6" t="s">
        <v>1266</v>
      </c>
      <c r="N1" s="6" t="s">
        <v>1059</v>
      </c>
      <c r="T1" s="6" t="s">
        <v>1062</v>
      </c>
      <c r="AA1" s="6" t="s">
        <v>1167</v>
      </c>
      <c r="AH1" s="6" t="s">
        <v>1337</v>
      </c>
      <c r="AO1" s="6" t="s">
        <v>1339</v>
      </c>
      <c r="AV1" s="6" t="s">
        <v>1070</v>
      </c>
      <c r="BA1" s="6" t="s">
        <v>1074</v>
      </c>
      <c r="BI1" s="6" t="s">
        <v>106</v>
      </c>
      <c r="BQ1" s="6" t="s">
        <v>222</v>
      </c>
      <c r="BY1" s="6" t="s">
        <v>1337</v>
      </c>
      <c r="CG1" s="6" t="s">
        <v>221</v>
      </c>
      <c r="CN1" s="6" t="s">
        <v>232</v>
      </c>
      <c r="CW1" s="6" t="s">
        <v>232</v>
      </c>
      <c r="DI1" s="6" t="s">
        <v>1043</v>
      </c>
      <c r="DR1" s="6" t="s">
        <v>223</v>
      </c>
      <c r="DZ1" s="6" t="s">
        <v>543</v>
      </c>
      <c r="EL1" t="s">
        <v>592</v>
      </c>
      <c r="EQ1" t="s">
        <v>591</v>
      </c>
      <c r="EV1" t="s">
        <v>544</v>
      </c>
      <c r="EW1" t="s">
        <v>103</v>
      </c>
      <c r="EX1" t="s">
        <v>107</v>
      </c>
      <c r="EY1" t="s">
        <v>545</v>
      </c>
      <c r="EZ1" t="s">
        <v>546</v>
      </c>
      <c r="FA1" t="s">
        <v>547</v>
      </c>
      <c r="FC1" s="6" t="s">
        <v>888</v>
      </c>
      <c r="FI1" s="6" t="s">
        <v>954</v>
      </c>
      <c r="FJ1" s="6"/>
      <c r="FK1" s="6"/>
      <c r="FL1" s="6"/>
      <c r="FV1" s="6" t="s">
        <v>889</v>
      </c>
      <c r="GC1" s="28" t="s">
        <v>967</v>
      </c>
      <c r="GJ1" s="28" t="s">
        <v>1324</v>
      </c>
      <c r="GO1" s="28" t="s">
        <v>1324</v>
      </c>
      <c r="GT1" s="6" t="s">
        <v>1003</v>
      </c>
      <c r="GU1" s="6"/>
      <c r="GV1" s="6"/>
      <c r="GW1" s="6"/>
      <c r="GX1" s="6"/>
      <c r="GY1" s="6"/>
      <c r="HA1" s="6" t="s">
        <v>1002</v>
      </c>
      <c r="HJ1" s="6" t="s">
        <v>1003</v>
      </c>
      <c r="HK1" s="6"/>
      <c r="HL1" s="6"/>
      <c r="HM1" s="6"/>
      <c r="HN1" s="6"/>
      <c r="HO1" s="6"/>
      <c r="HQ1" s="6" t="s">
        <v>1399</v>
      </c>
      <c r="HZ1" s="6" t="s">
        <v>1092</v>
      </c>
      <c r="IH1" s="6" t="s">
        <v>1390</v>
      </c>
      <c r="IQ1" s="6" t="s">
        <v>1409</v>
      </c>
      <c r="IW1" t="s">
        <v>514</v>
      </c>
      <c r="IX1" t="s">
        <v>513</v>
      </c>
    </row>
    <row r="2" spans="1:258" x14ac:dyDescent="0.25">
      <c r="N2" t="s">
        <v>1060</v>
      </c>
      <c r="T2" s="6"/>
      <c r="AA2" s="6"/>
      <c r="AH2" s="6"/>
      <c r="AO2" s="6"/>
      <c r="BI2" s="6"/>
      <c r="BQ2" s="6"/>
      <c r="BY2" s="6"/>
      <c r="CG2" s="6"/>
      <c r="CN2" s="6"/>
      <c r="CW2" s="6"/>
      <c r="DI2" s="6"/>
      <c r="DR2" s="6"/>
      <c r="DZ2" s="6"/>
      <c r="EQ2" t="s">
        <v>593</v>
      </c>
      <c r="ER2" s="4">
        <f>AVERAGE(ER7:ER102)</f>
        <v>8.2037100498164239</v>
      </c>
      <c r="ES2" s="4">
        <f>AVERAGE(ES7:ES102)</f>
        <v>-6.2358118048479367</v>
      </c>
      <c r="ET2" s="4">
        <f>AVERAGE(ET7:ET102)</f>
        <v>0.82260664502024461</v>
      </c>
      <c r="EW2" s="21">
        <f>SUM(HAVERQ!I125:I128)/SUM(HAVERQ!B125:B128)</f>
        <v>0.15573293221408122</v>
      </c>
      <c r="EX2" s="21">
        <f>1-EW2</f>
        <v>0.84426706778591876</v>
      </c>
      <c r="EY2" s="21">
        <f>SUM(HAVERQ!L125:L128)/SUM(HAVERQ!B125:B128)</f>
        <v>8.9018551765409931E-2</v>
      </c>
      <c r="EZ2" s="21">
        <f>1-EW2-EY2-FA2</f>
        <v>0.73088213887136688</v>
      </c>
      <c r="FA2" s="21">
        <f>SUM(HAVERQ!O125:O128)/SUM(HAVERQ!B125:B128)</f>
        <v>2.4366377149141961E-2</v>
      </c>
      <c r="FI2" t="s">
        <v>1338</v>
      </c>
      <c r="GC2" s="22" t="s">
        <v>969</v>
      </c>
      <c r="GJ2" s="22" t="s">
        <v>1325</v>
      </c>
      <c r="GO2" s="22" t="s">
        <v>1327</v>
      </c>
      <c r="GT2" s="6"/>
      <c r="GU2" s="29"/>
      <c r="GV2" s="29"/>
      <c r="GW2" s="29"/>
      <c r="GX2" s="29"/>
      <c r="GY2" s="29"/>
      <c r="HJ2" s="6"/>
      <c r="HK2" s="29"/>
      <c r="HL2" s="29"/>
      <c r="HM2" s="29"/>
      <c r="HN2" s="29"/>
      <c r="HO2" s="29"/>
      <c r="IH2" t="s">
        <v>1391</v>
      </c>
      <c r="IW2" t="s">
        <v>1076</v>
      </c>
      <c r="IX2" t="s">
        <v>1075</v>
      </c>
    </row>
    <row r="3" spans="1:258" x14ac:dyDescent="0.25">
      <c r="T3" s="6"/>
      <c r="AA3" s="6"/>
      <c r="AH3" s="6"/>
      <c r="AO3" s="6"/>
      <c r="BI3" s="6"/>
      <c r="BQ3" s="6"/>
      <c r="BY3" s="6"/>
      <c r="CG3" s="6"/>
      <c r="CN3" s="6"/>
      <c r="CW3" s="6"/>
      <c r="DI3" s="6"/>
      <c r="DR3" s="6"/>
      <c r="DZ3" s="6"/>
      <c r="EQ3" t="s">
        <v>594</v>
      </c>
      <c r="ER3" s="4">
        <f>STDEV(ER7:ER102)</f>
        <v>11.720888592027309</v>
      </c>
      <c r="ES3" s="4">
        <f>STDEV(ES7:ES102)</f>
        <v>14.071804906393739</v>
      </c>
      <c r="ET3" s="4">
        <f>STDEV(ET7:ET102)</f>
        <v>1.5705430018564348</v>
      </c>
      <c r="EW3" s="21"/>
      <c r="EX3" s="21"/>
      <c r="EY3" s="21"/>
      <c r="EZ3" s="21"/>
      <c r="FA3" s="21"/>
      <c r="GT3" s="6"/>
      <c r="GU3" s="29"/>
      <c r="GV3" s="29"/>
      <c r="GW3" s="29"/>
      <c r="GX3" s="29"/>
      <c r="GY3" s="29"/>
      <c r="GZ3" s="5"/>
      <c r="HJ3" s="6"/>
      <c r="HK3" s="29"/>
      <c r="HL3" s="29"/>
      <c r="HM3" s="29"/>
      <c r="HN3" s="29"/>
      <c r="HO3" s="29"/>
      <c r="HP3" s="5"/>
      <c r="IX3" t="s">
        <v>1077</v>
      </c>
    </row>
    <row r="4" spans="1:258" ht="45" x14ac:dyDescent="0.25">
      <c r="B4" t="s">
        <v>1264</v>
      </c>
      <c r="C4" t="s">
        <v>1329</v>
      </c>
      <c r="D4" t="s">
        <v>598</v>
      </c>
      <c r="G4" t="s">
        <v>1264</v>
      </c>
      <c r="H4" t="s">
        <v>1329</v>
      </c>
      <c r="I4" t="s">
        <v>598</v>
      </c>
      <c r="K4" t="s">
        <v>1263</v>
      </c>
      <c r="L4" t="s">
        <v>1262</v>
      </c>
      <c r="O4" t="s">
        <v>1037</v>
      </c>
      <c r="P4" t="s">
        <v>1061</v>
      </c>
      <c r="Q4" s="32" t="s">
        <v>1010</v>
      </c>
      <c r="R4" s="22" t="s">
        <v>108</v>
      </c>
      <c r="U4" t="s">
        <v>109</v>
      </c>
      <c r="V4" t="s">
        <v>1061</v>
      </c>
      <c r="W4" t="s">
        <v>1063</v>
      </c>
      <c r="X4" t="s">
        <v>110</v>
      </c>
      <c r="Y4" t="s">
        <v>102</v>
      </c>
      <c r="AB4" t="s">
        <v>109</v>
      </c>
      <c r="AC4" t="s">
        <v>1061</v>
      </c>
      <c r="AD4" t="s">
        <v>1063</v>
      </c>
      <c r="AE4" t="s">
        <v>110</v>
      </c>
      <c r="AF4" t="s">
        <v>102</v>
      </c>
      <c r="AI4" t="s">
        <v>109</v>
      </c>
      <c r="AJ4" t="s">
        <v>1061</v>
      </c>
      <c r="AK4" t="s">
        <v>1063</v>
      </c>
      <c r="AL4" t="s">
        <v>110</v>
      </c>
      <c r="AM4" t="s">
        <v>102</v>
      </c>
      <c r="AP4" t="s">
        <v>109</v>
      </c>
      <c r="AQ4" t="s">
        <v>1340</v>
      </c>
      <c r="AR4" t="s">
        <v>1063</v>
      </c>
      <c r="AS4" t="s">
        <v>110</v>
      </c>
      <c r="AT4" t="s">
        <v>102</v>
      </c>
      <c r="AW4" t="s">
        <v>1071</v>
      </c>
      <c r="AX4" t="s">
        <v>1072</v>
      </c>
      <c r="AY4" t="s">
        <v>1073</v>
      </c>
      <c r="BB4" t="s">
        <v>1072</v>
      </c>
      <c r="BC4" t="s">
        <v>1073</v>
      </c>
      <c r="BD4" t="s">
        <v>1341</v>
      </c>
      <c r="BE4" t="s">
        <v>1342</v>
      </c>
      <c r="BF4" t="s">
        <v>598</v>
      </c>
      <c r="BJ4" t="s">
        <v>102</v>
      </c>
      <c r="BK4" t="s">
        <v>103</v>
      </c>
      <c r="BL4" t="s">
        <v>104</v>
      </c>
      <c r="BM4" t="s">
        <v>105</v>
      </c>
      <c r="BN4" t="s">
        <v>107</v>
      </c>
      <c r="BO4" t="s">
        <v>108</v>
      </c>
      <c r="BR4" t="s">
        <v>103</v>
      </c>
      <c r="BS4" t="s">
        <v>104</v>
      </c>
      <c r="BT4" t="s">
        <v>105</v>
      </c>
      <c r="BU4" t="s">
        <v>107</v>
      </c>
      <c r="BV4" t="s">
        <v>220</v>
      </c>
      <c r="BW4" t="s">
        <v>102</v>
      </c>
      <c r="BZ4" t="s">
        <v>103</v>
      </c>
      <c r="CA4" t="s">
        <v>104</v>
      </c>
      <c r="CB4" t="s">
        <v>105</v>
      </c>
      <c r="CC4" t="s">
        <v>107</v>
      </c>
      <c r="CD4" t="s">
        <v>220</v>
      </c>
      <c r="CE4" t="s">
        <v>102</v>
      </c>
      <c r="CH4" t="s">
        <v>103</v>
      </c>
      <c r="CI4" t="s">
        <v>104</v>
      </c>
      <c r="CJ4" t="s">
        <v>105</v>
      </c>
      <c r="CK4" t="s">
        <v>107</v>
      </c>
      <c r="CL4" t="s">
        <v>220</v>
      </c>
      <c r="CO4" t="s">
        <v>235</v>
      </c>
      <c r="CP4" t="s">
        <v>237</v>
      </c>
      <c r="CQ4" t="s">
        <v>242</v>
      </c>
      <c r="CR4" t="s">
        <v>238</v>
      </c>
      <c r="CS4" t="s">
        <v>240</v>
      </c>
      <c r="CT4" t="s">
        <v>220</v>
      </c>
      <c r="CU4" t="s">
        <v>236</v>
      </c>
      <c r="CX4" t="s">
        <v>235</v>
      </c>
      <c r="CY4" t="s">
        <v>237</v>
      </c>
      <c r="CZ4" t="s">
        <v>242</v>
      </c>
      <c r="DA4" t="s">
        <v>238</v>
      </c>
      <c r="DB4" t="s">
        <v>239</v>
      </c>
      <c r="DC4" t="s">
        <v>240</v>
      </c>
      <c r="DD4" t="s">
        <v>233</v>
      </c>
      <c r="DE4" t="s">
        <v>241</v>
      </c>
      <c r="DF4" t="s">
        <v>234</v>
      </c>
      <c r="DG4" t="s">
        <v>236</v>
      </c>
      <c r="DJ4" t="s">
        <v>102</v>
      </c>
      <c r="DK4" t="s">
        <v>109</v>
      </c>
      <c r="DL4" t="s">
        <v>217</v>
      </c>
      <c r="DM4" t="s">
        <v>1044</v>
      </c>
      <c r="DN4" t="s">
        <v>218</v>
      </c>
      <c r="DO4" t="s">
        <v>219</v>
      </c>
      <c r="DP4" t="s">
        <v>108</v>
      </c>
      <c r="DS4" t="s">
        <v>109</v>
      </c>
      <c r="DT4" t="s">
        <v>217</v>
      </c>
      <c r="DU4" t="s">
        <v>1044</v>
      </c>
      <c r="DV4" t="s">
        <v>218</v>
      </c>
      <c r="DW4" t="s">
        <v>219</v>
      </c>
      <c r="DX4" t="s">
        <v>102</v>
      </c>
      <c r="EA4" t="s">
        <v>596</v>
      </c>
      <c r="EB4" t="s">
        <v>600</v>
      </c>
      <c r="EC4" t="s">
        <v>599</v>
      </c>
      <c r="ED4" t="s">
        <v>598</v>
      </c>
      <c r="EF4" t="s">
        <v>595</v>
      </c>
      <c r="EG4" t="s">
        <v>597</v>
      </c>
      <c r="EJ4" t="s">
        <v>601</v>
      </c>
      <c r="EM4" t="s">
        <v>540</v>
      </c>
      <c r="EN4" t="s">
        <v>541</v>
      </c>
      <c r="EO4" t="s">
        <v>542</v>
      </c>
      <c r="ER4" t="s">
        <v>540</v>
      </c>
      <c r="ES4" t="s">
        <v>541</v>
      </c>
      <c r="ET4" t="s">
        <v>542</v>
      </c>
      <c r="FD4" t="s">
        <v>1328</v>
      </c>
      <c r="FE4" t="s">
        <v>886</v>
      </c>
      <c r="FF4" t="s">
        <v>887</v>
      </c>
      <c r="FG4" t="s">
        <v>108</v>
      </c>
      <c r="FJ4" t="s">
        <v>103</v>
      </c>
      <c r="FK4" t="s">
        <v>963</v>
      </c>
      <c r="FL4" t="s">
        <v>105</v>
      </c>
      <c r="FM4" t="s">
        <v>235</v>
      </c>
      <c r="FN4" t="s">
        <v>237</v>
      </c>
      <c r="FO4" t="s">
        <v>962</v>
      </c>
      <c r="FP4" t="s">
        <v>240</v>
      </c>
      <c r="FQ4" t="s">
        <v>233</v>
      </c>
      <c r="FR4" t="s">
        <v>241</v>
      </c>
      <c r="FS4" t="s">
        <v>234</v>
      </c>
      <c r="FT4" t="s">
        <v>236</v>
      </c>
      <c r="FW4" t="s">
        <v>890</v>
      </c>
      <c r="FX4" t="s">
        <v>1343</v>
      </c>
      <c r="FY4" t="s">
        <v>891</v>
      </c>
      <c r="FZ4" t="s">
        <v>892</v>
      </c>
      <c r="GA4" t="s">
        <v>893</v>
      </c>
      <c r="GD4" s="27" t="s">
        <v>968</v>
      </c>
      <c r="GE4" s="27" t="s">
        <v>1013</v>
      </c>
      <c r="GF4" s="2" t="s">
        <v>1256</v>
      </c>
      <c r="GG4" s="32" t="s">
        <v>1010</v>
      </c>
      <c r="GH4" s="22" t="s">
        <v>108</v>
      </c>
      <c r="GK4" s="27" t="s">
        <v>1256</v>
      </c>
      <c r="GL4" s="27" t="s">
        <v>1326</v>
      </c>
      <c r="GM4" s="27" t="s">
        <v>108</v>
      </c>
      <c r="GP4" s="27" t="s">
        <v>1256</v>
      </c>
      <c r="GQ4" s="27" t="s">
        <v>1326</v>
      </c>
      <c r="GR4" s="27" t="s">
        <v>108</v>
      </c>
      <c r="GT4" s="5"/>
      <c r="GU4" s="30" t="s">
        <v>511</v>
      </c>
      <c r="GV4" s="30" t="s">
        <v>1004</v>
      </c>
      <c r="GW4" s="30" t="s">
        <v>1005</v>
      </c>
      <c r="GX4" s="30" t="s">
        <v>108</v>
      </c>
      <c r="GY4" s="30" t="s">
        <v>1006</v>
      </c>
      <c r="GZ4" s="4"/>
      <c r="HB4" t="s">
        <v>511</v>
      </c>
      <c r="HC4" t="s">
        <v>1001</v>
      </c>
      <c r="HD4" t="s">
        <v>976</v>
      </c>
      <c r="HE4" t="s">
        <v>982</v>
      </c>
      <c r="HF4" t="s">
        <v>987</v>
      </c>
      <c r="HG4" t="s">
        <v>991</v>
      </c>
      <c r="HH4" t="s">
        <v>996</v>
      </c>
      <c r="HJ4" s="5"/>
      <c r="HK4" s="30" t="s">
        <v>511</v>
      </c>
      <c r="HL4" s="30" t="s">
        <v>1004</v>
      </c>
      <c r="HM4" s="30" t="s">
        <v>1005</v>
      </c>
      <c r="HN4" s="30" t="s">
        <v>108</v>
      </c>
      <c r="HO4" s="30" t="s">
        <v>1006</v>
      </c>
      <c r="HP4" s="4"/>
      <c r="HR4" t="s">
        <v>511</v>
      </c>
      <c r="HS4" t="s">
        <v>1001</v>
      </c>
      <c r="HT4" t="s">
        <v>976</v>
      </c>
      <c r="HU4" t="s">
        <v>982</v>
      </c>
      <c r="HV4" t="s">
        <v>987</v>
      </c>
      <c r="HW4" t="s">
        <v>991</v>
      </c>
      <c r="HX4" t="s">
        <v>996</v>
      </c>
      <c r="IA4" t="s">
        <v>890</v>
      </c>
      <c r="IB4" t="s">
        <v>1094</v>
      </c>
      <c r="IC4" t="s">
        <v>893</v>
      </c>
      <c r="IF4" t="s">
        <v>1093</v>
      </c>
      <c r="II4" t="s">
        <v>1396</v>
      </c>
      <c r="IJ4" t="s">
        <v>1397</v>
      </c>
      <c r="IK4" t="s">
        <v>1395</v>
      </c>
      <c r="IL4" t="s">
        <v>1394</v>
      </c>
      <c r="IM4" t="s">
        <v>1393</v>
      </c>
      <c r="IN4" t="s">
        <v>1392</v>
      </c>
      <c r="IO4" t="s">
        <v>220</v>
      </c>
      <c r="IR4" t="s">
        <v>1410</v>
      </c>
      <c r="IS4" t="s">
        <v>599</v>
      </c>
      <c r="IT4" t="s">
        <v>598</v>
      </c>
    </row>
    <row r="5" spans="1:258" x14ac:dyDescent="0.25">
      <c r="A5">
        <v>1990</v>
      </c>
      <c r="B5" s="4">
        <f>100*((DataQ!C75/DataQ!C71)-1)</f>
        <v>1.6720289886959616</v>
      </c>
      <c r="C5" s="4">
        <f>K5</f>
        <v>18.593075638723498</v>
      </c>
      <c r="D5" s="4">
        <v>0</v>
      </c>
      <c r="F5">
        <v>1990</v>
      </c>
      <c r="G5" s="4"/>
      <c r="I5" s="4">
        <v>0</v>
      </c>
      <c r="K5" s="4">
        <f>L5</f>
        <v>18.593075638723498</v>
      </c>
      <c r="L5" s="4">
        <f>100*(HAVERQ!AF9/HAVERQ!AI9)</f>
        <v>18.593075638723498</v>
      </c>
      <c r="N5">
        <v>2018</v>
      </c>
      <c r="O5" s="4">
        <f>100*('ONS CVM_SA_(Quarterly)'!B89/'ONS CVM_SA_(Quarterly)'!B$101)</f>
        <v>113.95927769933863</v>
      </c>
      <c r="P5" s="4">
        <f>100*('ONS CVM_SA_(Quarterly)'!D89/'ONS CVM_SA_(Quarterly)'!D$101)</f>
        <v>115.73483733856466</v>
      </c>
      <c r="R5">
        <v>100</v>
      </c>
      <c r="T5">
        <v>2021</v>
      </c>
      <c r="U5" s="3">
        <f>'ONS CVM_SA_(Quarterly)'!C101-'ONS CVM_SA_(Quarterly)'!C$101</f>
        <v>0</v>
      </c>
      <c r="V5" s="3">
        <f>'ONS CVM_SA_(Quarterly)'!D101-'ONS CVM_SA_(Quarterly)'!D$101</f>
        <v>0</v>
      </c>
      <c r="W5" s="3">
        <f>'ONS CVM_SA_(Quarterly)'!E101-'ONS CVM_SA_(Quarterly)'!E$101</f>
        <v>0</v>
      </c>
      <c r="X5" s="3">
        <f>'ONS CVM_SA_(Quarterly)'!F101-'ONS CVM_SA_(Quarterly)'!F$101</f>
        <v>0</v>
      </c>
      <c r="Y5" s="3">
        <f>'ONS CVM_SA_(Quarterly)'!B101-'ONS CVM_SA_(Quarterly)'!B$101</f>
        <v>0</v>
      </c>
      <c r="AA5">
        <v>2021</v>
      </c>
      <c r="AB5" s="4">
        <f>100*(U5/'ONS CVM_SA_(Quarterly)'!$B$101)</f>
        <v>0</v>
      </c>
      <c r="AC5" s="4">
        <f>100*(V5/'ONS CVM_SA_(Quarterly)'!$B$101)</f>
        <v>0</v>
      </c>
      <c r="AD5" s="4">
        <f>100*(W5/'ONS CVM_SA_(Quarterly)'!$B$101)</f>
        <v>0</v>
      </c>
      <c r="AE5" s="4">
        <f>100*(X5/'ONS CVM_SA_(Quarterly)'!$B$101)</f>
        <v>0</v>
      </c>
      <c r="AF5" s="4">
        <f>100*(('ONS CVM_SA_(Quarterly)'!B101/'ONS CVM_SA_(Quarterly)'!B$101)-1)</f>
        <v>0</v>
      </c>
      <c r="AH5">
        <v>2019</v>
      </c>
      <c r="AI5" s="4">
        <f>100*(('ONS CVM_SA_(Quarterly)'!C93-'ONS CVM_SA_(Quarterly)'!C$96)/'ONS CVM_SA_(Quarterly)'!$B$96)</f>
        <v>1.34690453914895</v>
      </c>
      <c r="AJ5" s="4">
        <f>100*(('ONS CVM_SA_(Quarterly)'!D93-'ONS CVM_SA_(Quarterly)'!D$96)/'ONS CVM_SA_(Quarterly)'!$B$96)</f>
        <v>0.58231441752427648</v>
      </c>
      <c r="AK5" s="4">
        <f>100*(('ONS CVM_SA_(Quarterly)'!E93-'ONS CVM_SA_(Quarterly)'!E$96)/'ONS CVM_SA_(Quarterly)'!$B$96)</f>
        <v>0.41778236603542279</v>
      </c>
      <c r="AL5" s="4">
        <f>100*(('ONS CVM_SA_(Quarterly)'!F93-'ONS CVM_SA_(Quarterly)'!F$96)/'ONS CVM_SA_(Quarterly)'!$B$96)</f>
        <v>-1.3194825305674742</v>
      </c>
      <c r="AM5" s="4">
        <f>100*(('ONS CVM_SA_(Quarterly)'!B93-'ONS CVM_SA_(Quarterly)'!B$96)/'ONS CVM_SA_(Quarterly)'!$B$96)</f>
        <v>-1.2791560473594219</v>
      </c>
      <c r="AO5">
        <v>2016</v>
      </c>
      <c r="AP5" s="4">
        <f>100*(('ONS CVM_SA_(Quarterly)'!C81-AVERAGE('ONS CVM_SA_(Quarterly)'!C$81:C$84))/AVERAGE('ONS CVM_SA_(Quarterly)'!$B$81:$B$84))</f>
        <v>1.2876666815233202</v>
      </c>
      <c r="AQ5" s="4">
        <f>100*(('ONS CVM_SA_(Quarterly)'!D81-AVERAGE('ONS CVM_SA_(Quarterly)'!D$81:D$84))/AVERAGE('ONS CVM_SA_(Quarterly)'!$B$81:$B$84))</f>
        <v>0.16166740274631994</v>
      </c>
      <c r="AR5" s="4">
        <f>100*(('ONS CVM_SA_(Quarterly)'!E81-AVERAGE('ONS CVM_SA_(Quarterly)'!E$81:E$84))/AVERAGE('ONS CVM_SA_(Quarterly)'!$B$81:$B$84))</f>
        <v>-0.32455034987419118</v>
      </c>
      <c r="AS5" s="4">
        <f>100*(('ONS CVM_SA_(Quarterly)'!F81-AVERAGE('ONS CVM_SA_(Quarterly)'!F$81:F$84))/AVERAGE('ONS CVM_SA_(Quarterly)'!$B$81:$B$84))</f>
        <v>-0.33143843470298173</v>
      </c>
      <c r="AT5" s="4">
        <f>100*(('ONS CVM_SA_(Quarterly)'!B81-AVERAGE('ONS CVM_SA_(Quarterly)'!B$81:B$84))/AVERAGE('ONS CVM_SA_(Quarterly)'!$B$81:$B$84))</f>
        <v>-2.7147157854645203E-2</v>
      </c>
      <c r="AV5" s="36">
        <v>43466</v>
      </c>
      <c r="AW5" s="21">
        <f>HAVERM!D236</f>
        <v>0.75</v>
      </c>
      <c r="AX5" s="21">
        <f>HAVERM!B236</f>
        <v>3.35</v>
      </c>
      <c r="AY5" s="21">
        <f>HAVERM!C236</f>
        <v>2.48</v>
      </c>
      <c r="BA5" s="36">
        <v>44531</v>
      </c>
      <c r="BB5" s="21">
        <f>AX40-AX$39</f>
        <v>4.9999999999999822E-2</v>
      </c>
      <c r="BC5" s="21">
        <f>AY40-AY$39</f>
        <v>-1.0000000000000231E-2</v>
      </c>
      <c r="BD5" s="3">
        <v>1000</v>
      </c>
      <c r="BE5" s="3"/>
      <c r="BF5" s="21">
        <v>0</v>
      </c>
      <c r="BI5">
        <v>2018</v>
      </c>
      <c r="BJ5" s="4">
        <f>100*(HAVERQ!B121/HAVERQ!B$128)</f>
        <v>98.948285317933994</v>
      </c>
      <c r="BK5" s="4">
        <f>100*(HAVERQ!I121/HAVERQ!I$128)</f>
        <v>104.10239931448157</v>
      </c>
      <c r="BL5" s="4">
        <f>100*(HAVERQ!J121/HAVERQ!J$128)</f>
        <v>87.403786145204904</v>
      </c>
      <c r="BM5" s="4">
        <f>100*(HAVERQ!K121/HAVERQ!K$128)</f>
        <v>59.678416821273963</v>
      </c>
      <c r="BN5" s="4">
        <f>100*((HAVERQ!L121+HAVERQ!M121)/(HAVERQ!L$128+HAVERQ!M$128))</f>
        <v>95.58259289176091</v>
      </c>
      <c r="BO5">
        <v>100</v>
      </c>
      <c r="BQ5">
        <v>2018</v>
      </c>
      <c r="BR5" s="3">
        <f>HAVERQ!I121-HAVERQ!I$128</f>
        <v>383</v>
      </c>
      <c r="BS5" s="3">
        <f>HAVERQ!J121-HAVERQ!J$128</f>
        <v>-1211</v>
      </c>
      <c r="BT5" s="3">
        <f>HAVERQ!K121-HAVERQ!K$128</f>
        <v>-1304</v>
      </c>
      <c r="BU5" s="3">
        <f>(HAVERQ!L121+HAVERQ!M121)-(HAVERQ!L$128+HAVERQ!M$128)</f>
        <v>-1750</v>
      </c>
      <c r="BV5" s="3">
        <f>HAVERQ!N121-HAVERQ!N$128</f>
        <v>45</v>
      </c>
      <c r="BW5" s="3">
        <f>HAVERQ!B121-HAVERQ!B$128</f>
        <v>-652</v>
      </c>
      <c r="BY5">
        <v>2019</v>
      </c>
      <c r="BZ5" s="4">
        <f>100*((HAVERQ!I125-HAVERQ!I$128)/HAVERQ!$B$128)</f>
        <v>1.0549408007226506</v>
      </c>
      <c r="CA5" s="4">
        <f>100*((HAVERQ!J125-HAVERQ!J$128)/HAVERQ!$B$128)</f>
        <v>-2.0469722876407395</v>
      </c>
      <c r="CB5" s="4">
        <f>100*((HAVERQ!K125-HAVERQ!K$128)/HAVERQ!$B$128)</f>
        <v>-0.44520437461689844</v>
      </c>
      <c r="CC5" s="4">
        <f>100*(((HAVERQ!L125+HAVERQ!M125)-(HAVERQ!L$128+HAVERQ!M$128))/HAVERQ!$B$128)</f>
        <v>-0.20969771268187243</v>
      </c>
      <c r="CD5" s="4">
        <f>CE5-BZ5-CA5-CB5-CC5</f>
        <v>0.36777752685743759</v>
      </c>
      <c r="CE5" s="4">
        <f>100*((HAVERQ!B125-HAVERQ!B$128)/HAVERQ!B$128)</f>
        <v>-1.2791560473594219</v>
      </c>
      <c r="CG5">
        <v>2018</v>
      </c>
      <c r="CH5" s="3">
        <f>HAVERQ!I121</f>
        <v>9719</v>
      </c>
      <c r="CI5" s="3">
        <f>HAVERQ!J121</f>
        <v>8403</v>
      </c>
      <c r="CJ5" s="3">
        <f>HAVERQ!K121</f>
        <v>1930</v>
      </c>
      <c r="CK5" s="3">
        <f>HAVERQ!L121+HAVERQ!M121</f>
        <v>37866</v>
      </c>
      <c r="CL5" s="3">
        <f>HAVERQ!N121</f>
        <v>1403</v>
      </c>
      <c r="CN5">
        <v>2018</v>
      </c>
      <c r="CO5" s="3">
        <f>CX5</f>
        <v>-251</v>
      </c>
      <c r="CP5" s="3">
        <f t="shared" ref="CP5:CR20" si="0">CY5</f>
        <v>94</v>
      </c>
      <c r="CQ5" s="3">
        <f t="shared" si="0"/>
        <v>80</v>
      </c>
      <c r="CR5" s="3">
        <f t="shared" si="0"/>
        <v>-442</v>
      </c>
      <c r="CS5" s="3">
        <f>DC5</f>
        <v>1041</v>
      </c>
      <c r="CT5" s="3">
        <f>+DB5+DD5+DE5+DF5</f>
        <v>-437</v>
      </c>
      <c r="CU5" s="3">
        <f t="shared" ref="CU5:CU20" si="1">DG5</f>
        <v>-1750</v>
      </c>
      <c r="CW5">
        <v>2018</v>
      </c>
      <c r="CX5" s="3">
        <f>HAVERQ!L121-HAVERQ!L$128</f>
        <v>-251</v>
      </c>
      <c r="CY5" s="3">
        <f>HAVERQ!O121-HAVERQ!O$128</f>
        <v>94</v>
      </c>
      <c r="CZ5" s="3">
        <f>HAVERQ!P121-HAVERQ!P$128</f>
        <v>80</v>
      </c>
      <c r="DA5" s="3">
        <f>HAVERQ!Q121-HAVERQ!Q$128</f>
        <v>-442</v>
      </c>
      <c r="DB5" s="3">
        <f>HAVERQ!R121-HAVERQ!R$128</f>
        <v>-155</v>
      </c>
      <c r="DC5" s="3">
        <f>HAVERQ!S121-HAVERQ!S$128</f>
        <v>1041</v>
      </c>
      <c r="DD5" s="3">
        <f>HAVERQ!T121-HAVERQ!T$128</f>
        <v>127</v>
      </c>
      <c r="DE5" s="3">
        <f>HAVERQ!U121-HAVERQ!U$128</f>
        <v>147</v>
      </c>
      <c r="DF5" s="3">
        <f>HAVERQ!V121-HAVERQ!V$128</f>
        <v>-556</v>
      </c>
      <c r="DG5" s="3">
        <f>(HAVERQ!L121+HAVERQ!M121)-(HAVERQ!L$128+HAVERQ!M$128)</f>
        <v>-1750</v>
      </c>
      <c r="DI5">
        <v>2018</v>
      </c>
      <c r="DJ5" s="4">
        <f>100*(HAVERQ!C121/HAVERQ!C$128)</f>
        <v>99.463919405570493</v>
      </c>
      <c r="DK5" s="4">
        <f>100*(HAVERQ!D121/HAVERQ!D$128)</f>
        <v>120.35968028419184</v>
      </c>
      <c r="DL5" s="4">
        <f>100*(HAVERQ!E121/HAVERQ!E$128)</f>
        <v>103.42750436720681</v>
      </c>
      <c r="DM5" s="4">
        <f>100*(HAVERQ!F121/HAVERQ!F$128)</f>
        <v>97.293778847291819</v>
      </c>
      <c r="DN5" s="4">
        <f>100*(HAVERQ!G121/HAVERQ!G$128)</f>
        <v>99.39035904075962</v>
      </c>
      <c r="DO5" s="4">
        <f>100*(HAVERQ!H121/HAVERQ!H$128)</f>
        <v>94.274794717523747</v>
      </c>
      <c r="DP5">
        <v>100</v>
      </c>
      <c r="DR5">
        <v>2018</v>
      </c>
      <c r="DS5" s="3">
        <f>HAVERQ!D121-HAVERQ!D$128</f>
        <v>917</v>
      </c>
      <c r="DT5" s="3">
        <f>HAVERQ!E121-HAVERQ!E$128</f>
        <v>569</v>
      </c>
      <c r="DU5" s="3">
        <f>HAVERQ!F121-HAVERQ!F$128</f>
        <v>-686</v>
      </c>
      <c r="DV5" s="3">
        <f>HAVERQ!G121-HAVERQ!G$128</f>
        <v>-226</v>
      </c>
      <c r="DW5" s="3">
        <f>HAVERQ!H121-HAVERQ!H$128</f>
        <v>-1513</v>
      </c>
      <c r="DX5" s="3">
        <f>HAVERQ!C121-HAVERQ!C$128</f>
        <v>-588</v>
      </c>
      <c r="DZ5">
        <v>2000</v>
      </c>
      <c r="EA5" s="4">
        <f t="shared" ref="EA5:EA6" si="2">MIN(EM5:EO5)</f>
        <v>0.51551789311648233</v>
      </c>
      <c r="EB5" s="4">
        <f t="shared" ref="EB5:EB6" si="3">+EF5-EA5</f>
        <v>0.44336509086543552</v>
      </c>
      <c r="EC5" s="4">
        <f>100*((EJ9/EJ5)-1)</f>
        <v>6.0508083140877522</v>
      </c>
      <c r="ED5" s="3">
        <v>0</v>
      </c>
      <c r="EF5" s="4">
        <f t="shared" ref="EF5:EF6" si="4">MAX(EM5:EO5)</f>
        <v>0.95888298398191785</v>
      </c>
      <c r="EG5" s="4">
        <f t="shared" ref="EG5:EG6" si="5">AVERAGE(EM5:EO5)</f>
        <v>0.80805840828680342</v>
      </c>
      <c r="EI5" s="22">
        <v>1999</v>
      </c>
      <c r="EJ5" s="3">
        <f>'IPNR ex BNFL'!I13</f>
        <v>41135</v>
      </c>
      <c r="EM5" s="4">
        <f t="shared" ref="EM5:EM6" si="6">(ER5-ER$2)/ER$3</f>
        <v>0.95888298398191785</v>
      </c>
      <c r="EN5" s="4">
        <f t="shared" ref="EN5:EN6" si="7">(ES5-ES$2)/ES$3</f>
        <v>0.94977434776200986</v>
      </c>
      <c r="EO5" s="4">
        <f t="shared" ref="EO5:EO6" si="8">(ET5-ET$2)/ET$3</f>
        <v>0.51551789311648233</v>
      </c>
      <c r="ER5" s="4">
        <f>(HAVERQ!W47*$EW$2)+(HAVERQ!X47*$EX$2)/($EW$2+$EX$2)</f>
        <v>19.442670677859191</v>
      </c>
      <c r="ES5" s="4">
        <f>(HAVERQ!AB47*$EW$2)+(HAVERQ!AC47*$EY$2)+(HAVERQ!AD47*$EZ$2)+(HAVERQ!AE47*$FA$2)/($EW$2+$EY$2+$EZ$2+$FA$2)</f>
        <v>7.1292275219564267</v>
      </c>
      <c r="ET5" s="21">
        <f>(HAVERQ!Y47*$EW$2)+(HAVERQ!Z47*$EX$2)/($EW$2+$EX$2)</f>
        <v>1.6322496643861095</v>
      </c>
      <c r="FC5" s="26">
        <v>43466</v>
      </c>
      <c r="FD5" s="4">
        <f>100*((HAVERM!E236+HAVERM!F236)/(HAVERM!E$249+HAVERM!F$249))</f>
        <v>98.455792884388401</v>
      </c>
      <c r="FE5" s="4">
        <f>100*(HAVERM!E236/HAVERM!E$249)</f>
        <v>98.994790661778893</v>
      </c>
      <c r="FF5" s="4">
        <f>100*(HAVERM!F236/HAVERM!F$249)</f>
        <v>98.160041781943434</v>
      </c>
      <c r="FG5">
        <v>100</v>
      </c>
      <c r="FI5" t="s">
        <v>955</v>
      </c>
      <c r="FJ5" s="4">
        <f>100*((HAVERQ!I146/HAVERQ!I$128)-1)</f>
        <v>12.992716366752365</v>
      </c>
      <c r="FK5" s="4">
        <f>100*((HAVERQ!J146/HAVERQ!J$128)-1)</f>
        <v>8.0403578115248564</v>
      </c>
      <c r="FL5" s="4">
        <f>100*((HAVERQ!K146/HAVERQ!K$128)-1)</f>
        <v>-28.911564625850339</v>
      </c>
      <c r="FM5" s="4">
        <f>100*((HAVERQ!L146/HAVERQ!L$128)-1)</f>
        <v>-44.648919063784163</v>
      </c>
      <c r="FN5" s="4">
        <f>100*((HAVERQ!O146/HAVERQ!O$128)-1)</f>
        <v>9.302325581395344</v>
      </c>
      <c r="FO5" s="4">
        <f>100*(((HAVERQ!Q146+HAVERQ!R146)/(HAVERQ!Q$128+HAVERQ!R$128))-1)</f>
        <v>24.249763083078868</v>
      </c>
      <c r="FP5" s="4">
        <f>100*((HAVERQ!S146/HAVERQ!S$128)-1)</f>
        <v>14.619818222123705</v>
      </c>
      <c r="FQ5" s="4">
        <f>100*((HAVERQ!T146/HAVERQ!T$128)-1)</f>
        <v>-6.3022019741837525</v>
      </c>
      <c r="FR5" s="4">
        <f>100*((HAVERQ!U146/HAVERQ!U$128)-1)</f>
        <v>-47.300564061240934</v>
      </c>
      <c r="FS5" s="4">
        <f>100*((HAVERQ!V146/HAVERQ!V$128)-1)</f>
        <v>-6.9942452412571914</v>
      </c>
      <c r="FT5" s="4">
        <f>100*(((HAVERQ!L146+HAVERQ!M146)/(HAVERQ!L$128+HAVERQ!M$128))-1)</f>
        <v>-4.8010904684975824</v>
      </c>
      <c r="FV5" s="26">
        <v>42339</v>
      </c>
      <c r="FW5" s="3">
        <f>HAVERM!G199</f>
        <v>343353</v>
      </c>
      <c r="GC5" s="22">
        <v>2010</v>
      </c>
      <c r="GD5" s="4">
        <f>100*(DataQ!W155/DataQ!W$194)</f>
        <v>73.538661776588583</v>
      </c>
      <c r="GE5" s="4">
        <f>100*(DataQ!X155/DataQ!X$194)</f>
        <v>70.761517912687083</v>
      </c>
      <c r="GF5" s="4">
        <f>100*(DataQ!C155/DataQ!C$194)</f>
        <v>66.908087879472205</v>
      </c>
      <c r="GG5" s="4"/>
      <c r="GH5">
        <v>100</v>
      </c>
      <c r="GJ5" s="22">
        <v>2005</v>
      </c>
      <c r="GK5" s="4">
        <f>100*(DataQ!Z135/AVERAGE(DataQ!$Z$203:$Z$206))</f>
        <v>67.924858858516885</v>
      </c>
      <c r="GL5" s="4">
        <f>100*(DataQ!C135/AVERAGE(DataQ!$C$203:$C$206))</f>
        <v>70.27948364456698</v>
      </c>
      <c r="GM5" s="4">
        <v>100</v>
      </c>
      <c r="GO5" s="22">
        <v>2005</v>
      </c>
      <c r="GP5" s="4">
        <f>100*(DataQ!Z135/DataQ!$Z$194)</f>
        <v>67.671443282774518</v>
      </c>
      <c r="GQ5" s="4">
        <f>100*(DataQ!C135/DataQ!$C$194)</f>
        <v>67.840436171242374</v>
      </c>
      <c r="GR5" s="4">
        <v>100</v>
      </c>
      <c r="GT5" s="5">
        <v>2018</v>
      </c>
      <c r="GU5" s="31">
        <f>HB5</f>
        <v>98.948285317933994</v>
      </c>
      <c r="GV5" s="31">
        <f>MIN(HC5:HH5)</f>
        <v>93.701190328580282</v>
      </c>
      <c r="GW5" s="4">
        <f t="shared" ref="GW5:GW20" si="9">+GY5-GV5</f>
        <v>11.699942148336987</v>
      </c>
      <c r="GX5" s="4">
        <v>100</v>
      </c>
      <c r="GY5" s="31">
        <f>MAX(HC5:HH5)</f>
        <v>105.40113247691727</v>
      </c>
      <c r="GZ5" s="4"/>
      <c r="HA5">
        <v>2018</v>
      </c>
      <c r="HB5" s="4">
        <f>100*(DataQ!C187/DataQ!C$194)</f>
        <v>98.948285317933994</v>
      </c>
      <c r="HC5" s="4">
        <f>100*(DataQ!Q187/DataQ!Q$194)</f>
        <v>94.445005554994438</v>
      </c>
      <c r="HD5" s="4">
        <f>100*(DataQ!R187/DataQ!R$194)</f>
        <v>105.40113247691727</v>
      </c>
      <c r="HE5" s="4">
        <f>100*(DataQ!S187/DataQ!S$194)</f>
        <v>96.262109303600795</v>
      </c>
      <c r="HF5" s="4">
        <f>100*(DataQ!T187/DataQ!T$194)</f>
        <v>93.701190328580282</v>
      </c>
      <c r="HG5" s="4">
        <f>100*(DataQ!U187/DataQ!U$194)</f>
        <v>98.836203776269116</v>
      </c>
      <c r="HH5" s="4">
        <f>100*(DataQ!V187/DataQ!V$194)</f>
        <v>97.446653291993428</v>
      </c>
      <c r="HJ5" s="5">
        <v>2018</v>
      </c>
      <c r="HK5" s="31">
        <f>HR5</f>
        <v>98.948285317933994</v>
      </c>
      <c r="HL5" s="31">
        <f>MIN(HS5:HX5)</f>
        <v>93.701190328580282</v>
      </c>
      <c r="HM5" s="4">
        <f t="shared" ref="HM5:HM30" si="10">+HO5-HL5</f>
        <v>11.699942148336987</v>
      </c>
      <c r="HN5" s="4">
        <v>100</v>
      </c>
      <c r="HO5" s="31">
        <f>MAX(HS5:HX5)</f>
        <v>105.40113247691727</v>
      </c>
      <c r="HP5" s="4"/>
      <c r="HQ5">
        <v>2018</v>
      </c>
      <c r="HR5" s="4">
        <f>100*(DataQ!C187/DataQ!C$194)</f>
        <v>98.948285317933994</v>
      </c>
      <c r="HS5" s="4">
        <f>100*(DataQ!Q187/DataQ!Q$194)</f>
        <v>94.445005554994438</v>
      </c>
      <c r="HT5" s="4">
        <f>100*(DataQ!R187/DataQ!R$194)</f>
        <v>105.40113247691727</v>
      </c>
      <c r="HU5" s="4">
        <f>100*(DataQ!S187/DataQ!S$194)</f>
        <v>96.262109303600795</v>
      </c>
      <c r="HV5" s="4">
        <f>100*(DataQ!T187/DataQ!T$194)</f>
        <v>93.701190328580282</v>
      </c>
      <c r="HW5" s="4">
        <f>100*(DataQ!U187/DataQ!U$194)</f>
        <v>98.836203776269116</v>
      </c>
      <c r="HX5" s="4">
        <f>100*(DataQ!V187/DataQ!V$194)</f>
        <v>97.446653291993428</v>
      </c>
      <c r="HY5" s="4"/>
      <c r="HZ5" s="22">
        <v>1990</v>
      </c>
      <c r="IA5">
        <f>DataA!J24/'Chart Data'!IF5</f>
        <v>1.7494581612621201</v>
      </c>
      <c r="IB5">
        <f>IA5</f>
        <v>1.7494581612621201</v>
      </c>
      <c r="IC5" s="4">
        <f>100*((IA5/IB5)-1)</f>
        <v>0</v>
      </c>
      <c r="ID5" s="21">
        <f>100*((IA22/IA5)^(1/17)-1)</f>
        <v>2.656570877731812</v>
      </c>
      <c r="IF5" s="3">
        <f>DataA!K24*DataA!L24</f>
        <v>903065.32330000005</v>
      </c>
      <c r="IH5" t="s">
        <v>103</v>
      </c>
      <c r="II5" s="21">
        <f>(HAVERQ!AJ147-HAVERQ!AJ1)/HAVERQ!AJ2</f>
        <v>-0.64986460872601481</v>
      </c>
      <c r="IJ5" s="21">
        <f>(HAVERQ!AK147-HAVERQ!AK1)/HAVERQ!AK2</f>
        <v>-0.15549090964451012</v>
      </c>
      <c r="IK5" s="21">
        <f>(HAVERQ!AL147-HAVERQ!AL1)/HAVERQ!AL2</f>
        <v>-0.15552630160793851</v>
      </c>
      <c r="IL5" s="21">
        <f>(HAVERQ!AM147-HAVERQ!AM1)/HAVERQ!AM2</f>
        <v>0.98209824585779837</v>
      </c>
      <c r="IM5" s="21">
        <f>(HAVERQ!AN147-HAVERQ!AN1)/HAVERQ!AN2</f>
        <v>-0.97139905386288428</v>
      </c>
      <c r="IN5" s="21">
        <f>(HAVERQ!AO147-HAVERQ!AO1)/HAVERQ!AO2</f>
        <v>0.91449688770989157</v>
      </c>
      <c r="IO5" s="21">
        <f>(HAVERQ!AP147-HAVERQ!AP1)/HAVERQ!AP2</f>
        <v>1.8777180581230737</v>
      </c>
      <c r="IQ5">
        <v>2007</v>
      </c>
      <c r="IR5" t="e">
        <f>HAVERQ!AH76</f>
        <v>#N/A</v>
      </c>
      <c r="IS5" s="4">
        <f>100*(('IPNR ex BNFL'!I45/'IPNR ex BNFL'!I41)-1)</f>
        <v>8.6831896551724075</v>
      </c>
      <c r="IT5">
        <v>0</v>
      </c>
    </row>
    <row r="6" spans="1:258" x14ac:dyDescent="0.25">
      <c r="B6" s="4">
        <f>100*((DataQ!C76/DataQ!C72)-1)</f>
        <v>1.9545723048581598</v>
      </c>
      <c r="C6" s="4">
        <f t="shared" ref="C6:C69" si="11">K6</f>
        <v>20.025766246217454</v>
      </c>
      <c r="D6" s="4">
        <v>0</v>
      </c>
      <c r="G6" s="4"/>
      <c r="I6" s="4">
        <v>0</v>
      </c>
      <c r="K6" s="4">
        <f t="shared" ref="K6:K69" si="12">L6</f>
        <v>20.025766246217454</v>
      </c>
      <c r="L6" s="4">
        <f>100*(HAVERQ!AF10/HAVERQ!AI10)</f>
        <v>20.025766246217454</v>
      </c>
      <c r="O6" s="4">
        <f>100*('ONS CVM_SA_(Quarterly)'!B90/'ONS CVM_SA_(Quarterly)'!B$101)</f>
        <v>111.568328750836</v>
      </c>
      <c r="P6" s="4">
        <f>100*('ONS CVM_SA_(Quarterly)'!D90/'ONS CVM_SA_(Quarterly)'!D$101)</f>
        <v>113.69952591139447</v>
      </c>
      <c r="R6">
        <v>100</v>
      </c>
      <c r="U6" s="3">
        <f>'ONS CVM_SA_(Quarterly)'!C102-'ONS CVM_SA_(Quarterly)'!C$101</f>
        <v>-52</v>
      </c>
      <c r="V6" s="3">
        <f>'ONS CVM_SA_(Quarterly)'!D102-'ONS CVM_SA_(Quarterly)'!D$101</f>
        <v>101</v>
      </c>
      <c r="W6" s="3">
        <f>'ONS CVM_SA_(Quarterly)'!E102-'ONS CVM_SA_(Quarterly)'!E$101</f>
        <v>1967</v>
      </c>
      <c r="X6" s="3">
        <f>'ONS CVM_SA_(Quarterly)'!F102-'ONS CVM_SA_(Quarterly)'!F$101</f>
        <v>2097</v>
      </c>
      <c r="Y6" s="3">
        <f>'ONS CVM_SA_(Quarterly)'!B102-'ONS CVM_SA_(Quarterly)'!B$101</f>
        <v>4159</v>
      </c>
      <c r="AB6" s="4">
        <f>100*(U6/'ONS CVM_SA_(Quarterly)'!$B$101)</f>
        <v>-9.6603997919298509E-2</v>
      </c>
      <c r="AC6" s="4">
        <f>100*(V6/'ONS CVM_SA_(Quarterly)'!$B$101)</f>
        <v>0.18763468826632981</v>
      </c>
      <c r="AD6" s="4">
        <f>100*(W6/'ONS CVM_SA_(Quarterly)'!$B$101)</f>
        <v>3.6542319982165417</v>
      </c>
      <c r="AE6" s="4">
        <f>100*(X6/'ONS CVM_SA_(Quarterly)'!$B$101)</f>
        <v>3.8957419930147874</v>
      </c>
      <c r="AF6" s="4">
        <f>100*(('ONS CVM_SA_(Quarterly)'!B102/'ONS CVM_SA_(Quarterly)'!B$101)-1)</f>
        <v>7.7264620643531234</v>
      </c>
      <c r="AI6" s="4">
        <f>100*(('ONS CVM_SA_(Quarterly)'!C94-'ONS CVM_SA_(Quarterly)'!C$96)/'ONS CVM_SA_(Quarterly)'!$B$96)</f>
        <v>2.1598864406232861</v>
      </c>
      <c r="AJ6" s="4">
        <f>100*(('ONS CVM_SA_(Quarterly)'!D94-'ONS CVM_SA_(Quarterly)'!D$96)/'ONS CVM_SA_(Quarterly)'!$B$96)</f>
        <v>0.91460463915862822</v>
      </c>
      <c r="AK6" s="4">
        <f>100*(('ONS CVM_SA_(Quarterly)'!E94-'ONS CVM_SA_(Quarterly)'!E$96)/'ONS CVM_SA_(Quarterly)'!$B$96)</f>
        <v>0.18872794141368521</v>
      </c>
      <c r="AL6" s="4">
        <f>100*(('ONS CVM_SA_(Quarterly)'!F94-'ONS CVM_SA_(Quarterly)'!F$96)/'ONS CVM_SA_(Quarterly)'!$B$96)</f>
        <v>-1.0839758686324483</v>
      </c>
      <c r="AM6" s="4">
        <f>100*(('ONS CVM_SA_(Quarterly)'!B94-'ONS CVM_SA_(Quarterly)'!B$96)/'ONS CVM_SA_(Quarterly)'!$B$96)</f>
        <v>0.30164209439623191</v>
      </c>
      <c r="AP6" s="4">
        <f>100*(('ONS CVM_SA_(Quarterly)'!C82-AVERAGE('ONS CVM_SA_(Quarterly)'!C$81:C$84))/AVERAGE('ONS CVM_SA_(Quarterly)'!$B$81:$B$84))</f>
        <v>0.34278351559746034</v>
      </c>
      <c r="AQ6" s="4">
        <f>100*(('ONS CVM_SA_(Quarterly)'!D82-AVERAGE('ONS CVM_SA_(Quarterly)'!D$81:D$84))/AVERAGE('ONS CVM_SA_(Quarterly)'!$B$81:$B$84))</f>
        <v>0.14870159600977298</v>
      </c>
      <c r="AR6" s="4">
        <f>100*(('ONS CVM_SA_(Quarterly)'!E82-AVERAGE('ONS CVM_SA_(Quarterly)'!E$81:E$84))/AVERAGE('ONS CVM_SA_(Quarterly)'!$B$81:$B$84))</f>
        <v>0.44205297342414807</v>
      </c>
      <c r="AS6" s="4">
        <f>100*(('ONS CVM_SA_(Quarterly)'!F82-AVERAGE('ONS CVM_SA_(Quarterly)'!F$81:F$84))/AVERAGE('ONS CVM_SA_(Quarterly)'!$B$81:$B$84))</f>
        <v>-6.2397944919632256E-2</v>
      </c>
      <c r="AT6" s="4">
        <f>100*(('ONS CVM_SA_(Quarterly)'!B82-AVERAGE('ONS CVM_SA_(Quarterly)'!B$81:B$84))/AVERAGE('ONS CVM_SA_(Quarterly)'!$B$81:$B$84))</f>
        <v>-0.32698143863729368</v>
      </c>
      <c r="AV6" s="36">
        <v>43497</v>
      </c>
      <c r="AW6" s="21">
        <f>HAVERM!D237</f>
        <v>0.75</v>
      </c>
      <c r="AX6" s="21">
        <f>HAVERM!B237</f>
        <v>3.34</v>
      </c>
      <c r="AY6" s="21">
        <f>HAVERM!C237</f>
        <v>2.46</v>
      </c>
      <c r="BA6" s="36">
        <v>44562</v>
      </c>
      <c r="BB6" s="21">
        <f t="shared" ref="BB6:BC6" si="13">AX41-AX$39</f>
        <v>0.10999999999999988</v>
      </c>
      <c r="BC6" s="21">
        <f t="shared" si="13"/>
        <v>-1.0000000000000231E-2</v>
      </c>
      <c r="BD6" s="3">
        <v>1000</v>
      </c>
      <c r="BE6" s="3"/>
      <c r="BF6" s="21">
        <v>0</v>
      </c>
      <c r="BJ6" s="4">
        <f>100*(HAVERQ!B122/HAVERQ!B$128)</f>
        <v>96.872277962383464</v>
      </c>
      <c r="BK6" s="4">
        <f>100*(HAVERQ!I122/HAVERQ!I$128)</f>
        <v>102.28149100257069</v>
      </c>
      <c r="BL6" s="4">
        <f>100*(HAVERQ!J122/HAVERQ!J$128)</f>
        <v>91.231537341377162</v>
      </c>
      <c r="BM6" s="4">
        <f>100*(HAVERQ!K122/HAVERQ!K$128)</f>
        <v>63.234384662956089</v>
      </c>
      <c r="BN6" s="4">
        <f>100*((HAVERQ!L122+HAVERQ!M122)/(HAVERQ!L$128+HAVERQ!M$128))</f>
        <v>94.90862277867528</v>
      </c>
      <c r="BO6">
        <v>100</v>
      </c>
      <c r="BR6" s="3">
        <f>HAVERQ!I122-HAVERQ!I$128</f>
        <v>213</v>
      </c>
      <c r="BS6" s="3">
        <f>HAVERQ!J122-HAVERQ!J$128</f>
        <v>-843</v>
      </c>
      <c r="BT6" s="3">
        <f>HAVERQ!K122-HAVERQ!K$128</f>
        <v>-1189</v>
      </c>
      <c r="BU6" s="3">
        <f>(HAVERQ!L122+HAVERQ!M122)-(HAVERQ!L$128+HAVERQ!M$128)</f>
        <v>-2017</v>
      </c>
      <c r="BV6" s="3">
        <f>HAVERQ!N122-HAVERQ!N$128</f>
        <v>-100</v>
      </c>
      <c r="BW6" s="3">
        <f>HAVERQ!B122-HAVERQ!B$128</f>
        <v>-1939</v>
      </c>
      <c r="BZ6" s="4">
        <f>100*((HAVERQ!I126-HAVERQ!I$128)/HAVERQ!$B$128)</f>
        <v>0.59683195147917545</v>
      </c>
      <c r="CA6" s="4">
        <f>100*((HAVERQ!J126-HAVERQ!J$128)/HAVERQ!$B$128)</f>
        <v>-2.6196083491950835</v>
      </c>
      <c r="CB6" s="4">
        <f>100*((HAVERQ!K126-HAVERQ!K$128)/HAVERQ!$B$128)</f>
        <v>-0.10484885634093621</v>
      </c>
      <c r="CC6" s="4">
        <f>100*(((HAVERQ!L126+HAVERQ!M126)-(HAVERQ!L$128+HAVERQ!M$128))/HAVERQ!$B$128)</f>
        <v>-0.28551150111301093</v>
      </c>
      <c r="CD6" s="4">
        <f t="shared" ref="CD6:CD26" si="14">CE6-BZ6-CA6-CB6-CC6</f>
        <v>2.7147788495660876</v>
      </c>
      <c r="CE6" s="4">
        <f>100*((HAVERQ!B126-HAVERQ!B$128)/HAVERQ!B$128)</f>
        <v>0.30164209439623191</v>
      </c>
      <c r="CH6" s="3">
        <f>HAVERQ!I122</f>
        <v>9549</v>
      </c>
      <c r="CI6" s="3">
        <f>HAVERQ!J122</f>
        <v>8771</v>
      </c>
      <c r="CJ6" s="3">
        <f>HAVERQ!K122</f>
        <v>2045</v>
      </c>
      <c r="CK6" s="3">
        <f>HAVERQ!L122+HAVERQ!M122</f>
        <v>37599</v>
      </c>
      <c r="CL6" s="3">
        <f>HAVERQ!N122</f>
        <v>1258</v>
      </c>
      <c r="CO6" s="3">
        <f t="shared" ref="CO6:CO20" si="15">CX6</f>
        <v>-89</v>
      </c>
      <c r="CP6" s="3">
        <f t="shared" si="0"/>
        <v>45</v>
      </c>
      <c r="CQ6" s="3">
        <f t="shared" si="0"/>
        <v>75</v>
      </c>
      <c r="CR6" s="3">
        <f t="shared" si="0"/>
        <v>-1635</v>
      </c>
      <c r="CS6" s="3">
        <f t="shared" ref="CS6:CS20" si="16">DC6</f>
        <v>1220</v>
      </c>
      <c r="CT6" s="3">
        <f t="shared" ref="CT6:CT20" si="17">+DB6+DD6+DE6+DF6</f>
        <v>-558</v>
      </c>
      <c r="CU6" s="3">
        <f t="shared" si="1"/>
        <v>-2017</v>
      </c>
      <c r="CX6" s="3">
        <f>HAVERQ!L122-HAVERQ!L$128</f>
        <v>-89</v>
      </c>
      <c r="CY6" s="3">
        <f>HAVERQ!O122-HAVERQ!O$128</f>
        <v>45</v>
      </c>
      <c r="CZ6" s="3">
        <f>HAVERQ!P122-HAVERQ!P$128</f>
        <v>75</v>
      </c>
      <c r="DA6" s="3">
        <f>HAVERQ!Q122-HAVERQ!Q$128</f>
        <v>-1635</v>
      </c>
      <c r="DB6" s="3">
        <f>HAVERQ!R122-HAVERQ!R$128</f>
        <v>-202</v>
      </c>
      <c r="DC6" s="3">
        <f>HAVERQ!S122-HAVERQ!S$128</f>
        <v>1220</v>
      </c>
      <c r="DD6" s="3">
        <f>HAVERQ!T122-HAVERQ!T$128</f>
        <v>95</v>
      </c>
      <c r="DE6" s="3">
        <f>HAVERQ!U122-HAVERQ!U$128</f>
        <v>-110</v>
      </c>
      <c r="DF6" s="3">
        <f>HAVERQ!V122-HAVERQ!V$128</f>
        <v>-341</v>
      </c>
      <c r="DG6" s="3">
        <f>(HAVERQ!L122+HAVERQ!M122)-(HAVERQ!L$128+HAVERQ!M$128)</f>
        <v>-2017</v>
      </c>
      <c r="DJ6" s="4">
        <f>100*(HAVERQ!C122/HAVERQ!C$128)</f>
        <v>98.307881661120476</v>
      </c>
      <c r="DK6" s="4">
        <f>100*(HAVERQ!D122/HAVERQ!D$128)</f>
        <v>72.868561278863226</v>
      </c>
      <c r="DL6" s="4">
        <f>100*(HAVERQ!E122/HAVERQ!E$128)</f>
        <v>104.36118306126136</v>
      </c>
      <c r="DM6" s="4">
        <f>100*(HAVERQ!F122/HAVERQ!F$128)</f>
        <v>100.79687561639513</v>
      </c>
      <c r="DN6" s="4">
        <f>100*(HAVERQ!G122/HAVERQ!G$128)</f>
        <v>98.594588762105147</v>
      </c>
      <c r="DO6" s="4">
        <f>100*(HAVERQ!H122/HAVERQ!H$128)</f>
        <v>97.01063306466871</v>
      </c>
      <c r="DP6">
        <v>100</v>
      </c>
      <c r="DS6" s="3">
        <f>HAVERQ!D122-HAVERQ!D$128</f>
        <v>-1222</v>
      </c>
      <c r="DT6" s="3">
        <f>HAVERQ!E122-HAVERQ!E$128</f>
        <v>724</v>
      </c>
      <c r="DU6" s="3">
        <f>HAVERQ!F122-HAVERQ!F$128</f>
        <v>202</v>
      </c>
      <c r="DV6" s="3">
        <f>HAVERQ!G122-HAVERQ!G$128</f>
        <v>-521</v>
      </c>
      <c r="DW6" s="3">
        <f>HAVERQ!H122-HAVERQ!H$128</f>
        <v>-790</v>
      </c>
      <c r="DX6" s="3">
        <f>HAVERQ!C122-HAVERQ!C$128</f>
        <v>-1856</v>
      </c>
      <c r="EA6" s="4">
        <f t="shared" si="2"/>
        <v>0.67591526976069161</v>
      </c>
      <c r="EB6" s="4">
        <f t="shared" si="3"/>
        <v>0.61095198244478333</v>
      </c>
      <c r="EC6" s="4">
        <f t="shared" ref="EC6:EC69" si="18">100*((EJ10/EJ6)-1)</f>
        <v>12.089860352155423</v>
      </c>
      <c r="ED6" s="3">
        <v>0</v>
      </c>
      <c r="EF6" s="4">
        <f t="shared" si="4"/>
        <v>1.2868672522054749</v>
      </c>
      <c r="EG6" s="4">
        <f t="shared" si="5"/>
        <v>0.98404781019667842</v>
      </c>
      <c r="EJ6" s="3">
        <f>'IPNR ex BNFL'!I14</f>
        <v>41175</v>
      </c>
      <c r="EM6" s="4">
        <f t="shared" si="6"/>
        <v>1.2868672522054749</v>
      </c>
      <c r="EN6" s="4">
        <f t="shared" si="7"/>
        <v>0.98936090862386861</v>
      </c>
      <c r="EO6" s="4">
        <f t="shared" si="8"/>
        <v>0.67591526976069161</v>
      </c>
      <c r="ER6" s="4">
        <f>(HAVERQ!W48*$EW$2)+(HAVERQ!X48*$EX$2)/($EW$2+$EX$2)</f>
        <v>23.286937745645105</v>
      </c>
      <c r="ES6" s="4">
        <f>(HAVERQ!AB48*$EW$2)+(HAVERQ!AC48*$EY$2)+(HAVERQ!AD48*$EZ$2)+(HAVERQ!AE48*$FA$2)/($EW$2+$EY$2+$EZ$2+$FA$2)</f>
        <v>7.6862818833195847</v>
      </c>
      <c r="ET6" s="21">
        <f>(HAVERQ!Y48*$EW$2)+(HAVERQ!Z48*$EX$2)/($EW$2+$EX$2)</f>
        <v>1.8841606417908032</v>
      </c>
      <c r="FC6" s="26">
        <v>43497</v>
      </c>
      <c r="FD6" s="4">
        <f>100*((HAVERM!E237+HAVERM!F237)/(HAVERM!E$249+HAVERM!F$249))</f>
        <v>99.010631946881276</v>
      </c>
      <c r="FE6" s="4">
        <f>100*(HAVERM!E237/HAVERM!E$249)</f>
        <v>98.881600102900506</v>
      </c>
      <c r="FF6" s="4">
        <f>100*(HAVERM!F237/HAVERM!F$249)</f>
        <v>99.081432443114451</v>
      </c>
      <c r="FG6">
        <v>100</v>
      </c>
      <c r="FI6" t="s">
        <v>956</v>
      </c>
      <c r="FJ6" s="4">
        <f>100*((HAVERM!AR301/HAVERM!AR$247)-1)</f>
        <v>-10.687934603747539</v>
      </c>
      <c r="FK6" s="4">
        <f>100*((HAVERM!AS301/HAVERM!AS$247)-1)</f>
        <v>74.410266087941125</v>
      </c>
      <c r="FL6" s="4">
        <f>100*((HAVERM!AT301/HAVERM!AT$247)-1)</f>
        <v>5.3551277228738536</v>
      </c>
      <c r="FM6" s="4">
        <f>100*((HAVERM!AU301/HAVERM!AU$247)-1)</f>
        <v>-1.0601874808150891</v>
      </c>
      <c r="FN6" s="4">
        <f>100*((HAVERM!AV301/HAVERM!AV$247)-1)</f>
        <v>0.13226484089317037</v>
      </c>
      <c r="FO6" s="4">
        <f>100*((HAVERM!AW301/HAVERM!AW$247)-1)</f>
        <v>32.185076424967995</v>
      </c>
      <c r="FP6" s="4">
        <f>100*((HAVERM!AX301/HAVERM!AX$247)-1)</f>
        <v>17.050047535332837</v>
      </c>
      <c r="FQ6" s="4">
        <f>100*((HAVERM!AY301/HAVERM!AY$247)-1)</f>
        <v>-22.896941995864616</v>
      </c>
      <c r="FR6" s="4">
        <f>100*((HAVERM!AZ301/HAVERM!AZ$247)-1)</f>
        <v>-2.7274588066728112</v>
      </c>
      <c r="FS6" s="4">
        <f>100*((HAVERM!BA301/HAVERM!BA$247)-1)</f>
        <v>4.9358210930263269</v>
      </c>
      <c r="FT6" s="4">
        <f>100*((HAVERM!BB301/HAVERM!BB$247)-1)</f>
        <v>9.8896070468455157</v>
      </c>
      <c r="FV6" s="26">
        <v>42370</v>
      </c>
      <c r="FW6" s="3">
        <f>HAVERM!G200</f>
        <v>347433</v>
      </c>
      <c r="FX6" s="4"/>
      <c r="FY6" s="3">
        <f t="shared" ref="FY6:FY51" si="19">FW6-FW5</f>
        <v>4080</v>
      </c>
      <c r="GD6" s="4">
        <f>100*(DataQ!W156/DataQ!W$194)</f>
        <v>72.32501278161898</v>
      </c>
      <c r="GE6" s="4">
        <f>100*(DataQ!X156/DataQ!X$194)</f>
        <v>69.916200095143992</v>
      </c>
      <c r="GF6" s="4">
        <f>100*(DataQ!C156/DataQ!C$194)</f>
        <v>65.906378036584186</v>
      </c>
      <c r="GG6" s="4"/>
      <c r="GH6">
        <v>100</v>
      </c>
      <c r="GK6" s="4">
        <f>100*(DataQ!Z136/AVERAGE(DataQ!$Z$203:$Z$206))</f>
        <v>69.771414305548859</v>
      </c>
      <c r="GL6" s="4">
        <f>100*(DataQ!C136/AVERAGE(DataQ!$C$203:$C$206))</f>
        <v>72.212056648702855</v>
      </c>
      <c r="GM6" s="4">
        <v>100</v>
      </c>
      <c r="GP6" s="4">
        <f>100*(DataQ!Z136/DataQ!$Z$194)</f>
        <v>69.511109559632061</v>
      </c>
      <c r="GQ6" s="4">
        <f>100*(DataQ!C136/DataQ!$C$194)</f>
        <v>69.705939284446885</v>
      </c>
      <c r="GR6" s="4">
        <v>100</v>
      </c>
      <c r="GT6" s="5"/>
      <c r="GU6" s="31">
        <f t="shared" ref="GU6:GU21" si="20">HB6</f>
        <v>96.872277962383464</v>
      </c>
      <c r="GV6" s="31">
        <f t="shared" ref="GV6:GV21" si="21">MIN(HC6:HH6)</f>
        <v>94.856788592684424</v>
      </c>
      <c r="GW6" s="4">
        <f t="shared" si="9"/>
        <v>12.084499574435711</v>
      </c>
      <c r="GX6" s="4">
        <v>100</v>
      </c>
      <c r="GY6" s="31">
        <f t="shared" ref="GY6:GY20" si="22">MAX(HC6:HH6)</f>
        <v>106.94128816712013</v>
      </c>
      <c r="GZ6" s="4"/>
      <c r="HB6" s="4">
        <f>100*(DataQ!C188/DataQ!C$194)</f>
        <v>96.872277962383464</v>
      </c>
      <c r="HC6" s="4">
        <f>100*(DataQ!Q188/DataQ!Q$194)</f>
        <v>95.51560448439551</v>
      </c>
      <c r="HD6" s="4">
        <f>100*(DataQ!R188/DataQ!R$194)</f>
        <v>106.94128816712013</v>
      </c>
      <c r="HE6" s="4">
        <f>100*(DataQ!S188/DataQ!S$194)</f>
        <v>97.989398647413623</v>
      </c>
      <c r="HF6" s="4">
        <f>100*(DataQ!T188/DataQ!T$194)</f>
        <v>94.856788592684424</v>
      </c>
      <c r="HG6" s="4">
        <f>100*(DataQ!U188/DataQ!U$194)</f>
        <v>100.8195279820975</v>
      </c>
      <c r="HH6" s="4">
        <f>100*(DataQ!V188/DataQ!V$194)</f>
        <v>98.996503025160777</v>
      </c>
      <c r="HJ6" s="5"/>
      <c r="HK6" s="31">
        <f t="shared" ref="HK6:HK30" si="23">HR6</f>
        <v>96.872277962383464</v>
      </c>
      <c r="HL6" s="31">
        <f t="shared" ref="HL6:HL30" si="24">MIN(HS6:HX6)</f>
        <v>94.856788592684424</v>
      </c>
      <c r="HM6" s="4">
        <f t="shared" si="10"/>
        <v>12.084499574435711</v>
      </c>
      <c r="HN6" s="4">
        <v>100</v>
      </c>
      <c r="HO6" s="31">
        <f t="shared" ref="HO6:HO20" si="25">MAX(HS6:HX6)</f>
        <v>106.94128816712013</v>
      </c>
      <c r="HP6" s="4"/>
      <c r="HR6" s="4">
        <f>100*(DataQ!C188/DataQ!C$194)</f>
        <v>96.872277962383464</v>
      </c>
      <c r="HS6" s="4">
        <f>100*(DataQ!Q188/DataQ!Q$194)</f>
        <v>95.51560448439551</v>
      </c>
      <c r="HT6" s="4">
        <f>100*(DataQ!R188/DataQ!R$194)</f>
        <v>106.94128816712013</v>
      </c>
      <c r="HU6" s="4">
        <f>100*(DataQ!S188/DataQ!S$194)</f>
        <v>97.989398647413623</v>
      </c>
      <c r="HV6" s="4">
        <f>100*(DataQ!T188/DataQ!T$194)</f>
        <v>94.856788592684424</v>
      </c>
      <c r="HW6" s="4">
        <f>100*(DataQ!U188/DataQ!U$194)</f>
        <v>100.8195279820975</v>
      </c>
      <c r="HX6" s="4">
        <f>100*(DataQ!V188/DataQ!V$194)</f>
        <v>98.996503025160777</v>
      </c>
      <c r="HZ6" s="22">
        <v>1991</v>
      </c>
      <c r="IA6">
        <f>DataA!J25/'Chart Data'!IF6</f>
        <v>1.8782796504962043</v>
      </c>
      <c r="IB6">
        <f t="shared" ref="IB6:IB41" si="26">IB5*(1+$ID$5/100)</f>
        <v>1.795933757292312</v>
      </c>
      <c r="IC6" s="4">
        <f t="shared" ref="IC6:IC41" si="27">100*((IA6/IB6)-1)</f>
        <v>4.5851297615811415</v>
      </c>
      <c r="IF6" s="3">
        <f>DataA!K25*DataA!L25</f>
        <v>868391.45574999996</v>
      </c>
      <c r="IH6" t="s">
        <v>1400</v>
      </c>
      <c r="II6" s="21">
        <f>(HAVERQ!AQ147-HAVERQ!AQ1)/HAVERQ!AQ2</f>
        <v>0.40991030319539873</v>
      </c>
      <c r="IJ6" s="21">
        <f>(HAVERQ!AR147-HAVERQ!AR1)/HAVERQ!AR2</f>
        <v>0.74386751696634346</v>
      </c>
      <c r="IK6" s="21">
        <f>(HAVERQ!AS147-HAVERQ!AS1)/HAVERQ!AS2</f>
        <v>-4.8963608845271823E-2</v>
      </c>
      <c r="IL6" s="21">
        <f>(HAVERQ!AT147-HAVERQ!AT1)/HAVERQ!AT2</f>
        <v>2.0208248259994459</v>
      </c>
      <c r="IM6" s="21">
        <f>(HAVERQ!AU147-HAVERQ!AU1)/HAVERQ!AU2</f>
        <v>-1.5628406069096805</v>
      </c>
      <c r="IN6" s="21">
        <f>(HAVERQ!AV147-HAVERQ!AV1)/HAVERQ!AV2</f>
        <v>0.48966085351538741</v>
      </c>
      <c r="IO6" s="21">
        <f>(HAVERQ!AW147-HAVERQ!AW1)/HAVERQ!AW2</f>
        <v>2.6192848273583986</v>
      </c>
      <c r="IR6" t="e">
        <f>HAVERQ!AH77</f>
        <v>#N/A</v>
      </c>
      <c r="IS6" s="4">
        <f>100*(('IPNR ex BNFL'!I46/'IPNR ex BNFL'!I42)-1)</f>
        <v>14.678178963893252</v>
      </c>
      <c r="IT6">
        <v>0</v>
      </c>
    </row>
    <row r="7" spans="1:258" x14ac:dyDescent="0.25">
      <c r="B7" s="4">
        <f>100*((DataQ!C77/DataQ!C73)-1)</f>
        <v>-2.5390103273779774</v>
      </c>
      <c r="C7" s="4">
        <f t="shared" si="11"/>
        <v>20.106923596627794</v>
      </c>
      <c r="D7" s="4">
        <v>0</v>
      </c>
      <c r="G7" s="4"/>
      <c r="I7" s="4">
        <v>0</v>
      </c>
      <c r="K7" s="4">
        <f t="shared" si="12"/>
        <v>20.106923596627794</v>
      </c>
      <c r="L7" s="4">
        <f>100*(HAVERQ!AF11/HAVERQ!AI11)</f>
        <v>20.106923596627794</v>
      </c>
      <c r="O7" s="4">
        <f>100*('ONS CVM_SA_(Quarterly)'!B91/'ONS CVM_SA_(Quarterly)'!B$101)</f>
        <v>111.67979490228134</v>
      </c>
      <c r="P7" s="4">
        <f>100*('ONS CVM_SA_(Quarterly)'!D91/'ONS CVM_SA_(Quarterly)'!D$101)</f>
        <v>112.56334804642798</v>
      </c>
      <c r="R7">
        <v>100</v>
      </c>
      <c r="U7" s="3">
        <f>'ONS CVM_SA_(Quarterly)'!C103-'ONS CVM_SA_(Quarterly)'!C$101</f>
        <v>762</v>
      </c>
      <c r="V7" s="3">
        <f>'ONS CVM_SA_(Quarterly)'!D103-'ONS CVM_SA_(Quarterly)'!D$101</f>
        <v>640</v>
      </c>
      <c r="W7" s="3">
        <f>'ONS CVM_SA_(Quarterly)'!E103-'ONS CVM_SA_(Quarterly)'!E$101</f>
        <v>1149</v>
      </c>
      <c r="X7" s="3">
        <f>'ONS CVM_SA_(Quarterly)'!F103-'ONS CVM_SA_(Quarterly)'!F$101</f>
        <v>553</v>
      </c>
      <c r="Y7" s="3">
        <f>'ONS CVM_SA_(Quarterly)'!B103-'ONS CVM_SA_(Quarterly)'!B$101</f>
        <v>3170</v>
      </c>
      <c r="AB7" s="4">
        <f>100*(U7/'ONS CVM_SA_(Quarterly)'!$B$101)</f>
        <v>1.4156201233558743</v>
      </c>
      <c r="AC7" s="4">
        <f>100*(V7/'ONS CVM_SA_(Quarterly)'!$B$101)</f>
        <v>1.1889722820836739</v>
      </c>
      <c r="AD7" s="4">
        <f>100*(W7/'ONS CVM_SA_(Quarterly)'!$B$101)</f>
        <v>2.1345768001783458</v>
      </c>
      <c r="AE7" s="4">
        <f>100*(X7/'ONS CVM_SA_(Quarterly)'!$B$101)</f>
        <v>1.0273463624879247</v>
      </c>
      <c r="AF7" s="4">
        <f>100*(('ONS CVM_SA_(Quarterly)'!B103/'ONS CVM_SA_(Quarterly)'!B$101)-1)</f>
        <v>5.8891283346957035</v>
      </c>
      <c r="AI7" s="4">
        <f>100*(('ONS CVM_SA_(Quarterly)'!C95-'ONS CVM_SA_(Quarterly)'!C$96)/'ONS CVM_SA_(Quarterly)'!$B$96)</f>
        <v>1.2049553182566055</v>
      </c>
      <c r="AJ7" s="4">
        <f>100*(('ONS CVM_SA_(Quarterly)'!D95-'ONS CVM_SA_(Quarterly)'!D$96)/'ONS CVM_SA_(Quarterly)'!$B$96)</f>
        <v>3.7100364551408201E-2</v>
      </c>
      <c r="AK7" s="4">
        <f>100*(('ONS CVM_SA_(Quarterly)'!E95-'ONS CVM_SA_(Quarterly)'!E$96)/'ONS CVM_SA_(Quarterly)'!$B$96)</f>
        <v>-0.81782107945930249</v>
      </c>
      <c r="AL7" s="4">
        <f>100*(('ONS CVM_SA_(Quarterly)'!F95-'ONS CVM_SA_(Quarterly)'!F$96)/'ONS CVM_SA_(Quarterly)'!$B$96)</f>
        <v>-0.36132528954414944</v>
      </c>
      <c r="AM7" s="4">
        <f>100*(('ONS CVM_SA_(Quarterly)'!B95-'ONS CVM_SA_(Quarterly)'!B$96)/'ONS CVM_SA_(Quarterly)'!$B$96)</f>
        <v>-0.10000967835596994</v>
      </c>
      <c r="AP7" s="4">
        <f>100*(('ONS CVM_SA_(Quarterly)'!C83-AVERAGE('ONS CVM_SA_(Quarterly)'!C$81:C$84))/AVERAGE('ONS CVM_SA_(Quarterly)'!$B$81:$B$84))</f>
        <v>1.3249433758908926</v>
      </c>
      <c r="AQ7" s="4">
        <f>100*(('ONS CVM_SA_(Quarterly)'!D83-AVERAGE('ONS CVM_SA_(Quarterly)'!D$81:D$84))/AVERAGE('ONS CVM_SA_(Quarterly)'!$B$81:$B$84))</f>
        <v>0.28646329258558445</v>
      </c>
      <c r="AR7" s="4">
        <f>100*(('ONS CVM_SA_(Quarterly)'!E83-AVERAGE('ONS CVM_SA_(Quarterly)'!E$81:E$84))/AVERAGE('ONS CVM_SA_(Quarterly)'!$B$81:$B$84))</f>
        <v>0.25404877574421703</v>
      </c>
      <c r="AS7" s="4">
        <f>100*(('ONS CVM_SA_(Quarterly)'!F83-AVERAGE('ONS CVM_SA_(Quarterly)'!F$81:F$84))/AVERAGE('ONS CVM_SA_(Quarterly)'!$B$81:$B$84))</f>
        <v>0.17260730218028145</v>
      </c>
      <c r="AT7" s="4">
        <f>100*(('ONS CVM_SA_(Quarterly)'!B83-AVERAGE('ONS CVM_SA_(Quarterly)'!B$81:B$84))/AVERAGE('ONS CVM_SA_(Quarterly)'!$B$81:$B$84))</f>
        <v>2.0652099042556209</v>
      </c>
      <c r="AV7" s="36">
        <v>43525</v>
      </c>
      <c r="AW7" s="21">
        <f>HAVERM!D238</f>
        <v>0.75</v>
      </c>
      <c r="AX7" s="21">
        <f>HAVERM!B238</f>
        <v>3.34</v>
      </c>
      <c r="AY7" s="21">
        <f>HAVERM!C238</f>
        <v>2.4500000000000002</v>
      </c>
      <c r="BA7" s="36">
        <v>44593</v>
      </c>
      <c r="BB7" s="21">
        <f t="shared" ref="BB7:BC7" si="28">AX42-AX$39</f>
        <v>0.25</v>
      </c>
      <c r="BC7" s="21">
        <f t="shared" si="28"/>
        <v>0</v>
      </c>
      <c r="BD7" s="3">
        <v>1000</v>
      </c>
      <c r="BE7" s="3"/>
      <c r="BF7" s="21">
        <v>0</v>
      </c>
      <c r="BJ7" s="4">
        <f>100*(HAVERQ!B123/HAVERQ!B$128)</f>
        <v>96.969061522082782</v>
      </c>
      <c r="BK7" s="4">
        <f>100*(HAVERQ!I123/HAVERQ!I$128)</f>
        <v>105.40916880891173</v>
      </c>
      <c r="BL7" s="4">
        <f>100*(HAVERQ!J123/HAVERQ!J$128)</f>
        <v>85.105055127938428</v>
      </c>
      <c r="BM7" s="4">
        <f>100*(HAVERQ!K123/HAVERQ!K$128)</f>
        <v>70.34632034632034</v>
      </c>
      <c r="BN7" s="4">
        <f>100*((HAVERQ!L123+HAVERQ!M123)/(HAVERQ!L$128+HAVERQ!M$128))</f>
        <v>104.36439822294024</v>
      </c>
      <c r="BO7">
        <v>100</v>
      </c>
      <c r="BR7" s="3">
        <f>HAVERQ!I123-HAVERQ!I$128</f>
        <v>505</v>
      </c>
      <c r="BS7" s="3">
        <f>HAVERQ!J123-HAVERQ!J$128</f>
        <v>-1432</v>
      </c>
      <c r="BT7" s="3">
        <f>HAVERQ!K123-HAVERQ!K$128</f>
        <v>-959</v>
      </c>
      <c r="BU7" s="3">
        <f>(HAVERQ!L123+HAVERQ!M123)-(HAVERQ!L$128+HAVERQ!M$128)</f>
        <v>1729</v>
      </c>
      <c r="BV7" s="3">
        <f>HAVERQ!N123-HAVERQ!N$128</f>
        <v>-111</v>
      </c>
      <c r="BW7" s="3">
        <f>HAVERQ!B123-HAVERQ!B$128</f>
        <v>-1879</v>
      </c>
      <c r="BZ7" s="4">
        <f>100*((HAVERQ!I127-HAVERQ!I$128)/HAVERQ!$B$128)</f>
        <v>0.23550666193502598</v>
      </c>
      <c r="CA7" s="4">
        <f>100*((HAVERQ!J127-HAVERQ!J$128)/HAVERQ!$B$128)</f>
        <v>-2.7373616801625964</v>
      </c>
      <c r="CB7" s="4">
        <f>100*((HAVERQ!K127-HAVERQ!K$128)/HAVERQ!$B$128)</f>
        <v>-0.31615962835113076</v>
      </c>
      <c r="CC7" s="4">
        <f>100*(((HAVERQ!L127+HAVERQ!M127)-(HAVERQ!L$128+HAVERQ!M$128))/HAVERQ!$B$128)</f>
        <v>0.67587185856695808</v>
      </c>
      <c r="CD7" s="4">
        <f t="shared" si="14"/>
        <v>2.0421331096557731</v>
      </c>
      <c r="CE7" s="4">
        <f>100*((HAVERQ!B127-HAVERQ!B$128)/HAVERQ!B$128)</f>
        <v>-0.10000967835596994</v>
      </c>
      <c r="CH7" s="3">
        <f>HAVERQ!I123</f>
        <v>9841</v>
      </c>
      <c r="CI7" s="3">
        <f>HAVERQ!J123</f>
        <v>8182</v>
      </c>
      <c r="CJ7" s="3">
        <f>HAVERQ!K123</f>
        <v>2275</v>
      </c>
      <c r="CK7" s="3">
        <f>HAVERQ!L123+HAVERQ!M123</f>
        <v>41345</v>
      </c>
      <c r="CL7" s="3">
        <f>HAVERQ!N123</f>
        <v>1247</v>
      </c>
      <c r="CO7" s="3">
        <f t="shared" si="15"/>
        <v>-139</v>
      </c>
      <c r="CP7" s="3">
        <f t="shared" si="0"/>
        <v>73</v>
      </c>
      <c r="CQ7" s="3">
        <f t="shared" si="0"/>
        <v>-309</v>
      </c>
      <c r="CR7" s="3">
        <f t="shared" si="0"/>
        <v>800</v>
      </c>
      <c r="CS7" s="3">
        <f t="shared" si="16"/>
        <v>519</v>
      </c>
      <c r="CT7" s="3">
        <f t="shared" si="17"/>
        <v>9</v>
      </c>
      <c r="CU7" s="3">
        <f t="shared" si="1"/>
        <v>1729</v>
      </c>
      <c r="CX7" s="3">
        <f>HAVERQ!L123-HAVERQ!L$128</f>
        <v>-139</v>
      </c>
      <c r="CY7" s="3">
        <f>HAVERQ!O123-HAVERQ!O$128</f>
        <v>73</v>
      </c>
      <c r="CZ7" s="3">
        <f>HAVERQ!P123-HAVERQ!P$128</f>
        <v>-309</v>
      </c>
      <c r="DA7" s="3">
        <f>HAVERQ!Q123-HAVERQ!Q$128</f>
        <v>800</v>
      </c>
      <c r="DB7" s="3">
        <f>HAVERQ!R123-HAVERQ!R$128</f>
        <v>122</v>
      </c>
      <c r="DC7" s="3">
        <f>HAVERQ!S123-HAVERQ!S$128</f>
        <v>519</v>
      </c>
      <c r="DD7" s="3">
        <f>HAVERQ!T123-HAVERQ!T$128</f>
        <v>26</v>
      </c>
      <c r="DE7" s="3">
        <f>HAVERQ!U123-HAVERQ!U$128</f>
        <v>-40</v>
      </c>
      <c r="DF7" s="3">
        <f>HAVERQ!V123-HAVERQ!V$128</f>
        <v>-99</v>
      </c>
      <c r="DG7" s="3">
        <f>(HAVERQ!L123+HAVERQ!M123)-(HAVERQ!L$128+HAVERQ!M$128)</f>
        <v>1729</v>
      </c>
      <c r="DJ7" s="4">
        <f>100*(HAVERQ!C123/HAVERQ!C$128)</f>
        <v>98.28782422391393</v>
      </c>
      <c r="DK7" s="4">
        <f>100*(HAVERQ!D123/HAVERQ!D$128)</f>
        <v>125.97690941385436</v>
      </c>
      <c r="DL7" s="4">
        <f>100*(HAVERQ!E123/HAVERQ!E$128)</f>
        <v>99.873501596289387</v>
      </c>
      <c r="DM7" s="4">
        <f>100*(HAVERQ!F123/HAVERQ!F$128)</f>
        <v>98.982208371138896</v>
      </c>
      <c r="DN7" s="4">
        <f>100*(HAVERQ!G123/HAVERQ!G$128)</f>
        <v>98.397669337217778</v>
      </c>
      <c r="DO7" s="4">
        <f>100*(HAVERQ!H123/HAVERQ!H$128)</f>
        <v>90.509705982517872</v>
      </c>
      <c r="DP7">
        <v>100</v>
      </c>
      <c r="DS7" s="3">
        <f>HAVERQ!D123-HAVERQ!D$128</f>
        <v>1170</v>
      </c>
      <c r="DT7" s="3">
        <f>HAVERQ!E123-HAVERQ!E$128</f>
        <v>-21</v>
      </c>
      <c r="DU7" s="3">
        <f>HAVERQ!F123-HAVERQ!F$128</f>
        <v>-258</v>
      </c>
      <c r="DV7" s="3">
        <f>HAVERQ!G123-HAVERQ!G$128</f>
        <v>-594</v>
      </c>
      <c r="DW7" s="3">
        <f>HAVERQ!H123-HAVERQ!H$128</f>
        <v>-2508</v>
      </c>
      <c r="DX7" s="3">
        <f>HAVERQ!C123-HAVERQ!C$128</f>
        <v>-1878</v>
      </c>
      <c r="EA7" s="4">
        <f t="shared" ref="EA7:EA38" si="29">MIN(EM7:EO7)</f>
        <v>-0.10433780403867025</v>
      </c>
      <c r="EB7" s="4">
        <f t="shared" ref="EB7:EB38" si="30">+EF7-EA7</f>
        <v>0.94152221449553508</v>
      </c>
      <c r="EC7" s="4">
        <f t="shared" si="18"/>
        <v>1.6332696074960573</v>
      </c>
      <c r="ED7" s="3">
        <v>0</v>
      </c>
      <c r="EF7" s="4">
        <f t="shared" ref="EF7:EF38" si="31">MAX(EM7:EO7)</f>
        <v>0.83718441045686487</v>
      </c>
      <c r="EG7" s="4">
        <f t="shared" ref="EG7:EG38" si="32">AVERAGE(EM7:EO7)</f>
        <v>0.48302102853313023</v>
      </c>
      <c r="EJ7" s="3">
        <f>'IPNR ex BNFL'!I15</f>
        <v>42369</v>
      </c>
      <c r="EL7">
        <v>2000</v>
      </c>
      <c r="EM7" s="4">
        <f>(ER7-ER$2)/ER$3</f>
        <v>0.71621647918119602</v>
      </c>
      <c r="EN7" s="4">
        <f t="shared" ref="EN7:EO7" si="33">(ES7-ES$2)/ES$3</f>
        <v>-0.10433780403867025</v>
      </c>
      <c r="EO7" s="4">
        <f t="shared" si="33"/>
        <v>0.83718441045686487</v>
      </c>
      <c r="EQ7">
        <v>2000</v>
      </c>
      <c r="ER7" s="4">
        <f>(HAVERQ!W49*$EW$2)+(HAVERQ!X49*$EX$2)/($EW$2+$EX$2)</f>
        <v>16.598403610073269</v>
      </c>
      <c r="ES7" s="4">
        <f>(HAVERQ!AB49*$EW$2)+(HAVERQ!AC49*$EY$2)+(HAVERQ!AD49*$EZ$2)+(HAVERQ!AE49*$FA$2)/($EW$2+$EY$2+$EZ$2+$FA$2)</f>
        <v>-7.7040330276416453</v>
      </c>
      <c r="ET7" s="21">
        <f>(HAVERQ!Y49*$EW$2)+(HAVERQ!Z49*$EX$2)/($EW$2+$EX$2)</f>
        <v>2.137440762126579</v>
      </c>
      <c r="FC7" s="26">
        <v>43525</v>
      </c>
      <c r="FD7" s="4">
        <f>100*((HAVERM!E238+HAVERM!F238)/(HAVERM!E$249+HAVERM!F$249))</f>
        <v>98.884853235383915</v>
      </c>
      <c r="FE7" s="4">
        <f>100*(HAVERM!E238/HAVERM!E$249)</f>
        <v>99.062319120200655</v>
      </c>
      <c r="FF7" s="4">
        <f>100*(HAVERM!F238/HAVERM!F$249)</f>
        <v>98.787476709389637</v>
      </c>
      <c r="FG7">
        <v>100</v>
      </c>
      <c r="FV7" s="26">
        <v>42401</v>
      </c>
      <c r="FW7" s="3">
        <f>HAVERM!G201</f>
        <v>347792</v>
      </c>
      <c r="FX7" s="4"/>
      <c r="FY7" s="3">
        <f t="shared" si="19"/>
        <v>359</v>
      </c>
      <c r="GD7" s="4">
        <f>100*(DataQ!W157/DataQ!W$194)</f>
        <v>74.929721255872678</v>
      </c>
      <c r="GE7" s="4">
        <f>100*(DataQ!X157/DataQ!X$194)</f>
        <v>72.56010539027335</v>
      </c>
      <c r="GF7" s="4">
        <f>100*(DataQ!C157/DataQ!C$194)</f>
        <v>68.872794141368516</v>
      </c>
      <c r="GG7" s="4"/>
      <c r="GH7">
        <v>100</v>
      </c>
      <c r="GK7" s="4">
        <f>100*(DataQ!Z137/AVERAGE(DataQ!$Z$203:$Z$206))</f>
        <v>71.617969752580848</v>
      </c>
      <c r="GL7" s="4">
        <f>100*(DataQ!C137/AVERAGE(DataQ!$C$203:$C$206))</f>
        <v>74.144629652838702</v>
      </c>
      <c r="GM7" s="4">
        <v>100</v>
      </c>
      <c r="GP7" s="4">
        <f>100*(DataQ!Z137/DataQ!$Z$194)</f>
        <v>71.350775836489618</v>
      </c>
      <c r="GQ7" s="4">
        <f>100*(DataQ!C137/DataQ!$C$194)</f>
        <v>71.571442397651381</v>
      </c>
      <c r="GR7" s="4">
        <v>100</v>
      </c>
      <c r="GT7" s="5"/>
      <c r="GU7" s="31">
        <f t="shared" si="20"/>
        <v>96.969061522082782</v>
      </c>
      <c r="GV7" s="31">
        <f t="shared" si="21"/>
        <v>95.909497830130192</v>
      </c>
      <c r="GW7" s="4">
        <f t="shared" si="9"/>
        <v>7.9581682654078918</v>
      </c>
      <c r="GX7" s="4">
        <v>100</v>
      </c>
      <c r="GY7" s="31">
        <f t="shared" si="22"/>
        <v>103.86766609553808</v>
      </c>
      <c r="GZ7" s="4"/>
      <c r="HB7" s="4">
        <f>100*(DataQ!C189/DataQ!C$194)</f>
        <v>96.969061522082782</v>
      </c>
      <c r="HC7" s="4">
        <f>100*(DataQ!Q189/DataQ!Q$194)</f>
        <v>96.104770561896089</v>
      </c>
      <c r="HD7" s="4">
        <f>100*(DataQ!R189/DataQ!R$194)</f>
        <v>103.86766609553808</v>
      </c>
      <c r="HE7" s="4">
        <f>100*(DataQ!S189/DataQ!S$194)</f>
        <v>98.71138731493329</v>
      </c>
      <c r="HF7" s="4">
        <f>100*(DataQ!T189/DataQ!T$194)</f>
        <v>95.909497830130192</v>
      </c>
      <c r="HG7" s="4">
        <f>100*(DataQ!U189/DataQ!U$194)</f>
        <v>99.390286603655412</v>
      </c>
      <c r="HH7" s="4">
        <f>100*(DataQ!V189/DataQ!V$194)</f>
        <v>96.997835206051903</v>
      </c>
      <c r="HJ7" s="5"/>
      <c r="HK7" s="31">
        <f t="shared" si="23"/>
        <v>96.969061522082782</v>
      </c>
      <c r="HL7" s="31">
        <f t="shared" si="24"/>
        <v>95.909497830130192</v>
      </c>
      <c r="HM7" s="4">
        <f t="shared" si="10"/>
        <v>7.9581682654078918</v>
      </c>
      <c r="HN7" s="4">
        <v>100</v>
      </c>
      <c r="HO7" s="31">
        <f t="shared" si="25"/>
        <v>103.86766609553808</v>
      </c>
      <c r="HP7" s="4"/>
      <c r="HR7" s="4">
        <f>100*(DataQ!C189/DataQ!C$194)</f>
        <v>96.969061522082782</v>
      </c>
      <c r="HS7" s="4">
        <f>100*(DataQ!Q189/DataQ!Q$194)</f>
        <v>96.104770561896089</v>
      </c>
      <c r="HT7" s="4">
        <f>100*(DataQ!R189/DataQ!R$194)</f>
        <v>103.86766609553808</v>
      </c>
      <c r="HU7" s="4">
        <f>100*(DataQ!S189/DataQ!S$194)</f>
        <v>98.71138731493329</v>
      </c>
      <c r="HV7" s="4">
        <f>100*(DataQ!T189/DataQ!T$194)</f>
        <v>95.909497830130192</v>
      </c>
      <c r="HW7" s="4">
        <f>100*(DataQ!U189/DataQ!U$194)</f>
        <v>99.390286603655412</v>
      </c>
      <c r="HX7" s="4">
        <f>100*(DataQ!V189/DataQ!V$194)</f>
        <v>96.997835206051903</v>
      </c>
      <c r="HZ7" s="22">
        <v>1992</v>
      </c>
      <c r="IA7">
        <f>DataA!J26/'Chart Data'!IF7</f>
        <v>1.9672479561572678</v>
      </c>
      <c r="IB7">
        <f t="shared" si="26"/>
        <v>1.8436440104718943</v>
      </c>
      <c r="IC7" s="4">
        <f t="shared" si="27"/>
        <v>6.7043282208117949</v>
      </c>
      <c r="IF7" s="3">
        <f>DataA!K26*DataA!L26</f>
        <v>844768.44660000002</v>
      </c>
      <c r="IH7" t="s">
        <v>1398</v>
      </c>
      <c r="II7" s="21">
        <f>(HAVERQ!AX147-HAVERQ!AX1)/HAVERQ!AX2</f>
        <v>0.27759280942383374</v>
      </c>
      <c r="IJ7" s="21">
        <f>(HAVERQ!AY147-HAVERQ!AY1)/HAVERQ!AY2</f>
        <v>1.8605197055503393</v>
      </c>
      <c r="IK7" s="21">
        <f>(HAVERQ!AZ147-HAVERQ!AZ1)/HAVERQ!AZ2</f>
        <v>0.81079387700502714</v>
      </c>
      <c r="IL7" s="21">
        <f>(HAVERQ!BA147-HAVERQ!BA1)/HAVERQ!BA2</f>
        <v>2.5848416201871802</v>
      </c>
      <c r="IM7" s="21">
        <f>(HAVERQ!BB147-HAVERQ!BB1)/HAVERQ!BB2</f>
        <v>-0.15880748305911005</v>
      </c>
      <c r="IN7" s="21">
        <f>(HAVERQ!BC147-HAVERQ!BC1)/HAVERQ!BC2</f>
        <v>0.98110399169463891</v>
      </c>
      <c r="IO7" s="21">
        <f>(HAVERQ!BD147-HAVERQ!BD1)/HAVERQ!BD2</f>
        <v>0.16358535612903249</v>
      </c>
      <c r="IR7">
        <f>HAVERQ!AH78</f>
        <v>-4.2</v>
      </c>
      <c r="IS7" s="4">
        <f>100*(('IPNR ex BNFL'!I47/'IPNR ex BNFL'!I43)-1)</f>
        <v>1.794973241988207</v>
      </c>
      <c r="IT7">
        <v>0</v>
      </c>
    </row>
    <row r="8" spans="1:258" x14ac:dyDescent="0.25">
      <c r="B8" s="4">
        <f>100*((DataQ!C78/DataQ!C74)-1)</f>
        <v>-1.2784077157150353</v>
      </c>
      <c r="C8" s="4">
        <f t="shared" si="11"/>
        <v>18.468170714183071</v>
      </c>
      <c r="D8" s="4">
        <v>0</v>
      </c>
      <c r="G8" s="4"/>
      <c r="I8" s="4">
        <v>0</v>
      </c>
      <c r="K8" s="4">
        <f t="shared" si="12"/>
        <v>18.468170714183071</v>
      </c>
      <c r="L8" s="4">
        <f>100*(HAVERQ!AF12/HAVERQ!AI12)</f>
        <v>18.468170714183071</v>
      </c>
      <c r="O8" s="4">
        <f>100*('ONS CVM_SA_(Quarterly)'!B92/'ONS CVM_SA_(Quarterly)'!B$101)</f>
        <v>112.4619157315895</v>
      </c>
      <c r="P8" s="4">
        <f>100*('ONS CVM_SA_(Quarterly)'!D92/'ONS CVM_SA_(Quarterly)'!D$101)</f>
        <v>107.88785352296877</v>
      </c>
      <c r="R8">
        <v>100</v>
      </c>
      <c r="U8" s="3">
        <f>'ONS CVM_SA_(Quarterly)'!C104-'ONS CVM_SA_(Quarterly)'!C$101</f>
        <v>1538</v>
      </c>
      <c r="V8" s="3">
        <f>'ONS CVM_SA_(Quarterly)'!D104-'ONS CVM_SA_(Quarterly)'!D$101</f>
        <v>93</v>
      </c>
      <c r="W8" s="3">
        <f>'ONS CVM_SA_(Quarterly)'!E104-'ONS CVM_SA_(Quarterly)'!E$101</f>
        <v>927</v>
      </c>
      <c r="X8" s="3">
        <f>'ONS CVM_SA_(Quarterly)'!F104-'ONS CVM_SA_(Quarterly)'!F$101</f>
        <v>630</v>
      </c>
      <c r="Y8" s="3">
        <f>'ONS CVM_SA_(Quarterly)'!B104-'ONS CVM_SA_(Quarterly)'!B$101</f>
        <v>3350</v>
      </c>
      <c r="AB8" s="4">
        <f>100*(U8/'ONS CVM_SA_(Quarterly)'!$B$101)</f>
        <v>2.8572490153823291</v>
      </c>
      <c r="AC8" s="4">
        <f>100*(V8/'ONS CVM_SA_(Quarterly)'!$B$101)</f>
        <v>0.17277253474028387</v>
      </c>
      <c r="AD8" s="4">
        <f>100*(W8/'ONS CVM_SA_(Quarterly)'!$B$101)</f>
        <v>1.7221520398305716</v>
      </c>
      <c r="AE8" s="4">
        <f>100*(X8/'ONS CVM_SA_(Quarterly)'!$B$101)</f>
        <v>1.1703945901761166</v>
      </c>
      <c r="AF8" s="4">
        <f>100*(('ONS CVM_SA_(Quarterly)'!B104/'ONS CVM_SA_(Quarterly)'!B$101)-1)</f>
        <v>6.2235267890317303</v>
      </c>
      <c r="AI8" s="4">
        <f>100*(('ONS CVM_SA_(Quarterly)'!C96-'ONS CVM_SA_(Quarterly)'!C$96)/'ONS CVM_SA_(Quarterly)'!$B$96)</f>
        <v>0</v>
      </c>
      <c r="AJ8" s="4">
        <f>100*(('ONS CVM_SA_(Quarterly)'!D96-'ONS CVM_SA_(Quarterly)'!D$96)/'ONS CVM_SA_(Quarterly)'!$B$96)</f>
        <v>0</v>
      </c>
      <c r="AK8" s="4">
        <f>100*(('ONS CVM_SA_(Quarterly)'!E96-'ONS CVM_SA_(Quarterly)'!E$96)/'ONS CVM_SA_(Quarterly)'!$B$96)</f>
        <v>0</v>
      </c>
      <c r="AL8" s="4">
        <f>100*(('ONS CVM_SA_(Quarterly)'!F96-'ONS CVM_SA_(Quarterly)'!F$96)/'ONS CVM_SA_(Quarterly)'!$B$96)</f>
        <v>0</v>
      </c>
      <c r="AM8" s="4">
        <f>100*(('ONS CVM_SA_(Quarterly)'!B96-'ONS CVM_SA_(Quarterly)'!B$96)/'ONS CVM_SA_(Quarterly)'!$B$96)</f>
        <v>0</v>
      </c>
      <c r="AP8" s="4">
        <f>100*(('ONS CVM_SA_(Quarterly)'!C84-AVERAGE('ONS CVM_SA_(Quarterly)'!C$81:C$84))/AVERAGE('ONS CVM_SA_(Quarterly)'!$B$81:$B$84))</f>
        <v>-2.9553935730116736</v>
      </c>
      <c r="AQ8" s="4">
        <f>100*(('ONS CVM_SA_(Quarterly)'!D84-AVERAGE('ONS CVM_SA_(Quarterly)'!D$81:D$84))/AVERAGE('ONS CVM_SA_(Quarterly)'!$B$81:$B$84))</f>
        <v>-0.59683229134167737</v>
      </c>
      <c r="AR8" s="4">
        <f>100*(('ONS CVM_SA_(Quarterly)'!E84-AVERAGE('ONS CVM_SA_(Quarterly)'!E$81:E$84))/AVERAGE('ONS CVM_SA_(Quarterly)'!$B$81:$B$84))</f>
        <v>-0.37155139929417391</v>
      </c>
      <c r="AS8" s="4">
        <f>100*(('ONS CVM_SA_(Quarterly)'!F84-AVERAGE('ONS CVM_SA_(Quarterly)'!F$81:F$84))/AVERAGE('ONS CVM_SA_(Quarterly)'!$B$81:$B$84))</f>
        <v>0.22122907744233253</v>
      </c>
      <c r="AT8" s="4">
        <f>100*(('ONS CVM_SA_(Quarterly)'!B84-AVERAGE('ONS CVM_SA_(Quarterly)'!B$81:B$84))/AVERAGE('ONS CVM_SA_(Quarterly)'!$B$81:$B$84))</f>
        <v>-1.7110813077636819</v>
      </c>
      <c r="AV8" s="36">
        <v>43556</v>
      </c>
      <c r="AW8" s="21">
        <f>HAVERM!D239</f>
        <v>0.75</v>
      </c>
      <c r="AX8" s="21">
        <f>HAVERM!B239</f>
        <v>3.34</v>
      </c>
      <c r="AY8" s="21">
        <f>HAVERM!C239</f>
        <v>2.4500000000000002</v>
      </c>
      <c r="BA8" s="36">
        <v>44621</v>
      </c>
      <c r="BB8" s="21">
        <f t="shared" ref="BB8:BC8" si="34">AX43-AX$39</f>
        <v>0.34999999999999964</v>
      </c>
      <c r="BC8" s="21">
        <f t="shared" si="34"/>
        <v>2.9999999999999805E-2</v>
      </c>
      <c r="BD8" s="3">
        <v>1000</v>
      </c>
      <c r="BE8" s="3"/>
      <c r="BF8" s="21">
        <v>0</v>
      </c>
      <c r="BJ8" s="4">
        <f>100*(HAVERQ!B124/HAVERQ!B$128)</f>
        <v>97.648159499306388</v>
      </c>
      <c r="BK8" s="4">
        <f>100*(HAVERQ!I124/HAVERQ!I$128)</f>
        <v>105.09854327335046</v>
      </c>
      <c r="BL8" s="4">
        <f>100*(HAVERQ!J124/HAVERQ!J$128)</f>
        <v>90.81547742874973</v>
      </c>
      <c r="BM8" s="4">
        <f>100*(HAVERQ!K124/HAVERQ!K$128)</f>
        <v>75.81941867656154</v>
      </c>
      <c r="BN8" s="4">
        <f>100*((HAVERQ!L124+HAVERQ!M124)/(HAVERQ!L$128+HAVERQ!M$128))</f>
        <v>102.98364297253634</v>
      </c>
      <c r="BO8">
        <v>100</v>
      </c>
      <c r="BR8" s="3">
        <f>HAVERQ!I124-HAVERQ!I$128</f>
        <v>476</v>
      </c>
      <c r="BS8" s="3">
        <f>HAVERQ!J124-HAVERQ!J$128</f>
        <v>-883</v>
      </c>
      <c r="BT8" s="3">
        <f>HAVERQ!K124-HAVERQ!K$128</f>
        <v>-782</v>
      </c>
      <c r="BU8" s="3">
        <f>(HAVERQ!L124+HAVERQ!M124)-(HAVERQ!L$128+HAVERQ!M$128)</f>
        <v>1182</v>
      </c>
      <c r="BV8" s="3">
        <f>HAVERQ!N124-HAVERQ!N$128</f>
        <v>-123</v>
      </c>
      <c r="BW8" s="3">
        <f>HAVERQ!B124-HAVERQ!B$128</f>
        <v>-1458</v>
      </c>
      <c r="BZ8" s="4">
        <f>100*((HAVERQ!I128-HAVERQ!I$128)/HAVERQ!$B$128)</f>
        <v>0</v>
      </c>
      <c r="CA8" s="4">
        <f>100*((HAVERQ!J128-HAVERQ!J$128)/HAVERQ!$B$128)</f>
        <v>0</v>
      </c>
      <c r="CB8" s="4">
        <f>100*((HAVERQ!K128-HAVERQ!K$128)/HAVERQ!$B$128)</f>
        <v>0</v>
      </c>
      <c r="CC8" s="4">
        <f>100*(((HAVERQ!L128+HAVERQ!M128)-(HAVERQ!L$128+HAVERQ!M$128))/HAVERQ!$B$128)</f>
        <v>0</v>
      </c>
      <c r="CD8" s="4">
        <f t="shared" si="14"/>
        <v>0</v>
      </c>
      <c r="CE8" s="4">
        <f>100*((HAVERQ!B128-HAVERQ!B$128)/HAVERQ!B$128)</f>
        <v>0</v>
      </c>
      <c r="CH8" s="3">
        <f>HAVERQ!I124</f>
        <v>9812</v>
      </c>
      <c r="CI8" s="3">
        <f>HAVERQ!J124</f>
        <v>8731</v>
      </c>
      <c r="CJ8" s="3">
        <f>HAVERQ!K124</f>
        <v>2452</v>
      </c>
      <c r="CK8" s="3">
        <f>HAVERQ!L124+HAVERQ!M124</f>
        <v>40798</v>
      </c>
      <c r="CL8" s="3">
        <f>HAVERQ!N124</f>
        <v>1235</v>
      </c>
      <c r="CO8" s="3">
        <f t="shared" si="15"/>
        <v>-626</v>
      </c>
      <c r="CP8" s="3">
        <f t="shared" si="0"/>
        <v>265</v>
      </c>
      <c r="CQ8" s="3">
        <f t="shared" si="0"/>
        <v>67</v>
      </c>
      <c r="CR8" s="3">
        <f t="shared" si="0"/>
        <v>2021</v>
      </c>
      <c r="CS8" s="3">
        <f t="shared" si="16"/>
        <v>311</v>
      </c>
      <c r="CT8" s="3">
        <f t="shared" si="17"/>
        <v>-43</v>
      </c>
      <c r="CU8" s="3">
        <f t="shared" si="1"/>
        <v>1182</v>
      </c>
      <c r="CX8" s="3">
        <f>HAVERQ!L124-HAVERQ!L$128</f>
        <v>-626</v>
      </c>
      <c r="CY8" s="3">
        <f>HAVERQ!O124-HAVERQ!O$128</f>
        <v>265</v>
      </c>
      <c r="CZ8" s="3">
        <f>HAVERQ!P124-HAVERQ!P$128</f>
        <v>67</v>
      </c>
      <c r="DA8" s="3">
        <f>HAVERQ!Q124-HAVERQ!Q$128</f>
        <v>2021</v>
      </c>
      <c r="DB8" s="3">
        <f>HAVERQ!R124-HAVERQ!R$128</f>
        <v>178</v>
      </c>
      <c r="DC8" s="3">
        <f>HAVERQ!S124-HAVERQ!S$128</f>
        <v>311</v>
      </c>
      <c r="DD8" s="3">
        <f>HAVERQ!T124-HAVERQ!T$128</f>
        <v>112</v>
      </c>
      <c r="DE8" s="3">
        <f>HAVERQ!U124-HAVERQ!U$128</f>
        <v>27</v>
      </c>
      <c r="DF8" s="3">
        <f>HAVERQ!V124-HAVERQ!V$128</f>
        <v>-360</v>
      </c>
      <c r="DG8" s="3">
        <f>(HAVERQ!L124+HAVERQ!M124)-(HAVERQ!L$128+HAVERQ!M$128)</f>
        <v>1182</v>
      </c>
      <c r="DJ8" s="4">
        <f>100*(HAVERQ!C124/HAVERQ!C$128)</f>
        <v>98.155627478688984</v>
      </c>
      <c r="DK8" s="4">
        <f>100*(HAVERQ!D124/HAVERQ!D$128)</f>
        <v>130.17317939609237</v>
      </c>
      <c r="DL8" s="4">
        <f>100*(HAVERQ!E124/HAVERQ!E$128)</f>
        <v>97.078489247635673</v>
      </c>
      <c r="DM8" s="4">
        <f>100*(HAVERQ!F124/HAVERQ!F$128)</f>
        <v>98.982208371138896</v>
      </c>
      <c r="DN8" s="4">
        <f>100*(HAVERQ!G124/HAVERQ!G$128)</f>
        <v>98.888619136252061</v>
      </c>
      <c r="DO8" s="4">
        <f>100*(HAVERQ!H124/HAVERQ!H$128)</f>
        <v>90.237257350437048</v>
      </c>
      <c r="DP8">
        <v>100</v>
      </c>
      <c r="DS8" s="3">
        <f>HAVERQ!D124-HAVERQ!D$128</f>
        <v>1359</v>
      </c>
      <c r="DT8" s="3">
        <f>HAVERQ!E124-HAVERQ!E$128</f>
        <v>-485</v>
      </c>
      <c r="DU8" s="3">
        <f>HAVERQ!F124-HAVERQ!F$128</f>
        <v>-258</v>
      </c>
      <c r="DV8" s="3">
        <f>HAVERQ!G124-HAVERQ!G$128</f>
        <v>-412</v>
      </c>
      <c r="DW8" s="3">
        <f>HAVERQ!H124-HAVERQ!H$128</f>
        <v>-2580</v>
      </c>
      <c r="DX8" s="3">
        <f>HAVERQ!C124-HAVERQ!C$128</f>
        <v>-2023</v>
      </c>
      <c r="EA8" s="4">
        <f t="shared" si="29"/>
        <v>0.11963872981646802</v>
      </c>
      <c r="EB8" s="4">
        <f t="shared" si="30"/>
        <v>0.8622883787802903</v>
      </c>
      <c r="EC8" s="4">
        <f t="shared" si="18"/>
        <v>6.3559423053999309</v>
      </c>
      <c r="ED8" s="3">
        <v>0</v>
      </c>
      <c r="EF8" s="4">
        <f t="shared" si="31"/>
        <v>0.98192710859675836</v>
      </c>
      <c r="EG8" s="4">
        <f t="shared" si="32"/>
        <v>0.69124520262097644</v>
      </c>
      <c r="EJ8" s="3">
        <f>'IPNR ex BNFL'!I16</f>
        <v>41945</v>
      </c>
      <c r="EM8" s="4">
        <f t="shared" ref="EM8:EM71" si="35">(ER8-ER$2)/ER$3</f>
        <v>0.97216976944970324</v>
      </c>
      <c r="EN8" s="4">
        <f t="shared" ref="EN8:EN71" si="36">(ES8-ES$2)/ES$3</f>
        <v>0.11963872981646802</v>
      </c>
      <c r="EO8" s="4">
        <f t="shared" ref="EO8:EO71" si="37">(ET8-ET$2)/ET$3</f>
        <v>0.98192710859675836</v>
      </c>
      <c r="ER8" s="4">
        <f>(HAVERQ!W50*$EW$2)+(HAVERQ!X50*$EX$2)/($EW$2+$EX$2)</f>
        <v>19.598403610073269</v>
      </c>
      <c r="ES8" s="4">
        <f>(HAVERQ!AB50*$EW$2)+(HAVERQ!AC50*$EY$2)+(HAVERQ!AD50*$EZ$2)+(HAVERQ!AE50*$FA$2)/($EW$2+$EY$2+$EZ$2+$FA$2)</f>
        <v>-4.5522789396218473</v>
      </c>
      <c r="ET8" s="21">
        <f>(HAVERQ!Y50*$EW$2)+(HAVERQ!Z50*$EX$2)/($EW$2+$EX$2)</f>
        <v>2.3647653937600071</v>
      </c>
      <c r="FC8" s="26">
        <v>43556</v>
      </c>
      <c r="FD8" s="4">
        <f>100*((HAVERM!E239+HAVERM!F239)/(HAVERM!E$249+HAVERM!F$249))</f>
        <v>98.093039788910502</v>
      </c>
      <c r="FE8" s="4">
        <f>100*(HAVERM!E239/HAVERM!E$249)</f>
        <v>98.668081548652637</v>
      </c>
      <c r="FF8" s="4">
        <f>100*(HAVERM!F239/HAVERM!F$249)</f>
        <v>97.777511151261933</v>
      </c>
      <c r="FG8">
        <v>100</v>
      </c>
      <c r="FV8" s="26">
        <v>42430</v>
      </c>
      <c r="FW8" s="3">
        <f>HAVERM!G202</f>
        <v>349767</v>
      </c>
      <c r="FX8" s="4"/>
      <c r="FY8" s="3">
        <f t="shared" si="19"/>
        <v>1975</v>
      </c>
      <c r="GD8" s="4">
        <f>100*(DataQ!W158/DataQ!W$194)</f>
        <v>79.266197980423556</v>
      </c>
      <c r="GE8" s="4">
        <f>100*(DataQ!X158/DataQ!X$194)</f>
        <v>77.5496761444725</v>
      </c>
      <c r="GF8" s="4">
        <f>100*(DataQ!C158/DataQ!C$194)</f>
        <v>73.418395328580189</v>
      </c>
      <c r="GG8" s="4"/>
      <c r="GH8">
        <v>100</v>
      </c>
      <c r="GK8" s="4">
        <f>100*(DataQ!Z138/AVERAGE(DataQ!$Z$203:$Z$206))</f>
        <v>71.236044622170056</v>
      </c>
      <c r="GL8" s="4">
        <f>100*(DataQ!C138/AVERAGE(DataQ!$C$203:$C$206))</f>
        <v>73.773655846597322</v>
      </c>
      <c r="GM8" s="4">
        <v>100</v>
      </c>
      <c r="GP8" s="4">
        <f>100*(DataQ!Z138/DataQ!$Z$194)</f>
        <v>70.970275600858741</v>
      </c>
      <c r="GQ8" s="4">
        <f>100*(DataQ!C138/DataQ!$C$194)</f>
        <v>71.213343226763882</v>
      </c>
      <c r="GR8" s="4">
        <v>100</v>
      </c>
      <c r="GT8" s="5"/>
      <c r="GU8" s="31">
        <f t="shared" si="20"/>
        <v>97.648159499306388</v>
      </c>
      <c r="GV8" s="31">
        <f t="shared" si="21"/>
        <v>96.743942963422185</v>
      </c>
      <c r="GW8" s="4">
        <f t="shared" si="9"/>
        <v>9.3122804465752438</v>
      </c>
      <c r="GX8" s="4">
        <v>100</v>
      </c>
      <c r="GY8" s="31">
        <f t="shared" si="22"/>
        <v>106.05622340999743</v>
      </c>
      <c r="GZ8" s="4"/>
      <c r="HB8" s="4">
        <f>100*(DataQ!C190/DataQ!C$194)</f>
        <v>97.648159499306388</v>
      </c>
      <c r="HC8" s="4">
        <f>100*(DataQ!Q190/DataQ!Q$194)</f>
        <v>96.973369693296974</v>
      </c>
      <c r="HD8" s="4">
        <f>100*(DataQ!R190/DataQ!R$194)</f>
        <v>106.05622340999743</v>
      </c>
      <c r="HE8" s="4">
        <f>100*(DataQ!S190/DataQ!S$194)</f>
        <v>99.826357155912987</v>
      </c>
      <c r="HF8" s="4">
        <f>100*(DataQ!T190/DataQ!T$194)</f>
        <v>96.743942963422185</v>
      </c>
      <c r="HG8" s="4">
        <f>100*(DataQ!U190/DataQ!U$194)</f>
        <v>98.912430245403996</v>
      </c>
      <c r="HH8" s="4">
        <f>100*(DataQ!V190/DataQ!V$194)</f>
        <v>97.285284951906675</v>
      </c>
      <c r="HJ8" s="5"/>
      <c r="HK8" s="31">
        <f t="shared" si="23"/>
        <v>97.648159499306388</v>
      </c>
      <c r="HL8" s="31">
        <f t="shared" si="24"/>
        <v>96.743942963422185</v>
      </c>
      <c r="HM8" s="4">
        <f t="shared" si="10"/>
        <v>9.3122804465752438</v>
      </c>
      <c r="HN8" s="4">
        <v>100</v>
      </c>
      <c r="HO8" s="31">
        <f t="shared" si="25"/>
        <v>106.05622340999743</v>
      </c>
      <c r="HP8" s="4"/>
      <c r="HR8" s="4">
        <f>100*(DataQ!C190/DataQ!C$194)</f>
        <v>97.648159499306388</v>
      </c>
      <c r="HS8" s="4">
        <f>100*(DataQ!Q190/DataQ!Q$194)</f>
        <v>96.973369693296974</v>
      </c>
      <c r="HT8" s="4">
        <f>100*(DataQ!R190/DataQ!R$194)</f>
        <v>106.05622340999743</v>
      </c>
      <c r="HU8" s="4">
        <f>100*(DataQ!S190/DataQ!S$194)</f>
        <v>99.826357155912987</v>
      </c>
      <c r="HV8" s="4">
        <f>100*(DataQ!T190/DataQ!T$194)</f>
        <v>96.743942963422185</v>
      </c>
      <c r="HW8" s="4">
        <f>100*(DataQ!U190/DataQ!U$194)</f>
        <v>98.912430245403996</v>
      </c>
      <c r="HX8" s="4">
        <f>100*(DataQ!V190/DataQ!V$194)</f>
        <v>97.285284951906675</v>
      </c>
      <c r="HZ8" s="22">
        <v>1993</v>
      </c>
      <c r="IA8">
        <f>DataA!J27/'Chart Data'!IF8</f>
        <v>2.027719468748606</v>
      </c>
      <c r="IB8">
        <f t="shared" si="26"/>
        <v>1.8926217203431375</v>
      </c>
      <c r="IC8" s="4">
        <f t="shared" si="27"/>
        <v>7.138127336981781</v>
      </c>
      <c r="IF8" s="3">
        <f>DataA!K27*DataA!L27</f>
        <v>834990.75</v>
      </c>
      <c r="IR8">
        <f>HAVERQ!AH79</f>
        <v>-27.5</v>
      </c>
      <c r="IS8" s="4">
        <f>100*(('IPNR ex BNFL'!I48/'IPNR ex BNFL'!I44)-1)</f>
        <v>10.124898688667683</v>
      </c>
      <c r="IT8">
        <v>0</v>
      </c>
    </row>
    <row r="9" spans="1:258" x14ac:dyDescent="0.25">
      <c r="A9">
        <v>1991</v>
      </c>
      <c r="B9" s="4">
        <f>100*((DataQ!C79/DataQ!C75)-1)</f>
        <v>-3.4497682986472045</v>
      </c>
      <c r="C9" s="4">
        <f t="shared" si="11"/>
        <v>21.13953213610586</v>
      </c>
      <c r="D9" s="4">
        <v>0</v>
      </c>
      <c r="F9">
        <v>1991</v>
      </c>
      <c r="G9" s="4">
        <f>100*((AVERAGE(DataQ!C76:C79)/AVERAGE(DataQ!C72:C75))-1)</f>
        <v>-1.3371627627074334</v>
      </c>
      <c r="H9" s="4">
        <f>AVERAGE(K6:K9)</f>
        <v>19.935098173283546</v>
      </c>
      <c r="I9" s="4">
        <v>0</v>
      </c>
      <c r="K9" s="4">
        <f t="shared" si="12"/>
        <v>21.13953213610586</v>
      </c>
      <c r="L9" s="4">
        <f>100*(HAVERQ!AF13/HAVERQ!AI13)</f>
        <v>21.13953213610586</v>
      </c>
      <c r="N9">
        <v>2019</v>
      </c>
      <c r="O9" s="4">
        <f>100*('ONS CVM_SA_(Quarterly)'!B93/'ONS CVM_SA_(Quarterly)'!B$101)</f>
        <v>113.69733224344208</v>
      </c>
      <c r="P9" s="4">
        <f>100*('ONS CVM_SA_(Quarterly)'!D93/'ONS CVM_SA_(Quarterly)'!D$101)</f>
        <v>107.45463462481608</v>
      </c>
      <c r="R9">
        <v>100</v>
      </c>
      <c r="T9">
        <v>2022</v>
      </c>
      <c r="U9" s="3">
        <f>'ONS CVM_SA_(Quarterly)'!C105-'ONS CVM_SA_(Quarterly)'!C$101</f>
        <v>916</v>
      </c>
      <c r="V9" s="3">
        <f>'ONS CVM_SA_(Quarterly)'!D105-'ONS CVM_SA_(Quarterly)'!D$101</f>
        <v>1387</v>
      </c>
      <c r="W9" s="3">
        <f>'ONS CVM_SA_(Quarterly)'!E105-'ONS CVM_SA_(Quarterly)'!E$101</f>
        <v>2002</v>
      </c>
      <c r="X9" s="3">
        <f>'ONS CVM_SA_(Quarterly)'!F105-'ONS CVM_SA_(Quarterly)'!F$101</f>
        <v>524</v>
      </c>
      <c r="Y9" s="3">
        <f>'ONS CVM_SA_(Quarterly)'!B105-'ONS CVM_SA_(Quarterly)'!B$101</f>
        <v>5074</v>
      </c>
      <c r="AA9">
        <v>2022</v>
      </c>
      <c r="AB9" s="4">
        <f>100*(U9/'ONS CVM_SA_(Quarterly)'!$B$101)</f>
        <v>1.7017165787322583</v>
      </c>
      <c r="AC9" s="4">
        <f>100*(V9/'ONS CVM_SA_(Quarterly)'!$B$101)</f>
        <v>2.5767258675782121</v>
      </c>
      <c r="AD9" s="4">
        <f>100*(W9/'ONS CVM_SA_(Quarterly)'!$B$101)</f>
        <v>3.7192539198929926</v>
      </c>
      <c r="AE9" s="4">
        <f>100*(X9/'ONS CVM_SA_(Quarterly)'!$B$101)</f>
        <v>0.97347105595600791</v>
      </c>
      <c r="AF9" s="4">
        <f>100*(('ONS CVM_SA_(Quarterly)'!B105/'ONS CVM_SA_(Quarterly)'!B$101)-1)</f>
        <v>9.4263208738946336</v>
      </c>
      <c r="AH9">
        <v>2020</v>
      </c>
      <c r="AI9" s="4">
        <f>100*(('ONS CVM_SA_(Quarterly)'!C97-'ONS CVM_SA_(Quarterly)'!C$96)/'ONS CVM_SA_(Quarterly)'!$B$96)</f>
        <v>0.67587185856695808</v>
      </c>
      <c r="AJ9" s="4">
        <f>100*(('ONS CVM_SA_(Quarterly)'!D97-'ONS CVM_SA_(Quarterly)'!D$96)/'ONS CVM_SA_(Quarterly)'!$B$96)</f>
        <v>-1.4517533954898861E-2</v>
      </c>
      <c r="AK9" s="4">
        <f>100*(('ONS CVM_SA_(Quarterly)'!E97-'ONS CVM_SA_(Quarterly)'!E$96)/'ONS CVM_SA_(Quarterly)'!$B$96)</f>
        <v>-2.2679614156208663</v>
      </c>
      <c r="AL9" s="4">
        <f>100*(('ONS CVM_SA_(Quarterly)'!F97-'ONS CVM_SA_(Quarterly)'!F$96)/'ONS CVM_SA_(Quarterly)'!$B$96)</f>
        <v>0.35648611155918314</v>
      </c>
      <c r="AM9" s="4">
        <f>100*(('ONS CVM_SA_(Quarterly)'!B97-'ONS CVM_SA_(Quarterly)'!B$96)/'ONS CVM_SA_(Quarterly)'!$B$96)</f>
        <v>-2.2502177630093234</v>
      </c>
      <c r="AO9">
        <v>2017</v>
      </c>
      <c r="AP9" s="4">
        <f>100*(('ONS CVM_SA_(Quarterly)'!C85-AVERAGE('ONS CVM_SA_(Quarterly)'!C$81:C$84))/AVERAGE('ONS CVM_SA_(Quarterly)'!$B$81:$B$84))</f>
        <v>-1.1790780501047393</v>
      </c>
      <c r="AQ9" s="4">
        <f>100*(('ONS CVM_SA_(Quarterly)'!D85-AVERAGE('ONS CVM_SA_(Quarterly)'!D$81:D$84))/AVERAGE('ONS CVM_SA_(Quarterly)'!$B$81:$B$84))</f>
        <v>0.27187676000696914</v>
      </c>
      <c r="AR9" s="4">
        <f>100*(('ONS CVM_SA_(Quarterly)'!E85-AVERAGE('ONS CVM_SA_(Quarterly)'!E$81:E$84))/AVERAGE('ONS CVM_SA_(Quarterly)'!$B$81:$B$84))</f>
        <v>-0.2175824442976787</v>
      </c>
      <c r="AS9" s="4">
        <f>100*(('ONS CVM_SA_(Quarterly)'!F85-AVERAGE('ONS CVM_SA_(Quarterly)'!F$81:F$84))/AVERAGE('ONS CVM_SA_(Quarterly)'!$B$81:$B$84))</f>
        <v>0.20988399654785395</v>
      </c>
      <c r="AT9" s="4">
        <f>100*(('ONS CVM_SA_(Quarterly)'!B85-AVERAGE('ONS CVM_SA_(Quarterly)'!B$81:B$84))/AVERAGE('ONS CVM_SA_(Quarterly)'!$B$81:$B$84))</f>
        <v>0.54983124192169464</v>
      </c>
      <c r="AV9" s="36">
        <v>43586</v>
      </c>
      <c r="AW9" s="21">
        <f>HAVERM!D240</f>
        <v>0.75</v>
      </c>
      <c r="AX9" s="21">
        <f>HAVERM!B240</f>
        <v>3.32</v>
      </c>
      <c r="AY9" s="21">
        <f>HAVERM!C240</f>
        <v>2.4300000000000002</v>
      </c>
      <c r="BA9" s="36">
        <v>44652</v>
      </c>
      <c r="BB9" s="21">
        <f t="shared" ref="BB9:BC9" si="38">AX44-AX$39</f>
        <v>0.44999999999999973</v>
      </c>
      <c r="BC9" s="21">
        <f t="shared" si="38"/>
        <v>2.9999999999999805E-2</v>
      </c>
      <c r="BD9" s="3">
        <v>1000</v>
      </c>
      <c r="BE9" s="3"/>
      <c r="BF9" s="21">
        <v>0</v>
      </c>
      <c r="BI9">
        <v>2019</v>
      </c>
      <c r="BJ9" s="4">
        <f>100*(HAVERQ!B125/HAVERQ!B$128)</f>
        <v>98.720843952640578</v>
      </c>
      <c r="BK9" s="4">
        <f>100*(HAVERQ!I125/HAVERQ!I$128)</f>
        <v>107.00514138817481</v>
      </c>
      <c r="BL9" s="4">
        <f>100*(HAVERQ!J125/HAVERQ!J$128)</f>
        <v>86.800499271895148</v>
      </c>
      <c r="BM9" s="4">
        <f>100*(HAVERQ!K125/HAVERQ!K$128)</f>
        <v>91.465677179962896</v>
      </c>
      <c r="BN9" s="4">
        <f>100*((HAVERQ!L125+HAVERQ!M125)/(HAVERQ!L$128+HAVERQ!M$128))</f>
        <v>99.67184975767367</v>
      </c>
      <c r="BO9">
        <v>100</v>
      </c>
      <c r="BQ9">
        <v>2019</v>
      </c>
      <c r="BR9" s="3">
        <f>HAVERQ!I125-HAVERQ!I$128</f>
        <v>654</v>
      </c>
      <c r="BS9" s="3">
        <f>HAVERQ!J125-HAVERQ!J$128</f>
        <v>-1269</v>
      </c>
      <c r="BT9" s="3">
        <f>HAVERQ!K125-HAVERQ!K$128</f>
        <v>-276</v>
      </c>
      <c r="BU9" s="3">
        <f>(HAVERQ!L125+HAVERQ!M125)-(HAVERQ!L$128+HAVERQ!M$128)</f>
        <v>-130</v>
      </c>
      <c r="BV9" s="3">
        <f>HAVERQ!N125-HAVERQ!N$128</f>
        <v>-104</v>
      </c>
      <c r="BW9" s="3">
        <f>HAVERQ!B125-HAVERQ!B$128</f>
        <v>-793</v>
      </c>
      <c r="BY9">
        <v>2020</v>
      </c>
      <c r="BZ9" s="4">
        <f>100*((HAVERQ!I129-HAVERQ!I$128)/HAVERQ!$B$128)</f>
        <v>-4.0326483208052391E-2</v>
      </c>
      <c r="CA9" s="4">
        <f>100*((HAVERQ!J129-HAVERQ!J$128)/HAVERQ!$B$128)</f>
        <v>-2.8228538245636674</v>
      </c>
      <c r="CB9" s="4">
        <f>100*((HAVERQ!K129-HAVERQ!K$128)/HAVERQ!$B$128)</f>
        <v>-0.34035551827596222</v>
      </c>
      <c r="CC9" s="4">
        <f>100*(((HAVERQ!L129+HAVERQ!M129)-(HAVERQ!L$128+HAVERQ!M$128))/HAVERQ!$B$128)</f>
        <v>-4.910152595412459</v>
      </c>
      <c r="CD9" s="4">
        <f t="shared" si="14"/>
        <v>5.8634706584508178</v>
      </c>
      <c r="CE9" s="4">
        <f>100*((HAVERQ!B129-HAVERQ!B$128)/HAVERQ!B$128)</f>
        <v>-2.2502177630093234</v>
      </c>
      <c r="CG9">
        <v>2019</v>
      </c>
      <c r="CH9" s="3">
        <f>HAVERQ!I125</f>
        <v>9990</v>
      </c>
      <c r="CI9" s="3">
        <f>HAVERQ!J125</f>
        <v>8345</v>
      </c>
      <c r="CJ9" s="3">
        <f>HAVERQ!K125</f>
        <v>2958</v>
      </c>
      <c r="CK9" s="3">
        <f>HAVERQ!L125+HAVERQ!M125</f>
        <v>39486</v>
      </c>
      <c r="CL9" s="3">
        <f>HAVERQ!N125</f>
        <v>1254</v>
      </c>
      <c r="CN9">
        <v>2019</v>
      </c>
      <c r="CO9" s="3">
        <f t="shared" si="15"/>
        <v>-297</v>
      </c>
      <c r="CP9" s="3">
        <f t="shared" si="0"/>
        <v>65</v>
      </c>
      <c r="CQ9" s="3">
        <f t="shared" si="0"/>
        <v>138</v>
      </c>
      <c r="CR9" s="3">
        <f t="shared" si="0"/>
        <v>867</v>
      </c>
      <c r="CS9" s="3">
        <f t="shared" si="16"/>
        <v>100</v>
      </c>
      <c r="CT9" s="3">
        <f t="shared" si="17"/>
        <v>-403</v>
      </c>
      <c r="CU9" s="3">
        <f t="shared" si="1"/>
        <v>-130</v>
      </c>
      <c r="CW9">
        <v>2019</v>
      </c>
      <c r="CX9" s="3">
        <f>HAVERQ!L125-HAVERQ!L$128</f>
        <v>-297</v>
      </c>
      <c r="CY9" s="3">
        <f>HAVERQ!O125-HAVERQ!O$128</f>
        <v>65</v>
      </c>
      <c r="CZ9" s="3">
        <f>HAVERQ!P125-HAVERQ!P$128</f>
        <v>138</v>
      </c>
      <c r="DA9" s="3">
        <f>HAVERQ!Q125-HAVERQ!Q$128</f>
        <v>867</v>
      </c>
      <c r="DB9" s="3">
        <f>HAVERQ!R125-HAVERQ!R$128</f>
        <v>-23</v>
      </c>
      <c r="DC9" s="3">
        <f>HAVERQ!S125-HAVERQ!S$128</f>
        <v>100</v>
      </c>
      <c r="DD9" s="3">
        <f>HAVERQ!T125-HAVERQ!T$128</f>
        <v>167</v>
      </c>
      <c r="DE9" s="3">
        <f>HAVERQ!U125-HAVERQ!U$128</f>
        <v>-107</v>
      </c>
      <c r="DF9" s="3">
        <f>HAVERQ!V125-HAVERQ!V$128</f>
        <v>-440</v>
      </c>
      <c r="DG9" s="3">
        <f>(HAVERQ!L125+HAVERQ!M125)-(HAVERQ!L$128+HAVERQ!M$128)</f>
        <v>-130</v>
      </c>
      <c r="DI9">
        <v>2019</v>
      </c>
      <c r="DJ9" s="4">
        <f>100*(HAVERQ!C125/HAVERQ!C$128)</f>
        <v>101.15147923599399</v>
      </c>
      <c r="DK9" s="4">
        <f>100*(HAVERQ!D125/HAVERQ!D$128)</f>
        <v>118.51687388987567</v>
      </c>
      <c r="DL9" s="4">
        <f>100*(HAVERQ!E125/HAVERQ!E$128)</f>
        <v>99.506053852177573</v>
      </c>
      <c r="DM9" s="4">
        <f>100*(HAVERQ!F125/HAVERQ!F$128)</f>
        <v>101.5543019448499</v>
      </c>
      <c r="DN9" s="4">
        <f>100*(HAVERQ!G125/HAVERQ!G$128)</f>
        <v>103.73337649375523</v>
      </c>
      <c r="DO9" s="4">
        <f>100*(HAVERQ!H125/HAVERQ!H$128)</f>
        <v>94.569947402277975</v>
      </c>
      <c r="DP9">
        <v>100</v>
      </c>
      <c r="DR9">
        <v>2019</v>
      </c>
      <c r="DS9" s="3">
        <f>HAVERQ!D125-HAVERQ!D$128</f>
        <v>834</v>
      </c>
      <c r="DT9" s="3">
        <f>HAVERQ!E125-HAVERQ!E$128</f>
        <v>-82</v>
      </c>
      <c r="DU9" s="3">
        <f>HAVERQ!F125-HAVERQ!F$128</f>
        <v>394</v>
      </c>
      <c r="DV9" s="3">
        <f>HAVERQ!G125-HAVERQ!G$128</f>
        <v>1384</v>
      </c>
      <c r="DW9" s="3">
        <f>HAVERQ!H125-HAVERQ!H$128</f>
        <v>-1435</v>
      </c>
      <c r="DX9" s="3">
        <f>HAVERQ!C125-HAVERQ!C$128</f>
        <v>1263</v>
      </c>
      <c r="DZ9">
        <v>2001</v>
      </c>
      <c r="EA9" s="4">
        <f t="shared" si="29"/>
        <v>0.55360156140786487</v>
      </c>
      <c r="EB9" s="4">
        <f t="shared" si="30"/>
        <v>0.47171534991298048</v>
      </c>
      <c r="EC9" s="4">
        <f t="shared" si="18"/>
        <v>1.6481753163396284</v>
      </c>
      <c r="ED9" s="3">
        <v>0</v>
      </c>
      <c r="EF9" s="4">
        <f t="shared" si="31"/>
        <v>1.0253169113208453</v>
      </c>
      <c r="EG9" s="4">
        <f t="shared" si="32"/>
        <v>0.79922116765748219</v>
      </c>
      <c r="EI9" s="22">
        <v>2000</v>
      </c>
      <c r="EJ9" s="3">
        <f>'IPNR ex BNFL'!I17</f>
        <v>43624</v>
      </c>
      <c r="EM9" s="4">
        <f t="shared" si="35"/>
        <v>1.0253169113208453</v>
      </c>
      <c r="EN9" s="4">
        <f t="shared" si="36"/>
        <v>0.55360156140786487</v>
      </c>
      <c r="EO9" s="4">
        <f t="shared" si="37"/>
        <v>0.81874503024373624</v>
      </c>
      <c r="ER9" s="4">
        <f>(HAVERQ!W51*$EW$2)+(HAVERQ!X51*$EX$2)/($EW$2+$EX$2)</f>
        <v>20.221335338929595</v>
      </c>
      <c r="ES9" s="4">
        <f>(HAVERQ!AB51*$EW$2)+(HAVERQ!AC51*$EY$2)+(HAVERQ!AD51*$EZ$2)+(HAVERQ!AE51*$FA$2)/($EW$2+$EY$2+$EZ$2+$FA$2)</f>
        <v>1.5543613631584907</v>
      </c>
      <c r="ET9" s="21">
        <f>(HAVERQ!Y51*$EW$2)+(HAVERQ!Z51*$EX$2)/($EW$2+$EX$2)</f>
        <v>2.1084809225742798</v>
      </c>
      <c r="FC9" s="26">
        <v>43586</v>
      </c>
      <c r="FD9" s="4">
        <f>100*((HAVERM!E240+HAVERM!F240)/(HAVERM!E$249+HAVERM!F$249))</f>
        <v>99.160108096776696</v>
      </c>
      <c r="FE9" s="4">
        <f>100*(HAVERM!E240/HAVERM!E$249)</f>
        <v>99.295131519711873</v>
      </c>
      <c r="FF9" s="4">
        <f>100*(HAVERM!F240/HAVERM!F$249)</f>
        <v>99.086019987578339</v>
      </c>
      <c r="FG9">
        <v>100</v>
      </c>
      <c r="FV9" s="26">
        <v>42461</v>
      </c>
      <c r="FW9" s="3">
        <f>HAVERM!G203</f>
        <v>345227</v>
      </c>
      <c r="FX9" s="4"/>
      <c r="FY9" s="3">
        <f t="shared" si="19"/>
        <v>-4540</v>
      </c>
      <c r="GC9" s="22">
        <v>2011</v>
      </c>
      <c r="GD9" s="4">
        <f>100*(DataQ!W159/DataQ!W$194)</f>
        <v>72.139538184381109</v>
      </c>
      <c r="GE9" s="4">
        <f>100*(DataQ!X159/DataQ!X$194)</f>
        <v>70.642587916712401</v>
      </c>
      <c r="GF9" s="4">
        <f>100*(DataQ!C159/DataQ!C$194)</f>
        <v>68.280801367874318</v>
      </c>
      <c r="GG9" s="4"/>
      <c r="GH9">
        <v>100</v>
      </c>
      <c r="GJ9" s="22">
        <v>2006</v>
      </c>
      <c r="GK9" s="4">
        <f>100*(DataQ!Z139/AVERAGE(DataQ!$Z$203:$Z$206))</f>
        <v>74.84856580981706</v>
      </c>
      <c r="GL9" s="4">
        <f>100*(DataQ!C139/AVERAGE(DataQ!$C$203:$C$206))</f>
        <v>77.536867610811711</v>
      </c>
      <c r="GM9" s="4">
        <v>100</v>
      </c>
      <c r="GO9" s="22">
        <v>2006</v>
      </c>
      <c r="GP9" s="4">
        <f>100*(DataQ!Z139/DataQ!$Z$194)</f>
        <v>74.569319114027891</v>
      </c>
      <c r="GQ9" s="4">
        <f>100*(DataQ!C139/DataQ!$C$194)</f>
        <v>74.845952834145237</v>
      </c>
      <c r="GR9" s="4">
        <v>100</v>
      </c>
      <c r="GT9">
        <v>2019</v>
      </c>
      <c r="GU9" s="31">
        <f t="shared" si="20"/>
        <v>98.720843952640578</v>
      </c>
      <c r="GV9" s="31">
        <f t="shared" si="21"/>
        <v>97.150650960942343</v>
      </c>
      <c r="GW9" s="4">
        <f t="shared" si="9"/>
        <v>8.9744031301927834</v>
      </c>
      <c r="GX9" s="4">
        <v>100</v>
      </c>
      <c r="GY9" s="31">
        <f t="shared" si="22"/>
        <v>106.12505409113513</v>
      </c>
      <c r="GZ9" s="4"/>
      <c r="HA9">
        <v>2019</v>
      </c>
      <c r="HB9" s="4">
        <f>100*(DataQ!C191/DataQ!C$194)</f>
        <v>98.720843952640578</v>
      </c>
      <c r="HC9" s="4">
        <f>100*(DataQ!Q191/DataQ!Q$194)</f>
        <v>97.62650237349763</v>
      </c>
      <c r="HD9" s="4">
        <f>100*(DataQ!R191/DataQ!R$194)</f>
        <v>106.12505409113513</v>
      </c>
      <c r="HE9" s="4">
        <f>100*(DataQ!S191/DataQ!S$194)</f>
        <v>101.27947358800951</v>
      </c>
      <c r="HF9" s="4">
        <f>100*(DataQ!T191/DataQ!T$194)</f>
        <v>97.150650960942343</v>
      </c>
      <c r="HG9" s="4">
        <f>100*(DataQ!U191/DataQ!U$194)</f>
        <v>99.355527333729896</v>
      </c>
      <c r="HH9" s="4">
        <f>100*(DataQ!V191/DataQ!V$194)</f>
        <v>101.98399797001008</v>
      </c>
      <c r="HJ9">
        <v>2019</v>
      </c>
      <c r="HK9" s="31">
        <f t="shared" si="23"/>
        <v>98.720843952640578</v>
      </c>
      <c r="HL9" s="31">
        <f t="shared" si="24"/>
        <v>97.150650960942343</v>
      </c>
      <c r="HM9" s="4">
        <f t="shared" si="10"/>
        <v>8.9744031301927834</v>
      </c>
      <c r="HN9" s="4">
        <v>100</v>
      </c>
      <c r="HO9" s="31">
        <f t="shared" si="25"/>
        <v>106.12505409113513</v>
      </c>
      <c r="HP9" s="4"/>
      <c r="HQ9">
        <v>2019</v>
      </c>
      <c r="HR9" s="4">
        <f>100*(DataQ!C191/DataQ!C$194)</f>
        <v>98.720843952640578</v>
      </c>
      <c r="HS9" s="4">
        <f>100*(DataQ!Q191/DataQ!Q$194)</f>
        <v>97.62650237349763</v>
      </c>
      <c r="HT9" s="4">
        <f>100*(DataQ!R191/DataQ!R$194)</f>
        <v>106.12505409113513</v>
      </c>
      <c r="HU9" s="4">
        <f>100*(DataQ!S191/DataQ!S$194)</f>
        <v>101.27947358800951</v>
      </c>
      <c r="HV9" s="4">
        <f>100*(DataQ!T191/DataQ!T$194)</f>
        <v>97.150650960942343</v>
      </c>
      <c r="HW9" s="4">
        <f>100*(DataQ!U191/DataQ!U$194)</f>
        <v>99.355527333729896</v>
      </c>
      <c r="HX9" s="4">
        <f>100*(DataQ!V191/DataQ!V$194)</f>
        <v>101.98399797001008</v>
      </c>
      <c r="HZ9" s="22">
        <v>1994</v>
      </c>
      <c r="IA9">
        <f>DataA!J28/'Chart Data'!IF9</f>
        <v>2.0419878691496938</v>
      </c>
      <c r="IB9">
        <f t="shared" si="26"/>
        <v>1.9429005577914</v>
      </c>
      <c r="IC9" s="4">
        <f t="shared" si="27"/>
        <v>5.0999682387724343</v>
      </c>
      <c r="IF9" s="3">
        <f>DataA!K28*DataA!L28</f>
        <v>847387.01250000007</v>
      </c>
      <c r="IQ9">
        <v>2008</v>
      </c>
      <c r="IR9">
        <f>HAVERQ!AH80</f>
        <v>-8.3000000000000007</v>
      </c>
      <c r="IS9" s="4">
        <f>100*(('IPNR ex BNFL'!I49/'IPNR ex BNFL'!I45)-1)</f>
        <v>-2.5877967042773009</v>
      </c>
      <c r="IT9">
        <v>0</v>
      </c>
    </row>
    <row r="10" spans="1:258" x14ac:dyDescent="0.25">
      <c r="B10" s="4">
        <f>100*((DataQ!C80/DataQ!C76)-1)</f>
        <v>-9.0430140717916991</v>
      </c>
      <c r="C10" s="4">
        <f t="shared" si="11"/>
        <v>21.65565464726971</v>
      </c>
      <c r="D10" s="4">
        <v>0</v>
      </c>
      <c r="G10" s="4">
        <f>100*((AVERAGE(DataQ!C77:C80)/AVERAGE(DataQ!C73:C76))-1)</f>
        <v>-4.0916000044197043</v>
      </c>
      <c r="H10" s="4">
        <f t="shared" ref="H10:H73" si="39">AVERAGE(K7:K10)</f>
        <v>20.34257027354661</v>
      </c>
      <c r="I10" s="4">
        <v>0</v>
      </c>
      <c r="K10" s="4">
        <f t="shared" si="12"/>
        <v>21.65565464726971</v>
      </c>
      <c r="L10" s="4">
        <f>100*(HAVERQ!AF14/HAVERQ!AI14)</f>
        <v>21.65565464726971</v>
      </c>
      <c r="O10" s="4">
        <f>100*('ONS CVM_SA_(Quarterly)'!B94/'ONS CVM_SA_(Quarterly)'!B$101)</f>
        <v>115.5179460503827</v>
      </c>
      <c r="P10" s="4">
        <f>100*('ONS CVM_SA_(Quarterly)'!D94/'ONS CVM_SA_(Quarterly)'!D$101)</f>
        <v>109.13846656857937</v>
      </c>
      <c r="R10">
        <v>100</v>
      </c>
      <c r="U10" s="3">
        <f>'ONS CVM_SA_(Quarterly)'!C106-'ONS CVM_SA_(Quarterly)'!C$101</f>
        <v>3063</v>
      </c>
      <c r="V10" s="3">
        <f>'ONS CVM_SA_(Quarterly)'!D106-'ONS CVM_SA_(Quarterly)'!D$101</f>
        <v>1819</v>
      </c>
      <c r="W10" s="3">
        <f>'ONS CVM_SA_(Quarterly)'!E106-'ONS CVM_SA_(Quarterly)'!E$101</f>
        <v>1388</v>
      </c>
      <c r="X10" s="3">
        <f>'ONS CVM_SA_(Quarterly)'!F106-'ONS CVM_SA_(Quarterly)'!F$101</f>
        <v>-8</v>
      </c>
      <c r="Y10" s="3">
        <f>'ONS CVM_SA_(Quarterly)'!B106-'ONS CVM_SA_(Quarterly)'!B$101</f>
        <v>6504</v>
      </c>
      <c r="AB10" s="4">
        <f>100*(U10/'ONS CVM_SA_(Quarterly)'!$B$101)</f>
        <v>5.6903470312848334</v>
      </c>
      <c r="AC10" s="4">
        <f>100*(V10/'ONS CVM_SA_(Quarterly)'!$B$101)</f>
        <v>3.3792821579846919</v>
      </c>
      <c r="AD10" s="4">
        <f>100*(W10/'ONS CVM_SA_(Quarterly)'!$B$101)</f>
        <v>2.5785836367689678</v>
      </c>
      <c r="AE10" s="4">
        <f>100*(X10/'ONS CVM_SA_(Quarterly)'!$B$101)</f>
        <v>-1.4862153526045923E-2</v>
      </c>
      <c r="AF10" s="4">
        <f>100*(('ONS CVM_SA_(Quarterly)'!B106/'ONS CVM_SA_(Quarterly)'!B$101)-1)</f>
        <v>12.082930816675329</v>
      </c>
      <c r="AI10" s="4">
        <f>100*(('ONS CVM_SA_(Quarterly)'!C98-'ONS CVM_SA_(Quarterly)'!C$96)/'ONS CVM_SA_(Quarterly)'!$B$96)</f>
        <v>-3.9342517017775913</v>
      </c>
      <c r="AJ10" s="4">
        <f>100*(('ONS CVM_SA_(Quarterly)'!D98-'ONS CVM_SA_(Quarterly)'!D$96)/'ONS CVM_SA_(Quarterly)'!$B$96)</f>
        <v>-5.576346098009485</v>
      </c>
      <c r="AK10" s="4">
        <f>100*(('ONS CVM_SA_(Quarterly)'!E98-'ONS CVM_SA_(Quarterly)'!E$96)/'ONS CVM_SA_(Quarterly)'!$B$96)</f>
        <v>-7.1571442397651381</v>
      </c>
      <c r="AL10" s="4">
        <f>100*(('ONS CVM_SA_(Quarterly)'!F98-'ONS CVM_SA_(Quarterly)'!F$96)/'ONS CVM_SA_(Quarterly)'!$B$96)</f>
        <v>-2.9051198503080942</v>
      </c>
      <c r="AM10" s="4">
        <f>100*(('ONS CVM_SA_(Quarterly)'!B98-'ONS CVM_SA_(Quarterly)'!B$96)/'ONS CVM_SA_(Quarterly)'!$B$96)</f>
        <v>-21.039132819305095</v>
      </c>
      <c r="AP10" s="4">
        <f>100*(('ONS CVM_SA_(Quarterly)'!C86-AVERAGE('ONS CVM_SA_(Quarterly)'!C$81:C$84))/AVERAGE('ONS CVM_SA_(Quarterly)'!$B$81:$B$84))</f>
        <v>0.46433795375258813</v>
      </c>
      <c r="AQ10" s="4">
        <f>100*(('ONS CVM_SA_(Quarterly)'!D86-AVERAGE('ONS CVM_SA_(Quarterly)'!D$81:D$84))/AVERAGE('ONS CVM_SA_(Quarterly)'!$B$81:$B$84))</f>
        <v>0.31563635774281512</v>
      </c>
      <c r="AR10" s="4">
        <f>100*(('ONS CVM_SA_(Quarterly)'!E86-AVERAGE('ONS CVM_SA_(Quarterly)'!E$81:E$84))/AVERAGE('ONS CVM_SA_(Quarterly)'!$B$81:$B$84))</f>
        <v>-1.7264782032633315</v>
      </c>
      <c r="AS10" s="4">
        <f>100*(('ONS CVM_SA_(Quarterly)'!F86-AVERAGE('ONS CVM_SA_(Quarterly)'!F$81:F$84))/AVERAGE('ONS CVM_SA_(Quarterly)'!$B$81:$B$84))</f>
        <v>0.74958570195662133</v>
      </c>
      <c r="AT10" s="4">
        <f>100*(('ONS CVM_SA_(Quarterly)'!B86-AVERAGE('ONS CVM_SA_(Quarterly)'!B$81:B$84))/AVERAGE('ONS CVM_SA_(Quarterly)'!$B$81:$B$84))</f>
        <v>4.7406230880499833E-2</v>
      </c>
      <c r="AV10" s="36">
        <v>43617</v>
      </c>
      <c r="AW10" s="21">
        <f>HAVERM!D241</f>
        <v>0.75</v>
      </c>
      <c r="AX10" s="21">
        <f>HAVERM!B241</f>
        <v>3.31</v>
      </c>
      <c r="AY10" s="21">
        <f>HAVERM!C241</f>
        <v>2.4300000000000002</v>
      </c>
      <c r="BA10" s="36">
        <v>44682</v>
      </c>
      <c r="BB10" s="21">
        <f t="shared" ref="BB10:BC10" si="40">AX45-AX$39</f>
        <v>0.64999999999999991</v>
      </c>
      <c r="BC10" s="21">
        <f t="shared" si="40"/>
        <v>6.0000000000000053E-2</v>
      </c>
      <c r="BD10" s="3">
        <v>1000</v>
      </c>
      <c r="BE10" s="3"/>
      <c r="BF10" s="21">
        <v>0</v>
      </c>
      <c r="BJ10" s="4">
        <f>100*(HAVERQ!B126/HAVERQ!B$128)</f>
        <v>100.30164209439623</v>
      </c>
      <c r="BK10" s="4">
        <f>100*(HAVERQ!I126/HAVERQ!I$128)</f>
        <v>103.96315338474722</v>
      </c>
      <c r="BL10" s="4">
        <f>100*(HAVERQ!J126/HAVERQ!J$128)</f>
        <v>83.107967547326808</v>
      </c>
      <c r="BM10" s="4">
        <f>100*(HAVERQ!K126/HAVERQ!K$128)</f>
        <v>97.990105132962285</v>
      </c>
      <c r="BN10" s="4">
        <f>100*((HAVERQ!L126+HAVERQ!M126)/(HAVERQ!L$128+HAVERQ!M$128))</f>
        <v>99.553210823909538</v>
      </c>
      <c r="BO10">
        <v>100</v>
      </c>
      <c r="BR10" s="3">
        <f>HAVERQ!I126-HAVERQ!I$128</f>
        <v>370</v>
      </c>
      <c r="BS10" s="3">
        <f>HAVERQ!J126-HAVERQ!J$128</f>
        <v>-1624</v>
      </c>
      <c r="BT10" s="3">
        <f>HAVERQ!K126-HAVERQ!K$128</f>
        <v>-65</v>
      </c>
      <c r="BU10" s="3">
        <f>(HAVERQ!L126+HAVERQ!M126)-(HAVERQ!L$128+HAVERQ!M$128)</f>
        <v>-177</v>
      </c>
      <c r="BV10" s="3">
        <f>HAVERQ!N126-HAVERQ!N$128</f>
        <v>-6</v>
      </c>
      <c r="BW10" s="3">
        <f>HAVERQ!B126-HAVERQ!B$128</f>
        <v>187</v>
      </c>
      <c r="BZ10" s="4">
        <f>100*((HAVERQ!I130-HAVERQ!I$128)/HAVERQ!$B$128)</f>
        <v>-1.7066167693647771</v>
      </c>
      <c r="CA10" s="4">
        <f>100*((HAVERQ!J130-HAVERQ!J$128)/HAVERQ!$B$128)</f>
        <v>-4.6165757976578377</v>
      </c>
      <c r="CB10" s="4">
        <f>100*((HAVERQ!K130-HAVERQ!K$128)/HAVERQ!$B$128)</f>
        <v>-1.8405006936155113</v>
      </c>
      <c r="CC10" s="4">
        <f>100*(((HAVERQ!L130+HAVERQ!M130)-(HAVERQ!L$128+HAVERQ!M$128))/HAVERQ!$B$128)</f>
        <v>-5.3521308513727135</v>
      </c>
      <c r="CD10" s="4">
        <f t="shared" si="14"/>
        <v>-7.5233087072942553</v>
      </c>
      <c r="CE10" s="4">
        <f>100*((HAVERQ!B130-HAVERQ!B$128)/HAVERQ!B$128)</f>
        <v>-21.039132819305095</v>
      </c>
      <c r="CH10" s="3">
        <f>HAVERQ!I126</f>
        <v>9706</v>
      </c>
      <c r="CI10" s="3">
        <f>HAVERQ!J126</f>
        <v>7990</v>
      </c>
      <c r="CJ10" s="3">
        <f>HAVERQ!K126</f>
        <v>3169</v>
      </c>
      <c r="CK10" s="3">
        <f>HAVERQ!L126+HAVERQ!M126</f>
        <v>39439</v>
      </c>
      <c r="CL10" s="3">
        <f>HAVERQ!N126</f>
        <v>1352</v>
      </c>
      <c r="CO10" s="3">
        <f t="shared" si="15"/>
        <v>-258</v>
      </c>
      <c r="CP10" s="3">
        <f t="shared" si="0"/>
        <v>-104</v>
      </c>
      <c r="CQ10" s="3">
        <f t="shared" si="0"/>
        <v>52</v>
      </c>
      <c r="CR10" s="3">
        <f t="shared" si="0"/>
        <v>2139</v>
      </c>
      <c r="CS10" s="3">
        <f t="shared" si="16"/>
        <v>95</v>
      </c>
      <c r="CT10" s="3">
        <f t="shared" si="17"/>
        <v>-31</v>
      </c>
      <c r="CU10" s="3">
        <f t="shared" si="1"/>
        <v>-177</v>
      </c>
      <c r="CX10" s="3">
        <f>HAVERQ!L126-HAVERQ!L$128</f>
        <v>-258</v>
      </c>
      <c r="CY10" s="3">
        <f>HAVERQ!O126-HAVERQ!O$128</f>
        <v>-104</v>
      </c>
      <c r="CZ10" s="3">
        <f>HAVERQ!P126-HAVERQ!P$128</f>
        <v>52</v>
      </c>
      <c r="DA10" s="3">
        <f>HAVERQ!Q126-HAVERQ!Q$128</f>
        <v>2139</v>
      </c>
      <c r="DB10" s="3">
        <f>HAVERQ!R126-HAVERQ!R$128</f>
        <v>246</v>
      </c>
      <c r="DC10" s="3">
        <f>HAVERQ!S126-HAVERQ!S$128</f>
        <v>95</v>
      </c>
      <c r="DD10" s="3">
        <f>HAVERQ!T126-HAVERQ!T$128</f>
        <v>127</v>
      </c>
      <c r="DE10" s="3">
        <f>HAVERQ!U126-HAVERQ!U$128</f>
        <v>14</v>
      </c>
      <c r="DF10" s="3">
        <f>HAVERQ!V126-HAVERQ!V$128</f>
        <v>-418</v>
      </c>
      <c r="DG10" s="3">
        <f>(HAVERQ!L126+HAVERQ!M126)-(HAVERQ!L$128+HAVERQ!M$128)</f>
        <v>-177</v>
      </c>
      <c r="DJ10" s="4">
        <f>100*(HAVERQ!C126/HAVERQ!C$128)</f>
        <v>100.32912431052559</v>
      </c>
      <c r="DK10" s="4">
        <f>100*(HAVERQ!D126/HAVERQ!D$128)</f>
        <v>129.66252220248668</v>
      </c>
      <c r="DL10" s="4">
        <f>100*(HAVERQ!E126/HAVERQ!E$128)</f>
        <v>99.108487440515631</v>
      </c>
      <c r="DM10" s="4">
        <f>100*(HAVERQ!F126/HAVERQ!F$128)</f>
        <v>102.06319775928046</v>
      </c>
      <c r="DN10" s="4">
        <f>100*(HAVERQ!G126/HAVERQ!G$128)</f>
        <v>100.31021553235684</v>
      </c>
      <c r="DO10" s="4">
        <f>100*(HAVERQ!H126/HAVERQ!H$128)</f>
        <v>94.191546524387931</v>
      </c>
      <c r="DP10">
        <v>100</v>
      </c>
      <c r="DS10" s="3">
        <f>HAVERQ!D126-HAVERQ!D$128</f>
        <v>1336</v>
      </c>
      <c r="DT10" s="3">
        <f>HAVERQ!E126-HAVERQ!E$128</f>
        <v>-148</v>
      </c>
      <c r="DU10" s="3">
        <f>HAVERQ!F126-HAVERQ!F$128</f>
        <v>523</v>
      </c>
      <c r="DV10" s="3">
        <f>HAVERQ!G126-HAVERQ!G$128</f>
        <v>115</v>
      </c>
      <c r="DW10" s="3">
        <f>HAVERQ!H126-HAVERQ!H$128</f>
        <v>-1535</v>
      </c>
      <c r="DX10" s="3">
        <f>HAVERQ!C126-HAVERQ!C$128</f>
        <v>361</v>
      </c>
      <c r="EA10" s="4">
        <f t="shared" si="29"/>
        <v>0.52228063905237465</v>
      </c>
      <c r="EB10" s="4">
        <f t="shared" si="30"/>
        <v>0.65269527879469402</v>
      </c>
      <c r="EC10" s="4">
        <f t="shared" si="18"/>
        <v>-3.0572227157497855</v>
      </c>
      <c r="ED10" s="3">
        <v>0</v>
      </c>
      <c r="EF10" s="4">
        <f t="shared" si="31"/>
        <v>1.1749759178470687</v>
      </c>
      <c r="EG10" s="4">
        <f t="shared" si="32"/>
        <v>0.82625721648913375</v>
      </c>
      <c r="EJ10" s="3">
        <f>'IPNR ex BNFL'!I18</f>
        <v>46153</v>
      </c>
      <c r="EM10" s="4">
        <f t="shared" si="35"/>
        <v>1.1749759178470687</v>
      </c>
      <c r="EN10" s="4">
        <f t="shared" si="36"/>
        <v>0.52228063905237465</v>
      </c>
      <c r="EO10" s="4">
        <f t="shared" si="37"/>
        <v>0.78151509256795781</v>
      </c>
      <c r="ER10" s="4">
        <f>(HAVERQ!W52*$EW$2)+(HAVERQ!X52*$EX$2)/($EW$2+$EX$2)</f>
        <v>21.975471881216947</v>
      </c>
      <c r="ES10" s="4">
        <f>(HAVERQ!AB52*$EW$2)+(HAVERQ!AC52*$EY$2)+(HAVERQ!AD52*$EZ$2)+(HAVERQ!AE52*$FA$2)/($EW$2+$EY$2+$EZ$2+$FA$2)</f>
        <v>1.1136194542837272</v>
      </c>
      <c r="ET10" s="21">
        <f>(HAVERQ!Y52*$EW$2)+(HAVERQ!Z52*$EX$2)/($EW$2+$EX$2)</f>
        <v>2.0500097044980348</v>
      </c>
      <c r="FC10" s="26">
        <v>43617</v>
      </c>
      <c r="FD10" s="4">
        <f>100*((HAVERM!E241+HAVERM!F241)/(HAVERM!E$249+HAVERM!F$249))</f>
        <v>99.441515177753573</v>
      </c>
      <c r="FE10" s="4">
        <f>100*(HAVERM!E241/HAVERM!E$249)</f>
        <v>100.0553090230883</v>
      </c>
      <c r="FF10" s="4">
        <f>100*(HAVERM!F241/HAVERM!F$249)</f>
        <v>99.104723053469584</v>
      </c>
      <c r="FG10">
        <v>100</v>
      </c>
      <c r="FV10" s="26">
        <v>42491</v>
      </c>
      <c r="FW10" s="3">
        <f>HAVERM!G204</f>
        <v>346739</v>
      </c>
      <c r="FX10" s="4"/>
      <c r="FY10" s="3">
        <f t="shared" si="19"/>
        <v>1512</v>
      </c>
      <c r="GD10" s="4">
        <f>100*(DataQ!W160/DataQ!W$194)</f>
        <v>73.802761474829481</v>
      </c>
      <c r="GE10" s="4">
        <f>100*(DataQ!X160/DataQ!X$194)</f>
        <v>72.46496139349361</v>
      </c>
      <c r="GF10" s="4">
        <f>100*(DataQ!C160/DataQ!C$194)</f>
        <v>72.171500467787212</v>
      </c>
      <c r="GG10" s="4"/>
      <c r="GH10">
        <v>100</v>
      </c>
      <c r="GK10" s="4">
        <f>100*(DataQ!Z140/AVERAGE(DataQ!$Z$203:$Z$206))</f>
        <v>71.957848079643654</v>
      </c>
      <c r="GL10" s="4">
        <f>100*(DataQ!C140/AVERAGE(DataQ!$C$203:$C$206))</f>
        <v>74.512261352717545</v>
      </c>
      <c r="GM10" s="4">
        <v>100</v>
      </c>
      <c r="GP10" s="4">
        <f>100*(DataQ!Z140/DataQ!$Z$194)</f>
        <v>71.689386137922611</v>
      </c>
      <c r="GQ10" s="4">
        <f>100*(DataQ!C140/DataQ!$C$194)</f>
        <v>71.926315449882253</v>
      </c>
      <c r="GR10" s="4">
        <v>100</v>
      </c>
      <c r="GT10" s="4"/>
      <c r="GU10" s="31">
        <f t="shared" si="20"/>
        <v>100.30164209439623</v>
      </c>
      <c r="GV10" s="31">
        <f t="shared" si="21"/>
        <v>98.65593304401736</v>
      </c>
      <c r="GW10" s="4">
        <f t="shared" si="9"/>
        <v>6.8336367088657255</v>
      </c>
      <c r="GX10" s="4">
        <v>100</v>
      </c>
      <c r="GY10" s="31">
        <f t="shared" si="22"/>
        <v>105.48956975288309</v>
      </c>
      <c r="GZ10" s="4"/>
      <c r="HB10" s="4">
        <f>100*(DataQ!C192/DataQ!C$194)</f>
        <v>100.30164209439623</v>
      </c>
      <c r="HC10" s="4">
        <f>100*(DataQ!Q192/DataQ!Q$194)</f>
        <v>99.484900515099483</v>
      </c>
      <c r="HD10" s="4">
        <f>100*(DataQ!R192/DataQ!R$194)</f>
        <v>105.48956975288309</v>
      </c>
      <c r="HE10" s="4">
        <f>100*(DataQ!S192/DataQ!S$194)</f>
        <v>100.79510144397734</v>
      </c>
      <c r="HF10" s="4">
        <f>100*(DataQ!T192/DataQ!T$194)</f>
        <v>98.65593304401736</v>
      </c>
      <c r="HG10" s="4">
        <f>100*(DataQ!U192/DataQ!U$194)</f>
        <v>101.05983315550435</v>
      </c>
      <c r="HH10" s="4">
        <f>100*(DataQ!V192/DataQ!V$194)</f>
        <v>99.711360806921007</v>
      </c>
      <c r="HJ10" s="4"/>
      <c r="HK10" s="31">
        <f t="shared" si="23"/>
        <v>100.30164209439623</v>
      </c>
      <c r="HL10" s="31">
        <f t="shared" si="24"/>
        <v>98.65593304401736</v>
      </c>
      <c r="HM10" s="4">
        <f t="shared" si="10"/>
        <v>6.8336367088657255</v>
      </c>
      <c r="HN10" s="4">
        <v>100</v>
      </c>
      <c r="HO10" s="31">
        <f t="shared" si="25"/>
        <v>105.48956975288309</v>
      </c>
      <c r="HP10" s="4"/>
      <c r="HR10" s="4">
        <f>100*(DataQ!C192/DataQ!C$194)</f>
        <v>100.30164209439623</v>
      </c>
      <c r="HS10" s="4">
        <f>100*(DataQ!Q192/DataQ!Q$194)</f>
        <v>99.484900515099483</v>
      </c>
      <c r="HT10" s="4">
        <f>100*(DataQ!R192/DataQ!R$194)</f>
        <v>105.48956975288309</v>
      </c>
      <c r="HU10" s="4">
        <f>100*(DataQ!S192/DataQ!S$194)</f>
        <v>100.79510144397734</v>
      </c>
      <c r="HV10" s="4">
        <f>100*(DataQ!T192/DataQ!T$194)</f>
        <v>98.65593304401736</v>
      </c>
      <c r="HW10" s="4">
        <f>100*(DataQ!U192/DataQ!U$194)</f>
        <v>101.05983315550435</v>
      </c>
      <c r="HX10" s="4">
        <f>100*(DataQ!V192/DataQ!V$194)</f>
        <v>99.711360806921007</v>
      </c>
      <c r="HZ10" s="22">
        <v>1995</v>
      </c>
      <c r="IA10">
        <f>DataA!J29/'Chart Data'!IF10</f>
        <v>2.065040207661319</v>
      </c>
      <c r="IB10">
        <f t="shared" si="26"/>
        <v>1.9945150881929754</v>
      </c>
      <c r="IC10" s="4">
        <f t="shared" si="27"/>
        <v>3.5359531690602131</v>
      </c>
      <c r="IF10" s="3">
        <f>DataA!K29*DataA!L29</f>
        <v>858465.125</v>
      </c>
      <c r="IR10">
        <f>HAVERQ!AH81</f>
        <v>-10.6</v>
      </c>
      <c r="IS10" s="4">
        <f>100*(('IPNR ex BNFL'!I50/'IPNR ex BNFL'!I46)-1)</f>
        <v>-0.28356311723868322</v>
      </c>
      <c r="IT10">
        <v>0</v>
      </c>
    </row>
    <row r="11" spans="1:258" x14ac:dyDescent="0.25">
      <c r="B11" s="4">
        <f>100*((DataQ!C81/DataQ!C77)-1)</f>
        <v>-11.494886402521164</v>
      </c>
      <c r="C11" s="4">
        <f t="shared" si="11"/>
        <v>21.631379268143434</v>
      </c>
      <c r="D11" s="4">
        <v>0</v>
      </c>
      <c r="G11" s="4">
        <f>100*((AVERAGE(DataQ!C78:C81)/AVERAGE(DataQ!C74:C77))-1)</f>
        <v>-6.3280373538592833</v>
      </c>
      <c r="H11" s="4">
        <f t="shared" si="39"/>
        <v>20.723684191425519</v>
      </c>
      <c r="I11" s="4">
        <v>0</v>
      </c>
      <c r="K11" s="4">
        <f t="shared" si="12"/>
        <v>21.631379268143434</v>
      </c>
      <c r="L11" s="4">
        <f>100*(HAVERQ!AF15/HAVERQ!AI15)</f>
        <v>21.631379268143434</v>
      </c>
      <c r="O11" s="4">
        <f>100*('ONS CVM_SA_(Quarterly)'!B95/'ONS CVM_SA_(Quarterly)'!B$101)</f>
        <v>115.05536152188452</v>
      </c>
      <c r="P11" s="4">
        <f>100*('ONS CVM_SA_(Quarterly)'!D95/'ONS CVM_SA_(Quarterly)'!D$101)</f>
        <v>104.69184240640837</v>
      </c>
      <c r="R11">
        <v>100</v>
      </c>
      <c r="U11" s="3">
        <f>'ONS CVM_SA_(Quarterly)'!C107-'ONS CVM_SA_(Quarterly)'!C$101</f>
        <v>2946</v>
      </c>
      <c r="V11" s="3">
        <f>'ONS CVM_SA_(Quarterly)'!D107-'ONS CVM_SA_(Quarterly)'!D$101</f>
        <v>2106</v>
      </c>
      <c r="W11" s="3">
        <f>'ONS CVM_SA_(Quarterly)'!E107-'ONS CVM_SA_(Quarterly)'!E$101</f>
        <v>1416</v>
      </c>
      <c r="X11" s="3">
        <f>'ONS CVM_SA_(Quarterly)'!F107-'ONS CVM_SA_(Quarterly)'!F$101</f>
        <v>349</v>
      </c>
      <c r="Y11" s="3">
        <f>'ONS CVM_SA_(Quarterly)'!B107-'ONS CVM_SA_(Quarterly)'!B$101</f>
        <v>7059</v>
      </c>
      <c r="AB11" s="4">
        <f>100*(U11/'ONS CVM_SA_(Quarterly)'!$B$101)</f>
        <v>5.4729880359664111</v>
      </c>
      <c r="AC11" s="4">
        <f>100*(V11/'ONS CVM_SA_(Quarterly)'!$B$101)</f>
        <v>3.9124619157315896</v>
      </c>
      <c r="AD11" s="4">
        <f>100*(W11/'ONS CVM_SA_(Quarterly)'!$B$101)</f>
        <v>2.6306011741101285</v>
      </c>
      <c r="AE11" s="4">
        <f>100*(X11/'ONS CVM_SA_(Quarterly)'!$B$101)</f>
        <v>0.64836144757375336</v>
      </c>
      <c r="AF11" s="4">
        <f>100*(('ONS CVM_SA_(Quarterly)'!B107/'ONS CVM_SA_(Quarterly)'!B$101)-1)</f>
        <v>13.113992717544765</v>
      </c>
      <c r="AI11" s="4">
        <f>100*(('ONS CVM_SA_(Quarterly)'!C99-'ONS CVM_SA_(Quarterly)'!C$96)/'ONS CVM_SA_(Quarterly)'!$B$96)</f>
        <v>1.2791560473594219</v>
      </c>
      <c r="AJ11" s="4">
        <f>100*(('ONS CVM_SA_(Quarterly)'!D99-'ONS CVM_SA_(Quarterly)'!D$96)/'ONS CVM_SA_(Quarterly)'!$B$96)</f>
        <v>-3.5438913443236442</v>
      </c>
      <c r="AK11" s="4">
        <f>100*(('ONS CVM_SA_(Quarterly)'!E99-'ONS CVM_SA_(Quarterly)'!E$96)/'ONS CVM_SA_(Quarterly)'!$B$96)</f>
        <v>-6.5280511017195213</v>
      </c>
      <c r="AL11" s="4">
        <f>100*(('ONS CVM_SA_(Quarterly)'!F99-'ONS CVM_SA_(Quarterly)'!F$96)/'ONS CVM_SA_(Quarterly)'!$B$96)</f>
        <v>-2.4163628738264995</v>
      </c>
      <c r="AM11" s="4">
        <f>100*(('ONS CVM_SA_(Quarterly)'!B99-'ONS CVM_SA_(Quarterly)'!B$96)/'ONS CVM_SA_(Quarterly)'!$B$96)</f>
        <v>-11.749524147498144</v>
      </c>
      <c r="AP11" s="4">
        <f>100*(('ONS CVM_SA_(Quarterly)'!C87-AVERAGE('ONS CVM_SA_(Quarterly)'!C$81:C$84))/AVERAGE('ONS CVM_SA_(Quarterly)'!$B$81:$B$84))</f>
        <v>-0.50161464812016066</v>
      </c>
      <c r="AQ11" s="4">
        <f>100*(('ONS CVM_SA_(Quarterly)'!D87-AVERAGE('ONS CVM_SA_(Quarterly)'!D$81:D$84))/AVERAGE('ONS CVM_SA_(Quarterly)'!$B$81:$B$84))</f>
        <v>0.29618764763799466</v>
      </c>
      <c r="AR11" s="4">
        <f>100*(('ONS CVM_SA_(Quarterly)'!E87-AVERAGE('ONS CVM_SA_(Quarterly)'!E$81:E$84))/AVERAGE('ONS CVM_SA_(Quarterly)'!$B$81:$B$84))</f>
        <v>-2.0781757109921677</v>
      </c>
      <c r="AS11" s="4">
        <f>100*(('ONS CVM_SA_(Quarterly)'!F87-AVERAGE('ONS CVM_SA_(Quarterly)'!F$81:F$84))/AVERAGE('ONS CVM_SA_(Quarterly)'!$B$81:$B$84))</f>
        <v>1.5178097510970288</v>
      </c>
      <c r="AT11" s="4">
        <f>100*(('ONS CVM_SA_(Quarterly)'!B87-AVERAGE('ONS CVM_SA_(Quarterly)'!B$81:B$84))/AVERAGE('ONS CVM_SA_(Quarterly)'!$B$81:$B$84))</f>
        <v>-1.6527351774492205</v>
      </c>
      <c r="AV11" s="36">
        <v>43647</v>
      </c>
      <c r="AW11" s="21">
        <f>HAVERM!D242</f>
        <v>0.75</v>
      </c>
      <c r="AX11" s="21">
        <f>HAVERM!B242</f>
        <v>3.3</v>
      </c>
      <c r="AY11" s="21">
        <f>HAVERM!C242</f>
        <v>2.42</v>
      </c>
      <c r="BA11" s="36">
        <v>44713</v>
      </c>
      <c r="BB11" s="21">
        <f t="shared" ref="BB11:BC11" si="41">AX46-AX$39</f>
        <v>0.7799999999999998</v>
      </c>
      <c r="BC11" s="21">
        <f t="shared" si="41"/>
        <v>0.10000000000000009</v>
      </c>
      <c r="BD11" s="3">
        <v>1000</v>
      </c>
      <c r="BE11" s="3"/>
      <c r="BF11" s="21">
        <v>0</v>
      </c>
      <c r="BJ11" s="4">
        <f>100*(HAVERQ!B127/HAVERQ!B$128)</f>
        <v>99.899990321644026</v>
      </c>
      <c r="BK11" s="4">
        <f>100*(HAVERQ!I127/HAVERQ!I$128)</f>
        <v>101.56383890317053</v>
      </c>
      <c r="BL11" s="4">
        <f>100*(HAVERQ!J127/HAVERQ!J$128)</f>
        <v>82.348658206781778</v>
      </c>
      <c r="BM11" s="4">
        <f>100*(HAVERQ!K127/HAVERQ!K$128)</f>
        <v>93.939393939393938</v>
      </c>
      <c r="BN11" s="4">
        <f>100*((HAVERQ!L127+HAVERQ!M127)/(HAVERQ!L$128+HAVERQ!M$128))</f>
        <v>101.0576534733441</v>
      </c>
      <c r="BO11">
        <v>100</v>
      </c>
      <c r="BR11" s="3">
        <f>HAVERQ!I127-HAVERQ!I$128</f>
        <v>146</v>
      </c>
      <c r="BS11" s="3">
        <f>HAVERQ!J127-HAVERQ!J$128</f>
        <v>-1697</v>
      </c>
      <c r="BT11" s="3">
        <f>HAVERQ!K127-HAVERQ!K$128</f>
        <v>-196</v>
      </c>
      <c r="BU11" s="3">
        <f>(HAVERQ!L127+HAVERQ!M127)-(HAVERQ!L$128+HAVERQ!M$128)</f>
        <v>419</v>
      </c>
      <c r="BV11" s="3">
        <f>HAVERQ!N127-HAVERQ!N$128</f>
        <v>-20</v>
      </c>
      <c r="BW11" s="3">
        <f>HAVERQ!B127-HAVERQ!B$128</f>
        <v>-62</v>
      </c>
      <c r="BZ11" s="4">
        <f>100*((HAVERQ!I131-HAVERQ!I$128)/HAVERQ!$B$128)</f>
        <v>-0.92750911378520506</v>
      </c>
      <c r="CA11" s="4">
        <f>100*((HAVERQ!J131-HAVERQ!J$128)/HAVERQ!$B$128)</f>
        <v>-4.3778430170661675</v>
      </c>
      <c r="CB11" s="4">
        <f>100*((HAVERQ!K131-HAVERQ!K$128)/HAVERQ!$B$128)</f>
        <v>-1.129141529825467</v>
      </c>
      <c r="CC11" s="4">
        <f>100*(((HAVERQ!L131+HAVERQ!M131)-(HAVERQ!L$128+HAVERQ!M$128))/HAVERQ!$B$128)</f>
        <v>-8.2169242184727551</v>
      </c>
      <c r="CD11" s="4">
        <f t="shared" si="14"/>
        <v>2.9018937316514508</v>
      </c>
      <c r="CE11" s="4">
        <f>100*((HAVERQ!B131-HAVERQ!B$128)/HAVERQ!B$128)</f>
        <v>-11.749524147498144</v>
      </c>
      <c r="CH11" s="3">
        <f>HAVERQ!I127</f>
        <v>9482</v>
      </c>
      <c r="CI11" s="3">
        <f>HAVERQ!J127</f>
        <v>7917</v>
      </c>
      <c r="CJ11" s="3">
        <f>HAVERQ!K127</f>
        <v>3038</v>
      </c>
      <c r="CK11" s="3">
        <f>HAVERQ!L127+HAVERQ!M127</f>
        <v>40035</v>
      </c>
      <c r="CL11" s="3">
        <f>HAVERQ!N127</f>
        <v>1338</v>
      </c>
      <c r="CO11" s="3">
        <f t="shared" si="15"/>
        <v>182</v>
      </c>
      <c r="CP11" s="3">
        <f t="shared" si="0"/>
        <v>-127</v>
      </c>
      <c r="CQ11" s="3">
        <f t="shared" si="0"/>
        <v>-18</v>
      </c>
      <c r="CR11" s="3">
        <f t="shared" si="0"/>
        <v>230</v>
      </c>
      <c r="CS11" s="3">
        <f t="shared" si="16"/>
        <v>427</v>
      </c>
      <c r="CT11" s="3">
        <f t="shared" si="17"/>
        <v>-103</v>
      </c>
      <c r="CU11" s="3">
        <f t="shared" si="1"/>
        <v>419</v>
      </c>
      <c r="CX11" s="3">
        <f>HAVERQ!L127-HAVERQ!L$128</f>
        <v>182</v>
      </c>
      <c r="CY11" s="3">
        <f>HAVERQ!O127-HAVERQ!O$128</f>
        <v>-127</v>
      </c>
      <c r="CZ11" s="3">
        <f>HAVERQ!P127-HAVERQ!P$128</f>
        <v>-18</v>
      </c>
      <c r="DA11" s="3">
        <f>HAVERQ!Q127-HAVERQ!Q$128</f>
        <v>230</v>
      </c>
      <c r="DB11" s="3">
        <f>HAVERQ!R127-HAVERQ!R$128</f>
        <v>309</v>
      </c>
      <c r="DC11" s="3">
        <f>HAVERQ!S127-HAVERQ!S$128</f>
        <v>427</v>
      </c>
      <c r="DD11" s="3">
        <f>HAVERQ!T127-HAVERQ!T$128</f>
        <v>91</v>
      </c>
      <c r="DE11" s="3">
        <f>HAVERQ!U127-HAVERQ!U$128</f>
        <v>-52</v>
      </c>
      <c r="DF11" s="3">
        <f>HAVERQ!V127-HAVERQ!V$128</f>
        <v>-451</v>
      </c>
      <c r="DG11" s="3">
        <f>(HAVERQ!L127+HAVERQ!M127)-(HAVERQ!L$128+HAVERQ!M$128)</f>
        <v>419</v>
      </c>
      <c r="DJ11" s="4">
        <f>100*(HAVERQ!C127/HAVERQ!C$128)</f>
        <v>101.14600902584674</v>
      </c>
      <c r="DK11" s="4">
        <f>100*(HAVERQ!D127/HAVERQ!D$128)</f>
        <v>116.62966252220248</v>
      </c>
      <c r="DL11" s="4">
        <f>100*(HAVERQ!E127/HAVERQ!E$128)</f>
        <v>98.909704234684654</v>
      </c>
      <c r="DM11" s="4">
        <f>100*(HAVERQ!F127/HAVERQ!F$128)</f>
        <v>104.8207029863111</v>
      </c>
      <c r="DN11" s="4">
        <f>100*(HAVERQ!G127/HAVERQ!G$128)</f>
        <v>99.107118772085997</v>
      </c>
      <c r="DO11" s="4">
        <f>100*(HAVERQ!H127/HAVERQ!H$128)</f>
        <v>98.61883679570137</v>
      </c>
      <c r="DP11">
        <v>100</v>
      </c>
      <c r="DS11" s="3">
        <f>HAVERQ!D127-HAVERQ!D$128</f>
        <v>749</v>
      </c>
      <c r="DT11" s="3">
        <f>HAVERQ!E127-HAVERQ!E$128</f>
        <v>-181</v>
      </c>
      <c r="DU11" s="3">
        <f>HAVERQ!F127-HAVERQ!F$128</f>
        <v>1222</v>
      </c>
      <c r="DV11" s="3">
        <f>HAVERQ!G127-HAVERQ!G$128</f>
        <v>-331</v>
      </c>
      <c r="DW11" s="3">
        <f>HAVERQ!H127-HAVERQ!H$128</f>
        <v>-365</v>
      </c>
      <c r="DX11" s="3">
        <f>HAVERQ!C127-HAVERQ!C$128</f>
        <v>1257</v>
      </c>
      <c r="EA11" s="4">
        <f t="shared" si="29"/>
        <v>-0.69878275569901571</v>
      </c>
      <c r="EB11" s="4">
        <f t="shared" si="30"/>
        <v>1.6045185978097916</v>
      </c>
      <c r="EC11" s="4">
        <f t="shared" si="18"/>
        <v>3.903764427207923</v>
      </c>
      <c r="ED11" s="3">
        <v>0</v>
      </c>
      <c r="EF11" s="4">
        <f t="shared" si="31"/>
        <v>0.90573584211077585</v>
      </c>
      <c r="EG11" s="4">
        <f t="shared" si="32"/>
        <v>0.30136414603146461</v>
      </c>
      <c r="EJ11" s="3">
        <f>'IPNR ex BNFL'!I19</f>
        <v>43061</v>
      </c>
      <c r="EL11">
        <v>2001</v>
      </c>
      <c r="EM11" s="4">
        <f t="shared" si="35"/>
        <v>0.90573584211077585</v>
      </c>
      <c r="EN11" s="4">
        <f t="shared" si="36"/>
        <v>-0.69878275569901571</v>
      </c>
      <c r="EO11" s="4">
        <f t="shared" si="37"/>
        <v>0.69713935168263363</v>
      </c>
      <c r="EQ11">
        <v>2001</v>
      </c>
      <c r="ER11" s="4">
        <f>(HAVERQ!W53*$EW$2)+(HAVERQ!X53*$EX$2)/($EW$2+$EX$2)</f>
        <v>18.819738949002865</v>
      </c>
      <c r="ES11" s="4">
        <f>(HAVERQ!AB53*$EW$2)+(HAVERQ!AC53*$EY$2)+(HAVERQ!AD53*$EZ$2)+(HAVERQ!AE53*$FA$2)/($EW$2+$EY$2+$EZ$2+$FA$2)</f>
        <v>-16.068946414996685</v>
      </c>
      <c r="ET11" s="21">
        <f>(HAVERQ!Y53*$EW$2)+(HAVERQ!Z53*$EX$2)/($EW$2+$EX$2)</f>
        <v>1.9174939751241367</v>
      </c>
      <c r="FC11" s="26">
        <v>43647</v>
      </c>
      <c r="FD11" s="4">
        <f>100*((HAVERM!E242+HAVERM!F242)/(HAVERM!E$249+HAVERM!F$249))</f>
        <v>98.930880952272446</v>
      </c>
      <c r="FE11" s="4">
        <f>100*(HAVERM!E242/HAVERM!E$249)</f>
        <v>99.586468583188619</v>
      </c>
      <c r="FF11" s="4">
        <f>100*(HAVERM!F242/HAVERM!F$249)</f>
        <v>98.571156343515327</v>
      </c>
      <c r="FG11">
        <v>100</v>
      </c>
      <c r="FV11" s="26">
        <v>42522</v>
      </c>
      <c r="FW11" s="3">
        <f>HAVERM!G205</f>
        <v>350230</v>
      </c>
      <c r="FX11" s="4"/>
      <c r="FY11" s="3">
        <f t="shared" si="19"/>
        <v>3491</v>
      </c>
      <c r="GD11" s="4">
        <f>100*(DataQ!W161/DataQ!W$194)</f>
        <v>76.125225996764684</v>
      </c>
      <c r="GE11" s="4">
        <f>100*(DataQ!X161/DataQ!X$194)</f>
        <v>74.706334394554844</v>
      </c>
      <c r="GF11" s="4">
        <f>100*(DataQ!C161/DataQ!C$194)</f>
        <v>74.552376036390626</v>
      </c>
      <c r="GG11" s="4"/>
      <c r="GH11">
        <v>100</v>
      </c>
      <c r="GK11" s="4">
        <f>100*(DataQ!Z141/AVERAGE(DataQ!$Z$203:$Z$206))</f>
        <v>77.469483218507605</v>
      </c>
      <c r="GL11" s="4">
        <f>100*(DataQ!C141/AVERAGE(DataQ!$C$203:$C$206))</f>
        <v>80.248986924008861</v>
      </c>
      <c r="GM11" s="4">
        <v>100</v>
      </c>
      <c r="GP11" s="4">
        <f>100*(DataQ!Z141/DataQ!$Z$194)</f>
        <v>77.180458345696678</v>
      </c>
      <c r="GQ11" s="4">
        <f>100*(DataQ!C141/DataQ!$C$194)</f>
        <v>77.463948124012006</v>
      </c>
      <c r="GR11" s="4">
        <v>100</v>
      </c>
      <c r="GT11" s="4"/>
      <c r="GU11" s="31">
        <f t="shared" si="20"/>
        <v>99.899990321644026</v>
      </c>
      <c r="GV11" s="31">
        <f t="shared" si="21"/>
        <v>99.556106633601985</v>
      </c>
      <c r="GW11" s="4">
        <f t="shared" si="9"/>
        <v>8.1859148662979067</v>
      </c>
      <c r="GX11" s="4">
        <v>100</v>
      </c>
      <c r="GY11" s="31">
        <f t="shared" si="22"/>
        <v>107.74202149989989</v>
      </c>
      <c r="GZ11" s="4"/>
      <c r="HB11" s="4">
        <f>100*(DataQ!C193/DataQ!C$194)</f>
        <v>99.899990321644026</v>
      </c>
      <c r="HC11" s="4">
        <f>100*(DataQ!Q193/DataQ!Q$194)</f>
        <v>100.44439955560043</v>
      </c>
      <c r="HD11" s="4">
        <f>100*(DataQ!R193/DataQ!R$194)</f>
        <v>107.74202149989989</v>
      </c>
      <c r="HE11" s="4">
        <f>100*(DataQ!S193/DataQ!S$194)</f>
        <v>100.36556388228841</v>
      </c>
      <c r="HF11" s="4">
        <f>100*(DataQ!T193/DataQ!T$194)</f>
        <v>99.556106633601985</v>
      </c>
      <c r="HG11" s="4">
        <f>100*(DataQ!U193/DataQ!U$194)</f>
        <v>101.0009764856588</v>
      </c>
      <c r="HH11" s="4">
        <f>100*(DataQ!V193/DataQ!V$194)</f>
        <v>101.73342108810633</v>
      </c>
      <c r="HJ11" s="4"/>
      <c r="HK11" s="31">
        <f t="shared" si="23"/>
        <v>99.899990321644026</v>
      </c>
      <c r="HL11" s="31">
        <f t="shared" si="24"/>
        <v>99.556106633601985</v>
      </c>
      <c r="HM11" s="4">
        <f t="shared" si="10"/>
        <v>8.1859148662979067</v>
      </c>
      <c r="HN11" s="4">
        <v>100</v>
      </c>
      <c r="HO11" s="31">
        <f t="shared" si="25"/>
        <v>107.74202149989989</v>
      </c>
      <c r="HP11" s="4"/>
      <c r="HR11" s="4">
        <f>100*(DataQ!C193/DataQ!C$194)</f>
        <v>99.899990321644026</v>
      </c>
      <c r="HS11" s="4">
        <f>100*(DataQ!Q193/DataQ!Q$194)</f>
        <v>100.44439955560043</v>
      </c>
      <c r="HT11" s="4">
        <f>100*(DataQ!R193/DataQ!R$194)</f>
        <v>107.74202149989989</v>
      </c>
      <c r="HU11" s="4">
        <f>100*(DataQ!S193/DataQ!S$194)</f>
        <v>100.36556388228841</v>
      </c>
      <c r="HV11" s="4">
        <f>100*(DataQ!T193/DataQ!T$194)</f>
        <v>99.556106633601985</v>
      </c>
      <c r="HW11" s="4">
        <f>100*(DataQ!U193/DataQ!U$194)</f>
        <v>101.0009764856588</v>
      </c>
      <c r="HX11" s="4">
        <f>100*(DataQ!V193/DataQ!V$194)</f>
        <v>101.73342108810633</v>
      </c>
      <c r="HZ11" s="22">
        <v>1996</v>
      </c>
      <c r="IA11">
        <f>DataA!J30/'Chart Data'!IF11</f>
        <v>2.0977144531785208</v>
      </c>
      <c r="IB11">
        <f t="shared" si="26"/>
        <v>2.0475007951778768</v>
      </c>
      <c r="IC11" s="4">
        <f t="shared" si="27"/>
        <v>2.4524365567477835</v>
      </c>
      <c r="IF11" s="3">
        <f>DataA!K30*DataA!L30</f>
        <v>865835.19375000009</v>
      </c>
      <c r="IR11">
        <f>HAVERQ!AH82</f>
        <v>-15.1</v>
      </c>
      <c r="IS11" s="4">
        <f>100*(('IPNR ex BNFL'!I51/'IPNR ex BNFL'!I47)-1)</f>
        <v>0.3416180832566118</v>
      </c>
      <c r="IT11">
        <v>0</v>
      </c>
    </row>
    <row r="12" spans="1:258" x14ac:dyDescent="0.25">
      <c r="B12" s="4">
        <f>100*((DataQ!C82/DataQ!C78)-1)</f>
        <v>-8.0417942810495635</v>
      </c>
      <c r="C12" s="4">
        <f t="shared" si="11"/>
        <v>20.342782972949056</v>
      </c>
      <c r="D12" s="4">
        <v>0</v>
      </c>
      <c r="G12" s="4">
        <f>100*((AVERAGE(DataQ!C79:C82)/AVERAGE(DataQ!C75:C78))-1)</f>
        <v>-8.0092753244798374</v>
      </c>
      <c r="H12" s="4">
        <f t="shared" si="39"/>
        <v>21.192337256117014</v>
      </c>
      <c r="I12" s="4">
        <v>0</v>
      </c>
      <c r="K12" s="4">
        <f t="shared" si="12"/>
        <v>20.342782972949056</v>
      </c>
      <c r="L12" s="4">
        <f>100*(HAVERQ!AF16/HAVERQ!AI16)</f>
        <v>20.342782972949056</v>
      </c>
      <c r="O12" s="4">
        <f>100*('ONS CVM_SA_(Quarterly)'!B96/'ONS CVM_SA_(Quarterly)'!B$101)</f>
        <v>115.17054321171139</v>
      </c>
      <c r="P12" s="4">
        <f>100*('ONS CVM_SA_(Quarterly)'!D96/'ONS CVM_SA_(Quarterly)'!D$101)</f>
        <v>104.50384175249306</v>
      </c>
      <c r="R12">
        <v>100</v>
      </c>
      <c r="U12" s="3">
        <f>'ONS CVM_SA_(Quarterly)'!C108-'ONS CVM_SA_(Quarterly)'!C$101</f>
        <v>3545</v>
      </c>
      <c r="V12" s="3">
        <f>'ONS CVM_SA_(Quarterly)'!D108-'ONS CVM_SA_(Quarterly)'!D$101</f>
        <v>1005</v>
      </c>
      <c r="W12" s="3">
        <f>'ONS CVM_SA_(Quarterly)'!E108-'ONS CVM_SA_(Quarterly)'!E$101</f>
        <v>484</v>
      </c>
      <c r="X12" s="3">
        <f>'ONS CVM_SA_(Quarterly)'!F108-'ONS CVM_SA_(Quarterly)'!F$101</f>
        <v>144</v>
      </c>
      <c r="Y12" s="3">
        <f>'ONS CVM_SA_(Quarterly)'!B108-'ONS CVM_SA_(Quarterly)'!B$101</f>
        <v>5420</v>
      </c>
      <c r="AB12" s="4">
        <f>100*(U12/'ONS CVM_SA_(Quarterly)'!$B$101)</f>
        <v>6.5857917812290996</v>
      </c>
      <c r="AC12" s="4">
        <f>100*(V12/'ONS CVM_SA_(Quarterly)'!$B$101)</f>
        <v>1.8670580367095193</v>
      </c>
      <c r="AD12" s="4">
        <f>100*(W12/'ONS CVM_SA_(Quarterly)'!$B$101)</f>
        <v>0.89916028832577843</v>
      </c>
      <c r="AE12" s="4">
        <f>100*(X12/'ONS CVM_SA_(Quarterly)'!$B$101)</f>
        <v>0.26751876346882664</v>
      </c>
      <c r="AF12" s="4">
        <f>100*(('ONS CVM_SA_(Quarterly)'!B108/'ONS CVM_SA_(Quarterly)'!B$101)-1)</f>
        <v>10.069109013896105</v>
      </c>
      <c r="AI12" s="4">
        <f>100*(('ONS CVM_SA_(Quarterly)'!C100-'ONS CVM_SA_(Quarterly)'!C$96)/'ONS CVM_SA_(Quarterly)'!$B$96)</f>
        <v>2.9809336387392329</v>
      </c>
      <c r="AJ12" s="4">
        <f>100*(('ONS CVM_SA_(Quarterly)'!D100-'ONS CVM_SA_(Quarterly)'!D$96)/'ONS CVM_SA_(Quarterly)'!$B$96)</f>
        <v>-1.3791657257153918</v>
      </c>
      <c r="AK12" s="4">
        <f>100*(('ONS CVM_SA_(Quarterly)'!E100-'ONS CVM_SA_(Quarterly)'!E$96)/'ONS CVM_SA_(Quarterly)'!$B$96)</f>
        <v>-5.8602445397941736</v>
      </c>
      <c r="AL12" s="4">
        <f>100*(('ONS CVM_SA_(Quarterly)'!F100-'ONS CVM_SA_(Quarterly)'!F$96)/'ONS CVM_SA_(Quarterly)'!$B$96)</f>
        <v>-2.1324644320418105</v>
      </c>
      <c r="AM12" s="4">
        <f>100*(('ONS CVM_SA_(Quarterly)'!B100-'ONS CVM_SA_(Quarterly)'!B$96)/'ONS CVM_SA_(Quarterly)'!$B$96)</f>
        <v>-6.8054973061909223</v>
      </c>
      <c r="AP12" s="4">
        <f>100*(('ONS CVM_SA_(Quarterly)'!C88-AVERAGE('ONS CVM_SA_(Quarterly)'!C$81:C$84))/AVERAGE('ONS CVM_SA_(Quarterly)'!$B$81:$B$84))</f>
        <v>0.45137214701604117</v>
      </c>
      <c r="AQ12" s="4">
        <f>100*(('ONS CVM_SA_(Quarterly)'!D88-AVERAGE('ONS CVM_SA_(Quarterly)'!D$81:D$84))/AVERAGE('ONS CVM_SA_(Quarterly)'!$B$81:$B$84))</f>
        <v>0.34480942290004579</v>
      </c>
      <c r="AR12" s="4">
        <f>100*(('ONS CVM_SA_(Quarterly)'!E88-AVERAGE('ONS CVM_SA_(Quarterly)'!E$81:E$84))/AVERAGE('ONS CVM_SA_(Quarterly)'!$B$81:$B$84))</f>
        <v>-2.0781757109921677</v>
      </c>
      <c r="AS12" s="4">
        <f>100*(('ONS CVM_SA_(Quarterly)'!F88-AVERAGE('ONS CVM_SA_(Quarterly)'!F$81:F$84))/AVERAGE('ONS CVM_SA_(Quarterly)'!$B$81:$B$84))</f>
        <v>2.183928072187129</v>
      </c>
      <c r="AT12" s="4">
        <f>100*(('ONS CVM_SA_(Quarterly)'!B88-AVERAGE('ONS CVM_SA_(Quarterly)'!B$81:B$84))/AVERAGE('ONS CVM_SA_(Quarterly)'!$B$81:$B$84))</f>
        <v>1.9853891565337536E-2</v>
      </c>
      <c r="AV12" s="36">
        <v>43678</v>
      </c>
      <c r="AW12" s="21">
        <f>HAVERM!D243</f>
        <v>0.75</v>
      </c>
      <c r="AX12" s="21">
        <f>HAVERM!B243</f>
        <v>3.27</v>
      </c>
      <c r="AY12" s="21">
        <f>HAVERM!C243</f>
        <v>2.42</v>
      </c>
      <c r="BA12" s="36">
        <v>44743</v>
      </c>
      <c r="BB12" s="21">
        <f t="shared" ref="BB12:BC12" si="42">AX47-AX$39</f>
        <v>0.85999999999999988</v>
      </c>
      <c r="BC12" s="21">
        <f t="shared" si="42"/>
        <v>0.10999999999999988</v>
      </c>
      <c r="BD12" s="3">
        <v>1000</v>
      </c>
      <c r="BE12" s="3"/>
      <c r="BF12" s="21">
        <v>0</v>
      </c>
      <c r="BJ12" s="4">
        <f>100*(HAVERQ!B128/HAVERQ!B$128)</f>
        <v>100</v>
      </c>
      <c r="BK12" s="4">
        <f>100*(HAVERQ!I128/HAVERQ!I$128)</f>
        <v>100</v>
      </c>
      <c r="BL12" s="4">
        <f>100*(HAVERQ!J128/HAVERQ!J$128)</f>
        <v>100</v>
      </c>
      <c r="BM12" s="4">
        <f>100*(HAVERQ!K128/HAVERQ!K$128)</f>
        <v>100</v>
      </c>
      <c r="BN12" s="4">
        <f>100*((HAVERQ!L128+HAVERQ!M128)/(HAVERQ!L$128+HAVERQ!M$128))</f>
        <v>100</v>
      </c>
      <c r="BO12">
        <v>100</v>
      </c>
      <c r="BR12" s="3">
        <f>HAVERQ!I128-HAVERQ!I$128</f>
        <v>0</v>
      </c>
      <c r="BS12" s="3">
        <f>HAVERQ!J128-HAVERQ!J$128</f>
        <v>0</v>
      </c>
      <c r="BT12" s="3">
        <f>HAVERQ!K128-HAVERQ!K$128</f>
        <v>0</v>
      </c>
      <c r="BU12" s="3">
        <f>(HAVERQ!L128+HAVERQ!M128)-(HAVERQ!L$128+HAVERQ!M$128)</f>
        <v>0</v>
      </c>
      <c r="BV12" s="3">
        <f>HAVERQ!N128-HAVERQ!N$128</f>
        <v>0</v>
      </c>
      <c r="BW12" s="3">
        <f>HAVERQ!B128-HAVERQ!B$128</f>
        <v>0</v>
      </c>
      <c r="BZ12" s="4">
        <f>100*((HAVERQ!I132-HAVERQ!I$128)/HAVERQ!$B$128)</f>
        <v>-0.52263122237635906</v>
      </c>
      <c r="CA12" s="4">
        <f>100*((HAVERQ!J132-HAVERQ!J$128)/HAVERQ!$B$128)</f>
        <v>-4.785947027131658</v>
      </c>
      <c r="CB12" s="4">
        <f>100*((HAVERQ!K132-HAVERQ!K$128)/HAVERQ!$B$128)</f>
        <v>-1.3485175984772719</v>
      </c>
      <c r="CC12" s="4">
        <f>100*(((HAVERQ!L132+HAVERQ!M132)-(HAVERQ!L$128+HAVERQ!M$128))/HAVERQ!$B$128)</f>
        <v>-6.5199858050779103</v>
      </c>
      <c r="CD12" s="4">
        <f t="shared" si="14"/>
        <v>6.371584346872277</v>
      </c>
      <c r="CE12" s="4">
        <f>100*((HAVERQ!B132-HAVERQ!B$128)/HAVERQ!B$128)</f>
        <v>-6.8054973061909223</v>
      </c>
      <c r="CH12" s="3">
        <f>HAVERQ!I128</f>
        <v>9336</v>
      </c>
      <c r="CI12" s="3">
        <f>HAVERQ!J128</f>
        <v>9614</v>
      </c>
      <c r="CJ12" s="3">
        <f>HAVERQ!K128</f>
        <v>3234</v>
      </c>
      <c r="CK12" s="3">
        <f>HAVERQ!L128+HAVERQ!M128</f>
        <v>39616</v>
      </c>
      <c r="CL12" s="3">
        <f>HAVERQ!N128</f>
        <v>1358</v>
      </c>
      <c r="CO12" s="3">
        <f t="shared" si="15"/>
        <v>0</v>
      </c>
      <c r="CP12" s="3">
        <f t="shared" si="0"/>
        <v>0</v>
      </c>
      <c r="CQ12" s="3">
        <f t="shared" si="0"/>
        <v>0</v>
      </c>
      <c r="CR12" s="3">
        <f t="shared" si="0"/>
        <v>0</v>
      </c>
      <c r="CS12" s="3">
        <f t="shared" si="16"/>
        <v>0</v>
      </c>
      <c r="CT12" s="3">
        <f t="shared" si="17"/>
        <v>0</v>
      </c>
      <c r="CU12" s="3">
        <f t="shared" si="1"/>
        <v>0</v>
      </c>
      <c r="CX12" s="3">
        <f>HAVERQ!L128-HAVERQ!L$128</f>
        <v>0</v>
      </c>
      <c r="CY12" s="3">
        <f>HAVERQ!O128-HAVERQ!O$128</f>
        <v>0</v>
      </c>
      <c r="CZ12" s="3">
        <f>HAVERQ!P128-HAVERQ!P$128</f>
        <v>0</v>
      </c>
      <c r="DA12" s="3">
        <f>HAVERQ!Q128-HAVERQ!Q$128</f>
        <v>0</v>
      </c>
      <c r="DB12" s="3">
        <f>HAVERQ!R128-HAVERQ!R$128</f>
        <v>0</v>
      </c>
      <c r="DC12" s="3">
        <f>HAVERQ!S128-HAVERQ!S$128</f>
        <v>0</v>
      </c>
      <c r="DD12" s="3">
        <f>HAVERQ!T128-HAVERQ!T$128</f>
        <v>0</v>
      </c>
      <c r="DE12" s="3">
        <f>HAVERQ!U128-HAVERQ!U$128</f>
        <v>0</v>
      </c>
      <c r="DF12" s="3">
        <f>HAVERQ!V128-HAVERQ!V$128</f>
        <v>0</v>
      </c>
      <c r="DG12" s="3">
        <f>(HAVERQ!L128+HAVERQ!M128)-(HAVERQ!L$128+HAVERQ!M$128)</f>
        <v>0</v>
      </c>
      <c r="DJ12" s="4">
        <f>100*(HAVERQ!C128/HAVERQ!C$128)</f>
        <v>100</v>
      </c>
      <c r="DK12" s="4">
        <f>100*(HAVERQ!D128/HAVERQ!D$128)</f>
        <v>100</v>
      </c>
      <c r="DL12" s="4">
        <f>100*(HAVERQ!E128/HAVERQ!E$128)</f>
        <v>100</v>
      </c>
      <c r="DM12" s="4">
        <f>100*(HAVERQ!F128/HAVERQ!F$128)</f>
        <v>100</v>
      </c>
      <c r="DN12" s="4">
        <f>100*(HAVERQ!G128/HAVERQ!G$128)</f>
        <v>100</v>
      </c>
      <c r="DO12" s="4">
        <f>100*(HAVERQ!H128/HAVERQ!H$128)</f>
        <v>100</v>
      </c>
      <c r="DP12">
        <v>100</v>
      </c>
      <c r="DS12" s="3">
        <f>HAVERQ!D128-HAVERQ!D$128</f>
        <v>0</v>
      </c>
      <c r="DT12" s="3">
        <f>HAVERQ!E128-HAVERQ!E$128</f>
        <v>0</v>
      </c>
      <c r="DU12" s="3">
        <f>HAVERQ!F128-HAVERQ!F$128</f>
        <v>0</v>
      </c>
      <c r="DV12" s="3">
        <f>HAVERQ!G128-HAVERQ!G$128</f>
        <v>0</v>
      </c>
      <c r="DW12" s="3">
        <f>HAVERQ!H128-HAVERQ!H$128</f>
        <v>0</v>
      </c>
      <c r="DX12" s="3">
        <f>HAVERQ!C128-HAVERQ!C$128</f>
        <v>0</v>
      </c>
      <c r="EA12" s="4">
        <f t="shared" si="29"/>
        <v>0.24340865655281924</v>
      </c>
      <c r="EB12" s="4">
        <f t="shared" si="30"/>
        <v>0.33434291733439908</v>
      </c>
      <c r="EC12" s="4">
        <f t="shared" si="18"/>
        <v>-3.9183161103763631</v>
      </c>
      <c r="ED12" s="3">
        <v>0</v>
      </c>
      <c r="EF12" s="4">
        <f t="shared" si="31"/>
        <v>0.57775157388721832</v>
      </c>
      <c r="EG12" s="4">
        <f t="shared" si="32"/>
        <v>0.38426418336133272</v>
      </c>
      <c r="EJ12" s="3">
        <f>'IPNR ex BNFL'!I20</f>
        <v>44611</v>
      </c>
      <c r="EM12" s="4">
        <f t="shared" si="35"/>
        <v>0.57775157388721832</v>
      </c>
      <c r="EN12" s="4">
        <f t="shared" si="36"/>
        <v>0.24340865655281924</v>
      </c>
      <c r="EO12" s="4">
        <f t="shared" si="37"/>
        <v>0.33163231964396067</v>
      </c>
      <c r="ER12" s="4">
        <f>(HAVERQ!W54*$EW$2)+(HAVERQ!X54*$EX$2)/($EW$2+$EX$2)</f>
        <v>14.975471881216944</v>
      </c>
      <c r="ES12" s="4">
        <f>(HAVERQ!AB54*$EW$2)+(HAVERQ!AC54*$EY$2)+(HAVERQ!AD54*$EZ$2)+(HAVERQ!AE54*$FA$2)/($EW$2+$EY$2+$EZ$2+$FA$2)</f>
        <v>-2.8106126773092663</v>
      </c>
      <c r="ET12" s="21">
        <f>(HAVERQ!Y54*$EW$2)+(HAVERQ!Z54*$EX$2)/($EW$2+$EX$2)</f>
        <v>1.3434494638264833</v>
      </c>
      <c r="FC12" s="26">
        <v>43678</v>
      </c>
      <c r="FD12" s="4">
        <f>100*((HAVERM!E243+HAVERM!F243)/(HAVERM!E$249+HAVERM!F$249))</f>
        <v>99.53767209125337</v>
      </c>
      <c r="FE12" s="4">
        <f>100*(HAVERM!E243/HAVERM!E$249)</f>
        <v>99.743391857997295</v>
      </c>
      <c r="FF12" s="4">
        <f>100*(HAVERM!F243/HAVERM!F$249)</f>
        <v>99.424792501835014</v>
      </c>
      <c r="FG12">
        <v>100</v>
      </c>
      <c r="FV12" s="26">
        <v>42552</v>
      </c>
      <c r="FW12" s="3">
        <f>HAVERM!G206</f>
        <v>352760</v>
      </c>
      <c r="FX12" s="4"/>
      <c r="FY12" s="3">
        <f t="shared" si="19"/>
        <v>2530</v>
      </c>
      <c r="GD12" s="4">
        <f>100*(DataQ!W162/DataQ!W$194)</f>
        <v>79.008146366875195</v>
      </c>
      <c r="GE12" s="4">
        <f>100*(DataQ!X162/DataQ!X$194)</f>
        <v>77.483807223624993</v>
      </c>
      <c r="GF12" s="4">
        <f>100*(DataQ!C162/DataQ!C$194)</f>
        <v>76.415459560602642</v>
      </c>
      <c r="GG12" s="4"/>
      <c r="GH12">
        <v>100</v>
      </c>
      <c r="GK12" s="4">
        <f>100*(DataQ!Z142/AVERAGE(DataQ!$Z$203:$Z$206))</f>
        <v>77.595623628551536</v>
      </c>
      <c r="GL12" s="4">
        <f>100*(DataQ!C142/AVERAGE(DataQ!$C$203:$C$206))</f>
        <v>80.409408029410528</v>
      </c>
      <c r="GM12" s="4">
        <v>100</v>
      </c>
      <c r="GP12" s="4">
        <f>100*(DataQ!Z142/DataQ!$Z$194)</f>
        <v>77.306128148290369</v>
      </c>
      <c r="GQ12" s="4">
        <f>100*(DataQ!C142/DataQ!$C$194)</f>
        <v>77.61880181953093</v>
      </c>
      <c r="GR12" s="4">
        <v>100</v>
      </c>
      <c r="GT12" s="4"/>
      <c r="GU12" s="31">
        <f t="shared" si="20"/>
        <v>100</v>
      </c>
      <c r="GV12" s="31">
        <f t="shared" si="21"/>
        <v>100</v>
      </c>
      <c r="GW12" s="4">
        <f t="shared" si="9"/>
        <v>0</v>
      </c>
      <c r="GX12" s="4">
        <v>100</v>
      </c>
      <c r="GY12" s="31">
        <f t="shared" si="22"/>
        <v>100</v>
      </c>
      <c r="GZ12" s="4"/>
      <c r="HB12" s="4">
        <f>100*(DataQ!C194/DataQ!C$194)</f>
        <v>100</v>
      </c>
      <c r="HC12" s="4">
        <f>100*(DataQ!Q194/DataQ!Q$194)</f>
        <v>100</v>
      </c>
      <c r="HD12" s="4">
        <f>100*(DataQ!R194/DataQ!R$194)</f>
        <v>100</v>
      </c>
      <c r="HE12" s="4">
        <f>100*(DataQ!S194/DataQ!S$194)</f>
        <v>100</v>
      </c>
      <c r="HF12" s="4">
        <f>100*(DataQ!T194/DataQ!T$194)</f>
        <v>100</v>
      </c>
      <c r="HG12" s="4">
        <f>100*(DataQ!U194/DataQ!U$194)</f>
        <v>100</v>
      </c>
      <c r="HH12" s="4">
        <f>100*(DataQ!V194/DataQ!V$194)</f>
        <v>100</v>
      </c>
      <c r="HJ12" s="4"/>
      <c r="HK12" s="31">
        <f t="shared" si="23"/>
        <v>100</v>
      </c>
      <c r="HL12" s="31">
        <f t="shared" si="24"/>
        <v>100</v>
      </c>
      <c r="HM12" s="4">
        <f t="shared" si="10"/>
        <v>0</v>
      </c>
      <c r="HN12" s="4">
        <v>100</v>
      </c>
      <c r="HO12" s="31">
        <f t="shared" si="25"/>
        <v>100</v>
      </c>
      <c r="HP12" s="4"/>
      <c r="HR12" s="4">
        <f>100*(DataQ!C194/DataQ!C$194)</f>
        <v>100</v>
      </c>
      <c r="HS12" s="4">
        <f>100*(DataQ!Q194/DataQ!Q$194)</f>
        <v>100</v>
      </c>
      <c r="HT12" s="4">
        <f>100*(DataQ!R194/DataQ!R$194)</f>
        <v>100</v>
      </c>
      <c r="HU12" s="4">
        <f>100*(DataQ!S194/DataQ!S$194)</f>
        <v>100</v>
      </c>
      <c r="HV12" s="4">
        <f>100*(DataQ!T194/DataQ!T$194)</f>
        <v>100</v>
      </c>
      <c r="HW12" s="4">
        <f>100*(DataQ!U194/DataQ!U$194)</f>
        <v>100</v>
      </c>
      <c r="HX12" s="4">
        <f>100*(DataQ!V194/DataQ!V$194)</f>
        <v>100</v>
      </c>
      <c r="HZ12" s="22">
        <v>1997</v>
      </c>
      <c r="IA12">
        <f>DataA!J31/'Chart Data'!IF12</f>
        <v>2.1276915229056725</v>
      </c>
      <c r="IB12">
        <f t="shared" si="26"/>
        <v>2.1018941050238995</v>
      </c>
      <c r="IC12" s="4">
        <f t="shared" si="27"/>
        <v>1.2273414640686431</v>
      </c>
      <c r="IF12" s="3">
        <f>DataA!K31*DataA!L31</f>
        <v>879991.75624999998</v>
      </c>
      <c r="IR12">
        <f>HAVERQ!AH83</f>
        <v>-51.7</v>
      </c>
      <c r="IS12" s="4">
        <f>100*(('IPNR ex BNFL'!I52/'IPNR ex BNFL'!I48)-1)</f>
        <v>-10.58104206374667</v>
      </c>
      <c r="IT12">
        <v>0</v>
      </c>
    </row>
    <row r="13" spans="1:258" x14ac:dyDescent="0.25">
      <c r="A13">
        <v>1992</v>
      </c>
      <c r="B13" s="4">
        <f>100*((DataQ!C83/DataQ!C79)-1)</f>
        <v>-5.7367987663584312</v>
      </c>
      <c r="C13" s="4">
        <f t="shared" si="11"/>
        <v>27.600521164742599</v>
      </c>
      <c r="D13" s="4">
        <v>0</v>
      </c>
      <c r="F13">
        <v>1992</v>
      </c>
      <c r="G13" s="4">
        <f>100*((AVERAGE(DataQ!C80:C83)/AVERAGE(DataQ!C76:C79))-1)</f>
        <v>-8.6059455280889647</v>
      </c>
      <c r="H13" s="4">
        <f t="shared" si="39"/>
        <v>22.807584513276201</v>
      </c>
      <c r="I13" s="4">
        <v>0</v>
      </c>
      <c r="K13" s="4">
        <f t="shared" si="12"/>
        <v>27.600521164742599</v>
      </c>
      <c r="L13" s="4">
        <f>100*(HAVERQ!AF17/HAVERQ!AI17)</f>
        <v>27.600521164742599</v>
      </c>
      <c r="N13">
        <v>2020</v>
      </c>
      <c r="O13" s="4">
        <f>100*('ONS CVM_SA_(Quarterly)'!B97/'ONS CVM_SA_(Quarterly)'!B$101)</f>
        <v>112.57895519060712</v>
      </c>
      <c r="P13" s="4">
        <f>100*('ONS CVM_SA_(Quarterly)'!D97/'ONS CVM_SA_(Quarterly)'!D$101)</f>
        <v>104.43027627922183</v>
      </c>
      <c r="R13">
        <v>100</v>
      </c>
      <c r="T13">
        <v>2023</v>
      </c>
      <c r="U13" s="3">
        <f>'ONS CVM_SA_(Quarterly)'!C109-'ONS CVM_SA_(Quarterly)'!C$101</f>
        <v>4252</v>
      </c>
      <c r="V13" s="3">
        <f>'ONS CVM_SA_(Quarterly)'!D109-'ONS CVM_SA_(Quarterly)'!D$101</f>
        <v>1931</v>
      </c>
      <c r="W13" s="3">
        <f>'ONS CVM_SA_(Quarterly)'!E109-'ONS CVM_SA_(Quarterly)'!E$101</f>
        <v>1689</v>
      </c>
      <c r="X13" s="3">
        <f>'ONS CVM_SA_(Quarterly)'!F109-'ONS CVM_SA_(Quarterly)'!F$101</f>
        <v>540</v>
      </c>
      <c r="Y13" s="3">
        <f>'ONS CVM_SA_(Quarterly)'!B109-'ONS CVM_SA_(Quarterly)'!B$101</f>
        <v>8654</v>
      </c>
      <c r="AA13">
        <v>2023</v>
      </c>
      <c r="AB13" s="4">
        <f>100*(U13/'ONS CVM_SA_(Quarterly)'!$B$101)</f>
        <v>7.8992345990934094</v>
      </c>
      <c r="AC13" s="4">
        <f>100*(V13/'ONS CVM_SA_(Quarterly)'!$B$101)</f>
        <v>3.587352307349335</v>
      </c>
      <c r="AD13" s="4">
        <f>100*(W13/'ONS CVM_SA_(Quarterly)'!$B$101)</f>
        <v>3.1377721631864453</v>
      </c>
      <c r="AE13" s="4">
        <f>100*(X13/'ONS CVM_SA_(Quarterly)'!$B$101)</f>
        <v>1.0031953630080999</v>
      </c>
      <c r="AF13" s="4">
        <f>100*(('ONS CVM_SA_(Quarterly)'!B109/'ONS CVM_SA_(Quarterly)'!B$101)-1)</f>
        <v>16.077134576800177</v>
      </c>
      <c r="AH13">
        <v>2021</v>
      </c>
      <c r="AI13" s="4">
        <f>100*(('ONS CVM_SA_(Quarterly)'!C101-'ONS CVM_SA_(Quarterly)'!C$96)/'ONS CVM_SA_(Quarterly)'!$B$96)</f>
        <v>-1.6582249895151144</v>
      </c>
      <c r="AJ13" s="4">
        <f>100*(('ONS CVM_SA_(Quarterly)'!D101-'ONS CVM_SA_(Quarterly)'!D$96)/'ONS CVM_SA_(Quarterly)'!$B$96)</f>
        <v>-0.88879568990547475</v>
      </c>
      <c r="AK13" s="4">
        <f>100*(('ONS CVM_SA_(Quarterly)'!E101-'ONS CVM_SA_(Quarterly)'!E$96)/'ONS CVM_SA_(Quarterly)'!$B$96)</f>
        <v>-7.7959157337806877</v>
      </c>
      <c r="AL13" s="4">
        <f>100*(('ONS CVM_SA_(Quarterly)'!F101-'ONS CVM_SA_(Quarterly)'!F$96)/'ONS CVM_SA_(Quarterly)'!$B$96)</f>
        <v>-2.0921379488337584</v>
      </c>
      <c r="AM13" s="4">
        <f>100*(('ONS CVM_SA_(Quarterly)'!B101-'ONS CVM_SA_(Quarterly)'!B$96)/'ONS CVM_SA_(Quarterly)'!$B$96)</f>
        <v>-13.172242475078233</v>
      </c>
      <c r="AO13">
        <v>2018</v>
      </c>
      <c r="AP13" s="4">
        <f>100*(('ONS CVM_SA_(Quarterly)'!C89-AVERAGE('ONS CVM_SA_(Quarterly)'!C$81:C$84))/AVERAGE('ONS CVM_SA_(Quarterly)'!$B$81:$B$84))</f>
        <v>-2.6717665506497084</v>
      </c>
      <c r="AQ13" s="4">
        <f>100*(('ONS CVM_SA_(Quarterly)'!D89-AVERAGE('ONS CVM_SA_(Quarterly)'!D$81:D$84))/AVERAGE('ONS CVM_SA_(Quarterly)'!$B$81:$B$84))</f>
        <v>0.9282707260446591</v>
      </c>
      <c r="AR13" s="4">
        <f>100*(('ONS CVM_SA_(Quarterly)'!E89-AVERAGE('ONS CVM_SA_(Quarterly)'!E$81:E$84))/AVERAGE('ONS CVM_SA_(Quarterly)'!$B$81:$B$84))</f>
        <v>-1.1235681900138978</v>
      </c>
      <c r="AS13" s="4">
        <f>100*(('ONS CVM_SA_(Quarterly)'!F89-AVERAGE('ONS CVM_SA_(Quarterly)'!F$81:F$84))/AVERAGE('ONS CVM_SA_(Quarterly)'!$B$81:$B$84))</f>
        <v>2.0737187149264797</v>
      </c>
      <c r="AT13" s="4">
        <f>100*(('ONS CVM_SA_(Quarterly)'!B89-AVERAGE('ONS CVM_SA_(Quarterly)'!B$81:B$84))/AVERAGE('ONS CVM_SA_(Quarterly)'!$B$81:$B$84))</f>
        <v>-0.58143539584202786</v>
      </c>
      <c r="AV13" s="36">
        <v>43709</v>
      </c>
      <c r="AW13" s="21">
        <f>HAVERM!D244</f>
        <v>0.75</v>
      </c>
      <c r="AX13" s="21">
        <f>HAVERM!B244</f>
        <v>3.27</v>
      </c>
      <c r="AY13" s="21">
        <f>HAVERM!C244</f>
        <v>2.4</v>
      </c>
      <c r="BA13" s="36">
        <v>44774</v>
      </c>
      <c r="BB13" s="21">
        <f t="shared" ref="BB13:BC13" si="43">AX48-AX$39</f>
        <v>1.17</v>
      </c>
      <c r="BC13" s="21">
        <f t="shared" si="43"/>
        <v>0.16000000000000014</v>
      </c>
      <c r="BD13" s="3">
        <v>1000</v>
      </c>
      <c r="BE13" s="3"/>
      <c r="BF13" s="21">
        <v>0</v>
      </c>
      <c r="BI13">
        <v>2020</v>
      </c>
      <c r="BJ13" s="4">
        <f>100*(HAVERQ!B129/HAVERQ!B$128)</f>
        <v>97.749782236990683</v>
      </c>
      <c r="BK13" s="4">
        <f>100*(HAVERQ!I129/HAVERQ!I$128)</f>
        <v>99.73221936589546</v>
      </c>
      <c r="BL13" s="4">
        <f>100*(HAVERQ!J129/HAVERQ!J$128)</f>
        <v>81.797378822550442</v>
      </c>
      <c r="BM13" s="4">
        <f>100*(HAVERQ!K129/HAVERQ!K$128)</f>
        <v>93.475572047000625</v>
      </c>
      <c r="BN13" s="4">
        <f>100*((HAVERQ!L129+HAVERQ!M129)/(HAVERQ!L$128+HAVERQ!M$128))</f>
        <v>92.316235864297255</v>
      </c>
      <c r="BO13">
        <v>100</v>
      </c>
      <c r="BQ13">
        <v>2020</v>
      </c>
      <c r="BR13" s="3">
        <f>HAVERQ!I129-HAVERQ!I$128</f>
        <v>-25</v>
      </c>
      <c r="BS13" s="3">
        <f>HAVERQ!J129-HAVERQ!J$128</f>
        <v>-1750</v>
      </c>
      <c r="BT13" s="3">
        <f>HAVERQ!K129-HAVERQ!K$128</f>
        <v>-211</v>
      </c>
      <c r="BU13" s="3">
        <f>(HAVERQ!L129+HAVERQ!M129)-(HAVERQ!L$128+HAVERQ!M$128)</f>
        <v>-3044</v>
      </c>
      <c r="BV13" s="3">
        <f>HAVERQ!N129-HAVERQ!N$128</f>
        <v>37</v>
      </c>
      <c r="BW13" s="3">
        <f>HAVERQ!B129-HAVERQ!B$128</f>
        <v>-1395</v>
      </c>
      <c r="BY13">
        <v>2021</v>
      </c>
      <c r="BZ13" s="4">
        <f>100*((HAVERQ!I133-HAVERQ!I$128)/HAVERQ!$B$128)</f>
        <v>-0.4935961544665613</v>
      </c>
      <c r="CA13" s="4">
        <f>100*((HAVERQ!J133-HAVERQ!J$128)/HAVERQ!$B$128)</f>
        <v>-3.0002903506790979</v>
      </c>
      <c r="CB13" s="4">
        <f>100*((HAVERQ!K133-HAVERQ!K$128)/HAVERQ!$B$128)</f>
        <v>-0.91621769848695034</v>
      </c>
      <c r="CC13" s="4">
        <f>100*(((HAVERQ!L133+HAVERQ!M133)-(HAVERQ!L$128+HAVERQ!M$128))/HAVERQ!$B$128)</f>
        <v>-7.7781720811691448</v>
      </c>
      <c r="CD13" s="4">
        <f t="shared" si="14"/>
        <v>-0.98396619027648047</v>
      </c>
      <c r="CE13" s="4">
        <f>100*((HAVERQ!B133-HAVERQ!B$128)/HAVERQ!B$128)</f>
        <v>-13.172242475078233</v>
      </c>
      <c r="CG13">
        <v>2020</v>
      </c>
      <c r="CH13" s="3">
        <f>HAVERQ!I129</f>
        <v>9311</v>
      </c>
      <c r="CI13" s="3">
        <f>HAVERQ!J129</f>
        <v>7864</v>
      </c>
      <c r="CJ13" s="3">
        <f>HAVERQ!K129</f>
        <v>3023</v>
      </c>
      <c r="CK13" s="3">
        <f>HAVERQ!L129+HAVERQ!M129</f>
        <v>36572</v>
      </c>
      <c r="CL13" s="3">
        <f>HAVERQ!N129</f>
        <v>1395</v>
      </c>
      <c r="CN13">
        <v>2020</v>
      </c>
      <c r="CO13" s="3">
        <f t="shared" si="15"/>
        <v>-87</v>
      </c>
      <c r="CP13" s="3">
        <f t="shared" si="0"/>
        <v>244</v>
      </c>
      <c r="CQ13" s="3">
        <f t="shared" si="0"/>
        <v>-284</v>
      </c>
      <c r="CR13" s="3">
        <f t="shared" si="0"/>
        <v>-343</v>
      </c>
      <c r="CS13" s="3">
        <f t="shared" si="16"/>
        <v>370</v>
      </c>
      <c r="CT13" s="3">
        <f t="shared" si="17"/>
        <v>-481</v>
      </c>
      <c r="CU13" s="3">
        <f t="shared" si="1"/>
        <v>-3044</v>
      </c>
      <c r="CW13">
        <v>2020</v>
      </c>
      <c r="CX13" s="3">
        <f>HAVERQ!L129-HAVERQ!L$128</f>
        <v>-87</v>
      </c>
      <c r="CY13" s="3">
        <f>HAVERQ!O129-HAVERQ!O$128</f>
        <v>244</v>
      </c>
      <c r="CZ13" s="3">
        <f>HAVERQ!P129-HAVERQ!P$128</f>
        <v>-284</v>
      </c>
      <c r="DA13" s="3">
        <f>HAVERQ!Q129-HAVERQ!Q$128</f>
        <v>-343</v>
      </c>
      <c r="DB13" s="3">
        <f>HAVERQ!R129-HAVERQ!R$128</f>
        <v>-86</v>
      </c>
      <c r="DC13" s="3">
        <f>HAVERQ!S129-HAVERQ!S$128</f>
        <v>370</v>
      </c>
      <c r="DD13" s="3">
        <f>HAVERQ!T129-HAVERQ!T$128</f>
        <v>-189</v>
      </c>
      <c r="DE13" s="3">
        <f>HAVERQ!U129-HAVERQ!U$128</f>
        <v>17</v>
      </c>
      <c r="DF13" s="3">
        <f>HAVERQ!V129-HAVERQ!V$128</f>
        <v>-223</v>
      </c>
      <c r="DG13" s="3">
        <f>(HAVERQ!L129+HAVERQ!M129)-(HAVERQ!L$128+HAVERQ!M$128)</f>
        <v>-3044</v>
      </c>
      <c r="DI13">
        <v>2020</v>
      </c>
      <c r="DJ13" s="4">
        <f>100*(HAVERQ!C129/HAVERQ!C$128)</f>
        <v>96.838218534895375</v>
      </c>
      <c r="DK13" s="4">
        <f>100*(HAVERQ!D129/HAVERQ!D$128)</f>
        <v>109.16962699822381</v>
      </c>
      <c r="DL13" s="4">
        <f>100*(HAVERQ!E129/HAVERQ!E$128)</f>
        <v>95.777362809469309</v>
      </c>
      <c r="DM13" s="4">
        <f>100*(HAVERQ!F129/HAVERQ!F$128)</f>
        <v>96.982129472563017</v>
      </c>
      <c r="DN13" s="4">
        <f>100*(HAVERQ!G129/HAVERQ!G$128)</f>
        <v>93.609560033449327</v>
      </c>
      <c r="DO13" s="4">
        <f>100*(HAVERQ!H129/HAVERQ!H$128)</f>
        <v>99.78431149960268</v>
      </c>
      <c r="DP13">
        <v>100</v>
      </c>
      <c r="DR13">
        <v>2020</v>
      </c>
      <c r="DS13" s="3">
        <f>HAVERQ!D129-HAVERQ!D$128</f>
        <v>413</v>
      </c>
      <c r="DT13" s="3">
        <f>HAVERQ!E129-HAVERQ!E$128</f>
        <v>-701</v>
      </c>
      <c r="DU13" s="3">
        <f>HAVERQ!F129-HAVERQ!F$128</f>
        <v>-765</v>
      </c>
      <c r="DV13" s="3">
        <f>HAVERQ!G129-HAVERQ!G$128</f>
        <v>-2369</v>
      </c>
      <c r="DW13" s="3">
        <f>HAVERQ!H129-HAVERQ!H$128</f>
        <v>-57</v>
      </c>
      <c r="DX13" s="3">
        <f>HAVERQ!C129-HAVERQ!C$128</f>
        <v>-3468</v>
      </c>
      <c r="DZ13">
        <v>2002</v>
      </c>
      <c r="EA13" s="4">
        <f t="shared" si="29"/>
        <v>-1.1124459951943269</v>
      </c>
      <c r="EB13" s="4">
        <f t="shared" si="30"/>
        <v>1.204864559480102</v>
      </c>
      <c r="EC13" s="4">
        <f t="shared" si="18"/>
        <v>-5.0785918859797441</v>
      </c>
      <c r="ED13" s="3">
        <v>0</v>
      </c>
      <c r="EF13" s="4">
        <f t="shared" si="31"/>
        <v>9.2418564285774996E-2</v>
      </c>
      <c r="EG13" s="4">
        <f t="shared" si="32"/>
        <v>-0.35304012315712291</v>
      </c>
      <c r="EI13" s="22">
        <v>2001</v>
      </c>
      <c r="EJ13" s="3">
        <f>'IPNR ex BNFL'!I21</f>
        <v>44343</v>
      </c>
      <c r="EM13" s="4">
        <f t="shared" si="35"/>
        <v>9.2418564285774996E-2</v>
      </c>
      <c r="EN13" s="4">
        <f t="shared" si="36"/>
        <v>-1.1124459951943269</v>
      </c>
      <c r="EO13" s="4">
        <f t="shared" si="37"/>
        <v>-3.9092938562817009E-2</v>
      </c>
      <c r="ER13" s="4">
        <f>(HAVERQ!W55*$EW$2)+(HAVERQ!X55*$EX$2)/($EW$2+$EX$2)</f>
        <v>9.2869377456451065</v>
      </c>
      <c r="ES13" s="4">
        <f>(HAVERQ!AB55*$EW$2)+(HAVERQ!AC55*$EY$2)+(HAVERQ!AD55*$EZ$2)+(HAVERQ!AE55*$FA$2)/($EW$2+$EY$2+$EZ$2+$FA$2)</f>
        <v>-21.889934818121532</v>
      </c>
      <c r="ET13" s="21">
        <f>(HAVERQ!Y55*$EW$2)+(HAVERQ!Z55*$EX$2)/($EW$2+$EX$2)</f>
        <v>0.7612095039384088</v>
      </c>
      <c r="FC13" s="26">
        <v>43709</v>
      </c>
      <c r="FD13" s="4">
        <f>100*((HAVERM!E244+HAVERM!F244)/(HAVERM!E$249+HAVERM!F$249))</f>
        <v>99.759379856265923</v>
      </c>
      <c r="FE13" s="4">
        <f>100*(HAVERM!E244/HAVERM!E$249)</f>
        <v>99.527300791047651</v>
      </c>
      <c r="FF13" s="4">
        <f>100*(HAVERM!F244/HAVERM!F$249)</f>
        <v>99.886722940545425</v>
      </c>
      <c r="FG13">
        <v>100</v>
      </c>
      <c r="FV13" s="26">
        <v>42583</v>
      </c>
      <c r="FW13" s="3">
        <f>HAVERM!G207</f>
        <v>355987</v>
      </c>
      <c r="FX13" s="4"/>
      <c r="FY13" s="3">
        <f t="shared" si="19"/>
        <v>3227</v>
      </c>
      <c r="GC13" s="22">
        <v>2012</v>
      </c>
      <c r="GD13" s="4">
        <f>100*(DataQ!W163/DataQ!W$194)</f>
        <v>80.264131954692587</v>
      </c>
      <c r="GE13" s="4">
        <f>100*(DataQ!X163/DataQ!X$194)</f>
        <v>78.609067954770012</v>
      </c>
      <c r="GF13" s="4">
        <f>100*(DataQ!C163/DataQ!C$194)</f>
        <v>79.244765622479591</v>
      </c>
      <c r="GG13" s="4"/>
      <c r="GH13">
        <v>100</v>
      </c>
      <c r="GJ13" s="22">
        <v>2007</v>
      </c>
      <c r="GK13" s="4">
        <f>100*(DataQ!Z143/AVERAGE(DataQ!$Z$203:$Z$206))</f>
        <v>81.325525475544964</v>
      </c>
      <c r="GL13" s="4">
        <f>100*(DataQ!C143/AVERAGE(DataQ!$C$203:$C$206))</f>
        <v>84.269540878138443</v>
      </c>
      <c r="GM13" s="4">
        <v>100</v>
      </c>
      <c r="GO13" s="22">
        <v>2007</v>
      </c>
      <c r="GP13" s="4">
        <f>100*(DataQ!Z143/DataQ!$Z$194)</f>
        <v>81.022114394428641</v>
      </c>
      <c r="GQ13" s="4">
        <f>100*(DataQ!C143/DataQ!$C$194)</f>
        <v>81.344968867954961</v>
      </c>
      <c r="GR13" s="4">
        <v>100</v>
      </c>
      <c r="GT13">
        <v>2020</v>
      </c>
      <c r="GU13" s="31">
        <f t="shared" si="20"/>
        <v>97.749782236990683</v>
      </c>
      <c r="GV13" s="31">
        <f t="shared" si="21"/>
        <v>90.759915932531982</v>
      </c>
      <c r="GW13" s="4">
        <f t="shared" si="9"/>
        <v>13.660056406022704</v>
      </c>
      <c r="GX13" s="4">
        <v>100</v>
      </c>
      <c r="GY13" s="31">
        <f t="shared" si="22"/>
        <v>104.41997233855469</v>
      </c>
      <c r="GZ13" s="4"/>
      <c r="HA13">
        <v>2020</v>
      </c>
      <c r="HB13" s="4">
        <f>100*(DataQ!C195/DataQ!C$194)</f>
        <v>97.749782236990683</v>
      </c>
      <c r="HC13" s="4">
        <f>100*(DataQ!Q195/DataQ!Q$194)</f>
        <v>98.101201898798095</v>
      </c>
      <c r="HD13" s="4">
        <f>100*(DataQ!R195/DataQ!R$194)</f>
        <v>104.41997233855469</v>
      </c>
      <c r="HE13" s="4">
        <f>100*(DataQ!S195/DataQ!S$194)</f>
        <v>92.789252421860724</v>
      </c>
      <c r="HF13" s="4">
        <f>100*(DataQ!T195/DataQ!T$194)</f>
        <v>92.75510229386235</v>
      </c>
      <c r="HG13" s="4">
        <f>100*(DataQ!U195/DataQ!U$194)</f>
        <v>90.759915932531982</v>
      </c>
      <c r="HH13" s="4">
        <f>100*(DataQ!V195/DataQ!V$194)</f>
        <v>99.506379401945935</v>
      </c>
      <c r="HJ13">
        <v>2020</v>
      </c>
      <c r="HK13" s="31">
        <f t="shared" si="23"/>
        <v>97.749782236990683</v>
      </c>
      <c r="HL13" s="31">
        <f t="shared" si="24"/>
        <v>90.759915932531982</v>
      </c>
      <c r="HM13" s="4">
        <f t="shared" si="10"/>
        <v>13.660056406022704</v>
      </c>
      <c r="HN13" s="4">
        <v>100</v>
      </c>
      <c r="HO13" s="31">
        <f t="shared" si="25"/>
        <v>104.41997233855469</v>
      </c>
      <c r="HP13" s="4"/>
      <c r="HQ13">
        <v>2020</v>
      </c>
      <c r="HR13" s="4">
        <f>100*(DataQ!C195/DataQ!C$194)</f>
        <v>97.749782236990683</v>
      </c>
      <c r="HS13" s="4">
        <f>100*(DataQ!Q195/DataQ!Q$194)</f>
        <v>98.101201898798095</v>
      </c>
      <c r="HT13" s="4">
        <f>100*(DataQ!R195/DataQ!R$194)</f>
        <v>104.41997233855469</v>
      </c>
      <c r="HU13" s="4">
        <f>100*(DataQ!S195/DataQ!S$194)</f>
        <v>92.789252421860724</v>
      </c>
      <c r="HV13" s="4">
        <f>100*(DataQ!T195/DataQ!T$194)</f>
        <v>92.75510229386235</v>
      </c>
      <c r="HW13" s="4">
        <f>100*(DataQ!U195/DataQ!U$194)</f>
        <v>90.759915932531982</v>
      </c>
      <c r="HX13" s="4">
        <f>100*(DataQ!V195/DataQ!V$194)</f>
        <v>99.506379401945935</v>
      </c>
      <c r="HZ13" s="22">
        <v>1998</v>
      </c>
      <c r="IA13">
        <f>DataA!J32/'Chart Data'!IF13</f>
        <v>2.2021899427598783</v>
      </c>
      <c r="IB13">
        <f t="shared" si="26"/>
        <v>2.157732411698726</v>
      </c>
      <c r="IC13" s="4">
        <f t="shared" si="27"/>
        <v>2.0603820390384886</v>
      </c>
      <c r="IF13" s="3">
        <f>DataA!K32*DataA!L32</f>
        <v>886244.62500000012</v>
      </c>
      <c r="IQ13">
        <v>2009</v>
      </c>
      <c r="IR13">
        <f>HAVERQ!AH84</f>
        <v>-47.5</v>
      </c>
      <c r="IS13" s="4">
        <f>100*(('IPNR ex BNFL'!I53/'IPNR ex BNFL'!I49)-1)</f>
        <v>-12.224167413077113</v>
      </c>
      <c r="IT13">
        <v>0</v>
      </c>
    </row>
    <row r="14" spans="1:258" x14ac:dyDescent="0.25">
      <c r="B14" s="4">
        <f>100*((DataQ!C84/DataQ!C80)-1)</f>
        <v>-3.7348198717752745</v>
      </c>
      <c r="C14" s="4">
        <f t="shared" si="11"/>
        <v>18.392294323838698</v>
      </c>
      <c r="D14" s="4">
        <v>0</v>
      </c>
      <c r="G14" s="4">
        <f>100*((AVERAGE(DataQ!C81:C84)/AVERAGE(DataQ!C77:C80))-1)</f>
        <v>-7.3274427553206785</v>
      </c>
      <c r="H14" s="4">
        <f t="shared" si="39"/>
        <v>21.991744432418447</v>
      </c>
      <c r="I14" s="4">
        <v>0</v>
      </c>
      <c r="K14" s="4">
        <f t="shared" si="12"/>
        <v>18.392294323838698</v>
      </c>
      <c r="L14" s="4">
        <f>100*(HAVERQ!AF18/HAVERQ!AI18)</f>
        <v>18.392294323838698</v>
      </c>
      <c r="O14" s="4">
        <f>100*('ONS CVM_SA_(Quarterly)'!B98/'ONS CVM_SA_(Quarterly)'!B$101)</f>
        <v>90.939659656684256</v>
      </c>
      <c r="P14" s="4">
        <f>100*('ONS CVM_SA_(Quarterly)'!D98/'ONS CVM_SA_(Quarterly)'!D$101)</f>
        <v>76.246526074873302</v>
      </c>
      <c r="R14">
        <v>100</v>
      </c>
      <c r="U14" s="3">
        <f>'ONS CVM_SA_(Quarterly)'!C110-'ONS CVM_SA_(Quarterly)'!C$101</f>
        <v>4977</v>
      </c>
      <c r="V14" s="3">
        <f>'ONS CVM_SA_(Quarterly)'!D110-'ONS CVM_SA_(Quarterly)'!D$101</f>
        <v>1807</v>
      </c>
      <c r="W14" s="3">
        <f>'ONS CVM_SA_(Quarterly)'!E110-'ONS CVM_SA_(Quarterly)'!E$101</f>
        <v>449</v>
      </c>
      <c r="X14" s="3">
        <f>'ONS CVM_SA_(Quarterly)'!F110-'ONS CVM_SA_(Quarterly)'!F$101</f>
        <v>849</v>
      </c>
      <c r="Y14" s="3">
        <f>'ONS CVM_SA_(Quarterly)'!B110-'ONS CVM_SA_(Quarterly)'!B$101</f>
        <v>8324</v>
      </c>
      <c r="AB14" s="4">
        <f>100*(U14/'ONS CVM_SA_(Quarterly)'!$B$101)</f>
        <v>9.246117262391321</v>
      </c>
      <c r="AC14" s="4">
        <f>100*(V14/'ONS CVM_SA_(Quarterly)'!$B$101)</f>
        <v>3.3569889276956233</v>
      </c>
      <c r="AD14" s="4">
        <f>100*(W14/'ONS CVM_SA_(Quarterly)'!$B$101)</f>
        <v>0.8341383666493275</v>
      </c>
      <c r="AE14" s="4">
        <f>100*(X14/'ONS CVM_SA_(Quarterly)'!$B$101)</f>
        <v>1.5772460429516237</v>
      </c>
      <c r="AF14" s="4">
        <f>100*(('ONS CVM_SA_(Quarterly)'!B110/'ONS CVM_SA_(Quarterly)'!B$101)-1)</f>
        <v>15.464070743850789</v>
      </c>
      <c r="AI14" s="4">
        <f>100*(('ONS CVM_SA_(Quarterly)'!C102-'ONS CVM_SA_(Quarterly)'!C$96)/'ONS CVM_SA_(Quarterly)'!$B$96)</f>
        <v>-1.7421040745878631</v>
      </c>
      <c r="AJ14" s="4">
        <f>100*(('ONS CVM_SA_(Quarterly)'!D102-'ONS CVM_SA_(Quarterly)'!D$96)/'ONS CVM_SA_(Quarterly)'!$B$96)</f>
        <v>-0.72587669774494301</v>
      </c>
      <c r="AK14" s="4">
        <f>100*(('ONS CVM_SA_(Quarterly)'!E102-'ONS CVM_SA_(Quarterly)'!E$96)/'ONS CVM_SA_(Quarterly)'!$B$96)</f>
        <v>-4.6230280349711261</v>
      </c>
      <c r="AL14" s="4">
        <f>100*(('ONS CVM_SA_(Quarterly)'!F102-'ONS CVM_SA_(Quarterly)'!F$96)/'ONS CVM_SA_(Quarterly)'!$B$96)</f>
        <v>1.2904474626576765</v>
      </c>
      <c r="AM14" s="4">
        <f>100*(('ONS CVM_SA_(Quarterly)'!B102-'ONS CVM_SA_(Quarterly)'!B$96)/'ONS CVM_SA_(Quarterly)'!$B$96)</f>
        <v>-6.4635287285866374</v>
      </c>
      <c r="AP14" s="4">
        <f>100*(('ONS CVM_SA_(Quarterly)'!C90-AVERAGE('ONS CVM_SA_(Quarterly)'!C$81:C$84))/AVERAGE('ONS CVM_SA_(Quarterly)'!$B$81:$B$84))</f>
        <v>-6.1401198526760208</v>
      </c>
      <c r="AQ14" s="4">
        <f>100*(('ONS CVM_SA_(Quarterly)'!D90-AVERAGE('ONS CVM_SA_(Quarterly)'!D$81:D$84))/AVERAGE('ONS CVM_SA_(Quarterly)'!$B$81:$B$84))</f>
        <v>0.52470999136963492</v>
      </c>
      <c r="AR14" s="4">
        <f>100*(('ONS CVM_SA_(Quarterly)'!E90-AVERAGE('ONS CVM_SA_(Quarterly)'!E$81:E$84))/AVERAGE('ONS CVM_SA_(Quarterly)'!$B$81:$B$84))</f>
        <v>-0.58548721044719876</v>
      </c>
      <c r="AS14" s="4">
        <f>100*(('ONS CVM_SA_(Quarterly)'!F90-AVERAGE('ONS CVM_SA_(Quarterly)'!F$81:F$84))/AVERAGE('ONS CVM_SA_(Quarterly)'!$B$81:$B$84))</f>
        <v>2.3930017058139486</v>
      </c>
      <c r="AT14" s="4">
        <f>100*(('ONS CVM_SA_(Quarterly)'!B90-AVERAGE('ONS CVM_SA_(Quarterly)'!B$81:B$84))/AVERAGE('ONS CVM_SA_(Quarterly)'!$B$81:$B$84))</f>
        <v>-2.6673095545840204</v>
      </c>
      <c r="AV14" s="36">
        <v>43739</v>
      </c>
      <c r="AW14" s="21">
        <f>HAVERM!D245</f>
        <v>0.75</v>
      </c>
      <c r="AX14" s="21">
        <f>HAVERM!B245</f>
        <v>3.26</v>
      </c>
      <c r="AY14" s="21">
        <f>HAVERM!C245</f>
        <v>2.39</v>
      </c>
      <c r="BA14" s="36">
        <v>44805</v>
      </c>
      <c r="BB14" s="21">
        <f t="shared" ref="BB14:BC14" si="44">AX49-AX$39</f>
        <v>1.38</v>
      </c>
      <c r="BC14" s="21">
        <f t="shared" si="44"/>
        <v>0.22999999999999998</v>
      </c>
      <c r="BD14" s="3">
        <v>1000</v>
      </c>
      <c r="BE14" s="3"/>
      <c r="BF14" s="21">
        <v>0</v>
      </c>
      <c r="BJ14" s="4">
        <f>100*(HAVERQ!B130/HAVERQ!B$128)</f>
        <v>78.960867180694905</v>
      </c>
      <c r="BK14" s="4">
        <f>100*(HAVERQ!I130/HAVERQ!I$128)</f>
        <v>88.667523564695799</v>
      </c>
      <c r="BL14" s="4">
        <f>100*(HAVERQ!J130/HAVERQ!J$128)</f>
        <v>70.230913251508227</v>
      </c>
      <c r="BM14" s="4">
        <f>100*(HAVERQ!K130/HAVERQ!K$128)</f>
        <v>64.718614718614717</v>
      </c>
      <c r="BN14" s="4">
        <f>100*((HAVERQ!L130+HAVERQ!M130)/(HAVERQ!L$128+HAVERQ!M$128))</f>
        <v>91.624596122778684</v>
      </c>
      <c r="BO14">
        <v>100</v>
      </c>
      <c r="BR14" s="3">
        <f>HAVERQ!I130-HAVERQ!I$128</f>
        <v>-1058</v>
      </c>
      <c r="BS14" s="3">
        <f>HAVERQ!J130-HAVERQ!J$128</f>
        <v>-2862</v>
      </c>
      <c r="BT14" s="3">
        <f>HAVERQ!K130-HAVERQ!K$128</f>
        <v>-1141</v>
      </c>
      <c r="BU14" s="3">
        <f>(HAVERQ!L130+HAVERQ!M130)-(HAVERQ!L$128+HAVERQ!M$128)</f>
        <v>-3318</v>
      </c>
      <c r="BV14" s="3">
        <f>HAVERQ!N130-HAVERQ!N$128</f>
        <v>-172</v>
      </c>
      <c r="BW14" s="3">
        <f>HAVERQ!B130-HAVERQ!B$128</f>
        <v>-13043</v>
      </c>
      <c r="BZ14" s="4">
        <f>100*((HAVERQ!I134-HAVERQ!I$128)/HAVERQ!$B$128)</f>
        <v>7.903990708778269E-2</v>
      </c>
      <c r="CA14" s="4">
        <f>100*((HAVERQ!J134-HAVERQ!J$128)/HAVERQ!$B$128)</f>
        <v>-2.5195986708391134</v>
      </c>
      <c r="CB14" s="4">
        <f>100*((HAVERQ!K134-HAVERQ!K$128)/HAVERQ!$B$128)</f>
        <v>-1.350130657805594</v>
      </c>
      <c r="CC14" s="4">
        <f>100*(((HAVERQ!L134+HAVERQ!M134)-(HAVERQ!L$128+HAVERQ!M$128))/HAVERQ!$B$128)</f>
        <v>-7.4345904442365383</v>
      </c>
      <c r="CD14" s="4">
        <f t="shared" si="14"/>
        <v>4.7617511372068257</v>
      </c>
      <c r="CE14" s="4">
        <f>100*((HAVERQ!B134-HAVERQ!B$128)/HAVERQ!B$128)</f>
        <v>-6.4635287285866374</v>
      </c>
      <c r="CH14" s="3">
        <f>HAVERQ!I130</f>
        <v>8278</v>
      </c>
      <c r="CI14" s="3">
        <f>HAVERQ!J130</f>
        <v>6752</v>
      </c>
      <c r="CJ14" s="3">
        <f>HAVERQ!K130</f>
        <v>2093</v>
      </c>
      <c r="CK14" s="3">
        <f>HAVERQ!L130+HAVERQ!M130</f>
        <v>36298</v>
      </c>
      <c r="CL14" s="3">
        <f>HAVERQ!N130</f>
        <v>1186</v>
      </c>
      <c r="CO14" s="3">
        <f t="shared" si="15"/>
        <v>-1446</v>
      </c>
      <c r="CP14" s="3">
        <f t="shared" si="0"/>
        <v>-754</v>
      </c>
      <c r="CQ14" s="3">
        <f t="shared" si="0"/>
        <v>-291</v>
      </c>
      <c r="CR14" s="3">
        <f t="shared" si="0"/>
        <v>-1008</v>
      </c>
      <c r="CS14" s="3">
        <f t="shared" si="16"/>
        <v>-2522</v>
      </c>
      <c r="CT14" s="3">
        <f t="shared" si="17"/>
        <v>-1411</v>
      </c>
      <c r="CU14" s="3">
        <f t="shared" si="1"/>
        <v>-3318</v>
      </c>
      <c r="CX14" s="3">
        <f>HAVERQ!L130-HAVERQ!L$128</f>
        <v>-1446</v>
      </c>
      <c r="CY14" s="3">
        <f>HAVERQ!O130-HAVERQ!O$128</f>
        <v>-754</v>
      </c>
      <c r="CZ14" s="3">
        <f>HAVERQ!P130-HAVERQ!P$128</f>
        <v>-291</v>
      </c>
      <c r="DA14" s="3">
        <f>HAVERQ!Q130-HAVERQ!Q$128</f>
        <v>-1008</v>
      </c>
      <c r="DB14" s="3">
        <f>HAVERQ!R130-HAVERQ!R$128</f>
        <v>-91</v>
      </c>
      <c r="DC14" s="3">
        <f>HAVERQ!S130-HAVERQ!S$128</f>
        <v>-2522</v>
      </c>
      <c r="DD14" s="3">
        <f>HAVERQ!T130-HAVERQ!T$128</f>
        <v>-269</v>
      </c>
      <c r="DE14" s="3">
        <f>HAVERQ!U130-HAVERQ!U$128</f>
        <v>-124</v>
      </c>
      <c r="DF14" s="3">
        <f>HAVERQ!V130-HAVERQ!V$128</f>
        <v>-927</v>
      </c>
      <c r="DG14" s="3">
        <f>(HAVERQ!L130+HAVERQ!M130)-(HAVERQ!L$128+HAVERQ!M$128)</f>
        <v>-3318</v>
      </c>
      <c r="DJ14" s="4">
        <f>100*(HAVERQ!C130/HAVERQ!C$128)</f>
        <v>78.622418744586781</v>
      </c>
      <c r="DK14" s="4">
        <f>100*(HAVERQ!D130/HAVERQ!D$128)</f>
        <v>45.337477797513323</v>
      </c>
      <c r="DL14" s="4">
        <f>100*(HAVERQ!E130/HAVERQ!E$128)</f>
        <v>82.627552557074878</v>
      </c>
      <c r="DM14" s="4">
        <f>100*(HAVERQ!F130/HAVERQ!F$128)</f>
        <v>56.092942522387467</v>
      </c>
      <c r="DN14" s="4">
        <f>100*(HAVERQ!G130/HAVERQ!G$128)</f>
        <v>86.593293949448352</v>
      </c>
      <c r="DO14" s="4">
        <f>100*(HAVERQ!H130/HAVERQ!H$128)</f>
        <v>92.662806977712194</v>
      </c>
      <c r="DP14">
        <v>100</v>
      </c>
      <c r="DS14" s="3">
        <f>HAVERQ!D130-HAVERQ!D$128</f>
        <v>-2462</v>
      </c>
      <c r="DT14" s="3">
        <f>HAVERQ!E130-HAVERQ!E$128</f>
        <v>-2884</v>
      </c>
      <c r="DU14" s="3">
        <f>HAVERQ!F130-HAVERQ!F$128</f>
        <v>-11130</v>
      </c>
      <c r="DV14" s="3">
        <f>HAVERQ!G130-HAVERQ!G$128</f>
        <v>-4970</v>
      </c>
      <c r="DW14" s="3">
        <f>HAVERQ!H130-HAVERQ!H$128</f>
        <v>-1939</v>
      </c>
      <c r="DX14" s="3">
        <f>HAVERQ!C130-HAVERQ!C$128</f>
        <v>-23448</v>
      </c>
      <c r="EA14" s="4">
        <f t="shared" si="29"/>
        <v>-1.2544626817135534</v>
      </c>
      <c r="EB14" s="4">
        <f t="shared" si="30"/>
        <v>1.0643543847952501</v>
      </c>
      <c r="EC14" s="4">
        <f t="shared" si="18"/>
        <v>-6.866031916320237</v>
      </c>
      <c r="ED14" s="3">
        <v>0</v>
      </c>
      <c r="EF14" s="4">
        <f t="shared" si="31"/>
        <v>-0.19010829691830319</v>
      </c>
      <c r="EG14" s="4">
        <f t="shared" si="32"/>
        <v>-0.66875434578876669</v>
      </c>
      <c r="EJ14" s="3">
        <f>'IPNR ex BNFL'!I22</f>
        <v>44742</v>
      </c>
      <c r="EM14" s="4">
        <f t="shared" si="35"/>
        <v>-0.19010829691830319</v>
      </c>
      <c r="EN14" s="4">
        <f t="shared" si="36"/>
        <v>-1.2544626817135534</v>
      </c>
      <c r="EO14" s="4">
        <f t="shared" si="37"/>
        <v>-0.56169205873444317</v>
      </c>
      <c r="ER14" s="4">
        <f>(HAVERQ!W56*$EW$2)+(HAVERQ!X56*$EX$2)/($EW$2+$EX$2)</f>
        <v>5.9754718812169436</v>
      </c>
      <c r="ES14" s="4">
        <f>(HAVERQ!AB56*$EW$2)+(HAVERQ!AC56*$EY$2)+(HAVERQ!AD56*$EZ$2)+(HAVERQ!AE56*$FA$2)/($EW$2+$EY$2+$EZ$2+$FA$2)</f>
        <v>-23.888365924272566</v>
      </c>
      <c r="ET14" s="21">
        <f>(HAVERQ!Y56*$EW$2)+(HAVERQ!Z56*$EX$2)/($EW$2+$EX$2)</f>
        <v>-5.95548870234687E-2</v>
      </c>
      <c r="FC14" s="26">
        <v>43739</v>
      </c>
      <c r="FD14" s="4">
        <f>100*((HAVERM!E245+HAVERM!F245)/(HAVERM!E$249+HAVERM!F$249))</f>
        <v>99.863967589195795</v>
      </c>
      <c r="FE14" s="4">
        <f>100*(HAVERM!E245/HAVERM!E$249)</f>
        <v>99.468132998906682</v>
      </c>
      <c r="FF14" s="4">
        <f>100*(HAVERM!F245/HAVERM!F$249)</f>
        <v>100.08116424820732</v>
      </c>
      <c r="FG14">
        <v>100</v>
      </c>
      <c r="FV14" s="26">
        <v>42614</v>
      </c>
      <c r="FW14" s="3">
        <f>HAVERM!G208</f>
        <v>358565</v>
      </c>
      <c r="FX14" s="4"/>
      <c r="FY14" s="3">
        <f t="shared" si="19"/>
        <v>2578</v>
      </c>
      <c r="GD14" s="4">
        <f>100*(DataQ!W164/DataQ!W$194)</f>
        <v>77.369115415196973</v>
      </c>
      <c r="GE14" s="4">
        <f>100*(DataQ!X164/DataQ!X$194)</f>
        <v>75.873678047352428</v>
      </c>
      <c r="GF14" s="4">
        <f>100*(DataQ!C164/DataQ!C$194)</f>
        <v>75.836371261734996</v>
      </c>
      <c r="GG14" s="4"/>
      <c r="GH14">
        <v>100</v>
      </c>
      <c r="GK14" s="4">
        <f>100*(DataQ!Z144/AVERAGE(DataQ!$Z$203:$Z$206))</f>
        <v>82.464293066219341</v>
      </c>
      <c r="GL14" s="4">
        <f>100*(DataQ!C144/AVERAGE(DataQ!$C$203:$C$206))</f>
        <v>85.449304424113294</v>
      </c>
      <c r="GM14" s="4">
        <v>100</v>
      </c>
      <c r="GP14" s="4">
        <f>100*(DataQ!Z144/DataQ!$Z$194)</f>
        <v>82.156633445621623</v>
      </c>
      <c r="GQ14" s="4">
        <f>100*(DataQ!C144/DataQ!$C$194)</f>
        <v>82.48378875375036</v>
      </c>
      <c r="GR14" s="4">
        <v>100</v>
      </c>
      <c r="GT14" s="4"/>
      <c r="GU14" s="31">
        <f t="shared" si="20"/>
        <v>78.960867180694905</v>
      </c>
      <c r="GV14" s="31">
        <f t="shared" si="21"/>
        <v>76.366352082487452</v>
      </c>
      <c r="GW14" s="4">
        <f t="shared" si="9"/>
        <v>20.702577323621867</v>
      </c>
      <c r="GX14" s="4">
        <v>100</v>
      </c>
      <c r="GY14" s="31">
        <f t="shared" si="22"/>
        <v>97.068929406109319</v>
      </c>
      <c r="GZ14" s="4"/>
      <c r="HB14" s="4">
        <f>100*(DataQ!C196/DataQ!C$194)</f>
        <v>78.960867180694905</v>
      </c>
      <c r="HC14" s="4">
        <f>100*(DataQ!Q196/DataQ!Q$194)</f>
        <v>90.2131097868902</v>
      </c>
      <c r="HD14" s="4">
        <f>100*(DataQ!R196/DataQ!R$194)</f>
        <v>97.068929406109319</v>
      </c>
      <c r="HE14" s="4">
        <f>100*(DataQ!S196/DataQ!S$194)</f>
        <v>82.562602814841895</v>
      </c>
      <c r="HF14" s="4">
        <f>100*(DataQ!T196/DataQ!T$194)</f>
        <v>82.298809671419718</v>
      </c>
      <c r="HG14" s="4">
        <f>100*(DataQ!U196/DataQ!U$194)</f>
        <v>76.366352082487452</v>
      </c>
      <c r="HH14" s="4">
        <f>100*(DataQ!V196/DataQ!V$194)</f>
        <v>82.78830218303213</v>
      </c>
      <c r="HJ14" s="4"/>
      <c r="HK14" s="31">
        <f t="shared" si="23"/>
        <v>78.960867180694905</v>
      </c>
      <c r="HL14" s="31">
        <f t="shared" si="24"/>
        <v>76.366352082487452</v>
      </c>
      <c r="HM14" s="4">
        <f t="shared" si="10"/>
        <v>20.702577323621867</v>
      </c>
      <c r="HN14" s="4">
        <v>100</v>
      </c>
      <c r="HO14" s="31">
        <f t="shared" si="25"/>
        <v>97.068929406109319</v>
      </c>
      <c r="HP14" s="4"/>
      <c r="HR14" s="4">
        <f>100*(DataQ!C196/DataQ!C$194)</f>
        <v>78.960867180694905</v>
      </c>
      <c r="HS14" s="4">
        <f>100*(DataQ!Q196/DataQ!Q$194)</f>
        <v>90.2131097868902</v>
      </c>
      <c r="HT14" s="4">
        <f>100*(DataQ!R196/DataQ!R$194)</f>
        <v>97.068929406109319</v>
      </c>
      <c r="HU14" s="4">
        <f>100*(DataQ!S196/DataQ!S$194)</f>
        <v>82.562602814841895</v>
      </c>
      <c r="HV14" s="4">
        <f>100*(DataQ!T196/DataQ!T$194)</f>
        <v>82.298809671419718</v>
      </c>
      <c r="HW14" s="4">
        <f>100*(DataQ!U196/DataQ!U$194)</f>
        <v>76.366352082487452</v>
      </c>
      <c r="HX14" s="4">
        <f>100*(DataQ!V196/DataQ!V$194)</f>
        <v>82.78830218303213</v>
      </c>
      <c r="HZ14" s="22">
        <v>1999</v>
      </c>
      <c r="IA14">
        <f>DataA!J33/'Chart Data'!IF14</f>
        <v>2.2674166209102911</v>
      </c>
      <c r="IB14">
        <f t="shared" si="26"/>
        <v>2.2150541025672945</v>
      </c>
      <c r="IC14" s="4">
        <f t="shared" si="27"/>
        <v>2.3639385729814499</v>
      </c>
      <c r="IF14" s="3">
        <f>DataA!K33*DataA!L33</f>
        <v>893818.97499999998</v>
      </c>
      <c r="IR14">
        <f>HAVERQ!AH85</f>
        <v>-28.4</v>
      </c>
      <c r="IS14" s="4">
        <f>100*(('IPNR ex BNFL'!I54/'IPNR ex BNFL'!I50)-1)</f>
        <v>-19.833300647185727</v>
      </c>
      <c r="IT14">
        <v>0</v>
      </c>
    </row>
    <row r="15" spans="1:258" x14ac:dyDescent="0.25">
      <c r="B15" s="4">
        <f>100*((DataQ!C85/DataQ!C81)-1)</f>
        <v>0.73436831650901535</v>
      </c>
      <c r="C15" s="4">
        <f t="shared" si="11"/>
        <v>14.791890922138501</v>
      </c>
      <c r="D15" s="4">
        <v>0</v>
      </c>
      <c r="G15" s="4">
        <f>100*((AVERAGE(DataQ!C82:C85)/AVERAGE(DataQ!C78:C81))-1)</f>
        <v>-4.3278739649615261</v>
      </c>
      <c r="H15" s="4">
        <f t="shared" si="39"/>
        <v>20.281872345917215</v>
      </c>
      <c r="I15" s="4">
        <v>0</v>
      </c>
      <c r="K15" s="4">
        <f t="shared" si="12"/>
        <v>14.791890922138501</v>
      </c>
      <c r="L15" s="4">
        <f>100*(HAVERQ!AF19/HAVERQ!AI19)</f>
        <v>14.791890922138501</v>
      </c>
      <c r="O15" s="4">
        <f>100*('ONS CVM_SA_(Quarterly)'!B99/'ONS CVM_SA_(Quarterly)'!B$101)</f>
        <v>101.63855242624655</v>
      </c>
      <c r="P15" s="4">
        <f>100*('ONS CVM_SA_(Quarterly)'!D99/'ONS CVM_SA_(Quarterly)'!D$101)</f>
        <v>86.54569233284289</v>
      </c>
      <c r="R15">
        <v>100</v>
      </c>
      <c r="U15" s="3">
        <f>'ONS CVM_SA_(Quarterly)'!C111-'ONS CVM_SA_(Quarterly)'!C$101</f>
        <v>4418</v>
      </c>
      <c r="V15" s="3">
        <f>'ONS CVM_SA_(Quarterly)'!D111-'ONS CVM_SA_(Quarterly)'!D$101</f>
        <v>1438</v>
      </c>
      <c r="W15" s="3">
        <f>'ONS CVM_SA_(Quarterly)'!E111-'ONS CVM_SA_(Quarterly)'!E$101</f>
        <v>-52</v>
      </c>
      <c r="X15" s="3">
        <f>'ONS CVM_SA_(Quarterly)'!F111-'ONS CVM_SA_(Quarterly)'!F$101</f>
        <v>422</v>
      </c>
      <c r="Y15" s="3">
        <f>'ONS CVM_SA_(Quarterly)'!B111-'ONS CVM_SA_(Quarterly)'!B$101</f>
        <v>6468</v>
      </c>
      <c r="AB15" s="4">
        <f>100*(U15/'ONS CVM_SA_(Quarterly)'!$B$101)</f>
        <v>8.207624284758861</v>
      </c>
      <c r="AC15" s="4">
        <f>100*(V15/'ONS CVM_SA_(Quarterly)'!$B$101)</f>
        <v>2.6714720963067551</v>
      </c>
      <c r="AD15" s="4">
        <f>100*(W15/'ONS CVM_SA_(Quarterly)'!$B$101)</f>
        <v>-9.6603997919298509E-2</v>
      </c>
      <c r="AE15" s="4">
        <f>100*(X15/'ONS CVM_SA_(Quarterly)'!$B$101)</f>
        <v>0.7839785984989226</v>
      </c>
      <c r="AF15" s="4">
        <f>100*(('ONS CVM_SA_(Quarterly)'!B111/'ONS CVM_SA_(Quarterly)'!B$101)-1)</f>
        <v>12.016051125808126</v>
      </c>
      <c r="AI15" s="4">
        <f>100*(('ONS CVM_SA_(Quarterly)'!C103-'ONS CVM_SA_(Quarterly)'!C$96)/'ONS CVM_SA_(Quarterly)'!$B$96)</f>
        <v>-0.42907378133367746</v>
      </c>
      <c r="AJ15" s="4">
        <f>100*(('ONS CVM_SA_(Quarterly)'!D103-'ONS CVM_SA_(Quarterly)'!D$96)/'ONS CVM_SA_(Quarterly)'!$B$96)</f>
        <v>0.14356228022066653</v>
      </c>
      <c r="AK15" s="4">
        <f>100*(('ONS CVM_SA_(Quarterly)'!E103-'ONS CVM_SA_(Quarterly)'!E$96)/'ONS CVM_SA_(Quarterly)'!$B$96)</f>
        <v>-5.9425105655386012</v>
      </c>
      <c r="AL15" s="4">
        <f>100*(('ONS CVM_SA_(Quarterly)'!F103-'ONS CVM_SA_(Quarterly)'!F$96)/'ONS CVM_SA_(Quarterly)'!$B$96)</f>
        <v>-1.2001161402716392</v>
      </c>
      <c r="AM15" s="4">
        <f>100*(('ONS CVM_SA_(Quarterly)'!B103-'ONS CVM_SA_(Quarterly)'!B$96)/'ONS CVM_SA_(Quarterly)'!$B$96)</f>
        <v>-8.0588444042971901</v>
      </c>
      <c r="AP15" s="4">
        <f>100*(('ONS CVM_SA_(Quarterly)'!C91-AVERAGE('ONS CVM_SA_(Quarterly)'!C$81:C$84))/AVERAGE('ONS CVM_SA_(Quarterly)'!$B$81:$B$84))</f>
        <v>-2.2649643642905475</v>
      </c>
      <c r="AQ15" s="4">
        <f>100*(('ONS CVM_SA_(Quarterly)'!D91-AVERAGE('ONS CVM_SA_(Quarterly)'!D$81:D$84))/AVERAGE('ONS CVM_SA_(Quarterly)'!$B$81:$B$84))</f>
        <v>0.29942909932213146</v>
      </c>
      <c r="AR15" s="4">
        <f>100*(('ONS CVM_SA_(Quarterly)'!E91-AVERAGE('ONS CVM_SA_(Quarterly)'!E$81:E$84))/AVERAGE('ONS CVM_SA_(Quarterly)'!$B$81:$B$84))</f>
        <v>-0.61628100144649778</v>
      </c>
      <c r="AS15" s="4">
        <f>100*(('ONS CVM_SA_(Quarterly)'!F91-AVERAGE('ONS CVM_SA_(Quarterly)'!F$81:F$84))/AVERAGE('ONS CVM_SA_(Quarterly)'!$B$81:$B$84))</f>
        <v>1.6896066903562761</v>
      </c>
      <c r="AT15" s="4">
        <f>100*(('ONS CVM_SA_(Quarterly)'!B91-AVERAGE('ONS CVM_SA_(Quarterly)'!B$81:B$84))/AVERAGE('ONS CVM_SA_(Quarterly)'!$B$81:$B$84))</f>
        <v>-2.5700660040599184</v>
      </c>
      <c r="AV15" s="36">
        <v>43770</v>
      </c>
      <c r="AW15" s="21">
        <f>HAVERM!D246</f>
        <v>0.75</v>
      </c>
      <c r="AX15" s="21">
        <f>HAVERM!B246</f>
        <v>3.24</v>
      </c>
      <c r="AY15" s="21">
        <f>HAVERM!C246</f>
        <v>2.4</v>
      </c>
      <c r="BA15" s="36">
        <v>44835</v>
      </c>
      <c r="BB15" s="21">
        <f t="shared" ref="BB15:BC15" si="45">AX50-AX$39</f>
        <v>1.63</v>
      </c>
      <c r="BC15" s="21">
        <f t="shared" si="45"/>
        <v>0.27</v>
      </c>
      <c r="BD15" s="3">
        <v>1000</v>
      </c>
      <c r="BE15" s="3"/>
      <c r="BF15" s="21">
        <v>0</v>
      </c>
      <c r="BJ15" s="4">
        <f>100*(HAVERQ!B131/HAVERQ!B$128)</f>
        <v>88.25047585250185</v>
      </c>
      <c r="BK15" s="4">
        <f>100*(HAVERQ!I131/HAVERQ!I$128)</f>
        <v>93.841045415595545</v>
      </c>
      <c r="BL15" s="4">
        <f>100*(HAVERQ!J131/HAVERQ!J$128)</f>
        <v>71.770334928229659</v>
      </c>
      <c r="BM15" s="4">
        <f>100*(HAVERQ!K131/HAVERQ!K$128)</f>
        <v>78.354978354978357</v>
      </c>
      <c r="BN15" s="4">
        <f>100*((HAVERQ!L131+HAVERQ!M131)/(HAVERQ!L$128+HAVERQ!M$128))</f>
        <v>87.141558966074314</v>
      </c>
      <c r="BO15">
        <v>100</v>
      </c>
      <c r="BR15" s="3">
        <f>HAVERQ!I131-HAVERQ!I$128</f>
        <v>-575</v>
      </c>
      <c r="BS15" s="3">
        <f>HAVERQ!J131-HAVERQ!J$128</f>
        <v>-2714</v>
      </c>
      <c r="BT15" s="3">
        <f>HAVERQ!K131-HAVERQ!K$128</f>
        <v>-700</v>
      </c>
      <c r="BU15" s="3">
        <f>(HAVERQ!L131+HAVERQ!M131)-(HAVERQ!L$128+HAVERQ!M$128)</f>
        <v>-5094</v>
      </c>
      <c r="BV15" s="3">
        <f>HAVERQ!N131-HAVERQ!N$128</f>
        <v>-105</v>
      </c>
      <c r="BW15" s="3">
        <f>HAVERQ!B131-HAVERQ!B$128</f>
        <v>-7284</v>
      </c>
      <c r="BZ15" s="4">
        <f>100*((HAVERQ!I135-HAVERQ!I$128)/HAVERQ!$B$128)</f>
        <v>0.3806820014840146</v>
      </c>
      <c r="CA15" s="4">
        <f>100*((HAVERQ!J135-HAVERQ!J$128)/HAVERQ!$B$128)</f>
        <v>-2.7744620447140047</v>
      </c>
      <c r="CB15" s="4">
        <f>100*((HAVERQ!K135-HAVERQ!K$128)/HAVERQ!$B$128)</f>
        <v>-1.0404232667677518</v>
      </c>
      <c r="CC15" s="4">
        <f>100*(((HAVERQ!L135+HAVERQ!M135)-(HAVERQ!L$128+HAVERQ!M$128))/HAVERQ!$B$128)</f>
        <v>-6.0102590573281285</v>
      </c>
      <c r="CD15" s="4">
        <f t="shared" si="14"/>
        <v>1.3856179630286798</v>
      </c>
      <c r="CE15" s="4">
        <f>100*((HAVERQ!B135-HAVERQ!B$128)/HAVERQ!B$128)</f>
        <v>-8.0588444042971901</v>
      </c>
      <c r="CH15" s="3">
        <f>HAVERQ!I131</f>
        <v>8761</v>
      </c>
      <c r="CI15" s="3">
        <f>HAVERQ!J131</f>
        <v>6900</v>
      </c>
      <c r="CJ15" s="3">
        <f>HAVERQ!K131</f>
        <v>2534</v>
      </c>
      <c r="CK15" s="3">
        <f>HAVERQ!L131+HAVERQ!M131</f>
        <v>34522</v>
      </c>
      <c r="CL15" s="3">
        <f>HAVERQ!N131</f>
        <v>1253</v>
      </c>
      <c r="CO15" s="3">
        <f t="shared" si="15"/>
        <v>-1143</v>
      </c>
      <c r="CP15" s="3">
        <f t="shared" si="0"/>
        <v>-543</v>
      </c>
      <c r="CQ15" s="3">
        <f t="shared" si="0"/>
        <v>-485</v>
      </c>
      <c r="CR15" s="3">
        <f t="shared" si="0"/>
        <v>-15</v>
      </c>
      <c r="CS15" s="3">
        <f t="shared" si="16"/>
        <v>-732</v>
      </c>
      <c r="CT15" s="3">
        <f t="shared" si="17"/>
        <v>-1399</v>
      </c>
      <c r="CU15" s="3">
        <f t="shared" si="1"/>
        <v>-5094</v>
      </c>
      <c r="CX15" s="3">
        <f>HAVERQ!L131-HAVERQ!L$128</f>
        <v>-1143</v>
      </c>
      <c r="CY15" s="3">
        <f>HAVERQ!O131-HAVERQ!O$128</f>
        <v>-543</v>
      </c>
      <c r="CZ15" s="3">
        <f>HAVERQ!P131-HAVERQ!P$128</f>
        <v>-485</v>
      </c>
      <c r="DA15" s="3">
        <f>HAVERQ!Q131-HAVERQ!Q$128</f>
        <v>-15</v>
      </c>
      <c r="DB15" s="3">
        <f>HAVERQ!R131-HAVERQ!R$128</f>
        <v>-52</v>
      </c>
      <c r="DC15" s="3">
        <f>HAVERQ!S131-HAVERQ!S$128</f>
        <v>-732</v>
      </c>
      <c r="DD15" s="3">
        <f>HAVERQ!T131-HAVERQ!T$128</f>
        <v>-367</v>
      </c>
      <c r="DE15" s="3">
        <f>HAVERQ!U131-HAVERQ!U$128</f>
        <v>-236</v>
      </c>
      <c r="DF15" s="3">
        <f>HAVERQ!V131-HAVERQ!V$128</f>
        <v>-744</v>
      </c>
      <c r="DG15" s="3">
        <f>(HAVERQ!L131+HAVERQ!M131)-(HAVERQ!L$128+HAVERQ!M$128)</f>
        <v>-5094</v>
      </c>
      <c r="DJ15" s="4">
        <f>100*(HAVERQ!C131/HAVERQ!C$128)</f>
        <v>91.239458449195425</v>
      </c>
      <c r="DK15" s="4">
        <f>100*(HAVERQ!D131/HAVERQ!D$128)</f>
        <v>117.29573712255772</v>
      </c>
      <c r="DL15" s="4">
        <f>100*(HAVERQ!E131/HAVERQ!E$128)</f>
        <v>89.01271007770616</v>
      </c>
      <c r="DM15" s="4">
        <f>100*(HAVERQ!F131/HAVERQ!F$128)</f>
        <v>90.654463686930455</v>
      </c>
      <c r="DN15" s="4">
        <f>100*(HAVERQ!G131/HAVERQ!G$128)</f>
        <v>87.008713010169672</v>
      </c>
      <c r="DO15" s="4">
        <f>100*(HAVERQ!H131/HAVERQ!H$128)</f>
        <v>93.737465470919886</v>
      </c>
      <c r="DP15">
        <v>100</v>
      </c>
      <c r="DS15" s="3">
        <f>HAVERQ!D131-HAVERQ!D$128</f>
        <v>779</v>
      </c>
      <c r="DT15" s="3">
        <f>HAVERQ!E131-HAVERQ!E$128</f>
        <v>-1824</v>
      </c>
      <c r="DU15" s="3">
        <f>HAVERQ!F131-HAVERQ!F$128</f>
        <v>-2369</v>
      </c>
      <c r="DV15" s="3">
        <f>HAVERQ!G131-HAVERQ!G$128</f>
        <v>-4816</v>
      </c>
      <c r="DW15" s="3">
        <f>HAVERQ!H131-HAVERQ!H$128</f>
        <v>-1655</v>
      </c>
      <c r="DX15" s="3">
        <f>HAVERQ!C131-HAVERQ!C$128</f>
        <v>-9609</v>
      </c>
      <c r="EA15" s="4">
        <f t="shared" si="29"/>
        <v>-1.0540850989439021</v>
      </c>
      <c r="EB15" s="4">
        <f t="shared" si="30"/>
        <v>1.3947672186465214</v>
      </c>
      <c r="EC15" s="4">
        <f t="shared" si="18"/>
        <v>-1.743328416253187</v>
      </c>
      <c r="ED15" s="3">
        <v>0</v>
      </c>
      <c r="EF15" s="4">
        <f t="shared" si="31"/>
        <v>0.34068211970261936</v>
      </c>
      <c r="EG15" s="4">
        <f t="shared" si="32"/>
        <v>-0.36309884228211836</v>
      </c>
      <c r="EJ15" s="3">
        <f>'IPNR ex BNFL'!I23</f>
        <v>44742</v>
      </c>
      <c r="EL15">
        <v>2002</v>
      </c>
      <c r="EM15" s="4">
        <f t="shared" si="35"/>
        <v>0.34068211970261936</v>
      </c>
      <c r="EN15" s="4">
        <f t="shared" si="36"/>
        <v>-1.0540850989439021</v>
      </c>
      <c r="EO15" s="4">
        <f t="shared" si="37"/>
        <v>-0.37589354760507232</v>
      </c>
      <c r="EQ15">
        <v>2002</v>
      </c>
      <c r="ER15" s="4">
        <f>(HAVERQ!W57*$EW$2)+(HAVERQ!X57*$EX$2)/($EW$2+$EX$2)</f>
        <v>12.196807220146537</v>
      </c>
      <c r="ES15" s="4">
        <f>(HAVERQ!AB57*$EW$2)+(HAVERQ!AC57*$EY$2)+(HAVERQ!AD57*$EZ$2)+(HAVERQ!AE57*$FA$2)/($EW$2+$EY$2+$EZ$2+$FA$2)</f>
        <v>-21.068691671923268</v>
      </c>
      <c r="ET15" s="21">
        <f>(HAVERQ!Y57*$EW$2)+(HAVERQ!Z57*$EX$2)/($EW$2+$EX$2)</f>
        <v>0.23224966438610958</v>
      </c>
      <c r="FC15" s="26">
        <v>43770</v>
      </c>
      <c r="FD15" s="4">
        <f>100*((HAVERM!E246+HAVERM!F246)/(HAVERM!E$249+HAVERM!F$249))</f>
        <v>100.82827104400889</v>
      </c>
      <c r="FE15" s="4">
        <f>100*(HAVERM!E246/HAVERM!E$249)</f>
        <v>100.59617981863786</v>
      </c>
      <c r="FF15" s="4">
        <f>100*(HAVERM!F246/HAVERM!F$249)</f>
        <v>100.95562080063239</v>
      </c>
      <c r="FG15">
        <v>100</v>
      </c>
      <c r="FV15" s="26">
        <v>42644</v>
      </c>
      <c r="FW15" s="3">
        <f>HAVERM!G209</f>
        <v>359546</v>
      </c>
      <c r="FX15" s="4"/>
      <c r="FY15" s="3">
        <f t="shared" si="19"/>
        <v>981</v>
      </c>
      <c r="GD15" s="4">
        <f>100*(DataQ!W165/DataQ!W$194)</f>
        <v>78.546475902011352</v>
      </c>
      <c r="GE15" s="4">
        <f>100*(DataQ!X165/DataQ!X$194)</f>
        <v>76.856222783327837</v>
      </c>
      <c r="GF15" s="4">
        <f>100*(DataQ!C165/DataQ!C$194)</f>
        <v>76.215440203890694</v>
      </c>
      <c r="GG15" s="4"/>
      <c r="GH15">
        <v>100</v>
      </c>
      <c r="GK15" s="4">
        <f>100*(DataQ!Z145/AVERAGE(DataQ!$Z$203:$Z$206))</f>
        <v>78.82724457661935</v>
      </c>
      <c r="GL15" s="4">
        <f>100*(DataQ!C145/AVERAGE(DataQ!$C$203:$C$206))</f>
        <v>81.689434766261442</v>
      </c>
      <c r="GM15" s="4">
        <v>100</v>
      </c>
      <c r="GP15" s="4">
        <f>100*(DataQ!Z145/DataQ!$Z$194)</f>
        <v>78.533154137503715</v>
      </c>
      <c r="GQ15" s="4">
        <f>100*(DataQ!C145/DataQ!$C$194)</f>
        <v>78.854405265025648</v>
      </c>
      <c r="GR15" s="4">
        <v>100</v>
      </c>
      <c r="GT15" s="4"/>
      <c r="GU15" s="31">
        <f t="shared" si="20"/>
        <v>88.25047585250185</v>
      </c>
      <c r="GV15" s="31">
        <f t="shared" si="21"/>
        <v>88.731969962492769</v>
      </c>
      <c r="GW15" s="4">
        <f t="shared" si="9"/>
        <v>8.4496915378172019</v>
      </c>
      <c r="GX15" s="4">
        <v>100</v>
      </c>
      <c r="GY15" s="31">
        <f t="shared" si="22"/>
        <v>97.181661500309971</v>
      </c>
      <c r="GZ15" s="4"/>
      <c r="HB15" s="4">
        <f>100*(DataQ!C197/DataQ!C$194)</f>
        <v>88.25047585250185</v>
      </c>
      <c r="HC15" s="4">
        <f>100*(DataQ!Q197/DataQ!Q$194)</f>
        <v>94.158839174494162</v>
      </c>
      <c r="HD15" s="4">
        <f>100*(DataQ!R197/DataQ!R$194)</f>
        <v>97.099377294548262</v>
      </c>
      <c r="HE15" s="4">
        <f>100*(DataQ!S197/DataQ!S$194)</f>
        <v>91.208188630963264</v>
      </c>
      <c r="HF15" s="4">
        <f>100*(DataQ!T197/DataQ!T$194)</f>
        <v>97.181661500309971</v>
      </c>
      <c r="HG15" s="4">
        <f>100*(DataQ!U197/DataQ!U$194)</f>
        <v>96.368630024455413</v>
      </c>
      <c r="HH15" s="4">
        <f>100*(DataQ!V197/DataQ!V$194)</f>
        <v>88.731969962492769</v>
      </c>
      <c r="HJ15" s="4"/>
      <c r="HK15" s="31">
        <f t="shared" si="23"/>
        <v>88.25047585250185</v>
      </c>
      <c r="HL15" s="31">
        <f t="shared" si="24"/>
        <v>88.731969962492769</v>
      </c>
      <c r="HM15" s="4">
        <f t="shared" si="10"/>
        <v>8.4496915378172019</v>
      </c>
      <c r="HN15" s="4">
        <v>100</v>
      </c>
      <c r="HO15" s="31">
        <f t="shared" si="25"/>
        <v>97.181661500309971</v>
      </c>
      <c r="HP15" s="4"/>
      <c r="HR15" s="4">
        <f>100*(DataQ!C197/DataQ!C$194)</f>
        <v>88.25047585250185</v>
      </c>
      <c r="HS15" s="4">
        <f>100*(DataQ!Q197/DataQ!Q$194)</f>
        <v>94.158839174494162</v>
      </c>
      <c r="HT15" s="4">
        <f>100*(DataQ!R197/DataQ!R$194)</f>
        <v>97.099377294548262</v>
      </c>
      <c r="HU15" s="4">
        <f>100*(DataQ!S197/DataQ!S$194)</f>
        <v>91.208188630963264</v>
      </c>
      <c r="HV15" s="4">
        <f>100*(DataQ!T197/DataQ!T$194)</f>
        <v>97.181661500309971</v>
      </c>
      <c r="HW15" s="4">
        <f>100*(DataQ!U197/DataQ!U$194)</f>
        <v>96.368630024455413</v>
      </c>
      <c r="HX15" s="4">
        <f>100*(DataQ!V197/DataQ!V$194)</f>
        <v>88.731969962492769</v>
      </c>
      <c r="HZ15" s="22">
        <v>2000</v>
      </c>
      <c r="IA15">
        <f>DataA!J34/'Chart Data'!IF15</f>
        <v>2.3578095546675466</v>
      </c>
      <c r="IB15">
        <f t="shared" si="26"/>
        <v>2.2738985847821009</v>
      </c>
      <c r="IC15" s="4">
        <f t="shared" si="27"/>
        <v>3.690180839506807</v>
      </c>
      <c r="IF15" s="3">
        <f>DataA!K34*DataA!L34</f>
        <v>895962.10000000009</v>
      </c>
      <c r="IR15">
        <f>HAVERQ!AH86</f>
        <v>-24.2</v>
      </c>
      <c r="IS15" s="4">
        <f>100*(('IPNR ex BNFL'!I55/'IPNR ex BNFL'!I51)-1)</f>
        <v>-18.498736035227925</v>
      </c>
      <c r="IT15">
        <v>0</v>
      </c>
    </row>
    <row r="16" spans="1:258" x14ac:dyDescent="0.25">
      <c r="B16" s="4">
        <f>100*((DataQ!C86/DataQ!C82)-1)</f>
        <v>-6.1297894381106115</v>
      </c>
      <c r="C16" s="4">
        <f t="shared" si="11"/>
        <v>13.787556904400608</v>
      </c>
      <c r="D16" s="4">
        <v>0</v>
      </c>
      <c r="G16" s="4">
        <f>100*((AVERAGE(DataQ!C83:C86)/AVERAGE(DataQ!C79:C82))-1)</f>
        <v>-3.7773734452737462</v>
      </c>
      <c r="H16" s="4">
        <f t="shared" si="39"/>
        <v>18.643065828780102</v>
      </c>
      <c r="I16" s="4">
        <v>0</v>
      </c>
      <c r="K16" s="4">
        <f t="shared" si="12"/>
        <v>13.787556904400608</v>
      </c>
      <c r="L16" s="4">
        <f>100*(HAVERQ!AF20/HAVERQ!AI20)</f>
        <v>13.787556904400608</v>
      </c>
      <c r="O16" s="4">
        <f>100*('ONS CVM_SA_(Quarterly)'!B100/'ONS CVM_SA_(Quarterly)'!B$101)</f>
        <v>107.33261499591291</v>
      </c>
      <c r="P16" s="4">
        <f>100*('ONS CVM_SA_(Quarterly)'!D100/'ONS CVM_SA_(Quarterly)'!D$101)</f>
        <v>97.515121791727978</v>
      </c>
      <c r="R16">
        <v>100</v>
      </c>
      <c r="U16" s="3">
        <f>'ONS CVM_SA_(Quarterly)'!C112-'ONS CVM_SA_(Quarterly)'!C$101</f>
        <v>4681</v>
      </c>
      <c r="V16" s="3">
        <f>'ONS CVM_SA_(Quarterly)'!D112-'ONS CVM_SA_(Quarterly)'!D$101</f>
        <v>1253</v>
      </c>
      <c r="W16" s="3">
        <f>'ONS CVM_SA_(Quarterly)'!E112-'ONS CVM_SA_(Quarterly)'!E$101</f>
        <v>842</v>
      </c>
      <c r="X16" s="3">
        <f>'ONS CVM_SA_(Quarterly)'!F112-'ONS CVM_SA_(Quarterly)'!F$101</f>
        <v>175</v>
      </c>
      <c r="Y16" s="3">
        <f>'ONS CVM_SA_(Quarterly)'!B112-'ONS CVM_SA_(Quarterly)'!B$101</f>
        <v>7193</v>
      </c>
      <c r="AB16" s="4">
        <f>100*(U16/'ONS CVM_SA_(Quarterly)'!$B$101)</f>
        <v>8.6962175819276215</v>
      </c>
      <c r="AC16" s="4">
        <f>100*(V16/'ONS CVM_SA_(Quarterly)'!$B$101)</f>
        <v>2.3277847960169429</v>
      </c>
      <c r="AD16" s="4">
        <f>100*(W16/'ONS CVM_SA_(Quarterly)'!$B$101)</f>
        <v>1.5642416586163337</v>
      </c>
      <c r="AE16" s="4">
        <f>100*(X16/'ONS CVM_SA_(Quarterly)'!$B$101)</f>
        <v>0.32510960838225461</v>
      </c>
      <c r="AF16" s="4">
        <f>100*(('ONS CVM_SA_(Quarterly)'!B112/'ONS CVM_SA_(Quarterly)'!B$101)-1)</f>
        <v>13.362933789106046</v>
      </c>
      <c r="AI16" s="4">
        <f>100*(('ONS CVM_SA_(Quarterly)'!C104-'ONS CVM_SA_(Quarterly)'!C$96)/'ONS CVM_SA_(Quarterly)'!$B$96)</f>
        <v>0.82266025744426874</v>
      </c>
      <c r="AJ16" s="4">
        <f>100*(('ONS CVM_SA_(Quarterly)'!D104-'ONS CVM_SA_(Quarterly)'!D$96)/'ONS CVM_SA_(Quarterly)'!$B$96)</f>
        <v>-0.73878117237151986</v>
      </c>
      <c r="AK16" s="4">
        <f>100*(('ONS CVM_SA_(Quarterly)'!E104-'ONS CVM_SA_(Quarterly)'!E$96)/'ONS CVM_SA_(Quarterly)'!$B$96)</f>
        <v>-6.3006097364261064</v>
      </c>
      <c r="AL16" s="4">
        <f>100*(('ONS CVM_SA_(Quarterly)'!F104-'ONS CVM_SA_(Quarterly)'!F$96)/'ONS CVM_SA_(Quarterly)'!$B$96)</f>
        <v>-1.0759105719908377</v>
      </c>
      <c r="AM16" s="4">
        <f>100*(('ONS CVM_SA_(Quarterly)'!B104-'ONS CVM_SA_(Quarterly)'!B$96)/'ONS CVM_SA_(Quarterly)'!$B$96)</f>
        <v>-7.768493725199213</v>
      </c>
      <c r="AP16" s="4">
        <f>100*(('ONS CVM_SA_(Quarterly)'!C92-AVERAGE('ONS CVM_SA_(Quarterly)'!C$81:C$84))/AVERAGE('ONS CVM_SA_(Quarterly)'!$B$81:$B$84))</f>
        <v>-1.9521642767713521</v>
      </c>
      <c r="AQ16" s="4">
        <f>100*(('ONS CVM_SA_(Quarterly)'!D92-AVERAGE('ONS CVM_SA_(Quarterly)'!D$81:D$84))/AVERAGE('ONS CVM_SA_(Quarterly)'!$B$81:$B$84))</f>
        <v>-0.62762608234097639</v>
      </c>
      <c r="AR16" s="4">
        <f>100*(('ONS CVM_SA_(Quarterly)'!E92-AVERAGE('ONS CVM_SA_(Quarterly)'!E$81:E$84))/AVERAGE('ONS CVM_SA_(Quarterly)'!$B$81:$B$84))</f>
        <v>0.75161160925920678</v>
      </c>
      <c r="AS16" s="4">
        <f>100*(('ONS CVM_SA_(Quarterly)'!F92-AVERAGE('ONS CVM_SA_(Quarterly)'!F$81:F$84))/AVERAGE('ONS CVM_SA_(Quarterly)'!$B$81:$B$84))</f>
        <v>1.606949672410789</v>
      </c>
      <c r="AT16" s="4">
        <f>100*(('ONS CVM_SA_(Quarterly)'!B92-AVERAGE('ONS CVM_SA_(Quarterly)'!B$81:B$84))/AVERAGE('ONS CVM_SA_(Quarterly)'!$B$81:$B$84))</f>
        <v>-1.8877404245491343</v>
      </c>
      <c r="AV16" s="36">
        <v>43800</v>
      </c>
      <c r="AW16" s="21">
        <f>HAVERM!D247</f>
        <v>0.75</v>
      </c>
      <c r="AX16" s="21">
        <f>HAVERM!B247</f>
        <v>3.28</v>
      </c>
      <c r="AY16" s="21">
        <f>HAVERM!C247</f>
        <v>2.37</v>
      </c>
      <c r="BA16" s="36">
        <v>44866</v>
      </c>
      <c r="BB16" s="21">
        <f t="shared" ref="BB16:BC16" si="46">AX51-AX$39</f>
        <v>2.12</v>
      </c>
      <c r="BC16" s="21">
        <f t="shared" si="46"/>
        <v>0.37000000000000011</v>
      </c>
      <c r="BD16" s="3">
        <v>1000</v>
      </c>
      <c r="BE16" s="3"/>
      <c r="BF16" s="21">
        <v>0</v>
      </c>
      <c r="BJ16" s="4">
        <f>100*(HAVERQ!B132/HAVERQ!B$128)</f>
        <v>93.194502693809085</v>
      </c>
      <c r="BK16" s="4">
        <f>100*(HAVERQ!I132/HAVERQ!I$128)</f>
        <v>96.529562982005146</v>
      </c>
      <c r="BL16" s="4">
        <f>100*(HAVERQ!J132/HAVERQ!J$128)</f>
        <v>69.138755980861248</v>
      </c>
      <c r="BM16" s="4">
        <f>100*(HAVERQ!K132/HAVERQ!K$128)</f>
        <v>74.149659863945587</v>
      </c>
      <c r="BN16" s="4">
        <f>100*((HAVERQ!L132+HAVERQ!M132)/(HAVERQ!L$128+HAVERQ!M$128))</f>
        <v>89.797051696284328</v>
      </c>
      <c r="BO16">
        <v>100</v>
      </c>
      <c r="BR16" s="3">
        <f>HAVERQ!I132-HAVERQ!I$128</f>
        <v>-324</v>
      </c>
      <c r="BS16" s="3">
        <f>HAVERQ!J132-HAVERQ!J$128</f>
        <v>-2967</v>
      </c>
      <c r="BT16" s="3">
        <f>HAVERQ!K132-HAVERQ!K$128</f>
        <v>-836</v>
      </c>
      <c r="BU16" s="3">
        <f>(HAVERQ!L132+HAVERQ!M132)-(HAVERQ!L$128+HAVERQ!M$128)</f>
        <v>-4042</v>
      </c>
      <c r="BV16" s="3">
        <f>HAVERQ!N132-HAVERQ!N$128</f>
        <v>-67</v>
      </c>
      <c r="BW16" s="3">
        <f>HAVERQ!B132-HAVERQ!B$128</f>
        <v>-4219</v>
      </c>
      <c r="BZ16" s="4">
        <f>100*((HAVERQ!I136-HAVERQ!I$128)/HAVERQ!$B$128)</f>
        <v>0.65328902797044874</v>
      </c>
      <c r="CA16" s="4">
        <f>100*((HAVERQ!J136-HAVERQ!J$128)/HAVERQ!$B$128)</f>
        <v>-2.647030357776559</v>
      </c>
      <c r="CB16" s="4">
        <f>100*((HAVERQ!K136-HAVERQ!K$128)/HAVERQ!$B$128)</f>
        <v>-1.5791850824273317</v>
      </c>
      <c r="CC16" s="4">
        <f>100*(((HAVERQ!L136+HAVERQ!M136)-(HAVERQ!L$128+HAVERQ!M$128))/HAVERQ!$B$128)</f>
        <v>-6.0973642610575221</v>
      </c>
      <c r="CD16" s="4">
        <f t="shared" si="14"/>
        <v>1.9017969480917509</v>
      </c>
      <c r="CE16" s="4">
        <f>100*((HAVERQ!B136-HAVERQ!B$128)/HAVERQ!B$128)</f>
        <v>-7.768493725199213</v>
      </c>
      <c r="CH16" s="3">
        <f>HAVERQ!I132</f>
        <v>9012</v>
      </c>
      <c r="CI16" s="3">
        <f>HAVERQ!J132</f>
        <v>6647</v>
      </c>
      <c r="CJ16" s="3">
        <f>HAVERQ!K132</f>
        <v>2398</v>
      </c>
      <c r="CK16" s="3">
        <f>HAVERQ!L132+HAVERQ!M132</f>
        <v>35574</v>
      </c>
      <c r="CL16" s="3">
        <f>HAVERQ!N132</f>
        <v>1291</v>
      </c>
      <c r="CO16" s="3">
        <f t="shared" si="15"/>
        <v>-480</v>
      </c>
      <c r="CP16" s="3">
        <f t="shared" si="0"/>
        <v>-580</v>
      </c>
      <c r="CQ16" s="3">
        <f t="shared" si="0"/>
        <v>-196</v>
      </c>
      <c r="CR16" s="3">
        <f t="shared" si="0"/>
        <v>2091</v>
      </c>
      <c r="CS16" s="3">
        <f t="shared" si="16"/>
        <v>-222</v>
      </c>
      <c r="CT16" s="3">
        <f t="shared" si="17"/>
        <v>-902</v>
      </c>
      <c r="CU16" s="3">
        <f t="shared" si="1"/>
        <v>-4042</v>
      </c>
      <c r="CX16" s="3">
        <f>HAVERQ!L132-HAVERQ!L$128</f>
        <v>-480</v>
      </c>
      <c r="CY16" s="3">
        <f>HAVERQ!O132-HAVERQ!O$128</f>
        <v>-580</v>
      </c>
      <c r="CZ16" s="3">
        <f>HAVERQ!P132-HAVERQ!P$128</f>
        <v>-196</v>
      </c>
      <c r="DA16" s="3">
        <f>HAVERQ!Q132-HAVERQ!Q$128</f>
        <v>2091</v>
      </c>
      <c r="DB16" s="3">
        <f>HAVERQ!R132-HAVERQ!R$128</f>
        <v>433</v>
      </c>
      <c r="DC16" s="3">
        <f>HAVERQ!S132-HAVERQ!S$128</f>
        <v>-222</v>
      </c>
      <c r="DD16" s="3">
        <f>HAVERQ!T132-HAVERQ!T$128</f>
        <v>-414</v>
      </c>
      <c r="DE16" s="3">
        <f>HAVERQ!U132-HAVERQ!U$128</f>
        <v>-186</v>
      </c>
      <c r="DF16" s="3">
        <f>HAVERQ!V132-HAVERQ!V$128</f>
        <v>-735</v>
      </c>
      <c r="DG16" s="3">
        <f>(HAVERQ!L132+HAVERQ!M132)-(HAVERQ!L$128+HAVERQ!M$128)</f>
        <v>-4042</v>
      </c>
      <c r="DJ16" s="4">
        <f>100*(HAVERQ!C132/HAVERQ!C$128)</f>
        <v>96.957651456443443</v>
      </c>
      <c r="DK16" s="4">
        <f>100*(HAVERQ!D132/HAVERQ!D$128)</f>
        <v>140.96358792184725</v>
      </c>
      <c r="DL16" s="4">
        <f>100*(HAVERQ!E132/HAVERQ!E$128)</f>
        <v>97.451960725257507</v>
      </c>
      <c r="DM16" s="4">
        <f>100*(HAVERQ!F132/HAVERQ!F$128)</f>
        <v>96.457453942956334</v>
      </c>
      <c r="DN16" s="4">
        <f>100*(HAVERQ!G132/HAVERQ!G$128)</f>
        <v>92.576407434382674</v>
      </c>
      <c r="DO16" s="4">
        <f>100*(HAVERQ!H132/HAVERQ!H$128)</f>
        <v>94.498051235478869</v>
      </c>
      <c r="DP16">
        <v>100</v>
      </c>
      <c r="DS16" s="3">
        <f>HAVERQ!D132-HAVERQ!D$128</f>
        <v>1845</v>
      </c>
      <c r="DT16" s="3">
        <f>HAVERQ!E132-HAVERQ!E$128</f>
        <v>-423</v>
      </c>
      <c r="DU16" s="3">
        <f>HAVERQ!F132-HAVERQ!F$128</f>
        <v>-898</v>
      </c>
      <c r="DV16" s="3">
        <f>HAVERQ!G132-HAVERQ!G$128</f>
        <v>-2752</v>
      </c>
      <c r="DW16" s="3">
        <f>HAVERQ!H132-HAVERQ!H$128</f>
        <v>-1454</v>
      </c>
      <c r="DX16" s="3">
        <f>HAVERQ!C132-HAVERQ!C$128</f>
        <v>-3337</v>
      </c>
      <c r="EA16" s="4">
        <f t="shared" si="29"/>
        <v>-0.79940429700877069</v>
      </c>
      <c r="EB16" s="4">
        <f t="shared" si="30"/>
        <v>1.3449852493442953</v>
      </c>
      <c r="EC16" s="4">
        <f t="shared" si="18"/>
        <v>6.6654223922730571</v>
      </c>
      <c r="ED16" s="3">
        <v>0</v>
      </c>
      <c r="EF16" s="4">
        <f t="shared" si="31"/>
        <v>0.54558095233552462</v>
      </c>
      <c r="EG16" s="4">
        <f t="shared" si="32"/>
        <v>-9.6246410224281084E-2</v>
      </c>
      <c r="EJ16" s="3">
        <f>'IPNR ex BNFL'!I24</f>
        <v>42863</v>
      </c>
      <c r="EM16" s="4">
        <f t="shared" si="35"/>
        <v>0.54558095233552462</v>
      </c>
      <c r="EN16" s="4">
        <f t="shared" si="36"/>
        <v>-0.79940429700877069</v>
      </c>
      <c r="EO16" s="4">
        <f t="shared" si="37"/>
        <v>-3.491588599959719E-2</v>
      </c>
      <c r="ER16" s="4">
        <f>(HAVERQ!W58*$EW$2)+(HAVERQ!X58*$EX$2)/($EW$2+$EX$2)</f>
        <v>14.598403610073269</v>
      </c>
      <c r="ES16" s="4">
        <f>(HAVERQ!AB58*$EW$2)+(HAVERQ!AC58*$EY$2)+(HAVERQ!AD58*$EZ$2)+(HAVERQ!AE58*$FA$2)/($EW$2+$EY$2+$EZ$2+$FA$2)</f>
        <v>-17.484873113688195</v>
      </c>
      <c r="ET16" s="21">
        <f>(HAVERQ!Y58*$EW$2)+(HAVERQ!Z58*$EX$2)/($EW$2+$EX$2)</f>
        <v>0.76776974460996017</v>
      </c>
      <c r="FC16" s="26">
        <v>43800</v>
      </c>
      <c r="FD16" s="4">
        <f>100*((HAVERM!E247+HAVERM!F247)/(HAVERM!E$249+HAVERM!F$249))</f>
        <v>100.93992243646125</v>
      </c>
      <c r="FE16" s="4">
        <f>100*(HAVERM!E247/HAVERM!E$249)</f>
        <v>100.46369541449612</v>
      </c>
      <c r="FF16" s="4">
        <f>100*(HAVERM!F247/HAVERM!F$249)</f>
        <v>101.20123087346846</v>
      </c>
      <c r="FG16">
        <v>100</v>
      </c>
      <c r="FV16" s="26">
        <v>42675</v>
      </c>
      <c r="FW16" s="3">
        <f>HAVERM!G210</f>
        <v>359015</v>
      </c>
      <c r="FX16" s="4"/>
      <c r="FY16" s="3">
        <f t="shared" si="19"/>
        <v>-531</v>
      </c>
      <c r="GD16" s="4">
        <f>100*(DataQ!W166/DataQ!W$194)</f>
        <v>85.322346785886509</v>
      </c>
      <c r="GE16" s="4">
        <f>100*(DataQ!X166/DataQ!X$194)</f>
        <v>83.413839792146959</v>
      </c>
      <c r="GF16" s="4">
        <f>100*(DataQ!C166/DataQ!C$194)</f>
        <v>80.635222763493246</v>
      </c>
      <c r="GG16" s="4"/>
      <c r="GH16">
        <v>100</v>
      </c>
      <c r="GK16" s="4">
        <f>100*(DataQ!Z146/AVERAGE(DataQ!$Z$203:$Z$206))</f>
        <v>85.442608303367678</v>
      </c>
      <c r="GL16" s="4">
        <f>100*(DataQ!C146/AVERAGE(DataQ!$C$203:$C$206))</f>
        <v>88.55077912854577</v>
      </c>
      <c r="GM16" s="4">
        <v>100</v>
      </c>
      <c r="GP16" s="4">
        <f>100*(DataQ!Z146/DataQ!$Z$194)</f>
        <v>85.123837117972528</v>
      </c>
      <c r="GQ16" s="4">
        <f>100*(DataQ!C146/DataQ!$C$194)</f>
        <v>85.477626867116172</v>
      </c>
      <c r="GR16" s="4">
        <v>100</v>
      </c>
      <c r="GT16" s="4"/>
      <c r="GU16" s="31">
        <f t="shared" si="20"/>
        <v>93.194502693809085</v>
      </c>
      <c r="GV16" s="31">
        <f t="shared" si="21"/>
        <v>91.349546820607571</v>
      </c>
      <c r="GW16" s="4">
        <f t="shared" si="9"/>
        <v>9.0571363784004859</v>
      </c>
      <c r="GX16" s="4">
        <v>100</v>
      </c>
      <c r="GY16" s="31">
        <f t="shared" si="22"/>
        <v>100.40668319900806</v>
      </c>
      <c r="GZ16" s="4"/>
      <c r="HB16" s="4">
        <f>100*(DataQ!C198/DataQ!C$194)</f>
        <v>93.194502693809085</v>
      </c>
      <c r="HC16" s="4">
        <f>100*(DataQ!Q198/DataQ!Q$194)</f>
        <v>96.67710332289667</v>
      </c>
      <c r="HD16" s="4">
        <f>100*(DataQ!R198/DataQ!R$194)</f>
        <v>98.868122813864673</v>
      </c>
      <c r="HE16" s="4">
        <f>100*(DataQ!S198/DataQ!S$194)</f>
        <v>93.94077865106928</v>
      </c>
      <c r="HF16" s="4">
        <f>100*(DataQ!T198/DataQ!T$194)</f>
        <v>100.40668319900806</v>
      </c>
      <c r="HG16" s="4">
        <f>100*(DataQ!U198/DataQ!U$194)</f>
        <v>95.572845358034257</v>
      </c>
      <c r="HH16" s="4">
        <f>100*(DataQ!V198/DataQ!V$194)</f>
        <v>91.349546820607571</v>
      </c>
      <c r="HJ16" s="4"/>
      <c r="HK16" s="31">
        <f t="shared" si="23"/>
        <v>93.194502693809085</v>
      </c>
      <c r="HL16" s="31">
        <f t="shared" si="24"/>
        <v>91.349546820607571</v>
      </c>
      <c r="HM16" s="4">
        <f t="shared" si="10"/>
        <v>9.0571363784004859</v>
      </c>
      <c r="HN16" s="4">
        <v>100</v>
      </c>
      <c r="HO16" s="31">
        <f t="shared" si="25"/>
        <v>100.40668319900806</v>
      </c>
      <c r="HP16" s="4"/>
      <c r="HR16" s="4">
        <f>100*(DataQ!C198/DataQ!C$194)</f>
        <v>93.194502693809085</v>
      </c>
      <c r="HS16" s="4">
        <f>100*(DataQ!Q198/DataQ!Q$194)</f>
        <v>96.67710332289667</v>
      </c>
      <c r="HT16" s="4">
        <f>100*(DataQ!R198/DataQ!R$194)</f>
        <v>98.868122813864673</v>
      </c>
      <c r="HU16" s="4">
        <f>100*(DataQ!S198/DataQ!S$194)</f>
        <v>93.94077865106928</v>
      </c>
      <c r="HV16" s="4">
        <f>100*(DataQ!T198/DataQ!T$194)</f>
        <v>100.40668319900806</v>
      </c>
      <c r="HW16" s="4">
        <f>100*(DataQ!U198/DataQ!U$194)</f>
        <v>95.572845358034257</v>
      </c>
      <c r="HX16" s="4">
        <f>100*(DataQ!V198/DataQ!V$194)</f>
        <v>91.349546820607571</v>
      </c>
      <c r="HZ16" s="22">
        <v>2001</v>
      </c>
      <c r="IA16">
        <f>DataA!J35/'Chart Data'!IF16</f>
        <v>2.4158079783577859</v>
      </c>
      <c r="IB16">
        <f t="shared" si="26"/>
        <v>2.334306312374578</v>
      </c>
      <c r="IC16" s="4">
        <f t="shared" si="27"/>
        <v>3.491472629412562</v>
      </c>
      <c r="IF16" s="3">
        <f>DataA!K35*DataA!L35</f>
        <v>905489.6</v>
      </c>
      <c r="IR16">
        <f>HAVERQ!AH87</f>
        <v>-6.6</v>
      </c>
      <c r="IS16" s="4">
        <f>100*(('IPNR ex BNFL'!I56/'IPNR ex BNFL'!I52)-1)</f>
        <v>-16.389498564916426</v>
      </c>
      <c r="IT16">
        <v>0</v>
      </c>
    </row>
    <row r="17" spans="1:254" x14ac:dyDescent="0.25">
      <c r="A17">
        <v>1993</v>
      </c>
      <c r="B17" s="4">
        <f>100*((DataQ!C87/DataQ!C83)-1)</f>
        <v>-4.3201740668107336</v>
      </c>
      <c r="C17" s="4">
        <f t="shared" si="11"/>
        <v>12.715624826668146</v>
      </c>
      <c r="D17" s="4">
        <v>0</v>
      </c>
      <c r="F17">
        <v>1993</v>
      </c>
      <c r="G17" s="4">
        <f>100*((AVERAGE(DataQ!C84:C87)/AVERAGE(DataQ!C80:C83))-1)</f>
        <v>-3.3915769987677091</v>
      </c>
      <c r="H17" s="4">
        <f t="shared" si="39"/>
        <v>14.921841744261489</v>
      </c>
      <c r="I17" s="4">
        <v>0</v>
      </c>
      <c r="K17" s="4">
        <f t="shared" si="12"/>
        <v>12.715624826668146</v>
      </c>
      <c r="L17" s="4">
        <f>100*(HAVERQ!AF21/HAVERQ!AI21)</f>
        <v>12.715624826668146</v>
      </c>
      <c r="N17">
        <v>2021</v>
      </c>
      <c r="O17" s="4">
        <f>100*('ONS CVM_SA_(Quarterly)'!B101/'ONS CVM_SA_(Quarterly)'!B$101)</f>
        <v>100</v>
      </c>
      <c r="P17" s="4">
        <f>100*('ONS CVM_SA_(Quarterly)'!D101/'ONS CVM_SA_(Quarterly)'!D$101)</f>
        <v>100</v>
      </c>
      <c r="R17">
        <v>100</v>
      </c>
      <c r="T17">
        <v>2024</v>
      </c>
      <c r="U17" s="3">
        <f>'ONS CVM_SA_(Quarterly)'!C113-'ONS CVM_SA_(Quarterly)'!C$101</f>
        <v>4542</v>
      </c>
      <c r="V17" s="3">
        <f>'ONS CVM_SA_(Quarterly)'!D113-'ONS CVM_SA_(Quarterly)'!D$101</f>
        <v>1909</v>
      </c>
      <c r="W17" s="3">
        <f>'ONS CVM_SA_(Quarterly)'!E113-'ONS CVM_SA_(Quarterly)'!E$101</f>
        <v>902</v>
      </c>
      <c r="X17" s="3">
        <f>'ONS CVM_SA_(Quarterly)'!F113-'ONS CVM_SA_(Quarterly)'!F$101</f>
        <v>-53</v>
      </c>
      <c r="Y17" s="3">
        <f>'ONS CVM_SA_(Quarterly)'!B113-'ONS CVM_SA_(Quarterly)'!B$101</f>
        <v>7542</v>
      </c>
      <c r="AA17">
        <v>2024</v>
      </c>
      <c r="AB17" s="4">
        <f>100*(U17/'ONS CVM_SA_(Quarterly)'!$B$101)</f>
        <v>8.4379876644125726</v>
      </c>
      <c r="AC17" s="4">
        <f>100*(V17/'ONS CVM_SA_(Quarterly)'!$B$101)</f>
        <v>3.5464813851527088</v>
      </c>
      <c r="AD17" s="4">
        <f>100*(W17/'ONS CVM_SA_(Quarterly)'!$B$101)</f>
        <v>1.675707810061678</v>
      </c>
      <c r="AE17" s="4">
        <f>100*(X17/'ONS CVM_SA_(Quarterly)'!$B$101)</f>
        <v>-9.8461767110054249E-2</v>
      </c>
      <c r="AF17" s="4">
        <f>100*(('ONS CVM_SA_(Quarterly)'!B113/'ONS CVM_SA_(Quarterly)'!B$101)-1)</f>
        <v>14.011295236679789</v>
      </c>
      <c r="AH17">
        <v>2022</v>
      </c>
      <c r="AI17" s="4">
        <f>100*(('ONS CVM_SA_(Quarterly)'!C105-'ONS CVM_SA_(Quarterly)'!C$96)/'ONS CVM_SA_(Quarterly)'!$B$96)</f>
        <v>-0.18066264477207472</v>
      </c>
      <c r="AJ17" s="4">
        <f>100*(('ONS CVM_SA_(Quarterly)'!D105-'ONS CVM_SA_(Quarterly)'!D$96)/'ONS CVM_SA_(Quarterly)'!$B$96)</f>
        <v>1.3485175984772719</v>
      </c>
      <c r="AK17" s="4">
        <f>100*(('ONS CVM_SA_(Quarterly)'!E105-'ONS CVM_SA_(Quarterly)'!E$96)/'ONS CVM_SA_(Quarterly)'!$B$96)</f>
        <v>-4.5665709584798524</v>
      </c>
      <c r="AL17" s="4">
        <f>100*(('ONS CVM_SA_(Quarterly)'!F105-'ONS CVM_SA_(Quarterly)'!F$96)/'ONS CVM_SA_(Quarterly)'!$B$96)</f>
        <v>-1.24689486079298</v>
      </c>
      <c r="AM17" s="4">
        <f>100*(('ONS CVM_SA_(Quarterly)'!B105-'ONS CVM_SA_(Quarterly)'!B$96)/'ONS CVM_SA_(Quarterly)'!$B$96)</f>
        <v>-4.9875794431719198</v>
      </c>
      <c r="AO17">
        <v>2019</v>
      </c>
      <c r="AP17" s="4">
        <f>100*(('ONS CVM_SA_(Quarterly)'!C93-AVERAGE('ONS CVM_SA_(Quarterly)'!C$81:C$84))/AVERAGE('ONS CVM_SA_(Quarterly)'!$B$81:$B$84))</f>
        <v>-2.8111489730675885</v>
      </c>
      <c r="AQ17" s="4">
        <f>100*(('ONS CVM_SA_(Quarterly)'!D93-AVERAGE('ONS CVM_SA_(Quarterly)'!D$81:D$84))/AVERAGE('ONS CVM_SA_(Quarterly)'!$B$81:$B$84))</f>
        <v>-0.71352455197060005</v>
      </c>
      <c r="AR17" s="4">
        <f>100*(('ONS CVM_SA_(Quarterly)'!E93-AVERAGE('ONS CVM_SA_(Quarterly)'!E$81:E$84))/AVERAGE('ONS CVM_SA_(Quarterly)'!$B$81:$B$84))</f>
        <v>1.8634295369181086</v>
      </c>
      <c r="AS17" s="4">
        <f>100*(('ONS CVM_SA_(Quarterly)'!F93-AVERAGE('ONS CVM_SA_(Quarterly)'!F$81:F$84))/AVERAGE('ONS CVM_SA_(Quarterly)'!$B$81:$B$84))</f>
        <v>2.6344898562821362</v>
      </c>
      <c r="AT17" s="4">
        <f>100*(('ONS CVM_SA_(Quarterly)'!B93-AVERAGE('ONS CVM_SA_(Quarterly)'!B$81:B$84))/AVERAGE('ONS CVM_SA_(Quarterly)'!$B$81:$B$84))</f>
        <v>-0.80995773957366812</v>
      </c>
      <c r="AV17" s="36">
        <v>43831</v>
      </c>
      <c r="AW17" s="21">
        <f>HAVERM!D248</f>
        <v>0.75</v>
      </c>
      <c r="AX17" s="21">
        <f>HAVERM!B248</f>
        <v>3.29</v>
      </c>
      <c r="AY17" s="21">
        <f>HAVERM!C248</f>
        <v>2.37</v>
      </c>
      <c r="BA17" s="36">
        <v>44896</v>
      </c>
      <c r="BB17" s="21">
        <f t="shared" ref="BB17:BC17" si="47">AX52-AX$39</f>
        <v>2.4399999999999995</v>
      </c>
      <c r="BC17" s="21">
        <f t="shared" si="47"/>
        <v>0.48999999999999977</v>
      </c>
      <c r="BD17" s="3">
        <v>1000</v>
      </c>
      <c r="BE17" s="3"/>
      <c r="BF17" s="21">
        <v>0</v>
      </c>
      <c r="BI17">
        <v>2021</v>
      </c>
      <c r="BJ17" s="4">
        <f>100*(HAVERQ!B133/HAVERQ!B$128)</f>
        <v>86.827757524921765</v>
      </c>
      <c r="BK17" s="4">
        <f>100*(HAVERQ!I133/HAVERQ!I$128)</f>
        <v>96.722365038560412</v>
      </c>
      <c r="BL17" s="4">
        <f>100*(HAVERQ!J133/HAVERQ!J$128)</f>
        <v>80.653214062825057</v>
      </c>
      <c r="BM17" s="4">
        <f>100*(HAVERQ!K133/HAVERQ!K$128)</f>
        <v>82.436611008039591</v>
      </c>
      <c r="BN17" s="4">
        <f>100*((HAVERQ!L133+HAVERQ!M133)/(HAVERQ!L$128+HAVERQ!M$128))</f>
        <v>87.82815024232633</v>
      </c>
      <c r="BO17">
        <v>100</v>
      </c>
      <c r="BQ17">
        <v>2021</v>
      </c>
      <c r="BR17" s="3">
        <f>HAVERQ!I133-HAVERQ!I$128</f>
        <v>-306</v>
      </c>
      <c r="BS17" s="3">
        <f>HAVERQ!J133-HAVERQ!J$128</f>
        <v>-1860</v>
      </c>
      <c r="BT17" s="3">
        <f>HAVERQ!K133-HAVERQ!K$128</f>
        <v>-568</v>
      </c>
      <c r="BU17" s="3">
        <f>(HAVERQ!L133+HAVERQ!M133)-(HAVERQ!L$128+HAVERQ!M$128)</f>
        <v>-4822</v>
      </c>
      <c r="BV17" s="3">
        <f>HAVERQ!N133-HAVERQ!N$128</f>
        <v>-55</v>
      </c>
      <c r="BW17" s="3">
        <f>HAVERQ!B133-HAVERQ!B$128</f>
        <v>-8166</v>
      </c>
      <c r="BY17">
        <v>2022</v>
      </c>
      <c r="BZ17" s="4">
        <f>100*((HAVERQ!I137-HAVERQ!I$128)/HAVERQ!$B$128)</f>
        <v>0.62264090073232892</v>
      </c>
      <c r="CA17" s="4">
        <f>100*((HAVERQ!J137-HAVERQ!J$128)/HAVERQ!$B$128)</f>
        <v>-4.7504597219085714</v>
      </c>
      <c r="CB17" s="4">
        <f>100*((HAVERQ!K137-HAVERQ!K$128)/HAVERQ!$B$128)</f>
        <v>-1.0194534954995644</v>
      </c>
      <c r="CC17" s="4">
        <f>100*(((HAVERQ!L137+HAVERQ!M137)-(HAVERQ!L$128+HAVERQ!M$128))/HAVERQ!$B$128)</f>
        <v>-1.5759589637706874</v>
      </c>
      <c r="CD17" s="4">
        <f t="shared" si="14"/>
        <v>1.7372648966028958</v>
      </c>
      <c r="CE17" s="4">
        <f>100*((HAVERQ!B137-HAVERQ!B$128)/HAVERQ!B$128)</f>
        <v>-4.9859663838435981</v>
      </c>
      <c r="CG17">
        <v>2021</v>
      </c>
      <c r="CH17" s="3">
        <f>HAVERQ!I133</f>
        <v>9030</v>
      </c>
      <c r="CI17" s="3">
        <f>HAVERQ!J133</f>
        <v>7754</v>
      </c>
      <c r="CJ17" s="3">
        <f>HAVERQ!K133</f>
        <v>2666</v>
      </c>
      <c r="CK17" s="3">
        <f>HAVERQ!L133+HAVERQ!M133</f>
        <v>34794</v>
      </c>
      <c r="CL17" s="3">
        <f>HAVERQ!N133</f>
        <v>1303</v>
      </c>
      <c r="CN17">
        <v>2021</v>
      </c>
      <c r="CO17" s="3">
        <f t="shared" si="15"/>
        <v>-135</v>
      </c>
      <c r="CP17" s="3">
        <f t="shared" si="0"/>
        <v>-849</v>
      </c>
      <c r="CQ17" s="3">
        <f t="shared" si="0"/>
        <v>-1564</v>
      </c>
      <c r="CR17" s="3">
        <f t="shared" si="0"/>
        <v>-2254</v>
      </c>
      <c r="CS17" s="3">
        <f t="shared" si="16"/>
        <v>-982</v>
      </c>
      <c r="CT17" s="3">
        <f t="shared" si="17"/>
        <v>-1219</v>
      </c>
      <c r="CU17" s="3">
        <f t="shared" si="1"/>
        <v>-4822</v>
      </c>
      <c r="CW17">
        <v>2021</v>
      </c>
      <c r="CX17" s="3">
        <f>HAVERQ!L133-HAVERQ!L$128</f>
        <v>-135</v>
      </c>
      <c r="CY17" s="3">
        <f>HAVERQ!O133-HAVERQ!O$128</f>
        <v>-849</v>
      </c>
      <c r="CZ17" s="3">
        <f>HAVERQ!P133-HAVERQ!P$128</f>
        <v>-1564</v>
      </c>
      <c r="DA17" s="3">
        <f>HAVERQ!Q133-HAVERQ!Q$128</f>
        <v>-2254</v>
      </c>
      <c r="DB17" s="3">
        <f>HAVERQ!R133-HAVERQ!R$128</f>
        <v>108</v>
      </c>
      <c r="DC17" s="3">
        <f>HAVERQ!S133-HAVERQ!S$128</f>
        <v>-982</v>
      </c>
      <c r="DD17" s="3">
        <f>HAVERQ!T133-HAVERQ!T$128</f>
        <v>-328</v>
      </c>
      <c r="DE17" s="3">
        <f>HAVERQ!U133-HAVERQ!U$128</f>
        <v>-193</v>
      </c>
      <c r="DF17" s="3">
        <f>HAVERQ!V133-HAVERQ!V$128</f>
        <v>-806</v>
      </c>
      <c r="DG17" s="3">
        <f>(HAVERQ!L133+HAVERQ!M133)-(HAVERQ!L$128+HAVERQ!M$128)</f>
        <v>-4822</v>
      </c>
      <c r="DI17">
        <v>2021</v>
      </c>
      <c r="DJ17" s="4">
        <f>100*(HAVERQ!C133/HAVERQ!C$128)</f>
        <v>94.354743128048497</v>
      </c>
      <c r="DK17" s="4">
        <f>100*(HAVERQ!D133/HAVERQ!D$128)</f>
        <v>77.131438721136774</v>
      </c>
      <c r="DL17" s="4">
        <f>100*(HAVERQ!E133/HAVERQ!E$128)</f>
        <v>96.054454550930672</v>
      </c>
      <c r="DM17" s="4">
        <f>100*(HAVERQ!F133/HAVERQ!F$128)</f>
        <v>103.01392559864296</v>
      </c>
      <c r="DN17" s="4">
        <f>100*(HAVERQ!G133/HAVERQ!G$128)</f>
        <v>90.798737557659621</v>
      </c>
      <c r="DO17" s="4">
        <f>100*(HAVERQ!H133/HAVERQ!H$128)</f>
        <v>92.916335565898507</v>
      </c>
      <c r="DP17">
        <v>100</v>
      </c>
      <c r="DR17">
        <v>2021</v>
      </c>
      <c r="DS17" s="3">
        <f>HAVERQ!D133-HAVERQ!D$128</f>
        <v>-1030</v>
      </c>
      <c r="DT17" s="3">
        <f>HAVERQ!E133-HAVERQ!E$128</f>
        <v>-655</v>
      </c>
      <c r="DU17" s="3">
        <f>HAVERQ!F133-HAVERQ!F$128</f>
        <v>764</v>
      </c>
      <c r="DV17" s="3">
        <f>HAVERQ!G133-HAVERQ!G$128</f>
        <v>-3411</v>
      </c>
      <c r="DW17" s="3">
        <f>HAVERQ!H133-HAVERQ!H$128</f>
        <v>-1872</v>
      </c>
      <c r="DX17" s="3">
        <f>HAVERQ!C133-HAVERQ!C$128</f>
        <v>-6192</v>
      </c>
      <c r="DZ17">
        <v>2003</v>
      </c>
      <c r="EA17" s="4">
        <f t="shared" si="29"/>
        <v>-1.3653239597928006</v>
      </c>
      <c r="EB17" s="4">
        <f t="shared" si="30"/>
        <v>1.7346723346665311</v>
      </c>
      <c r="EC17" s="4">
        <f t="shared" si="18"/>
        <v>8.5101328074885352</v>
      </c>
      <c r="ED17" s="3">
        <v>0</v>
      </c>
      <c r="EF17" s="4">
        <f t="shared" si="31"/>
        <v>0.3693483748737304</v>
      </c>
      <c r="EG17" s="4">
        <f t="shared" si="32"/>
        <v>-0.36044752087982318</v>
      </c>
      <c r="EI17" s="22">
        <v>2002</v>
      </c>
      <c r="EJ17" s="3">
        <f>'IPNR ex BNFL'!I25</f>
        <v>42091</v>
      </c>
      <c r="EM17" s="4">
        <f t="shared" si="35"/>
        <v>0.3693483748737304</v>
      </c>
      <c r="EN17" s="4">
        <f t="shared" si="36"/>
        <v>-1.3653239597928006</v>
      </c>
      <c r="EO17" s="4">
        <f t="shared" si="37"/>
        <v>-8.5366977720399168E-2</v>
      </c>
      <c r="ER17" s="4">
        <f>(HAVERQ!W59*$EW$2)+(HAVERQ!X59*$EX$2)/($EW$2+$EX$2)</f>
        <v>12.532801203357756</v>
      </c>
      <c r="ES17" s="4">
        <f>(HAVERQ!AB59*$EW$2)+(HAVERQ!AC59*$EY$2)+(HAVERQ!AD59*$EZ$2)+(HAVERQ!AE59*$FA$2)/($EW$2+$EY$2+$EZ$2+$FA$2)</f>
        <v>-25.448384201077197</v>
      </c>
      <c r="ET17" s="21">
        <f>(HAVERQ!Y59*$EW$2)+(HAVERQ!Z59*$EX$2)/($EW$2+$EX$2)</f>
        <v>0.68853413557183751</v>
      </c>
      <c r="FC17" s="26">
        <v>43831</v>
      </c>
      <c r="FD17" s="4">
        <f>100*((HAVERM!E248+HAVERM!F248)/(HAVERM!E$249+HAVERM!F$249))</f>
        <v>99.743657517328757</v>
      </c>
      <c r="FE17" s="4">
        <f>100*(HAVERM!E248/HAVERM!E$249)</f>
        <v>100.03858769052671</v>
      </c>
      <c r="FF17" s="4">
        <f>100*(HAVERM!F248/HAVERM!F$249)</f>
        <v>99.581827677714415</v>
      </c>
      <c r="FG17">
        <v>100</v>
      </c>
      <c r="FV17" s="26">
        <v>42705</v>
      </c>
      <c r="FW17" s="3">
        <f>HAVERM!G211</f>
        <v>362472</v>
      </c>
      <c r="FX17" s="4"/>
      <c r="FY17" s="3">
        <f t="shared" si="19"/>
        <v>3457</v>
      </c>
      <c r="GC17" s="22">
        <v>2013</v>
      </c>
      <c r="GD17" s="4">
        <f>100*(DataQ!W167/DataQ!W$194)</f>
        <v>80.548391935241952</v>
      </c>
      <c r="GE17" s="4">
        <f>100*(DataQ!X167/DataQ!X$194)</f>
        <v>79.348263622058766</v>
      </c>
      <c r="GF17" s="4">
        <f>100*(DataQ!C167/DataQ!C$194)</f>
        <v>78.2962867374262</v>
      </c>
      <c r="GG17" s="4"/>
      <c r="GH17">
        <v>100</v>
      </c>
      <c r="GJ17" s="22">
        <v>2008</v>
      </c>
      <c r="GK17" s="4">
        <f>100*(DataQ!Z147/AVERAGE(DataQ!$Z$203:$Z$206))</f>
        <v>79.203913856611635</v>
      </c>
      <c r="GL17" s="4">
        <f>100*(DataQ!C147/AVERAGE(DataQ!$C$203:$C$206))</f>
        <v>82.08881647658437</v>
      </c>
      <c r="GM17" s="4">
        <v>100</v>
      </c>
      <c r="GO17" s="22">
        <v>2008</v>
      </c>
      <c r="GP17" s="4">
        <f>100*(DataQ!Z147/DataQ!$Z$194)</f>
        <v>78.908418131359852</v>
      </c>
      <c r="GQ17" s="4">
        <f>100*(DataQ!C147/DataQ!$C$194)</f>
        <v>79.239926444494628</v>
      </c>
      <c r="GR17" s="4">
        <v>100</v>
      </c>
      <c r="GT17">
        <v>2021</v>
      </c>
      <c r="GU17" s="31">
        <f t="shared" si="20"/>
        <v>86.827757524921765</v>
      </c>
      <c r="GV17" s="31">
        <f t="shared" si="21"/>
        <v>92.798391518917938</v>
      </c>
      <c r="GW17" s="4">
        <f t="shared" si="9"/>
        <v>8.6609885182798081</v>
      </c>
      <c r="GX17" s="4">
        <v>100</v>
      </c>
      <c r="GY17" s="31">
        <f t="shared" si="22"/>
        <v>101.45938003719775</v>
      </c>
      <c r="GZ17" s="4"/>
      <c r="HA17">
        <v>2021</v>
      </c>
      <c r="HB17" s="4">
        <f>100*(DataQ!C199/DataQ!C$194)</f>
        <v>86.827757524921765</v>
      </c>
      <c r="HC17" s="4">
        <f>100*(DataQ!Q199/DataQ!Q$194)</f>
        <v>98.909201090798902</v>
      </c>
      <c r="HD17" s="4">
        <f>100*(DataQ!R199/DataQ!R$194)</f>
        <v>100.33764862952208</v>
      </c>
      <c r="HE17" s="4">
        <f>100*(DataQ!S199/DataQ!S$194)</f>
        <v>92.798391518917938</v>
      </c>
      <c r="HF17" s="4">
        <f>100*(DataQ!T199/DataQ!T$194)</f>
        <v>101.45938003719775</v>
      </c>
      <c r="HG17" s="4">
        <f>100*(DataQ!U199/DataQ!U$194)</f>
        <v>97.388412317725297</v>
      </c>
      <c r="HH17" s="4">
        <f>100*(DataQ!V199/DataQ!V$194)</f>
        <v>93.762142273747315</v>
      </c>
      <c r="HJ17">
        <v>2021</v>
      </c>
      <c r="HK17" s="31">
        <f t="shared" si="23"/>
        <v>86.827757524921765</v>
      </c>
      <c r="HL17" s="31">
        <f t="shared" si="24"/>
        <v>92.798391518917938</v>
      </c>
      <c r="HM17" s="4">
        <f t="shared" si="10"/>
        <v>8.6609885182798081</v>
      </c>
      <c r="HN17" s="4">
        <v>100</v>
      </c>
      <c r="HO17" s="31">
        <f t="shared" si="25"/>
        <v>101.45938003719775</v>
      </c>
      <c r="HP17" s="4"/>
      <c r="HQ17">
        <v>2021</v>
      </c>
      <c r="HR17" s="4">
        <f>100*(DataQ!C199/DataQ!C$194)</f>
        <v>86.827757524921765</v>
      </c>
      <c r="HS17" s="4">
        <f>100*(DataQ!Q199/DataQ!Q$194)</f>
        <v>98.909201090798902</v>
      </c>
      <c r="HT17" s="4">
        <f>100*(DataQ!R199/DataQ!R$194)</f>
        <v>100.33764862952208</v>
      </c>
      <c r="HU17" s="4">
        <f>100*(DataQ!S199/DataQ!S$194)</f>
        <v>92.798391518917938</v>
      </c>
      <c r="HV17" s="4">
        <f>100*(DataQ!T199/DataQ!T$194)</f>
        <v>101.45938003719775</v>
      </c>
      <c r="HW17" s="4">
        <f>100*(DataQ!U199/DataQ!U$194)</f>
        <v>97.388412317725297</v>
      </c>
      <c r="HX17" s="4">
        <f>100*(DataQ!V199/DataQ!V$194)</f>
        <v>93.762142273747315</v>
      </c>
      <c r="HZ17" s="22">
        <v>2002</v>
      </c>
      <c r="IA17">
        <f>DataA!J36/'Chart Data'!IF17</f>
        <v>2.4890828114083314</v>
      </c>
      <c r="IB17">
        <f t="shared" si="26"/>
        <v>2.3963188140661762</v>
      </c>
      <c r="IC17" s="4">
        <f t="shared" si="27"/>
        <v>3.8711041618351816</v>
      </c>
      <c r="IF17" s="3">
        <f>DataA!K36*DataA!L36</f>
        <v>903281.71875000012</v>
      </c>
      <c r="IQ17">
        <v>2010</v>
      </c>
      <c r="IR17">
        <f>HAVERQ!AH88</f>
        <v>-5.2</v>
      </c>
      <c r="IS17" s="4">
        <f>100*(('IPNR ex BNFL'!I57/'IPNR ex BNFL'!I53)-1)</f>
        <v>-3.8034277232774416</v>
      </c>
      <c r="IT17">
        <v>0</v>
      </c>
    </row>
    <row r="18" spans="1:254" x14ac:dyDescent="0.25">
      <c r="B18" s="4">
        <f>100*((DataQ!C88/DataQ!C84)-1)</f>
        <v>-5.6060053795699671</v>
      </c>
      <c r="C18" s="4">
        <f t="shared" si="11"/>
        <v>12.803697818864654</v>
      </c>
      <c r="D18" s="4">
        <v>0</v>
      </c>
      <c r="G18" s="4">
        <f>100*((AVERAGE(DataQ!C85:C88)/AVERAGE(DataQ!C81:C84))-1)</f>
        <v>-3.8526261512712212</v>
      </c>
      <c r="H18" s="4">
        <f t="shared" si="39"/>
        <v>13.524692618017978</v>
      </c>
      <c r="I18" s="4">
        <v>0</v>
      </c>
      <c r="K18" s="4">
        <f t="shared" si="12"/>
        <v>12.803697818864654</v>
      </c>
      <c r="L18" s="4">
        <f>100*(HAVERQ!AF22/HAVERQ!AI22)</f>
        <v>12.803697818864654</v>
      </c>
      <c r="O18" s="4">
        <f>100*('ONS CVM_SA_(Quarterly)'!B102/'ONS CVM_SA_(Quarterly)'!B$101)</f>
        <v>107.72646206435313</v>
      </c>
      <c r="P18" s="4">
        <f>100*('ONS CVM_SA_(Quarterly)'!D102/'ONS CVM_SA_(Quarterly)'!D$101)</f>
        <v>100.82556808893249</v>
      </c>
      <c r="Q18">
        <v>1000</v>
      </c>
      <c r="R18">
        <v>100</v>
      </c>
      <c r="U18" s="3">
        <f>'ONS CVM_SA_(Quarterly)'!C114-'ONS CVM_SA_(Quarterly)'!C$101</f>
        <v>5229</v>
      </c>
      <c r="V18" s="3">
        <f>'ONS CVM_SA_(Quarterly)'!D114-'ONS CVM_SA_(Quarterly)'!D$101</f>
        <v>983</v>
      </c>
      <c r="W18" s="3">
        <f>'ONS CVM_SA_(Quarterly)'!E114-'ONS CVM_SA_(Quarterly)'!E$101</f>
        <v>1598</v>
      </c>
      <c r="X18" s="3">
        <f>'ONS CVM_SA_(Quarterly)'!F114-'ONS CVM_SA_(Quarterly)'!F$101</f>
        <v>370</v>
      </c>
      <c r="Y18" s="3">
        <f>'ONS CVM_SA_(Quarterly)'!B114-'ONS CVM_SA_(Quarterly)'!B$101</f>
        <v>8422</v>
      </c>
      <c r="AB18" s="4">
        <f>100*(U18/'ONS CVM_SA_(Quarterly)'!$B$101)</f>
        <v>9.7142750984617656</v>
      </c>
      <c r="AC18" s="4">
        <f>100*(V18/'ONS CVM_SA_(Quarterly)'!$B$101)</f>
        <v>1.826187114512893</v>
      </c>
      <c r="AD18" s="4">
        <f>100*(W18/'ONS CVM_SA_(Quarterly)'!$B$101)</f>
        <v>2.9687151668276734</v>
      </c>
      <c r="AE18" s="4">
        <f>100*(X18/'ONS CVM_SA_(Quarterly)'!$B$101)</f>
        <v>0.68737460057962407</v>
      </c>
      <c r="AF18" s="4">
        <f>100*(('ONS CVM_SA_(Quarterly)'!B114/'ONS CVM_SA_(Quarterly)'!B$101)-1)</f>
        <v>15.646132124544842</v>
      </c>
      <c r="AI18" s="4">
        <f>100*(('ONS CVM_SA_(Quarterly)'!C106-'ONS CVM_SA_(Quarterly)'!C$96)/'ONS CVM_SA_(Quarterly)'!$B$96)</f>
        <v>3.2825757331354648</v>
      </c>
      <c r="AJ18" s="4">
        <f>100*(('ONS CVM_SA_(Quarterly)'!D106-'ONS CVM_SA_(Quarterly)'!D$96)/'ONS CVM_SA_(Quarterly)'!$B$96)</f>
        <v>2.0453592283124173</v>
      </c>
      <c r="AK18" s="4">
        <f>100*(('ONS CVM_SA_(Quarterly)'!E106-'ONS CVM_SA_(Quarterly)'!E$96)/'ONS CVM_SA_(Quarterly)'!$B$96)</f>
        <v>-5.5569893860696196</v>
      </c>
      <c r="AL18" s="4">
        <f>100*(('ONS CVM_SA_(Quarterly)'!F106-'ONS CVM_SA_(Quarterly)'!F$96)/'ONS CVM_SA_(Quarterly)'!$B$96)</f>
        <v>-2.1050424234603349</v>
      </c>
      <c r="AM18" s="4">
        <f>100*(('ONS CVM_SA_(Quarterly)'!B106-'ONS CVM_SA_(Quarterly)'!B$96)/'ONS CVM_SA_(Quarterly)'!$B$96)</f>
        <v>-2.6809046036713231</v>
      </c>
      <c r="AP18" s="4">
        <f>100*(('ONS CVM_SA_(Quarterly)'!C94-AVERAGE('ONS CVM_SA_(Quarterly)'!C$81:C$84))/AVERAGE('ONS CVM_SA_(Quarterly)'!$B$81:$B$84))</f>
        <v>-1.9943031486651295</v>
      </c>
      <c r="AQ18" s="4">
        <f>100*(('ONS CVM_SA_(Quarterly)'!D94-AVERAGE('ONS CVM_SA_(Quarterly)'!D$81:D$84))/AVERAGE('ONS CVM_SA_(Quarterly)'!$B$81:$B$84))</f>
        <v>-0.37965502850451571</v>
      </c>
      <c r="AR18" s="4">
        <f>100*(('ONS CVM_SA_(Quarterly)'!E94-AVERAGE('ONS CVM_SA_(Quarterly)'!E$81:E$84))/AVERAGE('ONS CVM_SA_(Quarterly)'!$B$81:$B$84))</f>
        <v>1.6332864673444001</v>
      </c>
      <c r="AS18" s="4">
        <f>100*(('ONS CVM_SA_(Quarterly)'!F94-AVERAGE('ONS CVM_SA_(Quarterly)'!F$81:F$84))/AVERAGE('ONS CVM_SA_(Quarterly)'!$B$81:$B$84))</f>
        <v>2.8711158292241179</v>
      </c>
      <c r="AT18" s="4">
        <f>100*(('ONS CVM_SA_(Quarterly)'!B94-AVERAGE('ONS CVM_SA_(Quarterly)'!B$81:B$84))/AVERAGE('ONS CVM_SA_(Quarterly)'!$B$81:$B$84))</f>
        <v>0.7783535856533349</v>
      </c>
      <c r="AV18" s="36">
        <v>43862</v>
      </c>
      <c r="AW18" s="21">
        <f>HAVERM!D249</f>
        <v>0.75</v>
      </c>
      <c r="AX18" s="21">
        <f>HAVERM!B249</f>
        <v>3.3</v>
      </c>
      <c r="AY18" s="21">
        <f>HAVERM!C249</f>
        <v>2.37</v>
      </c>
      <c r="BA18" s="36">
        <v>44927</v>
      </c>
      <c r="BB18" s="21">
        <f t="shared" ref="BB18:BC18" si="48">AX53-AX$39</f>
        <v>2.5999999999999996</v>
      </c>
      <c r="BC18" s="21">
        <f t="shared" si="48"/>
        <v>0.5299999999999998</v>
      </c>
      <c r="BD18" s="3">
        <v>1000</v>
      </c>
      <c r="BE18" s="3"/>
      <c r="BF18" s="21">
        <v>0</v>
      </c>
      <c r="BJ18" s="4">
        <f>100*(HAVERQ!B134/HAVERQ!B$128)</f>
        <v>93.536471271413362</v>
      </c>
      <c r="BK18" s="4">
        <f>100*(HAVERQ!I134/HAVERQ!I$128)</f>
        <v>100.5248500428449</v>
      </c>
      <c r="BL18" s="4">
        <f>100*(HAVERQ!J134/HAVERQ!J$128)</f>
        <v>83.752860411899306</v>
      </c>
      <c r="BM18" s="4">
        <f>100*(HAVERQ!K134/HAVERQ!K$128)</f>
        <v>74.118738404452685</v>
      </c>
      <c r="BN18" s="4">
        <f>100*((HAVERQ!L134+HAVERQ!M134)/(HAVERQ!L$128+HAVERQ!M$128))</f>
        <v>88.36581179321486</v>
      </c>
      <c r="BO18">
        <v>100</v>
      </c>
      <c r="BR18" s="3">
        <f>HAVERQ!I134-HAVERQ!I$128</f>
        <v>49</v>
      </c>
      <c r="BS18" s="3">
        <f>HAVERQ!J134-HAVERQ!J$128</f>
        <v>-1562</v>
      </c>
      <c r="BT18" s="3">
        <f>HAVERQ!K134-HAVERQ!K$128</f>
        <v>-837</v>
      </c>
      <c r="BU18" s="3">
        <f>(HAVERQ!L134+HAVERQ!M134)-(HAVERQ!L$128+HAVERQ!M$128)</f>
        <v>-4609</v>
      </c>
      <c r="BV18" s="3">
        <f>HAVERQ!N134-HAVERQ!N$128</f>
        <v>-57</v>
      </c>
      <c r="BW18" s="3">
        <f>HAVERQ!B134-HAVERQ!B$128</f>
        <v>-4007</v>
      </c>
      <c r="BZ18" s="4">
        <f>100*((HAVERQ!I138-HAVERQ!I$128)/HAVERQ!$B$128)</f>
        <v>1.5082104719811595</v>
      </c>
      <c r="CA18" s="4">
        <f>100*((HAVERQ!J138-HAVERQ!J$128)/HAVERQ!$B$128)</f>
        <v>-3.0825563764235246</v>
      </c>
      <c r="CB18" s="4">
        <f>100*((HAVERQ!K138-HAVERQ!K$128)/HAVERQ!$B$128)</f>
        <v>-1.164628835048553</v>
      </c>
      <c r="CC18" s="4">
        <f>100*(((HAVERQ!L138+HAVERQ!M138)-(HAVERQ!L$128+HAVERQ!M$128))/HAVERQ!$B$128)</f>
        <v>-1.7614607865277285</v>
      </c>
      <c r="CD18" s="4">
        <f t="shared" si="14"/>
        <v>1.8195309223473235</v>
      </c>
      <c r="CE18" s="4">
        <f>100*((HAVERQ!B138-HAVERQ!B$128)/HAVERQ!B$128)</f>
        <v>-2.6809046036713231</v>
      </c>
      <c r="CH18" s="3">
        <f>HAVERQ!I134</f>
        <v>9385</v>
      </c>
      <c r="CI18" s="3">
        <f>HAVERQ!J134</f>
        <v>8052</v>
      </c>
      <c r="CJ18" s="3">
        <f>HAVERQ!K134</f>
        <v>2397</v>
      </c>
      <c r="CK18" s="3">
        <f>HAVERQ!L134+HAVERQ!M134</f>
        <v>35007</v>
      </c>
      <c r="CL18" s="3">
        <f>HAVERQ!N134</f>
        <v>1301</v>
      </c>
      <c r="CO18" s="3">
        <f t="shared" si="15"/>
        <v>334</v>
      </c>
      <c r="CP18" s="3">
        <f t="shared" si="0"/>
        <v>-538</v>
      </c>
      <c r="CQ18" s="3">
        <f t="shared" si="0"/>
        <v>-1446</v>
      </c>
      <c r="CR18" s="3">
        <f t="shared" si="0"/>
        <v>-811</v>
      </c>
      <c r="CS18" s="3">
        <f t="shared" si="16"/>
        <v>-493</v>
      </c>
      <c r="CT18" s="3">
        <f t="shared" si="17"/>
        <v>-560</v>
      </c>
      <c r="CU18" s="3">
        <f t="shared" si="1"/>
        <v>-4609</v>
      </c>
      <c r="CX18" s="3">
        <f>HAVERQ!L134-HAVERQ!L$128</f>
        <v>334</v>
      </c>
      <c r="CY18" s="3">
        <f>HAVERQ!O134-HAVERQ!O$128</f>
        <v>-538</v>
      </c>
      <c r="CZ18" s="3">
        <f>HAVERQ!P134-HAVERQ!P$128</f>
        <v>-1446</v>
      </c>
      <c r="DA18" s="3">
        <f>HAVERQ!Q134-HAVERQ!Q$128</f>
        <v>-811</v>
      </c>
      <c r="DB18" s="3">
        <f>HAVERQ!R134-HAVERQ!R$128</f>
        <v>557</v>
      </c>
      <c r="DC18" s="3">
        <f>HAVERQ!S134-HAVERQ!S$128</f>
        <v>-493</v>
      </c>
      <c r="DD18" s="3">
        <f>HAVERQ!T134-HAVERQ!T$128</f>
        <v>-270</v>
      </c>
      <c r="DE18" s="3">
        <f>HAVERQ!U134-HAVERQ!U$128</f>
        <v>-136</v>
      </c>
      <c r="DF18" s="3">
        <f>HAVERQ!V134-HAVERQ!V$128</f>
        <v>-711</v>
      </c>
      <c r="DG18" s="3">
        <f>(HAVERQ!L134+HAVERQ!M134)-(HAVERQ!L$128+HAVERQ!M$128)</f>
        <v>-4609</v>
      </c>
      <c r="DJ18" s="4">
        <f>100*(HAVERQ!C134/HAVERQ!C$128)</f>
        <v>99.010803665040797</v>
      </c>
      <c r="DK18" s="4">
        <f>100*(HAVERQ!D134/HAVERQ!D$128)</f>
        <v>76.198934280639435</v>
      </c>
      <c r="DL18" s="4">
        <f>100*(HAVERQ!E134/HAVERQ!E$128)</f>
        <v>102.75886994759351</v>
      </c>
      <c r="DM18" s="4">
        <f>100*(HAVERQ!F134/HAVERQ!F$128)</f>
        <v>101.45962365379305</v>
      </c>
      <c r="DN18" s="4">
        <f>100*(HAVERQ!G134/HAVERQ!G$128)</f>
        <v>95.211890696231563</v>
      </c>
      <c r="DO18" s="4">
        <f>100*(HAVERQ!H134/HAVERQ!H$128)</f>
        <v>103.28830362886441</v>
      </c>
      <c r="DP18">
        <v>100</v>
      </c>
      <c r="DS18" s="3">
        <f>HAVERQ!D134-HAVERQ!D$128</f>
        <v>-1072</v>
      </c>
      <c r="DT18" s="3">
        <f>HAVERQ!E134-HAVERQ!E$128</f>
        <v>458</v>
      </c>
      <c r="DU18" s="3">
        <f>HAVERQ!F134-HAVERQ!F$128</f>
        <v>370</v>
      </c>
      <c r="DV18" s="3">
        <f>HAVERQ!G134-HAVERQ!G$128</f>
        <v>-1775</v>
      </c>
      <c r="DW18" s="3">
        <f>HAVERQ!H134-HAVERQ!H$128</f>
        <v>869</v>
      </c>
      <c r="DX18" s="3">
        <f>HAVERQ!C134-HAVERQ!C$128</f>
        <v>-1085</v>
      </c>
      <c r="EA18" s="4">
        <f t="shared" si="29"/>
        <v>-0.42530750383697485</v>
      </c>
      <c r="EB18" s="4">
        <f t="shared" si="30"/>
        <v>0.7680823077751342</v>
      </c>
      <c r="EC18" s="4">
        <f t="shared" si="18"/>
        <v>-0.8039356851451851</v>
      </c>
      <c r="ED18" s="3">
        <v>0</v>
      </c>
      <c r="EF18" s="4">
        <f t="shared" si="31"/>
        <v>0.34277480393815934</v>
      </c>
      <c r="EG18" s="4">
        <f t="shared" si="32"/>
        <v>-9.7312960213203126E-2</v>
      </c>
      <c r="EJ18" s="3">
        <f>'IPNR ex BNFL'!I26</f>
        <v>41670</v>
      </c>
      <c r="EM18" s="4">
        <f t="shared" si="35"/>
        <v>0.34277480393815934</v>
      </c>
      <c r="EN18" s="4">
        <f t="shared" si="36"/>
        <v>-0.42530750383697485</v>
      </c>
      <c r="EO18" s="4">
        <f t="shared" si="37"/>
        <v>-0.2094061807407939</v>
      </c>
      <c r="ER18" s="4">
        <f>(HAVERQ!W60*$EW$2)+(HAVERQ!X60*$EX$2)/($EW$2+$EX$2)</f>
        <v>12.221335338929594</v>
      </c>
      <c r="ES18" s="4">
        <f>(HAVERQ!AB60*$EW$2)+(HAVERQ!AC60*$EY$2)+(HAVERQ!AD60*$EZ$2)+(HAVERQ!AE60*$FA$2)/($EW$2+$EY$2+$EZ$2+$FA$2)</f>
        <v>-12.220656024067154</v>
      </c>
      <c r="ET18" s="21">
        <f>(HAVERQ!Y60*$EW$2)+(HAVERQ!Z60*$EX$2)/($EW$2+$EX$2)</f>
        <v>0.493725233312307</v>
      </c>
      <c r="FC18" s="26">
        <v>43862</v>
      </c>
      <c r="FD18" s="4">
        <f>100*((HAVERM!E249+HAVERM!F249)/(HAVERM!E$249+HAVERM!F$249))</f>
        <v>100</v>
      </c>
      <c r="FE18" s="4">
        <f>100*(HAVERM!E249/HAVERM!E$249)</f>
        <v>100</v>
      </c>
      <c r="FF18" s="4">
        <f>100*(HAVERM!F249/HAVERM!F$249)</f>
        <v>100</v>
      </c>
      <c r="FG18">
        <v>100</v>
      </c>
      <c r="FV18" s="26">
        <v>42736</v>
      </c>
      <c r="FW18" s="3">
        <f>HAVERM!G212</f>
        <v>364162</v>
      </c>
      <c r="FX18" s="4"/>
      <c r="FY18" s="3">
        <f t="shared" si="19"/>
        <v>1690</v>
      </c>
      <c r="GD18" s="4">
        <f>100*(DataQ!W168/DataQ!W$194)</f>
        <v>82.705542142247722</v>
      </c>
      <c r="GE18" s="4">
        <f>100*(DataQ!X168/DataQ!X$194)</f>
        <v>81.600614776594583</v>
      </c>
      <c r="GF18" s="4">
        <f>100*(DataQ!C168/DataQ!C$194)</f>
        <v>79.86256734522695</v>
      </c>
      <c r="GG18" s="4"/>
      <c r="GH18">
        <v>100</v>
      </c>
      <c r="GK18" s="4">
        <f>100*(DataQ!Z148/AVERAGE(DataQ!$Z$203:$Z$206))</f>
        <v>82.210260295991972</v>
      </c>
      <c r="GL18" s="4">
        <f>100*(DataQ!C148/AVERAGE(DataQ!$C$203:$C$206))</f>
        <v>85.207001712829509</v>
      </c>
      <c r="GM18" s="4">
        <v>100</v>
      </c>
      <c r="GP18" s="4">
        <f>100*(DataQ!Z148/DataQ!$Z$194)</f>
        <v>81.903548426509346</v>
      </c>
      <c r="GQ18" s="4">
        <f>100*(DataQ!C148/DataQ!$C$194)</f>
        <v>82.249895151143662</v>
      </c>
      <c r="GR18" s="4">
        <v>100</v>
      </c>
      <c r="GT18" s="4"/>
      <c r="GU18" s="31">
        <f t="shared" si="20"/>
        <v>93.536471271413362</v>
      </c>
      <c r="GV18" s="31">
        <f t="shared" si="21"/>
        <v>94.75415828916104</v>
      </c>
      <c r="GW18" s="4">
        <f t="shared" si="9"/>
        <v>8.3803612396672236</v>
      </c>
      <c r="GX18" s="4">
        <v>100</v>
      </c>
      <c r="GY18" s="31">
        <f t="shared" si="22"/>
        <v>103.13451952882826</v>
      </c>
      <c r="GZ18" s="4"/>
      <c r="HB18" s="4">
        <f>100*(DataQ!C200/DataQ!C$194)</f>
        <v>93.536471271413362</v>
      </c>
      <c r="HC18" s="4">
        <f>100*(DataQ!Q200/DataQ!Q$194)</f>
        <v>101.04703228630105</v>
      </c>
      <c r="HD18" s="4">
        <f>100*(DataQ!R200/DataQ!R$194)</f>
        <v>102.43509294448612</v>
      </c>
      <c r="HE18" s="4">
        <f>100*(DataQ!S200/DataQ!S$194)</f>
        <v>94.75415828916104</v>
      </c>
      <c r="HF18" s="4">
        <f>100*(DataQ!T200/DataQ!T$194)</f>
        <v>103.13451952882826</v>
      </c>
      <c r="HG18" s="4">
        <f>100*(DataQ!U200/DataQ!U$194)</f>
        <v>98.330492790844787</v>
      </c>
      <c r="HH18" s="4">
        <f>100*(DataQ!V200/DataQ!V$194)</f>
        <v>99.235581917230334</v>
      </c>
      <c r="HJ18" s="4"/>
      <c r="HK18" s="31">
        <f t="shared" si="23"/>
        <v>93.536471271413362</v>
      </c>
      <c r="HL18" s="31">
        <f t="shared" si="24"/>
        <v>94.75415828916104</v>
      </c>
      <c r="HM18" s="4">
        <f t="shared" si="10"/>
        <v>8.3803612396672236</v>
      </c>
      <c r="HN18" s="4">
        <v>100</v>
      </c>
      <c r="HO18" s="31">
        <f t="shared" si="25"/>
        <v>103.13451952882826</v>
      </c>
      <c r="HP18" s="4"/>
      <c r="HR18" s="4">
        <f>100*(DataQ!C200/DataQ!C$194)</f>
        <v>93.536471271413362</v>
      </c>
      <c r="HS18" s="4">
        <f>100*(DataQ!Q200/DataQ!Q$194)</f>
        <v>101.04703228630105</v>
      </c>
      <c r="HT18" s="4">
        <f>100*(DataQ!R200/DataQ!R$194)</f>
        <v>102.43509294448612</v>
      </c>
      <c r="HU18" s="4">
        <f>100*(DataQ!S200/DataQ!S$194)</f>
        <v>94.75415828916104</v>
      </c>
      <c r="HV18" s="4">
        <f>100*(DataQ!T200/DataQ!T$194)</f>
        <v>103.13451952882826</v>
      </c>
      <c r="HW18" s="4">
        <f>100*(DataQ!U200/DataQ!U$194)</f>
        <v>98.330492790844787</v>
      </c>
      <c r="HX18" s="4">
        <f>100*(DataQ!V200/DataQ!V$194)</f>
        <v>99.235581917230334</v>
      </c>
      <c r="HZ18" s="22">
        <v>2003</v>
      </c>
      <c r="IA18">
        <f>DataA!J37/'Chart Data'!IF18</f>
        <v>2.5367095196111653</v>
      </c>
      <c r="IB18">
        <f t="shared" si="26"/>
        <v>2.4599787218182665</v>
      </c>
      <c r="IC18" s="4">
        <f t="shared" si="27"/>
        <v>3.1191651014031541</v>
      </c>
      <c r="IF18" s="3">
        <f>DataA!K37*DataA!L37</f>
        <v>907313.1875</v>
      </c>
      <c r="IR18">
        <f>HAVERQ!AH89</f>
        <v>-0.7</v>
      </c>
      <c r="IS18" s="4">
        <f>100*(('IPNR ex BNFL'!I58/'IPNR ex BNFL'!I54)-1)</f>
        <v>-4.6480906133028466E-2</v>
      </c>
      <c r="IT18">
        <v>0</v>
      </c>
    </row>
    <row r="19" spans="1:254" x14ac:dyDescent="0.25">
      <c r="B19" s="4">
        <f>100*((DataQ!C89/DataQ!C85)-1)</f>
        <v>-5.3681001695879189</v>
      </c>
      <c r="C19" s="4">
        <f t="shared" si="11"/>
        <v>12.961493199047593</v>
      </c>
      <c r="D19" s="4">
        <v>0</v>
      </c>
      <c r="G19" s="4">
        <f>100*((AVERAGE(DataQ!C86:C89)/AVERAGE(DataQ!C82:C85))-1)</f>
        <v>-5.3535610210721396</v>
      </c>
      <c r="H19" s="4">
        <f t="shared" si="39"/>
        <v>13.06709318724525</v>
      </c>
      <c r="I19" s="4">
        <v>0</v>
      </c>
      <c r="K19" s="4">
        <f t="shared" si="12"/>
        <v>12.961493199047593</v>
      </c>
      <c r="L19" s="4">
        <f>100*(HAVERQ!AF23/HAVERQ!AI23)</f>
        <v>12.961493199047593</v>
      </c>
      <c r="O19" s="4">
        <f>100*('ONS CVM_SA_(Quarterly)'!B103/'ONS CVM_SA_(Quarterly)'!B$101)</f>
        <v>105.8891283346957</v>
      </c>
      <c r="P19" s="4">
        <f>100*('ONS CVM_SA_(Quarterly)'!D103/'ONS CVM_SA_(Quarterly)'!D$101)</f>
        <v>105.23132254373057</v>
      </c>
      <c r="Q19">
        <v>1000</v>
      </c>
      <c r="R19">
        <v>100</v>
      </c>
      <c r="AI19" s="4">
        <f>100*(('ONS CVM_SA_(Quarterly)'!C107-'ONS CVM_SA_(Quarterly)'!C$96)/'ONS CVM_SA_(Quarterly)'!$B$96)</f>
        <v>3.0938477917217795</v>
      </c>
      <c r="AJ19" s="4">
        <f>100*(('ONS CVM_SA_(Quarterly)'!D107-'ONS CVM_SA_(Quarterly)'!D$96)/'ONS CVM_SA_(Quarterly)'!$B$96)</f>
        <v>2.508307255540859</v>
      </c>
      <c r="AK19" s="4">
        <f>100*(('ONS CVM_SA_(Quarterly)'!E107-'ONS CVM_SA_(Quarterly)'!E$96)/'ONS CVM_SA_(Quarterly)'!$B$96)</f>
        <v>-5.5118237248766011</v>
      </c>
      <c r="AL19" s="4">
        <f>100*(('ONS CVM_SA_(Quarterly)'!F107-'ONS CVM_SA_(Quarterly)'!F$96)/'ONS CVM_SA_(Quarterly)'!$B$96)</f>
        <v>-1.5291802432493466</v>
      </c>
      <c r="AM19" s="4">
        <f>100*(('ONS CVM_SA_(Quarterly)'!B107-'ONS CVM_SA_(Quarterly)'!B$96)/'ONS CVM_SA_(Quarterly)'!$B$96)</f>
        <v>-1.7856566764525601</v>
      </c>
      <c r="AP19" s="4">
        <f>100*(('ONS CVM_SA_(Quarterly)'!C95-AVERAGE('ONS CVM_SA_(Quarterly)'!C$81:C$84))/AVERAGE('ONS CVM_SA_(Quarterly)'!$B$81:$B$84))</f>
        <v>-2.953772847169605</v>
      </c>
      <c r="AQ19" s="4">
        <f>100*(('ONS CVM_SA_(Quarterly)'!D95-AVERAGE('ONS CVM_SA_(Quarterly)'!D$81:D$84))/AVERAGE('ONS CVM_SA_(Quarterly)'!$B$81:$B$84))</f>
        <v>-1.2613298865897091</v>
      </c>
      <c r="AR19" s="4">
        <f>100*(('ONS CVM_SA_(Quarterly)'!E95-AVERAGE('ONS CVM_SA_(Quarterly)'!E$81:E$84))/AVERAGE('ONS CVM_SA_(Quarterly)'!$B$81:$B$84))</f>
        <v>0.62195354189373708</v>
      </c>
      <c r="AS19" s="4">
        <f>100*(('ONS CVM_SA_(Quarterly)'!F95-AVERAGE('ONS CVM_SA_(Quarterly)'!F$81:F$84))/AVERAGE('ONS CVM_SA_(Quarterly)'!$B$81:$B$84))</f>
        <v>3.597201006470748</v>
      </c>
      <c r="AT19" s="4">
        <f>100*(('ONS CVM_SA_(Quarterly)'!B95-AVERAGE('ONS CVM_SA_(Quarterly)'!B$81:B$84))/AVERAGE('ONS CVM_SA_(Quarterly)'!$B$81:$B$84))</f>
        <v>0.37479285097831067</v>
      </c>
      <c r="AV19" s="36">
        <v>43891</v>
      </c>
      <c r="AW19" s="21">
        <f>HAVERM!D250</f>
        <v>0.34772727272727261</v>
      </c>
      <c r="AX19" s="21">
        <f>HAVERM!B250</f>
        <v>3.21</v>
      </c>
      <c r="AY19" s="21">
        <f>HAVERM!C250</f>
        <v>2.33</v>
      </c>
      <c r="BA19" s="36">
        <v>44958</v>
      </c>
      <c r="BB19" s="21">
        <f t="shared" ref="BB19:BC19" si="49">AX54-AX$39</f>
        <v>2.95</v>
      </c>
      <c r="BC19" s="21">
        <f t="shared" si="49"/>
        <v>0.62999999999999989</v>
      </c>
      <c r="BD19" s="3">
        <v>1000</v>
      </c>
      <c r="BE19" s="3"/>
      <c r="BF19" s="21">
        <v>0</v>
      </c>
      <c r="BJ19" s="4">
        <f>100*(HAVERQ!B135/HAVERQ!B$128)</f>
        <v>91.94115559570281</v>
      </c>
      <c r="BK19" s="4">
        <f>100*(HAVERQ!I135/HAVERQ!I$128)</f>
        <v>102.52784918594686</v>
      </c>
      <c r="BL19" s="4">
        <f>100*(HAVERQ!J135/HAVERQ!J$128)</f>
        <v>82.10942375702102</v>
      </c>
      <c r="BM19" s="4">
        <f>100*(HAVERQ!K135/HAVERQ!K$128)</f>
        <v>80.055658627087197</v>
      </c>
      <c r="BN19" s="4">
        <f>100*((HAVERQ!L135+HAVERQ!M135)/(HAVERQ!L$128+HAVERQ!M$128))</f>
        <v>90.594709208400644</v>
      </c>
      <c r="BO19">
        <v>100</v>
      </c>
      <c r="BR19" s="3">
        <f>HAVERQ!I135-HAVERQ!I$128</f>
        <v>236</v>
      </c>
      <c r="BS19" s="3">
        <f>HAVERQ!J135-HAVERQ!J$128</f>
        <v>-1720</v>
      </c>
      <c r="BT19" s="3">
        <f>HAVERQ!K135-HAVERQ!K$128</f>
        <v>-645</v>
      </c>
      <c r="BU19" s="3">
        <f>(HAVERQ!L135+HAVERQ!M135)-(HAVERQ!L$128+HAVERQ!M$128)</f>
        <v>-3726</v>
      </c>
      <c r="BV19" s="3">
        <f>HAVERQ!N135-HAVERQ!N$128</f>
        <v>-41</v>
      </c>
      <c r="BW19" s="3">
        <f>HAVERQ!B135-HAVERQ!B$128</f>
        <v>-4996</v>
      </c>
      <c r="BZ19" s="4">
        <f>100*((HAVERQ!I139-HAVERQ!I$128)/HAVERQ!$B$128)</f>
        <v>1.2823821660160661</v>
      </c>
      <c r="CA19" s="4">
        <f>100*((HAVERQ!J139-HAVERQ!J$128)/HAVERQ!$B$128)</f>
        <v>-2.0695551182372487</v>
      </c>
      <c r="CB19" s="4">
        <f>100*((HAVERQ!K139-HAVERQ!K$128)/HAVERQ!$B$128)</f>
        <v>-0.57586218021098812</v>
      </c>
      <c r="CC19" s="4">
        <f>100*(((HAVERQ!L139+HAVERQ!M139)-(HAVERQ!L$128+HAVERQ!M$128))/HAVERQ!$B$128)</f>
        <v>-2.277639771590799</v>
      </c>
      <c r="CD19" s="4">
        <f t="shared" si="14"/>
        <v>1.8550182275704099</v>
      </c>
      <c r="CE19" s="4">
        <f>100*((HAVERQ!B139-HAVERQ!B$128)/HAVERQ!B$128)</f>
        <v>-1.7856566764525601</v>
      </c>
      <c r="CH19" s="3">
        <f>HAVERQ!I135</f>
        <v>9572</v>
      </c>
      <c r="CI19" s="3">
        <f>HAVERQ!J135</f>
        <v>7894</v>
      </c>
      <c r="CJ19" s="3">
        <f>HAVERQ!K135</f>
        <v>2589</v>
      </c>
      <c r="CK19" s="3">
        <f>HAVERQ!L135+HAVERQ!M135</f>
        <v>35890</v>
      </c>
      <c r="CL19" s="3">
        <f>HAVERQ!N135</f>
        <v>1317</v>
      </c>
      <c r="CO19" s="3">
        <f t="shared" si="15"/>
        <v>601</v>
      </c>
      <c r="CP19" s="3">
        <f t="shared" si="0"/>
        <v>-569</v>
      </c>
      <c r="CQ19" s="3">
        <f t="shared" si="0"/>
        <v>-1237</v>
      </c>
      <c r="CR19" s="3">
        <f t="shared" si="0"/>
        <v>-585</v>
      </c>
      <c r="CS19" s="3">
        <f t="shared" si="16"/>
        <v>-323</v>
      </c>
      <c r="CT19" s="3">
        <f t="shared" si="17"/>
        <v>-473</v>
      </c>
      <c r="CU19" s="3">
        <f t="shared" si="1"/>
        <v>-3726</v>
      </c>
      <c r="CX19" s="3">
        <f>HAVERQ!L135-HAVERQ!L$128</f>
        <v>601</v>
      </c>
      <c r="CY19" s="3">
        <f>HAVERQ!O135-HAVERQ!O$128</f>
        <v>-569</v>
      </c>
      <c r="CZ19" s="3">
        <f>HAVERQ!P135-HAVERQ!P$128</f>
        <v>-1237</v>
      </c>
      <c r="DA19" s="3">
        <f>HAVERQ!Q135-HAVERQ!Q$128</f>
        <v>-585</v>
      </c>
      <c r="DB19" s="3">
        <f>HAVERQ!R135-HAVERQ!R$128</f>
        <v>467</v>
      </c>
      <c r="DC19" s="3">
        <f>HAVERQ!S135-HAVERQ!S$128</f>
        <v>-323</v>
      </c>
      <c r="DD19" s="3">
        <f>HAVERQ!T135-HAVERQ!T$128</f>
        <v>-256</v>
      </c>
      <c r="DE19" s="3">
        <f>HAVERQ!U135-HAVERQ!U$128</f>
        <v>-164</v>
      </c>
      <c r="DF19" s="3">
        <f>HAVERQ!V135-HAVERQ!V$128</f>
        <v>-520</v>
      </c>
      <c r="DG19" s="3">
        <f>(HAVERQ!L135+HAVERQ!M135)-(HAVERQ!L$128+HAVERQ!M$128)</f>
        <v>-3726</v>
      </c>
      <c r="DJ19" s="4">
        <f>100*(HAVERQ!C135/HAVERQ!C$128)</f>
        <v>98.629712358116421</v>
      </c>
      <c r="DK19" s="4">
        <f>100*(HAVERQ!D135/HAVERQ!D$128)</f>
        <v>93.983126110124331</v>
      </c>
      <c r="DL19" s="4">
        <f>100*(HAVERQ!E135/HAVERQ!E$128)</f>
        <v>106.73453406421301</v>
      </c>
      <c r="DM19" s="4">
        <f>100*(HAVERQ!F135/HAVERQ!F$128)</f>
        <v>101.79494260128605</v>
      </c>
      <c r="DN19" s="4">
        <f>100*(HAVERQ!G135/HAVERQ!G$128)</f>
        <v>93.749831404601977</v>
      </c>
      <c r="DO19" s="4">
        <f>100*(HAVERQ!H135/HAVERQ!H$128)</f>
        <v>97.763650811669876</v>
      </c>
      <c r="DP19">
        <v>100</v>
      </c>
      <c r="DS19" s="3">
        <f>HAVERQ!D135-HAVERQ!D$128</f>
        <v>-271</v>
      </c>
      <c r="DT19" s="3">
        <f>HAVERQ!E135-HAVERQ!E$128</f>
        <v>1118</v>
      </c>
      <c r="DU19" s="3">
        <f>HAVERQ!F135-HAVERQ!F$128</f>
        <v>455</v>
      </c>
      <c r="DV19" s="3">
        <f>HAVERQ!G135-HAVERQ!G$128</f>
        <v>-2317</v>
      </c>
      <c r="DW19" s="3">
        <f>HAVERQ!H135-HAVERQ!H$128</f>
        <v>-591</v>
      </c>
      <c r="DX19" s="3">
        <f>HAVERQ!C135-HAVERQ!C$128</f>
        <v>-1503</v>
      </c>
      <c r="EA19" s="4">
        <f t="shared" si="29"/>
        <v>-0.45725568841905578</v>
      </c>
      <c r="EB19" s="4">
        <f t="shared" si="30"/>
        <v>7.6143914645878219E-2</v>
      </c>
      <c r="EC19" s="4">
        <f t="shared" si="18"/>
        <v>-3.6258586961466777</v>
      </c>
      <c r="ED19" s="3">
        <v>0</v>
      </c>
      <c r="EF19" s="4">
        <f t="shared" si="31"/>
        <v>-0.38111177377317756</v>
      </c>
      <c r="EG19" s="4">
        <f t="shared" si="32"/>
        <v>-0.41109185896013006</v>
      </c>
      <c r="EJ19" s="3">
        <f>'IPNR ex BNFL'!I27</f>
        <v>43962</v>
      </c>
      <c r="EL19">
        <v>2003</v>
      </c>
      <c r="EM19" s="4">
        <f t="shared" si="35"/>
        <v>-0.45725568841905578</v>
      </c>
      <c r="EN19" s="4">
        <f t="shared" si="36"/>
        <v>-0.3949081146881569</v>
      </c>
      <c r="EO19" s="4">
        <f t="shared" si="37"/>
        <v>-0.38111177377317756</v>
      </c>
      <c r="EQ19">
        <v>2003</v>
      </c>
      <c r="ER19" s="4">
        <f>(HAVERQ!W61*$EW$2)+(HAVERQ!X61*$EX$2)/($EW$2+$EX$2)</f>
        <v>2.844267067785919</v>
      </c>
      <c r="ES19" s="4">
        <f>(HAVERQ!AB61*$EW$2)+(HAVERQ!AC61*$EY$2)+(HAVERQ!AD61*$EZ$2)+(HAVERQ!AE61*$FA$2)/($EW$2+$EY$2+$EZ$2+$FA$2)</f>
        <v>-11.792881750691445</v>
      </c>
      <c r="ET19" s="21">
        <f>(HAVERQ!Y61*$EW$2)+(HAVERQ!Z61*$EX$2)/($EW$2+$EX$2)</f>
        <v>0.22405421579568785</v>
      </c>
      <c r="FC19" s="26">
        <v>43891</v>
      </c>
      <c r="FD19" s="4">
        <f>100*((HAVERM!E250+HAVERM!F250)/(HAVERM!E$249+HAVERM!F$249))</f>
        <v>107.71465549848929</v>
      </c>
      <c r="FE19" s="4">
        <f>100*(HAVERM!E250/HAVERM!E$249)</f>
        <v>101.42710142131325</v>
      </c>
      <c r="FF19" s="4">
        <f>100*(HAVERM!F250/HAVERM!F$249)</f>
        <v>111.16467167297159</v>
      </c>
      <c r="FG19">
        <v>100</v>
      </c>
      <c r="FV19" s="26">
        <v>42767</v>
      </c>
      <c r="FW19" s="3">
        <f>HAVERM!G213</f>
        <v>366516</v>
      </c>
      <c r="FX19" s="4"/>
      <c r="FY19" s="3">
        <f t="shared" si="19"/>
        <v>2354</v>
      </c>
      <c r="GD19" s="4">
        <f>100*(DataQ!W169/DataQ!W$194)</f>
        <v>84.461502731315036</v>
      </c>
      <c r="GE19" s="4">
        <f>100*(DataQ!X169/DataQ!X$194)</f>
        <v>83.232700259816298</v>
      </c>
      <c r="GF19" s="4">
        <f>100*(DataQ!C169/DataQ!C$194)</f>
        <v>82.657999161209148</v>
      </c>
      <c r="GG19" s="4"/>
      <c r="GH19">
        <v>100</v>
      </c>
      <c r="GK19" s="4">
        <f>100*(DataQ!Z149/AVERAGE(DataQ!$Z$203:$Z$206))</f>
        <v>79.097044898102197</v>
      </c>
      <c r="GL19" s="4">
        <f>100*(DataQ!C149/AVERAGE(DataQ!$C$203:$C$206))</f>
        <v>81.968500647533105</v>
      </c>
      <c r="GM19" s="4">
        <v>100</v>
      </c>
      <c r="GP19" s="4">
        <f>100*(DataQ!Z149/DataQ!$Z$194)</f>
        <v>78.801947881940208</v>
      </c>
      <c r="GQ19" s="4">
        <f>100*(DataQ!C149/DataQ!$C$194)</f>
        <v>79.123786172855432</v>
      </c>
      <c r="GR19" s="4">
        <v>100</v>
      </c>
      <c r="GT19" s="4"/>
      <c r="GU19" s="31">
        <f t="shared" si="20"/>
        <v>91.94115559570281</v>
      </c>
      <c r="GV19" s="31">
        <f t="shared" si="21"/>
        <v>91.957594589654548</v>
      </c>
      <c r="GW19" s="4">
        <f t="shared" si="9"/>
        <v>10.558214461802365</v>
      </c>
      <c r="GX19" s="4">
        <v>100</v>
      </c>
      <c r="GY19" s="31">
        <f t="shared" si="22"/>
        <v>102.51580905145691</v>
      </c>
      <c r="GZ19" s="4"/>
      <c r="HB19" s="4">
        <f>100*(DataQ!C201/DataQ!C$194)</f>
        <v>91.94115559570281</v>
      </c>
      <c r="HC19" s="4">
        <f>100*(DataQ!Q201/DataQ!Q$194)</f>
        <v>100.60263273070058</v>
      </c>
      <c r="HD19" s="4">
        <f>100*(DataQ!R201/DataQ!R$194)</f>
        <v>100.98803397984348</v>
      </c>
      <c r="HE19" s="4">
        <f>100*(DataQ!S201/DataQ!S$194)</f>
        <v>91.957594589654548</v>
      </c>
      <c r="HF19" s="4">
        <f>100*(DataQ!T201/DataQ!T$194)</f>
        <v>102.51580905145691</v>
      </c>
      <c r="HG19" s="4">
        <f>100*(DataQ!U201/DataQ!U$194)</f>
        <v>100.32298384431624</v>
      </c>
      <c r="HH19" s="4">
        <f>100*(DataQ!V201/DataQ!V$194)</f>
        <v>99.816428645061023</v>
      </c>
      <c r="HJ19" s="4"/>
      <c r="HK19" s="31">
        <f t="shared" si="23"/>
        <v>91.94115559570281</v>
      </c>
      <c r="HL19" s="31">
        <f t="shared" si="24"/>
        <v>91.957594589654548</v>
      </c>
      <c r="HM19" s="4">
        <f t="shared" si="10"/>
        <v>10.558214461802365</v>
      </c>
      <c r="HN19" s="4">
        <v>100</v>
      </c>
      <c r="HO19" s="31">
        <f t="shared" si="25"/>
        <v>102.51580905145691</v>
      </c>
      <c r="HP19" s="4"/>
      <c r="HR19" s="4">
        <f>100*(DataQ!C201/DataQ!C$194)</f>
        <v>91.94115559570281</v>
      </c>
      <c r="HS19" s="4">
        <f>100*(DataQ!Q201/DataQ!Q$194)</f>
        <v>100.60263273070058</v>
      </c>
      <c r="HT19" s="4">
        <f>100*(DataQ!R201/DataQ!R$194)</f>
        <v>100.98803397984348</v>
      </c>
      <c r="HU19" s="4">
        <f>100*(DataQ!S201/DataQ!S$194)</f>
        <v>91.957594589654548</v>
      </c>
      <c r="HV19" s="4">
        <f>100*(DataQ!T201/DataQ!T$194)</f>
        <v>102.51580905145691</v>
      </c>
      <c r="HW19" s="4">
        <f>100*(DataQ!U201/DataQ!U$194)</f>
        <v>100.32298384431624</v>
      </c>
      <c r="HX19" s="4">
        <f>100*(DataQ!V201/DataQ!V$194)</f>
        <v>99.816428645061023</v>
      </c>
      <c r="HZ19" s="22">
        <v>2004</v>
      </c>
      <c r="IA19">
        <f>DataA!J38/'Chart Data'!IF19</f>
        <v>2.5780621183646915</v>
      </c>
      <c r="IB19">
        <f t="shared" si="26"/>
        <v>2.52532980014049</v>
      </c>
      <c r="IC19" s="4">
        <f t="shared" si="27"/>
        <v>2.0881359029330637</v>
      </c>
      <c r="IF19" s="3">
        <f>DataA!K38*DataA!L38</f>
        <v>915099.75000000012</v>
      </c>
      <c r="IR19">
        <f>HAVERQ!AH90</f>
        <v>0.7</v>
      </c>
      <c r="IS19" s="4">
        <f>100*(('IPNR ex BNFL'!I59/'IPNR ex BNFL'!I55)-1)</f>
        <v>6.8012406823753091</v>
      </c>
      <c r="IT19">
        <v>0</v>
      </c>
    </row>
    <row r="20" spans="1:254" x14ac:dyDescent="0.25">
      <c r="B20" s="4">
        <f>100*((DataQ!C90/DataQ!C86)-1)</f>
        <v>0.98959788110644098</v>
      </c>
      <c r="C20" s="4">
        <f t="shared" si="11"/>
        <v>12.1264804954906</v>
      </c>
      <c r="D20" s="4">
        <v>0</v>
      </c>
      <c r="G20" s="4">
        <f>100*((AVERAGE(DataQ!C87:C90)/AVERAGE(DataQ!C83:C86))-1)</f>
        <v>-3.6320611235569511</v>
      </c>
      <c r="H20" s="4">
        <f t="shared" si="39"/>
        <v>12.651824085017747</v>
      </c>
      <c r="I20" s="4">
        <v>0</v>
      </c>
      <c r="K20" s="4">
        <f t="shared" si="12"/>
        <v>12.1264804954906</v>
      </c>
      <c r="L20" s="4">
        <f>100*(HAVERQ!AF24/HAVERQ!AI24)</f>
        <v>12.1264804954906</v>
      </c>
      <c r="O20" s="4">
        <f>100*('ONS CVM_SA_(Quarterly)'!B104/'ONS CVM_SA_(Quarterly)'!B$101)</f>
        <v>106.22352678903172</v>
      </c>
      <c r="P20" s="4">
        <f>100*('ONS CVM_SA_(Quarterly)'!D104/'ONS CVM_SA_(Quarterly)'!D$101)</f>
        <v>100.76017655713585</v>
      </c>
      <c r="Q20">
        <v>1000</v>
      </c>
      <c r="R20">
        <v>100</v>
      </c>
      <c r="AI20" s="4">
        <f>100*(('ONS CVM_SA_(Quarterly)'!C108-'ONS CVM_SA_(Quarterly)'!C$96)/'ONS CVM_SA_(Quarterly)'!$B$96)</f>
        <v>4.0600703293867149</v>
      </c>
      <c r="AJ20" s="4">
        <f>100*(('ONS CVM_SA_(Quarterly)'!D108-'ONS CVM_SA_(Quarterly)'!D$96)/'ONS CVM_SA_(Quarterly)'!$B$96)</f>
        <v>0.73232893505823138</v>
      </c>
      <c r="AK20" s="4">
        <f>100*(('ONS CVM_SA_(Quarterly)'!E108-'ONS CVM_SA_(Quarterly)'!E$96)/'ONS CVM_SA_(Quarterly)'!$B$96)</f>
        <v>-7.0151950188727943</v>
      </c>
      <c r="AL20" s="4">
        <f>100*(('ONS CVM_SA_(Quarterly)'!F108-'ONS CVM_SA_(Quarterly)'!F$96)/'ONS CVM_SA_(Quarterly)'!$B$96)</f>
        <v>-1.8598574055553763</v>
      </c>
      <c r="AM20" s="4">
        <f>100*(('ONS CVM_SA_(Quarterly)'!B108-'ONS CVM_SA_(Quarterly)'!B$96)/'ONS CVM_SA_(Quarterly)'!$B$96)</f>
        <v>-4.4294609155724745</v>
      </c>
      <c r="AP20" s="4">
        <f>100*(('ONS CVM_SA_(Quarterly)'!C96-AVERAGE('ONS CVM_SA_(Quarterly)'!C$81:C$84))/AVERAGE('ONS CVM_SA_(Quarterly)'!$B$81:$B$84))</f>
        <v>-4.1644550511946772</v>
      </c>
      <c r="AQ20" s="4">
        <f>100*(('ONS CVM_SA_(Quarterly)'!D96-AVERAGE('ONS CVM_SA_(Quarterly)'!D$81:D$84))/AVERAGE('ONS CVM_SA_(Quarterly)'!$B$81:$B$84))</f>
        <v>-1.2986065809572818</v>
      </c>
      <c r="AR20" s="4">
        <f>100*(('ONS CVM_SA_(Quarterly)'!E96-AVERAGE('ONS CVM_SA_(Quarterly)'!E$81:E$84))/AVERAGE('ONS CVM_SA_(Quarterly)'!$B$81:$B$84))</f>
        <v>1.443661543822401</v>
      </c>
      <c r="AS20" s="4">
        <f>100*(('ONS CVM_SA_(Quarterly)'!F96-AVERAGE('ONS CVM_SA_(Quarterly)'!F$81:F$84))/AVERAGE('ONS CVM_SA_(Quarterly)'!$B$81:$B$84))</f>
        <v>3.9602435950940631</v>
      </c>
      <c r="AT20" s="4">
        <f>100*(('ONS CVM_SA_(Quarterly)'!B96-AVERAGE('ONS CVM_SA_(Quarterly)'!B$81:B$84))/AVERAGE('ONS CVM_SA_(Quarterly)'!$B$81:$B$84))</f>
        <v>0.47527785318654964</v>
      </c>
      <c r="AV20" s="36">
        <v>43922</v>
      </c>
      <c r="AW20" s="21">
        <f>HAVERM!D251</f>
        <v>0.10000000000000003</v>
      </c>
      <c r="AX20" s="21">
        <f>HAVERM!B251</f>
        <v>2.98</v>
      </c>
      <c r="AY20" s="21">
        <f>HAVERM!C251</f>
        <v>2.21</v>
      </c>
      <c r="BA20" s="36">
        <v>44986</v>
      </c>
      <c r="BB20" s="21">
        <f t="shared" ref="BB20:BC20" si="50">AX55-AX$39</f>
        <v>3.09</v>
      </c>
      <c r="BC20" s="21">
        <f t="shared" si="50"/>
        <v>0.73</v>
      </c>
      <c r="BD20" s="3">
        <v>1000</v>
      </c>
      <c r="BE20" s="3"/>
      <c r="BF20" s="21">
        <v>0</v>
      </c>
      <c r="BJ20" s="4">
        <f>100*(HAVERQ!B136/HAVERQ!B$128)</f>
        <v>92.231506274800793</v>
      </c>
      <c r="BK20" s="4">
        <f>100*(HAVERQ!I136/HAVERQ!I$128)</f>
        <v>104.33804627249357</v>
      </c>
      <c r="BL20" s="4">
        <f>100*(HAVERQ!J136/HAVERQ!J$128)</f>
        <v>82.931142084460163</v>
      </c>
      <c r="BM20" s="4">
        <f>100*(HAVERQ!K136/HAVERQ!K$128)</f>
        <v>69.72789115646259</v>
      </c>
      <c r="BN20" s="4">
        <f>100*((HAVERQ!L136+HAVERQ!M136)/(HAVERQ!L$128+HAVERQ!M$128))</f>
        <v>90.458400646203557</v>
      </c>
      <c r="BO20">
        <v>100</v>
      </c>
      <c r="BR20" s="3">
        <f>HAVERQ!I136-HAVERQ!I$128</f>
        <v>405</v>
      </c>
      <c r="BS20" s="3">
        <f>HAVERQ!J136-HAVERQ!J$128</f>
        <v>-1641</v>
      </c>
      <c r="BT20" s="3">
        <f>HAVERQ!K136-HAVERQ!K$128</f>
        <v>-979</v>
      </c>
      <c r="BU20" s="3">
        <f>(HAVERQ!L136+HAVERQ!M136)-(HAVERQ!L$128+HAVERQ!M$128)</f>
        <v>-3780</v>
      </c>
      <c r="BV20" s="3">
        <f>HAVERQ!N136-HAVERQ!N$128</f>
        <v>-78</v>
      </c>
      <c r="BW20" s="3">
        <f>HAVERQ!B136-HAVERQ!B$128</f>
        <v>-4816</v>
      </c>
      <c r="BZ20" s="4">
        <f>100*((HAVERQ!I140-HAVERQ!I$128)/HAVERQ!$B$128)</f>
        <v>1.2597993354195567</v>
      </c>
      <c r="CA20" s="4">
        <f>100*((HAVERQ!J140-HAVERQ!J$128)/HAVERQ!$B$128)</f>
        <v>-2.0872987708487916</v>
      </c>
      <c r="CB20" s="4">
        <f>100*((HAVERQ!K140-HAVERQ!K$128)/HAVERQ!$B$128)</f>
        <v>-0.55166629028615666</v>
      </c>
      <c r="CC20" s="4">
        <f>100*(((HAVERQ!L140+HAVERQ!M140)-(HAVERQ!L$128+HAVERQ!M$128))/HAVERQ!$B$128)</f>
        <v>-4.931122366680647</v>
      </c>
      <c r="CD20" s="4">
        <f t="shared" si="14"/>
        <v>1.8808271768235638</v>
      </c>
      <c r="CE20" s="4">
        <f>100*((HAVERQ!B140-HAVERQ!B$128)/HAVERQ!B$128)</f>
        <v>-4.4294609155724745</v>
      </c>
      <c r="CH20" s="3">
        <f>HAVERQ!I136</f>
        <v>9741</v>
      </c>
      <c r="CI20" s="3">
        <f>HAVERQ!J136</f>
        <v>7973</v>
      </c>
      <c r="CJ20" s="3">
        <f>HAVERQ!K136</f>
        <v>2255</v>
      </c>
      <c r="CK20" s="3">
        <f>HAVERQ!L136+HAVERQ!M136</f>
        <v>35836</v>
      </c>
      <c r="CL20" s="3">
        <f>HAVERQ!N136</f>
        <v>1280</v>
      </c>
      <c r="CO20" s="3">
        <f t="shared" si="15"/>
        <v>551</v>
      </c>
      <c r="CP20" s="3">
        <f t="shared" si="0"/>
        <v>-314</v>
      </c>
      <c r="CQ20" s="3">
        <f t="shared" si="0"/>
        <v>-1364</v>
      </c>
      <c r="CR20" s="3">
        <f t="shared" si="0"/>
        <v>980</v>
      </c>
      <c r="CS20" s="3">
        <f t="shared" si="16"/>
        <v>-587</v>
      </c>
      <c r="CT20" s="3">
        <f t="shared" si="17"/>
        <v>-172</v>
      </c>
      <c r="CU20" s="3">
        <f t="shared" si="1"/>
        <v>-3780</v>
      </c>
      <c r="CX20" s="3">
        <f>HAVERQ!L136-HAVERQ!L$128</f>
        <v>551</v>
      </c>
      <c r="CY20" s="3">
        <f>HAVERQ!O136-HAVERQ!O$128</f>
        <v>-314</v>
      </c>
      <c r="CZ20" s="3">
        <f>HAVERQ!P136-HAVERQ!P$128</f>
        <v>-1364</v>
      </c>
      <c r="DA20" s="3">
        <f>HAVERQ!Q136-HAVERQ!Q$128</f>
        <v>980</v>
      </c>
      <c r="DB20" s="3">
        <f>HAVERQ!R136-HAVERQ!R$128</f>
        <v>946</v>
      </c>
      <c r="DC20" s="3">
        <f>HAVERQ!S136-HAVERQ!S$128</f>
        <v>-587</v>
      </c>
      <c r="DD20" s="3">
        <f>HAVERQ!T136-HAVERQ!T$128</f>
        <v>-225</v>
      </c>
      <c r="DE20" s="3">
        <f>HAVERQ!U136-HAVERQ!U$128</f>
        <v>-184</v>
      </c>
      <c r="DF20" s="3">
        <f>HAVERQ!V136-HAVERQ!V$128</f>
        <v>-709</v>
      </c>
      <c r="DG20" s="3">
        <f>(HAVERQ!L136+HAVERQ!M136)-(HAVERQ!L$128+HAVERQ!M$128)</f>
        <v>-3780</v>
      </c>
      <c r="DJ20" s="4">
        <f>100*(HAVERQ!C136/HAVERQ!C$128)</f>
        <v>99.234170579386429</v>
      </c>
      <c r="DK20" s="4">
        <f>100*(HAVERQ!D136/HAVERQ!D$128)</f>
        <v>111.34547069271758</v>
      </c>
      <c r="DL20" s="4">
        <f>100*(HAVERQ!E136/HAVERQ!E$128)</f>
        <v>103.3672670321065</v>
      </c>
      <c r="DM20" s="4">
        <f>100*(HAVERQ!F136/HAVERQ!F$128)</f>
        <v>102.572093573711</v>
      </c>
      <c r="DN20" s="4">
        <f>100*(HAVERQ!G136/HAVERQ!G$128)</f>
        <v>94.0330716732756</v>
      </c>
      <c r="DO20" s="4">
        <f>100*(HAVERQ!H136/HAVERQ!H$128)</f>
        <v>97.971771294509409</v>
      </c>
      <c r="DP20">
        <v>100</v>
      </c>
      <c r="DS20" s="3">
        <f>HAVERQ!D136-HAVERQ!D$128</f>
        <v>511</v>
      </c>
      <c r="DT20" s="3">
        <f>HAVERQ!E136-HAVERQ!E$128</f>
        <v>559</v>
      </c>
      <c r="DU20" s="3">
        <f>HAVERQ!F136-HAVERQ!F$128</f>
        <v>652</v>
      </c>
      <c r="DV20" s="3">
        <f>HAVERQ!G136-HAVERQ!G$128</f>
        <v>-2212</v>
      </c>
      <c r="DW20" s="3">
        <f>HAVERQ!H136-HAVERQ!H$128</f>
        <v>-536</v>
      </c>
      <c r="DX20" s="3">
        <f>HAVERQ!C136-HAVERQ!C$128</f>
        <v>-840</v>
      </c>
      <c r="EA20" s="4">
        <f t="shared" si="29"/>
        <v>-1.0449714889710884</v>
      </c>
      <c r="EB20" s="4">
        <f t="shared" si="30"/>
        <v>1.0464752392179049</v>
      </c>
      <c r="EC20" s="4">
        <f t="shared" si="18"/>
        <v>-7.8871391076115511</v>
      </c>
      <c r="ED20" s="3">
        <v>0</v>
      </c>
      <c r="EF20" s="4">
        <f t="shared" si="31"/>
        <v>1.5037502468164883E-3</v>
      </c>
      <c r="EG20" s="4">
        <f t="shared" si="32"/>
        <v>-0.50141920467237044</v>
      </c>
      <c r="EJ20" s="3">
        <f>'IPNR ex BNFL'!I28</f>
        <v>45720</v>
      </c>
      <c r="EM20" s="4">
        <f t="shared" si="35"/>
        <v>1.5037502468164883E-3</v>
      </c>
      <c r="EN20" s="4">
        <f t="shared" si="36"/>
        <v>-1.0449714889710884</v>
      </c>
      <c r="EO20" s="4">
        <f t="shared" si="37"/>
        <v>-0.46078987529283943</v>
      </c>
      <c r="ER20" s="4">
        <f>(HAVERQ!W62*$EW$2)+(HAVERQ!X62*$EX$2)/($EW$2+$EX$2)</f>
        <v>8.2213353389295936</v>
      </c>
      <c r="ES20" s="4">
        <f>(HAVERQ!AB62*$EW$2)+(HAVERQ!AC62*$EY$2)+(HAVERQ!AD62*$EZ$2)+(HAVERQ!AE62*$FA$2)/($EW$2+$EY$2+$EZ$2+$FA$2)</f>
        <v>-20.940446730392871</v>
      </c>
      <c r="ET20" s="21">
        <f>(HAVERQ!Y62*$EW$2)+(HAVERQ!Z62*$EX$2)/($EW$2+$EX$2)</f>
        <v>9.891633105277628E-2</v>
      </c>
      <c r="FC20" s="26">
        <v>43922</v>
      </c>
      <c r="FD20" s="4">
        <f>100*((HAVERM!E251+HAVERM!F251)/(HAVERM!E$249+HAVERM!F$249))</f>
        <v>110.99310495686609</v>
      </c>
      <c r="FE20" s="4">
        <f>100*(HAVERM!E251/HAVERM!E$249)</f>
        <v>102.26252492121679</v>
      </c>
      <c r="FF20" s="4">
        <f>100*(HAVERM!F251/HAVERM!F$249)</f>
        <v>115.78362317203998</v>
      </c>
      <c r="FG20">
        <v>100</v>
      </c>
      <c r="FV20" s="26">
        <v>42795</v>
      </c>
      <c r="FW20" s="3">
        <f>HAVERM!G214</f>
        <v>372600</v>
      </c>
      <c r="FX20" s="4"/>
      <c r="FY20" s="3">
        <f t="shared" si="19"/>
        <v>6084</v>
      </c>
      <c r="GD20" s="4">
        <f>100*(DataQ!W170/DataQ!W$194)</f>
        <v>84.310300614001548</v>
      </c>
      <c r="GE20" s="4">
        <f>100*(DataQ!X170/DataQ!X$194)</f>
        <v>83.307717641892637</v>
      </c>
      <c r="GF20" s="4">
        <f>100*(DataQ!C170/DataQ!C$194)</f>
        <v>82.32732199890313</v>
      </c>
      <c r="GG20" s="4"/>
      <c r="GH20">
        <v>100</v>
      </c>
      <c r="GK20" s="4">
        <f>100*(DataQ!Z150/AVERAGE(DataQ!$Z$203:$Z$206))</f>
        <v>76.414809234529187</v>
      </c>
      <c r="GL20" s="4">
        <f>100*(DataQ!C150/AVERAGE(DataQ!$C$203:$C$206))</f>
        <v>79.181183941178929</v>
      </c>
      <c r="GM20" s="4">
        <v>100</v>
      </c>
      <c r="GP20" s="4">
        <f>100*(DataQ!Z150/DataQ!$Z$194)</f>
        <v>76.129719162899477</v>
      </c>
      <c r="GQ20" s="4">
        <f>100*(DataQ!C150/DataQ!$C$194)</f>
        <v>76.433203213214185</v>
      </c>
      <c r="GR20" s="4">
        <v>100</v>
      </c>
      <c r="GT20" s="4"/>
      <c r="GU20" s="31">
        <f t="shared" si="20"/>
        <v>92.231506274800793</v>
      </c>
      <c r="GV20" s="31">
        <f t="shared" si="21"/>
        <v>92.716139645403047</v>
      </c>
      <c r="GW20" s="4">
        <f t="shared" si="9"/>
        <v>9.7210222041442051</v>
      </c>
      <c r="GX20" s="4">
        <v>100</v>
      </c>
      <c r="GY20" s="31">
        <f t="shared" si="22"/>
        <v>102.43716184954725</v>
      </c>
      <c r="GZ20" s="4"/>
      <c r="HB20" s="4">
        <f>100*(DataQ!C202/DataQ!C$194)</f>
        <v>92.231506274800793</v>
      </c>
      <c r="HC20" s="4">
        <f>100*(DataQ!Q202/DataQ!Q$194)</f>
        <v>101.44766521900144</v>
      </c>
      <c r="HD20" s="4">
        <f>100*(DataQ!R202/DataQ!R$194)</f>
        <v>101.29606511788407</v>
      </c>
      <c r="HE20" s="4">
        <f>100*(DataQ!S202/DataQ!S$194)</f>
        <v>92.716139645403047</v>
      </c>
      <c r="HF20" s="4">
        <f>100*(DataQ!T202/DataQ!T$194)</f>
        <v>101.94419094854308</v>
      </c>
      <c r="HG20" s="4">
        <f>100*(DataQ!U202/DataQ!U$194)</f>
        <v>102.43716184954725</v>
      </c>
      <c r="HH20" s="4">
        <f>100*(DataQ!V202/DataQ!V$194)</f>
        <v>102.40466580497822</v>
      </c>
      <c r="HJ20" s="4"/>
      <c r="HK20" s="31">
        <f t="shared" si="23"/>
        <v>92.231506274800793</v>
      </c>
      <c r="HL20" s="31">
        <f t="shared" si="24"/>
        <v>92.716139645403047</v>
      </c>
      <c r="HM20" s="4">
        <f t="shared" si="10"/>
        <v>9.7210222041442051</v>
      </c>
      <c r="HN20" s="4">
        <v>100</v>
      </c>
      <c r="HO20" s="31">
        <f t="shared" si="25"/>
        <v>102.43716184954725</v>
      </c>
      <c r="HP20" s="4"/>
      <c r="HR20" s="4">
        <f>100*(DataQ!C202/DataQ!C$194)</f>
        <v>92.231506274800793</v>
      </c>
      <c r="HS20" s="4">
        <f>100*(DataQ!Q202/DataQ!Q$194)</f>
        <v>101.44766521900144</v>
      </c>
      <c r="HT20" s="4">
        <f>100*(DataQ!R202/DataQ!R$194)</f>
        <v>101.29606511788407</v>
      </c>
      <c r="HU20" s="4">
        <f>100*(DataQ!S202/DataQ!S$194)</f>
        <v>92.716139645403047</v>
      </c>
      <c r="HV20" s="4">
        <f>100*(DataQ!T202/DataQ!T$194)</f>
        <v>101.94419094854308</v>
      </c>
      <c r="HW20" s="4">
        <f>100*(DataQ!U202/DataQ!U$194)</f>
        <v>102.43716184954725</v>
      </c>
      <c r="HX20" s="4">
        <f>100*(DataQ!V202/DataQ!V$194)</f>
        <v>102.40466580497822</v>
      </c>
      <c r="HZ20" s="22">
        <v>2005</v>
      </c>
      <c r="IA20">
        <f>DataA!J39/'Chart Data'!IF20</f>
        <v>2.6071244061001342</v>
      </c>
      <c r="IB20">
        <f t="shared" si="26"/>
        <v>2.5924169761777054</v>
      </c>
      <c r="IC20" s="4">
        <f t="shared" si="27"/>
        <v>0.56732501204777019</v>
      </c>
      <c r="IF20" s="3">
        <f>DataA!K39*DataA!L39</f>
        <v>928240.70624999993</v>
      </c>
      <c r="IR20">
        <f>HAVERQ!AH91</f>
        <v>2.2999999999999998</v>
      </c>
      <c r="IS20" s="4">
        <f>100*(('IPNR ex BNFL'!I60/'IPNR ex BNFL'!I56)-1)</f>
        <v>14.884648392144983</v>
      </c>
      <c r="IT20">
        <v>0</v>
      </c>
    </row>
    <row r="21" spans="1:254" x14ac:dyDescent="0.25">
      <c r="A21">
        <v>1994</v>
      </c>
      <c r="B21" s="4">
        <f>100*((DataQ!C91/DataQ!C87)-1)</f>
        <v>0.51055909929942356</v>
      </c>
      <c r="C21" s="4">
        <f t="shared" si="11"/>
        <v>11.065532001630658</v>
      </c>
      <c r="D21" s="4">
        <v>0</v>
      </c>
      <c r="F21">
        <v>1994</v>
      </c>
      <c r="G21" s="4">
        <f>100*((AVERAGE(DataQ!C88:C91)/AVERAGE(DataQ!C84:C87))-1)</f>
        <v>-2.4225625450422283</v>
      </c>
      <c r="H21" s="4">
        <f t="shared" si="39"/>
        <v>12.239300878758376</v>
      </c>
      <c r="I21" s="4">
        <v>0</v>
      </c>
      <c r="K21" s="4">
        <f t="shared" si="12"/>
        <v>11.065532001630658</v>
      </c>
      <c r="L21" s="4">
        <f>100*(HAVERQ!AF25/HAVERQ!AI25)</f>
        <v>11.065532001630658</v>
      </c>
      <c r="N21">
        <v>2022</v>
      </c>
      <c r="O21" s="4">
        <f>100*('ONS CVM_SA_(Quarterly)'!B105/'ONS CVM_SA_(Quarterly)'!B$101)</f>
        <v>109.42632087389464</v>
      </c>
      <c r="P21" s="4">
        <f>100*('ONS CVM_SA_(Quarterly)'!D105/'ONS CVM_SA_(Quarterly)'!D$101)</f>
        <v>111.33725682524114</v>
      </c>
      <c r="Q21">
        <v>1000</v>
      </c>
      <c r="R21">
        <v>100</v>
      </c>
      <c r="AH21">
        <v>2023</v>
      </c>
      <c r="AI21" s="4">
        <f>100*(('ONS CVM_SA_(Quarterly)'!C109-'ONS CVM_SA_(Quarterly)'!C$96)/'ONS CVM_SA_(Quarterly)'!$B$96)</f>
        <v>5.2005032745104369</v>
      </c>
      <c r="AJ21" s="4">
        <f>100*(('ONS CVM_SA_(Quarterly)'!D109-'ONS CVM_SA_(Quarterly)'!D$96)/'ONS CVM_SA_(Quarterly)'!$B$96)</f>
        <v>2.2260218730844921</v>
      </c>
      <c r="AK21" s="4">
        <f>100*(('ONS CVM_SA_(Quarterly)'!E109-'ONS CVM_SA_(Quarterly)'!E$96)/'ONS CVM_SA_(Quarterly)'!$B$96)</f>
        <v>-5.0714585282446691</v>
      </c>
      <c r="AL21" s="4">
        <f>100*(('ONS CVM_SA_(Quarterly)'!F109-'ONS CVM_SA_(Quarterly)'!F$96)/'ONS CVM_SA_(Quarterly)'!$B$96)</f>
        <v>-1.2210859115398265</v>
      </c>
      <c r="AM21" s="4">
        <f>100*(('ONS CVM_SA_(Quarterly)'!B109-'ONS CVM_SA_(Quarterly)'!B$96)/'ONS CVM_SA_(Quarterly)'!$B$96)</f>
        <v>0.78717295222118266</v>
      </c>
      <c r="AO21">
        <v>2020</v>
      </c>
      <c r="AP21" s="4">
        <f>100*(('ONS CVM_SA_(Quarterly)'!C97-AVERAGE('ONS CVM_SA_(Quarterly)'!C$81:C$84))/AVERAGE('ONS CVM_SA_(Quarterly)'!$B$81:$B$84))</f>
        <v>-3.4853709233680301</v>
      </c>
      <c r="AQ21" s="4">
        <f>100*(('ONS CVM_SA_(Quarterly)'!D97-AVERAGE('ONS CVM_SA_(Quarterly)'!D$81:D$84))/AVERAGE('ONS CVM_SA_(Quarterly)'!$B$81:$B$84))</f>
        <v>-1.313193113535897</v>
      </c>
      <c r="AR21" s="4">
        <f>100*(('ONS CVM_SA_(Quarterly)'!E97-AVERAGE('ONS CVM_SA_(Quarterly)'!E$81:E$84))/AVERAGE('ONS CVM_SA_(Quarterly)'!$B$81:$B$84))</f>
        <v>-0.83507899012572784</v>
      </c>
      <c r="AS21" s="4">
        <f>100*(('ONS CVM_SA_(Quarterly)'!F97-AVERAGE('ONS CVM_SA_(Quarterly)'!F$81:F$84))/AVERAGE('ONS CVM_SA_(Quarterly)'!$B$81:$B$84))</f>
        <v>4.3184240061911723</v>
      </c>
      <c r="AT21" s="4">
        <f>100*(('ONS CVM_SA_(Quarterly)'!B97-AVERAGE('ONS CVM_SA_(Quarterly)'!B$81:B$84))/AVERAGE('ONS CVM_SA_(Quarterly)'!$B$81:$B$84))</f>
        <v>-1.7856346964988268</v>
      </c>
      <c r="AV21" s="36">
        <v>43952</v>
      </c>
      <c r="AW21" s="21">
        <f>HAVERM!D252</f>
        <v>0.10000000000000002</v>
      </c>
      <c r="AX21" s="21">
        <f>HAVERM!B252</f>
        <v>2.86</v>
      </c>
      <c r="AY21" s="21">
        <f>HAVERM!C252</f>
        <v>2.17</v>
      </c>
      <c r="BA21" s="36">
        <v>45017</v>
      </c>
      <c r="BB21" s="21">
        <f t="shared" ref="BB21:BC21" si="51">AX56-AX$39</f>
        <v>3.21</v>
      </c>
      <c r="BC21" s="21">
        <f t="shared" si="51"/>
        <v>0.73999999999999977</v>
      </c>
      <c r="BD21" s="3">
        <v>1000</v>
      </c>
      <c r="BE21" s="3"/>
      <c r="BF21" s="21">
        <v>0</v>
      </c>
      <c r="BI21">
        <v>2022</v>
      </c>
      <c r="BJ21" s="4">
        <f>100*(HAVERQ!B137/HAVERQ!B$128)</f>
        <v>95.014033616156397</v>
      </c>
      <c r="BK21" s="4">
        <f>100*(HAVERQ!I137/HAVERQ!I$128)</f>
        <v>104.13453299057412</v>
      </c>
      <c r="BL21" s="4">
        <f>100*(HAVERQ!J137/HAVERQ!J$128)</f>
        <v>69.367588932806328</v>
      </c>
      <c r="BM21" s="4">
        <f>100*(HAVERQ!K137/HAVERQ!K$128)</f>
        <v>80.457637600494749</v>
      </c>
      <c r="BN21" s="4">
        <f>100*((HAVERQ!L137+HAVERQ!M137)/(HAVERQ!L$128+HAVERQ!M$128))</f>
        <v>97.533824717285938</v>
      </c>
      <c r="BO21">
        <v>100</v>
      </c>
      <c r="BQ21">
        <v>2022</v>
      </c>
      <c r="BR21" s="3">
        <f>HAVERQ!I137-HAVERQ!I$128</f>
        <v>386</v>
      </c>
      <c r="BS21" s="3">
        <f>HAVERQ!J137-HAVERQ!J$128</f>
        <v>-2945</v>
      </c>
      <c r="BT21" s="3">
        <f>HAVERQ!K137-HAVERQ!K$128</f>
        <v>-632</v>
      </c>
      <c r="BU21" s="3">
        <f>(HAVERQ!L137+HAVERQ!M137)-(HAVERQ!L$128+HAVERQ!M$128)</f>
        <v>-977</v>
      </c>
      <c r="BV21" s="3">
        <f>HAVERQ!N137-HAVERQ!N$128</f>
        <v>-88</v>
      </c>
      <c r="BW21" s="3">
        <f>HAVERQ!B137-HAVERQ!B$128</f>
        <v>-3091</v>
      </c>
      <c r="BY21">
        <v>2023</v>
      </c>
      <c r="BZ21" s="4">
        <f>100*((HAVERQ!I141-HAVERQ!I$128)/HAVERQ!$B$128)</f>
        <v>1.6791947607833015</v>
      </c>
      <c r="CA21" s="4">
        <f>100*((HAVERQ!J141-HAVERQ!J$128)/HAVERQ!$B$128)</f>
        <v>-1.6130593283220955</v>
      </c>
      <c r="CB21" s="4">
        <f>100*((HAVERQ!K141-HAVERQ!K$128)/HAVERQ!$B$128)</f>
        <v>-0.69038939252185694</v>
      </c>
      <c r="CC21" s="4">
        <f>100*(((HAVERQ!L141+HAVERQ!M141)-(HAVERQ!L$128+HAVERQ!M$128))/HAVERQ!$B$128)</f>
        <v>-0.38713423879730297</v>
      </c>
      <c r="CD21" s="4">
        <f t="shared" si="14"/>
        <v>1.7985611510791366</v>
      </c>
      <c r="CE21" s="4">
        <f>100*((HAVERQ!B141-HAVERQ!B$128)/HAVERQ!B$128)</f>
        <v>0.78717295222118266</v>
      </c>
      <c r="CG21">
        <v>2022</v>
      </c>
      <c r="CH21" s="3">
        <f>HAVERQ!I137</f>
        <v>9722</v>
      </c>
      <c r="CI21" s="3">
        <f>HAVERQ!J137</f>
        <v>6669</v>
      </c>
      <c r="CJ21" s="3">
        <f>HAVERQ!K137</f>
        <v>2602</v>
      </c>
      <c r="CK21" s="3">
        <f>HAVERQ!L137+HAVERQ!M137</f>
        <v>38639</v>
      </c>
      <c r="CL21" s="3">
        <f>HAVERQ!N137</f>
        <v>1270</v>
      </c>
      <c r="CN21">
        <v>2022</v>
      </c>
      <c r="CO21" s="3">
        <f t="shared" ref="CO21" si="52">CX21</f>
        <v>-814</v>
      </c>
      <c r="CP21" s="3">
        <f t="shared" ref="CP21" si="53">CY21</f>
        <v>-218</v>
      </c>
      <c r="CQ21" s="3">
        <f t="shared" ref="CQ21" si="54">CZ21</f>
        <v>-1329</v>
      </c>
      <c r="CR21" s="3">
        <f t="shared" ref="CR21" si="55">DA21</f>
        <v>-83</v>
      </c>
      <c r="CS21" s="3">
        <f t="shared" ref="CS21" si="56">DC21</f>
        <v>1954</v>
      </c>
      <c r="CT21" s="3">
        <f t="shared" ref="CT21" si="57">+DB21+DD21+DE21+DF21</f>
        <v>199</v>
      </c>
      <c r="CU21" s="3">
        <f t="shared" ref="CU21" si="58">DG21</f>
        <v>-977</v>
      </c>
      <c r="CW21">
        <v>2022</v>
      </c>
      <c r="CX21" s="3">
        <f>HAVERQ!L137-HAVERQ!L$128</f>
        <v>-814</v>
      </c>
      <c r="CY21" s="3">
        <f>HAVERQ!O137-HAVERQ!O$128</f>
        <v>-218</v>
      </c>
      <c r="CZ21" s="3">
        <f>HAVERQ!P137-HAVERQ!P$128</f>
        <v>-1329</v>
      </c>
      <c r="DA21" s="3">
        <f>HAVERQ!Q137-HAVERQ!Q$128</f>
        <v>-83</v>
      </c>
      <c r="DB21" s="3">
        <f>HAVERQ!R137-HAVERQ!R$128</f>
        <v>1450</v>
      </c>
      <c r="DC21" s="3">
        <f>HAVERQ!S137-HAVERQ!S$128</f>
        <v>1954</v>
      </c>
      <c r="DD21" s="3">
        <f>HAVERQ!T137-HAVERQ!T$128</f>
        <v>-216</v>
      </c>
      <c r="DE21" s="3">
        <f>HAVERQ!U137-HAVERQ!U$128</f>
        <v>-231</v>
      </c>
      <c r="DF21" s="3">
        <f>HAVERQ!V137-HAVERQ!V$128</f>
        <v>-804</v>
      </c>
      <c r="DG21" s="3">
        <f>(HAVERQ!L137+HAVERQ!M137)-(HAVERQ!L$128+HAVERQ!M$128)</f>
        <v>-977</v>
      </c>
      <c r="DI21">
        <v>2022</v>
      </c>
      <c r="DJ21" s="4">
        <f>100*(HAVERQ!C137/HAVERQ!C$128)</f>
        <v>103.05967087568948</v>
      </c>
      <c r="DK21" s="4">
        <f>100*(HAVERQ!D137/HAVERQ!D$128)</f>
        <v>97.779751332149203</v>
      </c>
      <c r="DL21" s="4">
        <f>100*(HAVERQ!E137/HAVERQ!E$128)</f>
        <v>110.54153364255166</v>
      </c>
      <c r="DM21" s="4">
        <f>100*(HAVERQ!F137/HAVERQ!F$128)</f>
        <v>107.49930963746104</v>
      </c>
      <c r="DN21" s="4">
        <f>100*(HAVERQ!G137/HAVERQ!G$128)</f>
        <v>100.30482047962019</v>
      </c>
      <c r="DO21" s="4">
        <f>100*(HAVERQ!H137/HAVERQ!H$128)</f>
        <v>97.82041094335338</v>
      </c>
      <c r="DP21">
        <v>100</v>
      </c>
      <c r="DR21">
        <v>2022</v>
      </c>
      <c r="DS21" s="3">
        <f>HAVERQ!D137-HAVERQ!D$128</f>
        <v>-100</v>
      </c>
      <c r="DT21" s="3">
        <f>HAVERQ!E137-HAVERQ!E$128</f>
        <v>1750</v>
      </c>
      <c r="DU21" s="3">
        <f>HAVERQ!F137-HAVERQ!F$128</f>
        <v>1901</v>
      </c>
      <c r="DV21" s="3">
        <f>HAVERQ!G137-HAVERQ!G$128</f>
        <v>113</v>
      </c>
      <c r="DW21" s="3">
        <f>HAVERQ!H137-HAVERQ!H$128</f>
        <v>-576</v>
      </c>
      <c r="DX21" s="3">
        <f>HAVERQ!C137-HAVERQ!C$128</f>
        <v>3356</v>
      </c>
      <c r="DZ21">
        <v>2004</v>
      </c>
      <c r="EA21" s="4">
        <f t="shared" si="29"/>
        <v>-0.18842778098514018</v>
      </c>
      <c r="EB21" s="4">
        <f t="shared" si="30"/>
        <v>0.47805544305215747</v>
      </c>
      <c r="EC21" s="4">
        <f t="shared" si="18"/>
        <v>-7.0566855691546415</v>
      </c>
      <c r="ED21" s="3">
        <v>0</v>
      </c>
      <c r="EF21" s="4">
        <f t="shared" si="31"/>
        <v>0.28962766206701729</v>
      </c>
      <c r="EG21" s="4">
        <f t="shared" si="32"/>
        <v>-1.7512327256669919E-2</v>
      </c>
      <c r="EI21" s="22">
        <v>2003</v>
      </c>
      <c r="EJ21" s="3">
        <f>'IPNR ex BNFL'!I29</f>
        <v>45673</v>
      </c>
      <c r="EM21" s="4">
        <f t="shared" si="35"/>
        <v>0.28962766206701729</v>
      </c>
      <c r="EN21" s="4">
        <f t="shared" si="36"/>
        <v>-0.18842778098514018</v>
      </c>
      <c r="EO21" s="4">
        <f t="shared" si="37"/>
        <v>-0.15373686285188687</v>
      </c>
      <c r="ER21" s="4">
        <f>(HAVERQ!W63*$EW$2)+(HAVERQ!X63*$EX$2)/($EW$2+$EX$2)</f>
        <v>11.598403610073268</v>
      </c>
      <c r="ES21" s="4">
        <f>(HAVERQ!AB63*$EW$2)+(HAVERQ!AC63*$EY$2)+(HAVERQ!AD63*$EZ$2)+(HAVERQ!AE63*$FA$2)/($EW$2+$EY$2+$EZ$2+$FA$2)</f>
        <v>-8.8873307778155173</v>
      </c>
      <c r="ET21" s="21">
        <f>(HAVERQ!Y63*$EW$2)+(HAVERQ!Z63*$EX$2)/($EW$2+$EX$2)</f>
        <v>0.58115629094085119</v>
      </c>
      <c r="FC21" s="26">
        <v>43952</v>
      </c>
      <c r="FD21" s="4">
        <f>100*((HAVERM!E252+HAVERM!F252)/(HAVERM!E$249+HAVERM!F$249))</f>
        <v>113.54627608427175</v>
      </c>
      <c r="FE21" s="4">
        <f>100*(HAVERM!E252/HAVERM!E$249)</f>
        <v>115.31931313910862</v>
      </c>
      <c r="FF21" s="4">
        <f>100*(HAVERM!F252/HAVERM!F$249)</f>
        <v>112.57340071142228</v>
      </c>
      <c r="FG21">
        <v>100</v>
      </c>
      <c r="FV21" s="26">
        <v>42826</v>
      </c>
      <c r="FW21" s="3">
        <f>HAVERM!G215</f>
        <v>376274</v>
      </c>
      <c r="FX21" s="4"/>
      <c r="FY21" s="3">
        <f t="shared" si="19"/>
        <v>3674</v>
      </c>
      <c r="GC21" s="22">
        <v>2014</v>
      </c>
      <c r="GD21" s="4">
        <f>100*(DataQ!W171/DataQ!W$194)</f>
        <v>85.630799105206023</v>
      </c>
      <c r="GE21" s="4">
        <f>100*(DataQ!X171/DataQ!X$194)</f>
        <v>84.637903904563245</v>
      </c>
      <c r="GF21" s="4">
        <f>100*(DataQ!C171/DataQ!C$194)</f>
        <v>83.974255573119976</v>
      </c>
      <c r="GG21" s="4"/>
      <c r="GH21">
        <v>100</v>
      </c>
      <c r="GJ21" s="22">
        <v>2009</v>
      </c>
      <c r="GK21" s="4">
        <f>100*(DataQ!Z151/AVERAGE(DataQ!$Z$203:$Z$206))</f>
        <v>69.547164687692984</v>
      </c>
      <c r="GL21" s="4">
        <f>100*(DataQ!C151/AVERAGE(DataQ!$C$203:$C$206))</f>
        <v>72.054142123073063</v>
      </c>
      <c r="GM21" s="4">
        <v>100</v>
      </c>
      <c r="GO21" s="22">
        <v>2009</v>
      </c>
      <c r="GP21" s="4">
        <f>100*(DataQ!Z151/DataQ!$Z$194)</f>
        <v>69.287696577243295</v>
      </c>
      <c r="GQ21" s="4">
        <f>100*(DataQ!C151/DataQ!$C$194)</f>
        <v>69.553505177920442</v>
      </c>
      <c r="GR21" s="4">
        <v>100</v>
      </c>
      <c r="GT21">
        <v>2022</v>
      </c>
      <c r="GU21" s="31">
        <f t="shared" si="20"/>
        <v>95.014033616156397</v>
      </c>
      <c r="GV21" s="31">
        <f t="shared" si="21"/>
        <v>94.818131968561502</v>
      </c>
      <c r="GW21" s="4">
        <f t="shared" ref="GW21" si="59">+GY21-GV21</f>
        <v>11.757664878357659</v>
      </c>
      <c r="GX21" s="4">
        <v>100</v>
      </c>
      <c r="GY21" s="31">
        <f>MAX(HC21:HH21)</f>
        <v>106.57579684691916</v>
      </c>
      <c r="GZ21" s="4"/>
      <c r="HA21">
        <v>2022</v>
      </c>
      <c r="HB21" s="4">
        <f>100*(DataQ!C203/DataQ!C$194)</f>
        <v>95.014033616156397</v>
      </c>
      <c r="HC21" s="4">
        <f>100*(DataQ!Q203/DataQ!Q$194)</f>
        <v>104.72679527320471</v>
      </c>
      <c r="HD21" s="4">
        <f>100*(DataQ!R203/DataQ!R$194)</f>
        <v>101.66919015075395</v>
      </c>
      <c r="HE21" s="4">
        <f>100*(DataQ!S203/DataQ!S$194)</f>
        <v>94.818131968561502</v>
      </c>
      <c r="HF21" s="4">
        <f>100*(DataQ!T203/DataQ!T$194)</f>
        <v>102.32732796032238</v>
      </c>
      <c r="HG21" s="4">
        <f>100*(DataQ!U203/DataQ!U$194)</f>
        <v>106.57579684691916</v>
      </c>
      <c r="HH21" s="4">
        <f>100*(DataQ!V203/DataQ!V$194)</f>
        <v>102.02324972840955</v>
      </c>
      <c r="HJ21">
        <v>2022</v>
      </c>
      <c r="HK21" s="31">
        <f t="shared" si="23"/>
        <v>95.014033616156397</v>
      </c>
      <c r="HL21" s="31">
        <f t="shared" si="24"/>
        <v>94.818131968561502</v>
      </c>
      <c r="HM21" s="4">
        <f t="shared" si="10"/>
        <v>11.757664878357659</v>
      </c>
      <c r="HN21" s="4">
        <v>100</v>
      </c>
      <c r="HO21" s="31">
        <f>MAX(HS21:HX21)</f>
        <v>106.57579684691916</v>
      </c>
      <c r="HP21" s="4"/>
      <c r="HQ21">
        <v>2022</v>
      </c>
      <c r="HR21" s="4">
        <f>100*(DataQ!C203/DataQ!C$194)</f>
        <v>95.014033616156397</v>
      </c>
      <c r="HS21" s="4">
        <f>100*(DataQ!Q203/DataQ!Q$194)</f>
        <v>104.72679527320471</v>
      </c>
      <c r="HT21" s="4">
        <f>100*(DataQ!R203/DataQ!R$194)</f>
        <v>101.66919015075395</v>
      </c>
      <c r="HU21" s="4">
        <f>100*(DataQ!S203/DataQ!S$194)</f>
        <v>94.818131968561502</v>
      </c>
      <c r="HV21" s="4">
        <f>100*(DataQ!T203/DataQ!T$194)</f>
        <v>102.32732796032238</v>
      </c>
      <c r="HW21" s="4">
        <f>100*(DataQ!U203/DataQ!U$194)</f>
        <v>106.57579684691916</v>
      </c>
      <c r="HX21" s="4">
        <f>100*(DataQ!V203/DataQ!V$194)</f>
        <v>102.02324972840955</v>
      </c>
      <c r="HZ21" s="22">
        <v>2006</v>
      </c>
      <c r="IA21">
        <f>DataA!J40/'Chart Data'!IF21</f>
        <v>2.6658952845574251</v>
      </c>
      <c r="IB21">
        <f t="shared" si="26"/>
        <v>2.6612863705962178</v>
      </c>
      <c r="IC21" s="4">
        <f t="shared" si="27"/>
        <v>0.17318369086956054</v>
      </c>
      <c r="IF21" s="3">
        <f>DataA!K40*DataA!L40</f>
        <v>933864.88749999995</v>
      </c>
      <c r="IQ21">
        <v>2011</v>
      </c>
      <c r="IR21">
        <f>HAVERQ!AH92</f>
        <v>-0.8</v>
      </c>
      <c r="IS21" s="4">
        <f>100*(('IPNR ex BNFL'!I61/'IPNR ex BNFL'!I57)-1)</f>
        <v>2.0516405892138101</v>
      </c>
      <c r="IT21">
        <v>0</v>
      </c>
    </row>
    <row r="22" spans="1:254" x14ac:dyDescent="0.25">
      <c r="B22" s="4">
        <f>100*((DataQ!C92/DataQ!C88)-1)</f>
        <v>3.6258137694665127</v>
      </c>
      <c r="C22" s="4">
        <f t="shared" si="11"/>
        <v>11.063109494214542</v>
      </c>
      <c r="D22" s="4">
        <v>0</v>
      </c>
      <c r="G22" s="4">
        <f>100*((AVERAGE(DataQ!C89:C92)/AVERAGE(DataQ!C85:C88))-1)</f>
        <v>-0.1273086881570018</v>
      </c>
      <c r="H22" s="4">
        <f t="shared" si="39"/>
        <v>11.804153797595848</v>
      </c>
      <c r="I22" s="4">
        <v>0</v>
      </c>
      <c r="K22" s="4">
        <f t="shared" si="12"/>
        <v>11.063109494214542</v>
      </c>
      <c r="L22" s="4">
        <f>100*(HAVERQ!AF26/HAVERQ!AI26)</f>
        <v>11.063109494214542</v>
      </c>
      <c r="O22" s="4">
        <f>100*('ONS CVM_SA_(Quarterly)'!B106/'ONS CVM_SA_(Quarterly)'!B$101)</f>
        <v>112.08293081667533</v>
      </c>
      <c r="P22" s="4">
        <f>100*('ONS CVM_SA_(Quarterly)'!D106/'ONS CVM_SA_(Quarterly)'!D$101)</f>
        <v>114.86839954225927</v>
      </c>
      <c r="Q22">
        <v>1000</v>
      </c>
      <c r="R22">
        <v>100</v>
      </c>
      <c r="AI22" s="4">
        <f>100*(('ONS CVM_SA_(Quarterly)'!C110-'ONS CVM_SA_(Quarterly)'!C$96)/'ONS CVM_SA_(Quarterly)'!$B$96)</f>
        <v>6.3699712875439563</v>
      </c>
      <c r="AJ22" s="4">
        <f>100*(('ONS CVM_SA_(Quarterly)'!D110-'ONS CVM_SA_(Quarterly)'!D$96)/'ONS CVM_SA_(Quarterly)'!$B$96)</f>
        <v>2.0260025163725519</v>
      </c>
      <c r="AK22" s="4">
        <f>100*(('ONS CVM_SA_(Quarterly)'!E110-'ONS CVM_SA_(Quarterly)'!E$96)/'ONS CVM_SA_(Quarterly)'!$B$96)</f>
        <v>-7.0716520953640671</v>
      </c>
      <c r="AL22" s="4">
        <f>100*(('ONS CVM_SA_(Quarterly)'!F110-'ONS CVM_SA_(Quarterly)'!F$96)/'ONS CVM_SA_(Quarterly)'!$B$96)</f>
        <v>-0.72265057908829888</v>
      </c>
      <c r="AM22" s="4">
        <f>100*(('ONS CVM_SA_(Quarterly)'!B110-'ONS CVM_SA_(Quarterly)'!B$96)/'ONS CVM_SA_(Quarterly)'!$B$96)</f>
        <v>0.25486337387489111</v>
      </c>
      <c r="AP22" s="4">
        <f>100*(('ONS CVM_SA_(Quarterly)'!C98-AVERAGE('ONS CVM_SA_(Quarterly)'!C$81:C$84))/AVERAGE('ONS CVM_SA_(Quarterly)'!$B$81:$B$84))</f>
        <v>-8.1174053799994326</v>
      </c>
      <c r="AQ22" s="4">
        <f>100*(('ONS CVM_SA_(Quarterly)'!D98-AVERAGE('ONS CVM_SA_(Quarterly)'!D$81:D$84))/AVERAGE('ONS CVM_SA_(Quarterly)'!$B$81:$B$84))</f>
        <v>-6.9014558169876379</v>
      </c>
      <c r="AR22" s="4">
        <f>100*(('ONS CVM_SA_(Quarterly)'!E98-AVERAGE('ONS CVM_SA_(Quarterly)'!E$81:E$84))/AVERAGE('ONS CVM_SA_(Quarterly)'!$B$81:$B$84))</f>
        <v>-5.7474990174349578</v>
      </c>
      <c r="AS22" s="4">
        <f>100*(('ONS CVM_SA_(Quarterly)'!F98-AVERAGE('ONS CVM_SA_(Quarterly)'!F$81:F$84))/AVERAGE('ONS CVM_SA_(Quarterly)'!$B$81:$B$84))</f>
        <v>1.041316353528928</v>
      </c>
      <c r="AT22" s="4">
        <f>100*(('ONS CVM_SA_(Quarterly)'!B98-AVERAGE('ONS CVM_SA_(Quarterly)'!B$81:B$84))/AVERAGE('ONS CVM_SA_(Quarterly)'!$B$81:$B$84))</f>
        <v>-20.663849304911206</v>
      </c>
      <c r="AV22" s="36">
        <v>43983</v>
      </c>
      <c r="AW22" s="21">
        <f>HAVERM!D253</f>
        <v>0.10000000000000003</v>
      </c>
      <c r="AX22" s="21">
        <f>HAVERM!B253</f>
        <v>2.79</v>
      </c>
      <c r="AY22" s="21">
        <f>HAVERM!C253</f>
        <v>2.17</v>
      </c>
      <c r="BA22" s="36">
        <v>45047</v>
      </c>
      <c r="BB22" s="21">
        <f t="shared" ref="BB22:BC22" si="60">AX57-AX$39</f>
        <v>3.34</v>
      </c>
      <c r="BC22" s="21">
        <f t="shared" si="60"/>
        <v>0.81</v>
      </c>
      <c r="BD22" s="3">
        <v>1000</v>
      </c>
      <c r="BE22" s="3"/>
      <c r="BF22" s="21">
        <v>0</v>
      </c>
      <c r="BJ22" s="4">
        <f>100*(HAVERQ!B138/HAVERQ!B$128)</f>
        <v>97.319095396328677</v>
      </c>
      <c r="BK22" s="4">
        <f>100*(HAVERQ!I138/HAVERQ!I$128)</f>
        <v>110.01499571550985</v>
      </c>
      <c r="BL22" s="4">
        <f>100*(HAVERQ!J138/HAVERQ!J$128)</f>
        <v>80.122737674225093</v>
      </c>
      <c r="BM22" s="4">
        <f>100*(HAVERQ!K138/HAVERQ!K$128)</f>
        <v>77.674706246134818</v>
      </c>
      <c r="BN22" s="4">
        <f>100*((HAVERQ!L138+HAVERQ!M138)/(HAVERQ!L$128+HAVERQ!M$128))</f>
        <v>97.24353796445881</v>
      </c>
      <c r="BO22">
        <v>100</v>
      </c>
      <c r="BR22" s="3">
        <f>HAVERQ!I138-HAVERQ!I$128</f>
        <v>935</v>
      </c>
      <c r="BS22" s="3">
        <f>HAVERQ!J138-HAVERQ!J$128</f>
        <v>-1911</v>
      </c>
      <c r="BT22" s="3">
        <f>HAVERQ!K138-HAVERQ!K$128</f>
        <v>-722</v>
      </c>
      <c r="BU22" s="3">
        <f>(HAVERQ!L138+HAVERQ!M138)-(HAVERQ!L$128+HAVERQ!M$128)</f>
        <v>-1092</v>
      </c>
      <c r="BV22" s="3">
        <f>HAVERQ!N138-HAVERQ!N$128</f>
        <v>-36</v>
      </c>
      <c r="BW22" s="3">
        <f>HAVERQ!B138-HAVERQ!B$128</f>
        <v>-1662</v>
      </c>
      <c r="BZ22" s="4">
        <f>100*((HAVERQ!I142-HAVERQ!I$128)/HAVERQ!$B$128)</f>
        <v>2.1163338387585893</v>
      </c>
      <c r="CA22" s="4">
        <f>100*((HAVERQ!J142-HAVERQ!J$128)/HAVERQ!$B$128)</f>
        <v>-2.2760267122624769</v>
      </c>
      <c r="CB22" s="4">
        <f>100*((HAVERQ!K142-HAVERQ!K$128)/HAVERQ!$B$128)</f>
        <v>-1.363035132432171</v>
      </c>
      <c r="CC22" s="4">
        <f>100*(((HAVERQ!L142+HAVERQ!M142)-(HAVERQ!L$128+HAVERQ!M$128))/HAVERQ!$B$128)</f>
        <v>-5.9683195147917541E-2</v>
      </c>
      <c r="CD22" s="4">
        <f t="shared" si="14"/>
        <v>1.8372745749588673</v>
      </c>
      <c r="CE22" s="4">
        <f>100*((HAVERQ!B142-HAVERQ!B$128)/HAVERQ!B$128)</f>
        <v>0.25486337387489111</v>
      </c>
      <c r="CH22" s="3">
        <f>HAVERQ!I138</f>
        <v>10271</v>
      </c>
      <c r="CI22" s="3">
        <f>HAVERQ!J138</f>
        <v>7703</v>
      </c>
      <c r="CJ22" s="3">
        <f>HAVERQ!K138</f>
        <v>2512</v>
      </c>
      <c r="CK22" s="3">
        <f>HAVERQ!L138+HAVERQ!M138</f>
        <v>38524</v>
      </c>
      <c r="CL22" s="3">
        <f>HAVERQ!N138</f>
        <v>1322</v>
      </c>
      <c r="CO22" s="3">
        <f t="shared" ref="CO22:CO25" si="61">CX22</f>
        <v>-26</v>
      </c>
      <c r="CP22" s="3">
        <f t="shared" ref="CP22:CP25" si="62">CY22</f>
        <v>-100</v>
      </c>
      <c r="CQ22" s="3">
        <f t="shared" ref="CQ22:CQ25" si="63">CZ22</f>
        <v>-1165</v>
      </c>
      <c r="CR22" s="3">
        <f t="shared" ref="CR22:CR25" si="64">DA22</f>
        <v>164</v>
      </c>
      <c r="CS22" s="3">
        <f t="shared" ref="CS22:CS25" si="65">DC22</f>
        <v>1029</v>
      </c>
      <c r="CT22" s="3">
        <f t="shared" ref="CT22:CT25" si="66">+DB22+DD22+DE22+DF22</f>
        <v>-308</v>
      </c>
      <c r="CU22" s="3">
        <f t="shared" ref="CU22:CU25" si="67">DG22</f>
        <v>-1092</v>
      </c>
      <c r="CX22" s="3">
        <f>HAVERQ!L138-HAVERQ!L$128</f>
        <v>-26</v>
      </c>
      <c r="CY22" s="3">
        <f>HAVERQ!O138-HAVERQ!O$128</f>
        <v>-100</v>
      </c>
      <c r="CZ22" s="3">
        <f>HAVERQ!P138-HAVERQ!P$128</f>
        <v>-1165</v>
      </c>
      <c r="DA22" s="3">
        <f>HAVERQ!Q138-HAVERQ!Q$128</f>
        <v>164</v>
      </c>
      <c r="DB22" s="3">
        <f>HAVERQ!R138-HAVERQ!R$128</f>
        <v>555</v>
      </c>
      <c r="DC22" s="3">
        <f>HAVERQ!S138-HAVERQ!S$128</f>
        <v>1029</v>
      </c>
      <c r="DD22" s="3">
        <f>HAVERQ!T138-HAVERQ!T$128</f>
        <v>-20</v>
      </c>
      <c r="DE22" s="3">
        <f>HAVERQ!U138-HAVERQ!U$128</f>
        <v>-183</v>
      </c>
      <c r="DF22" s="3">
        <f>HAVERQ!V138-HAVERQ!V$128</f>
        <v>-660</v>
      </c>
      <c r="DG22" s="3">
        <f>(HAVERQ!L138+HAVERQ!M138)-(HAVERQ!L$128+HAVERQ!M$128)</f>
        <v>-1092</v>
      </c>
      <c r="DJ22" s="4">
        <f>100*(HAVERQ!C138/HAVERQ!C$128)</f>
        <v>103.00588047590828</v>
      </c>
      <c r="DK22" s="4">
        <f>100*(HAVERQ!D138/HAVERQ!D$128)</f>
        <v>145.33747779751332</v>
      </c>
      <c r="DL22" s="4">
        <f>100*(HAVERQ!E138/HAVERQ!E$128)</f>
        <v>110.38491657129089</v>
      </c>
      <c r="DM22" s="4">
        <f>100*(HAVERQ!F138/HAVERQ!F$128)</f>
        <v>106.57225137086274</v>
      </c>
      <c r="DN22" s="4">
        <f>100*(HAVERQ!G138/HAVERQ!G$128)</f>
        <v>96.247740821666525</v>
      </c>
      <c r="DO22" s="4">
        <f>100*(HAVERQ!H138/HAVERQ!H$128)</f>
        <v>96.174367124531727</v>
      </c>
      <c r="DP22">
        <v>100</v>
      </c>
      <c r="DS22" s="3">
        <f>HAVERQ!D138-HAVERQ!D$128</f>
        <v>2042</v>
      </c>
      <c r="DT22" s="3">
        <f>HAVERQ!E138-HAVERQ!E$128</f>
        <v>1724</v>
      </c>
      <c r="DU22" s="3">
        <f>HAVERQ!F138-HAVERQ!F$128</f>
        <v>1666</v>
      </c>
      <c r="DV22" s="3">
        <f>HAVERQ!G138-HAVERQ!G$128</f>
        <v>-1391</v>
      </c>
      <c r="DW22" s="3">
        <f>HAVERQ!H138-HAVERQ!H$128</f>
        <v>-1011</v>
      </c>
      <c r="DX22" s="3">
        <f>HAVERQ!C138-HAVERQ!C$128</f>
        <v>3297</v>
      </c>
      <c r="EA22" s="4">
        <f t="shared" si="29"/>
        <v>-0.4356854562199407</v>
      </c>
      <c r="EB22" s="4">
        <f t="shared" si="30"/>
        <v>1.271483004611206</v>
      </c>
      <c r="EC22" s="4">
        <f t="shared" si="18"/>
        <v>-5.515906616668687</v>
      </c>
      <c r="ED22" s="3">
        <v>0</v>
      </c>
      <c r="EF22" s="4">
        <f t="shared" si="31"/>
        <v>0.83579754839126541</v>
      </c>
      <c r="EG22" s="4">
        <f t="shared" si="32"/>
        <v>0.2045983996716533</v>
      </c>
      <c r="EJ22" s="3">
        <f>'IPNR ex BNFL'!I30</f>
        <v>41335</v>
      </c>
      <c r="EM22" s="4">
        <f t="shared" si="35"/>
        <v>0.83579754839126541</v>
      </c>
      <c r="EN22" s="4">
        <f t="shared" si="36"/>
        <v>-0.4356854562199407</v>
      </c>
      <c r="EO22" s="4">
        <f t="shared" si="37"/>
        <v>0.2136831068436352</v>
      </c>
      <c r="ER22" s="4">
        <f>(HAVERQ!W64*$EW$2)+(HAVERQ!X64*$EX$2)/($EW$2+$EX$2)</f>
        <v>18</v>
      </c>
      <c r="ES22" s="4">
        <f>(HAVERQ!AB64*$EW$2)+(HAVERQ!AC64*$EY$2)+(HAVERQ!AD64*$EZ$2)+(HAVERQ!AE64*$FA$2)/($EW$2+$EY$2+$EZ$2+$FA$2)</f>
        <v>-12.366692545328092</v>
      </c>
      <c r="ET22" s="21">
        <f>(HAVERQ!Y64*$EW$2)+(HAVERQ!Z64*$EX$2)/($EW$2+$EX$2)</f>
        <v>1.1582051530884567</v>
      </c>
      <c r="FC22" s="26">
        <v>43983</v>
      </c>
      <c r="FD22" s="4">
        <f>100*((HAVERM!E253+HAVERM!F253)/(HAVERM!E$249+HAVERM!F$249))</f>
        <v>112.34522610546271</v>
      </c>
      <c r="FE22" s="4">
        <f>100*(HAVERM!E253/HAVERM!E$249)</f>
        <v>122.10495851823269</v>
      </c>
      <c r="FF22" s="4">
        <f>100*(HAVERM!F253/HAVERM!F$249)</f>
        <v>106.99000621082943</v>
      </c>
      <c r="FG22">
        <v>100</v>
      </c>
      <c r="FV22" s="26">
        <v>42856</v>
      </c>
      <c r="FW22" s="3">
        <f>HAVERM!G216</f>
        <v>379101</v>
      </c>
      <c r="FX22" s="4"/>
      <c r="FY22" s="3">
        <f t="shared" si="19"/>
        <v>2827</v>
      </c>
      <c r="GD22" s="4">
        <f>100*(DataQ!W172/DataQ!W$194)</f>
        <v>88.775803145326606</v>
      </c>
      <c r="GE22" s="4">
        <f>100*(DataQ!X172/DataQ!X$194)</f>
        <v>87.713616569692974</v>
      </c>
      <c r="GF22" s="4">
        <f>100*(DataQ!C172/DataQ!C$194)</f>
        <v>84.225892828338218</v>
      </c>
      <c r="GG22" s="4"/>
      <c r="GH22">
        <v>100</v>
      </c>
      <c r="GK22" s="4">
        <f>100*(DataQ!Z152/AVERAGE(DataQ!$Z$203:$Z$206))</f>
        <v>65.897852547116514</v>
      </c>
      <c r="GL22" s="4">
        <f>100*(DataQ!C152/AVERAGE(DataQ!$C$203:$C$206))</f>
        <v>68.307640890671351</v>
      </c>
      <c r="GM22" s="4">
        <v>100</v>
      </c>
      <c r="GP22" s="4">
        <f>100*(DataQ!Z152/DataQ!$Z$194)</f>
        <v>65.651999371650987</v>
      </c>
      <c r="GQ22" s="4">
        <f>100*(DataQ!C152/DataQ!$C$194)</f>
        <v>65.93702616382231</v>
      </c>
      <c r="GR22" s="4">
        <v>100</v>
      </c>
      <c r="GT22" s="4"/>
      <c r="GU22" s="31">
        <f t="shared" ref="GU22:GU25" si="68">HB22</f>
        <v>97.319095396328677</v>
      </c>
      <c r="GV22" s="31">
        <f t="shared" ref="GV22:GV25" si="69">MIN(HC22:HH22)</f>
        <v>96.636812282946437</v>
      </c>
      <c r="GW22" s="4">
        <f t="shared" ref="GW22:GW25" si="70">+GY22-GV22</f>
        <v>12.846704702081297</v>
      </c>
      <c r="GX22" s="4">
        <v>100</v>
      </c>
      <c r="GY22" s="31">
        <f t="shared" ref="GY22:GY30" si="71">MAX(HC22:HH22)</f>
        <v>109.48351698502773</v>
      </c>
      <c r="GZ22" s="4"/>
      <c r="HB22" s="4">
        <f>100*(DataQ!C204/DataQ!C$194)</f>
        <v>97.319095396328677</v>
      </c>
      <c r="HC22" s="4">
        <f>100*(DataQ!Q204/DataQ!Q$194)</f>
        <v>106.58519341480658</v>
      </c>
      <c r="HD22" s="4">
        <f>100*(DataQ!R204/DataQ!R$194)</f>
        <v>103.97838568986148</v>
      </c>
      <c r="HE22" s="4">
        <f>100*(DataQ!S204/DataQ!S$194)</f>
        <v>96.636812282946437</v>
      </c>
      <c r="HF22" s="4">
        <f>100*(DataQ!T204/DataQ!T$194)</f>
        <v>102.37941723496591</v>
      </c>
      <c r="HG22" s="4">
        <f>100*(DataQ!U204/DataQ!U$194)</f>
        <v>109.48351698502773</v>
      </c>
      <c r="HH22" s="4">
        <f>100*(DataQ!V204/DataQ!V$194)</f>
        <v>104.01834920584574</v>
      </c>
      <c r="HJ22" s="4"/>
      <c r="HK22" s="31">
        <f t="shared" si="23"/>
        <v>97.319095396328677</v>
      </c>
      <c r="HL22" s="31">
        <f t="shared" si="24"/>
        <v>96.636812282946437</v>
      </c>
      <c r="HM22" s="4">
        <f t="shared" si="10"/>
        <v>12.846704702081297</v>
      </c>
      <c r="HN22" s="4">
        <v>100</v>
      </c>
      <c r="HO22" s="31">
        <f t="shared" ref="HO22:HO44" si="72">MAX(HS22:HX22)</f>
        <v>109.48351698502773</v>
      </c>
      <c r="HP22" s="4"/>
      <c r="HR22" s="4">
        <f>100*(DataQ!C204/DataQ!C$194)</f>
        <v>97.319095396328677</v>
      </c>
      <c r="HS22" s="4">
        <f>100*(DataQ!Q204/DataQ!Q$194)</f>
        <v>106.58519341480658</v>
      </c>
      <c r="HT22" s="4">
        <f>100*(DataQ!R204/DataQ!R$194)</f>
        <v>103.97838568986148</v>
      </c>
      <c r="HU22" s="4">
        <f>100*(DataQ!S204/DataQ!S$194)</f>
        <v>96.636812282946437</v>
      </c>
      <c r="HV22" s="4">
        <f>100*(DataQ!T204/DataQ!T$194)</f>
        <v>102.37941723496591</v>
      </c>
      <c r="HW22" s="4">
        <f>100*(DataQ!U204/DataQ!U$194)</f>
        <v>109.48351698502773</v>
      </c>
      <c r="HX22" s="4">
        <f>100*(DataQ!V204/DataQ!V$194)</f>
        <v>104.01834920584574</v>
      </c>
      <c r="HZ22" s="22">
        <v>2007</v>
      </c>
      <c r="IA22">
        <f>DataA!J41/'Chart Data'!IF22</f>
        <v>2.7319853292905272</v>
      </c>
      <c r="IB22">
        <f t="shared" si="26"/>
        <v>2.7319853292905227</v>
      </c>
      <c r="IC22" s="4">
        <f t="shared" si="27"/>
        <v>1.5543122344752192E-13</v>
      </c>
      <c r="IF22" s="3">
        <f>DataA!K41*DataA!L41</f>
        <v>942299.35000000009</v>
      </c>
      <c r="IR22">
        <f>HAVERQ!AH93</f>
        <v>-0.9</v>
      </c>
      <c r="IS22" s="4">
        <f>100*(('IPNR ex BNFL'!I62/'IPNR ex BNFL'!I58)-1)</f>
        <v>9.5060942777424273</v>
      </c>
      <c r="IT22">
        <v>0</v>
      </c>
    </row>
    <row r="23" spans="1:254" x14ac:dyDescent="0.25">
      <c r="B23" s="4">
        <f>100*((DataQ!C93/DataQ!C89)-1)</f>
        <v>7.1242003599987447</v>
      </c>
      <c r="C23" s="4">
        <f t="shared" si="11"/>
        <v>11.478639568643716</v>
      </c>
      <c r="D23" s="4">
        <v>0</v>
      </c>
      <c r="G23" s="4">
        <f>100*((AVERAGE(DataQ!C90:C93)/AVERAGE(DataQ!C86:C89))-1)</f>
        <v>3.0352061645962713</v>
      </c>
      <c r="H23" s="4">
        <f t="shared" si="39"/>
        <v>11.433440389994878</v>
      </c>
      <c r="I23" s="4">
        <v>0</v>
      </c>
      <c r="K23" s="4">
        <f t="shared" si="12"/>
        <v>11.478639568643716</v>
      </c>
      <c r="L23" s="4">
        <f>100*(HAVERQ!AF27/HAVERQ!AI27)</f>
        <v>11.478639568643716</v>
      </c>
      <c r="O23" s="4">
        <f>100*('ONS CVM_SA_(Quarterly)'!B107/'ONS CVM_SA_(Quarterly)'!B$101)</f>
        <v>113.11399271754476</v>
      </c>
      <c r="P23" s="4">
        <f>100*('ONS CVM_SA_(Quarterly)'!D107/'ONS CVM_SA_(Quarterly)'!D$101)</f>
        <v>117.21432074546345</v>
      </c>
      <c r="Q23">
        <v>1000</v>
      </c>
      <c r="R23">
        <v>100</v>
      </c>
      <c r="AI23" s="4">
        <f>100*(('ONS CVM_SA_(Quarterly)'!C111-'ONS CVM_SA_(Quarterly)'!C$96)/'ONS CVM_SA_(Quarterly)'!$B$96)</f>
        <v>5.4682711230119043</v>
      </c>
      <c r="AJ23" s="4">
        <f>100*(('ONS CVM_SA_(Quarterly)'!D111-'ONS CVM_SA_(Quarterly)'!D$96)/'ONS CVM_SA_(Quarterly)'!$B$96)</f>
        <v>1.4307836242216989</v>
      </c>
      <c r="AK23" s="4">
        <f>100*(('ONS CVM_SA_(Quarterly)'!E111-'ONS CVM_SA_(Quarterly)'!E$96)/'ONS CVM_SA_(Quarterly)'!$B$96)</f>
        <v>-7.8797948188534379</v>
      </c>
      <c r="AL23" s="4">
        <f>100*(('ONS CVM_SA_(Quarterly)'!F111-'ONS CVM_SA_(Quarterly)'!F$96)/'ONS CVM_SA_(Quarterly)'!$B$96)</f>
        <v>-1.4114269122818337</v>
      </c>
      <c r="AM23" s="4">
        <f>100*(('ONS CVM_SA_(Quarterly)'!B111-'ONS CVM_SA_(Quarterly)'!B$96)/'ONS CVM_SA_(Quarterly)'!$B$96)</f>
        <v>-2.7389747394909185</v>
      </c>
      <c r="AP23" s="4">
        <f>100*(('ONS CVM_SA_(Quarterly)'!C99-AVERAGE('ONS CVM_SA_(Quarterly)'!C$81:C$84))/AVERAGE('ONS CVM_SA_(Quarterly)'!$B$81:$B$84))</f>
        <v>-2.8792194584344597</v>
      </c>
      <c r="AQ23" s="4">
        <f>100*(('ONS CVM_SA_(Quarterly)'!D99-AVERAGE('ONS CVM_SA_(Quarterly)'!D$81:D$84))/AVERAGE('ONS CVM_SA_(Quarterly)'!$B$81:$B$84))</f>
        <v>-4.8593412559814908</v>
      </c>
      <c r="AR23" s="4">
        <f>100*(('ONS CVM_SA_(Quarterly)'!E99-AVERAGE('ONS CVM_SA_(Quarterly)'!E$81:E$84))/AVERAGE('ONS CVM_SA_(Quarterly)'!$B$81:$B$84))</f>
        <v>-5.1154159390282938</v>
      </c>
      <c r="AS23" s="4">
        <f>100*(('ONS CVM_SA_(Quarterly)'!F99-AVERAGE('ONS CVM_SA_(Quarterly)'!F$81:F$84))/AVERAGE('ONS CVM_SA_(Quarterly)'!$B$81:$B$84))</f>
        <v>1.5323962836756442</v>
      </c>
      <c r="AT23" s="4">
        <f>100*(('ONS CVM_SA_(Quarterly)'!B99-AVERAGE('ONS CVM_SA_(Quarterly)'!B$81:B$84))/AVERAGE('ONS CVM_SA_(Quarterly)'!$B$81:$B$84))</f>
        <v>-11.33008918043946</v>
      </c>
      <c r="AV23" s="36">
        <v>44013</v>
      </c>
      <c r="AW23" s="21">
        <f>HAVERM!D254</f>
        <v>0.10000000000000003</v>
      </c>
      <c r="AX23" s="21">
        <f>HAVERM!B254</f>
        <v>2.66</v>
      </c>
      <c r="AY23" s="21">
        <f>HAVERM!C254</f>
        <v>2.16</v>
      </c>
      <c r="BA23" s="36">
        <v>45078</v>
      </c>
      <c r="BB23" s="21">
        <f t="shared" ref="BB23:BC23" si="73">AX58-AX$39</f>
        <v>3.62</v>
      </c>
      <c r="BC23" s="21">
        <f t="shared" si="73"/>
        <v>0.91000000000000014</v>
      </c>
      <c r="BD23" s="3">
        <v>1000</v>
      </c>
      <c r="BE23" s="3"/>
      <c r="BF23" s="21">
        <v>0</v>
      </c>
      <c r="BJ23" s="4">
        <f>100*(HAVERQ!B139/HAVERQ!B$128)</f>
        <v>98.214343323547439</v>
      </c>
      <c r="BK23" s="4">
        <f>100*(HAVERQ!I139/HAVERQ!I$128)</f>
        <v>108.51542416452442</v>
      </c>
      <c r="BL23" s="4">
        <f>100*(HAVERQ!J139/HAVERQ!J$128)</f>
        <v>86.654878302475552</v>
      </c>
      <c r="BM23" s="4">
        <f>100*(HAVERQ!K139/HAVERQ!K$128)</f>
        <v>88.961038961038966</v>
      </c>
      <c r="BN23" s="4">
        <f>100*((HAVERQ!L139+HAVERQ!M139)/(HAVERQ!L$128+HAVERQ!M$128))</f>
        <v>96.43578352180937</v>
      </c>
      <c r="BO23">
        <v>100</v>
      </c>
      <c r="BR23" s="3">
        <f>HAVERQ!I139-HAVERQ!I$128</f>
        <v>795</v>
      </c>
      <c r="BS23" s="3">
        <f>HAVERQ!J139-HAVERQ!J$128</f>
        <v>-1283</v>
      </c>
      <c r="BT23" s="3">
        <f>HAVERQ!K139-HAVERQ!K$128</f>
        <v>-357</v>
      </c>
      <c r="BU23" s="3">
        <f>(HAVERQ!L139+HAVERQ!M139)-(HAVERQ!L$128+HAVERQ!M$128)</f>
        <v>-1412</v>
      </c>
      <c r="BV23" s="3">
        <f>HAVERQ!N139-HAVERQ!N$128</f>
        <v>-14</v>
      </c>
      <c r="BW23" s="3">
        <f>HAVERQ!B139-HAVERQ!B$128</f>
        <v>-1107</v>
      </c>
      <c r="BZ23" s="4">
        <f>100*((HAVERQ!I143-HAVERQ!I$128)/HAVERQ!$B$128)</f>
        <v>1.774365261154305</v>
      </c>
      <c r="CA23" s="4">
        <f>100*((HAVERQ!J143-HAVERQ!J$128)/HAVERQ!$B$128)</f>
        <v>-2.409910636513211</v>
      </c>
      <c r="CB23" s="4">
        <f>100*((HAVERQ!K143-HAVERQ!K$128)/HAVERQ!$B$128)</f>
        <v>-1.8808271768235636</v>
      </c>
      <c r="CC23" s="4">
        <f>100*(((HAVERQ!L143+HAVERQ!M143)-(HAVERQ!L$128+HAVERQ!M$128))/HAVERQ!$B$128)</f>
        <v>-2.0614898215956385</v>
      </c>
      <c r="CD23" s="4">
        <f t="shared" si="14"/>
        <v>1.8388876342871894</v>
      </c>
      <c r="CE23" s="4">
        <f>100*((HAVERQ!B143-HAVERQ!B$128)/HAVERQ!B$128)</f>
        <v>-2.7389747394909185</v>
      </c>
      <c r="CH23" s="3">
        <f>HAVERQ!I139</f>
        <v>10131</v>
      </c>
      <c r="CI23" s="3">
        <f>HAVERQ!J139</f>
        <v>8331</v>
      </c>
      <c r="CJ23" s="3">
        <f>HAVERQ!K139</f>
        <v>2877</v>
      </c>
      <c r="CK23" s="3">
        <f>HAVERQ!L139+HAVERQ!M139</f>
        <v>38204</v>
      </c>
      <c r="CL23" s="3">
        <f>HAVERQ!N139</f>
        <v>1344</v>
      </c>
      <c r="CO23" s="3">
        <f t="shared" si="61"/>
        <v>-597</v>
      </c>
      <c r="CP23" s="3">
        <f t="shared" si="62"/>
        <v>-187</v>
      </c>
      <c r="CQ23" s="3">
        <f t="shared" si="63"/>
        <v>-1235</v>
      </c>
      <c r="CR23" s="3">
        <f t="shared" si="64"/>
        <v>308</v>
      </c>
      <c r="CS23" s="3">
        <f t="shared" si="65"/>
        <v>1472</v>
      </c>
      <c r="CT23" s="3">
        <f t="shared" si="66"/>
        <v>-487</v>
      </c>
      <c r="CU23" s="3">
        <f t="shared" si="67"/>
        <v>-1412</v>
      </c>
      <c r="CX23" s="3">
        <f>HAVERQ!L139-HAVERQ!L$128</f>
        <v>-597</v>
      </c>
      <c r="CY23" s="3">
        <f>HAVERQ!O139-HAVERQ!O$128</f>
        <v>-187</v>
      </c>
      <c r="CZ23" s="3">
        <f>HAVERQ!P139-HAVERQ!P$128</f>
        <v>-1235</v>
      </c>
      <c r="DA23" s="3">
        <f>HAVERQ!Q139-HAVERQ!Q$128</f>
        <v>308</v>
      </c>
      <c r="DB23" s="3">
        <f>HAVERQ!R139-HAVERQ!R$128</f>
        <v>531</v>
      </c>
      <c r="DC23" s="3">
        <f>HAVERQ!S139-HAVERQ!S$128</f>
        <v>1472</v>
      </c>
      <c r="DD23" s="3">
        <f>HAVERQ!T139-HAVERQ!T$128</f>
        <v>-80</v>
      </c>
      <c r="DE23" s="3">
        <f>HAVERQ!U139-HAVERQ!U$128</f>
        <v>-265</v>
      </c>
      <c r="DF23" s="3">
        <f>HAVERQ!V139-HAVERQ!V$128</f>
        <v>-673</v>
      </c>
      <c r="DG23" s="3">
        <f>(HAVERQ!L139+HAVERQ!M139)-(HAVERQ!L$128+HAVERQ!M$128)</f>
        <v>-1412</v>
      </c>
      <c r="DJ23" s="4">
        <f>100*(HAVERQ!C139/HAVERQ!C$128)</f>
        <v>103.27847928157907</v>
      </c>
      <c r="DK23" s="4">
        <f>100*(HAVERQ!D139/HAVERQ!D$128)</f>
        <v>142.5177619893428</v>
      </c>
      <c r="DL23" s="4">
        <f>100*(HAVERQ!E139/HAVERQ!E$128)</f>
        <v>112.63779290404192</v>
      </c>
      <c r="DM23" s="4">
        <f>100*(HAVERQ!F139/HAVERQ!F$128)</f>
        <v>107.37307191605193</v>
      </c>
      <c r="DN23" s="4">
        <f>100*(HAVERQ!G139/HAVERQ!G$128)</f>
        <v>94.451188260365242</v>
      </c>
      <c r="DO23" s="4">
        <f>100*(HAVERQ!H139/HAVERQ!H$128)</f>
        <v>98.123131645665424</v>
      </c>
      <c r="DP23">
        <v>100</v>
      </c>
      <c r="DS23" s="3">
        <f>HAVERQ!D139-HAVERQ!D$128</f>
        <v>1915</v>
      </c>
      <c r="DT23" s="3">
        <f>HAVERQ!E139-HAVERQ!E$128</f>
        <v>2098</v>
      </c>
      <c r="DU23" s="3">
        <f>HAVERQ!F139-HAVERQ!F$128</f>
        <v>1869</v>
      </c>
      <c r="DV23" s="3">
        <f>HAVERQ!G139-HAVERQ!G$128</f>
        <v>-2057</v>
      </c>
      <c r="DW23" s="3">
        <f>HAVERQ!H139-HAVERQ!H$128</f>
        <v>-496</v>
      </c>
      <c r="DX23" s="3">
        <f>HAVERQ!C139-HAVERQ!C$128</f>
        <v>3596</v>
      </c>
      <c r="EA23" s="4">
        <f t="shared" si="29"/>
        <v>0.3723733064916086</v>
      </c>
      <c r="EB23" s="4">
        <f t="shared" si="30"/>
        <v>0.3571299581573727</v>
      </c>
      <c r="EC23" s="4">
        <f t="shared" si="18"/>
        <v>-2.3815143504531733</v>
      </c>
      <c r="ED23" s="3">
        <v>0</v>
      </c>
      <c r="EF23" s="4">
        <f t="shared" si="31"/>
        <v>0.7295032646489813</v>
      </c>
      <c r="EG23" s="4">
        <f t="shared" si="32"/>
        <v>0.52718562581190009</v>
      </c>
      <c r="EJ23" s="3">
        <f>'IPNR ex BNFL'!I31</f>
        <v>42368</v>
      </c>
      <c r="EL23">
        <v>2004</v>
      </c>
      <c r="EM23" s="4">
        <f t="shared" si="35"/>
        <v>0.7295032646489813</v>
      </c>
      <c r="EN23" s="4">
        <f t="shared" si="36"/>
        <v>0.3723733064916086</v>
      </c>
      <c r="EO23" s="4">
        <f t="shared" si="37"/>
        <v>0.47968030629511049</v>
      </c>
      <c r="EQ23">
        <v>2004</v>
      </c>
      <c r="ER23" s="4">
        <f>(HAVERQ!W65*$EW$2)+(HAVERQ!X65*$EX$2)/($EW$2+$EX$2)</f>
        <v>16.754136542287348</v>
      </c>
      <c r="ES23" s="4">
        <f>(HAVERQ!AB65*$EW$2)+(HAVERQ!AC65*$EY$2)+(HAVERQ!AD65*$EZ$2)+(HAVERQ!AE65*$FA$2)/($EW$2+$EY$2+$EZ$2+$FA$2)</f>
        <v>-0.99584728354925878</v>
      </c>
      <c r="ET23" s="21">
        <f>(HAVERQ!Y65*$EW$2)+(HAVERQ!Z65*$EX$2)/($EW$2+$EX$2)</f>
        <v>1.5759651932003815</v>
      </c>
      <c r="FC23" s="26">
        <v>44013</v>
      </c>
      <c r="FD23" s="4">
        <f>100*((HAVERM!E254+HAVERM!F254)/(HAVERM!E$249+HAVERM!F$249))</f>
        <v>111.57779367734115</v>
      </c>
      <c r="FE23" s="4">
        <f>100*(HAVERM!E254/HAVERM!E$249)</f>
        <v>125.37719467489872</v>
      </c>
      <c r="FF23" s="4">
        <f>100*(HAVERM!F254/HAVERM!F$249)</f>
        <v>104.00598498108519</v>
      </c>
      <c r="FG23">
        <v>100</v>
      </c>
      <c r="FV23" s="26">
        <v>42887</v>
      </c>
      <c r="FW23" s="3">
        <f>HAVERM!G217</f>
        <v>384147</v>
      </c>
      <c r="FX23" s="4"/>
      <c r="FY23" s="3">
        <f t="shared" si="19"/>
        <v>5046</v>
      </c>
      <c r="GD23" s="4">
        <f>100*(DataQ!W173/DataQ!W$194)</f>
        <v>88.4895271365464</v>
      </c>
      <c r="GE23" s="4">
        <f>100*(DataQ!X173/DataQ!X$194)</f>
        <v>87.457459655285987</v>
      </c>
      <c r="GF23" s="4">
        <f>100*(DataQ!C173/DataQ!C$194)</f>
        <v>84.816272542504109</v>
      </c>
      <c r="GG23" s="4"/>
      <c r="GH23">
        <v>100</v>
      </c>
      <c r="GK23" s="4">
        <f>100*(DataQ!Z153/AVERAGE(DataQ!$Z$203:$Z$206))</f>
        <v>64.473517083703797</v>
      </c>
      <c r="GL23" s="4">
        <f>100*(DataQ!C153/AVERAGE(DataQ!$C$203:$C$206))</f>
        <v>66.805364080711868</v>
      </c>
      <c r="GM23" s="4">
        <v>100</v>
      </c>
      <c r="GP23" s="4">
        <f>100*(DataQ!Z153/DataQ!$Z$194)</f>
        <v>64.232977850697296</v>
      </c>
      <c r="GQ23" s="4">
        <f>100*(DataQ!C153/DataQ!$C$194)</f>
        <v>64.486885827660743</v>
      </c>
      <c r="GR23" s="4">
        <v>100</v>
      </c>
      <c r="GT23" s="4"/>
      <c r="GU23" s="31">
        <f t="shared" si="68"/>
        <v>98.214343323547439</v>
      </c>
      <c r="GV23" s="31">
        <f t="shared" si="69"/>
        <v>96.865289709376711</v>
      </c>
      <c r="GW23" s="4">
        <f t="shared" si="70"/>
        <v>13.732254991791919</v>
      </c>
      <c r="GX23" s="4">
        <v>100</v>
      </c>
      <c r="GY23" s="31">
        <f t="shared" si="71"/>
        <v>110.59754470116863</v>
      </c>
      <c r="GZ23" s="4"/>
      <c r="HB23" s="4">
        <f>100*(DataQ!C205/DataQ!C$194)</f>
        <v>98.214343323547439</v>
      </c>
      <c r="HC23" s="4">
        <f>100*(DataQ!Q205/DataQ!Q$194)</f>
        <v>108.57825808840857</v>
      </c>
      <c r="HD23" s="4">
        <f>100*(DataQ!R205/DataQ!R$194)</f>
        <v>106.1861805338345</v>
      </c>
      <c r="HE23" s="4">
        <f>100*(DataQ!S205/DataQ!S$194)</f>
        <v>96.865289709376711</v>
      </c>
      <c r="HF23" s="4">
        <f>100*(DataQ!T205/DataQ!T$194)</f>
        <v>105.04896466212028</v>
      </c>
      <c r="HG23" s="4">
        <f>100*(DataQ!U205/DataQ!U$194)</f>
        <v>110.59754470116863</v>
      </c>
      <c r="HH23" s="4">
        <f>100*(DataQ!V205/DataQ!V$194)</f>
        <v>103.962048703899</v>
      </c>
      <c r="HJ23" s="4"/>
      <c r="HK23" s="31">
        <f t="shared" si="23"/>
        <v>98.214343323547439</v>
      </c>
      <c r="HL23" s="31">
        <f t="shared" si="24"/>
        <v>96.865289709376711</v>
      </c>
      <c r="HM23" s="4">
        <f t="shared" si="10"/>
        <v>13.732254991791919</v>
      </c>
      <c r="HN23" s="4">
        <v>100</v>
      </c>
      <c r="HO23" s="31">
        <f t="shared" si="72"/>
        <v>110.59754470116863</v>
      </c>
      <c r="HP23" s="4"/>
      <c r="HR23" s="4">
        <f>100*(DataQ!C205/DataQ!C$194)</f>
        <v>98.214343323547439</v>
      </c>
      <c r="HS23" s="4">
        <f>100*(DataQ!Q205/DataQ!Q$194)</f>
        <v>108.57825808840857</v>
      </c>
      <c r="HT23" s="4">
        <f>100*(DataQ!R205/DataQ!R$194)</f>
        <v>106.1861805338345</v>
      </c>
      <c r="HU23" s="4">
        <f>100*(DataQ!S205/DataQ!S$194)</f>
        <v>96.865289709376711</v>
      </c>
      <c r="HV23" s="4">
        <f>100*(DataQ!T205/DataQ!T$194)</f>
        <v>105.04896466212028</v>
      </c>
      <c r="HW23" s="4">
        <f>100*(DataQ!U205/DataQ!U$194)</f>
        <v>110.59754470116863</v>
      </c>
      <c r="HX23" s="4">
        <f>100*(DataQ!V205/DataQ!V$194)</f>
        <v>103.962048703899</v>
      </c>
      <c r="HZ23" s="22">
        <v>2008</v>
      </c>
      <c r="IA23">
        <f>DataA!J42/'Chart Data'!IF23</f>
        <v>2.7896222261221948</v>
      </c>
      <c r="IB23">
        <f t="shared" si="26"/>
        <v>2.8045624559323601</v>
      </c>
      <c r="IC23" s="4">
        <f t="shared" si="27"/>
        <v>-0.5327116099184348</v>
      </c>
      <c r="IF23" s="3">
        <f>DataA!K42*DataA!L42</f>
        <v>947371.28750000009</v>
      </c>
      <c r="IR23">
        <f>HAVERQ!AH94</f>
        <v>-7.4</v>
      </c>
      <c r="IS23" s="4">
        <f>100*(('IPNR ex BNFL'!I63/'IPNR ex BNFL'!I59)-1)</f>
        <v>8.2464810174016847</v>
      </c>
      <c r="IT23">
        <v>0</v>
      </c>
    </row>
    <row r="24" spans="1:254" x14ac:dyDescent="0.25">
      <c r="B24" s="4">
        <f>100*((DataQ!C94/DataQ!C90)-1)</f>
        <v>8.3822035956203411</v>
      </c>
      <c r="C24" s="4">
        <f t="shared" si="11"/>
        <v>11.41833204748513</v>
      </c>
      <c r="D24" s="4">
        <v>0</v>
      </c>
      <c r="G24" s="4">
        <f>100*((AVERAGE(DataQ!C91:C94)/AVERAGE(DataQ!C87:C90))-1)</f>
        <v>4.8902138041109433</v>
      </c>
      <c r="H24" s="4">
        <f t="shared" si="39"/>
        <v>11.256403277993511</v>
      </c>
      <c r="I24" s="4">
        <v>0</v>
      </c>
      <c r="K24" s="4">
        <f t="shared" si="12"/>
        <v>11.41833204748513</v>
      </c>
      <c r="L24" s="4">
        <f>100*(HAVERQ!AF28/HAVERQ!AI28)</f>
        <v>11.41833204748513</v>
      </c>
      <c r="O24" s="4">
        <f>100*('ONS CVM_SA_(Quarterly)'!B108/'ONS CVM_SA_(Quarterly)'!B$101)</f>
        <v>110.06910901389611</v>
      </c>
      <c r="P24" s="4">
        <f>100*('ONS CVM_SA_(Quarterly)'!D108/'ONS CVM_SA_(Quarterly)'!D$101)</f>
        <v>108.21481118195193</v>
      </c>
      <c r="Q24">
        <v>1000</v>
      </c>
      <c r="R24">
        <v>100</v>
      </c>
      <c r="AI24" s="4">
        <f>100*(('ONS CVM_SA_(Quarterly)'!C112-'ONS CVM_SA_(Quarterly)'!C$96)/'ONS CVM_SA_(Quarterly)'!$B$96)</f>
        <v>5.8925057263606151</v>
      </c>
      <c r="AJ24" s="4">
        <f>100*(('ONS CVM_SA_(Quarterly)'!D112-'ONS CVM_SA_(Quarterly)'!D$96)/'ONS CVM_SA_(Quarterly)'!$B$96)</f>
        <v>1.1323676484821112</v>
      </c>
      <c r="AK24" s="4">
        <f>100*(('ONS CVM_SA_(Quarterly)'!E112-'ONS CVM_SA_(Quarterly)'!E$96)/'ONS CVM_SA_(Quarterly)'!$B$96)</f>
        <v>-6.4377197793334844</v>
      </c>
      <c r="AL24" s="4">
        <f>100*(('ONS CVM_SA_(Quarterly)'!F112-'ONS CVM_SA_(Quarterly)'!F$96)/'ONS CVM_SA_(Quarterly)'!$B$96)</f>
        <v>-1.8098525663773914</v>
      </c>
      <c r="AM24" s="4">
        <f>100*(('ONS CVM_SA_(Quarterly)'!B112-'ONS CVM_SA_(Quarterly)'!B$96)/'ONS CVM_SA_(Quarterly)'!$B$96)</f>
        <v>-1.5695067264573992</v>
      </c>
      <c r="AP24" s="4">
        <f>100*(('ONS CVM_SA_(Quarterly)'!C100-AVERAGE('ONS CVM_SA_(Quarterly)'!C$81:C$84))/AVERAGE('ONS CVM_SA_(Quarterly)'!$B$81:$B$84))</f>
        <v>-1.1693536950523291</v>
      </c>
      <c r="AQ24" s="4">
        <f>100*(('ONS CVM_SA_(Quarterly)'!D100-AVERAGE('ONS CVM_SA_(Quarterly)'!D$81:D$84))/AVERAGE('ONS CVM_SA_(Quarterly)'!$B$81:$B$84))</f>
        <v>-2.6843271759257386</v>
      </c>
      <c r="AR24" s="4">
        <f>100*(('ONS CVM_SA_(Quarterly)'!E100-AVERAGE('ONS CVM_SA_(Quarterly)'!E$81:E$84))/AVERAGE('ONS CVM_SA_(Quarterly)'!$B$81:$B$84))</f>
        <v>-4.4444354404119881</v>
      </c>
      <c r="AS24" s="4">
        <f>100*(('ONS CVM_SA_(Quarterly)'!F100-AVERAGE('ONS CVM_SA_(Quarterly)'!F$81:F$84))/AVERAGE('ONS CVM_SA_(Quarterly)'!$B$81:$B$84))</f>
        <v>1.8176440318796772</v>
      </c>
      <c r="AT24" s="4">
        <f>100*(('ONS CVM_SA_(Quarterly)'!B100-AVERAGE('ONS CVM_SA_(Quarterly)'!B$81:B$84))/AVERAGE('ONS CVM_SA_(Quarterly)'!$B$81:$B$84))</f>
        <v>-6.3625644744999041</v>
      </c>
      <c r="AV24" s="36">
        <v>44044</v>
      </c>
      <c r="AW24" s="21">
        <f>HAVERM!D255</f>
        <v>0.10000000000000002</v>
      </c>
      <c r="AX24" s="21">
        <f>HAVERM!B255</f>
        <v>2.5299999999999998</v>
      </c>
      <c r="AY24" s="21">
        <f>HAVERM!C255</f>
        <v>2.14</v>
      </c>
      <c r="BA24" s="36">
        <v>45108</v>
      </c>
      <c r="BB24" s="21">
        <f t="shared" ref="BB24:BC24" si="74">AX59-AX$39</f>
        <v>3.8099999999999996</v>
      </c>
      <c r="BC24" s="21">
        <f t="shared" si="74"/>
        <v>0.96</v>
      </c>
      <c r="BD24" s="3">
        <v>1000</v>
      </c>
      <c r="BE24" s="3"/>
      <c r="BF24" s="21">
        <v>0</v>
      </c>
      <c r="BJ24" s="4">
        <f>100*(HAVERQ!B140/HAVERQ!B$128)</f>
        <v>95.570539084427537</v>
      </c>
      <c r="BK24" s="4">
        <f>100*(HAVERQ!I140/HAVERQ!I$128)</f>
        <v>108.36546700942588</v>
      </c>
      <c r="BL24" s="4">
        <f>100*(HAVERQ!J140/HAVERQ!J$128)</f>
        <v>86.540461826503019</v>
      </c>
      <c r="BM24" s="4">
        <f>100*(HAVERQ!K140/HAVERQ!K$128)</f>
        <v>89.424860853432293</v>
      </c>
      <c r="BN24" s="4">
        <f>100*((HAVERQ!L140+HAVERQ!M140)/(HAVERQ!L$128+HAVERQ!M$128))</f>
        <v>92.283420840064622</v>
      </c>
      <c r="BO24">
        <v>100</v>
      </c>
      <c r="BR24" s="3">
        <f>HAVERQ!I140-HAVERQ!I$128</f>
        <v>781</v>
      </c>
      <c r="BS24" s="3">
        <f>HAVERQ!J140-HAVERQ!J$128</f>
        <v>-1294</v>
      </c>
      <c r="BT24" s="3">
        <f>HAVERQ!K140-HAVERQ!K$128</f>
        <v>-342</v>
      </c>
      <c r="BU24" s="3">
        <f>(HAVERQ!L140+HAVERQ!M140)-(HAVERQ!L$128+HAVERQ!M$128)</f>
        <v>-3057</v>
      </c>
      <c r="BV24" s="3">
        <f>HAVERQ!N140-HAVERQ!N$128</f>
        <v>2</v>
      </c>
      <c r="BW24" s="3">
        <f>HAVERQ!B140-HAVERQ!B$128</f>
        <v>-2746</v>
      </c>
      <c r="BZ24" s="4">
        <f>100*((HAVERQ!I144-HAVERQ!I$128)/HAVERQ!$B$128)</f>
        <v>1.6840339387682681</v>
      </c>
      <c r="CA24" s="4">
        <f>100*((HAVERQ!J144-HAVERQ!J$128)/HAVERQ!$B$128)</f>
        <v>-1.3017388779559314</v>
      </c>
      <c r="CB24" s="4">
        <f>100*((HAVERQ!K144-HAVERQ!K$128)/HAVERQ!$B$128)</f>
        <v>-1.7662999645126947</v>
      </c>
      <c r="CC24" s="4">
        <f>100*(((HAVERQ!L144+HAVERQ!M144)-(HAVERQ!L$128+HAVERQ!M$128))/HAVERQ!$B$128)</f>
        <v>-1.9824499145078556</v>
      </c>
      <c r="CD24" s="4">
        <f t="shared" si="14"/>
        <v>1.796948091750814</v>
      </c>
      <c r="CE24" s="4">
        <f>100*((HAVERQ!B144-HAVERQ!B$128)/HAVERQ!B$128)</f>
        <v>-1.5695067264573992</v>
      </c>
      <c r="CH24" s="3">
        <f>HAVERQ!I140</f>
        <v>10117</v>
      </c>
      <c r="CI24" s="3">
        <f>HAVERQ!J140</f>
        <v>8320</v>
      </c>
      <c r="CJ24" s="3">
        <f>HAVERQ!K140</f>
        <v>2892</v>
      </c>
      <c r="CK24" s="3">
        <f>HAVERQ!L140+HAVERQ!M140</f>
        <v>36559</v>
      </c>
      <c r="CL24" s="3">
        <f>HAVERQ!N140</f>
        <v>1360</v>
      </c>
      <c r="CO24" s="3">
        <f t="shared" si="61"/>
        <v>35</v>
      </c>
      <c r="CP24" s="3">
        <f t="shared" si="62"/>
        <v>-194</v>
      </c>
      <c r="CQ24" s="3">
        <f t="shared" si="63"/>
        <v>-1171</v>
      </c>
      <c r="CR24" s="3">
        <f t="shared" si="64"/>
        <v>2491</v>
      </c>
      <c r="CS24" s="3">
        <f t="shared" si="65"/>
        <v>-1942</v>
      </c>
      <c r="CT24" s="3">
        <f t="shared" si="66"/>
        <v>-1590</v>
      </c>
      <c r="CU24" s="3">
        <f t="shared" si="67"/>
        <v>-3057</v>
      </c>
      <c r="CX24" s="3">
        <f>HAVERQ!L140-HAVERQ!L$128</f>
        <v>35</v>
      </c>
      <c r="CY24" s="3">
        <f>HAVERQ!O140-HAVERQ!O$128</f>
        <v>-194</v>
      </c>
      <c r="CZ24" s="3">
        <f>HAVERQ!P140-HAVERQ!P$128</f>
        <v>-1171</v>
      </c>
      <c r="DA24" s="3">
        <f>HAVERQ!Q140-HAVERQ!Q$128</f>
        <v>2491</v>
      </c>
      <c r="DB24" s="3">
        <f>HAVERQ!R140-HAVERQ!R$128</f>
        <v>49</v>
      </c>
      <c r="DC24" s="3">
        <f>HAVERQ!S140-HAVERQ!S$128</f>
        <v>-1942</v>
      </c>
      <c r="DD24" s="3">
        <f>HAVERQ!T140-HAVERQ!T$128</f>
        <v>-835</v>
      </c>
      <c r="DE24" s="3">
        <f>HAVERQ!U140-HAVERQ!U$128</f>
        <v>-285</v>
      </c>
      <c r="DF24" s="3">
        <f>HAVERQ!V140-HAVERQ!V$128</f>
        <v>-519</v>
      </c>
      <c r="DG24" s="3">
        <f>(HAVERQ!L140+HAVERQ!M140)-(HAVERQ!L$128+HAVERQ!M$128)</f>
        <v>-3057</v>
      </c>
      <c r="DJ24" s="4">
        <f>100*(HAVERQ!C140/HAVERQ!C$128)</f>
        <v>101.91639695491634</v>
      </c>
      <c r="DK24" s="4">
        <f>100*(HAVERQ!D140/HAVERQ!D$128)</f>
        <v>155.90586145648314</v>
      </c>
      <c r="DL24" s="4">
        <f>100*(HAVERQ!E140/HAVERQ!E$128)</f>
        <v>106.74658153123306</v>
      </c>
      <c r="DM24" s="4">
        <f>100*(HAVERQ!F140/HAVERQ!F$128)</f>
        <v>106.26060199613396</v>
      </c>
      <c r="DN24" s="4">
        <f>100*(HAVERQ!G140/HAVERQ!G$128)</f>
        <v>91.637668258207228</v>
      </c>
      <c r="DO24" s="4">
        <f>100*(HAVERQ!H140/HAVERQ!H$128)</f>
        <v>98.902637454118889</v>
      </c>
      <c r="DP24">
        <v>100</v>
      </c>
      <c r="DS24" s="3">
        <f>HAVERQ!D140-HAVERQ!D$128</f>
        <v>2518</v>
      </c>
      <c r="DT24" s="3">
        <f>HAVERQ!E140-HAVERQ!E$128</f>
        <v>1120</v>
      </c>
      <c r="DU24" s="3">
        <f>HAVERQ!F140-HAVERQ!F$128</f>
        <v>1587</v>
      </c>
      <c r="DV24" s="3">
        <f>HAVERQ!G140-HAVERQ!G$128</f>
        <v>-3100</v>
      </c>
      <c r="DW24" s="3">
        <f>HAVERQ!H140-HAVERQ!H$128</f>
        <v>-290</v>
      </c>
      <c r="DX24" s="3">
        <f>HAVERQ!C140-HAVERQ!C$128</f>
        <v>2102</v>
      </c>
      <c r="EA24" s="4">
        <f t="shared" si="29"/>
        <v>0.71175285658206378</v>
      </c>
      <c r="EB24" s="4">
        <f t="shared" si="30"/>
        <v>0.36777692982617627</v>
      </c>
      <c r="EC24" s="4">
        <f t="shared" si="18"/>
        <v>0.36804862990928999</v>
      </c>
      <c r="ED24" s="3">
        <v>0</v>
      </c>
      <c r="EF24" s="4">
        <f t="shared" si="31"/>
        <v>1.07952978640824</v>
      </c>
      <c r="EG24" s="4">
        <f t="shared" si="32"/>
        <v>0.90786401867888344</v>
      </c>
      <c r="EJ24" s="3">
        <f>'IPNR ex BNFL'!I32</f>
        <v>42114</v>
      </c>
      <c r="EM24" s="4">
        <f t="shared" si="35"/>
        <v>0.93230941304634674</v>
      </c>
      <c r="EN24" s="4">
        <f t="shared" si="36"/>
        <v>1.07952978640824</v>
      </c>
      <c r="EO24" s="4">
        <f t="shared" si="37"/>
        <v>0.71175285658206378</v>
      </c>
      <c r="ER24" s="4">
        <f>(HAVERQ!W66*$EW$2)+(HAVERQ!X66*$EX$2)/($EW$2+$EX$2)</f>
        <v>19.131204813431026</v>
      </c>
      <c r="ES24" s="4">
        <f>(HAVERQ!AB66*$EW$2)+(HAVERQ!AC66*$EY$2)+(HAVERQ!AD66*$EZ$2)+(HAVERQ!AE66*$FA$2)/($EW$2+$EY$2+$EZ$2+$FA$2)</f>
        <v>8.9551207401297184</v>
      </c>
      <c r="ET24" s="21">
        <f>(HAVERQ!Y66*$EW$2)+(HAVERQ!Z66*$EX$2)/($EW$2+$EX$2)</f>
        <v>1.9404451129765314</v>
      </c>
      <c r="FC24" s="26">
        <v>44044</v>
      </c>
      <c r="FD24" s="4">
        <f>100*((HAVERM!E255+HAVERM!F255)/(HAVERM!E$249+HAVERM!F$249))</f>
        <v>112.20053501524383</v>
      </c>
      <c r="FE24" s="4">
        <f>100*(HAVERM!E255/HAVERM!E$249)</f>
        <v>127.06926490449545</v>
      </c>
      <c r="FF24" s="4">
        <f>100*(HAVERM!F255/HAVERM!F$249)</f>
        <v>104.04197956072498</v>
      </c>
      <c r="FG24">
        <v>100</v>
      </c>
      <c r="FV24" s="26">
        <v>42917</v>
      </c>
      <c r="FW24" s="3">
        <f>HAVERM!G218</f>
        <v>379497</v>
      </c>
      <c r="FX24" s="4"/>
      <c r="FY24" s="3">
        <f t="shared" si="19"/>
        <v>-4650</v>
      </c>
      <c r="GD24" s="4">
        <f>100*(DataQ!W174/DataQ!W$194)</f>
        <v>90.428946294620744</v>
      </c>
      <c r="GE24" s="4">
        <f>100*(DataQ!X174/DataQ!X$194)</f>
        <v>89.579902660372525</v>
      </c>
      <c r="GF24" s="4">
        <f>100*(DataQ!C174/DataQ!C$194)</f>
        <v>87.869793851017846</v>
      </c>
      <c r="GG24" s="4"/>
      <c r="GH24">
        <v>100</v>
      </c>
      <c r="GK24" s="4">
        <f>100*(DataQ!Z154/AVERAGE(DataQ!$Z$203:$Z$206))</f>
        <v>63.914644989203609</v>
      </c>
      <c r="GL24" s="4">
        <f>100*(DataQ!C154/AVERAGE(DataQ!$C$203:$C$206))</f>
        <v>66.203784935455573</v>
      </c>
      <c r="GM24" s="4">
        <v>100</v>
      </c>
      <c r="GP24" s="4">
        <f>100*(DataQ!Z154/DataQ!$Z$194)</f>
        <v>63.676190808650269</v>
      </c>
      <c r="GQ24" s="4">
        <f>100*(DataQ!C154/DataQ!$C$194)</f>
        <v>63.90618446946479</v>
      </c>
      <c r="GR24" s="4">
        <v>100</v>
      </c>
      <c r="GT24" s="4"/>
      <c r="GU24" s="31">
        <f t="shared" si="68"/>
        <v>95.570539084427537</v>
      </c>
      <c r="GV24" s="31">
        <f t="shared" si="69"/>
        <v>96.865289709376711</v>
      </c>
      <c r="GW24" s="4">
        <f t="shared" si="70"/>
        <v>13.50412638209977</v>
      </c>
      <c r="GX24" s="4">
        <v>100</v>
      </c>
      <c r="GY24" s="31">
        <f t="shared" si="71"/>
        <v>110.36941609147648</v>
      </c>
      <c r="GZ24" s="4"/>
      <c r="HB24" s="4">
        <f>100*(DataQ!C206/DataQ!C$194)</f>
        <v>95.570539084427537</v>
      </c>
      <c r="HC24" s="4">
        <f>100*(DataQ!Q206/DataQ!Q$194)</f>
        <v>110.08988991011009</v>
      </c>
      <c r="HD24" s="4">
        <f>100*(DataQ!R206/DataQ!R$194)</f>
        <v>104.91894864363884</v>
      </c>
      <c r="HE24" s="4">
        <f>100*(DataQ!S206/DataQ!S$194)</f>
        <v>96.865289709376711</v>
      </c>
      <c r="HF24" s="4">
        <f>100*(DataQ!T206/DataQ!T$194)</f>
        <v>105.66646001239926</v>
      </c>
      <c r="HG24" s="4">
        <f>100*(DataQ!U206/DataQ!U$194)</f>
        <v>110.36941609147648</v>
      </c>
      <c r="HH24" s="4">
        <f>100*(DataQ!V206/DataQ!V$194)</f>
        <v>102.15329595825833</v>
      </c>
      <c r="HJ24" s="4"/>
      <c r="HK24" s="31">
        <f t="shared" si="23"/>
        <v>95.570539084427537</v>
      </c>
      <c r="HL24" s="31">
        <f t="shared" si="24"/>
        <v>96.865289709376711</v>
      </c>
      <c r="HM24" s="4">
        <f t="shared" si="10"/>
        <v>13.50412638209977</v>
      </c>
      <c r="HN24" s="4">
        <v>100</v>
      </c>
      <c r="HO24" s="31">
        <f t="shared" si="72"/>
        <v>110.36941609147648</v>
      </c>
      <c r="HP24" s="4"/>
      <c r="HR24" s="4">
        <f>100*(DataQ!C206/DataQ!C$194)</f>
        <v>95.570539084427537</v>
      </c>
      <c r="HS24" s="4">
        <f>100*(DataQ!Q206/DataQ!Q$194)</f>
        <v>110.08988991011009</v>
      </c>
      <c r="HT24" s="4">
        <f>100*(DataQ!R206/DataQ!R$194)</f>
        <v>104.91894864363884</v>
      </c>
      <c r="HU24" s="4">
        <f>100*(DataQ!S206/DataQ!S$194)</f>
        <v>96.865289709376711</v>
      </c>
      <c r="HV24" s="4">
        <f>100*(DataQ!T206/DataQ!T$194)</f>
        <v>105.66646001239926</v>
      </c>
      <c r="HW24" s="4">
        <f>100*(DataQ!U206/DataQ!U$194)</f>
        <v>110.36941609147648</v>
      </c>
      <c r="HX24" s="4">
        <f>100*(DataQ!V206/DataQ!V$194)</f>
        <v>102.15329595825833</v>
      </c>
      <c r="HZ24" s="22">
        <v>2009</v>
      </c>
      <c r="IA24">
        <f>DataA!J43/'Chart Data'!IF24</f>
        <v>2.9013706040341707</v>
      </c>
      <c r="IB24">
        <f t="shared" si="26"/>
        <v>2.8790676453844593</v>
      </c>
      <c r="IC24" s="4">
        <f t="shared" si="27"/>
        <v>0.77465907011480262</v>
      </c>
      <c r="IF24" s="3">
        <f>DataA!K43*DataA!L43</f>
        <v>919871.8</v>
      </c>
      <c r="IR24">
        <f>HAVERQ!AH95</f>
        <v>-12.2</v>
      </c>
      <c r="IS24" s="4">
        <f>100*(('IPNR ex BNFL'!I64/'IPNR ex BNFL'!I60)-1)</f>
        <v>4.0821707129517826</v>
      </c>
      <c r="IT24">
        <v>0</v>
      </c>
    </row>
    <row r="25" spans="1:254" x14ac:dyDescent="0.25">
      <c r="A25">
        <v>1995</v>
      </c>
      <c r="B25" s="4">
        <f>100*((DataQ!C95/DataQ!C91)-1)</f>
        <v>4.247526929329859</v>
      </c>
      <c r="C25" s="4">
        <f t="shared" si="11"/>
        <v>12.317572970811677</v>
      </c>
      <c r="D25" s="4">
        <v>0</v>
      </c>
      <c r="F25">
        <v>1995</v>
      </c>
      <c r="G25" s="4">
        <f>100*((AVERAGE(DataQ!C92:C95)/AVERAGE(DataQ!C88:C91))-1)</f>
        <v>5.8421250095403554</v>
      </c>
      <c r="H25" s="4">
        <f t="shared" si="39"/>
        <v>11.569413520288766</v>
      </c>
      <c r="I25" s="4">
        <v>0</v>
      </c>
      <c r="K25" s="4">
        <f t="shared" si="12"/>
        <v>12.317572970811677</v>
      </c>
      <c r="L25" s="4">
        <f>100*(HAVERQ!AF29/HAVERQ!AI29)</f>
        <v>12.317572970811677</v>
      </c>
      <c r="N25">
        <v>2023</v>
      </c>
      <c r="O25" s="4">
        <f>100*('ONS CVM_SA_(Quarterly)'!B109/'ONS CVM_SA_(Quarterly)'!B$101)</f>
        <v>116.07713457680018</v>
      </c>
      <c r="P25" s="4">
        <f>100*('ONS CVM_SA_(Quarterly)'!D109/'ONS CVM_SA_(Quarterly)'!D$101)</f>
        <v>115.78388098741212</v>
      </c>
      <c r="Q25">
        <v>1000</v>
      </c>
      <c r="R25">
        <v>100</v>
      </c>
      <c r="AH25">
        <v>2024</v>
      </c>
      <c r="AI25" s="4">
        <f>100*(('ONS CVM_SA_(Quarterly)'!C113-'ONS CVM_SA_(Quarterly)'!C$96)/'ONS CVM_SA_(Quarterly)'!$B$96)</f>
        <v>5.6682904797238445</v>
      </c>
      <c r="AJ25" s="4">
        <f>100*(('ONS CVM_SA_(Quarterly)'!D113-'ONS CVM_SA_(Quarterly)'!D$96)/'ONS CVM_SA_(Quarterly)'!$B$96)</f>
        <v>2.1905345678614059</v>
      </c>
      <c r="AK25" s="4">
        <f>100*(('ONS CVM_SA_(Quarterly)'!E113-'ONS CVM_SA_(Quarterly)'!E$96)/'ONS CVM_SA_(Quarterly)'!$B$96)</f>
        <v>-6.3409362196341581</v>
      </c>
      <c r="AL25" s="4">
        <f>100*(('ONS CVM_SA_(Quarterly)'!F113-'ONS CVM_SA_(Quarterly)'!F$96)/'ONS CVM_SA_(Quarterly)'!$B$96)</f>
        <v>-2.1776300932348289</v>
      </c>
      <c r="AM25" s="4">
        <f>100*(('ONS CVM_SA_(Quarterly)'!B113-'ONS CVM_SA_(Quarterly)'!B$96)/'ONS CVM_SA_(Quarterly)'!$B$96)</f>
        <v>-1.0065490208729877</v>
      </c>
      <c r="AO25">
        <v>2021</v>
      </c>
      <c r="AP25" s="4">
        <f>100*(('ONS CVM_SA_(Quarterly)'!C101-AVERAGE('ONS CVM_SA_(Quarterly)'!C$81:C$84))/AVERAGE('ONS CVM_SA_(Quarterly)'!$B$81:$B$84))</f>
        <v>-5.8305612168409615</v>
      </c>
      <c r="AQ25" s="4">
        <f>100*(('ONS CVM_SA_(Quarterly)'!D101-AVERAGE('ONS CVM_SA_(Quarterly)'!D$81:D$84))/AVERAGE('ONS CVM_SA_(Quarterly)'!$B$81:$B$84))</f>
        <v>-2.1916265199369538</v>
      </c>
      <c r="AR25" s="4">
        <f>100*(('ONS CVM_SA_(Quarterly)'!E101-AVERAGE('ONS CVM_SA_(Quarterly)'!E$81:E$84))/AVERAGE('ONS CVM_SA_(Quarterly)'!$B$81:$B$84))</f>
        <v>-6.3893064508940336</v>
      </c>
      <c r="AS25" s="4">
        <f>100*(('ONS CVM_SA_(Quarterly)'!F101-AVERAGE('ONS CVM_SA_(Quarterly)'!F$81:F$84))/AVERAGE('ONS CVM_SA_(Quarterly)'!$B$81:$B$84))</f>
        <v>1.8581621779313866</v>
      </c>
      <c r="AT25" s="4">
        <f>100*(('ONS CVM_SA_(Quarterly)'!B101-AVERAGE('ONS CVM_SA_(Quarterly)'!B$81:B$84))/AVERAGE('ONS CVM_SA_(Quarterly)'!$B$81:$B$84))</f>
        <v>-12.759569373143762</v>
      </c>
      <c r="AV25" s="36">
        <v>44075</v>
      </c>
      <c r="AW25" s="21">
        <f>HAVERM!D256</f>
        <v>0.10000000000000003</v>
      </c>
      <c r="AX25" s="21">
        <f>HAVERM!B256</f>
        <v>2.52</v>
      </c>
      <c r="AY25" s="21">
        <f>HAVERM!C256</f>
        <v>2.13</v>
      </c>
      <c r="BA25" s="36">
        <v>45139</v>
      </c>
      <c r="BB25" s="21">
        <f t="shared" ref="BB25:BC25" si="75">AX60-AX$39</f>
        <v>4.01</v>
      </c>
      <c r="BC25" s="21">
        <f t="shared" si="75"/>
        <v>1.0499999999999998</v>
      </c>
      <c r="BD25" s="3">
        <v>1000</v>
      </c>
      <c r="BE25" s="3"/>
      <c r="BF25" s="21">
        <v>0</v>
      </c>
      <c r="BI25">
        <v>2023</v>
      </c>
      <c r="BJ25" s="4">
        <f>100*(HAVERQ!B141/HAVERQ!B$128)</f>
        <v>100.7871729522212</v>
      </c>
      <c r="BK25" s="4">
        <f>100*(HAVERQ!I141/HAVERQ!I$128)</f>
        <v>111.1503856041131</v>
      </c>
      <c r="BL25" s="4">
        <f>100*(HAVERQ!J141/HAVERQ!J$128)</f>
        <v>89.59850218431454</v>
      </c>
      <c r="BM25" s="4">
        <f>100*(HAVERQ!K141/HAVERQ!K$128)</f>
        <v>86.765615337043911</v>
      </c>
      <c r="BN25" s="4">
        <f>100*((HAVERQ!L141+HAVERQ!M141)/(HAVERQ!L$128+HAVERQ!M$128))</f>
        <v>99.394184168012927</v>
      </c>
      <c r="BO25">
        <v>100</v>
      </c>
      <c r="BQ25">
        <v>2023</v>
      </c>
      <c r="BR25" s="3">
        <f>HAVERQ!I141-HAVERQ!I$128</f>
        <v>1041</v>
      </c>
      <c r="BS25" s="3">
        <f>HAVERQ!J141-HAVERQ!J$128</f>
        <v>-1000</v>
      </c>
      <c r="BT25" s="3">
        <f>HAVERQ!K141-HAVERQ!K$128</f>
        <v>-428</v>
      </c>
      <c r="BU25" s="3">
        <f>(HAVERQ!L141+HAVERQ!M141)-(HAVERQ!L$128+HAVERQ!M$128)</f>
        <v>-240</v>
      </c>
      <c r="BV25" s="3">
        <f>HAVERQ!N141-HAVERQ!N$128</f>
        <v>-49</v>
      </c>
      <c r="BW25" s="3">
        <f>HAVERQ!B141-HAVERQ!B$128</f>
        <v>488</v>
      </c>
      <c r="BY25">
        <v>2024</v>
      </c>
      <c r="BZ25" s="4">
        <f>100*((HAVERQ!I145-HAVERQ!I$128)/HAVERQ!$B$128)</f>
        <v>1.8469529309287998</v>
      </c>
      <c r="CA25" s="4">
        <f>100*((HAVERQ!J145-HAVERQ!J$128)/HAVERQ!$B$128)</f>
        <v>-1.3081911152692196</v>
      </c>
      <c r="CB25" s="4">
        <f>100*((HAVERQ!K145-HAVERQ!K$128)/HAVERQ!$B$128)</f>
        <v>-1.7082298286930993</v>
      </c>
      <c r="CC25" s="4">
        <f>100*(((HAVERQ!L145+HAVERQ!M145)-(HAVERQ!L$128+HAVERQ!M$128))/HAVERQ!$B$128)</f>
        <v>-1.635642158918605</v>
      </c>
      <c r="CD25" s="4">
        <f t="shared" si="14"/>
        <v>1.7985611510791366</v>
      </c>
      <c r="CE25" s="4">
        <f>100*((HAVERQ!B145-HAVERQ!B$128)/HAVERQ!B$128)</f>
        <v>-1.0065490208729877</v>
      </c>
      <c r="CG25">
        <v>2023</v>
      </c>
      <c r="CH25" s="3">
        <f>HAVERQ!I141</f>
        <v>10377</v>
      </c>
      <c r="CI25" s="3">
        <f>HAVERQ!J141</f>
        <v>8614</v>
      </c>
      <c r="CJ25" s="3">
        <f>HAVERQ!K141</f>
        <v>2806</v>
      </c>
      <c r="CK25" s="3">
        <f>HAVERQ!L141+HAVERQ!M141</f>
        <v>39376</v>
      </c>
      <c r="CL25" s="3">
        <f>HAVERQ!N141</f>
        <v>1309</v>
      </c>
      <c r="CN25">
        <v>2023</v>
      </c>
      <c r="CO25" s="3">
        <f t="shared" si="61"/>
        <v>-1413</v>
      </c>
      <c r="CP25" s="3">
        <f t="shared" si="62"/>
        <v>-142</v>
      </c>
      <c r="CQ25" s="3">
        <f t="shared" si="63"/>
        <v>-1146</v>
      </c>
      <c r="CR25" s="3">
        <f t="shared" si="64"/>
        <v>1357</v>
      </c>
      <c r="CS25" s="3">
        <f t="shared" si="65"/>
        <v>2084</v>
      </c>
      <c r="CT25" s="3">
        <f t="shared" si="66"/>
        <v>-294</v>
      </c>
      <c r="CU25" s="3">
        <f t="shared" si="67"/>
        <v>-240</v>
      </c>
      <c r="CW25">
        <v>2023</v>
      </c>
      <c r="CX25" s="3">
        <f>HAVERQ!L141-HAVERQ!L$128</f>
        <v>-1413</v>
      </c>
      <c r="CY25" s="3">
        <f>HAVERQ!O141-HAVERQ!O$128</f>
        <v>-142</v>
      </c>
      <c r="CZ25" s="3">
        <f>HAVERQ!P141-HAVERQ!P$128</f>
        <v>-1146</v>
      </c>
      <c r="DA25" s="3">
        <f>HAVERQ!Q141-HAVERQ!Q$128</f>
        <v>1357</v>
      </c>
      <c r="DB25" s="3">
        <f>HAVERQ!R141-HAVERQ!R$128</f>
        <v>496</v>
      </c>
      <c r="DC25" s="3">
        <f>HAVERQ!S141-HAVERQ!S$128</f>
        <v>2084</v>
      </c>
      <c r="DD25" s="3">
        <f>HAVERQ!T141-HAVERQ!T$128</f>
        <v>-132</v>
      </c>
      <c r="DE25" s="3">
        <f>HAVERQ!U141-HAVERQ!U$128</f>
        <v>-261</v>
      </c>
      <c r="DF25" s="3">
        <f>HAVERQ!V141-HAVERQ!V$128</f>
        <v>-397</v>
      </c>
      <c r="DG25" s="3">
        <f>(HAVERQ!L141+HAVERQ!M141)-(HAVERQ!L$128+HAVERQ!M$128)</f>
        <v>-240</v>
      </c>
      <c r="DI25">
        <v>2023</v>
      </c>
      <c r="DJ25" s="4">
        <f>100*(HAVERQ!C141/HAVERQ!C$128)</f>
        <v>104.69070520125814</v>
      </c>
      <c r="DK25" s="4">
        <f>100*(HAVERQ!D141/HAVERQ!D$128)</f>
        <v>171.00355239786856</v>
      </c>
      <c r="DL25" s="4">
        <f>100*(HAVERQ!E141/HAVERQ!E$128)</f>
        <v>116.72188422384193</v>
      </c>
      <c r="DM25" s="4">
        <f>100*(HAVERQ!F141/HAVERQ!F$128)</f>
        <v>104.48932896761214</v>
      </c>
      <c r="DN25" s="4">
        <f>100*(HAVERQ!G141/HAVERQ!G$128)</f>
        <v>94.024979094170646</v>
      </c>
      <c r="DO25" s="4">
        <f>100*(HAVERQ!H141/HAVERQ!H$128)</f>
        <v>99.928103833200893</v>
      </c>
      <c r="DP25">
        <v>100</v>
      </c>
      <c r="DR25">
        <v>2023</v>
      </c>
      <c r="DS25" s="3">
        <f>HAVERQ!D141-HAVERQ!D$128</f>
        <v>3198</v>
      </c>
      <c r="DT25" s="3">
        <f>HAVERQ!E141-HAVERQ!E$128</f>
        <v>2776</v>
      </c>
      <c r="DU25" s="3">
        <f>HAVERQ!F141-HAVERQ!F$128</f>
        <v>1138</v>
      </c>
      <c r="DV25" s="3">
        <f>HAVERQ!G141-HAVERQ!G$128</f>
        <v>-2215</v>
      </c>
      <c r="DW25" s="3">
        <f>HAVERQ!H141-HAVERQ!H$128</f>
        <v>-19</v>
      </c>
      <c r="DX25" s="3">
        <f>HAVERQ!C141-HAVERQ!C$128</f>
        <v>5145</v>
      </c>
      <c r="DZ25">
        <v>2005</v>
      </c>
      <c r="EA25" s="4">
        <f t="shared" si="29"/>
        <v>0.76376657043621532</v>
      </c>
      <c r="EB25" s="4">
        <f t="shared" si="30"/>
        <v>0.2211146494222781</v>
      </c>
      <c r="EC25" s="4">
        <f t="shared" si="18"/>
        <v>-0.92579505300353082</v>
      </c>
      <c r="ED25" s="3">
        <v>0</v>
      </c>
      <c r="EF25" s="4">
        <f t="shared" si="31"/>
        <v>0.98488121985849342</v>
      </c>
      <c r="EG25" s="4">
        <f t="shared" si="32"/>
        <v>0.9000882099229891</v>
      </c>
      <c r="EI25" s="22">
        <v>2004</v>
      </c>
      <c r="EJ25" s="3">
        <f>'IPNR ex BNFL'!I33</f>
        <v>42450</v>
      </c>
      <c r="EM25" s="4">
        <f t="shared" si="35"/>
        <v>0.76376657043621532</v>
      </c>
      <c r="EN25" s="4">
        <f t="shared" si="36"/>
        <v>0.95161683947425857</v>
      </c>
      <c r="EO25" s="4">
        <f t="shared" si="37"/>
        <v>0.98488121985849342</v>
      </c>
      <c r="ER25" s="4">
        <f>(HAVERQ!W67*$EW$2)+(HAVERQ!X67*$EX$2)/($EW$2+$EX$2)</f>
        <v>17.155732932214082</v>
      </c>
      <c r="ES25" s="4">
        <f>(HAVERQ!AB67*$EW$2)+(HAVERQ!AC67*$EY$2)+(HAVERQ!AD67*$EZ$2)+(HAVERQ!AE67*$FA$2)/($EW$2+$EY$2+$EZ$2+$FA$2)</f>
        <v>7.155154705872838</v>
      </c>
      <c r="ET25" s="21">
        <f>(HAVERQ!Y67*$EW$2)+(HAVERQ!Z67*$EX$2)/($EW$2+$EX$2)</f>
        <v>2.3694049525288303</v>
      </c>
      <c r="FC25" s="26">
        <v>44075</v>
      </c>
      <c r="FD25" s="4">
        <f>100*((HAVERM!E256+HAVERM!F256)/(HAVERM!E$249+HAVERM!F$249))</f>
        <v>111.60308613563137</v>
      </c>
      <c r="FE25" s="4">
        <f>100*(HAVERM!E256/HAVERM!E$249)</f>
        <v>128.86552189851437</v>
      </c>
      <c r="FF25" s="4">
        <f>100*(HAVERM!F256/HAVERM!F$249)</f>
        <v>102.1310908474959</v>
      </c>
      <c r="FG25">
        <v>100</v>
      </c>
      <c r="FV25" s="26">
        <v>42948</v>
      </c>
      <c r="FW25" s="3">
        <f>HAVERM!G219</f>
        <v>384008</v>
      </c>
      <c r="FX25" s="4"/>
      <c r="FY25" s="3">
        <f t="shared" si="19"/>
        <v>4511</v>
      </c>
      <c r="GC25" s="22">
        <v>2015</v>
      </c>
      <c r="GD25" s="4">
        <f>100*(DataQ!W175/DataQ!W$194)</f>
        <v>94.049732997221099</v>
      </c>
      <c r="GE25" s="4">
        <f>100*(DataQ!X175/DataQ!X$194)</f>
        <v>93.016064697917813</v>
      </c>
      <c r="GF25" s="4">
        <f>100*(DataQ!C175/DataQ!C$194)</f>
        <v>93.492918669548658</v>
      </c>
      <c r="GG25" s="4"/>
      <c r="GH25">
        <v>100</v>
      </c>
      <c r="GJ25" s="22">
        <v>2010</v>
      </c>
      <c r="GK25" s="4">
        <f>100*(DataQ!Z155/AVERAGE(DataQ!$Z$203:$Z$206))</f>
        <v>66.931503129420932</v>
      </c>
      <c r="GL25" s="4">
        <f>100*(DataQ!C155/AVERAGE(DataQ!$C$203:$C$206))</f>
        <v>69.313614905794367</v>
      </c>
      <c r="GM25" s="4">
        <v>100</v>
      </c>
      <c r="GO25" s="22">
        <v>2010</v>
      </c>
      <c r="GP25" s="4">
        <f>100*(DataQ!Z155/DataQ!$Z$194)</f>
        <v>66.681793587349233</v>
      </c>
      <c r="GQ25" s="4">
        <f>100*(DataQ!C155/DataQ!$C$194)</f>
        <v>66.908087879472205</v>
      </c>
      <c r="GR25" s="4">
        <v>100</v>
      </c>
      <c r="GT25">
        <v>2023</v>
      </c>
      <c r="GU25" s="31">
        <f t="shared" si="68"/>
        <v>100.7871729522212</v>
      </c>
      <c r="GV25" s="31">
        <f t="shared" si="69"/>
        <v>97.340522756351675</v>
      </c>
      <c r="GW25" s="4">
        <f t="shared" si="70"/>
        <v>14.190299046159851</v>
      </c>
      <c r="GX25" s="4">
        <v>100</v>
      </c>
      <c r="GY25" s="31">
        <f t="shared" si="71"/>
        <v>111.53082180251153</v>
      </c>
      <c r="GZ25" s="4"/>
      <c r="HA25">
        <v>2023</v>
      </c>
      <c r="HB25" s="4">
        <f>100*(DataQ!C207/DataQ!C$194)</f>
        <v>100.7871729522212</v>
      </c>
      <c r="HC25" s="4">
        <f>100*(DataQ!Q207/DataQ!Q$194)</f>
        <v>111.53082180251153</v>
      </c>
      <c r="HD25" s="4">
        <f>100*(DataQ!R207/DataQ!R$194)</f>
        <v>107.36017729897705</v>
      </c>
      <c r="HE25" s="4">
        <f>100*(DataQ!S207/DataQ!S$194)</f>
        <v>97.340522756351675</v>
      </c>
      <c r="HF25" s="4">
        <f>100*(DataQ!T207/DataQ!T$194)</f>
        <v>105.76193428394296</v>
      </c>
      <c r="HG25" s="4">
        <f>100*(DataQ!U207/DataQ!U$194)</f>
        <v>110.92910525272173</v>
      </c>
      <c r="HH25" s="4">
        <f>100*(DataQ!V207/DataQ!V$194)</f>
        <v>102.97877233187162</v>
      </c>
      <c r="HJ25">
        <v>2023</v>
      </c>
      <c r="HK25" s="31">
        <f t="shared" si="23"/>
        <v>100.7871729522212</v>
      </c>
      <c r="HL25" s="31">
        <f t="shared" si="24"/>
        <v>97.340522756351675</v>
      </c>
      <c r="HM25" s="4">
        <f t="shared" si="10"/>
        <v>14.190299046159851</v>
      </c>
      <c r="HN25" s="4">
        <v>100</v>
      </c>
      <c r="HO25" s="31">
        <f t="shared" si="72"/>
        <v>111.53082180251153</v>
      </c>
      <c r="HP25" s="4"/>
      <c r="HQ25">
        <v>2023</v>
      </c>
      <c r="HR25" s="4">
        <f>100*(DataQ!C207/DataQ!C$194)</f>
        <v>100.7871729522212</v>
      </c>
      <c r="HS25" s="4">
        <f>100*(DataQ!Q207/DataQ!Q$194)</f>
        <v>111.53082180251153</v>
      </c>
      <c r="HT25" s="4">
        <f>100*(DataQ!R207/DataQ!R$194)</f>
        <v>107.36017729897705</v>
      </c>
      <c r="HU25" s="4">
        <f>100*(DataQ!S207/DataQ!S$194)</f>
        <v>97.340522756351675</v>
      </c>
      <c r="HV25" s="4">
        <f>100*(DataQ!T207/DataQ!T$194)</f>
        <v>105.76193428394296</v>
      </c>
      <c r="HW25" s="4">
        <f>100*(DataQ!U207/DataQ!U$194)</f>
        <v>110.92910525272173</v>
      </c>
      <c r="HX25" s="4">
        <f>100*(DataQ!V207/DataQ!V$194)</f>
        <v>102.97877233187162</v>
      </c>
      <c r="HZ25" s="22">
        <v>2010</v>
      </c>
      <c r="IA25">
        <f>DataA!J44/'Chart Data'!IF25</f>
        <v>2.920269691760577</v>
      </c>
      <c r="IB25">
        <f t="shared" si="26"/>
        <v>2.955552118001942</v>
      </c>
      <c r="IC25" s="4">
        <f t="shared" si="27"/>
        <v>-1.1937676898493343</v>
      </c>
      <c r="IF25" s="3">
        <f>DataA!K44*DataA!L44</f>
        <v>925082.02499999991</v>
      </c>
      <c r="IQ25">
        <v>2012</v>
      </c>
      <c r="IR25">
        <f>HAVERQ!AH96</f>
        <v>-3.2</v>
      </c>
      <c r="IS25" s="4">
        <f>100*(('IPNR ex BNFL'!I65/'IPNR ex BNFL'!I61)-1)</f>
        <v>16.057169855894159</v>
      </c>
      <c r="IT25">
        <v>0</v>
      </c>
    </row>
    <row r="26" spans="1:254" x14ac:dyDescent="0.25">
      <c r="B26" s="4">
        <f>100*((DataQ!C96/DataQ!C92)-1)</f>
        <v>8.4430174479243281</v>
      </c>
      <c r="C26" s="4">
        <f t="shared" si="11"/>
        <v>13.644729642341938</v>
      </c>
      <c r="D26" s="4">
        <v>0</v>
      </c>
      <c r="G26" s="4">
        <f>100*((AVERAGE(DataQ!C93:C96)/AVERAGE(DataQ!C89:C92))-1)</f>
        <v>7.0402639771715236</v>
      </c>
      <c r="H26" s="4">
        <f t="shared" si="39"/>
        <v>12.214818557320614</v>
      </c>
      <c r="I26" s="4">
        <v>0</v>
      </c>
      <c r="K26" s="4">
        <f t="shared" si="12"/>
        <v>13.644729642341938</v>
      </c>
      <c r="L26" s="4">
        <f>100*(HAVERQ!AF30/HAVERQ!AI30)</f>
        <v>13.644729642341938</v>
      </c>
      <c r="O26" s="4">
        <f>100*('ONS CVM_SA_(Quarterly)'!B110/'ONS CVM_SA_(Quarterly)'!B$101)</f>
        <v>115.46407074385078</v>
      </c>
      <c r="P26" s="4">
        <f>100*('ONS CVM_SA_(Quarterly)'!D110/'ONS CVM_SA_(Quarterly)'!D$101)</f>
        <v>114.77031224456434</v>
      </c>
      <c r="R26">
        <v>100</v>
      </c>
      <c r="AI26" s="4">
        <f>100*(('ONS CVM_SA_(Quarterly)'!C114-'ONS CVM_SA_(Quarterly)'!C$96)/'ONS CVM_SA_(Quarterly)'!$B$96)</f>
        <v>6.7764622382811242</v>
      </c>
      <c r="AJ26" s="4">
        <f>100*(('ONS CVM_SA_(Quarterly)'!D114-'ONS CVM_SA_(Quarterly)'!D$96)/'ONS CVM_SA_(Quarterly)'!$B$96)</f>
        <v>0.69684162983514542</v>
      </c>
      <c r="AK26" s="4">
        <f>100*(('ONS CVM_SA_(Quarterly)'!E114-'ONS CVM_SA_(Quarterly)'!E$96)/'ONS CVM_SA_(Quarterly)'!$B$96)</f>
        <v>-5.2182469271219798</v>
      </c>
      <c r="AL26" s="4">
        <f>100*(('ONS CVM_SA_(Quarterly)'!F114-'ONS CVM_SA_(Quarterly)'!F$96)/'ONS CVM_SA_(Quarterly)'!$B$96)</f>
        <v>-1.4953059973545826</v>
      </c>
      <c r="AM26" s="4">
        <f>100*(('ONS CVM_SA_(Quarterly)'!B114-'ONS CVM_SA_(Quarterly)'!B$96)/'ONS CVM_SA_(Quarterly)'!$B$96)</f>
        <v>0.41294318805045654</v>
      </c>
      <c r="AP26" s="4">
        <f>100*(('ONS CVM_SA_(Quarterly)'!C102-AVERAGE('ONS CVM_SA_(Quarterly)'!C$81:C$84))/AVERAGE('ONS CVM_SA_(Quarterly)'!$B$81:$B$84))</f>
        <v>-5.9148389606285177</v>
      </c>
      <c r="AQ26" s="4">
        <f>100*(('ONS CVM_SA_(Quarterly)'!D102-AVERAGE('ONS CVM_SA_(Quarterly)'!D$81:D$84))/AVERAGE('ONS CVM_SA_(Quarterly)'!$B$81:$B$84))</f>
        <v>-2.0279332098880483</v>
      </c>
      <c r="AR26" s="4">
        <f>100*(('ONS CVM_SA_(Quarterly)'!E102-AVERAGE('ONS CVM_SA_(Quarterly)'!E$81:E$84))/AVERAGE('ONS CVM_SA_(Quarterly)'!$B$81:$B$84))</f>
        <v>-3.2013387195455483</v>
      </c>
      <c r="AS26" s="4">
        <f>100*(('ONS CVM_SA_(Quarterly)'!F102-AVERAGE('ONS CVM_SA_(Quarterly)'!F$81:F$84))/AVERAGE('ONS CVM_SA_(Quarterly)'!$B$81:$B$84))</f>
        <v>5.2568242687487592</v>
      </c>
      <c r="AT26" s="4">
        <f>100*(('ONS CVM_SA_(Quarterly)'!B102-AVERAGE('ONS CVM_SA_(Quarterly)'!B$81:B$84))/AVERAGE('ONS CVM_SA_(Quarterly)'!$B$81:$B$84))</f>
        <v>-6.0189705959814095</v>
      </c>
      <c r="AV26" s="36">
        <v>44105</v>
      </c>
      <c r="AW26" s="21">
        <f>HAVERM!D257</f>
        <v>0.10000000000000003</v>
      </c>
      <c r="AX26" s="21">
        <f>HAVERM!B257</f>
        <v>2.46</v>
      </c>
      <c r="AY26" s="21">
        <f>HAVERM!C257</f>
        <v>2.12</v>
      </c>
      <c r="BA26" s="36">
        <v>45170</v>
      </c>
      <c r="BB26" s="21">
        <f t="shared" ref="BB26:BC26" si="76">AX61-AX$39</f>
        <v>4.1099999999999994</v>
      </c>
      <c r="BC26" s="21">
        <f t="shared" si="76"/>
        <v>1.1400000000000001</v>
      </c>
      <c r="BD26" s="3"/>
      <c r="BE26" s="3"/>
      <c r="BF26" s="21">
        <v>0</v>
      </c>
      <c r="BJ26" s="4">
        <f>100*(HAVERQ!B142/HAVERQ!B$128)</f>
        <v>100.25486337387488</v>
      </c>
      <c r="BK26" s="4">
        <f>100*(HAVERQ!I142/HAVERQ!I$128)</f>
        <v>114.05312767780633</v>
      </c>
      <c r="BL26" s="4">
        <f>100*(HAVERQ!J142/HAVERQ!J$128)</f>
        <v>85.323486582067815</v>
      </c>
      <c r="BM26" s="4">
        <f>100*(HAVERQ!K142/HAVERQ!K$128)</f>
        <v>73.871366728509585</v>
      </c>
      <c r="BN26" s="4">
        <f>100*((HAVERQ!L142+HAVERQ!M142)/(HAVERQ!L$128+HAVERQ!M$128))</f>
        <v>99.906603392568655</v>
      </c>
      <c r="BO26">
        <v>100</v>
      </c>
      <c r="BR26" s="3">
        <f>HAVERQ!I142-HAVERQ!I$128</f>
        <v>1312</v>
      </c>
      <c r="BS26" s="3">
        <f>HAVERQ!J142-HAVERQ!J$128</f>
        <v>-1411</v>
      </c>
      <c r="BT26" s="3">
        <f>HAVERQ!K142-HAVERQ!K$128</f>
        <v>-845</v>
      </c>
      <c r="BU26" s="3">
        <f>(HAVERQ!L142+HAVERQ!M142)-(HAVERQ!L$128+HAVERQ!M$128)</f>
        <v>-37</v>
      </c>
      <c r="BV26" s="3">
        <f>HAVERQ!N142-HAVERQ!N$128</f>
        <v>-25</v>
      </c>
      <c r="BW26" s="3">
        <f>HAVERQ!B142-HAVERQ!B$128</f>
        <v>158</v>
      </c>
      <c r="BZ26" s="4">
        <f>100*((HAVERQ!I146-HAVERQ!I$128)/HAVERQ!$B$128)</f>
        <v>1.9566409652547019</v>
      </c>
      <c r="CA26" s="4">
        <f>100*((HAVERQ!J146-HAVERQ!J$128)/HAVERQ!$B$128)</f>
        <v>1.24689486079298</v>
      </c>
      <c r="CB26" s="4">
        <f>100*((HAVERQ!K146-HAVERQ!K$128)/HAVERQ!$B$128)</f>
        <v>-1.5082104719811595</v>
      </c>
      <c r="CC26" s="4">
        <f>100*(((HAVERQ!L146+HAVERQ!M146)-(HAVERQ!L$128+HAVERQ!M$128))/HAVERQ!$B$128)</f>
        <v>-3.068038842468626</v>
      </c>
      <c r="CD26" s="4">
        <f t="shared" si="14"/>
        <v>1.7856566764525605</v>
      </c>
      <c r="CE26" s="4">
        <f>100*((HAVERQ!B146-HAVERQ!B$128)/HAVERQ!B$128)</f>
        <v>0.41294318805045654</v>
      </c>
      <c r="CH26" s="3">
        <f>HAVERQ!I142</f>
        <v>10648</v>
      </c>
      <c r="CI26" s="3">
        <f>HAVERQ!J142</f>
        <v>8203</v>
      </c>
      <c r="CJ26" s="3">
        <f>HAVERQ!K142</f>
        <v>2389</v>
      </c>
      <c r="CK26" s="3">
        <f>HAVERQ!L142+HAVERQ!M142</f>
        <v>39579</v>
      </c>
      <c r="CL26" s="3">
        <f>HAVERQ!N142</f>
        <v>1333</v>
      </c>
      <c r="CO26" s="3">
        <f t="shared" ref="CO26:CO29" si="77">CX26</f>
        <v>-1977</v>
      </c>
      <c r="CP26" s="3">
        <f t="shared" ref="CP26:CP29" si="78">CY26</f>
        <v>-30</v>
      </c>
      <c r="CQ26" s="3">
        <f t="shared" ref="CQ26:CQ29" si="79">CZ26</f>
        <v>-1185</v>
      </c>
      <c r="CR26" s="3">
        <f t="shared" ref="CR26:CR29" si="80">DA26</f>
        <v>2993</v>
      </c>
      <c r="CS26" s="3">
        <f t="shared" ref="CS26:CS29" si="81">DC26</f>
        <v>1075</v>
      </c>
      <c r="CT26" s="3">
        <f t="shared" ref="CT26:CT29" si="82">+DB26+DD26+DE26+DF26</f>
        <v>-227</v>
      </c>
      <c r="CU26" s="3">
        <f t="shared" ref="CU26:CU29" si="83">DG26</f>
        <v>-37</v>
      </c>
      <c r="CX26" s="3">
        <f>HAVERQ!L142-HAVERQ!L$128</f>
        <v>-1977</v>
      </c>
      <c r="CY26" s="3">
        <f>HAVERQ!O142-HAVERQ!O$128</f>
        <v>-30</v>
      </c>
      <c r="CZ26" s="3">
        <f>HAVERQ!P142-HAVERQ!P$128</f>
        <v>-1185</v>
      </c>
      <c r="DA26" s="3">
        <f>HAVERQ!Q142-HAVERQ!Q$128</f>
        <v>2993</v>
      </c>
      <c r="DB26" s="3">
        <f>HAVERQ!R142-HAVERQ!R$128</f>
        <v>543</v>
      </c>
      <c r="DC26" s="3">
        <f>HAVERQ!S142-HAVERQ!S$128</f>
        <v>1075</v>
      </c>
      <c r="DD26" s="3">
        <f>HAVERQ!T142-HAVERQ!T$128</f>
        <v>-467</v>
      </c>
      <c r="DE26" s="3">
        <f>HAVERQ!U142-HAVERQ!U$128</f>
        <v>-267</v>
      </c>
      <c r="DF26" s="3">
        <f>HAVERQ!V142-HAVERQ!V$128</f>
        <v>-36</v>
      </c>
      <c r="DG26" s="3">
        <f>(HAVERQ!L142+HAVERQ!M142)-(HAVERQ!L$128+HAVERQ!M$128)</f>
        <v>-37</v>
      </c>
      <c r="DJ26" s="4">
        <f>100*(HAVERQ!C142/HAVERQ!C$128)</f>
        <v>103.03049642157087</v>
      </c>
      <c r="DK26" s="4">
        <f>100*(HAVERQ!D142/HAVERQ!D$128)</f>
        <v>187.36678507992895</v>
      </c>
      <c r="DL26" s="4">
        <f>100*(HAVERQ!E142/HAVERQ!E$128)</f>
        <v>113.75218360339738</v>
      </c>
      <c r="DM26" s="4">
        <f>100*(HAVERQ!F142/HAVERQ!F$128)</f>
        <v>100.67458282378003</v>
      </c>
      <c r="DN26" s="4">
        <f>100*(HAVERQ!G142/HAVERQ!G$128)</f>
        <v>91.084675352701566</v>
      </c>
      <c r="DO26" s="4">
        <f>100*(HAVERQ!H142/HAVERQ!H$128)</f>
        <v>99.89404775419078</v>
      </c>
      <c r="DP26">
        <v>100</v>
      </c>
      <c r="DS26" s="3">
        <f>HAVERQ!D142-HAVERQ!D$128</f>
        <v>3935</v>
      </c>
      <c r="DT26" s="3">
        <f>HAVERQ!E142-HAVERQ!E$128</f>
        <v>2283</v>
      </c>
      <c r="DU26" s="3">
        <f>HAVERQ!F142-HAVERQ!F$128</f>
        <v>171</v>
      </c>
      <c r="DV26" s="3">
        <f>HAVERQ!G142-HAVERQ!G$128</f>
        <v>-3305</v>
      </c>
      <c r="DW26" s="3">
        <f>HAVERQ!H142-HAVERQ!H$128</f>
        <v>-28</v>
      </c>
      <c r="DX26" s="3">
        <f>HAVERQ!C142-HAVERQ!C$128</f>
        <v>3324</v>
      </c>
      <c r="EA26" s="4">
        <f t="shared" si="29"/>
        <v>0.59313104359054369</v>
      </c>
      <c r="EB26" s="4">
        <f t="shared" si="30"/>
        <v>0.49622814300498463</v>
      </c>
      <c r="EC26" s="4">
        <f t="shared" si="18"/>
        <v>23.182691076686734</v>
      </c>
      <c r="ED26" s="3">
        <v>0</v>
      </c>
      <c r="EF26" s="4">
        <f t="shared" si="31"/>
        <v>1.0893591865955283</v>
      </c>
      <c r="EG26" s="4">
        <f t="shared" si="32"/>
        <v>0.88315088554462651</v>
      </c>
      <c r="EJ26" s="3">
        <f>'IPNR ex BNFL'!I34</f>
        <v>39055</v>
      </c>
      <c r="EM26" s="4">
        <f t="shared" si="35"/>
        <v>0.59313104359054369</v>
      </c>
      <c r="EN26" s="4">
        <f t="shared" si="36"/>
        <v>1.0893591865955283</v>
      </c>
      <c r="EO26" s="4">
        <f t="shared" si="37"/>
        <v>0.96696242644780739</v>
      </c>
      <c r="ER26" s="4">
        <f>(HAVERQ!W68*$EW$2)+(HAVERQ!X68*$EX$2)/($EW$2+$EX$2)</f>
        <v>15.155732932214081</v>
      </c>
      <c r="ES26" s="4">
        <f>(HAVERQ!AB68*$EW$2)+(HAVERQ!AC68*$EY$2)+(HAVERQ!AD68*$EZ$2)+(HAVERQ!AE68*$FA$2)/($EW$2+$EY$2+$EZ$2+$FA$2)</f>
        <v>9.0934381419121095</v>
      </c>
      <c r="ET26" s="21">
        <f>(HAVERQ!Y68*$EW$2)+(HAVERQ!Z68*$EX$2)/($EW$2+$EX$2)</f>
        <v>2.3412627169359661</v>
      </c>
      <c r="FC26" s="26">
        <v>44105</v>
      </c>
      <c r="FD26" s="4">
        <f>100*((HAVERM!E257+HAVERM!F257)/(HAVERM!E$249+HAVERM!F$249))</f>
        <v>110.41639133585196</v>
      </c>
      <c r="FE26" s="4">
        <f>100*(HAVERM!E257/HAVERM!E$249)</f>
        <v>130.04566210045664</v>
      </c>
      <c r="FF26" s="4">
        <f>100*(HAVERM!F257/HAVERM!F$249)</f>
        <v>99.645700412173227</v>
      </c>
      <c r="FG26">
        <v>100</v>
      </c>
      <c r="FV26" s="26">
        <v>42979</v>
      </c>
      <c r="FW26" s="3">
        <f>HAVERM!G220</f>
        <v>389067</v>
      </c>
      <c r="FX26" s="4"/>
      <c r="FY26" s="3">
        <f t="shared" si="19"/>
        <v>5059</v>
      </c>
      <c r="GD26" s="4">
        <f>100*(DataQ!W176/DataQ!W$194)</f>
        <v>94.456970699852093</v>
      </c>
      <c r="GE26" s="4">
        <f>100*(DataQ!X176/DataQ!X$194)</f>
        <v>92.979470853002525</v>
      </c>
      <c r="GF26" s="4">
        <f>100*(DataQ!C176/DataQ!C$194)</f>
        <v>90.968480820724579</v>
      </c>
      <c r="GG26" s="4"/>
      <c r="GH26">
        <v>100</v>
      </c>
      <c r="GK26" s="4">
        <f>100*(DataQ!Z156/AVERAGE(DataQ!$Z$203:$Z$206))</f>
        <v>65.925883749348486</v>
      </c>
      <c r="GL26" s="4">
        <f>100*(DataQ!C156/AVERAGE(DataQ!$C$203:$C$206))</f>
        <v>68.275890880227266</v>
      </c>
      <c r="GM26" s="4">
        <v>100</v>
      </c>
      <c r="GP26" s="4">
        <f>100*(DataQ!Z156/DataQ!$Z$194)</f>
        <v>65.67992599444959</v>
      </c>
      <c r="GQ26" s="4">
        <f>100*(DataQ!C156/DataQ!$C$194)</f>
        <v>65.906378036584186</v>
      </c>
      <c r="GR26" s="4">
        <v>100</v>
      </c>
      <c r="GT26" s="4"/>
      <c r="GU26" s="31">
        <f t="shared" ref="GU26" si="84">HB26</f>
        <v>100.25486337387488</v>
      </c>
      <c r="GV26" s="31">
        <f t="shared" ref="GV26" si="85">MIN(HC26:HH26)</f>
        <v>97.313105465180044</v>
      </c>
      <c r="GW26" s="4">
        <f t="shared" ref="GW26" si="86">+GY26-GV26</f>
        <v>16.870647017734129</v>
      </c>
      <c r="GX26" s="4">
        <v>100</v>
      </c>
      <c r="GY26" s="31">
        <f t="shared" si="71"/>
        <v>114.18375248291417</v>
      </c>
      <c r="GZ26" s="4"/>
      <c r="HB26" s="4">
        <f>100*(DataQ!C208/DataQ!C$194)</f>
        <v>100.25486337387488</v>
      </c>
      <c r="HC26" s="4">
        <f>100*(DataQ!Q208/DataQ!Q$194)</f>
        <v>114.18375248291417</v>
      </c>
      <c r="HD26" s="4">
        <f>100*(DataQ!R208/DataQ!R$194)</f>
        <v>105.16862132883811</v>
      </c>
      <c r="HE26" s="4">
        <f>100*(DataQ!S208/DataQ!S$194)</f>
        <v>97.313105465180044</v>
      </c>
      <c r="HF26" s="4">
        <f>100*(DataQ!T208/DataQ!T$194)</f>
        <v>106.56415375077495</v>
      </c>
      <c r="HG26" s="4">
        <f>100*(DataQ!U208/DataQ!U$194)</f>
        <v>109.70739658379523</v>
      </c>
      <c r="HH26" s="4">
        <f>100*(DataQ!V208/DataQ!V$194)</f>
        <v>105.6665265762158</v>
      </c>
      <c r="HJ26" s="4"/>
      <c r="HK26" s="31">
        <f t="shared" si="23"/>
        <v>100.25486337387488</v>
      </c>
      <c r="HL26" s="31">
        <f t="shared" si="24"/>
        <v>97.313105465180044</v>
      </c>
      <c r="HM26" s="4">
        <f t="shared" si="10"/>
        <v>16.870647017734129</v>
      </c>
      <c r="HN26" s="4">
        <v>100</v>
      </c>
      <c r="HO26" s="31">
        <f t="shared" si="72"/>
        <v>114.18375248291417</v>
      </c>
      <c r="HP26" s="4"/>
      <c r="HR26" s="4">
        <f>100*(DataQ!C208/DataQ!C$194)</f>
        <v>100.25486337387488</v>
      </c>
      <c r="HS26" s="4">
        <f>100*(DataQ!Q208/DataQ!Q$194)</f>
        <v>114.18375248291417</v>
      </c>
      <c r="HT26" s="4">
        <f>100*(DataQ!R208/DataQ!R$194)</f>
        <v>105.16862132883811</v>
      </c>
      <c r="HU26" s="4">
        <f>100*(DataQ!S208/DataQ!S$194)</f>
        <v>97.313105465180044</v>
      </c>
      <c r="HV26" s="4">
        <f>100*(DataQ!T208/DataQ!T$194)</f>
        <v>106.56415375077495</v>
      </c>
      <c r="HW26" s="4">
        <f>100*(DataQ!U208/DataQ!U$194)</f>
        <v>109.70739658379523</v>
      </c>
      <c r="HX26" s="4">
        <f>100*(DataQ!V208/DataQ!V$194)</f>
        <v>105.6665265762158</v>
      </c>
      <c r="HZ26" s="22">
        <v>2011</v>
      </c>
      <c r="IA26">
        <f>DataA!J45/'Chart Data'!IF26</f>
        <v>2.9449111136622959</v>
      </c>
      <c r="IB26">
        <f t="shared" si="26"/>
        <v>3.0340684548449675</v>
      </c>
      <c r="IC26" s="4">
        <f t="shared" si="27"/>
        <v>-2.9385408572539018</v>
      </c>
      <c r="IF26" s="3">
        <f>DataA!K45*DataA!L45</f>
        <v>927673.5</v>
      </c>
      <c r="IR26">
        <f>HAVERQ!AH97</f>
        <v>-1.6</v>
      </c>
      <c r="IS26" s="4">
        <f>100*(('IPNR ex BNFL'!I66/'IPNR ex BNFL'!I62)-1)</f>
        <v>5.078002771445167</v>
      </c>
      <c r="IT26">
        <v>0</v>
      </c>
    </row>
    <row r="27" spans="1:254" x14ac:dyDescent="0.25">
      <c r="B27" s="4">
        <f>100*((DataQ!C97/DataQ!C93)-1)</f>
        <v>9.9845379636209977</v>
      </c>
      <c r="C27" s="4">
        <f t="shared" si="11"/>
        <v>12.814854808798328</v>
      </c>
      <c r="D27" s="4">
        <v>0</v>
      </c>
      <c r="G27" s="4">
        <f>100*((AVERAGE(DataQ!C94:C97)/AVERAGE(DataQ!C90:C93))-1)</f>
        <v>7.7770509039481794</v>
      </c>
      <c r="H27" s="4">
        <f t="shared" si="39"/>
        <v>12.548872367359268</v>
      </c>
      <c r="I27" s="4">
        <v>0</v>
      </c>
      <c r="K27" s="4">
        <f t="shared" si="12"/>
        <v>12.814854808798328</v>
      </c>
      <c r="L27" s="4">
        <f>100*(HAVERQ!AF31/HAVERQ!AI31)</f>
        <v>12.814854808798328</v>
      </c>
      <c r="O27" s="4">
        <f>100*('ONS CVM_SA_(Quarterly)'!B111/'ONS CVM_SA_(Quarterly)'!B$101)</f>
        <v>112.01605112580812</v>
      </c>
      <c r="P27" s="4">
        <f>100*('ONS CVM_SA_(Quarterly)'!D111/'ONS CVM_SA_(Quarterly)'!D$101)</f>
        <v>111.75412784044467</v>
      </c>
      <c r="R27">
        <v>100</v>
      </c>
      <c r="AP27" s="4">
        <f>100*(('ONS CVM_SA_(Quarterly)'!C103-AVERAGE('ONS CVM_SA_(Quarterly)'!C$81:C$84))/AVERAGE('ONS CVM_SA_(Quarterly)'!$B$81:$B$84))</f>
        <v>-4.5955681251848635</v>
      </c>
      <c r="AQ27" s="4">
        <f>100*(('ONS CVM_SA_(Quarterly)'!D103-AVERAGE('ONS CVM_SA_(Quarterly)'!D$81:D$84))/AVERAGE('ONS CVM_SA_(Quarterly)'!$B$81:$B$84))</f>
        <v>-1.1543619810131969</v>
      </c>
      <c r="AR27" s="4">
        <f>100*(('ONS CVM_SA_(Quarterly)'!E103-AVERAGE('ONS CVM_SA_(Quarterly)'!E$81:E$84))/AVERAGE('ONS CVM_SA_(Quarterly)'!$B$81:$B$84))</f>
        <v>-4.5270924583574752</v>
      </c>
      <c r="AS27" s="4">
        <f>100*(('ONS CVM_SA_(Quarterly)'!F103-AVERAGE('ONS CVM_SA_(Quarterly)'!F$81:F$84))/AVERAGE('ONS CVM_SA_(Quarterly)'!$B$81:$B$84))</f>
        <v>2.7544235685951954</v>
      </c>
      <c r="AT27" s="4">
        <f>100*(('ONS CVM_SA_(Quarterly)'!B103-AVERAGE('ONS CVM_SA_(Quarterly)'!B$81:B$84))/AVERAGE('ONS CVM_SA_(Quarterly)'!$B$81:$B$84))</f>
        <v>-7.6218684537870285</v>
      </c>
      <c r="AV27" s="36">
        <v>44136</v>
      </c>
      <c r="AW27" s="21">
        <f>HAVERM!D258</f>
        <v>0.10000000000000002</v>
      </c>
      <c r="AX27" s="21">
        <f>HAVERM!B258</f>
        <v>2.4500000000000002</v>
      </c>
      <c r="AY27" s="21">
        <f>HAVERM!C258</f>
        <v>2.12</v>
      </c>
      <c r="BA27" s="36">
        <v>45200</v>
      </c>
      <c r="BB27" s="21">
        <f t="shared" ref="BB27:BC27" si="87">AX62-AX$39</f>
        <v>4.08</v>
      </c>
      <c r="BC27" s="21">
        <f t="shared" si="87"/>
        <v>1.2000000000000002</v>
      </c>
      <c r="BD27" s="3"/>
      <c r="BE27" s="3"/>
      <c r="BF27" s="21">
        <v>0</v>
      </c>
      <c r="BJ27" s="4">
        <f>100*(HAVERQ!B143/HAVERQ!B$128)</f>
        <v>97.261025260509086</v>
      </c>
      <c r="BK27" s="4">
        <f>100*(HAVERQ!I143/HAVERQ!I$128)</f>
        <v>111.78234790059982</v>
      </c>
      <c r="BL27" s="4">
        <f>100*(HAVERQ!J143/HAVERQ!J$128)</f>
        <v>84.46016226336593</v>
      </c>
      <c r="BM27" s="4">
        <f>100*(HAVERQ!K143/HAVERQ!K$128)</f>
        <v>63.945578231292522</v>
      </c>
      <c r="BN27" s="4">
        <f>100*((HAVERQ!L143+HAVERQ!M143)/(HAVERQ!L$128+HAVERQ!M$128))</f>
        <v>96.774030694668824</v>
      </c>
      <c r="BO27">
        <v>100</v>
      </c>
      <c r="BR27" s="3">
        <f>HAVERQ!I143-HAVERQ!I$128</f>
        <v>1100</v>
      </c>
      <c r="BS27" s="3">
        <f>HAVERQ!J143-HAVERQ!J$128</f>
        <v>-1494</v>
      </c>
      <c r="BT27" s="3">
        <f>HAVERQ!K143-HAVERQ!K$128</f>
        <v>-1166</v>
      </c>
      <c r="BU27" s="3">
        <f>(HAVERQ!L143+HAVERQ!M143)-(HAVERQ!L$128+HAVERQ!M$128)</f>
        <v>-1278</v>
      </c>
      <c r="BV27" s="3">
        <f>HAVERQ!N143-HAVERQ!N$128</f>
        <v>-24</v>
      </c>
      <c r="BW27" s="3">
        <f>HAVERQ!B143-HAVERQ!B$128</f>
        <v>-1698</v>
      </c>
      <c r="CH27" s="3">
        <f>HAVERQ!I143</f>
        <v>10436</v>
      </c>
      <c r="CI27" s="3">
        <f>HAVERQ!J143</f>
        <v>8120</v>
      </c>
      <c r="CJ27" s="3">
        <f>HAVERQ!K143</f>
        <v>2068</v>
      </c>
      <c r="CK27" s="3">
        <f>HAVERQ!L143+HAVERQ!M143</f>
        <v>38338</v>
      </c>
      <c r="CL27" s="3">
        <f>HAVERQ!N143</f>
        <v>1334</v>
      </c>
      <c r="CO27" s="3">
        <f t="shared" si="77"/>
        <v>-2332</v>
      </c>
      <c r="CP27" s="3">
        <f t="shared" si="78"/>
        <v>102</v>
      </c>
      <c r="CQ27" s="3">
        <f t="shared" si="79"/>
        <v>-1092</v>
      </c>
      <c r="CR27" s="3">
        <f t="shared" si="80"/>
        <v>-12</v>
      </c>
      <c r="CS27" s="3">
        <f t="shared" si="81"/>
        <v>2619</v>
      </c>
      <c r="CT27" s="3">
        <f t="shared" si="82"/>
        <v>123</v>
      </c>
      <c r="CU27" s="3">
        <f t="shared" si="83"/>
        <v>-1278</v>
      </c>
      <c r="CX27" s="3">
        <f>HAVERQ!L143-HAVERQ!L$128</f>
        <v>-2332</v>
      </c>
      <c r="CY27" s="3">
        <f>HAVERQ!O143-HAVERQ!O$128</f>
        <v>102</v>
      </c>
      <c r="CZ27" s="3">
        <f>HAVERQ!P143-HAVERQ!P$128</f>
        <v>-1092</v>
      </c>
      <c r="DA27" s="3">
        <f>HAVERQ!Q143-HAVERQ!Q$128</f>
        <v>-12</v>
      </c>
      <c r="DB27" s="3">
        <f>HAVERQ!R143-HAVERQ!R$128</f>
        <v>769</v>
      </c>
      <c r="DC27" s="3">
        <f>HAVERQ!S143-HAVERQ!S$128</f>
        <v>2619</v>
      </c>
      <c r="DD27" s="3">
        <f>HAVERQ!T143-HAVERQ!T$128</f>
        <v>-109</v>
      </c>
      <c r="DE27" s="3">
        <f>HAVERQ!U143-HAVERQ!U$128</f>
        <v>-513</v>
      </c>
      <c r="DF27" s="3">
        <f>HAVERQ!V143-HAVERQ!V$128</f>
        <v>-24</v>
      </c>
      <c r="DG27" s="3">
        <f>(HAVERQ!L143+HAVERQ!M143)-(HAVERQ!L$128+HAVERQ!M$128)</f>
        <v>-1278</v>
      </c>
      <c r="DJ27" s="4">
        <f>100*(HAVERQ!C143/HAVERQ!C$128)</f>
        <v>101.28914619136617</v>
      </c>
      <c r="DK27" s="4">
        <f>100*(HAVERQ!D143/HAVERQ!D$128)</f>
        <v>175.08880994671404</v>
      </c>
      <c r="DL27" s="4">
        <f>100*(HAVERQ!E143/HAVERQ!E$128)</f>
        <v>111.84266008071803</v>
      </c>
      <c r="DM27" s="4">
        <f>100*(HAVERQ!F143/HAVERQ!F$128)</f>
        <v>98.859915578523811</v>
      </c>
      <c r="DN27" s="4">
        <f>100*(HAVERQ!G143/HAVERQ!G$128)</f>
        <v>89.382536214291491</v>
      </c>
      <c r="DO27" s="4">
        <f>100*(HAVERQ!H143/HAVERQ!H$128)</f>
        <v>100.0908162106936</v>
      </c>
      <c r="DP27">
        <v>100</v>
      </c>
      <c r="DS27" s="3">
        <f>HAVERQ!D143-HAVERQ!D$128</f>
        <v>3382</v>
      </c>
      <c r="DT27" s="3">
        <f>HAVERQ!E143-HAVERQ!E$128</f>
        <v>1966</v>
      </c>
      <c r="DU27" s="3">
        <f>HAVERQ!F143-HAVERQ!F$128</f>
        <v>-289</v>
      </c>
      <c r="DV27" s="3">
        <f>HAVERQ!G143-HAVERQ!G$128</f>
        <v>-3936</v>
      </c>
      <c r="DW27" s="3">
        <f>HAVERQ!H143-HAVERQ!H$128</f>
        <v>24</v>
      </c>
      <c r="DX27" s="3">
        <f>HAVERQ!C143-HAVERQ!C$128</f>
        <v>1414</v>
      </c>
      <c r="EA27" s="4">
        <f t="shared" si="29"/>
        <v>0.22528641896362997</v>
      </c>
      <c r="EB27" s="4">
        <f t="shared" si="30"/>
        <v>0.61102622744127089</v>
      </c>
      <c r="EC27" s="4">
        <f t="shared" si="18"/>
        <v>7.2801566769022497</v>
      </c>
      <c r="ED27" s="3">
        <v>0</v>
      </c>
      <c r="EF27" s="4">
        <f t="shared" si="31"/>
        <v>0.83631264640490088</v>
      </c>
      <c r="EG27" s="4">
        <f t="shared" si="32"/>
        <v>0.61629548276328594</v>
      </c>
      <c r="EJ27" s="3">
        <f>'IPNR ex BNFL'!I35</f>
        <v>41359</v>
      </c>
      <c r="EL27">
        <v>2005</v>
      </c>
      <c r="EM27" s="4">
        <f t="shared" si="35"/>
        <v>0.22528641896362997</v>
      </c>
      <c r="EN27" s="4">
        <f t="shared" si="36"/>
        <v>0.78728738292132694</v>
      </c>
      <c r="EO27" s="4">
        <f t="shared" si="37"/>
        <v>0.83631264640490088</v>
      </c>
      <c r="EQ27">
        <v>2005</v>
      </c>
      <c r="ER27" s="4">
        <f>(HAVERQ!W69*$EW$2)+(HAVERQ!X69*$EX$2)/($EW$2+$EX$2)</f>
        <v>10.844267067785919</v>
      </c>
      <c r="ES27" s="4">
        <f>(HAVERQ!AB69*$EW$2)+(HAVERQ!AC69*$EY$2)+(HAVERQ!AD69*$EZ$2)+(HAVERQ!AE69*$FA$2)/($EW$2+$EY$2+$EZ$2+$FA$2)</f>
        <v>4.8427426528862787</v>
      </c>
      <c r="ET27" s="21">
        <f>(HAVERQ!Y69*$EW$2)+(HAVERQ!Z69*$EX$2)/($EW$2+$EX$2)</f>
        <v>2.1360716191954969</v>
      </c>
      <c r="FC27" s="26">
        <v>44136</v>
      </c>
      <c r="FD27" s="4">
        <f>100*((HAVERM!E258+HAVERM!F258)/(HAVERM!E$249+HAVERM!F$249))</f>
        <v>110.5492337068718</v>
      </c>
      <c r="FE27" s="4">
        <f>100*(HAVERM!E258/HAVERM!E$249)</f>
        <v>131.10618046176603</v>
      </c>
      <c r="FF27" s="4">
        <f>100*(HAVERM!F258/HAVERM!F$249)</f>
        <v>99.269521766134034</v>
      </c>
      <c r="FG27">
        <v>100</v>
      </c>
      <c r="FV27" s="26">
        <v>43009</v>
      </c>
      <c r="FW27" s="3">
        <f>HAVERM!G221</f>
        <v>390045</v>
      </c>
      <c r="FX27" s="4"/>
      <c r="FY27" s="3">
        <f t="shared" si="19"/>
        <v>978</v>
      </c>
      <c r="GD27" s="4">
        <f>100*(DataQ!W177/DataQ!W$194)</f>
        <v>94.005380376142483</v>
      </c>
      <c r="GE27" s="4">
        <f>100*(DataQ!X177/DataQ!X$194)</f>
        <v>92.536685329527572</v>
      </c>
      <c r="GF27" s="4">
        <f>100*(DataQ!C177/DataQ!C$194)</f>
        <v>91.150756524824985</v>
      </c>
      <c r="GG27" s="4"/>
      <c r="GH27">
        <v>100</v>
      </c>
      <c r="GK27" s="4">
        <f>100*(DataQ!Z157/AVERAGE(DataQ!$Z$203:$Z$206))</f>
        <v>68.874415834125358</v>
      </c>
      <c r="GL27" s="4">
        <f>100*(DataQ!C157/AVERAGE(DataQ!$C$203:$C$206))</f>
        <v>71.348957680578181</v>
      </c>
      <c r="GM27" s="4">
        <v>100</v>
      </c>
      <c r="GP27" s="4">
        <f>100*(DataQ!Z157/DataQ!$Z$194)</f>
        <v>68.61745763007697</v>
      </c>
      <c r="GQ27" s="4">
        <f>100*(DataQ!C157/DataQ!$C$194)</f>
        <v>68.872794141368516</v>
      </c>
      <c r="GR27" s="4">
        <v>100</v>
      </c>
      <c r="GT27" s="4"/>
      <c r="GU27" s="31">
        <f t="shared" ref="GU27" si="88">HB27</f>
        <v>97.261025260509086</v>
      </c>
      <c r="GV27" s="31">
        <f t="shared" ref="GV27" si="89">MIN(HC27:HH27)</f>
        <v>97.002376165234878</v>
      </c>
      <c r="GW27" s="4">
        <f t="shared" ref="GW27" si="90">+GY27-GV27</f>
        <v>17.49447600457961</v>
      </c>
      <c r="GX27" s="4">
        <v>100</v>
      </c>
      <c r="GY27" s="31">
        <f t="shared" si="71"/>
        <v>114.49685216981449</v>
      </c>
      <c r="GZ27" s="4"/>
      <c r="HB27" s="4">
        <f>100*(DataQ!C209/DataQ!C$194)</f>
        <v>97.261025260509086</v>
      </c>
      <c r="HC27" s="4">
        <f>100*(DataQ!Q209/DataQ!Q$194)</f>
        <v>114.49685216981449</v>
      </c>
      <c r="HD27" s="4">
        <f>100*(DataQ!R209/DataQ!R$194)</f>
        <v>105.00000461331642</v>
      </c>
      <c r="HE27" s="4">
        <f>100*(DataQ!S209/DataQ!S$194)</f>
        <v>97.002376165234878</v>
      </c>
      <c r="HF27" s="4">
        <f>100*(DataQ!T209/DataQ!T$194)</f>
        <v>107.17296962182267</v>
      </c>
      <c r="HG27" s="4">
        <f>100*(DataQ!U209/DataQ!U$194)</f>
        <v>108.44422071565933</v>
      </c>
      <c r="HH27" s="4">
        <f>100*(DataQ!V209/DataQ!V$194)</f>
        <v>101.75562410295855</v>
      </c>
      <c r="HJ27" s="4"/>
      <c r="HK27" s="31">
        <f t="shared" si="23"/>
        <v>97.261025260509086</v>
      </c>
      <c r="HL27" s="31">
        <f t="shared" si="24"/>
        <v>97.002376165234878</v>
      </c>
      <c r="HM27" s="4">
        <f t="shared" si="10"/>
        <v>17.49447600457961</v>
      </c>
      <c r="HN27" s="4">
        <v>100</v>
      </c>
      <c r="HO27" s="31">
        <f t="shared" si="72"/>
        <v>114.49685216981449</v>
      </c>
      <c r="HP27" s="4"/>
      <c r="HR27" s="4">
        <f>100*(DataQ!C209/DataQ!C$194)</f>
        <v>97.261025260509086</v>
      </c>
      <c r="HS27" s="4">
        <f>100*(DataQ!Q209/DataQ!Q$194)</f>
        <v>114.49685216981449</v>
      </c>
      <c r="HT27" s="4">
        <f>100*(DataQ!R209/DataQ!R$194)</f>
        <v>105.00000461331642</v>
      </c>
      <c r="HU27" s="4">
        <f>100*(DataQ!S209/DataQ!S$194)</f>
        <v>97.002376165234878</v>
      </c>
      <c r="HV27" s="4">
        <f>100*(DataQ!T209/DataQ!T$194)</f>
        <v>107.17296962182267</v>
      </c>
      <c r="HW27" s="4">
        <f>100*(DataQ!U209/DataQ!U$194)</f>
        <v>108.44422071565933</v>
      </c>
      <c r="HX27" s="4">
        <f>100*(DataQ!V209/DataQ!V$194)</f>
        <v>101.75562410295855</v>
      </c>
      <c r="HZ27" s="22">
        <v>2012</v>
      </c>
      <c r="IA27">
        <f>DataA!J46/'Chart Data'!IF27</f>
        <v>2.924583061017235</v>
      </c>
      <c r="IB27">
        <f t="shared" si="26"/>
        <v>3.1146706338268264</v>
      </c>
      <c r="IC27" s="4">
        <f t="shared" si="27"/>
        <v>-6.1029750865195354</v>
      </c>
      <c r="IF27" s="3">
        <f>DataA!K46*DataA!L46</f>
        <v>945640.09375</v>
      </c>
      <c r="IR27">
        <f>HAVERQ!AH98</f>
        <v>-1.3</v>
      </c>
      <c r="IS27" s="4">
        <f>100*(('IPNR ex BNFL'!I67/'IPNR ex BNFL'!I63)-1)</f>
        <v>2.2307326149984874</v>
      </c>
      <c r="IT27">
        <v>0</v>
      </c>
    </row>
    <row r="28" spans="1:254" x14ac:dyDescent="0.25">
      <c r="B28" s="4">
        <f>100*((DataQ!C98/DataQ!C94)-1)</f>
        <v>8.2464924838940625</v>
      </c>
      <c r="C28" s="4">
        <f t="shared" si="11"/>
        <v>13.047838966249154</v>
      </c>
      <c r="D28" s="4">
        <v>0</v>
      </c>
      <c r="G28" s="4">
        <f>100*((AVERAGE(DataQ!C95:C98)/AVERAGE(DataQ!C91:C94))-1)</f>
        <v>7.7539357811679199</v>
      </c>
      <c r="H28" s="4">
        <f t="shared" si="39"/>
        <v>12.956249097050273</v>
      </c>
      <c r="I28" s="4">
        <v>0</v>
      </c>
      <c r="K28" s="4">
        <f t="shared" si="12"/>
        <v>13.047838966249154</v>
      </c>
      <c r="L28" s="4">
        <f>100*(HAVERQ!AF32/HAVERQ!AI32)</f>
        <v>13.047838966249154</v>
      </c>
      <c r="O28" s="4">
        <f>100*('ONS CVM_SA_(Quarterly)'!B112/'ONS CVM_SA_(Quarterly)'!B$101)</f>
        <v>113.36293378910605</v>
      </c>
      <c r="P28" s="4">
        <f>100*('ONS CVM_SA_(Quarterly)'!D112/'ONS CVM_SA_(Quarterly)'!D$101)</f>
        <v>110.24194866764753</v>
      </c>
      <c r="R28">
        <v>100</v>
      </c>
      <c r="AP28" s="4">
        <f>100*(('ONS CVM_SA_(Quarterly)'!C104-AVERAGE('ONS CVM_SA_(Quarterly)'!C$81:C$84))/AVERAGE('ONS CVM_SA_(Quarterly)'!$B$81:$B$84))</f>
        <v>-3.3378848717398086</v>
      </c>
      <c r="AQ28" s="4">
        <f>100*(('ONS CVM_SA_(Quarterly)'!D104-AVERAGE('ONS CVM_SA_(Quarterly)'!D$81:D$84))/AVERAGE('ONS CVM_SA_(Quarterly)'!$B$81:$B$84))</f>
        <v>-2.0408990166245955</v>
      </c>
      <c r="AR28" s="4">
        <f>100*(('ONS CVM_SA_(Quarterly)'!E104-AVERAGE('ONS CVM_SA_(Quarterly)'!E$81:E$84))/AVERAGE('ONS CVM_SA_(Quarterly)'!$B$81:$B$84))</f>
        <v>-4.8868935952966535</v>
      </c>
      <c r="AS28" s="4">
        <f>100*(('ONS CVM_SA_(Quarterly)'!F104-AVERAGE('ONS CVM_SA_(Quarterly)'!F$81:F$84))/AVERAGE('ONS CVM_SA_(Quarterly)'!$B$81:$B$84))</f>
        <v>2.8792194584344597</v>
      </c>
      <c r="AT28" s="4">
        <f>100*(('ONS CVM_SA_(Quarterly)'!B104-AVERAGE('ONS CVM_SA_(Quarterly)'!B$81:B$84))/AVERAGE('ONS CVM_SA_(Quarterly)'!$B$81:$B$84))</f>
        <v>-7.3301378022147219</v>
      </c>
      <c r="AV28" s="36">
        <v>44166</v>
      </c>
      <c r="AW28" s="21">
        <f>HAVERM!D259</f>
        <v>0.10000000000000003</v>
      </c>
      <c r="AX28" s="21">
        <f>HAVERM!B259</f>
        <v>2.4500000000000002</v>
      </c>
      <c r="AY28" s="21">
        <f>HAVERM!C259</f>
        <v>2.12</v>
      </c>
      <c r="BA28" s="36">
        <v>45231</v>
      </c>
      <c r="BB28" s="21">
        <f t="shared" ref="BB28:BC28" si="91">AX63-AX$39</f>
        <v>4.0999999999999996</v>
      </c>
      <c r="BC28" s="21">
        <f t="shared" si="91"/>
        <v>1.2599999999999998</v>
      </c>
      <c r="BD28" s="21"/>
      <c r="BE28" s="21"/>
      <c r="BF28" s="21">
        <v>0</v>
      </c>
      <c r="BJ28" s="4">
        <f>100*(HAVERQ!B144/HAVERQ!B$128)</f>
        <v>98.430493273542595</v>
      </c>
      <c r="BK28" s="4">
        <f>100*(HAVERQ!I144/HAVERQ!I$128)</f>
        <v>111.18251928020567</v>
      </c>
      <c r="BL28" s="4">
        <f>100*(HAVERQ!J144/HAVERQ!J$128)</f>
        <v>91.605991262741838</v>
      </c>
      <c r="BM28" s="4">
        <f>100*(HAVERQ!K144/HAVERQ!K$128)</f>
        <v>66.14100185528757</v>
      </c>
      <c r="BN28" s="4">
        <f>100*((HAVERQ!L144+HAVERQ!M144)/(HAVERQ!L$128+HAVERQ!M$128))</f>
        <v>96.89771809369951</v>
      </c>
      <c r="BO28">
        <v>100</v>
      </c>
      <c r="BR28" s="3">
        <f>HAVERQ!I144-HAVERQ!I$128</f>
        <v>1044</v>
      </c>
      <c r="BS28" s="3">
        <f>HAVERQ!J144-HAVERQ!J$128</f>
        <v>-807</v>
      </c>
      <c r="BT28" s="3">
        <f>HAVERQ!K144-HAVERQ!K$128</f>
        <v>-1095</v>
      </c>
      <c r="BU28" s="3">
        <f>(HAVERQ!L144+HAVERQ!M144)-(HAVERQ!L$128+HAVERQ!M$128)</f>
        <v>-1229</v>
      </c>
      <c r="BV28" s="3">
        <f>HAVERQ!N144-HAVERQ!N$128</f>
        <v>-50</v>
      </c>
      <c r="BW28" s="3">
        <f>HAVERQ!B144-HAVERQ!B$128</f>
        <v>-973</v>
      </c>
      <c r="CH28" s="3">
        <f>HAVERQ!I144</f>
        <v>10380</v>
      </c>
      <c r="CI28" s="3">
        <f>HAVERQ!J144</f>
        <v>8807</v>
      </c>
      <c r="CJ28" s="3">
        <f>HAVERQ!K144</f>
        <v>2139</v>
      </c>
      <c r="CK28" s="3">
        <f>HAVERQ!L144+HAVERQ!M144</f>
        <v>38387</v>
      </c>
      <c r="CL28" s="3">
        <f>HAVERQ!N144</f>
        <v>1308</v>
      </c>
      <c r="CO28" s="3">
        <f t="shared" si="77"/>
        <v>-2649</v>
      </c>
      <c r="CP28" s="3">
        <f t="shared" si="78"/>
        <v>-127</v>
      </c>
      <c r="CQ28" s="3">
        <f t="shared" si="79"/>
        <v>-1506</v>
      </c>
      <c r="CR28" s="3">
        <f t="shared" si="80"/>
        <v>1191</v>
      </c>
      <c r="CS28" s="3">
        <f t="shared" si="81"/>
        <v>2888</v>
      </c>
      <c r="CT28" s="3">
        <f t="shared" si="82"/>
        <v>-340</v>
      </c>
      <c r="CU28" s="3">
        <f t="shared" si="83"/>
        <v>-1229</v>
      </c>
      <c r="CX28" s="3">
        <f>HAVERQ!L144-HAVERQ!L$128</f>
        <v>-2649</v>
      </c>
      <c r="CY28" s="3">
        <f>HAVERQ!O144-HAVERQ!O$128</f>
        <v>-127</v>
      </c>
      <c r="CZ28" s="3">
        <f>HAVERQ!P144-HAVERQ!P$128</f>
        <v>-1506</v>
      </c>
      <c r="DA28" s="3">
        <f>HAVERQ!Q144-HAVERQ!Q$128</f>
        <v>1191</v>
      </c>
      <c r="DB28" s="3">
        <f>HAVERQ!R144-HAVERQ!R$128</f>
        <v>274</v>
      </c>
      <c r="DC28" s="3">
        <f>HAVERQ!S144-HAVERQ!S$128</f>
        <v>2888</v>
      </c>
      <c r="DD28" s="3">
        <f>HAVERQ!T144-HAVERQ!T$128</f>
        <v>-317</v>
      </c>
      <c r="DE28" s="3">
        <f>HAVERQ!U144-HAVERQ!U$128</f>
        <v>-401</v>
      </c>
      <c r="DF28" s="3">
        <f>HAVERQ!V144-HAVERQ!V$128</f>
        <v>104</v>
      </c>
      <c r="DG28" s="3">
        <f>(HAVERQ!L144+HAVERQ!M144)-(HAVERQ!L$128+HAVERQ!M$128)</f>
        <v>-1229</v>
      </c>
      <c r="DJ28" s="4">
        <f>100*(HAVERQ!C144/HAVERQ!C$128)</f>
        <v>101.96562884624151</v>
      </c>
      <c r="DK28" s="4">
        <f>100*(HAVERQ!D144/HAVERQ!D$128)</f>
        <v>180.72824156305506</v>
      </c>
      <c r="DL28" s="4">
        <f>100*(HAVERQ!E144/HAVERQ!E$128)</f>
        <v>114.24612975121981</v>
      </c>
      <c r="DM28" s="4">
        <f>100*(HAVERQ!F144/HAVERQ!F$128)</f>
        <v>97.865793522426927</v>
      </c>
      <c r="DN28" s="4">
        <f>100*(HAVERQ!G144/HAVERQ!G$128)</f>
        <v>90.998354508915327</v>
      </c>
      <c r="DO28" s="4">
        <f>100*(HAVERQ!H144/HAVERQ!H$128)</f>
        <v>99.114541945737315</v>
      </c>
      <c r="DP28">
        <v>100</v>
      </c>
      <c r="DS28" s="3">
        <f>HAVERQ!D144-HAVERQ!D$128</f>
        <v>3636</v>
      </c>
      <c r="DT28" s="3">
        <f>HAVERQ!E144-HAVERQ!E$128</f>
        <v>2365</v>
      </c>
      <c r="DU28" s="3">
        <f>HAVERQ!F144-HAVERQ!F$128</f>
        <v>-541</v>
      </c>
      <c r="DV28" s="3">
        <f>HAVERQ!G144-HAVERQ!G$128</f>
        <v>-3337</v>
      </c>
      <c r="DW28" s="3">
        <f>HAVERQ!H144-HAVERQ!H$128</f>
        <v>-234</v>
      </c>
      <c r="DX28" s="3">
        <f>HAVERQ!C144-HAVERQ!C$128</f>
        <v>2156</v>
      </c>
      <c r="EA28" s="4">
        <f t="shared" si="29"/>
        <v>-1.2643555863718974</v>
      </c>
      <c r="EB28" s="4">
        <f t="shared" si="30"/>
        <v>2.1119764491649726</v>
      </c>
      <c r="EC28" s="4">
        <f t="shared" si="18"/>
        <v>4.445338191109327</v>
      </c>
      <c r="ED28" s="3">
        <v>0</v>
      </c>
      <c r="EF28" s="4">
        <f t="shared" si="31"/>
        <v>0.84762086279307514</v>
      </c>
      <c r="EG28" s="4">
        <f t="shared" si="32"/>
        <v>-0.14027600798270948</v>
      </c>
      <c r="EJ28" s="3">
        <f>'IPNR ex BNFL'!I36</f>
        <v>42269</v>
      </c>
      <c r="EM28" s="4">
        <f t="shared" si="35"/>
        <v>-4.0933003693062976E-3</v>
      </c>
      <c r="EN28" s="4">
        <f t="shared" si="36"/>
        <v>-1.2643555863718974</v>
      </c>
      <c r="EO28" s="4">
        <f t="shared" si="37"/>
        <v>0.84762086279307514</v>
      </c>
      <c r="ER28" s="4">
        <f>(HAVERQ!W70*$EW$2)+(HAVERQ!X70*$EX$2)/($EW$2+$EX$2)</f>
        <v>8.1557329322140806</v>
      </c>
      <c r="ES28" s="4">
        <f>(HAVERQ!AB70*$EW$2)+(HAVERQ!AC70*$EY$2)+(HAVERQ!AD70*$EZ$2)+(HAVERQ!AE70*$FA$2)/($EW$2+$EY$2+$EZ$2+$FA$2)</f>
        <v>-24.027576948582336</v>
      </c>
      <c r="ET28" s="21">
        <f>(HAVERQ!Y70*$EW$2)+(HAVERQ!Z70*$EX$2)/($EW$2+$EX$2)</f>
        <v>2.1538316593074223</v>
      </c>
      <c r="FC28" s="26">
        <v>44166</v>
      </c>
      <c r="FD28" s="4">
        <f>100*((HAVERM!E259+HAVERM!F259)/(HAVERM!E$249+HAVERM!F$249))</f>
        <v>111.13073238756247</v>
      </c>
      <c r="FE28" s="4">
        <f>100*(HAVERM!E259/HAVERM!E$249)</f>
        <v>131.79497073766802</v>
      </c>
      <c r="FF28" s="4">
        <f>100*(HAVERM!F259/HAVERM!F$249)</f>
        <v>99.79214894698211</v>
      </c>
      <c r="FG28">
        <v>100</v>
      </c>
      <c r="FV28" s="26">
        <v>43040</v>
      </c>
      <c r="FW28" s="3">
        <f>HAVERM!G222</f>
        <v>393924</v>
      </c>
      <c r="FX28" s="4"/>
      <c r="FY28" s="3">
        <f t="shared" si="19"/>
        <v>3879</v>
      </c>
      <c r="GD28" s="4">
        <f>100*(DataQ!W178/DataQ!W$194)</f>
        <v>96.315748728692597</v>
      </c>
      <c r="GE28" s="4">
        <f>100*(DataQ!X178/DataQ!X$194)</f>
        <v>97.842792842243938</v>
      </c>
      <c r="GF28" s="4">
        <f>100*(DataQ!C178/DataQ!C$194)</f>
        <v>97.167467819466395</v>
      </c>
      <c r="GG28" s="4"/>
      <c r="GH28">
        <v>100</v>
      </c>
      <c r="GK28" s="4">
        <f>100*(DataQ!Z158/AVERAGE(DataQ!$Z$203:$Z$206))</f>
        <v>73.431238146962343</v>
      </c>
      <c r="GL28" s="4">
        <f>100*(DataQ!C158/AVERAGE(DataQ!$C$203:$C$206))</f>
        <v>76.057985545389982</v>
      </c>
      <c r="GM28" s="4">
        <v>100</v>
      </c>
      <c r="GP28" s="4">
        <f>100*(DataQ!Z158/DataQ!$Z$194)</f>
        <v>73.157279248773847</v>
      </c>
      <c r="GQ28" s="4">
        <f>100*(DataQ!C158/DataQ!$C$194)</f>
        <v>73.418395328580189</v>
      </c>
      <c r="GR28" s="4">
        <v>100</v>
      </c>
      <c r="GT28" s="4"/>
      <c r="GU28" s="31">
        <f t="shared" ref="GU28:GU29" si="92">HB28</f>
        <v>98.430493273542595</v>
      </c>
      <c r="GV28" s="31">
        <f t="shared" ref="GV28:GV29" si="93">MIN(HC28:HH28)</f>
        <v>95.658928897824893</v>
      </c>
      <c r="GW28" s="4">
        <f t="shared" ref="GW28:GW29" si="94">+GY28-GV28</f>
        <v>19.915255527990681</v>
      </c>
      <c r="GX28" s="4">
        <v>100</v>
      </c>
      <c r="GY28" s="31">
        <f t="shared" si="71"/>
        <v>115.57418442581557</v>
      </c>
      <c r="GZ28" s="4"/>
      <c r="HB28" s="4">
        <f>100*(DataQ!C210/DataQ!C$194)</f>
        <v>98.430493273542595</v>
      </c>
      <c r="HC28" s="4">
        <f>100*(DataQ!Q210/DataQ!Q$194)</f>
        <v>115.57418442581557</v>
      </c>
      <c r="HD28" s="4">
        <f>100*(DataQ!R210/DataQ!R$194)</f>
        <v>107.19718882950013</v>
      </c>
      <c r="HE28" s="4">
        <f>100*(DataQ!S210/DataQ!S$194)</f>
        <v>95.658928897824893</v>
      </c>
      <c r="HF28" s="4">
        <f>100*(DataQ!T210/DataQ!T$194)</f>
        <v>106.16119032858026</v>
      </c>
      <c r="HG28" s="4">
        <f>100*(DataQ!U210/DataQ!U$194)</f>
        <v>107.85091322260725</v>
      </c>
      <c r="HH28" s="4">
        <f>100*(DataQ!V210/DataQ!V$194)</f>
        <v>99.011569356667636</v>
      </c>
      <c r="HJ28" s="4"/>
      <c r="HK28" s="31">
        <f t="shared" si="23"/>
        <v>98.430493273542595</v>
      </c>
      <c r="HL28" s="31">
        <f t="shared" si="24"/>
        <v>95.658928897824893</v>
      </c>
      <c r="HM28" s="4">
        <f t="shared" si="10"/>
        <v>19.915255527990681</v>
      </c>
      <c r="HN28" s="4">
        <v>100</v>
      </c>
      <c r="HO28" s="31">
        <f t="shared" si="72"/>
        <v>115.57418442581557</v>
      </c>
      <c r="HP28" s="4"/>
      <c r="HR28" s="4">
        <f>100*(DataQ!C210/DataQ!C$194)</f>
        <v>98.430493273542595</v>
      </c>
      <c r="HS28" s="4">
        <f>100*(DataQ!Q210/DataQ!Q$194)</f>
        <v>115.57418442581557</v>
      </c>
      <c r="HT28" s="4">
        <f>100*(DataQ!R210/DataQ!R$194)</f>
        <v>107.19718882950013</v>
      </c>
      <c r="HU28" s="4">
        <f>100*(DataQ!S210/DataQ!S$194)</f>
        <v>95.658928897824893</v>
      </c>
      <c r="HV28" s="4">
        <f>100*(DataQ!T210/DataQ!T$194)</f>
        <v>106.16119032858026</v>
      </c>
      <c r="HW28" s="4">
        <f>100*(DataQ!U210/DataQ!U$194)</f>
        <v>107.85091322260725</v>
      </c>
      <c r="HX28" s="4">
        <f>100*(DataQ!V210/DataQ!V$194)</f>
        <v>99.011569356667636</v>
      </c>
      <c r="HZ28" s="22">
        <v>2013</v>
      </c>
      <c r="IA28">
        <f>DataA!J47/'Chart Data'!IF28</f>
        <v>2.9082165771732726</v>
      </c>
      <c r="IB28">
        <f t="shared" si="26"/>
        <v>3.1974140668223345</v>
      </c>
      <c r="IC28" s="4">
        <f t="shared" si="27"/>
        <v>-9.0447306356062018</v>
      </c>
      <c r="IF28" s="3">
        <f>DataA!K47*DataA!L47</f>
        <v>964039.96249999991</v>
      </c>
      <c r="IR28">
        <f>HAVERQ!AH99</f>
        <v>-6.5</v>
      </c>
      <c r="IS28" s="4">
        <f>100*(('IPNR ex BNFL'!I68/'IPNR ex BNFL'!I64)-1)</f>
        <v>5.5221328604901476</v>
      </c>
      <c r="IT28">
        <v>0</v>
      </c>
    </row>
    <row r="29" spans="1:254" x14ac:dyDescent="0.25">
      <c r="A29">
        <v>1996</v>
      </c>
      <c r="B29" s="4">
        <f>100*((DataQ!C99/DataQ!C95)-1)</f>
        <v>13.673446005264566</v>
      </c>
      <c r="C29" s="4">
        <f t="shared" si="11"/>
        <v>11.515137593604999</v>
      </c>
      <c r="D29" s="4">
        <v>0</v>
      </c>
      <c r="F29">
        <v>1996</v>
      </c>
      <c r="G29" s="4">
        <f>100*((AVERAGE(DataQ!C96:C99)/AVERAGE(DataQ!C92:C95))-1)</f>
        <v>10.096914025996684</v>
      </c>
      <c r="H29" s="4">
        <f t="shared" si="39"/>
        <v>12.755640252748604</v>
      </c>
      <c r="I29" s="4">
        <v>0</v>
      </c>
      <c r="K29" s="4">
        <f t="shared" si="12"/>
        <v>11.515137593604999</v>
      </c>
      <c r="L29" s="4">
        <f>100*(HAVERQ!AF33/HAVERQ!AI33)</f>
        <v>11.515137593604999</v>
      </c>
      <c r="N29">
        <v>2024</v>
      </c>
      <c r="O29" s="4">
        <f>100*('ONS CVM_SA_(Quarterly)'!B113/'ONS CVM_SA_(Quarterly)'!B$101)</f>
        <v>114.01129523667979</v>
      </c>
      <c r="P29" s="4">
        <f>100*('ONS CVM_SA_(Quarterly)'!D113/'ONS CVM_SA_(Quarterly)'!D$101)</f>
        <v>115.6040542749714</v>
      </c>
      <c r="R29">
        <v>100</v>
      </c>
      <c r="AO29">
        <v>2022</v>
      </c>
      <c r="AP29" s="4">
        <f>100*(('ONS CVM_SA_(Quarterly)'!C105-AVERAGE('ONS CVM_SA_(Quarterly)'!C$81:C$84))/AVERAGE('ONS CVM_SA_(Quarterly)'!$B$81:$B$84))</f>
        <v>-4.3459763455063349</v>
      </c>
      <c r="AQ29" s="4">
        <f>100*(('ONS CVM_SA_(Quarterly)'!D105-AVERAGE('ONS CVM_SA_(Quarterly)'!D$81:D$84))/AVERAGE('ONS CVM_SA_(Quarterly)'!$B$81:$B$84))</f>
        <v>5.6320223011875864E-2</v>
      </c>
      <c r="AR29" s="4">
        <f>100*(('ONS CVM_SA_(Quarterly)'!E105-AVERAGE('ONS CVM_SA_(Quarterly)'!E$81:E$84))/AVERAGE('ONS CVM_SA_(Quarterly)'!$B$81:$B$84))</f>
        <v>-3.1446133150731552</v>
      </c>
      <c r="AS29" s="4">
        <f>100*(('ONS CVM_SA_(Quarterly)'!F105-AVERAGE('ONS CVM_SA_(Quarterly)'!F$81:F$84))/AVERAGE('ONS CVM_SA_(Quarterly)'!$B$81:$B$84))</f>
        <v>2.7074225191752124</v>
      </c>
      <c r="AT29" s="4">
        <f>100*(('ONS CVM_SA_(Quarterly)'!B105-AVERAGE('ONS CVM_SA_(Quarterly)'!B$81:B$84))/AVERAGE('ONS CVM_SA_(Quarterly)'!$B$81:$B$84))</f>
        <v>-4.5360064504888511</v>
      </c>
      <c r="AV29" s="36">
        <v>44197</v>
      </c>
      <c r="AW29" s="21">
        <f>HAVERM!D260</f>
        <v>0.10000000000000002</v>
      </c>
      <c r="AX29" s="21">
        <f>HAVERM!B260</f>
        <v>2.41</v>
      </c>
      <c r="AY29" s="21">
        <f>HAVERM!C260</f>
        <v>2.09</v>
      </c>
      <c r="BA29" s="36">
        <v>45261</v>
      </c>
      <c r="BB29" s="21">
        <f t="shared" ref="BB29" si="95">AX64-AX$39</f>
        <v>4.12</v>
      </c>
      <c r="BC29" s="21">
        <f t="shared" ref="BC29" si="96">AY64-AY$39</f>
        <v>1.35</v>
      </c>
      <c r="BD29" s="21"/>
      <c r="BE29" s="21"/>
      <c r="BF29" s="21">
        <v>0</v>
      </c>
      <c r="BI29">
        <v>2024</v>
      </c>
      <c r="BJ29" s="4">
        <f>100*(HAVERQ!B145/HAVERQ!B$128)</f>
        <v>98.993450979127005</v>
      </c>
      <c r="BK29" s="4">
        <f>100*(HAVERQ!I145/HAVERQ!I$128)</f>
        <v>112.264353041988</v>
      </c>
      <c r="BL29" s="4">
        <f>100*(HAVERQ!J145/HAVERQ!J$128)</f>
        <v>91.564385271479097</v>
      </c>
      <c r="BM29" s="4">
        <f>100*(HAVERQ!K145/HAVERQ!K$128)</f>
        <v>67.254174397031534</v>
      </c>
      <c r="BN29" s="4">
        <f>100*((HAVERQ!L145+HAVERQ!M145)/(HAVERQ!L$128+HAVERQ!M$128))</f>
        <v>97.440428109854608</v>
      </c>
      <c r="BO29">
        <v>100</v>
      </c>
      <c r="BQ29">
        <v>2024</v>
      </c>
      <c r="BR29" s="3">
        <f>HAVERQ!I145-HAVERQ!I$128</f>
        <v>1145</v>
      </c>
      <c r="BS29" s="3">
        <f>HAVERQ!J145-HAVERQ!J$128</f>
        <v>-811</v>
      </c>
      <c r="BT29" s="3">
        <f>HAVERQ!K145-HAVERQ!K$128</f>
        <v>-1059</v>
      </c>
      <c r="BU29" s="3">
        <f>(HAVERQ!L145+HAVERQ!M145)-(HAVERQ!L$128+HAVERQ!M$128)</f>
        <v>-1014</v>
      </c>
      <c r="BV29" s="3">
        <f>HAVERQ!N145-HAVERQ!N$128</f>
        <v>-49</v>
      </c>
      <c r="BW29" s="3">
        <f>HAVERQ!B145-HAVERQ!B$128</f>
        <v>-624</v>
      </c>
      <c r="CG29">
        <v>2024</v>
      </c>
      <c r="CH29" s="3">
        <f>HAVERQ!I145</f>
        <v>10481</v>
      </c>
      <c r="CI29" s="3">
        <f>HAVERQ!J145</f>
        <v>8803</v>
      </c>
      <c r="CJ29" s="3">
        <f>HAVERQ!K145</f>
        <v>2175</v>
      </c>
      <c r="CK29" s="3">
        <f>HAVERQ!L145+HAVERQ!M145</f>
        <v>38602</v>
      </c>
      <c r="CL29" s="3">
        <f>HAVERQ!N145</f>
        <v>1309</v>
      </c>
      <c r="CN29">
        <v>2024</v>
      </c>
      <c r="CO29" s="3">
        <f t="shared" si="77"/>
        <v>-2447</v>
      </c>
      <c r="CP29" s="3">
        <f t="shared" si="78"/>
        <v>132</v>
      </c>
      <c r="CQ29" s="3">
        <f t="shared" si="79"/>
        <v>-1116</v>
      </c>
      <c r="CR29" s="3">
        <f t="shared" si="80"/>
        <v>-264</v>
      </c>
      <c r="CS29" s="3">
        <f t="shared" si="81"/>
        <v>2685</v>
      </c>
      <c r="CT29" s="3">
        <f t="shared" si="82"/>
        <v>682</v>
      </c>
      <c r="CU29" s="3">
        <f t="shared" si="83"/>
        <v>-1014</v>
      </c>
      <c r="CW29">
        <v>2024</v>
      </c>
      <c r="CX29" s="3">
        <f>HAVERQ!L145-HAVERQ!L$128</f>
        <v>-2447</v>
      </c>
      <c r="CY29" s="3">
        <f>HAVERQ!O145-HAVERQ!O$128</f>
        <v>132</v>
      </c>
      <c r="CZ29" s="3">
        <f>HAVERQ!P145-HAVERQ!P$128</f>
        <v>-1116</v>
      </c>
      <c r="DA29" s="3">
        <f>HAVERQ!Q145-HAVERQ!Q$128</f>
        <v>-264</v>
      </c>
      <c r="DB29" s="3">
        <f>HAVERQ!R145-HAVERQ!R$128</f>
        <v>909</v>
      </c>
      <c r="DC29" s="3">
        <f>HAVERQ!S145-HAVERQ!S$128</f>
        <v>2685</v>
      </c>
      <c r="DD29" s="3">
        <f>HAVERQ!T145-HAVERQ!T$128</f>
        <v>247</v>
      </c>
      <c r="DE29" s="3">
        <f>HAVERQ!U145-HAVERQ!U$128</f>
        <v>-558</v>
      </c>
      <c r="DF29" s="3">
        <f>HAVERQ!V145-HAVERQ!V$128</f>
        <v>84</v>
      </c>
      <c r="DG29" s="3">
        <f>(HAVERQ!L145+HAVERQ!M145)-(HAVERQ!L$128+HAVERQ!M$128)</f>
        <v>-1014</v>
      </c>
      <c r="DI29">
        <v>2024</v>
      </c>
      <c r="DJ29" s="4">
        <f>100*(HAVERQ!C145/HAVERQ!C$128)</f>
        <v>103.18548570907599</v>
      </c>
      <c r="DK29" s="4">
        <f>100*(HAVERQ!D145/HAVERQ!D$128)</f>
        <v>177.4644760213144</v>
      </c>
      <c r="DL29" s="4">
        <f>100*(HAVERQ!E145/HAVERQ!E$128)</f>
        <v>117.48689837961568</v>
      </c>
      <c r="DM29" s="4">
        <f>100*(HAVERQ!F145/HAVERQ!F$128)</f>
        <v>102.89163280602784</v>
      </c>
      <c r="DN29" s="4">
        <f>100*(HAVERQ!G145/HAVERQ!G$128)</f>
        <v>91.537859782579375</v>
      </c>
      <c r="DO29" s="4">
        <f>100*(HAVERQ!H145/HAVERQ!H$128)</f>
        <v>97.12036931925681</v>
      </c>
      <c r="DP29">
        <v>100</v>
      </c>
      <c r="DR29">
        <v>2024</v>
      </c>
      <c r="DS29" s="3">
        <f>HAVERQ!D145-HAVERQ!D$128</f>
        <v>3489</v>
      </c>
      <c r="DT29" s="3">
        <f>HAVERQ!E145-HAVERQ!E$128</f>
        <v>2903</v>
      </c>
      <c r="DU29" s="3">
        <f>HAVERQ!F145-HAVERQ!F$128</f>
        <v>733</v>
      </c>
      <c r="DV29" s="3">
        <f>HAVERQ!G145-HAVERQ!G$128</f>
        <v>-3137</v>
      </c>
      <c r="DW29" s="3">
        <f>HAVERQ!H145-HAVERQ!H$128</f>
        <v>-761</v>
      </c>
      <c r="DX29" s="3">
        <f>HAVERQ!C145-HAVERQ!C$128</f>
        <v>3494</v>
      </c>
      <c r="DZ29">
        <v>2006</v>
      </c>
      <c r="EA29" s="4">
        <f t="shared" si="29"/>
        <v>-0.94643812409191852</v>
      </c>
      <c r="EB29" s="4">
        <f t="shared" si="30"/>
        <v>1.4167231516557042</v>
      </c>
      <c r="EC29" s="4">
        <f t="shared" si="18"/>
        <v>10.326461706731349</v>
      </c>
      <c r="ED29" s="3">
        <v>0</v>
      </c>
      <c r="EF29" s="4">
        <f t="shared" si="31"/>
        <v>0.47028502756378576</v>
      </c>
      <c r="EG29" s="4">
        <f t="shared" si="32"/>
        <v>-0.20810278426917983</v>
      </c>
      <c r="EI29" s="22">
        <v>2005</v>
      </c>
      <c r="EJ29" s="3">
        <f>'IPNR ex BNFL'!I37</f>
        <v>42057</v>
      </c>
      <c r="EM29" s="4">
        <f t="shared" si="35"/>
        <v>-0.14815525627940671</v>
      </c>
      <c r="EN29" s="4">
        <f t="shared" si="36"/>
        <v>-0.94643812409191852</v>
      </c>
      <c r="EO29" s="4">
        <f t="shared" si="37"/>
        <v>0.47028502756378576</v>
      </c>
      <c r="ER29" s="4">
        <f>(HAVERQ!W71*$EW$2)+(HAVERQ!X71*$EX$2)/($EW$2+$EX$2)</f>
        <v>6.4671987966422435</v>
      </c>
      <c r="ES29" s="4">
        <f>(HAVERQ!AB71*$EW$2)+(HAVERQ!AC71*$EY$2)+(HAVERQ!AD71*$EZ$2)+(HAVERQ!AE71*$FA$2)/($EW$2+$EY$2+$EZ$2+$FA$2)</f>
        <v>-19.553904443042683</v>
      </c>
      <c r="ET29" s="21">
        <f>(HAVERQ!Y71*$EW$2)+(HAVERQ!Z71*$EX$2)/($EW$2+$EX$2)</f>
        <v>1.5612095039384088</v>
      </c>
      <c r="FC29" s="26">
        <v>44197</v>
      </c>
      <c r="FD29" s="4">
        <f>100*((HAVERM!E260+HAVERM!F260)/(HAVERM!E$249+HAVERM!F$249))</f>
        <v>110.51323182930552</v>
      </c>
      <c r="FE29" s="4">
        <f>100*(HAVERM!E260/HAVERM!E$249)</f>
        <v>132.17055759212809</v>
      </c>
      <c r="FF29" s="4">
        <f>100*(HAVERM!F260/HAVERM!F$249)</f>
        <v>98.62973575743888</v>
      </c>
      <c r="FG29">
        <v>100</v>
      </c>
      <c r="FV29" s="26">
        <v>43070</v>
      </c>
      <c r="FW29" s="3">
        <f>HAVERM!G223</f>
        <v>392951</v>
      </c>
      <c r="FX29" s="4"/>
      <c r="FY29" s="3">
        <f t="shared" si="19"/>
        <v>-973</v>
      </c>
      <c r="GC29" s="22">
        <v>2016</v>
      </c>
      <c r="GD29" s="4">
        <f>100*(DataQ!W179/DataQ!W$194)</f>
        <v>97.722936433823463</v>
      </c>
      <c r="GE29" s="4">
        <f>100*(DataQ!X179/DataQ!X$194)</f>
        <v>98.40999743843085</v>
      </c>
      <c r="GF29" s="4">
        <f>100*(DataQ!C179/DataQ!C$194)</f>
        <v>99.499951608220144</v>
      </c>
      <c r="GG29" s="4"/>
      <c r="GH29">
        <v>100</v>
      </c>
      <c r="GJ29" s="22">
        <v>2011</v>
      </c>
      <c r="GK29" s="4">
        <f>100*(DataQ!Z159/AVERAGE(DataQ!$Z$203:$Z$206))</f>
        <v>68.32605544046217</v>
      </c>
      <c r="GL29" s="4">
        <f>100*(DataQ!C159/AVERAGE(DataQ!$C$203:$C$206))</f>
        <v>70.735681163053016</v>
      </c>
      <c r="GM29" s="4">
        <v>100</v>
      </c>
      <c r="GO29" s="22">
        <v>2011</v>
      </c>
      <c r="GP29" s="4">
        <f>100*(DataQ!Z159/DataQ!$Z$194)</f>
        <v>68.071143071579428</v>
      </c>
      <c r="GQ29" s="4">
        <f>100*(DataQ!C159/DataQ!$C$194)</f>
        <v>68.280801367874318</v>
      </c>
      <c r="GR29" s="4">
        <v>100</v>
      </c>
      <c r="GT29">
        <v>2024</v>
      </c>
      <c r="GU29" s="31">
        <f t="shared" si="92"/>
        <v>98.993450979127005</v>
      </c>
      <c r="GV29" s="31">
        <f t="shared" si="93"/>
        <v>95.110583074392238</v>
      </c>
      <c r="GW29" s="4">
        <f t="shared" si="94"/>
        <v>21.746300068724608</v>
      </c>
      <c r="GX29" s="4">
        <v>100</v>
      </c>
      <c r="GY29" s="31">
        <f t="shared" si="71"/>
        <v>116.85688314311685</v>
      </c>
      <c r="HA29">
        <v>2024</v>
      </c>
      <c r="HB29" s="4">
        <f>100*(DataQ!C211/DataQ!C$194)</f>
        <v>98.993450979127005</v>
      </c>
      <c r="HC29" s="4">
        <f>100*(DataQ!Q211/DataQ!Q$194)</f>
        <v>116.85688314311685</v>
      </c>
      <c r="HD29" s="4">
        <f>100*(DataQ!R211/DataQ!R$194)</f>
        <v>106.68709443181935</v>
      </c>
      <c r="HE29" s="4">
        <f>100*(DataQ!S211/DataQ!S$194)</f>
        <v>95.110583074392238</v>
      </c>
      <c r="HF29" s="4">
        <f>100*(DataQ!T211/DataQ!T$194)</f>
        <v>105.84375697458151</v>
      </c>
      <c r="HG29" s="4">
        <f>100*(DataQ!U211/DataQ!U$194)</f>
        <v>110.43295454187793</v>
      </c>
      <c r="HH29" s="4">
        <f>100*(DataQ!V211/DataQ!V$194)</f>
        <v>99.857266333092795</v>
      </c>
      <c r="HJ29">
        <v>2024</v>
      </c>
      <c r="HK29" s="31">
        <f t="shared" si="23"/>
        <v>98.993450979127005</v>
      </c>
      <c r="HL29" s="31">
        <f t="shared" si="24"/>
        <v>95.110583074392238</v>
      </c>
      <c r="HM29" s="4">
        <f t="shared" si="10"/>
        <v>21.746300068724608</v>
      </c>
      <c r="HN29" s="4">
        <v>100</v>
      </c>
      <c r="HO29" s="31">
        <f t="shared" si="72"/>
        <v>116.85688314311685</v>
      </c>
      <c r="HQ29">
        <v>2024</v>
      </c>
      <c r="HR29" s="4">
        <f>100*(DataQ!C211/DataQ!C$194)</f>
        <v>98.993450979127005</v>
      </c>
      <c r="HS29" s="4">
        <f>100*(DataQ!Q211/DataQ!Q$194)</f>
        <v>116.85688314311685</v>
      </c>
      <c r="HT29" s="4">
        <f>100*(DataQ!R211/DataQ!R$194)</f>
        <v>106.68709443181935</v>
      </c>
      <c r="HU29" s="4">
        <f>100*(DataQ!S211/DataQ!S$194)</f>
        <v>95.110583074392238</v>
      </c>
      <c r="HV29" s="4">
        <f>100*(DataQ!T211/DataQ!T$194)</f>
        <v>105.84375697458151</v>
      </c>
      <c r="HW29" s="4">
        <f>100*(DataQ!U211/DataQ!U$194)</f>
        <v>110.43295454187793</v>
      </c>
      <c r="HX29" s="4">
        <f>100*(DataQ!V211/DataQ!V$194)</f>
        <v>99.857266333092795</v>
      </c>
      <c r="HZ29" s="22">
        <v>2014</v>
      </c>
      <c r="IA29">
        <f>DataA!J48/'Chart Data'!IF29</f>
        <v>2.8823709743384351</v>
      </c>
      <c r="IB29">
        <f t="shared" si="26"/>
        <v>3.2823556377620369</v>
      </c>
      <c r="IC29" s="4">
        <f t="shared" si="27"/>
        <v>-12.185902673737015</v>
      </c>
      <c r="IF29" s="3">
        <f>DataA!K48*DataA!L48</f>
        <v>990780.86249999993</v>
      </c>
      <c r="IQ29">
        <v>2013</v>
      </c>
      <c r="IR29">
        <f>HAVERQ!AH100</f>
        <v>-0.9</v>
      </c>
      <c r="IS29" s="4">
        <f>100*(('IPNR ex BNFL'!I69/'IPNR ex BNFL'!I65)-1)</f>
        <v>-1.1968978362204119</v>
      </c>
      <c r="IT29">
        <v>0</v>
      </c>
    </row>
    <row r="30" spans="1:254" x14ac:dyDescent="0.25">
      <c r="B30" s="4">
        <f>100*((DataQ!C100/DataQ!C96)-1)</f>
        <v>13.002551945536878</v>
      </c>
      <c r="C30" s="4">
        <f t="shared" si="11"/>
        <v>11.161098246774728</v>
      </c>
      <c r="D30" s="4">
        <v>0</v>
      </c>
      <c r="G30" s="4">
        <f>100*((AVERAGE(DataQ!C97:C100)/AVERAGE(DataQ!C93:C96))-1)</f>
        <v>11.231647195071259</v>
      </c>
      <c r="H30" s="4">
        <f t="shared" si="39"/>
        <v>12.134732403856802</v>
      </c>
      <c r="I30" s="4">
        <v>0</v>
      </c>
      <c r="K30" s="4">
        <f t="shared" si="12"/>
        <v>11.161098246774728</v>
      </c>
      <c r="L30" s="4">
        <f>100*(HAVERQ!AF34/HAVERQ!AI34)</f>
        <v>11.161098246774728</v>
      </c>
      <c r="O30" s="4">
        <f>100*('ONS CVM_SA_(Quarterly)'!B114/'ONS CVM_SA_(Quarterly)'!B$101)</f>
        <v>115.64613212454485</v>
      </c>
      <c r="P30" s="4">
        <f>100*('ONS CVM_SA_(Quarterly)'!D114/'ONS CVM_SA_(Quarterly)'!D$101)</f>
        <v>108.03498446951122</v>
      </c>
      <c r="R30">
        <v>100</v>
      </c>
      <c r="AP30" s="4">
        <f>100*(('ONS CVM_SA_(Quarterly)'!C106-AVERAGE('ONS CVM_SA_(Quarterly)'!C$81:C$84))/AVERAGE('ONS CVM_SA_(Quarterly)'!$B$81:$B$84))</f>
        <v>-0.8662779625855439</v>
      </c>
      <c r="AQ30" s="4">
        <f>100*(('ONS CVM_SA_(Quarterly)'!D106-AVERAGE('ONS CVM_SA_(Quarterly)'!D$81:D$84))/AVERAGE('ONS CVM_SA_(Quarterly)'!$B$81:$B$84))</f>
        <v>0.75647378678541188</v>
      </c>
      <c r="AR30" s="4">
        <f>100*(('ONS CVM_SA_(Quarterly)'!E106-AVERAGE('ONS CVM_SA_(Quarterly)'!E$81:E$84))/AVERAGE('ONS CVM_SA_(Quarterly)'!$B$81:$B$84))</f>
        <v>-4.1397389821031343</v>
      </c>
      <c r="AS30" s="4">
        <f>100*(('ONS CVM_SA_(Quarterly)'!F106-AVERAGE('ONS CVM_SA_(Quarterly)'!F$81:F$84))/AVERAGE('ONS CVM_SA_(Quarterly)'!$B$81:$B$84))</f>
        <v>1.8451963711948394</v>
      </c>
      <c r="AT30" s="4">
        <f>100*(('ONS CVM_SA_(Quarterly)'!B106-AVERAGE('ONS CVM_SA_(Quarterly)'!B$81:B$84))/AVERAGE('ONS CVM_SA_(Quarterly)'!$B$81:$B$84))</f>
        <v>-2.2183684963310819</v>
      </c>
      <c r="AV30" s="36">
        <v>44228</v>
      </c>
      <c r="AW30" s="21">
        <f>HAVERM!D261</f>
        <v>0.10000000000000002</v>
      </c>
      <c r="AX30" s="21">
        <f>HAVERM!B261</f>
        <v>2.4300000000000002</v>
      </c>
      <c r="AY30" s="21">
        <f>HAVERM!C261</f>
        <v>2.09</v>
      </c>
      <c r="BA30" s="36">
        <v>45292</v>
      </c>
      <c r="BB30" s="21">
        <f t="shared" ref="BB30" si="97">AX65-AX$39</f>
        <v>4.1399999999999997</v>
      </c>
      <c r="BC30" s="21">
        <f t="shared" ref="BC30" si="98">AY65-AY$39</f>
        <v>1.4</v>
      </c>
      <c r="BD30" s="21"/>
      <c r="BE30" s="21"/>
      <c r="BF30" s="21">
        <v>0</v>
      </c>
      <c r="BJ30" s="4">
        <f>100*(HAVERQ!B146/HAVERQ!B$128)</f>
        <v>100.41294318805045</v>
      </c>
      <c r="BK30" s="4">
        <f>100*(HAVERQ!I146/HAVERQ!I$128)</f>
        <v>112.99271636675236</v>
      </c>
      <c r="BL30" s="4">
        <f>100*(HAVERQ!J146/HAVERQ!J$128)</f>
        <v>108.04035781152486</v>
      </c>
      <c r="BM30" s="4">
        <f>100*(HAVERQ!K146/HAVERQ!K$128)</f>
        <v>71.088435374149668</v>
      </c>
      <c r="BN30" s="4">
        <f>100*((HAVERQ!L146+HAVERQ!M146)/(HAVERQ!L$128+HAVERQ!M$128))</f>
        <v>95.198909531502423</v>
      </c>
      <c r="BO30">
        <v>100</v>
      </c>
      <c r="BR30" s="3">
        <f>HAVERQ!I146-HAVERQ!I$128</f>
        <v>1213</v>
      </c>
      <c r="BS30" s="3">
        <f>HAVERQ!J146-HAVERQ!J$128</f>
        <v>773</v>
      </c>
      <c r="BT30" s="3">
        <f>HAVERQ!K146-HAVERQ!K$128</f>
        <v>-935</v>
      </c>
      <c r="BU30" s="3">
        <f>(HAVERQ!L146+HAVERQ!M146)-(HAVERQ!L$128+HAVERQ!M$128)</f>
        <v>-1902</v>
      </c>
      <c r="BV30" s="3">
        <f>HAVERQ!N146-HAVERQ!N$128</f>
        <v>-57</v>
      </c>
      <c r="BW30" s="3">
        <f>HAVERQ!B146-HAVERQ!B$128</f>
        <v>256</v>
      </c>
      <c r="CH30" s="3">
        <f>HAVERQ!I146</f>
        <v>10549</v>
      </c>
      <c r="CI30" s="3">
        <f>HAVERQ!J146</f>
        <v>10387</v>
      </c>
      <c r="CJ30" s="3">
        <f>HAVERQ!K146</f>
        <v>2299</v>
      </c>
      <c r="CK30" s="3">
        <f>HAVERQ!L146+HAVERQ!M146</f>
        <v>37714</v>
      </c>
      <c r="CL30" s="3">
        <f>HAVERQ!N146</f>
        <v>1301</v>
      </c>
      <c r="CO30" s="3">
        <f t="shared" ref="CO30" si="99">CX30</f>
        <v>-2499</v>
      </c>
      <c r="CP30" s="3">
        <f t="shared" ref="CP30" si="100">CY30</f>
        <v>144</v>
      </c>
      <c r="CQ30" s="3">
        <f t="shared" ref="CQ30" si="101">CZ30</f>
        <v>-1406</v>
      </c>
      <c r="CR30" s="3">
        <f t="shared" ref="CR30" si="102">DA30</f>
        <v>2393</v>
      </c>
      <c r="CS30" s="3">
        <f t="shared" ref="CS30" si="103">DC30</f>
        <v>1319</v>
      </c>
      <c r="CT30" s="3">
        <f t="shared" ref="CT30" si="104">+DB30+DD30+DE30+DF30</f>
        <v>-1167</v>
      </c>
      <c r="CU30" s="3">
        <f t="shared" ref="CU30" si="105">DG30</f>
        <v>-1902</v>
      </c>
      <c r="CX30" s="3">
        <f>HAVERQ!L146-HAVERQ!L$128</f>
        <v>-2499</v>
      </c>
      <c r="CY30" s="3">
        <f>HAVERQ!O146-HAVERQ!O$128</f>
        <v>144</v>
      </c>
      <c r="CZ30" s="3">
        <f>HAVERQ!P146-HAVERQ!P$128</f>
        <v>-1406</v>
      </c>
      <c r="DA30" s="3">
        <f>HAVERQ!Q146-HAVERQ!Q$128</f>
        <v>2393</v>
      </c>
      <c r="DB30" s="3">
        <f>HAVERQ!R146-HAVERQ!R$128</f>
        <v>-90</v>
      </c>
      <c r="DC30" s="3">
        <f>HAVERQ!S146-HAVERQ!S$128</f>
        <v>1319</v>
      </c>
      <c r="DD30" s="3">
        <f>HAVERQ!T146-HAVERQ!T$128</f>
        <v>-332</v>
      </c>
      <c r="DE30" s="3">
        <f>HAVERQ!U146-HAVERQ!U$128</f>
        <v>-587</v>
      </c>
      <c r="DF30" s="3">
        <f>HAVERQ!V146-HAVERQ!V$128</f>
        <v>-158</v>
      </c>
      <c r="DG30" s="3">
        <f>(HAVERQ!L146+HAVERQ!M146)-(HAVERQ!L$128+HAVERQ!M$128)</f>
        <v>-1902</v>
      </c>
      <c r="DJ30" s="4">
        <f>100*(HAVERQ!C146/HAVERQ!C$128)</f>
        <v>103.78173861512514</v>
      </c>
      <c r="DK30" s="4">
        <f>100*(HAVERQ!D146/HAVERQ!D$128)</f>
        <v>192.98401420959149</v>
      </c>
      <c r="DL30" s="4">
        <f>100*(HAVERQ!E146/HAVERQ!E$128)</f>
        <v>110.55358110957172</v>
      </c>
      <c r="DM30" s="4">
        <f>100*(HAVERQ!F146/HAVERQ!F$128)</f>
        <v>99.846147777032627</v>
      </c>
      <c r="DN30" s="4">
        <f>100*(HAVERQ!G146/HAVERQ!G$128)</f>
        <v>94.564484367834694</v>
      </c>
      <c r="DO30" s="4">
        <f>100*(HAVERQ!H146/HAVERQ!H$128)</f>
        <v>99.981079956105503</v>
      </c>
      <c r="DP30">
        <v>100</v>
      </c>
      <c r="DS30" s="3">
        <f>HAVERQ!D146-HAVERQ!D$128</f>
        <v>4188</v>
      </c>
      <c r="DT30" s="3">
        <f>HAVERQ!E146-HAVERQ!E$128</f>
        <v>1752</v>
      </c>
      <c r="DU30" s="3">
        <f>HAVERQ!F146-HAVERQ!F$128</f>
        <v>-39</v>
      </c>
      <c r="DV30" s="3">
        <f>HAVERQ!G146-HAVERQ!G$128</f>
        <v>-2015</v>
      </c>
      <c r="DW30" s="3">
        <f>HAVERQ!H146-HAVERQ!H$128</f>
        <v>-5</v>
      </c>
      <c r="DX30" s="3">
        <f>HAVERQ!C146-HAVERQ!C$128</f>
        <v>4148</v>
      </c>
      <c r="EA30" s="4">
        <f t="shared" si="29"/>
        <v>-1.3084075747459747</v>
      </c>
      <c r="EB30" s="4">
        <f t="shared" si="30"/>
        <v>1.5499253405340632</v>
      </c>
      <c r="EC30" s="4">
        <f t="shared" si="18"/>
        <v>-7.3146396724105722</v>
      </c>
      <c r="ED30" s="3">
        <v>0</v>
      </c>
      <c r="EF30" s="4">
        <f t="shared" si="31"/>
        <v>0.24151776578808859</v>
      </c>
      <c r="EG30" s="4">
        <f t="shared" si="32"/>
        <v>-0.3614232982649927</v>
      </c>
      <c r="EJ30" s="3">
        <f>'IPNR ex BNFL'!I38</f>
        <v>48109</v>
      </c>
      <c r="EM30" s="4">
        <f t="shared" si="35"/>
        <v>-1.7380085837091736E-2</v>
      </c>
      <c r="EN30" s="4">
        <f t="shared" si="36"/>
        <v>-1.3084075747459747</v>
      </c>
      <c r="EO30" s="4">
        <f t="shared" si="37"/>
        <v>0.24151776578808859</v>
      </c>
      <c r="ER30" s="4">
        <f>(HAVERQ!W72*$EW$2)+(HAVERQ!X72*$EX$2)/($EW$2+$EX$2)</f>
        <v>8</v>
      </c>
      <c r="ES30" s="4">
        <f>(HAVERQ!AB72*$EW$2)+(HAVERQ!AC72*$EY$2)+(HAVERQ!AD72*$EZ$2)+(HAVERQ!AE72*$FA$2)/($EW$2+$EY$2+$EZ$2+$FA$2)</f>
        <v>-24.647467934721078</v>
      </c>
      <c r="ET30" s="21">
        <f>(HAVERQ!Y72*$EW$2)+(HAVERQ!Z72*$EX$2)/($EW$2+$EX$2)</f>
        <v>1.2019206819027286</v>
      </c>
      <c r="FC30" s="26">
        <v>44228</v>
      </c>
      <c r="FD30" s="4">
        <f>100*((HAVERM!E261+HAVERM!F261)/(HAVERM!E$249+HAVERM!F$249))</f>
        <v>110.92862058122526</v>
      </c>
      <c r="FE30" s="4">
        <f>100*(HAVERM!E261/HAVERM!E$249)</f>
        <v>132.72107531030935</v>
      </c>
      <c r="FF30" s="4">
        <f>100*(HAVERM!F261/HAVERM!F$249)</f>
        <v>98.970978487945345</v>
      </c>
      <c r="FG30">
        <v>100</v>
      </c>
      <c r="FV30" s="26">
        <v>43101</v>
      </c>
      <c r="FW30" s="3">
        <f>HAVERM!G224</f>
        <v>394807</v>
      </c>
      <c r="FX30" s="4"/>
      <c r="FY30" s="3">
        <f t="shared" si="19"/>
        <v>1856</v>
      </c>
      <c r="GD30" s="4">
        <f>100*(DataQ!W180/DataQ!W$194)</f>
        <v>98.692646012860635</v>
      </c>
      <c r="GE30" s="4">
        <f>100*(DataQ!X180/DataQ!X$194)</f>
        <v>99.707249240677726</v>
      </c>
      <c r="GF30" s="4">
        <f>100*(DataQ!C180/DataQ!C$194)</f>
        <v>99.201535632480571</v>
      </c>
      <c r="GG30" s="4"/>
      <c r="GH30">
        <v>100</v>
      </c>
      <c r="GK30" s="4">
        <f>100*(DataQ!Z160/AVERAGE(DataQ!$Z$203:$Z$206))</f>
        <v>72.213632800010501</v>
      </c>
      <c r="GL30" s="4">
        <f>100*(DataQ!C160/AVERAGE(DataQ!$C$203:$C$206))</f>
        <v>74.766261436270213</v>
      </c>
      <c r="GM30" s="4">
        <v>100</v>
      </c>
      <c r="GP30" s="4">
        <f>100*(DataQ!Z160/DataQ!$Z$194)</f>
        <v>71.94421657095981</v>
      </c>
      <c r="GQ30" s="4">
        <f>100*(DataQ!C160/DataQ!$C$194)</f>
        <v>72.171500467787212</v>
      </c>
      <c r="GR30" s="4">
        <v>100</v>
      </c>
      <c r="GT30" s="4"/>
      <c r="GU30" s="31">
        <f t="shared" ref="GU30" si="106">HB30</f>
        <v>100.41294318805045</v>
      </c>
      <c r="GV30" s="31">
        <f t="shared" ref="GV30" si="107">MIN(HC30:HH30)</f>
        <v>92.478523121915543</v>
      </c>
      <c r="GW30" s="4">
        <f t="shared" ref="GW30" si="108">+GY30-GV30</f>
        <v>25.492725573502412</v>
      </c>
      <c r="GX30" s="4">
        <v>100</v>
      </c>
      <c r="GY30" s="31">
        <f t="shared" si="71"/>
        <v>117.97124869541796</v>
      </c>
      <c r="HB30" s="4">
        <f>100*(DataQ!C212/DataQ!C$194)</f>
        <v>100.41294318805045</v>
      </c>
      <c r="HC30" s="4">
        <f>100*(DataQ!Q212/DataQ!Q$194)</f>
        <v>117.97124869541796</v>
      </c>
      <c r="HD30" s="4">
        <f>100*(DataQ!R212/DataQ!R$194)</f>
        <v>107.51435433407239</v>
      </c>
      <c r="HE30" s="4">
        <f>100*(DataQ!S212/DataQ!S$194)</f>
        <v>92.478523121915543</v>
      </c>
      <c r="HF30" s="4">
        <f>100*(DataQ!T212/DataQ!T$194)</f>
        <v>105.42096714197146</v>
      </c>
      <c r="HG30" s="4">
        <f>100*(DataQ!U212/DataQ!U$194)</f>
        <v>110.61275065230186</v>
      </c>
      <c r="HH30" s="4">
        <f>100*(DataQ!V212/DataQ!V$194)</f>
        <v>102.0240426932257</v>
      </c>
      <c r="HJ30" s="4"/>
      <c r="HK30" s="31">
        <f t="shared" si="23"/>
        <v>100.41294318805045</v>
      </c>
      <c r="HL30" s="31">
        <f t="shared" si="24"/>
        <v>92.478523121915543</v>
      </c>
      <c r="HM30" s="4">
        <f t="shared" si="10"/>
        <v>25.492725573502412</v>
      </c>
      <c r="HN30" s="4">
        <v>100</v>
      </c>
      <c r="HO30" s="31">
        <f t="shared" si="72"/>
        <v>117.97124869541796</v>
      </c>
      <c r="HR30" s="4">
        <f>100*(DataQ!C212/DataQ!C$194)</f>
        <v>100.41294318805045</v>
      </c>
      <c r="HS30" s="4">
        <f>100*(DataQ!Q212/DataQ!Q$194)</f>
        <v>117.97124869541796</v>
      </c>
      <c r="HT30" s="4">
        <f>100*(DataQ!R212/DataQ!R$194)</f>
        <v>107.51435433407239</v>
      </c>
      <c r="HU30" s="4">
        <f>100*(DataQ!S212/DataQ!S$194)</f>
        <v>92.478523121915543</v>
      </c>
      <c r="HV30" s="4">
        <f>100*(DataQ!T212/DataQ!T$194)</f>
        <v>105.42096714197146</v>
      </c>
      <c r="HW30" s="4">
        <f>100*(DataQ!U212/DataQ!U$194)</f>
        <v>110.61275065230186</v>
      </c>
      <c r="HX30" s="4">
        <f>100*(DataQ!V212/DataQ!V$194)</f>
        <v>102.0240426932257</v>
      </c>
      <c r="HZ30" s="22">
        <v>2015</v>
      </c>
      <c r="IA30">
        <f>DataA!J49/'Chart Data'!IF30</f>
        <v>2.906981920779685</v>
      </c>
      <c r="IB30">
        <f t="shared" si="26"/>
        <v>3.3695537417384114</v>
      </c>
      <c r="IC30" s="4">
        <f t="shared" si="27"/>
        <v>-13.727984665413807</v>
      </c>
      <c r="IF30" s="3">
        <f>DataA!K49*DataA!L49</f>
        <v>1005195.4500000001</v>
      </c>
      <c r="IR30">
        <f>HAVERQ!AH101</f>
        <v>3.9</v>
      </c>
      <c r="IS30" s="4">
        <f>100*(('IPNR ex BNFL'!I70/'IPNR ex BNFL'!I66)-1)</f>
        <v>5.3090568766750224</v>
      </c>
      <c r="IT30">
        <v>0</v>
      </c>
    </row>
    <row r="31" spans="1:254" x14ac:dyDescent="0.25">
      <c r="B31" s="4">
        <f>100*((DataQ!C101/DataQ!C97)-1)</f>
        <v>8.8079433500638959</v>
      </c>
      <c r="C31" s="4">
        <f t="shared" si="11"/>
        <v>10.892089967146829</v>
      </c>
      <c r="D31" s="4">
        <v>0</v>
      </c>
      <c r="G31" s="4">
        <f>100*((AVERAGE(DataQ!C98:C101)/AVERAGE(DataQ!C94:C97))-1)</f>
        <v>10.89326417383505</v>
      </c>
      <c r="H31" s="4">
        <f t="shared" si="39"/>
        <v>11.654041193443927</v>
      </c>
      <c r="I31" s="4">
        <v>0</v>
      </c>
      <c r="K31" s="4">
        <f t="shared" si="12"/>
        <v>10.892089967146829</v>
      </c>
      <c r="L31" s="4">
        <f>100*(HAVERQ!AF35/HAVERQ!AI35)</f>
        <v>10.892089967146829</v>
      </c>
      <c r="R31">
        <v>100</v>
      </c>
      <c r="AP31" s="4">
        <f>100*(('ONS CVM_SA_(Quarterly)'!C107-AVERAGE('ONS CVM_SA_(Quarterly)'!C$81:C$84))/AVERAGE('ONS CVM_SA_(Quarterly)'!$B$81:$B$84))</f>
        <v>-1.0559028861075432</v>
      </c>
      <c r="AQ31" s="4">
        <f>100*(('ONS CVM_SA_(Quarterly)'!D107-AVERAGE('ONS CVM_SA_(Quarterly)'!D$81:D$84))/AVERAGE('ONS CVM_SA_(Quarterly)'!$B$81:$B$84))</f>
        <v>1.2216221034590342</v>
      </c>
      <c r="AR31" s="4">
        <f>100*(('ONS CVM_SA_(Quarterly)'!E107-AVERAGE('ONS CVM_SA_(Quarterly)'!E$81:E$84))/AVERAGE('ONS CVM_SA_(Quarterly)'!$B$81:$B$84))</f>
        <v>-4.0943586585252207</v>
      </c>
      <c r="AS31" s="4">
        <f>100*(('ONS CVM_SA_(Quarterly)'!F107-AVERAGE('ONS CVM_SA_(Quarterly)'!F$81:F$84))/AVERAGE('ONS CVM_SA_(Quarterly)'!$B$81:$B$84))</f>
        <v>2.423795496813248</v>
      </c>
      <c r="AT31" s="4">
        <f>100*(('ONS CVM_SA_(Quarterly)'!B107-AVERAGE('ONS CVM_SA_(Quarterly)'!B$81:B$84))/AVERAGE('ONS CVM_SA_(Quarterly)'!$B$81:$B$84))</f>
        <v>-1.3188656539831363</v>
      </c>
      <c r="AV31" s="36">
        <v>44256</v>
      </c>
      <c r="AW31" s="21">
        <f>HAVERM!D262</f>
        <v>0.10000000000000003</v>
      </c>
      <c r="AX31" s="21">
        <f>HAVERM!B262</f>
        <v>2.44</v>
      </c>
      <c r="AY31" s="21">
        <f>HAVERM!C262</f>
        <v>2.09</v>
      </c>
      <c r="BA31" s="36">
        <v>45323</v>
      </c>
      <c r="BB31" s="21">
        <f t="shared" ref="BB31:BB32" si="109">AX66-AX$39</f>
        <v>4.1499999999999995</v>
      </c>
      <c r="BC31" s="21">
        <f t="shared" ref="BC31:BC32" si="110">AY66-AY$39</f>
        <v>1.4700000000000002</v>
      </c>
      <c r="BD31" s="21"/>
      <c r="BE31" s="21"/>
      <c r="BF31" s="21">
        <v>0</v>
      </c>
      <c r="BO31">
        <v>100</v>
      </c>
      <c r="DP31">
        <v>100</v>
      </c>
      <c r="EA31" s="4">
        <f t="shared" si="29"/>
        <v>0.1254814906446122</v>
      </c>
      <c r="EB31" s="4">
        <f t="shared" si="30"/>
        <v>0.45436276747814608</v>
      </c>
      <c r="EC31" s="4">
        <f t="shared" si="18"/>
        <v>8.2330403425738155</v>
      </c>
      <c r="ED31" s="3">
        <v>0</v>
      </c>
      <c r="EF31" s="4">
        <f t="shared" si="31"/>
        <v>0.5798442581227583</v>
      </c>
      <c r="EG31" s="4">
        <f t="shared" si="32"/>
        <v>0.4112598465457708</v>
      </c>
      <c r="EJ31" s="3">
        <f>'IPNR ex BNFL'!I39</f>
        <v>44370</v>
      </c>
      <c r="EL31">
        <v>2006</v>
      </c>
      <c r="EM31" s="4">
        <f t="shared" si="35"/>
        <v>0.5798442581227583</v>
      </c>
      <c r="EN31" s="4">
        <f t="shared" si="36"/>
        <v>0.52845379086994182</v>
      </c>
      <c r="EO31" s="4">
        <f t="shared" si="37"/>
        <v>0.1254814906446122</v>
      </c>
      <c r="EQ31">
        <v>2006</v>
      </c>
      <c r="ER31" s="4">
        <f>(HAVERQ!W73*$EW$2)+(HAVERQ!X73*$EX$2)/($EW$2+$EX$2)</f>
        <v>15</v>
      </c>
      <c r="ES31" s="4">
        <f>(HAVERQ!AB73*$EW$2)+(HAVERQ!AC73*$EY$2)+(HAVERQ!AD73*$EZ$2)+(HAVERQ!AE73*$FA$2)/($EW$2+$EY$2+$EZ$2+$FA$2)</f>
        <v>1.2004868423180806</v>
      </c>
      <c r="ET31" s="21">
        <f>(HAVERQ!Y73*$EW$2)+(HAVERQ!Z73*$EX$2)/($EW$2+$EX$2)</f>
        <v>1.019680722014654</v>
      </c>
      <c r="FC31" s="26">
        <v>44256</v>
      </c>
      <c r="FD31" s="4">
        <f>100*((HAVERM!E262+HAVERM!F262)/(HAVERM!E$249+HAVERM!F$249))</f>
        <v>111.49052330324064</v>
      </c>
      <c r="FE31" s="4">
        <f>100*(HAVERM!E262/HAVERM!E$249)</f>
        <v>133.46903337835229</v>
      </c>
      <c r="FF31" s="4">
        <f>100*(HAVERM!F262/HAVERM!F$249)</f>
        <v>99.430791598441644</v>
      </c>
      <c r="FG31">
        <v>100</v>
      </c>
      <c r="FV31" s="26">
        <v>43132</v>
      </c>
      <c r="FW31" s="3">
        <f>HAVERM!G225</f>
        <v>397088</v>
      </c>
      <c r="FX31" s="4"/>
      <c r="FY31" s="3">
        <f t="shared" si="19"/>
        <v>2281</v>
      </c>
      <c r="GD31" s="4">
        <f>100*(DataQ!W181/DataQ!W$194)</f>
        <v>100.28732434346024</v>
      </c>
      <c r="GE31" s="4">
        <f>100*(DataQ!X181/DataQ!X$194)</f>
        <v>100.67332674644125</v>
      </c>
      <c r="GF31" s="4">
        <f>100*(DataQ!C181/DataQ!C$194)</f>
        <v>101.58241120108397</v>
      </c>
      <c r="GG31" s="4"/>
      <c r="GH31">
        <v>100</v>
      </c>
      <c r="GK31" s="4">
        <f>100*(DataQ!Z161/AVERAGE(DataQ!$Z$203:$Z$206))</f>
        <v>74.627820092240171</v>
      </c>
      <c r="GL31" s="4">
        <f>100*(DataQ!C161/AVERAGE(DataQ!$C$203:$C$206))</f>
        <v>77.232735931821026</v>
      </c>
      <c r="GM31" s="4">
        <v>100</v>
      </c>
      <c r="GP31" s="4">
        <f>100*(DataQ!Z161/DataQ!$Z$194)</f>
        <v>74.349396959488942</v>
      </c>
      <c r="GQ31" s="4">
        <f>100*(DataQ!C161/DataQ!$C$194)</f>
        <v>74.552376036390626</v>
      </c>
      <c r="GR31" s="4">
        <v>100</v>
      </c>
      <c r="GT31" s="4"/>
      <c r="GU31" s="4"/>
      <c r="GV31" s="4"/>
      <c r="GW31" s="4"/>
      <c r="GX31" s="4"/>
      <c r="GY31" s="4"/>
      <c r="HJ31" s="4"/>
      <c r="HK31" s="31">
        <f t="shared" ref="HK31:HK44" si="111">HR31</f>
        <v>101.11583379036682</v>
      </c>
      <c r="HL31" s="31">
        <f t="shared" ref="HL31:HL44" si="112">MIN(HS31:HX31)</f>
        <v>92.674191189910431</v>
      </c>
      <c r="HM31" s="4">
        <f t="shared" ref="HM31:HM44" si="113">+HO31-HL31</f>
        <v>26.744830457734594</v>
      </c>
      <c r="HN31" s="4">
        <v>100</v>
      </c>
      <c r="HO31" s="31">
        <f t="shared" si="72"/>
        <v>119.41902164764502</v>
      </c>
      <c r="HR31" s="4">
        <f>100*(DataQ!C213/DataQ!C$194)</f>
        <v>101.11583379036682</v>
      </c>
      <c r="HS31" s="4">
        <f>100*(DataQ!Q213/DataQ!Q$194)</f>
        <v>119.41902164764502</v>
      </c>
      <c r="HT31" s="4">
        <f>100*(DataQ!R213/DataQ!R$194)</f>
        <v>108.29303601431603</v>
      </c>
      <c r="HU31" s="4">
        <f>100*(DataQ!S213/DataQ!S$194)</f>
        <v>92.674191189910431</v>
      </c>
      <c r="HV31" s="4">
        <f>100*(DataQ!T213/DataQ!T$194)</f>
        <v>105.19843769373838</v>
      </c>
      <c r="HW31" s="4">
        <f>100*(DataQ!U213/DataQ!U$194)</f>
        <v>111.41522357666003</v>
      </c>
      <c r="HX31" s="4">
        <f>100*(DataQ!V213/DataQ!V$194)</f>
        <v>101.64437113925256</v>
      </c>
      <c r="HZ31" s="22">
        <v>2016</v>
      </c>
      <c r="IA31">
        <f>DataA!J50/'Chart Data'!IF31</f>
        <v>2.9439930588938807</v>
      </c>
      <c r="IB31">
        <f t="shared" si="26"/>
        <v>3.4590683251509566</v>
      </c>
      <c r="IC31" s="4">
        <f t="shared" si="27"/>
        <v>-14.890577977658115</v>
      </c>
      <c r="IF31" s="3">
        <f>DataA!K50*DataA!L50</f>
        <v>1018396.7625</v>
      </c>
      <c r="IR31">
        <f>HAVERQ!AH102</f>
        <v>2.8</v>
      </c>
      <c r="IS31" s="4">
        <f>100*(('IPNR ex BNFL'!I71/'IPNR ex BNFL'!I67)-1)</f>
        <v>8.4530889542635776</v>
      </c>
      <c r="IT31">
        <v>0</v>
      </c>
    </row>
    <row r="32" spans="1:254" x14ac:dyDescent="0.25">
      <c r="B32" s="4">
        <f>100*((DataQ!C102/DataQ!C98)-1)</f>
        <v>6.7297820696751387</v>
      </c>
      <c r="C32" s="4">
        <f t="shared" si="11"/>
        <v>10.227389017376533</v>
      </c>
      <c r="D32" s="4">
        <v>0</v>
      </c>
      <c r="G32" s="4">
        <f>100*((AVERAGE(DataQ!C99:C102)/AVERAGE(DataQ!C95:C98))-1)</f>
        <v>10.444475167868926</v>
      </c>
      <c r="H32" s="4">
        <f t="shared" si="39"/>
        <v>10.948928706225772</v>
      </c>
      <c r="I32" s="4">
        <v>0</v>
      </c>
      <c r="K32" s="4">
        <f t="shared" si="12"/>
        <v>10.227389017376533</v>
      </c>
      <c r="L32" s="4">
        <f>100*(HAVERQ!AF36/HAVERQ!AI36)</f>
        <v>10.227389017376533</v>
      </c>
      <c r="R32">
        <v>100</v>
      </c>
      <c r="AP32" s="4">
        <f>100*(('ONS CVM_SA_(Quarterly)'!C108-AVERAGE('ONS CVM_SA_(Quarterly)'!C$81:C$84))/AVERAGE('ONS CVM_SA_(Quarterly)'!$B$81:$B$84))</f>
        <v>-8.5088106708589434E-2</v>
      </c>
      <c r="AQ32" s="4">
        <f>100*(('ONS CVM_SA_(Quarterly)'!D108-AVERAGE('ONS CVM_SA_(Quarterly)'!D$81:D$84))/AVERAGE('ONS CVM_SA_(Quarterly)'!$B$81:$B$84))</f>
        <v>-0.56279704865824165</v>
      </c>
      <c r="AR32" s="4">
        <f>100*(('ONS CVM_SA_(Quarterly)'!E108-AVERAGE('ONS CVM_SA_(Quarterly)'!E$81:E$84))/AVERAGE('ONS CVM_SA_(Quarterly)'!$B$81:$B$84))</f>
        <v>-5.6048751433329418</v>
      </c>
      <c r="AS32" s="4">
        <f>100*(('ONS CVM_SA_(Quarterly)'!F108-AVERAGE('ONS CVM_SA_(Quarterly)'!F$81:F$84))/AVERAGE('ONS CVM_SA_(Quarterly)'!$B$81:$B$84))</f>
        <v>2.091546699189232</v>
      </c>
      <c r="AT32" s="4">
        <f>100*(('ONS CVM_SA_(Quarterly)'!B108-AVERAGE('ONS CVM_SA_(Quarterly)'!B$81:B$84))/AVERAGE('ONS CVM_SA_(Quarterly)'!$B$81:$B$84))</f>
        <v>-3.9752353091331951</v>
      </c>
      <c r="AV32" s="36">
        <v>44287</v>
      </c>
      <c r="AW32" s="21">
        <f>HAVERM!D263</f>
        <v>0.10000000000000003</v>
      </c>
      <c r="AX32" s="21">
        <f>HAVERM!B263</f>
        <v>2.42</v>
      </c>
      <c r="AY32" s="21">
        <f>HAVERM!C263</f>
        <v>2.0699999999999998</v>
      </c>
      <c r="BA32" s="36">
        <v>45352</v>
      </c>
      <c r="BB32" s="21">
        <f t="shared" si="109"/>
        <v>4.18</v>
      </c>
      <c r="BC32" s="21">
        <f t="shared" si="110"/>
        <v>1.4899999999999998</v>
      </c>
      <c r="BD32" s="21"/>
      <c r="BE32" s="21"/>
      <c r="BF32" s="21">
        <v>0</v>
      </c>
      <c r="BO32">
        <v>100</v>
      </c>
      <c r="DP32">
        <v>100</v>
      </c>
      <c r="EA32" s="4">
        <f t="shared" si="29"/>
        <v>-0.23205880080674648</v>
      </c>
      <c r="EB32" s="4">
        <f t="shared" si="30"/>
        <v>0.89722082235234046</v>
      </c>
      <c r="EC32" s="4">
        <f t="shared" si="18"/>
        <v>8.9947449488085631</v>
      </c>
      <c r="ED32" s="3">
        <v>0</v>
      </c>
      <c r="EF32" s="4">
        <f t="shared" si="31"/>
        <v>0.66516202154559401</v>
      </c>
      <c r="EG32" s="4">
        <f t="shared" si="32"/>
        <v>0.28680649921876905</v>
      </c>
      <c r="EJ32" s="3">
        <f>'IPNR ex BNFL'!I40</f>
        <v>44148</v>
      </c>
      <c r="EM32" s="4">
        <f t="shared" si="35"/>
        <v>0.66516202154559401</v>
      </c>
      <c r="EN32" s="4">
        <f t="shared" si="36"/>
        <v>-0.23205880080674648</v>
      </c>
      <c r="EO32" s="4">
        <f t="shared" si="37"/>
        <v>0.42731627691745949</v>
      </c>
      <c r="ER32" s="4">
        <f>(HAVERQ!W74*$EW$2)+(HAVERQ!X74*$EX$2)/($EW$2+$EX$2)</f>
        <v>16</v>
      </c>
      <c r="ES32" s="4">
        <f>(HAVERQ!AB74*$EW$2)+(HAVERQ!AC74*$EY$2)+(HAVERQ!AD74*$EZ$2)+(HAVERQ!AE74*$FA$2)/($EW$2+$EY$2+$EZ$2+$FA$2)</f>
        <v>-9.5012979766121592</v>
      </c>
      <c r="ET32" s="21">
        <f>(HAVERQ!Y74*$EW$2)+(HAVERQ!Z74*$EX$2)/($EW$2+$EX$2)</f>
        <v>1.493725233312307</v>
      </c>
      <c r="FC32" s="26">
        <v>44287</v>
      </c>
      <c r="FD32" s="4">
        <f>100*((HAVERM!E263+HAVERM!F263)/(HAVERM!E$249+HAVERM!F$249))</f>
        <v>110.22020388911422</v>
      </c>
      <c r="FE32" s="4">
        <f>100*(HAVERM!E263/HAVERM!E$249)</f>
        <v>133.107595343752</v>
      </c>
      <c r="FF32" s="4">
        <f>100*(HAVERM!F263/HAVERM!F$249)</f>
        <v>97.661763875557568</v>
      </c>
      <c r="FG32">
        <v>100</v>
      </c>
      <c r="FV32" s="26">
        <v>43160</v>
      </c>
      <c r="FW32" s="3">
        <f>HAVERM!G226</f>
        <v>397011</v>
      </c>
      <c r="FX32" s="4"/>
      <c r="FY32" s="3">
        <f t="shared" si="19"/>
        <v>-77</v>
      </c>
      <c r="GD32" s="4">
        <f>100*(DataQ!W182/DataQ!W$194)</f>
        <v>98.384193693541121</v>
      </c>
      <c r="GE32" s="4">
        <f>100*(DataQ!X182/DataQ!X$194)</f>
        <v>98.371573901269798</v>
      </c>
      <c r="GF32" s="4">
        <f>100*(DataQ!C182/DataQ!C$194)</f>
        <v>97.823982966093496</v>
      </c>
      <c r="GG32" s="4"/>
      <c r="GH32">
        <v>100</v>
      </c>
      <c r="GK32" s="4">
        <f>100*(DataQ!Z162/AVERAGE(DataQ!$Z$203:$Z$206))</f>
        <v>76.47087163899316</v>
      </c>
      <c r="GL32" s="4">
        <f>100*(DataQ!C162/AVERAGE(DataQ!$C$203:$C$206))</f>
        <v>79.162802356184983</v>
      </c>
      <c r="GM32" s="4">
        <v>100</v>
      </c>
      <c r="GP32" s="4">
        <f>100*(DataQ!Z162/DataQ!$Z$194)</f>
        <v>76.185572408496668</v>
      </c>
      <c r="GQ32" s="4">
        <f>100*(DataQ!C162/DataQ!$C$194)</f>
        <v>76.415459560602642</v>
      </c>
      <c r="GR32" s="4">
        <v>100</v>
      </c>
      <c r="GT32" s="4"/>
      <c r="GU32" s="4"/>
      <c r="GV32" s="4"/>
      <c r="GW32" s="4"/>
      <c r="GX32" s="4"/>
      <c r="GY32" s="4"/>
      <c r="HB32" s="4">
        <f t="shared" ref="HB32:HH32" si="114">100*((HB21/HB12)-1)</f>
        <v>-4.9859663838435981</v>
      </c>
      <c r="HC32" s="4">
        <f t="shared" si="114"/>
        <v>4.7267952732047203</v>
      </c>
      <c r="HD32" s="4">
        <f t="shared" si="114"/>
        <v>1.6691901507539519</v>
      </c>
      <c r="HE32" s="4">
        <f t="shared" si="114"/>
        <v>-5.1818680314384968</v>
      </c>
      <c r="HF32" s="4">
        <f t="shared" si="114"/>
        <v>2.3273279603223784</v>
      </c>
      <c r="HG32" s="4">
        <f t="shared" si="114"/>
        <v>6.5757968469191574</v>
      </c>
      <c r="HH32" s="4">
        <f t="shared" si="114"/>
        <v>2.0232497284095485</v>
      </c>
      <c r="HJ32" s="4"/>
      <c r="HK32" s="31">
        <f t="shared" si="111"/>
        <v>101.67193599380586</v>
      </c>
      <c r="HL32" s="31">
        <f t="shared" si="112"/>
        <v>92.952476695302508</v>
      </c>
      <c r="HM32" s="4">
        <f t="shared" si="113"/>
        <v>27.150287335266796</v>
      </c>
      <c r="HN32" s="4">
        <v>100</v>
      </c>
      <c r="HO32" s="31">
        <f t="shared" si="72"/>
        <v>120.1027640305693</v>
      </c>
      <c r="HR32" s="4">
        <f>100*(DataQ!C214/DataQ!C$194)</f>
        <v>101.67193599380586</v>
      </c>
      <c r="HS32" s="4">
        <f>100*(DataQ!Q214/DataQ!Q$194)</f>
        <v>120.1027640305693</v>
      </c>
      <c r="HT32" s="4">
        <f>100*(DataQ!R214/DataQ!R$194)</f>
        <v>108.57509418085492</v>
      </c>
      <c r="HU32" s="4">
        <f>100*(DataQ!S214/DataQ!S$194)</f>
        <v>92.952476695302508</v>
      </c>
      <c r="HV32" s="4">
        <f>100*(DataQ!T214/DataQ!T$194)</f>
        <v>105.20491010539365</v>
      </c>
      <c r="HW32" s="4">
        <f>100*(DataQ!U214/DataQ!U$194)</f>
        <v>112.40502673729466</v>
      </c>
      <c r="HX32" s="4">
        <f>100*(DataQ!V214/DataQ!V$194)</f>
        <v>102.1068440793282</v>
      </c>
      <c r="HZ32" s="22">
        <v>2017</v>
      </c>
      <c r="IA32">
        <f>DataA!J51/'Chart Data'!IF32</f>
        <v>2.9815356943791929</v>
      </c>
      <c r="IB32">
        <f t="shared" si="26"/>
        <v>3.5509609269177624</v>
      </c>
      <c r="IC32" s="4">
        <f t="shared" si="27"/>
        <v>-16.035806764926342</v>
      </c>
      <c r="IF32" s="3">
        <f>DataA!K51*DataA!L51</f>
        <v>1029992.7000000001</v>
      </c>
      <c r="IR32">
        <f>HAVERQ!AH103</f>
        <v>19.399999999999999</v>
      </c>
      <c r="IS32" s="4">
        <f>100*(('IPNR ex BNFL'!I72/'IPNR ex BNFL'!I68)-1)</f>
        <v>2.0984616615655538</v>
      </c>
      <c r="IT32">
        <v>0</v>
      </c>
    </row>
    <row r="33" spans="1:254" x14ac:dyDescent="0.25">
      <c r="A33">
        <v>1997</v>
      </c>
      <c r="B33" s="4">
        <f>100*((DataQ!C103/DataQ!C99)-1)</f>
        <v>13.83122214967738</v>
      </c>
      <c r="C33" s="4">
        <f t="shared" si="11"/>
        <v>12.277854251843937</v>
      </c>
      <c r="D33" s="4">
        <v>0</v>
      </c>
      <c r="F33">
        <v>1997</v>
      </c>
      <c r="G33" s="4">
        <f>100*((AVERAGE(DataQ!C100:C103)/AVERAGE(DataQ!C96:C99))-1)</f>
        <v>10.58680529386271</v>
      </c>
      <c r="H33" s="4">
        <f t="shared" si="39"/>
        <v>11.139607870785508</v>
      </c>
      <c r="I33" s="4">
        <v>0</v>
      </c>
      <c r="K33" s="4">
        <f t="shared" si="12"/>
        <v>12.277854251843937</v>
      </c>
      <c r="L33" s="4">
        <f>100*(HAVERQ!AF37/HAVERQ!AI37)</f>
        <v>12.277854251843937</v>
      </c>
      <c r="AO33">
        <v>2023</v>
      </c>
      <c r="AP33" s="4">
        <f>100*(('ONS CVM_SA_(Quarterly)'!C109-AVERAGE('ONS CVM_SA_(Quarterly)'!C$81:C$84))/AVERAGE('ONS CVM_SA_(Quarterly)'!$B$81:$B$84))</f>
        <v>1.0607650636337485</v>
      </c>
      <c r="AQ33" s="4">
        <f>100*(('ONS CVM_SA_(Quarterly)'!D109-AVERAGE('ONS CVM_SA_(Quarterly)'!D$81:D$84))/AVERAGE('ONS CVM_SA_(Quarterly)'!$B$81:$B$84))</f>
        <v>0.93799508109706931</v>
      </c>
      <c r="AR33" s="4">
        <f>100*(('ONS CVM_SA_(Quarterly)'!E109-AVERAGE('ONS CVM_SA_(Quarterly)'!E$81:E$84))/AVERAGE('ONS CVM_SA_(Quarterly)'!$B$81:$B$84))</f>
        <v>-3.6519005036405554</v>
      </c>
      <c r="AS33" s="4">
        <f>100*(('ONS CVM_SA_(Quarterly)'!F109-AVERAGE('ONS CVM_SA_(Quarterly)'!F$81:F$84))/AVERAGE('ONS CVM_SA_(Quarterly)'!$B$81:$B$84))</f>
        <v>2.7333541326483064</v>
      </c>
      <c r="AT33" s="4">
        <f>100*(('ONS CVM_SA_(Quarterly)'!B109-AVERAGE('ONS CVM_SA_(Quarterly)'!B$81:B$84))/AVERAGE('ONS CVM_SA_(Quarterly)'!$B$81:$B$84))</f>
        <v>1.2661920641159143</v>
      </c>
      <c r="AV33" s="36">
        <v>44317</v>
      </c>
      <c r="AW33" s="21">
        <f>HAVERM!D264</f>
        <v>0.10000000000000002</v>
      </c>
      <c r="AX33" s="21">
        <f>HAVERM!B264</f>
        <v>2.5</v>
      </c>
      <c r="AY33" s="21">
        <f>HAVERM!C264</f>
        <v>2.0699999999999998</v>
      </c>
      <c r="BA33" s="36">
        <v>45383</v>
      </c>
      <c r="BB33" s="21">
        <f t="shared" ref="BB33" si="115">AX68-AX$39</f>
        <v>4.17</v>
      </c>
      <c r="BC33" s="21">
        <f t="shared" ref="BC33" si="116">AY68-AY$39</f>
        <v>1.56</v>
      </c>
      <c r="BD33" s="21"/>
      <c r="BE33" s="21"/>
      <c r="BF33" s="21">
        <v>0</v>
      </c>
      <c r="CX33" s="4">
        <f>100*((HAVERQ!L143/HAVERQ!L$128)-1)</f>
        <v>-41.665177773807393</v>
      </c>
      <c r="CY33" s="4">
        <f>100*((HAVERQ!O143/HAVERQ!O$128)-1)</f>
        <v>6.5891472868216949</v>
      </c>
      <c r="CZ33" s="4">
        <f>100*((HAVERQ!P143/HAVERQ!P$128)-1)</f>
        <v>-24.277456647398843</v>
      </c>
      <c r="DA33" s="4">
        <f>100*((HAVERQ!Q143/HAVERQ!Q$128)-1)</f>
        <v>-0.39853869146463383</v>
      </c>
      <c r="DB33" s="4">
        <f>100*((HAVERQ!R143/HAVERQ!R$128)-1)</f>
        <v>11.856305889608398</v>
      </c>
      <c r="DC33" s="4">
        <f>100*((HAVERQ!S143/HAVERQ!S$128)-1)</f>
        <v>29.02904012414098</v>
      </c>
      <c r="DD33" s="4">
        <f>100*((HAVERQ!T143/HAVERQ!T$128)-1)</f>
        <v>-2.0690964312832238</v>
      </c>
      <c r="DE33" s="4">
        <f>100*((HAVERQ!U143/HAVERQ!U$128)-1)</f>
        <v>-41.337630942788074</v>
      </c>
      <c r="DF33" s="4">
        <f>100*((HAVERQ!V143/HAVERQ!V$128)-1)</f>
        <v>-1.0624169986719778</v>
      </c>
      <c r="DG33" s="4">
        <f>100*(((HAVERQ!L143+HAVERQ!M143)/(HAVERQ!L$128+HAVERQ!M$128))-1)</f>
        <v>-3.2259693053311778</v>
      </c>
      <c r="DZ33">
        <v>2007</v>
      </c>
      <c r="EA33" s="4">
        <f t="shared" si="29"/>
        <v>0.29351540831878586</v>
      </c>
      <c r="EB33" s="4">
        <f t="shared" si="30"/>
        <v>0.88355319376382235</v>
      </c>
      <c r="EC33" s="4">
        <f t="shared" si="18"/>
        <v>8.6831896551724075</v>
      </c>
      <c r="ED33" s="3">
        <v>0</v>
      </c>
      <c r="EF33" s="4">
        <f t="shared" si="31"/>
        <v>1.1770686020826082</v>
      </c>
      <c r="EG33" s="4">
        <f t="shared" si="32"/>
        <v>0.71236800047692039</v>
      </c>
      <c r="EI33" s="22">
        <v>2006</v>
      </c>
      <c r="EJ33" s="3">
        <f>'IPNR ex BNFL'!I41</f>
        <v>46400</v>
      </c>
      <c r="EM33" s="4">
        <f t="shared" si="35"/>
        <v>1.1770686020826082</v>
      </c>
      <c r="EN33" s="4">
        <f t="shared" si="36"/>
        <v>0.29351540831878586</v>
      </c>
      <c r="EO33" s="4">
        <f t="shared" si="37"/>
        <v>0.66651999102936699</v>
      </c>
      <c r="ER33" s="4">
        <f>(HAVERQ!W75*$EW$2)+(HAVERQ!X75*$EX$2)/($EW$2+$EX$2)</f>
        <v>22</v>
      </c>
      <c r="ES33" s="4">
        <f>(HAVERQ!AB75*$EW$2)+(HAVERQ!AC75*$EY$2)+(HAVERQ!AD75*$EZ$2)+(HAVERQ!AE75*$FA$2)/($EW$2+$EY$2+$EZ$2+$FA$2)</f>
        <v>-2.1055202419654844</v>
      </c>
      <c r="ET33" s="21">
        <f>(HAVERQ!Y75*$EW$2)+(HAVERQ!Z75*$EX$2)/($EW$2+$EX$2)</f>
        <v>1.8694049525288305</v>
      </c>
      <c r="FC33" s="26">
        <v>44317</v>
      </c>
      <c r="FD33" s="4">
        <f>100*((HAVERM!E264+HAVERM!F264)/(HAVERM!E$249+HAVERM!F$249))</f>
        <v>110.15503593351956</v>
      </c>
      <c r="FE33" s="4">
        <f>100*(HAVERM!E264/HAVERM!E$249)</f>
        <v>132.4085150170429</v>
      </c>
      <c r="FF33" s="4">
        <f>100*(HAVERM!F264/HAVERM!F$249)</f>
        <v>97.944427192140481</v>
      </c>
      <c r="FG33">
        <v>100</v>
      </c>
      <c r="FV33" s="26">
        <v>43191</v>
      </c>
      <c r="FW33" s="3">
        <f>HAVERM!G227</f>
        <v>404718</v>
      </c>
      <c r="FX33" s="4"/>
      <c r="FY33" s="3">
        <f t="shared" si="19"/>
        <v>7707</v>
      </c>
      <c r="GC33" s="22">
        <v>2017</v>
      </c>
      <c r="GD33" s="4">
        <f>100*(DataQ!W183/DataQ!W$194)</f>
        <v>100.61996900154992</v>
      </c>
      <c r="GE33" s="4">
        <f>100*(DataQ!X183/DataQ!X$194)</f>
        <v>100.63307351703443</v>
      </c>
      <c r="GF33" s="4">
        <f>100*(DataQ!C183/DataQ!C$194)</f>
        <v>100.07420072910283</v>
      </c>
      <c r="GG33" s="4"/>
      <c r="GH33">
        <v>100</v>
      </c>
      <c r="GJ33" s="22">
        <v>2012</v>
      </c>
      <c r="GK33" s="4">
        <f>100*(DataQ!Z163/AVERAGE(DataQ!$Z$203:$Z$206))</f>
        <v>79.317790615679073</v>
      </c>
      <c r="GL33" s="4">
        <f>100*(DataQ!C163/AVERAGE(DataQ!$C$203:$C$206))</f>
        <v>82.093829636128163</v>
      </c>
      <c r="GM33" s="4">
        <v>100</v>
      </c>
      <c r="GO33" s="22">
        <v>2012</v>
      </c>
      <c r="GP33" s="4">
        <f>100*(DataQ!Z163/DataQ!$Z$194)</f>
        <v>79.021870036479143</v>
      </c>
      <c r="GQ33" s="4">
        <f>100*(DataQ!C163/DataQ!$C$194)</f>
        <v>79.244765622479591</v>
      </c>
      <c r="GR33" s="4">
        <v>100</v>
      </c>
      <c r="GT33" s="4"/>
      <c r="GU33" s="4"/>
      <c r="GV33" s="4"/>
      <c r="GW33" s="4"/>
      <c r="GX33" s="4"/>
      <c r="GY33" s="4"/>
      <c r="HJ33">
        <v>2025</v>
      </c>
      <c r="HK33" s="31">
        <f t="shared" si="111"/>
        <v>102.28201116237055</v>
      </c>
      <c r="HL33" s="31">
        <f t="shared" si="112"/>
        <v>93.173642844086999</v>
      </c>
      <c r="HM33" s="4">
        <f t="shared" si="113"/>
        <v>28.010372238564571</v>
      </c>
      <c r="HN33" s="4">
        <v>100</v>
      </c>
      <c r="HO33" s="31">
        <f t="shared" si="72"/>
        <v>121.18401508265157</v>
      </c>
      <c r="HQ33">
        <v>2025</v>
      </c>
      <c r="HR33" s="4">
        <f>100*(DataQ!C215/DataQ!C$194)</f>
        <v>102.28201116237055</v>
      </c>
      <c r="HS33" s="4">
        <f>100*(DataQ!Q215/DataQ!Q$194)</f>
        <v>121.18401508265157</v>
      </c>
      <c r="HT33" s="4">
        <f>100*(DataQ!R215/DataQ!R$194)</f>
        <v>108.72853308532144</v>
      </c>
      <c r="HU33" s="4">
        <f>100*(DataQ!S215/DataQ!S$194)</f>
        <v>93.173642844086999</v>
      </c>
      <c r="HV33" s="4">
        <f>100*(DataQ!T215/DataQ!T$194)</f>
        <v>105.29268443893365</v>
      </c>
      <c r="HW33" s="4">
        <f>100*(DataQ!U215/DataQ!U$194)</f>
        <v>113.70400445674034</v>
      </c>
      <c r="HX33" s="4">
        <f>100*(DataQ!V215/DataQ!V$194)</f>
        <v>103.23818284182731</v>
      </c>
      <c r="HZ33" s="22">
        <v>2018</v>
      </c>
      <c r="IA33">
        <f>DataA!J52/'Chart Data'!IF33</f>
        <v>3.0141874561937256</v>
      </c>
      <c r="IB33">
        <f t="shared" si="26"/>
        <v>3.6452947207818953</v>
      </c>
      <c r="IC33" s="4">
        <f t="shared" si="27"/>
        <v>-17.312928389307313</v>
      </c>
      <c r="IF33" s="3">
        <f>DataA!K52*DataA!L52</f>
        <v>1038664</v>
      </c>
      <c r="IQ33">
        <v>2014</v>
      </c>
      <c r="IR33">
        <f>HAVERQ!AH104</f>
        <v>37.6</v>
      </c>
      <c r="IS33" s="4">
        <f>100*(('IPNR ex BNFL'!I73/'IPNR ex BNFL'!I69)-1)</f>
        <v>7.2519005335915487</v>
      </c>
      <c r="IT33">
        <v>0</v>
      </c>
    </row>
    <row r="34" spans="1:254" x14ac:dyDescent="0.25">
      <c r="B34" s="4">
        <f>100*((DataQ!C104/DataQ!C100)-1)</f>
        <v>15.460317747443142</v>
      </c>
      <c r="C34" s="4">
        <f t="shared" si="11"/>
        <v>13.972962500538166</v>
      </c>
      <c r="D34" s="4">
        <v>0</v>
      </c>
      <c r="G34" s="4">
        <f>100*((AVERAGE(DataQ!C101:C104)/AVERAGE(DataQ!C97:C100))-1)</f>
        <v>11.29858924547673</v>
      </c>
      <c r="H34" s="4">
        <f t="shared" si="39"/>
        <v>11.842573934226367</v>
      </c>
      <c r="I34" s="4">
        <v>0</v>
      </c>
      <c r="K34" s="4">
        <f t="shared" si="12"/>
        <v>13.972962500538166</v>
      </c>
      <c r="L34" s="4">
        <f>100*(HAVERQ!AF38/HAVERQ!AI38)</f>
        <v>13.972962500538166</v>
      </c>
      <c r="AP34" s="4">
        <f>100*(('ONS CVM_SA_(Quarterly)'!C110-AVERAGE('ONS CVM_SA_(Quarterly)'!C$81:C$84))/AVERAGE('ONS CVM_SA_(Quarterly)'!$B$81:$B$84))</f>
        <v>2.2357912991333171</v>
      </c>
      <c r="AQ34" s="4">
        <f>100*(('ONS CVM_SA_(Quarterly)'!D110-AVERAGE('ONS CVM_SA_(Quarterly)'!D$81:D$84))/AVERAGE('ONS CVM_SA_(Quarterly)'!$B$81:$B$84))</f>
        <v>0.73702507668059136</v>
      </c>
      <c r="AR34" s="4">
        <f>100*(('ONS CVM_SA_(Quarterly)'!E110-AVERAGE('ONS CVM_SA_(Quarterly)'!E$81:E$84))/AVERAGE('ONS CVM_SA_(Quarterly)'!$B$81:$B$84))</f>
        <v>-5.6616005478053344</v>
      </c>
      <c r="AS34" s="4">
        <f>100*(('ONS CVM_SA_(Quarterly)'!F110-AVERAGE('ONS CVM_SA_(Quarterly)'!F$81:F$84))/AVERAGE('ONS CVM_SA_(Quarterly)'!$B$81:$B$84))</f>
        <v>3.2341584178474334</v>
      </c>
      <c r="AT34" s="4">
        <f>100*(('ONS CVM_SA_(Quarterly)'!B110-AVERAGE('ONS CVM_SA_(Quarterly)'!B$81:B$84))/AVERAGE('ONS CVM_SA_(Quarterly)'!$B$81:$B$84))</f>
        <v>0.73135253623335217</v>
      </c>
      <c r="AV34" s="36">
        <v>44348</v>
      </c>
      <c r="AW34" s="21">
        <f>HAVERM!D265</f>
        <v>0.10000000000000003</v>
      </c>
      <c r="AX34" s="21">
        <f>HAVERM!B265</f>
        <v>2.5499999999999998</v>
      </c>
      <c r="AY34" s="21">
        <f>HAVERM!C265</f>
        <v>2.08</v>
      </c>
      <c r="BA34" s="36">
        <v>45413</v>
      </c>
      <c r="BB34" s="21">
        <f t="shared" ref="BB34:BB36" si="117">AX69-AX$39</f>
        <v>4.18</v>
      </c>
      <c r="BC34" s="21">
        <f t="shared" ref="BC34:BC36" si="118">AY69-AY$39</f>
        <v>1.6</v>
      </c>
      <c r="BD34" s="21"/>
      <c r="BE34" s="21"/>
      <c r="BF34" s="21">
        <v>0</v>
      </c>
      <c r="BJ34" s="4">
        <f>100*((BJ27/BJ12)-1)</f>
        <v>-2.7389747394909181</v>
      </c>
      <c r="BK34" s="4">
        <f>100*((BK27/BK12)-1)</f>
        <v>11.78234790059982</v>
      </c>
      <c r="BL34" s="4">
        <f>100*((BL27/BL12)-1)</f>
        <v>-15.539837736634066</v>
      </c>
      <c r="BM34" s="4">
        <f>100*((BM27/BM12)-1)</f>
        <v>-36.054421768707478</v>
      </c>
      <c r="BN34" s="4">
        <f>100*((BN27/BN12)-1)</f>
        <v>-3.2259693053311778</v>
      </c>
      <c r="EA34" s="4">
        <f t="shared" si="29"/>
        <v>-0.23819430970255681</v>
      </c>
      <c r="EB34" s="4">
        <f t="shared" si="30"/>
        <v>1.3225853621482471</v>
      </c>
      <c r="EC34" s="4">
        <f t="shared" si="18"/>
        <v>14.678178963893252</v>
      </c>
      <c r="ED34" s="3">
        <v>0</v>
      </c>
      <c r="EF34" s="4">
        <f t="shared" si="31"/>
        <v>1.0843910524456903</v>
      </c>
      <c r="EG34" s="4">
        <f t="shared" si="32"/>
        <v>0.58280940615777543</v>
      </c>
      <c r="EJ34" s="3">
        <f>'IPNR ex BNFL'!I42</f>
        <v>44590</v>
      </c>
      <c r="EM34" s="4">
        <f t="shared" si="35"/>
        <v>0.9022314757301928</v>
      </c>
      <c r="EN34" s="4">
        <f t="shared" si="36"/>
        <v>-0.23819430970255681</v>
      </c>
      <c r="EO34" s="4">
        <f t="shared" si="37"/>
        <v>1.0843910524456903</v>
      </c>
      <c r="ER34" s="4">
        <f>(HAVERQ!W76*$EW$2)+(HAVERQ!X76*$EX$2)/($EW$2+$EX$2)</f>
        <v>18.778664661070405</v>
      </c>
      <c r="ES34" s="4">
        <f>(HAVERQ!AB76*$EW$2)+(HAVERQ!AC76*$EY$2)+(HAVERQ!AD76*$EZ$2)+(HAVERQ!AE76*$FA$2)/($EW$2+$EY$2+$EZ$2+$FA$2)</f>
        <v>-9.5876356607954456</v>
      </c>
      <c r="ET34" s="21">
        <f>(HAVERQ!Y76*$EW$2)+(HAVERQ!Z76*$EX$2)/($EW$2+$EX$2)</f>
        <v>2.525689423714558</v>
      </c>
      <c r="FC34" s="26">
        <v>44348</v>
      </c>
      <c r="FD34" s="4">
        <f>100*((HAVERM!E265+HAVERM!F265)/(HAVERM!E$249+HAVERM!F$249))</f>
        <v>110.97510401808297</v>
      </c>
      <c r="FE34" s="4">
        <f>100*(HAVERM!E265/HAVERM!E$249)</f>
        <v>131.99498360023151</v>
      </c>
      <c r="FF34" s="4">
        <f>100*(HAVERM!F265/HAVERM!F$249)</f>
        <v>99.441378239512161</v>
      </c>
      <c r="FG34">
        <v>100</v>
      </c>
      <c r="FV34" s="26">
        <v>43221</v>
      </c>
      <c r="FW34" s="3">
        <f>HAVERM!G228</f>
        <v>408391</v>
      </c>
      <c r="FX34" s="4"/>
      <c r="FY34" s="3">
        <f t="shared" si="19"/>
        <v>3673</v>
      </c>
      <c r="GD34" s="4">
        <f>100*(DataQ!W184/DataQ!W$194)</f>
        <v>101.78926537544091</v>
      </c>
      <c r="GE34" s="4">
        <f>100*(DataQ!X184/DataQ!X$194)</f>
        <v>101.02828704211953</v>
      </c>
      <c r="GF34" s="4">
        <f>100*(DataQ!C184/DataQ!C$194)</f>
        <v>99.574152337322957</v>
      </c>
      <c r="GG34" s="4"/>
      <c r="GH34">
        <v>100</v>
      </c>
      <c r="GK34" s="4">
        <f>100*(DataQ!Z164/AVERAGE(DataQ!$Z$203:$Z$206))</f>
        <v>75.903239793795478</v>
      </c>
      <c r="GL34" s="4">
        <f>100*(DataQ!C164/AVERAGE(DataQ!$C$203:$C$206))</f>
        <v>78.562894264109957</v>
      </c>
      <c r="GM34" s="4">
        <v>100</v>
      </c>
      <c r="GP34" s="4">
        <f>100*(DataQ!Z164/DataQ!$Z$194)</f>
        <v>75.620058296825093</v>
      </c>
      <c r="GQ34" s="4">
        <f>100*(DataQ!C164/DataQ!$C$194)</f>
        <v>75.836371261734996</v>
      </c>
      <c r="GR34" s="4">
        <v>100</v>
      </c>
      <c r="GT34" s="4"/>
      <c r="GU34" s="4"/>
      <c r="GV34" s="4"/>
      <c r="GW34" s="4"/>
      <c r="GX34" s="4"/>
      <c r="GY34" s="4"/>
      <c r="HJ34" s="4"/>
      <c r="HK34" s="31">
        <f t="shared" si="111"/>
        <v>103.14117495241474</v>
      </c>
      <c r="HL34" s="31">
        <f t="shared" si="112"/>
        <v>93.395083165783205</v>
      </c>
      <c r="HM34" s="4">
        <f t="shared" si="113"/>
        <v>29.188413450720176</v>
      </c>
      <c r="HN34" s="4">
        <v>100</v>
      </c>
      <c r="HO34" s="31">
        <f t="shared" si="72"/>
        <v>122.58349661650338</v>
      </c>
      <c r="HR34" s="4">
        <f>100*(DataQ!C216/DataQ!C$194)</f>
        <v>103.14117495241474</v>
      </c>
      <c r="HS34" s="4">
        <f>100*(DataQ!Q216/DataQ!Q$194)</f>
        <v>122.58349661650338</v>
      </c>
      <c r="HT34" s="4">
        <f>100*(DataQ!R216/DataQ!R$194)</f>
        <v>108.84215906899584</v>
      </c>
      <c r="HU34" s="4">
        <f>100*(DataQ!S216/DataQ!S$194)</f>
        <v>93.395083165783205</v>
      </c>
      <c r="HV34" s="4">
        <f>100*(DataQ!T216/DataQ!T$194)</f>
        <v>105.56913825170489</v>
      </c>
      <c r="HW34" s="4">
        <f>100*(DataQ!U216/DataQ!U$194)</f>
        <v>116.27615108853364</v>
      </c>
      <c r="HX34" s="4">
        <f>100*(DataQ!V216/DataQ!V$194)</f>
        <v>104.62674353138949</v>
      </c>
      <c r="HZ34" s="22">
        <v>2019</v>
      </c>
      <c r="IA34">
        <f>DataA!J53/'Chart Data'!IF34</f>
        <v>3.0304697888859704</v>
      </c>
      <c r="IB34">
        <f t="shared" si="26"/>
        <v>3.7421345587416823</v>
      </c>
      <c r="IC34" s="4">
        <f t="shared" si="27"/>
        <v>-19.01761571328996</v>
      </c>
      <c r="IF34" s="3">
        <f>DataA!K53*DataA!L53</f>
        <v>1052805.7437500001</v>
      </c>
      <c r="IR34">
        <f>HAVERQ!AH105</f>
        <v>25.2</v>
      </c>
      <c r="IS34" s="4">
        <f>100*(('IPNR ex BNFL'!I74/'IPNR ex BNFL'!I70)-1)</f>
        <v>5.4635427186426888</v>
      </c>
      <c r="IT34">
        <v>0</v>
      </c>
    </row>
    <row r="35" spans="1:254" x14ac:dyDescent="0.25">
      <c r="B35" s="4">
        <f>100*((DataQ!C105/DataQ!C101)-1)</f>
        <v>21.237131730521995</v>
      </c>
      <c r="C35" s="4">
        <f t="shared" si="11"/>
        <v>13.216335193774073</v>
      </c>
      <c r="D35" s="4">
        <v>0</v>
      </c>
      <c r="G35" s="4">
        <f>100*((AVERAGE(DataQ!C102:C105)/AVERAGE(DataQ!C98:C101))-1)</f>
        <v>14.446184567827313</v>
      </c>
      <c r="H35" s="4">
        <f t="shared" si="39"/>
        <v>12.423635240883177</v>
      </c>
      <c r="I35" s="4">
        <v>0</v>
      </c>
      <c r="K35" s="4">
        <f t="shared" si="12"/>
        <v>13.216335193774073</v>
      </c>
      <c r="L35" s="4">
        <f>100*(HAVERQ!AF39/HAVERQ!AI39)</f>
        <v>13.216335193774073</v>
      </c>
      <c r="AP35" s="4">
        <f>100*(('ONS CVM_SA_(Quarterly)'!C111-AVERAGE('ONS CVM_SA_(Quarterly)'!C$81:C$84))/AVERAGE('ONS CVM_SA_(Quarterly)'!$B$81:$B$84))</f>
        <v>1.3298055534170978</v>
      </c>
      <c r="AQ35" s="4">
        <f>100*(('ONS CVM_SA_(Quarterly)'!D111-AVERAGE('ONS CVM_SA_(Quarterly)'!D$81:D$84))/AVERAGE('ONS CVM_SA_(Quarterly)'!$B$81:$B$84))</f>
        <v>0.13897724095736275</v>
      </c>
      <c r="AR35" s="4">
        <f>100*(('ONS CVM_SA_(Quarterly)'!E111-AVERAGE('ONS CVM_SA_(Quarterly)'!E$81:E$84))/AVERAGE('ONS CVM_SA_(Quarterly)'!$B$81:$B$84))</f>
        <v>-6.473584194681588</v>
      </c>
      <c r="AS35" s="4">
        <f>100*(('ONS CVM_SA_(Quarterly)'!F111-AVERAGE('ONS CVM_SA_(Quarterly)'!F$81:F$84))/AVERAGE('ONS CVM_SA_(Quarterly)'!$B$81:$B$84))</f>
        <v>2.5421084832842391</v>
      </c>
      <c r="AT35" s="4">
        <f>100*(('ONS CVM_SA_(Quarterly)'!B111-AVERAGE('ONS CVM_SA_(Quarterly)'!B$81:B$84))/AVERAGE('ONS CVM_SA_(Quarterly)'!$B$81:$B$84))</f>
        <v>-2.2767146266455431</v>
      </c>
      <c r="AV35" s="36">
        <v>44378</v>
      </c>
      <c r="AW35" s="21">
        <f>HAVERM!D266</f>
        <v>0.10000000000000003</v>
      </c>
      <c r="AX35" s="21">
        <f>HAVERM!B266</f>
        <v>2.5499999999999998</v>
      </c>
      <c r="AY35" s="21">
        <f>HAVERM!C266</f>
        <v>2.0499999999999998</v>
      </c>
      <c r="BA35" s="36">
        <v>45444</v>
      </c>
      <c r="BB35" s="21">
        <f t="shared" si="117"/>
        <v>4.22</v>
      </c>
      <c r="BC35" s="21">
        <f t="shared" si="118"/>
        <v>1.6400000000000001</v>
      </c>
      <c r="BD35" s="21"/>
      <c r="BE35" s="21"/>
      <c r="BF35" s="21">
        <v>0</v>
      </c>
      <c r="EA35" s="4">
        <f t="shared" si="29"/>
        <v>-0.25448421225517409</v>
      </c>
      <c r="EB35" s="4">
        <f t="shared" si="30"/>
        <v>1.5392872807296656</v>
      </c>
      <c r="EC35" s="4">
        <f t="shared" si="18"/>
        <v>1.794973241988207</v>
      </c>
      <c r="ED35" s="3">
        <v>0</v>
      </c>
      <c r="EF35" s="4">
        <f t="shared" si="31"/>
        <v>1.2848030684744915</v>
      </c>
      <c r="EG35" s="4">
        <f t="shared" si="32"/>
        <v>0.67005945350689444</v>
      </c>
      <c r="EJ35" s="3">
        <f>'IPNR ex BNFL'!I43</f>
        <v>48023</v>
      </c>
      <c r="EL35">
        <v>2007</v>
      </c>
      <c r="EM35" s="4">
        <f t="shared" si="35"/>
        <v>0.9798595043013657</v>
      </c>
      <c r="EN35" s="4">
        <f t="shared" si="36"/>
        <v>-0.25448421225517409</v>
      </c>
      <c r="EO35" s="4">
        <f t="shared" si="37"/>
        <v>1.2848030684744915</v>
      </c>
      <c r="EQ35">
        <v>2007</v>
      </c>
      <c r="ER35" s="4">
        <f>(HAVERQ!W77*$EW$2)+(HAVERQ!X77*$EX$2)/($EW$2+$EX$2)</f>
        <v>19.688534135571835</v>
      </c>
      <c r="ES35" s="4">
        <f>(HAVERQ!AB77*$EW$2)+(HAVERQ!AC77*$EY$2)+(HAVERQ!AD77*$EZ$2)+(HAVERQ!AE77*$FA$2)/($EW$2+$EY$2+$EZ$2+$FA$2)</f>
        <v>-9.8168639914600409</v>
      </c>
      <c r="ET35" s="21">
        <f>(HAVERQ!Y77*$EW$2)+(HAVERQ!Z77*$EX$2)/($EW$2+$EX$2)</f>
        <v>2.8404451129765311</v>
      </c>
      <c r="FC35" s="26">
        <v>44378</v>
      </c>
      <c r="FD35" s="4">
        <f>100*((HAVERM!E266+HAVERM!F266)/(HAVERM!E$249+HAVERM!F$249))</f>
        <v>111.46614228488878</v>
      </c>
      <c r="FE35" s="4">
        <f>100*(HAVERM!E266/HAVERM!E$249)</f>
        <v>131.1100392308187</v>
      </c>
      <c r="FF35" s="4">
        <f>100*(HAVERM!F266/HAVERM!F$249)</f>
        <v>100.68742589351251</v>
      </c>
      <c r="FG35">
        <v>100</v>
      </c>
      <c r="FV35" s="26">
        <v>43252</v>
      </c>
      <c r="FW35" s="3">
        <f>HAVERM!G229</f>
        <v>409566</v>
      </c>
      <c r="FX35" s="4"/>
      <c r="FY35" s="3">
        <f t="shared" si="19"/>
        <v>1175</v>
      </c>
      <c r="GD35" s="4">
        <f>100*(DataQ!W185/DataQ!W$194)</f>
        <v>102.01707656552657</v>
      </c>
      <c r="GE35" s="4">
        <f>100*(DataQ!X185/DataQ!X$194)</f>
        <v>100.76115197423793</v>
      </c>
      <c r="GF35" s="4">
        <f>100*(DataQ!C185/DataQ!C$194)</f>
        <v>97.882053101913087</v>
      </c>
      <c r="GG35" s="4"/>
      <c r="GH35">
        <v>100</v>
      </c>
      <c r="GK35" s="4">
        <f>100*(DataQ!Z165/AVERAGE(DataQ!$Z$203:$Z$206))</f>
        <v>76.246622021137284</v>
      </c>
      <c r="GL35" s="4">
        <f>100*(DataQ!C165/AVERAGE(DataQ!$C$203:$C$206))</f>
        <v>78.955591761707822</v>
      </c>
      <c r="GM35" s="4">
        <v>100</v>
      </c>
      <c r="GP35" s="4">
        <f>100*(DataQ!Z165/DataQ!$Z$194)</f>
        <v>75.962159426107903</v>
      </c>
      <c r="GQ35" s="4">
        <f>100*(DataQ!C165/DataQ!$C$194)</f>
        <v>76.215440203890694</v>
      </c>
      <c r="GR35" s="4">
        <v>100</v>
      </c>
      <c r="GT35" s="4"/>
      <c r="GU35" s="4"/>
      <c r="GV35" s="4"/>
      <c r="GW35" s="4"/>
      <c r="GX35" s="4"/>
      <c r="GY35" s="4"/>
      <c r="HJ35" s="4"/>
      <c r="HK35" s="31">
        <f t="shared" si="111"/>
        <v>104.11070426170275</v>
      </c>
      <c r="HL35" s="31">
        <f t="shared" si="112"/>
        <v>93.695211113142022</v>
      </c>
      <c r="HM35" s="4">
        <f t="shared" si="113"/>
        <v>30.485336306310543</v>
      </c>
      <c r="HN35" s="4">
        <v>100</v>
      </c>
      <c r="HO35" s="31">
        <f t="shared" si="72"/>
        <v>124.18054741945257</v>
      </c>
      <c r="HR35" s="4">
        <f>100*(DataQ!C217/DataQ!C$194)</f>
        <v>104.11070426170275</v>
      </c>
      <c r="HS35" s="4">
        <f>100*(DataQ!Q217/DataQ!Q$194)</f>
        <v>124.18054741945257</v>
      </c>
      <c r="HT35" s="4">
        <f>100*(DataQ!R217/DataQ!R$194)</f>
        <v>109.03042851250993</v>
      </c>
      <c r="HU35" s="4">
        <f>100*(DataQ!S217/DataQ!S$194)</f>
        <v>93.695211113142022</v>
      </c>
      <c r="HV35" s="4">
        <f>100*(DataQ!T217/DataQ!T$194)</f>
        <v>105.93332920024798</v>
      </c>
      <c r="HW35" s="4">
        <f>100*(DataQ!U217/DataQ!U$194)</f>
        <v>117.30535595695592</v>
      </c>
      <c r="HX35" s="4">
        <f>100*(DataQ!V217/DataQ!V$194)</f>
        <v>106.1103489838156</v>
      </c>
      <c r="HZ35" s="22">
        <v>2020</v>
      </c>
      <c r="IA35">
        <f>DataA!J54/'Chart Data'!IF35</f>
        <v>3.4108596891924376</v>
      </c>
      <c r="IB35">
        <f t="shared" si="26"/>
        <v>3.8415470156347515</v>
      </c>
      <c r="IC35" s="4">
        <f t="shared" si="27"/>
        <v>-11.21129911177594</v>
      </c>
      <c r="IF35" s="3">
        <f>DataA!K54*DataA!L54</f>
        <v>941765.21250000002</v>
      </c>
      <c r="IR35">
        <f>HAVERQ!AH106</f>
        <v>24.6</v>
      </c>
      <c r="IS35" s="4">
        <f>100*(('IPNR ex BNFL'!I75/'IPNR ex BNFL'!I71)-1)</f>
        <v>2.6110883437737931</v>
      </c>
      <c r="IT35">
        <v>0</v>
      </c>
    </row>
    <row r="36" spans="1:254" x14ac:dyDescent="0.25">
      <c r="B36" s="4">
        <f>100*((DataQ!C106/DataQ!C102)-1)</f>
        <v>24.84730988124635</v>
      </c>
      <c r="C36" s="4">
        <f t="shared" si="11"/>
        <v>15.677673091883481</v>
      </c>
      <c r="D36" s="4">
        <v>0</v>
      </c>
      <c r="G36" s="4">
        <f>100*((AVERAGE(DataQ!C103:C106)/AVERAGE(DataQ!C99:C102))-1)</f>
        <v>18.896071610054154</v>
      </c>
      <c r="H36" s="4">
        <f t="shared" si="39"/>
        <v>13.786206259509914</v>
      </c>
      <c r="I36" s="4">
        <v>0</v>
      </c>
      <c r="K36" s="4">
        <f t="shared" si="12"/>
        <v>15.677673091883481</v>
      </c>
      <c r="L36" s="4">
        <f>100*(HAVERQ!AF40/HAVERQ!AI40)</f>
        <v>15.677673091883481</v>
      </c>
      <c r="AP36" s="4">
        <f>100*(('ONS CVM_SA_(Quarterly)'!C112-AVERAGE('ONS CVM_SA_(Quarterly)'!C$81:C$84))/AVERAGE('ONS CVM_SA_(Quarterly)'!$B$81:$B$84))</f>
        <v>1.7560564498810791</v>
      </c>
      <c r="AQ36" s="4">
        <f>100*(('ONS CVM_SA_(Quarterly)'!D112-AVERAGE('ONS CVM_SA_(Quarterly)'!D$81:D$84))/AVERAGE('ONS CVM_SA_(Quarterly)'!$B$81:$B$84))</f>
        <v>-0.16085703982528574</v>
      </c>
      <c r="AR36" s="4">
        <f>100*(('ONS CVM_SA_(Quarterly)'!E112-AVERAGE('ONS CVM_SA_(Quarterly)'!E$81:E$84))/AVERAGE('ONS CVM_SA_(Quarterly)'!$B$81:$B$84))</f>
        <v>-5.024655291872465</v>
      </c>
      <c r="AS36" s="4">
        <f>100*(('ONS CVM_SA_(Quarterly)'!F112-AVERAGE('ONS CVM_SA_(Quarterly)'!F$81:F$84))/AVERAGE('ONS CVM_SA_(Quarterly)'!$B$81:$B$84))</f>
        <v>2.1417892002933514</v>
      </c>
      <c r="AT36" s="4">
        <f>100*(('ONS CVM_SA_(Quarterly)'!B112-AVERAGE('ONS CVM_SA_(Quarterly)'!B$81:B$84))/AVERAGE('ONS CVM_SA_(Quarterly)'!$B$81:$B$84))</f>
        <v>-1.1016883911459747</v>
      </c>
      <c r="AV36" s="36">
        <v>44409</v>
      </c>
      <c r="AW36" s="21">
        <f>HAVERM!D267</f>
        <v>0.10000000000000003</v>
      </c>
      <c r="AX36" s="21">
        <f>HAVERM!B267</f>
        <v>2.65</v>
      </c>
      <c r="AY36" s="21">
        <f>HAVERM!C267</f>
        <v>2.06</v>
      </c>
      <c r="BA36" s="36">
        <v>45474</v>
      </c>
      <c r="BB36" s="21">
        <f t="shared" si="117"/>
        <v>4.18</v>
      </c>
      <c r="BC36" s="21">
        <f t="shared" si="118"/>
        <v>1.6800000000000002</v>
      </c>
      <c r="BD36" s="21"/>
      <c r="BE36" s="21"/>
      <c r="BF36" s="21">
        <v>0</v>
      </c>
      <c r="EA36" s="4">
        <f t="shared" si="29"/>
        <v>0.47774044209764999</v>
      </c>
      <c r="EB36" s="4">
        <f t="shared" si="30"/>
        <v>1.0617516094401429</v>
      </c>
      <c r="EC36" s="4">
        <f t="shared" si="18"/>
        <v>10.124898688667683</v>
      </c>
      <c r="ED36" s="3">
        <v>0</v>
      </c>
      <c r="EF36" s="4">
        <f t="shared" si="31"/>
        <v>1.539492051537793</v>
      </c>
      <c r="EG36" s="4">
        <f t="shared" si="32"/>
        <v>1.0193096248865379</v>
      </c>
      <c r="EJ36" s="3">
        <f>'IPNR ex BNFL'!I44</f>
        <v>48119</v>
      </c>
      <c r="EM36" s="4">
        <f t="shared" si="35"/>
        <v>1.0406963810241705</v>
      </c>
      <c r="EN36" s="4">
        <f t="shared" si="36"/>
        <v>0.47774044209764999</v>
      </c>
      <c r="EO36" s="4">
        <f t="shared" si="37"/>
        <v>1.539492051537793</v>
      </c>
      <c r="ER36" s="4">
        <f>(HAVERQ!W78*$EW$2)+(HAVERQ!X78*$EX$2)/($EW$2+$EX$2)</f>
        <v>20.401596389926731</v>
      </c>
      <c r="ES36" s="4">
        <f>(HAVERQ!AB78*$EW$2)+(HAVERQ!AC78*$EY$2)+(HAVERQ!AD78*$EZ$2)+(HAVERQ!AE78*$FA$2)/($EW$2+$EY$2+$EZ$2+$FA$2)</f>
        <v>0.48685849224448852</v>
      </c>
      <c r="ET36" s="21">
        <f>(HAVERQ!Y78*$EW$2)+(HAVERQ!Z78*$EX$2)/($EW$2+$EX$2)</f>
        <v>3.2404451129765315</v>
      </c>
      <c r="FC36" s="26">
        <v>44409</v>
      </c>
      <c r="FD36" s="4">
        <f>100*((HAVERM!E267+HAVERM!F267)/(HAVERM!E$249+HAVERM!F$249))</f>
        <v>111.11409860868693</v>
      </c>
      <c r="FE36" s="4">
        <f>100*(HAVERM!E267/HAVERM!E$249)</f>
        <v>130.41674705768861</v>
      </c>
      <c r="FF36" s="4">
        <f>100*(HAVERM!F267/HAVERM!F$249)</f>
        <v>100.52262718084806</v>
      </c>
      <c r="FG36">
        <v>100</v>
      </c>
      <c r="FV36" s="26">
        <v>43282</v>
      </c>
      <c r="FW36" s="3">
        <f>HAVERM!G230</f>
        <v>411523</v>
      </c>
      <c r="FX36" s="4"/>
      <c r="FY36" s="3">
        <f t="shared" si="19"/>
        <v>1957</v>
      </c>
      <c r="GD36" s="4">
        <f>100*(DataQ!W186/DataQ!W$194)</f>
        <v>102.22271144507292</v>
      </c>
      <c r="GE36" s="4">
        <f>100*(DataQ!X186/DataQ!X$194)</f>
        <v>100.85812566326344</v>
      </c>
      <c r="GF36" s="4">
        <f>100*(DataQ!C186/DataQ!C$194)</f>
        <v>99.546730328741489</v>
      </c>
      <c r="GG36" s="4"/>
      <c r="GH36">
        <v>100</v>
      </c>
      <c r="GK36" s="4">
        <f>100*(DataQ!Z166/AVERAGE(DataQ!$Z$203:$Z$206))</f>
        <v>80.693071475185818</v>
      </c>
      <c r="GL36" s="4">
        <f>100*(DataQ!C166/AVERAGE(DataQ!$C$203:$C$206))</f>
        <v>83.534277478380744</v>
      </c>
      <c r="GM36" s="4">
        <v>100</v>
      </c>
      <c r="GP36" s="4">
        <f>100*(DataQ!Z166/DataQ!$Z$194)</f>
        <v>80.392019967535305</v>
      </c>
      <c r="GQ36" s="4">
        <f>100*(DataQ!C166/DataQ!$C$194)</f>
        <v>80.635222763493246</v>
      </c>
      <c r="GR36" s="4">
        <v>100</v>
      </c>
      <c r="HJ36" s="4"/>
      <c r="HK36" s="31">
        <f t="shared" si="111"/>
        <v>105.09976771945672</v>
      </c>
      <c r="HL36" s="31">
        <f t="shared" si="112"/>
        <v>94.182233595320781</v>
      </c>
      <c r="HM36" s="4">
        <f t="shared" si="113"/>
        <v>31.693132529313104</v>
      </c>
      <c r="HN36" s="4">
        <v>100</v>
      </c>
      <c r="HO36" s="31">
        <f t="shared" si="72"/>
        <v>125.87536612463389</v>
      </c>
      <c r="HR36" s="4">
        <f>100*(DataQ!C218/DataQ!C$194)</f>
        <v>105.09976771945672</v>
      </c>
      <c r="HS36" s="4">
        <f>100*(DataQ!Q218/DataQ!Q$194)</f>
        <v>125.87536612463389</v>
      </c>
      <c r="HT36" s="4">
        <f>100*(DataQ!R218/DataQ!R$194)</f>
        <v>109.27465748432164</v>
      </c>
      <c r="HU36" s="4">
        <f>100*(DataQ!S218/DataQ!S$194)</f>
        <v>94.182233595320781</v>
      </c>
      <c r="HV36" s="4">
        <f>100*(DataQ!T218/DataQ!T$194)</f>
        <v>106.27088654680719</v>
      </c>
      <c r="HW36" s="4">
        <f>100*(DataQ!U218/DataQ!U$194)</f>
        <v>118.26197355541497</v>
      </c>
      <c r="HX36" s="4">
        <f>100*(DataQ!V218/DataQ!V$194)</f>
        <v>107.69564424426488</v>
      </c>
      <c r="HZ36" s="22">
        <v>2021</v>
      </c>
      <c r="IA36">
        <f>DataA!J55/'Chart Data'!IF36</f>
        <v>3.2196744652834921</v>
      </c>
      <c r="IB36">
        <f t="shared" si="26"/>
        <v>3.9436004349064797</v>
      </c>
      <c r="IC36" s="4">
        <f t="shared" si="27"/>
        <v>-18.356980672159683</v>
      </c>
      <c r="IF36" s="3">
        <f>DataA!K55*DataA!L55</f>
        <v>1006462.93125</v>
      </c>
      <c r="IR36">
        <f>HAVERQ!AH107</f>
        <v>3.8</v>
      </c>
      <c r="IS36" s="4">
        <f>100*(('IPNR ex BNFL'!I76/'IPNR ex BNFL'!I72)-1)</f>
        <v>6.7322387240879245</v>
      </c>
      <c r="IT36">
        <v>0</v>
      </c>
    </row>
    <row r="37" spans="1:254" x14ac:dyDescent="0.25">
      <c r="A37">
        <v>1998</v>
      </c>
      <c r="B37" s="4">
        <f>100*((DataQ!C107/DataQ!C103)-1)</f>
        <v>15.464440809881008</v>
      </c>
      <c r="C37" s="4">
        <f t="shared" si="11"/>
        <v>15.197743479729059</v>
      </c>
      <c r="D37" s="4">
        <v>0</v>
      </c>
      <c r="F37">
        <v>1998</v>
      </c>
      <c r="G37" s="4">
        <f>100*((AVERAGE(DataQ!C104:C107)/AVERAGE(DataQ!C100:C103))-1)</f>
        <v>19.169085597042447</v>
      </c>
      <c r="H37" s="4">
        <f t="shared" si="39"/>
        <v>14.516178566481194</v>
      </c>
      <c r="I37" s="4">
        <v>0</v>
      </c>
      <c r="K37" s="4">
        <f t="shared" si="12"/>
        <v>15.197743479729059</v>
      </c>
      <c r="L37" s="4">
        <f>100*(HAVERQ!AF41/HAVERQ!AI41)</f>
        <v>15.197743479729059</v>
      </c>
      <c r="AO37">
        <v>2024</v>
      </c>
      <c r="AP37" s="4">
        <f>100*(('ONS CVM_SA_(Quarterly)'!C113-AVERAGE('ONS CVM_SA_(Quarterly)'!C$81:C$84))/AVERAGE('ONS CVM_SA_(Quarterly)'!$B$81:$B$84))</f>
        <v>1.5307755578335758</v>
      </c>
      <c r="AQ37" s="4">
        <f>100*(('ONS CVM_SA_(Quarterly)'!D113-AVERAGE('ONS CVM_SA_(Quarterly)'!D$81:D$84))/AVERAGE('ONS CVM_SA_(Quarterly)'!$B$81:$B$84))</f>
        <v>0.90233911257156518</v>
      </c>
      <c r="AR37" s="4">
        <f>100*(('ONS CVM_SA_(Quarterly)'!E113-AVERAGE('ONS CVM_SA_(Quarterly)'!E$81:E$84))/AVERAGE('ONS CVM_SA_(Quarterly)'!$B$81:$B$84))</f>
        <v>-4.9274117413483625</v>
      </c>
      <c r="AS37" s="4">
        <f>100*(('ONS CVM_SA_(Quarterly)'!F113-AVERAGE('ONS CVM_SA_(Quarterly)'!F$81:F$84))/AVERAGE('ONS CVM_SA_(Quarterly)'!$B$81:$B$84))</f>
        <v>1.7722637083017629</v>
      </c>
      <c r="AT37" s="4">
        <f>100*(('ONS CVM_SA_(Quarterly)'!B113-AVERAGE('ONS CVM_SA_(Quarterly)'!B$81:B$84))/AVERAGE('ONS CVM_SA_(Quarterly)'!$B$81:$B$84))</f>
        <v>-0.53605507226411353</v>
      </c>
      <c r="AV37" s="36">
        <v>44440</v>
      </c>
      <c r="AW37" s="21">
        <f>HAVERM!D268</f>
        <v>0.10000000000000003</v>
      </c>
      <c r="AX37" s="21">
        <f>HAVERM!B268</f>
        <v>2.65</v>
      </c>
      <c r="AY37" s="21">
        <f>HAVERM!C268</f>
        <v>2.0499999999999998</v>
      </c>
      <c r="BA37" s="36">
        <v>45505</v>
      </c>
      <c r="BB37" s="21">
        <f t="shared" ref="BB37" si="119">AX72-AX$39</f>
        <v>4.0699999999999994</v>
      </c>
      <c r="BC37" s="21">
        <f t="shared" ref="BC37" si="120">AY72-AY$39</f>
        <v>1.71</v>
      </c>
      <c r="BD37" s="21"/>
      <c r="BE37" s="21">
        <v>1000</v>
      </c>
      <c r="BF37" s="21">
        <v>0</v>
      </c>
      <c r="DZ37">
        <v>2008</v>
      </c>
      <c r="EA37" s="4">
        <f t="shared" si="29"/>
        <v>0.55666213209207593</v>
      </c>
      <c r="EB37" s="4">
        <f t="shared" si="30"/>
        <v>0.84278486067148517</v>
      </c>
      <c r="EC37" s="4">
        <f t="shared" si="18"/>
        <v>-2.5877967042773009</v>
      </c>
      <c r="ED37" s="3">
        <v>0</v>
      </c>
      <c r="EF37" s="4">
        <f t="shared" si="31"/>
        <v>1.3994469927635611</v>
      </c>
      <c r="EG37" s="4">
        <f t="shared" si="32"/>
        <v>0.97305915910287821</v>
      </c>
      <c r="EI37" s="22">
        <v>2007</v>
      </c>
      <c r="EJ37" s="3">
        <f>'IPNR ex BNFL'!I45</f>
        <v>50429</v>
      </c>
      <c r="EM37" s="4">
        <f t="shared" si="35"/>
        <v>0.9630683524529976</v>
      </c>
      <c r="EN37" s="4">
        <f t="shared" si="36"/>
        <v>0.55666213209207593</v>
      </c>
      <c r="EO37" s="4">
        <f t="shared" si="37"/>
        <v>1.3994469927635611</v>
      </c>
      <c r="ER37" s="4">
        <f>(HAVERQ!W79*$EW$2)+(HAVERQ!X79*$EX$2)/($EW$2+$EX$2)</f>
        <v>19.4917269154253</v>
      </c>
      <c r="ES37" s="4">
        <f>(HAVERQ!AB79*$EW$2)+(HAVERQ!AC79*$EY$2)+(HAVERQ!AD79*$EZ$2)+(HAVERQ!AE79*$FA$2)/($EW$2+$EY$2+$EZ$2+$FA$2)</f>
        <v>1.5974291167289369</v>
      </c>
      <c r="ET37" s="21">
        <f>(HAVERQ!Y79*$EW$2)+(HAVERQ!Z79*$EX$2)/($EW$2+$EX$2)</f>
        <v>3.0204983259740885</v>
      </c>
      <c r="FC37" s="26">
        <v>44440</v>
      </c>
      <c r="FD37" s="4">
        <f>100*((HAVERM!E268+HAVERM!F268)/(HAVERM!E$249+HAVERM!F$249))</f>
        <v>110.30679068326094</v>
      </c>
      <c r="FE37" s="4">
        <f>100*(HAVERM!E268/HAVERM!E$249)</f>
        <v>130.29776834523122</v>
      </c>
      <c r="FF37" s="4">
        <f>100*(HAVERM!F268/HAVERM!F$249)</f>
        <v>99.337629157021055</v>
      </c>
      <c r="FG37">
        <v>100</v>
      </c>
      <c r="FV37" s="26">
        <v>43313</v>
      </c>
      <c r="FW37" s="3">
        <f>HAVERM!G231</f>
        <v>412988</v>
      </c>
      <c r="FX37" s="4"/>
      <c r="FY37" s="3">
        <f t="shared" si="19"/>
        <v>1465</v>
      </c>
      <c r="GC37" s="22">
        <v>2018</v>
      </c>
      <c r="GD37" s="4">
        <f>100*(DataQ!W187/DataQ!W$194)</f>
        <v>101.35581930580891</v>
      </c>
      <c r="GE37" s="4">
        <f>100*(DataQ!X187/DataQ!X$194)</f>
        <v>99.946938924872839</v>
      </c>
      <c r="GF37" s="4">
        <f>100*(DataQ!C187/DataQ!C$194)</f>
        <v>98.948285317933994</v>
      </c>
      <c r="GG37" s="4"/>
      <c r="GH37">
        <v>100</v>
      </c>
      <c r="GJ37" s="22">
        <v>2013</v>
      </c>
      <c r="GK37" s="4">
        <f>100*(DataQ!Z167/AVERAGE(DataQ!$Z$203:$Z$206))</f>
        <v>78.366481689931106</v>
      </c>
      <c r="GL37" s="4">
        <f>100*(DataQ!C167/AVERAGE(DataQ!$C$203:$C$206))</f>
        <v>81.111250365542887</v>
      </c>
      <c r="GM37" s="4">
        <v>100</v>
      </c>
      <c r="GO37" s="22">
        <v>2013</v>
      </c>
      <c r="GP37" s="4">
        <f>100*(DataQ!Z167/DataQ!$Z$194)</f>
        <v>78.074110275251769</v>
      </c>
      <c r="GQ37" s="4">
        <f>100*(DataQ!C167/DataQ!$C$194)</f>
        <v>78.2962867374262</v>
      </c>
      <c r="GR37" s="4">
        <v>100</v>
      </c>
      <c r="HJ37">
        <v>2026</v>
      </c>
      <c r="HK37" s="31">
        <f t="shared" si="111"/>
        <v>106.10867180694905</v>
      </c>
      <c r="HL37" s="31">
        <f t="shared" si="112"/>
        <v>94.860902942789266</v>
      </c>
      <c r="HM37" s="4">
        <f t="shared" si="113"/>
        <v>32.759593303381152</v>
      </c>
      <c r="HN37" s="4">
        <v>100</v>
      </c>
      <c r="HO37" s="31">
        <f t="shared" si="72"/>
        <v>127.62049624617042</v>
      </c>
      <c r="HQ37">
        <v>2026</v>
      </c>
      <c r="HR37" s="4">
        <f>100*(DataQ!C219/DataQ!C$194)</f>
        <v>106.10867180694905</v>
      </c>
      <c r="HS37" s="4">
        <f>100*(DataQ!Q219/DataQ!Q$194)</f>
        <v>127.62049624617042</v>
      </c>
      <c r="HT37" s="4">
        <f>100*(DataQ!R219/DataQ!R$194)</f>
        <v>109.66591285076197</v>
      </c>
      <c r="HU37" s="4">
        <f>100*(DataQ!S219/DataQ!S$194)</f>
        <v>94.860902942789266</v>
      </c>
      <c r="HV37" s="4">
        <f>100*(DataQ!T219/DataQ!T$194)</f>
        <v>106.66460012399257</v>
      </c>
      <c r="HW37" s="4">
        <f>100*(DataQ!U219/DataQ!U$194)</f>
        <v>119.50225197579007</v>
      </c>
      <c r="HX37" s="4">
        <f>100*(DataQ!V219/DataQ!V$194)</f>
        <v>109.42954111126089</v>
      </c>
      <c r="HZ37" s="22">
        <v>2022</v>
      </c>
      <c r="IA37">
        <f>DataA!J56/'Chart Data'!IF37</f>
        <v>3.1423334863211507</v>
      </c>
      <c r="IB37">
        <f t="shared" si="26"/>
        <v>4.0483649755943105</v>
      </c>
      <c r="IC37" s="4">
        <f t="shared" si="27"/>
        <v>-22.380182980911989</v>
      </c>
      <c r="IF37" s="3">
        <f>DataA!K56*DataA!L56</f>
        <v>1047142.2000000001</v>
      </c>
      <c r="IQ37">
        <v>2015</v>
      </c>
      <c r="IR37">
        <f>HAVERQ!AH108</f>
        <v>3.9</v>
      </c>
      <c r="IS37" s="4">
        <f>100*(('IPNR ex BNFL'!I77/'IPNR ex BNFL'!I73)-1)</f>
        <v>11.335215812827748</v>
      </c>
      <c r="IT37">
        <v>0</v>
      </c>
    </row>
    <row r="38" spans="1:254" x14ac:dyDescent="0.25">
      <c r="B38" s="4">
        <f>100*((DataQ!C108/DataQ!C104)-1)</f>
        <v>10.156397720212862</v>
      </c>
      <c r="C38" s="4">
        <f t="shared" si="11"/>
        <v>15.336236090953074</v>
      </c>
      <c r="D38" s="4">
        <v>0</v>
      </c>
      <c r="G38" s="4">
        <f>100*((AVERAGE(DataQ!C105:C108)/AVERAGE(DataQ!C101:C104))-1)</f>
        <v>17.603468976440251</v>
      </c>
      <c r="H38" s="4">
        <f t="shared" si="39"/>
        <v>14.856996964084923</v>
      </c>
      <c r="I38" s="4">
        <v>0</v>
      </c>
      <c r="K38" s="4">
        <f t="shared" si="12"/>
        <v>15.336236090953074</v>
      </c>
      <c r="L38" s="4">
        <f>100*(HAVERQ!AF42/HAVERQ!AI42)</f>
        <v>15.336236090953074</v>
      </c>
      <c r="AP38" s="4">
        <f>100*(('ONS CVM_SA_(Quarterly)'!C114-AVERAGE('ONS CVM_SA_(Quarterly)'!C$81:C$84))/AVERAGE('ONS CVM_SA_(Quarterly)'!$B$81:$B$84))</f>
        <v>2.6442142113345461</v>
      </c>
      <c r="AQ38" s="4">
        <f>100*(('ONS CVM_SA_(Quarterly)'!D114-AVERAGE('ONS CVM_SA_(Quarterly)'!D$81:D$84))/AVERAGE('ONS CVM_SA_(Quarterly)'!$B$81:$B$84))</f>
        <v>-0.59845301718374577</v>
      </c>
      <c r="AR38" s="4">
        <f>100*(('ONS CVM_SA_(Quarterly)'!E114-AVERAGE('ONS CVM_SA_(Quarterly)'!E$81:E$84))/AVERAGE('ONS CVM_SA_(Quarterly)'!$B$81:$B$84))</f>
        <v>-3.7993865552687773</v>
      </c>
      <c r="AS38" s="4">
        <f>100*(('ONS CVM_SA_(Quarterly)'!F114-AVERAGE('ONS CVM_SA_(Quarterly)'!F$81:F$84))/AVERAGE('ONS CVM_SA_(Quarterly)'!$B$81:$B$84))</f>
        <v>2.4578307394966834</v>
      </c>
      <c r="AT38" s="4">
        <f>100*(('ONS CVM_SA_(Quarterly)'!B114-AVERAGE('ONS CVM_SA_(Quarterly)'!B$81:B$84))/AVERAGE('ONS CVM_SA_(Quarterly)'!$B$81:$B$84))</f>
        <v>0.89018366875605237</v>
      </c>
      <c r="AV38" s="36">
        <v>44470</v>
      </c>
      <c r="AW38" s="21">
        <f>HAVERM!D269</f>
        <v>0.10000000000000002</v>
      </c>
      <c r="AX38" s="21">
        <f>HAVERM!B269</f>
        <v>2.66</v>
      </c>
      <c r="AY38" s="21">
        <f>HAVERM!C269</f>
        <v>2.0299999999999998</v>
      </c>
      <c r="BA38" s="36">
        <v>45536</v>
      </c>
      <c r="BD38" s="21"/>
      <c r="BE38" s="21">
        <v>1000</v>
      </c>
      <c r="BF38" s="21">
        <v>0</v>
      </c>
      <c r="EA38" s="4">
        <f t="shared" si="29"/>
        <v>0.58592648657723478</v>
      </c>
      <c r="EB38" s="4">
        <f t="shared" si="30"/>
        <v>0.23159560236501631</v>
      </c>
      <c r="EC38" s="4">
        <f t="shared" si="18"/>
        <v>-0.28356311723868322</v>
      </c>
      <c r="ED38" s="3">
        <v>0</v>
      </c>
      <c r="EF38" s="4">
        <f t="shared" si="31"/>
        <v>0.81752208894225109</v>
      </c>
      <c r="EG38" s="4">
        <f t="shared" si="32"/>
        <v>0.66366085616463566</v>
      </c>
      <c r="EJ38" s="3">
        <f>'IPNR ex BNFL'!I46</f>
        <v>51135</v>
      </c>
      <c r="EM38" s="4">
        <f t="shared" si="35"/>
        <v>0.5875339929744211</v>
      </c>
      <c r="EN38" s="4">
        <f t="shared" si="36"/>
        <v>0.58592648657723478</v>
      </c>
      <c r="EO38" s="4">
        <f t="shared" si="37"/>
        <v>0.81752208894225109</v>
      </c>
      <c r="ER38" s="4">
        <f>(HAVERQ!W80*$EW$2)+(HAVERQ!X80*$EX$2)/($EW$2+$EX$2)</f>
        <v>15.090130525498569</v>
      </c>
      <c r="ES38" s="4">
        <f>(HAVERQ!AB80*$EW$2)+(HAVERQ!AC80*$EY$2)+(HAVERQ!AD80*$EZ$2)+(HAVERQ!AE80*$FA$2)/($EW$2+$EY$2+$EZ$2+$FA$2)</f>
        <v>2.0092314037556411</v>
      </c>
      <c r="ET38" s="21">
        <f>(HAVERQ!Y80*$EW$2)+(HAVERQ!Z80*$EX$2)/($EW$2+$EX$2)</f>
        <v>2.1065602406715511</v>
      </c>
      <c r="FC38" s="26">
        <v>44470</v>
      </c>
      <c r="FD38" s="4">
        <f>100*((HAVERM!E269+HAVERM!F269)/(HAVERM!E$249+HAVERM!F$249))</f>
        <v>110.87325060496826</v>
      </c>
      <c r="FE38" s="4">
        <f>100*(HAVERM!E269/HAVERM!E$249)</f>
        <v>129.76976011319056</v>
      </c>
      <c r="FF38" s="4">
        <f>100*(HAVERM!F269/HAVERM!F$249)</f>
        <v>100.50462989102817</v>
      </c>
      <c r="FG38">
        <v>100</v>
      </c>
      <c r="FV38" s="26">
        <v>43344</v>
      </c>
      <c r="FW38" s="3">
        <f>HAVERM!G232</f>
        <v>411346</v>
      </c>
      <c r="FX38" s="4"/>
      <c r="FY38" s="3">
        <f t="shared" si="19"/>
        <v>-1642</v>
      </c>
      <c r="GD38" s="4">
        <f>100*(DataQ!W188/DataQ!W$194)</f>
        <v>100.51715156177674</v>
      </c>
      <c r="GE38" s="4">
        <f>100*(DataQ!X188/DataQ!X$194)</f>
        <v>98.715556043473484</v>
      </c>
      <c r="GF38" s="4">
        <f>100*(DataQ!C188/DataQ!C$194)</f>
        <v>96.872277962383464</v>
      </c>
      <c r="GG38" s="4"/>
      <c r="GH38">
        <v>100</v>
      </c>
      <c r="GK38" s="4">
        <f>100*(DataQ!Z168/AVERAGE(DataQ!$Z$203:$Z$206))</f>
        <v>79.936229014922233</v>
      </c>
      <c r="GL38" s="4">
        <f>100*(DataQ!C168/AVERAGE(DataQ!$C$203:$C$206))</f>
        <v>82.73384300455362</v>
      </c>
      <c r="GM38" s="4">
        <v>100</v>
      </c>
      <c r="GP38" s="4">
        <f>100*(DataQ!Z168/DataQ!$Z$194)</f>
        <v>79.638001151973185</v>
      </c>
      <c r="GQ38" s="4">
        <f>100*(DataQ!C168/DataQ!$C$194)</f>
        <v>79.86256734522695</v>
      </c>
      <c r="GR38" s="4">
        <v>100</v>
      </c>
      <c r="HJ38" s="4"/>
      <c r="HK38" s="31">
        <f t="shared" si="111"/>
        <v>107.06366745168887</v>
      </c>
      <c r="HL38" s="31">
        <f t="shared" si="112"/>
        <v>95.519009321878997</v>
      </c>
      <c r="HM38" s="4">
        <f t="shared" si="113"/>
        <v>33.824262401515938</v>
      </c>
      <c r="HN38" s="4">
        <v>100</v>
      </c>
      <c r="HO38" s="31">
        <f t="shared" si="72"/>
        <v>129.34327172339493</v>
      </c>
      <c r="HR38" s="4">
        <f>100*(DataQ!C220/DataQ!C$194)</f>
        <v>107.06366745168887</v>
      </c>
      <c r="HS38" s="4">
        <f>100*(DataQ!Q220/DataQ!Q$194)</f>
        <v>129.34327172339493</v>
      </c>
      <c r="HT38" s="4">
        <f>100*(DataQ!R220/DataQ!R$194)</f>
        <v>110.15229480199184</v>
      </c>
      <c r="HU38" s="4">
        <f>100*(DataQ!S220/DataQ!S$194)</f>
        <v>95.519009321878997</v>
      </c>
      <c r="HV38" s="4">
        <f>100*(DataQ!T220/DataQ!T$194)</f>
        <v>107.24040917544946</v>
      </c>
      <c r="HW38" s="4">
        <f>100*(DataQ!U220/DataQ!U$194)</f>
        <v>120.75689047938285</v>
      </c>
      <c r="HX38" s="4">
        <f>100*(DataQ!V220/DataQ!V$194)</f>
        <v>111.2788936554885</v>
      </c>
      <c r="HZ38" s="22">
        <v>2023</v>
      </c>
      <c r="IA38">
        <f>DataA!J57/'Chart Data'!IF38</f>
        <v>3.195611001435493</v>
      </c>
      <c r="IB38">
        <f t="shared" si="26"/>
        <v>4.1559126605602437</v>
      </c>
      <c r="IC38" s="4">
        <f t="shared" si="27"/>
        <v>-23.106877780133516</v>
      </c>
      <c r="IF38" s="3">
        <f>DataA!K57*DataA!L57</f>
        <v>1047027</v>
      </c>
      <c r="IR38">
        <f>HAVERQ!AH109</f>
        <v>1.1000000000000001</v>
      </c>
      <c r="IS38" s="4">
        <f>100*(('IPNR ex BNFL'!I78/'IPNR ex BNFL'!I74)-1)</f>
        <v>8.0053624437422144</v>
      </c>
      <c r="IT38">
        <v>0</v>
      </c>
    </row>
    <row r="39" spans="1:254" x14ac:dyDescent="0.25">
      <c r="B39" s="4">
        <f>100*((DataQ!C109/DataQ!C105)-1)</f>
        <v>2.8895847653962692</v>
      </c>
      <c r="C39" s="4">
        <f t="shared" si="11"/>
        <v>16.189692418475467</v>
      </c>
      <c r="D39" s="4">
        <v>0</v>
      </c>
      <c r="G39" s="4">
        <f>100*((AVERAGE(DataQ!C106:C109)/AVERAGE(DataQ!C102:C105))-1)</f>
        <v>12.773804036796911</v>
      </c>
      <c r="H39" s="4">
        <f t="shared" si="39"/>
        <v>15.60033627026027</v>
      </c>
      <c r="I39" s="4">
        <v>0</v>
      </c>
      <c r="K39" s="4">
        <f t="shared" si="12"/>
        <v>16.189692418475467</v>
      </c>
      <c r="L39" s="4">
        <f>100*(HAVERQ!AF43/HAVERQ!AI43)</f>
        <v>16.189692418475467</v>
      </c>
      <c r="AV39" s="36">
        <v>44501</v>
      </c>
      <c r="AW39" s="21">
        <f>HAVERM!D270</f>
        <v>0.10000000000000003</v>
      </c>
      <c r="AX39" s="21">
        <f>HAVERM!B270</f>
        <v>2.7</v>
      </c>
      <c r="AY39" s="21">
        <f>HAVERM!C270</f>
        <v>2.02</v>
      </c>
      <c r="EA39" s="4">
        <f t="shared" ref="EA39:EA70" si="121">MIN(EM39:EO39)</f>
        <v>3.5767056034050171E-2</v>
      </c>
      <c r="EB39" s="4">
        <f t="shared" ref="EB39:EB70" si="122">+EF39-EA39</f>
        <v>0.69388096786228204</v>
      </c>
      <c r="EC39" s="4">
        <f t="shared" si="18"/>
        <v>0.3416180832566118</v>
      </c>
      <c r="ED39" s="3">
        <v>0</v>
      </c>
      <c r="EF39" s="4">
        <f t="shared" ref="EF39:EF70" si="123">MAX(EM39:EO39)</f>
        <v>0.72964802389633221</v>
      </c>
      <c r="EG39" s="4">
        <f t="shared" ref="EG39:EG70" si="124">AVERAGE(EM39:EO39)</f>
        <v>0.38771772326648685</v>
      </c>
      <c r="EJ39" s="3">
        <f>'IPNR ex BNFL'!I47</f>
        <v>48885</v>
      </c>
      <c r="EL39">
        <v>2008</v>
      </c>
      <c r="EM39" s="4">
        <f t="shared" si="35"/>
        <v>3.5767056034050171E-2</v>
      </c>
      <c r="EN39" s="4">
        <f t="shared" si="36"/>
        <v>0.72964802389633221</v>
      </c>
      <c r="EO39" s="4">
        <f t="shared" si="37"/>
        <v>0.39773808986907816</v>
      </c>
      <c r="EQ39">
        <v>2008</v>
      </c>
      <c r="ER39" s="4">
        <f>(HAVERQ!W81*$EW$2)+(HAVERQ!X81*$EX$2)/($EW$2+$EX$2)</f>
        <v>8.6229317288563241</v>
      </c>
      <c r="ES39" s="4">
        <f>(HAVERQ!AB81*$EW$2)+(HAVERQ!AC81*$EY$2)+(HAVERQ!AD81*$EZ$2)+(HAVERQ!AE81*$FA$2)/($EW$2+$EY$2+$EZ$2+$FA$2)</f>
        <v>4.0316528377569671</v>
      </c>
      <c r="ET39" s="21">
        <f>(HAVERQ!Y81*$EW$2)+(HAVERQ!Z81*$EX$2)/($EW$2+$EX$2)</f>
        <v>1.4472714186358711</v>
      </c>
      <c r="FC39" s="26">
        <v>44501</v>
      </c>
      <c r="FD39" s="4">
        <f>100*((HAVERM!E270+HAVERM!F270)/(HAVERM!E$249+HAVERM!F$249))</f>
        <v>111.13802390706959</v>
      </c>
      <c r="FE39" s="4">
        <f>100*(HAVERM!E270/HAVERM!E$249)</f>
        <v>129.55881407164446</v>
      </c>
      <c r="FF39" s="4">
        <f>100*(HAVERM!F270/HAVERM!F$249)</f>
        <v>101.03043306419738</v>
      </c>
      <c r="FG39">
        <v>100</v>
      </c>
      <c r="FV39" s="26">
        <v>43374</v>
      </c>
      <c r="FW39" s="3">
        <f>HAVERM!G233</f>
        <v>414056</v>
      </c>
      <c r="FX39" s="4"/>
      <c r="FY39" s="3">
        <f t="shared" si="19"/>
        <v>2710</v>
      </c>
      <c r="GD39" s="4">
        <f>100*(DataQ!W189/DataQ!W$194)</f>
        <v>99.613970914357495</v>
      </c>
      <c r="GE39" s="4">
        <f>100*(DataQ!X189/DataQ!X$194)</f>
        <v>97.356094704870642</v>
      </c>
      <c r="GF39" s="4">
        <f>100*(DataQ!C189/DataQ!C$194)</f>
        <v>96.969061522082782</v>
      </c>
      <c r="GG39" s="4"/>
      <c r="GH39">
        <v>100</v>
      </c>
      <c r="GK39" s="4">
        <f>100*(DataQ!Z169/AVERAGE(DataQ!$Z$203:$Z$206))</f>
        <v>82.751612889097174</v>
      </c>
      <c r="GL39" s="4">
        <f>100*(DataQ!C169/AVERAGE(DataQ!$C$203:$C$206))</f>
        <v>85.629778167690191</v>
      </c>
      <c r="GM39" s="4">
        <v>100</v>
      </c>
      <c r="GP39" s="4">
        <f>100*(DataQ!Z169/DataQ!$Z$194)</f>
        <v>82.442881329307255</v>
      </c>
      <c r="GQ39" s="4">
        <f>100*(DataQ!C169/DataQ!$C$194)</f>
        <v>82.657999161209148</v>
      </c>
      <c r="GR39" s="4">
        <v>100</v>
      </c>
      <c r="HJ39" s="4"/>
      <c r="HK39" s="31">
        <f t="shared" si="111"/>
        <v>107.8666645159209</v>
      </c>
      <c r="HL39" s="31">
        <f t="shared" si="112"/>
        <v>96.180771339791633</v>
      </c>
      <c r="HM39" s="4">
        <f t="shared" si="113"/>
        <v>34.821161124942549</v>
      </c>
      <c r="HN39" s="4">
        <v>100</v>
      </c>
      <c r="HO39" s="31">
        <f t="shared" si="72"/>
        <v>131.00193246473418</v>
      </c>
      <c r="HR39" s="4">
        <f>100*(DataQ!C221/DataQ!C$194)</f>
        <v>107.8666645159209</v>
      </c>
      <c r="HS39" s="4">
        <f>100*(DataQ!Q221/DataQ!Q$194)</f>
        <v>131.00193246473418</v>
      </c>
      <c r="HT39" s="4">
        <f>100*(DataQ!R221/DataQ!R$194)</f>
        <v>110.63899968537181</v>
      </c>
      <c r="HU39" s="4">
        <f>100*(DataQ!S221/DataQ!S$194)</f>
        <v>96.180771339791633</v>
      </c>
      <c r="HV39" s="4">
        <f>100*(DataQ!T221/DataQ!T$194)</f>
        <v>107.77828890266584</v>
      </c>
      <c r="HW39" s="4">
        <f>100*(DataQ!U221/DataQ!U$194)</f>
        <v>121.66688698575166</v>
      </c>
      <c r="HX39" s="4">
        <f>100*(DataQ!V221/DataQ!V$194)</f>
        <v>113.23198185696501</v>
      </c>
      <c r="HZ39" s="22">
        <v>2024</v>
      </c>
      <c r="IA39">
        <f>DataA!J58/'Chart Data'!IF39</f>
        <v>3.2125219312495941</v>
      </c>
      <c r="IB39">
        <f t="shared" si="26"/>
        <v>4.2663174260046564</v>
      </c>
      <c r="IC39" s="4">
        <f t="shared" si="27"/>
        <v>-24.700353713294287</v>
      </c>
      <c r="IF39" s="3">
        <f>DataA!K58*DataA!L58</f>
        <v>1058763.2</v>
      </c>
      <c r="IR39">
        <f>HAVERQ!AH110</f>
        <v>10.5</v>
      </c>
      <c r="IS39" s="4">
        <f>100*(('IPNR ex BNFL'!I79/'IPNR ex BNFL'!I75)-1)</f>
        <v>7.4684772065955363</v>
      </c>
      <c r="IT39">
        <v>0</v>
      </c>
    </row>
    <row r="40" spans="1:254" x14ac:dyDescent="0.25">
      <c r="B40" s="4">
        <f>100*((DataQ!C110/DataQ!C106)-1)</f>
        <v>2.7890818858560706</v>
      </c>
      <c r="C40" s="4">
        <f t="shared" si="11"/>
        <v>14.886558853148509</v>
      </c>
      <c r="D40" s="4">
        <v>0</v>
      </c>
      <c r="G40" s="4">
        <f>100*((AVERAGE(DataQ!C107:C110)/AVERAGE(DataQ!C103:C106))-1)</f>
        <v>7.5646775657297605</v>
      </c>
      <c r="H40" s="4">
        <f t="shared" si="39"/>
        <v>15.402557710576527</v>
      </c>
      <c r="I40" s="4">
        <v>0</v>
      </c>
      <c r="K40" s="4">
        <f t="shared" si="12"/>
        <v>14.886558853148509</v>
      </c>
      <c r="L40" s="4">
        <f>100*(HAVERQ!AF44/HAVERQ!AI44)</f>
        <v>14.886558853148509</v>
      </c>
      <c r="AV40" s="36">
        <v>44531</v>
      </c>
      <c r="AW40" s="21">
        <f>HAVERM!D271</f>
        <v>0.17826086956521739</v>
      </c>
      <c r="AX40" s="21">
        <f>HAVERM!B271</f>
        <v>2.75</v>
      </c>
      <c r="AY40" s="21">
        <f>HAVERM!C271</f>
        <v>2.0099999999999998</v>
      </c>
      <c r="EA40" s="4">
        <f t="shared" si="121"/>
        <v>-0.64289853381975026</v>
      </c>
      <c r="EB40" s="4">
        <f t="shared" si="122"/>
        <v>0.42287413304614629</v>
      </c>
      <c r="EC40" s="4">
        <f t="shared" si="18"/>
        <v>-10.58104206374667</v>
      </c>
      <c r="ED40" s="3">
        <v>0</v>
      </c>
      <c r="EF40" s="4">
        <f t="shared" si="123"/>
        <v>-0.220024400773604</v>
      </c>
      <c r="EG40" s="4">
        <f t="shared" si="124"/>
        <v>-0.39203888903410328</v>
      </c>
      <c r="EJ40" s="3">
        <f>'IPNR ex BNFL'!I48</f>
        <v>52991</v>
      </c>
      <c r="EM40" s="4">
        <f t="shared" si="35"/>
        <v>-0.31319373250895544</v>
      </c>
      <c r="EN40" s="4">
        <f t="shared" si="36"/>
        <v>-0.64289853381975026</v>
      </c>
      <c r="EO40" s="4">
        <f t="shared" si="37"/>
        <v>-0.220024400773604</v>
      </c>
      <c r="ER40" s="4">
        <f>(HAVERQ!W82*$EW$2)+(HAVERQ!X82*$EX$2)/($EW$2+$EX$2)</f>
        <v>4.5328012033577556</v>
      </c>
      <c r="ES40" s="4">
        <f>(HAVERQ!AB82*$EW$2)+(HAVERQ!AC82*$EY$2)+(HAVERQ!AD82*$EZ$2)+(HAVERQ!AE82*$FA$2)/($EW$2+$EY$2+$EZ$2+$FA$2)</f>
        <v>-15.282554547366038</v>
      </c>
      <c r="ET40" s="21">
        <f>(HAVERQ!Y82*$EW$2)+(HAVERQ!Z82*$EX$2)/($EW$2+$EX$2)</f>
        <v>0.47704886214760533</v>
      </c>
      <c r="FC40" s="26">
        <v>44531</v>
      </c>
      <c r="FD40" s="4">
        <f>100*((HAVERM!E271+HAVERM!F271)/(HAVERM!E$249+HAVERM!F$249))</f>
        <v>111.56457779823454</v>
      </c>
      <c r="FE40" s="4">
        <f>100*(HAVERM!E271/HAVERM!E$249)</f>
        <v>128.93497974146246</v>
      </c>
      <c r="FF40" s="4">
        <f>100*(HAVERM!F271/HAVERM!F$249)</f>
        <v>102.03334086161142</v>
      </c>
      <c r="FG40">
        <v>100</v>
      </c>
      <c r="FV40" s="26">
        <v>43405</v>
      </c>
      <c r="FW40" s="3">
        <f>HAVERM!G234</f>
        <v>414516</v>
      </c>
      <c r="FX40" s="4"/>
      <c r="FY40" s="3">
        <f t="shared" si="19"/>
        <v>460</v>
      </c>
      <c r="GD40" s="4">
        <f>100*(DataQ!W190/DataQ!W$194)</f>
        <v>99.059563150874709</v>
      </c>
      <c r="GE40" s="4">
        <f>100*(DataQ!X190/DataQ!X$194)</f>
        <v>97.087129944743282</v>
      </c>
      <c r="GF40" s="4">
        <f>100*(DataQ!C190/DataQ!C$194)</f>
        <v>97.648159499306388</v>
      </c>
      <c r="GG40" s="4"/>
      <c r="GH40">
        <v>100</v>
      </c>
      <c r="GK40" s="4">
        <f>100*(DataQ!Z170/AVERAGE(DataQ!$Z$203:$Z$206))</f>
        <v>82.445021614684848</v>
      </c>
      <c r="GL40" s="4">
        <f>100*(DataQ!C170/AVERAGE(DataQ!$C$203:$C$206))</f>
        <v>85.287212265530357</v>
      </c>
      <c r="GM40" s="4">
        <v>100</v>
      </c>
      <c r="GP40" s="4">
        <f>100*(DataQ!Z170/DataQ!$Z$194)</f>
        <v>82.137433892447604</v>
      </c>
      <c r="GQ40" s="4">
        <f>100*(DataQ!C170/DataQ!$C$194)</f>
        <v>82.32732199890313</v>
      </c>
      <c r="GR40" s="4">
        <v>100</v>
      </c>
      <c r="HJ40" s="4"/>
      <c r="HK40" s="31">
        <f t="shared" si="111"/>
        <v>108.62175371810174</v>
      </c>
      <c r="HL40" s="31">
        <f t="shared" si="112"/>
        <v>96.846188996527133</v>
      </c>
      <c r="HM40" s="4">
        <f t="shared" si="113"/>
        <v>35.739112151505054</v>
      </c>
      <c r="HN40" s="4">
        <v>100</v>
      </c>
      <c r="HO40" s="31">
        <f t="shared" si="72"/>
        <v>132.58530114803219</v>
      </c>
      <c r="HR40" s="4">
        <f>100*(DataQ!C222/DataQ!C$194)</f>
        <v>108.62175371810174</v>
      </c>
      <c r="HS40" s="4">
        <f>100*(DataQ!Q222/DataQ!Q$194)</f>
        <v>132.58530114803219</v>
      </c>
      <c r="HT40" s="4">
        <f>100*(DataQ!R222/DataQ!R$194)</f>
        <v>111.14923248254551</v>
      </c>
      <c r="HU40" s="4">
        <f>100*(DataQ!S222/DataQ!S$194)</f>
        <v>96.846188996527133</v>
      </c>
      <c r="HV40" s="4">
        <f>100*(DataQ!T222/DataQ!T$194)</f>
        <v>108.31760694358337</v>
      </c>
      <c r="HW40" s="4">
        <f>100*(DataQ!U222/DataQ!U$194)</f>
        <v>122.3290638642079</v>
      </c>
      <c r="HX40" s="4">
        <f>100*(DataQ!V222/DataQ!V$194)</f>
        <v>115.17650603842708</v>
      </c>
      <c r="HZ40" s="22">
        <v>2025</v>
      </c>
      <c r="IA40">
        <f>DataA!J59/'Chart Data'!IF40</f>
        <v>3.2308672256031898</v>
      </c>
      <c r="IB40">
        <f t="shared" si="26"/>
        <v>4.3796551722954931</v>
      </c>
      <c r="IC40" s="4">
        <f t="shared" si="27"/>
        <v>-26.23010035034774</v>
      </c>
      <c r="IF40" s="3">
        <f>DataA!K59*DataA!L59</f>
        <v>1069726.72</v>
      </c>
      <c r="IR40">
        <f>HAVERQ!AH111</f>
        <v>0</v>
      </c>
      <c r="IS40" s="4">
        <f>100*(('IPNR ex BNFL'!I80/'IPNR ex BNFL'!I76)-1)</f>
        <v>10.581194698388231</v>
      </c>
      <c r="IT40">
        <v>0</v>
      </c>
    </row>
    <row r="41" spans="1:254" x14ac:dyDescent="0.25">
      <c r="A41">
        <v>1999</v>
      </c>
      <c r="B41" s="4">
        <f>100*((DataQ!C111/DataQ!C107)-1)</f>
        <v>0.46158354906462584</v>
      </c>
      <c r="C41" s="4">
        <f t="shared" si="11"/>
        <v>16.504274779864829</v>
      </c>
      <c r="D41" s="4">
        <v>0</v>
      </c>
      <c r="F41">
        <v>1999</v>
      </c>
      <c r="G41" s="4">
        <f>100*((AVERAGE(DataQ!C108:C111)/AVERAGE(DataQ!C104:C107))-1)</f>
        <v>3.9404364439592277</v>
      </c>
      <c r="H41" s="4">
        <f t="shared" si="39"/>
        <v>15.729190535610469</v>
      </c>
      <c r="I41" s="4">
        <v>0</v>
      </c>
      <c r="K41" s="4">
        <f t="shared" si="12"/>
        <v>16.504274779864829</v>
      </c>
      <c r="L41" s="4">
        <f>100*(HAVERQ!AF45/HAVERQ!AI45)</f>
        <v>16.504274779864829</v>
      </c>
      <c r="AV41" s="36">
        <v>44562</v>
      </c>
      <c r="AW41" s="21">
        <f>HAVERM!D272</f>
        <v>0.25</v>
      </c>
      <c r="AX41" s="21">
        <f>HAVERM!B272</f>
        <v>2.81</v>
      </c>
      <c r="AY41" s="21">
        <f>HAVERM!C272</f>
        <v>2.0099999999999998</v>
      </c>
      <c r="DZ41">
        <v>2009</v>
      </c>
      <c r="EA41" s="4">
        <f t="shared" si="121"/>
        <v>-2.4770438620582218</v>
      </c>
      <c r="EB41" s="4">
        <f t="shared" si="122"/>
        <v>1.6905798264147016</v>
      </c>
      <c r="EC41" s="4">
        <f t="shared" si="18"/>
        <v>-12.224167413077113</v>
      </c>
      <c r="ED41" s="3">
        <v>0</v>
      </c>
      <c r="EF41" s="4">
        <f t="shared" si="123"/>
        <v>-0.7864640356435203</v>
      </c>
      <c r="EG41" s="4">
        <f t="shared" si="124"/>
        <v>-1.3868797295675874</v>
      </c>
      <c r="EI41" s="22">
        <v>2008</v>
      </c>
      <c r="EJ41" s="3">
        <f>'IPNR ex BNFL'!I49</f>
        <v>49124</v>
      </c>
      <c r="EM41" s="4">
        <f t="shared" si="35"/>
        <v>-0.89713129100101996</v>
      </c>
      <c r="EN41" s="4">
        <f t="shared" si="36"/>
        <v>-2.4770438620582218</v>
      </c>
      <c r="EO41" s="4">
        <f t="shared" si="37"/>
        <v>-0.7864640356435203</v>
      </c>
      <c r="ER41" s="4">
        <f>(HAVERQ!W83*$EW$2)+(HAVERQ!X83*$EX$2)/($EW$2+$EX$2)</f>
        <v>-2.3114658644281625</v>
      </c>
      <c r="ES41" s="4">
        <f>(HAVERQ!AB83*$EW$2)+(HAVERQ!AC83*$EY$2)+(HAVERQ!AD83*$EZ$2)+(HAVERQ!AE83*$FA$2)/($EW$2+$EY$2+$EZ$2+$FA$2)</f>
        <v>-41.092289776311318</v>
      </c>
      <c r="ET41" s="21">
        <f>(HAVERQ!Y83*$EW$2)+(HAVERQ!Z83*$EX$2)/($EW$2+$EX$2)</f>
        <v>-0.41256894237145586</v>
      </c>
      <c r="FC41" s="26">
        <v>44562</v>
      </c>
      <c r="FD41" s="4">
        <f>100*((HAVERM!E272+HAVERM!F272)/(HAVERM!E$249+HAVERM!F$249))</f>
        <v>110.47700209175466</v>
      </c>
      <c r="FE41" s="4">
        <f>100*(HAVERM!E272/HAVERM!E$249)</f>
        <v>127.8423049713808</v>
      </c>
      <c r="FF41" s="4">
        <f>100*(HAVERM!F272/HAVERM!F$249)</f>
        <v>100.94856303991871</v>
      </c>
      <c r="FG41">
        <v>100</v>
      </c>
      <c r="FV41" s="26">
        <v>43435</v>
      </c>
      <c r="FW41" s="3">
        <f>HAVERM!G235</f>
        <v>417396</v>
      </c>
      <c r="FX41" s="4"/>
      <c r="FY41" s="3">
        <f t="shared" si="19"/>
        <v>2880</v>
      </c>
      <c r="GC41" s="22">
        <v>2019</v>
      </c>
      <c r="GD41" s="4">
        <f>100*(DataQ!W191/DataQ!W$194)</f>
        <v>100.03330478637358</v>
      </c>
      <c r="GE41" s="4">
        <f>100*(DataQ!X191/DataQ!X$194)</f>
        <v>98.389870823727449</v>
      </c>
      <c r="GF41" s="4">
        <f>100*(DataQ!C191/DataQ!C$194)</f>
        <v>98.720843952640578</v>
      </c>
      <c r="GG41" s="4"/>
      <c r="GH41">
        <v>100</v>
      </c>
      <c r="GJ41" s="22">
        <v>2014</v>
      </c>
      <c r="GK41" s="4">
        <f>100*(DataQ!Z171/AVERAGE(DataQ!$Z$203:$Z$206))</f>
        <v>84.088350845534933</v>
      </c>
      <c r="GL41" s="4">
        <f>100*(DataQ!C171/AVERAGE(DataQ!$C$203:$C$206))</f>
        <v>86.993357563604462</v>
      </c>
      <c r="GM41" s="4">
        <v>100</v>
      </c>
      <c r="GO41" s="22">
        <v>2014</v>
      </c>
      <c r="GP41" s="4">
        <f>100*(DataQ!Z171/DataQ!$Z$194)</f>
        <v>83.774632154015322</v>
      </c>
      <c r="GQ41" s="4">
        <f>100*(DataQ!C171/DataQ!$C$194)</f>
        <v>83.974255573119976</v>
      </c>
      <c r="GR41" s="4">
        <v>100</v>
      </c>
      <c r="HJ41">
        <v>2027</v>
      </c>
      <c r="HK41" s="31">
        <f t="shared" si="111"/>
        <v>109.32778978610833</v>
      </c>
      <c r="HL41" s="31">
        <f t="shared" si="112"/>
        <v>97.622372509596048</v>
      </c>
      <c r="HM41" s="4">
        <f t="shared" si="113"/>
        <v>36.42357571112241</v>
      </c>
      <c r="HN41" s="4">
        <v>100</v>
      </c>
      <c r="HO41" s="31">
        <f t="shared" si="72"/>
        <v>134.04594822071846</v>
      </c>
      <c r="HQ41">
        <v>2027</v>
      </c>
      <c r="HR41" s="4">
        <f>100*(DataQ!C223/DataQ!C$194)</f>
        <v>109.32778978610833</v>
      </c>
      <c r="HS41" s="4">
        <f>100*(DataQ!Q223/DataQ!Q$194)</f>
        <v>134.04594822071846</v>
      </c>
      <c r="HT41" s="4">
        <f>100*(DataQ!R223/DataQ!R$194)</f>
        <v>111.6656932568999</v>
      </c>
      <c r="HU41" s="4">
        <f>100*(DataQ!S223/DataQ!S$194)</f>
        <v>97.622372509596048</v>
      </c>
      <c r="HV41" s="4">
        <f>100*(DataQ!T223/DataQ!T$194)</f>
        <v>108.85490390576567</v>
      </c>
      <c r="HW41" s="4">
        <f>100*(DataQ!U223/DataQ!U$194)</f>
        <v>122.56734288888677</v>
      </c>
      <c r="HX41" s="4">
        <f>100*(DataQ!V223/DataQ!V$194)</f>
        <v>116.9642134978471</v>
      </c>
      <c r="HZ41" s="22">
        <v>2026</v>
      </c>
      <c r="IA41">
        <f>DataA!J60/'Chart Data'!IF41</f>
        <v>3.2412616867817037</v>
      </c>
      <c r="IB41">
        <f t="shared" si="26"/>
        <v>4.4960038161477698</v>
      </c>
      <c r="IC41" s="4">
        <f t="shared" si="27"/>
        <v>-27.907941822904057</v>
      </c>
      <c r="IF41" s="3">
        <f>DataA!K60*DataA!L60</f>
        <v>1083925.44</v>
      </c>
      <c r="IQ41">
        <v>2016</v>
      </c>
      <c r="IR41">
        <f>HAVERQ!AH112</f>
        <v>0.6</v>
      </c>
      <c r="IS41" s="4">
        <f>100*(('IPNR ex BNFL'!I81/'IPNR ex BNFL'!I77)-1)</f>
        <v>6.4251207729468574</v>
      </c>
      <c r="IT41">
        <v>0</v>
      </c>
    </row>
    <row r="42" spans="1:254" x14ac:dyDescent="0.25">
      <c r="B42" s="4">
        <f>100*((DataQ!C112/DataQ!C108)-1)</f>
        <v>0.96613619087320135</v>
      </c>
      <c r="C42" s="4">
        <f t="shared" si="11"/>
        <v>17.070233538342436</v>
      </c>
      <c r="D42" s="4">
        <v>0</v>
      </c>
      <c r="G42" s="4">
        <f>100*((AVERAGE(DataQ!C109:C112)/AVERAGE(DataQ!C105:C108))-1)</f>
        <v>1.7618687463578642</v>
      </c>
      <c r="H42" s="4">
        <f t="shared" si="39"/>
        <v>16.16268989745781</v>
      </c>
      <c r="I42" s="4">
        <v>0</v>
      </c>
      <c r="K42" s="4">
        <f t="shared" si="12"/>
        <v>17.070233538342436</v>
      </c>
      <c r="L42" s="4">
        <f>100*(HAVERQ!AF46/HAVERQ!AI46)</f>
        <v>17.070233538342436</v>
      </c>
      <c r="AV42" s="36">
        <v>44593</v>
      </c>
      <c r="AW42" s="21">
        <f>HAVERM!D273</f>
        <v>0.47499999999999998</v>
      </c>
      <c r="AX42" s="21">
        <f>HAVERM!B273</f>
        <v>2.95</v>
      </c>
      <c r="AY42" s="21">
        <f>HAVERM!C273</f>
        <v>2.02</v>
      </c>
      <c r="EA42" s="4">
        <f t="shared" si="121"/>
        <v>-2.9544859923820068</v>
      </c>
      <c r="EB42" s="4">
        <f t="shared" si="122"/>
        <v>1.0087003789086071</v>
      </c>
      <c r="EC42" s="4">
        <f t="shared" si="18"/>
        <v>-19.833300647185727</v>
      </c>
      <c r="ED42" s="3">
        <v>0</v>
      </c>
      <c r="EF42" s="4">
        <f t="shared" si="123"/>
        <v>-1.9457856134733997</v>
      </c>
      <c r="EG42" s="4">
        <f t="shared" si="124"/>
        <v>-2.6124464947176071</v>
      </c>
      <c r="EJ42" s="3">
        <f>'IPNR ex BNFL'!I50</f>
        <v>50990</v>
      </c>
      <c r="EM42" s="4">
        <f t="shared" si="35"/>
        <v>-2.9370678782974142</v>
      </c>
      <c r="EN42" s="4">
        <f t="shared" si="36"/>
        <v>-2.9544859923820068</v>
      </c>
      <c r="EO42" s="4">
        <f t="shared" si="37"/>
        <v>-1.9457856134733997</v>
      </c>
      <c r="ER42" s="4">
        <f>(HAVERQ!W84*$EW$2)+(HAVERQ!X84*$EX$2)/($EW$2+$EX$2)</f>
        <v>-26.221335338929592</v>
      </c>
      <c r="ES42" s="4">
        <f>(HAVERQ!AB84*$EW$2)+(HAVERQ!AC84*$EY$2)+(HAVERQ!AD84*$EZ$2)+(HAVERQ!AE84*$FA$2)/($EW$2+$EY$2+$EZ$2+$FA$2)</f>
        <v>-47.810762288320632</v>
      </c>
      <c r="ET42" s="21">
        <f>(HAVERQ!Y84*$EW$2)+(HAVERQ!Z84*$EX$2)/($EW$2+$EX$2)</f>
        <v>-2.2333333333333329</v>
      </c>
      <c r="FC42" s="26">
        <v>44593</v>
      </c>
      <c r="FD42" s="4">
        <f>100*((HAVERM!E273+HAVERM!F273)/(HAVERM!E$249+HAVERM!F$249))</f>
        <v>111.33557851371489</v>
      </c>
      <c r="FE42" s="4">
        <f>100*(HAVERM!E273/HAVERM!E$249)</f>
        <v>128.41340279117628</v>
      </c>
      <c r="FF42" s="4">
        <f>100*(HAVERM!F273/HAVERM!F$249)</f>
        <v>101.96488058268874</v>
      </c>
      <c r="FG42">
        <v>100</v>
      </c>
      <c r="FV42" s="26">
        <v>43466</v>
      </c>
      <c r="FW42" s="3">
        <f>HAVERM!G236</f>
        <v>417188</v>
      </c>
      <c r="FX42" s="4"/>
      <c r="FY42" s="3">
        <f t="shared" si="19"/>
        <v>-208</v>
      </c>
      <c r="GD42" s="4">
        <f>100*(DataQ!W192/DataQ!W$194)</f>
        <v>100.11394591560745</v>
      </c>
      <c r="GE42" s="4">
        <f>100*(DataQ!X192/DataQ!X$194)</f>
        <v>98.894865883558381</v>
      </c>
      <c r="GF42" s="4">
        <f>100*(DataQ!C192/DataQ!C$194)</f>
        <v>100.30164209439623</v>
      </c>
      <c r="GG42" s="4"/>
      <c r="GH42">
        <v>100</v>
      </c>
      <c r="GK42" s="4">
        <f>100*(DataQ!Z172/AVERAGE(DataQ!$Z$203:$Z$206))</f>
        <v>84.373918718273273</v>
      </c>
      <c r="GL42" s="4">
        <f>100*(DataQ!C172/AVERAGE(DataQ!$C$203:$C$206))</f>
        <v>87.254041859882193</v>
      </c>
      <c r="GM42" s="4">
        <v>100</v>
      </c>
      <c r="GP42" s="4">
        <f>100*(DataQ!Z172/DataQ!$Z$194)</f>
        <v>84.059134623776032</v>
      </c>
      <c r="GQ42" s="4">
        <f>100*(DataQ!C172/DataQ!$C$194)</f>
        <v>84.225892828338218</v>
      </c>
      <c r="GR42" s="4">
        <v>100</v>
      </c>
      <c r="HJ42" s="4"/>
      <c r="HK42" s="31">
        <f t="shared" si="111"/>
        <v>109.98372423137724</v>
      </c>
      <c r="HL42" s="31">
        <f t="shared" si="112"/>
        <v>98.392798391518923</v>
      </c>
      <c r="HM42" s="4">
        <f t="shared" si="113"/>
        <v>37.045507503508517</v>
      </c>
      <c r="HN42" s="4">
        <v>100</v>
      </c>
      <c r="HO42" s="31">
        <f t="shared" si="72"/>
        <v>135.43830589502744</v>
      </c>
      <c r="HR42" s="4">
        <f>100*(DataQ!C224/DataQ!C$194)</f>
        <v>109.98372423137724</v>
      </c>
      <c r="HS42" s="4">
        <f>100*(DataQ!Q224/DataQ!Q$194)</f>
        <v>135.43830589502744</v>
      </c>
      <c r="HT42" s="4">
        <f>100*(DataQ!R224/DataQ!R$194)</f>
        <v>112.02645460173699</v>
      </c>
      <c r="HU42" s="4">
        <f>100*(DataQ!S224/DataQ!S$194)</f>
        <v>98.392798391518923</v>
      </c>
      <c r="HV42" s="4">
        <f>100*(DataQ!T224/DataQ!T$194)</f>
        <v>109.38962182269063</v>
      </c>
      <c r="HW42" s="4">
        <f>100*(DataQ!U224/DataQ!U$194)</f>
        <v>122.80668416629685</v>
      </c>
      <c r="HX42" s="4">
        <f>100*(DataQ!V224/DataQ!V$194)</f>
        <v>118.62392057664401</v>
      </c>
      <c r="HZ42" s="22"/>
      <c r="IF42" s="3"/>
      <c r="IR42">
        <f>HAVERQ!AH113</f>
        <v>-4.9000000000000004</v>
      </c>
      <c r="IS42" s="4">
        <f>100*(('IPNR ex BNFL'!I82/'IPNR ex BNFL'!I78)-1)</f>
        <v>9.0504477347282517</v>
      </c>
      <c r="IT42">
        <v>0</v>
      </c>
    </row>
    <row r="43" spans="1:254" x14ac:dyDescent="0.25">
      <c r="B43" s="4">
        <f>100*((DataQ!C113/DataQ!C109)-1)</f>
        <v>4.8374325728707923</v>
      </c>
      <c r="C43" s="4">
        <f t="shared" si="11"/>
        <v>16.620049108572648</v>
      </c>
      <c r="D43" s="4">
        <v>0</v>
      </c>
      <c r="G43" s="4">
        <f>100*((AVERAGE(DataQ!C110:C113)/AVERAGE(DataQ!C106:C109))-1)</f>
        <v>2.2543569665293806</v>
      </c>
      <c r="H43" s="4">
        <f t="shared" si="39"/>
        <v>16.270279069982106</v>
      </c>
      <c r="I43" s="4">
        <v>0</v>
      </c>
      <c r="K43" s="4">
        <f t="shared" si="12"/>
        <v>16.620049108572648</v>
      </c>
      <c r="L43" s="4">
        <f>100*(HAVERQ!AF47/HAVERQ!AI47)</f>
        <v>16.620049108572648</v>
      </c>
      <c r="AV43" s="36">
        <v>44621</v>
      </c>
      <c r="AW43" s="21">
        <f>HAVERM!D274</f>
        <v>0.61956521739130432</v>
      </c>
      <c r="AX43" s="21">
        <f>HAVERM!B274</f>
        <v>3.05</v>
      </c>
      <c r="AY43" s="21">
        <f>HAVERM!C274</f>
        <v>2.0499999999999998</v>
      </c>
      <c r="EA43" s="4">
        <f t="shared" si="121"/>
        <v>-3.2923412724184398</v>
      </c>
      <c r="EB43" s="4">
        <f t="shared" si="122"/>
        <v>0.62632922445342576</v>
      </c>
      <c r="EC43" s="4">
        <f t="shared" si="18"/>
        <v>-18.498736035227925</v>
      </c>
      <c r="ED43" s="3">
        <v>0</v>
      </c>
      <c r="EF43" s="4">
        <f t="shared" si="123"/>
        <v>-2.666012047965014</v>
      </c>
      <c r="EG43" s="4">
        <f t="shared" si="124"/>
        <v>-2.8919412994783777</v>
      </c>
      <c r="EJ43" s="3">
        <f>'IPNR ex BNFL'!I51</f>
        <v>49052</v>
      </c>
      <c r="EL43">
        <v>2009</v>
      </c>
      <c r="EM43" s="4">
        <f t="shared" si="35"/>
        <v>-2.7174705780516808</v>
      </c>
      <c r="EN43" s="4">
        <f t="shared" si="36"/>
        <v>-3.2923412724184398</v>
      </c>
      <c r="EO43" s="4">
        <f t="shared" si="37"/>
        <v>-2.666012047965014</v>
      </c>
      <c r="EQ43">
        <v>2009</v>
      </c>
      <c r="ER43" s="4">
        <f>(HAVERQ!W85*$EW$2)+(HAVERQ!X85*$EX$2)/($EW$2+$EX$2)</f>
        <v>-23.647459847639382</v>
      </c>
      <c r="ES43" s="4">
        <f>(HAVERQ!AB85*$EW$2)+(HAVERQ!AC85*$EY$2)+(HAVERQ!AD85*$EZ$2)+(HAVERQ!AE85*$FA$2)/($EW$2+$EY$2+$EZ$2+$FA$2)</f>
        <v>-52.564995875588338</v>
      </c>
      <c r="ET43" s="21">
        <f>(HAVERQ!Y85*$EW$2)+(HAVERQ!Z85*$EX$2)/($EW$2+$EX$2)</f>
        <v>-3.3644799197761497</v>
      </c>
      <c r="FC43" s="26">
        <v>44621</v>
      </c>
      <c r="FD43" s="4">
        <f>100*((HAVERM!E274+HAVERM!F274)/(HAVERM!E$249+HAVERM!F$249))</f>
        <v>112.21466233428883</v>
      </c>
      <c r="FE43" s="4">
        <f>100*(HAVERM!E274/HAVERM!E$249)</f>
        <v>128.25133449096404</v>
      </c>
      <c r="FF43" s="4">
        <f>100*(HAVERM!F274/HAVERM!F$249)</f>
        <v>103.41525040935011</v>
      </c>
      <c r="FG43">
        <v>100</v>
      </c>
      <c r="FV43" s="26">
        <v>43497</v>
      </c>
      <c r="FW43" s="3">
        <f>HAVERM!G237</f>
        <v>415695</v>
      </c>
      <c r="FX43" s="4"/>
      <c r="FY43" s="3">
        <f t="shared" si="19"/>
        <v>-1493</v>
      </c>
      <c r="GD43" s="4">
        <f>100*(DataQ!W193/DataQ!W$194)</f>
        <v>100.15023442376267</v>
      </c>
      <c r="GE43" s="4">
        <f>100*(DataQ!X193/DataQ!X$194)</f>
        <v>100.23420060745782</v>
      </c>
      <c r="GF43" s="4">
        <f>100*(DataQ!C193/DataQ!C$194)</f>
        <v>99.899990321644026</v>
      </c>
      <c r="GG43" s="4"/>
      <c r="GH43">
        <v>100</v>
      </c>
      <c r="GK43" s="4">
        <f>100*(DataQ!Z173/AVERAGE(DataQ!$Z$203:$Z$206))</f>
        <v>84.969581765702955</v>
      </c>
      <c r="GL43" s="4">
        <f>100*(DataQ!C173/AVERAGE(DataQ!$C$203:$C$206))</f>
        <v>87.865647324226089</v>
      </c>
      <c r="GM43" s="4">
        <v>100</v>
      </c>
      <c r="GP43" s="4">
        <f>100*(DataQ!Z173/DataQ!$Z$194)</f>
        <v>84.65257535824621</v>
      </c>
      <c r="GQ43" s="4">
        <f>100*(DataQ!C173/DataQ!$C$194)</f>
        <v>84.816272542504109</v>
      </c>
      <c r="GR43" s="4">
        <v>100</v>
      </c>
      <c r="HJ43" s="4"/>
      <c r="HK43" s="31">
        <f t="shared" si="111"/>
        <v>110.64362680259381</v>
      </c>
      <c r="HL43" s="31">
        <f t="shared" si="112"/>
        <v>99.196033631877171</v>
      </c>
      <c r="HM43" s="4">
        <f t="shared" si="113"/>
        <v>37.566852271903585</v>
      </c>
      <c r="HN43" s="4">
        <v>100</v>
      </c>
      <c r="HO43" s="31">
        <f t="shared" si="72"/>
        <v>136.76288590378076</v>
      </c>
      <c r="HR43" s="4">
        <f>100*(DataQ!C225/DataQ!C$194)</f>
        <v>110.64362680259381</v>
      </c>
      <c r="HS43" s="4">
        <f>100*(DataQ!Q225/DataQ!Q$194)</f>
        <v>136.76288590378076</v>
      </c>
      <c r="HT43" s="4">
        <f>100*(DataQ!R225/DataQ!R$194)</f>
        <v>112.41489584515494</v>
      </c>
      <c r="HU43" s="4">
        <f>100*(DataQ!S225/DataQ!S$194)</f>
        <v>99.196033631877171</v>
      </c>
      <c r="HV43" s="4">
        <f>100*(DataQ!T225/DataQ!T$194)</f>
        <v>110.0185616862988</v>
      </c>
      <c r="HW43" s="4">
        <f>100*(DataQ!U225/DataQ!U$194)</f>
        <v>123.08090274171364</v>
      </c>
      <c r="HX43" s="4">
        <f>100*(DataQ!V225/DataQ!V$194)</f>
        <v>120.15534180748402</v>
      </c>
      <c r="HZ43" s="22"/>
      <c r="IF43" s="3"/>
      <c r="IR43">
        <f>HAVERQ!AH114</f>
        <v>0</v>
      </c>
      <c r="IS43" s="4">
        <f>100*(('IPNR ex BNFL'!I83/'IPNR ex BNFL'!I79)-1)</f>
        <v>11.444397253486226</v>
      </c>
      <c r="IT43">
        <v>0</v>
      </c>
    </row>
    <row r="44" spans="1:254" x14ac:dyDescent="0.25">
      <c r="B44" s="4">
        <f>100*((DataQ!C114/DataQ!C110)-1)</f>
        <v>1.257724990343756</v>
      </c>
      <c r="C44" s="4">
        <f t="shared" si="11"/>
        <v>17.460285420157042</v>
      </c>
      <c r="D44" s="4">
        <v>0</v>
      </c>
      <c r="G44" s="4">
        <f>100*((AVERAGE(DataQ!C111:C114)/AVERAGE(DataQ!C107:C110))-1)</f>
        <v>1.8702045058539341</v>
      </c>
      <c r="H44" s="4">
        <f t="shared" si="39"/>
        <v>16.91371071173424</v>
      </c>
      <c r="I44" s="4">
        <v>0</v>
      </c>
      <c r="K44" s="4">
        <f t="shared" si="12"/>
        <v>17.460285420157042</v>
      </c>
      <c r="L44" s="4">
        <f>100*(HAVERQ!AF48/HAVERQ!AI48)</f>
        <v>17.460285420157042</v>
      </c>
      <c r="AV44" s="36">
        <v>44652</v>
      </c>
      <c r="AW44" s="21">
        <f>HAVERM!D275</f>
        <v>0.75</v>
      </c>
      <c r="AX44" s="21">
        <f>HAVERM!B275</f>
        <v>3.15</v>
      </c>
      <c r="AY44" s="21">
        <f>HAVERM!C275</f>
        <v>2.0499999999999998</v>
      </c>
      <c r="EA44" s="4">
        <f t="shared" si="121"/>
        <v>-2.6434968391591136</v>
      </c>
      <c r="EB44" s="4">
        <f t="shared" si="122"/>
        <v>0.24841347871486752</v>
      </c>
      <c r="EC44" s="4">
        <f t="shared" si="18"/>
        <v>-16.389498564916426</v>
      </c>
      <c r="ED44" s="3">
        <v>0</v>
      </c>
      <c r="EF44" s="4">
        <f t="shared" si="123"/>
        <v>-2.3950833604442461</v>
      </c>
      <c r="EG44" s="4">
        <f t="shared" si="124"/>
        <v>-2.5535839109566942</v>
      </c>
      <c r="EJ44" s="3">
        <f>'IPNR ex BNFL'!I52</f>
        <v>47384</v>
      </c>
      <c r="EM44" s="4">
        <f t="shared" si="35"/>
        <v>-2.3950833604442461</v>
      </c>
      <c r="EN44" s="4">
        <f t="shared" si="36"/>
        <v>-2.6434968391591136</v>
      </c>
      <c r="EO44" s="4">
        <f t="shared" si="37"/>
        <v>-2.6221715332667235</v>
      </c>
      <c r="ER44" s="4">
        <f>(HAVERQ!W86*$EW$2)+(HAVERQ!X86*$EX$2)/($EW$2+$EX$2)</f>
        <v>-19.868795186568974</v>
      </c>
      <c r="ES44" s="4">
        <f>(HAVERQ!AB86*$EW$2)+(HAVERQ!AC86*$EY$2)+(HAVERQ!AD86*$EZ$2)+(HAVERQ!AE86*$FA$2)/($EW$2+$EY$2+$EZ$2+$FA$2)</f>
        <v>-43.434583596163492</v>
      </c>
      <c r="ET44" s="21">
        <f>(HAVERQ!Y86*$EW$2)+(HAVERQ!Z86*$EX$2)/($EW$2+$EX$2)</f>
        <v>-3.2956265062189658</v>
      </c>
      <c r="FC44" s="26">
        <v>44652</v>
      </c>
      <c r="FD44" s="4">
        <f>100*((HAVERM!E275+HAVERM!F275)/(HAVERM!E$249+HAVERM!F$249))</f>
        <v>111.5258416008531</v>
      </c>
      <c r="FE44" s="4">
        <f>100*(HAVERM!E275/HAVERM!E$249)</f>
        <v>127.34902566081421</v>
      </c>
      <c r="FF44" s="4">
        <f>100*(HAVERM!F275/HAVERM!F$249)</f>
        <v>102.84357179154198</v>
      </c>
      <c r="FG44">
        <v>100</v>
      </c>
      <c r="FV44" s="26">
        <v>43525</v>
      </c>
      <c r="FW44" s="3">
        <f>HAVERM!G238</f>
        <v>416369</v>
      </c>
      <c r="FX44" s="4"/>
      <c r="FY44" s="3">
        <f t="shared" si="19"/>
        <v>674</v>
      </c>
      <c r="GD44" s="4">
        <f>100*(DataQ!W194/DataQ!W$194)</f>
        <v>100</v>
      </c>
      <c r="GE44" s="4">
        <f>100*(DataQ!X194/DataQ!X$194)</f>
        <v>100</v>
      </c>
      <c r="GF44" s="4">
        <f>100*(DataQ!C194/DataQ!C$194)</f>
        <v>100</v>
      </c>
      <c r="GG44" s="4"/>
      <c r="GH44">
        <v>100</v>
      </c>
      <c r="GK44" s="4">
        <f>100*(DataQ!Z174/AVERAGE(DataQ!$Z$203:$Z$206))</f>
        <v>87.993447706478278</v>
      </c>
      <c r="GL44" s="4">
        <f>100*(DataQ!C174/AVERAGE(DataQ!$C$203:$C$206))</f>
        <v>91.028950996365452</v>
      </c>
      <c r="GM44" s="4">
        <v>100</v>
      </c>
      <c r="GP44" s="4">
        <f>100*(DataQ!Z174/DataQ!$Z$194)</f>
        <v>87.665159792644829</v>
      </c>
      <c r="GQ44" s="4">
        <f>100*(DataQ!C174/DataQ!$C$194)</f>
        <v>87.869793851017846</v>
      </c>
      <c r="GR44" s="4">
        <v>100</v>
      </c>
      <c r="HJ44" s="4"/>
      <c r="HK44" s="31">
        <f t="shared" si="111"/>
        <v>111.30752976094462</v>
      </c>
      <c r="HL44" s="31">
        <f t="shared" si="112"/>
        <v>100.019649058673</v>
      </c>
      <c r="HM44" s="4">
        <f t="shared" si="113"/>
        <v>38.024454230557041</v>
      </c>
      <c r="HN44" s="4">
        <v>100</v>
      </c>
      <c r="HO44" s="31">
        <f t="shared" si="72"/>
        <v>138.04410328923004</v>
      </c>
      <c r="HR44" s="4">
        <f>100*(DataQ!C226/DataQ!C$194)</f>
        <v>111.30752976094462</v>
      </c>
      <c r="HS44" s="4">
        <f>100*(DataQ!Q226/DataQ!Q$194)</f>
        <v>138.04410328923004</v>
      </c>
      <c r="HT44" s="4">
        <f>100*(DataQ!R226/DataQ!R$194)</f>
        <v>112.89274316098906</v>
      </c>
      <c r="HU44" s="4">
        <f>100*(DataQ!S226/DataQ!S$194)</f>
        <v>100.019649058673</v>
      </c>
      <c r="HV44" s="4">
        <f>100*(DataQ!T226/DataQ!T$194)</f>
        <v>110.5271419714817</v>
      </c>
      <c r="HW44" s="4">
        <f>100*(DataQ!U226/DataQ!U$194)</f>
        <v>123.21590719530657</v>
      </c>
      <c r="HX44" s="4">
        <f>100*(DataQ!V226/DataQ!V$194)</f>
        <v>121.5736545369482</v>
      </c>
      <c r="HZ44" s="22"/>
      <c r="IF44" s="3"/>
      <c r="IR44">
        <f>HAVERQ!AH115</f>
        <v>-6</v>
      </c>
      <c r="IS44" s="4">
        <f>100*(('IPNR ex BNFL'!I84/'IPNR ex BNFL'!I80)-1)</f>
        <v>0.67565324213951783</v>
      </c>
      <c r="IT44">
        <v>0</v>
      </c>
    </row>
    <row r="45" spans="1:254" x14ac:dyDescent="0.25">
      <c r="A45">
        <v>2000</v>
      </c>
      <c r="B45" s="4">
        <f>100*((DataQ!C115/DataQ!C111)-1)</f>
        <v>6.0508083140877522</v>
      </c>
      <c r="C45" s="4">
        <f t="shared" si="11"/>
        <v>17.36069473724929</v>
      </c>
      <c r="D45" s="4">
        <v>0</v>
      </c>
      <c r="F45">
        <v>2000</v>
      </c>
      <c r="G45" s="4">
        <f>100*((AVERAGE(DataQ!C112:C115)/AVERAGE(DataQ!C108:C111))-1)</f>
        <v>3.2725918145510846</v>
      </c>
      <c r="H45" s="4">
        <f t="shared" si="39"/>
        <v>17.127815701080351</v>
      </c>
      <c r="I45" s="4">
        <v>0</v>
      </c>
      <c r="K45" s="4">
        <f t="shared" si="12"/>
        <v>17.36069473724929</v>
      </c>
      <c r="L45" s="4">
        <f>100*(HAVERQ!AF49/HAVERQ!AI49)</f>
        <v>17.36069473724929</v>
      </c>
      <c r="AV45" s="36">
        <v>44682</v>
      </c>
      <c r="AW45" s="21">
        <f>HAVERM!D276</f>
        <v>0.96590909090909094</v>
      </c>
      <c r="AX45" s="21">
        <f>HAVERM!B276</f>
        <v>3.35</v>
      </c>
      <c r="AY45" s="21">
        <f>HAVERM!C276</f>
        <v>2.08</v>
      </c>
      <c r="DZ45">
        <v>2010</v>
      </c>
      <c r="EA45" s="4">
        <f t="shared" si="121"/>
        <v>-2.2401380586717714</v>
      </c>
      <c r="EB45" s="4">
        <f t="shared" si="122"/>
        <v>1.432232783058015</v>
      </c>
      <c r="EC45" s="4">
        <f t="shared" si="18"/>
        <v>-3.8034277232774416</v>
      </c>
      <c r="ED45" s="3">
        <v>0</v>
      </c>
      <c r="EF45" s="4">
        <f t="shared" si="123"/>
        <v>-0.80790527561375636</v>
      </c>
      <c r="EG45" s="4">
        <f t="shared" si="124"/>
        <v>-1.5451354891736322</v>
      </c>
      <c r="EI45" s="22">
        <v>2009</v>
      </c>
      <c r="EJ45" s="3">
        <f>'IPNR ex BNFL'!I53</f>
        <v>43119</v>
      </c>
      <c r="EM45" s="4">
        <f t="shared" si="35"/>
        <v>-1.5873631332353682</v>
      </c>
      <c r="EN45" s="4">
        <f t="shared" si="36"/>
        <v>-0.80790527561375636</v>
      </c>
      <c r="EO45" s="4">
        <f t="shared" si="37"/>
        <v>-2.2401380586717714</v>
      </c>
      <c r="ER45" s="4">
        <f>(HAVERQ!W87*$EW$2)+(HAVERQ!X87*$EX$2)/($EW$2+$EX$2)</f>
        <v>-10.401596389926731</v>
      </c>
      <c r="ES45" s="4">
        <f>(HAVERQ!AB87*$EW$2)+(HAVERQ!AC87*$EY$2)+(HAVERQ!AD87*$EZ$2)+(HAVERQ!AE87*$FA$2)/($EW$2+$EY$2+$EZ$2+$FA$2)</f>
        <v>-17.604497226130981</v>
      </c>
      <c r="ET45" s="21">
        <f>(HAVERQ!Y87*$EW$2)+(HAVERQ!Z87*$EX$2)/($EW$2+$EX$2)</f>
        <v>-2.6956265062189657</v>
      </c>
      <c r="FC45" s="26">
        <v>44682</v>
      </c>
      <c r="FD45" s="4">
        <f>100*((HAVERM!E276+HAVERM!F276)/(HAVERM!E$249+HAVERM!F$249))</f>
        <v>111.44586274625968</v>
      </c>
      <c r="FE45" s="4">
        <f>100*(HAVERM!E276/HAVERM!E$249)</f>
        <v>126.59656569554312</v>
      </c>
      <c r="FF45" s="4">
        <f>100*(HAVERM!F276/HAVERM!F$249)</f>
        <v>103.13258709276721</v>
      </c>
      <c r="FG45">
        <v>100</v>
      </c>
      <c r="FV45" s="26">
        <v>43556</v>
      </c>
      <c r="FW45" s="3">
        <f>HAVERM!G239</f>
        <v>417156</v>
      </c>
      <c r="FX45" s="4"/>
      <c r="FY45" s="3">
        <f t="shared" si="19"/>
        <v>787</v>
      </c>
      <c r="GC45" s="22">
        <v>2020</v>
      </c>
      <c r="GD45" s="4">
        <f>100*(DataQ!W195/DataQ!W$194)</f>
        <v>99.900004999749996</v>
      </c>
      <c r="GE45" s="4">
        <f>100*(DataQ!X195/DataQ!X$194)</f>
        <v>99.582830167965753</v>
      </c>
      <c r="GF45" s="4">
        <f>100*(DataQ!C195/DataQ!C$194)</f>
        <v>97.749782236990683</v>
      </c>
      <c r="GG45" s="4"/>
      <c r="GH45">
        <v>100</v>
      </c>
      <c r="GJ45" s="22">
        <v>2015</v>
      </c>
      <c r="GK45" s="4">
        <f>100*(DataQ!Z175/AVERAGE(DataQ!$Z$203:$Z$206))</f>
        <v>93.659254457618133</v>
      </c>
      <c r="GL45" s="4">
        <f>100*(DataQ!C175/AVERAGE(DataQ!$C$203:$C$206))</f>
        <v>96.854242386263948</v>
      </c>
      <c r="GM45" s="4">
        <v>100</v>
      </c>
      <c r="GO45" s="22">
        <v>2015</v>
      </c>
      <c r="GP45" s="4">
        <f>100*(DataQ!Z175/DataQ!$Z$194)</f>
        <v>93.309828425811176</v>
      </c>
      <c r="GQ45" s="4">
        <f>100*(DataQ!C175/DataQ!$C$194)</f>
        <v>93.492918669548658</v>
      </c>
      <c r="GR45" s="4">
        <v>100</v>
      </c>
      <c r="HZ45" s="22"/>
      <c r="IF45" s="3"/>
      <c r="IQ45">
        <v>2017</v>
      </c>
      <c r="IR45">
        <f>HAVERQ!AH116</f>
        <v>-2.6</v>
      </c>
      <c r="IS45" s="4">
        <f>100*(('IPNR ex BNFL'!I85/'IPNR ex BNFL'!I81)-1)</f>
        <v>0.57713507554633114</v>
      </c>
      <c r="IT45">
        <v>0</v>
      </c>
    </row>
    <row r="46" spans="1:254" x14ac:dyDescent="0.25">
      <c r="B46" s="4">
        <f>100*((DataQ!C116/DataQ!C112)-1)</f>
        <v>12.089860352155423</v>
      </c>
      <c r="C46" s="4">
        <f t="shared" si="11"/>
        <v>19.715352780862016</v>
      </c>
      <c r="D46" s="4">
        <v>0</v>
      </c>
      <c r="G46" s="4">
        <f>100*((AVERAGE(DataQ!C113:C116)/AVERAGE(DataQ!C109:C112))-1)</f>
        <v>6.0573384994029755</v>
      </c>
      <c r="H46" s="4">
        <f t="shared" si="39"/>
        <v>17.789095511710251</v>
      </c>
      <c r="I46" s="4">
        <v>0</v>
      </c>
      <c r="K46" s="4">
        <f t="shared" si="12"/>
        <v>19.715352780862016</v>
      </c>
      <c r="L46" s="4">
        <f>100*(HAVERQ!AF50/HAVERQ!AI50)</f>
        <v>19.715352780862016</v>
      </c>
      <c r="AV46" s="36">
        <v>44713</v>
      </c>
      <c r="AW46" s="21">
        <f>HAVERM!D277</f>
        <v>1.125</v>
      </c>
      <c r="AX46" s="21">
        <f>HAVERM!B277</f>
        <v>3.48</v>
      </c>
      <c r="AY46" s="21">
        <f>HAVERM!C277</f>
        <v>2.12</v>
      </c>
      <c r="EA46" s="4">
        <f t="shared" si="121"/>
        <v>-1.3991777096710187</v>
      </c>
      <c r="EB46" s="4">
        <f t="shared" si="122"/>
        <v>0.45658901165051957</v>
      </c>
      <c r="EC46" s="4">
        <f t="shared" si="18"/>
        <v>-4.6480906133028466E-2</v>
      </c>
      <c r="ED46" s="3">
        <v>0</v>
      </c>
      <c r="EF46" s="4">
        <f t="shared" si="123"/>
        <v>-0.94258869802049916</v>
      </c>
      <c r="EG46" s="4">
        <f t="shared" si="124"/>
        <v>-1.1652397758194653</v>
      </c>
      <c r="EJ46" s="3">
        <f>'IPNR ex BNFL'!I54</f>
        <v>40877</v>
      </c>
      <c r="EM46" s="4">
        <f t="shared" si="35"/>
        <v>-0.94258869802049916</v>
      </c>
      <c r="EN46" s="4">
        <f t="shared" si="36"/>
        <v>-1.1539529197668779</v>
      </c>
      <c r="EO46" s="4">
        <f t="shared" si="37"/>
        <v>-1.3991777096710187</v>
      </c>
      <c r="ER46" s="4">
        <f>(HAVERQ!W88*$EW$2)+(HAVERQ!X88*$EX$2)/($EW$2+$EX$2)</f>
        <v>-2.844267067785919</v>
      </c>
      <c r="ES46" s="4">
        <f>(HAVERQ!AB88*$EW$2)+(HAVERQ!AC88*$EY$2)+(HAVERQ!AD88*$EZ$2)+(HAVERQ!AE88*$FA$2)/($EW$2+$EY$2+$EZ$2+$FA$2)</f>
        <v>-22.474012162970869</v>
      </c>
      <c r="ET46" s="21">
        <f>(HAVERQ!Y88*$EW$2)+(HAVERQ!Z88*$EX$2)/($EW$2+$EX$2)</f>
        <v>-1.3748621152570883</v>
      </c>
      <c r="FC46" s="26">
        <v>44713</v>
      </c>
      <c r="FD46" s="4">
        <f>100*((HAVERM!E277+HAVERM!F277)/(HAVERM!E$249+HAVERM!F$249))</f>
        <v>112.24610701216318</v>
      </c>
      <c r="FE46" s="4">
        <f>100*(HAVERM!E277/HAVERM!E$249)</f>
        <v>125.58363881921667</v>
      </c>
      <c r="FF46" s="4">
        <f>100*(HAVERM!F277/HAVERM!F$249)</f>
        <v>104.92772853029192</v>
      </c>
      <c r="FG46">
        <v>100</v>
      </c>
      <c r="FV46" s="26">
        <v>43586</v>
      </c>
      <c r="FW46" s="3">
        <f>HAVERM!G240</f>
        <v>420131</v>
      </c>
      <c r="FX46" s="4"/>
      <c r="FY46" s="3">
        <f t="shared" si="19"/>
        <v>2975</v>
      </c>
      <c r="GD46" s="4">
        <f>100*(DataQ!W196/DataQ!W$194)</f>
        <v>99.900004999749996</v>
      </c>
      <c r="GE46" s="4">
        <f>100*(DataQ!X196/DataQ!X$194)</f>
        <v>77.223990924726465</v>
      </c>
      <c r="GF46" s="4">
        <f>100*(DataQ!C196/DataQ!C$194)</f>
        <v>78.960867180694905</v>
      </c>
      <c r="GG46" s="4"/>
      <c r="GH46">
        <v>100</v>
      </c>
      <c r="GK46" s="4">
        <f>100*(DataQ!Z176/AVERAGE(DataQ!$Z$203:$Z$206))</f>
        <v>91.167981359250518</v>
      </c>
      <c r="GL46" s="4">
        <f>100*(DataQ!C176/AVERAGE(DataQ!$C$203:$C$206))</f>
        <v>94.23904415758031</v>
      </c>
      <c r="GM46" s="4">
        <v>100</v>
      </c>
      <c r="GP46" s="4">
        <f>100*(DataQ!Z176/DataQ!$Z$194)</f>
        <v>90.827849824585911</v>
      </c>
      <c r="GQ46" s="4">
        <f>100*(DataQ!C176/DataQ!$C$194)</f>
        <v>90.968480820724579</v>
      </c>
      <c r="GR46" s="4">
        <v>100</v>
      </c>
      <c r="HZ46" s="22"/>
      <c r="IF46" s="3"/>
      <c r="IR46">
        <f>HAVERQ!AH117</f>
        <v>11.5</v>
      </c>
      <c r="IS46" s="4">
        <f>100*(('IPNR ex BNFL'!I86/'IPNR ex BNFL'!I82)-1)</f>
        <v>0.37561586367258482</v>
      </c>
      <c r="IT46">
        <v>0</v>
      </c>
    </row>
    <row r="47" spans="1:254" x14ac:dyDescent="0.25">
      <c r="B47" s="4">
        <f>100*((DataQ!C117/DataQ!C113)-1)</f>
        <v>1.6332696074960573</v>
      </c>
      <c r="C47" s="4">
        <f t="shared" si="11"/>
        <v>21.035439137134052</v>
      </c>
      <c r="D47" s="4">
        <v>0</v>
      </c>
      <c r="G47" s="4">
        <f>100*((AVERAGE(DataQ!C114:C117)/AVERAGE(DataQ!C110:C113))-1)</f>
        <v>5.2256732268532113</v>
      </c>
      <c r="H47" s="4">
        <f t="shared" si="39"/>
        <v>18.892943018850598</v>
      </c>
      <c r="I47" s="4">
        <v>0</v>
      </c>
      <c r="K47" s="4">
        <f t="shared" si="12"/>
        <v>21.035439137134052</v>
      </c>
      <c r="L47" s="4">
        <f>100*(HAVERQ!AF51/HAVERQ!AI51)</f>
        <v>21.035439137134052</v>
      </c>
      <c r="AV47" s="36">
        <v>44743</v>
      </c>
      <c r="AW47" s="21">
        <f>HAVERM!D278</f>
        <v>1.25</v>
      </c>
      <c r="AX47" s="21">
        <f>HAVERM!B278</f>
        <v>3.56</v>
      </c>
      <c r="AY47" s="21">
        <f>HAVERM!C278</f>
        <v>2.13</v>
      </c>
      <c r="EA47" s="4">
        <f t="shared" si="121"/>
        <v>-1.1397977958017416</v>
      </c>
      <c r="EB47" s="4">
        <f t="shared" si="122"/>
        <v>0.59563635839952433</v>
      </c>
      <c r="EC47" s="4">
        <f t="shared" si="18"/>
        <v>6.8012406823753091</v>
      </c>
      <c r="ED47" s="3">
        <v>0</v>
      </c>
      <c r="EF47" s="4">
        <f t="shared" si="123"/>
        <v>-0.54416143740221723</v>
      </c>
      <c r="EG47" s="4">
        <f t="shared" si="124"/>
        <v>-0.76217923179165259</v>
      </c>
      <c r="EJ47" s="3">
        <f>'IPNR ex BNFL'!I55</f>
        <v>39978</v>
      </c>
      <c r="EL47">
        <v>2010</v>
      </c>
      <c r="EM47" s="4">
        <f t="shared" si="35"/>
        <v>-1.1397977958017416</v>
      </c>
      <c r="EN47" s="4">
        <f t="shared" si="36"/>
        <v>-0.54416143740221723</v>
      </c>
      <c r="EO47" s="4">
        <f t="shared" si="37"/>
        <v>-0.60257846217099864</v>
      </c>
      <c r="EQ47">
        <v>2010</v>
      </c>
      <c r="ER47" s="4">
        <f>(HAVERQ!W89*$EW$2)+(HAVERQ!X89*$EX$2)/($EW$2+$EX$2)</f>
        <v>-5.1557329322140806</v>
      </c>
      <c r="ES47" s="4">
        <f>(HAVERQ!AB89*$EW$2)+(HAVERQ!AC89*$EY$2)+(HAVERQ!AD89*$EZ$2)+(HAVERQ!AE89*$FA$2)/($EW$2+$EY$2+$EZ$2+$FA$2)</f>
        <v>-13.893145389554727</v>
      </c>
      <c r="ET47" s="21">
        <f>(HAVERQ!Y89*$EW$2)+(HAVERQ!Z89*$EX$2)/($EW$2+$EX$2)</f>
        <v>-0.12376874181182979</v>
      </c>
      <c r="FC47" s="26">
        <v>44743</v>
      </c>
      <c r="FD47" s="4">
        <f>100*((HAVERM!E278+HAVERM!F278)/(HAVERM!E$249+HAVERM!F$249))</f>
        <v>111.83254114012023</v>
      </c>
      <c r="FE47" s="4">
        <f>100*(HAVERM!E278/HAVERM!E$249)</f>
        <v>125.10708084121165</v>
      </c>
      <c r="FF47" s="4">
        <f>100*(HAVERM!F278/HAVERM!F$249)</f>
        <v>104.54872677996725</v>
      </c>
      <c r="FG47">
        <v>100</v>
      </c>
      <c r="FV47" s="26">
        <v>43617</v>
      </c>
      <c r="FW47" s="3">
        <f>HAVERM!G241</f>
        <v>414313</v>
      </c>
      <c r="FX47" s="4"/>
      <c r="FY47" s="3">
        <f t="shared" si="19"/>
        <v>-5818</v>
      </c>
      <c r="GD47" s="4">
        <f>100*(DataQ!W197/DataQ!W$194)</f>
        <v>100.09977323714459</v>
      </c>
      <c r="GE47" s="4">
        <f>100*(DataQ!X197/DataQ!X$194)</f>
        <v>87.435503348336809</v>
      </c>
      <c r="GF47" s="4">
        <f>100*(DataQ!C197/DataQ!C$194)</f>
        <v>88.25047585250185</v>
      </c>
      <c r="GG47" s="4"/>
      <c r="GH47">
        <v>100</v>
      </c>
      <c r="GK47" s="4">
        <f>100*(DataQ!Z177/AVERAGE(DataQ!$Z$203:$Z$206))</f>
        <v>91.386975126687901</v>
      </c>
      <c r="GL47" s="4">
        <f>100*(DataQ!C177/AVERAGE(DataQ!$C$203:$C$206))</f>
        <v>94.427873167063538</v>
      </c>
      <c r="GM47" s="4">
        <v>100</v>
      </c>
      <c r="GP47" s="4">
        <f>100*(DataQ!Z177/DataQ!$Z$194)</f>
        <v>91.046026565199938</v>
      </c>
      <c r="GQ47" s="4">
        <f>100*(DataQ!C177/DataQ!$C$194)</f>
        <v>91.150756524824985</v>
      </c>
      <c r="GR47" s="4">
        <v>100</v>
      </c>
      <c r="HZ47" s="22"/>
      <c r="IF47" s="3"/>
      <c r="IR47">
        <f>HAVERQ!AH118</f>
        <v>-10.9</v>
      </c>
      <c r="IS47" s="4">
        <f>100*(('IPNR ex BNFL'!I87/'IPNR ex BNFL'!I83)-1)</f>
        <v>-3.6427153632393794</v>
      </c>
      <c r="IT47">
        <v>0</v>
      </c>
    </row>
    <row r="48" spans="1:254" x14ac:dyDescent="0.25">
      <c r="B48" s="4">
        <f>100*((DataQ!C118/DataQ!C114)-1)</f>
        <v>6.3559423053999309</v>
      </c>
      <c r="C48" s="4">
        <f t="shared" si="11"/>
        <v>21.627983134798807</v>
      </c>
      <c r="D48" s="4">
        <v>0</v>
      </c>
      <c r="G48" s="4">
        <f>100*((AVERAGE(DataQ!C115:C118)/AVERAGE(DataQ!C111:C114))-1)</f>
        <v>6.4966631457653135</v>
      </c>
      <c r="H48" s="4">
        <f t="shared" si="39"/>
        <v>19.934867447511042</v>
      </c>
      <c r="I48" s="4">
        <v>0</v>
      </c>
      <c r="K48" s="4">
        <f t="shared" si="12"/>
        <v>21.627983134798807</v>
      </c>
      <c r="L48" s="4">
        <f>100*(HAVERQ!AF52/HAVERQ!AI52)</f>
        <v>21.627983134798807</v>
      </c>
      <c r="AV48" s="36">
        <v>44774</v>
      </c>
      <c r="AW48" s="21">
        <f>HAVERM!D279</f>
        <v>1.6847826086956521</v>
      </c>
      <c r="AX48" s="21">
        <f>HAVERM!B279</f>
        <v>3.87</v>
      </c>
      <c r="AY48" s="21">
        <f>HAVERM!C279</f>
        <v>2.1800000000000002</v>
      </c>
      <c r="EA48" s="4">
        <f t="shared" si="121"/>
        <v>-0.46285273903517854</v>
      </c>
      <c r="EB48" s="4">
        <f t="shared" si="122"/>
        <v>0.54884017709764166</v>
      </c>
      <c r="EC48" s="4">
        <f t="shared" si="18"/>
        <v>14.884648392144983</v>
      </c>
      <c r="ED48" s="3">
        <v>0</v>
      </c>
      <c r="EF48" s="4">
        <f t="shared" si="123"/>
        <v>8.5987438062463131E-2</v>
      </c>
      <c r="EG48" s="4">
        <f t="shared" si="124"/>
        <v>-0.20388675123174996</v>
      </c>
      <c r="EJ48" s="3">
        <f>'IPNR ex BNFL'!I56</f>
        <v>39618</v>
      </c>
      <c r="EM48" s="4">
        <f t="shared" si="35"/>
        <v>-0.46285273903517854</v>
      </c>
      <c r="EN48" s="4">
        <f t="shared" si="36"/>
        <v>-0.23479495272253445</v>
      </c>
      <c r="EO48" s="4">
        <f t="shared" si="37"/>
        <v>8.5987438062463131E-2</v>
      </c>
      <c r="ER48" s="4">
        <f>(HAVERQ!W90*$EW$2)+(HAVERQ!X90*$EX$2)/($EW$2+$EX$2)</f>
        <v>2.778664661070406</v>
      </c>
      <c r="ES48" s="4">
        <f>(HAVERQ!AB90*$EW$2)+(HAVERQ!AC90*$EY$2)+(HAVERQ!AD90*$EZ$2)+(HAVERQ!AE90*$FA$2)/($EW$2+$EY$2+$EZ$2+$FA$2)</f>
        <v>-9.5398005725653832</v>
      </c>
      <c r="ET48" s="21">
        <f>(HAVERQ!Y90*$EW$2)+(HAVERQ!Z90*$EX$2)/($EW$2+$EX$2)</f>
        <v>0.95765361411680971</v>
      </c>
      <c r="FC48" s="26">
        <v>44774</v>
      </c>
      <c r="FD48" s="4">
        <f>100*((HAVERM!E279+HAVERM!F279)/(HAVERM!E$249+HAVERM!F$249))</f>
        <v>113.32616333915135</v>
      </c>
      <c r="FE48" s="4">
        <f>100*(HAVERM!E279/HAVERM!E$249)</f>
        <v>124.54884558492508</v>
      </c>
      <c r="FF48" s="4">
        <f>100*(HAVERM!F279/HAVERM!F$249)</f>
        <v>107.16821466884987</v>
      </c>
      <c r="FG48">
        <v>100</v>
      </c>
      <c r="FV48" s="26">
        <v>43647</v>
      </c>
      <c r="FW48" s="3">
        <f>HAVERM!G242</f>
        <v>419391</v>
      </c>
      <c r="FY48" s="3">
        <f t="shared" si="19"/>
        <v>5078</v>
      </c>
      <c r="GD48" s="4">
        <f>100*(DataQ!W198/DataQ!W$194)</f>
        <v>100.52025624525226</v>
      </c>
      <c r="GE48" s="4">
        <f>100*(DataQ!X198/DataQ!X$194)</f>
        <v>92.622680865078493</v>
      </c>
      <c r="GF48" s="4">
        <f>100*(DataQ!C198/DataQ!C$194)</f>
        <v>93.194502693809085</v>
      </c>
      <c r="GG48" s="4"/>
      <c r="GH48">
        <v>100</v>
      </c>
      <c r="GK48" s="4">
        <f>100*(DataQ!Z178/AVERAGE(DataQ!$Z$203:$Z$206))</f>
        <v>97.44346675893604</v>
      </c>
      <c r="GL48" s="4">
        <f>100*(DataQ!C178/AVERAGE(DataQ!$C$203:$C$206))</f>
        <v>100.66090153319129</v>
      </c>
      <c r="GM48" s="4">
        <v>100</v>
      </c>
      <c r="GP48" s="4">
        <f>100*(DataQ!Z178/DataQ!$Z$194)</f>
        <v>97.079922503621731</v>
      </c>
      <c r="GQ48" s="4">
        <f>100*(DataQ!C178/DataQ!$C$194)</f>
        <v>97.167467819466395</v>
      </c>
      <c r="GR48" s="4">
        <v>100</v>
      </c>
      <c r="HZ48" s="22"/>
      <c r="IF48" s="3"/>
      <c r="IR48">
        <f>HAVERQ!AH119</f>
        <v>-11</v>
      </c>
      <c r="IS48" s="4">
        <f>100*(('IPNR ex BNFL'!I88/'IPNR ex BNFL'!I84)-1)</f>
        <v>1.7610685134800796</v>
      </c>
      <c r="IT48">
        <v>0</v>
      </c>
    </row>
    <row r="49" spans="1:254" x14ac:dyDescent="0.25">
      <c r="A49">
        <v>2001</v>
      </c>
      <c r="B49" s="4">
        <f>100*((DataQ!C119/DataQ!C115)-1)</f>
        <v>1.6481753163396284</v>
      </c>
      <c r="C49" s="4">
        <f t="shared" si="11"/>
        <v>22.74864298841732</v>
      </c>
      <c r="D49" s="4">
        <v>0</v>
      </c>
      <c r="F49">
        <v>2001</v>
      </c>
      <c r="G49" s="4">
        <f>100*((AVERAGE(DataQ!C116:C119)/AVERAGE(DataQ!C112:C115))-1)</f>
        <v>5.3544079993850247</v>
      </c>
      <c r="H49" s="4">
        <f t="shared" si="39"/>
        <v>21.281854510303049</v>
      </c>
      <c r="I49" s="4">
        <v>0</v>
      </c>
      <c r="K49" s="4">
        <f t="shared" si="12"/>
        <v>22.74864298841732</v>
      </c>
      <c r="L49" s="4">
        <f>100*(HAVERQ!AF53/HAVERQ!AI53)</f>
        <v>22.74864298841732</v>
      </c>
      <c r="AV49" s="36">
        <v>44805</v>
      </c>
      <c r="AW49" s="21">
        <f>HAVERM!D280</f>
        <v>1.9090909090909092</v>
      </c>
      <c r="AX49" s="21">
        <f>HAVERM!B280</f>
        <v>4.08</v>
      </c>
      <c r="AY49" s="21">
        <f>HAVERM!C280</f>
        <v>2.25</v>
      </c>
      <c r="DZ49">
        <v>2011</v>
      </c>
      <c r="EA49" s="4">
        <f t="shared" si="121"/>
        <v>-0.62579853102918725</v>
      </c>
      <c r="EB49" s="4">
        <f t="shared" si="122"/>
        <v>0.93585559150168496</v>
      </c>
      <c r="EC49" s="4">
        <f t="shared" si="18"/>
        <v>2.0516405892138101</v>
      </c>
      <c r="ED49" s="3">
        <v>0</v>
      </c>
      <c r="EF49" s="4">
        <f t="shared" si="123"/>
        <v>0.3100570604724977</v>
      </c>
      <c r="EG49" s="4">
        <f t="shared" si="124"/>
        <v>-0.19475817948082885</v>
      </c>
      <c r="EI49" s="22">
        <v>2010</v>
      </c>
      <c r="EJ49" s="3">
        <f>'IPNR ex BNFL'!I57</f>
        <v>41479</v>
      </c>
      <c r="EM49" s="4">
        <f t="shared" si="35"/>
        <v>-0.62579853102918725</v>
      </c>
      <c r="EN49" s="4">
        <f t="shared" si="36"/>
        <v>-0.26853306788579706</v>
      </c>
      <c r="EO49" s="4">
        <f t="shared" si="37"/>
        <v>0.3100570604724977</v>
      </c>
      <c r="ER49" s="4">
        <f>(HAVERQ!W91*$EW$2)+(HAVERQ!X91*$EX$2)/($EW$2+$EX$2)</f>
        <v>0.8687951865689747</v>
      </c>
      <c r="ES49" s="4">
        <f>(HAVERQ!AB91*$EW$2)+(HAVERQ!AC91*$EY$2)+(HAVERQ!AD91*$EZ$2)+(HAVERQ!AE91*$FA$2)/($EW$2+$EY$2+$EZ$2+$FA$2)</f>
        <v>-10.014556747052259</v>
      </c>
      <c r="ET49" s="21">
        <f>(HAVERQ!Y91*$EW$2)+(HAVERQ!Z91*$EX$2)/($EW$2+$EX$2)</f>
        <v>1.3095645915215033</v>
      </c>
      <c r="FC49" s="26">
        <v>44805</v>
      </c>
      <c r="FD49" s="4">
        <f>100*((HAVERM!E280+HAVERM!F280)/(HAVERM!E$249+HAVERM!F$249))</f>
        <v>113.96143697620687</v>
      </c>
      <c r="FE49" s="4">
        <f>100*(HAVERM!E280/HAVERM!E$249)</f>
        <v>124.30510000643129</v>
      </c>
      <c r="FF49" s="4">
        <f>100*(HAVERM!F280/HAVERM!F$249)</f>
        <v>108.28581107786121</v>
      </c>
      <c r="FG49">
        <v>100</v>
      </c>
      <c r="FV49" s="26">
        <v>43678</v>
      </c>
      <c r="FW49" s="3">
        <f>HAVERM!G243</f>
        <v>421653</v>
      </c>
      <c r="FY49" s="3">
        <f t="shared" si="19"/>
        <v>2262</v>
      </c>
      <c r="GC49" s="22">
        <v>2021</v>
      </c>
      <c r="GD49" s="4">
        <f>100*(DataQ!W199/DataQ!W$194)</f>
        <v>100.97263281997191</v>
      </c>
      <c r="GE49" s="4">
        <f>100*(DataQ!X199/DataQ!X$194)</f>
        <v>81.564020931679295</v>
      </c>
      <c r="GF49" s="4">
        <f>100*(DataQ!C199/DataQ!C$194)</f>
        <v>86.827757524921765</v>
      </c>
      <c r="GG49" s="4"/>
      <c r="GH49">
        <v>100</v>
      </c>
      <c r="GJ49" s="22">
        <v>2016</v>
      </c>
      <c r="GK49" s="4">
        <f>100*(DataQ!Z179/AVERAGE(DataQ!$Z$203:$Z$206))</f>
        <v>99.768304594051244</v>
      </c>
      <c r="GL49" s="4">
        <f>100*(DataQ!C179/AVERAGE(DataQ!$C$203:$C$206))</f>
        <v>103.07724443330409</v>
      </c>
      <c r="GM49" s="4">
        <v>100</v>
      </c>
      <c r="GO49" s="22">
        <v>2016</v>
      </c>
      <c r="GP49" s="4">
        <f>100*(DataQ!Z179/DataQ!$Z$194)</f>
        <v>99.396086781980344</v>
      </c>
      <c r="GQ49" s="4">
        <f>100*(DataQ!C179/DataQ!$C$194)</f>
        <v>99.499951608220144</v>
      </c>
      <c r="GR49" s="4">
        <v>100</v>
      </c>
      <c r="HZ49" s="22"/>
      <c r="IF49" s="3"/>
      <c r="IQ49">
        <v>2018</v>
      </c>
      <c r="IR49">
        <f>HAVERQ!AH120</f>
        <v>-11</v>
      </c>
      <c r="IS49" s="4">
        <f>100*(('IPNR ex BNFL'!I89/'IPNR ex BNFL'!I85)-1)</f>
        <v>-1.1250805931656949</v>
      </c>
      <c r="IT49">
        <v>0</v>
      </c>
    </row>
    <row r="50" spans="1:254" x14ac:dyDescent="0.25">
      <c r="B50" s="4">
        <f>100*((DataQ!C120/DataQ!C116)-1)</f>
        <v>-3.0572227157497855</v>
      </c>
      <c r="C50" s="4">
        <f t="shared" si="11"/>
        <v>19.970149839948153</v>
      </c>
      <c r="D50" s="4">
        <v>0</v>
      </c>
      <c r="G50" s="4">
        <f>100*((AVERAGE(DataQ!C117:C120)/AVERAGE(DataQ!C113:C116))-1)</f>
        <v>1.5313830123326211</v>
      </c>
      <c r="H50" s="4">
        <f t="shared" si="39"/>
        <v>21.345553775074581</v>
      </c>
      <c r="I50" s="4">
        <v>0</v>
      </c>
      <c r="K50" s="4">
        <f t="shared" si="12"/>
        <v>19.970149839948153</v>
      </c>
      <c r="L50" s="4">
        <f>100*(HAVERQ!AF54/HAVERQ!AI54)</f>
        <v>19.970149839948153</v>
      </c>
      <c r="AV50" s="36">
        <v>44835</v>
      </c>
      <c r="AW50" s="21">
        <f>HAVERM!D281</f>
        <v>2.25</v>
      </c>
      <c r="AX50" s="21">
        <f>HAVERM!B281</f>
        <v>4.33</v>
      </c>
      <c r="AY50" s="21">
        <f>HAVERM!C281</f>
        <v>2.29</v>
      </c>
      <c r="EA50" s="4">
        <f t="shared" si="121"/>
        <v>-0.68245003928091197</v>
      </c>
      <c r="EB50" s="4">
        <f t="shared" si="122"/>
        <v>1.6148227252210141</v>
      </c>
      <c r="EC50" s="4">
        <f t="shared" si="18"/>
        <v>9.5060942777424273</v>
      </c>
      <c r="ED50" s="3">
        <v>0</v>
      </c>
      <c r="EF50" s="4">
        <f t="shared" si="123"/>
        <v>0.93237268594010214</v>
      </c>
      <c r="EG50" s="4">
        <f t="shared" si="124"/>
        <v>0.22928159515526048</v>
      </c>
      <c r="EJ50" s="3">
        <f>'IPNR ex BNFL'!I58</f>
        <v>40858</v>
      </c>
      <c r="EM50" s="4">
        <f t="shared" si="35"/>
        <v>-0.68245003928091197</v>
      </c>
      <c r="EN50" s="4">
        <f t="shared" si="36"/>
        <v>0.93237268594010214</v>
      </c>
      <c r="EO50" s="4">
        <f t="shared" si="37"/>
        <v>0.43792213880659131</v>
      </c>
      <c r="ER50" s="4">
        <f>(HAVERQ!W92*$EW$2)+(HAVERQ!X92*$EX$2)/($EW$2+$EX$2)</f>
        <v>0.2047891697801929</v>
      </c>
      <c r="ES50" s="4">
        <f>(HAVERQ!AB92*$EW$2)+(HAVERQ!AC92*$EY$2)+(HAVERQ!AD92*$EZ$2)+(HAVERQ!AE92*$FA$2)/($EW$2+$EY$2+$EZ$2+$FA$2)</f>
        <v>6.8843547317515004</v>
      </c>
      <c r="ET50" s="21">
        <f>(HAVERQ!Y92*$EW$2)+(HAVERQ!Z92*$EX$2)/($EW$2+$EX$2)</f>
        <v>1.5103821954809389</v>
      </c>
      <c r="FC50" s="26">
        <v>44835</v>
      </c>
      <c r="FD50" s="4">
        <f>100*((HAVERM!E281+HAVERM!F281)/(HAVERM!E$249+HAVERM!F$249))</f>
        <v>112.31127496775781</v>
      </c>
      <c r="FE50" s="4">
        <f>100*(HAVERM!E281/HAVERM!E$249)</f>
        <v>122.82268956202971</v>
      </c>
      <c r="FF50" s="4">
        <f>100*(HAVERM!F281/HAVERM!F$249)</f>
        <v>106.54360284568911</v>
      </c>
      <c r="FG50">
        <v>100</v>
      </c>
      <c r="FV50" s="26">
        <v>43709</v>
      </c>
      <c r="FW50" s="3">
        <f>HAVERM!G244</f>
        <v>421639</v>
      </c>
      <c r="FY50" s="3">
        <f t="shared" si="19"/>
        <v>-14</v>
      </c>
      <c r="GD50" s="4">
        <f>100*(DataQ!W200/DataQ!W$194)</f>
        <v>101.43710556407663</v>
      </c>
      <c r="GE50" s="4">
        <f>100*(DataQ!X200/DataQ!X$194)</f>
        <v>91.67795586782303</v>
      </c>
      <c r="GF50" s="4">
        <f>100*(DataQ!C200/DataQ!C$194)</f>
        <v>93.536471271413362</v>
      </c>
      <c r="GG50" s="3">
        <v>1000</v>
      </c>
      <c r="GH50">
        <v>100</v>
      </c>
      <c r="GK50" s="4">
        <f>100*(DataQ!Z180/AVERAGE(DataQ!$Z$203:$Z$206))</f>
        <v>99.50376012298689</v>
      </c>
      <c r="GL50" s="4">
        <f>100*(DataQ!C180/AVERAGE(DataQ!$C$203:$C$206))</f>
        <v>102.76809959476961</v>
      </c>
      <c r="GM50" s="4">
        <v>100</v>
      </c>
      <c r="GP50" s="4">
        <f>100*(DataQ!Z180/DataQ!$Z$194)</f>
        <v>99.132529279318589</v>
      </c>
      <c r="GQ50" s="4">
        <f>100*(DataQ!C180/DataQ!$C$194)</f>
        <v>99.201535632480571</v>
      </c>
      <c r="GR50" s="4">
        <v>100</v>
      </c>
      <c r="HZ50" s="22"/>
      <c r="IF50" s="3"/>
      <c r="IR50">
        <f>HAVERQ!AH121</f>
        <v>0.8</v>
      </c>
      <c r="IS50" s="4">
        <f>100*(('IPNR ex BNFL'!I90/'IPNR ex BNFL'!I86)-1)</f>
        <v>-2.7134294508342816</v>
      </c>
      <c r="IT50">
        <v>0</v>
      </c>
    </row>
    <row r="51" spans="1:254" x14ac:dyDescent="0.25">
      <c r="B51" s="4">
        <f>100*((DataQ!C121/DataQ!C117)-1)</f>
        <v>3.903764427207923</v>
      </c>
      <c r="C51" s="4">
        <f t="shared" si="11"/>
        <v>20.092732627557112</v>
      </c>
      <c r="D51" s="4">
        <v>0</v>
      </c>
      <c r="G51" s="4">
        <f>100*((AVERAGE(DataQ!C118:C121)/AVERAGE(DataQ!C114:C117))-1)</f>
        <v>2.0911644725173595</v>
      </c>
      <c r="H51" s="4">
        <f t="shared" si="39"/>
        <v>21.109877147680347</v>
      </c>
      <c r="I51" s="4">
        <v>0</v>
      </c>
      <c r="K51" s="4">
        <f t="shared" si="12"/>
        <v>20.092732627557112</v>
      </c>
      <c r="L51" s="4">
        <f>100*(HAVERQ!AF55/HAVERQ!AI55)</f>
        <v>20.092732627557112</v>
      </c>
      <c r="AV51" s="36">
        <v>44866</v>
      </c>
      <c r="AW51" s="21">
        <f>HAVERM!D282</f>
        <v>2.9318181818181817</v>
      </c>
      <c r="AX51" s="21">
        <f>HAVERM!B282</f>
        <v>4.82</v>
      </c>
      <c r="AY51" s="21">
        <f>HAVERM!C282</f>
        <v>2.39</v>
      </c>
      <c r="EA51" s="4">
        <f t="shared" si="121"/>
        <v>-0.40410854654791384</v>
      </c>
      <c r="EB51" s="4">
        <f t="shared" si="122"/>
        <v>1.4487488041480097</v>
      </c>
      <c r="EC51" s="4">
        <f t="shared" si="18"/>
        <v>8.2464810174016847</v>
      </c>
      <c r="ED51" s="3">
        <v>0</v>
      </c>
      <c r="EF51" s="4">
        <f t="shared" si="123"/>
        <v>1.0446402576000957</v>
      </c>
      <c r="EG51" s="4">
        <f t="shared" si="124"/>
        <v>0.44942564154131576</v>
      </c>
      <c r="EJ51" s="3">
        <f>'IPNR ex BNFL'!I59</f>
        <v>42697</v>
      </c>
      <c r="EL51">
        <v>2011</v>
      </c>
      <c r="EM51" s="4">
        <f t="shared" si="35"/>
        <v>-0.40410854654791384</v>
      </c>
      <c r="EN51" s="4">
        <f t="shared" si="36"/>
        <v>1.0446402576000957</v>
      </c>
      <c r="EO51" s="4">
        <f t="shared" si="37"/>
        <v>0.70774521357176534</v>
      </c>
      <c r="EQ51">
        <v>2011</v>
      </c>
      <c r="ER51" s="4">
        <f>(HAVERQ!W93*$EW$2)+(HAVERQ!X93*$EX$2)/($EW$2+$EX$2)</f>
        <v>3.4671987966422435</v>
      </c>
      <c r="ES51" s="4">
        <f>(HAVERQ!AB93*$EW$2)+(HAVERQ!AC93*$EY$2)+(HAVERQ!AD93*$EZ$2)+(HAVERQ!AE93*$FA$2)/($EW$2+$EY$2+$EZ$2+$FA$2)</f>
        <v>8.4641620974655094</v>
      </c>
      <c r="ET51" s="21">
        <f>(HAVERQ!Y93*$EW$2)+(HAVERQ!Z93*$EX$2)/($EW$2+$EX$2)</f>
        <v>1.9341509372927683</v>
      </c>
      <c r="FC51" s="26">
        <v>44866</v>
      </c>
      <c r="FD51" s="4">
        <f>100*((HAVERM!E282+HAVERM!F282)/(HAVERM!E$249+HAVERM!F$249))</f>
        <v>112.22423245364187</v>
      </c>
      <c r="FE51" s="4">
        <f>100*(HAVERM!E282/HAVERM!E$249)</f>
        <v>122.10431539005724</v>
      </c>
      <c r="FF51" s="4">
        <f>100*(HAVERM!F282/HAVERM!F$249)</f>
        <v>106.80297555191689</v>
      </c>
      <c r="FG51">
        <v>100</v>
      </c>
      <c r="FV51" s="26">
        <v>43739</v>
      </c>
      <c r="FW51" s="3">
        <f>HAVERM!G245</f>
        <v>422164</v>
      </c>
      <c r="FY51" s="3">
        <f t="shared" si="19"/>
        <v>525</v>
      </c>
      <c r="GD51" s="4">
        <f>100*(DataQ!W201/DataQ!W$194)</f>
        <v>101.8935545158226</v>
      </c>
      <c r="GE51" s="4">
        <f>100*(DataQ!X201/DataQ!X$194)</f>
        <v>94.428294360888486</v>
      </c>
      <c r="GF51" s="4">
        <f>100*(DataQ!C201/DataQ!C$194)</f>
        <v>91.94115559570281</v>
      </c>
      <c r="GG51" s="3">
        <v>1000</v>
      </c>
      <c r="GH51">
        <v>100</v>
      </c>
      <c r="GK51" s="4">
        <f>100*(DataQ!Z181/AVERAGE(DataQ!$Z$203:$Z$206))</f>
        <v>101.92320326563507</v>
      </c>
      <c r="GL51" s="4">
        <f>100*(DataQ!C181/AVERAGE(DataQ!$C$203:$C$206))</f>
        <v>105.23457409032042</v>
      </c>
      <c r="GM51" s="4">
        <v>100</v>
      </c>
      <c r="GP51" s="4">
        <f>100*(DataQ!Z181/DataQ!$Z$194)</f>
        <v>101.54294590962247</v>
      </c>
      <c r="GQ51" s="4">
        <f>100*(DataQ!C181/DataQ!$C$194)</f>
        <v>101.58241120108397</v>
      </c>
      <c r="GR51" s="4">
        <v>100</v>
      </c>
      <c r="HZ51" s="22"/>
      <c r="IF51" s="3"/>
      <c r="IR51">
        <f>HAVERQ!AH122</f>
        <v>-8.6</v>
      </c>
      <c r="IS51" s="4">
        <f>100*(('IPNR ex BNFL'!I91/'IPNR ex BNFL'!I87)-1)</f>
        <v>-0.9327466587564448</v>
      </c>
      <c r="IT51">
        <v>0</v>
      </c>
    </row>
    <row r="52" spans="1:254" x14ac:dyDescent="0.25">
      <c r="B52" s="4">
        <f>100*((DataQ!C122/DataQ!C118)-1)</f>
        <v>-3.9183161103763631</v>
      </c>
      <c r="C52" s="4">
        <f t="shared" si="11"/>
        <v>17.877257156128433</v>
      </c>
      <c r="D52" s="4">
        <v>0</v>
      </c>
      <c r="G52" s="4">
        <f>100*((AVERAGE(DataQ!C119:C122)/AVERAGE(DataQ!C115:C118))-1)</f>
        <v>-0.42772853045099923</v>
      </c>
      <c r="H52" s="4">
        <f t="shared" si="39"/>
        <v>20.172195653012754</v>
      </c>
      <c r="I52" s="4">
        <v>0</v>
      </c>
      <c r="K52" s="4">
        <f t="shared" si="12"/>
        <v>17.877257156128433</v>
      </c>
      <c r="L52" s="4">
        <f>100*(HAVERQ!AF56/HAVERQ!AI56)</f>
        <v>17.877257156128433</v>
      </c>
      <c r="AV52" s="36">
        <v>44896</v>
      </c>
      <c r="AW52" s="21">
        <f>HAVERM!D283</f>
        <v>3.2727272727272729</v>
      </c>
      <c r="AX52" s="21">
        <f>HAVERM!B283</f>
        <v>5.14</v>
      </c>
      <c r="AY52" s="21">
        <f>HAVERM!C283</f>
        <v>2.5099999999999998</v>
      </c>
      <c r="EA52" s="4">
        <f t="shared" si="121"/>
        <v>-0.34327166982510915</v>
      </c>
      <c r="EB52" s="4">
        <f t="shared" si="122"/>
        <v>1.603148981720715</v>
      </c>
      <c r="EC52" s="4">
        <f t="shared" si="18"/>
        <v>4.0821707129517826</v>
      </c>
      <c r="ED52" s="3">
        <v>0</v>
      </c>
      <c r="EF52" s="4">
        <f t="shared" si="123"/>
        <v>1.2598773118956057</v>
      </c>
      <c r="EG52" s="4">
        <f t="shared" si="124"/>
        <v>0.49256507328183963</v>
      </c>
      <c r="EJ52" s="3">
        <f>'IPNR ex BNFL'!I60</f>
        <v>45515</v>
      </c>
      <c r="EM52" s="4">
        <f t="shared" si="35"/>
        <v>-0.34327166982510915</v>
      </c>
      <c r="EN52" s="4">
        <f t="shared" si="36"/>
        <v>1.2598773118956057</v>
      </c>
      <c r="EO52" s="4">
        <f t="shared" si="37"/>
        <v>0.56108957777502222</v>
      </c>
      <c r="ER52" s="4">
        <f>(HAVERQ!W94*$EW$2)+(HAVERQ!X94*$EX$2)/($EW$2+$EX$2)</f>
        <v>4.180261050997137</v>
      </c>
      <c r="ES52" s="4">
        <f>(HAVERQ!AB94*$EW$2)+(HAVERQ!AC94*$EY$2)+(HAVERQ!AD94*$EZ$2)+(HAVERQ!AE94*$FA$2)/($EW$2+$EY$2+$EZ$2+$FA$2)</f>
        <v>11.492935934138805</v>
      </c>
      <c r="ET52" s="21">
        <f>(HAVERQ!Y94*$EW$2)+(HAVERQ!Z94*$EX$2)/($EW$2+$EX$2)</f>
        <v>1.7038219548093876</v>
      </c>
      <c r="FC52" s="26">
        <v>44896</v>
      </c>
      <c r="FD52" s="4">
        <f>100*((HAVERM!E283+HAVERM!F283)/(HAVERM!E$249+HAVERM!F$249))</f>
        <v>113.17759862919434</v>
      </c>
      <c r="FE52" s="4">
        <f>100*(HAVERM!E283/HAVERM!E$249)</f>
        <v>121.21808476429352</v>
      </c>
      <c r="FF52" s="4">
        <f>100*(HAVERM!F283/HAVERM!F$249)</f>
        <v>108.76573880639151</v>
      </c>
      <c r="FG52">
        <v>100</v>
      </c>
      <c r="FV52" s="26">
        <v>43770</v>
      </c>
      <c r="FW52" s="3">
        <f>HAVERM!G246</f>
        <v>425151</v>
      </c>
      <c r="FY52" s="3">
        <f t="shared" ref="FY52:FY53" si="125">FW52-FW51</f>
        <v>2987</v>
      </c>
      <c r="GD52" s="4">
        <f>100*(DataQ!W202/DataQ!W$194)</f>
        <v>102.35205981636402</v>
      </c>
      <c r="GE52" s="4">
        <f>100*(DataQ!X202/DataQ!X$194)</f>
        <v>95.844695722179523</v>
      </c>
      <c r="GF52" s="4">
        <f>100*(DataQ!C202/DataQ!C$194)</f>
        <v>92.231506274800793</v>
      </c>
      <c r="GG52" s="3">
        <v>1000</v>
      </c>
      <c r="GH52">
        <v>100</v>
      </c>
      <c r="GK52" s="4">
        <f>100*(DataQ!Z182/AVERAGE(DataQ!$Z$203:$Z$206))</f>
        <v>98.188045568223131</v>
      </c>
      <c r="GL52" s="4">
        <f>100*(DataQ!C182/AVERAGE(DataQ!$C$203:$C$206))</f>
        <v>101.34102017796715</v>
      </c>
      <c r="GM52" s="4">
        <v>100</v>
      </c>
      <c r="GP52" s="4">
        <f>100*(DataQ!Z182/DataQ!$Z$194)</f>
        <v>97.821723421709464</v>
      </c>
      <c r="GQ52" s="4">
        <f>100*(DataQ!C182/DataQ!$C$194)</f>
        <v>97.823982966093496</v>
      </c>
      <c r="GR52" s="4">
        <v>100</v>
      </c>
      <c r="HZ52" s="22"/>
      <c r="IF52" s="3"/>
      <c r="IR52">
        <f>HAVERQ!AH123</f>
        <v>-17.3</v>
      </c>
      <c r="IS52" s="4">
        <f>100*(('IPNR ex BNFL'!I92/'IPNR ex BNFL'!I88)-1)</f>
        <v>-1.9072156595855039</v>
      </c>
      <c r="IT52">
        <v>0</v>
      </c>
    </row>
    <row r="53" spans="1:254" x14ac:dyDescent="0.25">
      <c r="A53">
        <v>2002</v>
      </c>
      <c r="B53" s="4">
        <f>100*((DataQ!C123/DataQ!C119)-1)</f>
        <v>-5.0785918859797441</v>
      </c>
      <c r="C53" s="4">
        <f t="shared" si="11"/>
        <v>18.851799333154489</v>
      </c>
      <c r="D53" s="4">
        <v>0</v>
      </c>
      <c r="F53">
        <v>2002</v>
      </c>
      <c r="G53" s="4">
        <f>100*((AVERAGE(DataQ!C120:C123)/AVERAGE(DataQ!C116:C119))-1)</f>
        <v>-2.0935297023034427</v>
      </c>
      <c r="H53" s="4">
        <f t="shared" si="39"/>
        <v>19.197984739197047</v>
      </c>
      <c r="I53" s="4">
        <v>0</v>
      </c>
      <c r="K53" s="4">
        <f t="shared" si="12"/>
        <v>18.851799333154489</v>
      </c>
      <c r="L53" s="4">
        <f>100*(HAVERQ!AF57/HAVERQ!AI57)</f>
        <v>18.851799333154489</v>
      </c>
      <c r="AV53" s="36">
        <v>44927</v>
      </c>
      <c r="AW53" s="21">
        <f>HAVERM!D284</f>
        <v>3.5</v>
      </c>
      <c r="AX53" s="21">
        <f>HAVERM!B284</f>
        <v>5.3</v>
      </c>
      <c r="AY53" s="21">
        <f>HAVERM!C284</f>
        <v>2.5499999999999998</v>
      </c>
      <c r="DZ53">
        <v>2012</v>
      </c>
      <c r="EA53" s="4">
        <f t="shared" si="121"/>
        <v>-0.52159693152244335</v>
      </c>
      <c r="EB53" s="4">
        <f t="shared" si="122"/>
        <v>1.0171013258747907</v>
      </c>
      <c r="EC53" s="4">
        <f t="shared" si="18"/>
        <v>16.057169855894159</v>
      </c>
      <c r="ED53" s="3">
        <v>0</v>
      </c>
      <c r="EF53" s="4">
        <f t="shared" si="123"/>
        <v>0.49550439435234744</v>
      </c>
      <c r="EG53" s="4">
        <f t="shared" si="124"/>
        <v>5.9831680095437732E-2</v>
      </c>
      <c r="EI53" s="22">
        <v>2011</v>
      </c>
      <c r="EJ53" s="3">
        <f>'IPNR ex BNFL'!I61</f>
        <v>42330</v>
      </c>
      <c r="EM53" s="4">
        <f t="shared" si="35"/>
        <v>-0.52159693152244335</v>
      </c>
      <c r="EN53" s="4">
        <f t="shared" si="36"/>
        <v>0.2055875774564091</v>
      </c>
      <c r="EO53" s="4">
        <f t="shared" si="37"/>
        <v>0.49550439435234744</v>
      </c>
      <c r="ER53" s="4">
        <f>(HAVERQ!W95*$EW$2)+(HAVERQ!X95*$EX$2)/($EW$2+$EX$2)</f>
        <v>2.0901305254985685</v>
      </c>
      <c r="ES53" s="4">
        <f>(HAVERQ!AB95*$EW$2)+(HAVERQ!AC95*$EY$2)+(HAVERQ!AD95*$EZ$2)+(HAVERQ!AE95*$FA$2)/($EW$2+$EY$2+$EZ$2+$FA$2)</f>
        <v>-3.3428235237032364</v>
      </c>
      <c r="ET53" s="21">
        <f>(HAVERQ!Y95*$EW$2)+(HAVERQ!Z95*$EX$2)/($EW$2+$EX$2)</f>
        <v>1.6008176039594351</v>
      </c>
      <c r="FC53" s="26">
        <v>44927</v>
      </c>
      <c r="FD53" s="4">
        <f>100*((HAVERM!E284+HAVERM!F284)/(HAVERM!E$249+HAVERM!F$249))</f>
        <v>110.81628560881909</v>
      </c>
      <c r="FE53" s="4">
        <f>100*(HAVERM!E284/HAVERM!E$249)</f>
        <v>119.59289986494308</v>
      </c>
      <c r="FF53" s="4">
        <f>100*(HAVERM!F284/HAVERM!F$249)</f>
        <v>106.00050815877138</v>
      </c>
      <c r="FG53">
        <v>100</v>
      </c>
      <c r="FV53" s="26">
        <v>43800</v>
      </c>
      <c r="FW53" s="3">
        <f>HAVERM!G247</f>
        <v>425654</v>
      </c>
      <c r="FX53" s="3">
        <f>FW53</f>
        <v>425654</v>
      </c>
      <c r="FY53" s="3">
        <f t="shared" si="125"/>
        <v>503</v>
      </c>
      <c r="FZ53" s="3">
        <f>AVERAGE(FY6:FY53)</f>
        <v>1714.6041666666667</v>
      </c>
      <c r="GA53" s="3">
        <f t="shared" ref="GA53:GA79" si="126">FW53-FX53</f>
        <v>0</v>
      </c>
      <c r="GC53" s="22">
        <v>2022</v>
      </c>
      <c r="GD53" s="4">
        <f>100*(DataQ!W203/DataQ!W$194)</f>
        <v>102.81262146570089</v>
      </c>
      <c r="GE53" s="4">
        <f>100*(DataQ!X203/DataQ!X$194)</f>
        <v>97.761627694221829</v>
      </c>
      <c r="GF53" s="4">
        <f>100*(DataQ!C203/DataQ!C$194)</f>
        <v>95.014033616156397</v>
      </c>
      <c r="GG53" s="3">
        <v>1000</v>
      </c>
      <c r="GH53">
        <v>100</v>
      </c>
      <c r="GJ53" s="22">
        <v>2017</v>
      </c>
      <c r="GK53" s="4">
        <f>100*(DataQ!Z183/AVERAGE(DataQ!$Z$203:$Z$206))</f>
        <v>100.46558074957186</v>
      </c>
      <c r="GL53" s="4">
        <f>100*(DataQ!C183/AVERAGE(DataQ!$C$203:$C$206))</f>
        <v>103.67213936583532</v>
      </c>
      <c r="GM53" s="4">
        <v>100</v>
      </c>
      <c r="GO53" s="22">
        <v>2017</v>
      </c>
      <c r="GP53" s="4">
        <f>100*(DataQ!Z183/DataQ!$Z$194)</f>
        <v>100.09076152409544</v>
      </c>
      <c r="GQ53" s="4">
        <f>100*(DataQ!C183/DataQ!$C$194)</f>
        <v>100.07420072910283</v>
      </c>
      <c r="GR53" s="4">
        <v>100</v>
      </c>
      <c r="HZ53" s="22"/>
      <c r="IF53" s="3"/>
      <c r="IQ53">
        <v>2019</v>
      </c>
      <c r="IR53">
        <f>HAVERQ!AH124</f>
        <v>-14.2</v>
      </c>
      <c r="IS53" s="4">
        <f>100*(('IPNR ex BNFL'!I93/'IPNR ex BNFL'!I89)-1)</f>
        <v>-0.22985882429656934</v>
      </c>
      <c r="IT53">
        <v>0</v>
      </c>
    </row>
    <row r="54" spans="1:254" x14ac:dyDescent="0.25">
      <c r="B54" s="4">
        <f>100*((DataQ!C124/DataQ!C120)-1)</f>
        <v>-6.866031916320237</v>
      </c>
      <c r="C54" s="4">
        <f t="shared" si="11"/>
        <v>17.954961587103838</v>
      </c>
      <c r="D54" s="4">
        <v>0</v>
      </c>
      <c r="G54" s="4">
        <f>100*((AVERAGE(DataQ!C121:C124)/AVERAGE(DataQ!C117:C120))-1)</f>
        <v>-3.0499499312615641</v>
      </c>
      <c r="H54" s="4">
        <f t="shared" si="39"/>
        <v>18.694187675985969</v>
      </c>
      <c r="I54" s="4">
        <v>0</v>
      </c>
      <c r="K54" s="4">
        <f t="shared" si="12"/>
        <v>17.954961587103838</v>
      </c>
      <c r="L54" s="4">
        <f>100*(HAVERQ!AF58/HAVERQ!AI58)</f>
        <v>17.954961587103838</v>
      </c>
      <c r="AV54" s="36">
        <v>44958</v>
      </c>
      <c r="AW54" s="21">
        <f>HAVERM!D285</f>
        <v>3.9750000000000001</v>
      </c>
      <c r="AX54" s="21">
        <f>HAVERM!B285</f>
        <v>5.65</v>
      </c>
      <c r="AY54" s="21">
        <f>HAVERM!C285</f>
        <v>2.65</v>
      </c>
      <c r="EA54" s="4">
        <f t="shared" si="121"/>
        <v>-0.4894263099707496</v>
      </c>
      <c r="EB54" s="4">
        <f t="shared" si="122"/>
        <v>0.80918486911552656</v>
      </c>
      <c r="EC54" s="4">
        <f t="shared" si="18"/>
        <v>5.078002771445167</v>
      </c>
      <c r="ED54" s="3">
        <v>0</v>
      </c>
      <c r="EF54" s="4">
        <f t="shared" si="123"/>
        <v>0.31975855914477691</v>
      </c>
      <c r="EG54" s="4">
        <f t="shared" si="124"/>
        <v>-4.8596932707335595E-2</v>
      </c>
      <c r="EJ54" s="3">
        <f>'IPNR ex BNFL'!I62</f>
        <v>44742</v>
      </c>
      <c r="EM54" s="4">
        <f t="shared" si="35"/>
        <v>-0.4894263099707496</v>
      </c>
      <c r="EN54" s="4">
        <f t="shared" si="36"/>
        <v>0.31975855914477691</v>
      </c>
      <c r="EO54" s="4">
        <f t="shared" si="37"/>
        <v>2.3876952703965899E-2</v>
      </c>
      <c r="ER54" s="4">
        <f>(HAVERQ!W96*$EW$2)+(HAVERQ!X96*$EX$2)/($EW$2+$EX$2)</f>
        <v>2.4671987966422435</v>
      </c>
      <c r="ES54" s="4">
        <f>(HAVERQ!AB96*$EW$2)+(HAVERQ!AC96*$EY$2)+(HAVERQ!AD96*$EZ$2)+(HAVERQ!AE96*$FA$2)/($EW$2+$EY$2+$EZ$2+$FA$2)</f>
        <v>-1.7362317434130725</v>
      </c>
      <c r="ET54" s="21">
        <f>(HAVERQ!Y96*$EW$2)+(HAVERQ!Z96*$EX$2)/($EW$2+$EX$2)</f>
        <v>0.86010642599511533</v>
      </c>
      <c r="FC54" s="26">
        <v>44958</v>
      </c>
      <c r="FD54" s="4">
        <f>100*((HAVERM!E285+HAVERM!F285)/(HAVERM!E$249+HAVERM!F$249))</f>
        <v>110.8285900479873</v>
      </c>
      <c r="FE54" s="4">
        <f>100*(HAVERM!E285/HAVERM!E$249)</f>
        <v>119.32857418483505</v>
      </c>
      <c r="FF54" s="4">
        <f>100*(HAVERM!F285/HAVERM!F$249)</f>
        <v>106.16460109536445</v>
      </c>
      <c r="FG54">
        <v>100</v>
      </c>
      <c r="FV54" s="26">
        <v>43831</v>
      </c>
      <c r="FW54" s="3">
        <f>HAVERM!G248</f>
        <v>426743</v>
      </c>
      <c r="FX54" s="3">
        <f t="shared" ref="FX54:FX85" si="127">FX53+$FZ$53</f>
        <v>427368.60416666669</v>
      </c>
      <c r="GA54" s="3">
        <f t="shared" si="126"/>
        <v>-625.60416666668607</v>
      </c>
      <c r="GD54" s="4">
        <f>100*(DataQ!W204/DataQ!W$194)</f>
        <v>103.27525962411555</v>
      </c>
      <c r="GE54" s="4">
        <f>100*(DataQ!X204/DataQ!X$194)</f>
        <v>99.716855124967978</v>
      </c>
      <c r="GF54" s="4">
        <f>100*(DataQ!C204/DataQ!C$194)</f>
        <v>97.319095396328677</v>
      </c>
      <c r="GG54" s="3">
        <v>1000</v>
      </c>
      <c r="GH54">
        <v>100</v>
      </c>
      <c r="GK54" s="4">
        <f>100*(DataQ!Z184/AVERAGE(DataQ!$Z$203:$Z$206))</f>
        <v>99.913716455629668</v>
      </c>
      <c r="GL54" s="4">
        <f>100*(DataQ!C184/AVERAGE(DataQ!$C$203:$C$206))</f>
        <v>103.1541128796424</v>
      </c>
      <c r="GM54" s="4">
        <v>100</v>
      </c>
      <c r="GP54" s="4">
        <f>100*(DataQ!Z184/DataQ!$Z$194)</f>
        <v>99.540956137748068</v>
      </c>
      <c r="GQ54" s="4">
        <f>100*(DataQ!C184/DataQ!$C$194)</f>
        <v>99.574152337322957</v>
      </c>
      <c r="GR54" s="4">
        <v>100</v>
      </c>
      <c r="HZ54" s="22"/>
      <c r="IF54" s="3"/>
      <c r="IR54">
        <f>HAVERQ!AH125</f>
        <v>-9.6</v>
      </c>
      <c r="IS54" s="4">
        <f>100*(('IPNR ex BNFL'!I94/'IPNR ex BNFL'!I90)-1)</f>
        <v>3.5400882524352584</v>
      </c>
      <c r="IT54">
        <v>0</v>
      </c>
    </row>
    <row r="55" spans="1:254" x14ac:dyDescent="0.25">
      <c r="B55" s="4">
        <f>100*((DataQ!C125/DataQ!C121)-1)</f>
        <v>-1.743328416253187</v>
      </c>
      <c r="C55" s="4">
        <f t="shared" si="11"/>
        <v>17.508691471262665</v>
      </c>
      <c r="D55" s="4">
        <v>0</v>
      </c>
      <c r="G55" s="4">
        <f>100*((AVERAGE(DataQ!C122:C125)/AVERAGE(DataQ!C118:C121))-1)</f>
        <v>-4.4004079848462769</v>
      </c>
      <c r="H55" s="4">
        <f t="shared" si="39"/>
        <v>18.048177386912357</v>
      </c>
      <c r="I55" s="4">
        <v>0</v>
      </c>
      <c r="K55" s="4">
        <f t="shared" si="12"/>
        <v>17.508691471262665</v>
      </c>
      <c r="L55" s="4">
        <f>100*(HAVERQ!AF59/HAVERQ!AI59)</f>
        <v>17.508691471262665</v>
      </c>
      <c r="AV55" s="36">
        <v>44986</v>
      </c>
      <c r="AW55" s="21">
        <f>HAVERM!D286</f>
        <v>4.0760869565217392</v>
      </c>
      <c r="AX55" s="21">
        <f>HAVERM!B286</f>
        <v>5.79</v>
      </c>
      <c r="AY55" s="21">
        <f>HAVERM!C286</f>
        <v>2.75</v>
      </c>
      <c r="EA55" s="4">
        <f t="shared" si="121"/>
        <v>-0.3353673570886222</v>
      </c>
      <c r="EB55" s="4">
        <f t="shared" si="122"/>
        <v>0.22147540659644915</v>
      </c>
      <c r="EC55" s="4">
        <f t="shared" si="18"/>
        <v>2.2307326149984874</v>
      </c>
      <c r="ED55" s="3">
        <v>0</v>
      </c>
      <c r="EF55" s="4">
        <f t="shared" si="123"/>
        <v>-0.11389195049217303</v>
      </c>
      <c r="EG55" s="4">
        <f t="shared" si="124"/>
        <v>-0.20546636405810179</v>
      </c>
      <c r="EJ55" s="3">
        <f>'IPNR ex BNFL'!I63</f>
        <v>46218</v>
      </c>
      <c r="EL55">
        <v>2012</v>
      </c>
      <c r="EM55" s="4">
        <f t="shared" si="35"/>
        <v>-0.11389195049217303</v>
      </c>
      <c r="EN55" s="4">
        <f t="shared" si="36"/>
        <v>-0.3353673570886222</v>
      </c>
      <c r="EO55" s="4">
        <f t="shared" si="37"/>
        <v>-0.16713978459351009</v>
      </c>
      <c r="EQ55">
        <v>2012</v>
      </c>
      <c r="ER55" s="4">
        <f>(HAVERQ!W97*$EW$2)+(HAVERQ!X97*$EX$2)/($EW$2+$EX$2)</f>
        <v>6.868795186568974</v>
      </c>
      <c r="ES55" s="4">
        <f>(HAVERQ!AB97*$EW$2)+(HAVERQ!AC97*$EY$2)+(HAVERQ!AD97*$EZ$2)+(HAVERQ!AE97*$FA$2)/($EW$2+$EY$2+$EZ$2+$FA$2)</f>
        <v>-10.955035825771912</v>
      </c>
      <c r="ET55" s="21">
        <f>(HAVERQ!Y97*$EW$2)+(HAVERQ!Z97*$EX$2)/($EW$2+$EX$2)</f>
        <v>0.5601064259951154</v>
      </c>
      <c r="FC55" s="26">
        <v>44986</v>
      </c>
      <c r="FD55" s="4">
        <f>100*((HAVERM!E286+HAVERM!F286)/(HAVERM!E$249+HAVERM!F$249))</f>
        <v>111.77010750434073</v>
      </c>
      <c r="FE55" s="4">
        <f>100*(HAVERM!E286/HAVERM!E$249)</f>
        <v>118.81535790082964</v>
      </c>
      <c r="FF55" s="4">
        <f>100*(HAVERM!F286/HAVERM!F$249)</f>
        <v>107.90433911128676</v>
      </c>
      <c r="FG55">
        <v>100</v>
      </c>
      <c r="FV55" s="26">
        <v>43862</v>
      </c>
      <c r="FW55" s="3">
        <f>HAVERM!G249</f>
        <v>430867</v>
      </c>
      <c r="FX55" s="3">
        <f t="shared" si="127"/>
        <v>429083.20833333337</v>
      </c>
      <c r="GA55" s="3">
        <f t="shared" si="126"/>
        <v>1783.7916666666279</v>
      </c>
      <c r="GD55" s="4">
        <f>100*(DataQ!W205/DataQ!W$194)</f>
        <v>103.74005493273724</v>
      </c>
      <c r="GE55" s="4">
        <f>100*(DataQ!X205/DataQ!X$194)</f>
        <v>101.7111830790061</v>
      </c>
      <c r="GF55" s="4">
        <f>100*(DataQ!C205/DataQ!C$194)</f>
        <v>98.214343323547439</v>
      </c>
      <c r="GG55" s="3">
        <v>1000</v>
      </c>
      <c r="GH55">
        <v>100</v>
      </c>
      <c r="GK55" s="4">
        <f>100*(DataQ!Z185/AVERAGE(DataQ!$Z$203:$Z$206))</f>
        <v>98.193301418641624</v>
      </c>
      <c r="GL55" s="4">
        <f>100*(DataQ!C185/AVERAGE(DataQ!$C$203:$C$206))</f>
        <v>101.40117809249278</v>
      </c>
      <c r="GM55" s="4">
        <v>100</v>
      </c>
      <c r="GP55" s="4">
        <f>100*(DataQ!Z185/DataQ!$Z$194)</f>
        <v>97.826959663484189</v>
      </c>
      <c r="GQ55" s="4">
        <f>100*(DataQ!C185/DataQ!$C$194)</f>
        <v>97.882053101913087</v>
      </c>
      <c r="GR55" s="4">
        <v>100</v>
      </c>
      <c r="HZ55" s="22"/>
      <c r="IF55" s="3"/>
      <c r="IR55">
        <f>HAVERQ!AH126</f>
        <v>-8.1</v>
      </c>
      <c r="IS55" s="4">
        <f>100*(('IPNR ex BNFL'!I95/'IPNR ex BNFL'!I91)-1)</f>
        <v>3.0225401314147859</v>
      </c>
      <c r="IT55">
        <v>0</v>
      </c>
    </row>
    <row r="56" spans="1:254" x14ac:dyDescent="0.25">
      <c r="B56" s="4">
        <f>100*((DataQ!C126/DataQ!C122)-1)</f>
        <v>6.6654223922730571</v>
      </c>
      <c r="C56" s="4">
        <f t="shared" si="11"/>
        <v>16.811202729599088</v>
      </c>
      <c r="D56" s="4">
        <v>0</v>
      </c>
      <c r="G56" s="4">
        <f>100*((AVERAGE(DataQ!C123:C126)/AVERAGE(DataQ!C119:C122))-1)</f>
        <v>-1.83768181560926</v>
      </c>
      <c r="H56" s="4">
        <f t="shared" si="39"/>
        <v>17.78166378028002</v>
      </c>
      <c r="I56" s="4">
        <v>0</v>
      </c>
      <c r="K56" s="4">
        <f t="shared" si="12"/>
        <v>16.811202729599088</v>
      </c>
      <c r="L56" s="4">
        <f>100*(HAVERQ!AF60/HAVERQ!AI60)</f>
        <v>16.811202729599088</v>
      </c>
      <c r="AV56" s="36">
        <v>45017</v>
      </c>
      <c r="AW56" s="21">
        <f>HAVERM!D287</f>
        <v>4.25</v>
      </c>
      <c r="AX56" s="21">
        <f>HAVERM!B287</f>
        <v>5.91</v>
      </c>
      <c r="AY56" s="21">
        <f>HAVERM!C287</f>
        <v>2.76</v>
      </c>
      <c r="EA56" s="4">
        <f t="shared" si="121"/>
        <v>-0.19361266329888596</v>
      </c>
      <c r="EB56" s="4">
        <f t="shared" si="122"/>
        <v>0.97692483874247604</v>
      </c>
      <c r="EC56" s="4">
        <f t="shared" si="18"/>
        <v>5.5221328604901476</v>
      </c>
      <c r="ED56" s="3">
        <v>0</v>
      </c>
      <c r="EF56" s="4">
        <f t="shared" si="123"/>
        <v>0.78331217544359011</v>
      </c>
      <c r="EG56" s="4">
        <f t="shared" si="124"/>
        <v>0.20122019977163416</v>
      </c>
      <c r="EJ56" s="3">
        <f>'IPNR ex BNFL'!I64</f>
        <v>47373</v>
      </c>
      <c r="EM56" s="4">
        <f t="shared" si="35"/>
        <v>-0.19361266329888596</v>
      </c>
      <c r="EN56" s="4">
        <f t="shared" si="36"/>
        <v>0.78331217544359011</v>
      </c>
      <c r="EO56" s="4">
        <f t="shared" si="37"/>
        <v>1.3961087170198314E-2</v>
      </c>
      <c r="ER56" s="4">
        <f>(HAVERQ!W98*$EW$2)+(HAVERQ!X98*$EX$2)/($EW$2+$EX$2)</f>
        <v>5.934397593284487</v>
      </c>
      <c r="ES56" s="4">
        <f>(HAVERQ!AB98*$EW$2)+(HAVERQ!AC98*$EY$2)+(HAVERQ!AD98*$EZ$2)+(HAVERQ!AE98*$FA$2)/($EW$2+$EY$2+$EZ$2+$FA$2)</f>
        <v>4.7868043087971275</v>
      </c>
      <c r="ET56" s="21">
        <f>(HAVERQ!Y98*$EW$2)+(HAVERQ!Z98*$EX$2)/($EW$2+$EX$2)</f>
        <v>0.84453313277370723</v>
      </c>
      <c r="FC56" s="26">
        <v>45017</v>
      </c>
      <c r="FD56" s="4">
        <f>100*((HAVERM!E287+HAVERM!F287)/(HAVERM!E$249+HAVERM!F$249))</f>
        <v>111.12412444800918</v>
      </c>
      <c r="FE56" s="4">
        <f>100*(HAVERM!E287/HAVERM!E$249)</f>
        <v>117.85902630394239</v>
      </c>
      <c r="FF56" s="4">
        <f>100*(HAVERM!F287/HAVERM!F$249)</f>
        <v>107.4286460391847</v>
      </c>
      <c r="FG56">
        <v>100</v>
      </c>
      <c r="FV56" s="26">
        <v>43891</v>
      </c>
      <c r="FW56" s="3">
        <f>HAVERM!G250</f>
        <v>455382</v>
      </c>
      <c r="FX56" s="3">
        <f t="shared" si="127"/>
        <v>430797.81250000006</v>
      </c>
      <c r="GA56" s="3">
        <f t="shared" si="126"/>
        <v>24584.187499999942</v>
      </c>
      <c r="GD56" s="4">
        <f>100*(DataQ!W206/DataQ!W$194)</f>
        <v>104.20688642987204</v>
      </c>
      <c r="GE56" s="4">
        <f>100*(DataQ!X206/DataQ!X$194)</f>
        <v>103.74539832400191</v>
      </c>
      <c r="GF56" s="4">
        <f>100*(DataQ!C206/DataQ!C$194)</f>
        <v>95.570539084427537</v>
      </c>
      <c r="GG56" s="3">
        <v>1000</v>
      </c>
      <c r="GH56">
        <v>100</v>
      </c>
      <c r="GK56" s="4">
        <f>100*(DataQ!Z186/AVERAGE(DataQ!$Z$203:$Z$206))</f>
        <v>99.899700854513682</v>
      </c>
      <c r="GL56" s="4">
        <f>100*(DataQ!C186/AVERAGE(DataQ!$C$203:$C$206))</f>
        <v>103.12570497556084</v>
      </c>
      <c r="GM56" s="4">
        <v>100</v>
      </c>
      <c r="GP56" s="4">
        <f>100*(DataQ!Z186/DataQ!$Z$194)</f>
        <v>99.526992826348774</v>
      </c>
      <c r="GQ56" s="4">
        <f>100*(DataQ!C186/DataQ!$C$194)</f>
        <v>99.546730328741489</v>
      </c>
      <c r="GR56" s="4">
        <v>100</v>
      </c>
      <c r="HZ56" s="22"/>
      <c r="IF56" s="3"/>
      <c r="IR56">
        <f>HAVERQ!AH127</f>
        <v>-18.5</v>
      </c>
      <c r="IS56" s="4">
        <f>100*(('IPNR ex BNFL'!I96/'IPNR ex BNFL'!I92)-1)</f>
        <v>2.4084842077441548</v>
      </c>
      <c r="IT56">
        <v>0</v>
      </c>
    </row>
    <row r="57" spans="1:254" x14ac:dyDescent="0.25">
      <c r="A57">
        <v>2003</v>
      </c>
      <c r="B57" s="4">
        <f>100*((DataQ!C127/DataQ!C123)-1)</f>
        <v>8.5101328074885352</v>
      </c>
      <c r="C57" s="4">
        <f t="shared" si="11"/>
        <v>16.524469198431984</v>
      </c>
      <c r="D57" s="4">
        <v>0</v>
      </c>
      <c r="F57">
        <v>2003</v>
      </c>
      <c r="G57" s="4">
        <f>100*((AVERAGE(DataQ!C124:C127)/AVERAGE(DataQ!C120:C123))-1)</f>
        <v>1.4830484183492088</v>
      </c>
      <c r="H57" s="4">
        <f t="shared" si="39"/>
        <v>17.199831246599395</v>
      </c>
      <c r="I57" s="4">
        <v>0</v>
      </c>
      <c r="K57" s="4">
        <f t="shared" si="12"/>
        <v>16.524469198431984</v>
      </c>
      <c r="L57" s="4">
        <f>100*(HAVERQ!AF61/HAVERQ!AI61)</f>
        <v>16.524469198431984</v>
      </c>
      <c r="AV57" s="36">
        <v>45047</v>
      </c>
      <c r="AW57" s="21">
        <f>HAVERM!D288</f>
        <v>4.4130434782608692</v>
      </c>
      <c r="AX57" s="21">
        <f>HAVERM!B288</f>
        <v>6.04</v>
      </c>
      <c r="AY57" s="21">
        <f>HAVERM!C288</f>
        <v>2.83</v>
      </c>
      <c r="DZ57">
        <v>2013</v>
      </c>
      <c r="EA57" s="4">
        <f t="shared" si="121"/>
        <v>-0.39082176108012834</v>
      </c>
      <c r="EB57" s="4">
        <f t="shared" si="122"/>
        <v>0.16428267694533846</v>
      </c>
      <c r="EC57" s="4">
        <f t="shared" si="18"/>
        <v>-1.1968978362204119</v>
      </c>
      <c r="ED57" s="3">
        <v>0</v>
      </c>
      <c r="EF57" s="4">
        <f t="shared" si="123"/>
        <v>-0.22653908413478988</v>
      </c>
      <c r="EG57" s="4">
        <f t="shared" si="124"/>
        <v>-0.28730487214057326</v>
      </c>
      <c r="EI57" s="22">
        <v>2012</v>
      </c>
      <c r="EJ57" s="3">
        <f>'IPNR ex BNFL'!I65</f>
        <v>49127</v>
      </c>
      <c r="EM57" s="4">
        <f t="shared" si="35"/>
        <v>-0.39082176108012834</v>
      </c>
      <c r="EN57" s="4">
        <f t="shared" si="36"/>
        <v>-0.22653908413478988</v>
      </c>
      <c r="EO57" s="4">
        <f t="shared" si="37"/>
        <v>-0.24455377120680155</v>
      </c>
      <c r="ER57" s="4">
        <f>(HAVERQ!W99*$EW$2)+(HAVERQ!X99*$EX$2)/($EW$2+$EX$2)</f>
        <v>3.622931728856325</v>
      </c>
      <c r="ES57" s="4">
        <f>(HAVERQ!AB99*$EW$2)+(HAVERQ!AC99*$EY$2)+(HAVERQ!AD99*$EZ$2)+(HAVERQ!AE99*$FA$2)/($EW$2+$EY$2+$EZ$2+$FA$2)</f>
        <v>-9.423625600465817</v>
      </c>
      <c r="ET57" s="21">
        <f>(HAVERQ!Y99*$EW$2)+(HAVERQ!Z99*$EX$2)/($EW$2+$EX$2)</f>
        <v>0.43852443107380273</v>
      </c>
      <c r="FC57" s="26">
        <v>45047</v>
      </c>
      <c r="FD57" s="4">
        <f>100*((HAVERM!E288+HAVERM!F288)/(HAVERM!E$249+HAVERM!F$249))</f>
        <v>111.24329521995324</v>
      </c>
      <c r="FE57" s="4">
        <f>100*(HAVERM!E288/HAVERM!E$249)</f>
        <v>117.29886166312946</v>
      </c>
      <c r="FF57" s="4">
        <f>100*(HAVERM!F288/HAVERM!F$249)</f>
        <v>107.92057196092824</v>
      </c>
      <c r="FG57">
        <v>100</v>
      </c>
      <c r="FV57" s="26">
        <v>43922</v>
      </c>
      <c r="FW57" s="3">
        <f>HAVERM!G251</f>
        <v>476368</v>
      </c>
      <c r="FX57" s="3">
        <f t="shared" si="127"/>
        <v>432512.41666666674</v>
      </c>
      <c r="GA57" s="3">
        <f t="shared" si="126"/>
        <v>43855.583333333256</v>
      </c>
      <c r="GC57" s="22">
        <v>2023</v>
      </c>
      <c r="GD57" s="4">
        <f>100*(DataQ!W207/DataQ!W$194)</f>
        <v>104.67581459636695</v>
      </c>
      <c r="GE57" s="4">
        <f>100*(DataQ!X207/DataQ!X$194)</f>
        <v>105.82032422146594</v>
      </c>
      <c r="GF57" s="4">
        <f>100*(DataQ!C207/DataQ!C$194)</f>
        <v>100.7871729522212</v>
      </c>
      <c r="GG57" s="3">
        <v>1000</v>
      </c>
      <c r="GH57">
        <v>100</v>
      </c>
      <c r="GJ57" s="22">
        <v>2018</v>
      </c>
      <c r="GK57" s="4">
        <f>100*(DataQ!Z187/AVERAGE(DataQ!$Z$203:$Z$206))</f>
        <v>99.316301458060508</v>
      </c>
      <c r="GL57" s="4">
        <f>100*(DataQ!C187/AVERAGE(DataQ!$C$203:$C$206))</f>
        <v>102.50574424531061</v>
      </c>
      <c r="GM57" s="4">
        <v>100</v>
      </c>
      <c r="GO57" s="22">
        <v>2018</v>
      </c>
      <c r="GP57" s="4">
        <f>100*(DataQ!Z187/DataQ!$Z$194)</f>
        <v>98.945769989352968</v>
      </c>
      <c r="GQ57" s="4">
        <f>100*(DataQ!C187/DataQ!$C$194)</f>
        <v>98.948285317933994</v>
      </c>
      <c r="GR57" s="4">
        <v>100</v>
      </c>
      <c r="HZ57" s="22"/>
      <c r="IF57" s="3"/>
      <c r="IQ57">
        <v>2020</v>
      </c>
      <c r="IR57">
        <f>HAVERQ!AH128</f>
        <v>-27.4</v>
      </c>
      <c r="IS57" s="4">
        <f>100*(('IPNR ex BNFL'!I97/'IPNR ex BNFL'!I93)-1)</f>
        <v>-0.98364405810362765</v>
      </c>
      <c r="IT57">
        <v>0</v>
      </c>
    </row>
    <row r="58" spans="1:254" x14ac:dyDescent="0.25">
      <c r="B58" s="4">
        <f>100*((DataQ!C128/DataQ!C124)-1)</f>
        <v>-0.8039356851451851</v>
      </c>
      <c r="C58" s="4">
        <f t="shared" si="11"/>
        <v>15.309879320924525</v>
      </c>
      <c r="D58" s="4">
        <v>0</v>
      </c>
      <c r="G58" s="4">
        <f>100*((AVERAGE(DataQ!C125:C128)/AVERAGE(DataQ!C121:C124))-1)</f>
        <v>3.1068006489035183</v>
      </c>
      <c r="H58" s="4">
        <f t="shared" si="39"/>
        <v>16.538560680054566</v>
      </c>
      <c r="I58" s="4">
        <v>0</v>
      </c>
      <c r="K58" s="4">
        <f t="shared" si="12"/>
        <v>15.309879320924525</v>
      </c>
      <c r="L58" s="4">
        <f>100*(HAVERQ!AF62/HAVERQ!AI62)</f>
        <v>15.309879320924525</v>
      </c>
      <c r="AV58" s="36">
        <v>45078</v>
      </c>
      <c r="AW58" s="21">
        <f>HAVERM!D289</f>
        <v>4.6590909090909092</v>
      </c>
      <c r="AX58" s="21">
        <f>HAVERM!B289</f>
        <v>6.32</v>
      </c>
      <c r="AY58" s="21">
        <f>HAVERM!C289</f>
        <v>2.93</v>
      </c>
      <c r="EA58" s="4">
        <f t="shared" si="121"/>
        <v>-0.21532676140794146</v>
      </c>
      <c r="EB58" s="4">
        <f t="shared" si="122"/>
        <v>0.4448606967620814</v>
      </c>
      <c r="EC58" s="4">
        <f t="shared" si="18"/>
        <v>5.3090568766750224</v>
      </c>
      <c r="ED58" s="3">
        <v>0</v>
      </c>
      <c r="EF58" s="4">
        <f t="shared" si="123"/>
        <v>0.22953393535413996</v>
      </c>
      <c r="EG58" s="4">
        <f t="shared" si="124"/>
        <v>-5.9801829784229155E-2</v>
      </c>
      <c r="EJ58" s="3">
        <f>'IPNR ex BNFL'!I66</f>
        <v>47014</v>
      </c>
      <c r="EM58" s="4">
        <f t="shared" si="35"/>
        <v>-0.19361266329888596</v>
      </c>
      <c r="EN58" s="4">
        <f t="shared" si="36"/>
        <v>0.22953393535413996</v>
      </c>
      <c r="EO58" s="4">
        <f t="shared" si="37"/>
        <v>-0.21532676140794146</v>
      </c>
      <c r="ER58" s="4">
        <f>(HAVERQ!W100*$EW$2)+(HAVERQ!X100*$EX$2)/($EW$2+$EX$2)</f>
        <v>5.934397593284487</v>
      </c>
      <c r="ES58" s="4">
        <f>(HAVERQ!AB100*$EW$2)+(HAVERQ!AC100*$EY$2)+(HAVERQ!AD100*$EZ$2)+(HAVERQ!AE100*$FA$2)/($EW$2+$EY$2+$EZ$2+$FA$2)</f>
        <v>-3.0058550471476866</v>
      </c>
      <c r="ET58" s="21">
        <f>(HAVERQ!Y100*$EW$2)+(HAVERQ!Z100*$EX$2)/($EW$2+$EX$2)</f>
        <v>0.4844267067785919</v>
      </c>
      <c r="FC58" s="26">
        <v>45078</v>
      </c>
      <c r="FD58" s="4">
        <f>100*((HAVERM!E289+HAVERM!F289)/(HAVERM!E$249+HAVERM!F$249))</f>
        <v>109.89755415092534</v>
      </c>
      <c r="FE58" s="4">
        <f>100*(HAVERM!E289/HAVERM!E$249)</f>
        <v>116.45700688147147</v>
      </c>
      <c r="FF58" s="4">
        <f>100*(HAVERM!F289/HAVERM!F$249)</f>
        <v>106.29834566088871</v>
      </c>
      <c r="FG58">
        <v>100</v>
      </c>
      <c r="FV58" s="26">
        <v>43952</v>
      </c>
      <c r="FW58" s="3">
        <f>HAVERM!G252</f>
        <v>503178</v>
      </c>
      <c r="FX58" s="3">
        <f t="shared" si="127"/>
        <v>434227.02083333343</v>
      </c>
      <c r="GA58" s="3">
        <f t="shared" si="126"/>
        <v>68950.97916666657</v>
      </c>
      <c r="GD58" s="4">
        <f>100*(DataQ!W208/DataQ!W$194)</f>
        <v>105.14681927193963</v>
      </c>
      <c r="GE58" s="4">
        <f>100*(DataQ!X208/DataQ!X$194)</f>
        <v>103.17480879716032</v>
      </c>
      <c r="GF58" s="4">
        <f>100*(DataQ!C208/DataQ!C$194)</f>
        <v>100.25486337387488</v>
      </c>
      <c r="GG58" s="4"/>
      <c r="GH58">
        <v>100</v>
      </c>
      <c r="GK58" s="4">
        <f>100*(DataQ!Z188/AVERAGE(DataQ!$Z$203:$Z$206))</f>
        <v>97.266519794846644</v>
      </c>
      <c r="GL58" s="4">
        <f>100*(DataQ!C188/AVERAGE(DataQ!$C$203:$C$206))</f>
        <v>100.35509880101934</v>
      </c>
      <c r="GM58" s="4">
        <v>100</v>
      </c>
      <c r="GP58" s="4">
        <f>100*(DataQ!Z188/DataQ!$Z$194)</f>
        <v>96.903635697205587</v>
      </c>
      <c r="GQ58" s="4">
        <f>100*(DataQ!C188/DataQ!$C$194)</f>
        <v>96.872277962383464</v>
      </c>
      <c r="GR58" s="4">
        <v>100</v>
      </c>
      <c r="HZ58" s="22"/>
      <c r="IF58" s="3"/>
      <c r="IR58">
        <f>HAVERQ!AH129</f>
        <v>-52.3</v>
      </c>
      <c r="IS58" s="4">
        <f>100*(('IPNR ex BNFL'!I98/'IPNR ex BNFL'!I94)-1)</f>
        <v>-21.276595744680847</v>
      </c>
      <c r="IT58">
        <v>0</v>
      </c>
    </row>
    <row r="59" spans="1:254" x14ac:dyDescent="0.25">
      <c r="B59" s="4">
        <f>100*((DataQ!C129/DataQ!C125)-1)</f>
        <v>-3.6258586961466777</v>
      </c>
      <c r="C59" s="4">
        <f t="shared" si="11"/>
        <v>15.234706263822146</v>
      </c>
      <c r="D59" s="4">
        <v>0</v>
      </c>
      <c r="G59" s="4">
        <f>100*((AVERAGE(DataQ!C126:C129)/AVERAGE(DataQ!C122:C125))-1)</f>
        <v>2.6438277467084159</v>
      </c>
      <c r="H59" s="4">
        <f t="shared" si="39"/>
        <v>15.970064378194436</v>
      </c>
      <c r="I59" s="4">
        <v>0</v>
      </c>
      <c r="K59" s="4">
        <f t="shared" si="12"/>
        <v>15.234706263822146</v>
      </c>
      <c r="L59" s="4">
        <f>100*(HAVERQ!AF63/HAVERQ!AI63)</f>
        <v>15.234706263822146</v>
      </c>
      <c r="AV59" s="36">
        <v>45108</v>
      </c>
      <c r="AW59" s="21">
        <f>HAVERM!D290</f>
        <v>5</v>
      </c>
      <c r="AX59" s="21">
        <f>HAVERM!B290</f>
        <v>6.51</v>
      </c>
      <c r="AY59" s="21">
        <f>HAVERM!C290</f>
        <v>2.98</v>
      </c>
      <c r="EA59" s="4">
        <f t="shared" si="121"/>
        <v>-7.4761115831267461E-2</v>
      </c>
      <c r="EB59" s="4">
        <f t="shared" si="122"/>
        <v>0.60574617767644301</v>
      </c>
      <c r="EC59" s="4">
        <f t="shared" si="18"/>
        <v>8.4530889542635776</v>
      </c>
      <c r="ED59" s="3">
        <v>0</v>
      </c>
      <c r="EF59" s="4">
        <f t="shared" si="123"/>
        <v>0.53098506184517558</v>
      </c>
      <c r="EG59" s="4">
        <f t="shared" si="124"/>
        <v>0.19686518364619318</v>
      </c>
      <c r="EJ59" s="3">
        <f>'IPNR ex BNFL'!I67</f>
        <v>47249</v>
      </c>
      <c r="EL59">
        <v>2013</v>
      </c>
      <c r="EM59" s="4">
        <f t="shared" si="35"/>
        <v>0.13437160492467132</v>
      </c>
      <c r="EN59" s="4">
        <f t="shared" si="36"/>
        <v>0.53098506184517558</v>
      </c>
      <c r="EO59" s="4">
        <f t="shared" si="37"/>
        <v>-7.4761115831267461E-2</v>
      </c>
      <c r="EQ59">
        <v>2013</v>
      </c>
      <c r="ER59" s="4">
        <f>(HAVERQ!W101*$EW$2)+(HAVERQ!X101*$EX$2)/($EW$2+$EX$2)</f>
        <v>9.7786646610704047</v>
      </c>
      <c r="ES59" s="4">
        <f>(HAVERQ!AB101*$EW$2)+(HAVERQ!AC101*$EY$2)+(HAVERQ!AD101*$EZ$2)+(HAVERQ!AE101*$FA$2)/($EW$2+$EY$2+$EZ$2+$FA$2)</f>
        <v>1.2361063936467884</v>
      </c>
      <c r="ET59" s="21">
        <f>(HAVERQ!Y101*$EW$2)+(HAVERQ!Z101*$EX$2)/($EW$2+$EX$2)</f>
        <v>0.70519109774046917</v>
      </c>
      <c r="FC59" s="26">
        <v>45108</v>
      </c>
      <c r="FD59" s="4">
        <f>100*((HAVERM!E290+HAVERM!F290)/(HAVERM!E$249+HAVERM!F$249))</f>
        <v>109.93127742864563</v>
      </c>
      <c r="FE59" s="4">
        <f>100*(HAVERM!E290/HAVERM!E$249)</f>
        <v>115.66017107209467</v>
      </c>
      <c r="FF59" s="4">
        <f>100*(HAVERM!F290/HAVERM!F$249)</f>
        <v>106.78780136638248</v>
      </c>
      <c r="FG59">
        <v>100</v>
      </c>
      <c r="FV59" s="26">
        <v>43983</v>
      </c>
      <c r="FW59" s="3">
        <f>HAVERM!G253</f>
        <v>510678</v>
      </c>
      <c r="FX59" s="3">
        <f t="shared" si="127"/>
        <v>435941.62500000012</v>
      </c>
      <c r="GA59" s="3">
        <f t="shared" si="126"/>
        <v>74736.374999999884</v>
      </c>
      <c r="GD59" s="4">
        <f>100*(DataQ!W209/DataQ!W$194)</f>
        <v>105.61994077715468</v>
      </c>
      <c r="GE59" s="4">
        <f>100*(DataQ!X209/DataQ!X$194)</f>
        <v>102.0398689940352</v>
      </c>
      <c r="GF59" s="4">
        <f>100*(DataQ!C209/DataQ!C$194)</f>
        <v>97.261025260509086</v>
      </c>
      <c r="GG59" s="4"/>
      <c r="GH59">
        <v>100</v>
      </c>
      <c r="GK59" s="4">
        <f>100*(DataQ!Z189/AVERAGE(DataQ!$Z$203:$Z$206))</f>
        <v>97.369884853077082</v>
      </c>
      <c r="GL59" s="4">
        <f>100*(DataQ!C189/AVERAGE(DataQ!$C$203:$C$206))</f>
        <v>100.4553619918954</v>
      </c>
      <c r="GM59" s="4">
        <v>100</v>
      </c>
      <c r="GP59" s="4">
        <f>100*(DataQ!Z189/DataQ!$Z$194)</f>
        <v>97.006615118775414</v>
      </c>
      <c r="GQ59" s="4">
        <f>100*(DataQ!C189/DataQ!$C$194)</f>
        <v>96.969061522082782</v>
      </c>
      <c r="GR59" s="4">
        <v>100</v>
      </c>
      <c r="HZ59" s="22"/>
      <c r="IF59" s="3"/>
      <c r="IR59">
        <f>HAVERQ!AH130</f>
        <v>-14.8</v>
      </c>
      <c r="IS59" s="4">
        <f>100*(('IPNR ex BNFL'!I99/'IPNR ex BNFL'!I95)-1)</f>
        <v>-11.661176774526904</v>
      </c>
      <c r="IT59">
        <v>0</v>
      </c>
    </row>
    <row r="60" spans="1:254" x14ac:dyDescent="0.25">
      <c r="B60" s="4">
        <f>100*((DataQ!C130/DataQ!C126)-1)</f>
        <v>-7.8871391076115511</v>
      </c>
      <c r="C60" s="4">
        <f t="shared" si="11"/>
        <v>16.300147300927129</v>
      </c>
      <c r="D60" s="4">
        <v>0</v>
      </c>
      <c r="G60" s="4">
        <f>100*((AVERAGE(DataQ!C127:C130)/AVERAGE(DataQ!C123:C126))-1)</f>
        <v>-1.1260183460848783</v>
      </c>
      <c r="H60" s="4">
        <f t="shared" si="39"/>
        <v>15.842300521026447</v>
      </c>
      <c r="I60" s="4">
        <v>0</v>
      </c>
      <c r="K60" s="4">
        <f t="shared" si="12"/>
        <v>16.300147300927129</v>
      </c>
      <c r="L60" s="4">
        <f>100*(HAVERQ!AF64/HAVERQ!AI64)</f>
        <v>16.300147300927129</v>
      </c>
      <c r="AV60" s="36">
        <v>45139</v>
      </c>
      <c r="AW60" s="21">
        <f>HAVERM!D291</f>
        <v>5.2282608695652177</v>
      </c>
      <c r="AX60" s="21">
        <f>HAVERM!B291</f>
        <v>6.71</v>
      </c>
      <c r="AY60" s="21">
        <f>HAVERM!C291</f>
        <v>3.07</v>
      </c>
      <c r="EA60" s="4">
        <f t="shared" si="121"/>
        <v>5.2583375700383329E-2</v>
      </c>
      <c r="EB60" s="4">
        <f t="shared" si="122"/>
        <v>5.7307342524257142E-2</v>
      </c>
      <c r="EC60" s="4">
        <f t="shared" si="18"/>
        <v>2.0984616615655538</v>
      </c>
      <c r="ED60" s="3">
        <v>0</v>
      </c>
      <c r="EF60" s="4">
        <f t="shared" si="123"/>
        <v>0.10989071822464047</v>
      </c>
      <c r="EG60" s="4">
        <f t="shared" si="124"/>
        <v>8.9110024937295071E-2</v>
      </c>
      <c r="EJ60" s="3">
        <f>'IPNR ex BNFL'!I68</f>
        <v>49989</v>
      </c>
      <c r="EM60" s="4">
        <f t="shared" si="35"/>
        <v>0.10989071822464047</v>
      </c>
      <c r="EN60" s="4">
        <f t="shared" si="36"/>
        <v>0.10485598088686138</v>
      </c>
      <c r="EO60" s="4">
        <f t="shared" si="37"/>
        <v>5.2583375700383329E-2</v>
      </c>
      <c r="ER60" s="4">
        <f>(HAVERQ!W102*$EW$2)+(HAVERQ!X102*$EX$2)/($EW$2+$EX$2)</f>
        <v>9.4917269154252999</v>
      </c>
      <c r="ES60" s="4">
        <f>(HAVERQ!AB102*$EW$2)+(HAVERQ!AC102*$EY$2)+(HAVERQ!AD102*$EZ$2)+(HAVERQ!AE102*$FA$2)/($EW$2+$EY$2+$EZ$2+$FA$2)</f>
        <v>-4.7602988985394727</v>
      </c>
      <c r="ET60" s="21">
        <f>(HAVERQ!Y102*$EW$2)+(HAVERQ!Z102*$EX$2)/($EW$2+$EX$2)</f>
        <v>0.90519109774046935</v>
      </c>
      <c r="FC60" s="26">
        <v>45139</v>
      </c>
      <c r="FD60" s="4">
        <f>100*((HAVERM!E291+HAVERM!F291)/(HAVERM!E$249+HAVERM!F$249))</f>
        <v>110.23387548819001</v>
      </c>
      <c r="FE60" s="4">
        <f>100*(HAVERM!E291/HAVERM!E$249)</f>
        <v>115.24728278345874</v>
      </c>
      <c r="FF60" s="4">
        <f>100*(HAVERM!F291/HAVERM!F$249)</f>
        <v>107.48299079668003</v>
      </c>
      <c r="FG60">
        <v>100</v>
      </c>
      <c r="FV60" s="26">
        <v>44013</v>
      </c>
      <c r="FW60" s="3">
        <f>HAVERM!G254</f>
        <v>525238</v>
      </c>
      <c r="FX60" s="3">
        <f t="shared" si="127"/>
        <v>437656.2291666668</v>
      </c>
      <c r="GA60" s="3">
        <f t="shared" si="126"/>
        <v>87581.770833333198</v>
      </c>
      <c r="GD60" s="4">
        <f>100*(DataQ!W210/DataQ!W$194)</f>
        <v>106.0953202339883</v>
      </c>
      <c r="GE60" s="4">
        <f>100*(DataQ!X210/DataQ!X$194)</f>
        <v>100.9174442858711</v>
      </c>
      <c r="GF60" s="4">
        <f>100*(DataQ!C210/DataQ!C$194)</f>
        <v>98.430493273542595</v>
      </c>
      <c r="GG60" s="4"/>
      <c r="GH60">
        <v>100</v>
      </c>
      <c r="GK60" s="4">
        <f>100*(DataQ!Z190/AVERAGE(DataQ!$Z$203:$Z$206))</f>
        <v>98.08117660971368</v>
      </c>
      <c r="GL60" s="4">
        <f>100*(DataQ!C190/AVERAGE(DataQ!$C$203:$C$206))</f>
        <v>101.158875381209</v>
      </c>
      <c r="GM60" s="4">
        <v>100</v>
      </c>
      <c r="GP60" s="4">
        <f>100*(DataQ!Z190/DataQ!$Z$194)</f>
        <v>97.715253172289806</v>
      </c>
      <c r="GQ60" s="4">
        <f>100*(DataQ!C190/DataQ!$C$194)</f>
        <v>97.648159499306388</v>
      </c>
      <c r="GR60" s="4">
        <v>100</v>
      </c>
      <c r="HZ60" s="22"/>
      <c r="IF60" s="3"/>
      <c r="IR60">
        <f>HAVERQ!AH131</f>
        <v>-18.5</v>
      </c>
      <c r="IS60" s="4">
        <f>100*(('IPNR ex BNFL'!I100/'IPNR ex BNFL'!I96)-1)</f>
        <v>-6.8054973061909223</v>
      </c>
      <c r="IT60">
        <v>0</v>
      </c>
    </row>
    <row r="61" spans="1:254" x14ac:dyDescent="0.25">
      <c r="A61">
        <v>2004</v>
      </c>
      <c r="B61" s="4">
        <f>100*((DataQ!C131/DataQ!C127)-1)</f>
        <v>-7.0566855691546415</v>
      </c>
      <c r="C61" s="4">
        <f t="shared" si="11"/>
        <v>18.372290615904696</v>
      </c>
      <c r="D61" s="4">
        <v>0</v>
      </c>
      <c r="F61">
        <v>2004</v>
      </c>
      <c r="G61" s="4">
        <f>100*((AVERAGE(DataQ!C128:C131)/AVERAGE(DataQ!C124:C127))-1)</f>
        <v>-4.9473238243185946</v>
      </c>
      <c r="H61" s="4">
        <f t="shared" si="39"/>
        <v>16.304255875394624</v>
      </c>
      <c r="I61" s="4">
        <v>0</v>
      </c>
      <c r="K61" s="4">
        <f t="shared" si="12"/>
        <v>18.372290615904696</v>
      </c>
      <c r="L61" s="4">
        <f>100*(HAVERQ!AF65/HAVERQ!AI65)</f>
        <v>18.372290615904696</v>
      </c>
      <c r="AV61" s="36">
        <v>45170</v>
      </c>
      <c r="AW61" s="21">
        <f>HAVERM!D292</f>
        <v>5.25</v>
      </c>
      <c r="AX61" s="21">
        <f>HAVERM!B292</f>
        <v>6.81</v>
      </c>
      <c r="AY61" s="21">
        <f>HAVERM!C292</f>
        <v>3.16</v>
      </c>
      <c r="DZ61">
        <v>2014</v>
      </c>
      <c r="EA61" s="4">
        <f t="shared" si="121"/>
        <v>0.20584958851963828</v>
      </c>
      <c r="EB61" s="4">
        <f t="shared" si="122"/>
        <v>0.5844905528521479</v>
      </c>
      <c r="EC61" s="4">
        <f t="shared" si="18"/>
        <v>7.2519005335915487</v>
      </c>
      <c r="ED61" s="3">
        <v>0</v>
      </c>
      <c r="EF61" s="4">
        <f t="shared" si="123"/>
        <v>0.79034014137178621</v>
      </c>
      <c r="EG61" s="4">
        <f t="shared" si="124"/>
        <v>0.47395657461629176</v>
      </c>
      <c r="EI61" s="22">
        <v>2013</v>
      </c>
      <c r="EJ61" s="3">
        <f>'IPNR ex BNFL'!I69</f>
        <v>48539</v>
      </c>
      <c r="EM61" s="4">
        <f t="shared" si="35"/>
        <v>0.79034014137178621</v>
      </c>
      <c r="EN61" s="4">
        <f t="shared" si="36"/>
        <v>0.42567999395745082</v>
      </c>
      <c r="EO61" s="4">
        <f t="shared" si="37"/>
        <v>0.20584958851963828</v>
      </c>
      <c r="ER61" s="4">
        <f>(HAVERQ!W103*$EW$2)+(HAVERQ!X103*$EX$2)/($EW$2+$EX$2)</f>
        <v>17.467198796642244</v>
      </c>
      <c r="ES61" s="4">
        <f>(HAVERQ!AB103*$EW$2)+(HAVERQ!AC103*$EY$2)+(HAVERQ!AD103*$EZ$2)+(HAVERQ!AE103*$FA$2)/($EW$2+$EY$2+$EZ$2+$FA$2)</f>
        <v>-0.24572597732382298</v>
      </c>
      <c r="ET61" s="21">
        <f>(HAVERQ!Y103*$EW$2)+(HAVERQ!Z103*$EX$2)/($EW$2+$EX$2)</f>
        <v>1.1459022757047892</v>
      </c>
      <c r="FC61" s="26">
        <v>45170</v>
      </c>
      <c r="FD61" s="4">
        <f>100*((HAVERM!E292+HAVERM!F292)/(HAVERM!E$249+HAVERM!F$249))</f>
        <v>111.1981789430031</v>
      </c>
      <c r="FE61" s="4">
        <f>100*(HAVERM!E292/HAVERM!E$249)</f>
        <v>114.91800115763071</v>
      </c>
      <c r="FF61" s="4">
        <f>100*(HAVERM!F292/HAVERM!F$249)</f>
        <v>109.1570916379651</v>
      </c>
      <c r="FG61">
        <v>100</v>
      </c>
      <c r="FV61" s="26">
        <v>44044</v>
      </c>
      <c r="FW61" s="3">
        <f>HAVERM!G255</f>
        <v>525230</v>
      </c>
      <c r="FX61" s="3">
        <f t="shared" si="127"/>
        <v>439370.83333333349</v>
      </c>
      <c r="GA61" s="3">
        <f t="shared" si="126"/>
        <v>85859.166666666511</v>
      </c>
      <c r="GC61" s="22">
        <v>2024</v>
      </c>
      <c r="GD61" s="4">
        <f>100*(DataQ!W211/DataQ!W$194)</f>
        <v>106.57275603961737</v>
      </c>
      <c r="GE61" s="4">
        <f>100*(DataQ!X211/DataQ!X$194)</f>
        <v>100.8165367585172</v>
      </c>
      <c r="GF61" s="4">
        <f>100*(DataQ!C211/DataQ!C$194)</f>
        <v>98.993450979127005</v>
      </c>
      <c r="GG61" s="4"/>
      <c r="GH61">
        <v>100</v>
      </c>
      <c r="GJ61" s="22">
        <v>2019</v>
      </c>
      <c r="GK61" s="4">
        <f>100*(DataQ!Z191/AVERAGE(DataQ!$Z$203:$Z$206))</f>
        <v>99.123586942715619</v>
      </c>
      <c r="GL61" s="4">
        <f>100*(DataQ!C191/AVERAGE(DataQ!$C$203:$C$206))</f>
        <v>102.27012574675189</v>
      </c>
      <c r="GM61" s="4">
        <v>100</v>
      </c>
      <c r="GO61" s="22">
        <v>2019</v>
      </c>
      <c r="GP61" s="4">
        <f>100*(DataQ!Z191/DataQ!$Z$194)</f>
        <v>98.753774457612622</v>
      </c>
      <c r="GQ61" s="4">
        <f>100*(DataQ!C191/DataQ!$C$194)</f>
        <v>98.720843952640578</v>
      </c>
      <c r="GR61" s="4">
        <v>100</v>
      </c>
      <c r="HZ61" s="22"/>
      <c r="IF61" s="3"/>
      <c r="IQ61">
        <v>2021</v>
      </c>
      <c r="IR61">
        <f>HAVERQ!AH132</f>
        <v>-6.8</v>
      </c>
      <c r="IS61" s="4">
        <f>100*(('IPNR ex BNFL'!I101/'IPNR ex BNFL'!I97)-1)</f>
        <v>-11.173451707123883</v>
      </c>
      <c r="IT61">
        <v>0</v>
      </c>
    </row>
    <row r="62" spans="1:254" x14ac:dyDescent="0.25">
      <c r="B62" s="4">
        <f>100*((DataQ!C132/DataQ!C128)-1)</f>
        <v>-5.515906616668687</v>
      </c>
      <c r="C62" s="4">
        <f t="shared" si="11"/>
        <v>17.188291630575122</v>
      </c>
      <c r="D62" s="4">
        <v>0</v>
      </c>
      <c r="G62" s="4">
        <f>100*((AVERAGE(DataQ!C129:C132)/AVERAGE(DataQ!C125:C128))-1)</f>
        <v>-6.0575018393797091</v>
      </c>
      <c r="H62" s="4">
        <f t="shared" si="39"/>
        <v>16.773858952807274</v>
      </c>
      <c r="I62" s="4">
        <v>0</v>
      </c>
      <c r="K62" s="4">
        <f t="shared" si="12"/>
        <v>17.188291630575122</v>
      </c>
      <c r="L62" s="4">
        <f>100*(HAVERQ!AF66/HAVERQ!AI66)</f>
        <v>17.188291630575122</v>
      </c>
      <c r="AV62" s="36">
        <v>45200</v>
      </c>
      <c r="AW62" s="21">
        <f>HAVERM!D293</f>
        <v>5.25</v>
      </c>
      <c r="AX62" s="21">
        <f>HAVERM!B293</f>
        <v>6.78</v>
      </c>
      <c r="AY62" s="21">
        <f>HAVERM!C293</f>
        <v>3.22</v>
      </c>
      <c r="EA62" s="4">
        <f t="shared" si="121"/>
        <v>0.30866470961809117</v>
      </c>
      <c r="EB62" s="4">
        <f t="shared" si="122"/>
        <v>1.1453337030524728</v>
      </c>
      <c r="EC62" s="4">
        <f t="shared" si="18"/>
        <v>5.4635427186426888</v>
      </c>
      <c r="ED62" s="3">
        <v>0</v>
      </c>
      <c r="EF62" s="4">
        <f t="shared" si="123"/>
        <v>1.4539984126705641</v>
      </c>
      <c r="EG62" s="4">
        <f t="shared" si="124"/>
        <v>1.0375257102388873</v>
      </c>
      <c r="EJ62" s="3">
        <f>'IPNR ex BNFL'!I70</f>
        <v>49510</v>
      </c>
      <c r="EM62" s="4">
        <f t="shared" si="35"/>
        <v>1.4539984126705641</v>
      </c>
      <c r="EN62" s="4">
        <f t="shared" si="36"/>
        <v>1.3499140084280068</v>
      </c>
      <c r="EO62" s="4">
        <f t="shared" si="37"/>
        <v>0.30866470961809117</v>
      </c>
      <c r="ER62" s="4">
        <f>(HAVERQ!W104*$EW$2)+(HAVERQ!X104*$EX$2)/($EW$2+$EX$2)</f>
        <v>25.245863457712652</v>
      </c>
      <c r="ES62" s="4">
        <f>(HAVERQ!AB104*$EW$2)+(HAVERQ!AC104*$EY$2)+(HAVERQ!AD104*$EZ$2)+(HAVERQ!AE104*$FA$2)/($EW$2+$EY$2+$EZ$2+$FA$2)</f>
        <v>12.759914762158928</v>
      </c>
      <c r="ET62" s="21">
        <f>(HAVERQ!Y104*$EW$2)+(HAVERQ!Z104*$EX$2)/($EW$2+$EX$2)</f>
        <v>1.3073778446309863</v>
      </c>
      <c r="FC62" s="26">
        <v>45200</v>
      </c>
      <c r="FD62" s="4">
        <f>100*((HAVERM!E293+HAVERM!F293)/(HAVERM!E$249+HAVERM!F$249))</f>
        <v>111.12070654824025</v>
      </c>
      <c r="FE62" s="4">
        <f>100*(HAVERM!E293/HAVERM!E$249)</f>
        <v>114.14817673162261</v>
      </c>
      <c r="FF62" s="4">
        <f>100*(HAVERM!F293/HAVERM!F$249)</f>
        <v>109.45951668454632</v>
      </c>
      <c r="FG62">
        <v>100</v>
      </c>
      <c r="FV62" s="26">
        <v>44075</v>
      </c>
      <c r="FW62" s="3">
        <f>HAVERM!G256</f>
        <v>529249</v>
      </c>
      <c r="FX62" s="3">
        <f t="shared" si="127"/>
        <v>441085.43750000017</v>
      </c>
      <c r="GA62" s="3">
        <f t="shared" si="126"/>
        <v>88163.562499999825</v>
      </c>
      <c r="GD62" s="4">
        <f>100*(DataQ!W212/DataQ!W$194)</f>
        <v>107.05224819404191</v>
      </c>
      <c r="GE62" s="4">
        <f>100*(DataQ!X212/DataQ!X$194)</f>
        <v>101.16939290811287</v>
      </c>
      <c r="GF62" s="4">
        <f>100*(DataQ!C212/DataQ!C$194)</f>
        <v>100.41294318805045</v>
      </c>
      <c r="GG62" s="4"/>
      <c r="GH62">
        <v>100</v>
      </c>
      <c r="GK62" s="4">
        <f>100*(DataQ!Z192/AVERAGE(DataQ!$Z$203:$Z$206))</f>
        <v>100.68282256686976</v>
      </c>
      <c r="GL62" s="4">
        <f>100*(DataQ!C192/AVERAGE(DataQ!$C$203:$C$206))</f>
        <v>103.90775786439403</v>
      </c>
      <c r="GM62" s="4">
        <v>100</v>
      </c>
      <c r="GP62" s="4">
        <f>100*(DataQ!Z192/DataQ!$Z$194)</f>
        <v>100.30719285078456</v>
      </c>
      <c r="GQ62" s="4">
        <f>100*(DataQ!C192/DataQ!$C$194)</f>
        <v>100.30164209439623</v>
      </c>
      <c r="GR62" s="4">
        <v>100</v>
      </c>
      <c r="HZ62" s="22"/>
      <c r="IF62" s="3"/>
      <c r="IR62">
        <f>HAVERQ!AH133</f>
        <v>23.7</v>
      </c>
      <c r="IS62" s="4">
        <f>100*(('IPNR ex BNFL'!I102/'IPNR ex BNFL'!I98)-1)</f>
        <v>18.459275602132742</v>
      </c>
      <c r="IT62">
        <v>0</v>
      </c>
    </row>
    <row r="63" spans="1:254" x14ac:dyDescent="0.25">
      <c r="B63" s="4">
        <f>100*((DataQ!C133/DataQ!C129)-1)</f>
        <v>-2.3815143504531733</v>
      </c>
      <c r="C63" s="4">
        <f t="shared" si="11"/>
        <v>18.080816673755848</v>
      </c>
      <c r="D63" s="4">
        <v>0</v>
      </c>
      <c r="G63" s="4">
        <f>100*((AVERAGE(DataQ!C130:C133)/AVERAGE(DataQ!C126:C129))-1)</f>
        <v>-5.7785443413898685</v>
      </c>
      <c r="H63" s="4">
        <f t="shared" si="39"/>
        <v>17.485386555290699</v>
      </c>
      <c r="I63" s="4">
        <v>0</v>
      </c>
      <c r="K63" s="4">
        <f t="shared" si="12"/>
        <v>18.080816673755848</v>
      </c>
      <c r="L63" s="4">
        <f>100*(HAVERQ!AF67/HAVERQ!AI67)</f>
        <v>18.080816673755848</v>
      </c>
      <c r="AV63" s="36">
        <v>45231</v>
      </c>
      <c r="AW63" s="21">
        <f>HAVERM!D294</f>
        <v>5.25</v>
      </c>
      <c r="AX63" s="21">
        <f>HAVERM!B294</f>
        <v>6.8</v>
      </c>
      <c r="AY63" s="21">
        <f>HAVERM!C294</f>
        <v>3.28</v>
      </c>
      <c r="EA63" s="4">
        <f t="shared" si="121"/>
        <v>0.52421081734876496</v>
      </c>
      <c r="EB63" s="4">
        <f t="shared" si="122"/>
        <v>0.92419054470567574</v>
      </c>
      <c r="EC63" s="4">
        <f t="shared" si="18"/>
        <v>2.6110883437737931</v>
      </c>
      <c r="ED63" s="3">
        <v>0</v>
      </c>
      <c r="EF63" s="4">
        <f t="shared" si="123"/>
        <v>1.4484013620544407</v>
      </c>
      <c r="EG63" s="4">
        <f t="shared" si="124"/>
        <v>1.1075410083219361</v>
      </c>
      <c r="EJ63" s="3">
        <f>'IPNR ex BNFL'!I71</f>
        <v>51243</v>
      </c>
      <c r="EL63">
        <v>2014</v>
      </c>
      <c r="EM63" s="4">
        <f t="shared" si="35"/>
        <v>1.4484013620544407</v>
      </c>
      <c r="EN63" s="4">
        <f t="shared" si="36"/>
        <v>1.3500108455626023</v>
      </c>
      <c r="EO63" s="4">
        <f t="shared" si="37"/>
        <v>0.52421081734876496</v>
      </c>
      <c r="EQ63">
        <v>2014</v>
      </c>
      <c r="ER63" s="4">
        <f>(HAVERQ!W105*$EW$2)+(HAVERQ!X105*$EX$2)/($EW$2+$EX$2)</f>
        <v>25.180261050997135</v>
      </c>
      <c r="ES63" s="4">
        <f>(HAVERQ!AB105*$EW$2)+(HAVERQ!AC105*$EY$2)+(HAVERQ!AD105*$EZ$2)+(HAVERQ!AE105*$FA$2)/($EW$2+$EY$2+$EZ$2+$FA$2)</f>
        <v>12.761277435424651</v>
      </c>
      <c r="ET63" s="21">
        <f>(HAVERQ!Y105*$EW$2)+(HAVERQ!Z105*$EX$2)/($EW$2+$EX$2)</f>
        <v>1.6459022757047892</v>
      </c>
      <c r="FC63" s="26">
        <v>45231</v>
      </c>
      <c r="FD63" s="4">
        <f>100*((HAVERM!E294+HAVERM!F294)/(HAVERM!E$249+HAVERM!F$249))</f>
        <v>110.62944042144981</v>
      </c>
      <c r="FE63" s="4">
        <f>100*(HAVERM!E294/HAVERM!E$249)</f>
        <v>113.62659978133642</v>
      </c>
      <c r="FF63" s="4">
        <f>100*(HAVERM!F294/HAVERM!F$249)</f>
        <v>108.9848822765513</v>
      </c>
      <c r="FG63">
        <v>100</v>
      </c>
      <c r="FV63" s="26">
        <v>44105</v>
      </c>
      <c r="FW63" s="3">
        <f>HAVERM!G257</f>
        <v>540612</v>
      </c>
      <c r="FX63" s="3">
        <f t="shared" si="127"/>
        <v>442800.04166666686</v>
      </c>
      <c r="GA63" s="3">
        <f t="shared" si="126"/>
        <v>97811.958333333139</v>
      </c>
      <c r="GD63" s="4">
        <f>100*(DataQ!W213/DataQ!W$194)</f>
        <v>107.53393781923806</v>
      </c>
      <c r="GE63" s="4">
        <f>100*(DataQ!X213/DataQ!X$194)</f>
        <v>101.52342006074578</v>
      </c>
      <c r="GF63" s="4">
        <f>100*(DataQ!C213/DataQ!C$194)</f>
        <v>101.11583379036682</v>
      </c>
      <c r="GG63" s="4"/>
      <c r="GH63">
        <v>100</v>
      </c>
      <c r="GK63" s="4">
        <f>100*(DataQ!Z193/AVERAGE(DataQ!$Z$203:$Z$206))</f>
        <v>100.28162598492447</v>
      </c>
      <c r="GL63" s="4">
        <f>100*(DataQ!C193/AVERAGE(DataQ!$C$203:$C$206))</f>
        <v>103.49166562225842</v>
      </c>
      <c r="GM63" s="4">
        <v>100</v>
      </c>
      <c r="GP63" s="4">
        <f>100*(DataQ!Z193/DataQ!$Z$194)</f>
        <v>99.90749306197965</v>
      </c>
      <c r="GQ63" s="4">
        <f>100*(DataQ!C193/DataQ!$C$194)</f>
        <v>99.899990321644026</v>
      </c>
      <c r="GR63" s="4">
        <v>100</v>
      </c>
      <c r="HZ63" s="22"/>
      <c r="IF63" s="3"/>
      <c r="IR63">
        <f>HAVERQ!AH134</f>
        <v>18.2</v>
      </c>
      <c r="IS63" s="4">
        <f>100*(('IPNR ex BNFL'!I103/'IPNR ex BNFL'!I99)-1)</f>
        <v>4.1820508133796341</v>
      </c>
      <c r="IT63">
        <v>0</v>
      </c>
    </row>
    <row r="64" spans="1:254" x14ac:dyDescent="0.25">
      <c r="B64" s="4">
        <f>100*((DataQ!C134/DataQ!C130)-1)</f>
        <v>0.36804862990928999</v>
      </c>
      <c r="C64" s="4">
        <f t="shared" si="11"/>
        <v>18.015884761481921</v>
      </c>
      <c r="D64" s="4">
        <v>0</v>
      </c>
      <c r="G64" s="4">
        <f>100*((AVERAGE(DataQ!C131:C134)/AVERAGE(DataQ!C127:C130))-1)</f>
        <v>-3.7069216863957033</v>
      </c>
      <c r="H64" s="4">
        <f t="shared" si="39"/>
        <v>17.914320920429397</v>
      </c>
      <c r="I64" s="4">
        <v>0</v>
      </c>
      <c r="K64" s="4">
        <f t="shared" si="12"/>
        <v>18.015884761481921</v>
      </c>
      <c r="L64" s="4">
        <f>100*(HAVERQ!AF68/HAVERQ!AI68)</f>
        <v>18.015884761481921</v>
      </c>
      <c r="AV64" s="36">
        <v>45261</v>
      </c>
      <c r="AW64" s="21">
        <f>HAVERM!D295</f>
        <v>5.25</v>
      </c>
      <c r="AX64" s="21">
        <f>HAVERM!B295</f>
        <v>6.82</v>
      </c>
      <c r="AY64" s="21">
        <f>HAVERM!C295</f>
        <v>3.37</v>
      </c>
      <c r="EA64" s="4">
        <f t="shared" si="121"/>
        <v>0.14163886245420806</v>
      </c>
      <c r="EB64" s="4">
        <f t="shared" si="122"/>
        <v>1.0564062599478488</v>
      </c>
      <c r="EC64" s="4">
        <f t="shared" si="18"/>
        <v>6.7322387240879245</v>
      </c>
      <c r="ED64" s="3">
        <v>0</v>
      </c>
      <c r="EF64" s="4">
        <f t="shared" si="123"/>
        <v>1.1980451224020567</v>
      </c>
      <c r="EG64" s="4">
        <f t="shared" si="124"/>
        <v>0.70068578090401712</v>
      </c>
      <c r="EJ64" s="3">
        <f>'IPNR ex BNFL'!I72</f>
        <v>51038</v>
      </c>
      <c r="EM64" s="4">
        <f t="shared" si="35"/>
        <v>1.1980451224020567</v>
      </c>
      <c r="EN64" s="4">
        <f t="shared" si="36"/>
        <v>0.14163886245420806</v>
      </c>
      <c r="EO64" s="4">
        <f t="shared" si="37"/>
        <v>0.76237335785578664</v>
      </c>
      <c r="ER64" s="4">
        <f>(HAVERQ!W106*$EW$2)+(HAVERQ!X106*$EX$2)/($EW$2+$EX$2)</f>
        <v>22.245863457712652</v>
      </c>
      <c r="ES64" s="4">
        <f>(HAVERQ!AB106*$EW$2)+(HAVERQ!AC106*$EY$2)+(HAVERQ!AD106*$EZ$2)+(HAVERQ!AE106*$FA$2)/($EW$2+$EY$2+$EZ$2+$FA$2)</f>
        <v>-4.2426973652287838</v>
      </c>
      <c r="ET64" s="21">
        <f>(HAVERQ!Y106*$EW$2)+(HAVERQ!Z106*$EX$2)/($EW$2+$EX$2)</f>
        <v>2.0199467870024419</v>
      </c>
      <c r="FC64" s="26">
        <v>45261</v>
      </c>
      <c r="FD64" s="4">
        <f>100*((HAVERM!E295+HAVERM!F295)/(HAVERM!E$249+HAVERM!F$249))</f>
        <v>111.0070044159265</v>
      </c>
      <c r="FE64" s="4">
        <f>100*(HAVERM!E295/HAVERM!E$249)</f>
        <v>112.77959997427487</v>
      </c>
      <c r="FF64" s="4">
        <f>100*(HAVERM!F295/HAVERM!F$249)</f>
        <v>110.03437129467561</v>
      </c>
      <c r="FG64">
        <v>100</v>
      </c>
      <c r="FV64" s="26">
        <v>44136</v>
      </c>
      <c r="FW64" s="3">
        <f>HAVERM!G258</f>
        <v>542612</v>
      </c>
      <c r="FX64" s="3">
        <f t="shared" si="127"/>
        <v>444514.64583333355</v>
      </c>
      <c r="GA64" s="3">
        <f t="shared" si="126"/>
        <v>98097.354166666453</v>
      </c>
      <c r="GD64" s="4">
        <f>100*(DataQ!W214/DataQ!W$194)</f>
        <v>108.01796603718199</v>
      </c>
      <c r="GE64" s="4">
        <f>100*(DataQ!X214/DataQ!X$194)</f>
        <v>101.87889267025285</v>
      </c>
      <c r="GF64" s="4">
        <f>100*(DataQ!C214/DataQ!C$194)</f>
        <v>101.67193599380586</v>
      </c>
      <c r="GG64" s="4"/>
      <c r="GH64">
        <v>100</v>
      </c>
      <c r="GK64" s="4">
        <f>100*(DataQ!Z194/AVERAGE(DataQ!$Z$203:$Z$206))</f>
        <v>100.37447934231791</v>
      </c>
      <c r="GL64" s="4">
        <f>100*(DataQ!C194/AVERAGE(DataQ!$C$203:$C$206))</f>
        <v>103.59527091949701</v>
      </c>
      <c r="GM64" s="4">
        <v>100</v>
      </c>
      <c r="GP64" s="4">
        <f>100*(DataQ!Z194/DataQ!$Z$194)</f>
        <v>100</v>
      </c>
      <c r="GQ64" s="4">
        <f>100*(DataQ!C194/DataQ!$C$194)</f>
        <v>100</v>
      </c>
      <c r="GR64" s="4">
        <v>100</v>
      </c>
      <c r="HZ64" s="22"/>
      <c r="IF64" s="3"/>
      <c r="IR64">
        <f>HAVERQ!AH135</f>
        <v>14.1</v>
      </c>
      <c r="IS64" s="4">
        <f>100*(('IPNR ex BNFL'!I104/'IPNR ex BNFL'!I100)-1)</f>
        <v>-1.0333189095629636</v>
      </c>
      <c r="IT64">
        <v>0</v>
      </c>
    </row>
    <row r="65" spans="1:254" x14ac:dyDescent="0.25">
      <c r="A65">
        <v>2005</v>
      </c>
      <c r="B65" s="4">
        <f>100*((DataQ!C135/DataQ!C131)-1)</f>
        <v>-0.92579505300353082</v>
      </c>
      <c r="C65" s="4">
        <f t="shared" si="11"/>
        <v>18.623741639078439</v>
      </c>
      <c r="D65" s="4">
        <v>0</v>
      </c>
      <c r="F65">
        <v>2005</v>
      </c>
      <c r="G65" s="4">
        <f>100*((AVERAGE(DataQ!C132:C135)/AVERAGE(DataQ!C128:C131))-1)</f>
        <v>-2.0960735022315768</v>
      </c>
      <c r="H65" s="4">
        <f t="shared" si="39"/>
        <v>17.977183676222833</v>
      </c>
      <c r="I65" s="4">
        <v>0</v>
      </c>
      <c r="K65" s="4">
        <f t="shared" si="12"/>
        <v>18.623741639078439</v>
      </c>
      <c r="L65" s="4">
        <f>100*(HAVERQ!AF69/HAVERQ!AI69)</f>
        <v>18.623741639078439</v>
      </c>
      <c r="AV65" s="36">
        <v>45292</v>
      </c>
      <c r="AW65" s="21">
        <f>HAVERM!D296</f>
        <v>5.25</v>
      </c>
      <c r="AX65" s="21">
        <f>HAVERM!B296</f>
        <v>6.84</v>
      </c>
      <c r="AY65" s="21">
        <f>HAVERM!C296</f>
        <v>3.42</v>
      </c>
      <c r="DZ65">
        <v>2015</v>
      </c>
      <c r="EA65" s="4">
        <f t="shared" si="121"/>
        <v>0.52546735662705324</v>
      </c>
      <c r="EB65" s="4">
        <f t="shared" si="122"/>
        <v>0.60054678781995297</v>
      </c>
      <c r="EC65" s="4">
        <f t="shared" si="18"/>
        <v>11.335215812827748</v>
      </c>
      <c r="ED65" s="3">
        <v>0</v>
      </c>
      <c r="EF65" s="4">
        <f t="shared" si="123"/>
        <v>1.1260141444470062</v>
      </c>
      <c r="EG65" s="4">
        <f t="shared" si="124"/>
        <v>0.80728592893558826</v>
      </c>
      <c r="EI65" s="22">
        <v>2014</v>
      </c>
      <c r="EJ65" s="3">
        <f>'IPNR ex BNFL'!I73</f>
        <v>52059</v>
      </c>
      <c r="EM65" s="4">
        <f t="shared" si="35"/>
        <v>1.1260141444470062</v>
      </c>
      <c r="EN65" s="4">
        <f t="shared" si="36"/>
        <v>0.52546735662705324</v>
      </c>
      <c r="EO65" s="4">
        <f t="shared" si="37"/>
        <v>0.77037628573270533</v>
      </c>
      <c r="ER65" s="4">
        <f>(HAVERQ!W107*$EW$2)+(HAVERQ!X107*$EX$2)/($EW$2+$EX$2)</f>
        <v>21.401596389926731</v>
      </c>
      <c r="ES65" s="4">
        <f>(HAVERQ!AB107*$EW$2)+(HAVERQ!AC107*$EY$2)+(HAVERQ!AD107*$EZ$2)+(HAVERQ!AE107*$FA$2)/($EW$2+$EY$2+$EZ$2+$FA$2)</f>
        <v>1.1584623222863797</v>
      </c>
      <c r="ET65" s="21">
        <f>(HAVERQ!Y107*$EW$2)+(HAVERQ!Z107*$EX$2)/($EW$2+$EX$2)</f>
        <v>2.0325157293738982</v>
      </c>
      <c r="FC65" s="26">
        <v>45292</v>
      </c>
      <c r="FD65" s="4">
        <f>100*((HAVERM!E296+HAVERM!F296)/(HAVERM!E$249+HAVERM!F$249))</f>
        <v>110.23843268788195</v>
      </c>
      <c r="FE65" s="4">
        <f>100*(HAVERM!E296/HAVERM!E$249)</f>
        <v>111.9930542157052</v>
      </c>
      <c r="FF65" s="4">
        <f>100*(HAVERM!F296/HAVERM!F$249)</f>
        <v>109.27566201795493</v>
      </c>
      <c r="FG65">
        <v>100</v>
      </c>
      <c r="FV65" s="26">
        <v>44166</v>
      </c>
      <c r="FW65" s="3">
        <f>HAVERM!G259</f>
        <v>545039</v>
      </c>
      <c r="FX65" s="3">
        <f t="shared" si="127"/>
        <v>446229.25000000023</v>
      </c>
      <c r="GA65" s="3">
        <f t="shared" si="126"/>
        <v>98809.749999999767</v>
      </c>
      <c r="GC65" s="22">
        <v>2025</v>
      </c>
      <c r="GD65" s="4">
        <f>100*(DataQ!W215/DataQ!W$194)</f>
        <v>108.5040304436391</v>
      </c>
      <c r="GE65" s="4">
        <f>100*(DataQ!X215/DataQ!X$194)</f>
        <v>102.28640172722947</v>
      </c>
      <c r="GF65" s="4">
        <f>100*(DataQ!C215/DataQ!C$194)</f>
        <v>102.28201116237055</v>
      </c>
      <c r="GG65" s="4"/>
      <c r="GH65">
        <v>100</v>
      </c>
      <c r="GJ65" s="22">
        <v>2020</v>
      </c>
      <c r="GK65" s="4">
        <f>100*(DataQ!Z195/AVERAGE(DataQ!$Z$203:$Z$206))</f>
        <v>98.09519221082968</v>
      </c>
      <c r="GL65" s="4">
        <f>100*(DataQ!C195/AVERAGE(DataQ!$C$203:$C$206))</f>
        <v>101.26415173162886</v>
      </c>
      <c r="GM65" s="4">
        <v>100</v>
      </c>
      <c r="GO65" s="22">
        <v>2020</v>
      </c>
      <c r="GP65" s="4">
        <f>100*(DataQ!Z195/DataQ!$Z$194)</f>
        <v>97.7292164836891</v>
      </c>
      <c r="GQ65" s="4">
        <f>100*(DataQ!C195/DataQ!$C$194)</f>
        <v>97.749782236990683</v>
      </c>
      <c r="GR65" s="4">
        <v>100</v>
      </c>
      <c r="HZ65" s="22"/>
      <c r="IF65" s="3"/>
      <c r="IQ65">
        <v>2022</v>
      </c>
      <c r="IR65">
        <f>HAVERQ!AH136</f>
        <v>1.6</v>
      </c>
      <c r="IS65" s="4">
        <f>100*(('IPNR ex BNFL'!I105/'IPNR ex BNFL'!I101)-1)</f>
        <v>9.4281786430853831</v>
      </c>
      <c r="IT65">
        <v>0</v>
      </c>
    </row>
    <row r="66" spans="1:254" x14ac:dyDescent="0.25">
      <c r="B66" s="4">
        <f>100*((DataQ!C136/DataQ!C132)-1)</f>
        <v>10.647804378440661</v>
      </c>
      <c r="C66" s="4">
        <f t="shared" si="11"/>
        <v>18.943781396985891</v>
      </c>
      <c r="D66" s="4">
        <v>0</v>
      </c>
      <c r="G66" s="4">
        <f>100*((AVERAGE(DataQ!C133:C136)/AVERAGE(DataQ!C129:C132))-1)</f>
        <v>1.7540530282492028</v>
      </c>
      <c r="H66" s="4">
        <f t="shared" si="39"/>
        <v>18.416056117825526</v>
      </c>
      <c r="I66" s="4">
        <v>0</v>
      </c>
      <c r="K66" s="4">
        <f t="shared" si="12"/>
        <v>18.943781396985891</v>
      </c>
      <c r="L66" s="4">
        <f>100*(HAVERQ!AF70/HAVERQ!AI70)</f>
        <v>18.943781396985891</v>
      </c>
      <c r="AV66" s="36">
        <v>45323</v>
      </c>
      <c r="AW66" s="21">
        <f>HAVERM!D297</f>
        <v>5.25</v>
      </c>
      <c r="AX66" s="21">
        <f>HAVERM!B297</f>
        <v>6.85</v>
      </c>
      <c r="AY66" s="21">
        <f>HAVERM!C297</f>
        <v>3.49</v>
      </c>
      <c r="EA66" s="4">
        <f t="shared" si="121"/>
        <v>0.59206011567781025</v>
      </c>
      <c r="EB66" s="4">
        <f t="shared" si="122"/>
        <v>0.69899250499874466</v>
      </c>
      <c r="EC66" s="4">
        <f t="shared" si="18"/>
        <v>8.0053624437422144</v>
      </c>
      <c r="ED66" s="3">
        <v>0</v>
      </c>
      <c r="EF66" s="4">
        <f t="shared" si="123"/>
        <v>1.2910526206765549</v>
      </c>
      <c r="EG66" s="4">
        <f t="shared" si="124"/>
        <v>0.85408361855540704</v>
      </c>
      <c r="EJ66" s="3">
        <f>'IPNR ex BNFL'!I74</f>
        <v>52215</v>
      </c>
      <c r="EM66" s="4">
        <f t="shared" si="35"/>
        <v>1.2910526206765549</v>
      </c>
      <c r="EN66" s="4">
        <f t="shared" si="36"/>
        <v>0.67913811931185575</v>
      </c>
      <c r="EO66" s="4">
        <f t="shared" si="37"/>
        <v>0.59206011567781025</v>
      </c>
      <c r="ER66" s="4">
        <f>(HAVERQ!W108*$EW$2)+(HAVERQ!X108*$EX$2)/($EW$2+$EX$2)</f>
        <v>23.335993983211218</v>
      </c>
      <c r="ES66" s="4">
        <f>(HAVERQ!AB108*$EW$2)+(HAVERQ!AC108*$EY$2)+(HAVERQ!AD108*$EZ$2)+(HAVERQ!AE108*$FA$2)/($EW$2+$EY$2+$EZ$2+$FA$2)</f>
        <v>3.3208873146036515</v>
      </c>
      <c r="ET66" s="21">
        <f>(HAVERQ!Y108*$EW$2)+(HAVERQ!Z108*$EX$2)/($EW$2+$EX$2)</f>
        <v>1.7524625163763408</v>
      </c>
      <c r="FC66" s="26">
        <v>45323</v>
      </c>
      <c r="FD66" s="4">
        <f>100*((HAVERM!E297+HAVERM!F297)/(HAVERM!E$249+HAVERM!F$249))</f>
        <v>110.26007938641864</v>
      </c>
      <c r="FE66" s="4">
        <f>100*(HAVERM!E297/HAVERM!E$249)</f>
        <v>112.11846420991705</v>
      </c>
      <c r="FF66" s="4">
        <f>100*(HAVERM!F297/HAVERM!F$249)</f>
        <v>109.24037321438654</v>
      </c>
      <c r="FG66">
        <v>100</v>
      </c>
      <c r="FV66" s="26">
        <v>44197</v>
      </c>
      <c r="FW66" s="3">
        <f>HAVERM!G260</f>
        <v>556985</v>
      </c>
      <c r="FX66" s="3">
        <f t="shared" si="127"/>
        <v>447943.85416666692</v>
      </c>
      <c r="GA66" s="3">
        <f t="shared" si="126"/>
        <v>109041.14583333308</v>
      </c>
      <c r="GD66" s="4">
        <f>100*(DataQ!W216/DataQ!W$194)</f>
        <v>108.99231248115014</v>
      </c>
      <c r="GE66" s="4">
        <f>100*(DataQ!X216/DataQ!X$194)</f>
        <v>102.69553921030483</v>
      </c>
      <c r="GF66" s="4">
        <f>100*(DataQ!C216/DataQ!C$194)</f>
        <v>103.14117495241474</v>
      </c>
      <c r="GG66" s="4"/>
      <c r="GH66">
        <v>100</v>
      </c>
      <c r="GK66" s="4">
        <f>100*(DataQ!Z196/AVERAGE(DataQ!$Z$203:$Z$206))</f>
        <v>79.296767214005087</v>
      </c>
      <c r="GL66" s="4">
        <f>100*(DataQ!C196/AVERAGE(DataQ!$C$203:$C$206))</f>
        <v>81.799724276225092</v>
      </c>
      <c r="GM66" s="4">
        <v>100</v>
      </c>
      <c r="GP66" s="4">
        <f>100*(DataQ!Z196/DataQ!$Z$194)</f>
        <v>79.000925069380202</v>
      </c>
      <c r="GQ66" s="4">
        <f>100*(DataQ!C196/DataQ!$C$194)</f>
        <v>78.960867180694905</v>
      </c>
      <c r="GR66" s="4">
        <v>100</v>
      </c>
      <c r="HZ66" s="22"/>
      <c r="IF66" s="3"/>
      <c r="IR66">
        <f>HAVERQ!AH137</f>
        <v>-3.1</v>
      </c>
      <c r="IS66" s="4">
        <f>100*(('IPNR ex BNFL'!I106/'IPNR ex BNFL'!I102)-1)</f>
        <v>4.0440098642799294</v>
      </c>
      <c r="IT66">
        <v>0</v>
      </c>
    </row>
    <row r="67" spans="1:254" x14ac:dyDescent="0.25">
      <c r="B67" s="4">
        <f>100*((DataQ!C137/DataQ!C133)-1)</f>
        <v>7.2801566769022497</v>
      </c>
      <c r="C67" s="4">
        <f t="shared" si="11"/>
        <v>18.815575469592115</v>
      </c>
      <c r="D67" s="4">
        <v>0</v>
      </c>
      <c r="G67" s="4">
        <f>100*((AVERAGE(DataQ!C134:C137)/AVERAGE(DataQ!C130:C133))-1)</f>
        <v>4.2014692868139969</v>
      </c>
      <c r="H67" s="4">
        <f t="shared" si="39"/>
        <v>18.599745816784591</v>
      </c>
      <c r="I67" s="4">
        <v>0</v>
      </c>
      <c r="K67" s="4">
        <f t="shared" si="12"/>
        <v>18.815575469592115</v>
      </c>
      <c r="L67" s="4">
        <f>100*(HAVERQ!AF71/HAVERQ!AI71)</f>
        <v>18.815575469592115</v>
      </c>
      <c r="AV67" s="36">
        <v>45352</v>
      </c>
      <c r="AW67" s="21">
        <f>HAVERM!D298</f>
        <v>5.25</v>
      </c>
      <c r="AX67" s="21">
        <f>HAVERM!B298</f>
        <v>6.88</v>
      </c>
      <c r="AY67" s="21">
        <f>HAVERM!C298</f>
        <v>3.51</v>
      </c>
      <c r="EA67" s="4">
        <f t="shared" si="121"/>
        <v>0.53447786013205367</v>
      </c>
      <c r="EB67" s="4">
        <f t="shared" si="122"/>
        <v>0.80083759106746166</v>
      </c>
      <c r="EC67" s="4">
        <f t="shared" si="18"/>
        <v>7.4684772065955363</v>
      </c>
      <c r="ED67" s="3">
        <v>0</v>
      </c>
      <c r="EF67" s="4">
        <f t="shared" si="123"/>
        <v>1.3353154511995153</v>
      </c>
      <c r="EG67" s="4">
        <f t="shared" si="124"/>
        <v>0.98787894474229387</v>
      </c>
      <c r="EJ67" s="3">
        <f>'IPNR ex BNFL'!I75</f>
        <v>52581</v>
      </c>
      <c r="EL67">
        <v>2015</v>
      </c>
      <c r="EM67" s="4">
        <f t="shared" si="35"/>
        <v>1.0938435228953125</v>
      </c>
      <c r="EN67" s="4">
        <f t="shared" si="36"/>
        <v>1.3353154511995153</v>
      </c>
      <c r="EO67" s="4">
        <f t="shared" si="37"/>
        <v>0.53447786013205367</v>
      </c>
      <c r="EQ67">
        <v>2015</v>
      </c>
      <c r="ER67" s="4">
        <f>(HAVERQ!W109*$EW$2)+(HAVERQ!X109*$EX$2)/($EW$2+$EX$2)</f>
        <v>21.024528118783056</v>
      </c>
      <c r="ES67" s="4">
        <f>(HAVERQ!AB109*$EW$2)+(HAVERQ!AC109*$EY$2)+(HAVERQ!AD109*$EZ$2)+(HAVERQ!AE109*$FA$2)/($EW$2+$EY$2+$EZ$2+$FA$2)</f>
        <v>12.554486712924772</v>
      </c>
      <c r="ET67" s="21">
        <f>(HAVERQ!Y109*$EW$2)+(HAVERQ!Z109*$EX$2)/($EW$2+$EX$2)</f>
        <v>1.6620271078978439</v>
      </c>
      <c r="FC67" s="26">
        <v>45352</v>
      </c>
      <c r="FD67" s="4">
        <f>100*((HAVERM!E298+HAVERM!F298)/(HAVERM!E$249+HAVERM!F$249))</f>
        <v>111.01315663551061</v>
      </c>
      <c r="FE67" s="4">
        <f>100*(HAVERM!E298/HAVERM!E$249)</f>
        <v>111.90237314296741</v>
      </c>
      <c r="FF67" s="4">
        <f>100*(HAVERM!F298/HAVERM!F$249)</f>
        <v>110.52523855231213</v>
      </c>
      <c r="FG67">
        <v>100</v>
      </c>
      <c r="FV67" s="26">
        <v>44228</v>
      </c>
      <c r="FW67" s="3">
        <f>HAVERM!G261</f>
        <v>556435</v>
      </c>
      <c r="FX67" s="3">
        <f t="shared" si="127"/>
        <v>449658.4583333336</v>
      </c>
      <c r="GA67" s="3">
        <f t="shared" si="126"/>
        <v>106776.5416666664</v>
      </c>
      <c r="GD67" s="4">
        <f>100*(DataQ!W217/DataQ!W$194)</f>
        <v>109.48277182915047</v>
      </c>
      <c r="GE67" s="4">
        <f>100*(DataQ!X217/DataQ!X$194)</f>
        <v>103.15770117466241</v>
      </c>
      <c r="GF67" s="4">
        <f>100*(DataQ!C217/DataQ!C$194)</f>
        <v>104.11070426170275</v>
      </c>
      <c r="GG67" s="4"/>
      <c r="GH67">
        <v>100</v>
      </c>
      <c r="GK67" s="4">
        <f>100*(DataQ!Z197/AVERAGE(DataQ!$Z$203:$Z$206))</f>
        <v>87.842779994481361</v>
      </c>
      <c r="GL67" s="4">
        <f>100*(DataQ!C197/AVERAGE(DataQ!$C$203:$C$206))</f>
        <v>91.423319547144587</v>
      </c>
      <c r="GM67" s="4">
        <v>100</v>
      </c>
      <c r="GP67" s="4">
        <f>100*(DataQ!Z197/DataQ!$Z$194)</f>
        <v>87.515054195102365</v>
      </c>
      <c r="GQ67" s="4">
        <f>100*(DataQ!C197/DataQ!$C$194)</f>
        <v>88.25047585250185</v>
      </c>
      <c r="GR67" s="4">
        <v>100</v>
      </c>
      <c r="HZ67" s="22"/>
      <c r="IF67" s="3"/>
      <c r="IR67">
        <f>HAVERQ!AH138</f>
        <v>-5.4</v>
      </c>
      <c r="IS67" s="4">
        <f>100*(('IPNR ex BNFL'!I107/'IPNR ex BNFL'!I103)-1)</f>
        <v>6.8230464226815002</v>
      </c>
      <c r="IT67">
        <v>0</v>
      </c>
    </row>
    <row r="68" spans="1:254" x14ac:dyDescent="0.25">
      <c r="B68" s="4">
        <f>100*((DataQ!C138/DataQ!C134)-1)</f>
        <v>4.445338191109327</v>
      </c>
      <c r="C68" s="4">
        <f t="shared" si="11"/>
        <v>18.96283778686422</v>
      </c>
      <c r="D68" s="4">
        <v>0</v>
      </c>
      <c r="G68" s="4">
        <f>100*((AVERAGE(DataQ!C135:C138)/AVERAGE(DataQ!C131:C134))-1)</f>
        <v>5.2415325828271797</v>
      </c>
      <c r="H68" s="4">
        <f t="shared" si="39"/>
        <v>18.836484073130165</v>
      </c>
      <c r="I68" s="4">
        <v>0</v>
      </c>
      <c r="K68" s="4">
        <f t="shared" si="12"/>
        <v>18.96283778686422</v>
      </c>
      <c r="L68" s="4">
        <f>100*(HAVERQ!AF72/HAVERQ!AI72)</f>
        <v>18.96283778686422</v>
      </c>
      <c r="AV68" s="36">
        <v>45383</v>
      </c>
      <c r="AW68" s="21">
        <f>HAVERM!D299</f>
        <v>5.25</v>
      </c>
      <c r="AX68" s="21">
        <f>HAVERM!B299</f>
        <v>6.87</v>
      </c>
      <c r="AY68" s="21">
        <f>HAVERM!C299</f>
        <v>3.58</v>
      </c>
      <c r="EA68" s="4">
        <f t="shared" si="121"/>
        <v>0.44070684051540443</v>
      </c>
      <c r="EB68" s="4">
        <f t="shared" si="122"/>
        <v>0.57901302018931777</v>
      </c>
      <c r="EC68" s="4">
        <f t="shared" si="18"/>
        <v>10.581194698388231</v>
      </c>
      <c r="ED68" s="3">
        <v>0</v>
      </c>
      <c r="EF68" s="4">
        <f t="shared" si="123"/>
        <v>1.0197198607047222</v>
      </c>
      <c r="EG68" s="4">
        <f t="shared" si="124"/>
        <v>0.69460655877261113</v>
      </c>
      <c r="EJ68" s="3">
        <f>'IPNR ex BNFL'!I76</f>
        <v>54474</v>
      </c>
      <c r="EM68" s="4">
        <f t="shared" si="35"/>
        <v>1.0197198607047222</v>
      </c>
      <c r="EN68" s="4">
        <f t="shared" si="36"/>
        <v>0.62339297509770686</v>
      </c>
      <c r="EO68" s="4">
        <f t="shared" si="37"/>
        <v>0.44070684051540443</v>
      </c>
      <c r="ER68" s="4">
        <f>(HAVERQ!W110*$EW$2)+(HAVERQ!X110*$EX$2)/($EW$2+$EX$2)</f>
        <v>20.155732932214079</v>
      </c>
      <c r="ES68" s="4">
        <f>(HAVERQ!AB110*$EW$2)+(HAVERQ!AC110*$EY$2)+(HAVERQ!AD110*$EZ$2)+(HAVERQ!AE110*$FA$2)/($EW$2+$EY$2+$EZ$2+$FA$2)</f>
        <v>2.536452520743365</v>
      </c>
      <c r="ET68" s="21">
        <f>(HAVERQ!Y110*$EW$2)+(HAVERQ!Z110*$EX$2)/($EW$2+$EX$2)</f>
        <v>1.5147556892619729</v>
      </c>
      <c r="FC68" s="26">
        <v>45383</v>
      </c>
      <c r="FD68" s="4">
        <f>100*((HAVERM!E299+HAVERM!F299)/(HAVERM!E$249+HAVERM!F$249))</f>
        <v>110.30154990361522</v>
      </c>
      <c r="FE68" s="4">
        <f>100*(HAVERM!E299/HAVERM!E$249)</f>
        <v>111.2785388127854</v>
      </c>
      <c r="FF68" s="4">
        <f>100*(HAVERM!F299/HAVERM!F$249)</f>
        <v>109.76547061148439</v>
      </c>
      <c r="FG68">
        <v>100</v>
      </c>
      <c r="FV68" s="26">
        <v>44256</v>
      </c>
      <c r="FW68" s="3">
        <f>HAVERM!G262</f>
        <v>557431</v>
      </c>
      <c r="FX68" s="3">
        <f t="shared" si="127"/>
        <v>451373.06250000029</v>
      </c>
      <c r="GA68" s="3">
        <f t="shared" si="126"/>
        <v>106057.93749999971</v>
      </c>
      <c r="GD68" s="4">
        <f>100*(DataQ!W218/DataQ!W$194)</f>
        <v>109.98639584149825</v>
      </c>
      <c r="GE68" s="4">
        <f>100*(DataQ!X218/DataQ!X$194)</f>
        <v>103.632176967834</v>
      </c>
      <c r="GF68" s="4">
        <f>100*(DataQ!C218/DataQ!C$194)</f>
        <v>105.09976771945672</v>
      </c>
      <c r="GG68" s="4"/>
      <c r="GH68">
        <v>100</v>
      </c>
      <c r="GK68" s="4">
        <f>100*(DataQ!Z198/AVERAGE(DataQ!$Z$203:$Z$206))</f>
        <v>92.688674080335673</v>
      </c>
      <c r="GL68" s="4">
        <f>100*(DataQ!C198/AVERAGE(DataQ!$C$203:$C$206))</f>
        <v>96.545097547729455</v>
      </c>
      <c r="GM68" s="4">
        <v>100</v>
      </c>
      <c r="GP68" s="4">
        <f>100*(DataQ!Z198/DataQ!$Z$194)</f>
        <v>92.342869111409769</v>
      </c>
      <c r="GQ68" s="4">
        <f>100*(DataQ!C198/DataQ!$C$194)</f>
        <v>93.194502693809085</v>
      </c>
      <c r="GR68" s="4">
        <v>100</v>
      </c>
      <c r="HZ68" s="22"/>
      <c r="IF68" s="3"/>
      <c r="IR68">
        <f>HAVERQ!AH139</f>
        <v>-10.199999999999999</v>
      </c>
      <c r="IS68" s="4">
        <f>100*(('IPNR ex BNFL'!I108/'IPNR ex BNFL'!I104)-1)</f>
        <v>3.6202735317779622</v>
      </c>
      <c r="IT68">
        <v>0</v>
      </c>
    </row>
    <row r="69" spans="1:254" x14ac:dyDescent="0.25">
      <c r="A69">
        <v>2006</v>
      </c>
      <c r="B69" s="4">
        <f>100*((DataQ!C139/DataQ!C135)-1)</f>
        <v>10.326461706731349</v>
      </c>
      <c r="C69" s="4">
        <f t="shared" si="11"/>
        <v>20.331088209040008</v>
      </c>
      <c r="D69" s="4">
        <v>0</v>
      </c>
      <c r="F69">
        <v>2006</v>
      </c>
      <c r="G69" s="4">
        <f>100*((AVERAGE(DataQ!C136:C139)/AVERAGE(DataQ!C132:C135))-1)</f>
        <v>8.1288697341264982</v>
      </c>
      <c r="H69" s="4">
        <f t="shared" si="39"/>
        <v>19.263320715620559</v>
      </c>
      <c r="I69" s="4">
        <v>0</v>
      </c>
      <c r="K69" s="4">
        <f t="shared" si="12"/>
        <v>20.331088209040008</v>
      </c>
      <c r="L69" s="4">
        <f>100*(HAVERQ!AF73/HAVERQ!AI73)</f>
        <v>20.331088209040008</v>
      </c>
      <c r="AV69" s="36">
        <v>45413</v>
      </c>
      <c r="AW69" s="21">
        <f>HAVERM!D300</f>
        <v>5.25</v>
      </c>
      <c r="AX69" s="21">
        <f>HAVERM!B300</f>
        <v>6.88</v>
      </c>
      <c r="AY69" s="21">
        <f>HAVERM!C300</f>
        <v>3.62</v>
      </c>
      <c r="DZ69">
        <v>2016</v>
      </c>
      <c r="EA69" s="4">
        <f t="shared" si="121"/>
        <v>0.45810504712364764</v>
      </c>
      <c r="EB69" s="4">
        <f t="shared" si="122"/>
        <v>0.30566152331256768</v>
      </c>
      <c r="EC69" s="4">
        <f t="shared" si="18"/>
        <v>6.4251207729468574</v>
      </c>
      <c r="ED69" s="3">
        <v>0</v>
      </c>
      <c r="EF69" s="4">
        <f t="shared" si="123"/>
        <v>0.76376657043621532</v>
      </c>
      <c r="EG69" s="4">
        <f t="shared" si="124"/>
        <v>0.59041819519201222</v>
      </c>
      <c r="EI69" s="22">
        <v>2015</v>
      </c>
      <c r="EJ69" s="3">
        <f>'IPNR ex BNFL'!I77</f>
        <v>57960</v>
      </c>
      <c r="EM69" s="4">
        <f t="shared" si="35"/>
        <v>0.76376657043621532</v>
      </c>
      <c r="EN69" s="4">
        <f t="shared" si="36"/>
        <v>0.54938296801617359</v>
      </c>
      <c r="EO69" s="4">
        <f t="shared" si="37"/>
        <v>0.45810504712364764</v>
      </c>
      <c r="ER69" s="4">
        <f>(HAVERQ!W111*$EW$2)+(HAVERQ!X111*$EX$2)/($EW$2+$EX$2)</f>
        <v>17.155732932214082</v>
      </c>
      <c r="ES69" s="4">
        <f>(HAVERQ!AB111*$EW$2)+(HAVERQ!AC111*$EY$2)+(HAVERQ!AD111*$EZ$2)+(HAVERQ!AE111*$FA$2)/($EW$2+$EY$2+$EZ$2+$FA$2)</f>
        <v>1.49499813997121</v>
      </c>
      <c r="ET69" s="21">
        <f>(HAVERQ!Y111*$EW$2)+(HAVERQ!Z111*$EX$2)/($EW$2+$EX$2)</f>
        <v>1.5420803208954017</v>
      </c>
      <c r="FC69" s="26">
        <v>45413</v>
      </c>
      <c r="FD69" s="4">
        <f>100*((HAVERM!E300+HAVERM!F300)/(HAVERM!E$249+HAVERM!F$249))</f>
        <v>110.28810616452402</v>
      </c>
      <c r="FE69" s="4">
        <f>100*(HAVERM!E300/HAVERM!E$249)</f>
        <v>110.09325358543958</v>
      </c>
      <c r="FF69" s="4">
        <f>100*(HAVERM!F300/HAVERM!F$249)</f>
        <v>110.3950228671447</v>
      </c>
      <c r="FG69">
        <v>100</v>
      </c>
      <c r="FV69" s="26">
        <v>44287</v>
      </c>
      <c r="FW69" s="3">
        <f>HAVERM!G263</f>
        <v>561235</v>
      </c>
      <c r="FX69" s="3">
        <f t="shared" si="127"/>
        <v>453087.66666666698</v>
      </c>
      <c r="GA69" s="3">
        <f t="shared" si="126"/>
        <v>108147.33333333302</v>
      </c>
      <c r="GD69" s="3"/>
      <c r="GE69" s="3"/>
      <c r="GJ69" s="22">
        <v>2021</v>
      </c>
      <c r="GK69" s="4">
        <f>100*(DataQ!Z199/AVERAGE(DataQ!$Z$203:$Z$206))</f>
        <v>84.291577061716822</v>
      </c>
      <c r="GL69" s="4">
        <f>100*(DataQ!C199/AVERAGE(DataQ!$C$203:$C$206))</f>
        <v>89.949450641266665</v>
      </c>
      <c r="GM69" s="4">
        <v>100</v>
      </c>
      <c r="GO69" s="22">
        <v>2021</v>
      </c>
      <c r="GP69" s="4">
        <f>100*(DataQ!Z199/DataQ!$Z$194)</f>
        <v>83.977100169305146</v>
      </c>
      <c r="GQ69" s="4">
        <f>100*(DataQ!C199/DataQ!$C$194)</f>
        <v>86.827757524921765</v>
      </c>
      <c r="GR69" s="4">
        <v>100</v>
      </c>
      <c r="HZ69" s="22"/>
      <c r="IF69" s="3"/>
      <c r="IQ69">
        <v>2023</v>
      </c>
      <c r="IR69">
        <f>HAVERQ!AH140</f>
        <v>-14.9</v>
      </c>
      <c r="IS69" s="4">
        <f>100*(('IPNR ex BNFL'!I109/'IPNR ex BNFL'!I105)-1)</f>
        <v>6.0760912007877366</v>
      </c>
      <c r="IT69">
        <v>0</v>
      </c>
    </row>
    <row r="70" spans="1:254" x14ac:dyDescent="0.25">
      <c r="B70" s="4">
        <f>100*((DataQ!C140/DataQ!C136)-1)</f>
        <v>3.1853471716014603</v>
      </c>
      <c r="C70" s="4">
        <f t="shared" ref="C70:C133" si="128">K70</f>
        <v>19.26958477611057</v>
      </c>
      <c r="D70" s="4">
        <v>0</v>
      </c>
      <c r="G70" s="4">
        <f>100*((AVERAGE(DataQ!C137:C140)/AVERAGE(DataQ!C133:C136))-1)</f>
        <v>6.2815833177914504</v>
      </c>
      <c r="H70" s="4">
        <f t="shared" si="39"/>
        <v>19.344771560401725</v>
      </c>
      <c r="I70" s="4">
        <v>0</v>
      </c>
      <c r="K70" s="4">
        <f t="shared" ref="K70:K133" si="129">L70</f>
        <v>19.26958477611057</v>
      </c>
      <c r="L70" s="4">
        <f>100*(HAVERQ!AF74/HAVERQ!AI74)</f>
        <v>19.26958477611057</v>
      </c>
      <c r="AV70" s="36">
        <v>45444</v>
      </c>
      <c r="AW70" s="21">
        <f>HAVERM!D301</f>
        <v>5.25</v>
      </c>
      <c r="AX70" s="21">
        <f>HAVERM!B301</f>
        <v>6.92</v>
      </c>
      <c r="AY70" s="21">
        <f>HAVERM!C301</f>
        <v>3.66</v>
      </c>
      <c r="EA70" s="4">
        <f t="shared" si="121"/>
        <v>0.43305508988800717</v>
      </c>
      <c r="EB70" s="4">
        <f t="shared" si="122"/>
        <v>0.66348929715430516</v>
      </c>
      <c r="EC70" s="4">
        <f t="shared" ref="EC70:EC93" si="130">100*((EJ74/EJ70)-1)</f>
        <v>9.0504477347282517</v>
      </c>
      <c r="ED70" s="3">
        <v>0</v>
      </c>
      <c r="EF70" s="4">
        <f t="shared" si="123"/>
        <v>1.0965443870423124</v>
      </c>
      <c r="EG70" s="4">
        <f t="shared" si="124"/>
        <v>0.86305989801279948</v>
      </c>
      <c r="EJ70" s="3">
        <f>'IPNR ex BNFL'!I78</f>
        <v>56395</v>
      </c>
      <c r="EM70" s="4">
        <f t="shared" si="35"/>
        <v>1.0595802171080786</v>
      </c>
      <c r="EN70" s="4">
        <f t="shared" si="36"/>
        <v>1.0965443870423124</v>
      </c>
      <c r="EO70" s="4">
        <f t="shared" si="37"/>
        <v>0.43305508988800717</v>
      </c>
      <c r="ER70" s="4">
        <f>(HAVERQ!W112*$EW$2)+(HAVERQ!X112*$EX$2)/($EW$2+$EX$2)</f>
        <v>20.622931728856322</v>
      </c>
      <c r="ES70" s="4">
        <f>(HAVERQ!AB112*$EW$2)+(HAVERQ!AC112*$EY$2)+(HAVERQ!AD112*$EZ$2)+(HAVERQ!AE112*$FA$2)/($EW$2+$EY$2+$EZ$2+$FA$2)</f>
        <v>9.1945468808125881</v>
      </c>
      <c r="ET70" s="21">
        <f>(HAVERQ!Y112*$EW$2)+(HAVERQ!Z112*$EX$2)/($EW$2+$EX$2)</f>
        <v>1.5027382858621636</v>
      </c>
      <c r="FC70" s="26">
        <v>45444</v>
      </c>
      <c r="FD70" s="4">
        <f>100*((HAVERM!E301+HAVERM!F301)/(HAVERM!E$249+HAVERM!F$249))</f>
        <v>111.15351838602217</v>
      </c>
      <c r="FE70" s="4">
        <f>100*(HAVERM!E301/HAVERM!E$249)</f>
        <v>110.52672197568975</v>
      </c>
      <c r="FF70" s="4">
        <f>100*(HAVERM!F301/HAVERM!F$249)</f>
        <v>111.49744509062165</v>
      </c>
      <c r="FG70">
        <v>100</v>
      </c>
      <c r="FV70" s="26">
        <v>44317</v>
      </c>
      <c r="FW70" s="3">
        <f>HAVERM!G264</f>
        <v>561962</v>
      </c>
      <c r="FX70" s="3">
        <f t="shared" si="127"/>
        <v>454802.27083333366</v>
      </c>
      <c r="GA70" s="3">
        <f t="shared" si="126"/>
        <v>107159.72916666634</v>
      </c>
      <c r="GD70" s="3"/>
      <c r="GE70" s="3"/>
      <c r="GK70" s="4">
        <f>100*(DataQ!Z200/AVERAGE(DataQ!$Z$203:$Z$206))</f>
        <v>94.088482241795404</v>
      </c>
      <c r="GL70" s="4">
        <f>100*(DataQ!C200/AVERAGE(DataQ!$C$203:$C$206))</f>
        <v>96.899360822158158</v>
      </c>
      <c r="GM70" s="4">
        <v>100</v>
      </c>
      <c r="GP70" s="4">
        <f>100*(DataQ!Z200/DataQ!$Z$194)</f>
        <v>93.737454837414688</v>
      </c>
      <c r="GQ70" s="4">
        <f>100*(DataQ!C200/DataQ!$C$194)</f>
        <v>93.536471271413362</v>
      </c>
      <c r="GR70" s="4">
        <v>100</v>
      </c>
      <c r="HZ70" s="22"/>
      <c r="IF70" s="3"/>
      <c r="IR70">
        <f>HAVERQ!AH141</f>
        <v>1</v>
      </c>
      <c r="IS70" s="4">
        <f>100*(('IPNR ex BNFL'!I110/'IPNR ex BNFL'!I106)-1)</f>
        <v>3.0166412517403707</v>
      </c>
      <c r="IT70">
        <v>0</v>
      </c>
    </row>
    <row r="71" spans="1:254" x14ac:dyDescent="0.25">
      <c r="B71" s="4">
        <f>100*((DataQ!C141/DataQ!C137)-1)</f>
        <v>8.2330403425738155</v>
      </c>
      <c r="C71" s="4">
        <f t="shared" si="128"/>
        <v>21.084491175366129</v>
      </c>
      <c r="D71" s="4">
        <v>0</v>
      </c>
      <c r="G71" s="4">
        <f>100*((AVERAGE(DataQ!C138:C141)/AVERAGE(DataQ!C134:C137))-1)</f>
        <v>6.5450135100154405</v>
      </c>
      <c r="H71" s="4">
        <f t="shared" si="39"/>
        <v>19.912000486845233</v>
      </c>
      <c r="I71" s="4">
        <v>0</v>
      </c>
      <c r="K71" s="4">
        <f t="shared" si="129"/>
        <v>21.084491175366129</v>
      </c>
      <c r="L71" s="4">
        <f>100*(HAVERQ!AF75/HAVERQ!AI75)</f>
        <v>21.084491175366129</v>
      </c>
      <c r="AV71" s="36">
        <v>45474</v>
      </c>
      <c r="AW71" s="21">
        <f>HAVERM!D302</f>
        <v>5.25</v>
      </c>
      <c r="AX71" s="21">
        <f>HAVERM!B302</f>
        <v>6.88</v>
      </c>
      <c r="AY71" s="21">
        <f>HAVERM!C302</f>
        <v>3.7</v>
      </c>
      <c r="EA71" s="4">
        <f t="shared" ref="EA71:EA104" si="131">MIN(EM71:EO71)</f>
        <v>0.23073013620235688</v>
      </c>
      <c r="EB71" s="4">
        <f t="shared" ref="EB71:EB102" si="132">+EF71-EA71</f>
        <v>0.30547953330222405</v>
      </c>
      <c r="EC71" s="4">
        <f t="shared" si="130"/>
        <v>11.444397253486226</v>
      </c>
      <c r="ED71" s="3">
        <v>0</v>
      </c>
      <c r="EF71" s="4">
        <f t="shared" ref="EF71:EF105" si="133">MAX(EM71:EO71)</f>
        <v>0.53620966950458093</v>
      </c>
      <c r="EG71" s="4">
        <f t="shared" ref="EG71:EG105" si="134">AVERAGE(EM71:EO71)</f>
        <v>0.37503135978280749</v>
      </c>
      <c r="EJ71" s="3">
        <f>'IPNR ex BNFL'!I79</f>
        <v>56508</v>
      </c>
      <c r="EL71">
        <v>2016</v>
      </c>
      <c r="EM71" s="4">
        <f t="shared" si="35"/>
        <v>0.35815427364148483</v>
      </c>
      <c r="EN71" s="4">
        <f t="shared" si="36"/>
        <v>0.53620966950458093</v>
      </c>
      <c r="EO71" s="4">
        <f t="shared" si="37"/>
        <v>0.23073013620235688</v>
      </c>
      <c r="EQ71">
        <v>2016</v>
      </c>
      <c r="ER71" s="4">
        <f>(HAVERQ!W113*$EW$2)+(HAVERQ!X113*$EX$2)/($EW$2+$EX$2)</f>
        <v>12.401596389926731</v>
      </c>
      <c r="ES71" s="4">
        <f>(HAVERQ!AB113*$EW$2)+(HAVERQ!AC113*$EY$2)+(HAVERQ!AD113*$EZ$2)+(HAVERQ!AE113*$FA$2)/($EW$2+$EY$2+$EZ$2+$FA$2)</f>
        <v>1.3096260533423907</v>
      </c>
      <c r="ET71" s="21">
        <f>(HAVERQ!Y113*$EW$2)+(HAVERQ!Z113*$EX$2)/($EW$2+$EX$2)</f>
        <v>1.1849782457502382</v>
      </c>
      <c r="FC71" s="26">
        <v>45474</v>
      </c>
      <c r="FD71" s="4">
        <f>100*((HAVERM!E302+HAVERM!F302)/(HAVERM!E$249+HAVERM!F$249))</f>
        <v>110.44669671380329</v>
      </c>
      <c r="FE71" s="4">
        <f>100*(HAVERM!E302/HAVERM!E$249)</f>
        <v>109.96655733487684</v>
      </c>
      <c r="FF71" s="4">
        <f>100*(HAVERM!F302/HAVERM!F$249)</f>
        <v>110.71015188301057</v>
      </c>
      <c r="FG71">
        <v>100</v>
      </c>
      <c r="FV71" s="26">
        <v>44348</v>
      </c>
      <c r="FW71" s="3">
        <f>HAVERM!G265</f>
        <v>568234</v>
      </c>
      <c r="FX71" s="3">
        <f t="shared" si="127"/>
        <v>456516.87500000035</v>
      </c>
      <c r="GA71" s="3">
        <f t="shared" si="126"/>
        <v>111717.12499999965</v>
      </c>
      <c r="GD71" s="3"/>
      <c r="GE71" s="3"/>
      <c r="GK71" s="4">
        <f>100*(DataQ!Z201/AVERAGE(DataQ!$Z$203:$Z$206))</f>
        <v>92.914675648331041</v>
      </c>
      <c r="GL71" s="4">
        <f>100*(DataQ!C201/AVERAGE(DataQ!$C$203:$C$206))</f>
        <v>95.246689225884623</v>
      </c>
      <c r="GM71" s="4">
        <v>100</v>
      </c>
      <c r="GP71" s="4">
        <f>100*(DataQ!Z201/DataQ!$Z$194)</f>
        <v>92.568027507723457</v>
      </c>
      <c r="GQ71" s="4">
        <f>100*(DataQ!C201/DataQ!$C$194)</f>
        <v>91.94115559570281</v>
      </c>
      <c r="GR71" s="4">
        <v>100</v>
      </c>
      <c r="HZ71" s="22"/>
      <c r="IF71" s="3"/>
      <c r="IR71">
        <f>HAVERQ!AH142</f>
        <v>-6.9</v>
      </c>
      <c r="IS71" s="4">
        <f>100*(('IPNR ex BNFL'!I111/'IPNR ex BNFL'!I107)-1)</f>
        <v>-0.97065054937836015</v>
      </c>
      <c r="IT71">
        <v>0</v>
      </c>
    </row>
    <row r="72" spans="1:254" x14ac:dyDescent="0.25">
      <c r="B72" s="4">
        <f>100*((DataQ!C142/DataQ!C138)-1)</f>
        <v>8.9947449488085631</v>
      </c>
      <c r="C72" s="4">
        <f t="shared" si="128"/>
        <v>23.836969946480032</v>
      </c>
      <c r="D72" s="4">
        <v>0</v>
      </c>
      <c r="G72" s="4">
        <f>100*((AVERAGE(DataQ!C139:C142)/AVERAGE(DataQ!C135:C138))-1)</f>
        <v>7.6780109155669019</v>
      </c>
      <c r="H72" s="4">
        <f t="shared" si="39"/>
        <v>21.130533526749183</v>
      </c>
      <c r="I72" s="4">
        <v>0</v>
      </c>
      <c r="K72" s="4">
        <f t="shared" si="129"/>
        <v>23.836969946480032</v>
      </c>
      <c r="L72" s="4">
        <f>100*(HAVERQ!AF76/HAVERQ!AI76)</f>
        <v>23.836969946480032</v>
      </c>
      <c r="AV72" s="36">
        <v>45505</v>
      </c>
      <c r="AW72" s="21">
        <f>HAVERM!D303</f>
        <v>5</v>
      </c>
      <c r="AX72" s="21">
        <f>HAVERM!B303</f>
        <v>6.77</v>
      </c>
      <c r="AY72" s="21">
        <f>HAVERM!C303</f>
        <v>3.73</v>
      </c>
      <c r="EA72" s="4">
        <f t="shared" si="131"/>
        <v>0.16096790021646265</v>
      </c>
      <c r="EB72" s="4">
        <f t="shared" si="132"/>
        <v>1.2159826338999058</v>
      </c>
      <c r="EC72" s="4">
        <f t="shared" si="130"/>
        <v>0.67565324213951783</v>
      </c>
      <c r="ED72" s="3">
        <v>0</v>
      </c>
      <c r="EF72" s="4">
        <f t="shared" si="133"/>
        <v>1.3769505341163684</v>
      </c>
      <c r="EG72" s="4">
        <f t="shared" si="134"/>
        <v>0.6623291740044247</v>
      </c>
      <c r="EJ72" s="3">
        <f>'IPNR ex BNFL'!I80</f>
        <v>60238</v>
      </c>
      <c r="EM72" s="4">
        <f t="shared" ref="EM72:EM95" si="135">(ER72-ER$2)/ER$3</f>
        <v>0.44906908768044329</v>
      </c>
      <c r="EN72" s="4">
        <f t="shared" ref="EN72:EN95" si="136">(ES72-ES$2)/ES$3</f>
        <v>1.3769505341163684</v>
      </c>
      <c r="EO72" s="4">
        <f t="shared" ref="EO72:EO95" si="137">(ET72-ET$2)/ET$3</f>
        <v>0.16096790021646265</v>
      </c>
      <c r="ER72" s="4">
        <f>(HAVERQ!W114*$EW$2)+(HAVERQ!X114*$EX$2)/($EW$2+$EX$2)</f>
        <v>13.467198796642244</v>
      </c>
      <c r="ES72" s="4">
        <f>(HAVERQ!AB114*$EW$2)+(HAVERQ!AC114*$EY$2)+(HAVERQ!AD114*$EZ$2)+(HAVERQ!AE114*$FA$2)/($EW$2+$EY$2+$EZ$2+$FA$2)</f>
        <v>13.140367476992253</v>
      </c>
      <c r="ET72" s="21">
        <f>(HAVERQ!Y114*$EW$2)+(HAVERQ!Z114*$EX$2)/($EW$2+$EX$2)</f>
        <v>1.0754136542287349</v>
      </c>
      <c r="FC72" s="26">
        <v>45505</v>
      </c>
      <c r="FD72" s="4">
        <f>100*((HAVERM!E303+HAVERM!F303)/(HAVERM!E$249+HAVERM!F$249))</f>
        <v>111.60376971558517</v>
      </c>
      <c r="FE72" s="4">
        <f>100*(HAVERM!E303/HAVERM!E$249)</f>
        <v>109.41603961669561</v>
      </c>
      <c r="FF72" s="4">
        <f>100*(HAVERM!F303/HAVERM!F$249)</f>
        <v>112.80418948675963</v>
      </c>
      <c r="FG72">
        <v>100</v>
      </c>
      <c r="FV72" s="26">
        <v>44378</v>
      </c>
      <c r="FW72" s="3">
        <f>HAVERM!G266</f>
        <v>560853</v>
      </c>
      <c r="FX72" s="3">
        <f t="shared" si="127"/>
        <v>458231.47916666704</v>
      </c>
      <c r="GA72" s="3">
        <f t="shared" si="126"/>
        <v>102621.52083333296</v>
      </c>
      <c r="GD72" s="3"/>
      <c r="GE72" s="3"/>
      <c r="GK72" s="4">
        <f>100*(DataQ!Z202/AVERAGE(DataQ!$Z$203:$Z$206))</f>
        <v>93.625967404967653</v>
      </c>
      <c r="GL72" s="4">
        <f>100*(DataQ!C202/AVERAGE(DataQ!$C$203:$C$206))</f>
        <v>95.54747879851277</v>
      </c>
      <c r="GM72" s="4">
        <v>100</v>
      </c>
      <c r="GP72" s="4">
        <f>100*(DataQ!Z202/DataQ!$Z$194)</f>
        <v>93.276665561237849</v>
      </c>
      <c r="GQ72" s="4">
        <f>100*(DataQ!C202/DataQ!$C$194)</f>
        <v>92.231506274800793</v>
      </c>
      <c r="GR72" s="4">
        <v>100</v>
      </c>
      <c r="HZ72" s="22"/>
      <c r="IF72" s="3"/>
      <c r="IR72">
        <f>HAVERQ!AH143</f>
        <v>-2.5</v>
      </c>
      <c r="IS72" s="4">
        <f>100*(('IPNR ex BNFL'!I112/'IPNR ex BNFL'!I108)-1)</f>
        <v>2.9925060761544664</v>
      </c>
      <c r="IT72">
        <v>0</v>
      </c>
    </row>
    <row r="73" spans="1:254" x14ac:dyDescent="0.25">
      <c r="A73">
        <v>2007</v>
      </c>
      <c r="B73" s="4">
        <f>100*((DataQ!C143/DataQ!C139)-1)</f>
        <v>8.6831896551724075</v>
      </c>
      <c r="C73" s="4">
        <f t="shared" si="128"/>
        <v>24.465338012315435</v>
      </c>
      <c r="D73" s="4">
        <v>0</v>
      </c>
      <c r="F73">
        <v>2007</v>
      </c>
      <c r="G73" s="4">
        <f>100*((AVERAGE(DataQ!C140:C143)/AVERAGE(DataQ!C136:C139))-1)</f>
        <v>7.3145401009928168</v>
      </c>
      <c r="H73" s="4">
        <f t="shared" si="39"/>
        <v>22.164095977568046</v>
      </c>
      <c r="I73" s="4">
        <v>0</v>
      </c>
      <c r="K73" s="4">
        <f t="shared" si="129"/>
        <v>24.465338012315435</v>
      </c>
      <c r="L73" s="4">
        <f>100*(HAVERQ!AF77/HAVERQ!AI77)</f>
        <v>24.465338012315435</v>
      </c>
      <c r="AV73" s="36">
        <v>45536</v>
      </c>
      <c r="AW73" s="21">
        <f>HAVERM!D304</f>
        <v>5</v>
      </c>
      <c r="AX73" s="21"/>
      <c r="AY73" s="21"/>
      <c r="DZ73">
        <v>2017</v>
      </c>
      <c r="EA73" s="4">
        <f t="shared" si="131"/>
        <v>-0.37946530858938859</v>
      </c>
      <c r="EB73" s="4">
        <f t="shared" si="132"/>
        <v>0.38471811850776294</v>
      </c>
      <c r="EC73" s="4">
        <f t="shared" si="130"/>
        <v>0.57713507554633114</v>
      </c>
      <c r="ED73" s="3">
        <v>0</v>
      </c>
      <c r="EF73" s="4">
        <f t="shared" si="133"/>
        <v>5.2528099183743208E-3</v>
      </c>
      <c r="EG73" s="4">
        <f t="shared" si="134"/>
        <v>-0.25058249142778571</v>
      </c>
      <c r="EI73" s="22">
        <v>2016</v>
      </c>
      <c r="EJ73" s="3">
        <f>'IPNR ex BNFL'!I81</f>
        <v>61684</v>
      </c>
      <c r="EM73" s="4">
        <f t="shared" si="135"/>
        <v>-0.37753497561234284</v>
      </c>
      <c r="EN73" s="4">
        <f t="shared" si="136"/>
        <v>5.2528099183743208E-3</v>
      </c>
      <c r="EO73" s="4">
        <f t="shared" si="137"/>
        <v>-0.37946530858938859</v>
      </c>
      <c r="ER73" s="4">
        <f>(HAVERQ!W115*$EW$2)+(HAVERQ!X115*$EX$2)/($EW$2+$EX$2)</f>
        <v>3.7786646610704064</v>
      </c>
      <c r="ES73" s="4">
        <f>(HAVERQ!AB115*$EW$2)+(HAVERQ!AC115*$EY$2)+(HAVERQ!AD115*$EZ$2)+(HAVERQ!AE115*$FA$2)/($EW$2+$EY$2+$EZ$2+$FA$2)</f>
        <v>-6.1618952884662033</v>
      </c>
      <c r="ET73" s="21">
        <f>(HAVERQ!Y115*$EW$2)+(HAVERQ!Z115*$EX$2)/($EW$2+$EX$2)</f>
        <v>0.22664006016788782</v>
      </c>
      <c r="FC73" s="26">
        <v>45536</v>
      </c>
      <c r="FD73" s="4"/>
      <c r="FE73" s="4"/>
      <c r="FF73" s="4"/>
      <c r="FG73">
        <v>100</v>
      </c>
      <c r="FV73" s="26">
        <v>44409</v>
      </c>
      <c r="FW73" s="3">
        <f>HAVERM!G267</f>
        <v>562186</v>
      </c>
      <c r="FX73" s="3">
        <f t="shared" si="127"/>
        <v>459946.08333333372</v>
      </c>
      <c r="GA73" s="3">
        <f t="shared" si="126"/>
        <v>102239.91666666628</v>
      </c>
      <c r="GD73" s="3"/>
      <c r="GE73" s="3"/>
      <c r="GJ73" s="22">
        <v>2022</v>
      </c>
      <c r="GK73" s="4">
        <f>100*(DataQ!Z203/AVERAGE(DataQ!$Z$203:$Z$206))</f>
        <v>96.528948786117553</v>
      </c>
      <c r="GL73" s="4">
        <f>100*(DataQ!C203/AVERAGE(DataQ!$C$203:$C$206))</f>
        <v>98.430045536199188</v>
      </c>
      <c r="GM73" s="4">
        <v>100</v>
      </c>
      <c r="GO73" s="22">
        <v>2022</v>
      </c>
      <c r="GP73" s="4">
        <f>100*(DataQ!Z203/DataQ!$Z$194)</f>
        <v>96.168816434817515</v>
      </c>
      <c r="GQ73" s="4">
        <f>100*(DataQ!C203/DataQ!$C$194)</f>
        <v>95.014033616156397</v>
      </c>
      <c r="GR73" s="4">
        <v>100</v>
      </c>
      <c r="HZ73" s="22"/>
      <c r="IF73" s="3"/>
      <c r="IQ73">
        <v>2024</v>
      </c>
      <c r="IR73">
        <f>HAVERQ!AH144</f>
        <v>10.9</v>
      </c>
      <c r="IS73" s="4">
        <f>100*(('IPNR ex BNFL'!I113/'IPNR ex BNFL'!I109)-1)</f>
        <v>-1.7797125572164729</v>
      </c>
      <c r="IT73">
        <v>0</v>
      </c>
    </row>
    <row r="74" spans="1:254" x14ac:dyDescent="0.25">
      <c r="B74" s="4">
        <f>100*((DataQ!C144/DataQ!C140)-1)</f>
        <v>14.678178963893252</v>
      </c>
      <c r="C74" s="4">
        <f t="shared" si="128"/>
        <v>22.297876111422919</v>
      </c>
      <c r="D74" s="4">
        <v>0</v>
      </c>
      <c r="G74" s="4">
        <f>100*((AVERAGE(DataQ!C141:C144)/AVERAGE(DataQ!C137:C140))-1)</f>
        <v>10.13770973995587</v>
      </c>
      <c r="H74" s="4">
        <f t="shared" ref="H74:H137" si="138">AVERAGE(K71:K74)</f>
        <v>22.921168811396132</v>
      </c>
      <c r="I74" s="4">
        <v>0</v>
      </c>
      <c r="K74" s="4">
        <f t="shared" si="129"/>
        <v>22.297876111422919</v>
      </c>
      <c r="L74" s="4">
        <f>100*(HAVERQ!AF78/HAVERQ!AI78)</f>
        <v>22.297876111422919</v>
      </c>
      <c r="EA74" s="4">
        <f t="shared" si="131"/>
        <v>-0.40138556593853375</v>
      </c>
      <c r="EB74" s="4">
        <f t="shared" si="132"/>
        <v>0.60960355030915447</v>
      </c>
      <c r="EC74" s="4">
        <f t="shared" si="130"/>
        <v>0.37561586367258482</v>
      </c>
      <c r="ED74" s="3">
        <v>0</v>
      </c>
      <c r="EF74" s="4">
        <f t="shared" si="133"/>
        <v>0.20821798437062075</v>
      </c>
      <c r="EG74" s="4">
        <f t="shared" si="134"/>
        <v>2.5459835652285969E-3</v>
      </c>
      <c r="EJ74" s="3">
        <f>'IPNR ex BNFL'!I82</f>
        <v>61499</v>
      </c>
      <c r="EM74" s="4">
        <f t="shared" si="135"/>
        <v>0.20080553226359882</v>
      </c>
      <c r="EN74" s="4">
        <f t="shared" si="136"/>
        <v>0.20821798437062075</v>
      </c>
      <c r="EO74" s="4">
        <f t="shared" si="137"/>
        <v>-0.40138556593853375</v>
      </c>
      <c r="ER74" s="4">
        <f>(HAVERQ!W116*$EW$2)+(HAVERQ!X116*$EX$2)/($EW$2+$EX$2)</f>
        <v>10.557329322140811</v>
      </c>
      <c r="ES74" s="4">
        <f>(HAVERQ!AB116*$EW$2)+(HAVERQ!AC116*$EY$2)+(HAVERQ!AD116*$EZ$2)+(HAVERQ!AE116*$FA$2)/($EW$2+$EY$2+$EZ$2+$FA$2)</f>
        <v>-3.305808950782021</v>
      </c>
      <c r="ET74" s="21">
        <f>(HAVERQ!Y116*$EW$2)+(HAVERQ!Z116*$EX$2)/($EW$2+$EX$2)</f>
        <v>0.19221335338929593</v>
      </c>
      <c r="FC74" s="26">
        <v>45566</v>
      </c>
      <c r="FD74" s="4"/>
      <c r="FG74">
        <v>100</v>
      </c>
      <c r="FV74" s="26">
        <v>44440</v>
      </c>
      <c r="FW74" s="3">
        <f>HAVERM!G268</f>
        <v>566619</v>
      </c>
      <c r="FX74" s="3">
        <f t="shared" si="127"/>
        <v>461660.68750000041</v>
      </c>
      <c r="GA74" s="3">
        <f t="shared" si="126"/>
        <v>104958.31249999959</v>
      </c>
      <c r="GD74" s="3"/>
      <c r="GE74" s="3"/>
      <c r="GK74" s="4">
        <f>100*(DataQ!Z204/AVERAGE(DataQ!$Z$203:$Z$206))</f>
        <v>99.551062776753369</v>
      </c>
      <c r="GL74" s="4">
        <f>100*(DataQ!C204/AVERAGE(DataQ!$C$203:$C$206))</f>
        <v>100.81798053223044</v>
      </c>
      <c r="GM74" s="4">
        <v>100</v>
      </c>
      <c r="GP74" s="4">
        <f>100*(DataQ!Z204/DataQ!$Z$194)</f>
        <v>99.179655455291226</v>
      </c>
      <c r="GQ74" s="4">
        <f>100*(DataQ!C204/DataQ!$C$194)</f>
        <v>97.319095396328677</v>
      </c>
      <c r="GR74" s="4">
        <v>100</v>
      </c>
      <c r="HZ74" s="22"/>
      <c r="IF74" s="3"/>
      <c r="IR74">
        <f>HAVERQ!AH145</f>
        <v>1.4</v>
      </c>
      <c r="IS74" s="4">
        <f>100*(('IPNR ex BNFL'!I114/'IPNR ex BNFL'!I110)-1)</f>
        <v>0.15767795083021507</v>
      </c>
      <c r="IT74">
        <v>0</v>
      </c>
    </row>
    <row r="75" spans="1:254" x14ac:dyDescent="0.25">
      <c r="B75" s="4">
        <f>100*((DataQ!C145/DataQ!C141)-1)</f>
        <v>1.794973241988207</v>
      </c>
      <c r="C75" s="4">
        <f t="shared" si="128"/>
        <v>24.64360358112113</v>
      </c>
      <c r="D75" s="4">
        <v>0</v>
      </c>
      <c r="G75" s="4">
        <f>100*((AVERAGE(DataQ!C142:C145)/AVERAGE(DataQ!C138:C141))-1)</f>
        <v>8.4117252035094801</v>
      </c>
      <c r="H75" s="4">
        <f t="shared" si="138"/>
        <v>23.810946912834879</v>
      </c>
      <c r="I75" s="4">
        <v>0</v>
      </c>
      <c r="K75" s="4">
        <f t="shared" si="129"/>
        <v>24.64360358112113</v>
      </c>
      <c r="L75" s="4">
        <f>100*(HAVERQ!AF79/HAVERQ!AI79)</f>
        <v>24.64360358112113</v>
      </c>
      <c r="EA75" s="4">
        <f t="shared" si="131"/>
        <v>-0.18349063852502878</v>
      </c>
      <c r="EB75" s="4">
        <f t="shared" si="132"/>
        <v>0.66112763442548461</v>
      </c>
      <c r="EC75" s="4">
        <f t="shared" si="130"/>
        <v>-3.6427153632393794</v>
      </c>
      <c r="ED75" s="3">
        <v>0</v>
      </c>
      <c r="EF75" s="4">
        <f t="shared" si="133"/>
        <v>0.47763699590045577</v>
      </c>
      <c r="EG75" s="4">
        <f t="shared" si="134"/>
        <v>0.16242071826245438</v>
      </c>
      <c r="EJ75" s="3">
        <f>'IPNR ex BNFL'!I83</f>
        <v>62975</v>
      </c>
      <c r="EL75">
        <v>2017</v>
      </c>
      <c r="EM75" s="4">
        <f t="shared" si="135"/>
        <v>0.19311579741193616</v>
      </c>
      <c r="EN75" s="4">
        <f t="shared" si="136"/>
        <v>0.47763699590045577</v>
      </c>
      <c r="EO75" s="4">
        <f t="shared" si="137"/>
        <v>-0.18349063852502878</v>
      </c>
      <c r="EQ75">
        <v>2017</v>
      </c>
      <c r="ER75" s="4">
        <f>(HAVERQ!W117*$EW$2)+(HAVERQ!X117*$EX$2)/($EW$2+$EX$2)</f>
        <v>10.467198796642244</v>
      </c>
      <c r="ES75" s="4">
        <f>(HAVERQ!AB117*$EW$2)+(HAVERQ!AC117*$EY$2)+(HAVERQ!AD117*$EZ$2)+(HAVERQ!AE117*$FA$2)/($EW$2+$EY$2+$EZ$2+$FA$2)</f>
        <v>0.48540281753926262</v>
      </c>
      <c r="ET75" s="21">
        <f>(HAVERQ!Y117*$EW$2)+(HAVERQ!Z117*$EX$2)/($EW$2+$EX$2)</f>
        <v>0.53442670677859194</v>
      </c>
      <c r="FC75" s="26">
        <v>45597</v>
      </c>
      <c r="FD75" s="4"/>
      <c r="FG75">
        <v>100</v>
      </c>
      <c r="FV75" s="26">
        <v>44470</v>
      </c>
      <c r="FW75" s="3">
        <f>HAVERM!G269</f>
        <v>571792</v>
      </c>
      <c r="FX75" s="3">
        <f t="shared" si="127"/>
        <v>463375.29166666709</v>
      </c>
      <c r="GA75" s="3">
        <f t="shared" si="126"/>
        <v>108416.70833333291</v>
      </c>
      <c r="GD75" s="3"/>
      <c r="GE75" s="3"/>
      <c r="GK75" s="4">
        <f>100*(DataQ!Z205/AVERAGE(DataQ!$Z$203:$Z$206))</f>
        <v>101.74625630154566</v>
      </c>
      <c r="GL75" s="4">
        <f>100*(DataQ!C205/AVERAGE(DataQ!$C$203:$C$206))</f>
        <v>101.7454150478339</v>
      </c>
      <c r="GM75" s="4">
        <v>100</v>
      </c>
      <c r="GP75" s="4">
        <f>100*(DataQ!Z205/DataQ!$Z$194)</f>
        <v>101.36665910320633</v>
      </c>
      <c r="GQ75" s="4">
        <f>100*(DataQ!C205/DataQ!$C$194)</f>
        <v>98.214343323547439</v>
      </c>
      <c r="GR75" s="4">
        <v>100</v>
      </c>
      <c r="HZ75" s="22"/>
      <c r="IF75" s="3"/>
      <c r="IR75">
        <f>HAVERQ!AH146</f>
        <v>3.4</v>
      </c>
      <c r="IT75">
        <v>0</v>
      </c>
    </row>
    <row r="76" spans="1:254" x14ac:dyDescent="0.25">
      <c r="B76" s="4">
        <f>100*((DataQ!C146/DataQ!C142)-1)</f>
        <v>10.124898688667683</v>
      </c>
      <c r="C76" s="4">
        <f t="shared" si="128"/>
        <v>24.65539887129599</v>
      </c>
      <c r="D76" s="4">
        <v>0</v>
      </c>
      <c r="G76" s="4">
        <f>100*((AVERAGE(DataQ!C143:C146)/AVERAGE(DataQ!C139:C142))-1)</f>
        <v>8.7147040591667881</v>
      </c>
      <c r="H76" s="4">
        <f t="shared" si="138"/>
        <v>24.015554144038866</v>
      </c>
      <c r="I76" s="4">
        <v>0</v>
      </c>
      <c r="K76" s="4">
        <f t="shared" si="129"/>
        <v>24.65539887129599</v>
      </c>
      <c r="L76" s="4">
        <f>100*(HAVERQ!AF80/HAVERQ!AI80)</f>
        <v>24.65539887129599</v>
      </c>
      <c r="EA76" s="4">
        <f t="shared" si="131"/>
        <v>3.0170005417927533E-2</v>
      </c>
      <c r="EB76" s="4">
        <f t="shared" si="132"/>
        <v>0.3604368427313594</v>
      </c>
      <c r="EC76" s="4">
        <f t="shared" si="130"/>
        <v>1.7610685134800796</v>
      </c>
      <c r="ED76" s="3">
        <v>0</v>
      </c>
      <c r="EF76" s="4">
        <f t="shared" si="133"/>
        <v>0.39060684814928692</v>
      </c>
      <c r="EG76" s="4">
        <f t="shared" si="134"/>
        <v>0.1510308720580269</v>
      </c>
      <c r="EJ76" s="3">
        <f>'IPNR ex BNFL'!I84</f>
        <v>60645</v>
      </c>
      <c r="EM76" s="4">
        <f t="shared" si="135"/>
        <v>3.0170005417927533E-2</v>
      </c>
      <c r="EN76" s="4">
        <f t="shared" si="136"/>
        <v>0.39060684814928692</v>
      </c>
      <c r="EO76" s="4">
        <f t="shared" si="137"/>
        <v>3.2315762606866243E-2</v>
      </c>
      <c r="ER76" s="4">
        <f>(HAVERQ!W118*$EW$2)+(HAVERQ!X118*$EX$2)/($EW$2+$EX$2)</f>
        <v>8.5573293221408129</v>
      </c>
      <c r="ES76" s="4">
        <f>(HAVERQ!AB118*$EW$2)+(HAVERQ!AC118*$EY$2)+(HAVERQ!AD118*$EZ$2)+(HAVERQ!AE118*$FA$2)/($EW$2+$EY$2+$EZ$2+$FA$2)</f>
        <v>-0.73926844258980706</v>
      </c>
      <c r="ET76" s="21">
        <f>(HAVERQ!Y118*$EW$2)+(HAVERQ!Z118*$EX$2)/($EW$2+$EX$2)</f>
        <v>0.87335993983211224</v>
      </c>
      <c r="FC76" s="26">
        <v>45627</v>
      </c>
      <c r="FD76" s="4"/>
      <c r="FG76">
        <v>100</v>
      </c>
      <c r="FV76" s="26">
        <v>44501</v>
      </c>
      <c r="FW76" s="3">
        <f>HAVERM!G270</f>
        <v>575639</v>
      </c>
      <c r="FX76" s="3">
        <f t="shared" si="127"/>
        <v>465089.89583333378</v>
      </c>
      <c r="GA76" s="3">
        <f t="shared" si="126"/>
        <v>110549.10416666622</v>
      </c>
      <c r="GD76" s="3"/>
      <c r="GE76" s="3"/>
      <c r="GK76" s="4">
        <f>100*(DataQ!Z206/AVERAGE(DataQ!$Z$203:$Z$206))</f>
        <v>102.17373213558344</v>
      </c>
      <c r="GL76" s="4">
        <f>100*(DataQ!C206/AVERAGE(DataQ!$C$203:$C$206))</f>
        <v>99.006558883736474</v>
      </c>
      <c r="GM76" s="4">
        <v>100</v>
      </c>
      <c r="GP76" s="4">
        <f>100*(DataQ!Z206/DataQ!$Z$194)</f>
        <v>101.79254010088492</v>
      </c>
      <c r="GQ76" s="4">
        <f>100*(DataQ!C206/DataQ!$C$194)</f>
        <v>95.570539084427537</v>
      </c>
      <c r="GR76" s="4">
        <v>100</v>
      </c>
      <c r="HZ76" s="22"/>
      <c r="IF76" s="3"/>
      <c r="IR76">
        <f>HAVERQ!AH147</f>
        <v>14.7</v>
      </c>
      <c r="IT76">
        <v>0</v>
      </c>
    </row>
    <row r="77" spans="1:254" x14ac:dyDescent="0.25">
      <c r="A77">
        <v>2008</v>
      </c>
      <c r="B77" s="4">
        <f>100*((DataQ!C147/DataQ!C143)-1)</f>
        <v>-2.5877967042773009</v>
      </c>
      <c r="C77" s="4">
        <f t="shared" si="128"/>
        <v>24.509013785790032</v>
      </c>
      <c r="D77" s="4">
        <v>0</v>
      </c>
      <c r="F77">
        <v>2008</v>
      </c>
      <c r="G77" s="4">
        <f>100*((AVERAGE(DataQ!C144:C147)/AVERAGE(DataQ!C140:C143))-1)</f>
        <v>5.7407107098205179</v>
      </c>
      <c r="H77" s="4">
        <f t="shared" si="138"/>
        <v>24.026473087407517</v>
      </c>
      <c r="I77" s="4">
        <v>0</v>
      </c>
      <c r="K77" s="4">
        <f t="shared" si="129"/>
        <v>24.509013785790032</v>
      </c>
      <c r="L77" s="4">
        <f>100*(HAVERQ!AF81/HAVERQ!AI81)</f>
        <v>24.509013785790032</v>
      </c>
      <c r="DZ77">
        <v>2018</v>
      </c>
      <c r="EA77" s="4">
        <f t="shared" si="131"/>
        <v>-1.1524752091423915E-2</v>
      </c>
      <c r="EB77" s="4">
        <f t="shared" si="132"/>
        <v>0.7845526514306187</v>
      </c>
      <c r="EC77" s="4">
        <f t="shared" si="130"/>
        <v>-1.1250805931656949</v>
      </c>
      <c r="ED77" s="3">
        <v>0</v>
      </c>
      <c r="EF77" s="4">
        <f t="shared" si="133"/>
        <v>0.7730278993391948</v>
      </c>
      <c r="EG77" s="4">
        <f t="shared" si="134"/>
        <v>0.34477988582214003</v>
      </c>
      <c r="EI77" s="22">
        <v>2017</v>
      </c>
      <c r="EJ77" s="3">
        <f>'IPNR ex BNFL'!I85</f>
        <v>62040</v>
      </c>
      <c r="EM77" s="4">
        <f t="shared" si="135"/>
        <v>0.27283651021864908</v>
      </c>
      <c r="EN77" s="4">
        <f t="shared" si="136"/>
        <v>0.7730278993391948</v>
      </c>
      <c r="EO77" s="4">
        <f t="shared" si="137"/>
        <v>-1.1524752091423915E-2</v>
      </c>
      <c r="ER77" s="4">
        <f>(HAVERQ!W119*$EW$2)+(HAVERQ!X119*$EX$2)/($EW$2+$EX$2)</f>
        <v>11.401596389926731</v>
      </c>
      <c r="ES77" s="4">
        <f>(HAVERQ!AB119*$EW$2)+(HAVERQ!AC119*$EY$2)+(HAVERQ!AD119*$EZ$2)+(HAVERQ!AE119*$FA$2)/($EW$2+$EY$2+$EZ$2+$FA$2)</f>
        <v>4.6420859818525884</v>
      </c>
      <c r="ET77" s="21">
        <f>(HAVERQ!Y119*$EW$2)+(HAVERQ!Z119*$EX$2)/($EW$2+$EX$2)</f>
        <v>0.80450652627492847</v>
      </c>
      <c r="FV77" s="26">
        <v>44531</v>
      </c>
      <c r="FW77" s="3">
        <f>HAVERM!G271</f>
        <v>577308</v>
      </c>
      <c r="FX77" s="3">
        <f t="shared" si="127"/>
        <v>466804.50000000047</v>
      </c>
      <c r="GA77" s="3">
        <f t="shared" si="126"/>
        <v>110503.49999999953</v>
      </c>
      <c r="GD77" s="3"/>
      <c r="GE77" s="3"/>
      <c r="GJ77" s="22">
        <v>2023</v>
      </c>
      <c r="GK77" s="4">
        <f>100*(DataQ!Z207/AVERAGE(DataQ!$Z$203:$Z$206))</f>
        <v>106.70077129604891</v>
      </c>
      <c r="GL77" s="4">
        <f>100*(DataQ!C207/AVERAGE(DataQ!$C$203:$C$206))</f>
        <v>104.41074487195554</v>
      </c>
      <c r="GM77" s="4">
        <v>100</v>
      </c>
      <c r="GO77" s="22">
        <v>2023</v>
      </c>
      <c r="GP77" s="4">
        <f>100*(DataQ!Z207/DataQ!$Z$194)</f>
        <v>106.3026896828583</v>
      </c>
      <c r="GQ77" s="4">
        <f>100*(DataQ!C207/DataQ!$C$194)</f>
        <v>100.7871729522212</v>
      </c>
      <c r="GR77" s="4">
        <v>100</v>
      </c>
      <c r="HZ77" s="22"/>
      <c r="IF77" s="3"/>
    </row>
    <row r="78" spans="1:254" x14ac:dyDescent="0.25">
      <c r="B78" s="4">
        <f>100*((DataQ!C148/DataQ!C144)-1)</f>
        <v>-0.28356311723868322</v>
      </c>
      <c r="C78" s="4">
        <f t="shared" si="128"/>
        <v>23.629590207557211</v>
      </c>
      <c r="D78" s="4">
        <v>0</v>
      </c>
      <c r="G78" s="4">
        <f>100*((AVERAGE(DataQ!C145:C148)/AVERAGE(DataQ!C141:C144))-1)</f>
        <v>2.1668538132378456</v>
      </c>
      <c r="H78" s="4">
        <f t="shared" si="138"/>
        <v>24.359401611441093</v>
      </c>
      <c r="I78" s="4">
        <v>0</v>
      </c>
      <c r="K78" s="4">
        <f t="shared" si="129"/>
        <v>23.629590207557211</v>
      </c>
      <c r="L78" s="4">
        <f>100*(HAVERQ!AF82/HAVERQ!AI82)</f>
        <v>23.629590207557211</v>
      </c>
      <c r="EA78" s="4">
        <f t="shared" si="131"/>
        <v>8.1114210072040185E-2</v>
      </c>
      <c r="EB78" s="4">
        <f t="shared" si="132"/>
        <v>0.30526858502514803</v>
      </c>
      <c r="EC78" s="4">
        <f t="shared" si="130"/>
        <v>-2.7134294508342816</v>
      </c>
      <c r="ED78" s="3">
        <v>0</v>
      </c>
      <c r="EF78" s="4">
        <f t="shared" si="133"/>
        <v>0.3863827950971882</v>
      </c>
      <c r="EG78" s="4">
        <f t="shared" si="134"/>
        <v>0.18547040102480686</v>
      </c>
      <c r="EJ78" s="3">
        <f>'IPNR ex BNFL'!I86</f>
        <v>61730</v>
      </c>
      <c r="EM78" s="4">
        <f t="shared" si="135"/>
        <v>8.8914197905192227E-2</v>
      </c>
      <c r="EN78" s="4">
        <f t="shared" si="136"/>
        <v>0.3863827950971882</v>
      </c>
      <c r="EO78" s="4">
        <f t="shared" si="137"/>
        <v>8.1114210072040185E-2</v>
      </c>
      <c r="ER78" s="4">
        <f>(HAVERQ!W120*$EW$2)+(HAVERQ!X120*$EX$2)/($EW$2+$EX$2)</f>
        <v>9.2458634577126499</v>
      </c>
      <c r="ES78" s="4">
        <f>(HAVERQ!AB120*$EW$2)+(HAVERQ!AC120*$EY$2)+(HAVERQ!AD120*$EZ$2)+(HAVERQ!AE120*$FA$2)/($EW$2+$EY$2+$EZ$2+$FA$2)</f>
        <v>-0.7987084930531968</v>
      </c>
      <c r="ET78" s="21">
        <f>HAVERQ!AA120</f>
        <v>0.95000000000000007</v>
      </c>
      <c r="FV78" s="26">
        <v>44562</v>
      </c>
      <c r="FW78" s="3">
        <f>HAVERM!G272</f>
        <v>582151</v>
      </c>
      <c r="FX78" s="3">
        <f t="shared" si="127"/>
        <v>468519.10416666715</v>
      </c>
      <c r="GA78" s="3">
        <f t="shared" si="126"/>
        <v>113631.89583333285</v>
      </c>
      <c r="GD78" s="3"/>
      <c r="GE78" s="3"/>
      <c r="GK78" s="4">
        <f>100*(DataQ!Z208/AVERAGE(DataQ!$Z$203:$Z$206))</f>
        <v>106.67098814367743</v>
      </c>
      <c r="GL78" s="4">
        <f>100*(DataQ!C208/AVERAGE(DataQ!$C$203:$C$206))</f>
        <v>103.85929732213728</v>
      </c>
      <c r="GM78" s="4">
        <v>100</v>
      </c>
      <c r="GP78" s="4">
        <f>100*(DataQ!Z208/DataQ!$Z$194)</f>
        <v>106.27301764613478</v>
      </c>
      <c r="GQ78" s="4">
        <f>100*(DataQ!C208/DataQ!$C$194)</f>
        <v>100.25486337387488</v>
      </c>
      <c r="GR78" s="4">
        <v>100</v>
      </c>
      <c r="HZ78" s="22"/>
      <c r="IF78" s="3"/>
    </row>
    <row r="79" spans="1:254" x14ac:dyDescent="0.25">
      <c r="B79" s="4">
        <f>100*((DataQ!C149/DataQ!C145)-1)</f>
        <v>0.3416180832566118</v>
      </c>
      <c r="C79" s="4">
        <f t="shared" si="128"/>
        <v>22.335682631213626</v>
      </c>
      <c r="D79" s="4">
        <v>0</v>
      </c>
      <c r="G79" s="4">
        <f>100*((AVERAGE(DataQ!C146:C149)/AVERAGE(DataQ!C142:C145))-1)</f>
        <v>1.8074412795616723</v>
      </c>
      <c r="H79" s="4">
        <f t="shared" si="138"/>
        <v>23.782421373964215</v>
      </c>
      <c r="I79" s="4">
        <v>0</v>
      </c>
      <c r="K79" s="4">
        <f t="shared" si="129"/>
        <v>22.335682631213626</v>
      </c>
      <c r="L79" s="4">
        <f>100*(HAVERQ!AF83/HAVERQ!AI83)</f>
        <v>22.335682631213626</v>
      </c>
      <c r="EA79" s="4">
        <f t="shared" si="131"/>
        <v>0.11295033295495281</v>
      </c>
      <c r="EB79" s="4">
        <f t="shared" si="132"/>
        <v>0.58769022784591962</v>
      </c>
      <c r="EC79" s="4">
        <f t="shared" si="130"/>
        <v>-0.9327466587564448</v>
      </c>
      <c r="ED79" s="3">
        <v>0</v>
      </c>
      <c r="EF79" s="4">
        <f t="shared" si="133"/>
        <v>0.70064056080087245</v>
      </c>
      <c r="EG79" s="4">
        <f t="shared" si="134"/>
        <v>0.41459204845078679</v>
      </c>
      <c r="EJ79" s="3">
        <f>'IPNR ex BNFL'!I87</f>
        <v>60681</v>
      </c>
      <c r="EL79">
        <v>2018</v>
      </c>
      <c r="EM79" s="4">
        <f t="shared" si="135"/>
        <v>0.43018525159653509</v>
      </c>
      <c r="EN79" s="4">
        <f t="shared" si="136"/>
        <v>0.70064056080087245</v>
      </c>
      <c r="EO79" s="4">
        <f t="shared" si="137"/>
        <v>0.11295033295495281</v>
      </c>
      <c r="EQ79">
        <v>2018</v>
      </c>
      <c r="ER79" s="4">
        <f>(HAVERQ!W121*$EW$2)+(HAVERQ!X121*$EX$2)/($EW$2+$EX$2)</f>
        <v>13.24586345771265</v>
      </c>
      <c r="ES79" s="4">
        <f>(HAVERQ!AB121*$EW$2)+(HAVERQ!AC121*$EY$2)+(HAVERQ!AD121*$EZ$2)+(HAVERQ!AE121*$FA$2)/($EW$2+$EY$2+$EZ$2+$FA$2)</f>
        <v>3.6234654762482412</v>
      </c>
      <c r="ET79" s="21">
        <f>HAVERQ!AA121</f>
        <v>1</v>
      </c>
      <c r="FV79" s="26">
        <v>44593</v>
      </c>
      <c r="FW79" s="3">
        <f>HAVERM!G273</f>
        <v>583881</v>
      </c>
      <c r="FX79" s="3">
        <f t="shared" si="127"/>
        <v>470233.70833333384</v>
      </c>
      <c r="GA79" s="3">
        <f t="shared" si="126"/>
        <v>113647.29166666616</v>
      </c>
      <c r="GD79" s="3"/>
      <c r="GE79" s="3"/>
      <c r="GK79" s="4">
        <f>100*(DataQ!Z209/AVERAGE(DataQ!$Z$203:$Z$206))</f>
        <v>103.6436183026231</v>
      </c>
      <c r="GL79" s="4">
        <f>100*(DataQ!C209/AVERAGE(DataQ!$C$203:$C$206))</f>
        <v>100.7578226177048</v>
      </c>
      <c r="GM79" s="4">
        <v>100</v>
      </c>
      <c r="GP79" s="4">
        <f>100*(DataQ!Z209/DataQ!$Z$194)</f>
        <v>103.25694238388634</v>
      </c>
      <c r="GQ79" s="4">
        <f>100*(DataQ!C209/DataQ!$C$194)</f>
        <v>97.261025260509086</v>
      </c>
      <c r="GR79" s="4">
        <v>100</v>
      </c>
      <c r="HZ79" s="22"/>
      <c r="IF79" s="3"/>
    </row>
    <row r="80" spans="1:254" x14ac:dyDescent="0.25">
      <c r="B80" s="4">
        <f>100*((DataQ!C150/DataQ!C146)-1)</f>
        <v>-10.58104206374667</v>
      </c>
      <c r="C80" s="4">
        <f t="shared" si="128"/>
        <v>24.138591964614818</v>
      </c>
      <c r="D80" s="4">
        <v>0</v>
      </c>
      <c r="G80" s="4">
        <f>100*((AVERAGE(DataQ!C147:C150)/AVERAGE(DataQ!C143:C146))-1)</f>
        <v>-3.3867479355092378</v>
      </c>
      <c r="H80" s="4">
        <f t="shared" si="138"/>
        <v>23.653219647293923</v>
      </c>
      <c r="I80" s="4">
        <v>0</v>
      </c>
      <c r="K80" s="4">
        <f t="shared" si="129"/>
        <v>24.138591964614818</v>
      </c>
      <c r="L80" s="4">
        <f>100*(HAVERQ!AF84/HAVERQ!AI84)</f>
        <v>24.138591964614818</v>
      </c>
      <c r="EA80" s="4">
        <f t="shared" si="131"/>
        <v>0.14206133977633412</v>
      </c>
      <c r="EB80" s="4">
        <f t="shared" si="132"/>
        <v>7.0378973543098772E-2</v>
      </c>
      <c r="EC80" s="4">
        <f t="shared" si="130"/>
        <v>-1.9072156595855039</v>
      </c>
      <c r="ED80" s="3">
        <v>0</v>
      </c>
      <c r="EF80" s="4">
        <f t="shared" si="133"/>
        <v>0.21244031331943289</v>
      </c>
      <c r="EG80" s="4">
        <f t="shared" si="134"/>
        <v>0.18765345156648591</v>
      </c>
      <c r="EJ80" s="3">
        <f>'IPNR ex BNFL'!I88</f>
        <v>61713</v>
      </c>
      <c r="EM80" s="4">
        <f t="shared" si="135"/>
        <v>0.14206133977633412</v>
      </c>
      <c r="EN80" s="4">
        <f t="shared" si="136"/>
        <v>0.21244031331943289</v>
      </c>
      <c r="EO80" s="4">
        <f t="shared" si="137"/>
        <v>0.20845870160369076</v>
      </c>
      <c r="ER80" s="4">
        <f>(HAVERQ!W122*$EW$2)+(HAVERQ!X122*$EX$2)/($EW$2+$EX$2)</f>
        <v>9.868795186568974</v>
      </c>
      <c r="ES80" s="4">
        <f>(HAVERQ!AB122*$EW$2)+(HAVERQ!AC122*$EY$2)+(HAVERQ!AD122*$EZ$2)+(HAVERQ!AE122*$FA$2)/($EW$2+$EY$2+$EZ$2+$FA$2)</f>
        <v>-3.2463931615637178</v>
      </c>
      <c r="ET80" s="21">
        <f>HAVERQ!AA122</f>
        <v>1.1499999999999999</v>
      </c>
      <c r="FV80" s="26">
        <v>44621</v>
      </c>
      <c r="FW80" s="3">
        <f>HAVERM!G274</f>
        <v>589607</v>
      </c>
      <c r="FX80" s="3">
        <f t="shared" si="127"/>
        <v>471948.31250000052</v>
      </c>
      <c r="GA80" s="3">
        <f>FW80-FX80</f>
        <v>117658.68749999948</v>
      </c>
      <c r="GD80" s="3"/>
      <c r="GE80" s="3"/>
      <c r="GK80" s="4">
        <f>100*(DataQ!Z210/AVERAGE(DataQ!$Z$203:$Z$206))</f>
        <v>105.08021741701232</v>
      </c>
      <c r="GL80" s="4">
        <f>100*(DataQ!C210/AVERAGE(DataQ!$C$203:$C$206))</f>
        <v>101.96933617412374</v>
      </c>
      <c r="GM80" s="4">
        <v>100</v>
      </c>
      <c r="GP80" s="4">
        <f>100*(DataQ!Z210/DataQ!$Z$194)</f>
        <v>104.68818180231443</v>
      </c>
      <c r="GQ80" s="4">
        <f>100*(DataQ!C210/DataQ!$C$194)</f>
        <v>98.430493273542595</v>
      </c>
      <c r="GR80" s="4">
        <v>100</v>
      </c>
      <c r="HZ80" s="22"/>
      <c r="IF80" s="3"/>
    </row>
    <row r="81" spans="1:240" x14ac:dyDescent="0.25">
      <c r="A81">
        <v>2009</v>
      </c>
      <c r="B81" s="4">
        <f>100*((DataQ!C151/DataQ!C147)-1)</f>
        <v>-12.224167413077113</v>
      </c>
      <c r="C81" s="4">
        <f t="shared" si="128"/>
        <v>15.63898744030778</v>
      </c>
      <c r="D81" s="4">
        <v>0</v>
      </c>
      <c r="F81">
        <v>2009</v>
      </c>
      <c r="G81" s="4">
        <f>100*((AVERAGE(DataQ!C148:C151)/AVERAGE(DataQ!C144:C147))-1)</f>
        <v>-5.733791772825092</v>
      </c>
      <c r="H81" s="4">
        <f t="shared" si="138"/>
        <v>21.435713060923355</v>
      </c>
      <c r="I81" s="4">
        <v>0</v>
      </c>
      <c r="K81" s="4">
        <f t="shared" si="129"/>
        <v>15.63898744030778</v>
      </c>
      <c r="L81" s="4">
        <f>100*(HAVERQ!AF85/HAVERQ!AI85)</f>
        <v>15.63898744030778</v>
      </c>
      <c r="DZ81">
        <v>2019</v>
      </c>
      <c r="EA81" s="4">
        <f t="shared" si="131"/>
        <v>3.5964344823565062E-3</v>
      </c>
      <c r="EB81" s="4">
        <f t="shared" si="132"/>
        <v>0.24309462737754597</v>
      </c>
      <c r="EC81" s="4">
        <f t="shared" si="130"/>
        <v>-0.22985882429656934</v>
      </c>
      <c r="ED81" s="3">
        <v>0</v>
      </c>
      <c r="EF81" s="4">
        <f t="shared" si="133"/>
        <v>0.24669106185990247</v>
      </c>
      <c r="EG81" s="4">
        <f t="shared" si="134"/>
        <v>0.11046723547143304</v>
      </c>
      <c r="EI81" s="22">
        <v>2018</v>
      </c>
      <c r="EJ81" s="3">
        <f>'IPNR ex BNFL'!I89</f>
        <v>61342</v>
      </c>
      <c r="EM81" s="4">
        <f t="shared" si="135"/>
        <v>3.5964344823565062E-3</v>
      </c>
      <c r="EN81" s="4">
        <f t="shared" si="136"/>
        <v>0.24669106185990247</v>
      </c>
      <c r="EO81" s="4">
        <f t="shared" si="137"/>
        <v>8.1114210072040116E-2</v>
      </c>
      <c r="ER81" s="4">
        <f>(HAVERQ!W123*$EW$2)+(HAVERQ!X123*$EX$2)/($EW$2+$EX$2)</f>
        <v>8.2458634577126499</v>
      </c>
      <c r="ES81" s="4">
        <f>(HAVERQ!AB123*$EW$2)+(HAVERQ!AC123*$EY$2)+(HAVERQ!AD123*$EZ$2)+(HAVERQ!AE123*$FA$2)/($EW$2+$EY$2+$EZ$2+$FA$2)</f>
        <v>-2.7644233102042799</v>
      </c>
      <c r="ET81" s="21">
        <f>HAVERQ!AA123</f>
        <v>0.95</v>
      </c>
      <c r="FV81" s="26">
        <v>44652</v>
      </c>
      <c r="FW81" s="3">
        <f>HAVERM!G275</f>
        <v>587443</v>
      </c>
      <c r="FX81" s="3">
        <f t="shared" si="127"/>
        <v>473662.91666666721</v>
      </c>
      <c r="GA81" s="3">
        <f>FW81-FX81</f>
        <v>113780.08333333279</v>
      </c>
      <c r="GD81" s="3"/>
      <c r="GE81" s="3"/>
      <c r="GJ81" s="22">
        <v>2024</v>
      </c>
      <c r="GK81" s="4">
        <f>100*(DataQ!Z211/AVERAGE(DataQ!$Z$203:$Z$206))</f>
        <v>105.640841461652</v>
      </c>
      <c r="GL81" s="4">
        <f>100*(DataQ!C211/AVERAGE(DataQ!$C$203:$C$206))</f>
        <v>102.55253373438609</v>
      </c>
      <c r="GM81" s="4">
        <v>100</v>
      </c>
      <c r="GO81" s="22">
        <v>2024</v>
      </c>
      <c r="GP81" s="4">
        <f>100*(DataQ!Z211/DataQ!$Z$194)</f>
        <v>105.24671425828636</v>
      </c>
      <c r="GQ81" s="4">
        <f>100*(DataQ!C211/DataQ!$C$194)</f>
        <v>98.993450979127005</v>
      </c>
      <c r="GR81" s="4">
        <v>100</v>
      </c>
      <c r="HZ81" s="22"/>
      <c r="IF81" s="3"/>
    </row>
    <row r="82" spans="1:240" x14ac:dyDescent="0.25">
      <c r="B82" s="4">
        <f>100*((DataQ!C152/DataQ!C148)-1)</f>
        <v>-19.833300647185727</v>
      </c>
      <c r="C82" s="4">
        <f t="shared" si="128"/>
        <v>14.253538750293265</v>
      </c>
      <c r="D82" s="4">
        <v>0</v>
      </c>
      <c r="G82" s="4">
        <f>100*((AVERAGE(DataQ!C149:C152)/AVERAGE(DataQ!C145:C148))-1)</f>
        <v>-10.672805584434874</v>
      </c>
      <c r="H82" s="4">
        <f t="shared" si="138"/>
        <v>19.091700196607373</v>
      </c>
      <c r="I82" s="4">
        <v>0</v>
      </c>
      <c r="K82" s="4">
        <f t="shared" si="129"/>
        <v>14.253538750293265</v>
      </c>
      <c r="L82" s="4">
        <f>100*(HAVERQ!AF86/HAVERQ!AI86)</f>
        <v>14.253538750293265</v>
      </c>
      <c r="EA82" s="4">
        <f t="shared" si="131"/>
        <v>-0.17357477299126117</v>
      </c>
      <c r="EB82" s="4">
        <f t="shared" si="132"/>
        <v>0.43312449774212469</v>
      </c>
      <c r="EC82" s="4">
        <f t="shared" si="130"/>
        <v>3.5400882524352584</v>
      </c>
      <c r="ED82" s="3">
        <v>0</v>
      </c>
      <c r="EF82" s="4">
        <f t="shared" si="133"/>
        <v>0.25954972475086352</v>
      </c>
      <c r="EG82" s="4">
        <f t="shared" si="134"/>
        <v>4.0245550493093585E-2</v>
      </c>
      <c r="EJ82" s="3">
        <f>'IPNR ex BNFL'!I90</f>
        <v>60055</v>
      </c>
      <c r="EM82" s="4">
        <f t="shared" si="135"/>
        <v>0.25954972475086352</v>
      </c>
      <c r="EN82" s="4">
        <f t="shared" si="136"/>
        <v>3.4761699719678386E-2</v>
      </c>
      <c r="EO82" s="4">
        <f t="shared" si="137"/>
        <v>-0.17357477299126117</v>
      </c>
      <c r="ER82" s="4">
        <f>(HAVERQ!W124*$EW$2)+(HAVERQ!X124*$EX$2)/($EW$2+$EX$2)</f>
        <v>11.245863457712648</v>
      </c>
      <c r="ES82" s="4">
        <f>(HAVERQ!AB124*$EW$2)+(HAVERQ!AC124*$EY$2)+(HAVERQ!AD124*$EZ$2)+(HAVERQ!AE124*$FA$2)/($EW$2+$EY$2+$EZ$2+$FA$2)</f>
        <v>-5.7466519481779805</v>
      </c>
      <c r="ET82" s="21">
        <f>HAVERQ!AA124</f>
        <v>0.55000000000000004</v>
      </c>
      <c r="FV82" s="26">
        <v>44682</v>
      </c>
      <c r="FW82" s="3">
        <f>HAVERM!G276</f>
        <v>594591</v>
      </c>
      <c r="FX82" s="3">
        <f t="shared" si="127"/>
        <v>475377.5208333339</v>
      </c>
      <c r="GA82" s="3">
        <f t="shared" ref="GA82:GA91" si="139">FW82-FX82</f>
        <v>119213.4791666661</v>
      </c>
      <c r="GD82" s="3"/>
      <c r="GE82" s="3"/>
      <c r="GK82" s="4">
        <f>100*(DataQ!Z212/AVERAGE(DataQ!$Z$203:$Z$206))</f>
        <v>105.54623615411904</v>
      </c>
      <c r="GL82" s="4">
        <f>100*(DataQ!C212/AVERAGE(DataQ!$C$203:$C$206))</f>
        <v>104.02306053390149</v>
      </c>
      <c r="GM82" s="4">
        <v>100</v>
      </c>
      <c r="GP82" s="4">
        <f>100*(DataQ!Z212/DataQ!$Z$194)</f>
        <v>105.15246190634109</v>
      </c>
      <c r="GQ82" s="4">
        <f>100*(DataQ!C212/DataQ!$C$194)</f>
        <v>100.41294318805045</v>
      </c>
      <c r="GR82" s="4">
        <v>100</v>
      </c>
      <c r="HZ82" s="22"/>
      <c r="IF82" s="3"/>
    </row>
    <row r="83" spans="1:240" x14ac:dyDescent="0.25">
      <c r="B83" s="4">
        <f>100*((DataQ!C153/DataQ!C149)-1)</f>
        <v>-18.498736035227925</v>
      </c>
      <c r="C83" s="4">
        <f t="shared" si="128"/>
        <v>12.548355174378505</v>
      </c>
      <c r="D83" s="4">
        <v>0</v>
      </c>
      <c r="G83" s="4">
        <f>100*((AVERAGE(DataQ!C150:C153)/AVERAGE(DataQ!C146:C149))-1)</f>
        <v>-15.235188492112561</v>
      </c>
      <c r="H83" s="4">
        <f t="shared" si="138"/>
        <v>16.644868332398591</v>
      </c>
      <c r="I83" s="4">
        <v>0</v>
      </c>
      <c r="K83" s="4">
        <f t="shared" si="129"/>
        <v>12.548355174378505</v>
      </c>
      <c r="L83" s="4">
        <f>100*(HAVERQ!AF87/HAVERQ!AI87)</f>
        <v>12.548355174378505</v>
      </c>
      <c r="EA83" s="4">
        <f t="shared" si="131"/>
        <v>-0.54817050245801424</v>
      </c>
      <c r="EB83" s="4">
        <f t="shared" si="132"/>
        <v>0.47966904728236337</v>
      </c>
      <c r="EC83" s="4">
        <f t="shared" si="130"/>
        <v>3.0225401314147859</v>
      </c>
      <c r="ED83" s="3">
        <v>0</v>
      </c>
      <c r="EF83" s="4">
        <f t="shared" si="133"/>
        <v>-6.8501455175650872E-2</v>
      </c>
      <c r="EG83" s="4">
        <f t="shared" si="134"/>
        <v>-0.28463965879691722</v>
      </c>
      <c r="EJ83" s="3">
        <f>'IPNR ex BNFL'!I91</f>
        <v>60115</v>
      </c>
      <c r="EL83">
        <v>2019</v>
      </c>
      <c r="EM83" s="4">
        <f t="shared" si="135"/>
        <v>-0.54817050245801424</v>
      </c>
      <c r="EN83" s="4">
        <f t="shared" si="136"/>
        <v>-6.8501455175650872E-2</v>
      </c>
      <c r="EO83" s="4">
        <f t="shared" si="137"/>
        <v>-0.23724701875708654</v>
      </c>
      <c r="EQ83">
        <v>2019</v>
      </c>
      <c r="ER83" s="4">
        <f>(HAVERQ!W125*$EW$2)+(HAVERQ!X125*$EX$2)/($EW$2+$EX$2)</f>
        <v>1.778664661070406</v>
      </c>
      <c r="ES83" s="4">
        <f>(HAVERQ!AB125*$EW$2)+(HAVERQ!AC125*$EY$2)+(HAVERQ!AD125*$EZ$2)+(HAVERQ!AE125*$FA$2)/($EW$2+$EY$2+$EZ$2+$FA$2)</f>
        <v>-7.1997509178837715</v>
      </c>
      <c r="ET83" s="21">
        <f>HAVERQ!AA125</f>
        <v>0.45</v>
      </c>
      <c r="FV83" s="26">
        <v>44713</v>
      </c>
      <c r="FW83" s="3">
        <f>HAVERM!G277</f>
        <v>587965</v>
      </c>
      <c r="FX83" s="3">
        <f t="shared" si="127"/>
        <v>477092.12500000058</v>
      </c>
      <c r="GA83" s="3">
        <f t="shared" si="139"/>
        <v>110872.87499999942</v>
      </c>
      <c r="GK83" s="4"/>
      <c r="GL83" s="4"/>
      <c r="GM83" s="4"/>
      <c r="GP83" s="4"/>
      <c r="GQ83" s="4"/>
      <c r="GR83" s="4"/>
      <c r="HZ83" s="22"/>
      <c r="IF83" s="3"/>
    </row>
    <row r="84" spans="1:240" x14ac:dyDescent="0.25">
      <c r="B84" s="4">
        <f>100*((DataQ!C154/DataQ!C150)-1)</f>
        <v>-16.389498564916426</v>
      </c>
      <c r="C84" s="4">
        <f t="shared" si="128"/>
        <v>13.083907852698839</v>
      </c>
      <c r="D84" s="4">
        <v>0</v>
      </c>
      <c r="G84" s="4">
        <f>100*((AVERAGE(DataQ!C151:C154)/AVERAGE(DataQ!C147:C150))-1)</f>
        <v>-16.768252353090819</v>
      </c>
      <c r="H84" s="4">
        <f t="shared" si="138"/>
        <v>13.881197304419597</v>
      </c>
      <c r="I84" s="4">
        <v>0</v>
      </c>
      <c r="K84" s="4">
        <f t="shared" si="129"/>
        <v>13.083907852698839</v>
      </c>
      <c r="L84" s="4">
        <f>100*(HAVERQ!AF88/HAVERQ!AI88)</f>
        <v>13.083907852698839</v>
      </c>
      <c r="EA84" s="4">
        <f t="shared" si="131"/>
        <v>-0.61928049335203861</v>
      </c>
      <c r="EB84" s="4">
        <f t="shared" si="132"/>
        <v>0.80626011138703579</v>
      </c>
      <c r="EC84" s="4">
        <f t="shared" si="130"/>
        <v>2.4084842077441548</v>
      </c>
      <c r="ED84" s="3">
        <v>0</v>
      </c>
      <c r="EF84" s="4">
        <f t="shared" si="133"/>
        <v>0.18697961803499724</v>
      </c>
      <c r="EG84" s="4">
        <f t="shared" si="134"/>
        <v>-0.20863784620530912</v>
      </c>
      <c r="EJ84" s="3">
        <f>'IPNR ex BNFL'!I92</f>
        <v>60536</v>
      </c>
      <c r="EM84" s="4">
        <f t="shared" si="135"/>
        <v>-0.19361266329888596</v>
      </c>
      <c r="EN84" s="4">
        <f t="shared" si="136"/>
        <v>0.18697961803499724</v>
      </c>
      <c r="EO84" s="4">
        <f t="shared" si="137"/>
        <v>-0.61928049335203861</v>
      </c>
      <c r="ER84" s="4">
        <f>(HAVERQ!W126*$EW$2)+(HAVERQ!X126*$EX$2)/($EW$2+$EX$2)</f>
        <v>5.934397593284487</v>
      </c>
      <c r="ES84" s="4">
        <f>(HAVERQ!AB126*$EW$2)+(HAVERQ!AC126*$EY$2)+(HAVERQ!AD126*$EZ$2)+(HAVERQ!AE126*$FA$2)/($EW$2+$EY$2+$EZ$2+$FA$2)</f>
        <v>-3.6046710983874353</v>
      </c>
      <c r="ET84" s="21">
        <f>HAVERQ!AA126</f>
        <v>-0.15000000000000002</v>
      </c>
      <c r="FV84" s="26">
        <v>44743</v>
      </c>
      <c r="FW84" s="3">
        <f>HAVERM!G278</f>
        <v>585595</v>
      </c>
      <c r="FX84" s="3">
        <f t="shared" si="127"/>
        <v>478806.72916666727</v>
      </c>
      <c r="GA84" s="3">
        <f t="shared" si="139"/>
        <v>106788.27083333273</v>
      </c>
      <c r="GK84" s="4"/>
      <c r="GL84" s="4"/>
      <c r="GM84" s="4"/>
      <c r="GP84" s="4"/>
      <c r="GQ84" s="4"/>
      <c r="GR84" s="4"/>
      <c r="HZ84" s="22"/>
      <c r="IF84" s="3"/>
    </row>
    <row r="85" spans="1:240" x14ac:dyDescent="0.25">
      <c r="A85">
        <v>2010</v>
      </c>
      <c r="B85" s="4">
        <f>100*((DataQ!C155/DataQ!C151)-1)</f>
        <v>-3.8034277232774416</v>
      </c>
      <c r="C85" s="4">
        <f t="shared" si="128"/>
        <v>10.31435673578271</v>
      </c>
      <c r="D85" s="4">
        <v>0</v>
      </c>
      <c r="F85">
        <v>2010</v>
      </c>
      <c r="G85" s="4">
        <f>100*((AVERAGE(DataQ!C152:C155)/AVERAGE(DataQ!C148:C151))-1)</f>
        <v>-15.00590411713768</v>
      </c>
      <c r="H85" s="4">
        <f t="shared" si="138"/>
        <v>12.55003962828833</v>
      </c>
      <c r="I85" s="4">
        <v>0</v>
      </c>
      <c r="K85" s="4">
        <f t="shared" si="129"/>
        <v>10.31435673578271</v>
      </c>
      <c r="L85" s="4">
        <f>100*(HAVERQ!AF89/HAVERQ!AI89)</f>
        <v>10.31435673578271</v>
      </c>
      <c r="DZ85">
        <v>2020</v>
      </c>
      <c r="EA85" s="4">
        <f t="shared" si="131"/>
        <v>-0.68295273911786403</v>
      </c>
      <c r="EB85" s="4">
        <f t="shared" si="132"/>
        <v>0.64595840945265282</v>
      </c>
      <c r="EC85" s="4">
        <f t="shared" si="130"/>
        <v>-0.98364405810362765</v>
      </c>
      <c r="ED85" s="3">
        <v>0</v>
      </c>
      <c r="EF85" s="4">
        <f t="shared" si="133"/>
        <v>-3.6994329665211212E-2</v>
      </c>
      <c r="EG85" s="4">
        <f t="shared" si="134"/>
        <v>-0.32223562465103439</v>
      </c>
      <c r="EI85" s="22">
        <v>2019</v>
      </c>
      <c r="EJ85" s="3">
        <f>'IPNR ex BNFL'!I93</f>
        <v>61201</v>
      </c>
      <c r="EM85" s="4">
        <f t="shared" si="135"/>
        <v>-0.24675980517002793</v>
      </c>
      <c r="EN85" s="4">
        <f t="shared" si="136"/>
        <v>-3.6994329665211212E-2</v>
      </c>
      <c r="EO85" s="4">
        <f t="shared" si="137"/>
        <v>-0.68295273911786403</v>
      </c>
      <c r="ER85" s="4">
        <f>(HAVERQ!W127*$EW$2)+(HAVERQ!X127*$EX$2)/($EW$2+$EX$2)</f>
        <v>5.311465864428162</v>
      </c>
      <c r="ES85" s="4">
        <f>(HAVERQ!AB127*$EW$2)+(HAVERQ!AC127*$EY$2)+(HAVERQ!AD127*$EZ$2)+(HAVERQ!AE127*$FA$2)/($EW$2+$EY$2+$EZ$2+$FA$2)</f>
        <v>-6.7563887945396033</v>
      </c>
      <c r="ET85" s="21">
        <f>HAVERQ!AA127</f>
        <v>-0.25</v>
      </c>
      <c r="FV85" s="26">
        <v>44774</v>
      </c>
      <c r="FW85" s="3">
        <f>HAVERM!G279</f>
        <v>589162</v>
      </c>
      <c r="FX85" s="3">
        <f t="shared" si="127"/>
        <v>480521.33333333395</v>
      </c>
      <c r="GA85" s="3">
        <f t="shared" si="139"/>
        <v>108640.66666666605</v>
      </c>
      <c r="GK85" s="4"/>
      <c r="GL85" s="4"/>
      <c r="GM85" s="4"/>
      <c r="GP85" s="4"/>
      <c r="GQ85" s="4"/>
      <c r="GR85" s="4"/>
      <c r="HZ85" s="22"/>
      <c r="IF85" s="3"/>
    </row>
    <row r="86" spans="1:240" x14ac:dyDescent="0.25">
      <c r="B86" s="4">
        <f>100*((DataQ!C156/DataQ!C152)-1)</f>
        <v>-4.6480906133028466E-2</v>
      </c>
      <c r="C86" s="4">
        <f t="shared" si="128"/>
        <v>10.544228115897592</v>
      </c>
      <c r="D86" s="4">
        <v>0</v>
      </c>
      <c r="G86" s="4">
        <f>100*((AVERAGE(DataQ!C153:C156)/AVERAGE(DataQ!C149:C152))-1)</f>
        <v>-10.252615943956723</v>
      </c>
      <c r="H86" s="4">
        <f t="shared" si="138"/>
        <v>11.622711969689412</v>
      </c>
      <c r="I86" s="4">
        <v>0</v>
      </c>
      <c r="K86" s="4">
        <f t="shared" si="129"/>
        <v>10.544228115897592</v>
      </c>
      <c r="L86" s="4">
        <f>100*(HAVERQ!AF90/HAVERQ!AI90)</f>
        <v>10.544228115897592</v>
      </c>
      <c r="EA86" s="4">
        <f t="shared" si="131"/>
        <v>-0.95148601116445031</v>
      </c>
      <c r="EB86" s="4">
        <f t="shared" si="132"/>
        <v>0.46205970119370071</v>
      </c>
      <c r="EC86" s="4">
        <f t="shared" si="130"/>
        <v>-21.276595744680847</v>
      </c>
      <c r="ED86" s="3">
        <v>0</v>
      </c>
      <c r="EF86" s="4">
        <f t="shared" si="133"/>
        <v>-0.4894263099707496</v>
      </c>
      <c r="EG86" s="4">
        <f t="shared" si="134"/>
        <v>-0.76101522488920903</v>
      </c>
      <c r="EJ86" s="3">
        <f>'IPNR ex BNFL'!I94</f>
        <v>62181</v>
      </c>
      <c r="EM86" s="4">
        <f t="shared" si="135"/>
        <v>-0.4894263099707496</v>
      </c>
      <c r="EN86" s="4">
        <f t="shared" si="136"/>
        <v>-0.95148601116445031</v>
      </c>
      <c r="EO86" s="4">
        <f t="shared" si="137"/>
        <v>-0.84213335353242735</v>
      </c>
      <c r="ER86" s="4">
        <f>(HAVERQ!W128*$EW$2)+(HAVERQ!X128*$EX$2)/($EW$2+$EX$2)</f>
        <v>2.4671987966422435</v>
      </c>
      <c r="ES86" s="4">
        <f>(HAVERQ!AB128*$EW$2)+(HAVERQ!AC128*$EY$2)+(HAVERQ!AD128*$EZ$2)+(HAVERQ!AE128*$FA$2)/($EW$2+$EY$2+$EZ$2+$FA$2)</f>
        <v>-19.624937325116857</v>
      </c>
      <c r="ET86" s="21">
        <f>HAVERQ!AA128</f>
        <v>-0.5</v>
      </c>
      <c r="FV86" s="26">
        <v>44805</v>
      </c>
      <c r="FW86" s="3">
        <f>HAVERM!G280</f>
        <v>588050</v>
      </c>
      <c r="FX86" s="3">
        <f t="shared" ref="FX86:FX109" si="140">FX85+$FZ$53</f>
        <v>482235.93750000064</v>
      </c>
      <c r="GA86" s="3">
        <f t="shared" si="139"/>
        <v>105814.06249999936</v>
      </c>
      <c r="GK86" s="4"/>
      <c r="GL86" s="4"/>
      <c r="GM86" s="4"/>
      <c r="GP86" s="4"/>
      <c r="GQ86" s="4"/>
      <c r="GR86" s="4"/>
      <c r="HZ86" s="22"/>
      <c r="IF86" s="3"/>
    </row>
    <row r="87" spans="1:240" x14ac:dyDescent="0.25">
      <c r="B87" s="4">
        <f>100*((DataQ!C157/DataQ!C153)-1)</f>
        <v>6.8012406823753091</v>
      </c>
      <c r="C87" s="4">
        <f t="shared" si="128"/>
        <v>9.1090760096036334</v>
      </c>
      <c r="D87" s="4">
        <v>0</v>
      </c>
      <c r="G87" s="4">
        <f>100*((AVERAGE(DataQ!C154:C157)/AVERAGE(DataQ!C150:C153))-1)</f>
        <v>-3.9134443679314623</v>
      </c>
      <c r="H87" s="4">
        <f t="shared" si="138"/>
        <v>10.762892178495694</v>
      </c>
      <c r="I87" s="4">
        <v>0</v>
      </c>
      <c r="K87" s="4">
        <f t="shared" si="129"/>
        <v>9.1090760096036334</v>
      </c>
      <c r="L87" s="4">
        <f>100*(HAVERQ!AF91/HAVERQ!AI91)</f>
        <v>9.1090760096036334</v>
      </c>
      <c r="EA87" s="4">
        <f t="shared" si="131"/>
        <v>-0.52377212470330059</v>
      </c>
      <c r="EB87" s="4">
        <f t="shared" si="132"/>
        <v>1.4208498302123664</v>
      </c>
      <c r="EC87" s="4">
        <f t="shared" si="130"/>
        <v>-11.661176774526904</v>
      </c>
      <c r="ED87" s="3">
        <v>0</v>
      </c>
      <c r="EF87" s="4">
        <f t="shared" si="133"/>
        <v>0.89707770550906596</v>
      </c>
      <c r="EG87" s="4">
        <f t="shared" si="134"/>
        <v>0.13635754561327185</v>
      </c>
      <c r="EJ87" s="3">
        <f>'IPNR ex BNFL'!I95</f>
        <v>61932</v>
      </c>
      <c r="EL87">
        <v>2020</v>
      </c>
      <c r="EM87" s="4">
        <f t="shared" si="135"/>
        <v>3.5767056034050171E-2</v>
      </c>
      <c r="EN87" s="4">
        <f t="shared" si="136"/>
        <v>0.89707770550906596</v>
      </c>
      <c r="EO87" s="4">
        <f t="shared" si="137"/>
        <v>-0.52377212470330059</v>
      </c>
      <c r="EQ87">
        <v>2020</v>
      </c>
      <c r="ER87" s="4">
        <f>(HAVERQ!W129*$EW$2)+(HAVERQ!X129*$EX$2)/($EW$2+$EX$2)</f>
        <v>8.6229317288563241</v>
      </c>
      <c r="ES87" s="4">
        <f>(HAVERQ!AB129*$EW$2)+(HAVERQ!AC129*$EY$2)+(HAVERQ!AD129*$EZ$2)+(HAVERQ!AE129*$FA$2)/($EW$2+$EY$2+$EZ$2+$FA$2)</f>
        <v>6.3876906529509752</v>
      </c>
      <c r="ET87" s="21">
        <f>HAVERQ!AA129</f>
        <v>0</v>
      </c>
      <c r="FV87" s="26">
        <v>44835</v>
      </c>
      <c r="FW87" s="3">
        <f>HAVERM!G281</f>
        <v>586304</v>
      </c>
      <c r="FX87" s="3">
        <f t="shared" si="140"/>
        <v>483950.54166666733</v>
      </c>
      <c r="GA87" s="3">
        <f t="shared" si="139"/>
        <v>102353.45833333267</v>
      </c>
      <c r="GJ87" s="22" t="s">
        <v>1330</v>
      </c>
      <c r="GK87" s="4">
        <f>100*((GK24/GK16)-1)</f>
        <v>-25.195817100676631</v>
      </c>
      <c r="GL87" s="4">
        <f>100*((GL24/GL16)-1)</f>
        <v>-25.236360891472142</v>
      </c>
      <c r="GM87" s="4"/>
      <c r="GO87" s="22" t="s">
        <v>1330</v>
      </c>
      <c r="GP87" s="4">
        <f>100*((GP24/GP16)-1)</f>
        <v>-25.195817100676653</v>
      </c>
      <c r="GQ87" s="4">
        <f>100*((GQ24/GQ16)-1)</f>
        <v>-25.236360891472131</v>
      </c>
      <c r="GR87" s="4"/>
      <c r="HZ87" s="22"/>
      <c r="IF87" s="3"/>
    </row>
    <row r="88" spans="1:240" x14ac:dyDescent="0.25">
      <c r="B88" s="4">
        <f>100*((DataQ!C158/DataQ!C154)-1)</f>
        <v>14.884648392144983</v>
      </c>
      <c r="C88" s="4">
        <f t="shared" si="128"/>
        <v>10.435969960011704</v>
      </c>
      <c r="D88" s="4">
        <v>0</v>
      </c>
      <c r="G88" s="4">
        <f>100*((AVERAGE(DataQ!C155:C158)/AVERAGE(DataQ!C151:C154))-1)</f>
        <v>4.2526529414641301</v>
      </c>
      <c r="H88" s="4">
        <f t="shared" si="138"/>
        <v>10.100907705323909</v>
      </c>
      <c r="I88" s="4">
        <v>0</v>
      </c>
      <c r="K88" s="4">
        <f t="shared" si="129"/>
        <v>10.435969960011704</v>
      </c>
      <c r="L88" s="4">
        <f>100*(HAVERQ!AF92/HAVERQ!AI92)</f>
        <v>10.435969960011704</v>
      </c>
      <c r="EA88" s="4">
        <f t="shared" si="131"/>
        <v>-4.2112372790238268</v>
      </c>
      <c r="EB88" s="4">
        <f t="shared" si="132"/>
        <v>1.4875380284789133</v>
      </c>
      <c r="EC88" s="4">
        <f t="shared" si="130"/>
        <v>-6.8054973061909223</v>
      </c>
      <c r="ED88" s="3">
        <v>0</v>
      </c>
      <c r="EF88" s="4">
        <f t="shared" si="133"/>
        <v>-2.7236992505449136</v>
      </c>
      <c r="EG88" s="4">
        <f t="shared" si="134"/>
        <v>-3.4094837816951475</v>
      </c>
      <c r="EJ88" s="3">
        <f>'IPNR ex BNFL'!I96</f>
        <v>61994</v>
      </c>
      <c r="EM88" s="4">
        <f t="shared" si="135"/>
        <v>-4.2112372790238268</v>
      </c>
      <c r="EN88" s="4">
        <f t="shared" si="136"/>
        <v>-2.7236992505449136</v>
      </c>
      <c r="EO88" s="4">
        <f t="shared" si="137"/>
        <v>-3.2935148155167027</v>
      </c>
      <c r="ER88" s="4">
        <f>(HAVERQ!W130*$EW$2)+(HAVERQ!X130*$EX$2)/($EW$2+$EX$2)</f>
        <v>-41.155732932214079</v>
      </c>
      <c r="ES88" s="4">
        <f>(HAVERQ!AB130*$EW$2)+(HAVERQ!AC130*$EY$2)+(HAVERQ!AD130*$EZ$2)+(HAVERQ!AE130*$FA$2)/($EW$2+$EY$2+$EZ$2+$FA$2)</f>
        <v>-44.563176282206797</v>
      </c>
      <c r="ET88" s="21">
        <f>HAVERQ!AA130</f>
        <v>-4.3499999999999996</v>
      </c>
      <c r="FV88" s="26">
        <v>44866</v>
      </c>
      <c r="FW88" s="3">
        <f>HAVERM!G282</f>
        <v>579762</v>
      </c>
      <c r="FX88" s="3">
        <f t="shared" si="140"/>
        <v>485665.14583333401</v>
      </c>
      <c r="GA88" s="3">
        <f t="shared" si="139"/>
        <v>94096.854166665988</v>
      </c>
      <c r="GJ88" s="22" t="s">
        <v>1331</v>
      </c>
      <c r="GK88" s="4">
        <f>100*((GK66/GK62)-1)</f>
        <v>-21.241016896065723</v>
      </c>
      <c r="GL88" s="4">
        <f>100*((GL66/GL62)-1)</f>
        <v>-21.276595744680847</v>
      </c>
      <c r="GM88" s="4"/>
      <c r="GO88" s="22" t="s">
        <v>1331</v>
      </c>
      <c r="GP88" s="4">
        <f>100*((GP66/GP62)-1)</f>
        <v>-21.241016896065702</v>
      </c>
      <c r="GQ88" s="4">
        <f>100*((GQ66/GQ62)-1)</f>
        <v>-21.276595744680847</v>
      </c>
      <c r="GR88" s="4"/>
      <c r="HZ88" s="22"/>
      <c r="IF88" s="3"/>
    </row>
    <row r="89" spans="1:240" x14ac:dyDescent="0.25">
      <c r="A89">
        <v>2011</v>
      </c>
      <c r="B89" s="4">
        <f>100*((DataQ!C159/DataQ!C155)-1)</f>
        <v>2.0516405892138101</v>
      </c>
      <c r="C89" s="4">
        <f t="shared" si="128"/>
        <v>8.5299943406904362</v>
      </c>
      <c r="D89" s="4">
        <v>0</v>
      </c>
      <c r="F89">
        <v>2011</v>
      </c>
      <c r="G89" s="4">
        <f>100*((AVERAGE(DataQ!C156:C159)/AVERAGE(DataQ!C152:C155))-1)</f>
        <v>5.833827306856354</v>
      </c>
      <c r="H89" s="4">
        <f t="shared" si="138"/>
        <v>9.6548171065508406</v>
      </c>
      <c r="I89" s="4">
        <v>0</v>
      </c>
      <c r="K89" s="4">
        <f t="shared" si="129"/>
        <v>8.5299943406904362</v>
      </c>
      <c r="L89" s="4">
        <f>100*(HAVERQ!AF93/HAVERQ!AI93)</f>
        <v>8.5299943406904362</v>
      </c>
      <c r="DZ89">
        <v>2021</v>
      </c>
      <c r="EA89" s="4">
        <f t="shared" si="131"/>
        <v>-3.6437121672287427</v>
      </c>
      <c r="EB89" s="4">
        <f t="shared" si="132"/>
        <v>2.315972509680996</v>
      </c>
      <c r="EC89" s="4">
        <f t="shared" si="130"/>
        <v>-11.173451707123883</v>
      </c>
      <c r="ED89" s="3">
        <v>0</v>
      </c>
      <c r="EF89" s="4">
        <f t="shared" si="133"/>
        <v>-1.3277396575477467</v>
      </c>
      <c r="EG89" s="4">
        <f t="shared" si="134"/>
        <v>-2.5375686854673467</v>
      </c>
      <c r="EI89" s="22">
        <v>2020</v>
      </c>
      <c r="EJ89" s="3">
        <f>'IPNR ex BNFL'!I97</f>
        <v>60599</v>
      </c>
      <c r="EM89" s="4">
        <f t="shared" si="135"/>
        <v>-2.6412542316255512</v>
      </c>
      <c r="EN89" s="4">
        <f t="shared" si="136"/>
        <v>-1.3277396575477467</v>
      </c>
      <c r="EO89" s="4">
        <f t="shared" si="137"/>
        <v>-3.6437121672287427</v>
      </c>
      <c r="ER89" s="4">
        <f>(HAVERQ!W131*$EW$2)+(HAVERQ!X131*$EX$2)/($EW$2+$EX$2)</f>
        <v>-22.754136542287352</v>
      </c>
      <c r="ES89" s="4">
        <f>(HAVERQ!AB131*$EW$2)+(HAVERQ!AC131*$EY$2)+(HAVERQ!AD131*$EZ$2)+(HAVERQ!AE131*$FA$2)/($EW$2+$EY$2+$EZ$2+$FA$2)</f>
        <v>-24.919505232341862</v>
      </c>
      <c r="ET89" s="21">
        <f>HAVERQ!AA131</f>
        <v>-4.9000000000000004</v>
      </c>
      <c r="FV89" s="26">
        <v>44896</v>
      </c>
      <c r="FW89" s="3">
        <f>HAVERM!G283</f>
        <v>576162</v>
      </c>
      <c r="FX89" s="3">
        <f t="shared" si="140"/>
        <v>487379.7500000007</v>
      </c>
      <c r="GA89" s="3">
        <f t="shared" si="139"/>
        <v>88782.249999999302</v>
      </c>
      <c r="GK89" s="3"/>
      <c r="GL89" s="3"/>
      <c r="GM89" s="3"/>
      <c r="GP89" s="3"/>
      <c r="GQ89" s="3"/>
      <c r="GR89" s="3"/>
      <c r="HZ89" s="22"/>
      <c r="IF89" s="3"/>
    </row>
    <row r="90" spans="1:240" x14ac:dyDescent="0.25">
      <c r="B90" s="4">
        <f>100*((DataQ!C160/DataQ!C156)-1)</f>
        <v>9.5060942777424273</v>
      </c>
      <c r="C90" s="4">
        <f t="shared" si="128"/>
        <v>9.9548162431289029</v>
      </c>
      <c r="D90" s="4">
        <v>0</v>
      </c>
      <c r="G90" s="4">
        <f>100*((AVERAGE(DataQ!C157:C160)/AVERAGE(DataQ!C153:C156))-1)</f>
        <v>8.2447678978342829</v>
      </c>
      <c r="H90" s="4">
        <f t="shared" si="138"/>
        <v>9.5074641383586691</v>
      </c>
      <c r="I90" s="4">
        <v>0</v>
      </c>
      <c r="K90" s="4">
        <f t="shared" si="129"/>
        <v>9.9548162431289029</v>
      </c>
      <c r="L90" s="4">
        <f>100*(HAVERQ!AF94/HAVERQ!AI94)</f>
        <v>9.9548162431289029</v>
      </c>
      <c r="EA90" s="4">
        <f t="shared" si="131"/>
        <v>-3.1661703239850523</v>
      </c>
      <c r="EB90" s="4">
        <f t="shared" si="132"/>
        <v>1.9663212000285617</v>
      </c>
      <c r="EC90" s="4">
        <f t="shared" si="130"/>
        <v>18.459275602132742</v>
      </c>
      <c r="ED90" s="3">
        <v>0</v>
      </c>
      <c r="EF90" s="4">
        <f t="shared" si="133"/>
        <v>-1.1998491239564906</v>
      </c>
      <c r="EG90" s="4">
        <f t="shared" si="134"/>
        <v>-2.2700215272619504</v>
      </c>
      <c r="EJ90" s="3">
        <f>'IPNR ex BNFL'!I98</f>
        <v>48951</v>
      </c>
      <c r="EM90" s="4">
        <f t="shared" si="135"/>
        <v>-2.4440451338443085</v>
      </c>
      <c r="EN90" s="4">
        <f t="shared" si="136"/>
        <v>-1.1998491239564906</v>
      </c>
      <c r="EO90" s="4">
        <f t="shared" si="137"/>
        <v>-3.1661703239850523</v>
      </c>
      <c r="ER90" s="4">
        <f>(HAVERQ!W132*$EW$2)+(HAVERQ!X132*$EX$2)/($EW$2+$EX$2)</f>
        <v>-20.442670677859187</v>
      </c>
      <c r="ES90" s="4">
        <f>(HAVERQ!AB132*$EW$2)+(HAVERQ!AC132*$EY$2)+(HAVERQ!AD132*$EZ$2)+(HAVERQ!AE132*$FA$2)/($EW$2+$EY$2+$EZ$2+$FA$2)</f>
        <v>-23.119854594271111</v>
      </c>
      <c r="ET90" s="21">
        <f>HAVERQ!AA132</f>
        <v>-4.1500000000000004</v>
      </c>
      <c r="FV90" s="26">
        <v>44927</v>
      </c>
      <c r="FW90" s="3">
        <f>HAVERM!G284</f>
        <v>578613</v>
      </c>
      <c r="FX90" s="3">
        <f t="shared" si="140"/>
        <v>489094.35416666738</v>
      </c>
      <c r="GA90" s="3">
        <f t="shared" si="139"/>
        <v>89518.645833332615</v>
      </c>
      <c r="GK90" s="3"/>
      <c r="GL90" s="3"/>
      <c r="GM90" s="3"/>
      <c r="GP90" s="3"/>
      <c r="GQ90" s="3"/>
      <c r="GR90" s="3"/>
      <c r="HZ90" s="22"/>
      <c r="IF90" s="3"/>
    </row>
    <row r="91" spans="1:240" x14ac:dyDescent="0.25">
      <c r="B91" s="4">
        <f>100*((DataQ!C161/DataQ!C157)-1)</f>
        <v>8.2464810174016847</v>
      </c>
      <c r="C91" s="4">
        <f t="shared" si="128"/>
        <v>9.7435539095800436</v>
      </c>
      <c r="D91" s="4">
        <v>0</v>
      </c>
      <c r="G91" s="4">
        <f>100*((AVERAGE(DataQ!C158:C161)/AVERAGE(DataQ!C154:C157))-1)</f>
        <v>8.5957048805966441</v>
      </c>
      <c r="H91" s="4">
        <f t="shared" si="138"/>
        <v>9.6660836133527717</v>
      </c>
      <c r="I91" s="4">
        <v>0</v>
      </c>
      <c r="K91" s="4">
        <f t="shared" si="129"/>
        <v>9.7435539095800436</v>
      </c>
      <c r="L91" s="4">
        <f>100*(HAVERQ!AF95/HAVERQ!AI95)</f>
        <v>9.7435539095800436</v>
      </c>
      <c r="EA91" s="4">
        <f t="shared" si="131"/>
        <v>-1.9245615315514581</v>
      </c>
      <c r="EB91" s="4">
        <f t="shared" si="132"/>
        <v>1.62580407100043</v>
      </c>
      <c r="EC91" s="4">
        <f t="shared" si="130"/>
        <v>4.1820508133796341</v>
      </c>
      <c r="ED91" s="3">
        <v>0</v>
      </c>
      <c r="EF91" s="4">
        <f t="shared" si="133"/>
        <v>-0.29875746055102809</v>
      </c>
      <c r="EG91" s="4">
        <f t="shared" si="134"/>
        <v>-1.3042636802030196</v>
      </c>
      <c r="EJ91" s="3">
        <f>'IPNR ex BNFL'!I99</f>
        <v>54710</v>
      </c>
      <c r="EL91">
        <v>2021</v>
      </c>
      <c r="EM91" s="4">
        <f t="shared" si="135"/>
        <v>-1.6894720485065722</v>
      </c>
      <c r="EN91" s="4">
        <f t="shared" si="136"/>
        <v>-0.29875746055102809</v>
      </c>
      <c r="EO91" s="4">
        <f t="shared" si="137"/>
        <v>-1.9245615315514581</v>
      </c>
      <c r="EQ91">
        <v>2021</v>
      </c>
      <c r="ER91" s="4">
        <f>(HAVERQ!W133*$EW$2)+(HAVERQ!X133*$EX$2)/($EW$2+$EX$2)</f>
        <v>-11.598403610073268</v>
      </c>
      <c r="ES91" s="4">
        <f>(HAVERQ!AB133*$EW$2)+(HAVERQ!AC133*$EY$2)+(HAVERQ!AD133*$EZ$2)+(HAVERQ!AE133*$FA$2)/($EW$2+$EY$2+$EZ$2+$FA$2)</f>
        <v>-10.439868504051628</v>
      </c>
      <c r="ET91" s="21">
        <f>HAVERQ!AA133</f>
        <v>-2.2000000000000002</v>
      </c>
      <c r="FV91" s="26">
        <v>44958</v>
      </c>
      <c r="FW91" s="3">
        <f>HAVERM!G285</f>
        <v>575731</v>
      </c>
      <c r="FX91" s="3">
        <f t="shared" si="140"/>
        <v>490808.95833333407</v>
      </c>
      <c r="GA91" s="3">
        <f t="shared" si="139"/>
        <v>84922.041666665929</v>
      </c>
      <c r="GK91" s="3"/>
      <c r="GL91" s="3"/>
      <c r="GM91" s="3"/>
      <c r="GP91" s="3"/>
      <c r="GQ91" s="3"/>
      <c r="GR91" s="3"/>
      <c r="HZ91" s="22"/>
      <c r="IF91" s="3"/>
    </row>
    <row r="92" spans="1:240" x14ac:dyDescent="0.25">
      <c r="B92" s="4">
        <f>100*((DataQ!C162/DataQ!C158)-1)</f>
        <v>4.0821707129517826</v>
      </c>
      <c r="C92" s="4">
        <f t="shared" si="128"/>
        <v>9.0813711037624341</v>
      </c>
      <c r="D92" s="4">
        <v>0</v>
      </c>
      <c r="G92" s="4">
        <f>100*((AVERAGE(DataQ!C159:C162)/AVERAGE(DataQ!C155:C158))-1)</f>
        <v>5.930260511641805</v>
      </c>
      <c r="H92" s="4">
        <f t="shared" si="138"/>
        <v>9.3274338992904546</v>
      </c>
      <c r="I92" s="4">
        <v>0</v>
      </c>
      <c r="K92" s="4">
        <f t="shared" si="129"/>
        <v>9.0813711037624341</v>
      </c>
      <c r="L92" s="4">
        <f>100*(HAVERQ!AF96/HAVERQ!AI96)</f>
        <v>9.0813711037624341</v>
      </c>
      <c r="EA92" s="4">
        <f t="shared" si="131"/>
        <v>0.10220098337297766</v>
      </c>
      <c r="EB92" s="4">
        <f t="shared" si="132"/>
        <v>1.1119516726100294</v>
      </c>
      <c r="EC92" s="4">
        <f t="shared" si="130"/>
        <v>-1.0333189095629636</v>
      </c>
      <c r="ED92" s="3">
        <v>0</v>
      </c>
      <c r="EF92" s="4">
        <f t="shared" si="133"/>
        <v>1.2141526559830069</v>
      </c>
      <c r="EG92" s="4">
        <f t="shared" si="134"/>
        <v>0.60377914896862972</v>
      </c>
      <c r="EJ92" s="3">
        <f>'IPNR ex BNFL'!I100</f>
        <v>57775</v>
      </c>
      <c r="EM92" s="4">
        <f t="shared" si="135"/>
        <v>0.10220098337297766</v>
      </c>
      <c r="EN92" s="4">
        <f t="shared" si="136"/>
        <v>1.2141526559830069</v>
      </c>
      <c r="EO92" s="4">
        <f t="shared" si="137"/>
        <v>0.49498380754990479</v>
      </c>
      <c r="ER92" s="4">
        <f>(HAVERQ!W134*$EW$2)+(HAVERQ!X134*$EX$2)/($EW$2+$EX$2)</f>
        <v>9.4015963899267305</v>
      </c>
      <c r="ES92" s="4">
        <f>(HAVERQ!AB134*$EW$2)+(HAVERQ!AC134*$EY$2)+(HAVERQ!AD134*$EZ$2)+(HAVERQ!AE134*$FA$2)/($EW$2+$EY$2+$EZ$2+$FA$2)</f>
        <v>10.849507496724732</v>
      </c>
      <c r="ET92" s="21">
        <f>HAVERQ!AA134</f>
        <v>1.5999999999999999</v>
      </c>
      <c r="FV92" s="26">
        <v>44986</v>
      </c>
      <c r="FW92" s="3">
        <f>HAVERM!G286</f>
        <v>570773</v>
      </c>
      <c r="FX92" s="3">
        <f t="shared" si="140"/>
        <v>492523.56250000076</v>
      </c>
      <c r="GA92" s="3">
        <f t="shared" ref="GA92:GA99" si="141">FW92-FX92</f>
        <v>78249.437499999243</v>
      </c>
      <c r="GK92" s="3"/>
      <c r="GL92" s="3"/>
      <c r="GM92" s="3"/>
      <c r="GP92" s="3"/>
      <c r="GQ92" s="3"/>
      <c r="GR92" s="3"/>
      <c r="HZ92" s="22"/>
      <c r="IF92" s="3"/>
    </row>
    <row r="93" spans="1:240" x14ac:dyDescent="0.25">
      <c r="A93">
        <v>2012</v>
      </c>
      <c r="B93" s="4">
        <f>100*((DataQ!C163/DataQ!C159)-1)</f>
        <v>16.057169855894159</v>
      </c>
      <c r="C93" s="4">
        <f t="shared" si="128"/>
        <v>10.245738382714523</v>
      </c>
      <c r="D93" s="4">
        <v>0</v>
      </c>
      <c r="F93">
        <v>2012</v>
      </c>
      <c r="G93" s="4">
        <f>100*((AVERAGE(DataQ!C160:C163)/AVERAGE(DataQ!C156:C159))-1)</f>
        <v>9.3698949824970725</v>
      </c>
      <c r="H93" s="4">
        <f t="shared" si="138"/>
        <v>9.7563699097964758</v>
      </c>
      <c r="I93" s="4">
        <v>0</v>
      </c>
      <c r="K93" s="4">
        <f t="shared" si="129"/>
        <v>10.245738382714523</v>
      </c>
      <c r="L93" s="4">
        <f>100*(HAVERQ!AF97/HAVERQ!AI97)</f>
        <v>10.245738382714523</v>
      </c>
      <c r="DZ93">
        <v>2022</v>
      </c>
      <c r="EA93" s="4">
        <f t="shared" si="131"/>
        <v>0.48892944408379979</v>
      </c>
      <c r="EB93" s="4">
        <f t="shared" si="132"/>
        <v>0.80195743553892151</v>
      </c>
      <c r="EC93" s="4">
        <f t="shared" si="130"/>
        <v>9.4281786430853831</v>
      </c>
      <c r="ED93" s="3">
        <v>0</v>
      </c>
      <c r="EF93" s="4">
        <f t="shared" si="133"/>
        <v>1.2908868796227213</v>
      </c>
      <c r="EG93" s="4">
        <f t="shared" si="134"/>
        <v>0.96687333113102569</v>
      </c>
      <c r="EI93" s="22">
        <v>2021</v>
      </c>
      <c r="EJ93" s="3">
        <f>'IPNR ex BNFL'!I101</f>
        <v>53828</v>
      </c>
      <c r="EM93" s="4">
        <f t="shared" si="135"/>
        <v>0.48892944408379979</v>
      </c>
      <c r="EN93" s="4">
        <f t="shared" si="136"/>
        <v>1.120803669686556</v>
      </c>
      <c r="EO93" s="4">
        <f t="shared" si="137"/>
        <v>1.2908868796227213</v>
      </c>
      <c r="ER93" s="4">
        <f>(HAVERQ!W135*$EW$2)+(HAVERQ!X135*$EX$2)/($EW$2+$EX$2)</f>
        <v>13.934397593284487</v>
      </c>
      <c r="ES93" s="4">
        <f>(HAVERQ!AB135*$EW$2)+(HAVERQ!AC135*$EY$2)+(HAVERQ!AD135*$EZ$2)+(HAVERQ!AE135*$FA$2)/($EW$2+$EY$2+$EZ$2+$FA$2)</f>
        <v>9.5359187733514492</v>
      </c>
      <c r="ET93" s="21">
        <f>HAVERQ!AA135</f>
        <v>2.8499999999999996</v>
      </c>
      <c r="FV93" s="26">
        <v>45017</v>
      </c>
      <c r="FW93" s="3">
        <f>HAVERM!G287</f>
        <v>568313</v>
      </c>
      <c r="FX93" s="3">
        <f t="shared" si="140"/>
        <v>494238.16666666744</v>
      </c>
      <c r="GA93" s="3">
        <f t="shared" si="141"/>
        <v>74074.833333332557</v>
      </c>
      <c r="GK93" s="3"/>
      <c r="GL93" s="3"/>
      <c r="GM93" s="3"/>
      <c r="GP93" s="3"/>
      <c r="GQ93" s="3"/>
      <c r="GR93" s="3"/>
      <c r="HZ93" s="22"/>
      <c r="IF93" s="3"/>
    </row>
    <row r="94" spans="1:240" x14ac:dyDescent="0.25">
      <c r="B94" s="4">
        <f>100*((DataQ!C164/DataQ!C160)-1)</f>
        <v>5.078002771445167</v>
      </c>
      <c r="C94" s="4">
        <f t="shared" si="128"/>
        <v>10.188987083616588</v>
      </c>
      <c r="D94" s="4">
        <v>0</v>
      </c>
      <c r="G94" s="4">
        <f>100*((AVERAGE(DataQ!C161:C164)/AVERAGE(DataQ!C157:C160))-1)</f>
        <v>8.2426233997398448</v>
      </c>
      <c r="H94" s="4">
        <f t="shared" si="138"/>
        <v>9.8149126199183971</v>
      </c>
      <c r="I94" s="4">
        <v>0</v>
      </c>
      <c r="K94" s="4">
        <f t="shared" si="129"/>
        <v>10.188987083616588</v>
      </c>
      <c r="L94" s="4">
        <f>100*(HAVERQ!AF98/HAVERQ!AI98)</f>
        <v>10.188987083616588</v>
      </c>
      <c r="EA94" s="4">
        <f t="shared" si="131"/>
        <v>0.27283651021864908</v>
      </c>
      <c r="EB94" s="4">
        <f t="shared" si="132"/>
        <v>1.2734088979159748</v>
      </c>
      <c r="EC94" s="4">
        <f t="shared" ref="EC94:EC96" si="142">100*((EJ98/EJ94)-1)</f>
        <v>4.0440098642799294</v>
      </c>
      <c r="ED94" s="3">
        <v>0</v>
      </c>
      <c r="EF94" s="4">
        <f t="shared" si="133"/>
        <v>1.546245408134624</v>
      </c>
      <c r="EG94" s="4">
        <f t="shared" si="134"/>
        <v>1.05788034791394</v>
      </c>
      <c r="EJ94" s="3">
        <f>'IPNR ex BNFL'!I102</f>
        <v>57987</v>
      </c>
      <c r="EM94" s="4">
        <f t="shared" si="135"/>
        <v>0.27283651021864908</v>
      </c>
      <c r="EN94" s="4">
        <f t="shared" si="136"/>
        <v>1.546245408134624</v>
      </c>
      <c r="EO94" s="4">
        <f t="shared" si="137"/>
        <v>1.3545591253885469</v>
      </c>
      <c r="ER94" s="4">
        <f>(HAVERQ!W136*$EW$2)+(HAVERQ!X136*$EX$2)/($EW$2+$EX$2)</f>
        <v>11.401596389926731</v>
      </c>
      <c r="ES94" s="4">
        <f>(HAVERQ!AB136*$EW$2)+(HAVERQ!AC136*$EY$2)+(HAVERQ!AD136*$EZ$2)+(HAVERQ!AE136*$FA$2)/($EW$2+$EY$2+$EZ$2+$FA$2)</f>
        <v>15.522651915829654</v>
      </c>
      <c r="ET94" s="21">
        <f>HAVERQ!AA136</f>
        <v>2.95</v>
      </c>
      <c r="FV94" s="26">
        <v>45047</v>
      </c>
      <c r="FW94" s="3">
        <f>HAVERM!G288</f>
        <v>566071</v>
      </c>
      <c r="FX94" s="3">
        <f t="shared" si="140"/>
        <v>495952.77083333413</v>
      </c>
      <c r="GA94" s="3">
        <f t="shared" si="141"/>
        <v>70118.229166665871</v>
      </c>
      <c r="GK94" s="3"/>
      <c r="GL94" s="3"/>
      <c r="GM94" s="3"/>
      <c r="GP94" s="3"/>
      <c r="GQ94" s="3"/>
      <c r="GR94" s="3"/>
      <c r="HZ94" s="22"/>
      <c r="IF94" s="3"/>
    </row>
    <row r="95" spans="1:240" x14ac:dyDescent="0.25">
      <c r="B95" s="4">
        <f>100*((DataQ!C165/DataQ!C161)-1)</f>
        <v>2.2307326149984874</v>
      </c>
      <c r="C95" s="4">
        <f t="shared" si="128"/>
        <v>9.6282864913871258</v>
      </c>
      <c r="D95" s="4">
        <v>0</v>
      </c>
      <c r="G95" s="4">
        <f>100*((AVERAGE(DataQ!C162:C165)/AVERAGE(DataQ!C158:C161))-1)</f>
        <v>6.6877324459606813</v>
      </c>
      <c r="H95" s="4">
        <f t="shared" si="138"/>
        <v>9.7860957653701668</v>
      </c>
      <c r="I95" s="4">
        <v>0</v>
      </c>
      <c r="K95" s="4">
        <f t="shared" si="129"/>
        <v>9.6282864913871258</v>
      </c>
      <c r="L95" s="4">
        <f>100*(HAVERQ!AF99/HAVERQ!AI99)</f>
        <v>9.6282864913871258</v>
      </c>
      <c r="EA95" s="4">
        <f t="shared" si="131"/>
        <v>0.31829391723812833</v>
      </c>
      <c r="EB95" s="4">
        <f t="shared" si="132"/>
        <v>1.6655415484522902</v>
      </c>
      <c r="EC95" s="4">
        <f t="shared" si="142"/>
        <v>6.8230464226815002</v>
      </c>
      <c r="ED95" s="3">
        <v>0</v>
      </c>
      <c r="EF95" s="4">
        <f t="shared" si="133"/>
        <v>1.9838354656904185</v>
      </c>
      <c r="EG95" s="4">
        <f t="shared" si="134"/>
        <v>1.2295082104000021</v>
      </c>
      <c r="EJ95" s="3">
        <f>'IPNR ex BNFL'!I103</f>
        <v>56998</v>
      </c>
      <c r="EL95">
        <v>2022</v>
      </c>
      <c r="EM95" s="4">
        <f t="shared" si="135"/>
        <v>0.31829391723812833</v>
      </c>
      <c r="EN95" s="4">
        <f t="shared" si="136"/>
        <v>1.9838354656904185</v>
      </c>
      <c r="EO95" s="4">
        <f t="shared" si="137"/>
        <v>1.3863952482714594</v>
      </c>
      <c r="EQ95">
        <v>2022</v>
      </c>
      <c r="ER95" s="4">
        <f>(HAVERQ!W137*$EW$2)+(HAVERQ!X137*$EX$2)/($EW$2+$EX$2)</f>
        <v>11.934397593284487</v>
      </c>
      <c r="ES95" s="4">
        <f>(HAVERQ!AB137*$EW$2)+(HAVERQ!AC137*$EY$2)+(HAVERQ!AD137*$EZ$2)+(HAVERQ!AE137*$FA$2)/($EW$2+$EY$2+$EZ$2+$FA$2)</f>
        <v>21.680333834732401</v>
      </c>
      <c r="ET95" s="21">
        <f>HAVERQ!AA137</f>
        <v>3</v>
      </c>
      <c r="FV95" s="26">
        <v>45078</v>
      </c>
      <c r="FW95" s="3">
        <f>HAVERM!G289</f>
        <v>560816</v>
      </c>
      <c r="FX95" s="3">
        <f t="shared" si="140"/>
        <v>497667.37500000081</v>
      </c>
      <c r="GA95" s="3">
        <f t="shared" si="141"/>
        <v>63148.624999999185</v>
      </c>
      <c r="GK95" s="3"/>
      <c r="GL95" s="3"/>
      <c r="GM95" s="3"/>
      <c r="GP95" s="3"/>
      <c r="GQ95" s="3"/>
      <c r="GR95" s="3"/>
      <c r="HZ95" s="22"/>
      <c r="IF95" s="3"/>
    </row>
    <row r="96" spans="1:240" x14ac:dyDescent="0.25">
      <c r="B96" s="4">
        <f>100*((DataQ!C166/DataQ!C162)-1)</f>
        <v>5.5221328604901476</v>
      </c>
      <c r="C96" s="4">
        <f t="shared" si="128"/>
        <v>8.9791384725378549</v>
      </c>
      <c r="D96" s="4">
        <v>0</v>
      </c>
      <c r="G96" s="4">
        <f>100*((AVERAGE(DataQ!C163:C166)/AVERAGE(DataQ!C159:C162))-1)</f>
        <v>7.0385192319401213</v>
      </c>
      <c r="H96" s="4">
        <f t="shared" si="138"/>
        <v>9.7605376075640216</v>
      </c>
      <c r="I96" s="4">
        <v>0</v>
      </c>
      <c r="K96" s="4">
        <f t="shared" si="129"/>
        <v>8.9791384725378549</v>
      </c>
      <c r="L96" s="4">
        <f>100*(HAVERQ!AF100/HAVERQ!AI100)</f>
        <v>8.9791384725378549</v>
      </c>
      <c r="EA96" s="4">
        <f t="shared" si="131"/>
        <v>0.23857320443141541</v>
      </c>
      <c r="EB96" s="4">
        <f t="shared" si="132"/>
        <v>0.8294608150109174</v>
      </c>
      <c r="EC96" s="4">
        <f t="shared" si="142"/>
        <v>3.6202735317779622</v>
      </c>
      <c r="ED96" s="3">
        <v>0</v>
      </c>
      <c r="EF96" s="4">
        <f t="shared" si="133"/>
        <v>1.0680340194423328</v>
      </c>
      <c r="EG96" s="4">
        <f t="shared" si="134"/>
        <v>0.66204384744059863</v>
      </c>
      <c r="EJ96" s="3">
        <f>'IPNR ex BNFL'!I104</f>
        <v>57178</v>
      </c>
      <c r="EM96" s="4">
        <f t="shared" ref="EM96:EM99" si="143">(ER96-ER$2)/ER$3</f>
        <v>0.23857320443141541</v>
      </c>
      <c r="EN96" s="4">
        <f t="shared" ref="EN96:EN99" si="144">(ES96-ES$2)/ES$3</f>
        <v>0.67952431844804773</v>
      </c>
      <c r="EO96" s="4">
        <f t="shared" ref="EO96:EO99" si="145">(ET96-ET$2)/ET$3</f>
        <v>1.0680340194423328</v>
      </c>
      <c r="ER96" s="4">
        <f>(HAVERQ!W138*$EW$2)+(HAVERQ!X138*$EX$2)/($EW$2+$EX$2)</f>
        <v>11</v>
      </c>
      <c r="ES96" s="4">
        <f>(HAVERQ!AB138*$EW$2)+(HAVERQ!AC138*$EY$2)+(HAVERQ!AD138*$EZ$2)+(HAVERQ!AE138*$FA$2)/($EW$2+$EY$2+$EZ$2+$FA$2)</f>
        <v>3.3263218335031621</v>
      </c>
      <c r="ET96" s="21">
        <f>HAVERQ!AA138</f>
        <v>2.5</v>
      </c>
      <c r="FV96" s="26">
        <v>45108</v>
      </c>
      <c r="FW96" s="3">
        <f>HAVERM!G290</f>
        <v>560802</v>
      </c>
      <c r="FX96" s="3">
        <f t="shared" si="140"/>
        <v>499381.9791666675</v>
      </c>
      <c r="GA96" s="3">
        <f t="shared" si="141"/>
        <v>61420.020833332499</v>
      </c>
      <c r="GK96" s="3"/>
      <c r="GL96" s="3"/>
      <c r="GM96" s="3"/>
      <c r="GP96" s="3"/>
      <c r="GQ96" s="3"/>
      <c r="GR96" s="3"/>
      <c r="HZ96" s="22"/>
      <c r="IF96" s="3"/>
    </row>
    <row r="97" spans="1:240" x14ac:dyDescent="0.25">
      <c r="A97">
        <v>2013</v>
      </c>
      <c r="B97" s="4">
        <f>100*((DataQ!C167/DataQ!C163)-1)</f>
        <v>-1.1968978362204119</v>
      </c>
      <c r="C97" s="4">
        <f t="shared" si="128"/>
        <v>9.7472427045906933</v>
      </c>
      <c r="D97" s="4">
        <v>0</v>
      </c>
      <c r="F97">
        <v>2013</v>
      </c>
      <c r="G97" s="4">
        <f>100*((AVERAGE(DataQ!C164:C167)/AVERAGE(DataQ!C160:C163))-1)</f>
        <v>2.8438066787581429</v>
      </c>
      <c r="H97" s="4">
        <f t="shared" si="138"/>
        <v>9.6359136880330656</v>
      </c>
      <c r="I97" s="4">
        <v>0</v>
      </c>
      <c r="K97" s="4">
        <f t="shared" si="129"/>
        <v>9.7472427045906933</v>
      </c>
      <c r="L97" s="4">
        <f>100*(HAVERQ!AF101/HAVERQ!AI101)</f>
        <v>9.7472427045906933</v>
      </c>
      <c r="DZ97">
        <v>2023</v>
      </c>
      <c r="EA97" s="4">
        <f t="shared" si="131"/>
        <v>-0.60131764432915624</v>
      </c>
      <c r="EB97" s="4">
        <f t="shared" si="132"/>
        <v>0.90923362534902541</v>
      </c>
      <c r="EC97" s="4">
        <f t="shared" ref="EC97:EC99" si="146">100*((EJ101/EJ97)-1)</f>
        <v>6.0760912007877366</v>
      </c>
      <c r="ED97" s="3">
        <v>0</v>
      </c>
      <c r="EF97" s="4">
        <f t="shared" si="133"/>
        <v>0.30791598101986922</v>
      </c>
      <c r="EG97" s="4">
        <f t="shared" si="134"/>
        <v>-6.0150443451444734E-2</v>
      </c>
      <c r="EI97" s="22">
        <v>2022</v>
      </c>
      <c r="EJ97" s="3">
        <f>'IPNR ex BNFL'!I105</f>
        <v>58903</v>
      </c>
      <c r="EM97" s="4">
        <f t="shared" si="143"/>
        <v>-0.60131764432915624</v>
      </c>
      <c r="EN97" s="4">
        <f t="shared" si="144"/>
        <v>0.30791598101986922</v>
      </c>
      <c r="EO97" s="4">
        <f t="shared" si="145"/>
        <v>0.11295033295495281</v>
      </c>
      <c r="ER97" s="4">
        <f>(HAVERQ!W139*$EW$2)+(HAVERQ!X139*$EX$2)/($EW$2+$EX$2)</f>
        <v>1.1557329322140812</v>
      </c>
      <c r="ES97" s="4">
        <f>(HAVERQ!AB139*$EW$2)+(HAVERQ!AC139*$EY$2)+(HAVERQ!AD139*$EZ$2)+(HAVERQ!AE139*$FA$2)/($EW$2+$EY$2+$EZ$2+$FA$2)</f>
        <v>-1.9028781923754998</v>
      </c>
      <c r="ET97" s="21">
        <f>HAVERQ!AA139</f>
        <v>1</v>
      </c>
      <c r="FV97" s="26">
        <v>45139</v>
      </c>
      <c r="FW97" s="3">
        <f>HAVERM!G291</f>
        <v>559861</v>
      </c>
      <c r="FX97" s="3">
        <f t="shared" si="140"/>
        <v>501096.58333333419</v>
      </c>
      <c r="GA97" s="3">
        <f t="shared" si="141"/>
        <v>58764.416666665813</v>
      </c>
      <c r="GK97" s="3"/>
      <c r="GL97" s="3"/>
      <c r="GM97" s="3"/>
      <c r="GP97" s="3"/>
      <c r="GQ97" s="3"/>
      <c r="GR97" s="3"/>
      <c r="HZ97" s="22"/>
      <c r="IF97" s="3"/>
    </row>
    <row r="98" spans="1:240" x14ac:dyDescent="0.25">
      <c r="B98" s="4">
        <f>100*((DataQ!C168/DataQ!C164)-1)</f>
        <v>5.3090568766750224</v>
      </c>
      <c r="C98" s="4">
        <f t="shared" si="128"/>
        <v>9.477270926331915</v>
      </c>
      <c r="D98" s="4">
        <v>0</v>
      </c>
      <c r="G98" s="4">
        <f>100*((AVERAGE(DataQ!C165:C168)/AVERAGE(DataQ!C161:C164))-1)</f>
        <v>2.927813969177584</v>
      </c>
      <c r="H98" s="4">
        <f t="shared" si="138"/>
        <v>9.4579846487118964</v>
      </c>
      <c r="I98" s="4">
        <v>0</v>
      </c>
      <c r="K98" s="4">
        <f t="shared" si="129"/>
        <v>9.477270926331915</v>
      </c>
      <c r="L98" s="4">
        <f>100*(HAVERQ!AF102/HAVERQ!AI102)</f>
        <v>9.477270926331915</v>
      </c>
      <c r="EA98" s="4">
        <f t="shared" si="131"/>
        <v>-0.63348826588084994</v>
      </c>
      <c r="EB98" s="4">
        <f t="shared" si="132"/>
        <v>0.54245364280136066</v>
      </c>
      <c r="EC98" s="4">
        <f t="shared" si="146"/>
        <v>3.0166412517403707</v>
      </c>
      <c r="ED98" s="3">
        <v>0</v>
      </c>
      <c r="EF98" s="4">
        <f t="shared" si="133"/>
        <v>-9.103462307948923E-2</v>
      </c>
      <c r="EG98" s="4">
        <f t="shared" si="134"/>
        <v>-0.41609833788787992</v>
      </c>
      <c r="EJ98" s="3">
        <f>'IPNR ex BNFL'!I106</f>
        <v>60332</v>
      </c>
      <c r="EM98" s="4">
        <f t="shared" si="143"/>
        <v>-0.63348826588084994</v>
      </c>
      <c r="EN98" s="4">
        <f t="shared" si="144"/>
        <v>-9.103462307948923E-2</v>
      </c>
      <c r="EO98" s="4">
        <f t="shared" si="145"/>
        <v>-0.52377212470330059</v>
      </c>
      <c r="ER98" s="4">
        <f>(HAVERQ!W140*$EW$2)+(HAVERQ!X140*$EX$2)/($EW$2+$EX$2)</f>
        <v>0.77866466107040611</v>
      </c>
      <c r="ES98" s="4">
        <f>(HAVERQ!AB140*$EW$2)+(HAVERQ!AC140*$EY$2)+(HAVERQ!AD140*$EZ$2)+(HAVERQ!AE140*$FA$2)/($EW$2+$EY$2+$EZ$2+$FA$2)</f>
        <v>-7.516833260549598</v>
      </c>
      <c r="ET98" s="21">
        <f>HAVERQ!AA140</f>
        <v>0</v>
      </c>
      <c r="FV98" s="26">
        <v>45170</v>
      </c>
      <c r="FW98" s="3">
        <f>HAVERM!G292</f>
        <v>558213</v>
      </c>
      <c r="FX98" s="3">
        <f t="shared" si="140"/>
        <v>502811.18750000087</v>
      </c>
      <c r="GA98" s="3">
        <f t="shared" si="141"/>
        <v>55401.812499999127</v>
      </c>
      <c r="GK98" s="3"/>
      <c r="GL98" s="3"/>
      <c r="GM98" s="3"/>
      <c r="GP98" s="3"/>
      <c r="GQ98" s="3"/>
      <c r="GR98" s="3"/>
      <c r="HZ98" s="22"/>
      <c r="IF98" s="3"/>
    </row>
    <row r="99" spans="1:240" x14ac:dyDescent="0.25">
      <c r="B99" s="4">
        <f>100*((DataQ!C169/DataQ!C165)-1)</f>
        <v>8.4530889542635776</v>
      </c>
      <c r="C99" s="4">
        <f t="shared" si="128"/>
        <v>8.8702587689681085</v>
      </c>
      <c r="D99" s="4">
        <v>0</v>
      </c>
      <c r="G99" s="4">
        <f>100*((AVERAGE(DataQ!C166:C169)/AVERAGE(DataQ!C162:C165))-1)</f>
        <v>4.4652264852198753</v>
      </c>
      <c r="H99" s="4">
        <f t="shared" si="138"/>
        <v>9.2684777181071425</v>
      </c>
      <c r="I99" s="4">
        <v>0</v>
      </c>
      <c r="K99" s="4">
        <f t="shared" si="129"/>
        <v>8.8702587689681085</v>
      </c>
      <c r="L99" s="4">
        <f>100*(HAVERQ!AF103/HAVERQ!AI103)</f>
        <v>8.8702587689681085</v>
      </c>
      <c r="EA99" s="4">
        <f t="shared" si="131"/>
        <v>-0.44187621871573035</v>
      </c>
      <c r="EB99" s="4">
        <f t="shared" si="132"/>
        <v>0.23646532284155647</v>
      </c>
      <c r="EC99" s="4">
        <f t="shared" si="146"/>
        <v>-0.97065054937836015</v>
      </c>
      <c r="ED99" s="3">
        <v>0</v>
      </c>
      <c r="EF99" s="4">
        <f t="shared" si="133"/>
        <v>-0.20541089587417388</v>
      </c>
      <c r="EG99" s="4">
        <f t="shared" si="134"/>
        <v>-0.30777909093505013</v>
      </c>
      <c r="EJ99" s="3">
        <f>'IPNR ex BNFL'!I107</f>
        <v>60887</v>
      </c>
      <c r="EL99">
        <v>2023</v>
      </c>
      <c r="EM99" s="4">
        <f t="shared" si="143"/>
        <v>-0.44187621871573035</v>
      </c>
      <c r="EN99" s="4">
        <f t="shared" si="144"/>
        <v>-0.27605015821524614</v>
      </c>
      <c r="EO99" s="4">
        <f t="shared" si="145"/>
        <v>-0.20541089587417388</v>
      </c>
      <c r="EQ99">
        <v>2023</v>
      </c>
      <c r="ER99" s="4">
        <f>(HAVERQ!W141*$EW$2)+(HAVERQ!X141*$EX$2)/($EW$2+$EX$2)</f>
        <v>3.0245281187830555</v>
      </c>
      <c r="ES99" s="4">
        <f>(HAVERQ!AB141*$EW$2)+(HAVERQ!AC141*$EY$2)+(HAVERQ!AD141*$EZ$2)+(HAVERQ!AE141*$FA$2)/($EW$2+$EY$2+$EZ$2+$FA$2)</f>
        <v>-10.120335775632006</v>
      </c>
      <c r="ET99" s="21">
        <f>HAVERQ!AA141</f>
        <v>0.5</v>
      </c>
      <c r="FV99" s="26">
        <v>45200</v>
      </c>
      <c r="FW99" s="3">
        <f>HAVERM!G293</f>
        <v>557412</v>
      </c>
      <c r="FX99" s="3">
        <f t="shared" si="140"/>
        <v>504525.79166666756</v>
      </c>
      <c r="GA99" s="3">
        <f t="shared" si="141"/>
        <v>52886.208333332441</v>
      </c>
      <c r="GK99" s="3"/>
      <c r="GL99" s="3"/>
      <c r="GM99" s="3"/>
      <c r="GP99" s="3"/>
      <c r="GQ99" s="3"/>
      <c r="GR99" s="3"/>
      <c r="HZ99" s="22"/>
      <c r="IF99" s="3"/>
    </row>
    <row r="100" spans="1:240" x14ac:dyDescent="0.25">
      <c r="B100" s="4">
        <f>100*((DataQ!C170/DataQ!C166)-1)</f>
        <v>2.0984616615655538</v>
      </c>
      <c r="C100" s="4">
        <f t="shared" si="128"/>
        <v>9.0428017529900604</v>
      </c>
      <c r="D100" s="4">
        <v>0</v>
      </c>
      <c r="G100" s="4">
        <f>100*((AVERAGE(DataQ!C167:C170)/AVERAGE(DataQ!C163:C166))-1)</f>
        <v>3.5944957828926594</v>
      </c>
      <c r="H100" s="4">
        <f t="shared" si="138"/>
        <v>9.2843935382201934</v>
      </c>
      <c r="I100" s="4">
        <v>0</v>
      </c>
      <c r="K100" s="4">
        <f t="shared" si="129"/>
        <v>9.0428017529900604</v>
      </c>
      <c r="L100" s="4">
        <f>100*(HAVERQ!AF104/HAVERQ!AI104)</f>
        <v>9.0428017529900604</v>
      </c>
      <c r="EA100" s="4">
        <f t="shared" si="131"/>
        <v>-0.43627916809960759</v>
      </c>
      <c r="EB100" s="4">
        <f t="shared" si="132"/>
        <v>1.1512214530131333</v>
      </c>
      <c r="EC100" s="4">
        <f t="shared" ref="EC100:EC101" si="147">100*((EJ104/EJ100)-1)</f>
        <v>2.9925060761544664</v>
      </c>
      <c r="ED100" s="3">
        <v>0</v>
      </c>
      <c r="EF100" s="4">
        <f t="shared" si="133"/>
        <v>0.71494228491352574</v>
      </c>
      <c r="EG100" s="4">
        <f t="shared" si="134"/>
        <v>0.13053781658962366</v>
      </c>
      <c r="EJ100" s="3">
        <f>'IPNR ex BNFL'!I108</f>
        <v>59248</v>
      </c>
      <c r="EM100" s="4">
        <f t="shared" ref="EM100:EM102" si="148">(ER100-ER$2)/ER$3</f>
        <v>-0.43627916809960759</v>
      </c>
      <c r="EN100" s="4">
        <f t="shared" ref="EN100:EN102" si="149">(ES100-ES$2)/ES$3</f>
        <v>0.71494228491352574</v>
      </c>
      <c r="EO100" s="4">
        <f t="shared" ref="EO100:EO103" si="150">(ET100-ET$2)/ET$3</f>
        <v>0.11295033295495281</v>
      </c>
      <c r="ER100" s="4">
        <f>(HAVERQ!W142*$EW$2)+(HAVERQ!X142*$EX$2)/($EW$2+$EX$2)</f>
        <v>3.0901305254985685</v>
      </c>
      <c r="ES100" s="4">
        <f>(HAVERQ!AB142*$EW$2)+(HAVERQ!AC142*$EY$2)+(HAVERQ!AD142*$EZ$2)+(HAVERQ!AE142*$FA$2)/($EW$2+$EY$2+$EZ$2+$FA$2)</f>
        <v>3.8247165477865654</v>
      </c>
      <c r="ET100" s="21">
        <f>HAVERQ!AA142</f>
        <v>1</v>
      </c>
      <c r="FV100" s="26">
        <v>45231</v>
      </c>
      <c r="FW100" s="3">
        <f>HAVERM!G294</f>
        <v>557434</v>
      </c>
      <c r="FX100" s="3">
        <f t="shared" si="140"/>
        <v>506240.39583333425</v>
      </c>
      <c r="GA100" s="3">
        <f>FW100-FX100</f>
        <v>51193.604166665755</v>
      </c>
      <c r="GK100" s="3"/>
      <c r="GL100" s="3"/>
      <c r="GM100" s="3"/>
      <c r="GP100" s="3"/>
      <c r="GQ100" s="3"/>
      <c r="GR100" s="3"/>
      <c r="HZ100" s="22"/>
      <c r="IF100" s="3"/>
    </row>
    <row r="101" spans="1:240" x14ac:dyDescent="0.25">
      <c r="A101">
        <v>2014</v>
      </c>
      <c r="B101" s="4">
        <f>100*((DataQ!C171/DataQ!C167)-1)</f>
        <v>7.2519005335915487</v>
      </c>
      <c r="C101" s="4">
        <f t="shared" si="128"/>
        <v>8.8533476521049863</v>
      </c>
      <c r="D101" s="4">
        <v>0</v>
      </c>
      <c r="F101">
        <v>2014</v>
      </c>
      <c r="G101" s="4">
        <f>100*((AVERAGE(DataQ!C168:C171)/AVERAGE(DataQ!C164:C167))-1)</f>
        <v>5.7362636222645147</v>
      </c>
      <c r="H101" s="4">
        <f t="shared" si="138"/>
        <v>9.0609197750987676</v>
      </c>
      <c r="I101" s="4">
        <v>0</v>
      </c>
      <c r="K101" s="4">
        <f t="shared" si="129"/>
        <v>8.8533476521049863</v>
      </c>
      <c r="L101" s="4">
        <f>100*(HAVERQ!AF105/HAVERQ!AI105)</f>
        <v>8.8533476521049863</v>
      </c>
      <c r="DZ101">
        <v>2024</v>
      </c>
      <c r="EA101" s="4">
        <f t="shared" si="131"/>
        <v>-0.60998511472856409</v>
      </c>
      <c r="EB101" s="4">
        <f t="shared" si="132"/>
        <v>0.72293544768351692</v>
      </c>
      <c r="EC101" s="4">
        <f t="shared" si="147"/>
        <v>-1.7797125572164729</v>
      </c>
      <c r="ED101" s="3">
        <v>0</v>
      </c>
      <c r="EF101" s="4">
        <f t="shared" si="133"/>
        <v>0.11295033295495281</v>
      </c>
      <c r="EG101" s="4">
        <f t="shared" si="134"/>
        <v>-0.27380753850493739</v>
      </c>
      <c r="EI101" s="22">
        <v>2023</v>
      </c>
      <c r="EJ101" s="3">
        <f>'IPNR ex BNFL'!I109</f>
        <v>62482</v>
      </c>
      <c r="EM101" s="4">
        <f t="shared" si="148"/>
        <v>-0.32438783374120095</v>
      </c>
      <c r="EN101" s="4">
        <f t="shared" si="149"/>
        <v>-0.60998511472856409</v>
      </c>
      <c r="EO101" s="4">
        <f t="shared" si="150"/>
        <v>0.11295033295495281</v>
      </c>
      <c r="ER101" s="4">
        <f>(HAVERQ!W143*$EW$2)+(HAVERQ!X143*$EX$2)/($EW$2+$EX$2)</f>
        <v>4.4015963899267305</v>
      </c>
      <c r="ES101" s="4">
        <f>(HAVERQ!AB143*$EW$2)+(HAVERQ!AC143*$EY$2)+(HAVERQ!AD143*$EZ$2)+(HAVERQ!AE143*$FA$2)/($EW$2+$EY$2+$EZ$2+$FA$2)</f>
        <v>-14.819403335112492</v>
      </c>
      <c r="ET101" s="21">
        <f>HAVERQ!AA143</f>
        <v>1</v>
      </c>
      <c r="FV101" s="26">
        <v>45261</v>
      </c>
      <c r="FW101" s="3">
        <f>HAVERM!G295</f>
        <v>556245</v>
      </c>
      <c r="FX101" s="3">
        <f t="shared" si="140"/>
        <v>507955.00000000093</v>
      </c>
      <c r="GA101" s="3">
        <f t="shared" ref="GA101:GA109" si="151">FW101-FX101</f>
        <v>48289.999999999069</v>
      </c>
      <c r="GK101" s="3"/>
      <c r="GL101" s="3"/>
      <c r="GM101" s="3"/>
      <c r="GP101" s="3"/>
      <c r="GQ101" s="3"/>
      <c r="GR101" s="3"/>
      <c r="HZ101" s="22"/>
      <c r="IF101" s="3"/>
    </row>
    <row r="102" spans="1:240" x14ac:dyDescent="0.25">
      <c r="B102" s="4">
        <f>100*((DataQ!C172/DataQ!C168)-1)</f>
        <v>5.4635427186426888</v>
      </c>
      <c r="C102" s="4">
        <f t="shared" si="128"/>
        <v>8.6675576590605345</v>
      </c>
      <c r="D102" s="4">
        <v>0</v>
      </c>
      <c r="G102" s="4">
        <f>100*((AVERAGE(DataQ!C169:C172)/AVERAGE(DataQ!C165:C168))-1)</f>
        <v>5.7699693271953567</v>
      </c>
      <c r="H102" s="4">
        <f t="shared" si="138"/>
        <v>8.8584914582809233</v>
      </c>
      <c r="I102" s="4">
        <v>0</v>
      </c>
      <c r="K102" s="4">
        <f t="shared" si="129"/>
        <v>8.6675576590605345</v>
      </c>
      <c r="L102" s="4">
        <f>100*(HAVERQ!AF106/HAVERQ!AI106)</f>
        <v>8.6675576590605345</v>
      </c>
      <c r="EA102" s="4">
        <f t="shared" si="131"/>
        <v>-0.29221721218950714</v>
      </c>
      <c r="EB102" s="4">
        <f t="shared" si="132"/>
        <v>0.20116937098482085</v>
      </c>
      <c r="EC102" s="4">
        <f t="shared" ref="EC102" si="152">100*((EJ106/EJ102)-1)</f>
        <v>0.15767795083021507</v>
      </c>
      <c r="ED102" s="3">
        <v>0</v>
      </c>
      <c r="EF102" s="4">
        <f t="shared" si="133"/>
        <v>-9.1047841204686286E-2</v>
      </c>
      <c r="EG102" s="4">
        <f t="shared" si="134"/>
        <v>-0.19622531642278909</v>
      </c>
      <c r="EJ102" s="3">
        <f>'IPNR ex BNFL'!I110</f>
        <v>62152</v>
      </c>
      <c r="EM102" s="4">
        <f t="shared" si="148"/>
        <v>-0.29221721218950714</v>
      </c>
      <c r="EN102" s="4">
        <f t="shared" si="149"/>
        <v>-9.1047841204686286E-2</v>
      </c>
      <c r="EO102" s="4">
        <f t="shared" si="150"/>
        <v>-0.20541089587417388</v>
      </c>
      <c r="ER102" s="4">
        <f>(HAVERQ!W144*$EW$2)+(HAVERQ!X144*$EX$2)/($EW$2+$EX$2)</f>
        <v>4.7786646610704064</v>
      </c>
      <c r="ES102" s="4">
        <f>(HAVERQ!AB144*$EW$2)+(HAVERQ!AC144*$EY$2)+(HAVERQ!AD144*$EZ$2)+(HAVERQ!AE144*$FA$2)/($EW$2+$EY$2+$EZ$2+$FA$2)</f>
        <v>-7.5170192634285993</v>
      </c>
      <c r="ET102" s="21">
        <f>HAVERQ!AA144</f>
        <v>0.5</v>
      </c>
      <c r="FV102" s="26">
        <v>45292</v>
      </c>
      <c r="FW102" s="3">
        <f>HAVERM!G296</f>
        <v>552971</v>
      </c>
      <c r="FX102" s="3">
        <f t="shared" si="140"/>
        <v>509669.60416666762</v>
      </c>
      <c r="GA102" s="3">
        <f t="shared" si="151"/>
        <v>43301.395833332383</v>
      </c>
      <c r="GK102" s="3"/>
      <c r="GL102" s="3"/>
      <c r="GM102" s="3"/>
      <c r="GP102" s="3"/>
      <c r="GQ102" s="3"/>
      <c r="GR102" s="3"/>
      <c r="HZ102" s="22"/>
      <c r="IF102" s="3"/>
    </row>
    <row r="103" spans="1:240" x14ac:dyDescent="0.25">
      <c r="B103" s="4">
        <f>100*((DataQ!C173/DataQ!C169)-1)</f>
        <v>2.6110883437737931</v>
      </c>
      <c r="C103" s="4">
        <f t="shared" si="128"/>
        <v>8.0897634313508728</v>
      </c>
      <c r="D103" s="4">
        <v>0</v>
      </c>
      <c r="G103" s="4">
        <f>100*((AVERAGE(DataQ!C170:C173)/AVERAGE(DataQ!C166:C169))-1)</f>
        <v>4.3215359216382865</v>
      </c>
      <c r="H103" s="4">
        <f t="shared" si="138"/>
        <v>8.6633676238766135</v>
      </c>
      <c r="I103" s="4">
        <v>0</v>
      </c>
      <c r="K103" s="4">
        <f t="shared" si="129"/>
        <v>8.0897634313508728</v>
      </c>
      <c r="L103" s="4">
        <f>100*(HAVERQ!AF107/HAVERQ!AI107)</f>
        <v>8.0897634313508728</v>
      </c>
      <c r="EA103" s="4">
        <f t="shared" si="131"/>
        <v>-0.52377212470330059</v>
      </c>
      <c r="EB103" s="4">
        <f t="shared" ref="EB103:EB104" si="153">+EF103-EA103</f>
        <v>0.51408177371787167</v>
      </c>
      <c r="EC103" s="4"/>
      <c r="ED103" s="3">
        <v>0</v>
      </c>
      <c r="EF103" s="4">
        <f t="shared" si="133"/>
        <v>-9.6903509854289315E-3</v>
      </c>
      <c r="EG103" s="4">
        <f t="shared" si="134"/>
        <v>-0.21256235453719388</v>
      </c>
      <c r="EJ103" s="3">
        <f>'IPNR ex BNFL'!I111</f>
        <v>60296</v>
      </c>
      <c r="EL103">
        <v>2024</v>
      </c>
      <c r="EM103" s="4">
        <f t="shared" ref="EM103" si="154">(ER103-ER$2)/ER$3</f>
        <v>-9.6903509854289315E-3</v>
      </c>
      <c r="EN103" s="4">
        <f t="shared" ref="EN103" si="155">(ES103-ES$2)/ES$3</f>
        <v>-0.10422458792285209</v>
      </c>
      <c r="EO103" s="4">
        <f t="shared" si="150"/>
        <v>-0.52377212470330059</v>
      </c>
      <c r="EQ103">
        <v>2024</v>
      </c>
      <c r="ER103" s="4">
        <f>(HAVERQ!W145*$EW$2)+(HAVERQ!X145*$EX$2)/($EW$2+$EX$2)</f>
        <v>8.0901305254985694</v>
      </c>
      <c r="ES103" s="4">
        <f>(HAVERQ!AB145*$EW$2)+(HAVERQ!AC145*$EY$2)+(HAVERQ!AD145*$EZ$2)+(HAVERQ!AE145*$FA$2)/($EW$2+$EY$2+$EZ$2+$FA$2)</f>
        <v>-7.7024398725475924</v>
      </c>
      <c r="ET103" s="21">
        <f>HAVERQ!AA145</f>
        <v>0</v>
      </c>
      <c r="FV103" s="26">
        <v>45323</v>
      </c>
      <c r="FW103" s="3">
        <f>HAVERM!G297</f>
        <v>554370</v>
      </c>
      <c r="FX103" s="3">
        <f t="shared" si="140"/>
        <v>511384.2083333343</v>
      </c>
      <c r="GA103" s="3">
        <f t="shared" si="151"/>
        <v>42985.791666665697</v>
      </c>
      <c r="HZ103" s="22"/>
      <c r="IF103" s="3"/>
    </row>
    <row r="104" spans="1:240" x14ac:dyDescent="0.25">
      <c r="B104" s="4">
        <f>100*((DataQ!C174/DataQ!C170)-1)</f>
        <v>6.7322387240879245</v>
      </c>
      <c r="C104" s="4">
        <f t="shared" si="128"/>
        <v>9.0708839310929115</v>
      </c>
      <c r="D104" s="4">
        <v>0</v>
      </c>
      <c r="G104" s="4">
        <f>100*((AVERAGE(DataQ!C171:C174)/AVERAGE(DataQ!C167:C170))-1)</f>
        <v>5.4904407727250026</v>
      </c>
      <c r="H104" s="4">
        <f t="shared" si="138"/>
        <v>8.6703881684023258</v>
      </c>
      <c r="I104" s="4">
        <v>0</v>
      </c>
      <c r="K104" s="4">
        <f t="shared" si="129"/>
        <v>9.0708839310929115</v>
      </c>
      <c r="L104" s="4">
        <f>100*(HAVERQ!AF108/HAVERQ!AI108)</f>
        <v>9.0708839310929115</v>
      </c>
      <c r="EA104" s="4">
        <f t="shared" si="131"/>
        <v>-0.52377212470330059</v>
      </c>
      <c r="EB104" s="4">
        <f t="shared" si="153"/>
        <v>0.65254667901184926</v>
      </c>
      <c r="ED104" s="3">
        <v>0</v>
      </c>
      <c r="EF104" s="4">
        <f t="shared" si="133"/>
        <v>0.1287745543085487</v>
      </c>
      <c r="EG104" s="4">
        <f t="shared" si="134"/>
        <v>-0.24042179922913354</v>
      </c>
      <c r="EJ104" s="3">
        <f>'IPNR ex BNFL'!I112</f>
        <v>61021</v>
      </c>
      <c r="EM104" s="4">
        <f t="shared" ref="EM104" si="156">(ER104-ER$2)/ER$3</f>
        <v>0.1287745543085487</v>
      </c>
      <c r="EN104" s="4">
        <f t="shared" ref="EN104" si="157">(ES104-ES$2)/ES$3</f>
        <v>-0.32626782729264875</v>
      </c>
      <c r="EO104" s="4">
        <f t="shared" ref="EO104" si="158">(ET104-ET$2)/ET$3</f>
        <v>-0.52377212470330059</v>
      </c>
      <c r="ER104" s="4">
        <f>(HAVERQ!W146*$EW$2)+(HAVERQ!X146*$EX$2)/($EW$2+$EX$2)</f>
        <v>9.7130622543548935</v>
      </c>
      <c r="ES104" s="4">
        <f>(HAVERQ!AB146*$EW$2)+(HAVERQ!AC146*$EY$2)+(HAVERQ!AD146*$EZ$2)+(HAVERQ!AE146*$FA$2)/($EW$2+$EY$2+$EZ$2+$FA$2)</f>
        <v>-10.826989017743056</v>
      </c>
      <c r="ET104" s="21">
        <f>HAVERQ!AA146</f>
        <v>0</v>
      </c>
      <c r="FV104" s="26">
        <v>45352</v>
      </c>
      <c r="FW104" s="3">
        <f>HAVERM!G298</f>
        <v>553959</v>
      </c>
      <c r="FX104" s="3">
        <f t="shared" si="140"/>
        <v>513098.81250000099</v>
      </c>
      <c r="GA104" s="3">
        <f t="shared" si="151"/>
        <v>40860.18749999901</v>
      </c>
      <c r="HZ104" s="22"/>
      <c r="IF104" s="3"/>
    </row>
    <row r="105" spans="1:240" x14ac:dyDescent="0.25">
      <c r="A105">
        <v>2015</v>
      </c>
      <c r="B105" s="4">
        <f>100*((DataQ!C175/DataQ!C171)-1)</f>
        <v>11.335215812827748</v>
      </c>
      <c r="C105" s="4">
        <f t="shared" si="128"/>
        <v>7.2153582104820462</v>
      </c>
      <c r="D105" s="4">
        <v>0</v>
      </c>
      <c r="F105">
        <v>2015</v>
      </c>
      <c r="G105" s="4">
        <f>100*((AVERAGE(DataQ!C172:C175)/AVERAGE(DataQ!C168:C171))-1)</f>
        <v>6.563649742457689</v>
      </c>
      <c r="H105" s="4">
        <f t="shared" si="138"/>
        <v>8.2608908079965921</v>
      </c>
      <c r="I105" s="4">
        <v>0</v>
      </c>
      <c r="K105" s="4">
        <f t="shared" si="129"/>
        <v>7.2153582104820462</v>
      </c>
      <c r="L105" s="4">
        <f>100*(HAVERQ!AF109/HAVERQ!AI109)</f>
        <v>7.2153582104820462</v>
      </c>
      <c r="EF105" s="4">
        <f t="shared" si="133"/>
        <v>0</v>
      </c>
      <c r="EG105" s="4" t="e">
        <f t="shared" si="134"/>
        <v>#DIV/0!</v>
      </c>
      <c r="EI105" s="22">
        <v>2024</v>
      </c>
      <c r="EJ105" s="3">
        <f>'IPNR ex BNFL'!I113</f>
        <v>61370</v>
      </c>
      <c r="EM105" s="4"/>
      <c r="EN105" s="4"/>
      <c r="EO105" s="4"/>
      <c r="ER105" s="4"/>
      <c r="ES105" s="4"/>
      <c r="ET105" s="21"/>
      <c r="FV105" s="26">
        <v>45383</v>
      </c>
      <c r="FW105" s="3">
        <f>HAVERM!G299</f>
        <v>559892</v>
      </c>
      <c r="FX105" s="3">
        <f t="shared" si="140"/>
        <v>514813.41666666768</v>
      </c>
      <c r="GA105" s="3">
        <f t="shared" si="151"/>
        <v>45078.583333332324</v>
      </c>
      <c r="HZ105" s="22"/>
      <c r="IF105" s="3"/>
    </row>
    <row r="106" spans="1:240" x14ac:dyDescent="0.25">
      <c r="B106" s="4">
        <f>100*((DataQ!C176/DataQ!C172)-1)</f>
        <v>8.0053624437422144</v>
      </c>
      <c r="C106" s="4">
        <f t="shared" si="128"/>
        <v>7.2421226436728894</v>
      </c>
      <c r="D106" s="4">
        <v>0</v>
      </c>
      <c r="G106" s="4">
        <f>100*((AVERAGE(DataQ!C173:C176)/AVERAGE(DataQ!C169:C172))-1)</f>
        <v>7.1917891118588262</v>
      </c>
      <c r="H106" s="4">
        <f t="shared" si="138"/>
        <v>7.9045320541496791</v>
      </c>
      <c r="I106" s="4">
        <v>0</v>
      </c>
      <c r="K106" s="4">
        <f t="shared" si="129"/>
        <v>7.2421226436728894</v>
      </c>
      <c r="L106" s="4">
        <f>100*(HAVERQ!AF110/HAVERQ!AI110)</f>
        <v>7.2421226436728894</v>
      </c>
      <c r="EJ106" s="3">
        <f>'IPNR ex BNFL'!I114</f>
        <v>62250</v>
      </c>
      <c r="FV106" s="26">
        <v>45413</v>
      </c>
      <c r="FW106" s="3">
        <f>HAVERM!G300</f>
        <v>560638</v>
      </c>
      <c r="FX106" s="3">
        <f t="shared" si="140"/>
        <v>516528.02083333436</v>
      </c>
      <c r="GA106" s="3">
        <f t="shared" si="151"/>
        <v>44109.979166665638</v>
      </c>
      <c r="HZ106" s="22"/>
      <c r="IF106" s="3"/>
    </row>
    <row r="107" spans="1:240" x14ac:dyDescent="0.25">
      <c r="B107" s="4">
        <f>100*((DataQ!C177/DataQ!C173)-1)</f>
        <v>7.4684772065955363</v>
      </c>
      <c r="C107" s="4">
        <f t="shared" si="128"/>
        <v>7.5025402301566668</v>
      </c>
      <c r="D107" s="4">
        <v>0</v>
      </c>
      <c r="G107" s="4">
        <f>100*((AVERAGE(DataQ!C174:C177)/AVERAGE(DataQ!C170:C173))-1)</f>
        <v>8.3908549109397601</v>
      </c>
      <c r="H107" s="4">
        <f t="shared" si="138"/>
        <v>7.7577262538511285</v>
      </c>
      <c r="I107" s="4">
        <v>0</v>
      </c>
      <c r="K107" s="4">
        <f t="shared" si="129"/>
        <v>7.5025402301566668</v>
      </c>
      <c r="L107" s="4">
        <f>100*(HAVERQ!AF111/HAVERQ!AI111)</f>
        <v>7.5025402301566668</v>
      </c>
      <c r="FV107" s="26">
        <v>45444</v>
      </c>
      <c r="FW107" s="3">
        <f>HAVERM!G301</f>
        <v>558587</v>
      </c>
      <c r="FX107" s="3">
        <f t="shared" si="140"/>
        <v>518242.62500000105</v>
      </c>
      <c r="GA107" s="3">
        <f t="shared" si="151"/>
        <v>40344.374999998952</v>
      </c>
      <c r="HZ107" s="22"/>
      <c r="IF107" s="3"/>
    </row>
    <row r="108" spans="1:240" x14ac:dyDescent="0.25">
      <c r="B108" s="4">
        <f>100*((DataQ!C178/DataQ!C174)-1)</f>
        <v>10.581194698388231</v>
      </c>
      <c r="C108" s="4">
        <f t="shared" si="128"/>
        <v>7.5250720461095097</v>
      </c>
      <c r="D108" s="4">
        <v>0</v>
      </c>
      <c r="G108" s="4">
        <f>100*((AVERAGE(DataQ!C175:C178)/AVERAGE(DataQ!C171:C174))-1)</f>
        <v>9.3560278049865442</v>
      </c>
      <c r="H108" s="4">
        <f t="shared" si="138"/>
        <v>7.3712732826052783</v>
      </c>
      <c r="I108" s="4">
        <v>0</v>
      </c>
      <c r="K108" s="4">
        <f t="shared" si="129"/>
        <v>7.5250720461095097</v>
      </c>
      <c r="L108" s="4">
        <f>100*(HAVERQ!AF112/HAVERQ!AI112)</f>
        <v>7.5250720461095097</v>
      </c>
      <c r="FV108" s="26">
        <v>45474</v>
      </c>
      <c r="FW108" s="3">
        <f>HAVERM!G302</f>
        <v>559019</v>
      </c>
      <c r="FX108" s="3">
        <f t="shared" si="140"/>
        <v>519957.22916666773</v>
      </c>
      <c r="GA108" s="3">
        <f t="shared" si="151"/>
        <v>39061.770833332266</v>
      </c>
      <c r="HZ108" s="22"/>
      <c r="IF108" s="3"/>
    </row>
    <row r="109" spans="1:240" x14ac:dyDescent="0.25">
      <c r="A109">
        <v>2016</v>
      </c>
      <c r="B109" s="4">
        <f>100*((DataQ!C179/DataQ!C175)-1)</f>
        <v>6.4251207729468574</v>
      </c>
      <c r="C109" s="4">
        <f t="shared" si="128"/>
        <v>7.5212844715898575</v>
      </c>
      <c r="D109" s="4">
        <v>0</v>
      </c>
      <c r="F109">
        <v>2016</v>
      </c>
      <c r="G109" s="4">
        <f>100*((AVERAGE(DataQ!C176:C179)/AVERAGE(DataQ!C172:C175))-1)</f>
        <v>8.0997099848087331</v>
      </c>
      <c r="H109" s="4">
        <f t="shared" si="138"/>
        <v>7.4477548478822309</v>
      </c>
      <c r="I109" s="4">
        <v>0</v>
      </c>
      <c r="K109" s="4">
        <f t="shared" si="129"/>
        <v>7.5212844715898575</v>
      </c>
      <c r="L109" s="4">
        <f>100*(HAVERQ!AF113/HAVERQ!AI113)</f>
        <v>7.5212844715898575</v>
      </c>
      <c r="FV109" s="26">
        <v>45505</v>
      </c>
      <c r="FW109" s="3">
        <f>HAVERM!G303</f>
        <v>556998</v>
      </c>
      <c r="FX109" s="3">
        <f t="shared" si="140"/>
        <v>521671.83333333442</v>
      </c>
      <c r="GA109" s="3">
        <f t="shared" si="151"/>
        <v>35326.16666666558</v>
      </c>
      <c r="HZ109" s="22"/>
      <c r="IF109" s="3"/>
    </row>
    <row r="110" spans="1:240" x14ac:dyDescent="0.25">
      <c r="B110" s="4">
        <f>100*((DataQ!C180/DataQ!C176)-1)</f>
        <v>9.0504477347282517</v>
      </c>
      <c r="C110" s="4">
        <f t="shared" si="128"/>
        <v>7.5344318596144575</v>
      </c>
      <c r="D110" s="4">
        <v>0</v>
      </c>
      <c r="G110" s="4">
        <f>100*((AVERAGE(DataQ!C177:C180)/AVERAGE(DataQ!C173:C176))-1)</f>
        <v>8.3641208617496901</v>
      </c>
      <c r="H110" s="4">
        <f t="shared" si="138"/>
        <v>7.5208321518676229</v>
      </c>
      <c r="I110" s="4">
        <v>0</v>
      </c>
      <c r="K110" s="4">
        <f t="shared" si="129"/>
        <v>7.5344318596144575</v>
      </c>
      <c r="L110" s="4">
        <f>100*(HAVERQ!AF114/HAVERQ!AI114)</f>
        <v>7.5344318596144575</v>
      </c>
      <c r="FV110" s="26">
        <v>45536</v>
      </c>
      <c r="FW110" s="3"/>
      <c r="FX110" s="3"/>
      <c r="HZ110" s="22"/>
      <c r="IF110" s="3"/>
    </row>
    <row r="111" spans="1:240" x14ac:dyDescent="0.25">
      <c r="B111" s="4">
        <f>100*((DataQ!C181/DataQ!C177)-1)</f>
        <v>11.444397253486226</v>
      </c>
      <c r="C111" s="4">
        <f t="shared" si="128"/>
        <v>6.9274013875581524</v>
      </c>
      <c r="D111" s="4">
        <v>0</v>
      </c>
      <c r="G111" s="4">
        <f>100*((AVERAGE(DataQ!C178:C181)/AVERAGE(DataQ!C174:C177))-1)</f>
        <v>9.3455579864824667</v>
      </c>
      <c r="H111" s="4">
        <f t="shared" si="138"/>
        <v>7.3770474412179938</v>
      </c>
      <c r="I111" s="4">
        <v>0</v>
      </c>
      <c r="K111" s="4">
        <f t="shared" si="129"/>
        <v>6.9274013875581524</v>
      </c>
      <c r="L111" s="4">
        <f>100*(HAVERQ!AF115/HAVERQ!AI115)</f>
        <v>6.9274013875581524</v>
      </c>
      <c r="FV111" s="26">
        <v>45566</v>
      </c>
      <c r="HZ111" s="22"/>
      <c r="IF111" s="3"/>
    </row>
    <row r="112" spans="1:240" x14ac:dyDescent="0.25">
      <c r="B112" s="4">
        <f>100*((DataQ!C182/DataQ!C178)-1)</f>
        <v>0.67565324213951783</v>
      </c>
      <c r="C112" s="4">
        <f t="shared" si="128"/>
        <v>7.9506688212586409</v>
      </c>
      <c r="D112" s="4">
        <v>0</v>
      </c>
      <c r="G112" s="4">
        <f>100*((AVERAGE(DataQ!C179:C182)/AVERAGE(DataQ!C175:C178))-1)</f>
        <v>6.7944318717790164</v>
      </c>
      <c r="H112" s="4">
        <f t="shared" si="138"/>
        <v>7.4834466350052775</v>
      </c>
      <c r="I112" s="4">
        <v>0</v>
      </c>
      <c r="K112" s="4">
        <f t="shared" si="129"/>
        <v>7.9506688212586409</v>
      </c>
      <c r="L112" s="4">
        <f>100*(HAVERQ!AF116/HAVERQ!AI116)</f>
        <v>7.9506688212586409</v>
      </c>
      <c r="FV112" s="26">
        <v>45597</v>
      </c>
      <c r="HZ112" s="22"/>
      <c r="IF112" s="3"/>
    </row>
    <row r="113" spans="1:240" x14ac:dyDescent="0.25">
      <c r="A113">
        <v>2017</v>
      </c>
      <c r="B113" s="4">
        <f>100*((DataQ!C183/DataQ!C179)-1)</f>
        <v>0.57713507554633114</v>
      </c>
      <c r="C113" s="4">
        <f t="shared" si="128"/>
        <v>6.2195644765914411</v>
      </c>
      <c r="D113" s="4">
        <v>0</v>
      </c>
      <c r="F113">
        <v>2017</v>
      </c>
      <c r="G113" s="4">
        <f>100*((AVERAGE(DataQ!C180:C183)/AVERAGE(DataQ!C176:C179))-1)</f>
        <v>5.2524220163951973</v>
      </c>
      <c r="H113" s="4">
        <f t="shared" si="138"/>
        <v>7.158016636255673</v>
      </c>
      <c r="I113" s="4">
        <v>0</v>
      </c>
      <c r="K113" s="4">
        <f t="shared" si="129"/>
        <v>6.2195644765914411</v>
      </c>
      <c r="L113" s="4">
        <f>100*(HAVERQ!AF117/HAVERQ!AI117)</f>
        <v>6.2195644765914411</v>
      </c>
      <c r="FV113" s="26">
        <v>45627</v>
      </c>
      <c r="HZ113" s="22"/>
      <c r="IF113" s="3"/>
    </row>
    <row r="114" spans="1:240" x14ac:dyDescent="0.25">
      <c r="B114" s="4">
        <f>100*((DataQ!C184/DataQ!C180)-1)</f>
        <v>0.37561586367258482</v>
      </c>
      <c r="C114" s="4">
        <f t="shared" si="128"/>
        <v>6.4953732818255325</v>
      </c>
      <c r="D114" s="4">
        <v>0</v>
      </c>
      <c r="G114" s="4">
        <f>100*((AVERAGE(DataQ!C181:C184)/AVERAGE(DataQ!C177:C180))-1)</f>
        <v>3.1096699440251063</v>
      </c>
      <c r="H114" s="4">
        <f t="shared" si="138"/>
        <v>6.8982519918084417</v>
      </c>
      <c r="I114" s="4">
        <v>0</v>
      </c>
      <c r="K114" s="4">
        <f t="shared" si="129"/>
        <v>6.4953732818255325</v>
      </c>
      <c r="L114" s="4">
        <f>100*(HAVERQ!AF118/HAVERQ!AI118)</f>
        <v>6.4953732818255325</v>
      </c>
      <c r="HZ114" s="22"/>
      <c r="IF114" s="3"/>
    </row>
    <row r="115" spans="1:240" x14ac:dyDescent="0.25">
      <c r="B115" s="4">
        <f>100*((DataQ!C185/DataQ!C181)-1)</f>
        <v>-3.6427153632393794</v>
      </c>
      <c r="C115" s="4">
        <f t="shared" si="128"/>
        <v>6.6747873948252918</v>
      </c>
      <c r="D115" s="4">
        <v>0</v>
      </c>
      <c r="G115" s="4">
        <f>100*((AVERAGE(DataQ!C182:C185)/AVERAGE(DataQ!C178:C181))-1)</f>
        <v>-0.52760596762934098</v>
      </c>
      <c r="H115" s="4">
        <f t="shared" si="138"/>
        <v>6.8350984936252264</v>
      </c>
      <c r="I115" s="4">
        <v>0</v>
      </c>
      <c r="K115" s="4">
        <f t="shared" si="129"/>
        <v>6.6747873948252918</v>
      </c>
      <c r="L115" s="4">
        <f>100*(HAVERQ!AF119/HAVERQ!AI119)</f>
        <v>6.6747873948252918</v>
      </c>
      <c r="HZ115" s="22"/>
      <c r="IF115" s="3"/>
    </row>
    <row r="116" spans="1:240" x14ac:dyDescent="0.25">
      <c r="B116" s="4">
        <f>100*((DataQ!C186/DataQ!C182)-1)</f>
        <v>1.7610685134800796</v>
      </c>
      <c r="C116" s="4">
        <f t="shared" si="128"/>
        <v>6.3887362494945616</v>
      </c>
      <c r="D116" s="4">
        <v>0</v>
      </c>
      <c r="G116" s="4">
        <f>100*((AVERAGE(DataQ!C183:C186)/AVERAGE(DataQ!C179:C182))-1)</f>
        <v>-0.25891095327041924</v>
      </c>
      <c r="H116" s="4">
        <f t="shared" si="138"/>
        <v>6.4446153506842059</v>
      </c>
      <c r="I116" s="4">
        <v>0</v>
      </c>
      <c r="K116" s="4">
        <f t="shared" si="129"/>
        <v>6.3887362494945616</v>
      </c>
      <c r="L116" s="4">
        <f>100*(HAVERQ!AF120/HAVERQ!AI120)</f>
        <v>6.3887362494945616</v>
      </c>
      <c r="HZ116" s="22"/>
      <c r="IF116" s="3"/>
    </row>
    <row r="117" spans="1:240" x14ac:dyDescent="0.25">
      <c r="A117">
        <v>2018</v>
      </c>
      <c r="B117" s="4">
        <f>100*((DataQ!C187/DataQ!C183)-1)</f>
        <v>-1.1250805931656949</v>
      </c>
      <c r="C117" s="4">
        <f t="shared" si="128"/>
        <v>8.127223813243079</v>
      </c>
      <c r="D117" s="4">
        <v>0</v>
      </c>
      <c r="F117">
        <v>2018</v>
      </c>
      <c r="G117" s="4">
        <f>100*((AVERAGE(DataQ!C184:C187)/AVERAGE(DataQ!C180:C183))-1)</f>
        <v>-0.68498415999417306</v>
      </c>
      <c r="H117" s="4">
        <f t="shared" si="138"/>
        <v>6.921530184847116</v>
      </c>
      <c r="I117" s="4">
        <v>0</v>
      </c>
      <c r="K117" s="4">
        <f t="shared" si="129"/>
        <v>8.127223813243079</v>
      </c>
      <c r="L117" s="4">
        <f>100*(HAVERQ!AF121/HAVERQ!AI121)</f>
        <v>8.127223813243079</v>
      </c>
      <c r="HZ117" s="22"/>
      <c r="IF117" s="3"/>
    </row>
    <row r="118" spans="1:240" x14ac:dyDescent="0.25">
      <c r="B118" s="4">
        <f>100*((DataQ!C188/DataQ!C184)-1)</f>
        <v>-2.7134294508342816</v>
      </c>
      <c r="C118" s="4">
        <f t="shared" si="128"/>
        <v>7.3489083990561426</v>
      </c>
      <c r="D118" s="4">
        <v>0</v>
      </c>
      <c r="G118" s="4">
        <f>100*((AVERAGE(DataQ!C185:C188)/AVERAGE(DataQ!C181:C184))-1)</f>
        <v>-1.4547879865798974</v>
      </c>
      <c r="H118" s="4">
        <f t="shared" si="138"/>
        <v>7.1349139641547694</v>
      </c>
      <c r="I118" s="4">
        <v>0</v>
      </c>
      <c r="K118" s="4">
        <f t="shared" si="129"/>
        <v>7.3489083990561426</v>
      </c>
      <c r="L118" s="4">
        <f>100*(HAVERQ!AF122/HAVERQ!AI122)</f>
        <v>7.3489083990561426</v>
      </c>
      <c r="HZ118" s="22"/>
      <c r="IF118" s="3"/>
    </row>
    <row r="119" spans="1:240" x14ac:dyDescent="0.25">
      <c r="B119" s="4">
        <f>100*((DataQ!C189/DataQ!C185)-1)</f>
        <v>-0.9327466587564448</v>
      </c>
      <c r="C119" s="4">
        <f t="shared" si="128"/>
        <v>7.7747989276139409</v>
      </c>
      <c r="D119" s="4">
        <v>0</v>
      </c>
      <c r="G119" s="4">
        <f>100*((AVERAGE(DataQ!C186:C189)/AVERAGE(DataQ!C182:C185))-1)</f>
        <v>-0.76337435127460385</v>
      </c>
      <c r="H119" s="4">
        <f t="shared" si="138"/>
        <v>7.4099168473519308</v>
      </c>
      <c r="I119" s="4">
        <v>0</v>
      </c>
      <c r="K119" s="4">
        <f t="shared" si="129"/>
        <v>7.7747989276139409</v>
      </c>
      <c r="L119" s="4">
        <f>100*(HAVERQ!AF123/HAVERQ!AI123)</f>
        <v>7.7747989276139409</v>
      </c>
      <c r="HZ119" s="22"/>
      <c r="IF119" s="3"/>
    </row>
    <row r="120" spans="1:240" x14ac:dyDescent="0.25">
      <c r="B120" s="4">
        <f>100*((DataQ!C190/DataQ!C186)-1)</f>
        <v>-1.9072156595855039</v>
      </c>
      <c r="C120" s="4">
        <f t="shared" si="128"/>
        <v>8.257881416060405</v>
      </c>
      <c r="D120" s="4">
        <v>0</v>
      </c>
      <c r="G120" s="4">
        <f>100*((AVERAGE(DataQ!C187:C190)/AVERAGE(DataQ!C183:C186))-1)</f>
        <v>-1.6720560276888619</v>
      </c>
      <c r="H120" s="4">
        <f t="shared" si="138"/>
        <v>7.8772031389933925</v>
      </c>
      <c r="I120" s="4">
        <v>0</v>
      </c>
      <c r="K120" s="4">
        <f t="shared" si="129"/>
        <v>8.257881416060405</v>
      </c>
      <c r="L120" s="4">
        <f>100*(HAVERQ!AF124/HAVERQ!AI124)</f>
        <v>8.257881416060405</v>
      </c>
      <c r="FV120" t="s">
        <v>1035</v>
      </c>
      <c r="GA120">
        <v>2491238</v>
      </c>
      <c r="HZ120" s="22"/>
      <c r="IF120" s="3"/>
    </row>
    <row r="121" spans="1:240" x14ac:dyDescent="0.25">
      <c r="A121">
        <v>2019</v>
      </c>
      <c r="B121" s="4">
        <f>100*((DataQ!C191/DataQ!C187)-1)</f>
        <v>-0.22985882429656934</v>
      </c>
      <c r="C121" s="4">
        <f t="shared" si="128"/>
        <v>7.9966954053424288</v>
      </c>
      <c r="D121" s="4">
        <v>0</v>
      </c>
      <c r="F121">
        <v>2019</v>
      </c>
      <c r="G121" s="4">
        <f>100*((AVERAGE(DataQ!C188:C191)/AVERAGE(DataQ!C184:C187))-1)</f>
        <v>-1.4498953011822358</v>
      </c>
      <c r="H121" s="4">
        <f t="shared" si="138"/>
        <v>7.8445710370182287</v>
      </c>
      <c r="I121" s="4">
        <v>0</v>
      </c>
      <c r="K121" s="4">
        <f t="shared" si="129"/>
        <v>7.9966954053424288</v>
      </c>
      <c r="L121" s="4">
        <f>100*(HAVERQ!AF125/HAVERQ!AI125)</f>
        <v>7.9966954053424288</v>
      </c>
      <c r="FV121" t="s">
        <v>1014</v>
      </c>
      <c r="GA121" s="4">
        <f>100*(GA100/GA120)</f>
        <v>2.0549463426082033</v>
      </c>
      <c r="HZ121" s="22"/>
      <c r="IF121" s="3"/>
    </row>
    <row r="122" spans="1:240" x14ac:dyDescent="0.25">
      <c r="B122" s="4">
        <f>100*((DataQ!C192/DataQ!C188)-1)</f>
        <v>3.5400882524352584</v>
      </c>
      <c r="C122" s="4">
        <f t="shared" si="128"/>
        <v>7.8105100528216802</v>
      </c>
      <c r="D122" s="4">
        <v>0</v>
      </c>
      <c r="G122" s="4">
        <f>100*((AVERAGE(DataQ!C189:C192)/AVERAGE(DataQ!C185:C188))-1)</f>
        <v>9.9265354340394296E-2</v>
      </c>
      <c r="H122" s="4">
        <f t="shared" si="138"/>
        <v>7.959971450459614</v>
      </c>
      <c r="I122" s="4">
        <v>0</v>
      </c>
      <c r="K122" s="4">
        <f t="shared" si="129"/>
        <v>7.8105100528216802</v>
      </c>
      <c r="L122" s="4">
        <f>100*(HAVERQ!AF126/HAVERQ!AI126)</f>
        <v>7.8105100528216802</v>
      </c>
      <c r="HZ122" s="22"/>
      <c r="IF122" s="3"/>
    </row>
    <row r="123" spans="1:240" x14ac:dyDescent="0.25">
      <c r="B123" s="4">
        <f>100*((DataQ!C193/DataQ!C189)-1)</f>
        <v>3.0225401314147859</v>
      </c>
      <c r="C123" s="4">
        <f t="shared" si="128"/>
        <v>7.6590875167918808</v>
      </c>
      <c r="D123" s="4">
        <v>0</v>
      </c>
      <c r="G123" s="4">
        <f>100*((AVERAGE(DataQ!C190:C193)/AVERAGE(DataQ!C186:C189))-1)</f>
        <v>1.0792476102374327</v>
      </c>
      <c r="H123" s="4">
        <f t="shared" si="138"/>
        <v>7.9310435977540994</v>
      </c>
      <c r="I123" s="4">
        <v>0</v>
      </c>
      <c r="K123" s="4">
        <f t="shared" si="129"/>
        <v>7.6590875167918808</v>
      </c>
      <c r="L123" s="4">
        <f>100*(HAVERQ!AF127/HAVERQ!AI127)</f>
        <v>7.6590875167918808</v>
      </c>
      <c r="HZ123" s="22"/>
      <c r="IF123" s="3"/>
    </row>
    <row r="124" spans="1:240" x14ac:dyDescent="0.25">
      <c r="B124" s="4">
        <f>100*((DataQ!C194/DataQ!C190)-1)</f>
        <v>2.4084842077441548</v>
      </c>
      <c r="C124" s="4">
        <f t="shared" si="128"/>
        <v>6.7628757558937806</v>
      </c>
      <c r="D124" s="4">
        <v>0</v>
      </c>
      <c r="G124" s="4">
        <f>100*((AVERAGE(DataQ!C191:C194)/AVERAGE(DataQ!C187:C190))-1)</f>
        <v>2.1731226864093012</v>
      </c>
      <c r="H124" s="4">
        <f t="shared" si="138"/>
        <v>7.5572921827124429</v>
      </c>
      <c r="I124" s="4">
        <v>0</v>
      </c>
      <c r="K124" s="4">
        <f t="shared" si="129"/>
        <v>6.7628757558937806</v>
      </c>
      <c r="L124" s="4">
        <f>100*(HAVERQ!AF128/HAVERQ!AI128)</f>
        <v>6.7628757558937806</v>
      </c>
      <c r="HZ124" s="22"/>
      <c r="IF124" s="3"/>
    </row>
    <row r="125" spans="1:240" x14ac:dyDescent="0.25">
      <c r="A125">
        <v>2020</v>
      </c>
      <c r="B125" s="4">
        <f>100*((DataQ!C195/DataQ!C191)-1)</f>
        <v>-0.98364405810362765</v>
      </c>
      <c r="C125" s="4">
        <f t="shared" si="128"/>
        <v>7.3461988427365386</v>
      </c>
      <c r="D125" s="4">
        <v>0</v>
      </c>
      <c r="F125">
        <v>2020</v>
      </c>
      <c r="G125" s="4">
        <f>100*((AVERAGE(DataQ!C192:C195)/AVERAGE(DataQ!C188:C191))-1)</f>
        <v>1.9838202284348849</v>
      </c>
      <c r="H125" s="4">
        <f t="shared" si="138"/>
        <v>7.3946680420609701</v>
      </c>
      <c r="I125" s="4">
        <v>0</v>
      </c>
      <c r="K125" s="4">
        <f t="shared" si="129"/>
        <v>7.3461988427365386</v>
      </c>
      <c r="L125" s="4">
        <f>100*(HAVERQ!AF129/HAVERQ!AI129)</f>
        <v>7.3461988427365386</v>
      </c>
      <c r="HZ125" s="22"/>
      <c r="IF125" s="3"/>
    </row>
    <row r="126" spans="1:240" x14ac:dyDescent="0.25">
      <c r="B126" s="4">
        <f>100*((DataQ!C196/DataQ!C192)-1)</f>
        <v>-21.276595744680847</v>
      </c>
      <c r="C126" s="4">
        <f t="shared" si="128"/>
        <v>6.8716715341006704</v>
      </c>
      <c r="D126" s="4">
        <v>0</v>
      </c>
      <c r="G126" s="4">
        <f>100*((AVERAGE(DataQ!C193:C196)/AVERAGE(DataQ!C189:C192))-1)</f>
        <v>-4.3260542631529342</v>
      </c>
      <c r="H126" s="4">
        <f t="shared" si="138"/>
        <v>7.1599584123807176</v>
      </c>
      <c r="I126" s="4">
        <v>0</v>
      </c>
      <c r="K126" s="4">
        <f t="shared" si="129"/>
        <v>6.8716715341006704</v>
      </c>
      <c r="L126" s="4">
        <f>100*(HAVERQ!AF130/HAVERQ!AI130)</f>
        <v>6.8716715341006704</v>
      </c>
      <c r="HZ126" s="22"/>
      <c r="IF126" s="3"/>
    </row>
    <row r="127" spans="1:240" x14ac:dyDescent="0.25">
      <c r="B127" s="4">
        <f>100*((DataQ!C197/DataQ!C193)-1)</f>
        <v>-11.661176774526904</v>
      </c>
      <c r="C127" s="4">
        <f t="shared" si="128"/>
        <v>6.0945743187648223</v>
      </c>
      <c r="D127" s="4">
        <v>0</v>
      </c>
      <c r="G127" s="4">
        <f>100*((AVERAGE(DataQ!C194:C197)/AVERAGE(DataQ!C190:C193))-1)</f>
        <v>-7.970713849908484</v>
      </c>
      <c r="H127" s="4">
        <f t="shared" si="138"/>
        <v>6.7688301128739532</v>
      </c>
      <c r="I127" s="4">
        <v>0</v>
      </c>
      <c r="K127" s="4">
        <f t="shared" si="129"/>
        <v>6.0945743187648223</v>
      </c>
      <c r="L127" s="4">
        <f>100*(HAVERQ!AF131/HAVERQ!AI131)</f>
        <v>6.0945743187648223</v>
      </c>
      <c r="HZ127" s="22"/>
      <c r="IF127" s="3"/>
    </row>
    <row r="128" spans="1:240" x14ac:dyDescent="0.25">
      <c r="B128" s="4">
        <f>100*((DataQ!C198/DataQ!C194)-1)</f>
        <v>-6.8054973061909223</v>
      </c>
      <c r="C128" s="4">
        <f t="shared" si="128"/>
        <v>6.4964454217459071</v>
      </c>
      <c r="D128" s="4">
        <v>0</v>
      </c>
      <c r="G128" s="4">
        <f>100*((AVERAGE(DataQ!C195:C198)/AVERAGE(DataQ!C191:C194))-1)</f>
        <v>-10.219240784770411</v>
      </c>
      <c r="H128" s="4">
        <f t="shared" si="138"/>
        <v>6.7022225293369848</v>
      </c>
      <c r="I128" s="4">
        <v>0</v>
      </c>
      <c r="K128" s="4">
        <f t="shared" si="129"/>
        <v>6.4964454217459071</v>
      </c>
      <c r="L128" s="4">
        <f>100*(HAVERQ!AF132/HAVERQ!AI132)</f>
        <v>6.4964454217459071</v>
      </c>
      <c r="HZ128" s="22"/>
      <c r="IF128" s="3"/>
    </row>
    <row r="129" spans="1:240" x14ac:dyDescent="0.25">
      <c r="A129">
        <v>2021</v>
      </c>
      <c r="B129" s="4">
        <f>100*((DataQ!C199/DataQ!C195)-1)</f>
        <v>-11.173451707123883</v>
      </c>
      <c r="C129" s="4">
        <f t="shared" si="128"/>
        <v>6.647156291020206</v>
      </c>
      <c r="D129" s="4">
        <v>0</v>
      </c>
      <c r="F129">
        <v>2021</v>
      </c>
      <c r="G129" s="4">
        <f>100*((AVERAGE(DataQ!C196:C199)/AVERAGE(DataQ!C192:C195))-1)</f>
        <v>-12.744724489878646</v>
      </c>
      <c r="H129" s="4">
        <f t="shared" si="138"/>
        <v>6.5274618914079019</v>
      </c>
      <c r="I129" s="4">
        <v>0</v>
      </c>
      <c r="K129" s="4">
        <f t="shared" si="129"/>
        <v>6.647156291020206</v>
      </c>
      <c r="L129" s="4">
        <f>100*(HAVERQ!AF133/HAVERQ!AI133)</f>
        <v>6.647156291020206</v>
      </c>
      <c r="HZ129" s="22"/>
      <c r="IF129" s="3"/>
    </row>
    <row r="130" spans="1:240" x14ac:dyDescent="0.25">
      <c r="B130" s="4">
        <f>100*((DataQ!C200/DataQ!C196)-1)</f>
        <v>18.459275602132742</v>
      </c>
      <c r="C130" s="4">
        <f t="shared" si="128"/>
        <v>5.9191549463884305</v>
      </c>
      <c r="D130" s="4">
        <v>0</v>
      </c>
      <c r="G130" s="4">
        <f>100*((AVERAGE(DataQ!C197:C200)/AVERAGE(DataQ!C193:C196))-1)</f>
        <v>-3.9301684113142277</v>
      </c>
      <c r="H130" s="4">
        <f t="shared" si="138"/>
        <v>6.2893327444798413</v>
      </c>
      <c r="I130" s="4">
        <v>0</v>
      </c>
      <c r="K130" s="4">
        <f t="shared" si="129"/>
        <v>5.9191549463884305</v>
      </c>
      <c r="L130" s="4">
        <f>100*(HAVERQ!AF134/HAVERQ!AI134)</f>
        <v>5.9191549463884305</v>
      </c>
      <c r="HZ130" s="22"/>
      <c r="IF130" s="3"/>
    </row>
    <row r="131" spans="1:240" x14ac:dyDescent="0.25">
      <c r="B131" s="4">
        <f>100*((DataQ!C201/DataQ!C197)-1)</f>
        <v>4.1820508133796341</v>
      </c>
      <c r="C131" s="4">
        <f t="shared" si="128"/>
        <v>5.7786523170829653</v>
      </c>
      <c r="D131" s="4">
        <v>0</v>
      </c>
      <c r="G131" s="4">
        <f>100*((AVERAGE(DataQ!C198:C201)/AVERAGE(DataQ!C194:C197))-1)</f>
        <v>0.14762169950586213</v>
      </c>
      <c r="H131" s="4">
        <f t="shared" si="138"/>
        <v>6.2103522440593775</v>
      </c>
      <c r="I131" s="4">
        <v>0</v>
      </c>
      <c r="K131" s="4">
        <f t="shared" si="129"/>
        <v>5.7786523170829653</v>
      </c>
      <c r="L131" s="4">
        <f>100*(HAVERQ!AF135/HAVERQ!AI135)</f>
        <v>5.7786523170829653</v>
      </c>
      <c r="HZ131" s="22"/>
      <c r="IF131" s="3"/>
    </row>
    <row r="132" spans="1:240" x14ac:dyDescent="0.25">
      <c r="B132" s="4">
        <f>100*((DataQ!C202/DataQ!C198)-1)</f>
        <v>-1.0333189095629636</v>
      </c>
      <c r="C132" s="4">
        <f t="shared" si="128"/>
        <v>5.6529906080079089</v>
      </c>
      <c r="D132" s="4">
        <v>0</v>
      </c>
      <c r="G132" s="4">
        <f>100*((AVERAGE(DataQ!C199:C202)/AVERAGE(DataQ!C195:C198))-1)</f>
        <v>1.7817010831625568</v>
      </c>
      <c r="H132" s="4">
        <f t="shared" si="138"/>
        <v>5.9994885406248777</v>
      </c>
      <c r="I132" s="4">
        <v>0</v>
      </c>
      <c r="K132" s="4">
        <f t="shared" si="129"/>
        <v>5.6529906080079089</v>
      </c>
      <c r="L132" s="4">
        <f>100*(HAVERQ!AF136/HAVERQ!AI136)</f>
        <v>5.6529906080079089</v>
      </c>
      <c r="HZ132" s="22"/>
      <c r="IF132" s="3"/>
    </row>
    <row r="133" spans="1:240" x14ac:dyDescent="0.25">
      <c r="A133">
        <v>2022</v>
      </c>
      <c r="B133" s="4">
        <f>100*((DataQ!C203/DataQ!C199)-1)</f>
        <v>9.4281786430853831</v>
      </c>
      <c r="C133" s="4">
        <f t="shared" si="128"/>
        <v>5.4906008694443891</v>
      </c>
      <c r="D133" s="4">
        <v>0</v>
      </c>
      <c r="F133">
        <v>2022</v>
      </c>
      <c r="G133" s="4">
        <f>100*((AVERAGE(DataQ!C200:C203)/AVERAGE(DataQ!C196:C199))-1)</f>
        <v>7.3407536792032158</v>
      </c>
      <c r="H133" s="4">
        <f t="shared" si="138"/>
        <v>5.7103496852309235</v>
      </c>
      <c r="I133" s="4">
        <v>0</v>
      </c>
      <c r="K133" s="4">
        <f t="shared" si="129"/>
        <v>5.4906008694443891</v>
      </c>
      <c r="L133" s="4">
        <f>100*(HAVERQ!AF137/HAVERQ!AI137)</f>
        <v>5.4906008694443891</v>
      </c>
      <c r="HZ133" s="22"/>
      <c r="IF133" s="3"/>
    </row>
    <row r="134" spans="1:240" x14ac:dyDescent="0.25">
      <c r="B134" s="4">
        <f>100*((DataQ!C204/DataQ!C200)-1)</f>
        <v>4.0440098642799294</v>
      </c>
      <c r="C134" s="4">
        <f t="shared" ref="C134:C156" si="159">K134</f>
        <v>5.5896570244763293</v>
      </c>
      <c r="D134" s="4">
        <v>0</v>
      </c>
      <c r="G134" s="4">
        <f>100*((AVERAGE(DataQ!C201:C204)/AVERAGE(DataQ!C197:C200))-1)</f>
        <v>4.0619705751226087</v>
      </c>
      <c r="H134" s="4">
        <f t="shared" si="138"/>
        <v>5.6279752047528984</v>
      </c>
      <c r="I134" s="4">
        <v>0</v>
      </c>
      <c r="K134" s="4">
        <f t="shared" ref="K134:K141" si="160">L134</f>
        <v>5.5896570244763293</v>
      </c>
      <c r="L134" s="4">
        <f>100*(HAVERQ!AF138/HAVERQ!AI138)</f>
        <v>5.5896570244763293</v>
      </c>
      <c r="HZ134" s="22"/>
      <c r="IF134" s="3"/>
    </row>
    <row r="135" spans="1:240" x14ac:dyDescent="0.25">
      <c r="B135" s="4">
        <f>100*((DataQ!C205/DataQ!C201)-1)</f>
        <v>6.8230464226815002</v>
      </c>
      <c r="C135" s="4">
        <f t="shared" si="159"/>
        <v>6.3093324146378809</v>
      </c>
      <c r="D135" s="4">
        <v>0</v>
      </c>
      <c r="G135" s="4">
        <f>100*((AVERAGE(DataQ!C202:C205)/AVERAGE(DataQ!C198:C201))-1)</f>
        <v>4.7275230815400748</v>
      </c>
      <c r="H135" s="4">
        <f t="shared" si="138"/>
        <v>5.7606452291416268</v>
      </c>
      <c r="I135" s="4">
        <v>0</v>
      </c>
      <c r="K135" s="4">
        <f t="shared" si="160"/>
        <v>6.3093324146378809</v>
      </c>
      <c r="L135" s="4">
        <f>100*(HAVERQ!AF139/HAVERQ!AI139)</f>
        <v>6.3093324146378809</v>
      </c>
      <c r="HZ135" s="22"/>
      <c r="IF135" s="3"/>
    </row>
    <row r="136" spans="1:240" x14ac:dyDescent="0.25">
      <c r="B136" s="4">
        <f>100*((DataQ!C206/DataQ!C202)-1)</f>
        <v>3.6202735317779622</v>
      </c>
      <c r="C136" s="4">
        <f t="shared" si="159"/>
        <v>7.1077166546255208</v>
      </c>
      <c r="D136" s="4">
        <v>0</v>
      </c>
      <c r="G136" s="4">
        <f>100*((AVERAGE(DataQ!C203:C206)/AVERAGE(DataQ!C199:C202))-1)</f>
        <v>5.9201472625016072</v>
      </c>
      <c r="H136" s="4">
        <f t="shared" si="138"/>
        <v>6.1243267407960298</v>
      </c>
      <c r="I136" s="4">
        <v>0</v>
      </c>
      <c r="K136" s="4">
        <f t="shared" si="160"/>
        <v>7.1077166546255208</v>
      </c>
      <c r="L136" s="4">
        <f>100*(HAVERQ!AF140/HAVERQ!AI140)</f>
        <v>7.1077166546255208</v>
      </c>
      <c r="HZ136" s="22"/>
      <c r="IF136" s="3"/>
    </row>
    <row r="137" spans="1:240" x14ac:dyDescent="0.25">
      <c r="A137">
        <v>2023</v>
      </c>
      <c r="B137" s="4">
        <f>100*((DataQ!C207/DataQ!C203)-1)</f>
        <v>6.0760912007877366</v>
      </c>
      <c r="C137" s="4">
        <f t="shared" si="159"/>
        <v>8.4596296386107017</v>
      </c>
      <c r="D137" s="4">
        <v>0</v>
      </c>
      <c r="F137">
        <v>2023</v>
      </c>
      <c r="G137" s="4">
        <f>100*((AVERAGE(DataQ!C204:C207)/AVERAGE(DataQ!C200:C203))-1)</f>
        <v>5.1426865051543702</v>
      </c>
      <c r="H137" s="4">
        <f t="shared" si="138"/>
        <v>6.8665839330876075</v>
      </c>
      <c r="I137" s="4">
        <v>0</v>
      </c>
      <c r="K137" s="4">
        <f t="shared" si="160"/>
        <v>8.4596296386107017</v>
      </c>
      <c r="L137" s="4">
        <f>100*(HAVERQ!AF141/HAVERQ!AI141)</f>
        <v>8.4596296386107017</v>
      </c>
      <c r="HZ137" s="22"/>
      <c r="IF137" s="3"/>
    </row>
    <row r="138" spans="1:240" x14ac:dyDescent="0.25">
      <c r="B138" s="4">
        <f>100*((DataQ!C208/DataQ!C204)-1)</f>
        <v>3.0166412517403707</v>
      </c>
      <c r="C138" s="4">
        <f t="shared" si="159"/>
        <v>9.5397388011196718</v>
      </c>
      <c r="D138" s="4">
        <v>0</v>
      </c>
      <c r="G138" s="4">
        <f>100*((AVERAGE(DataQ!C205:C208)/AVERAGE(DataQ!C201:C204))-1)</f>
        <v>4.8660945713783876</v>
      </c>
      <c r="H138" s="4">
        <f t="shared" ref="H138:H156" si="161">AVERAGE(K135:K138)</f>
        <v>7.8541043772484445</v>
      </c>
      <c r="I138" s="4">
        <v>0</v>
      </c>
      <c r="K138" s="4">
        <f t="shared" si="160"/>
        <v>9.5397388011196718</v>
      </c>
      <c r="L138" s="4">
        <f>100*(HAVERQ!AF142/HAVERQ!AI142)</f>
        <v>9.5397388011196718</v>
      </c>
      <c r="HZ138" s="22"/>
      <c r="IF138" s="3"/>
    </row>
    <row r="139" spans="1:240" x14ac:dyDescent="0.25">
      <c r="B139" s="4">
        <f>100*((DataQ!C209/DataQ!C205)-1)</f>
        <v>-0.97065054937836015</v>
      </c>
      <c r="C139" s="4">
        <f t="shared" si="159"/>
        <v>11.126397547978128</v>
      </c>
      <c r="D139" s="4">
        <v>0</v>
      </c>
      <c r="G139" s="4">
        <f>100*((AVERAGE(DataQ!C206:C209)/AVERAGE(DataQ!C202:C205))-1)</f>
        <v>2.8984407922461042</v>
      </c>
      <c r="H139" s="4">
        <f t="shared" si="161"/>
        <v>9.0583706605835062</v>
      </c>
      <c r="I139" s="4">
        <v>0</v>
      </c>
      <c r="K139" s="4">
        <f t="shared" si="160"/>
        <v>11.126397547978128</v>
      </c>
      <c r="L139" s="4">
        <f>100*(HAVERQ!AF143/HAVERQ!AI143)</f>
        <v>11.126397547978128</v>
      </c>
      <c r="HZ139" s="22"/>
      <c r="IF139" s="3"/>
    </row>
    <row r="140" spans="1:240" x14ac:dyDescent="0.25">
      <c r="B140" s="4">
        <f>100*((DataQ!C210/DataQ!C206)-1)</f>
        <v>2.9925060761544664</v>
      </c>
      <c r="C140" s="4">
        <f t="shared" si="159"/>
        <v>11.519234367899056</v>
      </c>
      <c r="D140" s="4">
        <v>0</v>
      </c>
      <c r="G140" s="4">
        <f>100*((AVERAGE(DataQ!C207:C210)/AVERAGE(DataQ!C203:C206))-1)</f>
        <v>2.7493002464803462</v>
      </c>
      <c r="H140" s="4">
        <f t="shared" si="161"/>
        <v>10.161250088901891</v>
      </c>
      <c r="I140" s="4">
        <v>0</v>
      </c>
      <c r="K140" s="4">
        <f t="shared" si="160"/>
        <v>11.519234367899056</v>
      </c>
      <c r="L140" s="4">
        <f>100*(HAVERQ!AF144/HAVERQ!AI144)</f>
        <v>11.519234367899056</v>
      </c>
      <c r="HZ140" s="22"/>
      <c r="IF140" s="3"/>
    </row>
    <row r="141" spans="1:240" x14ac:dyDescent="0.25">
      <c r="A141">
        <v>2024</v>
      </c>
      <c r="B141" s="4">
        <f>100*((DataQ!C211/DataQ!C207)-1)</f>
        <v>-1.7797125572164729</v>
      </c>
      <c r="C141" s="4">
        <f t="shared" si="159"/>
        <v>11.615567073706403</v>
      </c>
      <c r="D141" s="4">
        <v>0</v>
      </c>
      <c r="F141">
        <v>2024</v>
      </c>
      <c r="G141" s="4">
        <f>100*((AVERAGE(DataQ!C208:C211)/AVERAGE(DataQ!C204:C207))-1)</f>
        <v>0.77794104935604569</v>
      </c>
      <c r="H141" s="4">
        <f t="shared" si="161"/>
        <v>10.950234447675815</v>
      </c>
      <c r="I141" s="4">
        <v>0</v>
      </c>
      <c r="K141" s="4">
        <f t="shared" si="160"/>
        <v>11.615567073706403</v>
      </c>
      <c r="L141" s="4">
        <f>100*(HAVERQ!AF145/HAVERQ!AI145)</f>
        <v>11.615567073706403</v>
      </c>
      <c r="HZ141" s="22"/>
      <c r="IF141" s="3"/>
    </row>
    <row r="142" spans="1:240" x14ac:dyDescent="0.25">
      <c r="B142" s="4">
        <f>100*((DataQ!C212/DataQ!C208)-1)</f>
        <v>0.15767795083021507</v>
      </c>
      <c r="C142" s="4">
        <f t="shared" si="159"/>
        <v>11.615045294330113</v>
      </c>
      <c r="D142" s="4">
        <v>0</v>
      </c>
      <c r="G142" s="4">
        <f>100*((AVERAGE(DataQ!C209:C212)/AVERAGE(DataQ!C205:C208))-1)</f>
        <v>6.8636142648781373E-2</v>
      </c>
      <c r="H142" s="4">
        <f t="shared" si="161"/>
        <v>11.469061070978423</v>
      </c>
      <c r="I142" s="4">
        <v>0</v>
      </c>
      <c r="K142">
        <f>K141+(DataQ!O212*DataQ!P212)/(4*DataQ!D212)-(DataQ!O211*DataQ!P211)/(4*DataQ!D211)</f>
        <v>11.615045294330113</v>
      </c>
      <c r="L142" s="4"/>
      <c r="HZ142" s="22"/>
      <c r="IF142" s="3"/>
    </row>
    <row r="143" spans="1:240" x14ac:dyDescent="0.25">
      <c r="B143" s="4">
        <f>100*((DataQ!C213/DataQ!C209)-1)</f>
        <v>3.963364070585107</v>
      </c>
      <c r="C143" s="4">
        <f t="shared" si="159"/>
        <v>11.246446878613273</v>
      </c>
      <c r="D143" s="4">
        <v>0</v>
      </c>
      <c r="G143" s="4">
        <f>100*((AVERAGE(DataQ!C210:C213)/AVERAGE(DataQ!C206:C209))-1)</f>
        <v>1.2895305883412922</v>
      </c>
      <c r="H143" s="4">
        <f t="shared" si="161"/>
        <v>11.499073403637212</v>
      </c>
      <c r="I143" s="4">
        <v>0</v>
      </c>
      <c r="K143">
        <f>K142+(DataQ!O213*DataQ!P213)/(4*DataQ!D213)-(DataQ!O212*DataQ!P212)/(4*DataQ!D212)</f>
        <v>11.246446878613273</v>
      </c>
      <c r="HZ143" s="22"/>
      <c r="IF143" s="3"/>
    </row>
    <row r="144" spans="1:240" x14ac:dyDescent="0.25">
      <c r="B144" s="4">
        <f>100*((DataQ!C214/DataQ!C210)-1)</f>
        <v>3.2931285950738243</v>
      </c>
      <c r="C144" s="4">
        <f t="shared" si="159"/>
        <v>11.158646955315032</v>
      </c>
      <c r="D144" s="4">
        <v>0</v>
      </c>
      <c r="G144" s="4">
        <f>100*((AVERAGE(DataQ!C211:C214)/AVERAGE(DataQ!C207:C210))-1)</f>
        <v>1.3763920455700518</v>
      </c>
      <c r="H144" s="4">
        <f t="shared" si="161"/>
        <v>11.408926550491206</v>
      </c>
      <c r="I144" s="4">
        <v>0</v>
      </c>
      <c r="K144">
        <f>K143+(DataQ!O214*DataQ!P214)/(4*DataQ!D214)-(DataQ!O213*DataQ!P213)/(4*DataQ!D213)</f>
        <v>11.158646955315032</v>
      </c>
      <c r="HZ144" s="22"/>
      <c r="IF144" s="3"/>
    </row>
    <row r="145" spans="1:240" x14ac:dyDescent="0.25">
      <c r="A145">
        <v>2025</v>
      </c>
      <c r="B145" s="4">
        <f>100*((DataQ!C215/DataQ!C211)-1)</f>
        <v>3.3219977187550986</v>
      </c>
      <c r="C145" s="4">
        <f t="shared" si="159"/>
        <v>11.068455841904903</v>
      </c>
      <c r="D145" s="4">
        <v>0</v>
      </c>
      <c r="F145">
        <v>2025</v>
      </c>
      <c r="G145" s="4">
        <f>100*((AVERAGE(DataQ!C212:C215)/AVERAGE(DataQ!C208:C211))-1)</f>
        <v>2.6694930137763917</v>
      </c>
      <c r="H145" s="4">
        <f t="shared" si="161"/>
        <v>11.272148742540832</v>
      </c>
      <c r="I145" s="4">
        <v>0</v>
      </c>
      <c r="K145">
        <f>K144+(DataQ!O215*DataQ!P215)/(4*DataQ!D215)-(DataQ!O214*DataQ!P214)/(4*DataQ!D214)</f>
        <v>11.068455841904903</v>
      </c>
      <c r="HZ145" s="22"/>
      <c r="IF145" s="3"/>
    </row>
    <row r="146" spans="1:240" x14ac:dyDescent="0.25">
      <c r="B146" s="4">
        <f>100*((DataQ!C216/DataQ!C212)-1)</f>
        <v>2.7170120481927684</v>
      </c>
      <c r="C146" s="4">
        <f t="shared" si="159"/>
        <v>10.97515669986934</v>
      </c>
      <c r="D146" s="4">
        <v>0</v>
      </c>
      <c r="G146" s="4">
        <f>100*((AVERAGE(DataQ!C213:C216)/AVERAGE(DataQ!C209:C212))-1)</f>
        <v>3.3189350731004152</v>
      </c>
      <c r="H146" s="4">
        <f t="shared" si="161"/>
        <v>11.112176593925637</v>
      </c>
      <c r="I146" s="4">
        <v>0</v>
      </c>
      <c r="K146">
        <f>K145+(DataQ!O216*DataQ!P216)/(4*DataQ!D216)-(DataQ!O215*DataQ!P215)/(4*DataQ!D215)</f>
        <v>10.97515669986934</v>
      </c>
      <c r="HZ146" s="22"/>
      <c r="IF146" s="3"/>
    </row>
    <row r="147" spans="1:240" x14ac:dyDescent="0.25">
      <c r="B147" s="4">
        <f>100*((DataQ!C217/DataQ!C213)-1)</f>
        <v>2.9618214666012666</v>
      </c>
      <c r="C147" s="4">
        <f t="shared" si="159"/>
        <v>10.878823443851129</v>
      </c>
      <c r="D147" s="4">
        <v>0</v>
      </c>
      <c r="G147" s="4">
        <f>100*((AVERAGE(DataQ!C214:C217)/AVERAGE(DataQ!C210:C213))-1)</f>
        <v>3.0713175990870312</v>
      </c>
      <c r="H147" s="4">
        <f t="shared" si="161"/>
        <v>11.020270735235101</v>
      </c>
      <c r="I147" s="4">
        <v>0</v>
      </c>
      <c r="K147">
        <f>K146+(DataQ!O217*DataQ!P217)/(4*DataQ!D217)-(DataQ!O216*DataQ!P216)/(4*DataQ!D216)</f>
        <v>10.878823443851129</v>
      </c>
      <c r="HZ147" s="22"/>
      <c r="IF147" s="3"/>
    </row>
    <row r="148" spans="1:240" x14ac:dyDescent="0.25">
      <c r="B148" s="4">
        <f>100*((DataQ!C218/DataQ!C214)-1)</f>
        <v>3.3714630218703689</v>
      </c>
      <c r="C148" s="4">
        <f t="shared" si="159"/>
        <v>10.777903109740818</v>
      </c>
      <c r="D148" s="4">
        <v>0</v>
      </c>
      <c r="G148" s="4">
        <f>100*((AVERAGE(DataQ!C215:C218)/AVERAGE(DataQ!C211:C214))-1)</f>
        <v>3.0929076698634761</v>
      </c>
      <c r="H148" s="4">
        <f t="shared" si="161"/>
        <v>10.925084773841547</v>
      </c>
      <c r="I148" s="4">
        <v>0</v>
      </c>
      <c r="K148">
        <f>K147+(DataQ!O218*DataQ!P218)/(4*DataQ!D218)-(DataQ!O217*DataQ!P217)/(4*DataQ!D217)</f>
        <v>10.777903109740818</v>
      </c>
      <c r="HZ148" s="22"/>
      <c r="IF148" s="3"/>
    </row>
    <row r="149" spans="1:240" x14ac:dyDescent="0.25">
      <c r="A149">
        <v>2026</v>
      </c>
      <c r="B149" s="4">
        <f>100*((DataQ!C219/DataQ!C215)-1)</f>
        <v>3.7412841232694838</v>
      </c>
      <c r="C149" s="4">
        <f t="shared" si="159"/>
        <v>10.706813998707316</v>
      </c>
      <c r="D149" s="4">
        <v>0</v>
      </c>
      <c r="F149">
        <v>2026</v>
      </c>
      <c r="G149" s="4">
        <f>100*((AVERAGE(DataQ!C216:C219)/AVERAGE(DataQ!C212:C215))-1)</f>
        <v>3.2005295992886484</v>
      </c>
      <c r="H149" s="4">
        <f t="shared" si="161"/>
        <v>10.834674313042152</v>
      </c>
      <c r="I149" s="4">
        <v>0</v>
      </c>
      <c r="K149">
        <f>K148+(DataQ!O219*DataQ!P219)/(4*DataQ!D219)-(DataQ!O218*DataQ!P218)/(4*DataQ!D218)</f>
        <v>10.706813998707316</v>
      </c>
      <c r="HZ149" s="22"/>
      <c r="IF149" s="3"/>
    </row>
    <row r="150" spans="1:240" x14ac:dyDescent="0.25">
      <c r="B150" s="4">
        <f>100*((DataQ!C220/DataQ!C216)-1)</f>
        <v>3.8030325920601626</v>
      </c>
      <c r="C150" s="4">
        <f t="shared" si="159"/>
        <v>10.615963125884383</v>
      </c>
      <c r="D150" s="4">
        <v>0</v>
      </c>
      <c r="G150" s="4">
        <f>100*((AVERAGE(DataQ!C217:C220)/AVERAGE(DataQ!C213:C216))-1)</f>
        <v>3.4716989184257363</v>
      </c>
      <c r="H150" s="4">
        <f t="shared" si="161"/>
        <v>10.744875919545912</v>
      </c>
      <c r="I150" s="4">
        <v>0</v>
      </c>
      <c r="K150">
        <f>K149+(DataQ!O220*DataQ!P220)/(4*DataQ!D220)-(DataQ!O219*DataQ!P219)/(4*DataQ!D219)</f>
        <v>10.615963125884383</v>
      </c>
      <c r="HZ150" s="22"/>
      <c r="IF150" s="3"/>
    </row>
    <row r="151" spans="1:240" x14ac:dyDescent="0.25">
      <c r="B151" s="4">
        <f>100*((DataQ!C221/DataQ!C217)-1)</f>
        <v>3.607660020027148</v>
      </c>
      <c r="C151" s="4">
        <f t="shared" si="159"/>
        <v>10.493502069820279</v>
      </c>
      <c r="D151" s="4">
        <v>0</v>
      </c>
      <c r="G151" s="4">
        <f>100*((AVERAGE(DataQ!C218:C221)/AVERAGE(DataQ!C214:C217))-1)</f>
        <v>3.6315013470345159</v>
      </c>
      <c r="H151" s="4">
        <f t="shared" si="161"/>
        <v>10.648545576038199</v>
      </c>
      <c r="I151" s="4">
        <v>0</v>
      </c>
      <c r="K151">
        <f>K150+(DataQ!O221*DataQ!P221)/(4*DataQ!D221)-(DataQ!O220*DataQ!P220)/(4*DataQ!D220)</f>
        <v>10.493502069820279</v>
      </c>
      <c r="HZ151" s="22"/>
      <c r="IF151" s="3"/>
    </row>
    <row r="152" spans="1:240" x14ac:dyDescent="0.25">
      <c r="B152" s="4">
        <f>100*((DataQ!C222/DataQ!C218)-1)</f>
        <v>3.3510882802769704</v>
      </c>
      <c r="C152" s="4">
        <f t="shared" si="159"/>
        <v>10.379744181560412</v>
      </c>
      <c r="D152" s="4">
        <v>0</v>
      </c>
      <c r="G152" s="4">
        <f>100*((AVERAGE(DataQ!C219:C222)/AVERAGE(DataQ!C215:C218))-1)</f>
        <v>3.6241870632795159</v>
      </c>
      <c r="H152" s="4">
        <f t="shared" si="161"/>
        <v>10.549005843993097</v>
      </c>
      <c r="I152" s="4">
        <v>0</v>
      </c>
      <c r="K152">
        <f>K151+(DataQ!O222*DataQ!P222)/(4*DataQ!D222)-(DataQ!O221*DataQ!P221)/(4*DataQ!D221)</f>
        <v>10.379744181560412</v>
      </c>
      <c r="HZ152" s="22"/>
      <c r="IF152" s="3"/>
    </row>
    <row r="153" spans="1:240" x14ac:dyDescent="0.25">
      <c r="A153">
        <v>2027</v>
      </c>
      <c r="B153" s="4">
        <f>100*((DataQ!C223/DataQ!C219)-1)</f>
        <v>3.0337934914650866</v>
      </c>
      <c r="C153" s="4">
        <f t="shared" si="159"/>
        <v>10.246482738705412</v>
      </c>
      <c r="D153" s="4">
        <v>0</v>
      </c>
      <c r="F153">
        <v>2027</v>
      </c>
      <c r="G153" s="4">
        <f>100*((AVERAGE(DataQ!C220:C223)/AVERAGE(DataQ!C216:C219))-1)</f>
        <v>3.4458599980749405</v>
      </c>
      <c r="H153" s="4">
        <f t="shared" si="161"/>
        <v>10.433923028992622</v>
      </c>
      <c r="I153" s="4">
        <v>0</v>
      </c>
      <c r="K153">
        <f>K152+(DataQ!O223*DataQ!P223)/(4*DataQ!D223)-(DataQ!O222*DataQ!P222)/(4*DataQ!D222)</f>
        <v>10.246482738705412</v>
      </c>
    </row>
    <row r="154" spans="1:240" x14ac:dyDescent="0.25">
      <c r="B154" s="4">
        <f>100*((DataQ!C224/DataQ!C220)-1)</f>
        <v>2.7274021609674293</v>
      </c>
      <c r="C154" s="4">
        <f t="shared" si="159"/>
        <v>10.129042322985949</v>
      </c>
      <c r="D154" s="4">
        <v>0</v>
      </c>
      <c r="G154" s="4">
        <f>100*((AVERAGE(DataQ!C221:C224)/AVERAGE(DataQ!C217:C220))-1)</f>
        <v>3.1765310175213557</v>
      </c>
      <c r="H154" s="4">
        <f t="shared" si="161"/>
        <v>10.312192828268014</v>
      </c>
      <c r="I154" s="4">
        <v>0</v>
      </c>
      <c r="K154">
        <f>K153+(DataQ!O224*DataQ!P224)/(4*DataQ!D224)-(DataQ!O223*DataQ!P223)/(4*DataQ!D223)</f>
        <v>10.129042322985949</v>
      </c>
    </row>
    <row r="155" spans="1:240" x14ac:dyDescent="0.25">
      <c r="B155" s="4">
        <f>100*((DataQ!C225/DataQ!C221)-1)</f>
        <v>2.5744397484943393</v>
      </c>
      <c r="C155" s="4">
        <f t="shared" si="159"/>
        <v>10.001464563486332</v>
      </c>
      <c r="D155" s="4">
        <v>0</v>
      </c>
      <c r="G155" s="4">
        <f>100*((AVERAGE(DataQ!C222:C225)/AVERAGE(DataQ!C218:C221))-1)</f>
        <v>2.9187963818824381</v>
      </c>
      <c r="H155" s="4">
        <f t="shared" si="161"/>
        <v>10.189183451684526</v>
      </c>
      <c r="I155" s="4">
        <v>0</v>
      </c>
      <c r="K155">
        <f>K154+(DataQ!O225*DataQ!P225)/(4*DataQ!D225)-(DataQ!O224*DataQ!P224)/(4*DataQ!D224)</f>
        <v>10.001464563486332</v>
      </c>
    </row>
    <row r="156" spans="1:240" x14ac:dyDescent="0.25">
      <c r="B156" s="4">
        <f>100*((DataQ!C226/DataQ!C222)-1)</f>
        <v>2.472594992171695</v>
      </c>
      <c r="C156" s="4">
        <f t="shared" si="159"/>
        <v>9.9560326053526893</v>
      </c>
      <c r="D156" s="4">
        <v>0</v>
      </c>
      <c r="G156" s="4">
        <f>100*((AVERAGE(DataQ!C223:C226)/AVERAGE(DataQ!C219:C222))-1)</f>
        <v>2.7002496472025461</v>
      </c>
      <c r="H156" s="4">
        <f t="shared" si="161"/>
        <v>10.083255557632596</v>
      </c>
      <c r="I156" s="4">
        <v>0</v>
      </c>
      <c r="K156">
        <f>K155+(DataQ!O226*DataQ!P226)/(4*DataQ!D226)-(DataQ!O225*DataQ!P225)/(4*DataQ!D225)</f>
        <v>9.9560326053526893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3DF1-1023-45C9-A990-D3D6812B4A36}">
  <sheetPr codeName="Sheet13"/>
  <dimension ref="A1:Z358"/>
  <sheetViews>
    <sheetView workbookViewId="0">
      <pane xSplit="2" ySplit="6" topLeftCell="C178" activePane="bottomRight" state="frozen"/>
      <selection pane="topRight" activeCell="C1" sqref="C1"/>
      <selection pane="bottomLeft" activeCell="A7" sqref="A7"/>
      <selection pane="bottomRight" activeCell="Z358" sqref="Z358"/>
    </sheetView>
  </sheetViews>
  <sheetFormatPr defaultColWidth="9.140625" defaultRowHeight="15" x14ac:dyDescent="0.25"/>
  <cols>
    <col min="1" max="1" width="5" style="18" bestFit="1" customWidth="1"/>
    <col min="2" max="2" width="9.140625" style="18"/>
    <col min="3" max="26" width="17.5703125" style="18" bestFit="1" customWidth="1"/>
    <col min="27" max="16384" width="9.140625" style="18"/>
  </cols>
  <sheetData>
    <row r="1" spans="1:26" x14ac:dyDescent="0.25">
      <c r="C1" s="19" t="str">
        <f>GMWQ!NF2</f>
        <v>OCT003L.db</v>
      </c>
      <c r="D1" s="18" t="str">
        <f t="shared" ref="D1:V1" si="0">$C$1</f>
        <v>OCT003L.db</v>
      </c>
      <c r="E1" s="18" t="str">
        <f t="shared" si="0"/>
        <v>OCT003L.db</v>
      </c>
      <c r="F1" s="18" t="str">
        <f t="shared" si="0"/>
        <v>OCT003L.db</v>
      </c>
      <c r="G1" s="18" t="str">
        <f t="shared" si="0"/>
        <v>OCT003L.db</v>
      </c>
      <c r="H1" s="18" t="str">
        <f t="shared" si="0"/>
        <v>OCT003L.db</v>
      </c>
      <c r="I1" s="18" t="str">
        <f t="shared" si="0"/>
        <v>OCT003L.db</v>
      </c>
      <c r="J1" s="18" t="str">
        <f t="shared" si="0"/>
        <v>OCT003L.db</v>
      </c>
      <c r="K1" s="18" t="str">
        <f t="shared" si="0"/>
        <v>OCT003L.db</v>
      </c>
      <c r="L1" s="18" t="str">
        <f t="shared" si="0"/>
        <v>OCT003L.db</v>
      </c>
      <c r="M1" s="18" t="str">
        <f t="shared" si="0"/>
        <v>OCT003L.db</v>
      </c>
      <c r="N1" s="18" t="str">
        <f t="shared" si="0"/>
        <v>OCT003L.db</v>
      </c>
      <c r="O1" s="18" t="str">
        <f t="shared" si="0"/>
        <v>OCT003L.db</v>
      </c>
      <c r="P1" s="18" t="str">
        <f t="shared" si="0"/>
        <v>OCT003L.db</v>
      </c>
      <c r="Q1" s="18" t="str">
        <f t="shared" si="0"/>
        <v>OCT003L.db</v>
      </c>
      <c r="R1" s="18" t="str">
        <f t="shared" si="0"/>
        <v>OCT003L.db</v>
      </c>
      <c r="S1" s="18" t="str">
        <f t="shared" si="0"/>
        <v>OCT003L.db</v>
      </c>
      <c r="T1" s="18" t="str">
        <f t="shared" si="0"/>
        <v>OCT003L.db</v>
      </c>
      <c r="U1" s="18" t="str">
        <f t="shared" si="0"/>
        <v>OCT003L.db</v>
      </c>
      <c r="V1" s="18" t="str">
        <f t="shared" si="0"/>
        <v>OCT003L.db</v>
      </c>
      <c r="W1" s="19" t="s">
        <v>966</v>
      </c>
      <c r="X1" s="19" t="s">
        <v>1012</v>
      </c>
      <c r="Y1" s="19" t="s">
        <v>1033</v>
      </c>
      <c r="Z1" s="19" t="s">
        <v>1323</v>
      </c>
    </row>
    <row r="2" spans="1:26" x14ac:dyDescent="0.25">
      <c r="C2" s="18" t="s">
        <v>511</v>
      </c>
      <c r="D2" s="18" t="s">
        <v>511</v>
      </c>
      <c r="E2" s="18" t="s">
        <v>511</v>
      </c>
      <c r="F2" s="18" t="s">
        <v>511</v>
      </c>
      <c r="G2" s="18" t="s">
        <v>511</v>
      </c>
      <c r="H2" s="18" t="s">
        <v>511</v>
      </c>
      <c r="I2" s="18" t="s">
        <v>511</v>
      </c>
      <c r="J2" s="18" t="s">
        <v>511</v>
      </c>
      <c r="K2" s="18" t="s">
        <v>511</v>
      </c>
      <c r="L2" s="18" t="s">
        <v>511</v>
      </c>
      <c r="M2" s="18" t="s">
        <v>511</v>
      </c>
      <c r="N2" s="18" t="s">
        <v>511</v>
      </c>
      <c r="O2" s="18" t="s">
        <v>511</v>
      </c>
      <c r="P2" s="18" t="s">
        <v>511</v>
      </c>
      <c r="Q2" s="18" t="s">
        <v>1001</v>
      </c>
      <c r="R2" s="18" t="s">
        <v>976</v>
      </c>
      <c r="S2" s="18" t="s">
        <v>982</v>
      </c>
      <c r="T2" s="18" t="s">
        <v>987</v>
      </c>
      <c r="U2" s="18" t="s">
        <v>991</v>
      </c>
      <c r="V2" s="18" t="s">
        <v>996</v>
      </c>
      <c r="W2" s="18" t="s">
        <v>511</v>
      </c>
      <c r="X2" s="18" t="s">
        <v>511</v>
      </c>
      <c r="Y2" s="18" t="s">
        <v>511</v>
      </c>
      <c r="Z2" s="18" t="s">
        <v>511</v>
      </c>
    </row>
    <row r="3" spans="1:26" x14ac:dyDescent="0.25">
      <c r="C3" s="18" t="s">
        <v>484</v>
      </c>
      <c r="D3" s="18" t="s">
        <v>502</v>
      </c>
      <c r="E3" s="18" t="s">
        <v>505</v>
      </c>
      <c r="F3" s="18" t="s">
        <v>506</v>
      </c>
      <c r="G3" s="18" t="s">
        <v>510</v>
      </c>
      <c r="H3" s="19" t="s">
        <v>488</v>
      </c>
      <c r="I3" s="19" t="s">
        <v>492</v>
      </c>
      <c r="J3" s="19" t="s">
        <v>496</v>
      </c>
      <c r="K3" s="19" t="s">
        <v>1091</v>
      </c>
      <c r="L3" s="19" t="s">
        <v>1087</v>
      </c>
      <c r="M3" s="19" t="s">
        <v>1083</v>
      </c>
      <c r="N3" s="19" t="s">
        <v>1234</v>
      </c>
      <c r="O3" s="19" t="s">
        <v>1243</v>
      </c>
      <c r="P3" s="19" t="s">
        <v>1239</v>
      </c>
      <c r="Q3" s="19" t="s">
        <v>484</v>
      </c>
      <c r="R3" s="19" t="s">
        <v>484</v>
      </c>
      <c r="S3" s="19" t="s">
        <v>484</v>
      </c>
      <c r="T3" s="19" t="s">
        <v>484</v>
      </c>
      <c r="U3" s="19" t="s">
        <v>484</v>
      </c>
      <c r="V3" s="19" t="s">
        <v>484</v>
      </c>
      <c r="W3" s="18" t="s">
        <v>484</v>
      </c>
      <c r="X3" s="18" t="s">
        <v>484</v>
      </c>
      <c r="Y3" s="18" t="s">
        <v>484</v>
      </c>
      <c r="Z3" s="18" t="s">
        <v>484</v>
      </c>
    </row>
    <row r="4" spans="1:26" x14ac:dyDescent="0.25">
      <c r="C4" s="18" t="s">
        <v>483</v>
      </c>
      <c r="D4" s="18" t="s">
        <v>483</v>
      </c>
      <c r="E4" s="18" t="s">
        <v>483</v>
      </c>
      <c r="F4" s="18" t="s">
        <v>483</v>
      </c>
      <c r="G4" s="18" t="s">
        <v>483</v>
      </c>
      <c r="H4" s="18" t="s">
        <v>483</v>
      </c>
      <c r="I4" s="18" t="s">
        <v>483</v>
      </c>
      <c r="J4" s="18" t="s">
        <v>483</v>
      </c>
      <c r="K4" s="18" t="s">
        <v>483</v>
      </c>
      <c r="L4" s="18" t="s">
        <v>483</v>
      </c>
      <c r="M4" s="18" t="s">
        <v>483</v>
      </c>
      <c r="N4" s="18" t="s">
        <v>483</v>
      </c>
      <c r="O4" s="18" t="s">
        <v>483</v>
      </c>
      <c r="P4" s="18" t="s">
        <v>483</v>
      </c>
      <c r="Q4" s="18" t="s">
        <v>975</v>
      </c>
      <c r="R4" s="18" t="s">
        <v>981</v>
      </c>
      <c r="S4" s="18" t="s">
        <v>986</v>
      </c>
      <c r="T4" s="18" t="s">
        <v>990</v>
      </c>
      <c r="U4" s="18" t="s">
        <v>995</v>
      </c>
      <c r="V4" s="18" t="s">
        <v>1000</v>
      </c>
      <c r="W4" s="18" t="s">
        <v>483</v>
      </c>
      <c r="X4" s="18" t="s">
        <v>483</v>
      </c>
      <c r="Y4" s="18" t="s">
        <v>483</v>
      </c>
      <c r="Z4" s="18" t="s">
        <v>483</v>
      </c>
    </row>
    <row r="5" spans="1:26" x14ac:dyDescent="0.25">
      <c r="C5" s="18" t="s">
        <v>512</v>
      </c>
      <c r="D5" s="18" t="s">
        <v>512</v>
      </c>
      <c r="E5" s="18" t="s">
        <v>512</v>
      </c>
      <c r="F5" s="18" t="s">
        <v>512</v>
      </c>
      <c r="G5" s="18" t="s">
        <v>512</v>
      </c>
      <c r="H5" s="18" t="s">
        <v>512</v>
      </c>
      <c r="I5" s="18" t="s">
        <v>512</v>
      </c>
      <c r="J5" s="18" t="s">
        <v>512</v>
      </c>
      <c r="K5" s="18" t="s">
        <v>512</v>
      </c>
      <c r="L5" s="18" t="s">
        <v>512</v>
      </c>
      <c r="M5" s="18" t="s">
        <v>512</v>
      </c>
      <c r="N5" s="18" t="s">
        <v>512</v>
      </c>
      <c r="O5" s="18" t="s">
        <v>512</v>
      </c>
      <c r="P5" s="18" t="s">
        <v>512</v>
      </c>
      <c r="Q5" s="18" t="s">
        <v>512</v>
      </c>
      <c r="R5" s="18" t="s">
        <v>512</v>
      </c>
      <c r="S5" s="18" t="s">
        <v>512</v>
      </c>
      <c r="T5" s="18" t="s">
        <v>512</v>
      </c>
      <c r="U5" s="18" t="s">
        <v>512</v>
      </c>
      <c r="V5" s="18" t="s">
        <v>512</v>
      </c>
      <c r="W5" s="18" t="s">
        <v>512</v>
      </c>
      <c r="X5" s="18" t="s">
        <v>512</v>
      </c>
      <c r="Y5" s="18" t="s">
        <v>512</v>
      </c>
      <c r="Z5" s="18" t="s">
        <v>512</v>
      </c>
    </row>
    <row r="6" spans="1:26" x14ac:dyDescent="0.25">
      <c r="B6" s="18">
        <f>B358+5</f>
        <v>2329</v>
      </c>
      <c r="C6" s="20" t="str" cm="1">
        <f t="array" ref="C6">_xlfn.CONCAT(INDEX(GMWQ!$A$2:$NE$60,MATCH(1,(GMWQ!$NE$2:$NE$60=C$3)*(GMWQ!$ND$2:$ND$60=C$4),0),$B6-1966),"0",(INDEX(GMWQ!$A$2:$NE$60,MATCH(1,(GMWQ!$NE$2:$NE$60=C$3)*(GMWQ!$ND$2:$ND$60=C$4),0),$B6-1965)))</f>
        <v>202402</v>
      </c>
      <c r="D6" s="20" t="str" cm="1">
        <f t="array" ref="D6">_xlfn.CONCAT(INDEX(GMWQ!$A$2:$NE$60,MATCH(1,(GMWQ!$NE$2:$NE$60=D$3)*(GMWQ!$ND$2:$ND$60=D$4),0),$B6-1966),"0",(INDEX(GMWQ!$A$2:$NE$60,MATCH(1,(GMWQ!$NE$2:$NE$60=D$3)*(GMWQ!$ND$2:$ND$60=D$4),0),$B6-1965)))</f>
        <v>202402</v>
      </c>
      <c r="E6" s="20" t="str" cm="1">
        <f t="array" ref="E6">_xlfn.CONCAT(INDEX(GMWQ!$A$2:$NE$60,MATCH(1,(GMWQ!$NE$2:$NE$60=E$3)*(GMWQ!$ND$2:$ND$60=E$4),0),$B6-1966),"0",(INDEX(GMWQ!$A$2:$NE$60,MATCH(1,(GMWQ!$NE$2:$NE$60=E$3)*(GMWQ!$ND$2:$ND$60=E$4),0),$B6-1965)))</f>
        <v>202402</v>
      </c>
      <c r="F6" s="20" t="str" cm="1">
        <f t="array" ref="F6">_xlfn.CONCAT(INDEX(GMWQ!$A$2:$NE$60,MATCH(1,(GMWQ!$NE$2:$NE$60=F$3)*(GMWQ!$ND$2:$ND$60=F$4),0),$B6-1966),"0",(INDEX(GMWQ!$A$2:$NE$60,MATCH(1,(GMWQ!$NE$2:$NE$60=F$3)*(GMWQ!$ND$2:$ND$60=F$4),0),$B6-1965)))</f>
        <v>202402</v>
      </c>
      <c r="G6" s="20" t="str" cm="1">
        <f t="array" ref="G6">_xlfn.CONCAT(INDEX(GMWQ!$A$2:$NE$60,MATCH(1,(GMWQ!$NE$2:$NE$60=G$3)*(GMWQ!$ND$2:$ND$60=G$4),0),$B6-1966),"0",(INDEX(GMWQ!$A$2:$NE$60,MATCH(1,(GMWQ!$NE$2:$NE$60=G$3)*(GMWQ!$ND$2:$ND$60=G$4),0),$B6-1965)))</f>
        <v>202402</v>
      </c>
      <c r="H6" s="20" t="str" cm="1">
        <f t="array" ref="H6">_xlfn.CONCAT(INDEX(GMWQ!$A$2:$NE$60,MATCH(1,(GMWQ!$NE$2:$NE$60=H$3)*(GMWQ!$ND$2:$ND$60=H$4),0),$B6-1966),"0",(INDEX(GMWQ!$A$2:$NE$60,MATCH(1,(GMWQ!$NE$2:$NE$60=H$3)*(GMWQ!$ND$2:$ND$60=H$4),0),$B6-1965)))</f>
        <v>202402</v>
      </c>
      <c r="I6" s="20" t="str" cm="1">
        <f t="array" ref="I6">_xlfn.CONCAT(INDEX(GMWQ!$A$2:$NE$60,MATCH(1,(GMWQ!$NE$2:$NE$60=I$3)*(GMWQ!$ND$2:$ND$60=I$4),0),$B6-1966),"0",(INDEX(GMWQ!$A$2:$NE$60,MATCH(1,(GMWQ!$NE$2:$NE$60=I$3)*(GMWQ!$ND$2:$ND$60=I$4),0),$B6-1965)))</f>
        <v>202402</v>
      </c>
      <c r="J6" s="20" t="str" cm="1">
        <f t="array" ref="J6">_xlfn.CONCAT(INDEX(GMWQ!$A$2:$NE$60,MATCH(1,(GMWQ!$NE$2:$NE$60=J$3)*(GMWQ!$ND$2:$ND$60=J$4),0),$B6-1966),"0",(INDEX(GMWQ!$A$2:$NE$60,MATCH(1,(GMWQ!$NE$2:$NE$60=J$3)*(GMWQ!$ND$2:$ND$60=J$4),0),$B6-1965)))</f>
        <v>202402</v>
      </c>
      <c r="K6" s="20" t="str" cm="1">
        <f t="array" ref="K6">_xlfn.CONCAT(INDEX(GMWQ!$A$2:$NE$60,MATCH(1,(GMWQ!$NE$2:$NE$60=K$3)*(GMWQ!$ND$2:$ND$60=K$4),0),$B6-1966),"0",(INDEX(GMWQ!$A$2:$NE$60,MATCH(1,(GMWQ!$NE$2:$NE$60=K$3)*(GMWQ!$ND$2:$ND$60=K$4),0),$B6-1965)))</f>
        <v>202304</v>
      </c>
      <c r="L6" s="20" t="str" cm="1">
        <f t="array" ref="L6">_xlfn.CONCAT(INDEX(GMWQ!$A$2:$NE$60,MATCH(1,(GMWQ!$NE$2:$NE$60=L$3)*(GMWQ!$ND$2:$ND$60=L$4),0),$B6-1966),"0",(INDEX(GMWQ!$A$2:$NE$60,MATCH(1,(GMWQ!$NE$2:$NE$60=L$3)*(GMWQ!$ND$2:$ND$60=L$4),0),$B6-1965)))</f>
        <v>202402</v>
      </c>
      <c r="M6" s="20" t="str" cm="1">
        <f t="array" ref="M6">_xlfn.CONCAT(INDEX(GMWQ!$A$2:$NE$60,MATCH(1,(GMWQ!$NE$2:$NE$60=M$3)*(GMWQ!$ND$2:$ND$60=M$4),0),$B6-1966),"0",(INDEX(GMWQ!$A$2:$NE$60,MATCH(1,(GMWQ!$NE$2:$NE$60=M$3)*(GMWQ!$ND$2:$ND$60=M$4),0),$B6-1965)))</f>
        <v>202402</v>
      </c>
      <c r="N6" s="20" t="str" cm="1">
        <f t="array" ref="N6">_xlfn.CONCAT(INDEX(GMWQ!$A$2:$NE$60,MATCH(1,(GMWQ!$NE$2:$NE$60=N$3)*(GMWQ!$ND$2:$ND$60=N$4),0),$B6-1966),"0",(INDEX(GMWQ!$A$2:$NE$60,MATCH(1,(GMWQ!$NE$2:$NE$60=N$3)*(GMWQ!$ND$2:$ND$60=N$4),0),$B6-1965)))</f>
        <v>202402</v>
      </c>
      <c r="O6" s="20" t="str" cm="1">
        <f t="array" ref="O6">_xlfn.CONCAT(INDEX(GMWQ!$A$2:$NE$60,MATCH(1,(GMWQ!$NE$2:$NE$60=O$3)*(GMWQ!$ND$2:$ND$60=O$4),0),$B6-1966),"0",(INDEX(GMWQ!$A$2:$NE$60,MATCH(1,(GMWQ!$NE$2:$NE$60=O$3)*(GMWQ!$ND$2:$ND$60=O$4),0),$B6-1965)))</f>
        <v>202402</v>
      </c>
      <c r="P6" s="20" t="str" cm="1">
        <f t="array" ref="P6">_xlfn.CONCAT(INDEX(GMWQ!$A$2:$NE$60,MATCH(1,(GMWQ!$NE$2:$NE$60=P$3)*(GMWQ!$ND$2:$ND$60=P$4),0),$B6-1966),"0",(INDEX(GMWQ!$A$2:$NE$60,MATCH(1,(GMWQ!$NE$2:$NE$60=P$3)*(GMWQ!$ND$2:$ND$60=P$4),0),$B6-1965)))</f>
        <v>202402</v>
      </c>
      <c r="Q6" s="20" t="str" cm="1">
        <f t="array" ref="Q6">_xlfn.CONCAT(INDEX(GMWQ!$A$2:$NE$60,MATCH(1,(GMWQ!$NE$2:$NE$60=Q$3)*(GMWQ!$ND$2:$ND$60=Q$4),0),$B6-1966),"0",(INDEX(GMWQ!$A$2:$NE$60,MATCH(1,(GMWQ!$NE$2:$NE$60=Q$3)*(GMWQ!$ND$2:$ND$60=Q$4),0),$B6-1965)))</f>
        <v>202402</v>
      </c>
      <c r="R6" s="20" t="str" cm="1">
        <f t="array" ref="R6">_xlfn.CONCAT(INDEX(GMWQ!$A$2:$NE$60,MATCH(1,(GMWQ!$NE$2:$NE$60=R$3)*(GMWQ!$ND$2:$ND$60=R$4),0),$B6-1966),"0",(INDEX(GMWQ!$A$2:$NE$60,MATCH(1,(GMWQ!$NE$2:$NE$60=R$3)*(GMWQ!$ND$2:$ND$60=R$4),0),$B6-1965)))</f>
        <v>202402</v>
      </c>
      <c r="S6" s="20" t="str" cm="1">
        <f t="array" ref="S6">_xlfn.CONCAT(INDEX(GMWQ!$A$2:$NE$60,MATCH(1,(GMWQ!$NE$2:$NE$60=S$3)*(GMWQ!$ND$2:$ND$60=S$4),0),$B6-1966),"0",(INDEX(GMWQ!$A$2:$NE$60,MATCH(1,(GMWQ!$NE$2:$NE$60=S$3)*(GMWQ!$ND$2:$ND$60=S$4),0),$B6-1965)))</f>
        <v>202402</v>
      </c>
      <c r="T6" s="20" t="str" cm="1">
        <f t="array" ref="T6">_xlfn.CONCAT(INDEX(GMWQ!$A$2:$NE$60,MATCH(1,(GMWQ!$NE$2:$NE$60=T$3)*(GMWQ!$ND$2:$ND$60=T$4),0),$B6-1966),"0",(INDEX(GMWQ!$A$2:$NE$60,MATCH(1,(GMWQ!$NE$2:$NE$60=T$3)*(GMWQ!$ND$2:$ND$60=T$4),0),$B6-1965)))</f>
        <v>202401</v>
      </c>
      <c r="U6" s="20" t="str" cm="1">
        <f t="array" ref="U6">_xlfn.CONCAT(INDEX(GMWQ!$A$2:$NE$60,MATCH(1,(GMWQ!$NE$2:$NE$60=U$3)*(GMWQ!$ND$2:$ND$60=U$4),0),$B6-1966),"0",(INDEX(GMWQ!$A$2:$NE$60,MATCH(1,(GMWQ!$NE$2:$NE$60=U$3)*(GMWQ!$ND$2:$ND$60=U$4),0),$B6-1965)))</f>
        <v>NA0NA</v>
      </c>
      <c r="V6" s="20" t="str" cm="1">
        <f t="array" ref="V6">_xlfn.CONCAT(INDEX(GMWQ!$A$2:$NE$60,MATCH(1,(GMWQ!$NE$2:$NE$60=V$3)*(GMWQ!$ND$2:$ND$60=V$4),0),$B6-1966),"0",(INDEX(GMWQ!$A$2:$NE$60,MATCH(1,(GMWQ!$NE$2:$NE$60=V$3)*(GMWQ!$ND$2:$ND$60=V$4),0),$B6-1965)))</f>
        <v>202402</v>
      </c>
      <c r="W6" s="20" t="str" cm="1">
        <f t="array" ref="W6">_xlfn.CONCAT(INDEX(GMWQ!$A$2:$NF$60,MATCH(1,(GMWQ!$NE$2:$NE$60=W$3)*(GMWQ!$NF$2:$NF$60=W$1),0),$B6-1966),"0",(INDEX(GMWQ!$A$2:$NF$60,MATCH(1,(GMWQ!$NE$2:$NE$60=W$3)*(GMWQ!$NF$2:$NF$60=W$1),0),$B6-1965)))</f>
        <v>201903</v>
      </c>
      <c r="X6" s="20" t="str" cm="1">
        <f t="array" ref="X6">_xlfn.CONCAT(INDEX(GMWQ!$A$2:$NF$60,MATCH(1,(GMWQ!$NE$2:$NE$60=X$3)*(GMWQ!$NF$2:$NF$60=X$1),0),$B6-1966),"0",(INDEX(GMWQ!$A$2:$NF$60,MATCH(1,(GMWQ!$NE$2:$NE$60=X$3)*(GMWQ!$NF$2:$NF$60=X$1),0),$B6-1965)))</f>
        <v>202101</v>
      </c>
      <c r="Y6" s="20" t="str" cm="1">
        <f t="array" ref="Y6">_xlfn.CONCAT(INDEX(GMWQ!$A$2:$NF$60,MATCH(1,(GMWQ!$NE$2:$NE$60=Y$3)*(GMWQ!$NF$2:$NF$60=Y$1),0),$B6-1966),"0",(INDEX(GMWQ!$A$2:$NF$60,MATCH(1,(GMWQ!$NE$2:$NE$60=Y$3)*(GMWQ!$NF$2:$NF$60=Y$1),0),$B6-1965)))</f>
        <v>202201</v>
      </c>
      <c r="Z6" s="20" t="str" cm="1">
        <f t="array" ref="Z6">_xlfn.CONCAT(INDEX(GMWQ!$A$2:$NF$60,MATCH(1,(GMWQ!$NE$2:$NE$60=Z$3)*(GMWQ!$NF$2:$NF$60=Z$1),0),$B6-1966),"0",(INDEX(GMWQ!$A$2:$NF$60,MATCH(1,(GMWQ!$NE$2:$NE$60=Z$3)*(GMWQ!$NF$2:$NF$60=Z$1),0),$B6-1965)))</f>
        <v>202402</v>
      </c>
    </row>
    <row r="7" spans="1:26" x14ac:dyDescent="0.25">
      <c r="A7" s="18">
        <v>1973</v>
      </c>
      <c r="B7" s="18">
        <v>1973</v>
      </c>
      <c r="C7" s="18" cm="1">
        <f t="array" ref="C7">INDEX(GMWQ!$A$2:$NE$60,MATCH(1,(GMWQ!$NE$2:$NE$60=C$3)*(GMWQ!$ND$2:$ND$60=C$4),0),$B7-1966)</f>
        <v>16141.32</v>
      </c>
      <c r="D7" s="18" cm="1">
        <f t="array" ref="D7">INDEX(GMWQ!$A$2:$NE$60,MATCH(1,(GMWQ!$NE$2:$NE$60=D$3)*(GMWQ!$ND$2:$ND$60=D$4),0),$B7-1966)</f>
        <v>4698</v>
      </c>
      <c r="E7" s="18" cm="1">
        <f t="array" ref="E7">INDEX(GMWQ!$A$2:$NE$60,MATCH(1,(GMWQ!$NE$2:$NE$60=E$3)*(GMWQ!$ND$2:$ND$60=E$4),0),$B7-1966)</f>
        <v>211.31139999999999</v>
      </c>
      <c r="F7" s="18" cm="1">
        <f t="array" ref="F7">INDEX(GMWQ!$A$2:$NE$60,MATCH(1,(GMWQ!$NE$2:$NE$60=F$3)*(GMWQ!$ND$2:$ND$60=F$4),0),$B7-1966)</f>
        <v>532.80179999999996</v>
      </c>
      <c r="G7" s="18" cm="1">
        <f t="array" ref="G7">INDEX(GMWQ!$A$2:$NE$60,MATCH(1,(GMWQ!$NE$2:$NE$60=G$3)*(GMWQ!$ND$2:$ND$60=G$4),0),$B7-1966)</f>
        <v>20046</v>
      </c>
      <c r="H7" s="18" cm="1">
        <f t="array" ref="H7">INDEX(GMWQ!$A$2:$NE$60,MATCH(1,(GMWQ!$NE$2:$NE$60=H$3)*(GMWQ!$ND$2:$ND$60=H$4),0),$B7-1966)</f>
        <v>50184</v>
      </c>
      <c r="I7" s="18" cm="1">
        <f t="array" ref="I7">INDEX(GMWQ!$A$2:$NE$60,MATCH(1,(GMWQ!$NE$2:$NE$60=I$3)*(GMWQ!$ND$2:$ND$60=I$4),0),$B7-1966)</f>
        <v>8441.6200000000008</v>
      </c>
      <c r="J7" s="18" cm="1">
        <f t="array" ref="J7">INDEX(GMWQ!$A$2:$NE$60,MATCH(1,(GMWQ!$NE$2:$NE$60=J$3)*(GMWQ!$ND$2:$ND$60=J$4),0),$B7-1966)</f>
        <v>13450.47</v>
      </c>
      <c r="K7" s="18" cm="1">
        <f t="array" ref="K7">INDEX(GMWQ!$A$2:$NE$60,MATCH(1,(GMWQ!$NE$2:$NE$60=K$3)*(GMWQ!$ND$2:$ND$60=K$4),0),$B7-1966)</f>
        <v>1067334</v>
      </c>
      <c r="L7" s="18" cm="1">
        <f t="array" ref="L7">INDEX(GMWQ!$A$2:$NE$60,MATCH(1,(GMWQ!$NE$2:$NE$60=L$3)*(GMWQ!$ND$2:$ND$60=L$4),0),$B7-1966)</f>
        <v>24903</v>
      </c>
      <c r="M7" s="18" cm="1">
        <f t="array" ref="M7">INDEX(GMWQ!$A$2:$NE$60,MATCH(1,(GMWQ!$NE$2:$NE$60=M$3)*(GMWQ!$ND$2:$ND$60=M$4),0),$B7-1966)</f>
        <v>1E-3</v>
      </c>
      <c r="N7" s="18" cm="1">
        <f t="array" ref="N7">INDEX(GMWQ!$A$2:$NE$60,MATCH(1,(GMWQ!$NE$2:$NE$60=N$3)*(GMWQ!$ND$2:$ND$60=N$4),0),$B7-1966)</f>
        <v>6.1169979999999997</v>
      </c>
      <c r="O7" s="18" cm="1">
        <f t="array" ref="O7">INDEX(GMWQ!$A$2:$NE$60,MATCH(1,(GMWQ!$NE$2:$NE$60=O$3)*(GMWQ!$ND$2:$ND$60=O$4),0),$B7-1966)</f>
        <v>1E-3</v>
      </c>
      <c r="P7" s="18" cm="1">
        <f t="array" ref="P7">INDEX(GMWQ!$A$2:$NE$60,MATCH(1,(GMWQ!$NE$2:$NE$60=P$3)*(GMWQ!$ND$2:$ND$60=P$4),0),$B7-1966)</f>
        <v>11012.3</v>
      </c>
      <c r="Q7" s="18" cm="1">
        <f t="array" ref="Q7">INDEX(GMWQ!$A$2:$NE$60,MATCH(1,(GMWQ!$NE$2:$NE$60=Q$3)*(GMWQ!$ND$2:$ND$60=Q$4),0),$B7-1966)</f>
        <v>102.5</v>
      </c>
      <c r="R7" s="18" cm="1">
        <f t="array" ref="R7">INDEX(GMWQ!$A$2:$NE$60,MATCH(1,(GMWQ!$NE$2:$NE$60=R$3)*(GMWQ!$ND$2:$ND$60=R$4),0),$B7-1966)</f>
        <v>7538.9369999999999</v>
      </c>
      <c r="S7" s="18" cm="1">
        <f t="array" ref="S7">INDEX(GMWQ!$A$2:$NE$60,MATCH(1,(GMWQ!$NE$2:$NE$60=S$3)*(GMWQ!$ND$2:$ND$60=S$4),0),$B7-1966)</f>
        <v>40.269599999999997</v>
      </c>
      <c r="T7" s="18" cm="1">
        <f t="array" ref="T7">INDEX(GMWQ!$A$2:$NE$60,MATCH(1,(GMWQ!$NE$2:$NE$60=T$3)*(GMWQ!$ND$2:$ND$60=T$4),0),$B7-1966)</f>
        <v>24.138999999999999</v>
      </c>
      <c r="U7" s="18" cm="1">
        <f t="array" ref="U7">INDEX(GMWQ!$A$2:$NE$60,MATCH(1,(GMWQ!$NE$2:$NE$60=U$3)*(GMWQ!$ND$2:$ND$60=U$4),0),$B7-1966)</f>
        <v>23.730399999999999</v>
      </c>
      <c r="V7" s="18" cm="1">
        <f t="array" ref="V7">INDEX(GMWQ!$A$2:$NE$60,MATCH(1,(GMWQ!$NE$2:$NE$60=V$3)*(GMWQ!$ND$2:$ND$60=V$4),0),$B7-1966)</f>
        <v>14798</v>
      </c>
      <c r="W7" s="18" cm="1">
        <f t="array" ref="W7">INDEX(GMWQ!$A$2:$NF$60,MATCH(1,(GMWQ!$NE$2:$NE$60=W$3)*(GMWQ!$NF$2:$NF$60=W$1),0),$B7-1966)</f>
        <v>14228.69</v>
      </c>
      <c r="X7" s="18" cm="1">
        <f t="array" ref="X7">INDEX(GMWQ!$A$2:$NF$60,MATCH(1,(GMWQ!$NE$2:$NE$60=X$3)*(GMWQ!$NF$2:$NF$60=X$1),0),$B7-1966)</f>
        <v>15244.63</v>
      </c>
      <c r="Y7" s="18" cm="1">
        <f t="array" ref="Y7">INDEX(GMWQ!$A$2:$NF$60,MATCH(1,(GMWQ!$NE$2:$NE$60=Y$3)*(GMWQ!$NF$2:$NF$60=Y$1),0),$B7-1966)</f>
        <v>15901.45</v>
      </c>
      <c r="Z7" s="18" cm="1">
        <f t="array" ref="Z7">INDEX(GMWQ!$A$2:$NF$60,MATCH(1,(GMWQ!$NE$2:$NE$60=Z$3)*(GMWQ!$NF$2:$NF$60=Z$1),0),$B7-1966)</f>
        <v>14892.33</v>
      </c>
    </row>
    <row r="8" spans="1:26" x14ac:dyDescent="0.25">
      <c r="B8" s="18">
        <f>+B7+1</f>
        <v>1974</v>
      </c>
      <c r="C8" s="18" cm="1">
        <f t="array" ref="C8">INDEX(GMWQ!$A$2:$NE$60,MATCH(1,(GMWQ!$NE$2:$NE$60=C$3)*(GMWQ!$ND$2:$ND$60=C$4),0),$B8-1966)</f>
        <v>15761.6</v>
      </c>
      <c r="D8" s="18" cm="1">
        <f t="array" ref="D8">INDEX(GMWQ!$A$2:$NE$60,MATCH(1,(GMWQ!$NE$2:$NE$60=D$3)*(GMWQ!$ND$2:$ND$60=D$4),0),$B8-1966)</f>
        <v>4424</v>
      </c>
      <c r="E8" s="18" cm="1">
        <f t="array" ref="E8">INDEX(GMWQ!$A$2:$NE$60,MATCH(1,(GMWQ!$NE$2:$NE$60=E$3)*(GMWQ!$ND$2:$ND$60=E$4),0),$B8-1966)</f>
        <v>519.55460000000005</v>
      </c>
      <c r="F8" s="18" cm="1">
        <f t="array" ref="F8">INDEX(GMWQ!$A$2:$NE$60,MATCH(1,(GMWQ!$NE$2:$NE$60=F$3)*(GMWQ!$ND$2:$ND$60=F$4),0),$B8-1966)</f>
        <v>1091.0930000000001</v>
      </c>
      <c r="G8" s="18" cm="1">
        <f t="array" ref="G8">INDEX(GMWQ!$A$2:$NE$60,MATCH(1,(GMWQ!$NE$2:$NE$60=G$3)*(GMWQ!$ND$2:$ND$60=G$4),0),$B8-1966)</f>
        <v>19874</v>
      </c>
      <c r="H8" s="18" cm="1">
        <f t="array" ref="H8">INDEX(GMWQ!$A$2:$NE$60,MATCH(1,(GMWQ!$NE$2:$NE$60=H$3)*(GMWQ!$ND$2:$ND$60=H$4),0),$B8-1966)</f>
        <v>48537</v>
      </c>
      <c r="I8" s="18" cm="1">
        <f t="array" ref="I8">INDEX(GMWQ!$A$2:$NE$60,MATCH(1,(GMWQ!$NE$2:$NE$60=I$3)*(GMWQ!$ND$2:$ND$60=I$4),0),$B8-1966)</f>
        <v>8067.2969999999996</v>
      </c>
      <c r="J8" s="18" cm="1">
        <f t="array" ref="J8">INDEX(GMWQ!$A$2:$NE$60,MATCH(1,(GMWQ!$NE$2:$NE$60=J$3)*(GMWQ!$ND$2:$ND$60=J$4),0),$B8-1966)</f>
        <v>15792.05</v>
      </c>
      <c r="K8" s="18" cm="1">
        <f t="array" ref="K8">INDEX(GMWQ!$A$2:$NE$60,MATCH(1,(GMWQ!$NE$2:$NE$60=K$3)*(GMWQ!$ND$2:$ND$60=K$4),0),$B8-1966)</f>
        <v>1077230</v>
      </c>
      <c r="L8" s="18" cm="1">
        <f t="array" ref="L8">INDEX(GMWQ!$A$2:$NE$60,MATCH(1,(GMWQ!$NE$2:$NE$60=L$3)*(GMWQ!$ND$2:$ND$60=L$4),0),$B8-1966)</f>
        <v>24986</v>
      </c>
      <c r="M8" s="18" cm="1">
        <f t="array" ref="M8">INDEX(GMWQ!$A$2:$NE$60,MATCH(1,(GMWQ!$NE$2:$NE$60=M$3)*(GMWQ!$ND$2:$ND$60=M$4),0),$B8-1966)</f>
        <v>1E-3</v>
      </c>
      <c r="N8" s="18" cm="1">
        <f t="array" ref="N8">INDEX(GMWQ!$A$2:$NE$60,MATCH(1,(GMWQ!$NE$2:$NE$60=N$3)*(GMWQ!$ND$2:$ND$60=N$4),0),$B8-1966)</f>
        <v>6.1190639999999998</v>
      </c>
      <c r="O8" s="18" cm="1">
        <f t="array" ref="O8">INDEX(GMWQ!$A$2:$NE$60,MATCH(1,(GMWQ!$NE$2:$NE$60=O$3)*(GMWQ!$ND$2:$ND$60=O$4),0),$B8-1966)</f>
        <v>1E-3</v>
      </c>
      <c r="P8" s="18" cm="1">
        <f t="array" ref="P8">INDEX(GMWQ!$A$2:$NE$60,MATCH(1,(GMWQ!$NE$2:$NE$60=P$3)*(GMWQ!$ND$2:$ND$60=P$4),0),$B8-1966)</f>
        <v>11559.46</v>
      </c>
      <c r="Q8" s="18" cm="1">
        <f t="array" ref="Q8">INDEX(GMWQ!$A$2:$NE$60,MATCH(1,(GMWQ!$NE$2:$NE$60=Q$3)*(GMWQ!$ND$2:$ND$60=Q$4),0),$B8-1966)</f>
        <v>106.3</v>
      </c>
      <c r="R8" s="18" cm="1">
        <f t="array" ref="R8">INDEX(GMWQ!$A$2:$NE$60,MATCH(1,(GMWQ!$NE$2:$NE$60=R$3)*(GMWQ!$ND$2:$ND$60=R$4),0),$B8-1966)</f>
        <v>7785.1509999999998</v>
      </c>
      <c r="S8" s="18" cm="1">
        <f t="array" ref="S8">INDEX(GMWQ!$A$2:$NE$60,MATCH(1,(GMWQ!$NE$2:$NE$60=S$3)*(GMWQ!$ND$2:$ND$60=S$4),0),$B8-1966)</f>
        <v>38.847670000000001</v>
      </c>
      <c r="T8" s="18" cm="1">
        <f t="array" ref="T8">INDEX(GMWQ!$A$2:$NE$60,MATCH(1,(GMWQ!$NE$2:$NE$60=T$3)*(GMWQ!$ND$2:$ND$60=T$4),0),$B8-1966)</f>
        <v>24.573</v>
      </c>
      <c r="U8" s="18" cm="1">
        <f t="array" ref="U8">INDEX(GMWQ!$A$2:$NE$60,MATCH(1,(GMWQ!$NE$2:$NE$60=U$3)*(GMWQ!$ND$2:$ND$60=U$4),0),$B8-1966)</f>
        <v>24.511310000000002</v>
      </c>
      <c r="V8" s="18" cm="1">
        <f t="array" ref="V8">INDEX(GMWQ!$A$2:$NE$60,MATCH(1,(GMWQ!$NE$2:$NE$60=V$3)*(GMWQ!$ND$2:$ND$60=V$4),0),$B8-1966)</f>
        <v>15139</v>
      </c>
      <c r="W8" s="18" cm="1">
        <f t="array" ref="W8">INDEX(GMWQ!$A$2:$NF$60,MATCH(1,(GMWQ!$NE$2:$NE$60=W$3)*(GMWQ!$NF$2:$NF$60=W$1),0),$B8-1966)</f>
        <v>13893.96</v>
      </c>
      <c r="X8" s="18" cm="1">
        <f t="array" ref="X8">INDEX(GMWQ!$A$2:$NF$60,MATCH(1,(GMWQ!$NE$2:$NE$60=X$3)*(GMWQ!$NF$2:$NF$60=X$1),0),$B8-1966)</f>
        <v>14886.01</v>
      </c>
      <c r="Y8" s="18" cm="1">
        <f t="array" ref="Y8">INDEX(GMWQ!$A$2:$NF$60,MATCH(1,(GMWQ!$NE$2:$NE$60=Y$3)*(GMWQ!$NF$2:$NF$60=Y$1),0),$B8-1966)</f>
        <v>15527.37</v>
      </c>
      <c r="Z8" s="18" cm="1">
        <f t="array" ref="Z8">INDEX(GMWQ!$A$2:$NF$60,MATCH(1,(GMWQ!$NE$2:$NE$60=Z$3)*(GMWQ!$NF$2:$NF$60=Z$1),0),$B8-1966)</f>
        <v>14541.99</v>
      </c>
    </row>
    <row r="9" spans="1:26" x14ac:dyDescent="0.25">
      <c r="B9" s="18">
        <f t="shared" ref="B9:B47" si="1">+B8+1</f>
        <v>1975</v>
      </c>
      <c r="C9" s="18" cm="1">
        <f t="array" ref="C9">INDEX(GMWQ!$A$2:$NE$60,MATCH(1,(GMWQ!$NE$2:$NE$60=C$3)*(GMWQ!$ND$2:$ND$60=C$4),0),$B9-1966)</f>
        <v>15887.1</v>
      </c>
      <c r="D9" s="18" cm="1">
        <f t="array" ref="D9">INDEX(GMWQ!$A$2:$NE$60,MATCH(1,(GMWQ!$NE$2:$NE$60=D$3)*(GMWQ!$ND$2:$ND$60=D$4),0),$B9-1966)</f>
        <v>4297</v>
      </c>
      <c r="E9" s="18" cm="1">
        <f t="array" ref="E9">INDEX(GMWQ!$A$2:$NE$60,MATCH(1,(GMWQ!$NE$2:$NE$60=E$3)*(GMWQ!$ND$2:$ND$60=E$4),0),$B9-1966)</f>
        <v>-124.0727</v>
      </c>
      <c r="F9" s="18" cm="1">
        <f t="array" ref="F9">INDEX(GMWQ!$A$2:$NE$60,MATCH(1,(GMWQ!$NE$2:$NE$60=F$3)*(GMWQ!$ND$2:$ND$60=F$4),0),$B9-1966)</f>
        <v>468.89839999999998</v>
      </c>
      <c r="G9" s="18" cm="1">
        <f t="array" ref="G9">INDEX(GMWQ!$A$2:$NE$60,MATCH(1,(GMWQ!$NE$2:$NE$60=G$3)*(GMWQ!$ND$2:$ND$60=G$4),0),$B9-1966)</f>
        <v>20558</v>
      </c>
      <c r="H9" s="18" cm="1">
        <f t="array" ref="H9">INDEX(GMWQ!$A$2:$NE$60,MATCH(1,(GMWQ!$NE$2:$NE$60=H$3)*(GMWQ!$ND$2:$ND$60=H$4),0),$B9-1966)</f>
        <v>47578</v>
      </c>
      <c r="I9" s="18" cm="1">
        <f t="array" ref="I9">INDEX(GMWQ!$A$2:$NE$60,MATCH(1,(GMWQ!$NE$2:$NE$60=I$3)*(GMWQ!$ND$2:$ND$60=I$4),0),$B9-1966)</f>
        <v>8430.8629999999994</v>
      </c>
      <c r="J9" s="18" cm="1">
        <f t="array" ref="J9">INDEX(GMWQ!$A$2:$NE$60,MATCH(1,(GMWQ!$NE$2:$NE$60=J$3)*(GMWQ!$ND$2:$ND$60=J$4),0),$B9-1966)</f>
        <v>13611.14</v>
      </c>
      <c r="K9" s="18" cm="1">
        <f t="array" ref="K9">INDEX(GMWQ!$A$2:$NE$60,MATCH(1,(GMWQ!$NE$2:$NE$60=K$3)*(GMWQ!$ND$2:$ND$60=K$4),0),$B9-1966)</f>
        <v>1087126</v>
      </c>
      <c r="L9" s="18" cm="1">
        <f t="array" ref="L9">INDEX(GMWQ!$A$2:$NE$60,MATCH(1,(GMWQ!$NE$2:$NE$60=L$3)*(GMWQ!$ND$2:$ND$60=L$4),0),$B9-1966)</f>
        <v>24972</v>
      </c>
      <c r="M9" s="18" cm="1">
        <f t="array" ref="M9">INDEX(GMWQ!$A$2:$NE$60,MATCH(1,(GMWQ!$NE$2:$NE$60=M$3)*(GMWQ!$ND$2:$ND$60=M$4),0),$B9-1966)</f>
        <v>1E-3</v>
      </c>
      <c r="N9" s="18" cm="1">
        <f t="array" ref="N9">INDEX(GMWQ!$A$2:$NE$60,MATCH(1,(GMWQ!$NE$2:$NE$60=N$3)*(GMWQ!$ND$2:$ND$60=N$4),0),$B9-1966)</f>
        <v>9.2245159999999995</v>
      </c>
      <c r="O9" s="18" cm="1">
        <f t="array" ref="O9">INDEX(GMWQ!$A$2:$NE$60,MATCH(1,(GMWQ!$NE$2:$NE$60=O$3)*(GMWQ!$ND$2:$ND$60=O$4),0),$B9-1966)</f>
        <v>1E-3</v>
      </c>
      <c r="P9" s="18" cm="1">
        <f t="array" ref="P9">INDEX(GMWQ!$A$2:$NE$60,MATCH(1,(GMWQ!$NE$2:$NE$60=P$3)*(GMWQ!$ND$2:$ND$60=P$4),0),$B9-1966)</f>
        <v>12760.18</v>
      </c>
      <c r="Q9" s="18" cm="1">
        <f t="array" ref="Q9">INDEX(GMWQ!$A$2:$NE$60,MATCH(1,(GMWQ!$NE$2:$NE$60=Q$3)*(GMWQ!$ND$2:$ND$60=Q$4),0),$B9-1966)</f>
        <v>107.95</v>
      </c>
      <c r="R9" s="18" cm="1">
        <f t="array" ref="R9">INDEX(GMWQ!$A$2:$NE$60,MATCH(1,(GMWQ!$NE$2:$NE$60=R$3)*(GMWQ!$ND$2:$ND$60=R$4),0),$B9-1966)</f>
        <v>8273.7720000000008</v>
      </c>
      <c r="S9" s="18" cm="1">
        <f t="array" ref="S9">INDEX(GMWQ!$A$2:$NE$60,MATCH(1,(GMWQ!$NE$2:$NE$60=S$3)*(GMWQ!$ND$2:$ND$60=S$4),0),$B9-1966)</f>
        <v>38.708660000000002</v>
      </c>
      <c r="T9" s="18" cm="1">
        <f t="array" ref="T9">INDEX(GMWQ!$A$2:$NE$60,MATCH(1,(GMWQ!$NE$2:$NE$60=T$3)*(GMWQ!$ND$2:$ND$60=T$4),0),$B9-1966)</f>
        <v>25.372</v>
      </c>
      <c r="U9" s="18" cm="1">
        <f t="array" ref="U9">INDEX(GMWQ!$A$2:$NE$60,MATCH(1,(GMWQ!$NE$2:$NE$60=U$3)*(GMWQ!$ND$2:$ND$60=U$4),0),$B9-1966)</f>
        <v>26.43225</v>
      </c>
      <c r="V9" s="18" cm="1">
        <f t="array" ref="V9">INDEX(GMWQ!$A$2:$NE$60,MATCH(1,(GMWQ!$NE$2:$NE$60=V$3)*(GMWQ!$ND$2:$ND$60=V$4),0),$B9-1966)</f>
        <v>15705</v>
      </c>
      <c r="W9" s="18" cm="1">
        <f t="array" ref="W9">INDEX(GMWQ!$A$2:$NF$60,MATCH(1,(GMWQ!$NE$2:$NE$60=W$3)*(GMWQ!$NF$2:$NF$60=W$1),0),$B9-1966)</f>
        <v>14004.59</v>
      </c>
      <c r="X9" s="18" cm="1">
        <f t="array" ref="X9">INDEX(GMWQ!$A$2:$NF$60,MATCH(1,(GMWQ!$NE$2:$NE$60=X$3)*(GMWQ!$NF$2:$NF$60=X$1),0),$B9-1966)</f>
        <v>15004.54</v>
      </c>
      <c r="Y9" s="18" cm="1">
        <f t="array" ref="Y9">INDEX(GMWQ!$A$2:$NF$60,MATCH(1,(GMWQ!$NE$2:$NE$60=Y$3)*(GMWQ!$NF$2:$NF$60=Y$1),0),$B9-1966)</f>
        <v>15651.01</v>
      </c>
      <c r="Z9" s="18" cm="1">
        <f t="array" ref="Z9">INDEX(GMWQ!$A$2:$NF$60,MATCH(1,(GMWQ!$NE$2:$NE$60=Z$3)*(GMWQ!$NF$2:$NF$60=Z$1),0),$B9-1966)</f>
        <v>14657.78</v>
      </c>
    </row>
    <row r="10" spans="1:26" x14ac:dyDescent="0.25">
      <c r="B10" s="18">
        <f t="shared" si="1"/>
        <v>1976</v>
      </c>
      <c r="C10" s="18" cm="1">
        <f t="array" ref="C10">INDEX(GMWQ!$A$2:$NE$60,MATCH(1,(GMWQ!$NE$2:$NE$60=C$3)*(GMWQ!$ND$2:$ND$60=C$4),0),$B10-1966)</f>
        <v>16340.84</v>
      </c>
      <c r="D10" s="18" cm="1">
        <f t="array" ref="D10">INDEX(GMWQ!$A$2:$NE$60,MATCH(1,(GMWQ!$NE$2:$NE$60=D$3)*(GMWQ!$ND$2:$ND$60=D$4),0),$B10-1966)</f>
        <v>4489</v>
      </c>
      <c r="E10" s="18" cm="1">
        <f t="array" ref="E10">INDEX(GMWQ!$A$2:$NE$60,MATCH(1,(GMWQ!$NE$2:$NE$60=E$3)*(GMWQ!$ND$2:$ND$60=E$4),0),$B10-1966)</f>
        <v>-126.01139999999999</v>
      </c>
      <c r="F10" s="18" cm="1">
        <f t="array" ref="F10">INDEX(GMWQ!$A$2:$NE$60,MATCH(1,(GMWQ!$NE$2:$NE$60=F$3)*(GMWQ!$ND$2:$ND$60=F$4),0),$B10-1966)</f>
        <v>309.7867</v>
      </c>
      <c r="G10" s="18" cm="1">
        <f t="array" ref="G10">INDEX(GMWQ!$A$2:$NE$60,MATCH(1,(GMWQ!$NE$2:$NE$60=G$3)*(GMWQ!$ND$2:$ND$60=G$4),0),$B10-1966)</f>
        <v>21315</v>
      </c>
      <c r="H10" s="18" cm="1">
        <f t="array" ref="H10">INDEX(GMWQ!$A$2:$NE$60,MATCH(1,(GMWQ!$NE$2:$NE$60=H$3)*(GMWQ!$ND$2:$ND$60=H$4),0),$B10-1966)</f>
        <v>47374</v>
      </c>
      <c r="I10" s="18" cm="1">
        <f t="array" ref="I10">INDEX(GMWQ!$A$2:$NE$60,MATCH(1,(GMWQ!$NE$2:$NE$60=I$3)*(GMWQ!$ND$2:$ND$60=I$4),0),$B10-1966)</f>
        <v>8133.9870000000001</v>
      </c>
      <c r="J10" s="18" cm="1">
        <f t="array" ref="J10">INDEX(GMWQ!$A$2:$NE$60,MATCH(1,(GMWQ!$NE$2:$NE$60=J$3)*(GMWQ!$ND$2:$ND$60=J$4),0),$B10-1966)</f>
        <v>14707.46</v>
      </c>
      <c r="K10" s="18" cm="1">
        <f t="array" ref="K10">INDEX(GMWQ!$A$2:$NE$60,MATCH(1,(GMWQ!$NE$2:$NE$60=K$3)*(GMWQ!$ND$2:$ND$60=K$4),0),$B10-1966)</f>
        <v>1097022</v>
      </c>
      <c r="L10" s="18" cm="1">
        <f t="array" ref="L10">INDEX(GMWQ!$A$2:$NE$60,MATCH(1,(GMWQ!$NE$2:$NE$60=L$3)*(GMWQ!$ND$2:$ND$60=L$4),0),$B10-1966)</f>
        <v>24999</v>
      </c>
      <c r="M10" s="18" cm="1">
        <f t="array" ref="M10">INDEX(GMWQ!$A$2:$NE$60,MATCH(1,(GMWQ!$NE$2:$NE$60=M$3)*(GMWQ!$ND$2:$ND$60=M$4),0),$B10-1966)</f>
        <v>1E-3</v>
      </c>
      <c r="N10" s="18" cm="1">
        <f t="array" ref="N10">INDEX(GMWQ!$A$2:$NE$60,MATCH(1,(GMWQ!$NE$2:$NE$60=N$3)*(GMWQ!$ND$2:$ND$60=N$4),0),$B10-1966)</f>
        <v>11.81353</v>
      </c>
      <c r="O10" s="18" cm="1">
        <f t="array" ref="O10">INDEX(GMWQ!$A$2:$NE$60,MATCH(1,(GMWQ!$NE$2:$NE$60=O$3)*(GMWQ!$ND$2:$ND$60=O$4),0),$B10-1966)</f>
        <v>1E-3</v>
      </c>
      <c r="P10" s="18" cm="1">
        <f t="array" ref="P10">INDEX(GMWQ!$A$2:$NE$60,MATCH(1,(GMWQ!$NE$2:$NE$60=P$3)*(GMWQ!$ND$2:$ND$60=P$4),0),$B10-1966)</f>
        <v>14478.94</v>
      </c>
      <c r="Q10" s="18" cm="1">
        <f t="array" ref="Q10">INDEX(GMWQ!$A$2:$NE$60,MATCH(1,(GMWQ!$NE$2:$NE$60=Q$3)*(GMWQ!$ND$2:$ND$60=Q$4),0),$B10-1966)</f>
        <v>108.75</v>
      </c>
      <c r="R10" s="18" cm="1">
        <f t="array" ref="R10">INDEX(GMWQ!$A$2:$NE$60,MATCH(1,(GMWQ!$NE$2:$NE$60=R$3)*(GMWQ!$ND$2:$ND$60=R$4),0),$B10-1966)</f>
        <v>8534.0010000000002</v>
      </c>
      <c r="S10" s="18" cm="1">
        <f t="array" ref="S10">INDEX(GMWQ!$A$2:$NE$60,MATCH(1,(GMWQ!$NE$2:$NE$60=S$3)*(GMWQ!$ND$2:$ND$60=S$4),0),$B10-1966)</f>
        <v>38.832450000000001</v>
      </c>
      <c r="T10" s="18" cm="1">
        <f t="array" ref="T10">INDEX(GMWQ!$A$2:$NE$60,MATCH(1,(GMWQ!$NE$2:$NE$60=T$3)*(GMWQ!$ND$2:$ND$60=T$4),0),$B10-1966)</f>
        <v>25.533999999999999</v>
      </c>
      <c r="U10" s="18" cm="1">
        <f t="array" ref="U10">INDEX(GMWQ!$A$2:$NE$60,MATCH(1,(GMWQ!$NE$2:$NE$60=U$3)*(GMWQ!$ND$2:$ND$60=U$4),0),$B10-1966)</f>
        <v>27.117550000000001</v>
      </c>
      <c r="V10" s="18" cm="1">
        <f t="array" ref="V10">INDEX(GMWQ!$A$2:$NE$60,MATCH(1,(GMWQ!$NE$2:$NE$60=V$3)*(GMWQ!$ND$2:$ND$60=V$4),0),$B10-1966)</f>
        <v>16414.25</v>
      </c>
      <c r="W10" s="18" cm="1">
        <f t="array" ref="W10">INDEX(GMWQ!$A$2:$NF$60,MATCH(1,(GMWQ!$NE$2:$NE$60=W$3)*(GMWQ!$NF$2:$NF$60=W$1),0),$B10-1966)</f>
        <v>14404.56</v>
      </c>
      <c r="X10" s="18" cm="1">
        <f t="array" ref="X10">INDEX(GMWQ!$A$2:$NF$60,MATCH(1,(GMWQ!$NE$2:$NE$60=X$3)*(GMWQ!$NF$2:$NF$60=X$1),0),$B10-1966)</f>
        <v>15433.07</v>
      </c>
      <c r="Y10" s="18" cm="1">
        <f t="array" ref="Y10">INDEX(GMWQ!$A$2:$NF$60,MATCH(1,(GMWQ!$NE$2:$NE$60=Y$3)*(GMWQ!$NF$2:$NF$60=Y$1),0),$B10-1966)</f>
        <v>16098</v>
      </c>
      <c r="Z10" s="18" cm="1">
        <f t="array" ref="Z10">INDEX(GMWQ!$A$2:$NF$60,MATCH(1,(GMWQ!$NE$2:$NE$60=Z$3)*(GMWQ!$NF$2:$NF$60=Z$1),0),$B10-1966)</f>
        <v>15076.41</v>
      </c>
    </row>
    <row r="11" spans="1:26" x14ac:dyDescent="0.25">
      <c r="A11" s="18">
        <v>1974</v>
      </c>
      <c r="B11" s="18">
        <f t="shared" si="1"/>
        <v>1977</v>
      </c>
      <c r="C11" s="18" cm="1">
        <f t="array" ref="C11">INDEX(GMWQ!$A$2:$NE$60,MATCH(1,(GMWQ!$NE$2:$NE$60=C$3)*(GMWQ!$ND$2:$ND$60=C$4),0),$B11-1966)</f>
        <v>16527.48</v>
      </c>
      <c r="D11" s="18" cm="1">
        <f t="array" ref="D11">INDEX(GMWQ!$A$2:$NE$60,MATCH(1,(GMWQ!$NE$2:$NE$60=D$3)*(GMWQ!$ND$2:$ND$60=D$4),0),$B11-1966)</f>
        <v>3797</v>
      </c>
      <c r="E11" s="18" cm="1">
        <f t="array" ref="E11">INDEX(GMWQ!$A$2:$NE$60,MATCH(1,(GMWQ!$NE$2:$NE$60=E$3)*(GMWQ!$ND$2:$ND$60=E$4),0),$B11-1966)</f>
        <v>-763.82280000000003</v>
      </c>
      <c r="F11" s="18" cm="1">
        <f t="array" ref="F11">INDEX(GMWQ!$A$2:$NE$60,MATCH(1,(GMWQ!$NE$2:$NE$60=F$3)*(GMWQ!$ND$2:$ND$60=F$4),0),$B11-1966)</f>
        <v>422.11959999999999</v>
      </c>
      <c r="G11" s="18" cm="1">
        <f t="array" ref="G11">INDEX(GMWQ!$A$2:$NE$60,MATCH(1,(GMWQ!$NE$2:$NE$60=G$3)*(GMWQ!$ND$2:$ND$60=G$4),0),$B11-1966)</f>
        <v>21132</v>
      </c>
      <c r="H11" s="18" cm="1">
        <f t="array" ref="H11">INDEX(GMWQ!$A$2:$NE$60,MATCH(1,(GMWQ!$NE$2:$NE$60=H$3)*(GMWQ!$ND$2:$ND$60=H$4),0),$B11-1966)</f>
        <v>46939</v>
      </c>
      <c r="I11" s="18" cm="1">
        <f t="array" ref="I11">INDEX(GMWQ!$A$2:$NE$60,MATCH(1,(GMWQ!$NE$2:$NE$60=I$3)*(GMWQ!$ND$2:$ND$60=I$4),0),$B11-1966)</f>
        <v>8785.8240000000005</v>
      </c>
      <c r="J11" s="18" cm="1">
        <f t="array" ref="J11">INDEX(GMWQ!$A$2:$NE$60,MATCH(1,(GMWQ!$NE$2:$NE$60=J$3)*(GMWQ!$ND$2:$ND$60=J$4),0),$B11-1966)</f>
        <v>12809.24</v>
      </c>
      <c r="K11" s="18" cm="1">
        <f t="array" ref="K11">INDEX(GMWQ!$A$2:$NE$60,MATCH(1,(GMWQ!$NE$2:$NE$60=K$3)*(GMWQ!$ND$2:$ND$60=K$4),0),$B11-1966)</f>
        <v>1104562</v>
      </c>
      <c r="L11" s="18" cm="1">
        <f t="array" ref="L11">INDEX(GMWQ!$A$2:$NE$60,MATCH(1,(GMWQ!$NE$2:$NE$60=L$3)*(GMWQ!$ND$2:$ND$60=L$4),0),$B11-1966)</f>
        <v>24984</v>
      </c>
      <c r="M11" s="18" cm="1">
        <f t="array" ref="M11">INDEX(GMWQ!$A$2:$NE$60,MATCH(1,(GMWQ!$NE$2:$NE$60=M$3)*(GMWQ!$ND$2:$ND$60=M$4),0),$B11-1966)</f>
        <v>1E-3</v>
      </c>
      <c r="N11" s="18" cm="1">
        <f t="array" ref="N11">INDEX(GMWQ!$A$2:$NE$60,MATCH(1,(GMWQ!$NE$2:$NE$60=N$3)*(GMWQ!$ND$2:$ND$60=N$4),0),$B11-1966)</f>
        <v>16.048850000000002</v>
      </c>
      <c r="O11" s="18" cm="1">
        <f t="array" ref="O11">INDEX(GMWQ!$A$2:$NE$60,MATCH(1,(GMWQ!$NE$2:$NE$60=O$3)*(GMWQ!$ND$2:$ND$60=O$4),0),$B11-1966)</f>
        <v>1E-3</v>
      </c>
      <c r="P11" s="18" cm="1">
        <f t="array" ref="P11">INDEX(GMWQ!$A$2:$NE$60,MATCH(1,(GMWQ!$NE$2:$NE$60=P$3)*(GMWQ!$ND$2:$ND$60=P$4),0),$B11-1966)</f>
        <v>15263.02</v>
      </c>
      <c r="Q11" s="18" cm="1">
        <f t="array" ref="Q11">INDEX(GMWQ!$A$2:$NE$60,MATCH(1,(GMWQ!$NE$2:$NE$60=Q$3)*(GMWQ!$ND$2:$ND$60=Q$4),0),$B11-1966)</f>
        <v>108.65</v>
      </c>
      <c r="R11" s="18" cm="1">
        <f t="array" ref="R11">INDEX(GMWQ!$A$2:$NE$60,MATCH(1,(GMWQ!$NE$2:$NE$60=R$3)*(GMWQ!$ND$2:$ND$60=R$4),0),$B11-1966)</f>
        <v>8148.8869999999997</v>
      </c>
      <c r="S11" s="18" cm="1">
        <f t="array" ref="S11">INDEX(GMWQ!$A$2:$NE$60,MATCH(1,(GMWQ!$NE$2:$NE$60=S$3)*(GMWQ!$ND$2:$ND$60=S$4),0),$B11-1966)</f>
        <v>35.134369999999997</v>
      </c>
      <c r="T11" s="18" cm="1">
        <f t="array" ref="T11">INDEX(GMWQ!$A$2:$NE$60,MATCH(1,(GMWQ!$NE$2:$NE$60=T$3)*(GMWQ!$ND$2:$ND$60=T$4),0),$B11-1966)</f>
        <v>25.13</v>
      </c>
      <c r="U11" s="18" cm="1">
        <f t="array" ref="U11">INDEX(GMWQ!$A$2:$NE$60,MATCH(1,(GMWQ!$NE$2:$NE$60=U$3)*(GMWQ!$ND$2:$ND$60=U$4),0),$B11-1966)</f>
        <v>26.5228</v>
      </c>
      <c r="V11" s="18" cm="1">
        <f t="array" ref="V11">INDEX(GMWQ!$A$2:$NE$60,MATCH(1,(GMWQ!$NE$2:$NE$60=V$3)*(GMWQ!$ND$2:$ND$60=V$4),0),$B11-1966)</f>
        <v>16822.25</v>
      </c>
      <c r="W11" s="18" cm="1">
        <f t="array" ref="W11">INDEX(GMWQ!$A$2:$NF$60,MATCH(1,(GMWQ!$NE$2:$NE$60=W$3)*(GMWQ!$NF$2:$NF$60=W$1),0),$B11-1966)</f>
        <v>14569.09</v>
      </c>
      <c r="X11" s="18" cm="1">
        <f t="array" ref="X11">INDEX(GMWQ!$A$2:$NF$60,MATCH(1,(GMWQ!$NE$2:$NE$60=X$3)*(GMWQ!$NF$2:$NF$60=X$1),0),$B11-1966)</f>
        <v>15609.34</v>
      </c>
      <c r="Y11" s="18" cm="1">
        <f t="array" ref="Y11">INDEX(GMWQ!$A$2:$NF$60,MATCH(1,(GMWQ!$NE$2:$NE$60=Y$3)*(GMWQ!$NF$2:$NF$60=Y$1),0),$B11-1966)</f>
        <v>16281.87</v>
      </c>
      <c r="Z11" s="18" cm="1">
        <f t="array" ref="Z11">INDEX(GMWQ!$A$2:$NF$60,MATCH(1,(GMWQ!$NE$2:$NE$60=Z$3)*(GMWQ!$NF$2:$NF$60=Z$1),0),$B11-1966)</f>
        <v>15248.61</v>
      </c>
    </row>
    <row r="12" spans="1:26" x14ac:dyDescent="0.25">
      <c r="B12" s="18">
        <f t="shared" si="1"/>
        <v>1978</v>
      </c>
      <c r="C12" s="18" cm="1">
        <f t="array" ref="C12">INDEX(GMWQ!$A$2:$NE$60,MATCH(1,(GMWQ!$NE$2:$NE$60=C$3)*(GMWQ!$ND$2:$ND$60=C$4),0),$B12-1966)</f>
        <v>17109.93</v>
      </c>
      <c r="D12" s="18" cm="1">
        <f t="array" ref="D12">INDEX(GMWQ!$A$2:$NE$60,MATCH(1,(GMWQ!$NE$2:$NE$60=D$3)*(GMWQ!$ND$2:$ND$60=D$4),0),$B12-1966)</f>
        <v>4283</v>
      </c>
      <c r="E12" s="18" cm="1">
        <f t="array" ref="E12">INDEX(GMWQ!$A$2:$NE$60,MATCH(1,(GMWQ!$NE$2:$NE$60=E$3)*(GMWQ!$ND$2:$ND$60=E$4),0),$B12-1966)</f>
        <v>-1548.97</v>
      </c>
      <c r="F12" s="18" cm="1">
        <f t="array" ref="F12">INDEX(GMWQ!$A$2:$NE$60,MATCH(1,(GMWQ!$NE$2:$NE$60=F$3)*(GMWQ!$ND$2:$ND$60=F$4),0),$B12-1966)</f>
        <v>-91.547380000000004</v>
      </c>
      <c r="G12" s="18" cm="1">
        <f t="array" ref="G12">INDEX(GMWQ!$A$2:$NE$60,MATCH(1,(GMWQ!$NE$2:$NE$60=G$3)*(GMWQ!$ND$2:$ND$60=G$4),0),$B12-1966)</f>
        <v>22651</v>
      </c>
      <c r="H12" s="18" cm="1">
        <f t="array" ref="H12">INDEX(GMWQ!$A$2:$NE$60,MATCH(1,(GMWQ!$NE$2:$NE$60=H$3)*(GMWQ!$ND$2:$ND$60=H$4),0),$B12-1966)</f>
        <v>44355</v>
      </c>
      <c r="I12" s="18" cm="1">
        <f t="array" ref="I12">INDEX(GMWQ!$A$2:$NE$60,MATCH(1,(GMWQ!$NE$2:$NE$60=I$3)*(GMWQ!$ND$2:$ND$60=I$4),0),$B12-1966)</f>
        <v>6787.2860000000001</v>
      </c>
      <c r="J12" s="18" cm="1">
        <f t="array" ref="J12">INDEX(GMWQ!$A$2:$NE$60,MATCH(1,(GMWQ!$NE$2:$NE$60=J$3)*(GMWQ!$ND$2:$ND$60=J$4),0),$B12-1966)</f>
        <v>13449.96</v>
      </c>
      <c r="K12" s="18" cm="1">
        <f t="array" ref="K12">INDEX(GMWQ!$A$2:$NE$60,MATCH(1,(GMWQ!$NE$2:$NE$60=K$3)*(GMWQ!$ND$2:$ND$60=K$4),0),$B12-1966)</f>
        <v>1112101</v>
      </c>
      <c r="L12" s="18" cm="1">
        <f t="array" ref="L12">INDEX(GMWQ!$A$2:$NE$60,MATCH(1,(GMWQ!$NE$2:$NE$60=L$3)*(GMWQ!$ND$2:$ND$60=L$4),0),$B12-1966)</f>
        <v>25002</v>
      </c>
      <c r="M12" s="18" cm="1">
        <f t="array" ref="M12">INDEX(GMWQ!$A$2:$NE$60,MATCH(1,(GMWQ!$NE$2:$NE$60=M$3)*(GMWQ!$ND$2:$ND$60=M$4),0),$B12-1966)</f>
        <v>1E-3</v>
      </c>
      <c r="N12" s="18" cm="1">
        <f t="array" ref="N12">INDEX(GMWQ!$A$2:$NE$60,MATCH(1,(GMWQ!$NE$2:$NE$60=N$3)*(GMWQ!$ND$2:$ND$60=N$4),0),$B12-1966)</f>
        <v>12.85718</v>
      </c>
      <c r="O12" s="18" cm="1">
        <f t="array" ref="O12">INDEX(GMWQ!$A$2:$NE$60,MATCH(1,(GMWQ!$NE$2:$NE$60=O$3)*(GMWQ!$ND$2:$ND$60=O$4),0),$B12-1966)</f>
        <v>1E-3</v>
      </c>
      <c r="P12" s="18" cm="1">
        <f t="array" ref="P12">INDEX(GMWQ!$A$2:$NE$60,MATCH(1,(GMWQ!$NE$2:$NE$60=P$3)*(GMWQ!$ND$2:$ND$60=P$4),0),$B12-1966)</f>
        <v>16175.61</v>
      </c>
      <c r="Q12" s="18" cm="1">
        <f t="array" ref="Q12">INDEX(GMWQ!$A$2:$NE$60,MATCH(1,(GMWQ!$NE$2:$NE$60=Q$3)*(GMWQ!$ND$2:$ND$60=Q$4),0),$B12-1966)</f>
        <v>108.45</v>
      </c>
      <c r="R12" s="18" cm="1">
        <f t="array" ref="R12">INDEX(GMWQ!$A$2:$NE$60,MATCH(1,(GMWQ!$NE$2:$NE$60=R$3)*(GMWQ!$ND$2:$ND$60=R$4),0),$B12-1966)</f>
        <v>7817.4870000000001</v>
      </c>
      <c r="S12" s="18" cm="1">
        <f t="array" ref="S12">INDEX(GMWQ!$A$2:$NE$60,MATCH(1,(GMWQ!$NE$2:$NE$60=S$3)*(GMWQ!$ND$2:$ND$60=S$4),0),$B12-1966)</f>
        <v>34.130409999999998</v>
      </c>
      <c r="T12" s="18" cm="1">
        <f t="array" ref="T12">INDEX(GMWQ!$A$2:$NE$60,MATCH(1,(GMWQ!$NE$2:$NE$60=T$3)*(GMWQ!$ND$2:$ND$60=T$4),0),$B12-1966)</f>
        <v>25.617999999999999</v>
      </c>
      <c r="U12" s="18" cm="1">
        <f t="array" ref="U12">INDEX(GMWQ!$A$2:$NE$60,MATCH(1,(GMWQ!$NE$2:$NE$60=U$3)*(GMWQ!$ND$2:$ND$60=U$4),0),$B12-1966)</f>
        <v>25.786840000000002</v>
      </c>
      <c r="V12" s="18" cm="1">
        <f t="array" ref="V12">INDEX(GMWQ!$A$2:$NE$60,MATCH(1,(GMWQ!$NE$2:$NE$60=V$3)*(GMWQ!$ND$2:$ND$60=V$4),0),$B12-1966)</f>
        <v>16395.5</v>
      </c>
      <c r="W12" s="18" cm="1">
        <f t="array" ref="W12">INDEX(GMWQ!$A$2:$NF$60,MATCH(1,(GMWQ!$NE$2:$NE$60=W$3)*(GMWQ!$NF$2:$NF$60=W$1),0),$B12-1966)</f>
        <v>15082.52</v>
      </c>
      <c r="X12" s="18" cm="1">
        <f t="array" ref="X12">INDEX(GMWQ!$A$2:$NF$60,MATCH(1,(GMWQ!$NE$2:$NE$60=X$3)*(GMWQ!$NF$2:$NF$60=X$1),0),$B12-1966)</f>
        <v>16159.43</v>
      </c>
      <c r="Y12" s="18" cm="1">
        <f t="array" ref="Y12">INDEX(GMWQ!$A$2:$NF$60,MATCH(1,(GMWQ!$NE$2:$NE$60=Y$3)*(GMWQ!$NF$2:$NF$60=Y$1),0),$B12-1966)</f>
        <v>16855.66</v>
      </c>
      <c r="Z12" s="18" cm="1">
        <f t="array" ref="Z12">INDEX(GMWQ!$A$2:$NF$60,MATCH(1,(GMWQ!$NE$2:$NE$60=Z$3)*(GMWQ!$NF$2:$NF$60=Z$1),0),$B12-1966)</f>
        <v>15785.99</v>
      </c>
    </row>
    <row r="13" spans="1:26" x14ac:dyDescent="0.25">
      <c r="B13" s="18">
        <f t="shared" si="1"/>
        <v>1979</v>
      </c>
      <c r="C13" s="18" cm="1">
        <f t="array" ref="C13">INDEX(GMWQ!$A$2:$NE$60,MATCH(1,(GMWQ!$NE$2:$NE$60=C$3)*(GMWQ!$ND$2:$ND$60=C$4),0),$B13-1966)</f>
        <v>16784.919999999998</v>
      </c>
      <c r="D13" s="18" cm="1">
        <f t="array" ref="D13">INDEX(GMWQ!$A$2:$NE$60,MATCH(1,(GMWQ!$NE$2:$NE$60=D$3)*(GMWQ!$ND$2:$ND$60=D$4),0),$B13-1966)</f>
        <v>4318</v>
      </c>
      <c r="E13" s="18" cm="1">
        <f t="array" ref="E13">INDEX(GMWQ!$A$2:$NE$60,MATCH(1,(GMWQ!$NE$2:$NE$60=E$3)*(GMWQ!$ND$2:$ND$60=E$4),0),$B13-1966)</f>
        <v>-1713.7550000000001</v>
      </c>
      <c r="F13" s="18" cm="1">
        <f t="array" ref="F13">INDEX(GMWQ!$A$2:$NE$60,MATCH(1,(GMWQ!$NE$2:$NE$60=F$3)*(GMWQ!$ND$2:$ND$60=F$4),0),$B13-1966)</f>
        <v>-177.7449</v>
      </c>
      <c r="G13" s="18" cm="1">
        <f t="array" ref="G13">INDEX(GMWQ!$A$2:$NE$60,MATCH(1,(GMWQ!$NE$2:$NE$60=G$3)*(GMWQ!$ND$2:$ND$60=G$4),0),$B13-1966)</f>
        <v>23896</v>
      </c>
      <c r="H13" s="18" cm="1">
        <f t="array" ref="H13">INDEX(GMWQ!$A$2:$NE$60,MATCH(1,(GMWQ!$NE$2:$NE$60=H$3)*(GMWQ!$ND$2:$ND$60=H$4),0),$B13-1966)</f>
        <v>43865</v>
      </c>
      <c r="I13" s="18" cm="1">
        <f t="array" ref="I13">INDEX(GMWQ!$A$2:$NE$60,MATCH(1,(GMWQ!$NE$2:$NE$60=I$3)*(GMWQ!$ND$2:$ND$60=I$4),0),$B13-1966)</f>
        <v>8069.4480000000003</v>
      </c>
      <c r="J13" s="18" cm="1">
        <f t="array" ref="J13">INDEX(GMWQ!$A$2:$NE$60,MATCH(1,(GMWQ!$NE$2:$NE$60=J$3)*(GMWQ!$ND$2:$ND$60=J$4),0),$B13-1966)</f>
        <v>11216.25</v>
      </c>
      <c r="K13" s="18" cm="1">
        <f t="array" ref="K13">INDEX(GMWQ!$A$2:$NE$60,MATCH(1,(GMWQ!$NE$2:$NE$60=K$3)*(GMWQ!$ND$2:$ND$60=K$4),0),$B13-1966)</f>
        <v>1119641</v>
      </c>
      <c r="L13" s="18" cm="1">
        <f t="array" ref="L13">INDEX(GMWQ!$A$2:$NE$60,MATCH(1,(GMWQ!$NE$2:$NE$60=L$3)*(GMWQ!$ND$2:$ND$60=L$4),0),$B13-1966)</f>
        <v>25066</v>
      </c>
      <c r="M13" s="18" cm="1">
        <f t="array" ref="M13">INDEX(GMWQ!$A$2:$NE$60,MATCH(1,(GMWQ!$NE$2:$NE$60=M$3)*(GMWQ!$ND$2:$ND$60=M$4),0),$B13-1966)</f>
        <v>1E-3</v>
      </c>
      <c r="N13" s="18" cm="1">
        <f t="array" ref="N13">INDEX(GMWQ!$A$2:$NE$60,MATCH(1,(GMWQ!$NE$2:$NE$60=N$3)*(GMWQ!$ND$2:$ND$60=N$4),0),$B13-1966)</f>
        <v>13.06794</v>
      </c>
      <c r="O13" s="18" cm="1">
        <f t="array" ref="O13">INDEX(GMWQ!$A$2:$NE$60,MATCH(1,(GMWQ!$NE$2:$NE$60=O$3)*(GMWQ!$ND$2:$ND$60=O$4),0),$B13-1966)</f>
        <v>1E-3</v>
      </c>
      <c r="P13" s="18" cm="1">
        <f t="array" ref="P13">INDEX(GMWQ!$A$2:$NE$60,MATCH(1,(GMWQ!$NE$2:$NE$60=P$3)*(GMWQ!$ND$2:$ND$60=P$4),0),$B13-1966)</f>
        <v>17298.02</v>
      </c>
      <c r="Q13" s="18" cm="1">
        <f t="array" ref="Q13">INDEX(GMWQ!$A$2:$NE$60,MATCH(1,(GMWQ!$NE$2:$NE$60=Q$3)*(GMWQ!$ND$2:$ND$60=Q$4),0),$B13-1966)</f>
        <v>107.35</v>
      </c>
      <c r="R13" s="18" cm="1">
        <f t="array" ref="R13">INDEX(GMWQ!$A$2:$NE$60,MATCH(1,(GMWQ!$NE$2:$NE$60=R$3)*(GMWQ!$ND$2:$ND$60=R$4),0),$B13-1966)</f>
        <v>7520.0209999999997</v>
      </c>
      <c r="S13" s="18" cm="1">
        <f t="array" ref="S13">INDEX(GMWQ!$A$2:$NE$60,MATCH(1,(GMWQ!$NE$2:$NE$60=S$3)*(GMWQ!$ND$2:$ND$60=S$4),0),$B13-1966)</f>
        <v>33.998570000000001</v>
      </c>
      <c r="T13" s="18" cm="1">
        <f t="array" ref="T13">INDEX(GMWQ!$A$2:$NE$60,MATCH(1,(GMWQ!$NE$2:$NE$60=T$3)*(GMWQ!$ND$2:$ND$60=T$4),0),$B13-1966)</f>
        <v>24.962</v>
      </c>
      <c r="U13" s="18" cm="1">
        <f t="array" ref="U13">INDEX(GMWQ!$A$2:$NE$60,MATCH(1,(GMWQ!$NE$2:$NE$60=U$3)*(GMWQ!$ND$2:$ND$60=U$4),0),$B13-1966)</f>
        <v>27.686669999999999</v>
      </c>
      <c r="V13" s="18" cm="1">
        <f t="array" ref="V13">INDEX(GMWQ!$A$2:$NE$60,MATCH(1,(GMWQ!$NE$2:$NE$60=V$3)*(GMWQ!$ND$2:$ND$60=V$4),0),$B13-1966)</f>
        <v>16614</v>
      </c>
      <c r="W13" s="18" cm="1">
        <f t="array" ref="W13">INDEX(GMWQ!$A$2:$NF$60,MATCH(1,(GMWQ!$NE$2:$NE$60=W$3)*(GMWQ!$NF$2:$NF$60=W$1),0),$B13-1966)</f>
        <v>14796.02</v>
      </c>
      <c r="X13" s="18" cm="1">
        <f t="array" ref="X13">INDEX(GMWQ!$A$2:$NF$60,MATCH(1,(GMWQ!$NE$2:$NE$60=X$3)*(GMWQ!$NF$2:$NF$60=X$1),0),$B13-1966)</f>
        <v>15852.47</v>
      </c>
      <c r="Y13" s="18" cm="1">
        <f t="array" ref="Y13">INDEX(GMWQ!$A$2:$NF$60,MATCH(1,(GMWQ!$NE$2:$NE$60=Y$3)*(GMWQ!$NF$2:$NF$60=Y$1),0),$B13-1966)</f>
        <v>16535.48</v>
      </c>
      <c r="Z13" s="18" cm="1">
        <f t="array" ref="Z13">INDEX(GMWQ!$A$2:$NF$60,MATCH(1,(GMWQ!$NE$2:$NE$60=Z$3)*(GMWQ!$NF$2:$NF$60=Z$1),0),$B13-1966)</f>
        <v>15486.12</v>
      </c>
    </row>
    <row r="14" spans="1:26" x14ac:dyDescent="0.25">
      <c r="B14" s="18">
        <f t="shared" si="1"/>
        <v>1980</v>
      </c>
      <c r="C14" s="18" cm="1">
        <f t="array" ref="C14">INDEX(GMWQ!$A$2:$NE$60,MATCH(1,(GMWQ!$NE$2:$NE$60=C$3)*(GMWQ!$ND$2:$ND$60=C$4),0),$B14-1966)</f>
        <v>17497.7</v>
      </c>
      <c r="D14" s="18" cm="1">
        <f t="array" ref="D14">INDEX(GMWQ!$A$2:$NE$60,MATCH(1,(GMWQ!$NE$2:$NE$60=D$3)*(GMWQ!$ND$2:$ND$60=D$4),0),$B14-1966)</f>
        <v>4226</v>
      </c>
      <c r="E14" s="18" cm="1">
        <f t="array" ref="E14">INDEX(GMWQ!$A$2:$NE$60,MATCH(1,(GMWQ!$NE$2:$NE$60=E$3)*(GMWQ!$ND$2:$ND$60=E$4),0),$B14-1966)</f>
        <v>-767.7</v>
      </c>
      <c r="F14" s="18" cm="1">
        <f t="array" ref="F14">INDEX(GMWQ!$A$2:$NE$60,MATCH(1,(GMWQ!$NE$2:$NE$60=F$3)*(GMWQ!$ND$2:$ND$60=F$4),0),$B14-1966)</f>
        <v>189.62690000000001</v>
      </c>
      <c r="G14" s="18" cm="1">
        <f t="array" ref="G14">INDEX(GMWQ!$A$2:$NE$60,MATCH(1,(GMWQ!$NE$2:$NE$60=G$3)*(GMWQ!$ND$2:$ND$60=G$4),0),$B14-1966)</f>
        <v>24994</v>
      </c>
      <c r="H14" s="18" cm="1">
        <f t="array" ref="H14">INDEX(GMWQ!$A$2:$NE$60,MATCH(1,(GMWQ!$NE$2:$NE$60=H$3)*(GMWQ!$ND$2:$ND$60=H$4),0),$B14-1966)</f>
        <v>44059</v>
      </c>
      <c r="I14" s="18" cm="1">
        <f t="array" ref="I14">INDEX(GMWQ!$A$2:$NE$60,MATCH(1,(GMWQ!$NE$2:$NE$60=I$3)*(GMWQ!$ND$2:$ND$60=I$4),0),$B14-1966)</f>
        <v>7256.2650000000003</v>
      </c>
      <c r="J14" s="18" cm="1">
        <f t="array" ref="J14">INDEX(GMWQ!$A$2:$NE$60,MATCH(1,(GMWQ!$NE$2:$NE$60=J$3)*(GMWQ!$ND$2:$ND$60=J$4),0),$B14-1966)</f>
        <v>12830.99</v>
      </c>
      <c r="K14" s="18" cm="1">
        <f t="array" ref="K14">INDEX(GMWQ!$A$2:$NE$60,MATCH(1,(GMWQ!$NE$2:$NE$60=K$3)*(GMWQ!$ND$2:$ND$60=K$4),0),$B14-1966)</f>
        <v>1127181</v>
      </c>
      <c r="L14" s="18" cm="1">
        <f t="array" ref="L14">INDEX(GMWQ!$A$2:$NE$60,MATCH(1,(GMWQ!$NE$2:$NE$60=L$3)*(GMWQ!$ND$2:$ND$60=L$4),0),$B14-1966)</f>
        <v>25065</v>
      </c>
      <c r="M14" s="18" cm="1">
        <f t="array" ref="M14">INDEX(GMWQ!$A$2:$NE$60,MATCH(1,(GMWQ!$NE$2:$NE$60=M$3)*(GMWQ!$ND$2:$ND$60=M$4),0),$B14-1966)</f>
        <v>1E-3</v>
      </c>
      <c r="N14" s="18" cm="1">
        <f t="array" ref="N14">INDEX(GMWQ!$A$2:$NE$60,MATCH(1,(GMWQ!$NE$2:$NE$60=N$3)*(GMWQ!$ND$2:$ND$60=N$4),0),$B14-1966)</f>
        <v>13.025090000000001</v>
      </c>
      <c r="O14" s="18" cm="1">
        <f t="array" ref="O14">INDEX(GMWQ!$A$2:$NE$60,MATCH(1,(GMWQ!$NE$2:$NE$60=O$3)*(GMWQ!$ND$2:$ND$60=O$4),0),$B14-1966)</f>
        <v>1E-3</v>
      </c>
      <c r="P14" s="18" cm="1">
        <f t="array" ref="P14">INDEX(GMWQ!$A$2:$NE$60,MATCH(1,(GMWQ!$NE$2:$NE$60=P$3)*(GMWQ!$ND$2:$ND$60=P$4),0),$B14-1966)</f>
        <v>17537.97</v>
      </c>
      <c r="Q14" s="18" cm="1">
        <f t="array" ref="Q14">INDEX(GMWQ!$A$2:$NE$60,MATCH(1,(GMWQ!$NE$2:$NE$60=Q$3)*(GMWQ!$ND$2:$ND$60=Q$4),0),$B14-1966)</f>
        <v>104.52500000000001</v>
      </c>
      <c r="R14" s="18" cm="1">
        <f t="array" ref="R14">INDEX(GMWQ!$A$2:$NE$60,MATCH(1,(GMWQ!$NE$2:$NE$60=R$3)*(GMWQ!$ND$2:$ND$60=R$4),0),$B14-1966)</f>
        <v>7397.2730000000001</v>
      </c>
      <c r="S14" s="18" cm="1">
        <f t="array" ref="S14">INDEX(GMWQ!$A$2:$NE$60,MATCH(1,(GMWQ!$NE$2:$NE$60=S$3)*(GMWQ!$ND$2:$ND$60=S$4),0),$B14-1966)</f>
        <v>32.611609999999999</v>
      </c>
      <c r="T14" s="18" cm="1">
        <f t="array" ref="T14">INDEX(GMWQ!$A$2:$NE$60,MATCH(1,(GMWQ!$NE$2:$NE$60=T$3)*(GMWQ!$ND$2:$ND$60=T$4),0),$B14-1966)</f>
        <v>23.645</v>
      </c>
      <c r="U14" s="18" cm="1">
        <f t="array" ref="U14">INDEX(GMWQ!$A$2:$NE$60,MATCH(1,(GMWQ!$NE$2:$NE$60=U$3)*(GMWQ!$ND$2:$ND$60=U$4),0),$B14-1966)</f>
        <v>25.438330000000001</v>
      </c>
      <c r="V14" s="18" cm="1">
        <f t="array" ref="V14">INDEX(GMWQ!$A$2:$NE$60,MATCH(1,(GMWQ!$NE$2:$NE$60=V$3)*(GMWQ!$ND$2:$ND$60=V$4),0),$B14-1966)</f>
        <v>17004.25</v>
      </c>
      <c r="W14" s="18" cm="1">
        <f t="array" ref="W14">INDEX(GMWQ!$A$2:$NF$60,MATCH(1,(GMWQ!$NE$2:$NE$60=W$3)*(GMWQ!$NF$2:$NF$60=W$1),0),$B14-1966)</f>
        <v>15424.34</v>
      </c>
      <c r="X14" s="18" cm="1">
        <f t="array" ref="X14">INDEX(GMWQ!$A$2:$NF$60,MATCH(1,(GMWQ!$NE$2:$NE$60=X$3)*(GMWQ!$NF$2:$NF$60=X$1),0),$B14-1966)</f>
        <v>16525.66</v>
      </c>
      <c r="Y14" s="18" cm="1">
        <f t="array" ref="Y14">INDEX(GMWQ!$A$2:$NF$60,MATCH(1,(GMWQ!$NE$2:$NE$60=Y$3)*(GMWQ!$NF$2:$NF$60=Y$1),0),$B14-1966)</f>
        <v>17237.66</v>
      </c>
      <c r="Z14" s="18" cm="1">
        <f t="array" ref="Z14">INDEX(GMWQ!$A$2:$NF$60,MATCH(1,(GMWQ!$NE$2:$NE$60=Z$3)*(GMWQ!$NF$2:$NF$60=Z$1),0),$B14-1966)</f>
        <v>16143.75</v>
      </c>
    </row>
    <row r="15" spans="1:26" x14ac:dyDescent="0.25">
      <c r="A15" s="18">
        <v>1975</v>
      </c>
      <c r="B15" s="18">
        <f t="shared" si="1"/>
        <v>1981</v>
      </c>
      <c r="C15" s="18" cm="1">
        <f t="array" ref="C15">INDEX(GMWQ!$A$2:$NE$60,MATCH(1,(GMWQ!$NE$2:$NE$60=C$3)*(GMWQ!$ND$2:$ND$60=C$4),0),$B15-1966)</f>
        <v>16895.939999999999</v>
      </c>
      <c r="D15" s="18" cm="1">
        <f t="array" ref="D15">INDEX(GMWQ!$A$2:$NE$60,MATCH(1,(GMWQ!$NE$2:$NE$60=D$3)*(GMWQ!$ND$2:$ND$60=D$4),0),$B15-1966)</f>
        <v>4199</v>
      </c>
      <c r="E15" s="18" cm="1">
        <f t="array" ref="E15">INDEX(GMWQ!$A$2:$NE$60,MATCH(1,(GMWQ!$NE$2:$NE$60=E$3)*(GMWQ!$ND$2:$ND$60=E$4),0),$B15-1966)</f>
        <v>91.11591</v>
      </c>
      <c r="F15" s="18" cm="1">
        <f t="array" ref="F15">INDEX(GMWQ!$A$2:$NE$60,MATCH(1,(GMWQ!$NE$2:$NE$60=F$3)*(GMWQ!$ND$2:$ND$60=F$4),0),$B15-1966)</f>
        <v>212.56780000000001</v>
      </c>
      <c r="G15" s="18" cm="1">
        <f t="array" ref="G15">INDEX(GMWQ!$A$2:$NE$60,MATCH(1,(GMWQ!$NE$2:$NE$60=G$3)*(GMWQ!$ND$2:$ND$60=G$4),0),$B15-1966)</f>
        <v>26814</v>
      </c>
      <c r="H15" s="18" cm="1">
        <f t="array" ref="H15">INDEX(GMWQ!$A$2:$NE$60,MATCH(1,(GMWQ!$NE$2:$NE$60=H$3)*(GMWQ!$ND$2:$ND$60=H$4),0),$B15-1966)</f>
        <v>42893</v>
      </c>
      <c r="I15" s="18" cm="1">
        <f t="array" ref="I15">INDEX(GMWQ!$A$2:$NE$60,MATCH(1,(GMWQ!$NE$2:$NE$60=I$3)*(GMWQ!$ND$2:$ND$60=I$4),0),$B15-1966)</f>
        <v>7060.4989999999998</v>
      </c>
      <c r="J15" s="18" cm="1">
        <f t="array" ref="J15">INDEX(GMWQ!$A$2:$NE$60,MATCH(1,(GMWQ!$NE$2:$NE$60=J$3)*(GMWQ!$ND$2:$ND$60=J$4),0),$B15-1966)</f>
        <v>13062.66</v>
      </c>
      <c r="K15" s="18" cm="1">
        <f t="array" ref="K15">INDEX(GMWQ!$A$2:$NE$60,MATCH(1,(GMWQ!$NE$2:$NE$60=K$3)*(GMWQ!$ND$2:$ND$60=K$4),0),$B15-1966)</f>
        <v>1134524</v>
      </c>
      <c r="L15" s="18" cm="1">
        <f t="array" ref="L15">INDEX(GMWQ!$A$2:$NE$60,MATCH(1,(GMWQ!$NE$2:$NE$60=L$3)*(GMWQ!$ND$2:$ND$60=L$4),0),$B15-1966)</f>
        <v>24996</v>
      </c>
      <c r="M15" s="18" cm="1">
        <f t="array" ref="M15">INDEX(GMWQ!$A$2:$NE$60,MATCH(1,(GMWQ!$NE$2:$NE$60=M$3)*(GMWQ!$ND$2:$ND$60=M$4),0),$B15-1966)</f>
        <v>1E-3</v>
      </c>
      <c r="N15" s="18" cm="1">
        <f t="array" ref="N15">INDEX(GMWQ!$A$2:$NE$60,MATCH(1,(GMWQ!$NE$2:$NE$60=N$3)*(GMWQ!$ND$2:$ND$60=N$4),0),$B15-1966)</f>
        <v>12.40734</v>
      </c>
      <c r="O15" s="18" cm="1">
        <f t="array" ref="O15">INDEX(GMWQ!$A$2:$NE$60,MATCH(1,(GMWQ!$NE$2:$NE$60=O$3)*(GMWQ!$ND$2:$ND$60=O$4),0),$B15-1966)</f>
        <v>1E-3</v>
      </c>
      <c r="P15" s="18" cm="1">
        <f t="array" ref="P15">INDEX(GMWQ!$A$2:$NE$60,MATCH(1,(GMWQ!$NE$2:$NE$60=P$3)*(GMWQ!$ND$2:$ND$60=P$4),0),$B15-1966)</f>
        <v>18056</v>
      </c>
      <c r="Q15" s="18" cm="1">
        <f t="array" ref="Q15">INDEX(GMWQ!$A$2:$NE$60,MATCH(1,(GMWQ!$NE$2:$NE$60=Q$3)*(GMWQ!$ND$2:$ND$60=Q$4),0),$B15-1966)</f>
        <v>98.55</v>
      </c>
      <c r="R15" s="18" cm="1">
        <f t="array" ref="R15">INDEX(GMWQ!$A$2:$NE$60,MATCH(1,(GMWQ!$NE$2:$NE$60=R$3)*(GMWQ!$ND$2:$ND$60=R$4),0),$B15-1966)</f>
        <v>7307.3609999999999</v>
      </c>
      <c r="S15" s="18" cm="1">
        <f t="array" ref="S15">INDEX(GMWQ!$A$2:$NE$60,MATCH(1,(GMWQ!$NE$2:$NE$60=S$3)*(GMWQ!$ND$2:$ND$60=S$4),0),$B15-1966)</f>
        <v>34.379559999999998</v>
      </c>
      <c r="T15" s="18" cm="1">
        <f t="array" ref="T15">INDEX(GMWQ!$A$2:$NE$60,MATCH(1,(GMWQ!$NE$2:$NE$60=T$3)*(GMWQ!$ND$2:$ND$60=T$4),0),$B15-1966)</f>
        <v>22.91</v>
      </c>
      <c r="U15" s="18" cm="1">
        <f t="array" ref="U15">INDEX(GMWQ!$A$2:$NE$60,MATCH(1,(GMWQ!$NE$2:$NE$60=U$3)*(GMWQ!$ND$2:$ND$60=U$4),0),$B15-1966)</f>
        <v>24.221959999999999</v>
      </c>
      <c r="V15" s="18" cm="1">
        <f t="array" ref="V15">INDEX(GMWQ!$A$2:$NE$60,MATCH(1,(GMWQ!$NE$2:$NE$60=V$3)*(GMWQ!$ND$2:$ND$60=V$4),0),$B15-1966)</f>
        <v>17623.75</v>
      </c>
      <c r="W15" s="18" cm="1">
        <f t="array" ref="W15">INDEX(GMWQ!$A$2:$NF$60,MATCH(1,(GMWQ!$NE$2:$NE$60=W$3)*(GMWQ!$NF$2:$NF$60=W$1),0),$B15-1966)</f>
        <v>14893.89</v>
      </c>
      <c r="X15" s="18" cm="1">
        <f t="array" ref="X15">INDEX(GMWQ!$A$2:$NF$60,MATCH(1,(GMWQ!$NE$2:$NE$60=X$3)*(GMWQ!$NF$2:$NF$60=X$1),0),$B15-1966)</f>
        <v>15957.33</v>
      </c>
      <c r="Y15" s="18" cm="1">
        <f t="array" ref="Y15">INDEX(GMWQ!$A$2:$NF$60,MATCH(1,(GMWQ!$NE$2:$NE$60=Y$3)*(GMWQ!$NF$2:$NF$60=Y$1),0),$B15-1966)</f>
        <v>16644.849999999999</v>
      </c>
      <c r="Z15" s="18" cm="1">
        <f t="array" ref="Z15">INDEX(GMWQ!$A$2:$NF$60,MATCH(1,(GMWQ!$NE$2:$NE$60=Z$3)*(GMWQ!$NF$2:$NF$60=Z$1),0),$B15-1966)</f>
        <v>15588.55</v>
      </c>
    </row>
    <row r="16" spans="1:26" x14ac:dyDescent="0.25">
      <c r="B16" s="18">
        <f t="shared" si="1"/>
        <v>1982</v>
      </c>
      <c r="C16" s="18" cm="1">
        <f t="array" ref="C16">INDEX(GMWQ!$A$2:$NE$60,MATCH(1,(GMWQ!$NE$2:$NE$60=C$3)*(GMWQ!$ND$2:$ND$60=C$4),0),$B16-1966)</f>
        <v>16410.02</v>
      </c>
      <c r="D16" s="18" cm="1">
        <f t="array" ref="D16">INDEX(GMWQ!$A$2:$NE$60,MATCH(1,(GMWQ!$NE$2:$NE$60=D$3)*(GMWQ!$ND$2:$ND$60=D$4),0),$B16-1966)</f>
        <v>4286</v>
      </c>
      <c r="E16" s="18" cm="1">
        <f t="array" ref="E16">INDEX(GMWQ!$A$2:$NE$60,MATCH(1,(GMWQ!$NE$2:$NE$60=E$3)*(GMWQ!$ND$2:$ND$60=E$4),0),$B16-1966)</f>
        <v>38.772730000000003</v>
      </c>
      <c r="F16" s="18" cm="1">
        <f t="array" ref="F16">INDEX(GMWQ!$A$2:$NE$60,MATCH(1,(GMWQ!$NE$2:$NE$60=F$3)*(GMWQ!$ND$2:$ND$60=F$4),0),$B16-1966)</f>
        <v>760.34</v>
      </c>
      <c r="G16" s="18" cm="1">
        <f t="array" ref="G16">INDEX(GMWQ!$A$2:$NE$60,MATCH(1,(GMWQ!$NE$2:$NE$60=G$3)*(GMWQ!$ND$2:$ND$60=G$4),0),$B16-1966)</f>
        <v>28129</v>
      </c>
      <c r="H16" s="18" cm="1">
        <f t="array" ref="H16">INDEX(GMWQ!$A$2:$NE$60,MATCH(1,(GMWQ!$NE$2:$NE$60=H$3)*(GMWQ!$ND$2:$ND$60=H$4),0),$B16-1966)</f>
        <v>42698</v>
      </c>
      <c r="I16" s="18" cm="1">
        <f t="array" ref="I16">INDEX(GMWQ!$A$2:$NE$60,MATCH(1,(GMWQ!$NE$2:$NE$60=I$3)*(GMWQ!$ND$2:$ND$60=I$4),0),$B16-1966)</f>
        <v>7464.9390000000003</v>
      </c>
      <c r="J16" s="18" cm="1">
        <f t="array" ref="J16">INDEX(GMWQ!$A$2:$NE$60,MATCH(1,(GMWQ!$NE$2:$NE$60=J$3)*(GMWQ!$ND$2:$ND$60=J$4),0),$B16-1966)</f>
        <v>14088.71</v>
      </c>
      <c r="K16" s="18" cm="1">
        <f t="array" ref="K16">INDEX(GMWQ!$A$2:$NE$60,MATCH(1,(GMWQ!$NE$2:$NE$60=K$3)*(GMWQ!$ND$2:$ND$60=K$4),0),$B16-1966)</f>
        <v>1141867</v>
      </c>
      <c r="L16" s="18" cm="1">
        <f t="array" ref="L16">INDEX(GMWQ!$A$2:$NE$60,MATCH(1,(GMWQ!$NE$2:$NE$60=L$3)*(GMWQ!$ND$2:$ND$60=L$4),0),$B16-1966)</f>
        <v>24955</v>
      </c>
      <c r="M16" s="18" cm="1">
        <f t="array" ref="M16">INDEX(GMWQ!$A$2:$NE$60,MATCH(1,(GMWQ!$NE$2:$NE$60=M$3)*(GMWQ!$ND$2:$ND$60=M$4),0),$B16-1966)</f>
        <v>1E-3</v>
      </c>
      <c r="N16" s="18" cm="1">
        <f t="array" ref="N16">INDEX(GMWQ!$A$2:$NE$60,MATCH(1,(GMWQ!$NE$2:$NE$60=N$3)*(GMWQ!$ND$2:$ND$60=N$4),0),$B16-1966)</f>
        <v>9.3632639999999991</v>
      </c>
      <c r="O16" s="18" cm="1">
        <f t="array" ref="O16">INDEX(GMWQ!$A$2:$NE$60,MATCH(1,(GMWQ!$NE$2:$NE$60=O$3)*(GMWQ!$ND$2:$ND$60=O$4),0),$B16-1966)</f>
        <v>1E-3</v>
      </c>
      <c r="P16" s="18" cm="1">
        <f t="array" ref="P16">INDEX(GMWQ!$A$2:$NE$60,MATCH(1,(GMWQ!$NE$2:$NE$60=P$3)*(GMWQ!$ND$2:$ND$60=P$4),0),$B16-1966)</f>
        <v>15858.36</v>
      </c>
      <c r="Q16" s="18" cm="1">
        <f t="array" ref="Q16">INDEX(GMWQ!$A$2:$NE$60,MATCH(1,(GMWQ!$NE$2:$NE$60=Q$3)*(GMWQ!$ND$2:$ND$60=Q$4),0),$B16-1966)</f>
        <v>96.2</v>
      </c>
      <c r="R16" s="18" cm="1">
        <f t="array" ref="R16">INDEX(GMWQ!$A$2:$NE$60,MATCH(1,(GMWQ!$NE$2:$NE$60=R$3)*(GMWQ!$ND$2:$ND$60=R$4),0),$B16-1966)</f>
        <v>7279.2960000000003</v>
      </c>
      <c r="S16" s="18" cm="1">
        <f t="array" ref="S16">INDEX(GMWQ!$A$2:$NE$60,MATCH(1,(GMWQ!$NE$2:$NE$60=S$3)*(GMWQ!$ND$2:$ND$60=S$4),0),$B16-1966)</f>
        <v>31.640360000000001</v>
      </c>
      <c r="T16" s="18" cm="1">
        <f t="array" ref="T16">INDEX(GMWQ!$A$2:$NE$60,MATCH(1,(GMWQ!$NE$2:$NE$60=T$3)*(GMWQ!$ND$2:$ND$60=T$4),0),$B16-1966)</f>
        <v>22.872</v>
      </c>
      <c r="U16" s="18" cm="1">
        <f t="array" ref="U16">INDEX(GMWQ!$A$2:$NE$60,MATCH(1,(GMWQ!$NE$2:$NE$60=U$3)*(GMWQ!$ND$2:$ND$60=U$4),0),$B16-1966)</f>
        <v>23.686440000000001</v>
      </c>
      <c r="V16" s="18" cm="1">
        <f t="array" ref="V16">INDEX(GMWQ!$A$2:$NE$60,MATCH(1,(GMWQ!$NE$2:$NE$60=V$3)*(GMWQ!$ND$2:$ND$60=V$4),0),$B16-1966)</f>
        <v>18298</v>
      </c>
      <c r="W16" s="18" cm="1">
        <f t="array" ref="W16">INDEX(GMWQ!$A$2:$NF$60,MATCH(1,(GMWQ!$NE$2:$NE$60=W$3)*(GMWQ!$NF$2:$NF$60=W$1),0),$B16-1966)</f>
        <v>14465.55</v>
      </c>
      <c r="X16" s="18" cm="1">
        <f t="array" ref="X16">INDEX(GMWQ!$A$2:$NF$60,MATCH(1,(GMWQ!$NE$2:$NE$60=X$3)*(GMWQ!$NF$2:$NF$60=X$1),0),$B16-1966)</f>
        <v>15498.41</v>
      </c>
      <c r="Y16" s="18" cm="1">
        <f t="array" ref="Y16">INDEX(GMWQ!$A$2:$NF$60,MATCH(1,(GMWQ!$NE$2:$NE$60=Y$3)*(GMWQ!$NF$2:$NF$60=Y$1),0),$B16-1966)</f>
        <v>16166.16</v>
      </c>
      <c r="Z16" s="18" cm="1">
        <f t="array" ref="Z16">INDEX(GMWQ!$A$2:$NF$60,MATCH(1,(GMWQ!$NE$2:$NE$60=Z$3)*(GMWQ!$NF$2:$NF$60=Z$1),0),$B16-1966)</f>
        <v>15140.24</v>
      </c>
    </row>
    <row r="17" spans="1:26" x14ac:dyDescent="0.25">
      <c r="B17" s="18">
        <f t="shared" si="1"/>
        <v>1983</v>
      </c>
      <c r="C17" s="18" cm="1">
        <f t="array" ref="C17">INDEX(GMWQ!$A$2:$NE$60,MATCH(1,(GMWQ!$NE$2:$NE$60=C$3)*(GMWQ!$ND$2:$ND$60=C$4),0),$B17-1966)</f>
        <v>17291.75</v>
      </c>
      <c r="D17" s="18" cm="1">
        <f t="array" ref="D17">INDEX(GMWQ!$A$2:$NE$60,MATCH(1,(GMWQ!$NE$2:$NE$60=D$3)*(GMWQ!$ND$2:$ND$60=D$4),0),$B17-1966)</f>
        <v>4257</v>
      </c>
      <c r="E17" s="18" cm="1">
        <f t="array" ref="E17">INDEX(GMWQ!$A$2:$NE$60,MATCH(1,(GMWQ!$NE$2:$NE$60=E$3)*(GMWQ!$ND$2:$ND$60=E$4),0),$B17-1966)</f>
        <v>-174.47730000000001</v>
      </c>
      <c r="F17" s="18" cm="1">
        <f t="array" ref="F17">INDEX(GMWQ!$A$2:$NE$60,MATCH(1,(GMWQ!$NE$2:$NE$60=F$3)*(GMWQ!$ND$2:$ND$60=F$4),0),$B17-1966)</f>
        <v>1490.1289999999999</v>
      </c>
      <c r="G17" s="18" cm="1">
        <f t="array" ref="G17">INDEX(GMWQ!$A$2:$NE$60,MATCH(1,(GMWQ!$NE$2:$NE$60=G$3)*(GMWQ!$ND$2:$ND$60=G$4),0),$B17-1966)</f>
        <v>29260</v>
      </c>
      <c r="H17" s="18" cm="1">
        <f t="array" ref="H17">INDEX(GMWQ!$A$2:$NE$60,MATCH(1,(GMWQ!$NE$2:$NE$60=H$3)*(GMWQ!$ND$2:$ND$60=H$4),0),$B17-1966)</f>
        <v>42064</v>
      </c>
      <c r="I17" s="18" cm="1">
        <f t="array" ref="I17">INDEX(GMWQ!$A$2:$NE$60,MATCH(1,(GMWQ!$NE$2:$NE$60=I$3)*(GMWQ!$ND$2:$ND$60=I$4),0),$B17-1966)</f>
        <v>6696.9319999999998</v>
      </c>
      <c r="J17" s="18" cm="1">
        <f t="array" ref="J17">INDEX(GMWQ!$A$2:$NE$60,MATCH(1,(GMWQ!$NE$2:$NE$60=J$3)*(GMWQ!$ND$2:$ND$60=J$4),0),$B17-1966)</f>
        <v>11615.07</v>
      </c>
      <c r="K17" s="18" cm="1">
        <f t="array" ref="K17">INDEX(GMWQ!$A$2:$NE$60,MATCH(1,(GMWQ!$NE$2:$NE$60=K$3)*(GMWQ!$ND$2:$ND$60=K$4),0),$B17-1966)</f>
        <v>1149211</v>
      </c>
      <c r="L17" s="18" cm="1">
        <f t="array" ref="L17">INDEX(GMWQ!$A$2:$NE$60,MATCH(1,(GMWQ!$NE$2:$NE$60=L$3)*(GMWQ!$ND$2:$ND$60=L$4),0),$B17-1966)</f>
        <v>24918</v>
      </c>
      <c r="M17" s="18" cm="1">
        <f t="array" ref="M17">INDEX(GMWQ!$A$2:$NE$60,MATCH(1,(GMWQ!$NE$2:$NE$60=M$3)*(GMWQ!$ND$2:$ND$60=M$4),0),$B17-1966)</f>
        <v>1E-3</v>
      </c>
      <c r="N17" s="18" cm="1">
        <f t="array" ref="N17">INDEX(GMWQ!$A$2:$NE$60,MATCH(1,(GMWQ!$NE$2:$NE$60=N$3)*(GMWQ!$ND$2:$ND$60=N$4),0),$B17-1966)</f>
        <v>9.7154430000000005</v>
      </c>
      <c r="O17" s="18" cm="1">
        <f t="array" ref="O17">INDEX(GMWQ!$A$2:$NE$60,MATCH(1,(GMWQ!$NE$2:$NE$60=O$3)*(GMWQ!$ND$2:$ND$60=O$4),0),$B17-1966)</f>
        <v>1E-3</v>
      </c>
      <c r="P17" s="18" cm="1">
        <f t="array" ref="P17">INDEX(GMWQ!$A$2:$NE$60,MATCH(1,(GMWQ!$NE$2:$NE$60=P$3)*(GMWQ!$ND$2:$ND$60=P$4),0),$B17-1966)</f>
        <v>15479.87</v>
      </c>
      <c r="Q17" s="18" cm="1">
        <f t="array" ref="Q17">INDEX(GMWQ!$A$2:$NE$60,MATCH(1,(GMWQ!$NE$2:$NE$60=Q$3)*(GMWQ!$ND$2:$ND$60=Q$4),0),$B17-1966)</f>
        <v>97.224999999999994</v>
      </c>
      <c r="R17" s="18" cm="1">
        <f t="array" ref="R17">INDEX(GMWQ!$A$2:$NE$60,MATCH(1,(GMWQ!$NE$2:$NE$60=R$3)*(GMWQ!$ND$2:$ND$60=R$4),0),$B17-1966)</f>
        <v>7263.1210000000001</v>
      </c>
      <c r="S17" s="18" cm="1">
        <f t="array" ref="S17">INDEX(GMWQ!$A$2:$NE$60,MATCH(1,(GMWQ!$NE$2:$NE$60=S$3)*(GMWQ!$ND$2:$ND$60=S$4),0),$B17-1966)</f>
        <v>33.127319999999997</v>
      </c>
      <c r="T17" s="18" cm="1">
        <f t="array" ref="T17">INDEX(GMWQ!$A$2:$NE$60,MATCH(1,(GMWQ!$NE$2:$NE$60=T$3)*(GMWQ!$ND$2:$ND$60=T$4),0),$B17-1966)</f>
        <v>22.123999999999999</v>
      </c>
      <c r="U17" s="18" cm="1">
        <f t="array" ref="U17">INDEX(GMWQ!$A$2:$NE$60,MATCH(1,(GMWQ!$NE$2:$NE$60=U$3)*(GMWQ!$ND$2:$ND$60=U$4),0),$B17-1966)</f>
        <v>23.870979999999999</v>
      </c>
      <c r="V17" s="18" cm="1">
        <f t="array" ref="V17">INDEX(GMWQ!$A$2:$NE$60,MATCH(1,(GMWQ!$NE$2:$NE$60=V$3)*(GMWQ!$ND$2:$ND$60=V$4),0),$B17-1966)</f>
        <v>18780.5</v>
      </c>
      <c r="W17" s="18" cm="1">
        <f t="array" ref="W17">INDEX(GMWQ!$A$2:$NF$60,MATCH(1,(GMWQ!$NE$2:$NE$60=W$3)*(GMWQ!$NF$2:$NF$60=W$1),0),$B17-1966)</f>
        <v>15242.8</v>
      </c>
      <c r="X17" s="18" cm="1">
        <f t="array" ref="X17">INDEX(GMWQ!$A$2:$NF$60,MATCH(1,(GMWQ!$NE$2:$NE$60=X$3)*(GMWQ!$NF$2:$NF$60=X$1),0),$B17-1966)</f>
        <v>16331.15</v>
      </c>
      <c r="Y17" s="18" cm="1">
        <f t="array" ref="Y17">INDEX(GMWQ!$A$2:$NF$60,MATCH(1,(GMWQ!$NE$2:$NE$60=Y$3)*(GMWQ!$NF$2:$NF$60=Y$1),0),$B17-1966)</f>
        <v>17034.78</v>
      </c>
      <c r="Z17" s="18" cm="1">
        <f t="array" ref="Z17">INDEX(GMWQ!$A$2:$NF$60,MATCH(1,(GMWQ!$NE$2:$NE$60=Z$3)*(GMWQ!$NF$2:$NF$60=Z$1),0),$B17-1966)</f>
        <v>15953.74</v>
      </c>
    </row>
    <row r="18" spans="1:26" x14ac:dyDescent="0.25">
      <c r="B18" s="18">
        <f t="shared" si="1"/>
        <v>1984</v>
      </c>
      <c r="C18" s="18" cm="1">
        <f t="array" ref="C18">INDEX(GMWQ!$A$2:$NE$60,MATCH(1,(GMWQ!$NE$2:$NE$60=C$3)*(GMWQ!$ND$2:$ND$60=C$4),0),$B18-1966)</f>
        <v>16514.61</v>
      </c>
      <c r="D18" s="18" cm="1">
        <f t="array" ref="D18">INDEX(GMWQ!$A$2:$NE$60,MATCH(1,(GMWQ!$NE$2:$NE$60=D$3)*(GMWQ!$ND$2:$ND$60=D$4),0),$B18-1966)</f>
        <v>4955</v>
      </c>
      <c r="E18" s="18" cm="1">
        <f t="array" ref="E18">INDEX(GMWQ!$A$2:$NE$60,MATCH(1,(GMWQ!$NE$2:$NE$60=E$3)*(GMWQ!$ND$2:$ND$60=E$4),0),$B18-1966)</f>
        <v>488.53640000000001</v>
      </c>
      <c r="F18" s="18" cm="1">
        <f t="array" ref="F18">INDEX(GMWQ!$A$2:$NE$60,MATCH(1,(GMWQ!$NE$2:$NE$60=F$3)*(GMWQ!$ND$2:$ND$60=F$4),0),$B18-1966)</f>
        <v>1302.979</v>
      </c>
      <c r="G18" s="18" cm="1">
        <f t="array" ref="G18">INDEX(GMWQ!$A$2:$NE$60,MATCH(1,(GMWQ!$NE$2:$NE$60=G$3)*(GMWQ!$ND$2:$ND$60=G$4),0),$B18-1966)</f>
        <v>30890</v>
      </c>
      <c r="H18" s="18" cm="1">
        <f t="array" ref="H18">INDEX(GMWQ!$A$2:$NE$60,MATCH(1,(GMWQ!$NE$2:$NE$60=H$3)*(GMWQ!$ND$2:$ND$60=H$4),0),$B18-1966)</f>
        <v>40849</v>
      </c>
      <c r="I18" s="18" cm="1">
        <f t="array" ref="I18">INDEX(GMWQ!$A$2:$NE$60,MATCH(1,(GMWQ!$NE$2:$NE$60=I$3)*(GMWQ!$ND$2:$ND$60=I$4),0),$B18-1966)</f>
        <v>7221.8440000000001</v>
      </c>
      <c r="J18" s="18" cm="1">
        <f t="array" ref="J18">INDEX(GMWQ!$A$2:$NE$60,MATCH(1,(GMWQ!$NE$2:$NE$60=J$3)*(GMWQ!$ND$2:$ND$60=J$4),0),$B18-1966)</f>
        <v>10909.89</v>
      </c>
      <c r="K18" s="18" cm="1">
        <f t="array" ref="K18">INDEX(GMWQ!$A$2:$NE$60,MATCH(1,(GMWQ!$NE$2:$NE$60=K$3)*(GMWQ!$ND$2:$ND$60=K$4),0),$B18-1966)</f>
        <v>1156554</v>
      </c>
      <c r="L18" s="18" cm="1">
        <f t="array" ref="L18">INDEX(GMWQ!$A$2:$NE$60,MATCH(1,(GMWQ!$NE$2:$NE$60=L$3)*(GMWQ!$ND$2:$ND$60=L$4),0),$B18-1966)</f>
        <v>24864</v>
      </c>
      <c r="M18" s="18" cm="1">
        <f t="array" ref="M18">INDEX(GMWQ!$A$2:$NE$60,MATCH(1,(GMWQ!$NE$2:$NE$60=M$3)*(GMWQ!$ND$2:$ND$60=M$4),0),$B18-1966)</f>
        <v>1E-3</v>
      </c>
      <c r="N18" s="18" cm="1">
        <f t="array" ref="N18">INDEX(GMWQ!$A$2:$NE$60,MATCH(1,(GMWQ!$NE$2:$NE$60=N$3)*(GMWQ!$ND$2:$ND$60=N$4),0),$B18-1966)</f>
        <v>9.1201939999999997</v>
      </c>
      <c r="O18" s="18" cm="1">
        <f t="array" ref="O18">INDEX(GMWQ!$A$2:$NE$60,MATCH(1,(GMWQ!$NE$2:$NE$60=O$3)*(GMWQ!$ND$2:$ND$60=O$4),0),$B18-1966)</f>
        <v>1E-3</v>
      </c>
      <c r="P18" s="18" cm="1">
        <f t="array" ref="P18">INDEX(GMWQ!$A$2:$NE$60,MATCH(1,(GMWQ!$NE$2:$NE$60=P$3)*(GMWQ!$ND$2:$ND$60=P$4),0),$B18-1966)</f>
        <v>15496.94</v>
      </c>
      <c r="Q18" s="18" cm="1">
        <f t="array" ref="Q18">INDEX(GMWQ!$A$2:$NE$60,MATCH(1,(GMWQ!$NE$2:$NE$60=Q$3)*(GMWQ!$ND$2:$ND$60=Q$4),0),$B18-1966)</f>
        <v>98.375</v>
      </c>
      <c r="R18" s="18" cm="1">
        <f t="array" ref="R18">INDEX(GMWQ!$A$2:$NE$60,MATCH(1,(GMWQ!$NE$2:$NE$60=R$3)*(GMWQ!$ND$2:$ND$60=R$4),0),$B18-1966)</f>
        <v>7170.4610000000002</v>
      </c>
      <c r="S18" s="18" cm="1">
        <f t="array" ref="S18">INDEX(GMWQ!$A$2:$NE$60,MATCH(1,(GMWQ!$NE$2:$NE$60=S$3)*(GMWQ!$ND$2:$ND$60=S$4),0),$B18-1966)</f>
        <v>34.987299999999998</v>
      </c>
      <c r="T18" s="18" cm="1">
        <f t="array" ref="T18">INDEX(GMWQ!$A$2:$NE$60,MATCH(1,(GMWQ!$NE$2:$NE$60=T$3)*(GMWQ!$ND$2:$ND$60=T$4),0),$B18-1966)</f>
        <v>23.196999999999999</v>
      </c>
      <c r="U18" s="18" cm="1">
        <f t="array" ref="U18">INDEX(GMWQ!$A$2:$NE$60,MATCH(1,(GMWQ!$NE$2:$NE$60=U$3)*(GMWQ!$ND$2:$ND$60=U$4),0),$B18-1966)</f>
        <v>23.928080000000001</v>
      </c>
      <c r="V18" s="18" cm="1">
        <f t="array" ref="V18">INDEX(GMWQ!$A$2:$NE$60,MATCH(1,(GMWQ!$NE$2:$NE$60=V$3)*(GMWQ!$ND$2:$ND$60=V$4),0),$B18-1966)</f>
        <v>19265.75</v>
      </c>
      <c r="W18" s="18" cm="1">
        <f t="array" ref="W18">INDEX(GMWQ!$A$2:$NF$60,MATCH(1,(GMWQ!$NE$2:$NE$60=W$3)*(GMWQ!$NF$2:$NF$60=W$1),0),$B18-1966)</f>
        <v>14557.74</v>
      </c>
      <c r="X18" s="18" cm="1">
        <f t="array" ref="X18">INDEX(GMWQ!$A$2:$NF$60,MATCH(1,(GMWQ!$NE$2:$NE$60=X$3)*(GMWQ!$NF$2:$NF$60=X$1),0),$B18-1966)</f>
        <v>15597.18</v>
      </c>
      <c r="Y18" s="18" cm="1">
        <f t="array" ref="Y18">INDEX(GMWQ!$A$2:$NF$60,MATCH(1,(GMWQ!$NE$2:$NE$60=Y$3)*(GMWQ!$NF$2:$NF$60=Y$1),0),$B18-1966)</f>
        <v>16269.19</v>
      </c>
      <c r="Z18" s="18" cm="1">
        <f t="array" ref="Z18">INDEX(GMWQ!$A$2:$NF$60,MATCH(1,(GMWQ!$NE$2:$NE$60=Z$3)*(GMWQ!$NF$2:$NF$60=Z$1),0),$B18-1966)</f>
        <v>15236.73</v>
      </c>
    </row>
    <row r="19" spans="1:26" x14ac:dyDescent="0.25">
      <c r="A19" s="18">
        <v>1976</v>
      </c>
      <c r="B19" s="18">
        <f t="shared" si="1"/>
        <v>1985</v>
      </c>
      <c r="C19" s="18" cm="1">
        <f t="array" ref="C19">INDEX(GMWQ!$A$2:$NE$60,MATCH(1,(GMWQ!$NE$2:$NE$60=C$3)*(GMWQ!$ND$2:$ND$60=C$4),0),$B19-1966)</f>
        <v>16797.79</v>
      </c>
      <c r="D19" s="18" cm="1">
        <f t="array" ref="D19">INDEX(GMWQ!$A$2:$NE$60,MATCH(1,(GMWQ!$NE$2:$NE$60=D$3)*(GMWQ!$ND$2:$ND$60=D$4),0),$B19-1966)</f>
        <v>5071</v>
      </c>
      <c r="E19" s="18" cm="1">
        <f t="array" ref="E19">INDEX(GMWQ!$A$2:$NE$60,MATCH(1,(GMWQ!$NE$2:$NE$60=E$3)*(GMWQ!$ND$2:$ND$60=E$4),0),$B19-1966)</f>
        <v>614.54769999999996</v>
      </c>
      <c r="F19" s="18" cm="1">
        <f t="array" ref="F19">INDEX(GMWQ!$A$2:$NE$60,MATCH(1,(GMWQ!$NE$2:$NE$60=F$3)*(GMWQ!$ND$2:$ND$60=F$4),0),$B19-1966)</f>
        <v>1793.346</v>
      </c>
      <c r="G19" s="18" cm="1">
        <f t="array" ref="G19">INDEX(GMWQ!$A$2:$NE$60,MATCH(1,(GMWQ!$NE$2:$NE$60=G$3)*(GMWQ!$ND$2:$ND$60=G$4),0),$B19-1966)</f>
        <v>32449</v>
      </c>
      <c r="H19" s="18" cm="1">
        <f t="array" ref="H19">INDEX(GMWQ!$A$2:$NE$60,MATCH(1,(GMWQ!$NE$2:$NE$60=H$3)*(GMWQ!$ND$2:$ND$60=H$4),0),$B19-1966)</f>
        <v>42896</v>
      </c>
      <c r="I19" s="18" cm="1">
        <f t="array" ref="I19">INDEX(GMWQ!$A$2:$NE$60,MATCH(1,(GMWQ!$NE$2:$NE$60=I$3)*(GMWQ!$ND$2:$ND$60=I$4),0),$B19-1966)</f>
        <v>7342.3159999999998</v>
      </c>
      <c r="J19" s="18" cm="1">
        <f t="array" ref="J19">INDEX(GMWQ!$A$2:$NE$60,MATCH(1,(GMWQ!$NE$2:$NE$60=J$3)*(GMWQ!$ND$2:$ND$60=J$4),0),$B19-1966)</f>
        <v>13963.07</v>
      </c>
      <c r="K19" s="18" cm="1">
        <f t="array" ref="K19">INDEX(GMWQ!$A$2:$NE$60,MATCH(1,(GMWQ!$NE$2:$NE$60=K$3)*(GMWQ!$ND$2:$ND$60=K$4),0),$B19-1966)</f>
        <v>1163348</v>
      </c>
      <c r="L19" s="18" cm="1">
        <f t="array" ref="L19">INDEX(GMWQ!$A$2:$NE$60,MATCH(1,(GMWQ!$NE$2:$NE$60=L$3)*(GMWQ!$ND$2:$ND$60=L$4),0),$B19-1966)</f>
        <v>24809</v>
      </c>
      <c r="M19" s="18" cm="1">
        <f t="array" ref="M19">INDEX(GMWQ!$A$2:$NE$60,MATCH(1,(GMWQ!$NE$2:$NE$60=M$3)*(GMWQ!$ND$2:$ND$60=M$4),0),$B19-1966)</f>
        <v>1E-3</v>
      </c>
      <c r="N19" s="18" cm="1">
        <f t="array" ref="N19">INDEX(GMWQ!$A$2:$NE$60,MATCH(1,(GMWQ!$NE$2:$NE$60=N$3)*(GMWQ!$ND$2:$ND$60=N$4),0),$B19-1966)</f>
        <v>7.3021149999999997</v>
      </c>
      <c r="O19" s="18" cm="1">
        <f t="array" ref="O19">INDEX(GMWQ!$A$2:$NE$60,MATCH(1,(GMWQ!$NE$2:$NE$60=O$3)*(GMWQ!$ND$2:$ND$60=O$4),0),$B19-1966)</f>
        <v>1E-3</v>
      </c>
      <c r="P19" s="18" cm="1">
        <f t="array" ref="P19">INDEX(GMWQ!$A$2:$NE$60,MATCH(1,(GMWQ!$NE$2:$NE$60=P$3)*(GMWQ!$ND$2:$ND$60=P$4),0),$B19-1966)</f>
        <v>15438.71</v>
      </c>
      <c r="Q19" s="18" cm="1">
        <f t="array" ref="Q19">INDEX(GMWQ!$A$2:$NE$60,MATCH(1,(GMWQ!$NE$2:$NE$60=Q$3)*(GMWQ!$ND$2:$ND$60=Q$4),0),$B19-1966)</f>
        <v>100.47499999999999</v>
      </c>
      <c r="R19" s="18" cm="1">
        <f t="array" ref="R19">INDEX(GMWQ!$A$2:$NE$60,MATCH(1,(GMWQ!$NE$2:$NE$60=R$3)*(GMWQ!$ND$2:$ND$60=R$4),0),$B19-1966)</f>
        <v>7167.9709999999995</v>
      </c>
      <c r="S19" s="18" cm="1">
        <f t="array" ref="S19">INDEX(GMWQ!$A$2:$NE$60,MATCH(1,(GMWQ!$NE$2:$NE$60=S$3)*(GMWQ!$ND$2:$ND$60=S$4),0),$B19-1966)</f>
        <v>36.176079999999999</v>
      </c>
      <c r="T19" s="18" cm="1">
        <f t="array" ref="T19">INDEX(GMWQ!$A$2:$NE$60,MATCH(1,(GMWQ!$NE$2:$NE$60=T$3)*(GMWQ!$ND$2:$ND$60=T$4),0),$B19-1966)</f>
        <v>24.405999999999999</v>
      </c>
      <c r="U19" s="18" cm="1">
        <f t="array" ref="U19">INDEX(GMWQ!$A$2:$NE$60,MATCH(1,(GMWQ!$NE$2:$NE$60=U$3)*(GMWQ!$ND$2:$ND$60=U$4),0),$B19-1966)</f>
        <v>24.49324</v>
      </c>
      <c r="V19" s="18" cm="1">
        <f t="array" ref="V19">INDEX(GMWQ!$A$2:$NE$60,MATCH(1,(GMWQ!$NE$2:$NE$60=V$3)*(GMWQ!$ND$2:$ND$60=V$4),0),$B19-1966)</f>
        <v>18916.5</v>
      </c>
      <c r="W19" s="18" cm="1">
        <f t="array" ref="W19">INDEX(GMWQ!$A$2:$NF$60,MATCH(1,(GMWQ!$NE$2:$NE$60=W$3)*(GMWQ!$NF$2:$NF$60=W$1),0),$B19-1966)</f>
        <v>14807.37</v>
      </c>
      <c r="X19" s="18" cm="1">
        <f t="array" ref="X19">INDEX(GMWQ!$A$2:$NF$60,MATCH(1,(GMWQ!$NE$2:$NE$60=X$3)*(GMWQ!$NF$2:$NF$60=X$1),0),$B19-1966)</f>
        <v>15864.63</v>
      </c>
      <c r="Y19" s="18" cm="1">
        <f t="array" ref="Y19">INDEX(GMWQ!$A$2:$NF$60,MATCH(1,(GMWQ!$NE$2:$NE$60=Y$3)*(GMWQ!$NF$2:$NF$60=Y$1),0),$B19-1966)</f>
        <v>16548.16</v>
      </c>
      <c r="Z19" s="18" cm="1">
        <f t="array" ref="Z19">INDEX(GMWQ!$A$2:$NF$60,MATCH(1,(GMWQ!$NE$2:$NE$60=Z$3)*(GMWQ!$NF$2:$NF$60=Z$1),0),$B19-1966)</f>
        <v>15498</v>
      </c>
    </row>
    <row r="20" spans="1:26" x14ac:dyDescent="0.25">
      <c r="B20" s="18">
        <f t="shared" si="1"/>
        <v>1986</v>
      </c>
      <c r="C20" s="18" cm="1">
        <f t="array" ref="C20">INDEX(GMWQ!$A$2:$NE$60,MATCH(1,(GMWQ!$NE$2:$NE$60=C$3)*(GMWQ!$ND$2:$ND$60=C$4),0),$B20-1966)</f>
        <v>17249.91</v>
      </c>
      <c r="D20" s="18" cm="1">
        <f t="array" ref="D20">INDEX(GMWQ!$A$2:$NE$60,MATCH(1,(GMWQ!$NE$2:$NE$60=D$3)*(GMWQ!$ND$2:$ND$60=D$4),0),$B20-1966)</f>
        <v>5072</v>
      </c>
      <c r="E20" s="18" cm="1">
        <f t="array" ref="E20">INDEX(GMWQ!$A$2:$NE$60,MATCH(1,(GMWQ!$NE$2:$NE$60=E$3)*(GMWQ!$ND$2:$ND$60=E$4),0),$B20-1966)</f>
        <v>-3.8772730000000002</v>
      </c>
      <c r="F20" s="18" cm="1">
        <f t="array" ref="F20">INDEX(GMWQ!$A$2:$NE$60,MATCH(1,(GMWQ!$NE$2:$NE$60=F$3)*(GMWQ!$ND$2:$ND$60=F$4),0),$B20-1966)</f>
        <v>1053.4690000000001</v>
      </c>
      <c r="G20" s="18" cm="1">
        <f t="array" ref="G20">INDEX(GMWQ!$A$2:$NE$60,MATCH(1,(GMWQ!$NE$2:$NE$60=G$3)*(GMWQ!$ND$2:$ND$60=G$4),0),$B20-1966)</f>
        <v>33322</v>
      </c>
      <c r="H20" s="18" cm="1">
        <f t="array" ref="H20">INDEX(GMWQ!$A$2:$NE$60,MATCH(1,(GMWQ!$NE$2:$NE$60=H$3)*(GMWQ!$ND$2:$ND$60=H$4),0),$B20-1966)</f>
        <v>42498</v>
      </c>
      <c r="I20" s="18" cm="1">
        <f t="array" ref="I20">INDEX(GMWQ!$A$2:$NE$60,MATCH(1,(GMWQ!$NE$2:$NE$60=I$3)*(GMWQ!$ND$2:$ND$60=I$4),0),$B20-1966)</f>
        <v>7079.86</v>
      </c>
      <c r="J20" s="18" cm="1">
        <f t="array" ref="J20">INDEX(GMWQ!$A$2:$NE$60,MATCH(1,(GMWQ!$NE$2:$NE$60=J$3)*(GMWQ!$ND$2:$ND$60=J$4),0),$B20-1966)</f>
        <v>12481.79</v>
      </c>
      <c r="K20" s="18" cm="1">
        <f t="array" ref="K20">INDEX(GMWQ!$A$2:$NE$60,MATCH(1,(GMWQ!$NE$2:$NE$60=K$3)*(GMWQ!$ND$2:$ND$60=K$4),0),$B20-1966)</f>
        <v>1170141</v>
      </c>
      <c r="L20" s="18" cm="1">
        <f t="array" ref="L20">INDEX(GMWQ!$A$2:$NE$60,MATCH(1,(GMWQ!$NE$2:$NE$60=L$3)*(GMWQ!$ND$2:$ND$60=L$4),0),$B20-1966)</f>
        <v>24779</v>
      </c>
      <c r="M20" s="18" cm="1">
        <f t="array" ref="M20">INDEX(GMWQ!$A$2:$NE$60,MATCH(1,(GMWQ!$NE$2:$NE$60=M$3)*(GMWQ!$ND$2:$ND$60=M$4),0),$B20-1966)</f>
        <v>1E-3</v>
      </c>
      <c r="N20" s="18" cm="1">
        <f t="array" ref="N20">INDEX(GMWQ!$A$2:$NE$60,MATCH(1,(GMWQ!$NE$2:$NE$60=N$3)*(GMWQ!$ND$2:$ND$60=N$4),0),$B20-1966)</f>
        <v>8.475994</v>
      </c>
      <c r="O20" s="18" cm="1">
        <f t="array" ref="O20">INDEX(GMWQ!$A$2:$NE$60,MATCH(1,(GMWQ!$NE$2:$NE$60=O$3)*(GMWQ!$ND$2:$ND$60=O$4),0),$B20-1966)</f>
        <v>1E-3</v>
      </c>
      <c r="P20" s="18" cm="1">
        <f t="array" ref="P20">INDEX(GMWQ!$A$2:$NE$60,MATCH(1,(GMWQ!$NE$2:$NE$60=P$3)*(GMWQ!$ND$2:$ND$60=P$4),0),$B20-1966)</f>
        <v>16264.96</v>
      </c>
      <c r="Q20" s="18" cm="1">
        <f t="array" ref="Q20">INDEX(GMWQ!$A$2:$NE$60,MATCH(1,(GMWQ!$NE$2:$NE$60=Q$3)*(GMWQ!$ND$2:$ND$60=Q$4),0),$B20-1966)</f>
        <v>101.825</v>
      </c>
      <c r="R20" s="18" cm="1">
        <f t="array" ref="R20">INDEX(GMWQ!$A$2:$NE$60,MATCH(1,(GMWQ!$NE$2:$NE$60=R$3)*(GMWQ!$ND$2:$ND$60=R$4),0),$B20-1966)</f>
        <v>7232.4719999999998</v>
      </c>
      <c r="S20" s="18" cm="1">
        <f t="array" ref="S20">INDEX(GMWQ!$A$2:$NE$60,MATCH(1,(GMWQ!$NE$2:$NE$60=S$3)*(GMWQ!$ND$2:$ND$60=S$4),0),$B20-1966)</f>
        <v>36.009439999999998</v>
      </c>
      <c r="T20" s="18" cm="1">
        <f t="array" ref="T20">INDEX(GMWQ!$A$2:$NE$60,MATCH(1,(GMWQ!$NE$2:$NE$60=T$3)*(GMWQ!$ND$2:$ND$60=T$4),0),$B20-1966)</f>
        <v>24.018999999999998</v>
      </c>
      <c r="U20" s="18" cm="1">
        <f t="array" ref="U20">INDEX(GMWQ!$A$2:$NE$60,MATCH(1,(GMWQ!$NE$2:$NE$60=U$3)*(GMWQ!$ND$2:$ND$60=U$4),0),$B20-1966)</f>
        <v>24.295339999999999</v>
      </c>
      <c r="V20" s="18" cm="1">
        <f t="array" ref="V20">INDEX(GMWQ!$A$2:$NE$60,MATCH(1,(GMWQ!$NE$2:$NE$60=V$3)*(GMWQ!$ND$2:$ND$60=V$4),0),$B20-1966)</f>
        <v>19031.5</v>
      </c>
      <c r="W20" s="18" cm="1">
        <f t="array" ref="W20">INDEX(GMWQ!$A$2:$NF$60,MATCH(1,(GMWQ!$NE$2:$NE$60=W$3)*(GMWQ!$NF$2:$NF$60=W$1),0),$B20-1966)</f>
        <v>15205.92</v>
      </c>
      <c r="X20" s="18" cm="1">
        <f t="array" ref="X20">INDEX(GMWQ!$A$2:$NF$60,MATCH(1,(GMWQ!$NE$2:$NE$60=X$3)*(GMWQ!$NF$2:$NF$60=X$1),0),$B20-1966)</f>
        <v>16291.64</v>
      </c>
      <c r="Y20" s="18" cm="1">
        <f t="array" ref="Y20">INDEX(GMWQ!$A$2:$NF$60,MATCH(1,(GMWQ!$NE$2:$NE$60=Y$3)*(GMWQ!$NF$2:$NF$60=Y$1),0),$B20-1966)</f>
        <v>16993.560000000001</v>
      </c>
      <c r="Z20" s="18" cm="1">
        <f t="array" ref="Z20">INDEX(GMWQ!$A$2:$NF$60,MATCH(1,(GMWQ!$NE$2:$NE$60=Z$3)*(GMWQ!$NF$2:$NF$60=Z$1),0),$B20-1966)</f>
        <v>15915.14</v>
      </c>
    </row>
    <row r="21" spans="1:26" x14ac:dyDescent="0.25">
      <c r="B21" s="18">
        <f t="shared" si="1"/>
        <v>1987</v>
      </c>
      <c r="C21" s="18" cm="1">
        <f t="array" ref="C21">INDEX(GMWQ!$A$2:$NE$60,MATCH(1,(GMWQ!$NE$2:$NE$60=C$3)*(GMWQ!$ND$2:$ND$60=C$4),0),$B21-1966)</f>
        <v>17314.27</v>
      </c>
      <c r="D21" s="18" cm="1">
        <f t="array" ref="D21">INDEX(GMWQ!$A$2:$NE$60,MATCH(1,(GMWQ!$NE$2:$NE$60=D$3)*(GMWQ!$ND$2:$ND$60=D$4),0),$B21-1966)</f>
        <v>5440</v>
      </c>
      <c r="E21" s="18" cm="1">
        <f t="array" ref="E21">INDEX(GMWQ!$A$2:$NE$60,MATCH(1,(GMWQ!$NE$2:$NE$60=E$3)*(GMWQ!$ND$2:$ND$60=E$4),0),$B21-1966)</f>
        <v>-1056.557</v>
      </c>
      <c r="F21" s="18" cm="1">
        <f t="array" ref="F21">INDEX(GMWQ!$A$2:$NE$60,MATCH(1,(GMWQ!$NE$2:$NE$60=F$3)*(GMWQ!$ND$2:$ND$60=F$4),0),$B21-1966)</f>
        <v>-506.45100000000002</v>
      </c>
      <c r="G21" s="18" cm="1">
        <f t="array" ref="G21">INDEX(GMWQ!$A$2:$NE$60,MATCH(1,(GMWQ!$NE$2:$NE$60=G$3)*(GMWQ!$ND$2:$ND$60=G$4),0),$B21-1966)</f>
        <v>34550</v>
      </c>
      <c r="H21" s="18" cm="1">
        <f t="array" ref="H21">INDEX(GMWQ!$A$2:$NE$60,MATCH(1,(GMWQ!$NE$2:$NE$60=H$3)*(GMWQ!$ND$2:$ND$60=H$4),0),$B21-1966)</f>
        <v>41983</v>
      </c>
      <c r="I21" s="18" cm="1">
        <f t="array" ref="I21">INDEX(GMWQ!$A$2:$NE$60,MATCH(1,(GMWQ!$NE$2:$NE$60=I$3)*(GMWQ!$ND$2:$ND$60=I$4),0),$B21-1966)</f>
        <v>6671.1170000000002</v>
      </c>
      <c r="J21" s="18" cm="1">
        <f t="array" ref="J21">INDEX(GMWQ!$A$2:$NE$60,MATCH(1,(GMWQ!$NE$2:$NE$60=J$3)*(GMWQ!$ND$2:$ND$60=J$4),0),$B21-1966)</f>
        <v>11557.82</v>
      </c>
      <c r="K21" s="18" cm="1">
        <f t="array" ref="K21">INDEX(GMWQ!$A$2:$NE$60,MATCH(1,(GMWQ!$NE$2:$NE$60=K$3)*(GMWQ!$ND$2:$ND$60=K$4),0),$B21-1966)</f>
        <v>1176935</v>
      </c>
      <c r="L21" s="18" cm="1">
        <f t="array" ref="L21">INDEX(GMWQ!$A$2:$NE$60,MATCH(1,(GMWQ!$NE$2:$NE$60=L$3)*(GMWQ!$ND$2:$ND$60=L$4),0),$B21-1966)</f>
        <v>24768</v>
      </c>
      <c r="M21" s="18" cm="1">
        <f t="array" ref="M21">INDEX(GMWQ!$A$2:$NE$60,MATCH(1,(GMWQ!$NE$2:$NE$60=M$3)*(GMWQ!$ND$2:$ND$60=M$4),0),$B21-1966)</f>
        <v>1E-3</v>
      </c>
      <c r="N21" s="18" cm="1">
        <f t="array" ref="N21">INDEX(GMWQ!$A$2:$NE$60,MATCH(1,(GMWQ!$NE$2:$NE$60=N$3)*(GMWQ!$ND$2:$ND$60=N$4),0),$B21-1966)</f>
        <v>9.3130590000000009</v>
      </c>
      <c r="O21" s="18" cm="1">
        <f t="array" ref="O21">INDEX(GMWQ!$A$2:$NE$60,MATCH(1,(GMWQ!$NE$2:$NE$60=O$3)*(GMWQ!$ND$2:$ND$60=O$4),0),$B21-1966)</f>
        <v>1E-3</v>
      </c>
      <c r="P21" s="18" cm="1">
        <f t="array" ref="P21">INDEX(GMWQ!$A$2:$NE$60,MATCH(1,(GMWQ!$NE$2:$NE$60=P$3)*(GMWQ!$ND$2:$ND$60=P$4),0),$B21-1966)</f>
        <v>17090.21</v>
      </c>
      <c r="Q21" s="18" cm="1">
        <f t="array" ref="Q21">INDEX(GMWQ!$A$2:$NE$60,MATCH(1,(GMWQ!$NE$2:$NE$60=Q$3)*(GMWQ!$ND$2:$ND$60=Q$4),0),$B21-1966)</f>
        <v>104.05</v>
      </c>
      <c r="R21" s="18" cm="1">
        <f t="array" ref="R21">INDEX(GMWQ!$A$2:$NE$60,MATCH(1,(GMWQ!$NE$2:$NE$60=R$3)*(GMWQ!$ND$2:$ND$60=R$4),0),$B21-1966)</f>
        <v>7323.7629999999999</v>
      </c>
      <c r="S21" s="18" cm="1">
        <f t="array" ref="S21">INDEX(GMWQ!$A$2:$NE$60,MATCH(1,(GMWQ!$NE$2:$NE$60=S$3)*(GMWQ!$ND$2:$ND$60=S$4),0),$B21-1966)</f>
        <v>34.374969999999998</v>
      </c>
      <c r="T21" s="18" cm="1">
        <f t="array" ref="T21">INDEX(GMWQ!$A$2:$NE$60,MATCH(1,(GMWQ!$NE$2:$NE$60=T$3)*(GMWQ!$ND$2:$ND$60=T$4),0),$B21-1966)</f>
        <v>23.773</v>
      </c>
      <c r="U21" s="18" cm="1">
        <f t="array" ref="U21">INDEX(GMWQ!$A$2:$NE$60,MATCH(1,(GMWQ!$NE$2:$NE$60=U$3)*(GMWQ!$ND$2:$ND$60=U$4),0),$B21-1966)</f>
        <v>25.40699</v>
      </c>
      <c r="V21" s="18" cm="1">
        <f t="array" ref="V21">INDEX(GMWQ!$A$2:$NE$60,MATCH(1,(GMWQ!$NE$2:$NE$60=V$3)*(GMWQ!$ND$2:$ND$60=V$4),0),$B21-1966)</f>
        <v>17962</v>
      </c>
      <c r="W21" s="18" cm="1">
        <f t="array" ref="W21">INDEX(GMWQ!$A$2:$NF$60,MATCH(1,(GMWQ!$NE$2:$NE$60=W$3)*(GMWQ!$NF$2:$NF$60=W$1),0),$B21-1966)</f>
        <v>15262.65</v>
      </c>
      <c r="X21" s="18" cm="1">
        <f t="array" ref="X21">INDEX(GMWQ!$A$2:$NF$60,MATCH(1,(GMWQ!$NE$2:$NE$60=X$3)*(GMWQ!$NF$2:$NF$60=X$1),0),$B21-1966)</f>
        <v>16352.42</v>
      </c>
      <c r="Y21" s="18" cm="1">
        <f t="array" ref="Y21">INDEX(GMWQ!$A$2:$NF$60,MATCH(1,(GMWQ!$NE$2:$NE$60=Y$3)*(GMWQ!$NF$2:$NF$60=Y$1),0),$B21-1966)</f>
        <v>17056.97</v>
      </c>
      <c r="Z21" s="18" cm="1">
        <f t="array" ref="Z21">INDEX(GMWQ!$A$2:$NF$60,MATCH(1,(GMWQ!$NE$2:$NE$60=Z$3)*(GMWQ!$NF$2:$NF$60=Z$1),0),$B21-1966)</f>
        <v>15974.52</v>
      </c>
    </row>
    <row r="22" spans="1:26" x14ac:dyDescent="0.25">
      <c r="B22" s="18">
        <f t="shared" si="1"/>
        <v>1988</v>
      </c>
      <c r="C22" s="18" cm="1">
        <f t="array" ref="C22">INDEX(GMWQ!$A$2:$NE$60,MATCH(1,(GMWQ!$NE$2:$NE$60=C$3)*(GMWQ!$ND$2:$ND$60=C$4),0),$B22-1966)</f>
        <v>17288.53</v>
      </c>
      <c r="D22" s="18" cm="1">
        <f t="array" ref="D22">INDEX(GMWQ!$A$2:$NE$60,MATCH(1,(GMWQ!$NE$2:$NE$60=D$3)*(GMWQ!$ND$2:$ND$60=D$4),0),$B22-1966)</f>
        <v>6497</v>
      </c>
      <c r="E22" s="18" cm="1">
        <f t="array" ref="E22">INDEX(GMWQ!$A$2:$NE$60,MATCH(1,(GMWQ!$NE$2:$NE$60=E$3)*(GMWQ!$ND$2:$ND$60=E$4),0),$B22-1966)</f>
        <v>-484.65910000000002</v>
      </c>
      <c r="F22" s="18" cm="1">
        <f t="array" ref="F22">INDEX(GMWQ!$A$2:$NE$60,MATCH(1,(GMWQ!$NE$2:$NE$60=F$3)*(GMWQ!$ND$2:$ND$60=F$4),0),$B22-1966)</f>
        <v>-1249.0920000000001</v>
      </c>
      <c r="G22" s="18" cm="1">
        <f t="array" ref="G22">INDEX(GMWQ!$A$2:$NE$60,MATCH(1,(GMWQ!$NE$2:$NE$60=G$3)*(GMWQ!$ND$2:$ND$60=G$4),0),$B22-1966)</f>
        <v>36678</v>
      </c>
      <c r="H22" s="18" cm="1">
        <f t="array" ref="H22">INDEX(GMWQ!$A$2:$NE$60,MATCH(1,(GMWQ!$NE$2:$NE$60=H$3)*(GMWQ!$ND$2:$ND$60=H$4),0),$B22-1966)</f>
        <v>42271</v>
      </c>
      <c r="I22" s="18" cm="1">
        <f t="array" ref="I22">INDEX(GMWQ!$A$2:$NE$60,MATCH(1,(GMWQ!$NE$2:$NE$60=I$3)*(GMWQ!$ND$2:$ND$60=I$4),0),$B22-1966)</f>
        <v>6471.0479999999998</v>
      </c>
      <c r="J22" s="18" cm="1">
        <f t="array" ref="J22">INDEX(GMWQ!$A$2:$NE$60,MATCH(1,(GMWQ!$NE$2:$NE$60=J$3)*(GMWQ!$ND$2:$ND$60=J$4),0),$B22-1966)</f>
        <v>12262.98</v>
      </c>
      <c r="K22" s="18" cm="1">
        <f t="array" ref="K22">INDEX(GMWQ!$A$2:$NE$60,MATCH(1,(GMWQ!$NE$2:$NE$60=K$3)*(GMWQ!$ND$2:$ND$60=K$4),0),$B22-1966)</f>
        <v>1183728</v>
      </c>
      <c r="L22" s="18" cm="1">
        <f t="array" ref="L22">INDEX(GMWQ!$A$2:$NE$60,MATCH(1,(GMWQ!$NE$2:$NE$60=L$3)*(GMWQ!$ND$2:$ND$60=L$4),0),$B22-1966)</f>
        <v>24788</v>
      </c>
      <c r="M22" s="18" cm="1">
        <f t="array" ref="M22">INDEX(GMWQ!$A$2:$NE$60,MATCH(1,(GMWQ!$NE$2:$NE$60=M$3)*(GMWQ!$ND$2:$ND$60=M$4),0),$B22-1966)</f>
        <v>1E-3</v>
      </c>
      <c r="N22" s="18" cm="1">
        <f t="array" ref="N22">INDEX(GMWQ!$A$2:$NE$60,MATCH(1,(GMWQ!$NE$2:$NE$60=N$3)*(GMWQ!$ND$2:$ND$60=N$4),0),$B22-1966)</f>
        <v>10.359690000000001</v>
      </c>
      <c r="O22" s="18" cm="1">
        <f t="array" ref="O22">INDEX(GMWQ!$A$2:$NE$60,MATCH(1,(GMWQ!$NE$2:$NE$60=O$3)*(GMWQ!$ND$2:$ND$60=O$4),0),$B22-1966)</f>
        <v>1E-3</v>
      </c>
      <c r="P22" s="18" cm="1">
        <f t="array" ref="P22">INDEX(GMWQ!$A$2:$NE$60,MATCH(1,(GMWQ!$NE$2:$NE$60=P$3)*(GMWQ!$ND$2:$ND$60=P$4),0),$B22-1966)</f>
        <v>17991.75</v>
      </c>
      <c r="Q22" s="18" cm="1">
        <f t="array" ref="Q22">INDEX(GMWQ!$A$2:$NE$60,MATCH(1,(GMWQ!$NE$2:$NE$60=Q$3)*(GMWQ!$ND$2:$ND$60=Q$4),0),$B22-1966)</f>
        <v>106.05</v>
      </c>
      <c r="R22" s="18" cm="1">
        <f t="array" ref="R22">INDEX(GMWQ!$A$2:$NE$60,MATCH(1,(GMWQ!$NE$2:$NE$60=R$3)*(GMWQ!$ND$2:$ND$60=R$4),0),$B22-1966)</f>
        <v>7263.9759999999997</v>
      </c>
      <c r="S22" s="18" cm="1">
        <f t="array" ref="S22">INDEX(GMWQ!$A$2:$NE$60,MATCH(1,(GMWQ!$NE$2:$NE$60=S$3)*(GMWQ!$ND$2:$ND$60=S$4),0),$B22-1966)</f>
        <v>36.99926</v>
      </c>
      <c r="T22" s="18" cm="1">
        <f t="array" ref="T22">INDEX(GMWQ!$A$2:$NE$60,MATCH(1,(GMWQ!$NE$2:$NE$60=T$3)*(GMWQ!$ND$2:$ND$60=T$4),0),$B22-1966)</f>
        <v>23.475989999999999</v>
      </c>
      <c r="U22" s="18" cm="1">
        <f t="array" ref="U22">INDEX(GMWQ!$A$2:$NE$60,MATCH(1,(GMWQ!$NE$2:$NE$60=U$3)*(GMWQ!$ND$2:$ND$60=U$4),0),$B22-1966)</f>
        <v>26.616040000000002</v>
      </c>
      <c r="V22" s="18" cm="1">
        <f t="array" ref="V22">INDEX(GMWQ!$A$2:$NE$60,MATCH(1,(GMWQ!$NE$2:$NE$60=V$3)*(GMWQ!$ND$2:$ND$60=V$4),0),$B22-1966)</f>
        <v>18229.75</v>
      </c>
      <c r="W22" s="18" cm="1">
        <f t="array" ref="W22">INDEX(GMWQ!$A$2:$NF$60,MATCH(1,(GMWQ!$NE$2:$NE$60=W$3)*(GMWQ!$NF$2:$NF$60=W$1),0),$B22-1966)</f>
        <v>15239.96</v>
      </c>
      <c r="X22" s="18" cm="1">
        <f t="array" ref="X22">INDEX(GMWQ!$A$2:$NF$60,MATCH(1,(GMWQ!$NE$2:$NE$60=X$3)*(GMWQ!$NF$2:$NF$60=X$1),0),$B22-1966)</f>
        <v>16328.11</v>
      </c>
      <c r="Y22" s="18" cm="1">
        <f t="array" ref="Y22">INDEX(GMWQ!$A$2:$NF$60,MATCH(1,(GMWQ!$NE$2:$NE$60=Y$3)*(GMWQ!$NF$2:$NF$60=Y$1),0),$B22-1966)</f>
        <v>17031.61</v>
      </c>
      <c r="Z22" s="18" cm="1">
        <f t="array" ref="Z22">INDEX(GMWQ!$A$2:$NF$60,MATCH(1,(GMWQ!$NE$2:$NE$60=Z$3)*(GMWQ!$NF$2:$NF$60=Z$1),0),$B22-1966)</f>
        <v>15950.77</v>
      </c>
    </row>
    <row r="23" spans="1:26" x14ac:dyDescent="0.25">
      <c r="A23" s="18">
        <v>1977</v>
      </c>
      <c r="B23" s="18">
        <f t="shared" si="1"/>
        <v>1989</v>
      </c>
      <c r="C23" s="18" cm="1">
        <f t="array" ref="C23">INDEX(GMWQ!$A$2:$NE$60,MATCH(1,(GMWQ!$NE$2:$NE$60=C$3)*(GMWQ!$ND$2:$ND$60=C$4),0),$B23-1966)</f>
        <v>16509.78</v>
      </c>
      <c r="D23" s="18" cm="1">
        <f t="array" ref="D23">INDEX(GMWQ!$A$2:$NE$60,MATCH(1,(GMWQ!$NE$2:$NE$60=D$3)*(GMWQ!$ND$2:$ND$60=D$4),0),$B23-1966)</f>
        <v>7199</v>
      </c>
      <c r="E23" s="18" cm="1">
        <f t="array" ref="E23">INDEX(GMWQ!$A$2:$NE$60,MATCH(1,(GMWQ!$NE$2:$NE$60=E$3)*(GMWQ!$ND$2:$ND$60=E$4),0),$B23-1966)</f>
        <v>168.66139999999999</v>
      </c>
      <c r="F23" s="18" cm="1">
        <f t="array" ref="F23">INDEX(GMWQ!$A$2:$NE$60,MATCH(1,(GMWQ!$NE$2:$NE$60=F$3)*(GMWQ!$ND$2:$ND$60=F$4),0),$B23-1966)</f>
        <v>-3174.8389999999999</v>
      </c>
      <c r="G23" s="18" cm="1">
        <f t="array" ref="G23">INDEX(GMWQ!$A$2:$NE$60,MATCH(1,(GMWQ!$NE$2:$NE$60=G$3)*(GMWQ!$ND$2:$ND$60=G$4),0),$B23-1966)</f>
        <v>38038</v>
      </c>
      <c r="H23" s="18" cm="1">
        <f t="array" ref="H23">INDEX(GMWQ!$A$2:$NE$60,MATCH(1,(GMWQ!$NE$2:$NE$60=H$3)*(GMWQ!$ND$2:$ND$60=H$4),0),$B23-1966)</f>
        <v>41191</v>
      </c>
      <c r="I23" s="18" cm="1">
        <f t="array" ref="I23">INDEX(GMWQ!$A$2:$NE$60,MATCH(1,(GMWQ!$NE$2:$NE$60=I$3)*(GMWQ!$ND$2:$ND$60=I$4),0),$B23-1966)</f>
        <v>6174.1710000000003</v>
      </c>
      <c r="J23" s="18" cm="1">
        <f t="array" ref="J23">INDEX(GMWQ!$A$2:$NE$60,MATCH(1,(GMWQ!$NE$2:$NE$60=J$3)*(GMWQ!$ND$2:$ND$60=J$4),0),$B23-1966)</f>
        <v>12148.81</v>
      </c>
      <c r="K23" s="18" cm="1">
        <f t="array" ref="K23">INDEX(GMWQ!$A$2:$NE$60,MATCH(1,(GMWQ!$NE$2:$NE$60=K$3)*(GMWQ!$ND$2:$ND$60=K$4),0),$B23-1966)</f>
        <v>1189933</v>
      </c>
      <c r="L23" s="18" cm="1">
        <f t="array" ref="L23">INDEX(GMWQ!$A$2:$NE$60,MATCH(1,(GMWQ!$NE$2:$NE$60=L$3)*(GMWQ!$ND$2:$ND$60=L$4),0),$B23-1966)</f>
        <v>24803</v>
      </c>
      <c r="M23" s="18" cm="1">
        <f t="array" ref="M23">INDEX(GMWQ!$A$2:$NE$60,MATCH(1,(GMWQ!$NE$2:$NE$60=M$3)*(GMWQ!$ND$2:$ND$60=M$4),0),$B23-1966)</f>
        <v>1E-3</v>
      </c>
      <c r="N23" s="18" cm="1">
        <f t="array" ref="N23">INDEX(GMWQ!$A$2:$NE$60,MATCH(1,(GMWQ!$NE$2:$NE$60=N$3)*(GMWQ!$ND$2:$ND$60=N$4),0),$B23-1966)</f>
        <v>7.6417809999999999</v>
      </c>
      <c r="O23" s="18" cm="1">
        <f t="array" ref="O23">INDEX(GMWQ!$A$2:$NE$60,MATCH(1,(GMWQ!$NE$2:$NE$60=O$3)*(GMWQ!$ND$2:$ND$60=O$4),0),$B23-1966)</f>
        <v>1E-3</v>
      </c>
      <c r="P23" s="18" cm="1">
        <f t="array" ref="P23">INDEX(GMWQ!$A$2:$NE$60,MATCH(1,(GMWQ!$NE$2:$NE$60=P$3)*(GMWQ!$ND$2:$ND$60=P$4),0),$B23-1966)</f>
        <v>18005.810000000001</v>
      </c>
      <c r="Q23" s="18" cm="1">
        <f t="array" ref="Q23">INDEX(GMWQ!$A$2:$NE$60,MATCH(1,(GMWQ!$NE$2:$NE$60=Q$3)*(GMWQ!$ND$2:$ND$60=Q$4),0),$B23-1966)</f>
        <v>109.925</v>
      </c>
      <c r="R23" s="18" cm="1">
        <f t="array" ref="R23">INDEX(GMWQ!$A$2:$NE$60,MATCH(1,(GMWQ!$NE$2:$NE$60=R$3)*(GMWQ!$ND$2:$ND$60=R$4),0),$B23-1966)</f>
        <v>7232.6289999999999</v>
      </c>
      <c r="S23" s="18" cm="1">
        <f t="array" ref="S23">INDEX(GMWQ!$A$2:$NE$60,MATCH(1,(GMWQ!$NE$2:$NE$60=S$3)*(GMWQ!$ND$2:$ND$60=S$4),0),$B23-1966)</f>
        <v>39.336030000000001</v>
      </c>
      <c r="T23" s="18" cm="1">
        <f t="array" ref="T23">INDEX(GMWQ!$A$2:$NE$60,MATCH(1,(GMWQ!$NE$2:$NE$60=T$3)*(GMWQ!$ND$2:$ND$60=T$4),0),$B23-1966)</f>
        <v>24.338000000000001</v>
      </c>
      <c r="U23" s="18" cm="1">
        <f t="array" ref="U23">INDEX(GMWQ!$A$2:$NE$60,MATCH(1,(GMWQ!$NE$2:$NE$60=U$3)*(GMWQ!$ND$2:$ND$60=U$4),0),$B23-1966)</f>
        <v>26.819420000000001</v>
      </c>
      <c r="V23" s="18" cm="1">
        <f t="array" ref="V23">INDEX(GMWQ!$A$2:$NE$60,MATCH(1,(GMWQ!$NE$2:$NE$60=V$3)*(GMWQ!$ND$2:$ND$60=V$4),0),$B23-1966)</f>
        <v>18821.25</v>
      </c>
      <c r="W23" s="18" cm="1">
        <f t="array" ref="W23">INDEX(GMWQ!$A$2:$NF$60,MATCH(1,(GMWQ!$NE$2:$NE$60=W$3)*(GMWQ!$NF$2:$NF$60=W$1),0),$B23-1966)</f>
        <v>14553.49</v>
      </c>
      <c r="X23" s="18" cm="1">
        <f t="array" ref="X23">INDEX(GMWQ!$A$2:$NF$60,MATCH(1,(GMWQ!$NE$2:$NE$60=X$3)*(GMWQ!$NF$2:$NF$60=X$1),0),$B23-1966)</f>
        <v>15592.62</v>
      </c>
      <c r="Y23" s="18" cm="1">
        <f t="array" ref="Y23">INDEX(GMWQ!$A$2:$NF$60,MATCH(1,(GMWQ!$NE$2:$NE$60=Y$3)*(GMWQ!$NF$2:$NF$60=Y$1),0),$B23-1966)</f>
        <v>16264.43</v>
      </c>
      <c r="Z23" s="18" cm="1">
        <f t="array" ref="Z23">INDEX(GMWQ!$A$2:$NF$60,MATCH(1,(GMWQ!$NE$2:$NE$60=Z$3)*(GMWQ!$NF$2:$NF$60=Z$1),0),$B23-1966)</f>
        <v>15232.28</v>
      </c>
    </row>
    <row r="24" spans="1:26" x14ac:dyDescent="0.25">
      <c r="B24" s="18">
        <f t="shared" si="1"/>
        <v>1990</v>
      </c>
      <c r="C24" s="18" cm="1">
        <f t="array" ref="C24">INDEX(GMWQ!$A$2:$NE$60,MATCH(1,(GMWQ!$NE$2:$NE$60=C$3)*(GMWQ!$ND$2:$ND$60=C$4),0),$B24-1966)</f>
        <v>17850.060000000001</v>
      </c>
      <c r="D24" s="18" cm="1">
        <f t="array" ref="D24">INDEX(GMWQ!$A$2:$NE$60,MATCH(1,(GMWQ!$NE$2:$NE$60=D$3)*(GMWQ!$ND$2:$ND$60=D$4),0),$B24-1966)</f>
        <v>7734</v>
      </c>
      <c r="E24" s="18" cm="1">
        <f t="array" ref="E24">INDEX(GMWQ!$A$2:$NE$60,MATCH(1,(GMWQ!$NE$2:$NE$60=E$3)*(GMWQ!$ND$2:$ND$60=E$4),0),$B24-1966)</f>
        <v>-329.56819999999999</v>
      </c>
      <c r="F24" s="18" cm="1">
        <f t="array" ref="F24">INDEX(GMWQ!$A$2:$NE$60,MATCH(1,(GMWQ!$NE$2:$NE$60=F$3)*(GMWQ!$ND$2:$ND$60=F$4),0),$B24-1966)</f>
        <v>-2237.078</v>
      </c>
      <c r="G24" s="18" cm="1">
        <f t="array" ref="G24">INDEX(GMWQ!$A$2:$NE$60,MATCH(1,(GMWQ!$NE$2:$NE$60=G$3)*(GMWQ!$ND$2:$ND$60=G$4),0),$B24-1966)</f>
        <v>39244</v>
      </c>
      <c r="H24" s="18" cm="1">
        <f t="array" ref="H24">INDEX(GMWQ!$A$2:$NE$60,MATCH(1,(GMWQ!$NE$2:$NE$60=H$3)*(GMWQ!$ND$2:$ND$60=H$4),0),$B24-1966)</f>
        <v>43482</v>
      </c>
      <c r="I24" s="18" cm="1">
        <f t="array" ref="I24">INDEX(GMWQ!$A$2:$NE$60,MATCH(1,(GMWQ!$NE$2:$NE$60=I$3)*(GMWQ!$ND$2:$ND$60=I$4),0),$B24-1966)</f>
        <v>5754.6719999999996</v>
      </c>
      <c r="J24" s="18" cm="1">
        <f t="array" ref="J24">INDEX(GMWQ!$A$2:$NE$60,MATCH(1,(GMWQ!$NE$2:$NE$60=J$3)*(GMWQ!$ND$2:$ND$60=J$4),0),$B24-1966)</f>
        <v>12361.27</v>
      </c>
      <c r="K24" s="18" cm="1">
        <f t="array" ref="K24">INDEX(GMWQ!$A$2:$NE$60,MATCH(1,(GMWQ!$NE$2:$NE$60=K$3)*(GMWQ!$ND$2:$ND$60=K$4),0),$B24-1966)</f>
        <v>1196137</v>
      </c>
      <c r="L24" s="18" cm="1">
        <f t="array" ref="L24">INDEX(GMWQ!$A$2:$NE$60,MATCH(1,(GMWQ!$NE$2:$NE$60=L$3)*(GMWQ!$ND$2:$ND$60=L$4),0),$B24-1966)</f>
        <v>24802</v>
      </c>
      <c r="M24" s="18" cm="1">
        <f t="array" ref="M24">INDEX(GMWQ!$A$2:$NE$60,MATCH(1,(GMWQ!$NE$2:$NE$60=M$3)*(GMWQ!$ND$2:$ND$60=M$4),0),$B24-1966)</f>
        <v>1E-3</v>
      </c>
      <c r="N24" s="18" cm="1">
        <f t="array" ref="N24">INDEX(GMWQ!$A$2:$NE$60,MATCH(1,(GMWQ!$NE$2:$NE$60=N$3)*(GMWQ!$ND$2:$ND$60=N$4),0),$B24-1966)</f>
        <v>4.9681990000000003</v>
      </c>
      <c r="O24" s="18" cm="1">
        <f t="array" ref="O24">INDEX(GMWQ!$A$2:$NE$60,MATCH(1,(GMWQ!$NE$2:$NE$60=O$3)*(GMWQ!$ND$2:$ND$60=O$4),0),$B24-1966)</f>
        <v>1E-3</v>
      </c>
      <c r="P24" s="18" cm="1">
        <f t="array" ref="P24">INDEX(GMWQ!$A$2:$NE$60,MATCH(1,(GMWQ!$NE$2:$NE$60=P$3)*(GMWQ!$ND$2:$ND$60=P$4),0),$B24-1966)</f>
        <v>18614.2</v>
      </c>
      <c r="Q24" s="18" cm="1">
        <f t="array" ref="Q24">INDEX(GMWQ!$A$2:$NE$60,MATCH(1,(GMWQ!$NE$2:$NE$60=Q$3)*(GMWQ!$ND$2:$ND$60=Q$4),0),$B24-1966)</f>
        <v>112.95</v>
      </c>
      <c r="R24" s="18" cm="1">
        <f t="array" ref="R24">INDEX(GMWQ!$A$2:$NE$60,MATCH(1,(GMWQ!$NE$2:$NE$60=R$3)*(GMWQ!$ND$2:$ND$60=R$4),0),$B24-1966)</f>
        <v>7209.5209999999997</v>
      </c>
      <c r="S24" s="18" cm="1">
        <f t="array" ref="S24">INDEX(GMWQ!$A$2:$NE$60,MATCH(1,(GMWQ!$NE$2:$NE$60=S$3)*(GMWQ!$ND$2:$ND$60=S$4),0),$B24-1966)</f>
        <v>39.045059999999999</v>
      </c>
      <c r="T24" s="18" cm="1">
        <f t="array" ref="T24">INDEX(GMWQ!$A$2:$NE$60,MATCH(1,(GMWQ!$NE$2:$NE$60=T$3)*(GMWQ!$ND$2:$ND$60=T$4),0),$B24-1966)</f>
        <v>24.702000000000002</v>
      </c>
      <c r="U24" s="18" cm="1">
        <f t="array" ref="U24">INDEX(GMWQ!$A$2:$NE$60,MATCH(1,(GMWQ!$NE$2:$NE$60=U$3)*(GMWQ!$ND$2:$ND$60=U$4),0),$B24-1966)</f>
        <v>26.835830000000001</v>
      </c>
      <c r="V24" s="18" cm="1">
        <f t="array" ref="V24">INDEX(GMWQ!$A$2:$NE$60,MATCH(1,(GMWQ!$NE$2:$NE$60=V$3)*(GMWQ!$ND$2:$ND$60=V$4),0),$B24-1966)</f>
        <v>19407.75</v>
      </c>
      <c r="W24" s="18" cm="1">
        <f t="array" ref="W24">INDEX(GMWQ!$A$2:$NF$60,MATCH(1,(GMWQ!$NE$2:$NE$60=W$3)*(GMWQ!$NF$2:$NF$60=W$1),0),$B24-1966)</f>
        <v>15734.96</v>
      </c>
      <c r="X24" s="18" cm="1">
        <f t="array" ref="X24">INDEX(GMWQ!$A$2:$NF$60,MATCH(1,(GMWQ!$NE$2:$NE$60=X$3)*(GMWQ!$NF$2:$NF$60=X$1),0),$B24-1966)</f>
        <v>16858.45</v>
      </c>
      <c r="Y24" s="18" cm="1">
        <f t="array" ref="Y24">INDEX(GMWQ!$A$2:$NF$60,MATCH(1,(GMWQ!$NE$2:$NE$60=Y$3)*(GMWQ!$NF$2:$NF$60=Y$1),0),$B24-1966)</f>
        <v>17584.79</v>
      </c>
      <c r="Z24" s="18" cm="1">
        <f t="array" ref="Z24">INDEX(GMWQ!$A$2:$NF$60,MATCH(1,(GMWQ!$NE$2:$NE$60=Z$3)*(GMWQ!$NF$2:$NF$60=Z$1),0),$B24-1966)</f>
        <v>16468.849999999999</v>
      </c>
    </row>
    <row r="25" spans="1:26" x14ac:dyDescent="0.25">
      <c r="B25" s="18">
        <f t="shared" si="1"/>
        <v>1991</v>
      </c>
      <c r="C25" s="18" cm="1">
        <f t="array" ref="C25">INDEX(GMWQ!$A$2:$NE$60,MATCH(1,(GMWQ!$NE$2:$NE$60=C$3)*(GMWQ!$ND$2:$ND$60=C$4),0),$B25-1966)</f>
        <v>17277.27</v>
      </c>
      <c r="D25" s="18" cm="1">
        <f t="array" ref="D25">INDEX(GMWQ!$A$2:$NE$60,MATCH(1,(GMWQ!$NE$2:$NE$60=D$3)*(GMWQ!$ND$2:$ND$60=D$4),0),$B25-1966)</f>
        <v>8119</v>
      </c>
      <c r="E25" s="18" cm="1">
        <f t="array" ref="E25">INDEX(GMWQ!$A$2:$NE$60,MATCH(1,(GMWQ!$NE$2:$NE$60=E$3)*(GMWQ!$ND$2:$ND$60=E$4),0),$B25-1966)</f>
        <v>988.70450000000005</v>
      </c>
      <c r="F25" s="18" cm="1">
        <f t="array" ref="F25">INDEX(GMWQ!$A$2:$NE$60,MATCH(1,(GMWQ!$NE$2:$NE$60=F$3)*(GMWQ!$ND$2:$ND$60=F$4),0),$B25-1966)</f>
        <v>-97.218530000000001</v>
      </c>
      <c r="G25" s="18" cm="1">
        <f t="array" ref="G25">INDEX(GMWQ!$A$2:$NE$60,MATCH(1,(GMWQ!$NE$2:$NE$60=G$3)*(GMWQ!$ND$2:$ND$60=G$4),0),$B25-1966)</f>
        <v>40339</v>
      </c>
      <c r="H25" s="18" cm="1">
        <f t="array" ref="H25">INDEX(GMWQ!$A$2:$NE$60,MATCH(1,(GMWQ!$NE$2:$NE$60=H$3)*(GMWQ!$ND$2:$ND$60=H$4),0),$B25-1966)</f>
        <v>43006</v>
      </c>
      <c r="I25" s="18" cm="1">
        <f t="array" ref="I25">INDEX(GMWQ!$A$2:$NE$60,MATCH(1,(GMWQ!$NE$2:$NE$60=I$3)*(GMWQ!$ND$2:$ND$60=I$4),0),$B25-1966)</f>
        <v>5502.9719999999998</v>
      </c>
      <c r="J25" s="18" cm="1">
        <f t="array" ref="J25">INDEX(GMWQ!$A$2:$NE$60,MATCH(1,(GMWQ!$NE$2:$NE$60=J$3)*(GMWQ!$ND$2:$ND$60=J$4),0),$B25-1966)</f>
        <v>12422.58</v>
      </c>
      <c r="K25" s="18" cm="1">
        <f t="array" ref="K25">INDEX(GMWQ!$A$2:$NE$60,MATCH(1,(GMWQ!$NE$2:$NE$60=K$3)*(GMWQ!$ND$2:$ND$60=K$4),0),$B25-1966)</f>
        <v>1202342</v>
      </c>
      <c r="L25" s="18" cm="1">
        <f t="array" ref="L25">INDEX(GMWQ!$A$2:$NE$60,MATCH(1,(GMWQ!$NE$2:$NE$60=L$3)*(GMWQ!$ND$2:$ND$60=L$4),0),$B25-1966)</f>
        <v>24809</v>
      </c>
      <c r="M25" s="18" cm="1">
        <f t="array" ref="M25">INDEX(GMWQ!$A$2:$NE$60,MATCH(1,(GMWQ!$NE$2:$NE$60=M$3)*(GMWQ!$ND$2:$ND$60=M$4),0),$B25-1966)</f>
        <v>1E-3</v>
      </c>
      <c r="N25" s="18" cm="1">
        <f t="array" ref="N25">INDEX(GMWQ!$A$2:$NE$60,MATCH(1,(GMWQ!$NE$2:$NE$60=N$3)*(GMWQ!$ND$2:$ND$60=N$4),0),$B25-1966)</f>
        <v>4.2187539999999997</v>
      </c>
      <c r="O25" s="18" cm="1">
        <f t="array" ref="O25">INDEX(GMWQ!$A$2:$NE$60,MATCH(1,(GMWQ!$NE$2:$NE$60=O$3)*(GMWQ!$ND$2:$ND$60=O$4),0),$B25-1966)</f>
        <v>1E-3</v>
      </c>
      <c r="P25" s="18" cm="1">
        <f t="array" ref="P25">INDEX(GMWQ!$A$2:$NE$60,MATCH(1,(GMWQ!$NE$2:$NE$60=P$3)*(GMWQ!$ND$2:$ND$60=P$4),0),$B25-1966)</f>
        <v>19213.560000000001</v>
      </c>
      <c r="Q25" s="18" cm="1">
        <f t="array" ref="Q25">INDEX(GMWQ!$A$2:$NE$60,MATCH(1,(GMWQ!$NE$2:$NE$60=Q$3)*(GMWQ!$ND$2:$ND$60=Q$4),0),$B25-1966)</f>
        <v>115.2</v>
      </c>
      <c r="R25" s="18" cm="1">
        <f t="array" ref="R25">INDEX(GMWQ!$A$2:$NE$60,MATCH(1,(GMWQ!$NE$2:$NE$60=R$3)*(GMWQ!$ND$2:$ND$60=R$4),0),$B25-1966)</f>
        <v>7185.7780000000002</v>
      </c>
      <c r="S25" s="18" cm="1">
        <f t="array" ref="S25">INDEX(GMWQ!$A$2:$NE$60,MATCH(1,(GMWQ!$NE$2:$NE$60=S$3)*(GMWQ!$ND$2:$ND$60=S$4),0),$B25-1966)</f>
        <v>39.586730000000003</v>
      </c>
      <c r="T25" s="18" cm="1">
        <f t="array" ref="T25">INDEX(GMWQ!$A$2:$NE$60,MATCH(1,(GMWQ!$NE$2:$NE$60=T$3)*(GMWQ!$ND$2:$ND$60=T$4),0),$B25-1966)</f>
        <v>24.725000000000001</v>
      </c>
      <c r="U25" s="18" cm="1">
        <f t="array" ref="U25">INDEX(GMWQ!$A$2:$NE$60,MATCH(1,(GMWQ!$NE$2:$NE$60=U$3)*(GMWQ!$ND$2:$ND$60=U$4),0),$B25-1966)</f>
        <v>26.094750000000001</v>
      </c>
      <c r="V25" s="18" cm="1">
        <f t="array" ref="V25">INDEX(GMWQ!$A$2:$NE$60,MATCH(1,(GMWQ!$NE$2:$NE$60=V$3)*(GMWQ!$ND$2:$ND$60=V$4),0),$B25-1966)</f>
        <v>19604.5</v>
      </c>
      <c r="W25" s="18" cm="1">
        <f t="array" ref="W25">INDEX(GMWQ!$A$2:$NF$60,MATCH(1,(GMWQ!$NE$2:$NE$60=W$3)*(GMWQ!$NF$2:$NF$60=W$1),0),$B25-1966)</f>
        <v>15230.03</v>
      </c>
      <c r="X25" s="18" cm="1">
        <f t="array" ref="X25">INDEX(GMWQ!$A$2:$NF$60,MATCH(1,(GMWQ!$NE$2:$NE$60=X$3)*(GMWQ!$NF$2:$NF$60=X$1),0),$B25-1966)</f>
        <v>16317.47</v>
      </c>
      <c r="Y25" s="18" cm="1">
        <f t="array" ref="Y25">INDEX(GMWQ!$A$2:$NF$60,MATCH(1,(GMWQ!$NE$2:$NE$60=Y$3)*(GMWQ!$NF$2:$NF$60=Y$1),0),$B25-1966)</f>
        <v>17020.509999999998</v>
      </c>
      <c r="Z25" s="18" cm="1">
        <f t="array" ref="Z25">INDEX(GMWQ!$A$2:$NF$60,MATCH(1,(GMWQ!$NE$2:$NE$60=Z$3)*(GMWQ!$NF$2:$NF$60=Z$1),0),$B25-1966)</f>
        <v>15940.38</v>
      </c>
    </row>
    <row r="26" spans="1:26" x14ac:dyDescent="0.25">
      <c r="B26" s="18">
        <f t="shared" si="1"/>
        <v>1992</v>
      </c>
      <c r="C26" s="18" cm="1">
        <f t="array" ref="C26">INDEX(GMWQ!$A$2:$NE$60,MATCH(1,(GMWQ!$NE$2:$NE$60=C$3)*(GMWQ!$ND$2:$ND$60=C$4),0),$B26-1966)</f>
        <v>17983.61</v>
      </c>
      <c r="D26" s="18" cm="1">
        <f t="array" ref="D26">INDEX(GMWQ!$A$2:$NE$60,MATCH(1,(GMWQ!$NE$2:$NE$60=D$3)*(GMWQ!$ND$2:$ND$60=D$4),0),$B26-1966)</f>
        <v>8600</v>
      </c>
      <c r="E26" s="18" cm="1">
        <f t="array" ref="E26">INDEX(GMWQ!$A$2:$NE$60,MATCH(1,(GMWQ!$NE$2:$NE$60=E$3)*(GMWQ!$ND$2:$ND$60=E$4),0),$B26-1966)</f>
        <v>769.6386</v>
      </c>
      <c r="F26" s="18" cm="1">
        <f t="array" ref="F26">INDEX(GMWQ!$A$2:$NE$60,MATCH(1,(GMWQ!$NE$2:$NE$60=F$3)*(GMWQ!$ND$2:$ND$60=F$4),0),$B26-1966)</f>
        <v>633.89829999999995</v>
      </c>
      <c r="G26" s="18" cm="1">
        <f t="array" ref="G26">INDEX(GMWQ!$A$2:$NE$60,MATCH(1,(GMWQ!$NE$2:$NE$60=G$3)*(GMWQ!$ND$2:$ND$60=G$4),0),$B26-1966)</f>
        <v>42165</v>
      </c>
      <c r="H26" s="18" cm="1">
        <f t="array" ref="H26">INDEX(GMWQ!$A$2:$NE$60,MATCH(1,(GMWQ!$NE$2:$NE$60=H$3)*(GMWQ!$ND$2:$ND$60=H$4),0),$B26-1966)</f>
        <v>44597</v>
      </c>
      <c r="I26" s="18" cm="1">
        <f t="array" ref="I26">INDEX(GMWQ!$A$2:$NE$60,MATCH(1,(GMWQ!$NE$2:$NE$60=I$3)*(GMWQ!$ND$2:$ND$60=I$4),0),$B26-1966)</f>
        <v>5406.165</v>
      </c>
      <c r="J26" s="18" cm="1">
        <f t="array" ref="J26">INDEX(GMWQ!$A$2:$NE$60,MATCH(1,(GMWQ!$NE$2:$NE$60=J$3)*(GMWQ!$ND$2:$ND$60=J$4),0),$B26-1966)</f>
        <v>13019.65</v>
      </c>
      <c r="K26" s="18" cm="1">
        <f t="array" ref="K26">INDEX(GMWQ!$A$2:$NE$60,MATCH(1,(GMWQ!$NE$2:$NE$60=K$3)*(GMWQ!$ND$2:$ND$60=K$4),0),$B26-1966)</f>
        <v>1208546</v>
      </c>
      <c r="L26" s="18" cm="1">
        <f t="array" ref="L26">INDEX(GMWQ!$A$2:$NE$60,MATCH(1,(GMWQ!$NE$2:$NE$60=L$3)*(GMWQ!$ND$2:$ND$60=L$4),0),$B26-1966)</f>
        <v>24822</v>
      </c>
      <c r="M26" s="18" cm="1">
        <f t="array" ref="M26">INDEX(GMWQ!$A$2:$NE$60,MATCH(1,(GMWQ!$NE$2:$NE$60=M$3)*(GMWQ!$ND$2:$ND$60=M$4),0),$B26-1966)</f>
        <v>1E-3</v>
      </c>
      <c r="N26" s="18" cm="1">
        <f t="array" ref="N26">INDEX(GMWQ!$A$2:$NE$60,MATCH(1,(GMWQ!$NE$2:$NE$60=N$3)*(GMWQ!$ND$2:$ND$60=N$4),0),$B26-1966)</f>
        <v>3.3463959999999999</v>
      </c>
      <c r="O26" s="18" cm="1">
        <f t="array" ref="O26">INDEX(GMWQ!$A$2:$NE$60,MATCH(1,(GMWQ!$NE$2:$NE$60=O$3)*(GMWQ!$ND$2:$ND$60=O$4),0),$B26-1966)</f>
        <v>1E-3</v>
      </c>
      <c r="P26" s="18" cm="1">
        <f t="array" ref="P26">INDEX(GMWQ!$A$2:$NE$60,MATCH(1,(GMWQ!$NE$2:$NE$60=P$3)*(GMWQ!$ND$2:$ND$60=P$4),0),$B26-1966)</f>
        <v>19651.28</v>
      </c>
      <c r="Q26" s="18" cm="1">
        <f t="array" ref="Q26">INDEX(GMWQ!$A$2:$NE$60,MATCH(1,(GMWQ!$NE$2:$NE$60=Q$3)*(GMWQ!$ND$2:$ND$60=Q$4),0),$B26-1966)</f>
        <v>118.72499999999999</v>
      </c>
      <c r="R26" s="18" cm="1">
        <f t="array" ref="R26">INDEX(GMWQ!$A$2:$NE$60,MATCH(1,(GMWQ!$NE$2:$NE$60=R$3)*(GMWQ!$ND$2:$ND$60=R$4),0),$B26-1966)</f>
        <v>7234.7640000000001</v>
      </c>
      <c r="S26" s="18" cm="1">
        <f t="array" ref="S26">INDEX(GMWQ!$A$2:$NE$60,MATCH(1,(GMWQ!$NE$2:$NE$60=S$3)*(GMWQ!$ND$2:$ND$60=S$4),0),$B26-1966)</f>
        <v>40.188589999999998</v>
      </c>
      <c r="T26" s="18" cm="1">
        <f t="array" ref="T26">INDEX(GMWQ!$A$2:$NE$60,MATCH(1,(GMWQ!$NE$2:$NE$60=T$3)*(GMWQ!$ND$2:$ND$60=T$4),0),$B26-1966)</f>
        <v>24.358000000000001</v>
      </c>
      <c r="U26" s="18" cm="1">
        <f t="array" ref="U26">INDEX(GMWQ!$A$2:$NE$60,MATCH(1,(GMWQ!$NE$2:$NE$60=U$3)*(GMWQ!$ND$2:$ND$60=U$4),0),$B26-1966)</f>
        <v>26.285530000000001</v>
      </c>
      <c r="V26" s="18" cm="1">
        <f t="array" ref="V26">INDEX(GMWQ!$A$2:$NE$60,MATCH(1,(GMWQ!$NE$2:$NE$60=V$3)*(GMWQ!$ND$2:$ND$60=V$4),0),$B26-1966)</f>
        <v>19615.5</v>
      </c>
      <c r="W26" s="18" cm="1">
        <f t="array" ref="W26">INDEX(GMWQ!$A$2:$NF$60,MATCH(1,(GMWQ!$NE$2:$NE$60=W$3)*(GMWQ!$NF$2:$NF$60=W$1),0),$B26-1966)</f>
        <v>15852.68</v>
      </c>
      <c r="X26" s="18" cm="1">
        <f t="array" ref="X26">INDEX(GMWQ!$A$2:$NF$60,MATCH(1,(GMWQ!$NE$2:$NE$60=X$3)*(GMWQ!$NF$2:$NF$60=X$1),0),$B26-1966)</f>
        <v>16984.580000000002</v>
      </c>
      <c r="Y26" s="18" cm="1">
        <f t="array" ref="Y26">INDEX(GMWQ!$A$2:$NF$60,MATCH(1,(GMWQ!$NE$2:$NE$60=Y$3)*(GMWQ!$NF$2:$NF$60=Y$1),0),$B26-1966)</f>
        <v>17716.36</v>
      </c>
      <c r="Z26" s="18" cm="1">
        <f t="array" ref="Z26">INDEX(GMWQ!$A$2:$NF$60,MATCH(1,(GMWQ!$NE$2:$NE$60=Z$3)*(GMWQ!$NF$2:$NF$60=Z$1),0),$B26-1966)</f>
        <v>16592.060000000001</v>
      </c>
    </row>
    <row r="27" spans="1:26" x14ac:dyDescent="0.25">
      <c r="A27" s="18">
        <v>1978</v>
      </c>
      <c r="B27" s="18">
        <f t="shared" si="1"/>
        <v>1993</v>
      </c>
      <c r="C27" s="18" cm="1">
        <f t="array" ref="C27">INDEX(GMWQ!$A$2:$NE$60,MATCH(1,(GMWQ!$NE$2:$NE$60=C$3)*(GMWQ!$ND$2:$ND$60=C$4),0),$B27-1966)</f>
        <v>18171.86</v>
      </c>
      <c r="D27" s="18" cm="1">
        <f t="array" ref="D27">INDEX(GMWQ!$A$2:$NE$60,MATCH(1,(GMWQ!$NE$2:$NE$60=D$3)*(GMWQ!$ND$2:$ND$60=D$4),0),$B27-1966)</f>
        <v>9233</v>
      </c>
      <c r="E27" s="18" cm="1">
        <f t="array" ref="E27">INDEX(GMWQ!$A$2:$NE$60,MATCH(1,(GMWQ!$NE$2:$NE$60=E$3)*(GMWQ!$ND$2:$ND$60=E$4),0),$B27-1966)</f>
        <v>1163.182</v>
      </c>
      <c r="F27" s="18" cm="1">
        <f t="array" ref="F27">INDEX(GMWQ!$A$2:$NE$60,MATCH(1,(GMWQ!$NE$2:$NE$60=F$3)*(GMWQ!$ND$2:$ND$60=F$4),0),$B27-1966)</f>
        <v>1027.441</v>
      </c>
      <c r="G27" s="18" cm="1">
        <f t="array" ref="G27">INDEX(GMWQ!$A$2:$NE$60,MATCH(1,(GMWQ!$NE$2:$NE$60=G$3)*(GMWQ!$ND$2:$ND$60=G$4),0),$B27-1966)</f>
        <v>44140</v>
      </c>
      <c r="H27" s="18" cm="1">
        <f t="array" ref="H27">INDEX(GMWQ!$A$2:$NE$60,MATCH(1,(GMWQ!$NE$2:$NE$60=H$3)*(GMWQ!$ND$2:$ND$60=H$4),0),$B27-1966)</f>
        <v>46164</v>
      </c>
      <c r="I27" s="18" cm="1">
        <f t="array" ref="I27">INDEX(GMWQ!$A$2:$NE$60,MATCH(1,(GMWQ!$NE$2:$NE$60=I$3)*(GMWQ!$ND$2:$ND$60=I$4),0),$B27-1966)</f>
        <v>5305.0550000000003</v>
      </c>
      <c r="J27" s="18" cm="1">
        <f t="array" ref="J27">INDEX(GMWQ!$A$2:$NE$60,MATCH(1,(GMWQ!$NE$2:$NE$60=J$3)*(GMWQ!$ND$2:$ND$60=J$4),0),$B27-1966)</f>
        <v>14370.08</v>
      </c>
      <c r="K27" s="18" cm="1">
        <f t="array" ref="K27">INDEX(GMWQ!$A$2:$NE$60,MATCH(1,(GMWQ!$NE$2:$NE$60=K$3)*(GMWQ!$ND$2:$ND$60=K$4),0),$B27-1966)</f>
        <v>1216243</v>
      </c>
      <c r="L27" s="18" cm="1">
        <f t="array" ref="L27">INDEX(GMWQ!$A$2:$NE$60,MATCH(1,(GMWQ!$NE$2:$NE$60=L$3)*(GMWQ!$ND$2:$ND$60=L$4),0),$B27-1966)</f>
        <v>24862</v>
      </c>
      <c r="M27" s="18" cm="1">
        <f t="array" ref="M27">INDEX(GMWQ!$A$2:$NE$60,MATCH(1,(GMWQ!$NE$2:$NE$60=M$3)*(GMWQ!$ND$2:$ND$60=M$4),0),$B27-1966)</f>
        <v>1E-3</v>
      </c>
      <c r="N27" s="18" cm="1">
        <f t="array" ref="N27">INDEX(GMWQ!$A$2:$NE$60,MATCH(1,(GMWQ!$NE$2:$NE$60=N$3)*(GMWQ!$ND$2:$ND$60=N$4),0),$B27-1966)</f>
        <v>3.6544479999999999</v>
      </c>
      <c r="O27" s="18" cm="1">
        <f t="array" ref="O27">INDEX(GMWQ!$A$2:$NE$60,MATCH(1,(GMWQ!$NE$2:$NE$60=O$3)*(GMWQ!$ND$2:$ND$60=O$4),0),$B27-1966)</f>
        <v>1E-3</v>
      </c>
      <c r="P27" s="18" cm="1">
        <f t="array" ref="P27">INDEX(GMWQ!$A$2:$NE$60,MATCH(1,(GMWQ!$NE$2:$NE$60=P$3)*(GMWQ!$ND$2:$ND$60=P$4),0),$B27-1966)</f>
        <v>19864.12</v>
      </c>
      <c r="Q27" s="18" cm="1">
        <f t="array" ref="Q27">INDEX(GMWQ!$A$2:$NE$60,MATCH(1,(GMWQ!$NE$2:$NE$60=Q$3)*(GMWQ!$ND$2:$ND$60=Q$4),0),$B27-1966)</f>
        <v>119.75</v>
      </c>
      <c r="R27" s="18" cm="1">
        <f t="array" ref="R27">INDEX(GMWQ!$A$2:$NE$60,MATCH(1,(GMWQ!$NE$2:$NE$60=R$3)*(GMWQ!$ND$2:$ND$60=R$4),0),$B27-1966)</f>
        <v>7206.4269999999997</v>
      </c>
      <c r="S27" s="18" cm="1">
        <f t="array" ref="S27">INDEX(GMWQ!$A$2:$NE$60,MATCH(1,(GMWQ!$NE$2:$NE$60=S$3)*(GMWQ!$ND$2:$ND$60=S$4),0),$B27-1966)</f>
        <v>41.486049999999999</v>
      </c>
      <c r="T27" s="18" cm="1">
        <f t="array" ref="T27">INDEX(GMWQ!$A$2:$NE$60,MATCH(1,(GMWQ!$NE$2:$NE$60=T$3)*(GMWQ!$ND$2:$ND$60=T$4),0),$B27-1966)</f>
        <v>24.507999999999999</v>
      </c>
      <c r="U27" s="18" cm="1">
        <f t="array" ref="U27">INDEX(GMWQ!$A$2:$NE$60,MATCH(1,(GMWQ!$NE$2:$NE$60=U$3)*(GMWQ!$ND$2:$ND$60=U$4),0),$B27-1966)</f>
        <v>25.97504</v>
      </c>
      <c r="V27" s="18" cm="1">
        <f t="array" ref="V27">INDEX(GMWQ!$A$2:$NE$60,MATCH(1,(GMWQ!$NE$2:$NE$60=V$3)*(GMWQ!$ND$2:$ND$60=V$4),0),$B27-1966)</f>
        <v>19430.75</v>
      </c>
      <c r="W27" s="18" cm="1">
        <f t="array" ref="W27">INDEX(GMWQ!$A$2:$NF$60,MATCH(1,(GMWQ!$NE$2:$NE$60=W$3)*(GMWQ!$NF$2:$NF$60=W$1),0),$B27-1966)</f>
        <v>16018.62</v>
      </c>
      <c r="X27" s="18" cm="1">
        <f t="array" ref="X27">INDEX(GMWQ!$A$2:$NF$60,MATCH(1,(GMWQ!$NE$2:$NE$60=X$3)*(GMWQ!$NF$2:$NF$60=X$1),0),$B27-1966)</f>
        <v>17162.37</v>
      </c>
      <c r="Y27" s="18" cm="1">
        <f t="array" ref="Y27">INDEX(GMWQ!$A$2:$NF$60,MATCH(1,(GMWQ!$NE$2:$NE$60=Y$3)*(GMWQ!$NF$2:$NF$60=Y$1),0),$B27-1966)</f>
        <v>17901.810000000001</v>
      </c>
      <c r="Z27" s="18" cm="1">
        <f t="array" ref="Z27">INDEX(GMWQ!$A$2:$NF$60,MATCH(1,(GMWQ!$NE$2:$NE$60=Z$3)*(GMWQ!$NF$2:$NF$60=Z$1),0),$B27-1966)</f>
        <v>16765.75</v>
      </c>
    </row>
    <row r="28" spans="1:26" x14ac:dyDescent="0.25">
      <c r="B28" s="18">
        <f t="shared" si="1"/>
        <v>1994</v>
      </c>
      <c r="C28" s="18" cm="1">
        <f t="array" ref="C28">INDEX(GMWQ!$A$2:$NE$60,MATCH(1,(GMWQ!$NE$2:$NE$60=C$3)*(GMWQ!$ND$2:$ND$60=C$4),0),$B28-1966)</f>
        <v>18430.91</v>
      </c>
      <c r="D28" s="18" cm="1">
        <f t="array" ref="D28">INDEX(GMWQ!$A$2:$NE$60,MATCH(1,(GMWQ!$NE$2:$NE$60=D$3)*(GMWQ!$ND$2:$ND$60=D$4),0),$B28-1966)</f>
        <v>9234</v>
      </c>
      <c r="E28" s="18" cm="1">
        <f t="array" ref="E28">INDEX(GMWQ!$A$2:$NE$60,MATCH(1,(GMWQ!$NE$2:$NE$60=E$3)*(GMWQ!$ND$2:$ND$60=E$4),0),$B28-1966)</f>
        <v>-153.1523</v>
      </c>
      <c r="F28" s="18" cm="1">
        <f t="array" ref="F28">INDEX(GMWQ!$A$2:$NE$60,MATCH(1,(GMWQ!$NE$2:$NE$60=F$3)*(GMWQ!$ND$2:$ND$60=F$4),0),$B28-1966)</f>
        <v>711.29960000000005</v>
      </c>
      <c r="G28" s="18" cm="1">
        <f t="array" ref="G28">INDEX(GMWQ!$A$2:$NE$60,MATCH(1,(GMWQ!$NE$2:$NE$60=G$3)*(GMWQ!$ND$2:$ND$60=G$4),0),$B28-1966)</f>
        <v>45905</v>
      </c>
      <c r="H28" s="18" cm="1">
        <f t="array" ref="H28">INDEX(GMWQ!$A$2:$NE$60,MATCH(1,(GMWQ!$NE$2:$NE$60=H$3)*(GMWQ!$ND$2:$ND$60=H$4),0),$B28-1966)</f>
        <v>46246</v>
      </c>
      <c r="I28" s="18" cm="1">
        <f t="array" ref="I28">INDEX(GMWQ!$A$2:$NE$60,MATCH(1,(GMWQ!$NE$2:$NE$60=I$3)*(GMWQ!$ND$2:$ND$60=I$4),0),$B28-1966)</f>
        <v>5169.5240000000003</v>
      </c>
      <c r="J28" s="18" cm="1">
        <f t="array" ref="J28">INDEX(GMWQ!$A$2:$NE$60,MATCH(1,(GMWQ!$NE$2:$NE$60=J$3)*(GMWQ!$ND$2:$ND$60=J$4),0),$B28-1966)</f>
        <v>12568.16</v>
      </c>
      <c r="K28" s="18" cm="1">
        <f t="array" ref="K28">INDEX(GMWQ!$A$2:$NE$60,MATCH(1,(GMWQ!$NE$2:$NE$60=K$3)*(GMWQ!$ND$2:$ND$60=K$4),0),$B28-1966)</f>
        <v>1223940</v>
      </c>
      <c r="L28" s="18" cm="1">
        <f t="array" ref="L28">INDEX(GMWQ!$A$2:$NE$60,MATCH(1,(GMWQ!$NE$2:$NE$60=L$3)*(GMWQ!$ND$2:$ND$60=L$4),0),$B28-1966)</f>
        <v>24897</v>
      </c>
      <c r="M28" s="18" cm="1">
        <f t="array" ref="M28">INDEX(GMWQ!$A$2:$NE$60,MATCH(1,(GMWQ!$NE$2:$NE$60=M$3)*(GMWQ!$ND$2:$ND$60=M$4),0),$B28-1966)</f>
        <v>1E-3</v>
      </c>
      <c r="N28" s="18" cm="1">
        <f t="array" ref="N28">INDEX(GMWQ!$A$2:$NE$60,MATCH(1,(GMWQ!$NE$2:$NE$60=N$3)*(GMWQ!$ND$2:$ND$60=N$4),0),$B28-1966)</f>
        <v>5.1189629999999999</v>
      </c>
      <c r="O28" s="18" cm="1">
        <f t="array" ref="O28">INDEX(GMWQ!$A$2:$NE$60,MATCH(1,(GMWQ!$NE$2:$NE$60=O$3)*(GMWQ!$ND$2:$ND$60=O$4),0),$B28-1966)</f>
        <v>1E-3</v>
      </c>
      <c r="P28" s="18" cm="1">
        <f t="array" ref="P28">INDEX(GMWQ!$A$2:$NE$60,MATCH(1,(GMWQ!$NE$2:$NE$60=P$3)*(GMWQ!$ND$2:$ND$60=P$4),0),$B28-1966)</f>
        <v>20471.5</v>
      </c>
      <c r="Q28" s="18" cm="1">
        <f t="array" ref="Q28">INDEX(GMWQ!$A$2:$NE$60,MATCH(1,(GMWQ!$NE$2:$NE$60=Q$3)*(GMWQ!$ND$2:$ND$60=Q$4),0),$B28-1966)</f>
        <v>129.02500000000001</v>
      </c>
      <c r="R28" s="18" cm="1">
        <f t="array" ref="R28">INDEX(GMWQ!$A$2:$NE$60,MATCH(1,(GMWQ!$NE$2:$NE$60=R$3)*(GMWQ!$ND$2:$ND$60=R$4),0),$B28-1966)</f>
        <v>7358.9359999999997</v>
      </c>
      <c r="S28" s="18" cm="1">
        <f t="array" ref="S28">INDEX(GMWQ!$A$2:$NE$60,MATCH(1,(GMWQ!$NE$2:$NE$60=S$3)*(GMWQ!$ND$2:$ND$60=S$4),0),$B28-1966)</f>
        <v>40.388179999999998</v>
      </c>
      <c r="T28" s="18" cm="1">
        <f t="array" ref="T28">INDEX(GMWQ!$A$2:$NE$60,MATCH(1,(GMWQ!$NE$2:$NE$60=T$3)*(GMWQ!$ND$2:$ND$60=T$4),0),$B28-1966)</f>
        <v>24.923999999999999</v>
      </c>
      <c r="U28" s="18" cm="1">
        <f t="array" ref="U28">INDEX(GMWQ!$A$2:$NE$60,MATCH(1,(GMWQ!$NE$2:$NE$60=U$3)*(GMWQ!$ND$2:$ND$60=U$4),0),$B28-1966)</f>
        <v>26.74783</v>
      </c>
      <c r="V28" s="18" cm="1">
        <f t="array" ref="V28">INDEX(GMWQ!$A$2:$NE$60,MATCH(1,(GMWQ!$NE$2:$NE$60=V$3)*(GMWQ!$ND$2:$ND$60=V$4),0),$B28-1966)</f>
        <v>19948.5</v>
      </c>
      <c r="W28" s="18" cm="1">
        <f t="array" ref="W28">INDEX(GMWQ!$A$2:$NF$60,MATCH(1,(GMWQ!$NE$2:$NE$60=W$3)*(GMWQ!$NF$2:$NF$60=W$1),0),$B28-1966)</f>
        <v>16246.97</v>
      </c>
      <c r="X28" s="18" cm="1">
        <f t="array" ref="X28">INDEX(GMWQ!$A$2:$NF$60,MATCH(1,(GMWQ!$NE$2:$NE$60=X$3)*(GMWQ!$NF$2:$NF$60=X$1),0),$B28-1966)</f>
        <v>17407.03</v>
      </c>
      <c r="Y28" s="18" cm="1">
        <f t="array" ref="Y28">INDEX(GMWQ!$A$2:$NF$60,MATCH(1,(GMWQ!$NE$2:$NE$60=Y$3)*(GMWQ!$NF$2:$NF$60=Y$1),0),$B28-1966)</f>
        <v>18157.009999999998</v>
      </c>
      <c r="Z28" s="18" cm="1">
        <f t="array" ref="Z28">INDEX(GMWQ!$A$2:$NF$60,MATCH(1,(GMWQ!$NE$2:$NE$60=Z$3)*(GMWQ!$NF$2:$NF$60=Z$1),0),$B28-1966)</f>
        <v>17004.75</v>
      </c>
    </row>
    <row r="29" spans="1:26" x14ac:dyDescent="0.25">
      <c r="B29" s="18">
        <f t="shared" si="1"/>
        <v>1995</v>
      </c>
      <c r="C29" s="18" cm="1">
        <f t="array" ref="C29">INDEX(GMWQ!$A$2:$NE$60,MATCH(1,(GMWQ!$NE$2:$NE$60=C$3)*(GMWQ!$ND$2:$ND$60=C$4),0),$B29-1966)</f>
        <v>17861.330000000002</v>
      </c>
      <c r="D29" s="18" cm="1">
        <f t="array" ref="D29">INDEX(GMWQ!$A$2:$NE$60,MATCH(1,(GMWQ!$NE$2:$NE$60=D$3)*(GMWQ!$ND$2:$ND$60=D$4),0),$B29-1966)</f>
        <v>9737</v>
      </c>
      <c r="E29" s="18" cm="1">
        <f t="array" ref="E29">INDEX(GMWQ!$A$2:$NE$60,MATCH(1,(GMWQ!$NE$2:$NE$60=E$3)*(GMWQ!$ND$2:$ND$60=E$4),0),$B29-1966)</f>
        <v>1174.8140000000001</v>
      </c>
      <c r="F29" s="18" cm="1">
        <f t="array" ref="F29">INDEX(GMWQ!$A$2:$NE$60,MATCH(1,(GMWQ!$NE$2:$NE$60=F$3)*(GMWQ!$ND$2:$ND$60=F$4),0),$B29-1966)</f>
        <v>1432.0060000000001</v>
      </c>
      <c r="G29" s="18" cm="1">
        <f t="array" ref="G29">INDEX(GMWQ!$A$2:$NE$60,MATCH(1,(GMWQ!$NE$2:$NE$60=G$3)*(GMWQ!$ND$2:$ND$60=G$4),0),$B29-1966)</f>
        <v>47207</v>
      </c>
      <c r="H29" s="18" cm="1">
        <f t="array" ref="H29">INDEX(GMWQ!$A$2:$NE$60,MATCH(1,(GMWQ!$NE$2:$NE$60=H$3)*(GMWQ!$ND$2:$ND$60=H$4),0),$B29-1966)</f>
        <v>46206</v>
      </c>
      <c r="I29" s="18" cm="1">
        <f t="array" ref="I29">INDEX(GMWQ!$A$2:$NE$60,MATCH(1,(GMWQ!$NE$2:$NE$60=I$3)*(GMWQ!$ND$2:$ND$60=I$4),0),$B29-1966)</f>
        <v>5137.2550000000001</v>
      </c>
      <c r="J29" s="18" cm="1">
        <f t="array" ref="J29">INDEX(GMWQ!$A$2:$NE$60,MATCH(1,(GMWQ!$NE$2:$NE$60=J$3)*(GMWQ!$ND$2:$ND$60=J$4),0),$B29-1966)</f>
        <v>12635.81</v>
      </c>
      <c r="K29" s="18" cm="1">
        <f t="array" ref="K29">INDEX(GMWQ!$A$2:$NE$60,MATCH(1,(GMWQ!$NE$2:$NE$60=K$3)*(GMWQ!$ND$2:$ND$60=K$4),0),$B29-1966)</f>
        <v>1231636</v>
      </c>
      <c r="L29" s="18" cm="1">
        <f t="array" ref="L29">INDEX(GMWQ!$A$2:$NE$60,MATCH(1,(GMWQ!$NE$2:$NE$60=L$3)*(GMWQ!$ND$2:$ND$60=L$4),0),$B29-1966)</f>
        <v>24941</v>
      </c>
      <c r="M29" s="18" cm="1">
        <f t="array" ref="M29">INDEX(GMWQ!$A$2:$NE$60,MATCH(1,(GMWQ!$NE$2:$NE$60=M$3)*(GMWQ!$ND$2:$ND$60=M$4),0),$B29-1966)</f>
        <v>1E-3</v>
      </c>
      <c r="N29" s="18" cm="1">
        <f t="array" ref="N29">INDEX(GMWQ!$A$2:$NE$60,MATCH(1,(GMWQ!$NE$2:$NE$60=N$3)*(GMWQ!$ND$2:$ND$60=N$4),0),$B29-1966)</f>
        <v>5.3099350000000003</v>
      </c>
      <c r="O29" s="18" cm="1">
        <f t="array" ref="O29">INDEX(GMWQ!$A$2:$NE$60,MATCH(1,(GMWQ!$NE$2:$NE$60=O$3)*(GMWQ!$ND$2:$ND$60=O$4),0),$B29-1966)</f>
        <v>1E-3</v>
      </c>
      <c r="P29" s="18" cm="1">
        <f t="array" ref="P29">INDEX(GMWQ!$A$2:$NE$60,MATCH(1,(GMWQ!$NE$2:$NE$60=P$3)*(GMWQ!$ND$2:$ND$60=P$4),0),$B29-1966)</f>
        <v>20914.240000000002</v>
      </c>
      <c r="Q29" s="18" cm="1">
        <f t="array" ref="Q29">INDEX(GMWQ!$A$2:$NE$60,MATCH(1,(GMWQ!$NE$2:$NE$60=Q$3)*(GMWQ!$ND$2:$ND$60=Q$4),0),$B29-1966)</f>
        <v>133.42500000000001</v>
      </c>
      <c r="R29" s="18" cm="1">
        <f t="array" ref="R29">INDEX(GMWQ!$A$2:$NE$60,MATCH(1,(GMWQ!$NE$2:$NE$60=R$3)*(GMWQ!$ND$2:$ND$60=R$4),0),$B29-1966)</f>
        <v>7538.268</v>
      </c>
      <c r="S29" s="18" cm="1">
        <f t="array" ref="S29">INDEX(GMWQ!$A$2:$NE$60,MATCH(1,(GMWQ!$NE$2:$NE$60=S$3)*(GMWQ!$ND$2:$ND$60=S$4),0),$B29-1966)</f>
        <v>44.956510000000002</v>
      </c>
      <c r="T29" s="18" cm="1">
        <f t="array" ref="T29">INDEX(GMWQ!$A$2:$NE$60,MATCH(1,(GMWQ!$NE$2:$NE$60=T$3)*(GMWQ!$ND$2:$ND$60=T$4),0),$B29-1966)</f>
        <v>24.696999999999999</v>
      </c>
      <c r="U29" s="18" cm="1">
        <f t="array" ref="U29">INDEX(GMWQ!$A$2:$NE$60,MATCH(1,(GMWQ!$NE$2:$NE$60=U$3)*(GMWQ!$ND$2:$ND$60=U$4),0),$B29-1966)</f>
        <v>27.631430000000002</v>
      </c>
      <c r="V29" s="18" cm="1">
        <f t="array" ref="V29">INDEX(GMWQ!$A$2:$NE$60,MATCH(1,(GMWQ!$NE$2:$NE$60=V$3)*(GMWQ!$ND$2:$ND$60=V$4),0),$B29-1966)</f>
        <v>19940.5</v>
      </c>
      <c r="W29" s="18" cm="1">
        <f t="array" ref="W29">INDEX(GMWQ!$A$2:$NF$60,MATCH(1,(GMWQ!$NE$2:$NE$60=W$3)*(GMWQ!$NF$2:$NF$60=W$1),0),$B29-1966)</f>
        <v>15744.88</v>
      </c>
      <c r="X29" s="18" cm="1">
        <f t="array" ref="X29">INDEX(GMWQ!$A$2:$NF$60,MATCH(1,(GMWQ!$NE$2:$NE$60=X$3)*(GMWQ!$NF$2:$NF$60=X$1),0),$B29-1966)</f>
        <v>16869.09</v>
      </c>
      <c r="Y29" s="18" cm="1">
        <f t="array" ref="Y29">INDEX(GMWQ!$A$2:$NF$60,MATCH(1,(GMWQ!$NE$2:$NE$60=Y$3)*(GMWQ!$NF$2:$NF$60=Y$1),0),$B29-1966)</f>
        <v>17595.89</v>
      </c>
      <c r="Z29" s="18" cm="1">
        <f t="array" ref="Z29">INDEX(GMWQ!$A$2:$NF$60,MATCH(1,(GMWQ!$NE$2:$NE$60=Z$3)*(GMWQ!$NF$2:$NF$60=Z$1),0),$B29-1966)</f>
        <v>16479.240000000002</v>
      </c>
    </row>
    <row r="30" spans="1:26" x14ac:dyDescent="0.25">
      <c r="B30" s="18">
        <f t="shared" si="1"/>
        <v>1996</v>
      </c>
      <c r="C30" s="18" cm="1">
        <f t="array" ref="C30">INDEX(GMWQ!$A$2:$NE$60,MATCH(1,(GMWQ!$NE$2:$NE$60=C$3)*(GMWQ!$ND$2:$ND$60=C$4),0),$B30-1966)</f>
        <v>17591.02</v>
      </c>
      <c r="D30" s="18" cm="1">
        <f t="array" ref="D30">INDEX(GMWQ!$A$2:$NE$60,MATCH(1,(GMWQ!$NE$2:$NE$60=D$3)*(GMWQ!$ND$2:$ND$60=D$4),0),$B30-1966)</f>
        <v>9903</v>
      </c>
      <c r="E30" s="18" cm="1">
        <f t="array" ref="E30">INDEX(GMWQ!$A$2:$NE$60,MATCH(1,(GMWQ!$NE$2:$NE$60=E$3)*(GMWQ!$ND$2:$ND$60=E$4),0),$B30-1966)</f>
        <v>-122.1341</v>
      </c>
      <c r="F30" s="18" cm="1">
        <f t="array" ref="F30">INDEX(GMWQ!$A$2:$NE$60,MATCH(1,(GMWQ!$NE$2:$NE$60=F$3)*(GMWQ!$ND$2:$ND$60=F$4),0),$B30-1966)</f>
        <v>-1265.211</v>
      </c>
      <c r="G30" s="18" cm="1">
        <f t="array" ref="G30">INDEX(GMWQ!$A$2:$NE$60,MATCH(1,(GMWQ!$NE$2:$NE$60=G$3)*(GMWQ!$ND$2:$ND$60=G$4),0),$B30-1966)</f>
        <v>48906</v>
      </c>
      <c r="H30" s="18" cm="1">
        <f t="array" ref="H30">INDEX(GMWQ!$A$2:$NE$60,MATCH(1,(GMWQ!$NE$2:$NE$60=H$3)*(GMWQ!$ND$2:$ND$60=H$4),0),$B30-1966)</f>
        <v>46354</v>
      </c>
      <c r="I30" s="18" cm="1">
        <f t="array" ref="I30">INDEX(GMWQ!$A$2:$NE$60,MATCH(1,(GMWQ!$NE$2:$NE$60=I$3)*(GMWQ!$ND$2:$ND$60=I$4),0),$B30-1966)</f>
        <v>4842.53</v>
      </c>
      <c r="J30" s="18" cm="1">
        <f t="array" ref="J30">INDEX(GMWQ!$A$2:$NE$60,MATCH(1,(GMWQ!$NE$2:$NE$60=J$3)*(GMWQ!$ND$2:$ND$60=J$4),0),$B30-1966)</f>
        <v>13672.87</v>
      </c>
      <c r="K30" s="18" cm="1">
        <f t="array" ref="K30">INDEX(GMWQ!$A$2:$NE$60,MATCH(1,(GMWQ!$NE$2:$NE$60=K$3)*(GMWQ!$ND$2:$ND$60=K$4),0),$B30-1966)</f>
        <v>1239333</v>
      </c>
      <c r="L30" s="18" cm="1">
        <f t="array" ref="L30">INDEX(GMWQ!$A$2:$NE$60,MATCH(1,(GMWQ!$NE$2:$NE$60=L$3)*(GMWQ!$ND$2:$ND$60=L$4),0),$B30-1966)</f>
        <v>25059</v>
      </c>
      <c r="M30" s="18" cm="1">
        <f t="array" ref="M30">INDEX(GMWQ!$A$2:$NE$60,MATCH(1,(GMWQ!$NE$2:$NE$60=M$3)*(GMWQ!$ND$2:$ND$60=M$4),0),$B30-1966)</f>
        <v>1E-3</v>
      </c>
      <c r="N30" s="18" cm="1">
        <f t="array" ref="N30">INDEX(GMWQ!$A$2:$NE$60,MATCH(1,(GMWQ!$NE$2:$NE$60=N$3)*(GMWQ!$ND$2:$ND$60=N$4),0),$B30-1966)</f>
        <v>6.4699989999999996</v>
      </c>
      <c r="O30" s="18" cm="1">
        <f t="array" ref="O30">INDEX(GMWQ!$A$2:$NE$60,MATCH(1,(GMWQ!$NE$2:$NE$60=O$3)*(GMWQ!$ND$2:$ND$60=O$4),0),$B30-1966)</f>
        <v>1E-3</v>
      </c>
      <c r="P30" s="18" cm="1">
        <f t="array" ref="P30">INDEX(GMWQ!$A$2:$NE$60,MATCH(1,(GMWQ!$NE$2:$NE$60=P$3)*(GMWQ!$ND$2:$ND$60=P$4),0),$B30-1966)</f>
        <v>21531.67</v>
      </c>
      <c r="Q30" s="18" cm="1">
        <f t="array" ref="Q30">INDEX(GMWQ!$A$2:$NE$60,MATCH(1,(GMWQ!$NE$2:$NE$60=Q$3)*(GMWQ!$ND$2:$ND$60=Q$4),0),$B30-1966)</f>
        <v>137.72499999999999</v>
      </c>
      <c r="R30" s="18" cm="1">
        <f t="array" ref="R30">INDEX(GMWQ!$A$2:$NE$60,MATCH(1,(GMWQ!$NE$2:$NE$60=R$3)*(GMWQ!$ND$2:$ND$60=R$4),0),$B30-1966)</f>
        <v>8021.7269999999999</v>
      </c>
      <c r="S30" s="18" cm="1">
        <f t="array" ref="S30">INDEX(GMWQ!$A$2:$NE$60,MATCH(1,(GMWQ!$NE$2:$NE$60=S$3)*(GMWQ!$ND$2:$ND$60=S$4),0),$B30-1966)</f>
        <v>45.094250000000002</v>
      </c>
      <c r="T30" s="18" cm="1">
        <f t="array" ref="T30">INDEX(GMWQ!$A$2:$NE$60,MATCH(1,(GMWQ!$NE$2:$NE$60=T$3)*(GMWQ!$ND$2:$ND$60=T$4),0),$B30-1966)</f>
        <v>25.059000000000001</v>
      </c>
      <c r="U30" s="18" cm="1">
        <f t="array" ref="U30">INDEX(GMWQ!$A$2:$NE$60,MATCH(1,(GMWQ!$NE$2:$NE$60=U$3)*(GMWQ!$ND$2:$ND$60=U$4),0),$B30-1966)</f>
        <v>28.570679999999999</v>
      </c>
      <c r="V30" s="18" cm="1">
        <f t="array" ref="V30">INDEX(GMWQ!$A$2:$NE$60,MATCH(1,(GMWQ!$NE$2:$NE$60=V$3)*(GMWQ!$ND$2:$ND$60=V$4),0),$B30-1966)</f>
        <v>20165.75</v>
      </c>
      <c r="W30" s="18" cm="1">
        <f t="array" ref="W30">INDEX(GMWQ!$A$2:$NF$60,MATCH(1,(GMWQ!$NE$2:$NE$60=W$3)*(GMWQ!$NF$2:$NF$60=W$1),0),$B30-1966)</f>
        <v>15506.61</v>
      </c>
      <c r="X30" s="18" cm="1">
        <f t="array" ref="X30">INDEX(GMWQ!$A$2:$NF$60,MATCH(1,(GMWQ!$NE$2:$NE$60=X$3)*(GMWQ!$NF$2:$NF$60=X$1),0),$B30-1966)</f>
        <v>16613.79</v>
      </c>
      <c r="Y30" s="18" cm="1">
        <f t="array" ref="Y30">INDEX(GMWQ!$A$2:$NF$60,MATCH(1,(GMWQ!$NE$2:$NE$60=Y$3)*(GMWQ!$NF$2:$NF$60=Y$1),0),$B30-1966)</f>
        <v>17329.599999999999</v>
      </c>
      <c r="Z30" s="18" cm="1">
        <f t="array" ref="Z30">INDEX(GMWQ!$A$2:$NF$60,MATCH(1,(GMWQ!$NE$2:$NE$60=Z$3)*(GMWQ!$NF$2:$NF$60=Z$1),0),$B30-1966)</f>
        <v>16229.85</v>
      </c>
    </row>
    <row r="31" spans="1:26" x14ac:dyDescent="0.25">
      <c r="A31" s="18">
        <v>1979</v>
      </c>
      <c r="B31" s="18">
        <f t="shared" si="1"/>
        <v>1997</v>
      </c>
      <c r="C31" s="18" cm="1">
        <f t="array" ref="C31">INDEX(GMWQ!$A$2:$NE$60,MATCH(1,(GMWQ!$NE$2:$NE$60=C$3)*(GMWQ!$ND$2:$ND$60=C$4),0),$B31-1966)</f>
        <v>18372.98</v>
      </c>
      <c r="D31" s="18" cm="1">
        <f t="array" ref="D31">INDEX(GMWQ!$A$2:$NE$60,MATCH(1,(GMWQ!$NE$2:$NE$60=D$3)*(GMWQ!$ND$2:$ND$60=D$4),0),$B31-1966)</f>
        <v>10109</v>
      </c>
      <c r="E31" s="18" cm="1">
        <f t="array" ref="E31">INDEX(GMWQ!$A$2:$NE$60,MATCH(1,(GMWQ!$NE$2:$NE$60=E$3)*(GMWQ!$ND$2:$ND$60=E$4),0),$B31-1966)</f>
        <v>-953.80909999999994</v>
      </c>
      <c r="F31" s="18" cm="1">
        <f t="array" ref="F31">INDEX(GMWQ!$A$2:$NE$60,MATCH(1,(GMWQ!$NE$2:$NE$60=F$3)*(GMWQ!$ND$2:$ND$60=F$4),0),$B31-1966)</f>
        <v>-3118.511</v>
      </c>
      <c r="G31" s="18" cm="1">
        <f t="array" ref="G31">INDEX(GMWQ!$A$2:$NE$60,MATCH(1,(GMWQ!$NE$2:$NE$60=G$3)*(GMWQ!$ND$2:$ND$60=G$4),0),$B31-1966)</f>
        <v>50459</v>
      </c>
      <c r="H31" s="18" cm="1">
        <f t="array" ref="H31">INDEX(GMWQ!$A$2:$NE$60,MATCH(1,(GMWQ!$NE$2:$NE$60=H$3)*(GMWQ!$ND$2:$ND$60=H$4),0),$B31-1966)</f>
        <v>48743</v>
      </c>
      <c r="I31" s="18" cm="1">
        <f t="array" ref="I31">INDEX(GMWQ!$A$2:$NE$60,MATCH(1,(GMWQ!$NE$2:$NE$60=I$3)*(GMWQ!$ND$2:$ND$60=I$4),0),$B31-1966)</f>
        <v>4855.4380000000001</v>
      </c>
      <c r="J31" s="18" cm="1">
        <f t="array" ref="J31">INDEX(GMWQ!$A$2:$NE$60,MATCH(1,(GMWQ!$NE$2:$NE$60=J$3)*(GMWQ!$ND$2:$ND$60=J$4),0),$B31-1966)</f>
        <v>13675.09</v>
      </c>
      <c r="K31" s="18" cm="1">
        <f t="array" ref="K31">INDEX(GMWQ!$A$2:$NE$60,MATCH(1,(GMWQ!$NE$2:$NE$60=K$3)*(GMWQ!$ND$2:$ND$60=K$4),0),$B31-1966)</f>
        <v>1245302</v>
      </c>
      <c r="L31" s="18" cm="1">
        <f t="array" ref="L31">INDEX(GMWQ!$A$2:$NE$60,MATCH(1,(GMWQ!$NE$2:$NE$60=L$3)*(GMWQ!$ND$2:$ND$60=L$4),0),$B31-1966)</f>
        <v>25113</v>
      </c>
      <c r="M31" s="18" cm="1">
        <f t="array" ref="M31">INDEX(GMWQ!$A$2:$NE$60,MATCH(1,(GMWQ!$NE$2:$NE$60=M$3)*(GMWQ!$ND$2:$ND$60=M$4),0),$B31-1966)</f>
        <v>1E-3</v>
      </c>
      <c r="N31" s="18" cm="1">
        <f t="array" ref="N31">INDEX(GMWQ!$A$2:$NE$60,MATCH(1,(GMWQ!$NE$2:$NE$60=N$3)*(GMWQ!$ND$2:$ND$60=N$4),0),$B31-1966)</f>
        <v>7.2590170000000001</v>
      </c>
      <c r="O31" s="18" cm="1">
        <f t="array" ref="O31">INDEX(GMWQ!$A$2:$NE$60,MATCH(1,(GMWQ!$NE$2:$NE$60=O$3)*(GMWQ!$ND$2:$ND$60=O$4),0),$B31-1966)</f>
        <v>1E-3</v>
      </c>
      <c r="P31" s="18" cm="1">
        <f t="array" ref="P31">INDEX(GMWQ!$A$2:$NE$60,MATCH(1,(GMWQ!$NE$2:$NE$60=P$3)*(GMWQ!$ND$2:$ND$60=P$4),0),$B31-1966)</f>
        <v>22671.15</v>
      </c>
      <c r="Q31" s="18" cm="1">
        <f t="array" ref="Q31">INDEX(GMWQ!$A$2:$NE$60,MATCH(1,(GMWQ!$NE$2:$NE$60=Q$3)*(GMWQ!$ND$2:$ND$60=Q$4),0),$B31-1966)</f>
        <v>140.9</v>
      </c>
      <c r="R31" s="18" cm="1">
        <f t="array" ref="R31">INDEX(GMWQ!$A$2:$NE$60,MATCH(1,(GMWQ!$NE$2:$NE$60=R$3)*(GMWQ!$ND$2:$ND$60=R$4),0),$B31-1966)</f>
        <v>8321.4240000000009</v>
      </c>
      <c r="S31" s="18" cm="1">
        <f t="array" ref="S31">INDEX(GMWQ!$A$2:$NE$60,MATCH(1,(GMWQ!$NE$2:$NE$60=S$3)*(GMWQ!$ND$2:$ND$60=S$4),0),$B31-1966)</f>
        <v>44.981270000000002</v>
      </c>
      <c r="T31" s="18" cm="1">
        <f t="array" ref="T31">INDEX(GMWQ!$A$2:$NE$60,MATCH(1,(GMWQ!$NE$2:$NE$60=T$3)*(GMWQ!$ND$2:$ND$60=T$4),0),$B31-1966)</f>
        <v>24.712009999999999</v>
      </c>
      <c r="U31" s="18" cm="1">
        <f t="array" ref="U31">INDEX(GMWQ!$A$2:$NE$60,MATCH(1,(GMWQ!$NE$2:$NE$60=U$3)*(GMWQ!$ND$2:$ND$60=U$4),0),$B31-1966)</f>
        <v>28.16347</v>
      </c>
      <c r="V31" s="18" cm="1">
        <f t="array" ref="V31">INDEX(GMWQ!$A$2:$NE$60,MATCH(1,(GMWQ!$NE$2:$NE$60=V$3)*(GMWQ!$ND$2:$ND$60=V$4),0),$B31-1966)</f>
        <v>20748.5</v>
      </c>
      <c r="W31" s="18" cm="1">
        <f t="array" ref="W31">INDEX(GMWQ!$A$2:$NF$60,MATCH(1,(GMWQ!$NE$2:$NE$60=W$3)*(GMWQ!$NF$2:$NF$60=W$1),0),$B31-1966)</f>
        <v>16195.91</v>
      </c>
      <c r="X31" s="18" cm="1">
        <f t="array" ref="X31">INDEX(GMWQ!$A$2:$NF$60,MATCH(1,(GMWQ!$NE$2:$NE$60=X$3)*(GMWQ!$NF$2:$NF$60=X$1),0),$B31-1966)</f>
        <v>17352.32</v>
      </c>
      <c r="Y31" s="18" cm="1">
        <f t="array" ref="Y31">INDEX(GMWQ!$A$2:$NF$60,MATCH(1,(GMWQ!$NE$2:$NE$60=Y$3)*(GMWQ!$NF$2:$NF$60=Y$1),0),$B31-1966)</f>
        <v>18099.939999999999</v>
      </c>
      <c r="Z31" s="18" cm="1">
        <f t="array" ref="Z31">INDEX(GMWQ!$A$2:$NF$60,MATCH(1,(GMWQ!$NE$2:$NE$60=Z$3)*(GMWQ!$NF$2:$NF$60=Z$1),0),$B31-1966)</f>
        <v>16951.310000000001</v>
      </c>
    </row>
    <row r="32" spans="1:26" x14ac:dyDescent="0.25">
      <c r="B32" s="18">
        <f t="shared" si="1"/>
        <v>1998</v>
      </c>
      <c r="C32" s="18" cm="1">
        <f t="array" ref="C32">INDEX(GMWQ!$A$2:$NE$60,MATCH(1,(GMWQ!$NE$2:$NE$60=C$3)*(GMWQ!$ND$2:$ND$60=C$4),0),$B32-1966)</f>
        <v>18646.509999999998</v>
      </c>
      <c r="D32" s="18" cm="1">
        <f t="array" ref="D32">INDEX(GMWQ!$A$2:$NE$60,MATCH(1,(GMWQ!$NE$2:$NE$60=D$3)*(GMWQ!$ND$2:$ND$60=D$4),0),$B32-1966)</f>
        <v>11219</v>
      </c>
      <c r="E32" s="18" cm="1">
        <f t="array" ref="E32">INDEX(GMWQ!$A$2:$NE$60,MATCH(1,(GMWQ!$NE$2:$NE$60=E$3)*(GMWQ!$ND$2:$ND$60=E$4),0),$B32-1966)</f>
        <v>339.26139999999998</v>
      </c>
      <c r="F32" s="18" cm="1">
        <f t="array" ref="F32">INDEX(GMWQ!$A$2:$NE$60,MATCH(1,(GMWQ!$NE$2:$NE$60=F$3)*(GMWQ!$ND$2:$ND$60=F$4),0),$B32-1966)</f>
        <v>-868.11360000000002</v>
      </c>
      <c r="G32" s="18" cm="1">
        <f t="array" ref="G32">INDEX(GMWQ!$A$2:$NE$60,MATCH(1,(GMWQ!$NE$2:$NE$60=G$3)*(GMWQ!$ND$2:$ND$60=G$4),0),$B32-1966)</f>
        <v>53966</v>
      </c>
      <c r="H32" s="18" cm="1">
        <f t="array" ref="H32">INDEX(GMWQ!$A$2:$NE$60,MATCH(1,(GMWQ!$NE$2:$NE$60=H$3)*(GMWQ!$ND$2:$ND$60=H$4),0),$B32-1966)</f>
        <v>49861</v>
      </c>
      <c r="I32" s="18" cm="1">
        <f t="array" ref="I32">INDEX(GMWQ!$A$2:$NE$60,MATCH(1,(GMWQ!$NE$2:$NE$60=I$3)*(GMWQ!$ND$2:$ND$60=I$4),0),$B32-1966)</f>
        <v>4861.8909999999996</v>
      </c>
      <c r="J32" s="18" cm="1">
        <f t="array" ref="J32">INDEX(GMWQ!$A$2:$NE$60,MATCH(1,(GMWQ!$NE$2:$NE$60=J$3)*(GMWQ!$ND$2:$ND$60=J$4),0),$B32-1966)</f>
        <v>13978.23</v>
      </c>
      <c r="K32" s="18" cm="1">
        <f t="array" ref="K32">INDEX(GMWQ!$A$2:$NE$60,MATCH(1,(GMWQ!$NE$2:$NE$60=K$3)*(GMWQ!$ND$2:$ND$60=K$4),0),$B32-1966)</f>
        <v>1251271</v>
      </c>
      <c r="L32" s="18" cm="1">
        <f t="array" ref="L32">INDEX(GMWQ!$A$2:$NE$60,MATCH(1,(GMWQ!$NE$2:$NE$60=L$3)*(GMWQ!$ND$2:$ND$60=L$4),0),$B32-1966)</f>
        <v>25159</v>
      </c>
      <c r="M32" s="18" cm="1">
        <f t="array" ref="M32">INDEX(GMWQ!$A$2:$NE$60,MATCH(1,(GMWQ!$NE$2:$NE$60=M$3)*(GMWQ!$ND$2:$ND$60=M$4),0),$B32-1966)</f>
        <v>1E-3</v>
      </c>
      <c r="N32" s="18" cm="1">
        <f t="array" ref="N32">INDEX(GMWQ!$A$2:$NE$60,MATCH(1,(GMWQ!$NE$2:$NE$60=N$3)*(GMWQ!$ND$2:$ND$60=N$4),0),$B32-1966)</f>
        <v>6.6247119999999997</v>
      </c>
      <c r="O32" s="18" cm="1">
        <f t="array" ref="O32">INDEX(GMWQ!$A$2:$NE$60,MATCH(1,(GMWQ!$NE$2:$NE$60=O$3)*(GMWQ!$ND$2:$ND$60=O$4),0),$B32-1966)</f>
        <v>1E-3</v>
      </c>
      <c r="P32" s="18" cm="1">
        <f t="array" ref="P32">INDEX(GMWQ!$A$2:$NE$60,MATCH(1,(GMWQ!$NE$2:$NE$60=P$3)*(GMWQ!$ND$2:$ND$60=P$4),0),$B32-1966)</f>
        <v>23798.59</v>
      </c>
      <c r="Q32" s="18" cm="1">
        <f t="array" ref="Q32">INDEX(GMWQ!$A$2:$NE$60,MATCH(1,(GMWQ!$NE$2:$NE$60=Q$3)*(GMWQ!$ND$2:$ND$60=Q$4),0),$B32-1966)</f>
        <v>140.75</v>
      </c>
      <c r="R32" s="18" cm="1">
        <f t="array" ref="R32">INDEX(GMWQ!$A$2:$NE$60,MATCH(1,(GMWQ!$NE$2:$NE$60=R$3)*(GMWQ!$ND$2:$ND$60=R$4),0),$B32-1966)</f>
        <v>8423.9500000000007</v>
      </c>
      <c r="S32" s="18" cm="1">
        <f t="array" ref="S32">INDEX(GMWQ!$A$2:$NE$60,MATCH(1,(GMWQ!$NE$2:$NE$60=S$3)*(GMWQ!$ND$2:$ND$60=S$4),0),$B32-1966)</f>
        <v>45.945590000000003</v>
      </c>
      <c r="T32" s="18" cm="1">
        <f t="array" ref="T32">INDEX(GMWQ!$A$2:$NE$60,MATCH(1,(GMWQ!$NE$2:$NE$60=T$3)*(GMWQ!$ND$2:$ND$60=T$4),0),$B32-1966)</f>
        <v>25.109000000000002</v>
      </c>
      <c r="U32" s="18" cm="1">
        <f t="array" ref="U32">INDEX(GMWQ!$A$2:$NE$60,MATCH(1,(GMWQ!$NE$2:$NE$60=U$3)*(GMWQ!$ND$2:$ND$60=U$4),0),$B32-1966)</f>
        <v>28.80829</v>
      </c>
      <c r="V32" s="18" cm="1">
        <f t="array" ref="V32">INDEX(GMWQ!$A$2:$NE$60,MATCH(1,(GMWQ!$NE$2:$NE$60=V$3)*(GMWQ!$ND$2:$ND$60=V$4),0),$B32-1966)</f>
        <v>21667.5</v>
      </c>
      <c r="W32" s="18" cm="1">
        <f t="array" ref="W32">INDEX(GMWQ!$A$2:$NF$60,MATCH(1,(GMWQ!$NE$2:$NE$60=W$3)*(GMWQ!$NF$2:$NF$60=W$1),0),$B32-1966)</f>
        <v>16437.03</v>
      </c>
      <c r="X32" s="18" cm="1">
        <f t="array" ref="X32">INDEX(GMWQ!$A$2:$NF$60,MATCH(1,(GMWQ!$NE$2:$NE$60=X$3)*(GMWQ!$NF$2:$NF$60=X$1),0),$B32-1966)</f>
        <v>17610.650000000001</v>
      </c>
      <c r="Y32" s="18" cm="1">
        <f t="array" ref="Y32">INDEX(GMWQ!$A$2:$NF$60,MATCH(1,(GMWQ!$NE$2:$NE$60=Y$3)*(GMWQ!$NF$2:$NF$60=Y$1),0),$B32-1966)</f>
        <v>18369.41</v>
      </c>
      <c r="Z32" s="18" cm="1">
        <f t="array" ref="Z32">INDEX(GMWQ!$A$2:$NF$60,MATCH(1,(GMWQ!$NE$2:$NE$60=Z$3)*(GMWQ!$NF$2:$NF$60=Z$1),0),$B32-1966)</f>
        <v>17203.669999999998</v>
      </c>
    </row>
    <row r="33" spans="1:26" x14ac:dyDescent="0.25">
      <c r="B33" s="18">
        <f t="shared" si="1"/>
        <v>1999</v>
      </c>
      <c r="C33" s="18" cm="1">
        <f t="array" ref="C33">INDEX(GMWQ!$A$2:$NE$60,MATCH(1,(GMWQ!$NE$2:$NE$60=C$3)*(GMWQ!$ND$2:$ND$60=C$4),0),$B33-1966)</f>
        <v>18905.560000000001</v>
      </c>
      <c r="D33" s="18" cm="1">
        <f t="array" ref="D33">INDEX(GMWQ!$A$2:$NE$60,MATCH(1,(GMWQ!$NE$2:$NE$60=D$3)*(GMWQ!$ND$2:$ND$60=D$4),0),$B33-1966)</f>
        <v>11435</v>
      </c>
      <c r="E33" s="18" cm="1">
        <f t="array" ref="E33">INDEX(GMWQ!$A$2:$NE$60,MATCH(1,(GMWQ!$NE$2:$NE$60=E$3)*(GMWQ!$ND$2:$ND$60=E$4),0),$B33-1966)</f>
        <v>-717.29549999999995</v>
      </c>
      <c r="F33" s="18" cm="1">
        <f t="array" ref="F33">INDEX(GMWQ!$A$2:$NE$60,MATCH(1,(GMWQ!$NE$2:$NE$60=F$3)*(GMWQ!$ND$2:$ND$60=F$4),0),$B33-1966)</f>
        <v>-3289.2190000000001</v>
      </c>
      <c r="G33" s="18" cm="1">
        <f t="array" ref="G33">INDEX(GMWQ!$A$2:$NE$60,MATCH(1,(GMWQ!$NE$2:$NE$60=G$3)*(GMWQ!$ND$2:$ND$60=G$4),0),$B33-1966)</f>
        <v>56767</v>
      </c>
      <c r="H33" s="18" cm="1">
        <f t="array" ref="H33">INDEX(GMWQ!$A$2:$NE$60,MATCH(1,(GMWQ!$NE$2:$NE$60=H$3)*(GMWQ!$ND$2:$ND$60=H$4),0),$B33-1966)</f>
        <v>50787</v>
      </c>
      <c r="I33" s="18" cm="1">
        <f t="array" ref="I33">INDEX(GMWQ!$A$2:$NE$60,MATCH(1,(GMWQ!$NE$2:$NE$60=I$3)*(GMWQ!$ND$2:$ND$60=I$4),0),$B33-1966)</f>
        <v>5152.3140000000003</v>
      </c>
      <c r="J33" s="18" cm="1">
        <f t="array" ref="J33">INDEX(GMWQ!$A$2:$NE$60,MATCH(1,(GMWQ!$NE$2:$NE$60=J$3)*(GMWQ!$ND$2:$ND$60=J$4),0),$B33-1966)</f>
        <v>13575.6</v>
      </c>
      <c r="K33" s="18" cm="1">
        <f t="array" ref="K33">INDEX(GMWQ!$A$2:$NE$60,MATCH(1,(GMWQ!$NE$2:$NE$60=K$3)*(GMWQ!$ND$2:$ND$60=K$4),0),$B33-1966)</f>
        <v>1257240</v>
      </c>
      <c r="L33" s="18" cm="1">
        <f t="array" ref="L33">INDEX(GMWQ!$A$2:$NE$60,MATCH(1,(GMWQ!$NE$2:$NE$60=L$3)*(GMWQ!$ND$2:$ND$60=L$4),0),$B33-1966)</f>
        <v>25229</v>
      </c>
      <c r="M33" s="18" cm="1">
        <f t="array" ref="M33">INDEX(GMWQ!$A$2:$NE$60,MATCH(1,(GMWQ!$NE$2:$NE$60=M$3)*(GMWQ!$ND$2:$ND$60=M$4),0),$B33-1966)</f>
        <v>1E-3</v>
      </c>
      <c r="N33" s="18" cm="1">
        <f t="array" ref="N33">INDEX(GMWQ!$A$2:$NE$60,MATCH(1,(GMWQ!$NE$2:$NE$60=N$3)*(GMWQ!$ND$2:$ND$60=N$4),0),$B33-1966)</f>
        <v>7.6913289999999996</v>
      </c>
      <c r="O33" s="18" cm="1">
        <f t="array" ref="O33">INDEX(GMWQ!$A$2:$NE$60,MATCH(1,(GMWQ!$NE$2:$NE$60=O$3)*(GMWQ!$ND$2:$ND$60=O$4),0),$B33-1966)</f>
        <v>1E-3</v>
      </c>
      <c r="P33" s="18" cm="1">
        <f t="array" ref="P33">INDEX(GMWQ!$A$2:$NE$60,MATCH(1,(GMWQ!$NE$2:$NE$60=P$3)*(GMWQ!$ND$2:$ND$60=P$4),0),$B33-1966)</f>
        <v>24418.02</v>
      </c>
      <c r="Q33" s="18" cm="1">
        <f t="array" ref="Q33">INDEX(GMWQ!$A$2:$NE$60,MATCH(1,(GMWQ!$NE$2:$NE$60=Q$3)*(GMWQ!$ND$2:$ND$60=Q$4),0),$B33-1966)</f>
        <v>144.92500000000001</v>
      </c>
      <c r="R33" s="18" cm="1">
        <f t="array" ref="R33">INDEX(GMWQ!$A$2:$NE$60,MATCH(1,(GMWQ!$NE$2:$NE$60=R$3)*(GMWQ!$ND$2:$ND$60=R$4),0),$B33-1966)</f>
        <v>8586.6859999999997</v>
      </c>
      <c r="S33" s="18" cm="1">
        <f t="array" ref="S33">INDEX(GMWQ!$A$2:$NE$60,MATCH(1,(GMWQ!$NE$2:$NE$60=S$3)*(GMWQ!$ND$2:$ND$60=S$4),0),$B33-1966)</f>
        <v>48.1265</v>
      </c>
      <c r="T33" s="18" cm="1">
        <f t="array" ref="T33">INDEX(GMWQ!$A$2:$NE$60,MATCH(1,(GMWQ!$NE$2:$NE$60=T$3)*(GMWQ!$ND$2:$ND$60=T$4),0),$B33-1966)</f>
        <v>26.195</v>
      </c>
      <c r="U33" s="18" cm="1">
        <f t="array" ref="U33">INDEX(GMWQ!$A$2:$NE$60,MATCH(1,(GMWQ!$NE$2:$NE$60=U$3)*(GMWQ!$ND$2:$ND$60=U$4),0),$B33-1966)</f>
        <v>30.07525</v>
      </c>
      <c r="V33" s="18" cm="1">
        <f t="array" ref="V33">INDEX(GMWQ!$A$2:$NE$60,MATCH(1,(GMWQ!$NE$2:$NE$60=V$3)*(GMWQ!$ND$2:$ND$60=V$4),0),$B33-1966)</f>
        <v>23347</v>
      </c>
      <c r="W33" s="18" cm="1">
        <f t="array" ref="W33">INDEX(GMWQ!$A$2:$NF$60,MATCH(1,(GMWQ!$NE$2:$NE$60=W$3)*(GMWQ!$NF$2:$NF$60=W$1),0),$B33-1966)</f>
        <v>16665.38</v>
      </c>
      <c r="X33" s="18" cm="1">
        <f t="array" ref="X33">INDEX(GMWQ!$A$2:$NF$60,MATCH(1,(GMWQ!$NE$2:$NE$60=X$3)*(GMWQ!$NF$2:$NF$60=X$1),0),$B33-1966)</f>
        <v>17855.310000000001</v>
      </c>
      <c r="Y33" s="18" cm="1">
        <f t="array" ref="Y33">INDEX(GMWQ!$A$2:$NF$60,MATCH(1,(GMWQ!$NE$2:$NE$60=Y$3)*(GMWQ!$NF$2:$NF$60=Y$1),0),$B33-1966)</f>
        <v>18624.599999999999</v>
      </c>
      <c r="Z33" s="18" cm="1">
        <f t="array" ref="Z33">INDEX(GMWQ!$A$2:$NF$60,MATCH(1,(GMWQ!$NE$2:$NE$60=Z$3)*(GMWQ!$NF$2:$NF$60=Z$1),0),$B33-1966)</f>
        <v>17442.669999999998</v>
      </c>
    </row>
    <row r="34" spans="1:26" x14ac:dyDescent="0.25">
      <c r="B34" s="18">
        <f t="shared" si="1"/>
        <v>2000</v>
      </c>
      <c r="C34" s="18" cm="1">
        <f t="array" ref="C34">INDEX(GMWQ!$A$2:$NE$60,MATCH(1,(GMWQ!$NE$2:$NE$60=C$3)*(GMWQ!$ND$2:$ND$60=C$4),0),$B34-1966)</f>
        <v>18569.28</v>
      </c>
      <c r="D34" s="18" cm="1">
        <f t="array" ref="D34">INDEX(GMWQ!$A$2:$NE$60,MATCH(1,(GMWQ!$NE$2:$NE$60=D$3)*(GMWQ!$ND$2:$ND$60=D$4),0),$B34-1966)</f>
        <v>12092</v>
      </c>
      <c r="E34" s="18" cm="1">
        <f t="array" ref="E34">INDEX(GMWQ!$A$2:$NE$60,MATCH(1,(GMWQ!$NE$2:$NE$60=E$3)*(GMWQ!$ND$2:$ND$60=E$4),0),$B34-1966)</f>
        <v>-1459.7929999999999</v>
      </c>
      <c r="F34" s="18" cm="1">
        <f t="array" ref="F34">INDEX(GMWQ!$A$2:$NE$60,MATCH(1,(GMWQ!$NE$2:$NE$60=F$3)*(GMWQ!$ND$2:$ND$60=F$4),0),$B34-1966)</f>
        <v>-1259.7550000000001</v>
      </c>
      <c r="G34" s="18" cm="1">
        <f t="array" ref="G34">INDEX(GMWQ!$A$2:$NE$60,MATCH(1,(GMWQ!$NE$2:$NE$60=G$3)*(GMWQ!$ND$2:$ND$60=G$4),0),$B34-1966)</f>
        <v>59789</v>
      </c>
      <c r="H34" s="18" cm="1">
        <f t="array" ref="H34">INDEX(GMWQ!$A$2:$NE$60,MATCH(1,(GMWQ!$NE$2:$NE$60=H$3)*(GMWQ!$ND$2:$ND$60=H$4),0),$B34-1966)</f>
        <v>51496</v>
      </c>
      <c r="I34" s="18" cm="1">
        <f t="array" ref="I34">INDEX(GMWQ!$A$2:$NE$60,MATCH(1,(GMWQ!$NE$2:$NE$60=I$3)*(GMWQ!$ND$2:$ND$60=I$4),0),$B34-1966)</f>
        <v>4808.1090000000004</v>
      </c>
      <c r="J34" s="18" cm="1">
        <f t="array" ref="J34">INDEX(GMWQ!$A$2:$NE$60,MATCH(1,(GMWQ!$NE$2:$NE$60=J$3)*(GMWQ!$ND$2:$ND$60=J$4),0),$B34-1966)</f>
        <v>17375.09</v>
      </c>
      <c r="K34" s="18" cm="1">
        <f t="array" ref="K34">INDEX(GMWQ!$A$2:$NE$60,MATCH(1,(GMWQ!$NE$2:$NE$60=K$3)*(GMWQ!$ND$2:$ND$60=K$4),0),$B34-1966)</f>
        <v>1263209</v>
      </c>
      <c r="L34" s="18" cm="1">
        <f t="array" ref="L34">INDEX(GMWQ!$A$2:$NE$60,MATCH(1,(GMWQ!$NE$2:$NE$60=L$3)*(GMWQ!$ND$2:$ND$60=L$4),0),$B34-1966)</f>
        <v>25280</v>
      </c>
      <c r="M34" s="18" cm="1">
        <f t="array" ref="M34">INDEX(GMWQ!$A$2:$NE$60,MATCH(1,(GMWQ!$NE$2:$NE$60=M$3)*(GMWQ!$ND$2:$ND$60=M$4),0),$B34-1966)</f>
        <v>1E-3</v>
      </c>
      <c r="N34" s="18" cm="1">
        <f t="array" ref="N34">INDEX(GMWQ!$A$2:$NE$60,MATCH(1,(GMWQ!$NE$2:$NE$60=N$3)*(GMWQ!$ND$2:$ND$60=N$4),0),$B34-1966)</f>
        <v>8.2681730000000009</v>
      </c>
      <c r="O34" s="18" cm="1">
        <f t="array" ref="O34">INDEX(GMWQ!$A$2:$NE$60,MATCH(1,(GMWQ!$NE$2:$NE$60=O$3)*(GMWQ!$ND$2:$ND$60=O$4),0),$B34-1966)</f>
        <v>1E-3</v>
      </c>
      <c r="P34" s="18" cm="1">
        <f t="array" ref="P34">INDEX(GMWQ!$A$2:$NE$60,MATCH(1,(GMWQ!$NE$2:$NE$60=P$3)*(GMWQ!$ND$2:$ND$60=P$4),0),$B34-1966)</f>
        <v>24952.12</v>
      </c>
      <c r="Q34" s="18" cm="1">
        <f t="array" ref="Q34">INDEX(GMWQ!$A$2:$NE$60,MATCH(1,(GMWQ!$NE$2:$NE$60=Q$3)*(GMWQ!$ND$2:$ND$60=Q$4),0),$B34-1966)</f>
        <v>145.32499999999999</v>
      </c>
      <c r="R34" s="18" cm="1">
        <f t="array" ref="R34">INDEX(GMWQ!$A$2:$NE$60,MATCH(1,(GMWQ!$NE$2:$NE$60=R$3)*(GMWQ!$ND$2:$ND$60=R$4),0),$B34-1966)</f>
        <v>8691.4740000000002</v>
      </c>
      <c r="S34" s="18" cm="1">
        <f t="array" ref="S34">INDEX(GMWQ!$A$2:$NE$60,MATCH(1,(GMWQ!$NE$2:$NE$60=S$3)*(GMWQ!$ND$2:$ND$60=S$4),0),$B34-1966)</f>
        <v>47.61533</v>
      </c>
      <c r="T34" s="18" cm="1">
        <f t="array" ref="T34">INDEX(GMWQ!$A$2:$NE$60,MATCH(1,(GMWQ!$NE$2:$NE$60=T$3)*(GMWQ!$ND$2:$ND$60=T$4),0),$B34-1966)</f>
        <v>26.913</v>
      </c>
      <c r="U34" s="18" cm="1">
        <f t="array" ref="U34">INDEX(GMWQ!$A$2:$NE$60,MATCH(1,(GMWQ!$NE$2:$NE$60=U$3)*(GMWQ!$ND$2:$ND$60=U$4),0),$B34-1966)</f>
        <v>31.37012</v>
      </c>
      <c r="V34" s="18" cm="1">
        <f t="array" ref="V34">INDEX(GMWQ!$A$2:$NE$60,MATCH(1,(GMWQ!$NE$2:$NE$60=V$3)*(GMWQ!$ND$2:$ND$60=V$4),0),$B34-1966)</f>
        <v>23545.25</v>
      </c>
      <c r="W34" s="18" cm="1">
        <f t="array" ref="W34">INDEX(GMWQ!$A$2:$NF$60,MATCH(1,(GMWQ!$NE$2:$NE$60=W$3)*(GMWQ!$NF$2:$NF$60=W$1),0),$B34-1966)</f>
        <v>16368.95</v>
      </c>
      <c r="X34" s="18" cm="1">
        <f t="array" ref="X34">INDEX(GMWQ!$A$2:$NF$60,MATCH(1,(GMWQ!$NE$2:$NE$60=X$3)*(GMWQ!$NF$2:$NF$60=X$1),0),$B34-1966)</f>
        <v>17537.71</v>
      </c>
      <c r="Y34" s="18" cm="1">
        <f t="array" ref="Y34">INDEX(GMWQ!$A$2:$NF$60,MATCH(1,(GMWQ!$NE$2:$NE$60=Y$3)*(GMWQ!$NF$2:$NF$60=Y$1),0),$B34-1966)</f>
        <v>18293.32</v>
      </c>
      <c r="Z34" s="18" cm="1">
        <f t="array" ref="Z34">INDEX(GMWQ!$A$2:$NF$60,MATCH(1,(GMWQ!$NE$2:$NE$60=Z$3)*(GMWQ!$NF$2:$NF$60=Z$1),0),$B34-1966)</f>
        <v>17132.419999999998</v>
      </c>
    </row>
    <row r="35" spans="1:26" x14ac:dyDescent="0.25">
      <c r="A35" s="18">
        <v>1980</v>
      </c>
      <c r="B35" s="18">
        <f t="shared" si="1"/>
        <v>2001</v>
      </c>
      <c r="C35" s="18" cm="1">
        <f t="array" ref="C35">INDEX(GMWQ!$A$2:$NE$60,MATCH(1,(GMWQ!$NE$2:$NE$60=C$3)*(GMWQ!$ND$2:$ND$60=C$4),0),$B35-1966)</f>
        <v>18319.89</v>
      </c>
      <c r="D35" s="18" cm="1">
        <f t="array" ref="D35">INDEX(GMWQ!$A$2:$NE$60,MATCH(1,(GMWQ!$NE$2:$NE$60=D$3)*(GMWQ!$ND$2:$ND$60=D$4),0),$B35-1966)</f>
        <v>12467</v>
      </c>
      <c r="E35" s="18" cm="1">
        <f t="array" ref="E35">INDEX(GMWQ!$A$2:$NE$60,MATCH(1,(GMWQ!$NE$2:$NE$60=E$3)*(GMWQ!$ND$2:$ND$60=E$4),0),$B35-1966)</f>
        <v>253.9614</v>
      </c>
      <c r="F35" s="18" cm="1">
        <f t="array" ref="F35">INDEX(GMWQ!$A$2:$NE$60,MATCH(1,(GMWQ!$NE$2:$NE$60=F$3)*(GMWQ!$ND$2:$ND$60=F$4),0),$B35-1966)</f>
        <v>-767.66359999999997</v>
      </c>
      <c r="G35" s="18" cm="1">
        <f t="array" ref="G35">INDEX(GMWQ!$A$2:$NE$60,MATCH(1,(GMWQ!$NE$2:$NE$60=G$3)*(GMWQ!$ND$2:$ND$60=G$4),0),$B35-1966)</f>
        <v>62107</v>
      </c>
      <c r="H35" s="18" cm="1">
        <f t="array" ref="H35">INDEX(GMWQ!$A$2:$NE$60,MATCH(1,(GMWQ!$NE$2:$NE$60=H$3)*(GMWQ!$ND$2:$ND$60=H$4),0),$B35-1966)</f>
        <v>49012</v>
      </c>
      <c r="I35" s="18" cm="1">
        <f t="array" ref="I35">INDEX(GMWQ!$A$2:$NE$60,MATCH(1,(GMWQ!$NE$2:$NE$60=I$3)*(GMWQ!$ND$2:$ND$60=I$4),0),$B35-1966)</f>
        <v>4311.1639999999998</v>
      </c>
      <c r="J35" s="18" cm="1">
        <f t="array" ref="J35">INDEX(GMWQ!$A$2:$NE$60,MATCH(1,(GMWQ!$NE$2:$NE$60=J$3)*(GMWQ!$ND$2:$ND$60=J$4),0),$B35-1966)</f>
        <v>15754.29</v>
      </c>
      <c r="K35" s="18" cm="1">
        <f t="array" ref="K35">INDEX(GMWQ!$A$2:$NE$60,MATCH(1,(GMWQ!$NE$2:$NE$60=K$3)*(GMWQ!$ND$2:$ND$60=K$4),0),$B35-1966)</f>
        <v>1267882</v>
      </c>
      <c r="L35" s="18" cm="1">
        <f t="array" ref="L35">INDEX(GMWQ!$A$2:$NE$60,MATCH(1,(GMWQ!$NE$2:$NE$60=L$3)*(GMWQ!$ND$2:$ND$60=L$4),0),$B35-1966)</f>
        <v>25250</v>
      </c>
      <c r="M35" s="18" cm="1">
        <f t="array" ref="M35">INDEX(GMWQ!$A$2:$NE$60,MATCH(1,(GMWQ!$NE$2:$NE$60=M$3)*(GMWQ!$ND$2:$ND$60=M$4),0),$B35-1966)</f>
        <v>1E-3</v>
      </c>
      <c r="N35" s="18" cm="1">
        <f t="array" ref="N35">INDEX(GMWQ!$A$2:$NE$60,MATCH(1,(GMWQ!$NE$2:$NE$60=N$3)*(GMWQ!$ND$2:$ND$60=N$4),0),$B35-1966)</f>
        <v>9.5941939999999999</v>
      </c>
      <c r="O35" s="18" cm="1">
        <f t="array" ref="O35">INDEX(GMWQ!$A$2:$NE$60,MATCH(1,(GMWQ!$NE$2:$NE$60=O$3)*(GMWQ!$ND$2:$ND$60=O$4),0),$B35-1966)</f>
        <v>1E-3</v>
      </c>
      <c r="P35" s="18" cm="1">
        <f t="array" ref="P35">INDEX(GMWQ!$A$2:$NE$60,MATCH(1,(GMWQ!$NE$2:$NE$60=P$3)*(GMWQ!$ND$2:$ND$60=P$4),0),$B35-1966)</f>
        <v>26585.54</v>
      </c>
      <c r="Q35" s="18" cm="1">
        <f t="array" ref="Q35">INDEX(GMWQ!$A$2:$NE$60,MATCH(1,(GMWQ!$NE$2:$NE$60=Q$3)*(GMWQ!$ND$2:$ND$60=Q$4),0),$B35-1966)</f>
        <v>146.9</v>
      </c>
      <c r="R35" s="18" cm="1">
        <f t="array" ref="R35">INDEX(GMWQ!$A$2:$NE$60,MATCH(1,(GMWQ!$NE$2:$NE$60=R$3)*(GMWQ!$ND$2:$ND$60=R$4),0),$B35-1966)</f>
        <v>9524.375</v>
      </c>
      <c r="S35" s="18" cm="1">
        <f t="array" ref="S35">INDEX(GMWQ!$A$2:$NE$60,MATCH(1,(GMWQ!$NE$2:$NE$60=S$3)*(GMWQ!$ND$2:$ND$60=S$4),0),$B35-1966)</f>
        <v>47.807470000000002</v>
      </c>
      <c r="T35" s="18" cm="1">
        <f t="array" ref="T35">INDEX(GMWQ!$A$2:$NE$60,MATCH(1,(GMWQ!$NE$2:$NE$60=T$3)*(GMWQ!$ND$2:$ND$60=T$4),0),$B35-1966)</f>
        <v>28.285</v>
      </c>
      <c r="U35" s="18" cm="1">
        <f t="array" ref="U35">INDEX(GMWQ!$A$2:$NE$60,MATCH(1,(GMWQ!$NE$2:$NE$60=U$3)*(GMWQ!$ND$2:$ND$60=U$4),0),$B35-1966)</f>
        <v>32.5989</v>
      </c>
      <c r="V35" s="18" cm="1">
        <f t="array" ref="V35">INDEX(GMWQ!$A$2:$NE$60,MATCH(1,(GMWQ!$NE$2:$NE$60=V$3)*(GMWQ!$ND$2:$ND$60=V$4),0),$B35-1966)</f>
        <v>24342</v>
      </c>
      <c r="W35" s="18" cm="1">
        <f t="array" ref="W35">INDEX(GMWQ!$A$2:$NF$60,MATCH(1,(GMWQ!$NE$2:$NE$60=W$3)*(GMWQ!$NF$2:$NF$60=W$1),0),$B35-1966)</f>
        <v>16149.11</v>
      </c>
      <c r="X35" s="18" cm="1">
        <f t="array" ref="X35">INDEX(GMWQ!$A$2:$NF$60,MATCH(1,(GMWQ!$NE$2:$NE$60=X$3)*(GMWQ!$NF$2:$NF$60=X$1),0),$B35-1966)</f>
        <v>17302.169999999998</v>
      </c>
      <c r="Y35" s="18" cm="1">
        <f t="array" ref="Y35">INDEX(GMWQ!$A$2:$NF$60,MATCH(1,(GMWQ!$NE$2:$NE$60=Y$3)*(GMWQ!$NF$2:$NF$60=Y$1),0),$B35-1966)</f>
        <v>18047.64</v>
      </c>
      <c r="Z35" s="18" cm="1">
        <f t="array" ref="Z35">INDEX(GMWQ!$A$2:$NF$60,MATCH(1,(GMWQ!$NE$2:$NE$60=Z$3)*(GMWQ!$NF$2:$NF$60=Z$1),0),$B35-1966)</f>
        <v>16902.32</v>
      </c>
    </row>
    <row r="36" spans="1:26" x14ac:dyDescent="0.25">
      <c r="B36" s="18">
        <f t="shared" si="1"/>
        <v>2002</v>
      </c>
      <c r="C36" s="18" cm="1">
        <f t="array" ref="C36">INDEX(GMWQ!$A$2:$NE$60,MATCH(1,(GMWQ!$NE$2:$NE$60=C$3)*(GMWQ!$ND$2:$ND$60=C$4),0),$B36-1966)</f>
        <v>18007.75</v>
      </c>
      <c r="D36" s="18" cm="1">
        <f t="array" ref="D36">INDEX(GMWQ!$A$2:$NE$60,MATCH(1,(GMWQ!$NE$2:$NE$60=D$3)*(GMWQ!$ND$2:$ND$60=D$4),0),$B36-1966)</f>
        <v>12391</v>
      </c>
      <c r="E36" s="18" cm="1">
        <f t="array" ref="E36">INDEX(GMWQ!$A$2:$NE$60,MATCH(1,(GMWQ!$NE$2:$NE$60=E$3)*(GMWQ!$ND$2:$ND$60=E$4),0),$B36-1966)</f>
        <v>-62.036369999999998</v>
      </c>
      <c r="F36" s="18" cm="1">
        <f t="array" ref="F36">INDEX(GMWQ!$A$2:$NE$60,MATCH(1,(GMWQ!$NE$2:$NE$60=F$3)*(GMWQ!$ND$2:$ND$60=F$4),0),$B36-1966)</f>
        <v>-204.92099999999999</v>
      </c>
      <c r="G36" s="18" cm="1">
        <f t="array" ref="G36">INDEX(GMWQ!$A$2:$NE$60,MATCH(1,(GMWQ!$NE$2:$NE$60=G$3)*(GMWQ!$ND$2:$ND$60=G$4),0),$B36-1966)</f>
        <v>63704</v>
      </c>
      <c r="H36" s="18" cm="1">
        <f t="array" ref="H36">INDEX(GMWQ!$A$2:$NE$60,MATCH(1,(GMWQ!$NE$2:$NE$60=H$3)*(GMWQ!$ND$2:$ND$60=H$4),0),$B36-1966)</f>
        <v>47095</v>
      </c>
      <c r="I36" s="18" cm="1">
        <f t="array" ref="I36">INDEX(GMWQ!$A$2:$NE$60,MATCH(1,(GMWQ!$NE$2:$NE$60=I$3)*(GMWQ!$ND$2:$ND$60=I$4),0),$B36-1966)</f>
        <v>4457.451</v>
      </c>
      <c r="J36" s="18" cm="1">
        <f t="array" ref="J36">INDEX(GMWQ!$A$2:$NE$60,MATCH(1,(GMWQ!$NE$2:$NE$60=J$3)*(GMWQ!$ND$2:$ND$60=J$4),0),$B36-1966)</f>
        <v>12819.24</v>
      </c>
      <c r="K36" s="18" cm="1">
        <f t="array" ref="K36">INDEX(GMWQ!$A$2:$NE$60,MATCH(1,(GMWQ!$NE$2:$NE$60=K$3)*(GMWQ!$ND$2:$ND$60=K$4),0),$B36-1966)</f>
        <v>1272555</v>
      </c>
      <c r="L36" s="18" cm="1">
        <f t="array" ref="L36">INDEX(GMWQ!$A$2:$NE$60,MATCH(1,(GMWQ!$NE$2:$NE$60=L$3)*(GMWQ!$ND$2:$ND$60=L$4),0),$B36-1966)</f>
        <v>25190</v>
      </c>
      <c r="M36" s="18" cm="1">
        <f t="array" ref="M36">INDEX(GMWQ!$A$2:$NE$60,MATCH(1,(GMWQ!$NE$2:$NE$60=M$3)*(GMWQ!$ND$2:$ND$60=M$4),0),$B36-1966)</f>
        <v>1E-3</v>
      </c>
      <c r="N36" s="18" cm="1">
        <f t="array" ref="N36">INDEX(GMWQ!$A$2:$NE$60,MATCH(1,(GMWQ!$NE$2:$NE$60=N$3)*(GMWQ!$ND$2:$ND$60=N$4),0),$B36-1966)</f>
        <v>9.8790370000000003</v>
      </c>
      <c r="O36" s="18" cm="1">
        <f t="array" ref="O36">INDEX(GMWQ!$A$2:$NE$60,MATCH(1,(GMWQ!$NE$2:$NE$60=O$3)*(GMWQ!$ND$2:$ND$60=O$4),0),$B36-1966)</f>
        <v>1E-3</v>
      </c>
      <c r="P36" s="18" cm="1">
        <f t="array" ref="P36">INDEX(GMWQ!$A$2:$NE$60,MATCH(1,(GMWQ!$NE$2:$NE$60=P$3)*(GMWQ!$ND$2:$ND$60=P$4),0),$B36-1966)</f>
        <v>28005.13</v>
      </c>
      <c r="Q36" s="18" cm="1">
        <f t="array" ref="Q36">INDEX(GMWQ!$A$2:$NE$60,MATCH(1,(GMWQ!$NE$2:$NE$60=Q$3)*(GMWQ!$ND$2:$ND$60=Q$4),0),$B36-1966)</f>
        <v>140.1</v>
      </c>
      <c r="R36" s="18" cm="1">
        <f t="array" ref="R36">INDEX(GMWQ!$A$2:$NE$60,MATCH(1,(GMWQ!$NE$2:$NE$60=R$3)*(GMWQ!$ND$2:$ND$60=R$4),0),$B36-1966)</f>
        <v>9600.9</v>
      </c>
      <c r="S36" s="18" cm="1">
        <f t="array" ref="S36">INDEX(GMWQ!$A$2:$NE$60,MATCH(1,(GMWQ!$NE$2:$NE$60=S$3)*(GMWQ!$ND$2:$ND$60=S$4),0),$B36-1966)</f>
        <v>49.572119999999998</v>
      </c>
      <c r="T36" s="18" cm="1">
        <f t="array" ref="T36">INDEX(GMWQ!$A$2:$NE$60,MATCH(1,(GMWQ!$NE$2:$NE$60=T$3)*(GMWQ!$ND$2:$ND$60=T$4),0),$B36-1966)</f>
        <v>28.571000000000002</v>
      </c>
      <c r="U36" s="18" cm="1">
        <f t="array" ref="U36">INDEX(GMWQ!$A$2:$NE$60,MATCH(1,(GMWQ!$NE$2:$NE$60=U$3)*(GMWQ!$ND$2:$ND$60=U$4),0),$B36-1966)</f>
        <v>32.378970000000002</v>
      </c>
      <c r="V36" s="18" cm="1">
        <f t="array" ref="V36">INDEX(GMWQ!$A$2:$NE$60,MATCH(1,(GMWQ!$NE$2:$NE$60=V$3)*(GMWQ!$ND$2:$ND$60=V$4),0),$B36-1966)</f>
        <v>24107.75</v>
      </c>
      <c r="W36" s="18" cm="1">
        <f t="array" ref="W36">INDEX(GMWQ!$A$2:$NF$60,MATCH(1,(GMWQ!$NE$2:$NE$60=W$3)*(GMWQ!$NF$2:$NF$60=W$1),0),$B36-1966)</f>
        <v>15873.95</v>
      </c>
      <c r="X36" s="18" cm="1">
        <f t="array" ref="X36">INDEX(GMWQ!$A$2:$NF$60,MATCH(1,(GMWQ!$NE$2:$NE$60=X$3)*(GMWQ!$NF$2:$NF$60=X$1),0),$B36-1966)</f>
        <v>17007.37</v>
      </c>
      <c r="Y36" s="18" cm="1">
        <f t="array" ref="Y36">INDEX(GMWQ!$A$2:$NF$60,MATCH(1,(GMWQ!$NE$2:$NE$60=Y$3)*(GMWQ!$NF$2:$NF$60=Y$1),0),$B36-1966)</f>
        <v>17740.13</v>
      </c>
      <c r="Z36" s="18" cm="1">
        <f t="array" ref="Z36">INDEX(GMWQ!$A$2:$NF$60,MATCH(1,(GMWQ!$NE$2:$NE$60=Z$3)*(GMWQ!$NF$2:$NF$60=Z$1),0),$B36-1966)</f>
        <v>16614.330000000002</v>
      </c>
    </row>
    <row r="37" spans="1:26" x14ac:dyDescent="0.25">
      <c r="B37" s="18">
        <f t="shared" si="1"/>
        <v>2003</v>
      </c>
      <c r="C37" s="18" cm="1">
        <f t="array" ref="C37">INDEX(GMWQ!$A$2:$NE$60,MATCH(1,(GMWQ!$NE$2:$NE$60=C$3)*(GMWQ!$ND$2:$ND$60=C$4),0),$B37-1966)</f>
        <v>17697.21</v>
      </c>
      <c r="D37" s="18" cm="1">
        <f t="array" ref="D37">INDEX(GMWQ!$A$2:$NE$60,MATCH(1,(GMWQ!$NE$2:$NE$60=D$3)*(GMWQ!$ND$2:$ND$60=D$4),0),$B37-1966)</f>
        <v>11886</v>
      </c>
      <c r="E37" s="18" cm="1">
        <f t="array" ref="E37">INDEX(GMWQ!$A$2:$NE$60,MATCH(1,(GMWQ!$NE$2:$NE$60=E$3)*(GMWQ!$ND$2:$ND$60=E$4),0),$B37-1966)</f>
        <v>-591.28409999999997</v>
      </c>
      <c r="F37" s="18" cm="1">
        <f t="array" ref="F37">INDEX(GMWQ!$A$2:$NE$60,MATCH(1,(GMWQ!$NE$2:$NE$60=F$3)*(GMWQ!$ND$2:$ND$60=F$4),0),$B37-1966)</f>
        <v>-869.90909999999997</v>
      </c>
      <c r="G37" s="18" cm="1">
        <f t="array" ref="G37">INDEX(GMWQ!$A$2:$NE$60,MATCH(1,(GMWQ!$NE$2:$NE$60=G$3)*(GMWQ!$ND$2:$ND$60=G$4),0),$B37-1966)</f>
        <v>66021</v>
      </c>
      <c r="H37" s="18" cm="1">
        <f t="array" ref="H37">INDEX(GMWQ!$A$2:$NE$60,MATCH(1,(GMWQ!$NE$2:$NE$60=H$3)*(GMWQ!$ND$2:$ND$60=H$4),0),$B37-1966)</f>
        <v>46257</v>
      </c>
      <c r="I37" s="18" cm="1">
        <f t="array" ref="I37">INDEX(GMWQ!$A$2:$NE$60,MATCH(1,(GMWQ!$NE$2:$NE$60=I$3)*(GMWQ!$ND$2:$ND$60=I$4),0),$B37-1966)</f>
        <v>4272.4399999999996</v>
      </c>
      <c r="J37" s="18" cm="1">
        <f t="array" ref="J37">INDEX(GMWQ!$A$2:$NE$60,MATCH(1,(GMWQ!$NE$2:$NE$60=J$3)*(GMWQ!$ND$2:$ND$60=J$4),0),$B37-1966)</f>
        <v>13137.29</v>
      </c>
      <c r="K37" s="18" cm="1">
        <f t="array" ref="K37">INDEX(GMWQ!$A$2:$NE$60,MATCH(1,(GMWQ!$NE$2:$NE$60=K$3)*(GMWQ!$ND$2:$ND$60=K$4),0),$B37-1966)</f>
        <v>1277228</v>
      </c>
      <c r="L37" s="18" cm="1">
        <f t="array" ref="L37">INDEX(GMWQ!$A$2:$NE$60,MATCH(1,(GMWQ!$NE$2:$NE$60=L$3)*(GMWQ!$ND$2:$ND$60=L$4),0),$B37-1966)</f>
        <v>25050</v>
      </c>
      <c r="M37" s="18" cm="1">
        <f t="array" ref="M37">INDEX(GMWQ!$A$2:$NE$60,MATCH(1,(GMWQ!$NE$2:$NE$60=M$3)*(GMWQ!$ND$2:$ND$60=M$4),0),$B37-1966)</f>
        <v>1E-3</v>
      </c>
      <c r="N37" s="18" cm="1">
        <f t="array" ref="N37">INDEX(GMWQ!$A$2:$NE$60,MATCH(1,(GMWQ!$NE$2:$NE$60=N$3)*(GMWQ!$ND$2:$ND$60=N$4),0),$B37-1966)</f>
        <v>10.175280000000001</v>
      </c>
      <c r="O37" s="18" cm="1">
        <f t="array" ref="O37">INDEX(GMWQ!$A$2:$NE$60,MATCH(1,(GMWQ!$NE$2:$NE$60=O$3)*(GMWQ!$ND$2:$ND$60=O$4),0),$B37-1966)</f>
        <v>1E-3</v>
      </c>
      <c r="P37" s="18" cm="1">
        <f t="array" ref="P37">INDEX(GMWQ!$A$2:$NE$60,MATCH(1,(GMWQ!$NE$2:$NE$60=P$3)*(GMWQ!$ND$2:$ND$60=P$4),0),$B37-1966)</f>
        <v>29469.89</v>
      </c>
      <c r="Q37" s="18" cm="1">
        <f t="array" ref="Q37">INDEX(GMWQ!$A$2:$NE$60,MATCH(1,(GMWQ!$NE$2:$NE$60=Q$3)*(GMWQ!$ND$2:$ND$60=Q$4),0),$B37-1966)</f>
        <v>141.02500000000001</v>
      </c>
      <c r="R37" s="18" cm="1">
        <f t="array" ref="R37">INDEX(GMWQ!$A$2:$NE$60,MATCH(1,(GMWQ!$NE$2:$NE$60=R$3)*(GMWQ!$ND$2:$ND$60=R$4),0),$B37-1966)</f>
        <v>9555.85</v>
      </c>
      <c r="S37" s="18" cm="1">
        <f t="array" ref="S37">INDEX(GMWQ!$A$2:$NE$60,MATCH(1,(GMWQ!$NE$2:$NE$60=S$3)*(GMWQ!$ND$2:$ND$60=S$4),0),$B37-1966)</f>
        <v>49.101900000000001</v>
      </c>
      <c r="T37" s="18" cm="1">
        <f t="array" ref="T37">INDEX(GMWQ!$A$2:$NE$60,MATCH(1,(GMWQ!$NE$2:$NE$60=T$3)*(GMWQ!$ND$2:$ND$60=T$4),0),$B37-1966)</f>
        <v>28.94699</v>
      </c>
      <c r="U37" s="18" cm="1">
        <f t="array" ref="U37">INDEX(GMWQ!$A$2:$NE$60,MATCH(1,(GMWQ!$NE$2:$NE$60=U$3)*(GMWQ!$ND$2:$ND$60=U$4),0),$B37-1966)</f>
        <v>32.116909999999997</v>
      </c>
      <c r="V37" s="18" cm="1">
        <f t="array" ref="V37">INDEX(GMWQ!$A$2:$NE$60,MATCH(1,(GMWQ!$NE$2:$NE$60=V$3)*(GMWQ!$ND$2:$ND$60=V$4),0),$B37-1966)</f>
        <v>24814.75</v>
      </c>
      <c r="W37" s="18" cm="1">
        <f t="array" ref="W37">INDEX(GMWQ!$A$2:$NF$60,MATCH(1,(GMWQ!$NE$2:$NE$60=W$3)*(GMWQ!$NF$2:$NF$60=W$1),0),$B37-1966)</f>
        <v>15600.21</v>
      </c>
      <c r="X37" s="18" cm="1">
        <f t="array" ref="X37">INDEX(GMWQ!$A$2:$NF$60,MATCH(1,(GMWQ!$NE$2:$NE$60=X$3)*(GMWQ!$NF$2:$NF$60=X$1),0),$B37-1966)</f>
        <v>16714.09</v>
      </c>
      <c r="Y37" s="18" cm="1">
        <f t="array" ref="Y37">INDEX(GMWQ!$A$2:$NF$60,MATCH(1,(GMWQ!$NE$2:$NE$60=Y$3)*(GMWQ!$NF$2:$NF$60=Y$1),0),$B37-1966)</f>
        <v>17434.21</v>
      </c>
      <c r="Z37" s="18" cm="1">
        <f t="array" ref="Z37">INDEX(GMWQ!$A$2:$NF$60,MATCH(1,(GMWQ!$NE$2:$NE$60=Z$3)*(GMWQ!$NF$2:$NF$60=Z$1),0),$B37-1966)</f>
        <v>16327.83</v>
      </c>
    </row>
    <row r="38" spans="1:26" x14ac:dyDescent="0.25">
      <c r="B38" s="18">
        <f t="shared" si="1"/>
        <v>2004</v>
      </c>
      <c r="C38" s="18" cm="1">
        <f t="array" ref="C38">INDEX(GMWQ!$A$2:$NE$60,MATCH(1,(GMWQ!$NE$2:$NE$60=C$3)*(GMWQ!$ND$2:$ND$60=C$4),0),$B38-1966)</f>
        <v>17259.57</v>
      </c>
      <c r="D38" s="18" cm="1">
        <f t="array" ref="D38">INDEX(GMWQ!$A$2:$NE$60,MATCH(1,(GMWQ!$NE$2:$NE$60=D$3)*(GMWQ!$ND$2:$ND$60=D$4),0),$B38-1966)</f>
        <v>12891</v>
      </c>
      <c r="E38" s="18" cm="1">
        <f t="array" ref="E38">INDEX(GMWQ!$A$2:$NE$60,MATCH(1,(GMWQ!$NE$2:$NE$60=E$3)*(GMWQ!$ND$2:$ND$60=E$4),0),$B38-1966)</f>
        <v>193.86359999999999</v>
      </c>
      <c r="F38" s="18" cm="1">
        <f t="array" ref="F38">INDEX(GMWQ!$A$2:$NE$60,MATCH(1,(GMWQ!$NE$2:$NE$60=F$3)*(GMWQ!$ND$2:$ND$60=F$4),0),$B38-1966)</f>
        <v>1358.373</v>
      </c>
      <c r="G38" s="18" cm="1">
        <f t="array" ref="G38">INDEX(GMWQ!$A$2:$NE$60,MATCH(1,(GMWQ!$NE$2:$NE$60=G$3)*(GMWQ!$ND$2:$ND$60=G$4),0),$B38-1966)</f>
        <v>68138</v>
      </c>
      <c r="H38" s="18" cm="1">
        <f t="array" ref="H38">INDEX(GMWQ!$A$2:$NE$60,MATCH(1,(GMWQ!$NE$2:$NE$60=H$3)*(GMWQ!$ND$2:$ND$60=H$4),0),$B38-1966)</f>
        <v>45597</v>
      </c>
      <c r="I38" s="18" cm="1">
        <f t="array" ref="I38">INDEX(GMWQ!$A$2:$NE$60,MATCH(1,(GMWQ!$NE$2:$NE$60=I$3)*(GMWQ!$ND$2:$ND$60=I$4),0),$B38-1966)</f>
        <v>4042.2539999999999</v>
      </c>
      <c r="J38" s="18" cm="1">
        <f t="array" ref="J38">INDEX(GMWQ!$A$2:$NE$60,MATCH(1,(GMWQ!$NE$2:$NE$60=J$3)*(GMWQ!$ND$2:$ND$60=J$4),0),$B38-1966)</f>
        <v>13508.55</v>
      </c>
      <c r="K38" s="18" cm="1">
        <f t="array" ref="K38">INDEX(GMWQ!$A$2:$NE$60,MATCH(1,(GMWQ!$NE$2:$NE$60=K$3)*(GMWQ!$ND$2:$ND$60=K$4),0),$B38-1966)</f>
        <v>1281901</v>
      </c>
      <c r="L38" s="18" cm="1">
        <f t="array" ref="L38">INDEX(GMWQ!$A$2:$NE$60,MATCH(1,(GMWQ!$NE$2:$NE$60=L$3)*(GMWQ!$ND$2:$ND$60=L$4),0),$B38-1966)</f>
        <v>24855</v>
      </c>
      <c r="M38" s="18" cm="1">
        <f t="array" ref="M38">INDEX(GMWQ!$A$2:$NE$60,MATCH(1,(GMWQ!$NE$2:$NE$60=M$3)*(GMWQ!$ND$2:$ND$60=M$4),0),$B38-1966)</f>
        <v>1E-3</v>
      </c>
      <c r="N38" s="18" cm="1">
        <f t="array" ref="N38">INDEX(GMWQ!$A$2:$NE$60,MATCH(1,(GMWQ!$NE$2:$NE$60=N$3)*(GMWQ!$ND$2:$ND$60=N$4),0),$B38-1966)</f>
        <v>9.2949099999999998</v>
      </c>
      <c r="O38" s="18" cm="1">
        <f t="array" ref="O38">INDEX(GMWQ!$A$2:$NE$60,MATCH(1,(GMWQ!$NE$2:$NE$60=O$3)*(GMWQ!$ND$2:$ND$60=O$4),0),$B38-1966)</f>
        <v>1E-3</v>
      </c>
      <c r="P38" s="18" cm="1">
        <f t="array" ref="P38">INDEX(GMWQ!$A$2:$NE$60,MATCH(1,(GMWQ!$NE$2:$NE$60=P$3)*(GMWQ!$ND$2:$ND$60=P$4),0),$B38-1966)</f>
        <v>30119.439999999999</v>
      </c>
      <c r="Q38" s="18" cm="1">
        <f t="array" ref="Q38">INDEX(GMWQ!$A$2:$NE$60,MATCH(1,(GMWQ!$NE$2:$NE$60=Q$3)*(GMWQ!$ND$2:$ND$60=Q$4),0),$B38-1966)</f>
        <v>143.97499999999999</v>
      </c>
      <c r="R38" s="18" cm="1">
        <f t="array" ref="R38">INDEX(GMWQ!$A$2:$NE$60,MATCH(1,(GMWQ!$NE$2:$NE$60=R$3)*(GMWQ!$ND$2:$ND$60=R$4),0),$B38-1966)</f>
        <v>9806.9249999999993</v>
      </c>
      <c r="S38" s="18" cm="1">
        <f t="array" ref="S38">INDEX(GMWQ!$A$2:$NE$60,MATCH(1,(GMWQ!$NE$2:$NE$60=S$3)*(GMWQ!$ND$2:$ND$60=S$4),0),$B38-1966)</f>
        <v>48.751420000000003</v>
      </c>
      <c r="T38" s="18" cm="1">
        <f t="array" ref="T38">INDEX(GMWQ!$A$2:$NE$60,MATCH(1,(GMWQ!$NE$2:$NE$60=T$3)*(GMWQ!$ND$2:$ND$60=T$4),0),$B38-1966)</f>
        <v>28.591999999999999</v>
      </c>
      <c r="U38" s="18" cm="1">
        <f t="array" ref="U38">INDEX(GMWQ!$A$2:$NE$60,MATCH(1,(GMWQ!$NE$2:$NE$60=U$3)*(GMWQ!$ND$2:$ND$60=U$4),0),$B38-1966)</f>
        <v>32.347839999999998</v>
      </c>
      <c r="V38" s="18" cm="1">
        <f t="array" ref="V38">INDEX(GMWQ!$A$2:$NE$60,MATCH(1,(GMWQ!$NE$2:$NE$60=V$3)*(GMWQ!$ND$2:$ND$60=V$4),0),$B38-1966)</f>
        <v>25389.75</v>
      </c>
      <c r="W38" s="18" cm="1">
        <f t="array" ref="W38">INDEX(GMWQ!$A$2:$NF$60,MATCH(1,(GMWQ!$NE$2:$NE$60=W$3)*(GMWQ!$NF$2:$NF$60=W$1),0),$B38-1966)</f>
        <v>15214.43</v>
      </c>
      <c r="X38" s="18" cm="1">
        <f t="array" ref="X38">INDEX(GMWQ!$A$2:$NF$60,MATCH(1,(GMWQ!$NE$2:$NE$60=X$3)*(GMWQ!$NF$2:$NF$60=X$1),0),$B38-1966)</f>
        <v>16300.76</v>
      </c>
      <c r="Y38" s="18" cm="1">
        <f t="array" ref="Y38">INDEX(GMWQ!$A$2:$NF$60,MATCH(1,(GMWQ!$NE$2:$NE$60=Y$3)*(GMWQ!$NF$2:$NF$60=Y$1),0),$B38-1966)</f>
        <v>17003.07</v>
      </c>
      <c r="Z38" s="18" cm="1">
        <f t="array" ref="Z38">INDEX(GMWQ!$A$2:$NF$60,MATCH(1,(GMWQ!$NE$2:$NE$60=Z$3)*(GMWQ!$NF$2:$NF$60=Z$1),0),$B38-1966)</f>
        <v>15924.05</v>
      </c>
    </row>
    <row r="39" spans="1:26" x14ac:dyDescent="0.25">
      <c r="A39" s="18">
        <v>1981</v>
      </c>
      <c r="B39" s="18">
        <f t="shared" si="1"/>
        <v>2005</v>
      </c>
      <c r="C39" s="18" cm="1">
        <f t="array" ref="C39">INDEX(GMWQ!$A$2:$NE$60,MATCH(1,(GMWQ!$NE$2:$NE$60=C$3)*(GMWQ!$ND$2:$ND$60=C$4),0),$B39-1966)</f>
        <v>16474.38</v>
      </c>
      <c r="D39" s="18" cm="1">
        <f t="array" ref="D39">INDEX(GMWQ!$A$2:$NE$60,MATCH(1,(GMWQ!$NE$2:$NE$60=D$3)*(GMWQ!$ND$2:$ND$60=D$4),0),$B39-1966)</f>
        <v>12538</v>
      </c>
      <c r="E39" s="18" cm="1">
        <f t="array" ref="E39">INDEX(GMWQ!$A$2:$NE$60,MATCH(1,(GMWQ!$NE$2:$NE$60=E$3)*(GMWQ!$ND$2:$ND$60=E$4),0),$B39-1966)</f>
        <v>230.6977</v>
      </c>
      <c r="F39" s="18" cm="1">
        <f t="array" ref="F39">INDEX(GMWQ!$A$2:$NE$60,MATCH(1,(GMWQ!$NE$2:$NE$60=F$3)*(GMWQ!$ND$2:$ND$60=F$4),0),$B39-1966)</f>
        <v>1552.38</v>
      </c>
      <c r="G39" s="18" cm="1">
        <f t="array" ref="G39">INDEX(GMWQ!$A$2:$NE$60,MATCH(1,(GMWQ!$NE$2:$NE$60=G$3)*(GMWQ!$ND$2:$ND$60=G$4),0),$B39-1966)</f>
        <v>69940</v>
      </c>
      <c r="H39" s="18" cm="1">
        <f t="array" ref="H39">INDEX(GMWQ!$A$2:$NE$60,MATCH(1,(GMWQ!$NE$2:$NE$60=H$3)*(GMWQ!$ND$2:$ND$60=H$4),0),$B39-1966)</f>
        <v>43073</v>
      </c>
      <c r="I39" s="18" cm="1">
        <f t="array" ref="I39">INDEX(GMWQ!$A$2:$NE$60,MATCH(1,(GMWQ!$NE$2:$NE$60=I$3)*(GMWQ!$ND$2:$ND$60=I$4),0),$B39-1966)</f>
        <v>3521.6439999999998</v>
      </c>
      <c r="J39" s="18" cm="1">
        <f t="array" ref="J39">INDEX(GMWQ!$A$2:$NE$60,MATCH(1,(GMWQ!$NE$2:$NE$60=J$3)*(GMWQ!$ND$2:$ND$60=J$4),0),$B39-1966)</f>
        <v>11987.54</v>
      </c>
      <c r="K39" s="18" cm="1">
        <f t="array" ref="K39">INDEX(GMWQ!$A$2:$NE$60,MATCH(1,(GMWQ!$NE$2:$NE$60=K$3)*(GMWQ!$ND$2:$ND$60=K$4),0),$B39-1966)</f>
        <v>1284100</v>
      </c>
      <c r="L39" s="18" cm="1">
        <f t="array" ref="L39">INDEX(GMWQ!$A$2:$NE$60,MATCH(1,(GMWQ!$NE$2:$NE$60=L$3)*(GMWQ!$ND$2:$ND$60=L$4),0),$B39-1966)</f>
        <v>24661</v>
      </c>
      <c r="M39" s="18" cm="1">
        <f t="array" ref="M39">INDEX(GMWQ!$A$2:$NE$60,MATCH(1,(GMWQ!$NE$2:$NE$60=M$3)*(GMWQ!$ND$2:$ND$60=M$4),0),$B39-1966)</f>
        <v>1E-3</v>
      </c>
      <c r="N39" s="18" cm="1">
        <f t="array" ref="N39">INDEX(GMWQ!$A$2:$NE$60,MATCH(1,(GMWQ!$NE$2:$NE$60=N$3)*(GMWQ!$ND$2:$ND$60=N$4),0),$B39-1966)</f>
        <v>8.2459089999999993</v>
      </c>
      <c r="O39" s="18" cm="1">
        <f t="array" ref="O39">INDEX(GMWQ!$A$2:$NE$60,MATCH(1,(GMWQ!$NE$2:$NE$60=O$3)*(GMWQ!$ND$2:$ND$60=O$4),0),$B39-1966)</f>
        <v>1E-3</v>
      </c>
      <c r="P39" s="18" cm="1">
        <f t="array" ref="P39">INDEX(GMWQ!$A$2:$NE$60,MATCH(1,(GMWQ!$NE$2:$NE$60=P$3)*(GMWQ!$ND$2:$ND$60=P$4),0),$B39-1966)</f>
        <v>30283.09</v>
      </c>
      <c r="Q39" s="18" cm="1">
        <f t="array" ref="Q39">INDEX(GMWQ!$A$2:$NE$60,MATCH(1,(GMWQ!$NE$2:$NE$60=Q$3)*(GMWQ!$ND$2:$ND$60=Q$4),0),$B39-1966)</f>
        <v>146.9</v>
      </c>
      <c r="R39" s="18" cm="1">
        <f t="array" ref="R39">INDEX(GMWQ!$A$2:$NE$60,MATCH(1,(GMWQ!$NE$2:$NE$60=R$3)*(GMWQ!$ND$2:$ND$60=R$4),0),$B39-1966)</f>
        <v>9885.5</v>
      </c>
      <c r="S39" s="18" cm="1">
        <f t="array" ref="S39">INDEX(GMWQ!$A$2:$NE$60,MATCH(1,(GMWQ!$NE$2:$NE$60=S$3)*(GMWQ!$ND$2:$ND$60=S$4),0),$B39-1966)</f>
        <v>47.801430000000003</v>
      </c>
      <c r="T39" s="18" cm="1">
        <f t="array" ref="T39">INDEX(GMWQ!$A$2:$NE$60,MATCH(1,(GMWQ!$NE$2:$NE$60=T$3)*(GMWQ!$ND$2:$ND$60=T$4),0),$B39-1966)</f>
        <v>28.433</v>
      </c>
      <c r="U39" s="18" cm="1">
        <f t="array" ref="U39">INDEX(GMWQ!$A$2:$NE$60,MATCH(1,(GMWQ!$NE$2:$NE$60=U$3)*(GMWQ!$ND$2:$ND$60=U$4),0),$B39-1966)</f>
        <v>31.068829999999998</v>
      </c>
      <c r="V39" s="18" cm="1">
        <f t="array" ref="V39">INDEX(GMWQ!$A$2:$NE$60,MATCH(1,(GMWQ!$NE$2:$NE$60=V$3)*(GMWQ!$ND$2:$ND$60=V$4),0),$B39-1966)</f>
        <v>26777.25</v>
      </c>
      <c r="W39" s="18" cm="1">
        <f t="array" ref="W39">INDEX(GMWQ!$A$2:$NF$60,MATCH(1,(GMWQ!$NE$2:$NE$60=W$3)*(GMWQ!$NF$2:$NF$60=W$1),0),$B39-1966)</f>
        <v>14522.28</v>
      </c>
      <c r="X39" s="18" cm="1">
        <f t="array" ref="X39">INDEX(GMWQ!$A$2:$NF$60,MATCH(1,(GMWQ!$NE$2:$NE$60=X$3)*(GMWQ!$NF$2:$NF$60=X$1),0),$B39-1966)</f>
        <v>15559.19</v>
      </c>
      <c r="Y39" s="18" cm="1">
        <f t="array" ref="Y39">INDEX(GMWQ!$A$2:$NF$60,MATCH(1,(GMWQ!$NE$2:$NE$60=Y$3)*(GMWQ!$NF$2:$NF$60=Y$1),0),$B39-1966)</f>
        <v>16229.56</v>
      </c>
      <c r="Z39" s="18" cm="1">
        <f t="array" ref="Z39">INDEX(GMWQ!$A$2:$NF$60,MATCH(1,(GMWQ!$NE$2:$NE$60=Z$3)*(GMWQ!$NF$2:$NF$60=Z$1),0),$B39-1966)</f>
        <v>15199.62</v>
      </c>
    </row>
    <row r="40" spans="1:26" x14ac:dyDescent="0.25">
      <c r="B40" s="18">
        <f t="shared" si="1"/>
        <v>2006</v>
      </c>
      <c r="C40" s="18" cm="1">
        <f t="array" ref="C40">INDEX(GMWQ!$A$2:$NE$60,MATCH(1,(GMWQ!$NE$2:$NE$60=C$3)*(GMWQ!$ND$2:$ND$60=C$4),0),$B40-1966)</f>
        <v>16442.2</v>
      </c>
      <c r="D40" s="18" cm="1">
        <f t="array" ref="D40">INDEX(GMWQ!$A$2:$NE$60,MATCH(1,(GMWQ!$NE$2:$NE$60=D$3)*(GMWQ!$ND$2:$ND$60=D$4),0),$B40-1966)</f>
        <v>13239</v>
      </c>
      <c r="E40" s="18" cm="1">
        <f t="array" ref="E40">INDEX(GMWQ!$A$2:$NE$60,MATCH(1,(GMWQ!$NE$2:$NE$60=E$3)*(GMWQ!$ND$2:$ND$60=E$4),0),$B40-1966)</f>
        <v>2132.5</v>
      </c>
      <c r="F40" s="18" cm="1">
        <f t="array" ref="F40">INDEX(GMWQ!$A$2:$NE$60,MATCH(1,(GMWQ!$NE$2:$NE$60=F$3)*(GMWQ!$ND$2:$ND$60=F$4),0),$B40-1966)</f>
        <v>5261.6729999999998</v>
      </c>
      <c r="G40" s="18" cm="1">
        <f t="array" ref="G40">INDEX(GMWQ!$A$2:$NE$60,MATCH(1,(GMWQ!$NE$2:$NE$60=G$3)*(GMWQ!$ND$2:$ND$60=G$4),0),$B40-1966)</f>
        <v>71334</v>
      </c>
      <c r="H40" s="18" cm="1">
        <f t="array" ref="H40">INDEX(GMWQ!$A$2:$NE$60,MATCH(1,(GMWQ!$NE$2:$NE$60=H$3)*(GMWQ!$ND$2:$ND$60=H$4),0),$B40-1966)</f>
        <v>44079</v>
      </c>
      <c r="I40" s="18" cm="1">
        <f t="array" ref="I40">INDEX(GMWQ!$A$2:$NE$60,MATCH(1,(GMWQ!$NE$2:$NE$60=I$3)*(GMWQ!$ND$2:$ND$60=I$4),0),$B40-1966)</f>
        <v>3407.6260000000002</v>
      </c>
      <c r="J40" s="18" cm="1">
        <f t="array" ref="J40">INDEX(GMWQ!$A$2:$NE$60,MATCH(1,(GMWQ!$NE$2:$NE$60=J$3)*(GMWQ!$ND$2:$ND$60=J$4),0),$B40-1966)</f>
        <v>13267.17</v>
      </c>
      <c r="K40" s="18" cm="1">
        <f t="array" ref="K40">INDEX(GMWQ!$A$2:$NE$60,MATCH(1,(GMWQ!$NE$2:$NE$60=K$3)*(GMWQ!$ND$2:$ND$60=K$4),0),$B40-1966)</f>
        <v>1286299</v>
      </c>
      <c r="L40" s="18" cm="1">
        <f t="array" ref="L40">INDEX(GMWQ!$A$2:$NE$60,MATCH(1,(GMWQ!$NE$2:$NE$60=L$3)*(GMWQ!$ND$2:$ND$60=L$4),0),$B40-1966)</f>
        <v>24495</v>
      </c>
      <c r="M40" s="18" cm="1">
        <f t="array" ref="M40">INDEX(GMWQ!$A$2:$NE$60,MATCH(1,(GMWQ!$NE$2:$NE$60=M$3)*(GMWQ!$ND$2:$ND$60=M$4),0),$B40-1966)</f>
        <v>1E-3</v>
      </c>
      <c r="N40" s="18" cm="1">
        <f t="array" ref="N40">INDEX(GMWQ!$A$2:$NE$60,MATCH(1,(GMWQ!$NE$2:$NE$60=N$3)*(GMWQ!$ND$2:$ND$60=N$4),0),$B40-1966)</f>
        <v>7.1851700000000003</v>
      </c>
      <c r="O40" s="18" cm="1">
        <f t="array" ref="O40">INDEX(GMWQ!$A$2:$NE$60,MATCH(1,(GMWQ!$NE$2:$NE$60=O$3)*(GMWQ!$ND$2:$ND$60=O$4),0),$B40-1966)</f>
        <v>1E-3</v>
      </c>
      <c r="P40" s="18" cm="1">
        <f t="array" ref="P40">INDEX(GMWQ!$A$2:$NE$60,MATCH(1,(GMWQ!$NE$2:$NE$60=P$3)*(GMWQ!$ND$2:$ND$60=P$4),0),$B40-1966)</f>
        <v>29704.81</v>
      </c>
      <c r="Q40" s="18" cm="1">
        <f t="array" ref="Q40">INDEX(GMWQ!$A$2:$NE$60,MATCH(1,(GMWQ!$NE$2:$NE$60=Q$3)*(GMWQ!$ND$2:$ND$60=Q$4),0),$B40-1966)</f>
        <v>149.875</v>
      </c>
      <c r="R40" s="18" cm="1">
        <f t="array" ref="R40">INDEX(GMWQ!$A$2:$NE$60,MATCH(1,(GMWQ!$NE$2:$NE$60=R$3)*(GMWQ!$ND$2:$ND$60=R$4),0),$B40-1966)</f>
        <v>9903.4249999999993</v>
      </c>
      <c r="S40" s="18" cm="1">
        <f t="array" ref="S40">INDEX(GMWQ!$A$2:$NE$60,MATCH(1,(GMWQ!$NE$2:$NE$60=S$3)*(GMWQ!$ND$2:$ND$60=S$4),0),$B40-1966)</f>
        <v>48.372909999999997</v>
      </c>
      <c r="T40" s="18" cm="1">
        <f t="array" ref="T40">INDEX(GMWQ!$A$2:$NE$60,MATCH(1,(GMWQ!$NE$2:$NE$60=T$3)*(GMWQ!$ND$2:$ND$60=T$4),0),$B40-1966)</f>
        <v>28.367000000000001</v>
      </c>
      <c r="U40" s="18" cm="1">
        <f t="array" ref="U40">INDEX(GMWQ!$A$2:$NE$60,MATCH(1,(GMWQ!$NE$2:$NE$60=U$3)*(GMWQ!$ND$2:$ND$60=U$4),0),$B40-1966)</f>
        <v>30.738800000000001</v>
      </c>
      <c r="V40" s="18" cm="1">
        <f t="array" ref="V40">INDEX(GMWQ!$A$2:$NE$60,MATCH(1,(GMWQ!$NE$2:$NE$60=V$3)*(GMWQ!$ND$2:$ND$60=V$4),0),$B40-1966)</f>
        <v>27158.25</v>
      </c>
      <c r="W40" s="18" cm="1">
        <f t="array" ref="W40">INDEX(GMWQ!$A$2:$NF$60,MATCH(1,(GMWQ!$NE$2:$NE$60=W$3)*(GMWQ!$NF$2:$NF$60=W$1),0),$B40-1966)</f>
        <v>14493.92</v>
      </c>
      <c r="X40" s="18" cm="1">
        <f t="array" ref="X40">INDEX(GMWQ!$A$2:$NF$60,MATCH(1,(GMWQ!$NE$2:$NE$60=X$3)*(GMWQ!$NF$2:$NF$60=X$1),0),$B40-1966)</f>
        <v>15528.8</v>
      </c>
      <c r="Y40" s="18" cm="1">
        <f t="array" ref="Y40">INDEX(GMWQ!$A$2:$NF$60,MATCH(1,(GMWQ!$NE$2:$NE$60=Y$3)*(GMWQ!$NF$2:$NF$60=Y$1),0),$B40-1966)</f>
        <v>16197.86</v>
      </c>
      <c r="Z40" s="18" cm="1">
        <f t="array" ref="Z40">INDEX(GMWQ!$A$2:$NF$60,MATCH(1,(GMWQ!$NE$2:$NE$60=Z$3)*(GMWQ!$NF$2:$NF$60=Z$1),0),$B40-1966)</f>
        <v>15169.93</v>
      </c>
    </row>
    <row r="41" spans="1:26" x14ac:dyDescent="0.25">
      <c r="B41" s="18">
        <f t="shared" si="1"/>
        <v>2007</v>
      </c>
      <c r="C41" s="18" cm="1">
        <f t="array" ref="C41">INDEX(GMWQ!$A$2:$NE$60,MATCH(1,(GMWQ!$NE$2:$NE$60=C$3)*(GMWQ!$ND$2:$ND$60=C$4),0),$B41-1966)</f>
        <v>16635.28</v>
      </c>
      <c r="D41" s="18" cm="1">
        <f t="array" ref="D41">INDEX(GMWQ!$A$2:$NE$60,MATCH(1,(GMWQ!$NE$2:$NE$60=D$3)*(GMWQ!$ND$2:$ND$60=D$4),0),$B41-1966)</f>
        <v>14561</v>
      </c>
      <c r="E41" s="18" cm="1">
        <f t="array" ref="E41">INDEX(GMWQ!$A$2:$NE$60,MATCH(1,(GMWQ!$NE$2:$NE$60=E$3)*(GMWQ!$ND$2:$ND$60=E$4),0),$B41-1966)</f>
        <v>451.70229999999998</v>
      </c>
      <c r="F41" s="18" cm="1">
        <f t="array" ref="F41">INDEX(GMWQ!$A$2:$NE$60,MATCH(1,(GMWQ!$NE$2:$NE$60=F$3)*(GMWQ!$ND$2:$ND$60=F$4),0),$B41-1966)</f>
        <v>2630.6930000000002</v>
      </c>
      <c r="G41" s="18" cm="1">
        <f t="array" ref="G41">INDEX(GMWQ!$A$2:$NE$60,MATCH(1,(GMWQ!$NE$2:$NE$60=G$3)*(GMWQ!$ND$2:$ND$60=G$4),0),$B41-1966)</f>
        <v>73310</v>
      </c>
      <c r="H41" s="18" cm="1">
        <f t="array" ref="H41">INDEX(GMWQ!$A$2:$NE$60,MATCH(1,(GMWQ!$NE$2:$NE$60=H$3)*(GMWQ!$ND$2:$ND$60=H$4),0),$B41-1966)</f>
        <v>44442</v>
      </c>
      <c r="I41" s="18" cm="1">
        <f t="array" ref="I41">INDEX(GMWQ!$A$2:$NE$60,MATCH(1,(GMWQ!$NE$2:$NE$60=I$3)*(GMWQ!$ND$2:$ND$60=I$4),0),$B41-1966)</f>
        <v>2732.125</v>
      </c>
      <c r="J41" s="18" cm="1">
        <f t="array" ref="J41">INDEX(GMWQ!$A$2:$NE$60,MATCH(1,(GMWQ!$NE$2:$NE$60=J$3)*(GMWQ!$ND$2:$ND$60=J$4),0),$B41-1966)</f>
        <v>12898.4</v>
      </c>
      <c r="K41" s="18" cm="1">
        <f t="array" ref="K41">INDEX(GMWQ!$A$2:$NE$60,MATCH(1,(GMWQ!$NE$2:$NE$60=K$3)*(GMWQ!$ND$2:$ND$60=K$4),0),$B41-1966)</f>
        <v>1288498</v>
      </c>
      <c r="L41" s="18" cm="1">
        <f t="array" ref="L41">INDEX(GMWQ!$A$2:$NE$60,MATCH(1,(GMWQ!$NE$2:$NE$60=L$3)*(GMWQ!$ND$2:$ND$60=L$4),0),$B41-1966)</f>
        <v>24355</v>
      </c>
      <c r="M41" s="18" cm="1">
        <f t="array" ref="M41">INDEX(GMWQ!$A$2:$NE$60,MATCH(1,(GMWQ!$NE$2:$NE$60=M$3)*(GMWQ!$ND$2:$ND$60=M$4),0),$B41-1966)</f>
        <v>1E-3</v>
      </c>
      <c r="N41" s="18" cm="1">
        <f t="array" ref="N41">INDEX(GMWQ!$A$2:$NE$60,MATCH(1,(GMWQ!$NE$2:$NE$60=N$3)*(GMWQ!$ND$2:$ND$60=N$4),0),$B41-1966)</f>
        <v>7.7312479999999999</v>
      </c>
      <c r="O41" s="18" cm="1">
        <f t="array" ref="O41">INDEX(GMWQ!$A$2:$NE$60,MATCH(1,(GMWQ!$NE$2:$NE$60=O$3)*(GMWQ!$ND$2:$ND$60=O$4),0),$B41-1966)</f>
        <v>1E-3</v>
      </c>
      <c r="P41" s="18" cm="1">
        <f t="array" ref="P41">INDEX(GMWQ!$A$2:$NE$60,MATCH(1,(GMWQ!$NE$2:$NE$60=P$3)*(GMWQ!$ND$2:$ND$60=P$4),0),$B41-1966)</f>
        <v>30849.31</v>
      </c>
      <c r="Q41" s="18" cm="1">
        <f t="array" ref="Q41">INDEX(GMWQ!$A$2:$NE$60,MATCH(1,(GMWQ!$NE$2:$NE$60=Q$3)*(GMWQ!$ND$2:$ND$60=Q$4),0),$B41-1966)</f>
        <v>153.375</v>
      </c>
      <c r="R41" s="18" cm="1">
        <f t="array" ref="R41">INDEX(GMWQ!$A$2:$NE$60,MATCH(1,(GMWQ!$NE$2:$NE$60=R$3)*(GMWQ!$ND$2:$ND$60=R$4),0),$B41-1966)</f>
        <v>10016.469999999999</v>
      </c>
      <c r="S41" s="18" cm="1">
        <f t="array" ref="S41">INDEX(GMWQ!$A$2:$NE$60,MATCH(1,(GMWQ!$NE$2:$NE$60=S$3)*(GMWQ!$ND$2:$ND$60=S$4),0),$B41-1966)</f>
        <v>47.025210000000001</v>
      </c>
      <c r="T41" s="18" cm="1">
        <f t="array" ref="T41">INDEX(GMWQ!$A$2:$NE$60,MATCH(1,(GMWQ!$NE$2:$NE$60=T$3)*(GMWQ!$ND$2:$ND$60=T$4),0),$B41-1966)</f>
        <v>28.292000000000002</v>
      </c>
      <c r="U41" s="18" cm="1">
        <f t="array" ref="U41">INDEX(GMWQ!$A$2:$NE$60,MATCH(1,(GMWQ!$NE$2:$NE$60=U$3)*(GMWQ!$ND$2:$ND$60=U$4),0),$B41-1966)</f>
        <v>30.717490000000002</v>
      </c>
      <c r="V41" s="18" cm="1">
        <f t="array" ref="V41">INDEX(GMWQ!$A$2:$NE$60,MATCH(1,(GMWQ!$NE$2:$NE$60=V$3)*(GMWQ!$ND$2:$ND$60=V$4),0),$B41-1966)</f>
        <v>27044.75</v>
      </c>
      <c r="W41" s="18" cm="1">
        <f t="array" ref="W41">INDEX(GMWQ!$A$2:$NF$60,MATCH(1,(GMWQ!$NE$2:$NE$60=W$3)*(GMWQ!$NF$2:$NF$60=W$1),0),$B41-1966)</f>
        <v>14664.12</v>
      </c>
      <c r="X41" s="18" cm="1">
        <f t="array" ref="X41">INDEX(GMWQ!$A$2:$NF$60,MATCH(1,(GMWQ!$NE$2:$NE$60=X$3)*(GMWQ!$NF$2:$NF$60=X$1),0),$B41-1966)</f>
        <v>15711.15</v>
      </c>
      <c r="Y41" s="18" cm="1">
        <f t="array" ref="Y41">INDEX(GMWQ!$A$2:$NF$60,MATCH(1,(GMWQ!$NE$2:$NE$60=Y$3)*(GMWQ!$NF$2:$NF$60=Y$1),0),$B41-1966)</f>
        <v>16388.07</v>
      </c>
      <c r="Z41" s="18" cm="1">
        <f t="array" ref="Z41">INDEX(GMWQ!$A$2:$NF$60,MATCH(1,(GMWQ!$NE$2:$NE$60=Z$3)*(GMWQ!$NF$2:$NF$60=Z$1),0),$B41-1966)</f>
        <v>15348.07</v>
      </c>
    </row>
    <row r="42" spans="1:26" x14ac:dyDescent="0.25">
      <c r="B42" s="18">
        <f t="shared" si="1"/>
        <v>2008</v>
      </c>
      <c r="C42" s="18" cm="1">
        <f t="array" ref="C42">INDEX(GMWQ!$A$2:$NE$60,MATCH(1,(GMWQ!$NE$2:$NE$60=C$3)*(GMWQ!$ND$2:$ND$60=C$4),0),$B42-1966)</f>
        <v>16595.060000000001</v>
      </c>
      <c r="D42" s="18" cm="1">
        <f t="array" ref="D42">INDEX(GMWQ!$A$2:$NE$60,MATCH(1,(GMWQ!$NE$2:$NE$60=D$3)*(GMWQ!$ND$2:$ND$60=D$4),0),$B42-1966)</f>
        <v>15234</v>
      </c>
      <c r="E42" s="18" cm="1">
        <f t="array" ref="E42">INDEX(GMWQ!$A$2:$NE$60,MATCH(1,(GMWQ!$NE$2:$NE$60=E$3)*(GMWQ!$ND$2:$ND$60=E$4),0),$B42-1966)</f>
        <v>273.34769999999997</v>
      </c>
      <c r="F42" s="18" cm="1">
        <f t="array" ref="F42">INDEX(GMWQ!$A$2:$NE$60,MATCH(1,(GMWQ!$NE$2:$NE$60=F$3)*(GMWQ!$ND$2:$ND$60=F$4),0),$B42-1966)</f>
        <v>3395.3760000000002</v>
      </c>
      <c r="G42" s="18" cm="1">
        <f t="array" ref="G42">INDEX(GMWQ!$A$2:$NE$60,MATCH(1,(GMWQ!$NE$2:$NE$60=G$3)*(GMWQ!$ND$2:$ND$60=G$4),0),$B42-1966)</f>
        <v>75596</v>
      </c>
      <c r="H42" s="18" cm="1">
        <f t="array" ref="H42">INDEX(GMWQ!$A$2:$NE$60,MATCH(1,(GMWQ!$NE$2:$NE$60=H$3)*(GMWQ!$ND$2:$ND$60=H$4),0),$B42-1966)</f>
        <v>43901</v>
      </c>
      <c r="I42" s="18" cm="1">
        <f t="array" ref="I42">INDEX(GMWQ!$A$2:$NE$60,MATCH(1,(GMWQ!$NE$2:$NE$60=I$3)*(GMWQ!$ND$2:$ND$60=I$4),0),$B42-1966)</f>
        <v>2835.386</v>
      </c>
      <c r="J42" s="18" cm="1">
        <f t="array" ref="J42">INDEX(GMWQ!$A$2:$NE$60,MATCH(1,(GMWQ!$NE$2:$NE$60=J$3)*(GMWQ!$ND$2:$ND$60=J$4),0),$B42-1966)</f>
        <v>11177.67</v>
      </c>
      <c r="K42" s="18" cm="1">
        <f t="array" ref="K42">INDEX(GMWQ!$A$2:$NE$60,MATCH(1,(GMWQ!$NE$2:$NE$60=K$3)*(GMWQ!$ND$2:$ND$60=K$4),0),$B42-1966)</f>
        <v>1290697</v>
      </c>
      <c r="L42" s="18" cm="1">
        <f t="array" ref="L42">INDEX(GMWQ!$A$2:$NE$60,MATCH(1,(GMWQ!$NE$2:$NE$60=L$3)*(GMWQ!$ND$2:$ND$60=L$4),0),$B42-1966)</f>
        <v>24209</v>
      </c>
      <c r="M42" s="18" cm="1">
        <f t="array" ref="M42">INDEX(GMWQ!$A$2:$NE$60,MATCH(1,(GMWQ!$NE$2:$NE$60=M$3)*(GMWQ!$ND$2:$ND$60=M$4),0),$B42-1966)</f>
        <v>1E-3</v>
      </c>
      <c r="N42" s="18" cm="1">
        <f t="array" ref="N42">INDEX(GMWQ!$A$2:$NE$60,MATCH(1,(GMWQ!$NE$2:$NE$60=N$3)*(GMWQ!$ND$2:$ND$60=N$4),0),$B42-1966)</f>
        <v>9.2399730000000009</v>
      </c>
      <c r="O42" s="18" cm="1">
        <f t="array" ref="O42">INDEX(GMWQ!$A$2:$NE$60,MATCH(1,(GMWQ!$NE$2:$NE$60=O$3)*(GMWQ!$ND$2:$ND$60=O$4),0),$B42-1966)</f>
        <v>1E-3</v>
      </c>
      <c r="P42" s="18" cm="1">
        <f t="array" ref="P42">INDEX(GMWQ!$A$2:$NE$60,MATCH(1,(GMWQ!$NE$2:$NE$60=P$3)*(GMWQ!$ND$2:$ND$60=P$4),0),$B42-1966)</f>
        <v>35248.61</v>
      </c>
      <c r="Q42" s="18" cm="1">
        <f t="array" ref="Q42">INDEX(GMWQ!$A$2:$NE$60,MATCH(1,(GMWQ!$NE$2:$NE$60=Q$3)*(GMWQ!$ND$2:$ND$60=Q$4),0),$B42-1966)</f>
        <v>156.94999999999999</v>
      </c>
      <c r="R42" s="18" cm="1">
        <f t="array" ref="R42">INDEX(GMWQ!$A$2:$NE$60,MATCH(1,(GMWQ!$NE$2:$NE$60=R$3)*(GMWQ!$ND$2:$ND$60=R$4),0),$B42-1966)</f>
        <v>10200.549999999999</v>
      </c>
      <c r="S42" s="18" cm="1">
        <f t="array" ref="S42">INDEX(GMWQ!$A$2:$NE$60,MATCH(1,(GMWQ!$NE$2:$NE$60=S$3)*(GMWQ!$ND$2:$ND$60=S$4),0),$B42-1966)</f>
        <v>45.112580000000001</v>
      </c>
      <c r="T42" s="18" cm="1">
        <f t="array" ref="T42">INDEX(GMWQ!$A$2:$NE$60,MATCH(1,(GMWQ!$NE$2:$NE$60=T$3)*(GMWQ!$ND$2:$ND$60=T$4),0),$B42-1966)</f>
        <v>28.738</v>
      </c>
      <c r="U42" s="18" cm="1">
        <f t="array" ref="U42">INDEX(GMWQ!$A$2:$NE$60,MATCH(1,(GMWQ!$NE$2:$NE$60=U$3)*(GMWQ!$ND$2:$ND$60=U$4),0),$B42-1966)</f>
        <v>30.072289999999999</v>
      </c>
      <c r="V42" s="18" cm="1">
        <f t="array" ref="V42">INDEX(GMWQ!$A$2:$NE$60,MATCH(1,(GMWQ!$NE$2:$NE$60=V$3)*(GMWQ!$ND$2:$ND$60=V$4),0),$B42-1966)</f>
        <v>27488.25</v>
      </c>
      <c r="W42" s="18" cm="1">
        <f t="array" ref="W42">INDEX(GMWQ!$A$2:$NF$60,MATCH(1,(GMWQ!$NE$2:$NE$60=W$3)*(GMWQ!$NF$2:$NF$60=W$1),0),$B42-1966)</f>
        <v>14628.66</v>
      </c>
      <c r="X42" s="18" cm="1">
        <f t="array" ref="X42">INDEX(GMWQ!$A$2:$NF$60,MATCH(1,(GMWQ!$NE$2:$NE$60=X$3)*(GMWQ!$NF$2:$NF$60=X$1),0),$B42-1966)</f>
        <v>15673.16</v>
      </c>
      <c r="Y42" s="18" cm="1">
        <f t="array" ref="Y42">INDEX(GMWQ!$A$2:$NF$60,MATCH(1,(GMWQ!$NE$2:$NE$60=Y$3)*(GMWQ!$NF$2:$NF$60=Y$1),0),$B42-1966)</f>
        <v>16348.44</v>
      </c>
      <c r="Z42" s="18" cm="1">
        <f t="array" ref="Z42">INDEX(GMWQ!$A$2:$NF$60,MATCH(1,(GMWQ!$NE$2:$NE$60=Z$3)*(GMWQ!$NF$2:$NF$60=Z$1),0),$B42-1966)</f>
        <v>15310.96</v>
      </c>
    </row>
    <row r="43" spans="1:26" x14ac:dyDescent="0.25">
      <c r="A43" s="18">
        <v>1982</v>
      </c>
      <c r="B43" s="18">
        <f t="shared" si="1"/>
        <v>2009</v>
      </c>
      <c r="C43" s="18" cm="1">
        <f t="array" ref="C43">INDEX(GMWQ!$A$2:$NE$60,MATCH(1,(GMWQ!$NE$2:$NE$60=C$3)*(GMWQ!$ND$2:$ND$60=C$4),0),$B43-1966)</f>
        <v>16825.14</v>
      </c>
      <c r="D43" s="18" cm="1">
        <f t="array" ref="D43">INDEX(GMWQ!$A$2:$NE$60,MATCH(1,(GMWQ!$NE$2:$NE$60=D$3)*(GMWQ!$ND$2:$ND$60=D$4),0),$B43-1966)</f>
        <v>14539</v>
      </c>
      <c r="E43" s="18" cm="1">
        <f t="array" ref="E43">INDEX(GMWQ!$A$2:$NE$60,MATCH(1,(GMWQ!$NE$2:$NE$60=E$3)*(GMWQ!$ND$2:$ND$60=E$4),0),$B43-1966)</f>
        <v>-2270.143</v>
      </c>
      <c r="F43" s="18" cm="1">
        <f t="array" ref="F43">INDEX(GMWQ!$A$2:$NE$60,MATCH(1,(GMWQ!$NE$2:$NE$60=F$3)*(GMWQ!$ND$2:$ND$60=F$4),0),$B43-1966)</f>
        <v>30.299130000000002</v>
      </c>
      <c r="G43" s="18" cm="1">
        <f t="array" ref="G43">INDEX(GMWQ!$A$2:$NE$60,MATCH(1,(GMWQ!$NE$2:$NE$60=G$3)*(GMWQ!$ND$2:$ND$60=G$4),0),$B43-1966)</f>
        <v>77468</v>
      </c>
      <c r="H43" s="18" cm="1">
        <f t="array" ref="H43">INDEX(GMWQ!$A$2:$NE$60,MATCH(1,(GMWQ!$NE$2:$NE$60=H$3)*(GMWQ!$ND$2:$ND$60=H$4),0),$B43-1966)</f>
        <v>43821</v>
      </c>
      <c r="I43" s="18" cm="1">
        <f t="array" ref="I43">INDEX(GMWQ!$A$2:$NE$60,MATCH(1,(GMWQ!$NE$2:$NE$60=I$3)*(GMWQ!$ND$2:$ND$60=I$4),0),$B43-1966)</f>
        <v>2551.4169999999999</v>
      </c>
      <c r="J43" s="18" cm="1">
        <f t="array" ref="J43">INDEX(GMWQ!$A$2:$NE$60,MATCH(1,(GMWQ!$NE$2:$NE$60=J$3)*(GMWQ!$ND$2:$ND$60=J$4),0),$B43-1966)</f>
        <v>11223.44</v>
      </c>
      <c r="K43" s="18" cm="1">
        <f t="array" ref="K43">INDEX(GMWQ!$A$2:$NE$60,MATCH(1,(GMWQ!$NE$2:$NE$60=K$3)*(GMWQ!$ND$2:$ND$60=K$4),0),$B43-1966)</f>
        <v>1293603</v>
      </c>
      <c r="L43" s="18" cm="1">
        <f t="array" ref="L43">INDEX(GMWQ!$A$2:$NE$60,MATCH(1,(GMWQ!$NE$2:$NE$60=L$3)*(GMWQ!$ND$2:$ND$60=L$4),0),$B43-1966)</f>
        <v>24120</v>
      </c>
      <c r="M43" s="18" cm="1">
        <f t="array" ref="M43">INDEX(GMWQ!$A$2:$NE$60,MATCH(1,(GMWQ!$NE$2:$NE$60=M$3)*(GMWQ!$ND$2:$ND$60=M$4),0),$B43-1966)</f>
        <v>1E-3</v>
      </c>
      <c r="N43" s="18" cm="1">
        <f t="array" ref="N43">INDEX(GMWQ!$A$2:$NE$60,MATCH(1,(GMWQ!$NE$2:$NE$60=N$3)*(GMWQ!$ND$2:$ND$60=N$4),0),$B43-1966)</f>
        <v>9.5001599999999993</v>
      </c>
      <c r="O43" s="18" cm="1">
        <f t="array" ref="O43">INDEX(GMWQ!$A$2:$NE$60,MATCH(1,(GMWQ!$NE$2:$NE$60=O$3)*(GMWQ!$ND$2:$ND$60=O$4),0),$B43-1966)</f>
        <v>1E-3</v>
      </c>
      <c r="P43" s="18" cm="1">
        <f t="array" ref="P43">INDEX(GMWQ!$A$2:$NE$60,MATCH(1,(GMWQ!$NE$2:$NE$60=P$3)*(GMWQ!$ND$2:$ND$60=P$4),0),$B43-1966)</f>
        <v>37685.199999999997</v>
      </c>
      <c r="Q43" s="18" cm="1">
        <f t="array" ref="Q43">INDEX(GMWQ!$A$2:$NE$60,MATCH(1,(GMWQ!$NE$2:$NE$60=Q$3)*(GMWQ!$ND$2:$ND$60=Q$4),0),$B43-1966)</f>
        <v>153.65</v>
      </c>
      <c r="R43" s="18" cm="1">
        <f t="array" ref="R43">INDEX(GMWQ!$A$2:$NE$60,MATCH(1,(GMWQ!$NE$2:$NE$60=R$3)*(GMWQ!$ND$2:$ND$60=R$4),0),$B43-1966)</f>
        <v>9972.4500000000007</v>
      </c>
      <c r="S43" s="18" cm="1">
        <f t="array" ref="S43">INDEX(GMWQ!$A$2:$NE$60,MATCH(1,(GMWQ!$NE$2:$NE$60=S$3)*(GMWQ!$ND$2:$ND$60=S$4),0),$B43-1966)</f>
        <v>45.834919999999997</v>
      </c>
      <c r="T43" s="18" cm="1">
        <f t="array" ref="T43">INDEX(GMWQ!$A$2:$NE$60,MATCH(1,(GMWQ!$NE$2:$NE$60=T$3)*(GMWQ!$ND$2:$ND$60=T$4),0),$B43-1966)</f>
        <v>29.04</v>
      </c>
      <c r="U43" s="18" cm="1">
        <f t="array" ref="U43">INDEX(GMWQ!$A$2:$NE$60,MATCH(1,(GMWQ!$NE$2:$NE$60=U$3)*(GMWQ!$ND$2:$ND$60=U$4),0),$B43-1966)</f>
        <v>30.47542</v>
      </c>
      <c r="V43" s="18" cm="1">
        <f t="array" ref="V43">INDEX(GMWQ!$A$2:$NE$60,MATCH(1,(GMWQ!$NE$2:$NE$60=V$3)*(GMWQ!$ND$2:$ND$60=V$4),0),$B43-1966)</f>
        <v>26610.75</v>
      </c>
      <c r="W43" s="18" cm="1">
        <f t="array" ref="W43">INDEX(GMWQ!$A$2:$NF$60,MATCH(1,(GMWQ!$NE$2:$NE$60=W$3)*(GMWQ!$NF$2:$NF$60=W$1),0),$B43-1966)</f>
        <v>14831.48</v>
      </c>
      <c r="X43" s="18" cm="1">
        <f t="array" ref="X43">INDEX(GMWQ!$A$2:$NF$60,MATCH(1,(GMWQ!$NE$2:$NE$60=X$3)*(GMWQ!$NF$2:$NF$60=X$1),0),$B43-1966)</f>
        <v>15890.46</v>
      </c>
      <c r="Y43" s="18" cm="1">
        <f t="array" ref="Y43">INDEX(GMWQ!$A$2:$NF$60,MATCH(1,(GMWQ!$NE$2:$NE$60=Y$3)*(GMWQ!$NF$2:$NF$60=Y$1),0),$B43-1966)</f>
        <v>16575.099999999999</v>
      </c>
      <c r="Z43" s="18" cm="1">
        <f t="array" ref="Z43">INDEX(GMWQ!$A$2:$NF$60,MATCH(1,(GMWQ!$NE$2:$NE$60=Z$3)*(GMWQ!$NF$2:$NF$60=Z$1),0),$B43-1966)</f>
        <v>15523.24</v>
      </c>
    </row>
    <row r="44" spans="1:26" x14ac:dyDescent="0.25">
      <c r="B44" s="18">
        <f t="shared" si="1"/>
        <v>2010</v>
      </c>
      <c r="C44" s="18" cm="1">
        <f t="array" ref="C44">INDEX(GMWQ!$A$2:$NE$60,MATCH(1,(GMWQ!$NE$2:$NE$60=C$3)*(GMWQ!$ND$2:$ND$60=C$4),0),$B44-1966)</f>
        <v>16926.509999999998</v>
      </c>
      <c r="D44" s="18" cm="1">
        <f t="array" ref="D44">INDEX(GMWQ!$A$2:$NE$60,MATCH(1,(GMWQ!$NE$2:$NE$60=D$3)*(GMWQ!$ND$2:$ND$60=D$4),0),$B44-1966)</f>
        <v>16436</v>
      </c>
      <c r="E44" s="18" cm="1">
        <f t="array" ref="E44">INDEX(GMWQ!$A$2:$NE$60,MATCH(1,(GMWQ!$NE$2:$NE$60=E$3)*(GMWQ!$ND$2:$ND$60=E$4),0),$B44-1966)</f>
        <v>860.75450000000001</v>
      </c>
      <c r="F44" s="18" cm="1">
        <f t="array" ref="F44">INDEX(GMWQ!$A$2:$NE$60,MATCH(1,(GMWQ!$NE$2:$NE$60=F$3)*(GMWQ!$ND$2:$ND$60=F$4),0),$B44-1966)</f>
        <v>4697.2070000000003</v>
      </c>
      <c r="G44" s="18" cm="1">
        <f t="array" ref="G44">INDEX(GMWQ!$A$2:$NE$60,MATCH(1,(GMWQ!$NE$2:$NE$60=G$3)*(GMWQ!$ND$2:$ND$60=G$4),0),$B44-1966)</f>
        <v>78993</v>
      </c>
      <c r="H44" s="18" cm="1">
        <f t="array" ref="H44">INDEX(GMWQ!$A$2:$NE$60,MATCH(1,(GMWQ!$NE$2:$NE$60=H$3)*(GMWQ!$ND$2:$ND$60=H$4),0),$B44-1966)</f>
        <v>45825</v>
      </c>
      <c r="I44" s="18" cm="1">
        <f t="array" ref="I44">INDEX(GMWQ!$A$2:$NE$60,MATCH(1,(GMWQ!$NE$2:$NE$60=I$3)*(GMWQ!$ND$2:$ND$60=I$4),0),$B44-1966)</f>
        <v>2800.9659999999999</v>
      </c>
      <c r="J44" s="18" cm="1">
        <f t="array" ref="J44">INDEX(GMWQ!$A$2:$NE$60,MATCH(1,(GMWQ!$NE$2:$NE$60=J$3)*(GMWQ!$ND$2:$ND$60=J$4),0),$B44-1966)</f>
        <v>14181.11</v>
      </c>
      <c r="K44" s="18" cm="1">
        <f t="array" ref="K44">INDEX(GMWQ!$A$2:$NE$60,MATCH(1,(GMWQ!$NE$2:$NE$60=K$3)*(GMWQ!$ND$2:$ND$60=K$4),0),$B44-1966)</f>
        <v>1296509</v>
      </c>
      <c r="L44" s="18" cm="1">
        <f t="array" ref="L44">INDEX(GMWQ!$A$2:$NE$60,MATCH(1,(GMWQ!$NE$2:$NE$60=L$3)*(GMWQ!$ND$2:$ND$60=L$4),0),$B44-1966)</f>
        <v>24027</v>
      </c>
      <c r="M44" s="18" cm="1">
        <f t="array" ref="M44">INDEX(GMWQ!$A$2:$NE$60,MATCH(1,(GMWQ!$NE$2:$NE$60=M$3)*(GMWQ!$ND$2:$ND$60=M$4),0),$B44-1966)</f>
        <v>1E-3</v>
      </c>
      <c r="N44" s="18" cm="1">
        <f t="array" ref="N44">INDEX(GMWQ!$A$2:$NE$60,MATCH(1,(GMWQ!$NE$2:$NE$60=N$3)*(GMWQ!$ND$2:$ND$60=N$4),0),$B44-1966)</f>
        <v>8.1415480000000002</v>
      </c>
      <c r="O44" s="18" cm="1">
        <f t="array" ref="O44">INDEX(GMWQ!$A$2:$NE$60,MATCH(1,(GMWQ!$NE$2:$NE$60=O$3)*(GMWQ!$ND$2:$ND$60=O$4),0),$B44-1966)</f>
        <v>1E-3</v>
      </c>
      <c r="P44" s="18" cm="1">
        <f t="array" ref="P44">INDEX(GMWQ!$A$2:$NE$60,MATCH(1,(GMWQ!$NE$2:$NE$60=P$3)*(GMWQ!$ND$2:$ND$60=P$4),0),$B44-1966)</f>
        <v>39136.9</v>
      </c>
      <c r="Q44" s="18" cm="1">
        <f t="array" ref="Q44">INDEX(GMWQ!$A$2:$NE$60,MATCH(1,(GMWQ!$NE$2:$NE$60=Q$3)*(GMWQ!$ND$2:$ND$60=Q$4),0),$B44-1966)</f>
        <v>148.875</v>
      </c>
      <c r="R44" s="18" cm="1">
        <f t="array" ref="R44">INDEX(GMWQ!$A$2:$NE$60,MATCH(1,(GMWQ!$NE$2:$NE$60=R$3)*(GMWQ!$ND$2:$ND$60=R$4),0),$B44-1966)</f>
        <v>10226.719999999999</v>
      </c>
      <c r="S44" s="18" cm="1">
        <f t="array" ref="S44">INDEX(GMWQ!$A$2:$NE$60,MATCH(1,(GMWQ!$NE$2:$NE$60=S$3)*(GMWQ!$ND$2:$ND$60=S$4),0),$B44-1966)</f>
        <v>46.068150000000003</v>
      </c>
      <c r="T44" s="18" cm="1">
        <f t="array" ref="T44">INDEX(GMWQ!$A$2:$NE$60,MATCH(1,(GMWQ!$NE$2:$NE$60=T$3)*(GMWQ!$ND$2:$ND$60=T$4),0),$B44-1966)</f>
        <v>29.623000000000001</v>
      </c>
      <c r="U44" s="18" cm="1">
        <f t="array" ref="U44">INDEX(GMWQ!$A$2:$NE$60,MATCH(1,(GMWQ!$NE$2:$NE$60=U$3)*(GMWQ!$ND$2:$ND$60=U$4),0),$B44-1966)</f>
        <v>29.308129999999998</v>
      </c>
      <c r="V44" s="18" cm="1">
        <f t="array" ref="V44">INDEX(GMWQ!$A$2:$NE$60,MATCH(1,(GMWQ!$NE$2:$NE$60=V$3)*(GMWQ!$ND$2:$ND$60=V$4),0),$B44-1966)</f>
        <v>24802</v>
      </c>
      <c r="W44" s="18" cm="1">
        <f t="array" ref="W44">INDEX(GMWQ!$A$2:$NF$60,MATCH(1,(GMWQ!$NE$2:$NE$60=W$3)*(GMWQ!$NF$2:$NF$60=W$1),0),$B44-1966)</f>
        <v>14920.83</v>
      </c>
      <c r="X44" s="18" cm="1">
        <f t="array" ref="X44">INDEX(GMWQ!$A$2:$NF$60,MATCH(1,(GMWQ!$NE$2:$NE$60=X$3)*(GMWQ!$NF$2:$NF$60=X$1),0),$B44-1966)</f>
        <v>15986.2</v>
      </c>
      <c r="Y44" s="18" cm="1">
        <f t="array" ref="Y44">INDEX(GMWQ!$A$2:$NF$60,MATCH(1,(GMWQ!$NE$2:$NE$60=Y$3)*(GMWQ!$NF$2:$NF$60=Y$1),0),$B44-1966)</f>
        <v>16674.96</v>
      </c>
      <c r="Z44" s="18" cm="1">
        <f t="array" ref="Z44">INDEX(GMWQ!$A$2:$NF$60,MATCH(1,(GMWQ!$NE$2:$NE$60=Z$3)*(GMWQ!$NF$2:$NF$60=Z$1),0),$B44-1966)</f>
        <v>15616.76</v>
      </c>
    </row>
    <row r="45" spans="1:26" x14ac:dyDescent="0.25">
      <c r="B45" s="18">
        <f t="shared" si="1"/>
        <v>2011</v>
      </c>
      <c r="C45" s="18" cm="1">
        <f t="array" ref="C45">INDEX(GMWQ!$A$2:$NE$60,MATCH(1,(GMWQ!$NE$2:$NE$60=C$3)*(GMWQ!$ND$2:$ND$60=C$4),0),$B45-1966)</f>
        <v>17586.189999999999</v>
      </c>
      <c r="D45" s="18" cm="1">
        <f t="array" ref="D45">INDEX(GMWQ!$A$2:$NE$60,MATCH(1,(GMWQ!$NE$2:$NE$60=D$3)*(GMWQ!$ND$2:$ND$60=D$4),0),$B45-1966)</f>
        <v>16844</v>
      </c>
      <c r="E45" s="18" cm="1">
        <f t="array" ref="E45">INDEX(GMWQ!$A$2:$NE$60,MATCH(1,(GMWQ!$NE$2:$NE$60=E$3)*(GMWQ!$ND$2:$ND$60=E$4),0),$B45-1966)</f>
        <v>2244.9409999999998</v>
      </c>
      <c r="F45" s="18" cm="1">
        <f t="array" ref="F45">INDEX(GMWQ!$A$2:$NE$60,MATCH(1,(GMWQ!$NE$2:$NE$60=F$3)*(GMWQ!$ND$2:$ND$60=F$4),0),$B45-1966)</f>
        <v>5788.4790000000003</v>
      </c>
      <c r="G45" s="18" cm="1">
        <f t="array" ref="G45">INDEX(GMWQ!$A$2:$NE$60,MATCH(1,(GMWQ!$NE$2:$NE$60=G$3)*(GMWQ!$ND$2:$ND$60=G$4),0),$B45-1966)</f>
        <v>80430</v>
      </c>
      <c r="H45" s="18" cm="1">
        <f t="array" ref="H45">INDEX(GMWQ!$A$2:$NE$60,MATCH(1,(GMWQ!$NE$2:$NE$60=H$3)*(GMWQ!$ND$2:$ND$60=H$4),0),$B45-1966)</f>
        <v>47163</v>
      </c>
      <c r="I45" s="18" cm="1">
        <f t="array" ref="I45">INDEX(GMWQ!$A$2:$NE$60,MATCH(1,(GMWQ!$NE$2:$NE$60=I$3)*(GMWQ!$ND$2:$ND$60=I$4),0),$B45-1966)</f>
        <v>3026.85</v>
      </c>
      <c r="J45" s="18" cm="1">
        <f t="array" ref="J45">INDEX(GMWQ!$A$2:$NE$60,MATCH(1,(GMWQ!$NE$2:$NE$60=J$3)*(GMWQ!$ND$2:$ND$60=J$4),0),$B45-1966)</f>
        <v>13488.73</v>
      </c>
      <c r="K45" s="18" cm="1">
        <f t="array" ref="K45">INDEX(GMWQ!$A$2:$NE$60,MATCH(1,(GMWQ!$NE$2:$NE$60=K$3)*(GMWQ!$ND$2:$ND$60=K$4),0),$B45-1966)</f>
        <v>1299415</v>
      </c>
      <c r="L45" s="18" cm="1">
        <f t="array" ref="L45">INDEX(GMWQ!$A$2:$NE$60,MATCH(1,(GMWQ!$NE$2:$NE$60=L$3)*(GMWQ!$ND$2:$ND$60=L$4),0),$B45-1966)</f>
        <v>23901</v>
      </c>
      <c r="M45" s="18" cm="1">
        <f t="array" ref="M45">INDEX(GMWQ!$A$2:$NE$60,MATCH(1,(GMWQ!$NE$2:$NE$60=M$3)*(GMWQ!$ND$2:$ND$60=M$4),0),$B45-1966)</f>
        <v>1E-3</v>
      </c>
      <c r="N45" s="18" cm="1">
        <f t="array" ref="N45">INDEX(GMWQ!$A$2:$NE$60,MATCH(1,(GMWQ!$NE$2:$NE$60=N$3)*(GMWQ!$ND$2:$ND$60=N$4),0),$B45-1966)</f>
        <v>7.2186570000000003</v>
      </c>
      <c r="O45" s="18" cm="1">
        <f t="array" ref="O45">INDEX(GMWQ!$A$2:$NE$60,MATCH(1,(GMWQ!$NE$2:$NE$60=O$3)*(GMWQ!$ND$2:$ND$60=O$4),0),$B45-1966)</f>
        <v>1E-3</v>
      </c>
      <c r="P45" s="18" cm="1">
        <f t="array" ref="P45">INDEX(GMWQ!$A$2:$NE$60,MATCH(1,(GMWQ!$NE$2:$NE$60=P$3)*(GMWQ!$ND$2:$ND$60=P$4),0),$B45-1966)</f>
        <v>41277.32</v>
      </c>
      <c r="Q45" s="18" cm="1">
        <f t="array" ref="Q45">INDEX(GMWQ!$A$2:$NE$60,MATCH(1,(GMWQ!$NE$2:$NE$60=Q$3)*(GMWQ!$ND$2:$ND$60=Q$4),0),$B45-1966)</f>
        <v>144.6</v>
      </c>
      <c r="R45" s="18" cm="1">
        <f t="array" ref="R45">INDEX(GMWQ!$A$2:$NE$60,MATCH(1,(GMWQ!$NE$2:$NE$60=R$3)*(GMWQ!$ND$2:$ND$60=R$4),0),$B45-1966)</f>
        <v>10214.780000000001</v>
      </c>
      <c r="S45" s="18" cm="1">
        <f t="array" ref="S45">INDEX(GMWQ!$A$2:$NE$60,MATCH(1,(GMWQ!$NE$2:$NE$60=S$3)*(GMWQ!$ND$2:$ND$60=S$4),0),$B45-1966)</f>
        <v>45.189019999999999</v>
      </c>
      <c r="T45" s="18" cm="1">
        <f t="array" ref="T45">INDEX(GMWQ!$A$2:$NE$60,MATCH(1,(GMWQ!$NE$2:$NE$60=T$3)*(GMWQ!$ND$2:$ND$60=T$4),0),$B45-1966)</f>
        <v>28.974</v>
      </c>
      <c r="U45" s="18" cm="1">
        <f t="array" ref="U45">INDEX(GMWQ!$A$2:$NE$60,MATCH(1,(GMWQ!$NE$2:$NE$60=U$3)*(GMWQ!$ND$2:$ND$60=U$4),0),$B45-1966)</f>
        <v>29.072659999999999</v>
      </c>
      <c r="V45" s="18" cm="1">
        <f t="array" ref="V45">INDEX(GMWQ!$A$2:$NE$60,MATCH(1,(GMWQ!$NE$2:$NE$60=V$3)*(GMWQ!$ND$2:$ND$60=V$4),0),$B45-1966)</f>
        <v>22895.5</v>
      </c>
      <c r="W45" s="18" cm="1">
        <f t="array" ref="W45">INDEX(GMWQ!$A$2:$NF$60,MATCH(1,(GMWQ!$NE$2:$NE$60=W$3)*(GMWQ!$NF$2:$NF$60=W$1),0),$B45-1966)</f>
        <v>15502.35</v>
      </c>
      <c r="X45" s="18" cm="1">
        <f t="array" ref="X45">INDEX(GMWQ!$A$2:$NF$60,MATCH(1,(GMWQ!$NE$2:$NE$60=X$3)*(GMWQ!$NF$2:$NF$60=X$1),0),$B45-1966)</f>
        <v>16609.240000000002</v>
      </c>
      <c r="Y45" s="18" cm="1">
        <f t="array" ref="Y45">INDEX(GMWQ!$A$2:$NF$60,MATCH(1,(GMWQ!$NE$2:$NE$60=Y$3)*(GMWQ!$NF$2:$NF$60=Y$1),0),$B45-1966)</f>
        <v>17324.84</v>
      </c>
      <c r="Z45" s="18" cm="1">
        <f t="array" ref="Z45">INDEX(GMWQ!$A$2:$NF$60,MATCH(1,(GMWQ!$NE$2:$NE$60=Z$3)*(GMWQ!$NF$2:$NF$60=Z$1),0),$B45-1966)</f>
        <v>16225.4</v>
      </c>
    </row>
    <row r="46" spans="1:26" x14ac:dyDescent="0.25">
      <c r="B46" s="18">
        <f t="shared" si="1"/>
        <v>2012</v>
      </c>
      <c r="C46" s="18" cm="1">
        <f t="array" ref="C46">INDEX(GMWQ!$A$2:$NE$60,MATCH(1,(GMWQ!$NE$2:$NE$60=C$3)*(GMWQ!$ND$2:$ND$60=C$4),0),$B46-1966)</f>
        <v>17439.77</v>
      </c>
      <c r="D46" s="18" cm="1">
        <f t="array" ref="D46">INDEX(GMWQ!$A$2:$NE$60,MATCH(1,(GMWQ!$NE$2:$NE$60=D$3)*(GMWQ!$ND$2:$ND$60=D$4),0),$B46-1966)</f>
        <v>17632</v>
      </c>
      <c r="E46" s="18" cm="1">
        <f t="array" ref="E46">INDEX(GMWQ!$A$2:$NE$60,MATCH(1,(GMWQ!$NE$2:$NE$60=E$3)*(GMWQ!$ND$2:$ND$60=E$4),0),$B46-1966)</f>
        <v>5123.8159999999998</v>
      </c>
      <c r="F46" s="18" cm="1">
        <f t="array" ref="F46">INDEX(GMWQ!$A$2:$NE$60,MATCH(1,(GMWQ!$NE$2:$NE$60=F$3)*(GMWQ!$ND$2:$ND$60=F$4),0),$B46-1966)</f>
        <v>5259.5559999999996</v>
      </c>
      <c r="G46" s="18" cm="1">
        <f t="array" ref="G46">INDEX(GMWQ!$A$2:$NE$60,MATCH(1,(GMWQ!$NE$2:$NE$60=G$3)*(GMWQ!$ND$2:$ND$60=G$4),0),$B46-1966)</f>
        <v>82667</v>
      </c>
      <c r="H46" s="18" cm="1">
        <f t="array" ref="H46">INDEX(GMWQ!$A$2:$NE$60,MATCH(1,(GMWQ!$NE$2:$NE$60=H$3)*(GMWQ!$ND$2:$ND$60=H$4),0),$B46-1966)</f>
        <v>47683</v>
      </c>
      <c r="I46" s="18" cm="1">
        <f t="array" ref="I46">INDEX(GMWQ!$A$2:$NE$60,MATCH(1,(GMWQ!$NE$2:$NE$60=I$3)*(GMWQ!$ND$2:$ND$60=I$4),0),$B46-1966)</f>
        <v>3351.6930000000002</v>
      </c>
      <c r="J46" s="18" cm="1">
        <f t="array" ref="J46">INDEX(GMWQ!$A$2:$NE$60,MATCH(1,(GMWQ!$NE$2:$NE$60=J$3)*(GMWQ!$ND$2:$ND$60=J$4),0),$B46-1966)</f>
        <v>13749.96</v>
      </c>
      <c r="K46" s="18" cm="1">
        <f t="array" ref="K46">INDEX(GMWQ!$A$2:$NE$60,MATCH(1,(GMWQ!$NE$2:$NE$60=K$3)*(GMWQ!$ND$2:$ND$60=K$4),0),$B46-1966)</f>
        <v>1302321</v>
      </c>
      <c r="L46" s="18" cm="1">
        <f t="array" ref="L46">INDEX(GMWQ!$A$2:$NE$60,MATCH(1,(GMWQ!$NE$2:$NE$60=L$3)*(GMWQ!$ND$2:$ND$60=L$4),0),$B46-1966)</f>
        <v>23755</v>
      </c>
      <c r="M46" s="18" cm="1">
        <f t="array" ref="M46">INDEX(GMWQ!$A$2:$NE$60,MATCH(1,(GMWQ!$NE$2:$NE$60=M$3)*(GMWQ!$ND$2:$ND$60=M$4),0),$B46-1966)</f>
        <v>1E-3</v>
      </c>
      <c r="N46" s="18" cm="1">
        <f t="array" ref="N46">INDEX(GMWQ!$A$2:$NE$60,MATCH(1,(GMWQ!$NE$2:$NE$60=N$3)*(GMWQ!$ND$2:$ND$60=N$4),0),$B46-1966)</f>
        <v>5.9809229999999998</v>
      </c>
      <c r="O46" s="18" cm="1">
        <f t="array" ref="O46">INDEX(GMWQ!$A$2:$NE$60,MATCH(1,(GMWQ!$NE$2:$NE$60=O$3)*(GMWQ!$ND$2:$ND$60=O$4),0),$B46-1966)</f>
        <v>1E-3</v>
      </c>
      <c r="P46" s="18" cm="1">
        <f t="array" ref="P46">INDEX(GMWQ!$A$2:$NE$60,MATCH(1,(GMWQ!$NE$2:$NE$60=P$3)*(GMWQ!$ND$2:$ND$60=P$4),0),$B46-1966)</f>
        <v>41153.839999999997</v>
      </c>
      <c r="Q46" s="18" cm="1">
        <f t="array" ref="Q46">INDEX(GMWQ!$A$2:$NE$60,MATCH(1,(GMWQ!$NE$2:$NE$60=Q$3)*(GMWQ!$ND$2:$ND$60=Q$4),0),$B46-1966)</f>
        <v>142.1</v>
      </c>
      <c r="R46" s="18" cm="1">
        <f t="array" ref="R46">INDEX(GMWQ!$A$2:$NE$60,MATCH(1,(GMWQ!$NE$2:$NE$60=R$3)*(GMWQ!$ND$2:$ND$60=R$4),0),$B46-1966)</f>
        <v>10081.42</v>
      </c>
      <c r="S46" s="18" cm="1">
        <f t="array" ref="S46">INDEX(GMWQ!$A$2:$NE$60,MATCH(1,(GMWQ!$NE$2:$NE$60=S$3)*(GMWQ!$ND$2:$ND$60=S$4),0),$B46-1966)</f>
        <v>45.304969999999997</v>
      </c>
      <c r="T46" s="18" cm="1">
        <f t="array" ref="T46">INDEX(GMWQ!$A$2:$NE$60,MATCH(1,(GMWQ!$NE$2:$NE$60=T$3)*(GMWQ!$ND$2:$ND$60=T$4),0),$B46-1966)</f>
        <v>29.074999999999999</v>
      </c>
      <c r="U46" s="18" cm="1">
        <f t="array" ref="U46">INDEX(GMWQ!$A$2:$NE$60,MATCH(1,(GMWQ!$NE$2:$NE$60=U$3)*(GMWQ!$ND$2:$ND$60=U$4),0),$B46-1966)</f>
        <v>28.873370000000001</v>
      </c>
      <c r="V46" s="18" cm="1">
        <f t="array" ref="V46">INDEX(GMWQ!$A$2:$NE$60,MATCH(1,(GMWQ!$NE$2:$NE$60=V$3)*(GMWQ!$ND$2:$ND$60=V$4),0),$B46-1966)</f>
        <v>23037.5</v>
      </c>
      <c r="W46" s="18" cm="1">
        <f t="array" ref="W46">INDEX(GMWQ!$A$2:$NF$60,MATCH(1,(GMWQ!$NE$2:$NE$60=W$3)*(GMWQ!$NF$2:$NF$60=W$1),0),$B46-1966)</f>
        <v>15373.28</v>
      </c>
      <c r="X46" s="18" cm="1">
        <f t="array" ref="X46">INDEX(GMWQ!$A$2:$NF$60,MATCH(1,(GMWQ!$NE$2:$NE$60=X$3)*(GMWQ!$NF$2:$NF$60=X$1),0),$B46-1966)</f>
        <v>16470.95</v>
      </c>
      <c r="Y46" s="18" cm="1">
        <f t="array" ref="Y46">INDEX(GMWQ!$A$2:$NF$60,MATCH(1,(GMWQ!$NE$2:$NE$60=Y$3)*(GMWQ!$NF$2:$NF$60=Y$1),0),$B46-1966)</f>
        <v>17180.599999999999</v>
      </c>
      <c r="Z46" s="18" cm="1">
        <f t="array" ref="Z46">INDEX(GMWQ!$A$2:$NF$60,MATCH(1,(GMWQ!$NE$2:$NE$60=Z$3)*(GMWQ!$NF$2:$NF$60=Z$1),0),$B46-1966)</f>
        <v>16090.31</v>
      </c>
    </row>
    <row r="47" spans="1:26" x14ac:dyDescent="0.25">
      <c r="A47" s="18">
        <v>1983</v>
      </c>
      <c r="B47" s="18">
        <f t="shared" si="1"/>
        <v>2013</v>
      </c>
      <c r="C47" s="18" cm="1">
        <f t="array" ref="C47">INDEX(GMWQ!$A$2:$NE$60,MATCH(1,(GMWQ!$NE$2:$NE$60=C$3)*(GMWQ!$ND$2:$ND$60=C$4),0),$B47-1966)</f>
        <v>17069.71</v>
      </c>
      <c r="D47" s="18" cm="1">
        <f t="array" ref="D47">INDEX(GMWQ!$A$2:$NE$60,MATCH(1,(GMWQ!$NE$2:$NE$60=D$3)*(GMWQ!$ND$2:$ND$60=D$4),0),$B47-1966)</f>
        <v>18610</v>
      </c>
      <c r="E47" s="18" cm="1">
        <f t="array" ref="E47">INDEX(GMWQ!$A$2:$NE$60,MATCH(1,(GMWQ!$NE$2:$NE$60=E$3)*(GMWQ!$ND$2:$ND$60=E$4),0),$B47-1966)</f>
        <v>3028.15</v>
      </c>
      <c r="F47" s="18" cm="1">
        <f t="array" ref="F47">INDEX(GMWQ!$A$2:$NE$60,MATCH(1,(GMWQ!$NE$2:$NE$60=F$3)*(GMWQ!$ND$2:$ND$60=F$4),0),$B47-1966)</f>
        <v>1763.6210000000001</v>
      </c>
      <c r="G47" s="18" cm="1">
        <f t="array" ref="G47">INDEX(GMWQ!$A$2:$NE$60,MATCH(1,(GMWQ!$NE$2:$NE$60=G$3)*(GMWQ!$ND$2:$ND$60=G$4),0),$B47-1966)</f>
        <v>85727</v>
      </c>
      <c r="H47" s="18" cm="1">
        <f t="array" ref="H47">INDEX(GMWQ!$A$2:$NE$60,MATCH(1,(GMWQ!$NE$2:$NE$60=H$3)*(GMWQ!$ND$2:$ND$60=H$4),0),$B47-1966)</f>
        <v>49100</v>
      </c>
      <c r="I47" s="18" cm="1">
        <f t="array" ref="I47">INDEX(GMWQ!$A$2:$NE$60,MATCH(1,(GMWQ!$NE$2:$NE$60=I$3)*(GMWQ!$ND$2:$ND$60=I$4),0),$B47-1966)</f>
        <v>4207.902</v>
      </c>
      <c r="J47" s="18" cm="1">
        <f t="array" ref="J47">INDEX(GMWQ!$A$2:$NE$60,MATCH(1,(GMWQ!$NE$2:$NE$60=J$3)*(GMWQ!$ND$2:$ND$60=J$4),0),$B47-1966)</f>
        <v>13561.82</v>
      </c>
      <c r="K47" s="18" cm="1">
        <f t="array" ref="K47">INDEX(GMWQ!$A$2:$NE$60,MATCH(1,(GMWQ!$NE$2:$NE$60=K$3)*(GMWQ!$ND$2:$ND$60=K$4),0),$B47-1966)</f>
        <v>1305777</v>
      </c>
      <c r="L47" s="18" cm="1">
        <f t="array" ref="L47">INDEX(GMWQ!$A$2:$NE$60,MATCH(1,(GMWQ!$NE$2:$NE$60=L$3)*(GMWQ!$ND$2:$ND$60=L$4),0),$B47-1966)</f>
        <v>23651</v>
      </c>
      <c r="M47" s="18" cm="1">
        <f t="array" ref="M47">INDEX(GMWQ!$A$2:$NE$60,MATCH(1,(GMWQ!$NE$2:$NE$60=M$3)*(GMWQ!$ND$2:$ND$60=M$4),0),$B47-1966)</f>
        <v>1E-3</v>
      </c>
      <c r="N47" s="18" cm="1">
        <f t="array" ref="N47">INDEX(GMWQ!$A$2:$NE$60,MATCH(1,(GMWQ!$NE$2:$NE$60=N$3)*(GMWQ!$ND$2:$ND$60=N$4),0),$B47-1966)</f>
        <v>6.3284349999999998</v>
      </c>
      <c r="O47" s="18" cm="1">
        <f t="array" ref="O47">INDEX(GMWQ!$A$2:$NE$60,MATCH(1,(GMWQ!$NE$2:$NE$60=O$3)*(GMWQ!$ND$2:$ND$60=O$4),0),$B47-1966)</f>
        <v>1E-3</v>
      </c>
      <c r="P47" s="18" cm="1">
        <f t="array" ref="P47">INDEX(GMWQ!$A$2:$NE$60,MATCH(1,(GMWQ!$NE$2:$NE$60=P$3)*(GMWQ!$ND$2:$ND$60=P$4),0),$B47-1966)</f>
        <v>40956.06</v>
      </c>
      <c r="Q47" s="18" cm="1">
        <f t="array" ref="Q47">INDEX(GMWQ!$A$2:$NE$60,MATCH(1,(GMWQ!$NE$2:$NE$60=Q$3)*(GMWQ!$ND$2:$ND$60=Q$4),0),$B47-1966)</f>
        <v>139.97499999999999</v>
      </c>
      <c r="R47" s="18" cm="1">
        <f t="array" ref="R47">INDEX(GMWQ!$A$2:$NE$60,MATCH(1,(GMWQ!$NE$2:$NE$60=R$3)*(GMWQ!$ND$2:$ND$60=R$4),0),$B47-1966)</f>
        <v>10174.450000000001</v>
      </c>
      <c r="S47" s="18" cm="1">
        <f t="array" ref="S47">INDEX(GMWQ!$A$2:$NE$60,MATCH(1,(GMWQ!$NE$2:$NE$60=S$3)*(GMWQ!$ND$2:$ND$60=S$4),0),$B47-1966)</f>
        <v>44.889949999999999</v>
      </c>
      <c r="T47" s="18" cm="1">
        <f t="array" ref="T47">INDEX(GMWQ!$A$2:$NE$60,MATCH(1,(GMWQ!$NE$2:$NE$60=T$3)*(GMWQ!$ND$2:$ND$60=T$4),0),$B47-1966)</f>
        <v>28.606010000000001</v>
      </c>
      <c r="U47" s="18" cm="1">
        <f t="array" ref="U47">INDEX(GMWQ!$A$2:$NE$60,MATCH(1,(GMWQ!$NE$2:$NE$60=U$3)*(GMWQ!$ND$2:$ND$60=U$4),0),$B47-1966)</f>
        <v>27.978940000000001</v>
      </c>
      <c r="V47" s="18" cm="1">
        <f t="array" ref="V47">INDEX(GMWQ!$A$2:$NE$60,MATCH(1,(GMWQ!$NE$2:$NE$60=V$3)*(GMWQ!$ND$2:$ND$60=V$4),0),$B47-1966)</f>
        <v>22473.5</v>
      </c>
      <c r="W47" s="18" cm="1">
        <f t="array" ref="W47">INDEX(GMWQ!$A$2:$NF$60,MATCH(1,(GMWQ!$NE$2:$NE$60=W$3)*(GMWQ!$NF$2:$NF$60=W$1),0),$B47-1966)</f>
        <v>15047.07</v>
      </c>
      <c r="X47" s="18" cm="1">
        <f t="array" ref="X47">INDEX(GMWQ!$A$2:$NF$60,MATCH(1,(GMWQ!$NE$2:$NE$60=X$3)*(GMWQ!$NF$2:$NF$60=X$1),0),$B47-1966)</f>
        <v>16121.44</v>
      </c>
      <c r="Y47" s="18" cm="1">
        <f t="array" ref="Y47">INDEX(GMWQ!$A$2:$NF$60,MATCH(1,(GMWQ!$NE$2:$NE$60=Y$3)*(GMWQ!$NF$2:$NF$60=Y$1),0),$B47-1966)</f>
        <v>16816.04</v>
      </c>
      <c r="Z47" s="18" cm="1">
        <f t="array" ref="Z47">INDEX(GMWQ!$A$2:$NF$60,MATCH(1,(GMWQ!$NE$2:$NE$60=Z$3)*(GMWQ!$NF$2:$NF$60=Z$1),0),$B47-1966)</f>
        <v>15748.88</v>
      </c>
    </row>
    <row r="48" spans="1:26" x14ac:dyDescent="0.25">
      <c r="B48" s="18">
        <f>+B47+1</f>
        <v>2014</v>
      </c>
      <c r="C48" s="18" cm="1">
        <f t="array" ref="C48">INDEX(GMWQ!$A$2:$NE$60,MATCH(1,(GMWQ!$NE$2:$NE$60=C$3)*(GMWQ!$ND$2:$ND$60=C$4),0),$B48-1966)</f>
        <v>17183.95</v>
      </c>
      <c r="D48" s="18" cm="1">
        <f t="array" ref="D48">INDEX(GMWQ!$A$2:$NE$60,MATCH(1,(GMWQ!$NE$2:$NE$60=D$3)*(GMWQ!$ND$2:$ND$60=D$4),0),$B48-1966)</f>
        <v>18587</v>
      </c>
      <c r="E48" s="18" cm="1">
        <f t="array" ref="E48">INDEX(GMWQ!$A$2:$NE$60,MATCH(1,(GMWQ!$NE$2:$NE$60=E$3)*(GMWQ!$ND$2:$ND$60=E$4),0),$B48-1966)</f>
        <v>936.3614</v>
      </c>
      <c r="F48" s="18" cm="1">
        <f t="array" ref="F48">INDEX(GMWQ!$A$2:$NE$60,MATCH(1,(GMWQ!$NE$2:$NE$60=F$3)*(GMWQ!$ND$2:$ND$60=F$4),0),$B48-1966)</f>
        <v>-3314.4560000000001</v>
      </c>
      <c r="G48" s="18" cm="1">
        <f t="array" ref="G48">INDEX(GMWQ!$A$2:$NE$60,MATCH(1,(GMWQ!$NE$2:$NE$60=G$3)*(GMWQ!$ND$2:$ND$60=G$4),0),$B48-1966)</f>
        <v>86288</v>
      </c>
      <c r="H48" s="18" cm="1">
        <f t="array" ref="H48">INDEX(GMWQ!$A$2:$NE$60,MATCH(1,(GMWQ!$NE$2:$NE$60=H$3)*(GMWQ!$ND$2:$ND$60=H$4),0),$B48-1966)</f>
        <v>48513</v>
      </c>
      <c r="I48" s="18" cm="1">
        <f t="array" ref="I48">INDEX(GMWQ!$A$2:$NE$60,MATCH(1,(GMWQ!$NE$2:$NE$60=I$3)*(GMWQ!$ND$2:$ND$60=I$4),0),$B48-1966)</f>
        <v>3532.4009999999998</v>
      </c>
      <c r="J48" s="18" cm="1">
        <f t="array" ref="J48">INDEX(GMWQ!$A$2:$NE$60,MATCH(1,(GMWQ!$NE$2:$NE$60=J$3)*(GMWQ!$ND$2:$ND$60=J$4),0),$B48-1966)</f>
        <v>13978.23</v>
      </c>
      <c r="K48" s="18" cm="1">
        <f t="array" ref="K48">INDEX(GMWQ!$A$2:$NE$60,MATCH(1,(GMWQ!$NE$2:$NE$60=K$3)*(GMWQ!$ND$2:$ND$60=K$4),0),$B48-1966)</f>
        <v>1309232</v>
      </c>
      <c r="L48" s="18" cm="1">
        <f t="array" ref="L48">INDEX(GMWQ!$A$2:$NE$60,MATCH(1,(GMWQ!$NE$2:$NE$60=L$3)*(GMWQ!$ND$2:$ND$60=L$4),0),$B48-1966)</f>
        <v>23647</v>
      </c>
      <c r="M48" s="18" cm="1">
        <f t="array" ref="M48">INDEX(GMWQ!$A$2:$NE$60,MATCH(1,(GMWQ!$NE$2:$NE$60=M$3)*(GMWQ!$ND$2:$ND$60=M$4),0),$B48-1966)</f>
        <v>1E-3</v>
      </c>
      <c r="N48" s="18" cm="1">
        <f t="array" ref="N48">INDEX(GMWQ!$A$2:$NE$60,MATCH(1,(GMWQ!$NE$2:$NE$60=N$3)*(GMWQ!$ND$2:$ND$60=N$4),0),$B48-1966)</f>
        <v>5.8344240000000003</v>
      </c>
      <c r="O48" s="18" cm="1">
        <f t="array" ref="O48">INDEX(GMWQ!$A$2:$NE$60,MATCH(1,(GMWQ!$NE$2:$NE$60=O$3)*(GMWQ!$ND$2:$ND$60=O$4),0),$B48-1966)</f>
        <v>1E-3</v>
      </c>
      <c r="P48" s="18" cm="1">
        <f t="array" ref="P48">INDEX(GMWQ!$A$2:$NE$60,MATCH(1,(GMWQ!$NE$2:$NE$60=P$3)*(GMWQ!$ND$2:$ND$60=P$4),0),$B48-1966)</f>
        <v>41469.07</v>
      </c>
      <c r="Q48" s="18" cm="1">
        <f t="array" ref="Q48">INDEX(GMWQ!$A$2:$NE$60,MATCH(1,(GMWQ!$NE$2:$NE$60=Q$3)*(GMWQ!$ND$2:$ND$60=Q$4),0),$B48-1966)</f>
        <v>141.92500000000001</v>
      </c>
      <c r="R48" s="18" cm="1">
        <f t="array" ref="R48">INDEX(GMWQ!$A$2:$NE$60,MATCH(1,(GMWQ!$NE$2:$NE$60=R$3)*(GMWQ!$ND$2:$ND$60=R$4),0),$B48-1966)</f>
        <v>10476.42</v>
      </c>
      <c r="S48" s="18" cm="1">
        <f t="array" ref="S48">INDEX(GMWQ!$A$2:$NE$60,MATCH(1,(GMWQ!$NE$2:$NE$60=S$3)*(GMWQ!$ND$2:$ND$60=S$4),0),$B48-1966)</f>
        <v>47.794370000000001</v>
      </c>
      <c r="T48" s="18" cm="1">
        <f t="array" ref="T48">INDEX(GMWQ!$A$2:$NE$60,MATCH(1,(GMWQ!$NE$2:$NE$60=T$3)*(GMWQ!$ND$2:$ND$60=T$4),0),$B48-1966)</f>
        <v>28.228999999999999</v>
      </c>
      <c r="U48" s="18" cm="1">
        <f t="array" ref="U48">INDEX(GMWQ!$A$2:$NE$60,MATCH(1,(GMWQ!$NE$2:$NE$60=U$3)*(GMWQ!$ND$2:$ND$60=U$4),0),$B48-1966)</f>
        <v>27.585129999999999</v>
      </c>
      <c r="V48" s="18" cm="1">
        <f t="array" ref="V48">INDEX(GMWQ!$A$2:$NE$60,MATCH(1,(GMWQ!$NE$2:$NE$60=V$3)*(GMWQ!$ND$2:$ND$60=V$4),0),$B48-1966)</f>
        <v>22198</v>
      </c>
      <c r="W48" s="18" cm="1">
        <f t="array" ref="W48">INDEX(GMWQ!$A$2:$NF$60,MATCH(1,(GMWQ!$NE$2:$NE$60=W$3)*(GMWQ!$NF$2:$NF$60=W$1),0),$B48-1966)</f>
        <v>15147.77</v>
      </c>
      <c r="X48" s="18" cm="1">
        <f t="array" ref="X48">INDEX(GMWQ!$A$2:$NF$60,MATCH(1,(GMWQ!$NE$2:$NE$60=X$3)*(GMWQ!$NF$2:$NF$60=X$1),0),$B48-1966)</f>
        <v>16229.34</v>
      </c>
      <c r="Y48" s="18" cm="1">
        <f t="array" ref="Y48">INDEX(GMWQ!$A$2:$NF$60,MATCH(1,(GMWQ!$NE$2:$NE$60=Y$3)*(GMWQ!$NF$2:$NF$60=Y$1),0),$B48-1966)</f>
        <v>16928.580000000002</v>
      </c>
      <c r="Z48" s="18" cm="1">
        <f t="array" ref="Z48">INDEX(GMWQ!$A$2:$NF$60,MATCH(1,(GMWQ!$NE$2:$NE$60=Z$3)*(GMWQ!$NF$2:$NF$60=Z$1),0),$B48-1966)</f>
        <v>15854.28</v>
      </c>
    </row>
    <row r="49" spans="1:26" x14ac:dyDescent="0.25">
      <c r="B49" s="18">
        <f t="shared" ref="B49:B112" si="2">+B48+1</f>
        <v>2015</v>
      </c>
      <c r="C49" s="18" cm="1">
        <f t="array" ref="C49">INDEX(GMWQ!$A$2:$NE$60,MATCH(1,(GMWQ!$NE$2:$NE$60=C$3)*(GMWQ!$ND$2:$ND$60=C$4),0),$B49-1966)</f>
        <v>17130.849999999999</v>
      </c>
      <c r="D49" s="18" cm="1">
        <f t="array" ref="D49">INDEX(GMWQ!$A$2:$NE$60,MATCH(1,(GMWQ!$NE$2:$NE$60=D$3)*(GMWQ!$ND$2:$ND$60=D$4),0),$B49-1966)</f>
        <v>19902</v>
      </c>
      <c r="E49" s="18" cm="1">
        <f t="array" ref="E49">INDEX(GMWQ!$A$2:$NE$60,MATCH(1,(GMWQ!$NE$2:$NE$60=E$3)*(GMWQ!$ND$2:$ND$60=E$4),0),$B49-1966)</f>
        <v>5637.5550000000003</v>
      </c>
      <c r="F49" s="18" cm="1">
        <f t="array" ref="F49">INDEX(GMWQ!$A$2:$NE$60,MATCH(1,(GMWQ!$NE$2:$NE$60=F$3)*(GMWQ!$ND$2:$ND$60=F$4),0),$B49-1966)</f>
        <v>686.60260000000005</v>
      </c>
      <c r="G49" s="18" cm="1">
        <f t="array" ref="G49">INDEX(GMWQ!$A$2:$NE$60,MATCH(1,(GMWQ!$NE$2:$NE$60=G$3)*(GMWQ!$ND$2:$ND$60=G$4),0),$B49-1966)</f>
        <v>88637</v>
      </c>
      <c r="H49" s="18" cm="1">
        <f t="array" ref="H49">INDEX(GMWQ!$A$2:$NE$60,MATCH(1,(GMWQ!$NE$2:$NE$60=H$3)*(GMWQ!$ND$2:$ND$60=H$4),0),$B49-1966)</f>
        <v>48978</v>
      </c>
      <c r="I49" s="18" cm="1">
        <f t="array" ref="I49">INDEX(GMWQ!$A$2:$NE$60,MATCH(1,(GMWQ!$NE$2:$NE$60=I$3)*(GMWQ!$ND$2:$ND$60=I$4),0),$B49-1966)</f>
        <v>4014.2869999999998</v>
      </c>
      <c r="J49" s="18" cm="1">
        <f t="array" ref="J49">INDEX(GMWQ!$A$2:$NE$60,MATCH(1,(GMWQ!$NE$2:$NE$60=J$3)*(GMWQ!$ND$2:$ND$60=J$4),0),$B49-1966)</f>
        <v>13879.65</v>
      </c>
      <c r="K49" s="18" cm="1">
        <f t="array" ref="K49">INDEX(GMWQ!$A$2:$NE$60,MATCH(1,(GMWQ!$NE$2:$NE$60=K$3)*(GMWQ!$ND$2:$ND$60=K$4),0),$B49-1966)</f>
        <v>1312688</v>
      </c>
      <c r="L49" s="18" cm="1">
        <f t="array" ref="L49">INDEX(GMWQ!$A$2:$NE$60,MATCH(1,(GMWQ!$NE$2:$NE$60=L$3)*(GMWQ!$ND$2:$ND$60=L$4),0),$B49-1966)</f>
        <v>23809</v>
      </c>
      <c r="M49" s="18" cm="1">
        <f t="array" ref="M49">INDEX(GMWQ!$A$2:$NE$60,MATCH(1,(GMWQ!$NE$2:$NE$60=M$3)*(GMWQ!$ND$2:$ND$60=M$4),0),$B49-1966)</f>
        <v>1E-3</v>
      </c>
      <c r="N49" s="18" cm="1">
        <f t="array" ref="N49">INDEX(GMWQ!$A$2:$NE$60,MATCH(1,(GMWQ!$NE$2:$NE$60=N$3)*(GMWQ!$ND$2:$ND$60=N$4),0),$B49-1966)</f>
        <v>5.3487650000000002</v>
      </c>
      <c r="O49" s="18" cm="1">
        <f t="array" ref="O49">INDEX(GMWQ!$A$2:$NE$60,MATCH(1,(GMWQ!$NE$2:$NE$60=O$3)*(GMWQ!$ND$2:$ND$60=O$4),0),$B49-1966)</f>
        <v>1E-3</v>
      </c>
      <c r="P49" s="18" cm="1">
        <f t="array" ref="P49">INDEX(GMWQ!$A$2:$NE$60,MATCH(1,(GMWQ!$NE$2:$NE$60=P$3)*(GMWQ!$ND$2:$ND$60=P$4),0),$B49-1966)</f>
        <v>41912.82</v>
      </c>
      <c r="Q49" s="18" cm="1">
        <f t="array" ref="Q49">INDEX(GMWQ!$A$2:$NE$60,MATCH(1,(GMWQ!$NE$2:$NE$60=Q$3)*(GMWQ!$ND$2:$ND$60=Q$4),0),$B49-1966)</f>
        <v>147.9</v>
      </c>
      <c r="R49" s="18" cm="1">
        <f t="array" ref="R49">INDEX(GMWQ!$A$2:$NE$60,MATCH(1,(GMWQ!$NE$2:$NE$60=R$3)*(GMWQ!$ND$2:$ND$60=R$4),0),$B49-1966)</f>
        <v>10463.35</v>
      </c>
      <c r="S49" s="18" cm="1">
        <f t="array" ref="S49">INDEX(GMWQ!$A$2:$NE$60,MATCH(1,(GMWQ!$NE$2:$NE$60=S$3)*(GMWQ!$ND$2:$ND$60=S$4),0),$B49-1966)</f>
        <v>47.410499999999999</v>
      </c>
      <c r="T49" s="18" cm="1">
        <f t="array" ref="T49">INDEX(GMWQ!$A$2:$NE$60,MATCH(1,(GMWQ!$NE$2:$NE$60=T$3)*(GMWQ!$ND$2:$ND$60=T$4),0),$B49-1966)</f>
        <v>28.151</v>
      </c>
      <c r="U49" s="18" cm="1">
        <f t="array" ref="U49">INDEX(GMWQ!$A$2:$NE$60,MATCH(1,(GMWQ!$NE$2:$NE$60=U$3)*(GMWQ!$ND$2:$ND$60=U$4),0),$B49-1966)</f>
        <v>27.39442</v>
      </c>
      <c r="V49" s="18" cm="1">
        <f t="array" ref="V49">INDEX(GMWQ!$A$2:$NE$60,MATCH(1,(GMWQ!$NE$2:$NE$60=V$3)*(GMWQ!$ND$2:$ND$60=V$4),0),$B49-1966)</f>
        <v>22279.75</v>
      </c>
      <c r="W49" s="18" cm="1">
        <f t="array" ref="W49">INDEX(GMWQ!$A$2:$NF$60,MATCH(1,(GMWQ!$NE$2:$NE$60=W$3)*(GMWQ!$NF$2:$NF$60=W$1),0),$B49-1966)</f>
        <v>15100.96</v>
      </c>
      <c r="X49" s="18" cm="1">
        <f t="array" ref="X49">INDEX(GMWQ!$A$2:$NF$60,MATCH(1,(GMWQ!$NE$2:$NE$60=X$3)*(GMWQ!$NF$2:$NF$60=X$1),0),$B49-1966)</f>
        <v>16179.19</v>
      </c>
      <c r="Y49" s="18" cm="1">
        <f t="array" ref="Y49">INDEX(GMWQ!$A$2:$NF$60,MATCH(1,(GMWQ!$NE$2:$NE$60=Y$3)*(GMWQ!$NF$2:$NF$60=Y$1),0),$B49-1966)</f>
        <v>16876.27</v>
      </c>
      <c r="Z49" s="18" cm="1">
        <f t="array" ref="Z49">INDEX(GMWQ!$A$2:$NF$60,MATCH(1,(GMWQ!$NE$2:$NE$60=Z$3)*(GMWQ!$NF$2:$NF$60=Z$1),0),$B49-1966)</f>
        <v>15805.29</v>
      </c>
    </row>
    <row r="50" spans="1:26" x14ac:dyDescent="0.25">
      <c r="B50" s="18">
        <f t="shared" si="2"/>
        <v>2016</v>
      </c>
      <c r="C50" s="18" cm="1">
        <f t="array" ref="C50">INDEX(GMWQ!$A$2:$NE$60,MATCH(1,(GMWQ!$NE$2:$NE$60=C$3)*(GMWQ!$ND$2:$ND$60=C$4),0),$B50-1966)</f>
        <v>18360.11</v>
      </c>
      <c r="D50" s="18" cm="1">
        <f t="array" ref="D50">INDEX(GMWQ!$A$2:$NE$60,MATCH(1,(GMWQ!$NE$2:$NE$60=D$3)*(GMWQ!$ND$2:$ND$60=D$4),0),$B50-1966)</f>
        <v>20754</v>
      </c>
      <c r="E50" s="18" cm="1">
        <f t="array" ref="E50">INDEX(GMWQ!$A$2:$NE$60,MATCH(1,(GMWQ!$NE$2:$NE$60=E$3)*(GMWQ!$ND$2:$ND$60=E$4),0),$B50-1966)</f>
        <v>143.45910000000001</v>
      </c>
      <c r="F50" s="18" cm="1">
        <f t="array" ref="F50">INDEX(GMWQ!$A$2:$NE$60,MATCH(1,(GMWQ!$NE$2:$NE$60=F$3)*(GMWQ!$ND$2:$ND$60=F$4),0),$B50-1966)</f>
        <v>-3957.3290000000002</v>
      </c>
      <c r="G50" s="18" cm="1">
        <f t="array" ref="G50">INDEX(GMWQ!$A$2:$NE$60,MATCH(1,(GMWQ!$NE$2:$NE$60=G$3)*(GMWQ!$ND$2:$ND$60=G$4),0),$B50-1966)</f>
        <v>90695</v>
      </c>
      <c r="H50" s="18" cm="1">
        <f t="array" ref="H50">INDEX(GMWQ!$A$2:$NE$60,MATCH(1,(GMWQ!$NE$2:$NE$60=H$3)*(GMWQ!$ND$2:$ND$60=H$4),0),$B50-1966)</f>
        <v>51258</v>
      </c>
      <c r="I50" s="18" cm="1">
        <f t="array" ref="I50">INDEX(GMWQ!$A$2:$NE$60,MATCH(1,(GMWQ!$NE$2:$NE$60=I$3)*(GMWQ!$ND$2:$ND$60=I$4),0),$B50-1966)</f>
        <v>4281.0460000000003</v>
      </c>
      <c r="J50" s="18" cm="1">
        <f t="array" ref="J50">INDEX(GMWQ!$A$2:$NE$60,MATCH(1,(GMWQ!$NE$2:$NE$60=J$3)*(GMWQ!$ND$2:$ND$60=J$4),0),$B50-1966)</f>
        <v>15058.41</v>
      </c>
      <c r="K50" s="18" cm="1">
        <f t="array" ref="K50">INDEX(GMWQ!$A$2:$NE$60,MATCH(1,(GMWQ!$NE$2:$NE$60=K$3)*(GMWQ!$ND$2:$ND$60=K$4),0),$B50-1966)</f>
        <v>1316144</v>
      </c>
      <c r="L50" s="18" cm="1">
        <f t="array" ref="L50">INDEX(GMWQ!$A$2:$NE$60,MATCH(1,(GMWQ!$NE$2:$NE$60=L$3)*(GMWQ!$ND$2:$ND$60=L$4),0),$B50-1966)</f>
        <v>23994</v>
      </c>
      <c r="M50" s="18" cm="1">
        <f t="array" ref="M50">INDEX(GMWQ!$A$2:$NE$60,MATCH(1,(GMWQ!$NE$2:$NE$60=M$3)*(GMWQ!$ND$2:$ND$60=M$4),0),$B50-1966)</f>
        <v>1E-3</v>
      </c>
      <c r="N50" s="18" cm="1">
        <f t="array" ref="N50">INDEX(GMWQ!$A$2:$NE$60,MATCH(1,(GMWQ!$NE$2:$NE$60=N$3)*(GMWQ!$ND$2:$ND$60=N$4),0),$B50-1966)</f>
        <v>5.0325340000000001</v>
      </c>
      <c r="O50" s="18" cm="1">
        <f t="array" ref="O50">INDEX(GMWQ!$A$2:$NE$60,MATCH(1,(GMWQ!$NE$2:$NE$60=O$3)*(GMWQ!$ND$2:$ND$60=O$4),0),$B50-1966)</f>
        <v>1E-3</v>
      </c>
      <c r="P50" s="18" cm="1">
        <f t="array" ref="P50">INDEX(GMWQ!$A$2:$NE$60,MATCH(1,(GMWQ!$NE$2:$NE$60=P$3)*(GMWQ!$ND$2:$ND$60=P$4),0),$B50-1966)</f>
        <v>43087.44</v>
      </c>
      <c r="Q50" s="18" cm="1">
        <f t="array" ref="Q50">INDEX(GMWQ!$A$2:$NE$60,MATCH(1,(GMWQ!$NE$2:$NE$60=Q$3)*(GMWQ!$ND$2:$ND$60=Q$4),0),$B50-1966)</f>
        <v>156.82499999999999</v>
      </c>
      <c r="R50" s="18" cm="1">
        <f t="array" ref="R50">INDEX(GMWQ!$A$2:$NE$60,MATCH(1,(GMWQ!$NE$2:$NE$60=R$3)*(GMWQ!$ND$2:$ND$60=R$4),0),$B50-1966)</f>
        <v>10506.9</v>
      </c>
      <c r="S50" s="18" cm="1">
        <f t="array" ref="S50">INDEX(GMWQ!$A$2:$NE$60,MATCH(1,(GMWQ!$NE$2:$NE$60=S$3)*(GMWQ!$ND$2:$ND$60=S$4),0),$B50-1966)</f>
        <v>49.660679999999999</v>
      </c>
      <c r="T50" s="18" cm="1">
        <f t="array" ref="T50">INDEX(GMWQ!$A$2:$NE$60,MATCH(1,(GMWQ!$NE$2:$NE$60=T$3)*(GMWQ!$ND$2:$ND$60=T$4),0),$B50-1966)</f>
        <v>28.204000000000001</v>
      </c>
      <c r="U50" s="18" cm="1">
        <f t="array" ref="U50">INDEX(GMWQ!$A$2:$NE$60,MATCH(1,(GMWQ!$NE$2:$NE$60=U$3)*(GMWQ!$ND$2:$ND$60=U$4),0),$B50-1966)</f>
        <v>27.623840000000001</v>
      </c>
      <c r="V50" s="18" cm="1">
        <f t="array" ref="V50">INDEX(GMWQ!$A$2:$NE$60,MATCH(1,(GMWQ!$NE$2:$NE$60=V$3)*(GMWQ!$ND$2:$ND$60=V$4),0),$B50-1966)</f>
        <v>22902.25</v>
      </c>
      <c r="W50" s="18" cm="1">
        <f t="array" ref="W50">INDEX(GMWQ!$A$2:$NF$60,MATCH(1,(GMWQ!$NE$2:$NE$60=W$3)*(GMWQ!$NF$2:$NF$60=W$1),0),$B50-1966)</f>
        <v>16184.57</v>
      </c>
      <c r="X50" s="18" cm="1">
        <f t="array" ref="X50">INDEX(GMWQ!$A$2:$NF$60,MATCH(1,(GMWQ!$NE$2:$NE$60=X$3)*(GMWQ!$NF$2:$NF$60=X$1),0),$B50-1966)</f>
        <v>17340.16</v>
      </c>
      <c r="Y50" s="18" cm="1">
        <f t="array" ref="Y50">INDEX(GMWQ!$A$2:$NF$60,MATCH(1,(GMWQ!$NE$2:$NE$60=Y$3)*(GMWQ!$NF$2:$NF$60=Y$1),0),$B50-1966)</f>
        <v>18087.259999999998</v>
      </c>
      <c r="Z50" s="18" cm="1">
        <f t="array" ref="Z50">INDEX(GMWQ!$A$2:$NF$60,MATCH(1,(GMWQ!$NE$2:$NE$60=Z$3)*(GMWQ!$NF$2:$NF$60=Z$1),0),$B50-1966)</f>
        <v>16939.43</v>
      </c>
    </row>
    <row r="51" spans="1:26" x14ac:dyDescent="0.25">
      <c r="A51" s="18">
        <v>1984</v>
      </c>
      <c r="B51" s="18">
        <f t="shared" si="2"/>
        <v>2017</v>
      </c>
      <c r="C51" s="18" cm="1">
        <f t="array" ref="C51">INDEX(GMWQ!$A$2:$NE$60,MATCH(1,(GMWQ!$NE$2:$NE$60=C$3)*(GMWQ!$ND$2:$ND$60=C$4),0),$B51-1966)</f>
        <v>18355.29</v>
      </c>
      <c r="D51" s="18" cm="1">
        <f t="array" ref="D51">INDEX(GMWQ!$A$2:$NE$60,MATCH(1,(GMWQ!$NE$2:$NE$60=D$3)*(GMWQ!$ND$2:$ND$60=D$4),0),$B51-1966)</f>
        <v>20091</v>
      </c>
      <c r="E51" s="18" cm="1">
        <f t="array" ref="E51">INDEX(GMWQ!$A$2:$NE$60,MATCH(1,(GMWQ!$NE$2:$NE$60=E$3)*(GMWQ!$ND$2:$ND$60=E$4),0),$B51-1966)</f>
        <v>3072.739</v>
      </c>
      <c r="F51" s="18" cm="1">
        <f t="array" ref="F51">INDEX(GMWQ!$A$2:$NE$60,MATCH(1,(GMWQ!$NE$2:$NE$60=F$3)*(GMWQ!$ND$2:$ND$60=F$4),0),$B51-1966)</f>
        <v>4594.46</v>
      </c>
      <c r="G51" s="18" cm="1">
        <f t="array" ref="G51">INDEX(GMWQ!$A$2:$NE$60,MATCH(1,(GMWQ!$NE$2:$NE$60=G$3)*(GMWQ!$ND$2:$ND$60=G$4),0),$B51-1966)</f>
        <v>91663</v>
      </c>
      <c r="H51" s="18" cm="1">
        <f t="array" ref="H51">INDEX(GMWQ!$A$2:$NE$60,MATCH(1,(GMWQ!$NE$2:$NE$60=H$3)*(GMWQ!$ND$2:$ND$60=H$4),0),$B51-1966)</f>
        <v>52357</v>
      </c>
      <c r="I51" s="18" cm="1">
        <f t="array" ref="I51">INDEX(GMWQ!$A$2:$NE$60,MATCH(1,(GMWQ!$NE$2:$NE$60=I$3)*(GMWQ!$ND$2:$ND$60=I$4),0),$B51-1966)</f>
        <v>4358.4920000000002</v>
      </c>
      <c r="J51" s="18" cm="1">
        <f t="array" ref="J51">INDEX(GMWQ!$A$2:$NE$60,MATCH(1,(GMWQ!$NE$2:$NE$60=J$3)*(GMWQ!$ND$2:$ND$60=J$4),0),$B51-1966)</f>
        <v>15911.72</v>
      </c>
      <c r="K51" s="18" cm="1">
        <f t="array" ref="K51">INDEX(GMWQ!$A$2:$NE$60,MATCH(1,(GMWQ!$NE$2:$NE$60=K$3)*(GMWQ!$ND$2:$ND$60=K$4),0),$B51-1966)</f>
        <v>1322427</v>
      </c>
      <c r="L51" s="18" cm="1">
        <f t="array" ref="L51">INDEX(GMWQ!$A$2:$NE$60,MATCH(1,(GMWQ!$NE$2:$NE$60=L$3)*(GMWQ!$ND$2:$ND$60=L$4),0),$B51-1966)</f>
        <v>24125</v>
      </c>
      <c r="M51" s="18" cm="1">
        <f t="array" ref="M51">INDEX(GMWQ!$A$2:$NE$60,MATCH(1,(GMWQ!$NE$2:$NE$60=M$3)*(GMWQ!$ND$2:$ND$60=M$4),0),$B51-1966)</f>
        <v>1E-3</v>
      </c>
      <c r="N51" s="18" cm="1">
        <f t="array" ref="N51">INDEX(GMWQ!$A$2:$NE$60,MATCH(1,(GMWQ!$NE$2:$NE$60=N$3)*(GMWQ!$ND$2:$ND$60=N$4),0),$B51-1966)</f>
        <v>5.3480819999999998</v>
      </c>
      <c r="O51" s="18" cm="1">
        <f t="array" ref="O51">INDEX(GMWQ!$A$2:$NE$60,MATCH(1,(GMWQ!$NE$2:$NE$60=O$3)*(GMWQ!$ND$2:$ND$60=O$4),0),$B51-1966)</f>
        <v>1E-3</v>
      </c>
      <c r="P51" s="18" cm="1">
        <f t="array" ref="P51">INDEX(GMWQ!$A$2:$NE$60,MATCH(1,(GMWQ!$NE$2:$NE$60=P$3)*(GMWQ!$ND$2:$ND$60=P$4),0),$B51-1966)</f>
        <v>44902.58</v>
      </c>
      <c r="Q51" s="18" cm="1">
        <f t="array" ref="Q51">INDEX(GMWQ!$A$2:$NE$60,MATCH(1,(GMWQ!$NE$2:$NE$60=Q$3)*(GMWQ!$ND$2:$ND$60=Q$4),0),$B51-1966)</f>
        <v>161.82499999999999</v>
      </c>
      <c r="R51" s="18" cm="1">
        <f t="array" ref="R51">INDEX(GMWQ!$A$2:$NE$60,MATCH(1,(GMWQ!$NE$2:$NE$60=R$3)*(GMWQ!$ND$2:$ND$60=R$4),0),$B51-1966)</f>
        <v>10852.88</v>
      </c>
      <c r="S51" s="18" cm="1">
        <f t="array" ref="S51">INDEX(GMWQ!$A$2:$NE$60,MATCH(1,(GMWQ!$NE$2:$NE$60=S$3)*(GMWQ!$ND$2:$ND$60=S$4),0),$B51-1966)</f>
        <v>45.153770000000002</v>
      </c>
      <c r="T51" s="18" cm="1">
        <f t="array" ref="T51">INDEX(GMWQ!$A$2:$NE$60,MATCH(1,(GMWQ!$NE$2:$NE$60=T$3)*(GMWQ!$ND$2:$ND$60=T$4),0),$B51-1966)</f>
        <v>28.558</v>
      </c>
      <c r="U51" s="18" cm="1">
        <f t="array" ref="U51">INDEX(GMWQ!$A$2:$NE$60,MATCH(1,(GMWQ!$NE$2:$NE$60=U$3)*(GMWQ!$ND$2:$ND$60=U$4),0),$B51-1966)</f>
        <v>28.309609999999999</v>
      </c>
      <c r="V51" s="18" cm="1">
        <f t="array" ref="V51">INDEX(GMWQ!$A$2:$NE$60,MATCH(1,(GMWQ!$NE$2:$NE$60=V$3)*(GMWQ!$ND$2:$ND$60=V$4),0),$B51-1966)</f>
        <v>22754.5</v>
      </c>
      <c r="W51" s="18" cm="1">
        <f t="array" ref="W51">INDEX(GMWQ!$A$2:$NF$60,MATCH(1,(GMWQ!$NE$2:$NE$60=W$3)*(GMWQ!$NF$2:$NF$60=W$1),0),$B51-1966)</f>
        <v>16180.31</v>
      </c>
      <c r="X51" s="18" cm="1">
        <f t="array" ref="X51">INDEX(GMWQ!$A$2:$NF$60,MATCH(1,(GMWQ!$NE$2:$NE$60=X$3)*(GMWQ!$NF$2:$NF$60=X$1),0),$B51-1966)</f>
        <v>17335.61</v>
      </c>
      <c r="Y51" s="18" cm="1">
        <f t="array" ref="Y51">INDEX(GMWQ!$A$2:$NF$60,MATCH(1,(GMWQ!$NE$2:$NE$60=Y$3)*(GMWQ!$NF$2:$NF$60=Y$1),0),$B51-1966)</f>
        <v>18082.509999999998</v>
      </c>
      <c r="Z51" s="18" cm="1">
        <f t="array" ref="Z51">INDEX(GMWQ!$A$2:$NF$60,MATCH(1,(GMWQ!$NE$2:$NE$60=Z$3)*(GMWQ!$NF$2:$NF$60=Z$1),0),$B51-1966)</f>
        <v>16934.98</v>
      </c>
    </row>
    <row r="52" spans="1:26" x14ac:dyDescent="0.25">
      <c r="B52" s="18">
        <f t="shared" si="2"/>
        <v>2018</v>
      </c>
      <c r="C52" s="18" cm="1">
        <f t="array" ref="C52">INDEX(GMWQ!$A$2:$NE$60,MATCH(1,(GMWQ!$NE$2:$NE$60=C$3)*(GMWQ!$ND$2:$ND$60=C$4),0),$B52-1966)</f>
        <v>19235.400000000001</v>
      </c>
      <c r="D52" s="18" cm="1">
        <f t="array" ref="D52">INDEX(GMWQ!$A$2:$NE$60,MATCH(1,(GMWQ!$NE$2:$NE$60=D$3)*(GMWQ!$ND$2:$ND$60=D$4),0),$B52-1966)</f>
        <v>21011</v>
      </c>
      <c r="E52" s="18" cm="1">
        <f t="array" ref="E52">INDEX(GMWQ!$A$2:$NE$60,MATCH(1,(GMWQ!$NE$2:$NE$60=E$3)*(GMWQ!$ND$2:$ND$60=E$4),0),$B52-1966)</f>
        <v>2082.0949999999998</v>
      </c>
      <c r="F52" s="18" cm="1">
        <f t="array" ref="F52">INDEX(GMWQ!$A$2:$NE$60,MATCH(1,(GMWQ!$NE$2:$NE$60=F$3)*(GMWQ!$ND$2:$ND$60=F$4),0),$B52-1966)</f>
        <v>6497.23</v>
      </c>
      <c r="G52" s="18" cm="1">
        <f t="array" ref="G52">INDEX(GMWQ!$A$2:$NE$60,MATCH(1,(GMWQ!$NE$2:$NE$60=G$3)*(GMWQ!$ND$2:$ND$60=G$4),0),$B52-1966)</f>
        <v>93433</v>
      </c>
      <c r="H52" s="18" cm="1">
        <f t="array" ref="H52">INDEX(GMWQ!$A$2:$NE$60,MATCH(1,(GMWQ!$NE$2:$NE$60=H$3)*(GMWQ!$ND$2:$ND$60=H$4),0),$B52-1966)</f>
        <v>52558</v>
      </c>
      <c r="I52" s="18" cm="1">
        <f t="array" ref="I52">INDEX(GMWQ!$A$2:$NE$60,MATCH(1,(GMWQ!$NE$2:$NE$60=I$3)*(GMWQ!$ND$2:$ND$60=I$4),0),$B52-1966)</f>
        <v>4483.2659999999996</v>
      </c>
      <c r="J52" s="18" cm="1">
        <f t="array" ref="J52">INDEX(GMWQ!$A$2:$NE$60,MATCH(1,(GMWQ!$NE$2:$NE$60=J$3)*(GMWQ!$ND$2:$ND$60=J$4),0),$B52-1966)</f>
        <v>15348.14</v>
      </c>
      <c r="K52" s="18" cm="1">
        <f t="array" ref="K52">INDEX(GMWQ!$A$2:$NE$60,MATCH(1,(GMWQ!$NE$2:$NE$60=K$3)*(GMWQ!$ND$2:$ND$60=K$4),0),$B52-1966)</f>
        <v>1328710</v>
      </c>
      <c r="L52" s="18" cm="1">
        <f t="array" ref="L52">INDEX(GMWQ!$A$2:$NE$60,MATCH(1,(GMWQ!$NE$2:$NE$60=L$3)*(GMWQ!$ND$2:$ND$60=L$4),0),$B52-1966)</f>
        <v>24245</v>
      </c>
      <c r="M52" s="18" cm="1">
        <f t="array" ref="M52">INDEX(GMWQ!$A$2:$NE$60,MATCH(1,(GMWQ!$NE$2:$NE$60=M$3)*(GMWQ!$ND$2:$ND$60=M$4),0),$B52-1966)</f>
        <v>1E-3</v>
      </c>
      <c r="N52" s="18" cm="1">
        <f t="array" ref="N52">INDEX(GMWQ!$A$2:$NE$60,MATCH(1,(GMWQ!$NE$2:$NE$60=N$3)*(GMWQ!$ND$2:$ND$60=N$4),0),$B52-1966)</f>
        <v>5.2703930000000003</v>
      </c>
      <c r="O52" s="18" cm="1">
        <f t="array" ref="O52">INDEX(GMWQ!$A$2:$NE$60,MATCH(1,(GMWQ!$NE$2:$NE$60=O$3)*(GMWQ!$ND$2:$ND$60=O$4),0),$B52-1966)</f>
        <v>1E-3</v>
      </c>
      <c r="P52" s="18" cm="1">
        <f t="array" ref="P52">INDEX(GMWQ!$A$2:$NE$60,MATCH(1,(GMWQ!$NE$2:$NE$60=P$3)*(GMWQ!$ND$2:$ND$60=P$4),0),$B52-1966)</f>
        <v>46269.95</v>
      </c>
      <c r="Q52" s="18" cm="1">
        <f t="array" ref="Q52">INDEX(GMWQ!$A$2:$NE$60,MATCH(1,(GMWQ!$NE$2:$NE$60=Q$3)*(GMWQ!$ND$2:$ND$60=Q$4),0),$B52-1966)</f>
        <v>169.375</v>
      </c>
      <c r="R52" s="18" cm="1">
        <f t="array" ref="R52">INDEX(GMWQ!$A$2:$NE$60,MATCH(1,(GMWQ!$NE$2:$NE$60=R$3)*(GMWQ!$ND$2:$ND$60=R$4),0),$B52-1966)</f>
        <v>10983.83</v>
      </c>
      <c r="S52" s="18" cm="1">
        <f t="array" ref="S52">INDEX(GMWQ!$A$2:$NE$60,MATCH(1,(GMWQ!$NE$2:$NE$60=S$3)*(GMWQ!$ND$2:$ND$60=S$4),0),$B52-1966)</f>
        <v>44.010350000000003</v>
      </c>
      <c r="T52" s="18" cm="1">
        <f t="array" ref="T52">INDEX(GMWQ!$A$2:$NE$60,MATCH(1,(GMWQ!$NE$2:$NE$60=T$3)*(GMWQ!$ND$2:$ND$60=T$4),0),$B52-1966)</f>
        <v>28.192</v>
      </c>
      <c r="U52" s="18" cm="1">
        <f t="array" ref="U52">INDEX(GMWQ!$A$2:$NE$60,MATCH(1,(GMWQ!$NE$2:$NE$60=U$3)*(GMWQ!$ND$2:$ND$60=U$4),0),$B52-1966)</f>
        <v>29.268650000000001</v>
      </c>
      <c r="V52" s="18" cm="1">
        <f t="array" ref="V52">INDEX(GMWQ!$A$2:$NE$60,MATCH(1,(GMWQ!$NE$2:$NE$60=V$3)*(GMWQ!$ND$2:$ND$60=V$4),0),$B52-1966)</f>
        <v>22614</v>
      </c>
      <c r="W52" s="18" cm="1">
        <f t="array" ref="W52">INDEX(GMWQ!$A$2:$NF$60,MATCH(1,(GMWQ!$NE$2:$NE$60=W$3)*(GMWQ!$NF$2:$NF$60=W$1),0),$B52-1966)</f>
        <v>16956.14</v>
      </c>
      <c r="X52" s="18" cm="1">
        <f t="array" ref="X52">INDEX(GMWQ!$A$2:$NF$60,MATCH(1,(GMWQ!$NE$2:$NE$60=X$3)*(GMWQ!$NF$2:$NF$60=X$1),0),$B52-1966)</f>
        <v>18166.830000000002</v>
      </c>
      <c r="Y52" s="18" cm="1">
        <f t="array" ref="Y52">INDEX(GMWQ!$A$2:$NF$60,MATCH(1,(GMWQ!$NE$2:$NE$60=Y$3)*(GMWQ!$NF$2:$NF$60=Y$1),0),$B52-1966)</f>
        <v>18949.54</v>
      </c>
      <c r="Z52" s="18" cm="1">
        <f t="array" ref="Z52">INDEX(GMWQ!$A$2:$NF$60,MATCH(1,(GMWQ!$NE$2:$NE$60=Z$3)*(GMWQ!$NF$2:$NF$60=Z$1),0),$B52-1966)</f>
        <v>17746.990000000002</v>
      </c>
    </row>
    <row r="53" spans="1:26" x14ac:dyDescent="0.25">
      <c r="B53" s="18">
        <f t="shared" si="2"/>
        <v>2019</v>
      </c>
      <c r="C53" s="18" cm="1">
        <f t="array" ref="C53">INDEX(GMWQ!$A$2:$NE$60,MATCH(1,(GMWQ!$NE$2:$NE$60=C$3)*(GMWQ!$ND$2:$ND$60=C$4),0),$B53-1966)</f>
        <v>19655.34</v>
      </c>
      <c r="D53" s="18" cm="1">
        <f t="array" ref="D53">INDEX(GMWQ!$A$2:$NE$60,MATCH(1,(GMWQ!$NE$2:$NE$60=D$3)*(GMWQ!$ND$2:$ND$60=D$4),0),$B53-1966)</f>
        <v>20871</v>
      </c>
      <c r="E53" s="18" cm="1">
        <f t="array" ref="E53">INDEX(GMWQ!$A$2:$NE$60,MATCH(1,(GMWQ!$NE$2:$NE$60=E$3)*(GMWQ!$ND$2:$ND$60=E$4),0),$B53-1966)</f>
        <v>1620.7</v>
      </c>
      <c r="F53" s="18" cm="1">
        <f t="array" ref="F53">INDEX(GMWQ!$A$2:$NE$60,MATCH(1,(GMWQ!$NE$2:$NE$60=F$3)*(GMWQ!$ND$2:$ND$60=F$4),0),$B53-1966)</f>
        <v>5728.6329999999998</v>
      </c>
      <c r="G53" s="18" cm="1">
        <f t="array" ref="G53">INDEX(GMWQ!$A$2:$NE$60,MATCH(1,(GMWQ!$NE$2:$NE$60=G$3)*(GMWQ!$ND$2:$ND$60=G$4),0),$B53-1966)</f>
        <v>94862</v>
      </c>
      <c r="H53" s="18" cm="1">
        <f t="array" ref="H53">INDEX(GMWQ!$A$2:$NE$60,MATCH(1,(GMWQ!$NE$2:$NE$60=H$3)*(GMWQ!$ND$2:$ND$60=H$4),0),$B53-1966)</f>
        <v>52636</v>
      </c>
      <c r="I53" s="18" cm="1">
        <f t="array" ref="I53">INDEX(GMWQ!$A$2:$NE$60,MATCH(1,(GMWQ!$NE$2:$NE$60=I$3)*(GMWQ!$ND$2:$ND$60=I$4),0),$B53-1966)</f>
        <v>4679.0320000000002</v>
      </c>
      <c r="J53" s="18" cm="1">
        <f t="array" ref="J53">INDEX(GMWQ!$A$2:$NE$60,MATCH(1,(GMWQ!$NE$2:$NE$60=J$3)*(GMWQ!$ND$2:$ND$60=J$4),0),$B53-1966)</f>
        <v>14495.64</v>
      </c>
      <c r="K53" s="18" cm="1">
        <f t="array" ref="K53">INDEX(GMWQ!$A$2:$NE$60,MATCH(1,(GMWQ!$NE$2:$NE$60=K$3)*(GMWQ!$ND$2:$ND$60=K$4),0),$B53-1966)</f>
        <v>1334993</v>
      </c>
      <c r="L53" s="18" cm="1">
        <f t="array" ref="L53">INDEX(GMWQ!$A$2:$NE$60,MATCH(1,(GMWQ!$NE$2:$NE$60=L$3)*(GMWQ!$ND$2:$ND$60=L$4),0),$B53-1966)</f>
        <v>24335</v>
      </c>
      <c r="M53" s="18" cm="1">
        <f t="array" ref="M53">INDEX(GMWQ!$A$2:$NE$60,MATCH(1,(GMWQ!$NE$2:$NE$60=M$3)*(GMWQ!$ND$2:$ND$60=M$4),0),$B53-1966)</f>
        <v>1E-3</v>
      </c>
      <c r="N53" s="18" cm="1">
        <f t="array" ref="N53">INDEX(GMWQ!$A$2:$NE$60,MATCH(1,(GMWQ!$NE$2:$NE$60=N$3)*(GMWQ!$ND$2:$ND$60=N$4),0),$B53-1966)</f>
        <v>6.604641</v>
      </c>
      <c r="O53" s="18" cm="1">
        <f t="array" ref="O53">INDEX(GMWQ!$A$2:$NE$60,MATCH(1,(GMWQ!$NE$2:$NE$60=O$3)*(GMWQ!$ND$2:$ND$60=O$4),0),$B53-1966)</f>
        <v>1E-3</v>
      </c>
      <c r="P53" s="18" cm="1">
        <f t="array" ref="P53">INDEX(GMWQ!$A$2:$NE$60,MATCH(1,(GMWQ!$NE$2:$NE$60=P$3)*(GMWQ!$ND$2:$ND$60=P$4),0),$B53-1966)</f>
        <v>47883.3</v>
      </c>
      <c r="Q53" s="18" cm="1">
        <f t="array" ref="Q53">INDEX(GMWQ!$A$2:$NE$60,MATCH(1,(GMWQ!$NE$2:$NE$60=Q$3)*(GMWQ!$ND$2:$ND$60=Q$4),0),$B53-1966)</f>
        <v>174.55</v>
      </c>
      <c r="R53" s="18" cm="1">
        <f t="array" ref="R53">INDEX(GMWQ!$A$2:$NE$60,MATCH(1,(GMWQ!$NE$2:$NE$60=R$3)*(GMWQ!$ND$2:$ND$60=R$4),0),$B53-1966)</f>
        <v>11419.08</v>
      </c>
      <c r="S53" s="18" cm="1">
        <f t="array" ref="S53">INDEX(GMWQ!$A$2:$NE$60,MATCH(1,(GMWQ!$NE$2:$NE$60=S$3)*(GMWQ!$ND$2:$ND$60=S$4),0),$B53-1966)</f>
        <v>49.825279999999999</v>
      </c>
      <c r="T53" s="18" cm="1">
        <f t="array" ref="T53">INDEX(GMWQ!$A$2:$NE$60,MATCH(1,(GMWQ!$NE$2:$NE$60=T$3)*(GMWQ!$ND$2:$ND$60=T$4),0),$B53-1966)</f>
        <v>28.54</v>
      </c>
      <c r="U53" s="18" cm="1">
        <f t="array" ref="U53">INDEX(GMWQ!$A$2:$NE$60,MATCH(1,(GMWQ!$NE$2:$NE$60=U$3)*(GMWQ!$ND$2:$ND$60=U$4),0),$B53-1966)</f>
        <v>30.475449999999999</v>
      </c>
      <c r="V53" s="18" cm="1">
        <f t="array" ref="V53">INDEX(GMWQ!$A$2:$NE$60,MATCH(1,(GMWQ!$NE$2:$NE$60=V$3)*(GMWQ!$ND$2:$ND$60=V$4),0),$B53-1966)</f>
        <v>22698.5</v>
      </c>
      <c r="W53" s="18" cm="1">
        <f t="array" ref="W53">INDEX(GMWQ!$A$2:$NF$60,MATCH(1,(GMWQ!$NE$2:$NE$60=W$3)*(GMWQ!$NF$2:$NF$60=W$1),0),$B53-1966)</f>
        <v>17326.32</v>
      </c>
      <c r="X53" s="18" cm="1">
        <f t="array" ref="X53">INDEX(GMWQ!$A$2:$NF$60,MATCH(1,(GMWQ!$NE$2:$NE$60=X$3)*(GMWQ!$NF$2:$NF$60=X$1),0),$B53-1966)</f>
        <v>18563.439999999999</v>
      </c>
      <c r="Y53" s="18" cm="1">
        <f t="array" ref="Y53">INDEX(GMWQ!$A$2:$NF$60,MATCH(1,(GMWQ!$NE$2:$NE$60=Y$3)*(GMWQ!$NF$2:$NF$60=Y$1),0),$B53-1966)</f>
        <v>19363.25</v>
      </c>
      <c r="Z53" s="18" cm="1">
        <f t="array" ref="Z53">INDEX(GMWQ!$A$2:$NF$60,MATCH(1,(GMWQ!$NE$2:$NE$60=Z$3)*(GMWQ!$NF$2:$NF$60=Z$1),0),$B53-1966)</f>
        <v>18134.439999999999</v>
      </c>
    </row>
    <row r="54" spans="1:26" x14ac:dyDescent="0.25">
      <c r="B54" s="18">
        <f t="shared" si="2"/>
        <v>2020</v>
      </c>
      <c r="C54" s="18" cm="1">
        <f t="array" ref="C54">INDEX(GMWQ!$A$2:$NE$60,MATCH(1,(GMWQ!$NE$2:$NE$60=C$3)*(GMWQ!$ND$2:$ND$60=C$4),0),$B54-1966)</f>
        <v>20369.73</v>
      </c>
      <c r="D54" s="18" cm="1">
        <f t="array" ref="D54">INDEX(GMWQ!$A$2:$NE$60,MATCH(1,(GMWQ!$NE$2:$NE$60=D$3)*(GMWQ!$ND$2:$ND$60=D$4),0),$B54-1966)</f>
        <v>22765</v>
      </c>
      <c r="E54" s="18" cm="1">
        <f t="array" ref="E54">INDEX(GMWQ!$A$2:$NE$60,MATCH(1,(GMWQ!$NE$2:$NE$60=E$3)*(GMWQ!$ND$2:$ND$60=E$4),0),$B54-1966)</f>
        <v>2316.67</v>
      </c>
      <c r="F54" s="18" cm="1">
        <f t="array" ref="F54">INDEX(GMWQ!$A$2:$NE$60,MATCH(1,(GMWQ!$NE$2:$NE$60=F$3)*(GMWQ!$ND$2:$ND$60=F$4),0),$B54-1966)</f>
        <v>3981.2759999999998</v>
      </c>
      <c r="G54" s="18" cm="1">
        <f t="array" ref="G54">INDEX(GMWQ!$A$2:$NE$60,MATCH(1,(GMWQ!$NE$2:$NE$60=G$3)*(GMWQ!$ND$2:$ND$60=G$4),0),$B54-1966)</f>
        <v>97962</v>
      </c>
      <c r="H54" s="18" cm="1">
        <f t="array" ref="H54">INDEX(GMWQ!$A$2:$NE$60,MATCH(1,(GMWQ!$NE$2:$NE$60=H$3)*(GMWQ!$ND$2:$ND$60=H$4),0),$B54-1966)</f>
        <v>53026</v>
      </c>
      <c r="I54" s="18" cm="1">
        <f t="array" ref="I54">INDEX(GMWQ!$A$2:$NE$60,MATCH(1,(GMWQ!$NE$2:$NE$60=I$3)*(GMWQ!$ND$2:$ND$60=I$4),0),$B54-1966)</f>
        <v>4560.7120000000004</v>
      </c>
      <c r="J54" s="18" cm="1">
        <f t="array" ref="J54">INDEX(GMWQ!$A$2:$NE$60,MATCH(1,(GMWQ!$NE$2:$NE$60=J$3)*(GMWQ!$ND$2:$ND$60=J$4),0),$B54-1966)</f>
        <v>14431.57</v>
      </c>
      <c r="K54" s="18" cm="1">
        <f t="array" ref="K54">INDEX(GMWQ!$A$2:$NE$60,MATCH(1,(GMWQ!$NE$2:$NE$60=K$3)*(GMWQ!$ND$2:$ND$60=K$4),0),$B54-1966)</f>
        <v>1341276</v>
      </c>
      <c r="L54" s="18" cm="1">
        <f t="array" ref="L54">INDEX(GMWQ!$A$2:$NE$60,MATCH(1,(GMWQ!$NE$2:$NE$60=L$3)*(GMWQ!$ND$2:$ND$60=L$4),0),$B54-1966)</f>
        <v>24435</v>
      </c>
      <c r="M54" s="18" cm="1">
        <f t="array" ref="M54">INDEX(GMWQ!$A$2:$NE$60,MATCH(1,(GMWQ!$NE$2:$NE$60=M$3)*(GMWQ!$ND$2:$ND$60=M$4),0),$B54-1966)</f>
        <v>1E-3</v>
      </c>
      <c r="N54" s="18" cm="1">
        <f t="array" ref="N54">INDEX(GMWQ!$A$2:$NE$60,MATCH(1,(GMWQ!$NE$2:$NE$60=N$3)*(GMWQ!$ND$2:$ND$60=N$4),0),$B54-1966)</f>
        <v>5.7642350000000002</v>
      </c>
      <c r="O54" s="18" cm="1">
        <f t="array" ref="O54">INDEX(GMWQ!$A$2:$NE$60,MATCH(1,(GMWQ!$NE$2:$NE$60=O$3)*(GMWQ!$ND$2:$ND$60=O$4),0),$B54-1966)</f>
        <v>1E-3</v>
      </c>
      <c r="P54" s="18" cm="1">
        <f t="array" ref="P54">INDEX(GMWQ!$A$2:$NE$60,MATCH(1,(GMWQ!$NE$2:$NE$60=P$3)*(GMWQ!$ND$2:$ND$60=P$4),0),$B54-1966)</f>
        <v>50148.2</v>
      </c>
      <c r="Q54" s="18" cm="1">
        <f t="array" ref="Q54">INDEX(GMWQ!$A$2:$NE$60,MATCH(1,(GMWQ!$NE$2:$NE$60=Q$3)*(GMWQ!$ND$2:$ND$60=Q$4),0),$B54-1966)</f>
        <v>178.67500000000001</v>
      </c>
      <c r="R54" s="18" cm="1">
        <f t="array" ref="R54">INDEX(GMWQ!$A$2:$NE$60,MATCH(1,(GMWQ!$NE$2:$NE$60=R$3)*(GMWQ!$ND$2:$ND$60=R$4),0),$B54-1966)</f>
        <v>11817.88</v>
      </c>
      <c r="S54" s="18" cm="1">
        <f t="array" ref="S54">INDEX(GMWQ!$A$2:$NE$60,MATCH(1,(GMWQ!$NE$2:$NE$60=S$3)*(GMWQ!$ND$2:$ND$60=S$4),0),$B54-1966)</f>
        <v>51.065890000000003</v>
      </c>
      <c r="T54" s="18" cm="1">
        <f t="array" ref="T54">INDEX(GMWQ!$A$2:$NE$60,MATCH(1,(GMWQ!$NE$2:$NE$60=T$3)*(GMWQ!$ND$2:$ND$60=T$4),0),$B54-1966)</f>
        <v>29.143999999999998</v>
      </c>
      <c r="U54" s="18" cm="1">
        <f t="array" ref="U54">INDEX(GMWQ!$A$2:$NE$60,MATCH(1,(GMWQ!$NE$2:$NE$60=U$3)*(GMWQ!$ND$2:$ND$60=U$4),0),$B54-1966)</f>
        <v>30.065110000000001</v>
      </c>
      <c r="V54" s="18" cm="1">
        <f t="array" ref="V54">INDEX(GMWQ!$A$2:$NE$60,MATCH(1,(GMWQ!$NE$2:$NE$60=V$3)*(GMWQ!$ND$2:$ND$60=V$4),0),$B54-1966)</f>
        <v>22213.25</v>
      </c>
      <c r="W54" s="18" cm="1">
        <f t="array" ref="W54">INDEX(GMWQ!$A$2:$NF$60,MATCH(1,(GMWQ!$NE$2:$NE$60=W$3)*(GMWQ!$NF$2:$NF$60=W$1),0),$B54-1966)</f>
        <v>17956.060000000001</v>
      </c>
      <c r="X54" s="18" cm="1">
        <f t="array" ref="X54">INDEX(GMWQ!$A$2:$NF$60,MATCH(1,(GMWQ!$NE$2:$NE$60=X$3)*(GMWQ!$NF$2:$NF$60=X$1),0),$B54-1966)</f>
        <v>19238.14</v>
      </c>
      <c r="Y54" s="18" cm="1">
        <f t="array" ref="Y54">INDEX(GMWQ!$A$2:$NF$60,MATCH(1,(GMWQ!$NE$2:$NE$60=Y$3)*(GMWQ!$NF$2:$NF$60=Y$1),0),$B54-1966)</f>
        <v>20067.02</v>
      </c>
      <c r="Z54" s="18" cm="1">
        <f t="array" ref="Z54">INDEX(GMWQ!$A$2:$NF$60,MATCH(1,(GMWQ!$NE$2:$NE$60=Z$3)*(GMWQ!$NF$2:$NF$60=Z$1),0),$B54-1966)</f>
        <v>18793.55</v>
      </c>
    </row>
    <row r="55" spans="1:26" x14ac:dyDescent="0.25">
      <c r="A55" s="18">
        <v>1985</v>
      </c>
      <c r="B55" s="18">
        <f t="shared" si="2"/>
        <v>2021</v>
      </c>
      <c r="C55" s="18" cm="1">
        <f t="array" ref="C55">INDEX(GMWQ!$A$2:$NE$60,MATCH(1,(GMWQ!$NE$2:$NE$60=C$3)*(GMWQ!$ND$2:$ND$60=C$4),0),$B55-1966)</f>
        <v>22601.39</v>
      </c>
      <c r="D55" s="18" cm="1">
        <f t="array" ref="D55">INDEX(GMWQ!$A$2:$NE$60,MATCH(1,(GMWQ!$NE$2:$NE$60=D$3)*(GMWQ!$ND$2:$ND$60=D$4),0),$B55-1966)</f>
        <v>22241</v>
      </c>
      <c r="E55" s="18" cm="1">
        <f t="array" ref="E55">INDEX(GMWQ!$A$2:$NE$60,MATCH(1,(GMWQ!$NE$2:$NE$60=E$3)*(GMWQ!$ND$2:$ND$60=E$4),0),$B55-1966)</f>
        <v>399.35910000000001</v>
      </c>
      <c r="F55" s="18" cm="1">
        <f t="array" ref="F55">INDEX(GMWQ!$A$2:$NE$60,MATCH(1,(GMWQ!$NE$2:$NE$60=F$3)*(GMWQ!$ND$2:$ND$60=F$4),0),$B55-1966)</f>
        <v>-1443.8520000000001</v>
      </c>
      <c r="G55" s="18" cm="1">
        <f t="array" ref="G55">INDEX(GMWQ!$A$2:$NE$60,MATCH(1,(GMWQ!$NE$2:$NE$60=G$3)*(GMWQ!$ND$2:$ND$60=G$4),0),$B55-1966)</f>
        <v>99412</v>
      </c>
      <c r="H55" s="18" cm="1">
        <f t="array" ref="H55">INDEX(GMWQ!$A$2:$NE$60,MATCH(1,(GMWQ!$NE$2:$NE$60=H$3)*(GMWQ!$ND$2:$ND$60=H$4),0),$B55-1966)</f>
        <v>57010</v>
      </c>
      <c r="I55" s="18" cm="1">
        <f t="array" ref="I55">INDEX(GMWQ!$A$2:$NE$60,MATCH(1,(GMWQ!$NE$2:$NE$60=I$3)*(GMWQ!$ND$2:$ND$60=I$4),0),$B55-1966)</f>
        <v>4147.6670000000004</v>
      </c>
      <c r="J55" s="18" cm="1">
        <f t="array" ref="J55">INDEX(GMWQ!$A$2:$NE$60,MATCH(1,(GMWQ!$NE$2:$NE$60=J$3)*(GMWQ!$ND$2:$ND$60=J$4),0),$B55-1966)</f>
        <v>14297.12</v>
      </c>
      <c r="K55" s="18" cm="1">
        <f t="array" ref="K55">INDEX(GMWQ!$A$2:$NE$60,MATCH(1,(GMWQ!$NE$2:$NE$60=K$3)*(GMWQ!$ND$2:$ND$60=K$4),0),$B55-1966)</f>
        <v>1348030</v>
      </c>
      <c r="L55" s="18" cm="1">
        <f t="array" ref="L55">INDEX(GMWQ!$A$2:$NE$60,MATCH(1,(GMWQ!$NE$2:$NE$60=L$3)*(GMWQ!$ND$2:$ND$60=L$4),0),$B55-1966)</f>
        <v>24515</v>
      </c>
      <c r="M55" s="18" cm="1">
        <f t="array" ref="M55">INDEX(GMWQ!$A$2:$NE$60,MATCH(1,(GMWQ!$NE$2:$NE$60=M$3)*(GMWQ!$ND$2:$ND$60=M$4),0),$B55-1966)</f>
        <v>1E-3</v>
      </c>
      <c r="N55" s="18" cm="1">
        <f t="array" ref="N55">INDEX(GMWQ!$A$2:$NE$60,MATCH(1,(GMWQ!$NE$2:$NE$60=N$3)*(GMWQ!$ND$2:$ND$60=N$4),0),$B55-1966)</f>
        <v>7.8576329999999999</v>
      </c>
      <c r="O55" s="18" cm="1">
        <f t="array" ref="O55">INDEX(GMWQ!$A$2:$NE$60,MATCH(1,(GMWQ!$NE$2:$NE$60=O$3)*(GMWQ!$ND$2:$ND$60=O$4),0),$B55-1966)</f>
        <v>1E-3</v>
      </c>
      <c r="P55" s="18" cm="1">
        <f t="array" ref="P55">INDEX(GMWQ!$A$2:$NE$60,MATCH(1,(GMWQ!$NE$2:$NE$60=P$3)*(GMWQ!$ND$2:$ND$60=P$4),0),$B55-1966)</f>
        <v>52219.35</v>
      </c>
      <c r="Q55" s="18" cm="1">
        <f t="array" ref="Q55">INDEX(GMWQ!$A$2:$NE$60,MATCH(1,(GMWQ!$NE$2:$NE$60=Q$3)*(GMWQ!$ND$2:$ND$60=Q$4),0),$B55-1966)</f>
        <v>180.67500000000001</v>
      </c>
      <c r="R55" s="18" cm="1">
        <f t="array" ref="R55">INDEX(GMWQ!$A$2:$NE$60,MATCH(1,(GMWQ!$NE$2:$NE$60=R$3)*(GMWQ!$ND$2:$ND$60=R$4),0),$B55-1966)</f>
        <v>12040.58</v>
      </c>
      <c r="S55" s="18" cm="1">
        <f t="array" ref="S55">INDEX(GMWQ!$A$2:$NE$60,MATCH(1,(GMWQ!$NE$2:$NE$60=S$3)*(GMWQ!$ND$2:$ND$60=S$4),0),$B55-1966)</f>
        <v>49.443629999999999</v>
      </c>
      <c r="T55" s="18" cm="1">
        <f t="array" ref="T55">INDEX(GMWQ!$A$2:$NE$60,MATCH(1,(GMWQ!$NE$2:$NE$60=T$3)*(GMWQ!$ND$2:$ND$60=T$4),0),$B55-1966)</f>
        <v>29.117000000000001</v>
      </c>
      <c r="U55" s="18" cm="1">
        <f t="array" ref="U55">INDEX(GMWQ!$A$2:$NE$60,MATCH(1,(GMWQ!$NE$2:$NE$60=U$3)*(GMWQ!$ND$2:$ND$60=U$4),0),$B55-1966)</f>
        <v>29.810510000000001</v>
      </c>
      <c r="V55" s="18" cm="1">
        <f t="array" ref="V55">INDEX(GMWQ!$A$2:$NE$60,MATCH(1,(GMWQ!$NE$2:$NE$60=V$3)*(GMWQ!$ND$2:$ND$60=V$4),0),$B55-1966)</f>
        <v>22958.25</v>
      </c>
      <c r="W55" s="18" cm="1">
        <f t="array" ref="W55">INDEX(GMWQ!$A$2:$NF$60,MATCH(1,(GMWQ!$NE$2:$NE$60=W$3)*(GMWQ!$NF$2:$NF$60=W$1),0),$B55-1966)</f>
        <v>19923.29</v>
      </c>
      <c r="X55" s="18" cm="1">
        <f t="array" ref="X55">INDEX(GMWQ!$A$2:$NF$60,MATCH(1,(GMWQ!$NE$2:$NE$60=X$3)*(GMWQ!$NF$2:$NF$60=X$1),0),$B55-1966)</f>
        <v>21345.83</v>
      </c>
      <c r="Y55" s="18" cm="1">
        <f t="array" ref="Y55">INDEX(GMWQ!$A$2:$NF$60,MATCH(1,(GMWQ!$NE$2:$NE$60=Y$3)*(GMWQ!$NF$2:$NF$60=Y$1),0),$B55-1966)</f>
        <v>22265.52</v>
      </c>
      <c r="Z55" s="18" cm="1">
        <f t="array" ref="Z55">INDEX(GMWQ!$A$2:$NF$60,MATCH(1,(GMWQ!$NE$2:$NE$60=Z$3)*(GMWQ!$NF$2:$NF$60=Z$1),0),$B55-1966)</f>
        <v>20852.53</v>
      </c>
    </row>
    <row r="56" spans="1:26" x14ac:dyDescent="0.25">
      <c r="B56" s="18">
        <f t="shared" si="2"/>
        <v>2022</v>
      </c>
      <c r="C56" s="18" cm="1">
        <f t="array" ref="C56">INDEX(GMWQ!$A$2:$NE$60,MATCH(1,(GMWQ!$NE$2:$NE$60=C$3)*(GMWQ!$ND$2:$ND$60=C$4),0),$B56-1966)</f>
        <v>20033.46</v>
      </c>
      <c r="D56" s="18" cm="1">
        <f t="array" ref="D56">INDEX(GMWQ!$A$2:$NE$60,MATCH(1,(GMWQ!$NE$2:$NE$60=D$3)*(GMWQ!$ND$2:$ND$60=D$4),0),$B56-1966)</f>
        <v>25638</v>
      </c>
      <c r="E56" s="18" cm="1">
        <f t="array" ref="E56">INDEX(GMWQ!$A$2:$NE$60,MATCH(1,(GMWQ!$NE$2:$NE$60=E$3)*(GMWQ!$ND$2:$ND$60=E$4),0),$B56-1966)</f>
        <v>3949.002</v>
      </c>
      <c r="F56" s="18" cm="1">
        <f t="array" ref="F56">INDEX(GMWQ!$A$2:$NE$60,MATCH(1,(GMWQ!$NE$2:$NE$60=F$3)*(GMWQ!$ND$2:$ND$60=F$4),0),$B56-1966)</f>
        <v>12129.15</v>
      </c>
      <c r="G56" s="18" cm="1">
        <f t="array" ref="G56">INDEX(GMWQ!$A$2:$NE$60,MATCH(1,(GMWQ!$NE$2:$NE$60=G$3)*(GMWQ!$ND$2:$ND$60=G$4),0),$B56-1966)</f>
        <v>103208</v>
      </c>
      <c r="H56" s="18" cm="1">
        <f t="array" ref="H56">INDEX(GMWQ!$A$2:$NE$60,MATCH(1,(GMWQ!$NE$2:$NE$60=H$3)*(GMWQ!$ND$2:$ND$60=H$4),0),$B56-1966)</f>
        <v>52362</v>
      </c>
      <c r="I56" s="18" cm="1">
        <f t="array" ref="I56">INDEX(GMWQ!$A$2:$NE$60,MATCH(1,(GMWQ!$NE$2:$NE$60=I$3)*(GMWQ!$ND$2:$ND$60=I$4),0),$B56-1966)</f>
        <v>4571.4679999999998</v>
      </c>
      <c r="J56" s="18" cm="1">
        <f t="array" ref="J56">INDEX(GMWQ!$A$2:$NE$60,MATCH(1,(GMWQ!$NE$2:$NE$60=J$3)*(GMWQ!$ND$2:$ND$60=J$4),0),$B56-1966)</f>
        <v>14645.11</v>
      </c>
      <c r="K56" s="18" cm="1">
        <f t="array" ref="K56">INDEX(GMWQ!$A$2:$NE$60,MATCH(1,(GMWQ!$NE$2:$NE$60=K$3)*(GMWQ!$ND$2:$ND$60=K$4),0),$B56-1966)</f>
        <v>1354784</v>
      </c>
      <c r="L56" s="18" cm="1">
        <f t="array" ref="L56">INDEX(GMWQ!$A$2:$NE$60,MATCH(1,(GMWQ!$NE$2:$NE$60=L$3)*(GMWQ!$ND$2:$ND$60=L$4),0),$B56-1966)</f>
        <v>24570</v>
      </c>
      <c r="M56" s="18" cm="1">
        <f t="array" ref="M56">INDEX(GMWQ!$A$2:$NE$60,MATCH(1,(GMWQ!$NE$2:$NE$60=M$3)*(GMWQ!$ND$2:$ND$60=M$4),0),$B56-1966)</f>
        <v>1E-3</v>
      </c>
      <c r="N56" s="18" cm="1">
        <f t="array" ref="N56">INDEX(GMWQ!$A$2:$NE$60,MATCH(1,(GMWQ!$NE$2:$NE$60=N$3)*(GMWQ!$ND$2:$ND$60=N$4),0),$B56-1966)</f>
        <v>6.7879149999999999</v>
      </c>
      <c r="O56" s="18" cm="1">
        <f t="array" ref="O56">INDEX(GMWQ!$A$2:$NE$60,MATCH(1,(GMWQ!$NE$2:$NE$60=O$3)*(GMWQ!$ND$2:$ND$60=O$4),0),$B56-1966)</f>
        <v>1E-3</v>
      </c>
      <c r="P56" s="18" cm="1">
        <f t="array" ref="P56">INDEX(GMWQ!$A$2:$NE$60,MATCH(1,(GMWQ!$NE$2:$NE$60=P$3)*(GMWQ!$ND$2:$ND$60=P$4),0),$B56-1966)</f>
        <v>53727.28</v>
      </c>
      <c r="Q56" s="18" cm="1">
        <f t="array" ref="Q56">INDEX(GMWQ!$A$2:$NE$60,MATCH(1,(GMWQ!$NE$2:$NE$60=Q$3)*(GMWQ!$ND$2:$ND$60=Q$4),0),$B56-1966)</f>
        <v>183.25</v>
      </c>
      <c r="R56" s="18" cm="1">
        <f t="array" ref="R56">INDEX(GMWQ!$A$2:$NE$60,MATCH(1,(GMWQ!$NE$2:$NE$60=R$3)*(GMWQ!$ND$2:$ND$60=R$4),0),$B56-1966)</f>
        <v>11917.72</v>
      </c>
      <c r="S56" s="18" cm="1">
        <f t="array" ref="S56">INDEX(GMWQ!$A$2:$NE$60,MATCH(1,(GMWQ!$NE$2:$NE$60=S$3)*(GMWQ!$ND$2:$ND$60=S$4),0),$B56-1966)</f>
        <v>51.11589</v>
      </c>
      <c r="T56" s="18" cm="1">
        <f t="array" ref="T56">INDEX(GMWQ!$A$2:$NE$60,MATCH(1,(GMWQ!$NE$2:$NE$60=T$3)*(GMWQ!$ND$2:$ND$60=T$4),0),$B56-1966)</f>
        <v>30.10801</v>
      </c>
      <c r="U56" s="18" cm="1">
        <f t="array" ref="U56">INDEX(GMWQ!$A$2:$NE$60,MATCH(1,(GMWQ!$NE$2:$NE$60=U$3)*(GMWQ!$ND$2:$ND$60=U$4),0),$B56-1966)</f>
        <v>30.24494</v>
      </c>
      <c r="V56" s="18" cm="1">
        <f t="array" ref="V56">INDEX(GMWQ!$A$2:$NE$60,MATCH(1,(GMWQ!$NE$2:$NE$60=V$3)*(GMWQ!$ND$2:$ND$60=V$4),0),$B56-1966)</f>
        <v>24485</v>
      </c>
      <c r="W56" s="18" cm="1">
        <f t="array" ref="W56">INDEX(GMWQ!$A$2:$NF$60,MATCH(1,(GMWQ!$NE$2:$NE$60=W$3)*(GMWQ!$NF$2:$NF$60=W$1),0),$B56-1966)</f>
        <v>17659.63</v>
      </c>
      <c r="X56" s="18" cm="1">
        <f t="array" ref="X56">INDEX(GMWQ!$A$2:$NF$60,MATCH(1,(GMWQ!$NE$2:$NE$60=X$3)*(GMWQ!$NF$2:$NF$60=X$1),0),$B56-1966)</f>
        <v>18920.55</v>
      </c>
      <c r="Y56" s="18" cm="1">
        <f t="array" ref="Y56">INDEX(GMWQ!$A$2:$NF$60,MATCH(1,(GMWQ!$NE$2:$NE$60=Y$3)*(GMWQ!$NF$2:$NF$60=Y$1),0),$B56-1966)</f>
        <v>19735.740000000002</v>
      </c>
      <c r="Z56" s="18" cm="1">
        <f t="array" ref="Z56">INDEX(GMWQ!$A$2:$NF$60,MATCH(1,(GMWQ!$NE$2:$NE$60=Z$3)*(GMWQ!$NF$2:$NF$60=Z$1),0),$B56-1966)</f>
        <v>18483.29</v>
      </c>
    </row>
    <row r="57" spans="1:26" x14ac:dyDescent="0.25">
      <c r="B57" s="18">
        <f t="shared" si="2"/>
        <v>2023</v>
      </c>
      <c r="C57" s="18" cm="1">
        <f t="array" ref="C57">INDEX(GMWQ!$A$2:$NE$60,MATCH(1,(GMWQ!$NE$2:$NE$60=C$3)*(GMWQ!$ND$2:$ND$60=C$4),0),$B57-1966)</f>
        <v>20541.89</v>
      </c>
      <c r="D57" s="18" cm="1">
        <f t="array" ref="D57">INDEX(GMWQ!$A$2:$NE$60,MATCH(1,(GMWQ!$NE$2:$NE$60=D$3)*(GMWQ!$ND$2:$ND$60=D$4),0),$B57-1966)</f>
        <v>25043</v>
      </c>
      <c r="E57" s="18" cm="1">
        <f t="array" ref="E57">INDEX(GMWQ!$A$2:$NE$60,MATCH(1,(GMWQ!$NE$2:$NE$60=E$3)*(GMWQ!$ND$2:$ND$60=E$4),0),$B57-1966)</f>
        <v>3022.3339999999998</v>
      </c>
      <c r="F57" s="18" cm="1">
        <f t="array" ref="F57">INDEX(GMWQ!$A$2:$NE$60,MATCH(1,(GMWQ!$NE$2:$NE$60=F$3)*(GMWQ!$ND$2:$ND$60=F$4),0),$B57-1966)</f>
        <v>9052.0640000000003</v>
      </c>
      <c r="G57" s="18" cm="1">
        <f t="array" ref="G57">INDEX(GMWQ!$A$2:$NE$60,MATCH(1,(GMWQ!$NE$2:$NE$60=G$3)*(GMWQ!$ND$2:$ND$60=G$4),0),$B57-1966)</f>
        <v>105169</v>
      </c>
      <c r="H57" s="18" cm="1">
        <f t="array" ref="H57">INDEX(GMWQ!$A$2:$NE$60,MATCH(1,(GMWQ!$NE$2:$NE$60=H$3)*(GMWQ!$ND$2:$ND$60=H$4),0),$B57-1966)</f>
        <v>52813</v>
      </c>
      <c r="I57" s="18" cm="1">
        <f t="array" ref="I57">INDEX(GMWQ!$A$2:$NE$60,MATCH(1,(GMWQ!$NE$2:$NE$60=I$3)*(GMWQ!$ND$2:$ND$60=I$4),0),$B57-1966)</f>
        <v>4743.5709999999999</v>
      </c>
      <c r="J57" s="18" cm="1">
        <f t="array" ref="J57">INDEX(GMWQ!$A$2:$NE$60,MATCH(1,(GMWQ!$NE$2:$NE$60=J$3)*(GMWQ!$ND$2:$ND$60=J$4),0),$B57-1966)</f>
        <v>14529.21</v>
      </c>
      <c r="K57" s="18" cm="1">
        <f t="array" ref="K57">INDEX(GMWQ!$A$2:$NE$60,MATCH(1,(GMWQ!$NE$2:$NE$60=K$3)*(GMWQ!$ND$2:$ND$60=K$4),0),$B57-1966)</f>
        <v>1361539</v>
      </c>
      <c r="L57" s="18" cm="1">
        <f t="array" ref="L57">INDEX(GMWQ!$A$2:$NE$60,MATCH(1,(GMWQ!$NE$2:$NE$60=L$3)*(GMWQ!$ND$2:$ND$60=L$4),0),$B57-1966)</f>
        <v>24625</v>
      </c>
      <c r="M57" s="18" cm="1">
        <f t="array" ref="M57">INDEX(GMWQ!$A$2:$NE$60,MATCH(1,(GMWQ!$NE$2:$NE$60=M$3)*(GMWQ!$ND$2:$ND$60=M$4),0),$B57-1966)</f>
        <v>1E-3</v>
      </c>
      <c r="N57" s="18" cm="1">
        <f t="array" ref="N57">INDEX(GMWQ!$A$2:$NE$60,MATCH(1,(GMWQ!$NE$2:$NE$60=N$3)*(GMWQ!$ND$2:$ND$60=N$4),0),$B57-1966)</f>
        <v>6.5390420000000002</v>
      </c>
      <c r="O57" s="18" cm="1">
        <f t="array" ref="O57">INDEX(GMWQ!$A$2:$NE$60,MATCH(1,(GMWQ!$NE$2:$NE$60=O$3)*(GMWQ!$ND$2:$ND$60=O$4),0),$B57-1966)</f>
        <v>1E-3</v>
      </c>
      <c r="P57" s="18" cm="1">
        <f t="array" ref="P57">INDEX(GMWQ!$A$2:$NE$60,MATCH(1,(GMWQ!$NE$2:$NE$60=P$3)*(GMWQ!$ND$2:$ND$60=P$4),0),$B57-1966)</f>
        <v>54427.03</v>
      </c>
      <c r="Q57" s="18" cm="1">
        <f t="array" ref="Q57">INDEX(GMWQ!$A$2:$NE$60,MATCH(1,(GMWQ!$NE$2:$NE$60=Q$3)*(GMWQ!$ND$2:$ND$60=Q$4),0),$B57-1966)</f>
        <v>181.17500000000001</v>
      </c>
      <c r="R57" s="18" cm="1">
        <f t="array" ref="R57">INDEX(GMWQ!$A$2:$NE$60,MATCH(1,(GMWQ!$NE$2:$NE$60=R$3)*(GMWQ!$ND$2:$ND$60=R$4),0),$B57-1966)</f>
        <v>12507.83</v>
      </c>
      <c r="S57" s="18" cm="1">
        <f t="array" ref="S57">INDEX(GMWQ!$A$2:$NE$60,MATCH(1,(GMWQ!$NE$2:$NE$60=S$3)*(GMWQ!$ND$2:$ND$60=S$4),0),$B57-1966)</f>
        <v>51.019750000000002</v>
      </c>
      <c r="T57" s="18" cm="1">
        <f t="array" ref="T57">INDEX(GMWQ!$A$2:$NE$60,MATCH(1,(GMWQ!$NE$2:$NE$60=T$3)*(GMWQ!$ND$2:$ND$60=T$4),0),$B57-1966)</f>
        <v>30.532</v>
      </c>
      <c r="U57" s="18" cm="1">
        <f t="array" ref="U57">INDEX(GMWQ!$A$2:$NE$60,MATCH(1,(GMWQ!$NE$2:$NE$60=U$3)*(GMWQ!$ND$2:$ND$60=U$4),0),$B57-1966)</f>
        <v>30.428450000000002</v>
      </c>
      <c r="V57" s="18" cm="1">
        <f t="array" ref="V57">INDEX(GMWQ!$A$2:$NE$60,MATCH(1,(GMWQ!$NE$2:$NE$60=V$3)*(GMWQ!$ND$2:$ND$60=V$4),0),$B57-1966)</f>
        <v>24628.25</v>
      </c>
      <c r="W57" s="18" cm="1">
        <f t="array" ref="W57">INDEX(GMWQ!$A$2:$NF$60,MATCH(1,(GMWQ!$NE$2:$NE$60=W$3)*(GMWQ!$NF$2:$NF$60=W$1),0),$B57-1966)</f>
        <v>18107.82</v>
      </c>
      <c r="X57" s="18" cm="1">
        <f t="array" ref="X57">INDEX(GMWQ!$A$2:$NF$60,MATCH(1,(GMWQ!$NE$2:$NE$60=X$3)*(GMWQ!$NF$2:$NF$60=X$1),0),$B57-1966)</f>
        <v>19400.740000000002</v>
      </c>
      <c r="Y57" s="18" cm="1">
        <f t="array" ref="Y57">INDEX(GMWQ!$A$2:$NF$60,MATCH(1,(GMWQ!$NE$2:$NE$60=Y$3)*(GMWQ!$NF$2:$NF$60=Y$1),0),$B57-1966)</f>
        <v>20236.62</v>
      </c>
      <c r="Z57" s="18" cm="1">
        <f t="array" ref="Z57">INDEX(GMWQ!$A$2:$NF$60,MATCH(1,(GMWQ!$NE$2:$NE$60=Z$3)*(GMWQ!$NF$2:$NF$60=Z$1),0),$B57-1966)</f>
        <v>18952.39</v>
      </c>
    </row>
    <row r="58" spans="1:26" x14ac:dyDescent="0.25">
      <c r="B58" s="18">
        <f t="shared" si="2"/>
        <v>2024</v>
      </c>
      <c r="C58" s="18" cm="1">
        <f t="array" ref="C58">INDEX(GMWQ!$A$2:$NE$60,MATCH(1,(GMWQ!$NE$2:$NE$60=C$3)*(GMWQ!$ND$2:$ND$60=C$4),0),$B58-1966)</f>
        <v>20672.22</v>
      </c>
      <c r="D58" s="18" cm="1">
        <f t="array" ref="D58">INDEX(GMWQ!$A$2:$NE$60,MATCH(1,(GMWQ!$NE$2:$NE$60=D$3)*(GMWQ!$ND$2:$ND$60=D$4),0),$B58-1966)</f>
        <v>25785</v>
      </c>
      <c r="E58" s="18" cm="1">
        <f t="array" ref="E58">INDEX(GMWQ!$A$2:$NE$60,MATCH(1,(GMWQ!$NE$2:$NE$60=E$3)*(GMWQ!$ND$2:$ND$60=E$4),0),$B58-1966)</f>
        <v>1275.623</v>
      </c>
      <c r="F58" s="18" cm="1">
        <f t="array" ref="F58">INDEX(GMWQ!$A$2:$NE$60,MATCH(1,(GMWQ!$NE$2:$NE$60=F$3)*(GMWQ!$ND$2:$ND$60=F$4),0),$B58-1966)</f>
        <v>2111.498</v>
      </c>
      <c r="G58" s="18" cm="1">
        <f t="array" ref="G58">INDEX(GMWQ!$A$2:$NE$60,MATCH(1,(GMWQ!$NE$2:$NE$60=G$3)*(GMWQ!$ND$2:$ND$60=G$4),0),$B58-1966)</f>
        <v>106841</v>
      </c>
      <c r="H58" s="18" cm="1">
        <f t="array" ref="H58">INDEX(GMWQ!$A$2:$NE$60,MATCH(1,(GMWQ!$NE$2:$NE$60=H$3)*(GMWQ!$ND$2:$ND$60=H$4),0),$B58-1966)</f>
        <v>52603</v>
      </c>
      <c r="I58" s="18" cm="1">
        <f t="array" ref="I58">INDEX(GMWQ!$A$2:$NE$60,MATCH(1,(GMWQ!$NE$2:$NE$60=I$3)*(GMWQ!$ND$2:$ND$60=I$4),0),$B58-1966)</f>
        <v>4696.2430000000004</v>
      </c>
      <c r="J58" s="18" cm="1">
        <f t="array" ref="J58">INDEX(GMWQ!$A$2:$NE$60,MATCH(1,(GMWQ!$NE$2:$NE$60=J$3)*(GMWQ!$ND$2:$ND$60=J$4),0),$B58-1966)</f>
        <v>15163.9</v>
      </c>
      <c r="K58" s="18" cm="1">
        <f t="array" ref="K58">INDEX(GMWQ!$A$2:$NE$60,MATCH(1,(GMWQ!$NE$2:$NE$60=K$3)*(GMWQ!$ND$2:$ND$60=K$4),0),$B58-1966)</f>
        <v>1368293</v>
      </c>
      <c r="L58" s="18" cm="1">
        <f t="array" ref="L58">INDEX(GMWQ!$A$2:$NE$60,MATCH(1,(GMWQ!$NE$2:$NE$60=L$3)*(GMWQ!$ND$2:$ND$60=L$4),0),$B58-1966)</f>
        <v>24660</v>
      </c>
      <c r="M58" s="18" cm="1">
        <f t="array" ref="M58">INDEX(GMWQ!$A$2:$NE$60,MATCH(1,(GMWQ!$NE$2:$NE$60=M$3)*(GMWQ!$ND$2:$ND$60=M$4),0),$B58-1966)</f>
        <v>1E-3</v>
      </c>
      <c r="N58" s="18" cm="1">
        <f t="array" ref="N58">INDEX(GMWQ!$A$2:$NE$60,MATCH(1,(GMWQ!$NE$2:$NE$60=N$3)*(GMWQ!$ND$2:$ND$60=N$4),0),$B58-1966)</f>
        <v>6.3566089999999997</v>
      </c>
      <c r="O58" s="18" cm="1">
        <f t="array" ref="O58">INDEX(GMWQ!$A$2:$NE$60,MATCH(1,(GMWQ!$NE$2:$NE$60=O$3)*(GMWQ!$ND$2:$ND$60=O$4),0),$B58-1966)</f>
        <v>1E-3</v>
      </c>
      <c r="P58" s="18" cm="1">
        <f t="array" ref="P58">INDEX(GMWQ!$A$2:$NE$60,MATCH(1,(GMWQ!$NE$2:$NE$60=P$3)*(GMWQ!$ND$2:$ND$60=P$4),0),$B58-1966)</f>
        <v>54955.11</v>
      </c>
      <c r="Q58" s="18" cm="1">
        <f t="array" ref="Q58">INDEX(GMWQ!$A$2:$NE$60,MATCH(1,(GMWQ!$NE$2:$NE$60=Q$3)*(GMWQ!$ND$2:$ND$60=Q$4),0),$B58-1966)</f>
        <v>184.45</v>
      </c>
      <c r="R58" s="18" cm="1">
        <f t="array" ref="R58">INDEX(GMWQ!$A$2:$NE$60,MATCH(1,(GMWQ!$NE$2:$NE$60=R$3)*(GMWQ!$ND$2:$ND$60=R$4),0),$B58-1966)</f>
        <v>12702.38</v>
      </c>
      <c r="S58" s="18" cm="1">
        <f t="array" ref="S58">INDEX(GMWQ!$A$2:$NE$60,MATCH(1,(GMWQ!$NE$2:$NE$60=S$3)*(GMWQ!$ND$2:$ND$60=S$4),0),$B58-1966)</f>
        <v>54.566009999999999</v>
      </c>
      <c r="T58" s="18" cm="1">
        <f t="array" ref="T58">INDEX(GMWQ!$A$2:$NE$60,MATCH(1,(GMWQ!$NE$2:$NE$60=T$3)*(GMWQ!$ND$2:$ND$60=T$4),0),$B58-1966)</f>
        <v>30.710999999999999</v>
      </c>
      <c r="U58" s="18" cm="1">
        <f t="array" ref="U58">INDEX(GMWQ!$A$2:$NE$60,MATCH(1,(GMWQ!$NE$2:$NE$60=U$3)*(GMWQ!$ND$2:$ND$60=U$4),0),$B58-1966)</f>
        <v>30.83079</v>
      </c>
      <c r="V58" s="18" cm="1">
        <f t="array" ref="V58">INDEX(GMWQ!$A$2:$NE$60,MATCH(1,(GMWQ!$NE$2:$NE$60=V$3)*(GMWQ!$ND$2:$ND$60=V$4),0),$B58-1966)</f>
        <v>24202</v>
      </c>
      <c r="W58" s="18" cm="1">
        <f t="array" ref="W58">INDEX(GMWQ!$A$2:$NF$60,MATCH(1,(GMWQ!$NE$2:$NE$60=W$3)*(GMWQ!$NF$2:$NF$60=W$1),0),$B58-1966)</f>
        <v>18222.71</v>
      </c>
      <c r="X58" s="18" cm="1">
        <f t="array" ref="X58">INDEX(GMWQ!$A$2:$NF$60,MATCH(1,(GMWQ!$NE$2:$NE$60=X$3)*(GMWQ!$NF$2:$NF$60=X$1),0),$B58-1966)</f>
        <v>19523.830000000002</v>
      </c>
      <c r="Y58" s="18" cm="1">
        <f t="array" ref="Y58">INDEX(GMWQ!$A$2:$NF$60,MATCH(1,(GMWQ!$NE$2:$NE$60=Y$3)*(GMWQ!$NF$2:$NF$60=Y$1),0),$B58-1966)</f>
        <v>20365.009999999998</v>
      </c>
      <c r="Z58" s="18" cm="1">
        <f t="array" ref="Z58">INDEX(GMWQ!$A$2:$NF$60,MATCH(1,(GMWQ!$NE$2:$NE$60=Z$3)*(GMWQ!$NF$2:$NF$60=Z$1),0),$B58-1966)</f>
        <v>19072.63</v>
      </c>
    </row>
    <row r="59" spans="1:26" x14ac:dyDescent="0.25">
      <c r="A59" s="18">
        <v>1986</v>
      </c>
      <c r="B59" s="18">
        <f t="shared" si="2"/>
        <v>2025</v>
      </c>
      <c r="C59" s="18" cm="1">
        <f t="array" ref="C59">INDEX(GMWQ!$A$2:$NE$60,MATCH(1,(GMWQ!$NE$2:$NE$60=C$3)*(GMWQ!$ND$2:$ND$60=C$4),0),$B59-1966)</f>
        <v>20701.18</v>
      </c>
      <c r="D59" s="18" cm="1">
        <f t="array" ref="D59">INDEX(GMWQ!$A$2:$NE$60,MATCH(1,(GMWQ!$NE$2:$NE$60=D$3)*(GMWQ!$ND$2:$ND$60=D$4),0),$B59-1966)</f>
        <v>25399</v>
      </c>
      <c r="E59" s="18" cm="1">
        <f t="array" ref="E59">INDEX(GMWQ!$A$2:$NE$60,MATCH(1,(GMWQ!$NE$2:$NE$60=E$3)*(GMWQ!$ND$2:$ND$60=E$4),0),$B59-1966)</f>
        <v>1690.491</v>
      </c>
      <c r="F59" s="18" cm="1">
        <f t="array" ref="F59">INDEX(GMWQ!$A$2:$NE$60,MATCH(1,(GMWQ!$NE$2:$NE$60=F$3)*(GMWQ!$ND$2:$ND$60=F$4),0),$B59-1966)</f>
        <v>654.57749999999999</v>
      </c>
      <c r="G59" s="18" cm="1">
        <f t="array" ref="G59">INDEX(GMWQ!$A$2:$NE$60,MATCH(1,(GMWQ!$NE$2:$NE$60=G$3)*(GMWQ!$ND$2:$ND$60=G$4),0),$B59-1966)</f>
        <v>108753</v>
      </c>
      <c r="H59" s="18" cm="1">
        <f t="array" ref="H59">INDEX(GMWQ!$A$2:$NE$60,MATCH(1,(GMWQ!$NE$2:$NE$60=H$3)*(GMWQ!$ND$2:$ND$60=H$4),0),$B59-1966)</f>
        <v>52036</v>
      </c>
      <c r="I59" s="18" cm="1">
        <f t="array" ref="I59">INDEX(GMWQ!$A$2:$NE$60,MATCH(1,(GMWQ!$NE$2:$NE$60=I$3)*(GMWQ!$ND$2:$ND$60=I$4),0),$B59-1966)</f>
        <v>5320.1139999999996</v>
      </c>
      <c r="J59" s="18" cm="1">
        <f t="array" ref="J59">INDEX(GMWQ!$A$2:$NE$60,MATCH(1,(GMWQ!$NE$2:$NE$60=J$3)*(GMWQ!$ND$2:$ND$60=J$4),0),$B59-1966)</f>
        <v>15049.71</v>
      </c>
      <c r="K59" s="18" cm="1">
        <f t="array" ref="K59">INDEX(GMWQ!$A$2:$NE$60,MATCH(1,(GMWQ!$NE$2:$NE$60=K$3)*(GMWQ!$ND$2:$ND$60=K$4),0),$B59-1966)</f>
        <v>1373752</v>
      </c>
      <c r="L59" s="18" cm="1">
        <f t="array" ref="L59">INDEX(GMWQ!$A$2:$NE$60,MATCH(1,(GMWQ!$NE$2:$NE$60=L$3)*(GMWQ!$ND$2:$ND$60=L$4),0),$B59-1966)</f>
        <v>24670</v>
      </c>
      <c r="M59" s="18" cm="1">
        <f t="array" ref="M59">INDEX(GMWQ!$A$2:$NE$60,MATCH(1,(GMWQ!$NE$2:$NE$60=M$3)*(GMWQ!$ND$2:$ND$60=M$4),0),$B59-1966)</f>
        <v>33.56044</v>
      </c>
      <c r="N59" s="18" cm="1">
        <f t="array" ref="N59">INDEX(GMWQ!$A$2:$NE$60,MATCH(1,(GMWQ!$NE$2:$NE$60=N$3)*(GMWQ!$ND$2:$ND$60=N$4),0),$B59-1966)</f>
        <v>7.1555869999999997</v>
      </c>
      <c r="O59" s="18" cm="1">
        <f t="array" ref="O59">INDEX(GMWQ!$A$2:$NE$60,MATCH(1,(GMWQ!$NE$2:$NE$60=O$3)*(GMWQ!$ND$2:$ND$60=O$4),0),$B59-1966)</f>
        <v>1E-3</v>
      </c>
      <c r="P59" s="18" cm="1">
        <f t="array" ref="P59">INDEX(GMWQ!$A$2:$NE$60,MATCH(1,(GMWQ!$NE$2:$NE$60=P$3)*(GMWQ!$ND$2:$ND$60=P$4),0),$B59-1966)</f>
        <v>57112.59</v>
      </c>
      <c r="Q59" s="18" cm="1">
        <f t="array" ref="Q59">INDEX(GMWQ!$A$2:$NE$60,MATCH(1,(GMWQ!$NE$2:$NE$60=Q$3)*(GMWQ!$ND$2:$ND$60=Q$4),0),$B59-1966)</f>
        <v>182.625</v>
      </c>
      <c r="R59" s="18" cm="1">
        <f t="array" ref="R59">INDEX(GMWQ!$A$2:$NE$60,MATCH(1,(GMWQ!$NE$2:$NE$60=R$3)*(GMWQ!$ND$2:$ND$60=R$4),0),$B59-1966)</f>
        <v>12631.65</v>
      </c>
      <c r="S59" s="18" cm="1">
        <f t="array" ref="S59">INDEX(GMWQ!$A$2:$NE$60,MATCH(1,(GMWQ!$NE$2:$NE$60=S$3)*(GMWQ!$ND$2:$ND$60=S$4),0),$B59-1966)</f>
        <v>53.924379999999999</v>
      </c>
      <c r="T59" s="18" cm="1">
        <f t="array" ref="T59">INDEX(GMWQ!$A$2:$NE$60,MATCH(1,(GMWQ!$NE$2:$NE$60=T$3)*(GMWQ!$ND$2:$ND$60=T$4),0),$B59-1966)</f>
        <v>31.411999999999999</v>
      </c>
      <c r="U59" s="18" cm="1">
        <f t="array" ref="U59">INDEX(GMWQ!$A$2:$NE$60,MATCH(1,(GMWQ!$NE$2:$NE$60=U$3)*(GMWQ!$ND$2:$ND$60=U$4),0),$B59-1966)</f>
        <v>32.019959999999998</v>
      </c>
      <c r="V59" s="18" cm="1">
        <f t="array" ref="V59">INDEX(GMWQ!$A$2:$NE$60,MATCH(1,(GMWQ!$NE$2:$NE$60=V$3)*(GMWQ!$ND$2:$ND$60=V$4),0),$B59-1966)</f>
        <v>25135.5</v>
      </c>
      <c r="W59" s="18" cm="1">
        <f t="array" ref="W59">INDEX(GMWQ!$A$2:$NF$60,MATCH(1,(GMWQ!$NE$2:$NE$60=W$3)*(GMWQ!$NF$2:$NF$60=W$1),0),$B59-1966)</f>
        <v>18248.240000000002</v>
      </c>
      <c r="X59" s="18" cm="1">
        <f t="array" ref="X59">INDEX(GMWQ!$A$2:$NF$60,MATCH(1,(GMWQ!$NE$2:$NE$60=X$3)*(GMWQ!$NF$2:$NF$60=X$1),0),$B59-1966)</f>
        <v>19551.18</v>
      </c>
      <c r="Y59" s="18" cm="1">
        <f t="array" ref="Y59">INDEX(GMWQ!$A$2:$NF$60,MATCH(1,(GMWQ!$NE$2:$NE$60=Y$3)*(GMWQ!$NF$2:$NF$60=Y$1),0),$B59-1966)</f>
        <v>20393.54</v>
      </c>
      <c r="Z59" s="18" cm="1">
        <f t="array" ref="Z59">INDEX(GMWQ!$A$2:$NF$60,MATCH(1,(GMWQ!$NE$2:$NE$60=Z$3)*(GMWQ!$NF$2:$NF$60=Z$1),0),$B59-1966)</f>
        <v>19099.36</v>
      </c>
    </row>
    <row r="60" spans="1:26" x14ac:dyDescent="0.25">
      <c r="B60" s="18">
        <f t="shared" si="2"/>
        <v>2026</v>
      </c>
      <c r="C60" s="18" cm="1">
        <f t="array" ref="C60">INDEX(GMWQ!$A$2:$NE$60,MATCH(1,(GMWQ!$NE$2:$NE$60=C$3)*(GMWQ!$ND$2:$ND$60=C$4),0),$B60-1966)</f>
        <v>19684.310000000001</v>
      </c>
      <c r="D60" s="18" cm="1">
        <f t="array" ref="D60">INDEX(GMWQ!$A$2:$NE$60,MATCH(1,(GMWQ!$NE$2:$NE$60=D$3)*(GMWQ!$ND$2:$ND$60=D$4),0),$B60-1966)</f>
        <v>24729</v>
      </c>
      <c r="E60" s="18" cm="1">
        <f t="array" ref="E60">INDEX(GMWQ!$A$2:$NE$60,MATCH(1,(GMWQ!$NE$2:$NE$60=E$3)*(GMWQ!$ND$2:$ND$60=E$4),0),$B60-1966)</f>
        <v>711.4796</v>
      </c>
      <c r="F60" s="18" cm="1">
        <f t="array" ref="F60">INDEX(GMWQ!$A$2:$NE$60,MATCH(1,(GMWQ!$NE$2:$NE$60=F$3)*(GMWQ!$ND$2:$ND$60=F$4),0),$B60-1966)</f>
        <v>4476.4889999999996</v>
      </c>
      <c r="G60" s="18" cm="1">
        <f t="array" ref="G60">INDEX(GMWQ!$A$2:$NE$60,MATCH(1,(GMWQ!$NE$2:$NE$60=G$3)*(GMWQ!$ND$2:$ND$60=G$4),0),$B60-1966)</f>
        <v>110079</v>
      </c>
      <c r="H60" s="18" cm="1">
        <f t="array" ref="H60">INDEX(GMWQ!$A$2:$NE$60,MATCH(1,(GMWQ!$NE$2:$NE$60=H$3)*(GMWQ!$ND$2:$ND$60=H$4),0),$B60-1966)</f>
        <v>50598</v>
      </c>
      <c r="I60" s="18" cm="1">
        <f t="array" ref="I60">INDEX(GMWQ!$A$2:$NE$60,MATCH(1,(GMWQ!$NE$2:$NE$60=I$3)*(GMWQ!$ND$2:$ND$60=I$4),0),$B60-1966)</f>
        <v>5177.2780000000002</v>
      </c>
      <c r="J60" s="18" cm="1">
        <f t="array" ref="J60">INDEX(GMWQ!$A$2:$NE$60,MATCH(1,(GMWQ!$NE$2:$NE$60=J$3)*(GMWQ!$ND$2:$ND$60=J$4),0),$B60-1966)</f>
        <v>14719.43</v>
      </c>
      <c r="K60" s="18" cm="1">
        <f t="array" ref="K60">INDEX(GMWQ!$A$2:$NE$60,MATCH(1,(GMWQ!$NE$2:$NE$60=K$3)*(GMWQ!$ND$2:$ND$60=K$4),0),$B60-1966)</f>
        <v>1379210</v>
      </c>
      <c r="L60" s="18" cm="1">
        <f t="array" ref="L60">INDEX(GMWQ!$A$2:$NE$60,MATCH(1,(GMWQ!$NE$2:$NE$60=L$3)*(GMWQ!$ND$2:$ND$60=L$4),0),$B60-1966)</f>
        <v>24695</v>
      </c>
      <c r="M60" s="18" cm="1">
        <f t="array" ref="M60">INDEX(GMWQ!$A$2:$NE$60,MATCH(1,(GMWQ!$NE$2:$NE$60=M$3)*(GMWQ!$ND$2:$ND$60=M$4),0),$B60-1966)</f>
        <v>33.529319999999998</v>
      </c>
      <c r="N60" s="18" cm="1">
        <f t="array" ref="N60">INDEX(GMWQ!$A$2:$NE$60,MATCH(1,(GMWQ!$NE$2:$NE$60=N$3)*(GMWQ!$ND$2:$ND$60=N$4),0),$B60-1966)</f>
        <v>6.1142529999999997</v>
      </c>
      <c r="O60" s="18" cm="1">
        <f t="array" ref="O60">INDEX(GMWQ!$A$2:$NE$60,MATCH(1,(GMWQ!$NE$2:$NE$60=O$3)*(GMWQ!$ND$2:$ND$60=O$4),0),$B60-1966)</f>
        <v>1E-3</v>
      </c>
      <c r="P60" s="18" cm="1">
        <f t="array" ref="P60">INDEX(GMWQ!$A$2:$NE$60,MATCH(1,(GMWQ!$NE$2:$NE$60=P$3)*(GMWQ!$ND$2:$ND$60=P$4),0),$B60-1966)</f>
        <v>57833.43</v>
      </c>
      <c r="Q60" s="18" cm="1">
        <f t="array" ref="Q60">INDEX(GMWQ!$A$2:$NE$60,MATCH(1,(GMWQ!$NE$2:$NE$60=Q$3)*(GMWQ!$ND$2:$ND$60=Q$4),0),$B60-1966)</f>
        <v>178.92500000000001</v>
      </c>
      <c r="R60" s="18" cm="1">
        <f t="array" ref="R60">INDEX(GMWQ!$A$2:$NE$60,MATCH(1,(GMWQ!$NE$2:$NE$60=R$3)*(GMWQ!$ND$2:$ND$60=R$4),0),$B60-1966)</f>
        <v>13073.17</v>
      </c>
      <c r="S60" s="18" cm="1">
        <f t="array" ref="S60">INDEX(GMWQ!$A$2:$NE$60,MATCH(1,(GMWQ!$NE$2:$NE$60=S$3)*(GMWQ!$ND$2:$ND$60=S$4),0),$B60-1966)</f>
        <v>53.120919999999998</v>
      </c>
      <c r="T60" s="18" cm="1">
        <f t="array" ref="T60">INDEX(GMWQ!$A$2:$NE$60,MATCH(1,(GMWQ!$NE$2:$NE$60=T$3)*(GMWQ!$ND$2:$ND$60=T$4),0),$B60-1966)</f>
        <v>31.962</v>
      </c>
      <c r="U60" s="18" cm="1">
        <f t="array" ref="U60">INDEX(GMWQ!$A$2:$NE$60,MATCH(1,(GMWQ!$NE$2:$NE$60=U$3)*(GMWQ!$ND$2:$ND$60=U$4),0),$B60-1966)</f>
        <v>32.281390000000002</v>
      </c>
      <c r="V60" s="18" cm="1">
        <f t="array" ref="V60">INDEX(GMWQ!$A$2:$NE$60,MATCH(1,(GMWQ!$NE$2:$NE$60=V$3)*(GMWQ!$ND$2:$ND$60=V$4),0),$B60-1966)</f>
        <v>23971</v>
      </c>
      <c r="W60" s="18" cm="1">
        <f t="array" ref="W60">INDEX(GMWQ!$A$2:$NF$60,MATCH(1,(GMWQ!$NE$2:$NE$60=W$3)*(GMWQ!$NF$2:$NF$60=W$1),0),$B60-1966)</f>
        <v>17351.849999999999</v>
      </c>
      <c r="X60" s="18" cm="1">
        <f t="array" ref="X60">INDEX(GMWQ!$A$2:$NF$60,MATCH(1,(GMWQ!$NE$2:$NE$60=X$3)*(GMWQ!$NF$2:$NF$60=X$1),0),$B60-1966)</f>
        <v>18590.79</v>
      </c>
      <c r="Y60" s="18" cm="1">
        <f t="array" ref="Y60">INDEX(GMWQ!$A$2:$NF$60,MATCH(1,(GMWQ!$NE$2:$NE$60=Y$3)*(GMWQ!$NF$2:$NF$60=Y$1),0),$B60-1966)</f>
        <v>19391.78</v>
      </c>
      <c r="Z60" s="18" cm="1">
        <f t="array" ref="Z60">INDEX(GMWQ!$A$2:$NF$60,MATCH(1,(GMWQ!$NE$2:$NE$60=Z$3)*(GMWQ!$NF$2:$NF$60=Z$1),0),$B60-1966)</f>
        <v>18161.16</v>
      </c>
    </row>
    <row r="61" spans="1:26" x14ac:dyDescent="0.25">
      <c r="B61" s="18">
        <f t="shared" si="2"/>
        <v>2027</v>
      </c>
      <c r="C61" s="18" cm="1">
        <f t="array" ref="C61">INDEX(GMWQ!$A$2:$NE$60,MATCH(1,(GMWQ!$NE$2:$NE$60=C$3)*(GMWQ!$ND$2:$ND$60=C$4),0),$B61-1966)</f>
        <v>20858.86</v>
      </c>
      <c r="D61" s="18" cm="1">
        <f t="array" ref="D61">INDEX(GMWQ!$A$2:$NE$60,MATCH(1,(GMWQ!$NE$2:$NE$60=D$3)*(GMWQ!$ND$2:$ND$60=D$4),0),$B61-1966)</f>
        <v>25297</v>
      </c>
      <c r="E61" s="18" cm="1">
        <f t="array" ref="E61">INDEX(GMWQ!$A$2:$NE$60,MATCH(1,(GMWQ!$NE$2:$NE$60=E$3)*(GMWQ!$ND$2:$ND$60=E$4),0),$B61-1966)</f>
        <v>3491.4839999999999</v>
      </c>
      <c r="F61" s="18" cm="1">
        <f t="array" ref="F61">INDEX(GMWQ!$A$2:$NE$60,MATCH(1,(GMWQ!$NE$2:$NE$60=F$3)*(GMWQ!$ND$2:$ND$60=F$4),0),$B61-1966)</f>
        <v>1591.1189999999999</v>
      </c>
      <c r="G61" s="18" cm="1">
        <f t="array" ref="G61">INDEX(GMWQ!$A$2:$NE$60,MATCH(1,(GMWQ!$NE$2:$NE$60=G$3)*(GMWQ!$ND$2:$ND$60=G$4),0),$B61-1966)</f>
        <v>111989</v>
      </c>
      <c r="H61" s="18" cm="1">
        <f t="array" ref="H61">INDEX(GMWQ!$A$2:$NE$60,MATCH(1,(GMWQ!$NE$2:$NE$60=H$3)*(GMWQ!$ND$2:$ND$60=H$4),0),$B61-1966)</f>
        <v>53431</v>
      </c>
      <c r="I61" s="18" cm="1">
        <f t="array" ref="I61">INDEX(GMWQ!$A$2:$NE$60,MATCH(1,(GMWQ!$NE$2:$NE$60=I$3)*(GMWQ!$ND$2:$ND$60=I$4),0),$B61-1966)</f>
        <v>5618.2060000000001</v>
      </c>
      <c r="J61" s="18" cm="1">
        <f t="array" ref="J61">INDEX(GMWQ!$A$2:$NE$60,MATCH(1,(GMWQ!$NE$2:$NE$60=J$3)*(GMWQ!$ND$2:$ND$60=J$4),0),$B61-1966)</f>
        <v>16450.240000000002</v>
      </c>
      <c r="K61" s="18" cm="1">
        <f t="array" ref="K61">INDEX(GMWQ!$A$2:$NE$60,MATCH(1,(GMWQ!$NE$2:$NE$60=K$3)*(GMWQ!$ND$2:$ND$60=K$4),0),$B61-1966)</f>
        <v>1384668</v>
      </c>
      <c r="L61" s="18" cm="1">
        <f t="array" ref="L61">INDEX(GMWQ!$A$2:$NE$60,MATCH(1,(GMWQ!$NE$2:$NE$60=L$3)*(GMWQ!$ND$2:$ND$60=L$4),0),$B61-1966)</f>
        <v>24770</v>
      </c>
      <c r="M61" s="18" cm="1">
        <f t="array" ref="M61">INDEX(GMWQ!$A$2:$NE$60,MATCH(1,(GMWQ!$NE$2:$NE$60=M$3)*(GMWQ!$ND$2:$ND$60=M$4),0),$B61-1966)</f>
        <v>33.508580000000002</v>
      </c>
      <c r="N61" s="18" cm="1">
        <f t="array" ref="N61">INDEX(GMWQ!$A$2:$NE$60,MATCH(1,(GMWQ!$NE$2:$NE$60=N$3)*(GMWQ!$ND$2:$ND$60=N$4),0),$B61-1966)</f>
        <v>6.2408010000000003</v>
      </c>
      <c r="O61" s="18" cm="1">
        <f t="array" ref="O61">INDEX(GMWQ!$A$2:$NE$60,MATCH(1,(GMWQ!$NE$2:$NE$60=O$3)*(GMWQ!$ND$2:$ND$60=O$4),0),$B61-1966)</f>
        <v>1E-3</v>
      </c>
      <c r="P61" s="18" cm="1">
        <f t="array" ref="P61">INDEX(GMWQ!$A$2:$NE$60,MATCH(1,(GMWQ!$NE$2:$NE$60=P$3)*(GMWQ!$ND$2:$ND$60=P$4),0),$B61-1966)</f>
        <v>61531.97</v>
      </c>
      <c r="Q61" s="18" cm="1">
        <f t="array" ref="Q61">INDEX(GMWQ!$A$2:$NE$60,MATCH(1,(GMWQ!$NE$2:$NE$60=Q$3)*(GMWQ!$ND$2:$ND$60=Q$4),0),$B61-1966)</f>
        <v>176.875</v>
      </c>
      <c r="R61" s="18" cm="1">
        <f t="array" ref="R61">INDEX(GMWQ!$A$2:$NE$60,MATCH(1,(GMWQ!$NE$2:$NE$60=R$3)*(GMWQ!$ND$2:$ND$60=R$4),0),$B61-1966)</f>
        <v>13119.95</v>
      </c>
      <c r="S61" s="18" cm="1">
        <f t="array" ref="S61">INDEX(GMWQ!$A$2:$NE$60,MATCH(1,(GMWQ!$NE$2:$NE$60=S$3)*(GMWQ!$ND$2:$ND$60=S$4),0),$B61-1966)</f>
        <v>52.555259999999997</v>
      </c>
      <c r="T61" s="18" cm="1">
        <f t="array" ref="T61">INDEX(GMWQ!$A$2:$NE$60,MATCH(1,(GMWQ!$NE$2:$NE$60=T$3)*(GMWQ!$ND$2:$ND$60=T$4),0),$B61-1966)</f>
        <v>32.472000000000001</v>
      </c>
      <c r="U61" s="18" cm="1">
        <f t="array" ref="U61">INDEX(GMWQ!$A$2:$NE$60,MATCH(1,(GMWQ!$NE$2:$NE$60=U$3)*(GMWQ!$ND$2:$ND$60=U$4),0),$B61-1966)</f>
        <v>32.587910000000001</v>
      </c>
      <c r="V61" s="18" cm="1">
        <f t="array" ref="V61">INDEX(GMWQ!$A$2:$NE$60,MATCH(1,(GMWQ!$NE$2:$NE$60=V$3)*(GMWQ!$ND$2:$ND$60=V$4),0),$B61-1966)</f>
        <v>23190.5</v>
      </c>
      <c r="W61" s="18" cm="1">
        <f t="array" ref="W61">INDEX(GMWQ!$A$2:$NF$60,MATCH(1,(GMWQ!$NE$2:$NE$60=W$3)*(GMWQ!$NF$2:$NF$60=W$1),0),$B61-1966)</f>
        <v>18387.23</v>
      </c>
      <c r="X61" s="18" cm="1">
        <f t="array" ref="X61">INDEX(GMWQ!$A$2:$NF$60,MATCH(1,(GMWQ!$NE$2:$NE$60=X$3)*(GMWQ!$NF$2:$NF$60=X$1),0),$B61-1966)</f>
        <v>19700.099999999999</v>
      </c>
      <c r="Y61" s="18" cm="1">
        <f t="array" ref="Y61">INDEX(GMWQ!$A$2:$NF$60,MATCH(1,(GMWQ!$NE$2:$NE$60=Y$3)*(GMWQ!$NF$2:$NF$60=Y$1),0),$B61-1966)</f>
        <v>20548.88</v>
      </c>
      <c r="Z61" s="18" cm="1">
        <f t="array" ref="Z61">INDEX(GMWQ!$A$2:$NF$60,MATCH(1,(GMWQ!$NE$2:$NE$60=Z$3)*(GMWQ!$NF$2:$NF$60=Z$1),0),$B61-1966)</f>
        <v>19244.830000000002</v>
      </c>
    </row>
    <row r="62" spans="1:26" x14ac:dyDescent="0.25">
      <c r="B62" s="18">
        <f t="shared" si="2"/>
        <v>2028</v>
      </c>
      <c r="C62" s="18" cm="1">
        <f t="array" ref="C62">INDEX(GMWQ!$A$2:$NE$60,MATCH(1,(GMWQ!$NE$2:$NE$60=C$3)*(GMWQ!$ND$2:$ND$60=C$4),0),$B62-1966)</f>
        <v>21504.07</v>
      </c>
      <c r="D62" s="18" cm="1">
        <f t="array" ref="D62">INDEX(GMWQ!$A$2:$NE$60,MATCH(1,(GMWQ!$NE$2:$NE$60=D$3)*(GMWQ!$ND$2:$ND$60=D$4),0),$B62-1966)</f>
        <v>27509</v>
      </c>
      <c r="E62" s="18" cm="1">
        <f t="array" ref="E62">INDEX(GMWQ!$A$2:$NE$60,MATCH(1,(GMWQ!$NE$2:$NE$60=E$3)*(GMWQ!$ND$2:$ND$60=E$4),0),$B62-1966)</f>
        <v>-440.07049999999998</v>
      </c>
      <c r="F62" s="18" cm="1">
        <f t="array" ref="F62">INDEX(GMWQ!$A$2:$NE$60,MATCH(1,(GMWQ!$NE$2:$NE$60=F$3)*(GMWQ!$ND$2:$ND$60=F$4),0),$B62-1966)</f>
        <v>-8655.9359999999997</v>
      </c>
      <c r="G62" s="18" cm="1">
        <f t="array" ref="G62">INDEX(GMWQ!$A$2:$NE$60,MATCH(1,(GMWQ!$NE$2:$NE$60=G$3)*(GMWQ!$ND$2:$ND$60=G$4),0),$B62-1966)</f>
        <v>115779</v>
      </c>
      <c r="H62" s="18" cm="1">
        <f t="array" ref="H62">INDEX(GMWQ!$A$2:$NE$60,MATCH(1,(GMWQ!$NE$2:$NE$60=H$3)*(GMWQ!$ND$2:$ND$60=H$4),0),$B62-1966)</f>
        <v>56019</v>
      </c>
      <c r="I62" s="18" cm="1">
        <f t="array" ref="I62">INDEX(GMWQ!$A$2:$NE$60,MATCH(1,(GMWQ!$NE$2:$NE$60=I$3)*(GMWQ!$ND$2:$ND$60=I$4),0),$B62-1966)</f>
        <v>5208.3289999999997</v>
      </c>
      <c r="J62" s="18" cm="1">
        <f t="array" ref="J62">INDEX(GMWQ!$A$2:$NE$60,MATCH(1,(GMWQ!$NE$2:$NE$60=J$3)*(GMWQ!$ND$2:$ND$60=J$4),0),$B62-1966)</f>
        <v>19495</v>
      </c>
      <c r="K62" s="18" cm="1">
        <f t="array" ref="K62">INDEX(GMWQ!$A$2:$NE$60,MATCH(1,(GMWQ!$NE$2:$NE$60=K$3)*(GMWQ!$ND$2:$ND$60=K$4),0),$B62-1966)</f>
        <v>1390127</v>
      </c>
      <c r="L62" s="18" cm="1">
        <f t="array" ref="L62">INDEX(GMWQ!$A$2:$NE$60,MATCH(1,(GMWQ!$NE$2:$NE$60=L$3)*(GMWQ!$ND$2:$ND$60=L$4),0),$B62-1966)</f>
        <v>24850</v>
      </c>
      <c r="M62" s="18" cm="1">
        <f t="array" ref="M62">INDEX(GMWQ!$A$2:$NE$60,MATCH(1,(GMWQ!$NE$2:$NE$60=M$3)*(GMWQ!$ND$2:$ND$60=M$4),0),$B62-1966)</f>
        <v>33.49821</v>
      </c>
      <c r="N62" s="18" cm="1">
        <f t="array" ref="N62">INDEX(GMWQ!$A$2:$NE$60,MATCH(1,(GMWQ!$NE$2:$NE$60=N$3)*(GMWQ!$ND$2:$ND$60=N$4),0),$B62-1966)</f>
        <v>6.9198820000000003</v>
      </c>
      <c r="O62" s="18" cm="1">
        <f t="array" ref="O62">INDEX(GMWQ!$A$2:$NE$60,MATCH(1,(GMWQ!$NE$2:$NE$60=O$3)*(GMWQ!$ND$2:$ND$60=O$4),0),$B62-1966)</f>
        <v>1E-3</v>
      </c>
      <c r="P62" s="18" cm="1">
        <f t="array" ref="P62">INDEX(GMWQ!$A$2:$NE$60,MATCH(1,(GMWQ!$NE$2:$NE$60=P$3)*(GMWQ!$ND$2:$ND$60=P$4),0),$B62-1966)</f>
        <v>66253.539999999994</v>
      </c>
      <c r="Q62" s="18" cm="1">
        <f t="array" ref="Q62">INDEX(GMWQ!$A$2:$NE$60,MATCH(1,(GMWQ!$NE$2:$NE$60=Q$3)*(GMWQ!$ND$2:$ND$60=Q$4),0),$B62-1966)</f>
        <v>178.57499999999999</v>
      </c>
      <c r="R62" s="18" cm="1">
        <f t="array" ref="R62">INDEX(GMWQ!$A$2:$NE$60,MATCH(1,(GMWQ!$NE$2:$NE$60=R$3)*(GMWQ!$ND$2:$ND$60=R$4),0),$B62-1966)</f>
        <v>13331.2</v>
      </c>
      <c r="S62" s="18" cm="1">
        <f t="array" ref="S62">INDEX(GMWQ!$A$2:$NE$60,MATCH(1,(GMWQ!$NE$2:$NE$60=S$3)*(GMWQ!$ND$2:$ND$60=S$4),0),$B62-1966)</f>
        <v>54.736060000000002</v>
      </c>
      <c r="T62" s="18" cm="1">
        <f t="array" ref="T62">INDEX(GMWQ!$A$2:$NE$60,MATCH(1,(GMWQ!$NE$2:$NE$60=T$3)*(GMWQ!$ND$2:$ND$60=T$4),0),$B62-1966)</f>
        <v>32.798999999999999</v>
      </c>
      <c r="U62" s="18" cm="1">
        <f t="array" ref="U62">INDEX(GMWQ!$A$2:$NE$60,MATCH(1,(GMWQ!$NE$2:$NE$60=U$3)*(GMWQ!$ND$2:$ND$60=U$4),0),$B62-1966)</f>
        <v>32.861260000000001</v>
      </c>
      <c r="V62" s="18" cm="1">
        <f t="array" ref="V62">INDEX(GMWQ!$A$2:$NE$60,MATCH(1,(GMWQ!$NE$2:$NE$60=V$3)*(GMWQ!$ND$2:$ND$60=V$4),0),$B62-1966)</f>
        <v>23091.25</v>
      </c>
      <c r="W62" s="18" cm="1">
        <f t="array" ref="W62">INDEX(GMWQ!$A$2:$NF$60,MATCH(1,(GMWQ!$NE$2:$NE$60=W$3)*(GMWQ!$NF$2:$NF$60=W$1),0),$B62-1966)</f>
        <v>18955.98</v>
      </c>
      <c r="X62" s="18" cm="1">
        <f t="array" ref="X62">INDEX(GMWQ!$A$2:$NF$60,MATCH(1,(GMWQ!$NE$2:$NE$60=X$3)*(GMWQ!$NF$2:$NF$60=X$1),0),$B62-1966)</f>
        <v>20309.46</v>
      </c>
      <c r="Y62" s="18" cm="1">
        <f t="array" ref="Y62">INDEX(GMWQ!$A$2:$NF$60,MATCH(1,(GMWQ!$NE$2:$NE$60=Y$3)*(GMWQ!$NF$2:$NF$60=Y$1),0),$B62-1966)</f>
        <v>21184.5</v>
      </c>
      <c r="Z62" s="18" cm="1">
        <f t="array" ref="Z62">INDEX(GMWQ!$A$2:$NF$60,MATCH(1,(GMWQ!$NE$2:$NE$60=Z$3)*(GMWQ!$NF$2:$NF$60=Z$1),0),$B62-1966)</f>
        <v>19840.11</v>
      </c>
    </row>
    <row r="63" spans="1:26" x14ac:dyDescent="0.25">
      <c r="A63" s="18">
        <v>1987</v>
      </c>
      <c r="B63" s="18">
        <f t="shared" si="2"/>
        <v>2029</v>
      </c>
      <c r="C63" s="18" cm="1">
        <f t="array" ref="C63">INDEX(GMWQ!$A$2:$NE$60,MATCH(1,(GMWQ!$NE$2:$NE$60=C$3)*(GMWQ!$ND$2:$ND$60=C$4),0),$B63-1966)</f>
        <v>20059.2</v>
      </c>
      <c r="D63" s="18" cm="1">
        <f t="array" ref="D63">INDEX(GMWQ!$A$2:$NE$60,MATCH(1,(GMWQ!$NE$2:$NE$60=D$3)*(GMWQ!$ND$2:$ND$60=D$4),0),$B63-1966)</f>
        <v>27991</v>
      </c>
      <c r="E63" s="18" cm="1">
        <f t="array" ref="E63">INDEX(GMWQ!$A$2:$NE$60,MATCH(1,(GMWQ!$NE$2:$NE$60=E$3)*(GMWQ!$ND$2:$ND$60=E$4),0),$B63-1966)</f>
        <v>2559</v>
      </c>
      <c r="F63" s="18" cm="1">
        <f t="array" ref="F63">INDEX(GMWQ!$A$2:$NE$60,MATCH(1,(GMWQ!$NE$2:$NE$60=F$3)*(GMWQ!$ND$2:$ND$60=F$4),0),$B63-1966)</f>
        <v>-1899</v>
      </c>
      <c r="G63" s="18" cm="1">
        <f t="array" ref="G63">INDEX(GMWQ!$A$2:$NE$60,MATCH(1,(GMWQ!$NE$2:$NE$60=G$3)*(GMWQ!$ND$2:$ND$60=G$4),0),$B63-1966)</f>
        <v>118136</v>
      </c>
      <c r="H63" s="18" cm="1">
        <f t="array" ref="H63">INDEX(GMWQ!$A$2:$NE$60,MATCH(1,(GMWQ!$NE$2:$NE$60=H$3)*(GMWQ!$ND$2:$ND$60=H$4),0),$B63-1966)</f>
        <v>54611</v>
      </c>
      <c r="I63" s="18" cm="1">
        <f t="array" ref="I63">INDEX(GMWQ!$A$2:$NE$60,MATCH(1,(GMWQ!$NE$2:$NE$60=I$3)*(GMWQ!$ND$2:$ND$60=I$4),0),$B63-1966)</f>
        <v>4769.4719999999998</v>
      </c>
      <c r="J63" s="18" cm="1">
        <f t="array" ref="J63">INDEX(GMWQ!$A$2:$NE$60,MATCH(1,(GMWQ!$NE$2:$NE$60=J$3)*(GMWQ!$ND$2:$ND$60=J$4),0),$B63-1966)</f>
        <v>16017.31</v>
      </c>
      <c r="K63" s="18" cm="1">
        <f t="array" ref="K63">INDEX(GMWQ!$A$2:$NE$60,MATCH(1,(GMWQ!$NE$2:$NE$60=K$3)*(GMWQ!$ND$2:$ND$60=K$4),0),$B63-1966)</f>
        <v>1397941</v>
      </c>
      <c r="L63" s="18" cm="1">
        <f t="array" ref="L63">INDEX(GMWQ!$A$2:$NE$60,MATCH(1,(GMWQ!$NE$2:$NE$60=L$3)*(GMWQ!$ND$2:$ND$60=L$4),0),$B63-1966)</f>
        <v>24925</v>
      </c>
      <c r="M63" s="18" cm="1">
        <f t="array" ref="M63">INDEX(GMWQ!$A$2:$NE$60,MATCH(1,(GMWQ!$NE$2:$NE$60=M$3)*(GMWQ!$ND$2:$ND$60=M$4),0),$B63-1966)</f>
        <v>33.49821</v>
      </c>
      <c r="N63" s="18" cm="1">
        <f t="array" ref="N63">INDEX(GMWQ!$A$2:$NE$60,MATCH(1,(GMWQ!$NE$2:$NE$60=N$3)*(GMWQ!$ND$2:$ND$60=N$4),0),$B63-1966)</f>
        <v>8.4434889999999996</v>
      </c>
      <c r="O63" s="18" cm="1">
        <f t="array" ref="O63">INDEX(GMWQ!$A$2:$NE$60,MATCH(1,(GMWQ!$NE$2:$NE$60=O$3)*(GMWQ!$ND$2:$ND$60=O$4),0),$B63-1966)</f>
        <v>1E-3</v>
      </c>
      <c r="P63" s="18" cm="1">
        <f t="array" ref="P63">INDEX(GMWQ!$A$2:$NE$60,MATCH(1,(GMWQ!$NE$2:$NE$60=P$3)*(GMWQ!$ND$2:$ND$60=P$4),0),$B63-1966)</f>
        <v>65786.7</v>
      </c>
      <c r="Q63" s="18" cm="1">
        <f t="array" ref="Q63">INDEX(GMWQ!$A$2:$NE$60,MATCH(1,(GMWQ!$NE$2:$NE$60=Q$3)*(GMWQ!$ND$2:$ND$60=Q$4),0),$B63-1966)</f>
        <v>174.35</v>
      </c>
      <c r="R63" s="18" cm="1">
        <f t="array" ref="R63">INDEX(GMWQ!$A$2:$NE$60,MATCH(1,(GMWQ!$NE$2:$NE$60=R$3)*(GMWQ!$ND$2:$ND$60=R$4),0),$B63-1966)</f>
        <v>13349.8</v>
      </c>
      <c r="S63" s="18" cm="1">
        <f t="array" ref="S63">INDEX(GMWQ!$A$2:$NE$60,MATCH(1,(GMWQ!$NE$2:$NE$60=S$3)*(GMWQ!$ND$2:$ND$60=S$4),0),$B63-1966)</f>
        <v>53.785850000000003</v>
      </c>
      <c r="T63" s="18" cm="1">
        <f t="array" ref="T63">INDEX(GMWQ!$A$2:$NE$60,MATCH(1,(GMWQ!$NE$2:$NE$60=T$3)*(GMWQ!$ND$2:$ND$60=T$4),0),$B63-1966)</f>
        <v>32.819000000000003</v>
      </c>
      <c r="U63" s="18" cm="1">
        <f t="array" ref="U63">INDEX(GMWQ!$A$2:$NE$60,MATCH(1,(GMWQ!$NE$2:$NE$60=U$3)*(GMWQ!$ND$2:$ND$60=U$4),0),$B63-1966)</f>
        <v>33.828960000000002</v>
      </c>
      <c r="V63" s="18" cm="1">
        <f t="array" ref="V63">INDEX(GMWQ!$A$2:$NE$60,MATCH(1,(GMWQ!$NE$2:$NE$60=V$3)*(GMWQ!$ND$2:$ND$60=V$4),0),$B63-1966)</f>
        <v>23245.5</v>
      </c>
      <c r="W63" s="18" cm="1">
        <f t="array" ref="W63">INDEX(GMWQ!$A$2:$NF$60,MATCH(1,(GMWQ!$NE$2:$NE$60=W$3)*(GMWQ!$NF$2:$NF$60=W$1),0),$B63-1966)</f>
        <v>17682.32</v>
      </c>
      <c r="X63" s="18" cm="1">
        <f t="array" ref="X63">INDEX(GMWQ!$A$2:$NF$60,MATCH(1,(GMWQ!$NE$2:$NE$60=X$3)*(GMWQ!$NF$2:$NF$60=X$1),0),$B63-1966)</f>
        <v>18944.86</v>
      </c>
      <c r="Y63" s="18" cm="1">
        <f t="array" ref="Y63">INDEX(GMWQ!$A$2:$NF$60,MATCH(1,(GMWQ!$NE$2:$NE$60=Y$3)*(GMWQ!$NF$2:$NF$60=Y$1),0),$B63-1966)</f>
        <v>19761.099999999999</v>
      </c>
      <c r="Z63" s="18" cm="1">
        <f t="array" ref="Z63">INDEX(GMWQ!$A$2:$NF$60,MATCH(1,(GMWQ!$NE$2:$NE$60=Z$3)*(GMWQ!$NF$2:$NF$60=Z$1),0),$B63-1966)</f>
        <v>18507.05</v>
      </c>
    </row>
    <row r="64" spans="1:26" x14ac:dyDescent="0.25">
      <c r="B64" s="18">
        <f t="shared" si="2"/>
        <v>2030</v>
      </c>
      <c r="C64" s="18" cm="1">
        <f t="array" ref="C64">INDEX(GMWQ!$A$2:$NE$60,MATCH(1,(GMWQ!$NE$2:$NE$60=C$3)*(GMWQ!$ND$2:$ND$60=C$4),0),$B64-1966)</f>
        <v>20730.150000000001</v>
      </c>
      <c r="D64" s="18" cm="1">
        <f t="array" ref="D64">INDEX(GMWQ!$A$2:$NE$60,MATCH(1,(GMWQ!$NE$2:$NE$60=D$3)*(GMWQ!$ND$2:$ND$60=D$4),0),$B64-1966)</f>
        <v>29936</v>
      </c>
      <c r="E64" s="18" cm="1">
        <f t="array" ref="E64">INDEX(GMWQ!$A$2:$NE$60,MATCH(1,(GMWQ!$NE$2:$NE$60=E$3)*(GMWQ!$ND$2:$ND$60=E$4),0),$B64-1966)</f>
        <v>2066</v>
      </c>
      <c r="F64" s="18" cm="1">
        <f t="array" ref="F64">INDEX(GMWQ!$A$2:$NE$60,MATCH(1,(GMWQ!$NE$2:$NE$60=F$3)*(GMWQ!$ND$2:$ND$60=F$4),0),$B64-1966)</f>
        <v>-1972</v>
      </c>
      <c r="G64" s="18" cm="1">
        <f t="array" ref="G64">INDEX(GMWQ!$A$2:$NE$60,MATCH(1,(GMWQ!$NE$2:$NE$60=G$3)*(GMWQ!$ND$2:$ND$60=G$4),0),$B64-1966)</f>
        <v>121739</v>
      </c>
      <c r="H64" s="18" cm="1">
        <f t="array" ref="H64">INDEX(GMWQ!$A$2:$NE$60,MATCH(1,(GMWQ!$NE$2:$NE$60=H$3)*(GMWQ!$ND$2:$ND$60=H$4),0),$B64-1966)</f>
        <v>57244</v>
      </c>
      <c r="I64" s="18" cm="1">
        <f t="array" ref="I64">INDEX(GMWQ!$A$2:$NE$60,MATCH(1,(GMWQ!$NE$2:$NE$60=I$3)*(GMWQ!$ND$2:$ND$60=I$4),0),$B64-1966)</f>
        <v>4794.3130000000001</v>
      </c>
      <c r="J64" s="18" cm="1">
        <f t="array" ref="J64">INDEX(GMWQ!$A$2:$NE$60,MATCH(1,(GMWQ!$NE$2:$NE$60=J$3)*(GMWQ!$ND$2:$ND$60=J$4),0),$B64-1966)</f>
        <v>17380.900000000001</v>
      </c>
      <c r="K64" s="18" cm="1">
        <f t="array" ref="K64">INDEX(GMWQ!$A$2:$NE$60,MATCH(1,(GMWQ!$NE$2:$NE$60=K$3)*(GMWQ!$ND$2:$ND$60=K$4),0),$B64-1966)</f>
        <v>1405756</v>
      </c>
      <c r="L64" s="18" cm="1">
        <f t="array" ref="L64">INDEX(GMWQ!$A$2:$NE$60,MATCH(1,(GMWQ!$NE$2:$NE$60=L$3)*(GMWQ!$ND$2:$ND$60=L$4),0),$B64-1966)</f>
        <v>25110</v>
      </c>
      <c r="M64" s="18" cm="1">
        <f t="array" ref="M64">INDEX(GMWQ!$A$2:$NE$60,MATCH(1,(GMWQ!$NE$2:$NE$60=M$3)*(GMWQ!$ND$2:$ND$60=M$4),0),$B64-1966)</f>
        <v>33.508580000000002</v>
      </c>
      <c r="N64" s="18" cm="1">
        <f t="array" ref="N64">INDEX(GMWQ!$A$2:$NE$60,MATCH(1,(GMWQ!$NE$2:$NE$60=N$3)*(GMWQ!$ND$2:$ND$60=N$4),0),$B64-1966)</f>
        <v>7.5696870000000001</v>
      </c>
      <c r="O64" s="18" cm="1">
        <f t="array" ref="O64">INDEX(GMWQ!$A$2:$NE$60,MATCH(1,(GMWQ!$NE$2:$NE$60=O$3)*(GMWQ!$ND$2:$ND$60=O$4),0),$B64-1966)</f>
        <v>1E-3</v>
      </c>
      <c r="P64" s="18" cm="1">
        <f t="array" ref="P64">INDEX(GMWQ!$A$2:$NE$60,MATCH(1,(GMWQ!$NE$2:$NE$60=P$3)*(GMWQ!$ND$2:$ND$60=P$4),0),$B64-1966)</f>
        <v>68565.63</v>
      </c>
      <c r="Q64" s="18" cm="1">
        <f t="array" ref="Q64">INDEX(GMWQ!$A$2:$NE$60,MATCH(1,(GMWQ!$NE$2:$NE$60=Q$3)*(GMWQ!$ND$2:$ND$60=Q$4),0),$B64-1966)</f>
        <v>177.875</v>
      </c>
      <c r="R64" s="18" cm="1">
        <f t="array" ref="R64">INDEX(GMWQ!$A$2:$NE$60,MATCH(1,(GMWQ!$NE$2:$NE$60=R$3)*(GMWQ!$ND$2:$ND$60=R$4),0),$B64-1966)</f>
        <v>13774.95</v>
      </c>
      <c r="S64" s="18" cm="1">
        <f t="array" ref="S64">INDEX(GMWQ!$A$2:$NE$60,MATCH(1,(GMWQ!$NE$2:$NE$60=S$3)*(GMWQ!$ND$2:$ND$60=S$4),0),$B64-1966)</f>
        <v>56.672699999999999</v>
      </c>
      <c r="T64" s="18" cm="1">
        <f t="array" ref="T64">INDEX(GMWQ!$A$2:$NE$60,MATCH(1,(GMWQ!$NE$2:$NE$60=T$3)*(GMWQ!$ND$2:$ND$60=T$4),0),$B64-1966)</f>
        <v>33.972009999999997</v>
      </c>
      <c r="U64" s="18" cm="1">
        <f t="array" ref="U64">INDEX(GMWQ!$A$2:$NE$60,MATCH(1,(GMWQ!$NE$2:$NE$60=U$3)*(GMWQ!$ND$2:$ND$60=U$4),0),$B64-1966)</f>
        <v>35.587940000000003</v>
      </c>
      <c r="V64" s="18" cm="1">
        <f t="array" ref="V64">INDEX(GMWQ!$A$2:$NE$60,MATCH(1,(GMWQ!$NE$2:$NE$60=V$3)*(GMWQ!$ND$2:$ND$60=V$4),0),$B64-1966)</f>
        <v>24887.25</v>
      </c>
      <c r="W64" s="18" cm="1">
        <f t="array" ref="W64">INDEX(GMWQ!$A$2:$NF$60,MATCH(1,(GMWQ!$NE$2:$NE$60=W$3)*(GMWQ!$NF$2:$NF$60=W$1),0),$B64-1966)</f>
        <v>18273.77</v>
      </c>
      <c r="X64" s="18" cm="1">
        <f t="array" ref="X64">INDEX(GMWQ!$A$2:$NF$60,MATCH(1,(GMWQ!$NE$2:$NE$60=X$3)*(GMWQ!$NF$2:$NF$60=X$1),0),$B64-1966)</f>
        <v>19578.54</v>
      </c>
      <c r="Y64" s="18" cm="1">
        <f t="array" ref="Y64">INDEX(GMWQ!$A$2:$NF$60,MATCH(1,(GMWQ!$NE$2:$NE$60=Y$3)*(GMWQ!$NF$2:$NF$60=Y$1),0),$B64-1966)</f>
        <v>20422.080000000002</v>
      </c>
      <c r="Z64" s="18" cm="1">
        <f t="array" ref="Z64">INDEX(GMWQ!$A$2:$NF$60,MATCH(1,(GMWQ!$NE$2:$NE$60=Z$3)*(GMWQ!$NF$2:$NF$60=Z$1),0),$B64-1966)</f>
        <v>19126.080000000002</v>
      </c>
    </row>
    <row r="65" spans="1:26" x14ac:dyDescent="0.25">
      <c r="B65" s="18">
        <f t="shared" si="2"/>
        <v>2031</v>
      </c>
      <c r="C65" s="18" cm="1">
        <f t="array" ref="C65">INDEX(GMWQ!$A$2:$NE$60,MATCH(1,(GMWQ!$NE$2:$NE$60=C$3)*(GMWQ!$ND$2:$ND$60=C$4),0),$B65-1966)</f>
        <v>22463.02</v>
      </c>
      <c r="D65" s="18" cm="1">
        <f t="array" ref="D65">INDEX(GMWQ!$A$2:$NE$60,MATCH(1,(GMWQ!$NE$2:$NE$60=D$3)*(GMWQ!$ND$2:$ND$60=D$4),0),$B65-1966)</f>
        <v>32609</v>
      </c>
      <c r="E65" s="18" cm="1">
        <f t="array" ref="E65">INDEX(GMWQ!$A$2:$NE$60,MATCH(1,(GMWQ!$NE$2:$NE$60=E$3)*(GMWQ!$ND$2:$ND$60=E$4),0),$B65-1966)</f>
        <v>2608</v>
      </c>
      <c r="F65" s="18" cm="1">
        <f t="array" ref="F65">INDEX(GMWQ!$A$2:$NE$60,MATCH(1,(GMWQ!$NE$2:$NE$60=F$3)*(GMWQ!$ND$2:$ND$60=F$4),0),$B65-1966)</f>
        <v>-1603</v>
      </c>
      <c r="G65" s="18" cm="1">
        <f t="array" ref="G65">INDEX(GMWQ!$A$2:$NE$60,MATCH(1,(GMWQ!$NE$2:$NE$60=G$3)*(GMWQ!$ND$2:$ND$60=G$4),0),$B65-1966)</f>
        <v>127119</v>
      </c>
      <c r="H65" s="18" cm="1">
        <f t="array" ref="H65">INDEX(GMWQ!$A$2:$NE$60,MATCH(1,(GMWQ!$NE$2:$NE$60=H$3)*(GMWQ!$ND$2:$ND$60=H$4),0),$B65-1966)</f>
        <v>62518</v>
      </c>
      <c r="I65" s="18" cm="1">
        <f t="array" ref="I65">INDEX(GMWQ!$A$2:$NE$60,MATCH(1,(GMWQ!$NE$2:$NE$60=I$3)*(GMWQ!$ND$2:$ND$60=I$4),0),$B65-1966)</f>
        <v>5481.58</v>
      </c>
      <c r="J65" s="18" cm="1">
        <f t="array" ref="J65">INDEX(GMWQ!$A$2:$NE$60,MATCH(1,(GMWQ!$NE$2:$NE$60=J$3)*(GMWQ!$ND$2:$ND$60=J$4),0),$B65-1966)</f>
        <v>19869.810000000001</v>
      </c>
      <c r="K65" s="18" cm="1">
        <f t="array" ref="K65">INDEX(GMWQ!$A$2:$NE$60,MATCH(1,(GMWQ!$NE$2:$NE$60=K$3)*(GMWQ!$ND$2:$ND$60=K$4),0),$B65-1966)</f>
        <v>1413570</v>
      </c>
      <c r="L65" s="18" cm="1">
        <f t="array" ref="L65">INDEX(GMWQ!$A$2:$NE$60,MATCH(1,(GMWQ!$NE$2:$NE$60=L$3)*(GMWQ!$ND$2:$ND$60=L$4),0),$B65-1966)</f>
        <v>25345</v>
      </c>
      <c r="M65" s="18" cm="1">
        <f t="array" ref="M65">INDEX(GMWQ!$A$2:$NE$60,MATCH(1,(GMWQ!$NE$2:$NE$60=M$3)*(GMWQ!$ND$2:$ND$60=M$4),0),$B65-1966)</f>
        <v>33.529319999999998</v>
      </c>
      <c r="N65" s="18" cm="1">
        <f t="array" ref="N65">INDEX(GMWQ!$A$2:$NE$60,MATCH(1,(GMWQ!$NE$2:$NE$60=N$3)*(GMWQ!$ND$2:$ND$60=N$4),0),$B65-1966)</f>
        <v>8.1797369999999994</v>
      </c>
      <c r="O65" s="18" cm="1">
        <f t="array" ref="O65">INDEX(GMWQ!$A$2:$NE$60,MATCH(1,(GMWQ!$NE$2:$NE$60=O$3)*(GMWQ!$ND$2:$ND$60=O$4),0),$B65-1966)</f>
        <v>1E-3</v>
      </c>
      <c r="P65" s="18" cm="1">
        <f t="array" ref="P65">INDEX(GMWQ!$A$2:$NE$60,MATCH(1,(GMWQ!$NE$2:$NE$60=P$3)*(GMWQ!$ND$2:$ND$60=P$4),0),$B65-1966)</f>
        <v>72246.100000000006</v>
      </c>
      <c r="Q65" s="18" cm="1">
        <f t="array" ref="Q65">INDEX(GMWQ!$A$2:$NE$60,MATCH(1,(GMWQ!$NE$2:$NE$60=Q$3)*(GMWQ!$ND$2:$ND$60=Q$4),0),$B65-1966)</f>
        <v>182.8</v>
      </c>
      <c r="R65" s="18" cm="1">
        <f t="array" ref="R65">INDEX(GMWQ!$A$2:$NE$60,MATCH(1,(GMWQ!$NE$2:$NE$60=R$3)*(GMWQ!$ND$2:$ND$60=R$4),0),$B65-1966)</f>
        <v>14146.75</v>
      </c>
      <c r="S65" s="18" cm="1">
        <f t="array" ref="S65">INDEX(GMWQ!$A$2:$NE$60,MATCH(1,(GMWQ!$NE$2:$NE$60=S$3)*(GMWQ!$ND$2:$ND$60=S$4),0),$B65-1966)</f>
        <v>56.158569999999997</v>
      </c>
      <c r="T65" s="18" cm="1">
        <f t="array" ref="T65">INDEX(GMWQ!$A$2:$NE$60,MATCH(1,(GMWQ!$NE$2:$NE$60=T$3)*(GMWQ!$ND$2:$ND$60=T$4),0),$B65-1966)</f>
        <v>34.747</v>
      </c>
      <c r="U65" s="18" cm="1">
        <f t="array" ref="U65">INDEX(GMWQ!$A$2:$NE$60,MATCH(1,(GMWQ!$NE$2:$NE$60=U$3)*(GMWQ!$ND$2:$ND$60=U$4),0),$B65-1966)</f>
        <v>35.096789999999999</v>
      </c>
      <c r="V65" s="18" cm="1">
        <f t="array" ref="V65">INDEX(GMWQ!$A$2:$NE$60,MATCH(1,(GMWQ!$NE$2:$NE$60=V$3)*(GMWQ!$ND$2:$ND$60=V$4),0),$B65-1966)</f>
        <v>26333.75</v>
      </c>
      <c r="W65" s="18" cm="1">
        <f t="array" ref="W65">INDEX(GMWQ!$A$2:$NF$60,MATCH(1,(GMWQ!$NE$2:$NE$60=W$3)*(GMWQ!$NF$2:$NF$60=W$1),0),$B65-1966)</f>
        <v>19801.310000000001</v>
      </c>
      <c r="X65" s="18" cm="1">
        <f t="array" ref="X65">INDEX(GMWQ!$A$2:$NF$60,MATCH(1,(GMWQ!$NE$2:$NE$60=X$3)*(GMWQ!$NF$2:$NF$60=X$1),0),$B65-1966)</f>
        <v>21215.15</v>
      </c>
      <c r="Y65" s="18" cm="1">
        <f t="array" ref="Y65">INDEX(GMWQ!$A$2:$NF$60,MATCH(1,(GMWQ!$NE$2:$NE$60=Y$3)*(GMWQ!$NF$2:$NF$60=Y$1),0),$B65-1966)</f>
        <v>22129.200000000001</v>
      </c>
      <c r="Z65" s="18" cm="1">
        <f t="array" ref="Z65">INDEX(GMWQ!$A$2:$NF$60,MATCH(1,(GMWQ!$NE$2:$NE$60=Z$3)*(GMWQ!$NF$2:$NF$60=Z$1),0),$B65-1966)</f>
        <v>20724.86</v>
      </c>
    </row>
    <row r="66" spans="1:26" x14ac:dyDescent="0.25">
      <c r="B66" s="18">
        <f t="shared" si="2"/>
        <v>2032</v>
      </c>
      <c r="C66" s="18" cm="1">
        <f t="array" ref="C66">INDEX(GMWQ!$A$2:$NE$60,MATCH(1,(GMWQ!$NE$2:$NE$60=C$3)*(GMWQ!$ND$2:$ND$60=C$4),0),$B66-1966)</f>
        <v>23907.89</v>
      </c>
      <c r="D66" s="18" cm="1">
        <f t="array" ref="D66">INDEX(GMWQ!$A$2:$NE$60,MATCH(1,(GMWQ!$NE$2:$NE$60=D$3)*(GMWQ!$ND$2:$ND$60=D$4),0),$B66-1966)</f>
        <v>32677</v>
      </c>
      <c r="E66" s="18" cm="1">
        <f t="array" ref="E66">INDEX(GMWQ!$A$2:$NE$60,MATCH(1,(GMWQ!$NE$2:$NE$60=E$3)*(GMWQ!$ND$2:$ND$60=E$4),0),$B66-1966)</f>
        <v>832</v>
      </c>
      <c r="F66" s="18" cm="1">
        <f t="array" ref="F66">INDEX(GMWQ!$A$2:$NE$60,MATCH(1,(GMWQ!$NE$2:$NE$60=F$3)*(GMWQ!$ND$2:$ND$60=F$4),0),$B66-1966)</f>
        <v>-1427</v>
      </c>
      <c r="G66" s="18" cm="1">
        <f t="array" ref="G66">INDEX(GMWQ!$A$2:$NE$60,MATCH(1,(GMWQ!$NE$2:$NE$60=G$3)*(GMWQ!$ND$2:$ND$60=G$4),0),$B66-1966)</f>
        <v>129815</v>
      </c>
      <c r="H66" s="18" cm="1">
        <f t="array" ref="H66">INDEX(GMWQ!$A$2:$NE$60,MATCH(1,(GMWQ!$NE$2:$NE$60=H$3)*(GMWQ!$ND$2:$ND$60=H$4),0),$B66-1966)</f>
        <v>64025</v>
      </c>
      <c r="I66" s="18" cm="1">
        <f t="array" ref="I66">INDEX(GMWQ!$A$2:$NE$60,MATCH(1,(GMWQ!$NE$2:$NE$60=I$3)*(GMWQ!$ND$2:$ND$60=I$4),0),$B66-1966)</f>
        <v>5727.92</v>
      </c>
      <c r="J66" s="18" cm="1">
        <f t="array" ref="J66">INDEX(GMWQ!$A$2:$NE$60,MATCH(1,(GMWQ!$NE$2:$NE$60=J$3)*(GMWQ!$ND$2:$ND$60=J$4),0),$B66-1966)</f>
        <v>18653.12</v>
      </c>
      <c r="K66" s="18" cm="1">
        <f t="array" ref="K66">INDEX(GMWQ!$A$2:$NE$60,MATCH(1,(GMWQ!$NE$2:$NE$60=K$3)*(GMWQ!$ND$2:$ND$60=K$4),0),$B66-1966)</f>
        <v>1421385</v>
      </c>
      <c r="L66" s="18" cm="1">
        <f t="array" ref="L66">INDEX(GMWQ!$A$2:$NE$60,MATCH(1,(GMWQ!$NE$2:$NE$60=L$3)*(GMWQ!$ND$2:$ND$60=L$4),0),$B66-1966)</f>
        <v>25575</v>
      </c>
      <c r="M66" s="18" cm="1">
        <f t="array" ref="M66">INDEX(GMWQ!$A$2:$NE$60,MATCH(1,(GMWQ!$NE$2:$NE$60=M$3)*(GMWQ!$ND$2:$ND$60=M$4),0),$B66-1966)</f>
        <v>33.56044</v>
      </c>
      <c r="N66" s="18" cm="1">
        <f t="array" ref="N66">INDEX(GMWQ!$A$2:$NE$60,MATCH(1,(GMWQ!$NE$2:$NE$60=N$3)*(GMWQ!$ND$2:$ND$60=N$4),0),$B66-1966)</f>
        <v>12.610060000000001</v>
      </c>
      <c r="O66" s="18" cm="1">
        <f t="array" ref="O66">INDEX(GMWQ!$A$2:$NE$60,MATCH(1,(GMWQ!$NE$2:$NE$60=O$3)*(GMWQ!$ND$2:$ND$60=O$4),0),$B66-1966)</f>
        <v>1E-3</v>
      </c>
      <c r="P66" s="18" cm="1">
        <f t="array" ref="P66">INDEX(GMWQ!$A$2:$NE$60,MATCH(1,(GMWQ!$NE$2:$NE$60=P$3)*(GMWQ!$ND$2:$ND$60=P$4),0),$B66-1966)</f>
        <v>76252.86</v>
      </c>
      <c r="Q66" s="18" cm="1">
        <f t="array" ref="Q66">INDEX(GMWQ!$A$2:$NE$60,MATCH(1,(GMWQ!$NE$2:$NE$60=Q$3)*(GMWQ!$ND$2:$ND$60=Q$4),0),$B66-1966)</f>
        <v>182.57499999999999</v>
      </c>
      <c r="R66" s="18" cm="1">
        <f t="array" ref="R66">INDEX(GMWQ!$A$2:$NE$60,MATCH(1,(GMWQ!$NE$2:$NE$60=R$3)*(GMWQ!$ND$2:$ND$60=R$4),0),$B66-1966)</f>
        <v>14423.92</v>
      </c>
      <c r="S66" s="18" cm="1">
        <f t="array" ref="S66">INDEX(GMWQ!$A$2:$NE$60,MATCH(1,(GMWQ!$NE$2:$NE$60=S$3)*(GMWQ!$ND$2:$ND$60=S$4),0),$B66-1966)</f>
        <v>56.522959999999998</v>
      </c>
      <c r="T66" s="18" cm="1">
        <f t="array" ref="T66">INDEX(GMWQ!$A$2:$NE$60,MATCH(1,(GMWQ!$NE$2:$NE$60=T$3)*(GMWQ!$ND$2:$ND$60=T$4),0),$B66-1966)</f>
        <v>35.770000000000003</v>
      </c>
      <c r="U66" s="18" cm="1">
        <f t="array" ref="U66">INDEX(GMWQ!$A$2:$NE$60,MATCH(1,(GMWQ!$NE$2:$NE$60=U$3)*(GMWQ!$ND$2:$ND$60=U$4),0),$B66-1966)</f>
        <v>36.016680000000001</v>
      </c>
      <c r="V66" s="18" cm="1">
        <f t="array" ref="V66">INDEX(GMWQ!$A$2:$NE$60,MATCH(1,(GMWQ!$NE$2:$NE$60=V$3)*(GMWQ!$ND$2:$ND$60=V$4),0),$B66-1966)</f>
        <v>27182</v>
      </c>
      <c r="W66" s="18" cm="1">
        <f t="array" ref="W66">INDEX(GMWQ!$A$2:$NF$60,MATCH(1,(GMWQ!$NE$2:$NE$60=W$3)*(GMWQ!$NF$2:$NF$60=W$1),0),$B66-1966)</f>
        <v>21074.97</v>
      </c>
      <c r="X66" s="18" cm="1">
        <f t="array" ref="X66">INDEX(GMWQ!$A$2:$NF$60,MATCH(1,(GMWQ!$NE$2:$NE$60=X$3)*(GMWQ!$NF$2:$NF$60=X$1),0),$B66-1966)</f>
        <v>22579.75</v>
      </c>
      <c r="Y66" s="18" cm="1">
        <f t="array" ref="Y66">INDEX(GMWQ!$A$2:$NF$60,MATCH(1,(GMWQ!$NE$2:$NE$60=Y$3)*(GMWQ!$NF$2:$NF$60=Y$1),0),$B66-1966)</f>
        <v>23552.59</v>
      </c>
      <c r="Z66" s="18" cm="1">
        <f t="array" ref="Z66">INDEX(GMWQ!$A$2:$NF$60,MATCH(1,(GMWQ!$NE$2:$NE$60=Z$3)*(GMWQ!$NF$2:$NF$60=Z$1),0),$B66-1966)</f>
        <v>22057.93</v>
      </c>
    </row>
    <row r="67" spans="1:26" x14ac:dyDescent="0.25">
      <c r="A67" s="18">
        <v>1988</v>
      </c>
      <c r="B67" s="18">
        <f t="shared" si="2"/>
        <v>2033</v>
      </c>
      <c r="C67" s="18" cm="1">
        <f t="array" ref="C67">INDEX(GMWQ!$A$2:$NE$60,MATCH(1,(GMWQ!$NE$2:$NE$60=C$3)*(GMWQ!$ND$2:$ND$60=C$4),0),$B67-1966)</f>
        <v>24942.46</v>
      </c>
      <c r="D67" s="18" cm="1">
        <f t="array" ref="D67">INDEX(GMWQ!$A$2:$NE$60,MATCH(1,(GMWQ!$NE$2:$NE$60=D$3)*(GMWQ!$ND$2:$ND$60=D$4),0),$B67-1966)</f>
        <v>33698</v>
      </c>
      <c r="E67" s="18" cm="1">
        <f t="array" ref="E67">INDEX(GMWQ!$A$2:$NE$60,MATCH(1,(GMWQ!$NE$2:$NE$60=E$3)*(GMWQ!$ND$2:$ND$60=E$4),0),$B67-1966)</f>
        <v>1280</v>
      </c>
      <c r="F67" s="18" cm="1">
        <f t="array" ref="F67">INDEX(GMWQ!$A$2:$NE$60,MATCH(1,(GMWQ!$NE$2:$NE$60=F$3)*(GMWQ!$ND$2:$ND$60=F$4),0),$B67-1966)</f>
        <v>-3111</v>
      </c>
      <c r="G67" s="18" cm="1">
        <f t="array" ref="G67">INDEX(GMWQ!$A$2:$NE$60,MATCH(1,(GMWQ!$NE$2:$NE$60=G$3)*(GMWQ!$ND$2:$ND$60=G$4),0),$B67-1966)</f>
        <v>133283</v>
      </c>
      <c r="H67" s="18" cm="1">
        <f t="array" ref="H67">INDEX(GMWQ!$A$2:$NE$60,MATCH(1,(GMWQ!$NE$2:$NE$60=H$3)*(GMWQ!$ND$2:$ND$60=H$4),0),$B67-1966)</f>
        <v>67204</v>
      </c>
      <c r="I67" s="18" cm="1">
        <f t="array" ref="I67">INDEX(GMWQ!$A$2:$NE$60,MATCH(1,(GMWQ!$NE$2:$NE$60=I$3)*(GMWQ!$ND$2:$ND$60=I$4),0),$B67-1966)</f>
        <v>5156.5770000000002</v>
      </c>
      <c r="J67" s="18" cm="1">
        <f t="array" ref="J67">INDEX(GMWQ!$A$2:$NE$60,MATCH(1,(GMWQ!$NE$2:$NE$60=J$3)*(GMWQ!$ND$2:$ND$60=J$4),0),$B67-1966)</f>
        <v>21239.3</v>
      </c>
      <c r="K67" s="18" cm="1">
        <f t="array" ref="K67">INDEX(GMWQ!$A$2:$NE$60,MATCH(1,(GMWQ!$NE$2:$NE$60=K$3)*(GMWQ!$ND$2:$ND$60=K$4),0),$B67-1966)</f>
        <v>1432616</v>
      </c>
      <c r="L67" s="18" cm="1">
        <f t="array" ref="L67">INDEX(GMWQ!$A$2:$NE$60,MATCH(1,(GMWQ!$NE$2:$NE$60=L$3)*(GMWQ!$ND$2:$ND$60=L$4),0),$B67-1966)</f>
        <v>25795</v>
      </c>
      <c r="M67" s="18" cm="1">
        <f t="array" ref="M67">INDEX(GMWQ!$A$2:$NE$60,MATCH(1,(GMWQ!$NE$2:$NE$60=M$3)*(GMWQ!$ND$2:$ND$60=M$4),0),$B67-1966)</f>
        <v>33.640830000000001</v>
      </c>
      <c r="N67" s="18" cm="1">
        <f t="array" ref="N67">INDEX(GMWQ!$A$2:$NE$60,MATCH(1,(GMWQ!$NE$2:$NE$60=N$3)*(GMWQ!$ND$2:$ND$60=N$4),0),$B67-1966)</f>
        <v>8.43079</v>
      </c>
      <c r="O67" s="18" cm="1">
        <f t="array" ref="O67">INDEX(GMWQ!$A$2:$NE$60,MATCH(1,(GMWQ!$NE$2:$NE$60=O$3)*(GMWQ!$ND$2:$ND$60=O$4),0),$B67-1966)</f>
        <v>1E-3</v>
      </c>
      <c r="P67" s="18" cm="1">
        <f t="array" ref="P67">INDEX(GMWQ!$A$2:$NE$60,MATCH(1,(GMWQ!$NE$2:$NE$60=P$3)*(GMWQ!$ND$2:$ND$60=P$4),0),$B67-1966)</f>
        <v>82223.34</v>
      </c>
      <c r="Q67" s="18" cm="1">
        <f t="array" ref="Q67">INDEX(GMWQ!$A$2:$NE$60,MATCH(1,(GMWQ!$NE$2:$NE$60=Q$3)*(GMWQ!$ND$2:$ND$60=Q$4),0),$B67-1966)</f>
        <v>184.05</v>
      </c>
      <c r="R67" s="18" cm="1">
        <f t="array" ref="R67">INDEX(GMWQ!$A$2:$NE$60,MATCH(1,(GMWQ!$NE$2:$NE$60=R$3)*(GMWQ!$ND$2:$ND$60=R$4),0),$B67-1966)</f>
        <v>15110.53</v>
      </c>
      <c r="S67" s="18" cm="1">
        <f t="array" ref="S67">INDEX(GMWQ!$A$2:$NE$60,MATCH(1,(GMWQ!$NE$2:$NE$60=S$3)*(GMWQ!$ND$2:$ND$60=S$4),0),$B67-1966)</f>
        <v>56.293300000000002</v>
      </c>
      <c r="T67" s="18" cm="1">
        <f t="array" ref="T67">INDEX(GMWQ!$A$2:$NE$60,MATCH(1,(GMWQ!$NE$2:$NE$60=T$3)*(GMWQ!$ND$2:$ND$60=T$4),0),$B67-1966)</f>
        <v>36.619999999999997</v>
      </c>
      <c r="U67" s="18" cm="1">
        <f t="array" ref="U67">INDEX(GMWQ!$A$2:$NE$60,MATCH(1,(GMWQ!$NE$2:$NE$60=U$3)*(GMWQ!$ND$2:$ND$60=U$4),0),$B67-1966)</f>
        <v>38.37283</v>
      </c>
      <c r="V67" s="18" cm="1">
        <f t="array" ref="V67">INDEX(GMWQ!$A$2:$NE$60,MATCH(1,(GMWQ!$NE$2:$NE$60=V$3)*(GMWQ!$ND$2:$ND$60=V$4),0),$B67-1966)</f>
        <v>27625.25</v>
      </c>
      <c r="W67" s="18" cm="1">
        <f t="array" ref="W67">INDEX(GMWQ!$A$2:$NF$60,MATCH(1,(GMWQ!$NE$2:$NE$60=W$3)*(GMWQ!$NF$2:$NF$60=W$1),0),$B67-1966)</f>
        <v>21986.959999999999</v>
      </c>
      <c r="X67" s="18" cm="1">
        <f t="array" ref="X67">INDEX(GMWQ!$A$2:$NF$60,MATCH(1,(GMWQ!$NE$2:$NE$60=X$3)*(GMWQ!$NF$2:$NF$60=X$1),0),$B67-1966)</f>
        <v>23556.85</v>
      </c>
      <c r="Y67" s="18" cm="1">
        <f t="array" ref="Y67">INDEX(GMWQ!$A$2:$NF$60,MATCH(1,(GMWQ!$NE$2:$NE$60=Y$3)*(GMWQ!$NF$2:$NF$60=Y$1),0),$B67-1966)</f>
        <v>24571.79</v>
      </c>
      <c r="Z67" s="18" cm="1">
        <f t="array" ref="Z67">INDEX(GMWQ!$A$2:$NF$60,MATCH(1,(GMWQ!$NE$2:$NE$60=Z$3)*(GMWQ!$NF$2:$NF$60=Z$1),0),$B67-1966)</f>
        <v>23012.45</v>
      </c>
    </row>
    <row r="68" spans="1:26" x14ac:dyDescent="0.25">
      <c r="B68" s="18">
        <f t="shared" si="2"/>
        <v>2034</v>
      </c>
      <c r="C68" s="18" cm="1">
        <f t="array" ref="C68">INDEX(GMWQ!$A$2:$NE$60,MATCH(1,(GMWQ!$NE$2:$NE$60=C$3)*(GMWQ!$ND$2:$ND$60=C$4),0),$B68-1966)</f>
        <v>26202.3</v>
      </c>
      <c r="D68" s="18" cm="1">
        <f t="array" ref="D68">INDEX(GMWQ!$A$2:$NE$60,MATCH(1,(GMWQ!$NE$2:$NE$60=D$3)*(GMWQ!$ND$2:$ND$60=D$4),0),$B68-1966)</f>
        <v>34292</v>
      </c>
      <c r="E68" s="18" cm="1">
        <f t="array" ref="E68">INDEX(GMWQ!$A$2:$NE$60,MATCH(1,(GMWQ!$NE$2:$NE$60=E$3)*(GMWQ!$ND$2:$ND$60=E$4),0),$B68-1966)</f>
        <v>246</v>
      </c>
      <c r="F68" s="18" cm="1">
        <f t="array" ref="F68">INDEX(GMWQ!$A$2:$NE$60,MATCH(1,(GMWQ!$NE$2:$NE$60=F$3)*(GMWQ!$ND$2:$ND$60=F$4),0),$B68-1966)</f>
        <v>-4620</v>
      </c>
      <c r="G68" s="18" cm="1">
        <f t="array" ref="G68">INDEX(GMWQ!$A$2:$NE$60,MATCH(1,(GMWQ!$NE$2:$NE$60=G$3)*(GMWQ!$ND$2:$ND$60=G$4),0),$B68-1966)</f>
        <v>136630</v>
      </c>
      <c r="H68" s="18" cm="1">
        <f t="array" ref="H68">INDEX(GMWQ!$A$2:$NE$60,MATCH(1,(GMWQ!$NE$2:$NE$60=H$3)*(GMWQ!$ND$2:$ND$60=H$4),0),$B68-1966)</f>
        <v>68999</v>
      </c>
      <c r="I68" s="18" cm="1">
        <f t="array" ref="I68">INDEX(GMWQ!$A$2:$NE$60,MATCH(1,(GMWQ!$NE$2:$NE$60=I$3)*(GMWQ!$ND$2:$ND$60=I$4),0),$B68-1966)</f>
        <v>5303.5529999999999</v>
      </c>
      <c r="J68" s="18" cm="1">
        <f t="array" ref="J68">INDEX(GMWQ!$A$2:$NE$60,MATCH(1,(GMWQ!$NE$2:$NE$60=J$3)*(GMWQ!$ND$2:$ND$60=J$4),0),$B68-1966)</f>
        <v>22900.68</v>
      </c>
      <c r="K68" s="18" cm="1">
        <f t="array" ref="K68">INDEX(GMWQ!$A$2:$NE$60,MATCH(1,(GMWQ!$NE$2:$NE$60=K$3)*(GMWQ!$ND$2:$ND$60=K$4),0),$B68-1966)</f>
        <v>1443847</v>
      </c>
      <c r="L68" s="18" cm="1">
        <f t="array" ref="L68">INDEX(GMWQ!$A$2:$NE$60,MATCH(1,(GMWQ!$NE$2:$NE$60=L$3)*(GMWQ!$ND$2:$ND$60=L$4),0),$B68-1966)</f>
        <v>25970</v>
      </c>
      <c r="M68" s="18" cm="1">
        <f t="array" ref="M68">INDEX(GMWQ!$A$2:$NE$60,MATCH(1,(GMWQ!$NE$2:$NE$60=M$3)*(GMWQ!$ND$2:$ND$60=M$4),0),$B68-1966)</f>
        <v>33.677129999999998</v>
      </c>
      <c r="N68" s="18" cm="1">
        <f t="array" ref="N68">INDEX(GMWQ!$A$2:$NE$60,MATCH(1,(GMWQ!$NE$2:$NE$60=N$3)*(GMWQ!$ND$2:$ND$60=N$4),0),$B68-1966)</f>
        <v>9.6200189999999992</v>
      </c>
      <c r="O68" s="18" cm="1">
        <f t="array" ref="O68">INDEX(GMWQ!$A$2:$NE$60,MATCH(1,(GMWQ!$NE$2:$NE$60=O$3)*(GMWQ!$ND$2:$ND$60=O$4),0),$B68-1966)</f>
        <v>1E-3</v>
      </c>
      <c r="P68" s="18" cm="1">
        <f t="array" ref="P68">INDEX(GMWQ!$A$2:$NE$60,MATCH(1,(GMWQ!$NE$2:$NE$60=P$3)*(GMWQ!$ND$2:$ND$60=P$4),0),$B68-1966)</f>
        <v>88773.09</v>
      </c>
      <c r="Q68" s="18" cm="1">
        <f t="array" ref="Q68">INDEX(GMWQ!$A$2:$NE$60,MATCH(1,(GMWQ!$NE$2:$NE$60=Q$3)*(GMWQ!$ND$2:$ND$60=Q$4),0),$B68-1966)</f>
        <v>188.15</v>
      </c>
      <c r="R68" s="18" cm="1">
        <f t="array" ref="R68">INDEX(GMWQ!$A$2:$NE$60,MATCH(1,(GMWQ!$NE$2:$NE$60=R$3)*(GMWQ!$ND$2:$ND$60=R$4),0),$B68-1966)</f>
        <v>15844.42</v>
      </c>
      <c r="S68" s="18" cm="1">
        <f t="array" ref="S68">INDEX(GMWQ!$A$2:$NE$60,MATCH(1,(GMWQ!$NE$2:$NE$60=S$3)*(GMWQ!$ND$2:$ND$60=S$4),0),$B68-1966)</f>
        <v>58.879980000000003</v>
      </c>
      <c r="T68" s="18" cm="1">
        <f t="array" ref="T68">INDEX(GMWQ!$A$2:$NE$60,MATCH(1,(GMWQ!$NE$2:$NE$60=T$3)*(GMWQ!$ND$2:$ND$60=T$4),0),$B68-1966)</f>
        <v>37.387</v>
      </c>
      <c r="U68" s="18" cm="1">
        <f t="array" ref="U68">INDEX(GMWQ!$A$2:$NE$60,MATCH(1,(GMWQ!$NE$2:$NE$60=U$3)*(GMWQ!$ND$2:$ND$60=U$4),0),$B68-1966)</f>
        <v>39.023809999999997</v>
      </c>
      <c r="V68" s="18" cm="1">
        <f t="array" ref="V68">INDEX(GMWQ!$A$2:$NE$60,MATCH(1,(GMWQ!$NE$2:$NE$60=V$3)*(GMWQ!$ND$2:$ND$60=V$4),0),$B68-1966)</f>
        <v>28121</v>
      </c>
      <c r="W68" s="18" cm="1">
        <f t="array" ref="W68">INDEX(GMWQ!$A$2:$NF$60,MATCH(1,(GMWQ!$NE$2:$NE$60=W$3)*(GMWQ!$NF$2:$NF$60=W$1),0),$B68-1966)</f>
        <v>23097.51</v>
      </c>
      <c r="X68" s="18" cm="1">
        <f t="array" ref="X68">INDEX(GMWQ!$A$2:$NF$60,MATCH(1,(GMWQ!$NE$2:$NE$60=X$3)*(GMWQ!$NF$2:$NF$60=X$1),0),$B68-1966)</f>
        <v>24746.7</v>
      </c>
      <c r="Y68" s="18" cm="1">
        <f t="array" ref="Y68">INDEX(GMWQ!$A$2:$NF$60,MATCH(1,(GMWQ!$NE$2:$NE$60=Y$3)*(GMWQ!$NF$2:$NF$60=Y$1),0),$B68-1966)</f>
        <v>25812.91</v>
      </c>
      <c r="Z68" s="18" cm="1">
        <f t="array" ref="Z68">INDEX(GMWQ!$A$2:$NF$60,MATCH(1,(GMWQ!$NE$2:$NE$60=Z$3)*(GMWQ!$NF$2:$NF$60=Z$1),0),$B68-1966)</f>
        <v>24174.799999999999</v>
      </c>
    </row>
    <row r="69" spans="1:26" x14ac:dyDescent="0.25">
      <c r="B69" s="18">
        <f t="shared" si="2"/>
        <v>2035</v>
      </c>
      <c r="C69" s="18" cm="1">
        <f t="array" ref="C69">INDEX(GMWQ!$A$2:$NE$60,MATCH(1,(GMWQ!$NE$2:$NE$60=C$3)*(GMWQ!$ND$2:$ND$60=C$4),0),$B69-1966)</f>
        <v>27618.21</v>
      </c>
      <c r="D69" s="18" cm="1">
        <f t="array" ref="D69">INDEX(GMWQ!$A$2:$NE$60,MATCH(1,(GMWQ!$NE$2:$NE$60=D$3)*(GMWQ!$ND$2:$ND$60=D$4),0),$B69-1966)</f>
        <v>35863</v>
      </c>
      <c r="E69" s="18" cm="1">
        <f t="array" ref="E69">INDEX(GMWQ!$A$2:$NE$60,MATCH(1,(GMWQ!$NE$2:$NE$60=E$3)*(GMWQ!$ND$2:$ND$60=E$4),0),$B69-1966)</f>
        <v>915</v>
      </c>
      <c r="F69" s="18" cm="1">
        <f t="array" ref="F69">INDEX(GMWQ!$A$2:$NE$60,MATCH(1,(GMWQ!$NE$2:$NE$60=F$3)*(GMWQ!$ND$2:$ND$60=F$4),0),$B69-1966)</f>
        <v>-4219</v>
      </c>
      <c r="G69" s="18" cm="1">
        <f t="array" ref="G69">INDEX(GMWQ!$A$2:$NE$60,MATCH(1,(GMWQ!$NE$2:$NE$60=G$3)*(GMWQ!$ND$2:$ND$60=G$4),0),$B69-1966)</f>
        <v>140801</v>
      </c>
      <c r="H69" s="18" cm="1">
        <f t="array" ref="H69">INDEX(GMWQ!$A$2:$NE$60,MATCH(1,(GMWQ!$NE$2:$NE$60=H$3)*(GMWQ!$ND$2:$ND$60=H$4),0),$B69-1966)</f>
        <v>69601</v>
      </c>
      <c r="I69" s="18" cm="1">
        <f t="array" ref="I69">INDEX(GMWQ!$A$2:$NE$60,MATCH(1,(GMWQ!$NE$2:$NE$60=I$3)*(GMWQ!$ND$2:$ND$60=I$4),0),$B69-1966)</f>
        <v>4471.3789999999999</v>
      </c>
      <c r="J69" s="18" cm="1">
        <f t="array" ref="J69">INDEX(GMWQ!$A$2:$NE$60,MATCH(1,(GMWQ!$NE$2:$NE$60=J$3)*(GMWQ!$ND$2:$ND$60=J$4),0),$B69-1966)</f>
        <v>21060.34</v>
      </c>
      <c r="K69" s="18" cm="1">
        <f t="array" ref="K69">INDEX(GMWQ!$A$2:$NE$60,MATCH(1,(GMWQ!$NE$2:$NE$60=K$3)*(GMWQ!$ND$2:$ND$60=K$4),0),$B69-1966)</f>
        <v>1455078</v>
      </c>
      <c r="L69" s="18" cm="1">
        <f t="array" ref="L69">INDEX(GMWQ!$A$2:$NE$60,MATCH(1,(GMWQ!$NE$2:$NE$60=L$3)*(GMWQ!$ND$2:$ND$60=L$4),0),$B69-1966)</f>
        <v>26160</v>
      </c>
      <c r="M69" s="18" cm="1">
        <f t="array" ref="M69">INDEX(GMWQ!$A$2:$NE$60,MATCH(1,(GMWQ!$NE$2:$NE$60=M$3)*(GMWQ!$ND$2:$ND$60=M$4),0),$B69-1966)</f>
        <v>33.708260000000003</v>
      </c>
      <c r="N69" s="18" cm="1">
        <f t="array" ref="N69">INDEX(GMWQ!$A$2:$NE$60,MATCH(1,(GMWQ!$NE$2:$NE$60=N$3)*(GMWQ!$ND$2:$ND$60=N$4),0),$B69-1966)</f>
        <v>11.284269999999999</v>
      </c>
      <c r="O69" s="18" cm="1">
        <f t="array" ref="O69">INDEX(GMWQ!$A$2:$NE$60,MATCH(1,(GMWQ!$NE$2:$NE$60=O$3)*(GMWQ!$ND$2:$ND$60=O$4),0),$B69-1966)</f>
        <v>1E-3</v>
      </c>
      <c r="P69" s="18" cm="1">
        <f t="array" ref="P69">INDEX(GMWQ!$A$2:$NE$60,MATCH(1,(GMWQ!$NE$2:$NE$60=P$3)*(GMWQ!$ND$2:$ND$60=P$4),0),$B69-1966)</f>
        <v>94146.23</v>
      </c>
      <c r="Q69" s="18" cm="1">
        <f t="array" ref="Q69">INDEX(GMWQ!$A$2:$NE$60,MATCH(1,(GMWQ!$NE$2:$NE$60=Q$3)*(GMWQ!$ND$2:$ND$60=Q$4),0),$B69-1966)</f>
        <v>189.32499999999999</v>
      </c>
      <c r="R69" s="18" cm="1">
        <f t="array" ref="R69">INDEX(GMWQ!$A$2:$NE$60,MATCH(1,(GMWQ!$NE$2:$NE$60=R$3)*(GMWQ!$ND$2:$ND$60=R$4),0),$B69-1966)</f>
        <v>16842.150000000001</v>
      </c>
      <c r="S69" s="18" cm="1">
        <f t="array" ref="S69">INDEX(GMWQ!$A$2:$NE$60,MATCH(1,(GMWQ!$NE$2:$NE$60=S$3)*(GMWQ!$ND$2:$ND$60=S$4),0),$B69-1966)</f>
        <v>60.736840000000001</v>
      </c>
      <c r="T69" s="18" cm="1">
        <f t="array" ref="T69">INDEX(GMWQ!$A$2:$NE$60,MATCH(1,(GMWQ!$NE$2:$NE$60=T$3)*(GMWQ!$ND$2:$ND$60=T$4),0),$B69-1966)</f>
        <v>38.259</v>
      </c>
      <c r="U69" s="18" cm="1">
        <f t="array" ref="U69">INDEX(GMWQ!$A$2:$NE$60,MATCH(1,(GMWQ!$NE$2:$NE$60=U$3)*(GMWQ!$ND$2:$ND$60=U$4),0),$B69-1966)</f>
        <v>39.62236</v>
      </c>
      <c r="V69" s="18" cm="1">
        <f t="array" ref="V69">INDEX(GMWQ!$A$2:$NE$60,MATCH(1,(GMWQ!$NE$2:$NE$60=V$3)*(GMWQ!$ND$2:$ND$60=V$4),0),$B69-1966)</f>
        <v>29607.25</v>
      </c>
      <c r="W69" s="18" cm="1">
        <f t="array" ref="W69">INDEX(GMWQ!$A$2:$NF$60,MATCH(1,(GMWQ!$NE$2:$NE$60=W$3)*(GMWQ!$NF$2:$NF$60=W$1),0),$B69-1966)</f>
        <v>24345.64</v>
      </c>
      <c r="X69" s="18" cm="1">
        <f t="array" ref="X69">INDEX(GMWQ!$A$2:$NF$60,MATCH(1,(GMWQ!$NE$2:$NE$60=X$3)*(GMWQ!$NF$2:$NF$60=X$1),0),$B69-1966)</f>
        <v>26083.95</v>
      </c>
      <c r="Y69" s="18" cm="1">
        <f t="array" ref="Y69">INDEX(GMWQ!$A$2:$NF$60,MATCH(1,(GMWQ!$NE$2:$NE$60=Y$3)*(GMWQ!$NF$2:$NF$60=Y$1),0),$B69-1966)</f>
        <v>27207.77</v>
      </c>
      <c r="Z69" s="18" cm="1">
        <f t="array" ref="Z69">INDEX(GMWQ!$A$2:$NF$60,MATCH(1,(GMWQ!$NE$2:$NE$60=Z$3)*(GMWQ!$NF$2:$NF$60=Z$1),0),$B69-1966)</f>
        <v>25481.15</v>
      </c>
    </row>
    <row r="70" spans="1:26" x14ac:dyDescent="0.25">
      <c r="B70" s="18">
        <f t="shared" si="2"/>
        <v>2036</v>
      </c>
      <c r="C70" s="18" cm="1">
        <f t="array" ref="C70">INDEX(GMWQ!$A$2:$NE$60,MATCH(1,(GMWQ!$NE$2:$NE$60=C$3)*(GMWQ!$ND$2:$ND$60=C$4),0),$B70-1966)</f>
        <v>28400.17</v>
      </c>
      <c r="D70" s="18" cm="1">
        <f t="array" ref="D70">INDEX(GMWQ!$A$2:$NE$60,MATCH(1,(GMWQ!$NE$2:$NE$60=D$3)*(GMWQ!$ND$2:$ND$60=D$4),0),$B70-1966)</f>
        <v>37039</v>
      </c>
      <c r="E70" s="18" cm="1">
        <f t="array" ref="E70">INDEX(GMWQ!$A$2:$NE$60,MATCH(1,(GMWQ!$NE$2:$NE$60=E$3)*(GMWQ!$ND$2:$ND$60=E$4),0),$B70-1966)</f>
        <v>-1267</v>
      </c>
      <c r="F70" s="18" cm="1">
        <f t="array" ref="F70">INDEX(GMWQ!$A$2:$NE$60,MATCH(1,(GMWQ!$NE$2:$NE$60=F$3)*(GMWQ!$ND$2:$ND$60=F$4),0),$B70-1966)</f>
        <v>-5248</v>
      </c>
      <c r="G70" s="18" cm="1">
        <f t="array" ref="G70">INDEX(GMWQ!$A$2:$NE$60,MATCH(1,(GMWQ!$NE$2:$NE$60=G$3)*(GMWQ!$ND$2:$ND$60=G$4),0),$B70-1966)</f>
        <v>144969</v>
      </c>
      <c r="H70" s="18" cm="1">
        <f t="array" ref="H70">INDEX(GMWQ!$A$2:$NE$60,MATCH(1,(GMWQ!$NE$2:$NE$60=H$3)*(GMWQ!$ND$2:$ND$60=H$4),0),$B70-1966)</f>
        <v>69526</v>
      </c>
      <c r="I70" s="18" cm="1">
        <f t="array" ref="I70">INDEX(GMWQ!$A$2:$NE$60,MATCH(1,(GMWQ!$NE$2:$NE$60=I$3)*(GMWQ!$ND$2:$ND$60=I$4),0),$B70-1966)</f>
        <v>4187.7780000000002</v>
      </c>
      <c r="J70" s="18" cm="1">
        <f t="array" ref="J70">INDEX(GMWQ!$A$2:$NE$60,MATCH(1,(GMWQ!$NE$2:$NE$60=J$3)*(GMWQ!$ND$2:$ND$60=J$4),0),$B70-1966)</f>
        <v>21274.09</v>
      </c>
      <c r="K70" s="18" cm="1">
        <f t="array" ref="K70">INDEX(GMWQ!$A$2:$NE$60,MATCH(1,(GMWQ!$NE$2:$NE$60=K$3)*(GMWQ!$ND$2:$ND$60=K$4),0),$B70-1966)</f>
        <v>1466309</v>
      </c>
      <c r="L70" s="18" cm="1">
        <f t="array" ref="L70">INDEX(GMWQ!$A$2:$NE$60,MATCH(1,(GMWQ!$NE$2:$NE$60=L$3)*(GMWQ!$ND$2:$ND$60=L$4),0),$B70-1966)</f>
        <v>26355</v>
      </c>
      <c r="M70" s="18" cm="1">
        <f t="array" ref="M70">INDEX(GMWQ!$A$2:$NE$60,MATCH(1,(GMWQ!$NE$2:$NE$60=M$3)*(GMWQ!$ND$2:$ND$60=M$4),0),$B70-1966)</f>
        <v>33.734189999999998</v>
      </c>
      <c r="N70" s="18" cm="1">
        <f t="array" ref="N70">INDEX(GMWQ!$A$2:$NE$60,MATCH(1,(GMWQ!$NE$2:$NE$60=N$3)*(GMWQ!$ND$2:$ND$60=N$4),0),$B70-1966)</f>
        <v>12.579459999999999</v>
      </c>
      <c r="O70" s="18" cm="1">
        <f t="array" ref="O70">INDEX(GMWQ!$A$2:$NE$60,MATCH(1,(GMWQ!$NE$2:$NE$60=O$3)*(GMWQ!$ND$2:$ND$60=O$4),0),$B70-1966)</f>
        <v>1E-3</v>
      </c>
      <c r="P70" s="18" cm="1">
        <f t="array" ref="P70">INDEX(GMWQ!$A$2:$NE$60,MATCH(1,(GMWQ!$NE$2:$NE$60=P$3)*(GMWQ!$ND$2:$ND$60=P$4),0),$B70-1966)</f>
        <v>100151.8</v>
      </c>
      <c r="Q70" s="18" cm="1">
        <f t="array" ref="Q70">INDEX(GMWQ!$A$2:$NE$60,MATCH(1,(GMWQ!$NE$2:$NE$60=Q$3)*(GMWQ!$ND$2:$ND$60=Q$4),0),$B70-1966)</f>
        <v>191.97499999999999</v>
      </c>
      <c r="R70" s="18" cm="1">
        <f t="array" ref="R70">INDEX(GMWQ!$A$2:$NE$60,MATCH(1,(GMWQ!$NE$2:$NE$60=R$3)*(GMWQ!$ND$2:$ND$60=R$4),0),$B70-1966)</f>
        <v>17364.8</v>
      </c>
      <c r="S70" s="18" cm="1">
        <f t="array" ref="S70">INDEX(GMWQ!$A$2:$NE$60,MATCH(1,(GMWQ!$NE$2:$NE$60=S$3)*(GMWQ!$ND$2:$ND$60=S$4),0),$B70-1966)</f>
        <v>61.506419999999999</v>
      </c>
      <c r="T70" s="18" cm="1">
        <f t="array" ref="T70">INDEX(GMWQ!$A$2:$NE$60,MATCH(1,(GMWQ!$NE$2:$NE$60=T$3)*(GMWQ!$ND$2:$ND$60=T$4),0),$B70-1966)</f>
        <v>38.444000000000003</v>
      </c>
      <c r="U70" s="18" cm="1">
        <f t="array" ref="U70">INDEX(GMWQ!$A$2:$NE$60,MATCH(1,(GMWQ!$NE$2:$NE$60=U$3)*(GMWQ!$ND$2:$ND$60=U$4),0),$B70-1966)</f>
        <v>39.400239999999997</v>
      </c>
      <c r="V70" s="18" cm="1">
        <f t="array" ref="V70">INDEX(GMWQ!$A$2:$NE$60,MATCH(1,(GMWQ!$NE$2:$NE$60=V$3)*(GMWQ!$ND$2:$ND$60=V$4),0),$B70-1966)</f>
        <v>29213.25</v>
      </c>
      <c r="W70" s="18" cm="1">
        <f t="array" ref="W70">INDEX(GMWQ!$A$2:$NF$60,MATCH(1,(GMWQ!$NE$2:$NE$60=W$3)*(GMWQ!$NF$2:$NF$60=W$1),0),$B70-1966)</f>
        <v>25034.95</v>
      </c>
      <c r="X70" s="18" cm="1">
        <f t="array" ref="X70">INDEX(GMWQ!$A$2:$NF$60,MATCH(1,(GMWQ!$NE$2:$NE$60=X$3)*(GMWQ!$NF$2:$NF$60=X$1),0),$B70-1966)</f>
        <v>26822.47</v>
      </c>
      <c r="Y70" s="18" cm="1">
        <f t="array" ref="Y70">INDEX(GMWQ!$A$2:$NF$60,MATCH(1,(GMWQ!$NE$2:$NE$60=Y$3)*(GMWQ!$NF$2:$NF$60=Y$1),0),$B70-1966)</f>
        <v>27978.12</v>
      </c>
      <c r="Z70" s="18" cm="1">
        <f t="array" ref="Z70">INDEX(GMWQ!$A$2:$NF$60,MATCH(1,(GMWQ!$NE$2:$NE$60=Z$3)*(GMWQ!$NF$2:$NF$60=Z$1),0),$B70-1966)</f>
        <v>26202.61</v>
      </c>
    </row>
    <row r="71" spans="1:26" x14ac:dyDescent="0.25">
      <c r="A71" s="18">
        <v>1989</v>
      </c>
      <c r="B71" s="18">
        <f t="shared" si="2"/>
        <v>2037</v>
      </c>
      <c r="C71" s="18" cm="1">
        <f t="array" ref="C71">INDEX(GMWQ!$A$2:$NE$60,MATCH(1,(GMWQ!$NE$2:$NE$60=C$3)*(GMWQ!$ND$2:$ND$60=C$4),0),$B71-1966)</f>
        <v>29542.55</v>
      </c>
      <c r="D71" s="18" cm="1">
        <f t="array" ref="D71">INDEX(GMWQ!$A$2:$NE$60,MATCH(1,(GMWQ!$NE$2:$NE$60=D$3)*(GMWQ!$ND$2:$ND$60=D$4),0),$B71-1966)</f>
        <v>38606</v>
      </c>
      <c r="E71" s="18" cm="1">
        <f t="array" ref="E71">INDEX(GMWQ!$A$2:$NE$60,MATCH(1,(GMWQ!$NE$2:$NE$60=E$3)*(GMWQ!$ND$2:$ND$60=E$4),0),$B71-1966)</f>
        <v>-953.00009999999997</v>
      </c>
      <c r="F71" s="18" cm="1">
        <f t="array" ref="F71">INDEX(GMWQ!$A$2:$NE$60,MATCH(1,(GMWQ!$NE$2:$NE$60=F$3)*(GMWQ!$ND$2:$ND$60=F$4),0),$B71-1966)</f>
        <v>-6179</v>
      </c>
      <c r="G71" s="18" cm="1">
        <f t="array" ref="G71">INDEX(GMWQ!$A$2:$NE$60,MATCH(1,(GMWQ!$NE$2:$NE$60=G$3)*(GMWQ!$ND$2:$ND$60=G$4),0),$B71-1966)</f>
        <v>148623</v>
      </c>
      <c r="H71" s="18" cm="1">
        <f t="array" ref="H71">INDEX(GMWQ!$A$2:$NE$60,MATCH(1,(GMWQ!$NE$2:$NE$60=H$3)*(GMWQ!$ND$2:$ND$60=H$4),0),$B71-1966)</f>
        <v>73235</v>
      </c>
      <c r="I71" s="18" cm="1">
        <f t="array" ref="I71">INDEX(GMWQ!$A$2:$NE$60,MATCH(1,(GMWQ!$NE$2:$NE$60=I$3)*(GMWQ!$ND$2:$ND$60=I$4),0),$B71-1966)</f>
        <v>4645.2669999999998</v>
      </c>
      <c r="J71" s="18" cm="1">
        <f t="array" ref="J71">INDEX(GMWQ!$A$2:$NE$60,MATCH(1,(GMWQ!$NE$2:$NE$60=J$3)*(GMWQ!$ND$2:$ND$60=J$4),0),$B71-1966)</f>
        <v>23278.18</v>
      </c>
      <c r="K71" s="18" cm="1">
        <f t="array" ref="K71">INDEX(GMWQ!$A$2:$NE$60,MATCH(1,(GMWQ!$NE$2:$NE$60=K$3)*(GMWQ!$ND$2:$ND$60=K$4),0),$B71-1966)</f>
        <v>1479700</v>
      </c>
      <c r="L71" s="18" cm="1">
        <f t="array" ref="L71">INDEX(GMWQ!$A$2:$NE$60,MATCH(1,(GMWQ!$NE$2:$NE$60=L$3)*(GMWQ!$ND$2:$ND$60=L$4),0),$B71-1966)</f>
        <v>26590</v>
      </c>
      <c r="M71" s="18" cm="1">
        <f t="array" ref="M71">INDEX(GMWQ!$A$2:$NE$60,MATCH(1,(GMWQ!$NE$2:$NE$60=M$3)*(GMWQ!$ND$2:$ND$60=M$4),0),$B71-1966)</f>
        <v>33.780859999999997</v>
      </c>
      <c r="N71" s="18" cm="1">
        <f t="array" ref="N71">INDEX(GMWQ!$A$2:$NE$60,MATCH(1,(GMWQ!$NE$2:$NE$60=N$3)*(GMWQ!$ND$2:$ND$60=N$4),0),$B71-1966)</f>
        <v>12.94354</v>
      </c>
      <c r="O71" s="18" cm="1">
        <f t="array" ref="O71">INDEX(GMWQ!$A$2:$NE$60,MATCH(1,(GMWQ!$NE$2:$NE$60=O$3)*(GMWQ!$ND$2:$ND$60=O$4),0),$B71-1966)</f>
        <v>1E-3</v>
      </c>
      <c r="P71" s="18" cm="1">
        <f t="array" ref="P71">INDEX(GMWQ!$A$2:$NE$60,MATCH(1,(GMWQ!$NE$2:$NE$60=P$3)*(GMWQ!$ND$2:$ND$60=P$4),0),$B71-1966)</f>
        <v>105802.1</v>
      </c>
      <c r="Q71" s="18" cm="1">
        <f t="array" ref="Q71">INDEX(GMWQ!$A$2:$NE$60,MATCH(1,(GMWQ!$NE$2:$NE$60=Q$3)*(GMWQ!$ND$2:$ND$60=Q$4),0),$B71-1966)</f>
        <v>195.05</v>
      </c>
      <c r="R71" s="18" cm="1">
        <f t="array" ref="R71">INDEX(GMWQ!$A$2:$NE$60,MATCH(1,(GMWQ!$NE$2:$NE$60=R$3)*(GMWQ!$ND$2:$ND$60=R$4),0),$B71-1966)</f>
        <v>18119.28</v>
      </c>
      <c r="S71" s="18" cm="1">
        <f t="array" ref="S71">INDEX(GMWQ!$A$2:$NE$60,MATCH(1,(GMWQ!$NE$2:$NE$60=S$3)*(GMWQ!$ND$2:$ND$60=S$4),0),$B71-1966)</f>
        <v>62.109949999999998</v>
      </c>
      <c r="T71" s="18" cm="1">
        <f t="array" ref="T71">INDEX(GMWQ!$A$2:$NE$60,MATCH(1,(GMWQ!$NE$2:$NE$60=T$3)*(GMWQ!$ND$2:$ND$60=T$4),0),$B71-1966)</f>
        <v>39.936</v>
      </c>
      <c r="U71" s="18" cm="1">
        <f t="array" ref="U71">INDEX(GMWQ!$A$2:$NE$60,MATCH(1,(GMWQ!$NE$2:$NE$60=U$3)*(GMWQ!$ND$2:$ND$60=U$4),0),$B71-1966)</f>
        <v>40.862479999999998</v>
      </c>
      <c r="V71" s="18" cm="1">
        <f t="array" ref="V71">INDEX(GMWQ!$A$2:$NE$60,MATCH(1,(GMWQ!$NE$2:$NE$60=V$3)*(GMWQ!$ND$2:$ND$60=V$4),0),$B71-1966)</f>
        <v>30203</v>
      </c>
      <c r="W71" s="18" cm="1">
        <f t="array" ref="W71">INDEX(GMWQ!$A$2:$NF$60,MATCH(1,(GMWQ!$NE$2:$NE$60=W$3)*(GMWQ!$NF$2:$NF$60=W$1),0),$B71-1966)</f>
        <v>26041.96</v>
      </c>
      <c r="X71" s="18" cm="1">
        <f t="array" ref="X71">INDEX(GMWQ!$A$2:$NF$60,MATCH(1,(GMWQ!$NE$2:$NE$60=X$3)*(GMWQ!$NF$2:$NF$60=X$1),0),$B71-1966)</f>
        <v>27901.39</v>
      </c>
      <c r="Y71" s="18" cm="1">
        <f t="array" ref="Y71">INDEX(GMWQ!$A$2:$NF$60,MATCH(1,(GMWQ!$NE$2:$NE$60=Y$3)*(GMWQ!$NF$2:$NF$60=Y$1),0),$B71-1966)</f>
        <v>29103.52</v>
      </c>
      <c r="Z71" s="18" cm="1">
        <f t="array" ref="Z71">INDEX(GMWQ!$A$2:$NF$60,MATCH(1,(GMWQ!$NE$2:$NE$60=Z$3)*(GMWQ!$NF$2:$NF$60=Z$1),0),$B71-1966)</f>
        <v>27256.59</v>
      </c>
    </row>
    <row r="72" spans="1:26" x14ac:dyDescent="0.25">
      <c r="B72" s="18">
        <f t="shared" si="2"/>
        <v>2038</v>
      </c>
      <c r="C72" s="18" cm="1">
        <f t="array" ref="C72">INDEX(GMWQ!$A$2:$NE$60,MATCH(1,(GMWQ!$NE$2:$NE$60=C$3)*(GMWQ!$ND$2:$ND$60=C$4),0),$B72-1966)</f>
        <v>29964.1</v>
      </c>
      <c r="D72" s="18" cm="1">
        <f t="array" ref="D72">INDEX(GMWQ!$A$2:$NE$60,MATCH(1,(GMWQ!$NE$2:$NE$60=D$3)*(GMWQ!$ND$2:$ND$60=D$4),0),$B72-1966)</f>
        <v>38243</v>
      </c>
      <c r="E72" s="18" cm="1">
        <f t="array" ref="E72">INDEX(GMWQ!$A$2:$NE$60,MATCH(1,(GMWQ!$NE$2:$NE$60=E$3)*(GMWQ!$ND$2:$ND$60=E$4),0),$B72-1966)</f>
        <v>-3819</v>
      </c>
      <c r="F72" s="18" cm="1">
        <f t="array" ref="F72">INDEX(GMWQ!$A$2:$NE$60,MATCH(1,(GMWQ!$NE$2:$NE$60=F$3)*(GMWQ!$ND$2:$ND$60=F$4),0),$B72-1966)</f>
        <v>-7532</v>
      </c>
      <c r="G72" s="18" cm="1">
        <f t="array" ref="G72">INDEX(GMWQ!$A$2:$NE$60,MATCH(1,(GMWQ!$NE$2:$NE$60=G$3)*(GMWQ!$ND$2:$ND$60=G$4),0),$B72-1966)</f>
        <v>151262</v>
      </c>
      <c r="H72" s="18" cm="1">
        <f t="array" ref="H72">INDEX(GMWQ!$A$2:$NE$60,MATCH(1,(GMWQ!$NE$2:$NE$60=H$3)*(GMWQ!$ND$2:$ND$60=H$4),0),$B72-1966)</f>
        <v>71794</v>
      </c>
      <c r="I72" s="18" cm="1">
        <f t="array" ref="I72">INDEX(GMWQ!$A$2:$NE$60,MATCH(1,(GMWQ!$NE$2:$NE$60=I$3)*(GMWQ!$ND$2:$ND$60=I$4),0),$B72-1966)</f>
        <v>5475.37</v>
      </c>
      <c r="J72" s="18" cm="1">
        <f t="array" ref="J72">INDEX(GMWQ!$A$2:$NE$60,MATCH(1,(GMWQ!$NE$2:$NE$60=J$3)*(GMWQ!$ND$2:$ND$60=J$4),0),$B72-1966)</f>
        <v>20438.07</v>
      </c>
      <c r="K72" s="18" cm="1">
        <f t="array" ref="K72">INDEX(GMWQ!$A$2:$NE$60,MATCH(1,(GMWQ!$NE$2:$NE$60=K$3)*(GMWQ!$ND$2:$ND$60=K$4),0),$B72-1966)</f>
        <v>1493090</v>
      </c>
      <c r="L72" s="18" cm="1">
        <f t="array" ref="L72">INDEX(GMWQ!$A$2:$NE$60,MATCH(1,(GMWQ!$NE$2:$NE$60=L$3)*(GMWQ!$ND$2:$ND$60=L$4),0),$B72-1966)</f>
        <v>26730</v>
      </c>
      <c r="M72" s="18" cm="1">
        <f t="array" ref="M72">INDEX(GMWQ!$A$2:$NE$60,MATCH(1,(GMWQ!$NE$2:$NE$60=M$3)*(GMWQ!$ND$2:$ND$60=M$4),0),$B72-1966)</f>
        <v>33.786050000000003</v>
      </c>
      <c r="N72" s="18" cm="1">
        <f t="array" ref="N72">INDEX(GMWQ!$A$2:$NE$60,MATCH(1,(GMWQ!$NE$2:$NE$60=N$3)*(GMWQ!$ND$2:$ND$60=N$4),0),$B72-1966)</f>
        <v>15.43281</v>
      </c>
      <c r="O72" s="18" cm="1">
        <f t="array" ref="O72">INDEX(GMWQ!$A$2:$NE$60,MATCH(1,(GMWQ!$NE$2:$NE$60=O$3)*(GMWQ!$ND$2:$ND$60=O$4),0),$B72-1966)</f>
        <v>1E-3</v>
      </c>
      <c r="P72" s="18" cm="1">
        <f t="array" ref="P72">INDEX(GMWQ!$A$2:$NE$60,MATCH(1,(GMWQ!$NE$2:$NE$60=P$3)*(GMWQ!$ND$2:$ND$60=P$4),0),$B72-1966)</f>
        <v>113626.8</v>
      </c>
      <c r="Q72" s="18" cm="1">
        <f t="array" ref="Q72">INDEX(GMWQ!$A$2:$NE$60,MATCH(1,(GMWQ!$NE$2:$NE$60=Q$3)*(GMWQ!$ND$2:$ND$60=Q$4),0),$B72-1966)</f>
        <v>197.67500000000001</v>
      </c>
      <c r="R72" s="18" cm="1">
        <f t="array" ref="R72">INDEX(GMWQ!$A$2:$NE$60,MATCH(1,(GMWQ!$NE$2:$NE$60=R$3)*(GMWQ!$ND$2:$ND$60=R$4),0),$B72-1966)</f>
        <v>17615.95</v>
      </c>
      <c r="S72" s="18" cm="1">
        <f t="array" ref="S72">INDEX(GMWQ!$A$2:$NE$60,MATCH(1,(GMWQ!$NE$2:$NE$60=S$3)*(GMWQ!$ND$2:$ND$60=S$4),0),$B72-1966)</f>
        <v>62.663939999999997</v>
      </c>
      <c r="T72" s="18" cm="1">
        <f t="array" ref="T72">INDEX(GMWQ!$A$2:$NE$60,MATCH(1,(GMWQ!$NE$2:$NE$60=T$3)*(GMWQ!$ND$2:$ND$60=T$4),0),$B72-1966)</f>
        <v>40.298999999999999</v>
      </c>
      <c r="U72" s="18" cm="1">
        <f t="array" ref="U72">INDEX(GMWQ!$A$2:$NE$60,MATCH(1,(GMWQ!$NE$2:$NE$60=U$3)*(GMWQ!$ND$2:$ND$60=U$4),0),$B72-1966)</f>
        <v>40.936500000000002</v>
      </c>
      <c r="V72" s="18" cm="1">
        <f t="array" ref="V72">INDEX(GMWQ!$A$2:$NE$60,MATCH(1,(GMWQ!$NE$2:$NE$60=V$3)*(GMWQ!$ND$2:$ND$60=V$4),0),$B72-1966)</f>
        <v>29943.75</v>
      </c>
      <c r="W72" s="18" cm="1">
        <f t="array" ref="W72">INDEX(GMWQ!$A$2:$NF$60,MATCH(1,(GMWQ!$NE$2:$NE$60=W$3)*(GMWQ!$NF$2:$NF$60=W$1),0),$B72-1966)</f>
        <v>26413.56</v>
      </c>
      <c r="X72" s="18" cm="1">
        <f t="array" ref="X72">INDEX(GMWQ!$A$2:$NF$60,MATCH(1,(GMWQ!$NE$2:$NE$60=X$3)*(GMWQ!$NF$2:$NF$60=X$1),0),$B72-1966)</f>
        <v>28299.52</v>
      </c>
      <c r="Y72" s="18" cm="1">
        <f t="array" ref="Y72">INDEX(GMWQ!$A$2:$NF$60,MATCH(1,(GMWQ!$NE$2:$NE$60=Y$3)*(GMWQ!$NF$2:$NF$60=Y$1),0),$B72-1966)</f>
        <v>29518.81</v>
      </c>
      <c r="Z72" s="18" cm="1">
        <f t="array" ref="Z72">INDEX(GMWQ!$A$2:$NF$60,MATCH(1,(GMWQ!$NE$2:$NE$60=Z$3)*(GMWQ!$NF$2:$NF$60=Z$1),0),$B72-1966)</f>
        <v>27645.52</v>
      </c>
    </row>
    <row r="73" spans="1:26" x14ac:dyDescent="0.25">
      <c r="B73" s="18">
        <f t="shared" si="2"/>
        <v>2039</v>
      </c>
      <c r="C73" s="18" cm="1">
        <f t="array" ref="C73">INDEX(GMWQ!$A$2:$NE$60,MATCH(1,(GMWQ!$NE$2:$NE$60=C$3)*(GMWQ!$ND$2:$ND$60=C$4),0),$B73-1966)</f>
        <v>30734.81</v>
      </c>
      <c r="D73" s="18" cm="1">
        <f t="array" ref="D73">INDEX(GMWQ!$A$2:$NE$60,MATCH(1,(GMWQ!$NE$2:$NE$60=D$3)*(GMWQ!$ND$2:$ND$60=D$4),0),$B73-1966)</f>
        <v>39834</v>
      </c>
      <c r="E73" s="18" cm="1">
        <f t="array" ref="E73">INDEX(GMWQ!$A$2:$NE$60,MATCH(1,(GMWQ!$NE$2:$NE$60=E$3)*(GMWQ!$ND$2:$ND$60=E$4),0),$B73-1966)</f>
        <v>-5639</v>
      </c>
      <c r="F73" s="18" cm="1">
        <f t="array" ref="F73">INDEX(GMWQ!$A$2:$NE$60,MATCH(1,(GMWQ!$NE$2:$NE$60=F$3)*(GMWQ!$ND$2:$ND$60=F$4),0),$B73-1966)</f>
        <v>-10499</v>
      </c>
      <c r="G73" s="18" cm="1">
        <f t="array" ref="G73">INDEX(GMWQ!$A$2:$NE$60,MATCH(1,(GMWQ!$NE$2:$NE$60=G$3)*(GMWQ!$ND$2:$ND$60=G$4),0),$B73-1966)</f>
        <v>155370</v>
      </c>
      <c r="H73" s="18" cm="1">
        <f t="array" ref="H73">INDEX(GMWQ!$A$2:$NE$60,MATCH(1,(GMWQ!$NE$2:$NE$60=H$3)*(GMWQ!$ND$2:$ND$60=H$4),0),$B73-1966)</f>
        <v>72584</v>
      </c>
      <c r="I73" s="18" cm="1">
        <f t="array" ref="I73">INDEX(GMWQ!$A$2:$NE$60,MATCH(1,(GMWQ!$NE$2:$NE$60=I$3)*(GMWQ!$ND$2:$ND$60=I$4),0),$B73-1966)</f>
        <v>6197.8289999999997</v>
      </c>
      <c r="J73" s="18" cm="1">
        <f t="array" ref="J73">INDEX(GMWQ!$A$2:$NE$60,MATCH(1,(GMWQ!$NE$2:$NE$60=J$3)*(GMWQ!$ND$2:$ND$60=J$4),0),$B73-1966)</f>
        <v>19257.759999999998</v>
      </c>
      <c r="K73" s="18" cm="1">
        <f t="array" ref="K73">INDEX(GMWQ!$A$2:$NE$60,MATCH(1,(GMWQ!$NE$2:$NE$60=K$3)*(GMWQ!$ND$2:$ND$60=K$4),0),$B73-1966)</f>
        <v>1506481</v>
      </c>
      <c r="L73" s="18" cm="1">
        <f t="array" ref="L73">INDEX(GMWQ!$A$2:$NE$60,MATCH(1,(GMWQ!$NE$2:$NE$60=L$3)*(GMWQ!$ND$2:$ND$60=L$4),0),$B73-1966)</f>
        <v>26795</v>
      </c>
      <c r="M73" s="18" cm="1">
        <f t="array" ref="M73">INDEX(GMWQ!$A$2:$NE$60,MATCH(1,(GMWQ!$NE$2:$NE$60=M$3)*(GMWQ!$ND$2:$ND$60=M$4),0),$B73-1966)</f>
        <v>33.775669999999998</v>
      </c>
      <c r="N73" s="18" cm="1">
        <f t="array" ref="N73">INDEX(GMWQ!$A$2:$NE$60,MATCH(1,(GMWQ!$NE$2:$NE$60=N$3)*(GMWQ!$ND$2:$ND$60=N$4),0),$B73-1966)</f>
        <v>16.336469999999998</v>
      </c>
      <c r="O73" s="18" cm="1">
        <f t="array" ref="O73">INDEX(GMWQ!$A$2:$NE$60,MATCH(1,(GMWQ!$NE$2:$NE$60=O$3)*(GMWQ!$ND$2:$ND$60=O$4),0),$B73-1966)</f>
        <v>1E-3</v>
      </c>
      <c r="P73" s="18" cm="1">
        <f t="array" ref="P73">INDEX(GMWQ!$A$2:$NE$60,MATCH(1,(GMWQ!$NE$2:$NE$60=P$3)*(GMWQ!$ND$2:$ND$60=P$4),0),$B73-1966)</f>
        <v>123828.9</v>
      </c>
      <c r="Q73" s="18" cm="1">
        <f t="array" ref="Q73">INDEX(GMWQ!$A$2:$NE$60,MATCH(1,(GMWQ!$NE$2:$NE$60=Q$3)*(GMWQ!$ND$2:$ND$60=Q$4),0),$B73-1966)</f>
        <v>202.7</v>
      </c>
      <c r="R73" s="18" cm="1">
        <f t="array" ref="R73">INDEX(GMWQ!$A$2:$NE$60,MATCH(1,(GMWQ!$NE$2:$NE$60=R$3)*(GMWQ!$ND$2:$ND$60=R$4),0),$B73-1966)</f>
        <v>18047.099999999999</v>
      </c>
      <c r="S73" s="18" cm="1">
        <f t="array" ref="S73">INDEX(GMWQ!$A$2:$NE$60,MATCH(1,(GMWQ!$NE$2:$NE$60=S$3)*(GMWQ!$ND$2:$ND$60=S$4),0),$B73-1966)</f>
        <v>66.643109999999993</v>
      </c>
      <c r="T73" s="18" cm="1">
        <f t="array" ref="T73">INDEX(GMWQ!$A$2:$NE$60,MATCH(1,(GMWQ!$NE$2:$NE$60=T$3)*(GMWQ!$ND$2:$ND$60=T$4),0),$B73-1966)</f>
        <v>40.906999999999996</v>
      </c>
      <c r="U73" s="18" cm="1">
        <f t="array" ref="U73">INDEX(GMWQ!$A$2:$NE$60,MATCH(1,(GMWQ!$NE$2:$NE$60=U$3)*(GMWQ!$ND$2:$ND$60=U$4),0),$B73-1966)</f>
        <v>41.211300000000001</v>
      </c>
      <c r="V73" s="18" cm="1">
        <f t="array" ref="V73">INDEX(GMWQ!$A$2:$NE$60,MATCH(1,(GMWQ!$NE$2:$NE$60=V$3)*(GMWQ!$ND$2:$ND$60=V$4),0),$B73-1966)</f>
        <v>29765.25</v>
      </c>
      <c r="W73" s="18" cm="1">
        <f t="array" ref="W73">INDEX(GMWQ!$A$2:$NF$60,MATCH(1,(GMWQ!$NE$2:$NE$60=W$3)*(GMWQ!$NF$2:$NF$60=W$1),0),$B73-1966)</f>
        <v>27092.95</v>
      </c>
      <c r="X73" s="18" cm="1">
        <f t="array" ref="X73">INDEX(GMWQ!$A$2:$NF$60,MATCH(1,(GMWQ!$NE$2:$NE$60=X$3)*(GMWQ!$NF$2:$NF$60=X$1),0),$B73-1966)</f>
        <v>29027.41</v>
      </c>
      <c r="Y73" s="18" cm="1">
        <f t="array" ref="Y73">INDEX(GMWQ!$A$2:$NF$60,MATCH(1,(GMWQ!$NE$2:$NE$60=Y$3)*(GMWQ!$NF$2:$NF$60=Y$1),0),$B73-1966)</f>
        <v>30278.06</v>
      </c>
      <c r="Z73" s="18" cm="1">
        <f t="array" ref="Z73">INDEX(GMWQ!$A$2:$NF$60,MATCH(1,(GMWQ!$NE$2:$NE$60=Z$3)*(GMWQ!$NF$2:$NF$60=Z$1),0),$B73-1966)</f>
        <v>28356.59</v>
      </c>
    </row>
    <row r="74" spans="1:26" x14ac:dyDescent="0.25">
      <c r="B74" s="18">
        <f t="shared" si="2"/>
        <v>2040</v>
      </c>
      <c r="C74" s="18" cm="1">
        <f t="array" ref="C74">INDEX(GMWQ!$A$2:$NE$60,MATCH(1,(GMWQ!$NE$2:$NE$60=C$3)*(GMWQ!$ND$2:$ND$60=C$4),0),$B74-1966)</f>
        <v>29954.45</v>
      </c>
      <c r="D74" s="18" cm="1">
        <f t="array" ref="D74">INDEX(GMWQ!$A$2:$NE$60,MATCH(1,(GMWQ!$NE$2:$NE$60=D$3)*(GMWQ!$ND$2:$ND$60=D$4),0),$B74-1966)</f>
        <v>40680</v>
      </c>
      <c r="E74" s="18" cm="1">
        <f t="array" ref="E74">INDEX(GMWQ!$A$2:$NE$60,MATCH(1,(GMWQ!$NE$2:$NE$60=E$3)*(GMWQ!$ND$2:$ND$60=E$4),0),$B74-1966)</f>
        <v>-2763</v>
      </c>
      <c r="F74" s="18" cm="1">
        <f t="array" ref="F74">INDEX(GMWQ!$A$2:$NE$60,MATCH(1,(GMWQ!$NE$2:$NE$60=F$3)*(GMWQ!$ND$2:$ND$60=F$4),0),$B74-1966)</f>
        <v>-7984</v>
      </c>
      <c r="G74" s="18" cm="1">
        <f t="array" ref="G74">INDEX(GMWQ!$A$2:$NE$60,MATCH(1,(GMWQ!$NE$2:$NE$60=G$3)*(GMWQ!$ND$2:$ND$60=G$4),0),$B74-1966)</f>
        <v>159376</v>
      </c>
      <c r="H74" s="18" cm="1">
        <f t="array" ref="H74">INDEX(GMWQ!$A$2:$NE$60,MATCH(1,(GMWQ!$NE$2:$NE$60=H$3)*(GMWQ!$ND$2:$ND$60=H$4),0),$B74-1966)</f>
        <v>71156</v>
      </c>
      <c r="I74" s="18" cm="1">
        <f t="array" ref="I74">INDEX(GMWQ!$A$2:$NE$60,MATCH(1,(GMWQ!$NE$2:$NE$60=I$3)*(GMWQ!$ND$2:$ND$60=I$4),0),$B74-1966)</f>
        <v>6932.7079999999996</v>
      </c>
      <c r="J74" s="18" cm="1">
        <f t="array" ref="J74">INDEX(GMWQ!$A$2:$NE$60,MATCH(1,(GMWQ!$NE$2:$NE$60=J$3)*(GMWQ!$ND$2:$ND$60=J$4),0),$B74-1966)</f>
        <v>17517.099999999999</v>
      </c>
      <c r="K74" s="18" cm="1">
        <f t="array" ref="K74">INDEX(GMWQ!$A$2:$NE$60,MATCH(1,(GMWQ!$NE$2:$NE$60=K$3)*(GMWQ!$ND$2:$ND$60=K$4),0),$B74-1966)</f>
        <v>1519872</v>
      </c>
      <c r="L74" s="18" cm="1">
        <f t="array" ref="L74">INDEX(GMWQ!$A$2:$NE$60,MATCH(1,(GMWQ!$NE$2:$NE$60=L$3)*(GMWQ!$ND$2:$ND$60=L$4),0),$B74-1966)</f>
        <v>26880</v>
      </c>
      <c r="M74" s="18" cm="1">
        <f t="array" ref="M74">INDEX(GMWQ!$A$2:$NE$60,MATCH(1,(GMWQ!$NE$2:$NE$60=M$3)*(GMWQ!$ND$2:$ND$60=M$4),0),$B74-1966)</f>
        <v>33.749740000000003</v>
      </c>
      <c r="N74" s="18" cm="1">
        <f t="array" ref="N74">INDEX(GMWQ!$A$2:$NE$60,MATCH(1,(GMWQ!$NE$2:$NE$60=N$3)*(GMWQ!$ND$2:$ND$60=N$4),0),$B74-1966)</f>
        <v>17.63449</v>
      </c>
      <c r="O74" s="18" cm="1">
        <f t="array" ref="O74">INDEX(GMWQ!$A$2:$NE$60,MATCH(1,(GMWQ!$NE$2:$NE$60=O$3)*(GMWQ!$ND$2:$ND$60=O$4),0),$B74-1966)</f>
        <v>1E-3</v>
      </c>
      <c r="P74" s="18" cm="1">
        <f t="array" ref="P74">INDEX(GMWQ!$A$2:$NE$60,MATCH(1,(GMWQ!$NE$2:$NE$60=P$3)*(GMWQ!$ND$2:$ND$60=P$4),0),$B74-1966)</f>
        <v>128849.7</v>
      </c>
      <c r="Q74" s="18" cm="1">
        <f t="array" ref="Q74">INDEX(GMWQ!$A$2:$NE$60,MATCH(1,(GMWQ!$NE$2:$NE$60=Q$3)*(GMWQ!$ND$2:$ND$60=Q$4),0),$B74-1966)</f>
        <v>200.67500000000001</v>
      </c>
      <c r="R74" s="18" cm="1">
        <f t="array" ref="R74">INDEX(GMWQ!$A$2:$NE$60,MATCH(1,(GMWQ!$NE$2:$NE$60=R$3)*(GMWQ!$ND$2:$ND$60=R$4),0),$B74-1966)</f>
        <v>18880.05</v>
      </c>
      <c r="S74" s="18" cm="1">
        <f t="array" ref="S74">INDEX(GMWQ!$A$2:$NE$60,MATCH(1,(GMWQ!$NE$2:$NE$60=S$3)*(GMWQ!$ND$2:$ND$60=S$4),0),$B74-1966)</f>
        <v>67.556790000000007</v>
      </c>
      <c r="T74" s="18" cm="1">
        <f t="array" ref="T74">INDEX(GMWQ!$A$2:$NE$60,MATCH(1,(GMWQ!$NE$2:$NE$60=T$3)*(GMWQ!$ND$2:$ND$60=T$4),0),$B74-1966)</f>
        <v>42.059989999999999</v>
      </c>
      <c r="U74" s="18" cm="1">
        <f t="array" ref="U74">INDEX(GMWQ!$A$2:$NE$60,MATCH(1,(GMWQ!$NE$2:$NE$60=U$3)*(GMWQ!$ND$2:$ND$60=U$4),0),$B74-1966)</f>
        <v>42.860770000000002</v>
      </c>
      <c r="V74" s="18" cm="1">
        <f t="array" ref="V74">INDEX(GMWQ!$A$2:$NE$60,MATCH(1,(GMWQ!$NE$2:$NE$60=V$3)*(GMWQ!$ND$2:$ND$60=V$4),0),$B74-1966)</f>
        <v>30625.75</v>
      </c>
      <c r="W74" s="18" cm="1">
        <f t="array" ref="W74">INDEX(GMWQ!$A$2:$NF$60,MATCH(1,(GMWQ!$NE$2:$NE$60=W$3)*(GMWQ!$NF$2:$NF$60=W$1),0),$B74-1966)</f>
        <v>26405.05</v>
      </c>
      <c r="X74" s="18" cm="1">
        <f t="array" ref="X74">INDEX(GMWQ!$A$2:$NF$60,MATCH(1,(GMWQ!$NE$2:$NE$60=X$3)*(GMWQ!$NF$2:$NF$60=X$1),0),$B74-1966)</f>
        <v>28290.41</v>
      </c>
      <c r="Y74" s="18" cm="1">
        <f t="array" ref="Y74">INDEX(GMWQ!$A$2:$NF$60,MATCH(1,(GMWQ!$NE$2:$NE$60=Y$3)*(GMWQ!$NF$2:$NF$60=Y$1),0),$B74-1966)</f>
        <v>29509.3</v>
      </c>
      <c r="Z74" s="18" cm="1">
        <f t="array" ref="Z74">INDEX(GMWQ!$A$2:$NF$60,MATCH(1,(GMWQ!$NE$2:$NE$60=Z$3)*(GMWQ!$NF$2:$NF$60=Z$1),0),$B74-1966)</f>
        <v>27636.62</v>
      </c>
    </row>
    <row r="75" spans="1:26" x14ac:dyDescent="0.25">
      <c r="A75" s="18">
        <v>1990</v>
      </c>
      <c r="B75" s="18">
        <f t="shared" si="2"/>
        <v>2041</v>
      </c>
      <c r="C75" s="18" cm="1">
        <f t="array" ref="C75">INDEX(GMWQ!$A$2:$NE$60,MATCH(1,(GMWQ!$NE$2:$NE$60=C$3)*(GMWQ!$ND$2:$ND$60=C$4),0),$B75-1966)</f>
        <v>30036.51</v>
      </c>
      <c r="D75" s="18" cm="1">
        <f t="array" ref="D75">INDEX(GMWQ!$A$2:$NE$60,MATCH(1,(GMWQ!$NE$2:$NE$60=D$3)*(GMWQ!$ND$2:$ND$60=D$4),0),$B75-1966)</f>
        <v>40800</v>
      </c>
      <c r="E75" s="18" cm="1">
        <f t="array" ref="E75">INDEX(GMWQ!$A$2:$NE$60,MATCH(1,(GMWQ!$NE$2:$NE$60=E$3)*(GMWQ!$ND$2:$ND$60=E$4),0),$B75-1966)</f>
        <v>-3158</v>
      </c>
      <c r="F75" s="18" cm="1">
        <f t="array" ref="F75">INDEX(GMWQ!$A$2:$NE$60,MATCH(1,(GMWQ!$NE$2:$NE$60=F$3)*(GMWQ!$ND$2:$ND$60=F$4),0),$B75-1966)</f>
        <v>-7863</v>
      </c>
      <c r="G75" s="18" cm="1">
        <f t="array" ref="G75">INDEX(GMWQ!$A$2:$NE$60,MATCH(1,(GMWQ!$NE$2:$NE$60=G$3)*(GMWQ!$ND$2:$ND$60=G$4),0),$B75-1966)</f>
        <v>163056</v>
      </c>
      <c r="H75" s="18" cm="1">
        <f t="array" ref="H75">INDEX(GMWQ!$A$2:$NE$60,MATCH(1,(GMWQ!$NE$2:$NE$60=H$3)*(GMWQ!$ND$2:$ND$60=H$4),0),$B75-1966)</f>
        <v>71617</v>
      </c>
      <c r="I75" s="18" cm="1">
        <f t="array" ref="I75">INDEX(GMWQ!$A$2:$NE$60,MATCH(1,(GMWQ!$NE$2:$NE$60=I$3)*(GMWQ!$ND$2:$ND$60=I$4),0),$B75-1966)</f>
        <v>6914.0780000000004</v>
      </c>
      <c r="J75" s="18" cm="1">
        <f t="array" ref="J75">INDEX(GMWQ!$A$2:$NE$60,MATCH(1,(GMWQ!$NE$2:$NE$60=J$3)*(GMWQ!$ND$2:$ND$60=J$4),0),$B75-1966)</f>
        <v>15733.17</v>
      </c>
      <c r="K75" s="18" cm="1">
        <f t="array" ref="K75">INDEX(GMWQ!$A$2:$NE$60,MATCH(1,(GMWQ!$NE$2:$NE$60=K$3)*(GMWQ!$ND$2:$ND$60=K$4),0),$B75-1966)</f>
        <v>1534873</v>
      </c>
      <c r="L75" s="18" cm="1">
        <f t="array" ref="L75">INDEX(GMWQ!$A$2:$NE$60,MATCH(1,(GMWQ!$NE$2:$NE$60=L$3)*(GMWQ!$ND$2:$ND$60=L$4),0),$B75-1966)</f>
        <v>26900</v>
      </c>
      <c r="M75" s="18" cm="1">
        <f t="array" ref="M75">INDEX(GMWQ!$A$2:$NE$60,MATCH(1,(GMWQ!$NE$2:$NE$60=M$3)*(GMWQ!$ND$2:$ND$60=M$4),0),$B75-1966)</f>
        <v>33.708260000000003</v>
      </c>
      <c r="N75" s="18" cm="1">
        <f t="array" ref="N75">INDEX(GMWQ!$A$2:$NE$60,MATCH(1,(GMWQ!$NE$2:$NE$60=N$3)*(GMWQ!$ND$2:$ND$60=N$4),0),$B75-1966)</f>
        <v>18.593070000000001</v>
      </c>
      <c r="O75" s="18" cm="1">
        <f t="array" ref="O75">INDEX(GMWQ!$A$2:$NE$60,MATCH(1,(GMWQ!$NE$2:$NE$60=O$3)*(GMWQ!$ND$2:$ND$60=O$4),0),$B75-1966)</f>
        <v>1E-3</v>
      </c>
      <c r="P75" s="18" cm="1">
        <f t="array" ref="P75">INDEX(GMWQ!$A$2:$NE$60,MATCH(1,(GMWQ!$NE$2:$NE$60=P$3)*(GMWQ!$ND$2:$ND$60=P$4),0),$B75-1966)</f>
        <v>134149.5</v>
      </c>
      <c r="Q75" s="18" cm="1">
        <f t="array" ref="Q75">INDEX(GMWQ!$A$2:$NE$60,MATCH(1,(GMWQ!$NE$2:$NE$60=Q$3)*(GMWQ!$ND$2:$ND$60=Q$4),0),$B75-1966)</f>
        <v>203.25</v>
      </c>
      <c r="R75" s="18" cm="1">
        <f t="array" ref="R75">INDEX(GMWQ!$A$2:$NE$60,MATCH(1,(GMWQ!$NE$2:$NE$60=R$3)*(GMWQ!$ND$2:$ND$60=R$4),0),$B75-1966)</f>
        <v>18973.099999999999</v>
      </c>
      <c r="S75" s="18" cm="1">
        <f t="array" ref="S75">INDEX(GMWQ!$A$2:$NE$60,MATCH(1,(GMWQ!$NE$2:$NE$60=S$3)*(GMWQ!$ND$2:$ND$60=S$4),0),$B75-1966)</f>
        <v>68.764560000000003</v>
      </c>
      <c r="T75" s="18" cm="1">
        <f t="array" ref="T75">INDEX(GMWQ!$A$2:$NE$60,MATCH(1,(GMWQ!$NE$2:$NE$60=T$3)*(GMWQ!$ND$2:$ND$60=T$4),0),$B75-1966)</f>
        <v>42.970999999999997</v>
      </c>
      <c r="U75" s="18" cm="1">
        <f t="array" ref="U75">INDEX(GMWQ!$A$2:$NE$60,MATCH(1,(GMWQ!$NE$2:$NE$60=U$3)*(GMWQ!$ND$2:$ND$60=U$4),0),$B75-1966)</f>
        <v>43.5184</v>
      </c>
      <c r="V75" s="18" cm="1">
        <f t="array" ref="V75">INDEX(GMWQ!$A$2:$NE$60,MATCH(1,(GMWQ!$NE$2:$NE$60=V$3)*(GMWQ!$ND$2:$ND$60=V$4),0),$B75-1966)</f>
        <v>30296.5</v>
      </c>
      <c r="W75" s="18" cm="1">
        <f t="array" ref="W75">INDEX(GMWQ!$A$2:$NF$60,MATCH(1,(GMWQ!$NE$2:$NE$60=W$3)*(GMWQ!$NF$2:$NF$60=W$1),0),$B75-1966)</f>
        <v>26477.39</v>
      </c>
      <c r="X75" s="18" cm="1">
        <f t="array" ref="X75">INDEX(GMWQ!$A$2:$NF$60,MATCH(1,(GMWQ!$NE$2:$NE$60=X$3)*(GMWQ!$NF$2:$NF$60=X$1),0),$B75-1966)</f>
        <v>28367.91</v>
      </c>
      <c r="Y75" s="18" cm="1">
        <f t="array" ref="Y75">INDEX(GMWQ!$A$2:$NF$60,MATCH(1,(GMWQ!$NE$2:$NE$60=Y$3)*(GMWQ!$NF$2:$NF$60=Y$1),0),$B75-1966)</f>
        <v>29590.13</v>
      </c>
      <c r="Z75" s="18" cm="1">
        <f t="array" ref="Z75">INDEX(GMWQ!$A$2:$NF$60,MATCH(1,(GMWQ!$NE$2:$NE$60=Z$3)*(GMWQ!$NF$2:$NF$60=Z$1),0),$B75-1966)</f>
        <v>27712.32</v>
      </c>
    </row>
    <row r="76" spans="1:26" x14ac:dyDescent="0.25">
      <c r="B76" s="18">
        <f t="shared" si="2"/>
        <v>2042</v>
      </c>
      <c r="C76" s="18" cm="1">
        <f t="array" ref="C76">INDEX(GMWQ!$A$2:$NE$60,MATCH(1,(GMWQ!$NE$2:$NE$60=C$3)*(GMWQ!$ND$2:$ND$60=C$4),0),$B76-1966)</f>
        <v>30549.77</v>
      </c>
      <c r="D76" s="18" cm="1">
        <f t="array" ref="D76">INDEX(GMWQ!$A$2:$NE$60,MATCH(1,(GMWQ!$NE$2:$NE$60=D$3)*(GMWQ!$ND$2:$ND$60=D$4),0),$B76-1966)</f>
        <v>41606</v>
      </c>
      <c r="E76" s="18" cm="1">
        <f t="array" ref="E76">INDEX(GMWQ!$A$2:$NE$60,MATCH(1,(GMWQ!$NE$2:$NE$60=E$3)*(GMWQ!$ND$2:$ND$60=E$4),0),$B76-1966)</f>
        <v>-4620</v>
      </c>
      <c r="F76" s="18" cm="1">
        <f t="array" ref="F76">INDEX(GMWQ!$A$2:$NE$60,MATCH(1,(GMWQ!$NE$2:$NE$60=F$3)*(GMWQ!$ND$2:$ND$60=F$4),0),$B76-1966)</f>
        <v>-8364</v>
      </c>
      <c r="G76" s="18" cm="1">
        <f t="array" ref="G76">INDEX(GMWQ!$A$2:$NE$60,MATCH(1,(GMWQ!$NE$2:$NE$60=G$3)*(GMWQ!$ND$2:$ND$60=G$4),0),$B76-1966)</f>
        <v>166719</v>
      </c>
      <c r="H76" s="18" cm="1">
        <f t="array" ref="H76">INDEX(GMWQ!$A$2:$NE$60,MATCH(1,(GMWQ!$NE$2:$NE$60=H$3)*(GMWQ!$ND$2:$ND$60=H$4),0),$B76-1966)</f>
        <v>70596</v>
      </c>
      <c r="I76" s="18" cm="1">
        <f t="array" ref="I76">INDEX(GMWQ!$A$2:$NE$60,MATCH(1,(GMWQ!$NE$2:$NE$60=I$3)*(GMWQ!$ND$2:$ND$60=I$4),0),$B76-1966)</f>
        <v>6587.0039999999999</v>
      </c>
      <c r="J76" s="18" cm="1">
        <f t="array" ref="J76">INDEX(GMWQ!$A$2:$NE$60,MATCH(1,(GMWQ!$NE$2:$NE$60=J$3)*(GMWQ!$ND$2:$ND$60=J$4),0),$B76-1966)</f>
        <v>16720.05</v>
      </c>
      <c r="K76" s="18" cm="1">
        <f t="array" ref="K76">INDEX(GMWQ!$A$2:$NE$60,MATCH(1,(GMWQ!$NE$2:$NE$60=K$3)*(GMWQ!$ND$2:$ND$60=K$4),0),$B76-1966)</f>
        <v>1549874</v>
      </c>
      <c r="L76" s="18" cm="1">
        <f t="array" ref="L76">INDEX(GMWQ!$A$2:$NE$60,MATCH(1,(GMWQ!$NE$2:$NE$60=L$3)*(GMWQ!$ND$2:$ND$60=L$4),0),$B76-1966)</f>
        <v>26935</v>
      </c>
      <c r="M76" s="18" cm="1">
        <f t="array" ref="M76">INDEX(GMWQ!$A$2:$NE$60,MATCH(1,(GMWQ!$NE$2:$NE$60=M$3)*(GMWQ!$ND$2:$ND$60=M$4),0),$B76-1966)</f>
        <v>33.651200000000003</v>
      </c>
      <c r="N76" s="18" cm="1">
        <f t="array" ref="N76">INDEX(GMWQ!$A$2:$NE$60,MATCH(1,(GMWQ!$NE$2:$NE$60=N$3)*(GMWQ!$ND$2:$ND$60=N$4),0),$B76-1966)</f>
        <v>20.025770000000001</v>
      </c>
      <c r="O76" s="18" cm="1">
        <f t="array" ref="O76">INDEX(GMWQ!$A$2:$NE$60,MATCH(1,(GMWQ!$NE$2:$NE$60=O$3)*(GMWQ!$ND$2:$ND$60=O$4),0),$B76-1966)</f>
        <v>1E-3</v>
      </c>
      <c r="P76" s="18" cm="1">
        <f t="array" ref="P76">INDEX(GMWQ!$A$2:$NE$60,MATCH(1,(GMWQ!$NE$2:$NE$60=P$3)*(GMWQ!$ND$2:$ND$60=P$4),0),$B76-1966)</f>
        <v>139290.79999999999</v>
      </c>
      <c r="Q76" s="18" cm="1">
        <f t="array" ref="Q76">INDEX(GMWQ!$A$2:$NE$60,MATCH(1,(GMWQ!$NE$2:$NE$60=Q$3)*(GMWQ!$ND$2:$ND$60=Q$4),0),$B76-1966)</f>
        <v>200.6</v>
      </c>
      <c r="R76" s="18" cm="1">
        <f t="array" ref="R76">INDEX(GMWQ!$A$2:$NE$60,MATCH(1,(GMWQ!$NE$2:$NE$60=R$3)*(GMWQ!$ND$2:$ND$60=R$4),0),$B76-1966)</f>
        <v>19822.07</v>
      </c>
      <c r="S76" s="18" cm="1">
        <f t="array" ref="S76">INDEX(GMWQ!$A$2:$NE$60,MATCH(1,(GMWQ!$NE$2:$NE$60=S$3)*(GMWQ!$ND$2:$ND$60=S$4),0),$B76-1966)</f>
        <v>70.59599</v>
      </c>
      <c r="T76" s="18" cm="1">
        <f t="array" ref="T76">INDEX(GMWQ!$A$2:$NE$60,MATCH(1,(GMWQ!$NE$2:$NE$60=T$3)*(GMWQ!$ND$2:$ND$60=T$4),0),$B76-1966)</f>
        <v>43.308999999999997</v>
      </c>
      <c r="U76" s="18" cm="1">
        <f t="array" ref="U76">INDEX(GMWQ!$A$2:$NE$60,MATCH(1,(GMWQ!$NE$2:$NE$60=U$3)*(GMWQ!$ND$2:$ND$60=U$4),0),$B76-1966)</f>
        <v>43.55894</v>
      </c>
      <c r="V76" s="18" cm="1">
        <f t="array" ref="V76">INDEX(GMWQ!$A$2:$NE$60,MATCH(1,(GMWQ!$NE$2:$NE$60=V$3)*(GMWQ!$ND$2:$ND$60=V$4),0),$B76-1966)</f>
        <v>30183.5</v>
      </c>
      <c r="W76" s="18" cm="1">
        <f t="array" ref="W76">INDEX(GMWQ!$A$2:$NF$60,MATCH(1,(GMWQ!$NE$2:$NE$60=W$3)*(GMWQ!$NF$2:$NF$60=W$1),0),$B76-1966)</f>
        <v>26929.84</v>
      </c>
      <c r="X76" s="18" cm="1">
        <f t="array" ref="X76">INDEX(GMWQ!$A$2:$NF$60,MATCH(1,(GMWQ!$NE$2:$NE$60=X$3)*(GMWQ!$NF$2:$NF$60=X$1),0),$B76-1966)</f>
        <v>28852.66</v>
      </c>
      <c r="Y76" s="18" cm="1">
        <f t="array" ref="Y76">INDEX(GMWQ!$A$2:$NF$60,MATCH(1,(GMWQ!$NE$2:$NE$60=Y$3)*(GMWQ!$NF$2:$NF$60=Y$1),0),$B76-1966)</f>
        <v>30095.77</v>
      </c>
      <c r="Z76" s="18" cm="1">
        <f t="array" ref="Z76">INDEX(GMWQ!$A$2:$NF$60,MATCH(1,(GMWQ!$NE$2:$NE$60=Z$3)*(GMWQ!$NF$2:$NF$60=Z$1),0),$B76-1966)</f>
        <v>28185.88</v>
      </c>
    </row>
    <row r="77" spans="1:26" x14ac:dyDescent="0.25">
      <c r="B77" s="18">
        <f t="shared" si="2"/>
        <v>2043</v>
      </c>
      <c r="C77" s="18" cm="1">
        <f t="array" ref="C77">INDEX(GMWQ!$A$2:$NE$60,MATCH(1,(GMWQ!$NE$2:$NE$60=C$3)*(GMWQ!$ND$2:$ND$60=C$4),0),$B77-1966)</f>
        <v>29954.45</v>
      </c>
      <c r="D77" s="18" cm="1">
        <f t="array" ref="D77">INDEX(GMWQ!$A$2:$NE$60,MATCH(1,(GMWQ!$NE$2:$NE$60=D$3)*(GMWQ!$ND$2:$ND$60=D$4),0),$B77-1966)</f>
        <v>42072</v>
      </c>
      <c r="E77" s="18" cm="1">
        <f t="array" ref="E77">INDEX(GMWQ!$A$2:$NE$60,MATCH(1,(GMWQ!$NE$2:$NE$60=E$3)*(GMWQ!$ND$2:$ND$60=E$4),0),$B77-1966)</f>
        <v>-2410</v>
      </c>
      <c r="F77" s="18" cm="1">
        <f t="array" ref="F77">INDEX(GMWQ!$A$2:$NE$60,MATCH(1,(GMWQ!$NE$2:$NE$60=F$3)*(GMWQ!$ND$2:$ND$60=F$4),0),$B77-1966)</f>
        <v>-6298</v>
      </c>
      <c r="G77" s="18" cm="1">
        <f t="array" ref="G77">INDEX(GMWQ!$A$2:$NE$60,MATCH(1,(GMWQ!$NE$2:$NE$60=G$3)*(GMWQ!$ND$2:$ND$60=G$4),0),$B77-1966)</f>
        <v>170068</v>
      </c>
      <c r="H77" s="18" cm="1">
        <f t="array" ref="H77">INDEX(GMWQ!$A$2:$NE$60,MATCH(1,(GMWQ!$NE$2:$NE$60=H$3)*(GMWQ!$ND$2:$ND$60=H$4),0),$B77-1966)</f>
        <v>69949</v>
      </c>
      <c r="I77" s="18" cm="1">
        <f t="array" ref="I77">INDEX(GMWQ!$A$2:$NE$60,MATCH(1,(GMWQ!$NE$2:$NE$60=I$3)*(GMWQ!$ND$2:$ND$60=I$4),0),$B77-1966)</f>
        <v>7087.9639999999999</v>
      </c>
      <c r="J77" s="18" cm="1">
        <f t="array" ref="J77">INDEX(GMWQ!$A$2:$NE$60,MATCH(1,(GMWQ!$NE$2:$NE$60=J$3)*(GMWQ!$ND$2:$ND$60=J$4),0),$B77-1966)</f>
        <v>16776.009999999998</v>
      </c>
      <c r="K77" s="18" cm="1">
        <f t="array" ref="K77">INDEX(GMWQ!$A$2:$NE$60,MATCH(1,(GMWQ!$NE$2:$NE$60=K$3)*(GMWQ!$ND$2:$ND$60=K$4),0),$B77-1966)</f>
        <v>1564874</v>
      </c>
      <c r="L77" s="18" cm="1">
        <f t="array" ref="L77">INDEX(GMWQ!$A$2:$NE$60,MATCH(1,(GMWQ!$NE$2:$NE$60=L$3)*(GMWQ!$ND$2:$ND$60=L$4),0),$B77-1966)</f>
        <v>26900</v>
      </c>
      <c r="M77" s="18" cm="1">
        <f t="array" ref="M77">INDEX(GMWQ!$A$2:$NE$60,MATCH(1,(GMWQ!$NE$2:$NE$60=M$3)*(GMWQ!$ND$2:$ND$60=M$4),0),$B77-1966)</f>
        <v>33.578600000000002</v>
      </c>
      <c r="N77" s="18" cm="1">
        <f t="array" ref="N77">INDEX(GMWQ!$A$2:$NE$60,MATCH(1,(GMWQ!$NE$2:$NE$60=N$3)*(GMWQ!$ND$2:$ND$60=N$4),0),$B77-1966)</f>
        <v>20.106919999999999</v>
      </c>
      <c r="O77" s="18" cm="1">
        <f t="array" ref="O77">INDEX(GMWQ!$A$2:$NE$60,MATCH(1,(GMWQ!$NE$2:$NE$60=O$3)*(GMWQ!$ND$2:$ND$60=O$4),0),$B77-1966)</f>
        <v>1E-3</v>
      </c>
      <c r="P77" s="18" cm="1">
        <f t="array" ref="P77">INDEX(GMWQ!$A$2:$NE$60,MATCH(1,(GMWQ!$NE$2:$NE$60=P$3)*(GMWQ!$ND$2:$ND$60=P$4),0),$B77-1966)</f>
        <v>142309.6</v>
      </c>
      <c r="Q77" s="18" cm="1">
        <f t="array" ref="Q77">INDEX(GMWQ!$A$2:$NE$60,MATCH(1,(GMWQ!$NE$2:$NE$60=Q$3)*(GMWQ!$ND$2:$ND$60=Q$4),0),$B77-1966)</f>
        <v>202</v>
      </c>
      <c r="R77" s="18" cm="1">
        <f t="array" ref="R77">INDEX(GMWQ!$A$2:$NE$60,MATCH(1,(GMWQ!$NE$2:$NE$60=R$3)*(GMWQ!$ND$2:$ND$60=R$4),0),$B77-1966)</f>
        <v>20223.22</v>
      </c>
      <c r="S77" s="18" cm="1">
        <f t="array" ref="S77">INDEX(GMWQ!$A$2:$NE$60,MATCH(1,(GMWQ!$NE$2:$NE$60=S$3)*(GMWQ!$ND$2:$ND$60=S$4),0),$B77-1966)</f>
        <v>72.427390000000003</v>
      </c>
      <c r="T77" s="18" cm="1">
        <f t="array" ref="T77">INDEX(GMWQ!$A$2:$NE$60,MATCH(1,(GMWQ!$NE$2:$NE$60=T$3)*(GMWQ!$ND$2:$ND$60=T$4),0),$B77-1966)</f>
        <v>44.110999999999997</v>
      </c>
      <c r="U77" s="18" cm="1">
        <f t="array" ref="U77">INDEX(GMWQ!$A$2:$NE$60,MATCH(1,(GMWQ!$NE$2:$NE$60=U$3)*(GMWQ!$ND$2:$ND$60=U$4),0),$B77-1966)</f>
        <v>42.745190000000001</v>
      </c>
      <c r="V77" s="18" cm="1">
        <f t="array" ref="V77">INDEX(GMWQ!$A$2:$NE$60,MATCH(1,(GMWQ!$NE$2:$NE$60=V$3)*(GMWQ!$ND$2:$ND$60=V$4),0),$B77-1966)</f>
        <v>29752.75</v>
      </c>
      <c r="W77" s="18" cm="1">
        <f t="array" ref="W77">INDEX(GMWQ!$A$2:$NF$60,MATCH(1,(GMWQ!$NE$2:$NE$60=W$3)*(GMWQ!$NF$2:$NF$60=W$1),0),$B77-1966)</f>
        <v>26405.05</v>
      </c>
      <c r="X77" s="18" cm="1">
        <f t="array" ref="X77">INDEX(GMWQ!$A$2:$NF$60,MATCH(1,(GMWQ!$NE$2:$NE$60=X$3)*(GMWQ!$NF$2:$NF$60=X$1),0),$B77-1966)</f>
        <v>28290.41</v>
      </c>
      <c r="Y77" s="18" cm="1">
        <f t="array" ref="Y77">INDEX(GMWQ!$A$2:$NF$60,MATCH(1,(GMWQ!$NE$2:$NE$60=Y$3)*(GMWQ!$NF$2:$NF$60=Y$1),0),$B77-1966)</f>
        <v>29509.3</v>
      </c>
      <c r="Z77" s="18" cm="1">
        <f t="array" ref="Z77">INDEX(GMWQ!$A$2:$NF$60,MATCH(1,(GMWQ!$NE$2:$NE$60=Z$3)*(GMWQ!$NF$2:$NF$60=Z$1),0),$B77-1966)</f>
        <v>27636.62</v>
      </c>
    </row>
    <row r="78" spans="1:26" x14ac:dyDescent="0.25">
      <c r="B78" s="18">
        <f t="shared" si="2"/>
        <v>2044</v>
      </c>
      <c r="C78" s="18" cm="1">
        <f t="array" ref="C78">INDEX(GMWQ!$A$2:$NE$60,MATCH(1,(GMWQ!$NE$2:$NE$60=C$3)*(GMWQ!$ND$2:$ND$60=C$4),0),$B78-1966)</f>
        <v>29571.51</v>
      </c>
      <c r="D78" s="18" cm="1">
        <f t="array" ref="D78">INDEX(GMWQ!$A$2:$NE$60,MATCH(1,(GMWQ!$NE$2:$NE$60=D$3)*(GMWQ!$ND$2:$ND$60=D$4),0),$B78-1966)</f>
        <v>42207</v>
      </c>
      <c r="E78" s="18" cm="1">
        <f t="array" ref="E78">INDEX(GMWQ!$A$2:$NE$60,MATCH(1,(GMWQ!$NE$2:$NE$60=E$3)*(GMWQ!$ND$2:$ND$60=E$4),0),$B78-1966)</f>
        <v>-251</v>
      </c>
      <c r="F78" s="18" cm="1">
        <f t="array" ref="F78">INDEX(GMWQ!$A$2:$NE$60,MATCH(1,(GMWQ!$NE$2:$NE$60=F$3)*(GMWQ!$ND$2:$ND$60=F$4),0),$B78-1966)</f>
        <v>-6035</v>
      </c>
      <c r="G78" s="18" cm="1">
        <f t="array" ref="G78">INDEX(GMWQ!$A$2:$NE$60,MATCH(1,(GMWQ!$NE$2:$NE$60=G$3)*(GMWQ!$ND$2:$ND$60=G$4),0),$B78-1966)</f>
        <v>170954</v>
      </c>
      <c r="H78" s="18" cm="1">
        <f t="array" ref="H78">INDEX(GMWQ!$A$2:$NE$60,MATCH(1,(GMWQ!$NE$2:$NE$60=H$3)*(GMWQ!$ND$2:$ND$60=H$4),0),$B78-1966)</f>
        <v>69172</v>
      </c>
      <c r="I78" s="18" cm="1">
        <f t="array" ref="I78">INDEX(GMWQ!$A$2:$NE$60,MATCH(1,(GMWQ!$NE$2:$NE$60=I$3)*(GMWQ!$ND$2:$ND$60=I$4),0),$B78-1966)</f>
        <v>7172.8379999999997</v>
      </c>
      <c r="J78" s="18" cm="1">
        <f t="array" ref="J78">INDEX(GMWQ!$A$2:$NE$60,MATCH(1,(GMWQ!$NE$2:$NE$60=J$3)*(GMWQ!$ND$2:$ND$60=J$4),0),$B78-1966)</f>
        <v>17186.43</v>
      </c>
      <c r="K78" s="18" cm="1">
        <f t="array" ref="K78">INDEX(GMWQ!$A$2:$NE$60,MATCH(1,(GMWQ!$NE$2:$NE$60=K$3)*(GMWQ!$ND$2:$ND$60=K$4),0),$B78-1966)</f>
        <v>1579875</v>
      </c>
      <c r="L78" s="18" cm="1">
        <f t="array" ref="L78">INDEX(GMWQ!$A$2:$NE$60,MATCH(1,(GMWQ!$NE$2:$NE$60=L$3)*(GMWQ!$ND$2:$ND$60=L$4),0),$B78-1966)</f>
        <v>26750</v>
      </c>
      <c r="M78" s="18" cm="1">
        <f t="array" ref="M78">INDEX(GMWQ!$A$2:$NE$60,MATCH(1,(GMWQ!$NE$2:$NE$60=M$3)*(GMWQ!$ND$2:$ND$60=M$4),0),$B78-1966)</f>
        <v>33.490430000000003</v>
      </c>
      <c r="N78" s="18" cm="1">
        <f t="array" ref="N78">INDEX(GMWQ!$A$2:$NE$60,MATCH(1,(GMWQ!$NE$2:$NE$60=N$3)*(GMWQ!$ND$2:$ND$60=N$4),0),$B78-1966)</f>
        <v>18.468170000000001</v>
      </c>
      <c r="O78" s="18" cm="1">
        <f t="array" ref="O78">INDEX(GMWQ!$A$2:$NE$60,MATCH(1,(GMWQ!$NE$2:$NE$60=O$3)*(GMWQ!$ND$2:$ND$60=O$4),0),$B78-1966)</f>
        <v>1E-3</v>
      </c>
      <c r="P78" s="18" cm="1">
        <f t="array" ref="P78">INDEX(GMWQ!$A$2:$NE$60,MATCH(1,(GMWQ!$NE$2:$NE$60=P$3)*(GMWQ!$ND$2:$ND$60=P$4),0),$B78-1966)</f>
        <v>145202</v>
      </c>
      <c r="Q78" s="18" cm="1">
        <f t="array" ref="Q78">INDEX(GMWQ!$A$2:$NE$60,MATCH(1,(GMWQ!$NE$2:$NE$60=Q$3)*(GMWQ!$ND$2:$ND$60=Q$4),0),$B78-1966)</f>
        <v>198.82499999999999</v>
      </c>
      <c r="R78" s="18" cm="1">
        <f t="array" ref="R78">INDEX(GMWQ!$A$2:$NE$60,MATCH(1,(GMWQ!$NE$2:$NE$60=R$3)*(GMWQ!$ND$2:$ND$60=R$4),0),$B78-1966)</f>
        <v>20514.8</v>
      </c>
      <c r="S78" s="18" cm="1">
        <f t="array" ref="S78">INDEX(GMWQ!$A$2:$NE$60,MATCH(1,(GMWQ!$NE$2:$NE$60=S$3)*(GMWQ!$ND$2:$ND$60=S$4),0),$B78-1966)</f>
        <v>74.333439999999996</v>
      </c>
      <c r="T78" s="18" cm="1">
        <f t="array" ref="T78">INDEX(GMWQ!$A$2:$NE$60,MATCH(1,(GMWQ!$NE$2:$NE$60=T$3)*(GMWQ!$ND$2:$ND$60=T$4),0),$B78-1966)</f>
        <v>44.168999999999997</v>
      </c>
      <c r="U78" s="18" cm="1">
        <f t="array" ref="U78">INDEX(GMWQ!$A$2:$NE$60,MATCH(1,(GMWQ!$NE$2:$NE$60=U$3)*(GMWQ!$ND$2:$ND$60=U$4),0),$B78-1966)</f>
        <v>42.22683</v>
      </c>
      <c r="V78" s="18" cm="1">
        <f t="array" ref="V78">INDEX(GMWQ!$A$2:$NE$60,MATCH(1,(GMWQ!$NE$2:$NE$60=V$3)*(GMWQ!$ND$2:$ND$60=V$4),0),$B78-1966)</f>
        <v>28937</v>
      </c>
      <c r="W78" s="18" cm="1">
        <f t="array" ref="W78">INDEX(GMWQ!$A$2:$NF$60,MATCH(1,(GMWQ!$NE$2:$NE$60=W$3)*(GMWQ!$NF$2:$NF$60=W$1),0),$B78-1966)</f>
        <v>26067.49</v>
      </c>
      <c r="X78" s="18" cm="1">
        <f t="array" ref="X78">INDEX(GMWQ!$A$2:$NF$60,MATCH(1,(GMWQ!$NE$2:$NE$60=X$3)*(GMWQ!$NF$2:$NF$60=X$1),0),$B78-1966)</f>
        <v>27928.74</v>
      </c>
      <c r="Y78" s="18" cm="1">
        <f t="array" ref="Y78">INDEX(GMWQ!$A$2:$NF$60,MATCH(1,(GMWQ!$NE$2:$NE$60=Y$3)*(GMWQ!$NF$2:$NF$60=Y$1),0),$B78-1966)</f>
        <v>29132.05</v>
      </c>
      <c r="Z78" s="18" cm="1">
        <f t="array" ref="Z78">INDEX(GMWQ!$A$2:$NF$60,MATCH(1,(GMWQ!$NE$2:$NE$60=Z$3)*(GMWQ!$NF$2:$NF$60=Z$1),0),$B78-1966)</f>
        <v>27283.31</v>
      </c>
    </row>
    <row r="79" spans="1:26" x14ac:dyDescent="0.25">
      <c r="A79" s="18">
        <v>1991</v>
      </c>
      <c r="B79" s="18">
        <f t="shared" si="2"/>
        <v>2045</v>
      </c>
      <c r="C79" s="18" cm="1">
        <f t="array" ref="C79">INDEX(GMWQ!$A$2:$NE$60,MATCH(1,(GMWQ!$NE$2:$NE$60=C$3)*(GMWQ!$ND$2:$ND$60=C$4),0),$B79-1966)</f>
        <v>29000.32</v>
      </c>
      <c r="D79" s="18" cm="1">
        <f t="array" ref="D79">INDEX(GMWQ!$A$2:$NE$60,MATCH(1,(GMWQ!$NE$2:$NE$60=D$3)*(GMWQ!$ND$2:$ND$60=D$4),0),$B79-1966)</f>
        <v>41614</v>
      </c>
      <c r="E79" s="18" cm="1">
        <f t="array" ref="E79">INDEX(GMWQ!$A$2:$NE$60,MATCH(1,(GMWQ!$NE$2:$NE$60=E$3)*(GMWQ!$ND$2:$ND$60=E$4),0),$B79-1966)</f>
        <v>-2198</v>
      </c>
      <c r="F79" s="18" cm="1">
        <f t="array" ref="F79">INDEX(GMWQ!$A$2:$NE$60,MATCH(1,(GMWQ!$NE$2:$NE$60=F$3)*(GMWQ!$ND$2:$ND$60=F$4),0),$B79-1966)</f>
        <v>-8812</v>
      </c>
      <c r="G79" s="18" cm="1">
        <f t="array" ref="G79">INDEX(GMWQ!$A$2:$NE$60,MATCH(1,(GMWQ!$NE$2:$NE$60=G$3)*(GMWQ!$ND$2:$ND$60=G$4),0),$B79-1966)</f>
        <v>173192</v>
      </c>
      <c r="H79" s="18" cm="1">
        <f t="array" ref="H79">INDEX(GMWQ!$A$2:$NE$60,MATCH(1,(GMWQ!$NE$2:$NE$60=H$3)*(GMWQ!$ND$2:$ND$60=H$4),0),$B79-1966)</f>
        <v>66021</v>
      </c>
      <c r="I79" s="18" cm="1">
        <f t="array" ref="I79">INDEX(GMWQ!$A$2:$NE$60,MATCH(1,(GMWQ!$NE$2:$NE$60=I$3)*(GMWQ!$ND$2:$ND$60=I$4),0),$B79-1966)</f>
        <v>6280.6319999999996</v>
      </c>
      <c r="J79" s="18" cm="1">
        <f t="array" ref="J79">INDEX(GMWQ!$A$2:$NE$60,MATCH(1,(GMWQ!$NE$2:$NE$60=J$3)*(GMWQ!$ND$2:$ND$60=J$4),0),$B79-1966)</f>
        <v>14180.01</v>
      </c>
      <c r="K79" s="18" cm="1">
        <f t="array" ref="K79">INDEX(GMWQ!$A$2:$NE$60,MATCH(1,(GMWQ!$NE$2:$NE$60=K$3)*(GMWQ!$ND$2:$ND$60=K$4),0),$B79-1966)</f>
        <v>1592677</v>
      </c>
      <c r="L79" s="18" cm="1">
        <f t="array" ref="L79">INDEX(GMWQ!$A$2:$NE$60,MATCH(1,(GMWQ!$NE$2:$NE$60=L$3)*(GMWQ!$ND$2:$ND$60=L$4),0),$B79-1966)</f>
        <v>26530</v>
      </c>
      <c r="M79" s="18" cm="1">
        <f t="array" ref="M79">INDEX(GMWQ!$A$2:$NE$60,MATCH(1,(GMWQ!$NE$2:$NE$60=M$3)*(GMWQ!$ND$2:$ND$60=M$4),0),$B79-1966)</f>
        <v>33.282980000000002</v>
      </c>
      <c r="N79" s="18" cm="1">
        <f t="array" ref="N79">INDEX(GMWQ!$A$2:$NE$60,MATCH(1,(GMWQ!$NE$2:$NE$60=N$3)*(GMWQ!$ND$2:$ND$60=N$4),0),$B79-1966)</f>
        <v>21.139530000000001</v>
      </c>
      <c r="O79" s="18" cm="1">
        <f t="array" ref="O79">INDEX(GMWQ!$A$2:$NE$60,MATCH(1,(GMWQ!$NE$2:$NE$60=O$3)*(GMWQ!$ND$2:$ND$60=O$4),0),$B79-1966)</f>
        <v>1E-3</v>
      </c>
      <c r="P79" s="18" cm="1">
        <f t="array" ref="P79">INDEX(GMWQ!$A$2:$NE$60,MATCH(1,(GMWQ!$NE$2:$NE$60=P$3)*(GMWQ!$ND$2:$ND$60=P$4),0),$B79-1966)</f>
        <v>147383.6</v>
      </c>
      <c r="Q79" s="18" cm="1">
        <f t="array" ref="Q79">INDEX(GMWQ!$A$2:$NE$60,MATCH(1,(GMWQ!$NE$2:$NE$60=Q$3)*(GMWQ!$ND$2:$ND$60=Q$4),0),$B79-1966)</f>
        <v>194.85</v>
      </c>
      <c r="R79" s="18" cm="1">
        <f t="array" ref="R79">INDEX(GMWQ!$A$2:$NE$60,MATCH(1,(GMWQ!$NE$2:$NE$60=R$3)*(GMWQ!$ND$2:$ND$60=R$4),0),$B79-1966)</f>
        <v>21389.95</v>
      </c>
      <c r="S79" s="18" cm="1">
        <f t="array" ref="S79">INDEX(GMWQ!$A$2:$NE$60,MATCH(1,(GMWQ!$NE$2:$NE$60=S$3)*(GMWQ!$ND$2:$ND$60=S$4),0),$B79-1966)</f>
        <v>74.72</v>
      </c>
      <c r="T79" s="18" cm="1">
        <f t="array" ref="T79">INDEX(GMWQ!$A$2:$NE$60,MATCH(1,(GMWQ!$NE$2:$NE$60=T$3)*(GMWQ!$ND$2:$ND$60=T$4),0),$B79-1966)</f>
        <v>44.052999999999997</v>
      </c>
      <c r="U79" s="18" cm="1">
        <f t="array" ref="U79">INDEX(GMWQ!$A$2:$NE$60,MATCH(1,(GMWQ!$NE$2:$NE$60=U$3)*(GMWQ!$ND$2:$ND$60=U$4),0),$B79-1966)</f>
        <v>43.224690000000002</v>
      </c>
      <c r="V79" s="18" cm="1">
        <f t="array" ref="V79">INDEX(GMWQ!$A$2:$NE$60,MATCH(1,(GMWQ!$NE$2:$NE$60=V$3)*(GMWQ!$ND$2:$ND$60=V$4),0),$B79-1966)</f>
        <v>29861.75</v>
      </c>
      <c r="W79" s="18" cm="1">
        <f t="array" ref="W79">INDEX(GMWQ!$A$2:$NF$60,MATCH(1,(GMWQ!$NE$2:$NE$60=W$3)*(GMWQ!$NF$2:$NF$60=W$1),0),$B79-1966)</f>
        <v>25563.99</v>
      </c>
      <c r="X79" s="18" cm="1">
        <f t="array" ref="X79">INDEX(GMWQ!$A$2:$NF$60,MATCH(1,(GMWQ!$NE$2:$NE$60=X$3)*(GMWQ!$NF$2:$NF$60=X$1),0),$B79-1966)</f>
        <v>27389.279999999999</v>
      </c>
      <c r="Y79" s="18" cm="1">
        <f t="array" ref="Y79">INDEX(GMWQ!$A$2:$NF$60,MATCH(1,(GMWQ!$NE$2:$NE$60=Y$3)*(GMWQ!$NF$2:$NF$60=Y$1),0),$B79-1966)</f>
        <v>28569.35</v>
      </c>
      <c r="Z79" s="18" cm="1">
        <f t="array" ref="Z79">INDEX(GMWQ!$A$2:$NF$60,MATCH(1,(GMWQ!$NE$2:$NE$60=Z$3)*(GMWQ!$NF$2:$NF$60=Z$1),0),$B79-1966)</f>
        <v>26756.32</v>
      </c>
    </row>
    <row r="80" spans="1:26" x14ac:dyDescent="0.25">
      <c r="B80" s="18">
        <f t="shared" si="2"/>
        <v>2046</v>
      </c>
      <c r="C80" s="18" cm="1">
        <f t="array" ref="C80">INDEX(GMWQ!$A$2:$NE$60,MATCH(1,(GMWQ!$NE$2:$NE$60=C$3)*(GMWQ!$ND$2:$ND$60=C$4),0),$B80-1966)</f>
        <v>27787.15</v>
      </c>
      <c r="D80" s="18" cm="1">
        <f t="array" ref="D80">INDEX(GMWQ!$A$2:$NE$60,MATCH(1,(GMWQ!$NE$2:$NE$60=D$3)*(GMWQ!$ND$2:$ND$60=D$4),0),$B80-1966)</f>
        <v>41313</v>
      </c>
      <c r="E80" s="18" cm="1">
        <f t="array" ref="E80">INDEX(GMWQ!$A$2:$NE$60,MATCH(1,(GMWQ!$NE$2:$NE$60=E$3)*(GMWQ!$ND$2:$ND$60=E$4),0),$B80-1966)</f>
        <v>-182</v>
      </c>
      <c r="F80" s="18" cm="1">
        <f t="array" ref="F80">INDEX(GMWQ!$A$2:$NE$60,MATCH(1,(GMWQ!$NE$2:$NE$60=F$3)*(GMWQ!$ND$2:$ND$60=F$4),0),$B80-1966)</f>
        <v>-5450</v>
      </c>
      <c r="G80" s="18" cm="1">
        <f t="array" ref="G80">INDEX(GMWQ!$A$2:$NE$60,MATCH(1,(GMWQ!$NE$2:$NE$60=G$3)*(GMWQ!$ND$2:$ND$60=G$4),0),$B80-1966)</f>
        <v>175822</v>
      </c>
      <c r="H80" s="18" cm="1">
        <f t="array" ref="H80">INDEX(GMWQ!$A$2:$NE$60,MATCH(1,(GMWQ!$NE$2:$NE$60=H$3)*(GMWQ!$ND$2:$ND$60=H$4),0),$B80-1966)</f>
        <v>65035</v>
      </c>
      <c r="I80" s="18" cm="1">
        <f t="array" ref="I80">INDEX(GMWQ!$A$2:$NE$60,MATCH(1,(GMWQ!$NE$2:$NE$60=I$3)*(GMWQ!$ND$2:$ND$60=I$4),0),$B80-1966)</f>
        <v>7023.7920000000004</v>
      </c>
      <c r="J80" s="18" cm="1">
        <f t="array" ref="J80">INDEX(GMWQ!$A$2:$NE$60,MATCH(1,(GMWQ!$NE$2:$NE$60=J$3)*(GMWQ!$ND$2:$ND$60=J$4),0),$B80-1966)</f>
        <v>14813.83</v>
      </c>
      <c r="K80" s="18" cm="1">
        <f t="array" ref="K80">INDEX(GMWQ!$A$2:$NE$60,MATCH(1,(GMWQ!$NE$2:$NE$60=K$3)*(GMWQ!$ND$2:$ND$60=K$4),0),$B80-1966)</f>
        <v>1605478</v>
      </c>
      <c r="L80" s="18" cm="1">
        <f t="array" ref="L80">INDEX(GMWQ!$A$2:$NE$60,MATCH(1,(GMWQ!$NE$2:$NE$60=L$3)*(GMWQ!$ND$2:$ND$60=L$4),0),$B80-1966)</f>
        <v>26275</v>
      </c>
      <c r="M80" s="18" cm="1">
        <f t="array" ref="M80">INDEX(GMWQ!$A$2:$NE$60,MATCH(1,(GMWQ!$NE$2:$NE$60=M$3)*(GMWQ!$ND$2:$ND$60=M$4),0),$B80-1966)</f>
        <v>33.205179999999999</v>
      </c>
      <c r="N80" s="18" cm="1">
        <f t="array" ref="N80">INDEX(GMWQ!$A$2:$NE$60,MATCH(1,(GMWQ!$NE$2:$NE$60=N$3)*(GMWQ!$ND$2:$ND$60=N$4),0),$B80-1966)</f>
        <v>21.655650000000001</v>
      </c>
      <c r="O80" s="18" cm="1">
        <f t="array" ref="O80">INDEX(GMWQ!$A$2:$NE$60,MATCH(1,(GMWQ!$NE$2:$NE$60=O$3)*(GMWQ!$ND$2:$ND$60=O$4),0),$B80-1966)</f>
        <v>1E-3</v>
      </c>
      <c r="P80" s="18" cm="1">
        <f t="array" ref="P80">INDEX(GMWQ!$A$2:$NE$60,MATCH(1,(GMWQ!$NE$2:$NE$60=P$3)*(GMWQ!$ND$2:$ND$60=P$4),0),$B80-1966)</f>
        <v>145096.6</v>
      </c>
      <c r="Q80" s="18" cm="1">
        <f t="array" ref="Q80">INDEX(GMWQ!$A$2:$NE$60,MATCH(1,(GMWQ!$NE$2:$NE$60=Q$3)*(GMWQ!$ND$2:$ND$60=Q$4),0),$B80-1966)</f>
        <v>193.875</v>
      </c>
      <c r="R80" s="18" cm="1">
        <f t="array" ref="R80">INDEX(GMWQ!$A$2:$NE$60,MATCH(1,(GMWQ!$NE$2:$NE$60=R$3)*(GMWQ!$ND$2:$ND$60=R$4),0),$B80-1966)</f>
        <v>21149</v>
      </c>
      <c r="S80" s="18" cm="1">
        <f t="array" ref="S80">INDEX(GMWQ!$A$2:$NE$60,MATCH(1,(GMWQ!$NE$2:$NE$60=S$3)*(GMWQ!$ND$2:$ND$60=S$4),0),$B80-1966)</f>
        <v>76.91</v>
      </c>
      <c r="T80" s="18" cm="1">
        <f t="array" ref="T80">INDEX(GMWQ!$A$2:$NE$60,MATCH(1,(GMWQ!$NE$2:$NE$60=T$3)*(GMWQ!$ND$2:$ND$60=T$4),0),$B80-1966)</f>
        <v>44.5</v>
      </c>
      <c r="U80" s="18" cm="1">
        <f t="array" ref="U80">INDEX(GMWQ!$A$2:$NE$60,MATCH(1,(GMWQ!$NE$2:$NE$60=U$3)*(GMWQ!$ND$2:$ND$60=U$4),0),$B80-1966)</f>
        <v>43.373399999999997</v>
      </c>
      <c r="V80" s="18" cm="1">
        <f t="array" ref="V80">INDEX(GMWQ!$A$2:$NE$60,MATCH(1,(GMWQ!$NE$2:$NE$60=V$3)*(GMWQ!$ND$2:$ND$60=V$4),0),$B80-1966)</f>
        <v>29042.25</v>
      </c>
      <c r="W80" s="18" cm="1">
        <f t="array" ref="W80">INDEX(GMWQ!$A$2:$NF$60,MATCH(1,(GMWQ!$NE$2:$NE$60=W$3)*(GMWQ!$NF$2:$NF$60=W$1),0),$B80-1966)</f>
        <v>24494.560000000001</v>
      </c>
      <c r="X80" s="18" cm="1">
        <f t="array" ref="X80">INDEX(GMWQ!$A$2:$NF$60,MATCH(1,(GMWQ!$NE$2:$NE$60=X$3)*(GMWQ!$NF$2:$NF$60=X$1),0),$B80-1966)</f>
        <v>26243.5</v>
      </c>
      <c r="Y80" s="18" cm="1">
        <f t="array" ref="Y80">INDEX(GMWQ!$A$2:$NF$60,MATCH(1,(GMWQ!$NE$2:$NE$60=Y$3)*(GMWQ!$NF$2:$NF$60=Y$1),0),$B80-1966)</f>
        <v>27374.2</v>
      </c>
      <c r="Z80" s="18" cm="1">
        <f t="array" ref="Z80">INDEX(GMWQ!$A$2:$NF$60,MATCH(1,(GMWQ!$NE$2:$NE$60=Z$3)*(GMWQ!$NF$2:$NF$60=Z$1),0),$B80-1966)</f>
        <v>25637.02</v>
      </c>
    </row>
    <row r="81" spans="1:26" x14ac:dyDescent="0.25">
      <c r="B81" s="18">
        <f t="shared" si="2"/>
        <v>2047</v>
      </c>
      <c r="C81" s="18" cm="1">
        <f t="array" ref="C81">INDEX(GMWQ!$A$2:$NE$60,MATCH(1,(GMWQ!$NE$2:$NE$60=C$3)*(GMWQ!$ND$2:$ND$60=C$4),0),$B81-1966)</f>
        <v>26511.22</v>
      </c>
      <c r="D81" s="18" cm="1">
        <f t="array" ref="D81">INDEX(GMWQ!$A$2:$NE$60,MATCH(1,(GMWQ!$NE$2:$NE$60=D$3)*(GMWQ!$ND$2:$ND$60=D$4),0),$B81-1966)</f>
        <v>40056</v>
      </c>
      <c r="E81" s="18" cm="1">
        <f t="array" ref="E81">INDEX(GMWQ!$A$2:$NE$60,MATCH(1,(GMWQ!$NE$2:$NE$60=E$3)*(GMWQ!$ND$2:$ND$60=E$4),0),$B81-1966)</f>
        <v>-2557</v>
      </c>
      <c r="F81" s="18" cm="1">
        <f t="array" ref="F81">INDEX(GMWQ!$A$2:$NE$60,MATCH(1,(GMWQ!$NE$2:$NE$60=F$3)*(GMWQ!$ND$2:$ND$60=F$4),0),$B81-1966)</f>
        <v>-8267</v>
      </c>
      <c r="G81" s="18" cm="1">
        <f t="array" ref="G81">INDEX(GMWQ!$A$2:$NE$60,MATCH(1,(GMWQ!$NE$2:$NE$60=G$3)*(GMWQ!$ND$2:$ND$60=G$4),0),$B81-1966)</f>
        <v>177280</v>
      </c>
      <c r="H81" s="18" cm="1">
        <f t="array" ref="H81">INDEX(GMWQ!$A$2:$NE$60,MATCH(1,(GMWQ!$NE$2:$NE$60=H$3)*(GMWQ!$ND$2:$ND$60=H$4),0),$B81-1966)</f>
        <v>63852</v>
      </c>
      <c r="I81" s="18" cm="1">
        <f t="array" ref="I81">INDEX(GMWQ!$A$2:$NE$60,MATCH(1,(GMWQ!$NE$2:$NE$60=I$3)*(GMWQ!$ND$2:$ND$60=I$4),0),$B81-1966)</f>
        <v>7688.2889999999998</v>
      </c>
      <c r="J81" s="18" cm="1">
        <f t="array" ref="J81">INDEX(GMWQ!$A$2:$NE$60,MATCH(1,(GMWQ!$NE$2:$NE$60=J$3)*(GMWQ!$ND$2:$ND$60=J$4),0),$B81-1966)</f>
        <v>14853</v>
      </c>
      <c r="K81" s="18" cm="1">
        <f t="array" ref="K81">INDEX(GMWQ!$A$2:$NE$60,MATCH(1,(GMWQ!$NE$2:$NE$60=K$3)*(GMWQ!$ND$2:$ND$60=K$4),0),$B81-1966)</f>
        <v>1618280</v>
      </c>
      <c r="L81" s="18" cm="1">
        <f t="array" ref="L81">INDEX(GMWQ!$A$2:$NE$60,MATCH(1,(GMWQ!$NE$2:$NE$60=L$3)*(GMWQ!$ND$2:$ND$60=L$4),0),$B81-1966)</f>
        <v>26025</v>
      </c>
      <c r="M81" s="18" cm="1">
        <f t="array" ref="M81">INDEX(GMWQ!$A$2:$NE$60,MATCH(1,(GMWQ!$NE$2:$NE$60=M$3)*(GMWQ!$ND$2:$ND$60=M$4),0),$B81-1966)</f>
        <v>33.153320000000001</v>
      </c>
      <c r="N81" s="18" cm="1">
        <f t="array" ref="N81">INDEX(GMWQ!$A$2:$NE$60,MATCH(1,(GMWQ!$NE$2:$NE$60=N$3)*(GMWQ!$ND$2:$ND$60=N$4),0),$B81-1966)</f>
        <v>21.63138</v>
      </c>
      <c r="O81" s="18" cm="1">
        <f t="array" ref="O81">INDEX(GMWQ!$A$2:$NE$60,MATCH(1,(GMWQ!$NE$2:$NE$60=O$3)*(GMWQ!$ND$2:$ND$60=O$4),0),$B81-1966)</f>
        <v>1E-3</v>
      </c>
      <c r="P81" s="18" cm="1">
        <f t="array" ref="P81">INDEX(GMWQ!$A$2:$NE$60,MATCH(1,(GMWQ!$NE$2:$NE$60=P$3)*(GMWQ!$ND$2:$ND$60=P$4),0),$B81-1966)</f>
        <v>144847.6</v>
      </c>
      <c r="Q81" s="18" cm="1">
        <f t="array" ref="Q81">INDEX(GMWQ!$A$2:$NE$60,MATCH(1,(GMWQ!$NE$2:$NE$60=Q$3)*(GMWQ!$ND$2:$ND$60=Q$4),0),$B81-1966)</f>
        <v>192.2</v>
      </c>
      <c r="R81" s="18" cm="1">
        <f t="array" ref="R81">INDEX(GMWQ!$A$2:$NE$60,MATCH(1,(GMWQ!$NE$2:$NE$60=R$3)*(GMWQ!$ND$2:$ND$60=R$4),0),$B81-1966)</f>
        <v>21093.35</v>
      </c>
      <c r="S81" s="18" cm="1">
        <f t="array" ref="S81">INDEX(GMWQ!$A$2:$NE$60,MATCH(1,(GMWQ!$NE$2:$NE$60=S$3)*(GMWQ!$ND$2:$ND$60=S$4),0),$B81-1966)</f>
        <v>77.06</v>
      </c>
      <c r="T81" s="18" cm="1">
        <f t="array" ref="T81">INDEX(GMWQ!$A$2:$NE$60,MATCH(1,(GMWQ!$NE$2:$NE$60=T$3)*(GMWQ!$ND$2:$ND$60=T$4),0),$B81-1966)</f>
        <v>44.420999999999999</v>
      </c>
      <c r="U81" s="18" cm="1">
        <f t="array" ref="U81">INDEX(GMWQ!$A$2:$NE$60,MATCH(1,(GMWQ!$NE$2:$NE$60=U$3)*(GMWQ!$ND$2:$ND$60=U$4),0),$B81-1966)</f>
        <v>43.859949999999998</v>
      </c>
      <c r="V81" s="18" cm="1">
        <f t="array" ref="V81">INDEX(GMWQ!$A$2:$NE$60,MATCH(1,(GMWQ!$NE$2:$NE$60=V$3)*(GMWQ!$ND$2:$ND$60=V$4),0),$B81-1966)</f>
        <v>28747.25</v>
      </c>
      <c r="W81" s="18" cm="1">
        <f t="array" ref="W81">INDEX(GMWQ!$A$2:$NF$60,MATCH(1,(GMWQ!$NE$2:$NE$60=W$3)*(GMWQ!$NF$2:$NF$60=W$1),0),$B81-1966)</f>
        <v>23369.83</v>
      </c>
      <c r="X81" s="18" cm="1">
        <f t="array" ref="X81">INDEX(GMWQ!$A$2:$NF$60,MATCH(1,(GMWQ!$NE$2:$NE$60=X$3)*(GMWQ!$NF$2:$NF$60=X$1),0),$B81-1966)</f>
        <v>25038.46</v>
      </c>
      <c r="Y81" s="18" cm="1">
        <f t="array" ref="Y81">INDEX(GMWQ!$A$2:$NF$60,MATCH(1,(GMWQ!$NE$2:$NE$60=Y$3)*(GMWQ!$NF$2:$NF$60=Y$1),0),$B81-1966)</f>
        <v>26117.24</v>
      </c>
      <c r="Z81" s="18" cm="1">
        <f t="array" ref="Z81">INDEX(GMWQ!$A$2:$NF$60,MATCH(1,(GMWQ!$NE$2:$NE$60=Z$3)*(GMWQ!$NF$2:$NF$60=Z$1),0),$B81-1966)</f>
        <v>24459.82</v>
      </c>
    </row>
    <row r="82" spans="1:26" x14ac:dyDescent="0.25">
      <c r="B82" s="18">
        <f t="shared" si="2"/>
        <v>2048</v>
      </c>
      <c r="C82" s="18" cm="1">
        <f t="array" ref="C82">INDEX(GMWQ!$A$2:$NE$60,MATCH(1,(GMWQ!$NE$2:$NE$60=C$3)*(GMWQ!$ND$2:$ND$60=C$4),0),$B82-1966)</f>
        <v>27193.43</v>
      </c>
      <c r="D82" s="18" cm="1">
        <f t="array" ref="D82">INDEX(GMWQ!$A$2:$NE$60,MATCH(1,(GMWQ!$NE$2:$NE$60=D$3)*(GMWQ!$ND$2:$ND$60=D$4),0),$B82-1966)</f>
        <v>40341</v>
      </c>
      <c r="E82" s="18" cm="1">
        <f t="array" ref="E82">INDEX(GMWQ!$A$2:$NE$60,MATCH(1,(GMWQ!$NE$2:$NE$60=E$3)*(GMWQ!$ND$2:$ND$60=E$4),0),$B82-1966)</f>
        <v>-705</v>
      </c>
      <c r="F82" s="18" cm="1">
        <f t="array" ref="F82">INDEX(GMWQ!$A$2:$NE$60,MATCH(1,(GMWQ!$NE$2:$NE$60=F$3)*(GMWQ!$ND$2:$ND$60=F$4),0),$B82-1966)</f>
        <v>-6723</v>
      </c>
      <c r="G82" s="18" cm="1">
        <f t="array" ref="G82">INDEX(GMWQ!$A$2:$NE$60,MATCH(1,(GMWQ!$NE$2:$NE$60=G$3)*(GMWQ!$ND$2:$ND$60=G$4),0),$B82-1966)</f>
        <v>179590</v>
      </c>
      <c r="H82" s="18" cm="1">
        <f t="array" ref="H82">INDEX(GMWQ!$A$2:$NE$60,MATCH(1,(GMWQ!$NE$2:$NE$60=H$3)*(GMWQ!$ND$2:$ND$60=H$4),0),$B82-1966)</f>
        <v>64085</v>
      </c>
      <c r="I82" s="18" cm="1">
        <f t="array" ref="I82">INDEX(GMWQ!$A$2:$NE$60,MATCH(1,(GMWQ!$NE$2:$NE$60=I$3)*(GMWQ!$ND$2:$ND$60=I$4),0),$B82-1966)</f>
        <v>7189.3980000000001</v>
      </c>
      <c r="J82" s="18" cm="1">
        <f t="array" ref="J82">INDEX(GMWQ!$A$2:$NE$60,MATCH(1,(GMWQ!$NE$2:$NE$60=J$3)*(GMWQ!$ND$2:$ND$60=J$4),0),$B82-1966)</f>
        <v>14952.92</v>
      </c>
      <c r="K82" s="18" cm="1">
        <f t="array" ref="K82">INDEX(GMWQ!$A$2:$NE$60,MATCH(1,(GMWQ!$NE$2:$NE$60=K$3)*(GMWQ!$ND$2:$ND$60=K$4),0),$B82-1966)</f>
        <v>1631082</v>
      </c>
      <c r="L82" s="18" cm="1">
        <f t="array" ref="L82">INDEX(GMWQ!$A$2:$NE$60,MATCH(1,(GMWQ!$NE$2:$NE$60=L$3)*(GMWQ!$ND$2:$ND$60=L$4),0),$B82-1966)</f>
        <v>25820</v>
      </c>
      <c r="M82" s="18" cm="1">
        <f t="array" ref="M82">INDEX(GMWQ!$A$2:$NE$60,MATCH(1,(GMWQ!$NE$2:$NE$60=M$3)*(GMWQ!$ND$2:$ND$60=M$4),0),$B82-1966)</f>
        <v>33.127389999999998</v>
      </c>
      <c r="N82" s="18" cm="1">
        <f t="array" ref="N82">INDEX(GMWQ!$A$2:$NE$60,MATCH(1,(GMWQ!$NE$2:$NE$60=N$3)*(GMWQ!$ND$2:$ND$60=N$4),0),$B82-1966)</f>
        <v>20.342780000000001</v>
      </c>
      <c r="O82" s="18" cm="1">
        <f t="array" ref="O82">INDEX(GMWQ!$A$2:$NE$60,MATCH(1,(GMWQ!$NE$2:$NE$60=O$3)*(GMWQ!$ND$2:$ND$60=O$4),0),$B82-1966)</f>
        <v>1E-3</v>
      </c>
      <c r="P82" s="18" cm="1">
        <f t="array" ref="P82">INDEX(GMWQ!$A$2:$NE$60,MATCH(1,(GMWQ!$NE$2:$NE$60=P$3)*(GMWQ!$ND$2:$ND$60=P$4),0),$B82-1966)</f>
        <v>143710.1</v>
      </c>
      <c r="Q82" s="18" cm="1">
        <f t="array" ref="Q82">INDEX(GMWQ!$A$2:$NE$60,MATCH(1,(GMWQ!$NE$2:$NE$60=Q$3)*(GMWQ!$ND$2:$ND$60=Q$4),0),$B82-1966)</f>
        <v>192.1</v>
      </c>
      <c r="R82" s="18" cm="1">
        <f t="array" ref="R82">INDEX(GMWQ!$A$2:$NE$60,MATCH(1,(GMWQ!$NE$2:$NE$60=R$3)*(GMWQ!$ND$2:$ND$60=R$4),0),$B82-1966)</f>
        <v>21057.38</v>
      </c>
      <c r="S82" s="18" cm="1">
        <f t="array" ref="S82">INDEX(GMWQ!$A$2:$NE$60,MATCH(1,(GMWQ!$NE$2:$NE$60=S$3)*(GMWQ!$ND$2:$ND$60=S$4),0),$B82-1966)</f>
        <v>77.28</v>
      </c>
      <c r="T82" s="18" cm="1">
        <f t="array" ref="T82">INDEX(GMWQ!$A$2:$NE$60,MATCH(1,(GMWQ!$NE$2:$NE$60=T$3)*(GMWQ!$ND$2:$ND$60=T$4),0),$B82-1966)</f>
        <v>44.365009999999998</v>
      </c>
      <c r="U82" s="18" cm="1">
        <f t="array" ref="U82">INDEX(GMWQ!$A$2:$NE$60,MATCH(1,(GMWQ!$NE$2:$NE$60=U$3)*(GMWQ!$ND$2:$ND$60=U$4),0),$B82-1966)</f>
        <v>43.459530000000001</v>
      </c>
      <c r="V82" s="18" cm="1">
        <f t="array" ref="V82">INDEX(GMWQ!$A$2:$NE$60,MATCH(1,(GMWQ!$NE$2:$NE$60=V$3)*(GMWQ!$ND$2:$ND$60=V$4),0),$B82-1966)</f>
        <v>28818.75</v>
      </c>
      <c r="W82" s="18" cm="1">
        <f t="array" ref="W82">INDEX(GMWQ!$A$2:$NF$60,MATCH(1,(GMWQ!$NE$2:$NE$60=W$3)*(GMWQ!$NF$2:$NF$60=W$1),0),$B82-1966)</f>
        <v>23971.200000000001</v>
      </c>
      <c r="X82" s="18" cm="1">
        <f t="array" ref="X82">INDEX(GMWQ!$A$2:$NF$60,MATCH(1,(GMWQ!$NE$2:$NE$60=X$3)*(GMWQ!$NF$2:$NF$60=X$1),0),$B82-1966)</f>
        <v>25682.77</v>
      </c>
      <c r="Y82" s="18" cm="1">
        <f t="array" ref="Y82">INDEX(GMWQ!$A$2:$NF$60,MATCH(1,(GMWQ!$NE$2:$NE$60=Y$3)*(GMWQ!$NF$2:$NF$60=Y$1),0),$B82-1966)</f>
        <v>26789.31</v>
      </c>
      <c r="Z82" s="18" cm="1">
        <f t="array" ref="Z82">INDEX(GMWQ!$A$2:$NF$60,MATCH(1,(GMWQ!$NE$2:$NE$60=Z$3)*(GMWQ!$NF$2:$NF$60=Z$1),0),$B82-1966)</f>
        <v>25089.24</v>
      </c>
    </row>
    <row r="83" spans="1:26" x14ac:dyDescent="0.25">
      <c r="A83" s="18">
        <v>1992</v>
      </c>
      <c r="B83" s="18">
        <f t="shared" si="2"/>
        <v>2049</v>
      </c>
      <c r="C83" s="18" cm="1">
        <f t="array" ref="C83">INDEX(GMWQ!$A$2:$NE$60,MATCH(1,(GMWQ!$NE$2:$NE$60=C$3)*(GMWQ!$ND$2:$ND$60=C$4),0),$B83-1966)</f>
        <v>27336.63</v>
      </c>
      <c r="D83" s="18" cm="1">
        <f t="array" ref="D83">INDEX(GMWQ!$A$2:$NE$60,MATCH(1,(GMWQ!$NE$2:$NE$60=D$3)*(GMWQ!$ND$2:$ND$60=D$4),0),$B83-1966)</f>
        <v>40279</v>
      </c>
      <c r="E83" s="18" cm="1">
        <f t="array" ref="E83">INDEX(GMWQ!$A$2:$NE$60,MATCH(1,(GMWQ!$NE$2:$NE$60=E$3)*(GMWQ!$ND$2:$ND$60=E$4),0),$B83-1966)</f>
        <v>-4637</v>
      </c>
      <c r="F83" s="18" cm="1">
        <f t="array" ref="F83">INDEX(GMWQ!$A$2:$NE$60,MATCH(1,(GMWQ!$NE$2:$NE$60=F$3)*(GMWQ!$ND$2:$ND$60=F$4),0),$B83-1966)</f>
        <v>-8349</v>
      </c>
      <c r="G83" s="18" cm="1">
        <f t="array" ref="G83">INDEX(GMWQ!$A$2:$NE$60,MATCH(1,(GMWQ!$NE$2:$NE$60=G$3)*(GMWQ!$ND$2:$ND$60=G$4),0),$B83-1966)</f>
        <v>181438</v>
      </c>
      <c r="H83" s="18" cm="1">
        <f t="array" ref="H83">INDEX(GMWQ!$A$2:$NE$60,MATCH(1,(GMWQ!$NE$2:$NE$60=H$3)*(GMWQ!$ND$2:$ND$60=H$4),0),$B83-1966)</f>
        <v>64254</v>
      </c>
      <c r="I83" s="18" cm="1">
        <f t="array" ref="I83">INDEX(GMWQ!$A$2:$NE$60,MATCH(1,(GMWQ!$NE$2:$NE$60=I$3)*(GMWQ!$ND$2:$ND$60=I$4),0),$B83-1966)</f>
        <v>7781.442</v>
      </c>
      <c r="J83" s="18" cm="1">
        <f t="array" ref="J83">INDEX(GMWQ!$A$2:$NE$60,MATCH(1,(GMWQ!$NE$2:$NE$60=J$3)*(GMWQ!$ND$2:$ND$60=J$4),0),$B83-1966)</f>
        <v>13888.2</v>
      </c>
      <c r="K83" s="18" cm="1">
        <f t="array" ref="K83">INDEX(GMWQ!$A$2:$NE$60,MATCH(1,(GMWQ!$NE$2:$NE$60=K$3)*(GMWQ!$ND$2:$ND$60=K$4),0),$B83-1966)</f>
        <v>1638779</v>
      </c>
      <c r="L83" s="18" cm="1">
        <f t="array" ref="L83">INDEX(GMWQ!$A$2:$NE$60,MATCH(1,(GMWQ!$NE$2:$NE$60=L$3)*(GMWQ!$ND$2:$ND$60=L$4),0),$B83-1966)</f>
        <v>25710</v>
      </c>
      <c r="M83" s="18" cm="1">
        <f t="array" ref="M83">INDEX(GMWQ!$A$2:$NE$60,MATCH(1,(GMWQ!$NE$2:$NE$60=M$3)*(GMWQ!$ND$2:$ND$60=M$4),0),$B83-1966)</f>
        <v>33.205179999999999</v>
      </c>
      <c r="N83" s="18" cm="1">
        <f t="array" ref="N83">INDEX(GMWQ!$A$2:$NE$60,MATCH(1,(GMWQ!$NE$2:$NE$60=N$3)*(GMWQ!$ND$2:$ND$60=N$4),0),$B83-1966)</f>
        <v>27.600519999999999</v>
      </c>
      <c r="O83" s="18" cm="1">
        <f t="array" ref="O83">INDEX(GMWQ!$A$2:$NE$60,MATCH(1,(GMWQ!$NE$2:$NE$60=O$3)*(GMWQ!$ND$2:$ND$60=O$4),0),$B83-1966)</f>
        <v>1E-3</v>
      </c>
      <c r="P83" s="18" cm="1">
        <f t="array" ref="P83">INDEX(GMWQ!$A$2:$NE$60,MATCH(1,(GMWQ!$NE$2:$NE$60=P$3)*(GMWQ!$ND$2:$ND$60=P$4),0),$B83-1966)</f>
        <v>143578.6</v>
      </c>
      <c r="Q83" s="18" cm="1">
        <f t="array" ref="Q83">INDEX(GMWQ!$A$2:$NE$60,MATCH(1,(GMWQ!$NE$2:$NE$60=Q$3)*(GMWQ!$ND$2:$ND$60=Q$4),0),$B83-1966)</f>
        <v>191.35</v>
      </c>
      <c r="R83" s="18" cm="1">
        <f t="array" ref="R83">INDEX(GMWQ!$A$2:$NE$60,MATCH(1,(GMWQ!$NE$2:$NE$60=R$3)*(GMWQ!$ND$2:$ND$60=R$4),0),$B83-1966)</f>
        <v>19985.43</v>
      </c>
      <c r="S83" s="18" cm="1">
        <f t="array" ref="S83">INDEX(GMWQ!$A$2:$NE$60,MATCH(1,(GMWQ!$NE$2:$NE$60=S$3)*(GMWQ!$ND$2:$ND$60=S$4),0),$B83-1966)</f>
        <v>77.7</v>
      </c>
      <c r="T83" s="18" cm="1">
        <f t="array" ref="T83">INDEX(GMWQ!$A$2:$NE$60,MATCH(1,(GMWQ!$NE$2:$NE$60=T$3)*(GMWQ!$ND$2:$ND$60=T$4),0),$B83-1966)</f>
        <v>44.366</v>
      </c>
      <c r="U83" s="18" cm="1">
        <f t="array" ref="U83">INDEX(GMWQ!$A$2:$NE$60,MATCH(1,(GMWQ!$NE$2:$NE$60=U$3)*(GMWQ!$ND$2:$ND$60=U$4),0),$B83-1966)</f>
        <v>43.22343</v>
      </c>
      <c r="V83" s="18" cm="1">
        <f t="array" ref="V83">INDEX(GMWQ!$A$2:$NE$60,MATCH(1,(GMWQ!$NE$2:$NE$60=V$3)*(GMWQ!$ND$2:$ND$60=V$4),0),$B83-1966)</f>
        <v>27723.75</v>
      </c>
      <c r="W83" s="18" cm="1">
        <f t="array" ref="W83">INDEX(GMWQ!$A$2:$NF$60,MATCH(1,(GMWQ!$NE$2:$NE$60=W$3)*(GMWQ!$NF$2:$NF$60=W$1),0),$B83-1966)</f>
        <v>24097.43</v>
      </c>
      <c r="X83" s="18" cm="1">
        <f t="array" ref="X83">INDEX(GMWQ!$A$2:$NF$60,MATCH(1,(GMWQ!$NE$2:$NE$60=X$3)*(GMWQ!$NF$2:$NF$60=X$1),0),$B83-1966)</f>
        <v>25818.02</v>
      </c>
      <c r="Y83" s="18" cm="1">
        <f t="array" ref="Y83">INDEX(GMWQ!$A$2:$NF$60,MATCH(1,(GMWQ!$NE$2:$NE$60=Y$3)*(GMWQ!$NF$2:$NF$60=Y$1),0),$B83-1966)</f>
        <v>26930.38</v>
      </c>
      <c r="Z83" s="18" cm="1">
        <f t="array" ref="Z83">INDEX(GMWQ!$A$2:$NF$60,MATCH(1,(GMWQ!$NE$2:$NE$60=Z$3)*(GMWQ!$NF$2:$NF$60=Z$1),0),$B83-1966)</f>
        <v>25221.360000000001</v>
      </c>
    </row>
    <row r="84" spans="1:26" x14ac:dyDescent="0.25">
      <c r="B84" s="18">
        <f t="shared" si="2"/>
        <v>2050</v>
      </c>
      <c r="C84" s="18" cm="1">
        <f t="array" ref="C84">INDEX(GMWQ!$A$2:$NE$60,MATCH(1,(GMWQ!$NE$2:$NE$60=C$3)*(GMWQ!$ND$2:$ND$60=C$4),0),$B84-1966)</f>
        <v>26749.35</v>
      </c>
      <c r="D84" s="18" cm="1">
        <f t="array" ref="D84">INDEX(GMWQ!$A$2:$NE$60,MATCH(1,(GMWQ!$NE$2:$NE$60=D$3)*(GMWQ!$ND$2:$ND$60=D$4),0),$B84-1966)</f>
        <v>41056</v>
      </c>
      <c r="E84" s="18" cm="1">
        <f t="array" ref="E84">INDEX(GMWQ!$A$2:$NE$60,MATCH(1,(GMWQ!$NE$2:$NE$60=E$3)*(GMWQ!$ND$2:$ND$60=E$4),0),$B84-1966)</f>
        <v>-630</v>
      </c>
      <c r="F84" s="18" cm="1">
        <f t="array" ref="F84">INDEX(GMWQ!$A$2:$NE$60,MATCH(1,(GMWQ!$NE$2:$NE$60=F$3)*(GMWQ!$ND$2:$ND$60=F$4),0),$B84-1966)</f>
        <v>-4994</v>
      </c>
      <c r="G84" s="18" cm="1">
        <f t="array" ref="G84">INDEX(GMWQ!$A$2:$NE$60,MATCH(1,(GMWQ!$NE$2:$NE$60=G$3)*(GMWQ!$ND$2:$ND$60=G$4),0),$B84-1966)</f>
        <v>181889</v>
      </c>
      <c r="H84" s="18" cm="1">
        <f t="array" ref="H84">INDEX(GMWQ!$A$2:$NE$60,MATCH(1,(GMWQ!$NE$2:$NE$60=H$3)*(GMWQ!$ND$2:$ND$60=H$4),0),$B84-1966)</f>
        <v>63871</v>
      </c>
      <c r="I84" s="18" cm="1">
        <f t="array" ref="I84">INDEX(GMWQ!$A$2:$NE$60,MATCH(1,(GMWQ!$NE$2:$NE$60=I$3)*(GMWQ!$ND$2:$ND$60=I$4),0),$B84-1966)</f>
        <v>7839.4049999999997</v>
      </c>
      <c r="J84" s="18" cm="1">
        <f t="array" ref="J84">INDEX(GMWQ!$A$2:$NE$60,MATCH(1,(GMWQ!$NE$2:$NE$60=J$3)*(GMWQ!$ND$2:$ND$60=J$4),0),$B84-1966)</f>
        <v>15165.35</v>
      </c>
      <c r="K84" s="18" cm="1">
        <f t="array" ref="K84">INDEX(GMWQ!$A$2:$NE$60,MATCH(1,(GMWQ!$NE$2:$NE$60=K$3)*(GMWQ!$ND$2:$ND$60=K$4),0),$B84-1966)</f>
        <v>1646476</v>
      </c>
      <c r="L84" s="18" cm="1">
        <f t="array" ref="L84">INDEX(GMWQ!$A$2:$NE$60,MATCH(1,(GMWQ!$NE$2:$NE$60=L$3)*(GMWQ!$ND$2:$ND$60=L$4),0),$B84-1966)</f>
        <v>25605</v>
      </c>
      <c r="M84" s="18" cm="1">
        <f t="array" ref="M84">INDEX(GMWQ!$A$2:$NE$60,MATCH(1,(GMWQ!$NE$2:$NE$60=M$3)*(GMWQ!$ND$2:$ND$60=M$4),0),$B84-1966)</f>
        <v>33.200000000000003</v>
      </c>
      <c r="N84" s="18" cm="1">
        <f t="array" ref="N84">INDEX(GMWQ!$A$2:$NE$60,MATCH(1,(GMWQ!$NE$2:$NE$60=N$3)*(GMWQ!$ND$2:$ND$60=N$4),0),$B84-1966)</f>
        <v>18.392289999999999</v>
      </c>
      <c r="O84" s="18" cm="1">
        <f t="array" ref="O84">INDEX(GMWQ!$A$2:$NE$60,MATCH(1,(GMWQ!$NE$2:$NE$60=O$3)*(GMWQ!$ND$2:$ND$60=O$4),0),$B84-1966)</f>
        <v>1E-3</v>
      </c>
      <c r="P84" s="18" cm="1">
        <f t="array" ref="P84">INDEX(GMWQ!$A$2:$NE$60,MATCH(1,(GMWQ!$NE$2:$NE$60=P$3)*(GMWQ!$ND$2:$ND$60=P$4),0),$B84-1966)</f>
        <v>144249.29999999999</v>
      </c>
      <c r="Q84" s="18" cm="1">
        <f t="array" ref="Q84">INDEX(GMWQ!$A$2:$NE$60,MATCH(1,(GMWQ!$NE$2:$NE$60=Q$3)*(GMWQ!$ND$2:$ND$60=Q$4),0),$B84-1966)</f>
        <v>197.52500000000001</v>
      </c>
      <c r="R84" s="18" cm="1">
        <f t="array" ref="R84">INDEX(GMWQ!$A$2:$NE$60,MATCH(1,(GMWQ!$NE$2:$NE$60=R$3)*(GMWQ!$ND$2:$ND$60=R$4),0),$B84-1966)</f>
        <v>20077.400000000001</v>
      </c>
      <c r="S84" s="18" cm="1">
        <f t="array" ref="S84">INDEX(GMWQ!$A$2:$NE$60,MATCH(1,(GMWQ!$NE$2:$NE$60=S$3)*(GMWQ!$ND$2:$ND$60=S$4),0),$B84-1966)</f>
        <v>77.209999999999994</v>
      </c>
      <c r="T84" s="18" cm="1">
        <f t="array" ref="T84">INDEX(GMWQ!$A$2:$NE$60,MATCH(1,(GMWQ!$NE$2:$NE$60=T$3)*(GMWQ!$ND$2:$ND$60=T$4),0),$B84-1966)</f>
        <v>43.813000000000002</v>
      </c>
      <c r="U84" s="18" cm="1">
        <f t="array" ref="U84">INDEX(GMWQ!$A$2:$NE$60,MATCH(1,(GMWQ!$NE$2:$NE$60=U$3)*(GMWQ!$ND$2:$ND$60=U$4),0),$B84-1966)</f>
        <v>43.29504</v>
      </c>
      <c r="V84" s="18" cm="1">
        <f t="array" ref="V84">INDEX(GMWQ!$A$2:$NE$60,MATCH(1,(GMWQ!$NE$2:$NE$60=V$3)*(GMWQ!$ND$2:$ND$60=V$4),0),$B84-1966)</f>
        <v>25772.5</v>
      </c>
      <c r="W84" s="18" cm="1">
        <f t="array" ref="W84">INDEX(GMWQ!$A$2:$NF$60,MATCH(1,(GMWQ!$NE$2:$NE$60=W$3)*(GMWQ!$NF$2:$NF$60=W$1),0),$B84-1966)</f>
        <v>23579.74</v>
      </c>
      <c r="X84" s="18" cm="1">
        <f t="array" ref="X84">INDEX(GMWQ!$A$2:$NF$60,MATCH(1,(GMWQ!$NE$2:$NE$60=X$3)*(GMWQ!$NF$2:$NF$60=X$1),0),$B84-1966)</f>
        <v>25263.360000000001</v>
      </c>
      <c r="Y84" s="18" cm="1">
        <f t="array" ref="Y84">INDEX(GMWQ!$A$2:$NF$60,MATCH(1,(GMWQ!$NE$2:$NE$60=Y$3)*(GMWQ!$NF$2:$NF$60=Y$1),0),$B84-1966)</f>
        <v>26351.83</v>
      </c>
      <c r="Z84" s="18" cm="1">
        <f t="array" ref="Z84">INDEX(GMWQ!$A$2:$NF$60,MATCH(1,(GMWQ!$NE$2:$NE$60=Z$3)*(GMWQ!$NF$2:$NF$60=Z$1),0),$B84-1966)</f>
        <v>24679.53</v>
      </c>
    </row>
    <row r="85" spans="1:26" x14ac:dyDescent="0.25">
      <c r="B85" s="18">
        <f t="shared" si="2"/>
        <v>2051</v>
      </c>
      <c r="C85" s="18" cm="1">
        <f t="array" ref="C85">INDEX(GMWQ!$A$2:$NE$60,MATCH(1,(GMWQ!$NE$2:$NE$60=C$3)*(GMWQ!$ND$2:$ND$60=C$4),0),$B85-1966)</f>
        <v>26705.91</v>
      </c>
      <c r="D85" s="18" cm="1">
        <f t="array" ref="D85">INDEX(GMWQ!$A$2:$NE$60,MATCH(1,(GMWQ!$NE$2:$NE$60=D$3)*(GMWQ!$ND$2:$ND$60=D$4),0),$B85-1966)</f>
        <v>40289</v>
      </c>
      <c r="E85" s="18" cm="1">
        <f t="array" ref="E85">INDEX(GMWQ!$A$2:$NE$60,MATCH(1,(GMWQ!$NE$2:$NE$60=E$3)*(GMWQ!$ND$2:$ND$60=E$4),0),$B85-1966)</f>
        <v>463</v>
      </c>
      <c r="F85" s="18" cm="1">
        <f t="array" ref="F85">INDEX(GMWQ!$A$2:$NE$60,MATCH(1,(GMWQ!$NE$2:$NE$60=F$3)*(GMWQ!$ND$2:$ND$60=F$4),0),$B85-1966)</f>
        <v>-6006</v>
      </c>
      <c r="G85" s="18" cm="1">
        <f t="array" ref="G85">INDEX(GMWQ!$A$2:$NE$60,MATCH(1,(GMWQ!$NE$2:$NE$60=G$3)*(GMWQ!$ND$2:$ND$60=G$4),0),$B85-1966)</f>
        <v>182558</v>
      </c>
      <c r="H85" s="18" cm="1">
        <f t="array" ref="H85">INDEX(GMWQ!$A$2:$NE$60,MATCH(1,(GMWQ!$NE$2:$NE$60=H$3)*(GMWQ!$ND$2:$ND$60=H$4),0),$B85-1966)</f>
        <v>64122</v>
      </c>
      <c r="I85" s="18" cm="1">
        <f t="array" ref="I85">INDEX(GMWQ!$A$2:$NE$60,MATCH(1,(GMWQ!$NE$2:$NE$60=I$3)*(GMWQ!$ND$2:$ND$60=I$4),0),$B85-1966)</f>
        <v>7667.5879999999997</v>
      </c>
      <c r="J85" s="18" cm="1">
        <f t="array" ref="J85">INDEX(GMWQ!$A$2:$NE$60,MATCH(1,(GMWQ!$NE$2:$NE$60=J$3)*(GMWQ!$ND$2:$ND$60=J$4),0),$B85-1966)</f>
        <v>15948.76</v>
      </c>
      <c r="K85" s="18" cm="1">
        <f t="array" ref="K85">INDEX(GMWQ!$A$2:$NE$60,MATCH(1,(GMWQ!$NE$2:$NE$60=K$3)*(GMWQ!$ND$2:$ND$60=K$4),0),$B85-1966)</f>
        <v>1654172</v>
      </c>
      <c r="L85" s="18" cm="1">
        <f t="array" ref="L85">INDEX(GMWQ!$A$2:$NE$60,MATCH(1,(GMWQ!$NE$2:$NE$60=L$3)*(GMWQ!$ND$2:$ND$60=L$4),0),$B85-1966)</f>
        <v>25509</v>
      </c>
      <c r="M85" s="18" cm="1">
        <f t="array" ref="M85">INDEX(GMWQ!$A$2:$NE$60,MATCH(1,(GMWQ!$NE$2:$NE$60=M$3)*(GMWQ!$ND$2:$ND$60=M$4),0),$B85-1966)</f>
        <v>33</v>
      </c>
      <c r="N85" s="18" cm="1">
        <f t="array" ref="N85">INDEX(GMWQ!$A$2:$NE$60,MATCH(1,(GMWQ!$NE$2:$NE$60=N$3)*(GMWQ!$ND$2:$ND$60=N$4),0),$B85-1966)</f>
        <v>14.79189</v>
      </c>
      <c r="O85" s="18" cm="1">
        <f t="array" ref="O85">INDEX(GMWQ!$A$2:$NE$60,MATCH(1,(GMWQ!$NE$2:$NE$60=O$3)*(GMWQ!$ND$2:$ND$60=O$4),0),$B85-1966)</f>
        <v>1E-3</v>
      </c>
      <c r="P85" s="18" cm="1">
        <f t="array" ref="P85">INDEX(GMWQ!$A$2:$NE$60,MATCH(1,(GMWQ!$NE$2:$NE$60=P$3)*(GMWQ!$ND$2:$ND$60=P$4),0),$B85-1966)</f>
        <v>143419</v>
      </c>
      <c r="Q85" s="18" cm="1">
        <f t="array" ref="Q85">INDEX(GMWQ!$A$2:$NE$60,MATCH(1,(GMWQ!$NE$2:$NE$60=Q$3)*(GMWQ!$ND$2:$ND$60=Q$4),0),$B85-1966)</f>
        <v>200.55</v>
      </c>
      <c r="R85" s="18" cm="1">
        <f t="array" ref="R85">INDEX(GMWQ!$A$2:$NE$60,MATCH(1,(GMWQ!$NE$2:$NE$60=R$3)*(GMWQ!$ND$2:$ND$60=R$4),0),$B85-1966)</f>
        <v>19615.53</v>
      </c>
      <c r="S85" s="18" cm="1">
        <f t="array" ref="S85">INDEX(GMWQ!$A$2:$NE$60,MATCH(1,(GMWQ!$NE$2:$NE$60=S$3)*(GMWQ!$ND$2:$ND$60=S$4),0),$B85-1966)</f>
        <v>75.11</v>
      </c>
      <c r="T85" s="18" cm="1">
        <f t="array" ref="T85">INDEX(GMWQ!$A$2:$NE$60,MATCH(1,(GMWQ!$NE$2:$NE$60=T$3)*(GMWQ!$ND$2:$ND$60=T$4),0),$B85-1966)</f>
        <v>43.003</v>
      </c>
      <c r="U85" s="18" cm="1">
        <f t="array" ref="U85">INDEX(GMWQ!$A$2:$NE$60,MATCH(1,(GMWQ!$NE$2:$NE$60=U$3)*(GMWQ!$ND$2:$ND$60=U$4),0),$B85-1966)</f>
        <v>41.19556</v>
      </c>
      <c r="V85" s="18" cm="1">
        <f t="array" ref="V85">INDEX(GMWQ!$A$2:$NE$60,MATCH(1,(GMWQ!$NE$2:$NE$60=V$3)*(GMWQ!$ND$2:$ND$60=V$4),0),$B85-1966)</f>
        <v>26296.75</v>
      </c>
      <c r="W85" s="18" cm="1">
        <f t="array" ref="W85">INDEX(GMWQ!$A$2:$NF$60,MATCH(1,(GMWQ!$NE$2:$NE$60=W$3)*(GMWQ!$NF$2:$NF$60=W$1),0),$B85-1966)</f>
        <v>23541.45</v>
      </c>
      <c r="X85" s="18" cm="1">
        <f t="array" ref="X85">INDEX(GMWQ!$A$2:$NF$60,MATCH(1,(GMWQ!$NE$2:$NE$60=X$3)*(GMWQ!$NF$2:$NF$60=X$1),0),$B85-1966)</f>
        <v>25222.33</v>
      </c>
      <c r="Y85" s="18" cm="1">
        <f t="array" ref="Y85">INDEX(GMWQ!$A$2:$NF$60,MATCH(1,(GMWQ!$NE$2:$NE$60=Y$3)*(GMWQ!$NF$2:$NF$60=Y$1),0),$B85-1966)</f>
        <v>26309.040000000001</v>
      </c>
      <c r="Z85" s="18" cm="1">
        <f t="array" ref="Z85">INDEX(GMWQ!$A$2:$NF$60,MATCH(1,(GMWQ!$NE$2:$NE$60=Z$3)*(GMWQ!$NF$2:$NF$60=Z$1),0),$B85-1966)</f>
        <v>24639.45</v>
      </c>
    </row>
    <row r="86" spans="1:26" x14ac:dyDescent="0.25">
      <c r="B86" s="18">
        <f t="shared" si="2"/>
        <v>2052</v>
      </c>
      <c r="C86" s="18" cm="1">
        <f t="array" ref="C86">INDEX(GMWQ!$A$2:$NE$60,MATCH(1,(GMWQ!$NE$2:$NE$60=C$3)*(GMWQ!$ND$2:$ND$60=C$4),0),$B86-1966)</f>
        <v>25526.53</v>
      </c>
      <c r="D86" s="18" cm="1">
        <f t="array" ref="D86">INDEX(GMWQ!$A$2:$NE$60,MATCH(1,(GMWQ!$NE$2:$NE$60=D$3)*(GMWQ!$ND$2:$ND$60=D$4),0),$B86-1966)</f>
        <v>41932</v>
      </c>
      <c r="E86" s="18" cm="1">
        <f t="array" ref="E86">INDEX(GMWQ!$A$2:$NE$60,MATCH(1,(GMWQ!$NE$2:$NE$60=E$3)*(GMWQ!$ND$2:$ND$60=E$4),0),$B86-1966)</f>
        <v>-757</v>
      </c>
      <c r="F86" s="18" cm="1">
        <f t="array" ref="F86">INDEX(GMWQ!$A$2:$NE$60,MATCH(1,(GMWQ!$NE$2:$NE$60=F$3)*(GMWQ!$ND$2:$ND$60=F$4),0),$B86-1966)</f>
        <v>-4524</v>
      </c>
      <c r="G86" s="18" cm="1">
        <f t="array" ref="G86">INDEX(GMWQ!$A$2:$NE$60,MATCH(1,(GMWQ!$NE$2:$NE$60=G$3)*(GMWQ!$ND$2:$ND$60=G$4),0),$B86-1966)</f>
        <v>184989</v>
      </c>
      <c r="H86" s="18" cm="1">
        <f t="array" ref="H86">INDEX(GMWQ!$A$2:$NE$60,MATCH(1,(GMWQ!$NE$2:$NE$60=H$3)*(GMWQ!$ND$2:$ND$60=H$4),0),$B86-1966)</f>
        <v>62577</v>
      </c>
      <c r="I86" s="18" cm="1">
        <f t="array" ref="I86">INDEX(GMWQ!$A$2:$NE$60,MATCH(1,(GMWQ!$NE$2:$NE$60=I$3)*(GMWQ!$ND$2:$ND$60=I$4),0),$B86-1966)</f>
        <v>8201.6689999999999</v>
      </c>
      <c r="J86" s="18" cm="1">
        <f t="array" ref="J86">INDEX(GMWQ!$A$2:$NE$60,MATCH(1,(GMWQ!$NE$2:$NE$60=J$3)*(GMWQ!$ND$2:$ND$60=J$4),0),$B86-1966)</f>
        <v>16346.58</v>
      </c>
      <c r="K86" s="18" cm="1">
        <f t="array" ref="K86">INDEX(GMWQ!$A$2:$NE$60,MATCH(1,(GMWQ!$NE$2:$NE$60=K$3)*(GMWQ!$ND$2:$ND$60=K$4),0),$B86-1966)</f>
        <v>1661869</v>
      </c>
      <c r="L86" s="18" cm="1">
        <f t="array" ref="L86">INDEX(GMWQ!$A$2:$NE$60,MATCH(1,(GMWQ!$NE$2:$NE$60=L$3)*(GMWQ!$ND$2:$ND$60=L$4),0),$B86-1966)</f>
        <v>25336</v>
      </c>
      <c r="M86" s="18" cm="1">
        <f t="array" ref="M86">INDEX(GMWQ!$A$2:$NE$60,MATCH(1,(GMWQ!$NE$2:$NE$60=M$3)*(GMWQ!$ND$2:$ND$60=M$4),0),$B86-1966)</f>
        <v>32.9</v>
      </c>
      <c r="N86" s="18" cm="1">
        <f t="array" ref="N86">INDEX(GMWQ!$A$2:$NE$60,MATCH(1,(GMWQ!$NE$2:$NE$60=N$3)*(GMWQ!$ND$2:$ND$60=N$4),0),$B86-1966)</f>
        <v>13.787559999999999</v>
      </c>
      <c r="O86" s="18" cm="1">
        <f t="array" ref="O86">INDEX(GMWQ!$A$2:$NE$60,MATCH(1,(GMWQ!$NE$2:$NE$60=O$3)*(GMWQ!$ND$2:$ND$60=O$4),0),$B86-1966)</f>
        <v>1E-3</v>
      </c>
      <c r="P86" s="18" cm="1">
        <f t="array" ref="P86">INDEX(GMWQ!$A$2:$NE$60,MATCH(1,(GMWQ!$NE$2:$NE$60=P$3)*(GMWQ!$ND$2:$ND$60=P$4),0),$B86-1966)</f>
        <v>142383.9</v>
      </c>
      <c r="Q86" s="18" cm="1">
        <f t="array" ref="Q86">INDEX(GMWQ!$A$2:$NE$60,MATCH(1,(GMWQ!$NE$2:$NE$60=Q$3)*(GMWQ!$ND$2:$ND$60=Q$4),0),$B86-1966)</f>
        <v>205.8</v>
      </c>
      <c r="R86" s="18" cm="1">
        <f t="array" ref="R86">INDEX(GMWQ!$A$2:$NE$60,MATCH(1,(GMWQ!$NE$2:$NE$60=R$3)*(GMWQ!$ND$2:$ND$60=R$4),0),$B86-1966)</f>
        <v>19011.5</v>
      </c>
      <c r="S86" s="18" cm="1">
        <f t="array" ref="S86">INDEX(GMWQ!$A$2:$NE$60,MATCH(1,(GMWQ!$NE$2:$NE$60=S$3)*(GMWQ!$ND$2:$ND$60=S$4),0),$B86-1966)</f>
        <v>71.7</v>
      </c>
      <c r="T86" s="18" cm="1">
        <f t="array" ref="T86">INDEX(GMWQ!$A$2:$NE$60,MATCH(1,(GMWQ!$NE$2:$NE$60=T$3)*(GMWQ!$ND$2:$ND$60=T$4),0),$B86-1966)</f>
        <v>42.234000000000002</v>
      </c>
      <c r="U86" s="18" cm="1">
        <f t="array" ref="U86">INDEX(GMWQ!$A$2:$NE$60,MATCH(1,(GMWQ!$NE$2:$NE$60=U$3)*(GMWQ!$ND$2:$ND$60=U$4),0),$B86-1966)</f>
        <v>40.550539999999998</v>
      </c>
      <c r="V86" s="18" cm="1">
        <f t="array" ref="V86">INDEX(GMWQ!$A$2:$NE$60,MATCH(1,(GMWQ!$NE$2:$NE$60=V$3)*(GMWQ!$ND$2:$ND$60=V$4),0),$B86-1966)</f>
        <v>24647.5</v>
      </c>
      <c r="W86" s="18" cm="1">
        <f t="array" ref="W86">INDEX(GMWQ!$A$2:$NF$60,MATCH(1,(GMWQ!$NE$2:$NE$60=W$3)*(GMWQ!$NF$2:$NF$60=W$1),0),$B86-1966)</f>
        <v>22501.81</v>
      </c>
      <c r="X86" s="18" cm="1">
        <f t="array" ref="X86">INDEX(GMWQ!$A$2:$NF$60,MATCH(1,(GMWQ!$NE$2:$NE$60=X$3)*(GMWQ!$NF$2:$NF$60=X$1),0),$B86-1966)</f>
        <v>24108.46</v>
      </c>
      <c r="Y86" s="18" cm="1">
        <f t="array" ref="Y86">INDEX(GMWQ!$A$2:$NF$60,MATCH(1,(GMWQ!$NE$2:$NE$60=Y$3)*(GMWQ!$NF$2:$NF$60=Y$1),0),$B86-1966)</f>
        <v>25147.18</v>
      </c>
      <c r="Z86" s="18" cm="1">
        <f t="array" ref="Z86">INDEX(GMWQ!$A$2:$NF$60,MATCH(1,(GMWQ!$NE$2:$NE$60=Z$3)*(GMWQ!$NF$2:$NF$60=Z$1),0),$B86-1966)</f>
        <v>23551.32</v>
      </c>
    </row>
    <row r="87" spans="1:26" x14ac:dyDescent="0.25">
      <c r="A87" s="18">
        <v>1993</v>
      </c>
      <c r="B87" s="18">
        <f t="shared" si="2"/>
        <v>2053</v>
      </c>
      <c r="C87" s="18" cm="1">
        <f t="array" ref="C87">INDEX(GMWQ!$A$2:$NE$60,MATCH(1,(GMWQ!$NE$2:$NE$60=C$3)*(GMWQ!$ND$2:$ND$60=C$4),0),$B87-1966)</f>
        <v>26155.64</v>
      </c>
      <c r="D87" s="18" cm="1">
        <f t="array" ref="D87">INDEX(GMWQ!$A$2:$NE$60,MATCH(1,(GMWQ!$NE$2:$NE$60=D$3)*(GMWQ!$ND$2:$ND$60=D$4),0),$B87-1966)</f>
        <v>45549</v>
      </c>
      <c r="E87" s="18" cm="1">
        <f t="array" ref="E87">INDEX(GMWQ!$A$2:$NE$60,MATCH(1,(GMWQ!$NE$2:$NE$60=E$3)*(GMWQ!$ND$2:$ND$60=E$4),0),$B87-1966)</f>
        <v>2002</v>
      </c>
      <c r="F87" s="18" cm="1">
        <f t="array" ref="F87">INDEX(GMWQ!$A$2:$NE$60,MATCH(1,(GMWQ!$NE$2:$NE$60=F$3)*(GMWQ!$ND$2:$ND$60=F$4),0),$B87-1966)</f>
        <v>-2118</v>
      </c>
      <c r="G87" s="18" cm="1">
        <f t="array" ref="G87">INDEX(GMWQ!$A$2:$NE$60,MATCH(1,(GMWQ!$NE$2:$NE$60=G$3)*(GMWQ!$ND$2:$ND$60=G$4),0),$B87-1966)</f>
        <v>189580</v>
      </c>
      <c r="H87" s="18" cm="1">
        <f t="array" ref="H87">INDEX(GMWQ!$A$2:$NE$60,MATCH(1,(GMWQ!$NE$2:$NE$60=H$3)*(GMWQ!$ND$2:$ND$60=H$4),0),$B87-1966)</f>
        <v>64089</v>
      </c>
      <c r="I87" s="18" cm="1">
        <f t="array" ref="I87">INDEX(GMWQ!$A$2:$NE$60,MATCH(1,(GMWQ!$NE$2:$NE$60=I$3)*(GMWQ!$ND$2:$ND$60=I$4),0),$B87-1966)</f>
        <v>8969.67</v>
      </c>
      <c r="J87" s="18" cm="1">
        <f t="array" ref="J87">INDEX(GMWQ!$A$2:$NE$60,MATCH(1,(GMWQ!$NE$2:$NE$60=J$3)*(GMWQ!$ND$2:$ND$60=J$4),0),$B87-1966)</f>
        <v>13834.44</v>
      </c>
      <c r="K87" s="18" cm="1">
        <f t="array" ref="K87">INDEX(GMWQ!$A$2:$NE$60,MATCH(1,(GMWQ!$NE$2:$NE$60=K$3)*(GMWQ!$ND$2:$ND$60=K$4),0),$B87-1966)</f>
        <v>1669684</v>
      </c>
      <c r="L87" s="18" cm="1">
        <f t="array" ref="L87">INDEX(GMWQ!$A$2:$NE$60,MATCH(1,(GMWQ!$NE$2:$NE$60=L$3)*(GMWQ!$ND$2:$ND$60=L$4),0),$B87-1966)</f>
        <v>25282</v>
      </c>
      <c r="M87" s="18" cm="1">
        <f t="array" ref="M87">INDEX(GMWQ!$A$2:$NE$60,MATCH(1,(GMWQ!$NE$2:$NE$60=M$3)*(GMWQ!$ND$2:$ND$60=M$4),0),$B87-1966)</f>
        <v>33</v>
      </c>
      <c r="N87" s="18" cm="1">
        <f t="array" ref="N87">INDEX(GMWQ!$A$2:$NE$60,MATCH(1,(GMWQ!$NE$2:$NE$60=N$3)*(GMWQ!$ND$2:$ND$60=N$4),0),$B87-1966)</f>
        <v>12.715619999999999</v>
      </c>
      <c r="O87" s="18" cm="1">
        <f t="array" ref="O87">INDEX(GMWQ!$A$2:$NE$60,MATCH(1,(GMWQ!$NE$2:$NE$60=O$3)*(GMWQ!$ND$2:$ND$60=O$4),0),$B87-1966)</f>
        <v>1E-3</v>
      </c>
      <c r="P87" s="18" cm="1">
        <f t="array" ref="P87">INDEX(GMWQ!$A$2:$NE$60,MATCH(1,(GMWQ!$NE$2:$NE$60=P$3)*(GMWQ!$ND$2:$ND$60=P$4),0),$B87-1966)</f>
        <v>139485.5</v>
      </c>
      <c r="Q87" s="18" cm="1">
        <f t="array" ref="Q87">INDEX(GMWQ!$A$2:$NE$60,MATCH(1,(GMWQ!$NE$2:$NE$60=Q$3)*(GMWQ!$ND$2:$ND$60=Q$4),0),$B87-1966)</f>
        <v>207.85</v>
      </c>
      <c r="R87" s="18" cm="1">
        <f t="array" ref="R87">INDEX(GMWQ!$A$2:$NE$60,MATCH(1,(GMWQ!$NE$2:$NE$60=R$3)*(GMWQ!$ND$2:$ND$60=R$4),0),$B87-1966)</f>
        <v>18777.8</v>
      </c>
      <c r="S87" s="18" cm="1">
        <f t="array" ref="S87">INDEX(GMWQ!$A$2:$NE$60,MATCH(1,(GMWQ!$NE$2:$NE$60=S$3)*(GMWQ!$ND$2:$ND$60=S$4),0),$B87-1966)</f>
        <v>69.11</v>
      </c>
      <c r="T87" s="18" cm="1">
        <f t="array" ref="T87">INDEX(GMWQ!$A$2:$NE$60,MATCH(1,(GMWQ!$NE$2:$NE$60=T$3)*(GMWQ!$ND$2:$ND$60=T$4),0),$B87-1966)</f>
        <v>41.177</v>
      </c>
      <c r="U87" s="18" cm="1">
        <f t="array" ref="U87">INDEX(GMWQ!$A$2:$NE$60,MATCH(1,(GMWQ!$NE$2:$NE$60=U$3)*(GMWQ!$ND$2:$ND$60=U$4),0),$B87-1966)</f>
        <v>37.47831</v>
      </c>
      <c r="V87" s="18" cm="1">
        <f t="array" ref="V87">INDEX(GMWQ!$A$2:$NE$60,MATCH(1,(GMWQ!$NE$2:$NE$60=V$3)*(GMWQ!$ND$2:$ND$60=V$4),0),$B87-1966)</f>
        <v>24734</v>
      </c>
      <c r="W87" s="18" cm="1">
        <f t="array" ref="W87">INDEX(GMWQ!$A$2:$NF$60,MATCH(1,(GMWQ!$NE$2:$NE$60=W$3)*(GMWQ!$NF$2:$NF$60=W$1),0),$B87-1966)</f>
        <v>23056.38</v>
      </c>
      <c r="X87" s="18" cm="1">
        <f t="array" ref="X87">INDEX(GMWQ!$A$2:$NF$60,MATCH(1,(GMWQ!$NE$2:$NE$60=X$3)*(GMWQ!$NF$2:$NF$60=X$1),0),$B87-1966)</f>
        <v>24702.63</v>
      </c>
      <c r="Y87" s="18" cm="1">
        <f t="array" ref="Y87">INDEX(GMWQ!$A$2:$NF$60,MATCH(1,(GMWQ!$NE$2:$NE$60=Y$3)*(GMWQ!$NF$2:$NF$60=Y$1),0),$B87-1966)</f>
        <v>25766.94</v>
      </c>
      <c r="Z87" s="18" cm="1">
        <f t="array" ref="Z87">INDEX(GMWQ!$A$2:$NF$60,MATCH(1,(GMWQ!$NE$2:$NE$60=Z$3)*(GMWQ!$NF$2:$NF$60=Z$1),0),$B87-1966)</f>
        <v>24131.75</v>
      </c>
    </row>
    <row r="88" spans="1:26" x14ac:dyDescent="0.25">
      <c r="B88" s="18">
        <f t="shared" si="2"/>
        <v>2054</v>
      </c>
      <c r="C88" s="18" cm="1">
        <f t="array" ref="C88">INDEX(GMWQ!$A$2:$NE$60,MATCH(1,(GMWQ!$NE$2:$NE$60=C$3)*(GMWQ!$ND$2:$ND$60=C$4),0),$B88-1966)</f>
        <v>25249.78</v>
      </c>
      <c r="D88" s="18" cm="1">
        <f t="array" ref="D88">INDEX(GMWQ!$A$2:$NE$60,MATCH(1,(GMWQ!$NE$2:$NE$60=D$3)*(GMWQ!$ND$2:$ND$60=D$4),0),$B88-1966)</f>
        <v>44417</v>
      </c>
      <c r="E88" s="18" cm="1">
        <f t="array" ref="E88">INDEX(GMWQ!$A$2:$NE$60,MATCH(1,(GMWQ!$NE$2:$NE$60=E$3)*(GMWQ!$ND$2:$ND$60=E$4),0),$B88-1966)</f>
        <v>-979</v>
      </c>
      <c r="F88" s="18" cm="1">
        <f t="array" ref="F88">INDEX(GMWQ!$A$2:$NE$60,MATCH(1,(GMWQ!$NE$2:$NE$60=F$3)*(GMWQ!$ND$2:$ND$60=F$4),0),$B88-1966)</f>
        <v>-3704</v>
      </c>
      <c r="G88" s="18" cm="1">
        <f t="array" ref="G88">INDEX(GMWQ!$A$2:$NE$60,MATCH(1,(GMWQ!$NE$2:$NE$60=G$3)*(GMWQ!$ND$2:$ND$60=G$4),0),$B88-1966)</f>
        <v>189802</v>
      </c>
      <c r="H88" s="18" cm="1">
        <f t="array" ref="H88">INDEX(GMWQ!$A$2:$NE$60,MATCH(1,(GMWQ!$NE$2:$NE$60=H$3)*(GMWQ!$ND$2:$ND$60=H$4),0),$B88-1966)</f>
        <v>63733</v>
      </c>
      <c r="I88" s="18" cm="1">
        <f t="array" ref="I88">INDEX(GMWQ!$A$2:$NE$60,MATCH(1,(GMWQ!$NE$2:$NE$60=I$3)*(GMWQ!$ND$2:$ND$60=I$4),0),$B88-1966)</f>
        <v>8481.1309999999994</v>
      </c>
      <c r="J88" s="18" cm="1">
        <f t="array" ref="J88">INDEX(GMWQ!$A$2:$NE$60,MATCH(1,(GMWQ!$NE$2:$NE$60=J$3)*(GMWQ!$ND$2:$ND$60=J$4),0),$B88-1966)</f>
        <v>16870.7</v>
      </c>
      <c r="K88" s="18" cm="1">
        <f t="array" ref="K88">INDEX(GMWQ!$A$2:$NE$60,MATCH(1,(GMWQ!$NE$2:$NE$60=K$3)*(GMWQ!$ND$2:$ND$60=K$4),0),$B88-1966)</f>
        <v>1677498</v>
      </c>
      <c r="L88" s="18" cm="1">
        <f t="array" ref="L88">INDEX(GMWQ!$A$2:$NE$60,MATCH(1,(GMWQ!$NE$2:$NE$60=L$3)*(GMWQ!$ND$2:$ND$60=L$4),0),$B88-1966)</f>
        <v>25293</v>
      </c>
      <c r="M88" s="18" cm="1">
        <f t="array" ref="M88">INDEX(GMWQ!$A$2:$NE$60,MATCH(1,(GMWQ!$NE$2:$NE$60=M$3)*(GMWQ!$ND$2:$ND$60=M$4),0),$B88-1966)</f>
        <v>33</v>
      </c>
      <c r="N88" s="18" cm="1">
        <f t="array" ref="N88">INDEX(GMWQ!$A$2:$NE$60,MATCH(1,(GMWQ!$NE$2:$NE$60=N$3)*(GMWQ!$ND$2:$ND$60=N$4),0),$B88-1966)</f>
        <v>12.803699999999999</v>
      </c>
      <c r="O88" s="18" cm="1">
        <f t="array" ref="O88">INDEX(GMWQ!$A$2:$NE$60,MATCH(1,(GMWQ!$NE$2:$NE$60=O$3)*(GMWQ!$ND$2:$ND$60=O$4),0),$B88-1966)</f>
        <v>1E-3</v>
      </c>
      <c r="P88" s="18" cm="1">
        <f t="array" ref="P88">INDEX(GMWQ!$A$2:$NE$60,MATCH(1,(GMWQ!$NE$2:$NE$60=P$3)*(GMWQ!$ND$2:$ND$60=P$4),0),$B88-1966)</f>
        <v>138312.9</v>
      </c>
      <c r="Q88" s="18" cm="1">
        <f t="array" ref="Q88">INDEX(GMWQ!$A$2:$NE$60,MATCH(1,(GMWQ!$NE$2:$NE$60=Q$3)*(GMWQ!$ND$2:$ND$60=Q$4),0),$B88-1966)</f>
        <v>211.92500000000001</v>
      </c>
      <c r="R88" s="18" cm="1">
        <f t="array" ref="R88">INDEX(GMWQ!$A$2:$NE$60,MATCH(1,(GMWQ!$NE$2:$NE$60=R$3)*(GMWQ!$ND$2:$ND$60=R$4),0),$B88-1966)</f>
        <v>17781.78</v>
      </c>
      <c r="S88" s="18" cm="1">
        <f t="array" ref="S88">INDEX(GMWQ!$A$2:$NE$60,MATCH(1,(GMWQ!$NE$2:$NE$60=S$3)*(GMWQ!$ND$2:$ND$60=S$4),0),$B88-1966)</f>
        <v>68.489999999999995</v>
      </c>
      <c r="T88" s="18" cm="1">
        <f t="array" ref="T88">INDEX(GMWQ!$A$2:$NE$60,MATCH(1,(GMWQ!$NE$2:$NE$60=T$3)*(GMWQ!$ND$2:$ND$60=T$4),0),$B88-1966)</f>
        <v>40.460990000000002</v>
      </c>
      <c r="U88" s="18" cm="1">
        <f t="array" ref="U88">INDEX(GMWQ!$A$2:$NE$60,MATCH(1,(GMWQ!$NE$2:$NE$60=U$3)*(GMWQ!$ND$2:$ND$60=U$4),0),$B88-1966)</f>
        <v>35.511600000000001</v>
      </c>
      <c r="V88" s="18" cm="1">
        <f t="array" ref="V88">INDEX(GMWQ!$A$2:$NE$60,MATCH(1,(GMWQ!$NE$2:$NE$60=V$3)*(GMWQ!$ND$2:$ND$60=V$4),0),$B88-1966)</f>
        <v>25925.75</v>
      </c>
      <c r="W88" s="18" cm="1">
        <f t="array" ref="W88">INDEX(GMWQ!$A$2:$NF$60,MATCH(1,(GMWQ!$NE$2:$NE$60=W$3)*(GMWQ!$NF$2:$NF$60=W$1),0),$B88-1966)</f>
        <v>22257.86</v>
      </c>
      <c r="X88" s="18" cm="1">
        <f t="array" ref="X88">INDEX(GMWQ!$A$2:$NF$60,MATCH(1,(GMWQ!$NE$2:$NE$60=X$3)*(GMWQ!$NF$2:$NF$60=X$1),0),$B88-1966)</f>
        <v>23847.09</v>
      </c>
      <c r="Y88" s="18" cm="1">
        <f t="array" ref="Y88">INDEX(GMWQ!$A$2:$NF$60,MATCH(1,(GMWQ!$NE$2:$NE$60=Y$3)*(GMWQ!$NF$2:$NF$60=Y$1),0),$B88-1966)</f>
        <v>24874.54</v>
      </c>
      <c r="Z88" s="18" cm="1">
        <f t="array" ref="Z88">INDEX(GMWQ!$A$2:$NF$60,MATCH(1,(GMWQ!$NE$2:$NE$60=Z$3)*(GMWQ!$NF$2:$NF$60=Z$1),0),$B88-1966)</f>
        <v>23295.99</v>
      </c>
    </row>
    <row r="89" spans="1:26" x14ac:dyDescent="0.25">
      <c r="B89" s="18">
        <f t="shared" si="2"/>
        <v>2055</v>
      </c>
      <c r="C89" s="18" cm="1">
        <f t="array" ref="C89">INDEX(GMWQ!$A$2:$NE$60,MATCH(1,(GMWQ!$NE$2:$NE$60=C$3)*(GMWQ!$ND$2:$ND$60=C$4),0),$B89-1966)</f>
        <v>25272.31</v>
      </c>
      <c r="D89" s="18" cm="1">
        <f t="array" ref="D89">INDEX(GMWQ!$A$2:$NE$60,MATCH(1,(GMWQ!$NE$2:$NE$60=D$3)*(GMWQ!$ND$2:$ND$60=D$4),0),$B89-1966)</f>
        <v>45845</v>
      </c>
      <c r="E89" s="18" cm="1">
        <f t="array" ref="E89">INDEX(GMWQ!$A$2:$NE$60,MATCH(1,(GMWQ!$NE$2:$NE$60=E$3)*(GMWQ!$ND$2:$ND$60=E$4),0),$B89-1966)</f>
        <v>1409</v>
      </c>
      <c r="F89" s="18" cm="1">
        <f t="array" ref="F89">INDEX(GMWQ!$A$2:$NE$60,MATCH(1,(GMWQ!$NE$2:$NE$60=F$3)*(GMWQ!$ND$2:$ND$60=F$4),0),$B89-1966)</f>
        <v>-2770</v>
      </c>
      <c r="G89" s="18" cm="1">
        <f t="array" ref="G89">INDEX(GMWQ!$A$2:$NE$60,MATCH(1,(GMWQ!$NE$2:$NE$60=G$3)*(GMWQ!$ND$2:$ND$60=G$4),0),$B89-1966)</f>
        <v>193552</v>
      </c>
      <c r="H89" s="18" cm="1">
        <f t="array" ref="H89">INDEX(GMWQ!$A$2:$NE$60,MATCH(1,(GMWQ!$NE$2:$NE$60=H$3)*(GMWQ!$ND$2:$ND$60=H$4),0),$B89-1966)</f>
        <v>63810</v>
      </c>
      <c r="I89" s="18" cm="1">
        <f t="array" ref="I89">INDEX(GMWQ!$A$2:$NE$60,MATCH(1,(GMWQ!$NE$2:$NE$60=I$3)*(GMWQ!$ND$2:$ND$60=I$4),0),$B89-1966)</f>
        <v>8508.0419999999995</v>
      </c>
      <c r="J89" s="18" cm="1">
        <f t="array" ref="J89">INDEX(GMWQ!$A$2:$NE$60,MATCH(1,(GMWQ!$NE$2:$NE$60=J$3)*(GMWQ!$ND$2:$ND$60=J$4),0),$B89-1966)</f>
        <v>17003.060000000001</v>
      </c>
      <c r="K89" s="18" cm="1">
        <f t="array" ref="K89">INDEX(GMWQ!$A$2:$NE$60,MATCH(1,(GMWQ!$NE$2:$NE$60=K$3)*(GMWQ!$ND$2:$ND$60=K$4),0),$B89-1966)</f>
        <v>1685313</v>
      </c>
      <c r="L89" s="18" cm="1">
        <f t="array" ref="L89">INDEX(GMWQ!$A$2:$NE$60,MATCH(1,(GMWQ!$NE$2:$NE$60=L$3)*(GMWQ!$ND$2:$ND$60=L$4),0),$B89-1966)</f>
        <v>25316</v>
      </c>
      <c r="M89" s="18" cm="1">
        <f t="array" ref="M89">INDEX(GMWQ!$A$2:$NE$60,MATCH(1,(GMWQ!$NE$2:$NE$60=M$3)*(GMWQ!$ND$2:$ND$60=M$4),0),$B89-1966)</f>
        <v>33</v>
      </c>
      <c r="N89" s="18" cm="1">
        <f t="array" ref="N89">INDEX(GMWQ!$A$2:$NE$60,MATCH(1,(GMWQ!$NE$2:$NE$60=N$3)*(GMWQ!$ND$2:$ND$60=N$4),0),$B89-1966)</f>
        <v>12.96149</v>
      </c>
      <c r="O89" s="18" cm="1">
        <f t="array" ref="O89">INDEX(GMWQ!$A$2:$NE$60,MATCH(1,(GMWQ!$NE$2:$NE$60=O$3)*(GMWQ!$ND$2:$ND$60=O$4),0),$B89-1966)</f>
        <v>1E-3</v>
      </c>
      <c r="P89" s="18" cm="1">
        <f t="array" ref="P89">INDEX(GMWQ!$A$2:$NE$60,MATCH(1,(GMWQ!$NE$2:$NE$60=P$3)*(GMWQ!$ND$2:$ND$60=P$4),0),$B89-1966)</f>
        <v>136703.6</v>
      </c>
      <c r="Q89" s="18" cm="1">
        <f t="array" ref="Q89">INDEX(GMWQ!$A$2:$NE$60,MATCH(1,(GMWQ!$NE$2:$NE$60=Q$3)*(GMWQ!$ND$2:$ND$60=Q$4),0),$B89-1966)</f>
        <v>213.65</v>
      </c>
      <c r="R89" s="18" cm="1">
        <f t="array" ref="R89">INDEX(GMWQ!$A$2:$NE$60,MATCH(1,(GMWQ!$NE$2:$NE$60=R$3)*(GMWQ!$ND$2:$ND$60=R$4),0),$B89-1966)</f>
        <v>16828.099999999999</v>
      </c>
      <c r="S89" s="18" cm="1">
        <f t="array" ref="S89">INDEX(GMWQ!$A$2:$NE$60,MATCH(1,(GMWQ!$NE$2:$NE$60=S$3)*(GMWQ!$ND$2:$ND$60=S$4),0),$B89-1966)</f>
        <v>68.790000000000006</v>
      </c>
      <c r="T89" s="18" cm="1">
        <f t="array" ref="T89">INDEX(GMWQ!$A$2:$NE$60,MATCH(1,(GMWQ!$NE$2:$NE$60=T$3)*(GMWQ!$ND$2:$ND$60=T$4),0),$B89-1966)</f>
        <v>39.798999999999999</v>
      </c>
      <c r="U89" s="18" cm="1">
        <f t="array" ref="U89">INDEX(GMWQ!$A$2:$NE$60,MATCH(1,(GMWQ!$NE$2:$NE$60=U$3)*(GMWQ!$ND$2:$ND$60=U$4),0),$B89-1966)</f>
        <v>34.49823</v>
      </c>
      <c r="V89" s="18" cm="1">
        <f t="array" ref="V89">INDEX(GMWQ!$A$2:$NE$60,MATCH(1,(GMWQ!$NE$2:$NE$60=V$3)*(GMWQ!$ND$2:$ND$60=V$4),0),$B89-1966)</f>
        <v>26716.25</v>
      </c>
      <c r="W89" s="18" cm="1">
        <f t="array" ref="W89">INDEX(GMWQ!$A$2:$NF$60,MATCH(1,(GMWQ!$NE$2:$NE$60=W$3)*(GMWQ!$NF$2:$NF$60=W$1),0),$B89-1966)</f>
        <v>22277.71</v>
      </c>
      <c r="X89" s="18" cm="1">
        <f t="array" ref="X89">INDEX(GMWQ!$A$2:$NF$60,MATCH(1,(GMWQ!$NE$2:$NE$60=X$3)*(GMWQ!$NF$2:$NF$60=X$1),0),$B89-1966)</f>
        <v>23868.37</v>
      </c>
      <c r="Y89" s="18" cm="1">
        <f t="array" ref="Y89">INDEX(GMWQ!$A$2:$NF$60,MATCH(1,(GMWQ!$NE$2:$NE$60=Y$3)*(GMWQ!$NF$2:$NF$60=Y$1),0),$B89-1966)</f>
        <v>24896.73</v>
      </c>
      <c r="Z89" s="18" cm="1">
        <f t="array" ref="Z89">INDEX(GMWQ!$A$2:$NF$60,MATCH(1,(GMWQ!$NE$2:$NE$60=Z$3)*(GMWQ!$NF$2:$NF$60=Z$1),0),$B89-1966)</f>
        <v>23316.77</v>
      </c>
    </row>
    <row r="90" spans="1:26" x14ac:dyDescent="0.25">
      <c r="B90" s="18">
        <f t="shared" si="2"/>
        <v>2056</v>
      </c>
      <c r="C90" s="18" cm="1">
        <f t="array" ref="C90">INDEX(GMWQ!$A$2:$NE$60,MATCH(1,(GMWQ!$NE$2:$NE$60=C$3)*(GMWQ!$ND$2:$ND$60=C$4),0),$B90-1966)</f>
        <v>25779.14</v>
      </c>
      <c r="D90" s="18" cm="1">
        <f t="array" ref="D90">INDEX(GMWQ!$A$2:$NE$60,MATCH(1,(GMWQ!$NE$2:$NE$60=D$3)*(GMWQ!$ND$2:$ND$60=D$4),0),$B90-1966)</f>
        <v>46796</v>
      </c>
      <c r="E90" s="18" cm="1">
        <f t="array" ref="E90">INDEX(GMWQ!$A$2:$NE$60,MATCH(1,(GMWQ!$NE$2:$NE$60=E$3)*(GMWQ!$ND$2:$ND$60=E$4),0),$B90-1966)</f>
        <v>2381</v>
      </c>
      <c r="F90" s="18" cm="1">
        <f t="array" ref="F90">INDEX(GMWQ!$A$2:$NE$60,MATCH(1,(GMWQ!$NE$2:$NE$60=F$3)*(GMWQ!$ND$2:$ND$60=F$4),0),$B90-1966)</f>
        <v>-3544</v>
      </c>
      <c r="G90" s="18" cm="1">
        <f t="array" ref="G90">INDEX(GMWQ!$A$2:$NE$60,MATCH(1,(GMWQ!$NE$2:$NE$60=G$3)*(GMWQ!$ND$2:$ND$60=G$4),0),$B90-1966)</f>
        <v>196921</v>
      </c>
      <c r="H90" s="18" cm="1">
        <f t="array" ref="H90">INDEX(GMWQ!$A$2:$NE$60,MATCH(1,(GMWQ!$NE$2:$NE$60=H$3)*(GMWQ!$ND$2:$ND$60=H$4),0),$B90-1966)</f>
        <v>65142</v>
      </c>
      <c r="I90" s="18" cm="1">
        <f t="array" ref="I90">INDEX(GMWQ!$A$2:$NE$60,MATCH(1,(GMWQ!$NE$2:$NE$60=I$3)*(GMWQ!$ND$2:$ND$60=I$4),0),$B90-1966)</f>
        <v>7781.442</v>
      </c>
      <c r="J90" s="18" cm="1">
        <f t="array" ref="J90">INDEX(GMWQ!$A$2:$NE$60,MATCH(1,(GMWQ!$NE$2:$NE$60=J$3)*(GMWQ!$ND$2:$ND$60=J$4),0),$B90-1966)</f>
        <v>17038.34</v>
      </c>
      <c r="K90" s="18" cm="1">
        <f t="array" ref="K90">INDEX(GMWQ!$A$2:$NE$60,MATCH(1,(GMWQ!$NE$2:$NE$60=K$3)*(GMWQ!$ND$2:$ND$60=K$4),0),$B90-1966)</f>
        <v>1693127</v>
      </c>
      <c r="L90" s="18" cm="1">
        <f t="array" ref="L90">INDEX(GMWQ!$A$2:$NE$60,MATCH(1,(GMWQ!$NE$2:$NE$60=L$3)*(GMWQ!$ND$2:$ND$60=L$4),0),$B90-1966)</f>
        <v>25320</v>
      </c>
      <c r="M90" s="18" cm="1">
        <f t="array" ref="M90">INDEX(GMWQ!$A$2:$NE$60,MATCH(1,(GMWQ!$NE$2:$NE$60=M$3)*(GMWQ!$ND$2:$ND$60=M$4),0),$B90-1966)</f>
        <v>33</v>
      </c>
      <c r="N90" s="18" cm="1">
        <f t="array" ref="N90">INDEX(GMWQ!$A$2:$NE$60,MATCH(1,(GMWQ!$NE$2:$NE$60=N$3)*(GMWQ!$ND$2:$ND$60=N$4),0),$B90-1966)</f>
        <v>12.126480000000001</v>
      </c>
      <c r="O90" s="18" cm="1">
        <f t="array" ref="O90">INDEX(GMWQ!$A$2:$NE$60,MATCH(1,(GMWQ!$NE$2:$NE$60=O$3)*(GMWQ!$ND$2:$ND$60=O$4),0),$B90-1966)</f>
        <v>1E-3</v>
      </c>
      <c r="P90" s="18" cm="1">
        <f t="array" ref="P90">INDEX(GMWQ!$A$2:$NE$60,MATCH(1,(GMWQ!$NE$2:$NE$60=P$3)*(GMWQ!$ND$2:$ND$60=P$4),0),$B90-1966)</f>
        <v>135310.1</v>
      </c>
      <c r="Q90" s="18" cm="1">
        <f t="array" ref="Q90">INDEX(GMWQ!$A$2:$NE$60,MATCH(1,(GMWQ!$NE$2:$NE$60=Q$3)*(GMWQ!$ND$2:$ND$60=Q$4),0),$B90-1966)</f>
        <v>221.35</v>
      </c>
      <c r="R90" s="18" cm="1">
        <f t="array" ref="R90">INDEX(GMWQ!$A$2:$NE$60,MATCH(1,(GMWQ!$NE$2:$NE$60=R$3)*(GMWQ!$ND$2:$ND$60=R$4),0),$B90-1966)</f>
        <v>16054.28</v>
      </c>
      <c r="S90" s="18" cm="1">
        <f t="array" ref="S90">INDEX(GMWQ!$A$2:$NE$60,MATCH(1,(GMWQ!$NE$2:$NE$60=S$3)*(GMWQ!$ND$2:$ND$60=S$4),0),$B90-1966)</f>
        <v>65.58</v>
      </c>
      <c r="T90" s="18" cm="1">
        <f t="array" ref="T90">INDEX(GMWQ!$A$2:$NE$60,MATCH(1,(GMWQ!$NE$2:$NE$60=T$3)*(GMWQ!$ND$2:$ND$60=T$4),0),$B90-1966)</f>
        <v>39.503999999999998</v>
      </c>
      <c r="U90" s="18" cm="1">
        <f t="array" ref="U90">INDEX(GMWQ!$A$2:$NE$60,MATCH(1,(GMWQ!$NE$2:$NE$60=U$3)*(GMWQ!$ND$2:$ND$60=U$4),0),$B90-1966)</f>
        <v>34.333030000000001</v>
      </c>
      <c r="V90" s="18" cm="1">
        <f t="array" ref="V90">INDEX(GMWQ!$A$2:$NE$60,MATCH(1,(GMWQ!$NE$2:$NE$60=V$3)*(GMWQ!$ND$2:$ND$60=V$4),0),$B90-1966)</f>
        <v>27568.5</v>
      </c>
      <c r="W90" s="18" cm="1">
        <f t="array" ref="W90">INDEX(GMWQ!$A$2:$NF$60,MATCH(1,(GMWQ!$NE$2:$NE$60=W$3)*(GMWQ!$NF$2:$NF$60=W$1),0),$B90-1966)</f>
        <v>22724.49</v>
      </c>
      <c r="X90" s="18" cm="1">
        <f t="array" ref="X90">INDEX(GMWQ!$A$2:$NF$60,MATCH(1,(GMWQ!$NE$2:$NE$60=X$3)*(GMWQ!$NF$2:$NF$60=X$1),0),$B90-1966)</f>
        <v>24347.040000000001</v>
      </c>
      <c r="Y90" s="18" cm="1">
        <f t="array" ref="Y90">INDEX(GMWQ!$A$2:$NF$60,MATCH(1,(GMWQ!$NE$2:$NE$60=Y$3)*(GMWQ!$NF$2:$NF$60=Y$1),0),$B90-1966)</f>
        <v>25396.03</v>
      </c>
      <c r="Z90" s="18" cm="1">
        <f t="array" ref="Z90">INDEX(GMWQ!$A$2:$NF$60,MATCH(1,(GMWQ!$NE$2:$NE$60=Z$3)*(GMWQ!$NF$2:$NF$60=Z$1),0),$B90-1966)</f>
        <v>23784.38</v>
      </c>
    </row>
    <row r="91" spans="1:26" x14ac:dyDescent="0.25">
      <c r="A91" s="18">
        <v>1994</v>
      </c>
      <c r="B91" s="18">
        <f t="shared" si="2"/>
        <v>2057</v>
      </c>
      <c r="C91" s="18" cm="1">
        <f t="array" ref="C91">INDEX(GMWQ!$A$2:$NE$60,MATCH(1,(GMWQ!$NE$2:$NE$60=C$3)*(GMWQ!$ND$2:$ND$60=C$4),0),$B91-1966)</f>
        <v>26289.18</v>
      </c>
      <c r="D91" s="18" cm="1">
        <f t="array" ref="D91">INDEX(GMWQ!$A$2:$NE$60,MATCH(1,(GMWQ!$NE$2:$NE$60=D$3)*(GMWQ!$ND$2:$ND$60=D$4),0),$B91-1966)</f>
        <v>49533</v>
      </c>
      <c r="E91" s="18" cm="1">
        <f t="array" ref="E91">INDEX(GMWQ!$A$2:$NE$60,MATCH(1,(GMWQ!$NE$2:$NE$60=E$3)*(GMWQ!$ND$2:$ND$60=E$4),0),$B91-1966)</f>
        <v>6120</v>
      </c>
      <c r="F91" s="18" cm="1">
        <f t="array" ref="F91">INDEX(GMWQ!$A$2:$NE$60,MATCH(1,(GMWQ!$NE$2:$NE$60=F$3)*(GMWQ!$ND$2:$ND$60=F$4),0),$B91-1966)</f>
        <v>2801</v>
      </c>
      <c r="G91" s="18" cm="1">
        <f t="array" ref="G91">INDEX(GMWQ!$A$2:$NE$60,MATCH(1,(GMWQ!$NE$2:$NE$60=G$3)*(GMWQ!$ND$2:$ND$60=G$4),0),$B91-1966)</f>
        <v>199796</v>
      </c>
      <c r="H91" s="18" cm="1">
        <f t="array" ref="H91">INDEX(GMWQ!$A$2:$NE$60,MATCH(1,(GMWQ!$NE$2:$NE$60=H$3)*(GMWQ!$ND$2:$ND$60=H$4),0),$B91-1966)</f>
        <v>65927</v>
      </c>
      <c r="I91" s="18" cm="1">
        <f t="array" ref="I91">INDEX(GMWQ!$A$2:$NE$60,MATCH(1,(GMWQ!$NE$2:$NE$60=I$3)*(GMWQ!$ND$2:$ND$60=I$4),0),$B91-1966)</f>
        <v>9423.0190000000002</v>
      </c>
      <c r="J91" s="18" cm="1">
        <f t="array" ref="J91">INDEX(GMWQ!$A$2:$NE$60,MATCH(1,(GMWQ!$NE$2:$NE$60=J$3)*(GMWQ!$ND$2:$ND$60=J$4),0),$B91-1966)</f>
        <v>16831.330000000002</v>
      </c>
      <c r="K91" s="18" cm="1">
        <f t="array" ref="K91">INDEX(GMWQ!$A$2:$NE$60,MATCH(1,(GMWQ!$NE$2:$NE$60=K$3)*(GMWQ!$ND$2:$ND$60=K$4),0),$B91-1966)</f>
        <v>1702434</v>
      </c>
      <c r="L91" s="18" cm="1">
        <f t="array" ref="L91">INDEX(GMWQ!$A$2:$NE$60,MATCH(1,(GMWQ!$NE$2:$NE$60=L$3)*(GMWQ!$ND$2:$ND$60=L$4),0),$B91-1966)</f>
        <v>25408</v>
      </c>
      <c r="M91" s="18" cm="1">
        <f t="array" ref="M91">INDEX(GMWQ!$A$2:$NE$60,MATCH(1,(GMWQ!$NE$2:$NE$60=M$3)*(GMWQ!$ND$2:$ND$60=M$4),0),$B91-1966)</f>
        <v>33.1</v>
      </c>
      <c r="N91" s="18" cm="1">
        <f t="array" ref="N91">INDEX(GMWQ!$A$2:$NE$60,MATCH(1,(GMWQ!$NE$2:$NE$60=N$3)*(GMWQ!$ND$2:$ND$60=N$4),0),$B91-1966)</f>
        <v>11.065530000000001</v>
      </c>
      <c r="O91" s="18" cm="1">
        <f t="array" ref="O91">INDEX(GMWQ!$A$2:$NE$60,MATCH(1,(GMWQ!$NE$2:$NE$60=O$3)*(GMWQ!$ND$2:$ND$60=O$4),0),$B91-1966)</f>
        <v>1E-3</v>
      </c>
      <c r="P91" s="18" cm="1">
        <f t="array" ref="P91">INDEX(GMWQ!$A$2:$NE$60,MATCH(1,(GMWQ!$NE$2:$NE$60=P$3)*(GMWQ!$ND$2:$ND$60=P$4),0),$B91-1966)</f>
        <v>131976</v>
      </c>
      <c r="Q91" s="18" cm="1">
        <f t="array" ref="Q91">INDEX(GMWQ!$A$2:$NE$60,MATCH(1,(GMWQ!$NE$2:$NE$60=Q$3)*(GMWQ!$ND$2:$ND$60=Q$4),0),$B91-1966)</f>
        <v>223.67500000000001</v>
      </c>
      <c r="R91" s="18" cm="1">
        <f t="array" ref="R91">INDEX(GMWQ!$A$2:$NE$60,MATCH(1,(GMWQ!$NE$2:$NE$60=R$3)*(GMWQ!$ND$2:$ND$60=R$4),0),$B91-1966)</f>
        <v>16564.8</v>
      </c>
      <c r="S91" s="18" cm="1">
        <f t="array" ref="S91">INDEX(GMWQ!$A$2:$NE$60,MATCH(1,(GMWQ!$NE$2:$NE$60=S$3)*(GMWQ!$ND$2:$ND$60=S$4),0),$B91-1966)</f>
        <v>66.44</v>
      </c>
      <c r="T91" s="18" cm="1">
        <f t="array" ref="T91">INDEX(GMWQ!$A$2:$NE$60,MATCH(1,(GMWQ!$NE$2:$NE$60=T$3)*(GMWQ!$ND$2:$ND$60=T$4),0),$B91-1966)</f>
        <v>39.898009999999999</v>
      </c>
      <c r="U91" s="18" cm="1">
        <f t="array" ref="U91">INDEX(GMWQ!$A$2:$NE$60,MATCH(1,(GMWQ!$NE$2:$NE$60=U$3)*(GMWQ!$ND$2:$ND$60=U$4),0),$B91-1966)</f>
        <v>35.581519999999998</v>
      </c>
      <c r="V91" s="18" cm="1">
        <f t="array" ref="V91">INDEX(GMWQ!$A$2:$NE$60,MATCH(1,(GMWQ!$NE$2:$NE$60=V$3)*(GMWQ!$ND$2:$ND$60=V$4),0),$B91-1966)</f>
        <v>27452.25</v>
      </c>
      <c r="W91" s="18" cm="1">
        <f t="array" ref="W91">INDEX(GMWQ!$A$2:$NF$60,MATCH(1,(GMWQ!$NE$2:$NE$60=W$3)*(GMWQ!$NF$2:$NF$60=W$1),0),$B91-1966)</f>
        <v>23174.1</v>
      </c>
      <c r="X91" s="18" cm="1">
        <f t="array" ref="X91">INDEX(GMWQ!$A$2:$NF$60,MATCH(1,(GMWQ!$NE$2:$NE$60=X$3)*(GMWQ!$NF$2:$NF$60=X$1),0),$B91-1966)</f>
        <v>24828.76</v>
      </c>
      <c r="Y91" s="18" cm="1">
        <f t="array" ref="Y91">INDEX(GMWQ!$A$2:$NF$60,MATCH(1,(GMWQ!$NE$2:$NE$60=Y$3)*(GMWQ!$NF$2:$NF$60=Y$1),0),$B91-1966)</f>
        <v>25898.5</v>
      </c>
      <c r="Z91" s="18" cm="1">
        <f t="array" ref="Z91">INDEX(GMWQ!$A$2:$NF$60,MATCH(1,(GMWQ!$NE$2:$NE$60=Z$3)*(GMWQ!$NF$2:$NF$60=Z$1),0),$B91-1966)</f>
        <v>24254.959999999999</v>
      </c>
    </row>
    <row r="92" spans="1:26" x14ac:dyDescent="0.25">
      <c r="B92" s="18">
        <f t="shared" si="2"/>
        <v>2058</v>
      </c>
      <c r="C92" s="18" cm="1">
        <f t="array" ref="C92">INDEX(GMWQ!$A$2:$NE$60,MATCH(1,(GMWQ!$NE$2:$NE$60=C$3)*(GMWQ!$ND$2:$ND$60=C$4),0),$B92-1966)</f>
        <v>26165.29</v>
      </c>
      <c r="D92" s="18" cm="1">
        <f t="array" ref="D92">INDEX(GMWQ!$A$2:$NE$60,MATCH(1,(GMWQ!$NE$2:$NE$60=D$3)*(GMWQ!$ND$2:$ND$60=D$4),0),$B92-1966)</f>
        <v>49608</v>
      </c>
      <c r="E92" s="18" cm="1">
        <f t="array" ref="E92">INDEX(GMWQ!$A$2:$NE$60,MATCH(1,(GMWQ!$NE$2:$NE$60=E$3)*(GMWQ!$ND$2:$ND$60=E$4),0),$B92-1966)</f>
        <v>3895</v>
      </c>
      <c r="F92" s="18" cm="1">
        <f t="array" ref="F92">INDEX(GMWQ!$A$2:$NE$60,MATCH(1,(GMWQ!$NE$2:$NE$60=F$3)*(GMWQ!$ND$2:$ND$60=F$4),0),$B92-1966)</f>
        <v>151</v>
      </c>
      <c r="G92" s="18" cm="1">
        <f t="array" ref="G92">INDEX(GMWQ!$A$2:$NE$60,MATCH(1,(GMWQ!$NE$2:$NE$60=G$3)*(GMWQ!$ND$2:$ND$60=G$4),0),$B92-1966)</f>
        <v>200691</v>
      </c>
      <c r="H92" s="18" cm="1">
        <f t="array" ref="H92">INDEX(GMWQ!$A$2:$NE$60,MATCH(1,(GMWQ!$NE$2:$NE$60=H$3)*(GMWQ!$ND$2:$ND$60=H$4),0),$B92-1966)</f>
        <v>64605</v>
      </c>
      <c r="I92" s="18" cm="1">
        <f t="array" ref="I92">INDEX(GMWQ!$A$2:$NE$60,MATCH(1,(GMWQ!$NE$2:$NE$60=I$3)*(GMWQ!$ND$2:$ND$60=I$4),0),$B92-1966)</f>
        <v>9503.7520000000004</v>
      </c>
      <c r="J92" s="18" cm="1">
        <f t="array" ref="J92">INDEX(GMWQ!$A$2:$NE$60,MATCH(1,(GMWQ!$NE$2:$NE$60=J$3)*(GMWQ!$ND$2:$ND$60=J$4),0),$B92-1966)</f>
        <v>16374.56</v>
      </c>
      <c r="K92" s="18" cm="1">
        <f t="array" ref="K92">INDEX(GMWQ!$A$2:$NE$60,MATCH(1,(GMWQ!$NE$2:$NE$60=K$3)*(GMWQ!$ND$2:$ND$60=K$4),0),$B92-1966)</f>
        <v>1711741</v>
      </c>
      <c r="L92" s="18" cm="1">
        <f t="array" ref="L92">INDEX(GMWQ!$A$2:$NE$60,MATCH(1,(GMWQ!$NE$2:$NE$60=L$3)*(GMWQ!$ND$2:$ND$60=L$4),0),$B92-1966)</f>
        <v>25451</v>
      </c>
      <c r="M92" s="18" cm="1">
        <f t="array" ref="M92">INDEX(GMWQ!$A$2:$NE$60,MATCH(1,(GMWQ!$NE$2:$NE$60=M$3)*(GMWQ!$ND$2:$ND$60=M$4),0),$B92-1966)</f>
        <v>33.1</v>
      </c>
      <c r="N92" s="18" cm="1">
        <f t="array" ref="N92">INDEX(GMWQ!$A$2:$NE$60,MATCH(1,(GMWQ!$NE$2:$NE$60=N$3)*(GMWQ!$ND$2:$ND$60=N$4),0),$B92-1966)</f>
        <v>11.06311</v>
      </c>
      <c r="O92" s="18" cm="1">
        <f t="array" ref="O92">INDEX(GMWQ!$A$2:$NE$60,MATCH(1,(GMWQ!$NE$2:$NE$60=O$3)*(GMWQ!$ND$2:$ND$60=O$4),0),$B92-1966)</f>
        <v>1E-3</v>
      </c>
      <c r="P92" s="18" cm="1">
        <f t="array" ref="P92">INDEX(GMWQ!$A$2:$NE$60,MATCH(1,(GMWQ!$NE$2:$NE$60=P$3)*(GMWQ!$ND$2:$ND$60=P$4),0),$B92-1966)</f>
        <v>128453.1</v>
      </c>
      <c r="Q92" s="18" cm="1">
        <f t="array" ref="Q92">INDEX(GMWQ!$A$2:$NE$60,MATCH(1,(GMWQ!$NE$2:$NE$60=Q$3)*(GMWQ!$ND$2:$ND$60=Q$4),0),$B92-1966)</f>
        <v>227.17500000000001</v>
      </c>
      <c r="R92" s="18" cm="1">
        <f t="array" ref="R92">INDEX(GMWQ!$A$2:$NE$60,MATCH(1,(GMWQ!$NE$2:$NE$60=R$3)*(GMWQ!$ND$2:$ND$60=R$4),0),$B92-1966)</f>
        <v>16516.25</v>
      </c>
      <c r="S92" s="18" cm="1">
        <f t="array" ref="S92">INDEX(GMWQ!$A$2:$NE$60,MATCH(1,(GMWQ!$NE$2:$NE$60=S$3)*(GMWQ!$ND$2:$ND$60=S$4),0),$B92-1966)</f>
        <v>66.81</v>
      </c>
      <c r="T92" s="18" cm="1">
        <f t="array" ref="T92">INDEX(GMWQ!$A$2:$NE$60,MATCH(1,(GMWQ!$NE$2:$NE$60=T$3)*(GMWQ!$ND$2:$ND$60=T$4),0),$B92-1966)</f>
        <v>40.326999999999998</v>
      </c>
      <c r="U92" s="18" cm="1">
        <f t="array" ref="U92">INDEX(GMWQ!$A$2:$NE$60,MATCH(1,(GMWQ!$NE$2:$NE$60=U$3)*(GMWQ!$ND$2:$ND$60=U$4),0),$B92-1966)</f>
        <v>37.876869999999997</v>
      </c>
      <c r="V92" s="18" cm="1">
        <f t="array" ref="V92">INDEX(GMWQ!$A$2:$NE$60,MATCH(1,(GMWQ!$NE$2:$NE$60=V$3)*(GMWQ!$ND$2:$ND$60=V$4),0),$B92-1966)</f>
        <v>28573.5</v>
      </c>
      <c r="W92" s="18" cm="1">
        <f t="array" ref="W92">INDEX(GMWQ!$A$2:$NF$60,MATCH(1,(GMWQ!$NE$2:$NE$60=W$3)*(GMWQ!$NF$2:$NF$60=W$1),0),$B92-1966)</f>
        <v>23064.89</v>
      </c>
      <c r="X92" s="18" cm="1">
        <f t="array" ref="X92">INDEX(GMWQ!$A$2:$NF$60,MATCH(1,(GMWQ!$NE$2:$NE$60=X$3)*(GMWQ!$NF$2:$NF$60=X$1),0),$B92-1966)</f>
        <v>24711.75</v>
      </c>
      <c r="Y92" s="18" cm="1">
        <f t="array" ref="Y92">INDEX(GMWQ!$A$2:$NF$60,MATCH(1,(GMWQ!$NE$2:$NE$60=Y$3)*(GMWQ!$NF$2:$NF$60=Y$1),0),$B92-1966)</f>
        <v>25776.45</v>
      </c>
      <c r="Z92" s="18" cm="1">
        <f t="array" ref="Z92">INDEX(GMWQ!$A$2:$NF$60,MATCH(1,(GMWQ!$NE$2:$NE$60=Z$3)*(GMWQ!$NF$2:$NF$60=Z$1),0),$B92-1966)</f>
        <v>24140.66</v>
      </c>
    </row>
    <row r="93" spans="1:26" x14ac:dyDescent="0.25">
      <c r="B93" s="18">
        <f t="shared" si="2"/>
        <v>2059</v>
      </c>
      <c r="C93" s="18" cm="1">
        <f t="array" ref="C93">INDEX(GMWQ!$A$2:$NE$60,MATCH(1,(GMWQ!$NE$2:$NE$60=C$3)*(GMWQ!$ND$2:$ND$60=C$4),0),$B93-1966)</f>
        <v>27072.76</v>
      </c>
      <c r="D93" s="18" cm="1">
        <f t="array" ref="D93">INDEX(GMWQ!$A$2:$NE$60,MATCH(1,(GMWQ!$NE$2:$NE$60=D$3)*(GMWQ!$ND$2:$ND$60=D$4),0),$B93-1966)</f>
        <v>49092</v>
      </c>
      <c r="E93" s="18" cm="1">
        <f t="array" ref="E93">INDEX(GMWQ!$A$2:$NE$60,MATCH(1,(GMWQ!$NE$2:$NE$60=E$3)*(GMWQ!$ND$2:$ND$60=E$4),0),$B93-1966)</f>
        <v>1812</v>
      </c>
      <c r="F93" s="18" cm="1">
        <f t="array" ref="F93">INDEX(GMWQ!$A$2:$NE$60,MATCH(1,(GMWQ!$NE$2:$NE$60=F$3)*(GMWQ!$ND$2:$ND$60=F$4),0),$B93-1966)</f>
        <v>-31</v>
      </c>
      <c r="G93" s="18" cm="1">
        <f t="array" ref="G93">INDEX(GMWQ!$A$2:$NE$60,MATCH(1,(GMWQ!$NE$2:$NE$60=G$3)*(GMWQ!$ND$2:$ND$60=G$4),0),$B93-1966)</f>
        <v>203292</v>
      </c>
      <c r="H93" s="18" cm="1">
        <f t="array" ref="H93">INDEX(GMWQ!$A$2:$NE$60,MATCH(1,(GMWQ!$NE$2:$NE$60=H$3)*(GMWQ!$ND$2:$ND$60=H$4),0),$B93-1966)</f>
        <v>65040</v>
      </c>
      <c r="I93" s="18" cm="1">
        <f t="array" ref="I93">INDEX(GMWQ!$A$2:$NE$60,MATCH(1,(GMWQ!$NE$2:$NE$60=I$3)*(GMWQ!$ND$2:$ND$60=I$4),0),$B93-1966)</f>
        <v>8766.8019999999997</v>
      </c>
      <c r="J93" s="18" cm="1">
        <f t="array" ref="J93">INDEX(GMWQ!$A$2:$NE$60,MATCH(1,(GMWQ!$NE$2:$NE$60=J$3)*(GMWQ!$ND$2:$ND$60=J$4),0),$B93-1966)</f>
        <v>16612.14</v>
      </c>
      <c r="K93" s="18" cm="1">
        <f t="array" ref="K93">INDEX(GMWQ!$A$2:$NE$60,MATCH(1,(GMWQ!$NE$2:$NE$60=K$3)*(GMWQ!$ND$2:$ND$60=K$4),0),$B93-1966)</f>
        <v>1721048</v>
      </c>
      <c r="L93" s="18" cm="1">
        <f t="array" ref="L93">INDEX(GMWQ!$A$2:$NE$60,MATCH(1,(GMWQ!$NE$2:$NE$60=L$3)*(GMWQ!$ND$2:$ND$60=L$4),0),$B93-1966)</f>
        <v>25559</v>
      </c>
      <c r="M93" s="18" cm="1">
        <f t="array" ref="M93">INDEX(GMWQ!$A$2:$NE$60,MATCH(1,(GMWQ!$NE$2:$NE$60=M$3)*(GMWQ!$ND$2:$ND$60=M$4),0),$B93-1966)</f>
        <v>33.200000000000003</v>
      </c>
      <c r="N93" s="18" cm="1">
        <f t="array" ref="N93">INDEX(GMWQ!$A$2:$NE$60,MATCH(1,(GMWQ!$NE$2:$NE$60=N$3)*(GMWQ!$ND$2:$ND$60=N$4),0),$B93-1966)</f>
        <v>11.47864</v>
      </c>
      <c r="O93" s="18" cm="1">
        <f t="array" ref="O93">INDEX(GMWQ!$A$2:$NE$60,MATCH(1,(GMWQ!$NE$2:$NE$60=O$3)*(GMWQ!$ND$2:$ND$60=O$4),0),$B93-1966)</f>
        <v>1E-3</v>
      </c>
      <c r="P93" s="18" cm="1">
        <f t="array" ref="P93">INDEX(GMWQ!$A$2:$NE$60,MATCH(1,(GMWQ!$NE$2:$NE$60=P$3)*(GMWQ!$ND$2:$ND$60=P$4),0),$B93-1966)</f>
        <v>128328.6</v>
      </c>
      <c r="Q93" s="18" cm="1">
        <f t="array" ref="Q93">INDEX(GMWQ!$A$2:$NE$60,MATCH(1,(GMWQ!$NE$2:$NE$60=Q$3)*(GMWQ!$ND$2:$ND$60=Q$4),0),$B93-1966)</f>
        <v>231.05</v>
      </c>
      <c r="R93" s="18" cm="1">
        <f t="array" ref="R93">INDEX(GMWQ!$A$2:$NE$60,MATCH(1,(GMWQ!$NE$2:$NE$60=R$3)*(GMWQ!$ND$2:$ND$60=R$4),0),$B93-1966)</f>
        <v>16499.8</v>
      </c>
      <c r="S93" s="18" cm="1">
        <f t="array" ref="S93">INDEX(GMWQ!$A$2:$NE$60,MATCH(1,(GMWQ!$NE$2:$NE$60=S$3)*(GMWQ!$ND$2:$ND$60=S$4),0),$B93-1966)</f>
        <v>68.48</v>
      </c>
      <c r="T93" s="18" cm="1">
        <f t="array" ref="T93">INDEX(GMWQ!$A$2:$NE$60,MATCH(1,(GMWQ!$NE$2:$NE$60=T$3)*(GMWQ!$ND$2:$ND$60=T$4),0),$B93-1966)</f>
        <v>40.999000000000002</v>
      </c>
      <c r="U93" s="18" cm="1">
        <f t="array" ref="U93">INDEX(GMWQ!$A$2:$NE$60,MATCH(1,(GMWQ!$NE$2:$NE$60=U$3)*(GMWQ!$ND$2:$ND$60=U$4),0),$B93-1966)</f>
        <v>38.046019999999999</v>
      </c>
      <c r="V93" s="18" cm="1">
        <f t="array" ref="V93">INDEX(GMWQ!$A$2:$NE$60,MATCH(1,(GMWQ!$NE$2:$NE$60=V$3)*(GMWQ!$ND$2:$ND$60=V$4),0),$B93-1966)</f>
        <v>28870.75</v>
      </c>
      <c r="W93" s="18" cm="1">
        <f t="array" ref="W93">INDEX(GMWQ!$A$2:$NF$60,MATCH(1,(GMWQ!$NE$2:$NE$60=W$3)*(GMWQ!$NF$2:$NF$60=W$1),0),$B93-1966)</f>
        <v>23864.83</v>
      </c>
      <c r="X93" s="18" cm="1">
        <f t="array" ref="X93">INDEX(GMWQ!$A$2:$NF$60,MATCH(1,(GMWQ!$NE$2:$NE$60=X$3)*(GMWQ!$NF$2:$NF$60=X$1),0),$B93-1966)</f>
        <v>25568.799999999999</v>
      </c>
      <c r="Y93" s="18" cm="1">
        <f t="array" ref="Y93">INDEX(GMWQ!$A$2:$NF$60,MATCH(1,(GMWQ!$NE$2:$NE$60=Y$3)*(GMWQ!$NF$2:$NF$60=Y$1),0),$B93-1966)</f>
        <v>26670.43</v>
      </c>
      <c r="Z93" s="18" cm="1">
        <f t="array" ref="Z93">INDEX(GMWQ!$A$2:$NF$60,MATCH(1,(GMWQ!$NE$2:$NE$60=Z$3)*(GMWQ!$NF$2:$NF$60=Z$1),0),$B93-1966)</f>
        <v>24977.91</v>
      </c>
    </row>
    <row r="94" spans="1:26" x14ac:dyDescent="0.25">
      <c r="B94" s="18">
        <f t="shared" si="2"/>
        <v>2060</v>
      </c>
      <c r="C94" s="18" cm="1">
        <f t="array" ref="C94">INDEX(GMWQ!$A$2:$NE$60,MATCH(1,(GMWQ!$NE$2:$NE$60=C$3)*(GMWQ!$ND$2:$ND$60=C$4),0),$B94-1966)</f>
        <v>27940</v>
      </c>
      <c r="D94" s="18" cm="1">
        <f t="array" ref="D94">INDEX(GMWQ!$A$2:$NE$60,MATCH(1,(GMWQ!$NE$2:$NE$60=D$3)*(GMWQ!$ND$2:$ND$60=D$4),0),$B94-1966)</f>
        <v>51164</v>
      </c>
      <c r="E94" s="18" cm="1">
        <f t="array" ref="E94">INDEX(GMWQ!$A$2:$NE$60,MATCH(1,(GMWQ!$NE$2:$NE$60=E$3)*(GMWQ!$ND$2:$ND$60=E$4),0),$B94-1966)</f>
        <v>3623</v>
      </c>
      <c r="F94" s="18" cm="1">
        <f t="array" ref="F94">INDEX(GMWQ!$A$2:$NE$60,MATCH(1,(GMWQ!$NE$2:$NE$60=F$3)*(GMWQ!$ND$2:$ND$60=F$4),0),$B94-1966)</f>
        <v>813</v>
      </c>
      <c r="G94" s="18" cm="1">
        <f t="array" ref="G94">INDEX(GMWQ!$A$2:$NE$60,MATCH(1,(GMWQ!$NE$2:$NE$60=G$3)*(GMWQ!$ND$2:$ND$60=G$4),0),$B94-1966)</f>
        <v>207015</v>
      </c>
      <c r="H94" s="18" cm="1">
        <f t="array" ref="H94">INDEX(GMWQ!$A$2:$NE$60,MATCH(1,(GMWQ!$NE$2:$NE$60=H$3)*(GMWQ!$ND$2:$ND$60=H$4),0),$B94-1966)</f>
        <v>65399</v>
      </c>
      <c r="I94" s="18" cm="1">
        <f t="array" ref="I94">INDEX(GMWQ!$A$2:$NE$60,MATCH(1,(GMWQ!$NE$2:$NE$60=I$3)*(GMWQ!$ND$2:$ND$60=I$4),0),$B94-1966)</f>
        <v>8762.6620000000003</v>
      </c>
      <c r="J94" s="18" cm="1">
        <f t="array" ref="J94">INDEX(GMWQ!$A$2:$NE$60,MATCH(1,(GMWQ!$NE$2:$NE$60=J$3)*(GMWQ!$ND$2:$ND$60=J$4),0),$B94-1966)</f>
        <v>17468.41</v>
      </c>
      <c r="K94" s="18" cm="1">
        <f t="array" ref="K94">INDEX(GMWQ!$A$2:$NE$60,MATCH(1,(GMWQ!$NE$2:$NE$60=K$3)*(GMWQ!$ND$2:$ND$60=K$4),0),$B94-1966)</f>
        <v>1730354</v>
      </c>
      <c r="L94" s="18" cm="1">
        <f t="array" ref="L94">INDEX(GMWQ!$A$2:$NE$60,MATCH(1,(GMWQ!$NE$2:$NE$60=L$3)*(GMWQ!$ND$2:$ND$60=L$4),0),$B94-1966)</f>
        <v>25600</v>
      </c>
      <c r="M94" s="18" cm="1">
        <f t="array" ref="M94">INDEX(GMWQ!$A$2:$NE$60,MATCH(1,(GMWQ!$NE$2:$NE$60=M$3)*(GMWQ!$ND$2:$ND$60=M$4),0),$B94-1966)</f>
        <v>33.5</v>
      </c>
      <c r="N94" s="18" cm="1">
        <f t="array" ref="N94">INDEX(GMWQ!$A$2:$NE$60,MATCH(1,(GMWQ!$NE$2:$NE$60=N$3)*(GMWQ!$ND$2:$ND$60=N$4),0),$B94-1966)</f>
        <v>11.418329999999999</v>
      </c>
      <c r="O94" s="18" cm="1">
        <f t="array" ref="O94">INDEX(GMWQ!$A$2:$NE$60,MATCH(1,(GMWQ!$NE$2:$NE$60=O$3)*(GMWQ!$ND$2:$ND$60=O$4),0),$B94-1966)</f>
        <v>1E-3</v>
      </c>
      <c r="P94" s="18" cm="1">
        <f t="array" ref="P94">INDEX(GMWQ!$A$2:$NE$60,MATCH(1,(GMWQ!$NE$2:$NE$60=P$3)*(GMWQ!$ND$2:$ND$60=P$4),0),$B94-1966)</f>
        <v>129083.6</v>
      </c>
      <c r="Q94" s="18" cm="1">
        <f t="array" ref="Q94">INDEX(GMWQ!$A$2:$NE$60,MATCH(1,(GMWQ!$NE$2:$NE$60=Q$3)*(GMWQ!$ND$2:$ND$60=Q$4),0),$B94-1966)</f>
        <v>240.07499999999999</v>
      </c>
      <c r="R94" s="18" cm="1">
        <f t="array" ref="R94">INDEX(GMWQ!$A$2:$NE$60,MATCH(1,(GMWQ!$NE$2:$NE$60=R$3)*(GMWQ!$ND$2:$ND$60=R$4),0),$B94-1966)</f>
        <v>16757.22</v>
      </c>
      <c r="S94" s="18" cm="1">
        <f t="array" ref="S94">INDEX(GMWQ!$A$2:$NE$60,MATCH(1,(GMWQ!$NE$2:$NE$60=S$3)*(GMWQ!$ND$2:$ND$60=S$4),0),$B94-1966)</f>
        <v>68.45</v>
      </c>
      <c r="T94" s="18" cm="1">
        <f t="array" ref="T94">INDEX(GMWQ!$A$2:$NE$60,MATCH(1,(GMWQ!$NE$2:$NE$60=T$3)*(GMWQ!$ND$2:$ND$60=T$4),0),$B94-1966)</f>
        <v>41.219000000000001</v>
      </c>
      <c r="U94" s="18" cm="1">
        <f t="array" ref="U94">INDEX(GMWQ!$A$2:$NE$60,MATCH(1,(GMWQ!$NE$2:$NE$60=U$3)*(GMWQ!$ND$2:$ND$60=U$4),0),$B94-1966)</f>
        <v>38.455590000000001</v>
      </c>
      <c r="V94" s="18" cm="1">
        <f t="array" ref="V94">INDEX(GMWQ!$A$2:$NE$60,MATCH(1,(GMWQ!$NE$2:$NE$60=V$3)*(GMWQ!$ND$2:$ND$60=V$4),0),$B94-1966)</f>
        <v>29643.75</v>
      </c>
      <c r="W94" s="18" cm="1">
        <f t="array" ref="W94">INDEX(GMWQ!$A$2:$NF$60,MATCH(1,(GMWQ!$NE$2:$NE$60=W$3)*(GMWQ!$NF$2:$NF$60=W$1),0),$B94-1966)</f>
        <v>24629.31</v>
      </c>
      <c r="X94" s="18" cm="1">
        <f t="array" ref="X94">INDEX(GMWQ!$A$2:$NF$60,MATCH(1,(GMWQ!$NE$2:$NE$60=X$3)*(GMWQ!$NF$2:$NF$60=X$1),0),$B94-1966)</f>
        <v>26387.87</v>
      </c>
      <c r="Y94" s="18" cm="1">
        <f t="array" ref="Y94">INDEX(GMWQ!$A$2:$NF$60,MATCH(1,(GMWQ!$NE$2:$NE$60=Y$3)*(GMWQ!$NF$2:$NF$60=Y$1),0),$B94-1966)</f>
        <v>27524.79</v>
      </c>
      <c r="Z94" s="18" cm="1">
        <f t="array" ref="Z94">INDEX(GMWQ!$A$2:$NF$60,MATCH(1,(GMWQ!$NE$2:$NE$60=Z$3)*(GMWQ!$NF$2:$NF$60=Z$1),0),$B94-1966)</f>
        <v>25778.04</v>
      </c>
    </row>
    <row r="95" spans="1:26" x14ac:dyDescent="0.25">
      <c r="A95" s="18">
        <v>1995</v>
      </c>
      <c r="B95" s="18">
        <f t="shared" si="2"/>
        <v>2061</v>
      </c>
      <c r="C95" s="18" cm="1">
        <f t="array" ref="C95">INDEX(GMWQ!$A$2:$NE$60,MATCH(1,(GMWQ!$NE$2:$NE$60=C$3)*(GMWQ!$ND$2:$ND$60=C$4),0),$B95-1966)</f>
        <v>27405.82</v>
      </c>
      <c r="D95" s="18" cm="1">
        <f t="array" ref="D95">INDEX(GMWQ!$A$2:$NE$60,MATCH(1,(GMWQ!$NE$2:$NE$60=D$3)*(GMWQ!$ND$2:$ND$60=D$4),0),$B95-1966)</f>
        <v>50799</v>
      </c>
      <c r="E95" s="18" cm="1">
        <f t="array" ref="E95">INDEX(GMWQ!$A$2:$NE$60,MATCH(1,(GMWQ!$NE$2:$NE$60=E$3)*(GMWQ!$ND$2:$ND$60=E$4),0),$B95-1966)</f>
        <v>6461</v>
      </c>
      <c r="F95" s="18" cm="1">
        <f t="array" ref="F95">INDEX(GMWQ!$A$2:$NE$60,MATCH(1,(GMWQ!$NE$2:$NE$60=F$3)*(GMWQ!$ND$2:$ND$60=F$4),0),$B95-1966)</f>
        <v>1526</v>
      </c>
      <c r="G95" s="18" cm="1">
        <f t="array" ref="G95">INDEX(GMWQ!$A$2:$NE$60,MATCH(1,(GMWQ!$NE$2:$NE$60=G$3)*(GMWQ!$ND$2:$ND$60=G$4),0),$B95-1966)</f>
        <v>208657</v>
      </c>
      <c r="H95" s="18" cm="1">
        <f t="array" ref="H95">INDEX(GMWQ!$A$2:$NE$60,MATCH(1,(GMWQ!$NE$2:$NE$60=H$3)*(GMWQ!$ND$2:$ND$60=H$4),0),$B95-1966)</f>
        <v>64532</v>
      </c>
      <c r="I95" s="18" cm="1">
        <f t="array" ref="I95">INDEX(GMWQ!$A$2:$NE$60,MATCH(1,(GMWQ!$NE$2:$NE$60=I$3)*(GMWQ!$ND$2:$ND$60=I$4),0),$B95-1966)</f>
        <v>8808.2029999999995</v>
      </c>
      <c r="J95" s="18" cm="1">
        <f t="array" ref="J95">INDEX(GMWQ!$A$2:$NE$60,MATCH(1,(GMWQ!$NE$2:$NE$60=J$3)*(GMWQ!$ND$2:$ND$60=J$4),0),$B95-1966)</f>
        <v>17735.580000000002</v>
      </c>
      <c r="K95" s="18" cm="1">
        <f t="array" ref="K95">INDEX(GMWQ!$A$2:$NE$60,MATCH(1,(GMWQ!$NE$2:$NE$60=K$3)*(GMWQ!$ND$2:$ND$60=K$4),0),$B95-1966)</f>
        <v>1740957</v>
      </c>
      <c r="L95" s="18" cm="1">
        <f t="array" ref="L95">INDEX(GMWQ!$A$2:$NE$60,MATCH(1,(GMWQ!$NE$2:$NE$60=L$3)*(GMWQ!$ND$2:$ND$60=L$4),0),$B95-1966)</f>
        <v>25670</v>
      </c>
      <c r="M95" s="18" cm="1">
        <f t="array" ref="M95">INDEX(GMWQ!$A$2:$NE$60,MATCH(1,(GMWQ!$NE$2:$NE$60=M$3)*(GMWQ!$ND$2:$ND$60=M$4),0),$B95-1966)</f>
        <v>33.299999999999997</v>
      </c>
      <c r="N95" s="18" cm="1">
        <f t="array" ref="N95">INDEX(GMWQ!$A$2:$NE$60,MATCH(1,(GMWQ!$NE$2:$NE$60=N$3)*(GMWQ!$ND$2:$ND$60=N$4),0),$B95-1966)</f>
        <v>12.31757</v>
      </c>
      <c r="O95" s="18" cm="1">
        <f t="array" ref="O95">INDEX(GMWQ!$A$2:$NE$60,MATCH(1,(GMWQ!$NE$2:$NE$60=O$3)*(GMWQ!$ND$2:$ND$60=O$4),0),$B95-1966)</f>
        <v>1E-3</v>
      </c>
      <c r="P95" s="18" cm="1">
        <f t="array" ref="P95">INDEX(GMWQ!$A$2:$NE$60,MATCH(1,(GMWQ!$NE$2:$NE$60=P$3)*(GMWQ!$ND$2:$ND$60=P$4),0),$B95-1966)</f>
        <v>133388.5</v>
      </c>
      <c r="Q95" s="18" cm="1">
        <f t="array" ref="Q95">INDEX(GMWQ!$A$2:$NE$60,MATCH(1,(GMWQ!$NE$2:$NE$60=Q$3)*(GMWQ!$ND$2:$ND$60=Q$4),0),$B95-1966)</f>
        <v>248.95</v>
      </c>
      <c r="R95" s="18" cm="1">
        <f t="array" ref="R95">INDEX(GMWQ!$A$2:$NE$60,MATCH(1,(GMWQ!$NE$2:$NE$60=R$3)*(GMWQ!$ND$2:$ND$60=R$4),0),$B95-1966)</f>
        <v>17161.93</v>
      </c>
      <c r="S95" s="18" cm="1">
        <f t="array" ref="S95">INDEX(GMWQ!$A$2:$NE$60,MATCH(1,(GMWQ!$NE$2:$NE$60=S$3)*(GMWQ!$ND$2:$ND$60=S$4),0),$B95-1966)</f>
        <v>67.92</v>
      </c>
      <c r="T95" s="18" cm="1">
        <f t="array" ref="T95">INDEX(GMWQ!$A$2:$NE$60,MATCH(1,(GMWQ!$NE$2:$NE$60=T$3)*(GMWQ!$ND$2:$ND$60=T$4),0),$B95-1966)</f>
        <v>42.15</v>
      </c>
      <c r="U95" s="18" cm="1">
        <f t="array" ref="U95">INDEX(GMWQ!$A$2:$NE$60,MATCH(1,(GMWQ!$NE$2:$NE$60=U$3)*(GMWQ!$ND$2:$ND$60=U$4),0),$B95-1966)</f>
        <v>38.180230000000002</v>
      </c>
      <c r="V95" s="18" cm="1">
        <f t="array" ref="V95">INDEX(GMWQ!$A$2:$NE$60,MATCH(1,(GMWQ!$NE$2:$NE$60=V$3)*(GMWQ!$ND$2:$ND$60=V$4),0),$B95-1966)</f>
        <v>29761.25</v>
      </c>
      <c r="W95" s="18" cm="1">
        <f t="array" ref="W95">INDEX(GMWQ!$A$2:$NF$60,MATCH(1,(GMWQ!$NE$2:$NE$60=W$3)*(GMWQ!$NF$2:$NF$60=W$1),0),$B95-1966)</f>
        <v>24158.42</v>
      </c>
      <c r="X95" s="18" cm="1">
        <f t="array" ref="X95">INDEX(GMWQ!$A$2:$NF$60,MATCH(1,(GMWQ!$NE$2:$NE$60=X$3)*(GMWQ!$NF$2:$NF$60=X$1),0),$B95-1966)</f>
        <v>25883.360000000001</v>
      </c>
      <c r="Y95" s="18" cm="1">
        <f t="array" ref="Y95">INDEX(GMWQ!$A$2:$NF$60,MATCH(1,(GMWQ!$NE$2:$NE$60=Y$3)*(GMWQ!$NF$2:$NF$60=Y$1),0),$B95-1966)</f>
        <v>26998.54</v>
      </c>
      <c r="Z95" s="18" cm="1">
        <f t="array" ref="Z95">INDEX(GMWQ!$A$2:$NF$60,MATCH(1,(GMWQ!$NE$2:$NE$60=Z$3)*(GMWQ!$NF$2:$NF$60=Z$1),0),$B95-1966)</f>
        <v>25285.200000000001</v>
      </c>
    </row>
    <row r="96" spans="1:26" x14ac:dyDescent="0.25">
      <c r="B96" s="18">
        <f t="shared" si="2"/>
        <v>2062</v>
      </c>
      <c r="C96" s="18" cm="1">
        <f t="array" ref="C96">INDEX(GMWQ!$A$2:$NE$60,MATCH(1,(GMWQ!$NE$2:$NE$60=C$3)*(GMWQ!$ND$2:$ND$60=C$4),0),$B96-1966)</f>
        <v>28374.43</v>
      </c>
      <c r="D96" s="18" cm="1">
        <f t="array" ref="D96">INDEX(GMWQ!$A$2:$NE$60,MATCH(1,(GMWQ!$NE$2:$NE$60=D$3)*(GMWQ!$ND$2:$ND$60=D$4),0),$B96-1966)</f>
        <v>49847</v>
      </c>
      <c r="E96" s="18" cm="1">
        <f t="array" ref="E96">INDEX(GMWQ!$A$2:$NE$60,MATCH(1,(GMWQ!$NE$2:$NE$60=E$3)*(GMWQ!$ND$2:$ND$60=E$4),0),$B96-1966)</f>
        <v>-315</v>
      </c>
      <c r="F96" s="18" cm="1">
        <f t="array" ref="F96">INDEX(GMWQ!$A$2:$NE$60,MATCH(1,(GMWQ!$NE$2:$NE$60=F$3)*(GMWQ!$ND$2:$ND$60=F$4),0),$B96-1966)</f>
        <v>-4906</v>
      </c>
      <c r="G96" s="18" cm="1">
        <f t="array" ref="G96">INDEX(GMWQ!$A$2:$NE$60,MATCH(1,(GMWQ!$NE$2:$NE$60=G$3)*(GMWQ!$ND$2:$ND$60=G$4),0),$B96-1966)</f>
        <v>210748</v>
      </c>
      <c r="H96" s="18" cm="1">
        <f t="array" ref="H96">INDEX(GMWQ!$A$2:$NE$60,MATCH(1,(GMWQ!$NE$2:$NE$60=H$3)*(GMWQ!$ND$2:$ND$60=H$4),0),$B96-1966)</f>
        <v>64647</v>
      </c>
      <c r="I96" s="18" cm="1">
        <f t="array" ref="I96">INDEX(GMWQ!$A$2:$NE$60,MATCH(1,(GMWQ!$NE$2:$NE$60=I$3)*(GMWQ!$ND$2:$ND$60=I$4),0),$B96-1966)</f>
        <v>8922.0589999999993</v>
      </c>
      <c r="J96" s="18" cm="1">
        <f t="array" ref="J96">INDEX(GMWQ!$A$2:$NE$60,MATCH(1,(GMWQ!$NE$2:$NE$60=J$3)*(GMWQ!$ND$2:$ND$60=J$4),0),$B96-1966)</f>
        <v>18015.63</v>
      </c>
      <c r="K96" s="18" cm="1">
        <f t="array" ref="K96">INDEX(GMWQ!$A$2:$NE$60,MATCH(1,(GMWQ!$NE$2:$NE$60=K$3)*(GMWQ!$ND$2:$ND$60=K$4),0),$B96-1966)</f>
        <v>1751560</v>
      </c>
      <c r="L96" s="18" cm="1">
        <f t="array" ref="L96">INDEX(GMWQ!$A$2:$NE$60,MATCH(1,(GMWQ!$NE$2:$NE$60=L$3)*(GMWQ!$ND$2:$ND$60=L$4),0),$B96-1966)</f>
        <v>25770</v>
      </c>
      <c r="M96" s="18" cm="1">
        <f t="array" ref="M96">INDEX(GMWQ!$A$2:$NE$60,MATCH(1,(GMWQ!$NE$2:$NE$60=M$3)*(GMWQ!$ND$2:$ND$60=M$4),0),$B96-1966)</f>
        <v>33.299999999999997</v>
      </c>
      <c r="N96" s="18" cm="1">
        <f t="array" ref="N96">INDEX(GMWQ!$A$2:$NE$60,MATCH(1,(GMWQ!$NE$2:$NE$60=N$3)*(GMWQ!$ND$2:$ND$60=N$4),0),$B96-1966)</f>
        <v>13.644729999999999</v>
      </c>
      <c r="O96" s="18" cm="1">
        <f t="array" ref="O96">INDEX(GMWQ!$A$2:$NE$60,MATCH(1,(GMWQ!$NE$2:$NE$60=O$3)*(GMWQ!$ND$2:$ND$60=O$4),0),$B96-1966)</f>
        <v>1E-3</v>
      </c>
      <c r="P96" s="18" cm="1">
        <f t="array" ref="P96">INDEX(GMWQ!$A$2:$NE$60,MATCH(1,(GMWQ!$NE$2:$NE$60=P$3)*(GMWQ!$ND$2:$ND$60=P$4),0),$B96-1966)</f>
        <v>135503.9</v>
      </c>
      <c r="Q96" s="18" cm="1">
        <f t="array" ref="Q96">INDEX(GMWQ!$A$2:$NE$60,MATCH(1,(GMWQ!$NE$2:$NE$60=Q$3)*(GMWQ!$ND$2:$ND$60=Q$4),0),$B96-1966)</f>
        <v>251.32499999999999</v>
      </c>
      <c r="R96" s="18" cm="1">
        <f t="array" ref="R96">INDEX(GMWQ!$A$2:$NE$60,MATCH(1,(GMWQ!$NE$2:$NE$60=R$3)*(GMWQ!$ND$2:$ND$60=R$4),0),$B96-1966)</f>
        <v>17772</v>
      </c>
      <c r="S96" s="18" cm="1">
        <f t="array" ref="S96">INDEX(GMWQ!$A$2:$NE$60,MATCH(1,(GMWQ!$NE$2:$NE$60=S$3)*(GMWQ!$ND$2:$ND$60=S$4),0),$B96-1966)</f>
        <v>67.7</v>
      </c>
      <c r="T96" s="18" cm="1">
        <f t="array" ref="T96">INDEX(GMWQ!$A$2:$NE$60,MATCH(1,(GMWQ!$NE$2:$NE$60=T$3)*(GMWQ!$ND$2:$ND$60=T$4),0),$B96-1966)</f>
        <v>41.841999999999999</v>
      </c>
      <c r="U96" s="18" cm="1">
        <f t="array" ref="U96">INDEX(GMWQ!$A$2:$NE$60,MATCH(1,(GMWQ!$NE$2:$NE$60=U$3)*(GMWQ!$ND$2:$ND$60=U$4),0),$B96-1966)</f>
        <v>38.862949999999998</v>
      </c>
      <c r="V96" s="18" cm="1">
        <f t="array" ref="V96">INDEX(GMWQ!$A$2:$NE$60,MATCH(1,(GMWQ!$NE$2:$NE$60=V$3)*(GMWQ!$ND$2:$ND$60=V$4),0),$B96-1966)</f>
        <v>29780.5</v>
      </c>
      <c r="W96" s="18" cm="1">
        <f t="array" ref="W96">INDEX(GMWQ!$A$2:$NF$60,MATCH(1,(GMWQ!$NE$2:$NE$60=W$3)*(GMWQ!$NF$2:$NF$60=W$1),0),$B96-1966)</f>
        <v>25012.26</v>
      </c>
      <c r="X96" s="18" cm="1">
        <f t="array" ref="X96">INDEX(GMWQ!$A$2:$NF$60,MATCH(1,(GMWQ!$NE$2:$NE$60=X$3)*(GMWQ!$NF$2:$NF$60=X$1),0),$B96-1966)</f>
        <v>26798.16</v>
      </c>
      <c r="Y96" s="18" cm="1">
        <f t="array" ref="Y96">INDEX(GMWQ!$A$2:$NF$60,MATCH(1,(GMWQ!$NE$2:$NE$60=Y$3)*(GMWQ!$NF$2:$NF$60=Y$1),0),$B96-1966)</f>
        <v>27952.76</v>
      </c>
      <c r="Z96" s="18" cm="1">
        <f t="array" ref="Z96">INDEX(GMWQ!$A$2:$NF$60,MATCH(1,(GMWQ!$NE$2:$NE$60=Z$3)*(GMWQ!$NF$2:$NF$60=Z$1),0),$B96-1966)</f>
        <v>26178.85</v>
      </c>
    </row>
    <row r="97" spans="1:26" x14ac:dyDescent="0.25">
      <c r="B97" s="18">
        <f t="shared" si="2"/>
        <v>2063</v>
      </c>
      <c r="C97" s="18" cm="1">
        <f t="array" ref="C97">INDEX(GMWQ!$A$2:$NE$60,MATCH(1,(GMWQ!$NE$2:$NE$60=C$3)*(GMWQ!$ND$2:$ND$60=C$4),0),$B97-1966)</f>
        <v>29775.85</v>
      </c>
      <c r="D97" s="18" cm="1">
        <f t="array" ref="D97">INDEX(GMWQ!$A$2:$NE$60,MATCH(1,(GMWQ!$NE$2:$NE$60=D$3)*(GMWQ!$ND$2:$ND$60=D$4),0),$B97-1966)</f>
        <v>52286</v>
      </c>
      <c r="E97" s="18" cm="1">
        <f t="array" ref="E97">INDEX(GMWQ!$A$2:$NE$60,MATCH(1,(GMWQ!$NE$2:$NE$60=E$3)*(GMWQ!$ND$2:$ND$60=E$4),0),$B97-1966)</f>
        <v>133</v>
      </c>
      <c r="F97" s="18" cm="1">
        <f t="array" ref="F97">INDEX(GMWQ!$A$2:$NE$60,MATCH(1,(GMWQ!$NE$2:$NE$60=F$3)*(GMWQ!$ND$2:$ND$60=F$4),0),$B97-1966)</f>
        <v>-4542</v>
      </c>
      <c r="G97" s="18" cm="1">
        <f t="array" ref="G97">INDEX(GMWQ!$A$2:$NE$60,MATCH(1,(GMWQ!$NE$2:$NE$60=G$3)*(GMWQ!$ND$2:$ND$60=G$4),0),$B97-1966)</f>
        <v>214616</v>
      </c>
      <c r="H97" s="18" cm="1">
        <f t="array" ref="H97">INDEX(GMWQ!$A$2:$NE$60,MATCH(1,(GMWQ!$NE$2:$NE$60=H$3)*(GMWQ!$ND$2:$ND$60=H$4),0),$B97-1966)</f>
        <v>65098</v>
      </c>
      <c r="I97" s="18" cm="1">
        <f t="array" ref="I97">INDEX(GMWQ!$A$2:$NE$60,MATCH(1,(GMWQ!$NE$2:$NE$60=I$3)*(GMWQ!$ND$2:$ND$60=I$4),0),$B97-1966)</f>
        <v>8112.6559999999999</v>
      </c>
      <c r="J97" s="18" cm="1">
        <f t="array" ref="J97">INDEX(GMWQ!$A$2:$NE$60,MATCH(1,(GMWQ!$NE$2:$NE$60=J$3)*(GMWQ!$ND$2:$ND$60=J$4),0),$B97-1966)</f>
        <v>16945.8</v>
      </c>
      <c r="K97" s="18" cm="1">
        <f t="array" ref="K97">INDEX(GMWQ!$A$2:$NE$60,MATCH(1,(GMWQ!$NE$2:$NE$60=K$3)*(GMWQ!$ND$2:$ND$60=K$4),0),$B97-1966)</f>
        <v>1762162</v>
      </c>
      <c r="L97" s="18" cm="1">
        <f t="array" ref="L97">INDEX(GMWQ!$A$2:$NE$60,MATCH(1,(GMWQ!$NE$2:$NE$60=L$3)*(GMWQ!$ND$2:$ND$60=L$4),0),$B97-1966)</f>
        <v>25852</v>
      </c>
      <c r="M97" s="18" cm="1">
        <f t="array" ref="M97">INDEX(GMWQ!$A$2:$NE$60,MATCH(1,(GMWQ!$NE$2:$NE$60=M$3)*(GMWQ!$ND$2:$ND$60=M$4),0),$B97-1966)</f>
        <v>33.200000000000003</v>
      </c>
      <c r="N97" s="18" cm="1">
        <f t="array" ref="N97">INDEX(GMWQ!$A$2:$NE$60,MATCH(1,(GMWQ!$NE$2:$NE$60=N$3)*(GMWQ!$ND$2:$ND$60=N$4),0),$B97-1966)</f>
        <v>12.81485</v>
      </c>
      <c r="O97" s="18" cm="1">
        <f t="array" ref="O97">INDEX(GMWQ!$A$2:$NE$60,MATCH(1,(GMWQ!$NE$2:$NE$60=O$3)*(GMWQ!$ND$2:$ND$60=O$4),0),$B97-1966)</f>
        <v>1E-3</v>
      </c>
      <c r="P97" s="18" cm="1">
        <f t="array" ref="P97">INDEX(GMWQ!$A$2:$NE$60,MATCH(1,(GMWQ!$NE$2:$NE$60=P$3)*(GMWQ!$ND$2:$ND$60=P$4),0),$B97-1966)</f>
        <v>139038.79999999999</v>
      </c>
      <c r="Q97" s="18" cm="1">
        <f t="array" ref="Q97">INDEX(GMWQ!$A$2:$NE$60,MATCH(1,(GMWQ!$NE$2:$NE$60=Q$3)*(GMWQ!$ND$2:$ND$60=Q$4),0),$B97-1966)</f>
        <v>252.92500000000001</v>
      </c>
      <c r="R97" s="18" cm="1">
        <f t="array" ref="R97">INDEX(GMWQ!$A$2:$NE$60,MATCH(1,(GMWQ!$NE$2:$NE$60=R$3)*(GMWQ!$ND$2:$ND$60=R$4),0),$B97-1966)</f>
        <v>18083.63</v>
      </c>
      <c r="S97" s="18" cm="1">
        <f t="array" ref="S97">INDEX(GMWQ!$A$2:$NE$60,MATCH(1,(GMWQ!$NE$2:$NE$60=S$3)*(GMWQ!$ND$2:$ND$60=S$4),0),$B97-1966)</f>
        <v>69.459999999999994</v>
      </c>
      <c r="T97" s="18" cm="1">
        <f t="array" ref="T97">INDEX(GMWQ!$A$2:$NE$60,MATCH(1,(GMWQ!$NE$2:$NE$60=T$3)*(GMWQ!$ND$2:$ND$60=T$4),0),$B97-1966)</f>
        <v>41.981000000000002</v>
      </c>
      <c r="U97" s="18" cm="1">
        <f t="array" ref="U97">INDEX(GMWQ!$A$2:$NE$60,MATCH(1,(GMWQ!$NE$2:$NE$60=U$3)*(GMWQ!$ND$2:$ND$60=U$4),0),$B97-1966)</f>
        <v>40.142670000000003</v>
      </c>
      <c r="V97" s="18" cm="1">
        <f t="array" ref="V97">INDEX(GMWQ!$A$2:$NE$60,MATCH(1,(GMWQ!$NE$2:$NE$60=V$3)*(GMWQ!$ND$2:$ND$60=V$4),0),$B97-1966)</f>
        <v>29743.25</v>
      </c>
      <c r="W97" s="18" cm="1">
        <f t="array" ref="W97">INDEX(GMWQ!$A$2:$NF$60,MATCH(1,(GMWQ!$NE$2:$NE$60=W$3)*(GMWQ!$NF$2:$NF$60=W$1),0),$B97-1966)</f>
        <v>26247.62</v>
      </c>
      <c r="X97" s="18" cm="1">
        <f t="array" ref="X97">INDEX(GMWQ!$A$2:$NF$60,MATCH(1,(GMWQ!$NE$2:$NE$60=X$3)*(GMWQ!$NF$2:$NF$60=X$1),0),$B97-1966)</f>
        <v>28121.73</v>
      </c>
      <c r="Y97" s="18" cm="1">
        <f t="array" ref="Y97">INDEX(GMWQ!$A$2:$NF$60,MATCH(1,(GMWQ!$NE$2:$NE$60=Y$3)*(GMWQ!$NF$2:$NF$60=Y$1),0),$B97-1966)</f>
        <v>29333.35</v>
      </c>
      <c r="Z97" s="18" cm="1">
        <f t="array" ref="Z97">INDEX(GMWQ!$A$2:$NF$60,MATCH(1,(GMWQ!$NE$2:$NE$60=Z$3)*(GMWQ!$NF$2:$NF$60=Z$1),0),$B97-1966)</f>
        <v>27471.84</v>
      </c>
    </row>
    <row r="98" spans="1:26" x14ac:dyDescent="0.25">
      <c r="B98" s="18">
        <f t="shared" si="2"/>
        <v>2064</v>
      </c>
      <c r="C98" s="18" cm="1">
        <f t="array" ref="C98">INDEX(GMWQ!$A$2:$NE$60,MATCH(1,(GMWQ!$NE$2:$NE$60=C$3)*(GMWQ!$ND$2:$ND$60=C$4),0),$B98-1966)</f>
        <v>30244.07</v>
      </c>
      <c r="D98" s="18" cm="1">
        <f t="array" ref="D98">INDEX(GMWQ!$A$2:$NE$60,MATCH(1,(GMWQ!$NE$2:$NE$60=D$3)*(GMWQ!$ND$2:$ND$60=D$4),0),$B98-1966)</f>
        <v>53374</v>
      </c>
      <c r="E98" s="18" cm="1">
        <f t="array" ref="E98">INDEX(GMWQ!$A$2:$NE$60,MATCH(1,(GMWQ!$NE$2:$NE$60=E$3)*(GMWQ!$ND$2:$ND$60=E$4),0),$B98-1966)</f>
        <v>695</v>
      </c>
      <c r="F98" s="18" cm="1">
        <f t="array" ref="F98">INDEX(GMWQ!$A$2:$NE$60,MATCH(1,(GMWQ!$NE$2:$NE$60=F$3)*(GMWQ!$ND$2:$ND$60=F$4),0),$B98-1966)</f>
        <v>-4362</v>
      </c>
      <c r="G98" s="18" cm="1">
        <f t="array" ref="G98">INDEX(GMWQ!$A$2:$NE$60,MATCH(1,(GMWQ!$NE$2:$NE$60=G$3)*(GMWQ!$ND$2:$ND$60=G$4),0),$B98-1966)</f>
        <v>217824</v>
      </c>
      <c r="H98" s="18" cm="1">
        <f t="array" ref="H98">INDEX(GMWQ!$A$2:$NE$60,MATCH(1,(GMWQ!$NE$2:$NE$60=H$3)*(GMWQ!$ND$2:$ND$60=H$4),0),$B98-1966)</f>
        <v>65410</v>
      </c>
      <c r="I98" s="18" cm="1">
        <f t="array" ref="I98">INDEX(GMWQ!$A$2:$NE$60,MATCH(1,(GMWQ!$NE$2:$NE$60=I$3)*(GMWQ!$ND$2:$ND$60=I$4),0),$B98-1966)</f>
        <v>8218.2289999999994</v>
      </c>
      <c r="J98" s="18" cm="1">
        <f t="array" ref="J98">INDEX(GMWQ!$A$2:$NE$60,MATCH(1,(GMWQ!$NE$2:$NE$60=J$3)*(GMWQ!$ND$2:$ND$60=J$4),0),$B98-1966)</f>
        <v>16904.45</v>
      </c>
      <c r="K98" s="18" cm="1">
        <f t="array" ref="K98">INDEX(GMWQ!$A$2:$NE$60,MATCH(1,(GMWQ!$NE$2:$NE$60=K$3)*(GMWQ!$ND$2:$ND$60=K$4),0),$B98-1966)</f>
        <v>1772765</v>
      </c>
      <c r="L98" s="18" cm="1">
        <f t="array" ref="L98">INDEX(GMWQ!$A$2:$NE$60,MATCH(1,(GMWQ!$NE$2:$NE$60=L$3)*(GMWQ!$ND$2:$ND$60=L$4),0),$B98-1966)</f>
        <v>25982</v>
      </c>
      <c r="M98" s="18" cm="1">
        <f t="array" ref="M98">INDEX(GMWQ!$A$2:$NE$60,MATCH(1,(GMWQ!$NE$2:$NE$60=M$3)*(GMWQ!$ND$2:$ND$60=M$4),0),$B98-1966)</f>
        <v>33.200000000000003</v>
      </c>
      <c r="N98" s="18" cm="1">
        <f t="array" ref="N98">INDEX(GMWQ!$A$2:$NE$60,MATCH(1,(GMWQ!$NE$2:$NE$60=N$3)*(GMWQ!$ND$2:$ND$60=N$4),0),$B98-1966)</f>
        <v>13.047840000000001</v>
      </c>
      <c r="O98" s="18" cm="1">
        <f t="array" ref="O98">INDEX(GMWQ!$A$2:$NE$60,MATCH(1,(GMWQ!$NE$2:$NE$60=O$3)*(GMWQ!$ND$2:$ND$60=O$4),0),$B98-1966)</f>
        <v>1E-3</v>
      </c>
      <c r="P98" s="18" cm="1">
        <f t="array" ref="P98">INDEX(GMWQ!$A$2:$NE$60,MATCH(1,(GMWQ!$NE$2:$NE$60=P$3)*(GMWQ!$ND$2:$ND$60=P$4),0),$B98-1966)</f>
        <v>143643.9</v>
      </c>
      <c r="Q98" s="18" cm="1">
        <f t="array" ref="Q98">INDEX(GMWQ!$A$2:$NE$60,MATCH(1,(GMWQ!$NE$2:$NE$60=Q$3)*(GMWQ!$ND$2:$ND$60=Q$4),0),$B98-1966)</f>
        <v>257.82499999999999</v>
      </c>
      <c r="R98" s="18" cm="1">
        <f t="array" ref="R98">INDEX(GMWQ!$A$2:$NE$60,MATCH(1,(GMWQ!$NE$2:$NE$60=R$3)*(GMWQ!$ND$2:$ND$60=R$4),0),$B98-1966)</f>
        <v>18381.28</v>
      </c>
      <c r="S98" s="18" cm="1">
        <f t="array" ref="S98">INDEX(GMWQ!$A$2:$NE$60,MATCH(1,(GMWQ!$NE$2:$NE$60=S$3)*(GMWQ!$ND$2:$ND$60=S$4),0),$B98-1966)</f>
        <v>69.3</v>
      </c>
      <c r="T98" s="18" cm="1">
        <f t="array" ref="T98">INDEX(GMWQ!$A$2:$NE$60,MATCH(1,(GMWQ!$NE$2:$NE$60=T$3)*(GMWQ!$ND$2:$ND$60=T$4),0),$B98-1966)</f>
        <v>41.886000000000003</v>
      </c>
      <c r="U98" s="18" cm="1">
        <f t="array" ref="U98">INDEX(GMWQ!$A$2:$NE$60,MATCH(1,(GMWQ!$NE$2:$NE$60=U$3)*(GMWQ!$ND$2:$ND$60=U$4),0),$B98-1966)</f>
        <v>42.454590000000003</v>
      </c>
      <c r="V98" s="18" cm="1">
        <f t="array" ref="V98">INDEX(GMWQ!$A$2:$NE$60,MATCH(1,(GMWQ!$NE$2:$NE$60=V$3)*(GMWQ!$ND$2:$ND$60=V$4),0),$B98-1966)</f>
        <v>29650.5</v>
      </c>
      <c r="W98" s="18" cm="1">
        <f t="array" ref="W98">INDEX(GMWQ!$A$2:$NF$60,MATCH(1,(GMWQ!$NE$2:$NE$60=W$3)*(GMWQ!$NF$2:$NF$60=W$1),0),$B98-1966)</f>
        <v>26660.36</v>
      </c>
      <c r="X98" s="18" cm="1">
        <f t="array" ref="X98">INDEX(GMWQ!$A$2:$NF$60,MATCH(1,(GMWQ!$NE$2:$NE$60=X$3)*(GMWQ!$NF$2:$NF$60=X$1),0),$B98-1966)</f>
        <v>28563.94</v>
      </c>
      <c r="Y98" s="18" cm="1">
        <f t="array" ref="Y98">INDEX(GMWQ!$A$2:$NF$60,MATCH(1,(GMWQ!$NE$2:$NE$60=Y$3)*(GMWQ!$NF$2:$NF$60=Y$1),0),$B98-1966)</f>
        <v>29794.61</v>
      </c>
      <c r="Z98" s="18" cm="1">
        <f t="array" ref="Z98">INDEX(GMWQ!$A$2:$NF$60,MATCH(1,(GMWQ!$NE$2:$NE$60=Z$3)*(GMWQ!$NF$2:$NF$60=Z$1),0),$B98-1966)</f>
        <v>27903.82</v>
      </c>
    </row>
    <row r="99" spans="1:26" x14ac:dyDescent="0.25">
      <c r="A99" s="18">
        <v>1996</v>
      </c>
      <c r="B99" s="18">
        <f t="shared" si="2"/>
        <v>2065</v>
      </c>
      <c r="C99" s="18" cm="1">
        <f t="array" ref="C99">INDEX(GMWQ!$A$2:$NE$60,MATCH(1,(GMWQ!$NE$2:$NE$60=C$3)*(GMWQ!$ND$2:$ND$60=C$4),0),$B99-1966)</f>
        <v>31153.14</v>
      </c>
      <c r="D99" s="18" cm="1">
        <f t="array" ref="D99">INDEX(GMWQ!$A$2:$NE$60,MATCH(1,(GMWQ!$NE$2:$NE$60=D$3)*(GMWQ!$ND$2:$ND$60=D$4),0),$B99-1966)</f>
        <v>54595</v>
      </c>
      <c r="E99" s="18" cm="1">
        <f t="array" ref="E99">INDEX(GMWQ!$A$2:$NE$60,MATCH(1,(GMWQ!$NE$2:$NE$60=E$3)*(GMWQ!$ND$2:$ND$60=E$4),0),$B99-1966)</f>
        <v>-580</v>
      </c>
      <c r="F99" s="18" cm="1">
        <f t="array" ref="F99">INDEX(GMWQ!$A$2:$NE$60,MATCH(1,(GMWQ!$NE$2:$NE$60=F$3)*(GMWQ!$ND$2:$ND$60=F$4),0),$B99-1966)</f>
        <v>-4839</v>
      </c>
      <c r="G99" s="18" cm="1">
        <f t="array" ref="G99">INDEX(GMWQ!$A$2:$NE$60,MATCH(1,(GMWQ!$NE$2:$NE$60=G$3)*(GMWQ!$ND$2:$ND$60=G$4),0),$B99-1966)</f>
        <v>221433</v>
      </c>
      <c r="H99" s="18" cm="1">
        <f t="array" ref="H99">INDEX(GMWQ!$A$2:$NE$60,MATCH(1,(GMWQ!$NE$2:$NE$60=H$3)*(GMWQ!$ND$2:$ND$60=H$4),0),$B99-1966)</f>
        <v>67091</v>
      </c>
      <c r="I99" s="18" cm="1">
        <f t="array" ref="I99">INDEX(GMWQ!$A$2:$NE$60,MATCH(1,(GMWQ!$NE$2:$NE$60=I$3)*(GMWQ!$ND$2:$ND$60=I$4),0),$B99-1966)</f>
        <v>8058.8329999999996</v>
      </c>
      <c r="J99" s="18" cm="1">
        <f t="array" ref="J99">INDEX(GMWQ!$A$2:$NE$60,MATCH(1,(GMWQ!$NE$2:$NE$60=J$3)*(GMWQ!$ND$2:$ND$60=J$4),0),$B99-1966)</f>
        <v>15230.17</v>
      </c>
      <c r="K99" s="18" cm="1">
        <f t="array" ref="K99">INDEX(GMWQ!$A$2:$NE$60,MATCH(1,(GMWQ!$NE$2:$NE$60=K$3)*(GMWQ!$ND$2:$ND$60=K$4),0),$B99-1966)</f>
        <v>1783642</v>
      </c>
      <c r="L99" s="18" cm="1">
        <f t="array" ref="L99">INDEX(GMWQ!$A$2:$NE$60,MATCH(1,(GMWQ!$NE$2:$NE$60=L$3)*(GMWQ!$ND$2:$ND$60=L$4),0),$B99-1966)</f>
        <v>25970</v>
      </c>
      <c r="M99" s="18" cm="1">
        <f t="array" ref="M99">INDEX(GMWQ!$A$2:$NE$60,MATCH(1,(GMWQ!$NE$2:$NE$60=M$3)*(GMWQ!$ND$2:$ND$60=M$4),0),$B99-1966)</f>
        <v>33.200000000000003</v>
      </c>
      <c r="N99" s="18" cm="1">
        <f t="array" ref="N99">INDEX(GMWQ!$A$2:$NE$60,MATCH(1,(GMWQ!$NE$2:$NE$60=N$3)*(GMWQ!$ND$2:$ND$60=N$4),0),$B99-1966)</f>
        <v>11.515140000000001</v>
      </c>
      <c r="O99" s="18" cm="1">
        <f t="array" ref="O99">INDEX(GMWQ!$A$2:$NE$60,MATCH(1,(GMWQ!$NE$2:$NE$60=O$3)*(GMWQ!$ND$2:$ND$60=O$4),0),$B99-1966)</f>
        <v>1E-3</v>
      </c>
      <c r="P99" s="18" cm="1">
        <f t="array" ref="P99">INDEX(GMWQ!$A$2:$NE$60,MATCH(1,(GMWQ!$NE$2:$NE$60=P$3)*(GMWQ!$ND$2:$ND$60=P$4),0),$B99-1966)</f>
        <v>148575.29999999999</v>
      </c>
      <c r="Q99" s="18" cm="1">
        <f t="array" ref="Q99">INDEX(GMWQ!$A$2:$NE$60,MATCH(1,(GMWQ!$NE$2:$NE$60=Q$3)*(GMWQ!$ND$2:$ND$60=Q$4),0),$B99-1966)</f>
        <v>264.35000000000002</v>
      </c>
      <c r="R99" s="18" cm="1">
        <f t="array" ref="R99">INDEX(GMWQ!$A$2:$NE$60,MATCH(1,(GMWQ!$NE$2:$NE$60=R$3)*(GMWQ!$ND$2:$ND$60=R$4),0),$B99-1966)</f>
        <v>18321.25</v>
      </c>
      <c r="S99" s="18" cm="1">
        <f t="array" ref="S99">INDEX(GMWQ!$A$2:$NE$60,MATCH(1,(GMWQ!$NE$2:$NE$60=S$3)*(GMWQ!$ND$2:$ND$60=S$4),0),$B99-1966)</f>
        <v>66.13</v>
      </c>
      <c r="T99" s="18" cm="1">
        <f t="array" ref="T99">INDEX(GMWQ!$A$2:$NE$60,MATCH(1,(GMWQ!$NE$2:$NE$60=T$3)*(GMWQ!$ND$2:$ND$60=T$4),0),$B99-1966)</f>
        <v>42.378999999999998</v>
      </c>
      <c r="U99" s="18" cm="1">
        <f t="array" ref="U99">INDEX(GMWQ!$A$2:$NE$60,MATCH(1,(GMWQ!$NE$2:$NE$60=U$3)*(GMWQ!$ND$2:$ND$60=U$4),0),$B99-1966)</f>
        <v>41.260730000000002</v>
      </c>
      <c r="V99" s="18" cm="1">
        <f t="array" ref="V99">INDEX(GMWQ!$A$2:$NE$60,MATCH(1,(GMWQ!$NE$2:$NE$60=V$3)*(GMWQ!$ND$2:$ND$60=V$4),0),$B99-1966)</f>
        <v>30367.5</v>
      </c>
      <c r="W99" s="18" cm="1">
        <f t="array" ref="W99">INDEX(GMWQ!$A$2:$NF$60,MATCH(1,(GMWQ!$NE$2:$NE$60=W$3)*(GMWQ!$NF$2:$NF$60=W$1),0),$B99-1966)</f>
        <v>27461.71</v>
      </c>
      <c r="X99" s="18" cm="1">
        <f t="array" ref="X99">INDEX(GMWQ!$A$2:$NF$60,MATCH(1,(GMWQ!$NE$2:$NE$60=X$3)*(GMWQ!$NF$2:$NF$60=X$1),0),$B99-1966)</f>
        <v>29422.51</v>
      </c>
      <c r="Y99" s="18" cm="1">
        <f t="array" ref="Y99">INDEX(GMWQ!$A$2:$NF$60,MATCH(1,(GMWQ!$NE$2:$NE$60=Y$3)*(GMWQ!$NF$2:$NF$60=Y$1),0),$B99-1966)</f>
        <v>30690.18</v>
      </c>
      <c r="Z99" s="18" cm="1">
        <f t="array" ref="Z99">INDEX(GMWQ!$A$2:$NF$60,MATCH(1,(GMWQ!$NE$2:$NE$60=Z$3)*(GMWQ!$NF$2:$NF$60=Z$1),0),$B99-1966)</f>
        <v>28742.55</v>
      </c>
    </row>
    <row r="100" spans="1:26" x14ac:dyDescent="0.25">
      <c r="B100" s="18">
        <f t="shared" si="2"/>
        <v>2066</v>
      </c>
      <c r="C100" s="18" cm="1">
        <f t="array" ref="C100">INDEX(GMWQ!$A$2:$NE$60,MATCH(1,(GMWQ!$NE$2:$NE$60=C$3)*(GMWQ!$ND$2:$ND$60=C$4),0),$B100-1966)</f>
        <v>32063.83</v>
      </c>
      <c r="D100" s="18" cm="1">
        <f t="array" ref="D100">INDEX(GMWQ!$A$2:$NE$60,MATCH(1,(GMWQ!$NE$2:$NE$60=D$3)*(GMWQ!$ND$2:$ND$60=D$4),0),$B100-1966)</f>
        <v>57114</v>
      </c>
      <c r="E100" s="18" cm="1">
        <f t="array" ref="E100">INDEX(GMWQ!$A$2:$NE$60,MATCH(1,(GMWQ!$NE$2:$NE$60=E$3)*(GMWQ!$ND$2:$ND$60=E$4),0),$B100-1966)</f>
        <v>3925</v>
      </c>
      <c r="F100" s="18" cm="1">
        <f t="array" ref="F100">INDEX(GMWQ!$A$2:$NE$60,MATCH(1,(GMWQ!$NE$2:$NE$60=F$3)*(GMWQ!$ND$2:$ND$60=F$4),0),$B100-1966)</f>
        <v>-1973</v>
      </c>
      <c r="G100" s="18" cm="1">
        <f t="array" ref="G100">INDEX(GMWQ!$A$2:$NE$60,MATCH(1,(GMWQ!$NE$2:$NE$60=G$3)*(GMWQ!$ND$2:$ND$60=G$4),0),$B100-1966)</f>
        <v>226187</v>
      </c>
      <c r="H100" s="18" cm="1">
        <f t="array" ref="H100">INDEX(GMWQ!$A$2:$NE$60,MATCH(1,(GMWQ!$NE$2:$NE$60=H$3)*(GMWQ!$ND$2:$ND$60=H$4),0),$B100-1966)</f>
        <v>69362</v>
      </c>
      <c r="I100" s="18" cm="1">
        <f t="array" ref="I100">INDEX(GMWQ!$A$2:$NE$60,MATCH(1,(GMWQ!$NE$2:$NE$60=I$3)*(GMWQ!$ND$2:$ND$60=I$4),0),$B100-1966)</f>
        <v>7998.8010000000004</v>
      </c>
      <c r="J100" s="18" cm="1">
        <f t="array" ref="J100">INDEX(GMWQ!$A$2:$NE$60,MATCH(1,(GMWQ!$NE$2:$NE$60=J$3)*(GMWQ!$ND$2:$ND$60=J$4),0),$B100-1966)</f>
        <v>17599.84</v>
      </c>
      <c r="K100" s="18" cm="1">
        <f t="array" ref="K100">INDEX(GMWQ!$A$2:$NE$60,MATCH(1,(GMWQ!$NE$2:$NE$60=K$3)*(GMWQ!$ND$2:$ND$60=K$4),0),$B100-1966)</f>
        <v>1794520</v>
      </c>
      <c r="L100" s="18" cm="1">
        <f t="array" ref="L100">INDEX(GMWQ!$A$2:$NE$60,MATCH(1,(GMWQ!$NE$2:$NE$60=L$3)*(GMWQ!$ND$2:$ND$60=L$4),0),$B100-1966)</f>
        <v>26009</v>
      </c>
      <c r="M100" s="18" cm="1">
        <f t="array" ref="M100">INDEX(GMWQ!$A$2:$NE$60,MATCH(1,(GMWQ!$NE$2:$NE$60=M$3)*(GMWQ!$ND$2:$ND$60=M$4),0),$B100-1966)</f>
        <v>33.299999999999997</v>
      </c>
      <c r="N100" s="18" cm="1">
        <f t="array" ref="N100">INDEX(GMWQ!$A$2:$NE$60,MATCH(1,(GMWQ!$NE$2:$NE$60=N$3)*(GMWQ!$ND$2:$ND$60=N$4),0),$B100-1966)</f>
        <v>11.161099999999999</v>
      </c>
      <c r="O100" s="18" cm="1">
        <f t="array" ref="O100">INDEX(GMWQ!$A$2:$NE$60,MATCH(1,(GMWQ!$NE$2:$NE$60=O$3)*(GMWQ!$ND$2:$ND$60=O$4),0),$B100-1966)</f>
        <v>1E-3</v>
      </c>
      <c r="P100" s="18" cm="1">
        <f t="array" ref="P100">INDEX(GMWQ!$A$2:$NE$60,MATCH(1,(GMWQ!$NE$2:$NE$60=P$3)*(GMWQ!$ND$2:$ND$60=P$4),0),$B100-1966)</f>
        <v>153659.29999999999</v>
      </c>
      <c r="Q100" s="18" cm="1">
        <f t="array" ref="Q100">INDEX(GMWQ!$A$2:$NE$60,MATCH(1,(GMWQ!$NE$2:$NE$60=Q$3)*(GMWQ!$ND$2:$ND$60=Q$4),0),$B100-1966)</f>
        <v>271.39999999999998</v>
      </c>
      <c r="R100" s="18" cm="1">
        <f t="array" ref="R100">INDEX(GMWQ!$A$2:$NE$60,MATCH(1,(GMWQ!$NE$2:$NE$60=R$3)*(GMWQ!$ND$2:$ND$60=R$4),0),$B100-1966)</f>
        <v>18951</v>
      </c>
      <c r="S100" s="18" cm="1">
        <f t="array" ref="S100">INDEX(GMWQ!$A$2:$NE$60,MATCH(1,(GMWQ!$NE$2:$NE$60=S$3)*(GMWQ!$ND$2:$ND$60=S$4),0),$B100-1966)</f>
        <v>69.52</v>
      </c>
      <c r="T100" s="18" cm="1">
        <f t="array" ref="T100">INDEX(GMWQ!$A$2:$NE$60,MATCH(1,(GMWQ!$NE$2:$NE$60=T$3)*(GMWQ!$ND$2:$ND$60=T$4),0),$B100-1966)</f>
        <v>41.848999999999997</v>
      </c>
      <c r="U100" s="18" cm="1">
        <f t="array" ref="U100">INDEX(GMWQ!$A$2:$NE$60,MATCH(1,(GMWQ!$NE$2:$NE$60=U$3)*(GMWQ!$ND$2:$ND$60=U$4),0),$B100-1966)</f>
        <v>41.251489999999997</v>
      </c>
      <c r="V100" s="18" cm="1">
        <f t="array" ref="V100">INDEX(GMWQ!$A$2:$NE$60,MATCH(1,(GMWQ!$NE$2:$NE$60=V$3)*(GMWQ!$ND$2:$ND$60=V$4),0),$B100-1966)</f>
        <v>30228.5</v>
      </c>
      <c r="W100" s="18" cm="1">
        <f t="array" ref="W100">INDEX(GMWQ!$A$2:$NF$60,MATCH(1,(GMWQ!$NE$2:$NE$60=W$3)*(GMWQ!$NF$2:$NF$60=W$1),0),$B100-1966)</f>
        <v>28264.49</v>
      </c>
      <c r="X100" s="18" cm="1">
        <f t="array" ref="X100">INDEX(GMWQ!$A$2:$NF$60,MATCH(1,(GMWQ!$NE$2:$NE$60=X$3)*(GMWQ!$NF$2:$NF$60=X$1),0),$B100-1966)</f>
        <v>30282.6</v>
      </c>
      <c r="Y100" s="18" cm="1">
        <f t="array" ref="Y100">INDEX(GMWQ!$A$2:$NF$60,MATCH(1,(GMWQ!$NE$2:$NE$60=Y$3)*(GMWQ!$NF$2:$NF$60=Y$1),0),$B100-1966)</f>
        <v>31587.33</v>
      </c>
      <c r="Z100" s="18" cm="1">
        <f t="array" ref="Z100">INDEX(GMWQ!$A$2:$NF$60,MATCH(1,(GMWQ!$NE$2:$NE$60=Z$3)*(GMWQ!$NF$2:$NF$60=Z$1),0),$B100-1966)</f>
        <v>29582.77</v>
      </c>
    </row>
    <row r="101" spans="1:26" x14ac:dyDescent="0.25">
      <c r="B101" s="18">
        <f t="shared" si="2"/>
        <v>2067</v>
      </c>
      <c r="C101" s="18" cm="1">
        <f t="array" ref="C101">INDEX(GMWQ!$A$2:$NE$60,MATCH(1,(GMWQ!$NE$2:$NE$60=C$3)*(GMWQ!$ND$2:$ND$60=C$4),0),$B101-1966)</f>
        <v>32398.49</v>
      </c>
      <c r="D101" s="18" cm="1">
        <f t="array" ref="D101">INDEX(GMWQ!$A$2:$NE$60,MATCH(1,(GMWQ!$NE$2:$NE$60=D$3)*(GMWQ!$ND$2:$ND$60=D$4),0),$B101-1966)</f>
        <v>58848</v>
      </c>
      <c r="E101" s="18" cm="1">
        <f t="array" ref="E101">INDEX(GMWQ!$A$2:$NE$60,MATCH(1,(GMWQ!$NE$2:$NE$60=E$3)*(GMWQ!$ND$2:$ND$60=E$4),0),$B101-1966)</f>
        <v>1782</v>
      </c>
      <c r="F101" s="18" cm="1">
        <f t="array" ref="F101">INDEX(GMWQ!$A$2:$NE$60,MATCH(1,(GMWQ!$NE$2:$NE$60=F$3)*(GMWQ!$ND$2:$ND$60=F$4),0),$B101-1966)</f>
        <v>-3977</v>
      </c>
      <c r="G101" s="18" cm="1">
        <f t="array" ref="G101">INDEX(GMWQ!$A$2:$NE$60,MATCH(1,(GMWQ!$NE$2:$NE$60=G$3)*(GMWQ!$ND$2:$ND$60=G$4),0),$B101-1966)</f>
        <v>229912</v>
      </c>
      <c r="H101" s="18" cm="1">
        <f t="array" ref="H101">INDEX(GMWQ!$A$2:$NE$60,MATCH(1,(GMWQ!$NE$2:$NE$60=H$3)*(GMWQ!$ND$2:$ND$60=H$4),0),$B101-1966)</f>
        <v>68834</v>
      </c>
      <c r="I101" s="18" cm="1">
        <f t="array" ref="I101">INDEX(GMWQ!$A$2:$NE$60,MATCH(1,(GMWQ!$NE$2:$NE$60=I$3)*(GMWQ!$ND$2:$ND$60=I$4),0),$B101-1966)</f>
        <v>7261.8519999999999</v>
      </c>
      <c r="J101" s="18" cm="1">
        <f t="array" ref="J101">INDEX(GMWQ!$A$2:$NE$60,MATCH(1,(GMWQ!$NE$2:$NE$60=J$3)*(GMWQ!$ND$2:$ND$60=J$4),0),$B101-1966)</f>
        <v>17830.310000000001</v>
      </c>
      <c r="K101" s="18" cm="1">
        <f t="array" ref="K101">INDEX(GMWQ!$A$2:$NE$60,MATCH(1,(GMWQ!$NE$2:$NE$60=K$3)*(GMWQ!$ND$2:$ND$60=K$4),0),$B101-1966)</f>
        <v>1805398</v>
      </c>
      <c r="L101" s="18" cm="1">
        <f t="array" ref="L101">INDEX(GMWQ!$A$2:$NE$60,MATCH(1,(GMWQ!$NE$2:$NE$60=L$3)*(GMWQ!$ND$2:$ND$60=L$4),0),$B101-1966)</f>
        <v>26062</v>
      </c>
      <c r="M101" s="18" cm="1">
        <f t="array" ref="M101">INDEX(GMWQ!$A$2:$NE$60,MATCH(1,(GMWQ!$NE$2:$NE$60=M$3)*(GMWQ!$ND$2:$ND$60=M$4),0),$B101-1966)</f>
        <v>33.200000000000003</v>
      </c>
      <c r="N101" s="18" cm="1">
        <f t="array" ref="N101">INDEX(GMWQ!$A$2:$NE$60,MATCH(1,(GMWQ!$NE$2:$NE$60=N$3)*(GMWQ!$ND$2:$ND$60=N$4),0),$B101-1966)</f>
        <v>10.89209</v>
      </c>
      <c r="O101" s="18" cm="1">
        <f t="array" ref="O101">INDEX(GMWQ!$A$2:$NE$60,MATCH(1,(GMWQ!$NE$2:$NE$60=O$3)*(GMWQ!$ND$2:$ND$60=O$4),0),$B101-1966)</f>
        <v>1E-3</v>
      </c>
      <c r="P101" s="18" cm="1">
        <f t="array" ref="P101">INDEX(GMWQ!$A$2:$NE$60,MATCH(1,(GMWQ!$NE$2:$NE$60=P$3)*(GMWQ!$ND$2:$ND$60=P$4),0),$B101-1966)</f>
        <v>156970.29999999999</v>
      </c>
      <c r="Q101" s="18" cm="1">
        <f t="array" ref="Q101">INDEX(GMWQ!$A$2:$NE$60,MATCH(1,(GMWQ!$NE$2:$NE$60=Q$3)*(GMWQ!$ND$2:$ND$60=Q$4),0),$B101-1966)</f>
        <v>279.95</v>
      </c>
      <c r="R101" s="18" cm="1">
        <f t="array" ref="R101">INDEX(GMWQ!$A$2:$NE$60,MATCH(1,(GMWQ!$NE$2:$NE$60=R$3)*(GMWQ!$ND$2:$ND$60=R$4),0),$B101-1966)</f>
        <v>19213.75</v>
      </c>
      <c r="S101" s="18" cm="1">
        <f t="array" ref="S101">INDEX(GMWQ!$A$2:$NE$60,MATCH(1,(GMWQ!$NE$2:$NE$60=S$3)*(GMWQ!$ND$2:$ND$60=S$4),0),$B101-1966)</f>
        <v>68.83</v>
      </c>
      <c r="T101" s="18" cm="1">
        <f t="array" ref="T101">INDEX(GMWQ!$A$2:$NE$60,MATCH(1,(GMWQ!$NE$2:$NE$60=T$3)*(GMWQ!$ND$2:$ND$60=T$4),0),$B101-1966)</f>
        <v>42.003</v>
      </c>
      <c r="U101" s="18" cm="1">
        <f t="array" ref="U101">INDEX(GMWQ!$A$2:$NE$60,MATCH(1,(GMWQ!$NE$2:$NE$60=U$3)*(GMWQ!$ND$2:$ND$60=U$4),0),$B101-1966)</f>
        <v>41.226770000000002</v>
      </c>
      <c r="V101" s="18" cm="1">
        <f t="array" ref="V101">INDEX(GMWQ!$A$2:$NE$60,MATCH(1,(GMWQ!$NE$2:$NE$60=V$3)*(GMWQ!$ND$2:$ND$60=V$4),0),$B101-1966)</f>
        <v>31386.5</v>
      </c>
      <c r="W101" s="18" cm="1">
        <f t="array" ref="W101">INDEX(GMWQ!$A$2:$NF$60,MATCH(1,(GMWQ!$NE$2:$NE$60=W$3)*(GMWQ!$NF$2:$NF$60=W$1),0),$B101-1966)</f>
        <v>28559.5</v>
      </c>
      <c r="X101" s="18" cm="1">
        <f t="array" ref="X101">INDEX(GMWQ!$A$2:$NF$60,MATCH(1,(GMWQ!$NE$2:$NE$60=X$3)*(GMWQ!$NF$2:$NF$60=X$1),0),$B101-1966)</f>
        <v>30598.68</v>
      </c>
      <c r="Y101" s="18" cm="1">
        <f t="array" ref="Y101">INDEX(GMWQ!$A$2:$NF$60,MATCH(1,(GMWQ!$NE$2:$NE$60=Y$3)*(GMWQ!$NF$2:$NF$60=Y$1),0),$B101-1966)</f>
        <v>31917.02</v>
      </c>
      <c r="Z101" s="18" cm="1">
        <f t="array" ref="Z101">INDEX(GMWQ!$A$2:$NF$60,MATCH(1,(GMWQ!$NE$2:$NE$60=Z$3)*(GMWQ!$NF$2:$NF$60=Z$1),0),$B101-1966)</f>
        <v>29891.54</v>
      </c>
    </row>
    <row r="102" spans="1:26" x14ac:dyDescent="0.25">
      <c r="B102" s="18">
        <f t="shared" si="2"/>
        <v>2068</v>
      </c>
      <c r="C102" s="18" cm="1">
        <f t="array" ref="C102">INDEX(GMWQ!$A$2:$NE$60,MATCH(1,(GMWQ!$NE$2:$NE$60=C$3)*(GMWQ!$ND$2:$ND$60=C$4),0),$B102-1966)</f>
        <v>32279.43</v>
      </c>
      <c r="D102" s="18" cm="1">
        <f t="array" ref="D102">INDEX(GMWQ!$A$2:$NE$60,MATCH(1,(GMWQ!$NE$2:$NE$60=D$3)*(GMWQ!$ND$2:$ND$60=D$4),0),$B102-1966)</f>
        <v>60252</v>
      </c>
      <c r="E102" s="18" cm="1">
        <f t="array" ref="E102">INDEX(GMWQ!$A$2:$NE$60,MATCH(1,(GMWQ!$NE$2:$NE$60=E$3)*(GMWQ!$ND$2:$ND$60=E$4),0),$B102-1966)</f>
        <v>1583</v>
      </c>
      <c r="F102" s="18" cm="1">
        <f t="array" ref="F102">INDEX(GMWQ!$A$2:$NE$60,MATCH(1,(GMWQ!$NE$2:$NE$60=F$3)*(GMWQ!$ND$2:$ND$60=F$4),0),$B102-1966)</f>
        <v>-3334</v>
      </c>
      <c r="G102" s="18" cm="1">
        <f t="array" ref="G102">INDEX(GMWQ!$A$2:$NE$60,MATCH(1,(GMWQ!$NE$2:$NE$60=G$3)*(GMWQ!$ND$2:$ND$60=G$4),0),$B102-1966)</f>
        <v>232461</v>
      </c>
      <c r="H102" s="18" cm="1">
        <f t="array" ref="H102">INDEX(GMWQ!$A$2:$NE$60,MATCH(1,(GMWQ!$NE$2:$NE$60=H$3)*(GMWQ!$ND$2:$ND$60=H$4),0),$B102-1966)</f>
        <v>66518</v>
      </c>
      <c r="I102" s="18" cm="1">
        <f t="array" ref="I102">INDEX(GMWQ!$A$2:$NE$60,MATCH(1,(GMWQ!$NE$2:$NE$60=I$3)*(GMWQ!$ND$2:$ND$60=I$4),0),$B102-1966)</f>
        <v>4852.2749999999996</v>
      </c>
      <c r="J102" s="18" cm="1">
        <f t="array" ref="J102">INDEX(GMWQ!$A$2:$NE$60,MATCH(1,(GMWQ!$NE$2:$NE$60=J$3)*(GMWQ!$ND$2:$ND$60=J$4),0),$B102-1966)</f>
        <v>19137.96</v>
      </c>
      <c r="K102" s="18" cm="1">
        <f t="array" ref="K102">INDEX(GMWQ!$A$2:$NE$60,MATCH(1,(GMWQ!$NE$2:$NE$60=K$3)*(GMWQ!$ND$2:$ND$60=K$4),0),$B102-1966)</f>
        <v>1816275</v>
      </c>
      <c r="L102" s="18" cm="1">
        <f t="array" ref="L102">INDEX(GMWQ!$A$2:$NE$60,MATCH(1,(GMWQ!$NE$2:$NE$60=L$3)*(GMWQ!$ND$2:$ND$60=L$4),0),$B102-1966)</f>
        <v>26198</v>
      </c>
      <c r="M102" s="18" cm="1">
        <f t="array" ref="M102">INDEX(GMWQ!$A$2:$NE$60,MATCH(1,(GMWQ!$NE$2:$NE$60=M$3)*(GMWQ!$ND$2:$ND$60=M$4),0),$B102-1966)</f>
        <v>33.200000000000003</v>
      </c>
      <c r="N102" s="18" cm="1">
        <f t="array" ref="N102">INDEX(GMWQ!$A$2:$NE$60,MATCH(1,(GMWQ!$NE$2:$NE$60=N$3)*(GMWQ!$ND$2:$ND$60=N$4),0),$B102-1966)</f>
        <v>10.22739</v>
      </c>
      <c r="O102" s="18" cm="1">
        <f t="array" ref="O102">INDEX(GMWQ!$A$2:$NE$60,MATCH(1,(GMWQ!$NE$2:$NE$60=O$3)*(GMWQ!$ND$2:$ND$60=O$4),0),$B102-1966)</f>
        <v>1E-3</v>
      </c>
      <c r="P102" s="18" cm="1">
        <f t="array" ref="P102">INDEX(GMWQ!$A$2:$NE$60,MATCH(1,(GMWQ!$NE$2:$NE$60=P$3)*(GMWQ!$ND$2:$ND$60=P$4),0),$B102-1966)</f>
        <v>163345.29999999999</v>
      </c>
      <c r="Q102" s="18" cm="1">
        <f t="array" ref="Q102">INDEX(GMWQ!$A$2:$NE$60,MATCH(1,(GMWQ!$NE$2:$NE$60=Q$3)*(GMWQ!$ND$2:$ND$60=Q$4),0),$B102-1966)</f>
        <v>287.05</v>
      </c>
      <c r="R102" s="18" cm="1">
        <f t="array" ref="R102">INDEX(GMWQ!$A$2:$NE$60,MATCH(1,(GMWQ!$NE$2:$NE$60=R$3)*(GMWQ!$ND$2:$ND$60=R$4),0),$B102-1966)</f>
        <v>19225.18</v>
      </c>
      <c r="S102" s="18" cm="1">
        <f t="array" ref="S102">INDEX(GMWQ!$A$2:$NE$60,MATCH(1,(GMWQ!$NE$2:$NE$60=S$3)*(GMWQ!$ND$2:$ND$60=S$4),0),$B102-1966)</f>
        <v>69.319999999999993</v>
      </c>
      <c r="T102" s="18" cm="1">
        <f t="array" ref="T102">INDEX(GMWQ!$A$2:$NE$60,MATCH(1,(GMWQ!$NE$2:$NE$60=T$3)*(GMWQ!$ND$2:$ND$60=T$4),0),$B102-1966)</f>
        <v>41.805</v>
      </c>
      <c r="U102" s="18" cm="1">
        <f t="array" ref="U102">INDEX(GMWQ!$A$2:$NE$60,MATCH(1,(GMWQ!$NE$2:$NE$60=U$3)*(GMWQ!$ND$2:$ND$60=U$4),0),$B102-1966)</f>
        <v>40.483719999999998</v>
      </c>
      <c r="V102" s="18" cm="1">
        <f t="array" ref="V102">INDEX(GMWQ!$A$2:$NE$60,MATCH(1,(GMWQ!$NE$2:$NE$60=V$3)*(GMWQ!$ND$2:$ND$60=V$4),0),$B102-1966)</f>
        <v>33387.5</v>
      </c>
      <c r="W102" s="18" cm="1">
        <f t="array" ref="W102">INDEX(GMWQ!$A$2:$NF$60,MATCH(1,(GMWQ!$NE$2:$NE$60=W$3)*(GMWQ!$NF$2:$NF$60=W$1),0),$B102-1966)</f>
        <v>28454.54</v>
      </c>
      <c r="X102" s="18" cm="1">
        <f t="array" ref="X102">INDEX(GMWQ!$A$2:$NF$60,MATCH(1,(GMWQ!$NE$2:$NE$60=X$3)*(GMWQ!$NF$2:$NF$60=X$1),0),$B102-1966)</f>
        <v>30486.23</v>
      </c>
      <c r="Y102" s="18" cm="1">
        <f t="array" ref="Y102">INDEX(GMWQ!$A$2:$NF$60,MATCH(1,(GMWQ!$NE$2:$NE$60=Y$3)*(GMWQ!$NF$2:$NF$60=Y$1),0),$B102-1966)</f>
        <v>31799.73</v>
      </c>
      <c r="Z102" s="18" cm="1">
        <f t="array" ref="Z102">INDEX(GMWQ!$A$2:$NF$60,MATCH(1,(GMWQ!$NE$2:$NE$60=Z$3)*(GMWQ!$NF$2:$NF$60=Z$1),0),$B102-1966)</f>
        <v>29781.69</v>
      </c>
    </row>
    <row r="103" spans="1:26" x14ac:dyDescent="0.25">
      <c r="A103" s="18">
        <v>1997</v>
      </c>
      <c r="B103" s="18">
        <f t="shared" si="2"/>
        <v>2069</v>
      </c>
      <c r="C103" s="18" cm="1">
        <f t="array" ref="C103">INDEX(GMWQ!$A$2:$NE$60,MATCH(1,(GMWQ!$NE$2:$NE$60=C$3)*(GMWQ!$ND$2:$ND$60=C$4),0),$B103-1966)</f>
        <v>35462</v>
      </c>
      <c r="D103" s="18" cm="1">
        <f t="array" ref="D103">INDEX(GMWQ!$A$2:$NE$60,MATCH(1,(GMWQ!$NE$2:$NE$60=D$3)*(GMWQ!$ND$2:$ND$60=D$4),0),$B103-1966)</f>
        <v>58562</v>
      </c>
      <c r="E103" s="18" cm="1">
        <f t="array" ref="E103">INDEX(GMWQ!$A$2:$NE$60,MATCH(1,(GMWQ!$NE$2:$NE$60=E$3)*(GMWQ!$ND$2:$ND$60=E$4),0),$B103-1966)</f>
        <v>3868</v>
      </c>
      <c r="F103" s="18" cm="1">
        <f t="array" ref="F103">INDEX(GMWQ!$A$2:$NE$60,MATCH(1,(GMWQ!$NE$2:$NE$60=F$3)*(GMWQ!$ND$2:$ND$60=F$4),0),$B103-1966)</f>
        <v>-705</v>
      </c>
      <c r="G103" s="18" cm="1">
        <f t="array" ref="G103">INDEX(GMWQ!$A$2:$NE$60,MATCH(1,(GMWQ!$NE$2:$NE$60=G$3)*(GMWQ!$ND$2:$ND$60=G$4),0),$B103-1966)</f>
        <v>232749</v>
      </c>
      <c r="H103" s="18" cm="1">
        <f t="array" ref="H103">INDEX(GMWQ!$A$2:$NE$60,MATCH(1,(GMWQ!$NE$2:$NE$60=H$3)*(GMWQ!$ND$2:$ND$60=H$4),0),$B103-1966)</f>
        <v>64163</v>
      </c>
      <c r="I103" s="18" cm="1">
        <f t="array" ref="I103">INDEX(GMWQ!$A$2:$NE$60,MATCH(1,(GMWQ!$NE$2:$NE$60=I$3)*(GMWQ!$ND$2:$ND$60=I$4),0),$B103-1966)</f>
        <v>7473</v>
      </c>
      <c r="J103" s="18" cm="1">
        <f t="array" ref="J103">INDEX(GMWQ!$A$2:$NE$60,MATCH(1,(GMWQ!$NE$2:$NE$60=J$3)*(GMWQ!$ND$2:$ND$60=J$4),0),$B103-1966)</f>
        <v>17941</v>
      </c>
      <c r="K103" s="18" cm="1">
        <f t="array" ref="K103">INDEX(GMWQ!$A$2:$NE$60,MATCH(1,(GMWQ!$NE$2:$NE$60=K$3)*(GMWQ!$ND$2:$ND$60=K$4),0),$B103-1966)</f>
        <v>1830294</v>
      </c>
      <c r="L103" s="18" cm="1">
        <f t="array" ref="L103">INDEX(GMWQ!$A$2:$NE$60,MATCH(1,(GMWQ!$NE$2:$NE$60=L$3)*(GMWQ!$ND$2:$ND$60=L$4),0),$B103-1966)</f>
        <v>26381</v>
      </c>
      <c r="M103" s="18" cm="1">
        <f t="array" ref="M103">INDEX(GMWQ!$A$2:$NE$60,MATCH(1,(GMWQ!$NE$2:$NE$60=M$3)*(GMWQ!$ND$2:$ND$60=M$4),0),$B103-1966)</f>
        <v>33.200000000000003</v>
      </c>
      <c r="N103" s="18" cm="1">
        <f t="array" ref="N103">INDEX(GMWQ!$A$2:$NE$60,MATCH(1,(GMWQ!$NE$2:$NE$60=N$3)*(GMWQ!$ND$2:$ND$60=N$4),0),$B103-1966)</f>
        <v>12.277850000000001</v>
      </c>
      <c r="O103" s="18" cm="1">
        <f t="array" ref="O103">INDEX(GMWQ!$A$2:$NE$60,MATCH(1,(GMWQ!$NE$2:$NE$60=O$3)*(GMWQ!$ND$2:$ND$60=O$4),0),$B103-1966)</f>
        <v>1E-3</v>
      </c>
      <c r="P103" s="18" cm="1">
        <f t="array" ref="P103">INDEX(GMWQ!$A$2:$NE$60,MATCH(1,(GMWQ!$NE$2:$NE$60=P$3)*(GMWQ!$ND$2:$ND$60=P$4),0),$B103-1966)</f>
        <v>161276.20000000001</v>
      </c>
      <c r="Q103" s="18" cm="1">
        <f t="array" ref="Q103">INDEX(GMWQ!$A$2:$NE$60,MATCH(1,(GMWQ!$NE$2:$NE$60=Q$3)*(GMWQ!$ND$2:$ND$60=Q$4),0),$B103-1966)</f>
        <v>293.7</v>
      </c>
      <c r="R103" s="18" cm="1">
        <f t="array" ref="R103">INDEX(GMWQ!$A$2:$NE$60,MATCH(1,(GMWQ!$NE$2:$NE$60=R$3)*(GMWQ!$ND$2:$ND$60=R$4),0),$B103-1966)</f>
        <v>19415.13</v>
      </c>
      <c r="S103" s="18" cm="1">
        <f t="array" ref="S103">INDEX(GMWQ!$A$2:$NE$60,MATCH(1,(GMWQ!$NE$2:$NE$60=S$3)*(GMWQ!$ND$2:$ND$60=S$4),0),$B103-1966)</f>
        <v>67.989999999999995</v>
      </c>
      <c r="T103" s="18" cm="1">
        <f t="array" ref="T103">INDEX(GMWQ!$A$2:$NE$60,MATCH(1,(GMWQ!$NE$2:$NE$60=T$3)*(GMWQ!$ND$2:$ND$60=T$4),0),$B103-1966)</f>
        <v>41.298999999999999</v>
      </c>
      <c r="U103" s="18" cm="1">
        <f t="array" ref="U103">INDEX(GMWQ!$A$2:$NE$60,MATCH(1,(GMWQ!$NE$2:$NE$60=U$3)*(GMWQ!$ND$2:$ND$60=U$4),0),$B103-1966)</f>
        <v>41.338209999999997</v>
      </c>
      <c r="V103" s="18" cm="1">
        <f t="array" ref="V103">INDEX(GMWQ!$A$2:$NE$60,MATCH(1,(GMWQ!$NE$2:$NE$60=V$3)*(GMWQ!$ND$2:$ND$60=V$4),0),$B103-1966)</f>
        <v>34970.75</v>
      </c>
      <c r="W103" s="18" cm="1">
        <f t="array" ref="W103">INDEX(GMWQ!$A$2:$NF$60,MATCH(1,(GMWQ!$NE$2:$NE$60=W$3)*(GMWQ!$NF$2:$NF$60=W$1),0),$B103-1966)</f>
        <v>31260</v>
      </c>
      <c r="X103" s="18" cm="1">
        <f t="array" ref="X103">INDEX(GMWQ!$A$2:$NF$60,MATCH(1,(GMWQ!$NE$2:$NE$60=X$3)*(GMWQ!$NF$2:$NF$60=X$1),0),$B103-1966)</f>
        <v>33492</v>
      </c>
      <c r="Y103" s="18" cm="1">
        <f t="array" ref="Y103">INDEX(GMWQ!$A$2:$NF$60,MATCH(1,(GMWQ!$NE$2:$NE$60=Y$3)*(GMWQ!$NF$2:$NF$60=Y$1),0),$B103-1966)</f>
        <v>34935</v>
      </c>
      <c r="Z103" s="18" cm="1">
        <f t="array" ref="Z103">INDEX(GMWQ!$A$2:$NF$60,MATCH(1,(GMWQ!$NE$2:$NE$60=Z$3)*(GMWQ!$NF$2:$NF$60=Z$1),0),$B103-1966)</f>
        <v>32718</v>
      </c>
    </row>
    <row r="104" spans="1:26" x14ac:dyDescent="0.25">
      <c r="B104" s="18">
        <f t="shared" si="2"/>
        <v>2070</v>
      </c>
      <c r="C104" s="18" cm="1">
        <f t="array" ref="C104">INDEX(GMWQ!$A$2:$NE$60,MATCH(1,(GMWQ!$NE$2:$NE$60=C$3)*(GMWQ!$ND$2:$ND$60=C$4),0),$B104-1966)</f>
        <v>37021</v>
      </c>
      <c r="D104" s="18" cm="1">
        <f t="array" ref="D104">INDEX(GMWQ!$A$2:$NE$60,MATCH(1,(GMWQ!$NE$2:$NE$60=D$3)*(GMWQ!$ND$2:$ND$60=D$4),0),$B104-1966)</f>
        <v>56887</v>
      </c>
      <c r="E104" s="18" cm="1">
        <f t="array" ref="E104">INDEX(GMWQ!$A$2:$NE$60,MATCH(1,(GMWQ!$NE$2:$NE$60=E$3)*(GMWQ!$ND$2:$ND$60=E$4),0),$B104-1966)</f>
        <v>-2543</v>
      </c>
      <c r="F104" s="18" cm="1">
        <f t="array" ref="F104">INDEX(GMWQ!$A$2:$NE$60,MATCH(1,(GMWQ!$NE$2:$NE$60=F$3)*(GMWQ!$ND$2:$ND$60=F$4),0),$B104-1966)</f>
        <v>-6868</v>
      </c>
      <c r="G104" s="18" cm="1">
        <f t="array" ref="G104">INDEX(GMWQ!$A$2:$NE$60,MATCH(1,(GMWQ!$NE$2:$NE$60=G$3)*(GMWQ!$ND$2:$ND$60=G$4),0),$B104-1966)</f>
        <v>235998</v>
      </c>
      <c r="H104" s="18" cm="1">
        <f t="array" ref="H104">INDEX(GMWQ!$A$2:$NE$60,MATCH(1,(GMWQ!$NE$2:$NE$60=H$3)*(GMWQ!$ND$2:$ND$60=H$4),0),$B104-1966)</f>
        <v>64841</v>
      </c>
      <c r="I104" s="18" cm="1">
        <f t="array" ref="I104">INDEX(GMWQ!$A$2:$NE$60,MATCH(1,(GMWQ!$NE$2:$NE$60=I$3)*(GMWQ!$ND$2:$ND$60=I$4),0),$B104-1966)</f>
        <v>6524</v>
      </c>
      <c r="J104" s="18" cm="1">
        <f t="array" ref="J104">INDEX(GMWQ!$A$2:$NE$60,MATCH(1,(GMWQ!$NE$2:$NE$60=J$3)*(GMWQ!$ND$2:$ND$60=J$4),0),$B104-1966)</f>
        <v>17869</v>
      </c>
      <c r="K104" s="18" cm="1">
        <f t="array" ref="K104">INDEX(GMWQ!$A$2:$NE$60,MATCH(1,(GMWQ!$NE$2:$NE$60=K$3)*(GMWQ!$ND$2:$ND$60=K$4),0),$B104-1966)</f>
        <v>1844313</v>
      </c>
      <c r="L104" s="18" cm="1">
        <f t="array" ref="L104">INDEX(GMWQ!$A$2:$NE$60,MATCH(1,(GMWQ!$NE$2:$NE$60=L$3)*(GMWQ!$ND$2:$ND$60=L$4),0),$B104-1966)</f>
        <v>26514</v>
      </c>
      <c r="M104" s="18" cm="1">
        <f t="array" ref="M104">INDEX(GMWQ!$A$2:$NE$60,MATCH(1,(GMWQ!$NE$2:$NE$60=M$3)*(GMWQ!$ND$2:$ND$60=M$4),0),$B104-1966)</f>
        <v>33.200000000000003</v>
      </c>
      <c r="N104" s="18" cm="1">
        <f t="array" ref="N104">INDEX(GMWQ!$A$2:$NE$60,MATCH(1,(GMWQ!$NE$2:$NE$60=N$3)*(GMWQ!$ND$2:$ND$60=N$4),0),$B104-1966)</f>
        <v>13.97296</v>
      </c>
      <c r="O104" s="18" cm="1">
        <f t="array" ref="O104">INDEX(GMWQ!$A$2:$NE$60,MATCH(1,(GMWQ!$NE$2:$NE$60=O$3)*(GMWQ!$ND$2:$ND$60=O$4),0),$B104-1966)</f>
        <v>1E-3</v>
      </c>
      <c r="P104" s="18" cm="1">
        <f t="array" ref="P104">INDEX(GMWQ!$A$2:$NE$60,MATCH(1,(GMWQ!$NE$2:$NE$60=P$3)*(GMWQ!$ND$2:$ND$60=P$4),0),$B104-1966)</f>
        <v>163745.9</v>
      </c>
      <c r="Q104" s="18" cm="1">
        <f t="array" ref="Q104">INDEX(GMWQ!$A$2:$NE$60,MATCH(1,(GMWQ!$NE$2:$NE$60=Q$3)*(GMWQ!$ND$2:$ND$60=Q$4),0),$B104-1966)</f>
        <v>299.82499999999999</v>
      </c>
      <c r="R104" s="18" cm="1">
        <f t="array" ref="R104">INDEX(GMWQ!$A$2:$NE$60,MATCH(1,(GMWQ!$NE$2:$NE$60=R$3)*(GMWQ!$ND$2:$ND$60=R$4),0),$B104-1966)</f>
        <v>19450.95</v>
      </c>
      <c r="S104" s="18" cm="1">
        <f t="array" ref="S104">INDEX(GMWQ!$A$2:$NE$60,MATCH(1,(GMWQ!$NE$2:$NE$60=S$3)*(GMWQ!$ND$2:$ND$60=S$4),0),$B104-1966)</f>
        <v>68.81</v>
      </c>
      <c r="T104" s="18" cm="1">
        <f t="array" ref="T104">INDEX(GMWQ!$A$2:$NE$60,MATCH(1,(GMWQ!$NE$2:$NE$60=T$3)*(GMWQ!$ND$2:$ND$60=T$4),0),$B104-1966)</f>
        <v>42.262990000000002</v>
      </c>
      <c r="U104" s="18" cm="1">
        <f t="array" ref="U104">INDEX(GMWQ!$A$2:$NE$60,MATCH(1,(GMWQ!$NE$2:$NE$60=U$3)*(GMWQ!$ND$2:$ND$60=U$4),0),$B104-1966)</f>
        <v>42.040300000000002</v>
      </c>
      <c r="V104" s="18" cm="1">
        <f t="array" ref="V104">INDEX(GMWQ!$A$2:$NE$60,MATCH(1,(GMWQ!$NE$2:$NE$60=V$3)*(GMWQ!$ND$2:$ND$60=V$4),0),$B104-1966)</f>
        <v>36309.75</v>
      </c>
      <c r="W104" s="18" cm="1">
        <f t="array" ref="W104">INDEX(GMWQ!$A$2:$NF$60,MATCH(1,(GMWQ!$NE$2:$NE$60=W$3)*(GMWQ!$NF$2:$NF$60=W$1),0),$B104-1966)</f>
        <v>33293</v>
      </c>
      <c r="X104" s="18" cm="1">
        <f t="array" ref="X104">INDEX(GMWQ!$A$2:$NF$60,MATCH(1,(GMWQ!$NE$2:$NE$60=X$3)*(GMWQ!$NF$2:$NF$60=X$1),0),$B104-1966)</f>
        <v>35482</v>
      </c>
      <c r="Y104" s="18" cm="1">
        <f t="array" ref="Y104">INDEX(GMWQ!$A$2:$NF$60,MATCH(1,(GMWQ!$NE$2:$NE$60=Y$3)*(GMWQ!$NF$2:$NF$60=Y$1),0),$B104-1966)</f>
        <v>36923</v>
      </c>
      <c r="Z104" s="18" cm="1">
        <f t="array" ref="Z104">INDEX(GMWQ!$A$2:$NF$60,MATCH(1,(GMWQ!$NE$2:$NE$60=Z$3)*(GMWQ!$NF$2:$NF$60=Z$1),0),$B104-1966)</f>
        <v>34170</v>
      </c>
    </row>
    <row r="105" spans="1:26" x14ac:dyDescent="0.25">
      <c r="B105" s="18">
        <f t="shared" si="2"/>
        <v>2071</v>
      </c>
      <c r="C105" s="18" cm="1">
        <f t="array" ref="C105">INDEX(GMWQ!$A$2:$NE$60,MATCH(1,(GMWQ!$NE$2:$NE$60=C$3)*(GMWQ!$ND$2:$ND$60=C$4),0),$B105-1966)</f>
        <v>39279</v>
      </c>
      <c r="D105" s="18" cm="1">
        <f t="array" ref="D105">INDEX(GMWQ!$A$2:$NE$60,MATCH(1,(GMWQ!$NE$2:$NE$60=D$3)*(GMWQ!$ND$2:$ND$60=D$4),0),$B105-1966)</f>
        <v>61702</v>
      </c>
      <c r="E105" s="18" cm="1">
        <f t="array" ref="E105">INDEX(GMWQ!$A$2:$NE$60,MATCH(1,(GMWQ!$NE$2:$NE$60=E$3)*(GMWQ!$ND$2:$ND$60=E$4),0),$B105-1966)</f>
        <v>2179</v>
      </c>
      <c r="F105" s="18" cm="1">
        <f t="array" ref="F105">INDEX(GMWQ!$A$2:$NE$60,MATCH(1,(GMWQ!$NE$2:$NE$60=F$3)*(GMWQ!$ND$2:$ND$60=F$4),0),$B105-1966)</f>
        <v>-4523</v>
      </c>
      <c r="G105" s="18" cm="1">
        <f t="array" ref="G105">INDEX(GMWQ!$A$2:$NE$60,MATCH(1,(GMWQ!$NE$2:$NE$60=G$3)*(GMWQ!$ND$2:$ND$60=G$4),0),$B105-1966)</f>
        <v>243388</v>
      </c>
      <c r="H105" s="18" cm="1">
        <f t="array" ref="H105">INDEX(GMWQ!$A$2:$NE$60,MATCH(1,(GMWQ!$NE$2:$NE$60=H$3)*(GMWQ!$ND$2:$ND$60=H$4),0),$B105-1966)</f>
        <v>68586</v>
      </c>
      <c r="I105" s="18" cm="1">
        <f t="array" ref="I105">INDEX(GMWQ!$A$2:$NE$60,MATCH(1,(GMWQ!$NE$2:$NE$60=I$3)*(GMWQ!$ND$2:$ND$60=I$4),0),$B105-1966)</f>
        <v>7561</v>
      </c>
      <c r="J105" s="18" cm="1">
        <f t="array" ref="J105">INDEX(GMWQ!$A$2:$NE$60,MATCH(1,(GMWQ!$NE$2:$NE$60=J$3)*(GMWQ!$ND$2:$ND$60=J$4),0),$B105-1966)</f>
        <v>18316</v>
      </c>
      <c r="K105" s="18" cm="1">
        <f t="array" ref="K105">INDEX(GMWQ!$A$2:$NE$60,MATCH(1,(GMWQ!$NE$2:$NE$60=K$3)*(GMWQ!$ND$2:$ND$60=K$4),0),$B105-1966)</f>
        <v>1858332</v>
      </c>
      <c r="L105" s="18" cm="1">
        <f t="array" ref="L105">INDEX(GMWQ!$A$2:$NE$60,MATCH(1,(GMWQ!$NE$2:$NE$60=L$3)*(GMWQ!$ND$2:$ND$60=L$4),0),$B105-1966)</f>
        <v>26572</v>
      </c>
      <c r="M105" s="18" cm="1">
        <f t="array" ref="M105">INDEX(GMWQ!$A$2:$NE$60,MATCH(1,(GMWQ!$NE$2:$NE$60=M$3)*(GMWQ!$ND$2:$ND$60=M$4),0),$B105-1966)</f>
        <v>33.200000000000003</v>
      </c>
      <c r="N105" s="18" cm="1">
        <f t="array" ref="N105">INDEX(GMWQ!$A$2:$NE$60,MATCH(1,(GMWQ!$NE$2:$NE$60=N$3)*(GMWQ!$ND$2:$ND$60=N$4),0),$B105-1966)</f>
        <v>13.216340000000001</v>
      </c>
      <c r="O105" s="18" cm="1">
        <f t="array" ref="O105">INDEX(GMWQ!$A$2:$NE$60,MATCH(1,(GMWQ!$NE$2:$NE$60=O$3)*(GMWQ!$ND$2:$ND$60=O$4),0),$B105-1966)</f>
        <v>1E-3</v>
      </c>
      <c r="P105" s="18" cm="1">
        <f t="array" ref="P105">INDEX(GMWQ!$A$2:$NE$60,MATCH(1,(GMWQ!$NE$2:$NE$60=P$3)*(GMWQ!$ND$2:$ND$60=P$4),0),$B105-1966)</f>
        <v>179787</v>
      </c>
      <c r="Q105" s="18" cm="1">
        <f t="array" ref="Q105">INDEX(GMWQ!$A$2:$NE$60,MATCH(1,(GMWQ!$NE$2:$NE$60=Q$3)*(GMWQ!$ND$2:$ND$60=Q$4),0),$B105-1966)</f>
        <v>313</v>
      </c>
      <c r="R105" s="18" cm="1">
        <f t="array" ref="R105">INDEX(GMWQ!$A$2:$NE$60,MATCH(1,(GMWQ!$NE$2:$NE$60=R$3)*(GMWQ!$ND$2:$ND$60=R$4),0),$B105-1966)</f>
        <v>19557.5</v>
      </c>
      <c r="S105" s="18" cm="1">
        <f t="array" ref="S105">INDEX(GMWQ!$A$2:$NE$60,MATCH(1,(GMWQ!$NE$2:$NE$60=S$3)*(GMWQ!$ND$2:$ND$60=S$4),0),$B105-1966)</f>
        <v>69.88</v>
      </c>
      <c r="T105" s="18" cm="1">
        <f t="array" ref="T105">INDEX(GMWQ!$A$2:$NE$60,MATCH(1,(GMWQ!$NE$2:$NE$60=T$3)*(GMWQ!$ND$2:$ND$60=T$4),0),$B105-1966)</f>
        <v>42.731000000000002</v>
      </c>
      <c r="U105" s="18" cm="1">
        <f t="array" ref="U105">INDEX(GMWQ!$A$2:$NE$60,MATCH(1,(GMWQ!$NE$2:$NE$60=U$3)*(GMWQ!$ND$2:$ND$60=U$4),0),$B105-1966)</f>
        <v>42.74532</v>
      </c>
      <c r="V105" s="18" cm="1">
        <f t="array" ref="V105">INDEX(GMWQ!$A$2:$NE$60,MATCH(1,(GMWQ!$NE$2:$NE$60=V$3)*(GMWQ!$ND$2:$ND$60=V$4),0),$B105-1966)</f>
        <v>37845.25</v>
      </c>
      <c r="W105" s="18" cm="1">
        <f t="array" ref="W105">INDEX(GMWQ!$A$2:$NF$60,MATCH(1,(GMWQ!$NE$2:$NE$60=W$3)*(GMWQ!$NF$2:$NF$60=W$1),0),$B105-1966)</f>
        <v>34867</v>
      </c>
      <c r="X105" s="18" cm="1">
        <f t="array" ref="X105">INDEX(GMWQ!$A$2:$NF$60,MATCH(1,(GMWQ!$NE$2:$NE$60=X$3)*(GMWQ!$NF$2:$NF$60=X$1),0),$B105-1966)</f>
        <v>37198</v>
      </c>
      <c r="Y105" s="18" cm="1">
        <f t="array" ref="Y105">INDEX(GMWQ!$A$2:$NF$60,MATCH(1,(GMWQ!$NE$2:$NE$60=Y$3)*(GMWQ!$NF$2:$NF$60=Y$1),0),$B105-1966)</f>
        <v>38771</v>
      </c>
      <c r="Z105" s="18" cm="1">
        <f t="array" ref="Z105">INDEX(GMWQ!$A$2:$NF$60,MATCH(1,(GMWQ!$NE$2:$NE$60=Z$3)*(GMWQ!$NF$2:$NF$60=Z$1),0),$B105-1966)</f>
        <v>36256</v>
      </c>
    </row>
    <row r="106" spans="1:26" x14ac:dyDescent="0.25">
      <c r="B106" s="18">
        <f t="shared" si="2"/>
        <v>2072</v>
      </c>
      <c r="C106" s="18" cm="1">
        <f t="array" ref="C106">INDEX(GMWQ!$A$2:$NE$60,MATCH(1,(GMWQ!$NE$2:$NE$60=C$3)*(GMWQ!$ND$2:$ND$60=C$4),0),$B106-1966)</f>
        <v>40300</v>
      </c>
      <c r="D106" s="18" cm="1">
        <f t="array" ref="D106">INDEX(GMWQ!$A$2:$NE$60,MATCH(1,(GMWQ!$NE$2:$NE$60=D$3)*(GMWQ!$ND$2:$ND$60=D$4),0),$B106-1966)</f>
        <v>57396</v>
      </c>
      <c r="E106" s="18" cm="1">
        <f t="array" ref="E106">INDEX(GMWQ!$A$2:$NE$60,MATCH(1,(GMWQ!$NE$2:$NE$60=E$3)*(GMWQ!$ND$2:$ND$60=E$4),0),$B106-1966)</f>
        <v>-2356</v>
      </c>
      <c r="F106" s="18" cm="1">
        <f t="array" ref="F106">INDEX(GMWQ!$A$2:$NE$60,MATCH(1,(GMWQ!$NE$2:$NE$60=F$3)*(GMWQ!$ND$2:$ND$60=F$4),0),$B106-1966)</f>
        <v>-5119</v>
      </c>
      <c r="G106" s="18" cm="1">
        <f t="array" ref="G106">INDEX(GMWQ!$A$2:$NE$60,MATCH(1,(GMWQ!$NE$2:$NE$60=G$3)*(GMWQ!$ND$2:$ND$60=G$4),0),$B106-1966)</f>
        <v>241270</v>
      </c>
      <c r="H106" s="18" cm="1">
        <f t="array" ref="H106">INDEX(GMWQ!$A$2:$NE$60,MATCH(1,(GMWQ!$NE$2:$NE$60=H$3)*(GMWQ!$ND$2:$ND$60=H$4),0),$B106-1966)</f>
        <v>70207</v>
      </c>
      <c r="I106" s="18" cm="1">
        <f t="array" ref="I106">INDEX(GMWQ!$A$2:$NE$60,MATCH(1,(GMWQ!$NE$2:$NE$60=I$3)*(GMWQ!$ND$2:$ND$60=I$4),0),$B106-1966)</f>
        <v>7017</v>
      </c>
      <c r="J106" s="18" cm="1">
        <f t="array" ref="J106">INDEX(GMWQ!$A$2:$NE$60,MATCH(1,(GMWQ!$NE$2:$NE$60=J$3)*(GMWQ!$ND$2:$ND$60=J$4),0),$B106-1966)</f>
        <v>19708</v>
      </c>
      <c r="K106" s="18" cm="1">
        <f t="array" ref="K106">INDEX(GMWQ!$A$2:$NE$60,MATCH(1,(GMWQ!$NE$2:$NE$60=K$3)*(GMWQ!$ND$2:$ND$60=K$4),0),$B106-1966)</f>
        <v>1872351</v>
      </c>
      <c r="L106" s="18" cm="1">
        <f t="array" ref="L106">INDEX(GMWQ!$A$2:$NE$60,MATCH(1,(GMWQ!$NE$2:$NE$60=L$3)*(GMWQ!$ND$2:$ND$60=L$4),0),$B106-1966)</f>
        <v>26636</v>
      </c>
      <c r="M106" s="18" cm="1">
        <f t="array" ref="M106">INDEX(GMWQ!$A$2:$NE$60,MATCH(1,(GMWQ!$NE$2:$NE$60=M$3)*(GMWQ!$ND$2:$ND$60=M$4),0),$B106-1966)</f>
        <v>33.1</v>
      </c>
      <c r="N106" s="18" cm="1">
        <f t="array" ref="N106">INDEX(GMWQ!$A$2:$NE$60,MATCH(1,(GMWQ!$NE$2:$NE$60=N$3)*(GMWQ!$ND$2:$ND$60=N$4),0),$B106-1966)</f>
        <v>15.677670000000001</v>
      </c>
      <c r="O106" s="18" cm="1">
        <f t="array" ref="O106">INDEX(GMWQ!$A$2:$NE$60,MATCH(1,(GMWQ!$NE$2:$NE$60=O$3)*(GMWQ!$ND$2:$ND$60=O$4),0),$B106-1966)</f>
        <v>1E-3</v>
      </c>
      <c r="P106" s="18" cm="1">
        <f t="array" ref="P106">INDEX(GMWQ!$A$2:$NE$60,MATCH(1,(GMWQ!$NE$2:$NE$60=P$3)*(GMWQ!$ND$2:$ND$60=P$4),0),$B106-1966)</f>
        <v>181857</v>
      </c>
      <c r="Q106" s="18" cm="1">
        <f t="array" ref="Q106">INDEX(GMWQ!$A$2:$NE$60,MATCH(1,(GMWQ!$NE$2:$NE$60=Q$3)*(GMWQ!$ND$2:$ND$60=Q$4),0),$B106-1966)</f>
        <v>315</v>
      </c>
      <c r="R106" s="18" cm="1">
        <f t="array" ref="R106">INDEX(GMWQ!$A$2:$NE$60,MATCH(1,(GMWQ!$NE$2:$NE$60=R$3)*(GMWQ!$ND$2:$ND$60=R$4),0),$B106-1966)</f>
        <v>19977.95</v>
      </c>
      <c r="S106" s="18" cm="1">
        <f t="array" ref="S106">INDEX(GMWQ!$A$2:$NE$60,MATCH(1,(GMWQ!$NE$2:$NE$60=S$3)*(GMWQ!$ND$2:$ND$60=S$4),0),$B106-1966)</f>
        <v>72.58</v>
      </c>
      <c r="T106" s="18" cm="1">
        <f t="array" ref="T106">INDEX(GMWQ!$A$2:$NE$60,MATCH(1,(GMWQ!$NE$2:$NE$60=T$3)*(GMWQ!$ND$2:$ND$60=T$4),0),$B106-1966)</f>
        <v>43.838999999999999</v>
      </c>
      <c r="U106" s="18" cm="1">
        <f t="array" ref="U106">INDEX(GMWQ!$A$2:$NE$60,MATCH(1,(GMWQ!$NE$2:$NE$60=U$3)*(GMWQ!$ND$2:$ND$60=U$4),0),$B106-1966)</f>
        <v>44.34892</v>
      </c>
      <c r="V106" s="18" cm="1">
        <f t="array" ref="V106">INDEX(GMWQ!$A$2:$NE$60,MATCH(1,(GMWQ!$NE$2:$NE$60=V$3)*(GMWQ!$ND$2:$ND$60=V$4),0),$B106-1966)</f>
        <v>38153.5</v>
      </c>
      <c r="W106" s="18" cm="1">
        <f t="array" ref="W106">INDEX(GMWQ!$A$2:$NF$60,MATCH(1,(GMWQ!$NE$2:$NE$60=W$3)*(GMWQ!$NF$2:$NF$60=W$1),0),$B106-1966)</f>
        <v>35578</v>
      </c>
      <c r="X106" s="18" cm="1">
        <f t="array" ref="X106">INDEX(GMWQ!$A$2:$NF$60,MATCH(1,(GMWQ!$NE$2:$NE$60=X$3)*(GMWQ!$NF$2:$NF$60=X$1),0),$B106-1966)</f>
        <v>38079</v>
      </c>
      <c r="Y106" s="18" cm="1">
        <f t="array" ref="Y106">INDEX(GMWQ!$A$2:$NF$60,MATCH(1,(GMWQ!$NE$2:$NE$60=Y$3)*(GMWQ!$NF$2:$NF$60=Y$1),0),$B106-1966)</f>
        <v>39655</v>
      </c>
      <c r="Z106" s="18" cm="1">
        <f t="array" ref="Z106">INDEX(GMWQ!$A$2:$NF$60,MATCH(1,(GMWQ!$NE$2:$NE$60=Z$3)*(GMWQ!$NF$2:$NF$60=Z$1),0),$B106-1966)</f>
        <v>37199</v>
      </c>
    </row>
    <row r="107" spans="1:26" x14ac:dyDescent="0.25">
      <c r="A107" s="18">
        <v>1998</v>
      </c>
      <c r="B107" s="18">
        <f t="shared" si="2"/>
        <v>2073</v>
      </c>
      <c r="C107" s="18" cm="1">
        <f t="array" ref="C107">INDEX(GMWQ!$A$2:$NE$60,MATCH(1,(GMWQ!$NE$2:$NE$60=C$3)*(GMWQ!$ND$2:$ND$60=C$4),0),$B107-1966)</f>
        <v>40946</v>
      </c>
      <c r="D107" s="18" cm="1">
        <f t="array" ref="D107">INDEX(GMWQ!$A$2:$NE$60,MATCH(1,(GMWQ!$NE$2:$NE$60=D$3)*(GMWQ!$ND$2:$ND$60=D$4),0),$B107-1966)</f>
        <v>61415</v>
      </c>
      <c r="E107" s="18" cm="1">
        <f t="array" ref="E107">INDEX(GMWQ!$A$2:$NE$60,MATCH(1,(GMWQ!$NE$2:$NE$60=E$3)*(GMWQ!$ND$2:$ND$60=E$4),0),$B107-1966)</f>
        <v>459</v>
      </c>
      <c r="F107" s="18" cm="1">
        <f t="array" ref="F107">INDEX(GMWQ!$A$2:$NE$60,MATCH(1,(GMWQ!$NE$2:$NE$60=F$3)*(GMWQ!$ND$2:$ND$60=F$4),0),$B107-1966)</f>
        <v>-6341</v>
      </c>
      <c r="G107" s="18" cm="1">
        <f t="array" ref="G107">INDEX(GMWQ!$A$2:$NE$60,MATCH(1,(GMWQ!$NE$2:$NE$60=G$3)*(GMWQ!$ND$2:$ND$60=G$4),0),$B107-1966)</f>
        <v>245958</v>
      </c>
      <c r="H107" s="18" cm="1">
        <f t="array" ref="H107">INDEX(GMWQ!$A$2:$NE$60,MATCH(1,(GMWQ!$NE$2:$NE$60=H$3)*(GMWQ!$ND$2:$ND$60=H$4),0),$B107-1966)</f>
        <v>70769</v>
      </c>
      <c r="I107" s="18" cm="1">
        <f t="array" ref="I107">INDEX(GMWQ!$A$2:$NE$60,MATCH(1,(GMWQ!$NE$2:$NE$60=I$3)*(GMWQ!$ND$2:$ND$60=I$4),0),$B107-1966)</f>
        <v>7859</v>
      </c>
      <c r="J107" s="18" cm="1">
        <f t="array" ref="J107">INDEX(GMWQ!$A$2:$NE$60,MATCH(1,(GMWQ!$NE$2:$NE$60=J$3)*(GMWQ!$ND$2:$ND$60=J$4),0),$B107-1966)</f>
        <v>17934</v>
      </c>
      <c r="K107" s="18" cm="1">
        <f t="array" ref="K107">INDEX(GMWQ!$A$2:$NE$60,MATCH(1,(GMWQ!$NE$2:$NE$60=K$3)*(GMWQ!$ND$2:$ND$60=K$4),0),$B107-1966)</f>
        <v>1892183</v>
      </c>
      <c r="L107" s="18" cm="1">
        <f t="array" ref="L107">INDEX(GMWQ!$A$2:$NE$60,MATCH(1,(GMWQ!$NE$2:$NE$60=L$3)*(GMWQ!$ND$2:$ND$60=L$4),0),$B107-1966)</f>
        <v>26677</v>
      </c>
      <c r="M107" s="18" cm="1">
        <f t="array" ref="M107">INDEX(GMWQ!$A$2:$NE$60,MATCH(1,(GMWQ!$NE$2:$NE$60=M$3)*(GMWQ!$ND$2:$ND$60=M$4),0),$B107-1966)</f>
        <v>33.200000000000003</v>
      </c>
      <c r="N107" s="18" cm="1">
        <f t="array" ref="N107">INDEX(GMWQ!$A$2:$NE$60,MATCH(1,(GMWQ!$NE$2:$NE$60=N$3)*(GMWQ!$ND$2:$ND$60=N$4),0),$B107-1966)</f>
        <v>15.19774</v>
      </c>
      <c r="O107" s="18" cm="1">
        <f t="array" ref="O107">INDEX(GMWQ!$A$2:$NE$60,MATCH(1,(GMWQ!$NE$2:$NE$60=O$3)*(GMWQ!$ND$2:$ND$60=O$4),0),$B107-1966)</f>
        <v>1E-3</v>
      </c>
      <c r="P107" s="18" cm="1">
        <f t="array" ref="P107">INDEX(GMWQ!$A$2:$NE$60,MATCH(1,(GMWQ!$NE$2:$NE$60=P$3)*(GMWQ!$ND$2:$ND$60=P$4),0),$B107-1966)</f>
        <v>184424</v>
      </c>
      <c r="Q107" s="18" cm="1">
        <f t="array" ref="Q107">INDEX(GMWQ!$A$2:$NE$60,MATCH(1,(GMWQ!$NE$2:$NE$60=Q$3)*(GMWQ!$ND$2:$ND$60=Q$4),0),$B107-1966)</f>
        <v>325.22500000000002</v>
      </c>
      <c r="R107" s="18" cm="1">
        <f t="array" ref="R107">INDEX(GMWQ!$A$2:$NE$60,MATCH(1,(GMWQ!$NE$2:$NE$60=R$3)*(GMWQ!$ND$2:$ND$60=R$4),0),$B107-1966)</f>
        <v>19669.8</v>
      </c>
      <c r="S107" s="18" cm="1">
        <f t="array" ref="S107">INDEX(GMWQ!$A$2:$NE$60,MATCH(1,(GMWQ!$NE$2:$NE$60=S$3)*(GMWQ!$ND$2:$ND$60=S$4),0),$B107-1966)</f>
        <v>73.930000000000007</v>
      </c>
      <c r="T107" s="18" cm="1">
        <f t="array" ref="T107">INDEX(GMWQ!$A$2:$NE$60,MATCH(1,(GMWQ!$NE$2:$NE$60=T$3)*(GMWQ!$ND$2:$ND$60=T$4),0),$B107-1966)</f>
        <v>45.095999999999997</v>
      </c>
      <c r="U107" s="18" cm="1">
        <f t="array" ref="U107">INDEX(GMWQ!$A$2:$NE$60,MATCH(1,(GMWQ!$NE$2:$NE$60=U$3)*(GMWQ!$ND$2:$ND$60=U$4),0),$B107-1966)</f>
        <v>44.160060000000001</v>
      </c>
      <c r="V107" s="18" cm="1">
        <f t="array" ref="V107">INDEX(GMWQ!$A$2:$NE$60,MATCH(1,(GMWQ!$NE$2:$NE$60=V$3)*(GMWQ!$ND$2:$ND$60=V$4),0),$B107-1966)</f>
        <v>38248.5</v>
      </c>
      <c r="W107" s="18" cm="1">
        <f t="array" ref="W107">INDEX(GMWQ!$A$2:$NF$60,MATCH(1,(GMWQ!$NE$2:$NE$60=W$3)*(GMWQ!$NF$2:$NF$60=W$1),0),$B107-1966)</f>
        <v>36721</v>
      </c>
      <c r="X107" s="18" cm="1">
        <f t="array" ref="X107">INDEX(GMWQ!$A$2:$NF$60,MATCH(1,(GMWQ!$NE$2:$NE$60=X$3)*(GMWQ!$NF$2:$NF$60=X$1),0),$B107-1966)</f>
        <v>39257</v>
      </c>
      <c r="Y107" s="18" cm="1">
        <f t="array" ref="Y107">INDEX(GMWQ!$A$2:$NF$60,MATCH(1,(GMWQ!$NE$2:$NE$60=Y$3)*(GMWQ!$NF$2:$NF$60=Y$1),0),$B107-1966)</f>
        <v>40713</v>
      </c>
      <c r="Z107" s="18" cm="1">
        <f t="array" ref="Z107">INDEX(GMWQ!$A$2:$NF$60,MATCH(1,(GMWQ!$NE$2:$NE$60=Z$3)*(GMWQ!$NF$2:$NF$60=Z$1),0),$B107-1966)</f>
        <v>37792</v>
      </c>
    </row>
    <row r="108" spans="1:26" x14ac:dyDescent="0.25">
      <c r="B108" s="18">
        <f t="shared" si="2"/>
        <v>2074</v>
      </c>
      <c r="C108" s="18" cm="1">
        <f t="array" ref="C108">INDEX(GMWQ!$A$2:$NE$60,MATCH(1,(GMWQ!$NE$2:$NE$60=C$3)*(GMWQ!$ND$2:$ND$60=C$4),0),$B108-1966)</f>
        <v>40781</v>
      </c>
      <c r="D108" s="18" cm="1">
        <f t="array" ref="D108">INDEX(GMWQ!$A$2:$NE$60,MATCH(1,(GMWQ!$NE$2:$NE$60=D$3)*(GMWQ!$ND$2:$ND$60=D$4),0),$B108-1966)</f>
        <v>60315</v>
      </c>
      <c r="E108" s="18" cm="1">
        <f t="array" ref="E108">INDEX(GMWQ!$A$2:$NE$60,MATCH(1,(GMWQ!$NE$2:$NE$60=E$3)*(GMWQ!$ND$2:$ND$60=E$4),0),$B108-1966)</f>
        <v>-1007</v>
      </c>
      <c r="F108" s="18" cm="1">
        <f t="array" ref="F108">INDEX(GMWQ!$A$2:$NE$60,MATCH(1,(GMWQ!$NE$2:$NE$60=F$3)*(GMWQ!$ND$2:$ND$60=F$4),0),$B108-1966)</f>
        <v>-5809</v>
      </c>
      <c r="G108" s="18" cm="1">
        <f t="array" ref="G108">INDEX(GMWQ!$A$2:$NE$60,MATCH(1,(GMWQ!$NE$2:$NE$60=G$3)*(GMWQ!$ND$2:$ND$60=G$4),0),$B108-1966)</f>
        <v>248081</v>
      </c>
      <c r="H108" s="18" cm="1">
        <f t="array" ref="H108">INDEX(GMWQ!$A$2:$NE$60,MATCH(1,(GMWQ!$NE$2:$NE$60=H$3)*(GMWQ!$ND$2:$ND$60=H$4),0),$B108-1966)</f>
        <v>70728</v>
      </c>
      <c r="I108" s="18" cm="1">
        <f t="array" ref="I108">INDEX(GMWQ!$A$2:$NE$60,MATCH(1,(GMWQ!$NE$2:$NE$60=I$3)*(GMWQ!$ND$2:$ND$60=I$4),0),$B108-1966)</f>
        <v>7576</v>
      </c>
      <c r="J108" s="18" cm="1">
        <f t="array" ref="J108">INDEX(GMWQ!$A$2:$NE$60,MATCH(1,(GMWQ!$NE$2:$NE$60=J$3)*(GMWQ!$ND$2:$ND$60=J$4),0),$B108-1966)</f>
        <v>18418</v>
      </c>
      <c r="K108" s="18" cm="1">
        <f t="array" ref="K108">INDEX(GMWQ!$A$2:$NE$60,MATCH(1,(GMWQ!$NE$2:$NE$60=K$3)*(GMWQ!$ND$2:$ND$60=K$4),0),$B108-1966)</f>
        <v>1912015</v>
      </c>
      <c r="L108" s="18" cm="1">
        <f t="array" ref="L108">INDEX(GMWQ!$A$2:$NE$60,MATCH(1,(GMWQ!$NE$2:$NE$60=L$3)*(GMWQ!$ND$2:$ND$60=L$4),0),$B108-1966)</f>
        <v>26714</v>
      </c>
      <c r="M108" s="18" cm="1">
        <f t="array" ref="M108">INDEX(GMWQ!$A$2:$NE$60,MATCH(1,(GMWQ!$NE$2:$NE$60=M$3)*(GMWQ!$ND$2:$ND$60=M$4),0),$B108-1966)</f>
        <v>33.200000000000003</v>
      </c>
      <c r="N108" s="18" cm="1">
        <f t="array" ref="N108">INDEX(GMWQ!$A$2:$NE$60,MATCH(1,(GMWQ!$NE$2:$NE$60=N$3)*(GMWQ!$ND$2:$ND$60=N$4),0),$B108-1966)</f>
        <v>15.33624</v>
      </c>
      <c r="O108" s="18" cm="1">
        <f t="array" ref="O108">INDEX(GMWQ!$A$2:$NE$60,MATCH(1,(GMWQ!$NE$2:$NE$60=O$3)*(GMWQ!$ND$2:$ND$60=O$4),0),$B108-1966)</f>
        <v>1E-3</v>
      </c>
      <c r="P108" s="18" cm="1">
        <f t="array" ref="P108">INDEX(GMWQ!$A$2:$NE$60,MATCH(1,(GMWQ!$NE$2:$NE$60=P$3)*(GMWQ!$ND$2:$ND$60=P$4),0),$B108-1966)</f>
        <v>188934</v>
      </c>
      <c r="Q108" s="18" cm="1">
        <f t="array" ref="Q108">INDEX(GMWQ!$A$2:$NE$60,MATCH(1,(GMWQ!$NE$2:$NE$60=Q$3)*(GMWQ!$ND$2:$ND$60=Q$4),0),$B108-1966)</f>
        <v>336.22500000000002</v>
      </c>
      <c r="R108" s="18" cm="1">
        <f t="array" ref="R108">INDEX(GMWQ!$A$2:$NE$60,MATCH(1,(GMWQ!$NE$2:$NE$60=R$3)*(GMWQ!$ND$2:$ND$60=R$4),0),$B108-1966)</f>
        <v>19484.47</v>
      </c>
      <c r="S108" s="18" cm="1">
        <f t="array" ref="S108">INDEX(GMWQ!$A$2:$NE$60,MATCH(1,(GMWQ!$NE$2:$NE$60=S$3)*(GMWQ!$ND$2:$ND$60=S$4),0),$B108-1966)</f>
        <v>73.84</v>
      </c>
      <c r="T108" s="18" cm="1">
        <f t="array" ref="T108">INDEX(GMWQ!$A$2:$NE$60,MATCH(1,(GMWQ!$NE$2:$NE$60=T$3)*(GMWQ!$ND$2:$ND$60=T$4),0),$B108-1966)</f>
        <v>46.357010000000002</v>
      </c>
      <c r="U108" s="18" cm="1">
        <f t="array" ref="U108">INDEX(GMWQ!$A$2:$NE$60,MATCH(1,(GMWQ!$NE$2:$NE$60=U$3)*(GMWQ!$ND$2:$ND$60=U$4),0),$B108-1966)</f>
        <v>44.731009999999998</v>
      </c>
      <c r="V108" s="18" cm="1">
        <f t="array" ref="V108">INDEX(GMWQ!$A$2:$NE$60,MATCH(1,(GMWQ!$NE$2:$NE$60=V$3)*(GMWQ!$ND$2:$ND$60=V$4),0),$B108-1966)</f>
        <v>38461.5</v>
      </c>
      <c r="W108" s="18" cm="1">
        <f t="array" ref="W108">INDEX(GMWQ!$A$2:$NF$60,MATCH(1,(GMWQ!$NE$2:$NE$60=W$3)*(GMWQ!$NF$2:$NF$60=W$1),0),$B108-1966)</f>
        <v>36983</v>
      </c>
      <c r="X108" s="18" cm="1">
        <f t="array" ref="X108">INDEX(GMWQ!$A$2:$NF$60,MATCH(1,(GMWQ!$NE$2:$NE$60=X$3)*(GMWQ!$NF$2:$NF$60=X$1),0),$B108-1966)</f>
        <v>39386</v>
      </c>
      <c r="Y108" s="18" cm="1">
        <f t="array" ref="Y108">INDEX(GMWQ!$A$2:$NF$60,MATCH(1,(GMWQ!$NE$2:$NE$60=Y$3)*(GMWQ!$NF$2:$NF$60=Y$1),0),$B108-1966)</f>
        <v>40591</v>
      </c>
      <c r="Z108" s="18" cm="1">
        <f t="array" ref="Z108">INDEX(GMWQ!$A$2:$NF$60,MATCH(1,(GMWQ!$NE$2:$NE$60=Z$3)*(GMWQ!$NF$2:$NF$60=Z$1),0),$B108-1966)</f>
        <v>37625</v>
      </c>
    </row>
    <row r="109" spans="1:26" x14ac:dyDescent="0.25">
      <c r="B109" s="18">
        <f t="shared" si="2"/>
        <v>2075</v>
      </c>
      <c r="C109" s="18" cm="1">
        <f t="array" ref="C109">INDEX(GMWQ!$A$2:$NE$60,MATCH(1,(GMWQ!$NE$2:$NE$60=C$3)*(GMWQ!$ND$2:$ND$60=C$4),0),$B109-1966)</f>
        <v>40414</v>
      </c>
      <c r="D109" s="18" cm="1">
        <f t="array" ref="D109">INDEX(GMWQ!$A$2:$NE$60,MATCH(1,(GMWQ!$NE$2:$NE$60=D$3)*(GMWQ!$ND$2:$ND$60=D$4),0),$B109-1966)</f>
        <v>59247</v>
      </c>
      <c r="E109" s="18" cm="1">
        <f t="array" ref="E109">INDEX(GMWQ!$A$2:$NE$60,MATCH(1,(GMWQ!$NE$2:$NE$60=E$3)*(GMWQ!$ND$2:$ND$60=E$4),0),$B109-1966)</f>
        <v>784</v>
      </c>
      <c r="F109" s="18" cm="1">
        <f t="array" ref="F109">INDEX(GMWQ!$A$2:$NE$60,MATCH(1,(GMWQ!$NE$2:$NE$60=F$3)*(GMWQ!$ND$2:$ND$60=F$4),0),$B109-1966)</f>
        <v>-1322</v>
      </c>
      <c r="G109" s="18" cm="1">
        <f t="array" ref="G109">INDEX(GMWQ!$A$2:$NE$60,MATCH(1,(GMWQ!$NE$2:$NE$60=G$3)*(GMWQ!$ND$2:$ND$60=G$4),0),$B109-1966)</f>
        <v>250560</v>
      </c>
      <c r="H109" s="18" cm="1">
        <f t="array" ref="H109">INDEX(GMWQ!$A$2:$NE$60,MATCH(1,(GMWQ!$NE$2:$NE$60=H$3)*(GMWQ!$ND$2:$ND$60=H$4),0),$B109-1966)</f>
        <v>70125</v>
      </c>
      <c r="I109" s="18" cm="1">
        <f t="array" ref="I109">INDEX(GMWQ!$A$2:$NE$60,MATCH(1,(GMWQ!$NE$2:$NE$60=I$3)*(GMWQ!$ND$2:$ND$60=I$4),0),$B109-1966)</f>
        <v>7644</v>
      </c>
      <c r="J109" s="18" cm="1">
        <f t="array" ref="J109">INDEX(GMWQ!$A$2:$NE$60,MATCH(1,(GMWQ!$NE$2:$NE$60=J$3)*(GMWQ!$ND$2:$ND$60=J$4),0),$B109-1966)</f>
        <v>17829</v>
      </c>
      <c r="K109" s="18" cm="1">
        <f t="array" ref="K109">INDEX(GMWQ!$A$2:$NE$60,MATCH(1,(GMWQ!$NE$2:$NE$60=K$3)*(GMWQ!$ND$2:$ND$60=K$4),0),$B109-1966)</f>
        <v>1931847</v>
      </c>
      <c r="L109" s="18" cm="1">
        <f t="array" ref="L109">INDEX(GMWQ!$A$2:$NE$60,MATCH(1,(GMWQ!$NE$2:$NE$60=L$3)*(GMWQ!$ND$2:$ND$60=L$4),0),$B109-1966)</f>
        <v>26834</v>
      </c>
      <c r="M109" s="18" cm="1">
        <f t="array" ref="M109">INDEX(GMWQ!$A$2:$NE$60,MATCH(1,(GMWQ!$NE$2:$NE$60=M$3)*(GMWQ!$ND$2:$ND$60=M$4),0),$B109-1966)</f>
        <v>33.1</v>
      </c>
      <c r="N109" s="18" cm="1">
        <f t="array" ref="N109">INDEX(GMWQ!$A$2:$NE$60,MATCH(1,(GMWQ!$NE$2:$NE$60=N$3)*(GMWQ!$ND$2:$ND$60=N$4),0),$B109-1966)</f>
        <v>16.189689999999999</v>
      </c>
      <c r="O109" s="18" cm="1">
        <f t="array" ref="O109">INDEX(GMWQ!$A$2:$NE$60,MATCH(1,(GMWQ!$NE$2:$NE$60=O$3)*(GMWQ!$ND$2:$ND$60=O$4),0),$B109-1966)</f>
        <v>1E-3</v>
      </c>
      <c r="P109" s="18" cm="1">
        <f t="array" ref="P109">INDEX(GMWQ!$A$2:$NE$60,MATCH(1,(GMWQ!$NE$2:$NE$60=P$3)*(GMWQ!$ND$2:$ND$60=P$4),0),$B109-1966)</f>
        <v>190508</v>
      </c>
      <c r="Q109" s="18" cm="1">
        <f t="array" ref="Q109">INDEX(GMWQ!$A$2:$NE$60,MATCH(1,(GMWQ!$NE$2:$NE$60=Q$3)*(GMWQ!$ND$2:$ND$60=Q$4),0),$B109-1966)</f>
        <v>341.52499999999998</v>
      </c>
      <c r="R109" s="18" cm="1">
        <f t="array" ref="R109">INDEX(GMWQ!$A$2:$NE$60,MATCH(1,(GMWQ!$NE$2:$NE$60=R$3)*(GMWQ!$ND$2:$ND$60=R$4),0),$B109-1966)</f>
        <v>19350.63</v>
      </c>
      <c r="S109" s="18" cm="1">
        <f t="array" ref="S109">INDEX(GMWQ!$A$2:$NE$60,MATCH(1,(GMWQ!$NE$2:$NE$60=S$3)*(GMWQ!$ND$2:$ND$60=S$4),0),$B109-1966)</f>
        <v>74.8</v>
      </c>
      <c r="T109" s="18" cm="1">
        <f t="array" ref="T109">INDEX(GMWQ!$A$2:$NE$60,MATCH(1,(GMWQ!$NE$2:$NE$60=T$3)*(GMWQ!$ND$2:$ND$60=T$4),0),$B109-1966)</f>
        <v>47.192999999999998</v>
      </c>
      <c r="U109" s="18" cm="1">
        <f t="array" ref="U109">INDEX(GMWQ!$A$2:$NE$60,MATCH(1,(GMWQ!$NE$2:$NE$60=U$3)*(GMWQ!$ND$2:$ND$60=U$4),0),$B109-1966)</f>
        <v>45.178600000000003</v>
      </c>
      <c r="V109" s="18" cm="1">
        <f t="array" ref="V109">INDEX(GMWQ!$A$2:$NE$60,MATCH(1,(GMWQ!$NE$2:$NE$60=V$3)*(GMWQ!$ND$2:$ND$60=V$4),0),$B109-1966)</f>
        <v>38571.75</v>
      </c>
      <c r="W109" s="18" cm="1">
        <f t="array" ref="W109">INDEX(GMWQ!$A$2:$NF$60,MATCH(1,(GMWQ!$NE$2:$NE$60=W$3)*(GMWQ!$NF$2:$NF$60=W$1),0),$B109-1966)</f>
        <v>37281</v>
      </c>
      <c r="X109" s="18" cm="1">
        <f t="array" ref="X109">INDEX(GMWQ!$A$2:$NF$60,MATCH(1,(GMWQ!$NE$2:$NE$60=X$3)*(GMWQ!$NF$2:$NF$60=X$1),0),$B109-1966)</f>
        <v>39777</v>
      </c>
      <c r="Y109" s="18" cm="1">
        <f t="array" ref="Y109">INDEX(GMWQ!$A$2:$NF$60,MATCH(1,(GMWQ!$NE$2:$NE$60=Y$3)*(GMWQ!$NF$2:$NF$60=Y$1),0),$B109-1966)</f>
        <v>40597</v>
      </c>
      <c r="Z109" s="18" cm="1">
        <f t="array" ref="Z109">INDEX(GMWQ!$A$2:$NF$60,MATCH(1,(GMWQ!$NE$2:$NE$60=Z$3)*(GMWQ!$NF$2:$NF$60=Z$1),0),$B109-1966)</f>
        <v>37276</v>
      </c>
    </row>
    <row r="110" spans="1:26" x14ac:dyDescent="0.25">
      <c r="B110" s="18">
        <f t="shared" si="2"/>
        <v>2076</v>
      </c>
      <c r="C110" s="18" cm="1">
        <f t="array" ref="C110">INDEX(GMWQ!$A$2:$NE$60,MATCH(1,(GMWQ!$NE$2:$NE$60=C$3)*(GMWQ!$ND$2:$ND$60=C$4),0),$B110-1966)</f>
        <v>41424</v>
      </c>
      <c r="D110" s="18" cm="1">
        <f t="array" ref="D110">INDEX(GMWQ!$A$2:$NE$60,MATCH(1,(GMWQ!$NE$2:$NE$60=D$3)*(GMWQ!$ND$2:$ND$60=D$4),0),$B110-1966)</f>
        <v>61018</v>
      </c>
      <c r="E110" s="18" cm="1">
        <f t="array" ref="E110">INDEX(GMWQ!$A$2:$NE$60,MATCH(1,(GMWQ!$NE$2:$NE$60=E$3)*(GMWQ!$ND$2:$ND$60=E$4),0),$B110-1966)</f>
        <v>2447</v>
      </c>
      <c r="F110" s="18" cm="1">
        <f t="array" ref="F110">INDEX(GMWQ!$A$2:$NE$60,MATCH(1,(GMWQ!$NE$2:$NE$60=F$3)*(GMWQ!$ND$2:$ND$60=F$4),0),$B110-1966)</f>
        <v>-1757</v>
      </c>
      <c r="G110" s="18" cm="1">
        <f t="array" ref="G110">INDEX(GMWQ!$A$2:$NE$60,MATCH(1,(GMWQ!$NE$2:$NE$60=G$3)*(GMWQ!$ND$2:$ND$60=G$4),0),$B110-1966)</f>
        <v>253902</v>
      </c>
      <c r="H110" s="18" cm="1">
        <f t="array" ref="H110">INDEX(GMWQ!$A$2:$NE$60,MATCH(1,(GMWQ!$NE$2:$NE$60=H$3)*(GMWQ!$ND$2:$ND$60=H$4),0),$B110-1966)</f>
        <v>71589</v>
      </c>
      <c r="I110" s="18" cm="1">
        <f t="array" ref="I110">INDEX(GMWQ!$A$2:$NE$60,MATCH(1,(GMWQ!$NE$2:$NE$60=I$3)*(GMWQ!$ND$2:$ND$60=I$4),0),$B110-1966)</f>
        <v>7529</v>
      </c>
      <c r="J110" s="18" cm="1">
        <f t="array" ref="J110">INDEX(GMWQ!$A$2:$NE$60,MATCH(1,(GMWQ!$NE$2:$NE$60=J$3)*(GMWQ!$ND$2:$ND$60=J$4),0),$B110-1966)</f>
        <v>18061</v>
      </c>
      <c r="K110" s="18" cm="1">
        <f t="array" ref="K110">INDEX(GMWQ!$A$2:$NE$60,MATCH(1,(GMWQ!$NE$2:$NE$60=K$3)*(GMWQ!$ND$2:$ND$60=K$4),0),$B110-1966)</f>
        <v>1951679</v>
      </c>
      <c r="L110" s="18" cm="1">
        <f t="array" ref="L110">INDEX(GMWQ!$A$2:$NE$60,MATCH(1,(GMWQ!$NE$2:$NE$60=L$3)*(GMWQ!$ND$2:$ND$60=L$4),0),$B110-1966)</f>
        <v>26955</v>
      </c>
      <c r="M110" s="18" cm="1">
        <f t="array" ref="M110">INDEX(GMWQ!$A$2:$NE$60,MATCH(1,(GMWQ!$NE$2:$NE$60=M$3)*(GMWQ!$ND$2:$ND$60=M$4),0),$B110-1966)</f>
        <v>32.799999999999997</v>
      </c>
      <c r="N110" s="18" cm="1">
        <f t="array" ref="N110">INDEX(GMWQ!$A$2:$NE$60,MATCH(1,(GMWQ!$NE$2:$NE$60=N$3)*(GMWQ!$ND$2:$ND$60=N$4),0),$B110-1966)</f>
        <v>14.886559999999999</v>
      </c>
      <c r="O110" s="18" cm="1">
        <f t="array" ref="O110">INDEX(GMWQ!$A$2:$NE$60,MATCH(1,(GMWQ!$NE$2:$NE$60=O$3)*(GMWQ!$ND$2:$ND$60=O$4),0),$B110-1966)</f>
        <v>1E-3</v>
      </c>
      <c r="P110" s="18" cm="1">
        <f t="array" ref="P110">INDEX(GMWQ!$A$2:$NE$60,MATCH(1,(GMWQ!$NE$2:$NE$60=P$3)*(GMWQ!$ND$2:$ND$60=P$4),0),$B110-1966)</f>
        <v>192030</v>
      </c>
      <c r="Q110" s="18" cm="1">
        <f t="array" ref="Q110">INDEX(GMWQ!$A$2:$NE$60,MATCH(1,(GMWQ!$NE$2:$NE$60=Q$3)*(GMWQ!$ND$2:$ND$60=Q$4),0),$B110-1966)</f>
        <v>351.5</v>
      </c>
      <c r="R110" s="18" cm="1">
        <f t="array" ref="R110">INDEX(GMWQ!$A$2:$NE$60,MATCH(1,(GMWQ!$NE$2:$NE$60=R$3)*(GMWQ!$ND$2:$ND$60=R$4),0),$B110-1966)</f>
        <v>18838.650000000001</v>
      </c>
      <c r="S110" s="18" cm="1">
        <f t="array" ref="S110">INDEX(GMWQ!$A$2:$NE$60,MATCH(1,(GMWQ!$NE$2:$NE$60=S$3)*(GMWQ!$ND$2:$ND$60=S$4),0),$B110-1966)</f>
        <v>75.290000000000006</v>
      </c>
      <c r="T110" s="18" cm="1">
        <f t="array" ref="T110">INDEX(GMWQ!$A$2:$NE$60,MATCH(1,(GMWQ!$NE$2:$NE$60=T$3)*(GMWQ!$ND$2:$ND$60=T$4),0),$B110-1966)</f>
        <v>47.933</v>
      </c>
      <c r="U110" s="18" cm="1">
        <f t="array" ref="U110">INDEX(GMWQ!$A$2:$NE$60,MATCH(1,(GMWQ!$NE$2:$NE$60=U$3)*(GMWQ!$ND$2:$ND$60=U$4),0),$B110-1966)</f>
        <v>45.839889999999997</v>
      </c>
      <c r="V110" s="18" cm="1">
        <f t="array" ref="V110">INDEX(GMWQ!$A$2:$NE$60,MATCH(1,(GMWQ!$NE$2:$NE$60=V$3)*(GMWQ!$ND$2:$ND$60=V$4),0),$B110-1966)</f>
        <v>39120.25</v>
      </c>
      <c r="W110" s="18" cm="1">
        <f t="array" ref="W110">INDEX(GMWQ!$A$2:$NF$60,MATCH(1,(GMWQ!$NE$2:$NE$60=W$3)*(GMWQ!$NF$2:$NF$60=W$1),0),$B110-1966)</f>
        <v>38078</v>
      </c>
      <c r="X110" s="18" cm="1">
        <f t="array" ref="X110">INDEX(GMWQ!$A$2:$NF$60,MATCH(1,(GMWQ!$NE$2:$NE$60=X$3)*(GMWQ!$NF$2:$NF$60=X$1),0),$B110-1966)</f>
        <v>40742</v>
      </c>
      <c r="Y110" s="18" cm="1">
        <f t="array" ref="Y110">INDEX(GMWQ!$A$2:$NF$60,MATCH(1,(GMWQ!$NE$2:$NE$60=Y$3)*(GMWQ!$NF$2:$NF$60=Y$1),0),$B110-1966)</f>
        <v>41411</v>
      </c>
      <c r="Z110" s="18" cm="1">
        <f t="array" ref="Z110">INDEX(GMWQ!$A$2:$NF$60,MATCH(1,(GMWQ!$NE$2:$NE$60=Z$3)*(GMWQ!$NF$2:$NF$60=Z$1),0),$B110-1966)</f>
        <v>38212</v>
      </c>
    </row>
    <row r="111" spans="1:26" x14ac:dyDescent="0.25">
      <c r="A111" s="18">
        <v>1999</v>
      </c>
      <c r="B111" s="18">
        <f t="shared" si="2"/>
        <v>2077</v>
      </c>
      <c r="C111" s="18" cm="1">
        <f t="array" ref="C111">INDEX(GMWQ!$A$2:$NE$60,MATCH(1,(GMWQ!$NE$2:$NE$60=C$3)*(GMWQ!$ND$2:$ND$60=C$4),0),$B111-1966)</f>
        <v>41135</v>
      </c>
      <c r="D111" s="18" cm="1">
        <f t="array" ref="D111">INDEX(GMWQ!$A$2:$NE$60,MATCH(1,(GMWQ!$NE$2:$NE$60=D$3)*(GMWQ!$ND$2:$ND$60=D$4),0),$B111-1966)</f>
        <v>58057</v>
      </c>
      <c r="E111" s="18" cm="1">
        <f t="array" ref="E111">INDEX(GMWQ!$A$2:$NE$60,MATCH(1,(GMWQ!$NE$2:$NE$60=E$3)*(GMWQ!$ND$2:$ND$60=E$4),0),$B111-1966)</f>
        <v>2363</v>
      </c>
      <c r="F111" s="18" cm="1">
        <f t="array" ref="F111">INDEX(GMWQ!$A$2:$NE$60,MATCH(1,(GMWQ!$NE$2:$NE$60=F$3)*(GMWQ!$ND$2:$ND$60=F$4),0),$B111-1966)</f>
        <v>-4488</v>
      </c>
      <c r="G111" s="18" cm="1">
        <f t="array" ref="G111">INDEX(GMWQ!$A$2:$NE$60,MATCH(1,(GMWQ!$NE$2:$NE$60=G$3)*(GMWQ!$ND$2:$ND$60=G$4),0),$B111-1966)</f>
        <v>255903</v>
      </c>
      <c r="H111" s="18" cm="1">
        <f t="array" ref="H111">INDEX(GMWQ!$A$2:$NE$60,MATCH(1,(GMWQ!$NE$2:$NE$60=H$3)*(GMWQ!$ND$2:$ND$60=H$4),0),$B111-1966)</f>
        <v>71553</v>
      </c>
      <c r="I111" s="18" cm="1">
        <f t="array" ref="I111">INDEX(GMWQ!$A$2:$NE$60,MATCH(1,(GMWQ!$NE$2:$NE$60=I$3)*(GMWQ!$ND$2:$ND$60=I$4),0),$B111-1966)</f>
        <v>8207</v>
      </c>
      <c r="J111" s="18" cm="1">
        <f t="array" ref="J111">INDEX(GMWQ!$A$2:$NE$60,MATCH(1,(GMWQ!$NE$2:$NE$60=J$3)*(GMWQ!$ND$2:$ND$60=J$4),0),$B111-1966)</f>
        <v>17844</v>
      </c>
      <c r="K111" s="18" cm="1">
        <f t="array" ref="K111">INDEX(GMWQ!$A$2:$NE$60,MATCH(1,(GMWQ!$NE$2:$NE$60=K$3)*(GMWQ!$ND$2:$ND$60=K$4),0),$B111-1966)</f>
        <v>1970424</v>
      </c>
      <c r="L111" s="18" cm="1">
        <f t="array" ref="L111">INDEX(GMWQ!$A$2:$NE$60,MATCH(1,(GMWQ!$NE$2:$NE$60=L$3)*(GMWQ!$ND$2:$ND$60=L$4),0),$B111-1966)</f>
        <v>27036</v>
      </c>
      <c r="M111" s="18" cm="1">
        <f t="array" ref="M111">INDEX(GMWQ!$A$2:$NE$60,MATCH(1,(GMWQ!$NE$2:$NE$60=M$3)*(GMWQ!$ND$2:$ND$60=M$4),0),$B111-1966)</f>
        <v>32.9</v>
      </c>
      <c r="N111" s="18" cm="1">
        <f t="array" ref="N111">INDEX(GMWQ!$A$2:$NE$60,MATCH(1,(GMWQ!$NE$2:$NE$60=N$3)*(GMWQ!$ND$2:$ND$60=N$4),0),$B111-1966)</f>
        <v>16.504270000000002</v>
      </c>
      <c r="O111" s="18" cm="1">
        <f t="array" ref="O111">INDEX(GMWQ!$A$2:$NE$60,MATCH(1,(GMWQ!$NE$2:$NE$60=O$3)*(GMWQ!$ND$2:$ND$60=O$4),0),$B111-1966)</f>
        <v>1E-3</v>
      </c>
      <c r="P111" s="18" cm="1">
        <f t="array" ref="P111">INDEX(GMWQ!$A$2:$NE$60,MATCH(1,(GMWQ!$NE$2:$NE$60=P$3)*(GMWQ!$ND$2:$ND$60=P$4),0),$B111-1966)</f>
        <v>194215</v>
      </c>
      <c r="Q111" s="18" cm="1">
        <f t="array" ref="Q111">INDEX(GMWQ!$A$2:$NE$60,MATCH(1,(GMWQ!$NE$2:$NE$60=Q$3)*(GMWQ!$ND$2:$ND$60=Q$4),0),$B111-1966)</f>
        <v>359.27499999999998</v>
      </c>
      <c r="R111" s="18" cm="1">
        <f t="array" ref="R111">INDEX(GMWQ!$A$2:$NE$60,MATCH(1,(GMWQ!$NE$2:$NE$60=R$3)*(GMWQ!$ND$2:$ND$60=R$4),0),$B111-1966)</f>
        <v>18308.13</v>
      </c>
      <c r="S111" s="18" cm="1">
        <f t="array" ref="S111">INDEX(GMWQ!$A$2:$NE$60,MATCH(1,(GMWQ!$NE$2:$NE$60=S$3)*(GMWQ!$ND$2:$ND$60=S$4),0),$B111-1966)</f>
        <v>76.02</v>
      </c>
      <c r="T111" s="18" cm="1">
        <f t="array" ref="T111">INDEX(GMWQ!$A$2:$NE$60,MATCH(1,(GMWQ!$NE$2:$NE$60=T$3)*(GMWQ!$ND$2:$ND$60=T$4),0),$B111-1966)</f>
        <v>49.042990000000003</v>
      </c>
      <c r="U111" s="18" cm="1">
        <f t="array" ref="U111">INDEX(GMWQ!$A$2:$NE$60,MATCH(1,(GMWQ!$NE$2:$NE$60=U$3)*(GMWQ!$ND$2:$ND$60=U$4),0),$B111-1966)</f>
        <v>46.09769</v>
      </c>
      <c r="V111" s="18" cm="1">
        <f t="array" ref="V111">INDEX(GMWQ!$A$2:$NE$60,MATCH(1,(GMWQ!$NE$2:$NE$60=V$3)*(GMWQ!$ND$2:$ND$60=V$4),0),$B111-1966)</f>
        <v>39165.75</v>
      </c>
      <c r="W111" s="18" cm="1">
        <f t="array" ref="W111">INDEX(GMWQ!$A$2:$NF$60,MATCH(1,(GMWQ!$NE$2:$NE$60=W$3)*(GMWQ!$NF$2:$NF$60=W$1),0),$B111-1966)</f>
        <v>37589</v>
      </c>
      <c r="X111" s="18" cm="1">
        <f t="array" ref="X111">INDEX(GMWQ!$A$2:$NF$60,MATCH(1,(GMWQ!$NE$2:$NE$60=X$3)*(GMWQ!$NF$2:$NF$60=X$1),0),$B111-1966)</f>
        <v>40223</v>
      </c>
      <c r="Y111" s="18" cm="1">
        <f t="array" ref="Y111">INDEX(GMWQ!$A$2:$NF$60,MATCH(1,(GMWQ!$NE$2:$NE$60=Y$3)*(GMWQ!$NF$2:$NF$60=Y$1),0),$B111-1966)</f>
        <v>41475</v>
      </c>
      <c r="Z111" s="18" cm="1">
        <f t="array" ref="Z111">INDEX(GMWQ!$A$2:$NF$60,MATCH(1,(GMWQ!$NE$2:$NE$60=Z$3)*(GMWQ!$NF$2:$NF$60=Z$1),0),$B111-1966)</f>
        <v>37931</v>
      </c>
    </row>
    <row r="112" spans="1:26" x14ac:dyDescent="0.25">
      <c r="B112" s="18">
        <f t="shared" si="2"/>
        <v>2078</v>
      </c>
      <c r="C112" s="18" cm="1">
        <f t="array" ref="C112">INDEX(GMWQ!$A$2:$NE$60,MATCH(1,(GMWQ!$NE$2:$NE$60=C$3)*(GMWQ!$ND$2:$ND$60=C$4),0),$B112-1966)</f>
        <v>41175</v>
      </c>
      <c r="D112" s="18" cm="1">
        <f t="array" ref="D112">INDEX(GMWQ!$A$2:$NE$60,MATCH(1,(GMWQ!$NE$2:$NE$60=D$3)*(GMWQ!$ND$2:$ND$60=D$4),0),$B112-1966)</f>
        <v>56566</v>
      </c>
      <c r="E112" s="18" cm="1">
        <f t="array" ref="E112">INDEX(GMWQ!$A$2:$NE$60,MATCH(1,(GMWQ!$NE$2:$NE$60=E$3)*(GMWQ!$ND$2:$ND$60=E$4),0),$B112-1966)</f>
        <v>-7757</v>
      </c>
      <c r="F112" s="18" cm="1">
        <f t="array" ref="F112">INDEX(GMWQ!$A$2:$NE$60,MATCH(1,(GMWQ!$NE$2:$NE$60=F$3)*(GMWQ!$ND$2:$ND$60=F$4),0),$B112-1966)</f>
        <v>-9824</v>
      </c>
      <c r="G112" s="18" cm="1">
        <f t="array" ref="G112">INDEX(GMWQ!$A$2:$NE$60,MATCH(1,(GMWQ!$NE$2:$NE$60=G$3)*(GMWQ!$ND$2:$ND$60=G$4),0),$B112-1966)</f>
        <v>258404</v>
      </c>
      <c r="H112" s="18" cm="1">
        <f t="array" ref="H112">INDEX(GMWQ!$A$2:$NE$60,MATCH(1,(GMWQ!$NE$2:$NE$60=H$3)*(GMWQ!$ND$2:$ND$60=H$4),0),$B112-1966)</f>
        <v>71631</v>
      </c>
      <c r="I112" s="18" cm="1">
        <f t="array" ref="I112">INDEX(GMWQ!$A$2:$NE$60,MATCH(1,(GMWQ!$NE$2:$NE$60=I$3)*(GMWQ!$ND$2:$ND$60=I$4),0),$B112-1966)</f>
        <v>7616</v>
      </c>
      <c r="J112" s="18" cm="1">
        <f t="array" ref="J112">INDEX(GMWQ!$A$2:$NE$60,MATCH(1,(GMWQ!$NE$2:$NE$60=J$3)*(GMWQ!$ND$2:$ND$60=J$4),0),$B112-1966)</f>
        <v>19040</v>
      </c>
      <c r="K112" s="18" cm="1">
        <f t="array" ref="K112">INDEX(GMWQ!$A$2:$NE$60,MATCH(1,(GMWQ!$NE$2:$NE$60=K$3)*(GMWQ!$ND$2:$ND$60=K$4),0),$B112-1966)</f>
        <v>1989170</v>
      </c>
      <c r="L112" s="18" cm="1">
        <f t="array" ref="L112">INDEX(GMWQ!$A$2:$NE$60,MATCH(1,(GMWQ!$NE$2:$NE$60=L$3)*(GMWQ!$ND$2:$ND$60=L$4),0),$B112-1966)</f>
        <v>27095</v>
      </c>
      <c r="M112" s="18" cm="1">
        <f t="array" ref="M112">INDEX(GMWQ!$A$2:$NE$60,MATCH(1,(GMWQ!$NE$2:$NE$60=M$3)*(GMWQ!$ND$2:$ND$60=M$4),0),$B112-1966)</f>
        <v>32.9</v>
      </c>
      <c r="N112" s="18" cm="1">
        <f t="array" ref="N112">INDEX(GMWQ!$A$2:$NE$60,MATCH(1,(GMWQ!$NE$2:$NE$60=N$3)*(GMWQ!$ND$2:$ND$60=N$4),0),$B112-1966)</f>
        <v>17.070229999999999</v>
      </c>
      <c r="O112" s="18" cm="1">
        <f t="array" ref="O112">INDEX(GMWQ!$A$2:$NE$60,MATCH(1,(GMWQ!$NE$2:$NE$60=O$3)*(GMWQ!$ND$2:$ND$60=O$4),0),$B112-1966)</f>
        <v>1E-3</v>
      </c>
      <c r="P112" s="18" cm="1">
        <f t="array" ref="P112">INDEX(GMWQ!$A$2:$NE$60,MATCH(1,(GMWQ!$NE$2:$NE$60=P$3)*(GMWQ!$ND$2:$ND$60=P$4),0),$B112-1966)</f>
        <v>195294</v>
      </c>
      <c r="Q112" s="18" cm="1">
        <f t="array" ref="Q112">INDEX(GMWQ!$A$2:$NE$60,MATCH(1,(GMWQ!$NE$2:$NE$60=Q$3)*(GMWQ!$ND$2:$ND$60=Q$4),0),$B112-1966)</f>
        <v>368.82499999999999</v>
      </c>
      <c r="R112" s="18" cm="1">
        <f t="array" ref="R112">INDEX(GMWQ!$A$2:$NE$60,MATCH(1,(GMWQ!$NE$2:$NE$60=R$3)*(GMWQ!$ND$2:$ND$60=R$4),0),$B112-1966)</f>
        <v>18454.25</v>
      </c>
      <c r="S112" s="18" cm="1">
        <f t="array" ref="S112">INDEX(GMWQ!$A$2:$NE$60,MATCH(1,(GMWQ!$NE$2:$NE$60=S$3)*(GMWQ!$ND$2:$ND$60=S$4),0),$B112-1966)</f>
        <v>75.91</v>
      </c>
      <c r="T112" s="18" cm="1">
        <f t="array" ref="T112">INDEX(GMWQ!$A$2:$NE$60,MATCH(1,(GMWQ!$NE$2:$NE$60=T$3)*(GMWQ!$ND$2:$ND$60=T$4),0),$B112-1966)</f>
        <v>50.082999999999998</v>
      </c>
      <c r="U112" s="18" cm="1">
        <f t="array" ref="U112">INDEX(GMWQ!$A$2:$NE$60,MATCH(1,(GMWQ!$NE$2:$NE$60=U$3)*(GMWQ!$ND$2:$ND$60=U$4),0),$B112-1966)</f>
        <v>46.594279999999998</v>
      </c>
      <c r="V112" s="18" cm="1">
        <f t="array" ref="V112">INDEX(GMWQ!$A$2:$NE$60,MATCH(1,(GMWQ!$NE$2:$NE$60=V$3)*(GMWQ!$ND$2:$ND$60=V$4),0),$B112-1966)</f>
        <v>39754.5</v>
      </c>
      <c r="W112" s="18" cm="1">
        <f t="array" ref="W112">INDEX(GMWQ!$A$2:$NF$60,MATCH(1,(GMWQ!$NE$2:$NE$60=W$3)*(GMWQ!$NF$2:$NF$60=W$1),0),$B112-1966)</f>
        <v>36916</v>
      </c>
      <c r="X112" s="18" cm="1">
        <f t="array" ref="X112">INDEX(GMWQ!$A$2:$NF$60,MATCH(1,(GMWQ!$NE$2:$NE$60=X$3)*(GMWQ!$NF$2:$NF$60=X$1),0),$B112-1966)</f>
        <v>39425</v>
      </c>
      <c r="Y112" s="18" cm="1">
        <f t="array" ref="Y112">INDEX(GMWQ!$A$2:$NF$60,MATCH(1,(GMWQ!$NE$2:$NE$60=Y$3)*(GMWQ!$NF$2:$NF$60=Y$1),0),$B112-1966)</f>
        <v>40526</v>
      </c>
      <c r="Z112" s="18" cm="1">
        <f t="array" ref="Z112">INDEX(GMWQ!$A$2:$NF$60,MATCH(1,(GMWQ!$NE$2:$NE$60=Z$3)*(GMWQ!$NF$2:$NF$60=Z$1),0),$B112-1966)</f>
        <v>37959</v>
      </c>
    </row>
    <row r="113" spans="1:26" x14ac:dyDescent="0.25">
      <c r="B113" s="18">
        <f t="shared" ref="B113:B176" si="3">+B112+1</f>
        <v>2079</v>
      </c>
      <c r="C113" s="18" cm="1">
        <f t="array" ref="C113">INDEX(GMWQ!$A$2:$NE$60,MATCH(1,(GMWQ!$NE$2:$NE$60=C$3)*(GMWQ!$ND$2:$ND$60=C$4),0),$B113-1966)</f>
        <v>42369</v>
      </c>
      <c r="D113" s="18" cm="1">
        <f t="array" ref="D113">INDEX(GMWQ!$A$2:$NE$60,MATCH(1,(GMWQ!$NE$2:$NE$60=D$3)*(GMWQ!$ND$2:$ND$60=D$4),0),$B113-1966)</f>
        <v>55975</v>
      </c>
      <c r="E113" s="18" cm="1">
        <f t="array" ref="E113">INDEX(GMWQ!$A$2:$NE$60,MATCH(1,(GMWQ!$NE$2:$NE$60=E$3)*(GMWQ!$ND$2:$ND$60=E$4),0),$B113-1966)</f>
        <v>-4124</v>
      </c>
      <c r="F113" s="18" cm="1">
        <f t="array" ref="F113">INDEX(GMWQ!$A$2:$NE$60,MATCH(1,(GMWQ!$NE$2:$NE$60=F$3)*(GMWQ!$ND$2:$ND$60=F$4),0),$B113-1966)</f>
        <v>-11364</v>
      </c>
      <c r="G113" s="18" cm="1">
        <f t="array" ref="G113">INDEX(GMWQ!$A$2:$NE$60,MATCH(1,(GMWQ!$NE$2:$NE$60=G$3)*(GMWQ!$ND$2:$ND$60=G$4),0),$B113-1966)</f>
        <v>261604</v>
      </c>
      <c r="H113" s="18" cm="1">
        <f t="array" ref="H113">INDEX(GMWQ!$A$2:$NE$60,MATCH(1,(GMWQ!$NE$2:$NE$60=H$3)*(GMWQ!$ND$2:$ND$60=H$4),0),$B113-1966)</f>
        <v>72785</v>
      </c>
      <c r="I113" s="18" cm="1">
        <f t="array" ref="I113">INDEX(GMWQ!$A$2:$NE$60,MATCH(1,(GMWQ!$NE$2:$NE$60=I$3)*(GMWQ!$ND$2:$ND$60=I$4),0),$B113-1966)</f>
        <v>7144</v>
      </c>
      <c r="J113" s="18" cm="1">
        <f t="array" ref="J113">INDEX(GMWQ!$A$2:$NE$60,MATCH(1,(GMWQ!$NE$2:$NE$60=J$3)*(GMWQ!$ND$2:$ND$60=J$4),0),$B113-1966)</f>
        <v>19383</v>
      </c>
      <c r="K113" s="18" cm="1">
        <f t="array" ref="K113">INDEX(GMWQ!$A$2:$NE$60,MATCH(1,(GMWQ!$NE$2:$NE$60=K$3)*(GMWQ!$ND$2:$ND$60=K$4),0),$B113-1966)</f>
        <v>2007915</v>
      </c>
      <c r="L113" s="18" cm="1">
        <f t="array" ref="L113">INDEX(GMWQ!$A$2:$NE$60,MATCH(1,(GMWQ!$NE$2:$NE$60=L$3)*(GMWQ!$ND$2:$ND$60=L$4),0),$B113-1966)</f>
        <v>27218</v>
      </c>
      <c r="M113" s="18" cm="1">
        <f t="array" ref="M113">INDEX(GMWQ!$A$2:$NE$60,MATCH(1,(GMWQ!$NE$2:$NE$60=M$3)*(GMWQ!$ND$2:$ND$60=M$4),0),$B113-1966)</f>
        <v>32.9</v>
      </c>
      <c r="N113" s="18" cm="1">
        <f t="array" ref="N113">INDEX(GMWQ!$A$2:$NE$60,MATCH(1,(GMWQ!$NE$2:$NE$60=N$3)*(GMWQ!$ND$2:$ND$60=N$4),0),$B113-1966)</f>
        <v>16.620049999999999</v>
      </c>
      <c r="O113" s="18" cm="1">
        <f t="array" ref="O113">INDEX(GMWQ!$A$2:$NE$60,MATCH(1,(GMWQ!$NE$2:$NE$60=O$3)*(GMWQ!$ND$2:$ND$60=O$4),0),$B113-1966)</f>
        <v>1E-3</v>
      </c>
      <c r="P113" s="18" cm="1">
        <f t="array" ref="P113">INDEX(GMWQ!$A$2:$NE$60,MATCH(1,(GMWQ!$NE$2:$NE$60=P$3)*(GMWQ!$ND$2:$ND$60=P$4),0),$B113-1966)</f>
        <v>195886</v>
      </c>
      <c r="Q113" s="18" cm="1">
        <f t="array" ref="Q113">INDEX(GMWQ!$A$2:$NE$60,MATCH(1,(GMWQ!$NE$2:$NE$60=Q$3)*(GMWQ!$ND$2:$ND$60=Q$4),0),$B113-1966)</f>
        <v>379.375</v>
      </c>
      <c r="R113" s="18" cm="1">
        <f t="array" ref="R113">INDEX(GMWQ!$A$2:$NE$60,MATCH(1,(GMWQ!$NE$2:$NE$60=R$3)*(GMWQ!$ND$2:$ND$60=R$4),0),$B113-1966)</f>
        <v>18347.95</v>
      </c>
      <c r="S113" s="18" cm="1">
        <f t="array" ref="S113">INDEX(GMWQ!$A$2:$NE$60,MATCH(1,(GMWQ!$NE$2:$NE$60=S$3)*(GMWQ!$ND$2:$ND$60=S$4),0),$B113-1966)</f>
        <v>77.77</v>
      </c>
      <c r="T113" s="18" cm="1">
        <f t="array" ref="T113">INDEX(GMWQ!$A$2:$NE$60,MATCH(1,(GMWQ!$NE$2:$NE$60=T$3)*(GMWQ!$ND$2:$ND$60=T$4),0),$B113-1966)</f>
        <v>51.484999999999999</v>
      </c>
      <c r="U113" s="18" cm="1">
        <f t="array" ref="U113">INDEX(GMWQ!$A$2:$NE$60,MATCH(1,(GMWQ!$NE$2:$NE$60=U$3)*(GMWQ!$ND$2:$ND$60=U$4),0),$B113-1966)</f>
        <v>47.63879</v>
      </c>
      <c r="V113" s="18" cm="1">
        <f t="array" ref="V113">INDEX(GMWQ!$A$2:$NE$60,MATCH(1,(GMWQ!$NE$2:$NE$60=V$3)*(GMWQ!$ND$2:$ND$60=V$4),0),$B113-1966)</f>
        <v>40140.5</v>
      </c>
      <c r="W113" s="18" cm="1">
        <f t="array" ref="W113">INDEX(GMWQ!$A$2:$NF$60,MATCH(1,(GMWQ!$NE$2:$NE$60=W$3)*(GMWQ!$NF$2:$NF$60=W$1),0),$B113-1966)</f>
        <v>38385</v>
      </c>
      <c r="X113" s="18" cm="1">
        <f t="array" ref="X113">INDEX(GMWQ!$A$2:$NF$60,MATCH(1,(GMWQ!$NE$2:$NE$60=X$3)*(GMWQ!$NF$2:$NF$60=X$1),0),$B113-1966)</f>
        <v>41075</v>
      </c>
      <c r="Y113" s="18" cm="1">
        <f t="array" ref="Y113">INDEX(GMWQ!$A$2:$NF$60,MATCH(1,(GMWQ!$NE$2:$NE$60=Y$3)*(GMWQ!$NF$2:$NF$60=Y$1),0),$B113-1966)</f>
        <v>42343</v>
      </c>
      <c r="Z113" s="18" cm="1">
        <f t="array" ref="Z113">INDEX(GMWQ!$A$2:$NF$60,MATCH(1,(GMWQ!$NE$2:$NE$60=Z$3)*(GMWQ!$NF$2:$NF$60=Z$1),0),$B113-1966)</f>
        <v>39053</v>
      </c>
    </row>
    <row r="114" spans="1:26" x14ac:dyDescent="0.25">
      <c r="B114" s="18">
        <f t="shared" si="3"/>
        <v>2080</v>
      </c>
      <c r="C114" s="18" cm="1">
        <f t="array" ref="C114">INDEX(GMWQ!$A$2:$NE$60,MATCH(1,(GMWQ!$NE$2:$NE$60=C$3)*(GMWQ!$ND$2:$ND$60=C$4),0),$B114-1966)</f>
        <v>41945</v>
      </c>
      <c r="D114" s="18" cm="1">
        <f t="array" ref="D114">INDEX(GMWQ!$A$2:$NE$60,MATCH(1,(GMWQ!$NE$2:$NE$60=D$3)*(GMWQ!$ND$2:$ND$60=D$4),0),$B114-1966)</f>
        <v>59028</v>
      </c>
      <c r="E114" s="18" cm="1">
        <f t="array" ref="E114">INDEX(GMWQ!$A$2:$NE$60,MATCH(1,(GMWQ!$NE$2:$NE$60=E$3)*(GMWQ!$ND$2:$ND$60=E$4),0),$B114-1966)</f>
        <v>-1334</v>
      </c>
      <c r="F114" s="18" cm="1">
        <f t="array" ref="F114">INDEX(GMWQ!$A$2:$NE$60,MATCH(1,(GMWQ!$NE$2:$NE$60=F$3)*(GMWQ!$ND$2:$ND$60=F$4),0),$B114-1966)</f>
        <v>-9888</v>
      </c>
      <c r="G114" s="18" cm="1">
        <f t="array" ref="G114">INDEX(GMWQ!$A$2:$NE$60,MATCH(1,(GMWQ!$NE$2:$NE$60=G$3)*(GMWQ!$ND$2:$ND$60=G$4),0),$B114-1966)</f>
        <v>267337</v>
      </c>
      <c r="H114" s="18" cm="1">
        <f t="array" ref="H114">INDEX(GMWQ!$A$2:$NE$60,MATCH(1,(GMWQ!$NE$2:$NE$60=H$3)*(GMWQ!$ND$2:$ND$60=H$4),0),$B114-1966)</f>
        <v>72122</v>
      </c>
      <c r="I114" s="18" cm="1">
        <f t="array" ref="I114">INDEX(GMWQ!$A$2:$NE$60,MATCH(1,(GMWQ!$NE$2:$NE$60=I$3)*(GMWQ!$ND$2:$ND$60=I$4),0),$B114-1966)</f>
        <v>6765</v>
      </c>
      <c r="J114" s="18" cm="1">
        <f t="array" ref="J114">INDEX(GMWQ!$A$2:$NE$60,MATCH(1,(GMWQ!$NE$2:$NE$60=J$3)*(GMWQ!$ND$2:$ND$60=J$4),0),$B114-1966)</f>
        <v>19209</v>
      </c>
      <c r="K114" s="18" cm="1">
        <f t="array" ref="K114">INDEX(GMWQ!$A$2:$NE$60,MATCH(1,(GMWQ!$NE$2:$NE$60=K$3)*(GMWQ!$ND$2:$ND$60=K$4),0),$B114-1966)</f>
        <v>2026660</v>
      </c>
      <c r="L114" s="18" cm="1">
        <f t="array" ref="L114">INDEX(GMWQ!$A$2:$NE$60,MATCH(1,(GMWQ!$NE$2:$NE$60=L$3)*(GMWQ!$ND$2:$ND$60=L$4),0),$B114-1966)</f>
        <v>27322</v>
      </c>
      <c r="M114" s="18" cm="1">
        <f t="array" ref="M114">INDEX(GMWQ!$A$2:$NE$60,MATCH(1,(GMWQ!$NE$2:$NE$60=M$3)*(GMWQ!$ND$2:$ND$60=M$4),0),$B114-1966)</f>
        <v>32.9</v>
      </c>
      <c r="N114" s="18" cm="1">
        <f t="array" ref="N114">INDEX(GMWQ!$A$2:$NE$60,MATCH(1,(GMWQ!$NE$2:$NE$60=N$3)*(GMWQ!$ND$2:$ND$60=N$4),0),$B114-1966)</f>
        <v>17.460290000000001</v>
      </c>
      <c r="O114" s="18" cm="1">
        <f t="array" ref="O114">INDEX(GMWQ!$A$2:$NE$60,MATCH(1,(GMWQ!$NE$2:$NE$60=O$3)*(GMWQ!$ND$2:$ND$60=O$4),0),$B114-1966)</f>
        <v>1E-3</v>
      </c>
      <c r="P114" s="18" cm="1">
        <f t="array" ref="P114">INDEX(GMWQ!$A$2:$NE$60,MATCH(1,(GMWQ!$NE$2:$NE$60=P$3)*(GMWQ!$ND$2:$ND$60=P$4),0),$B114-1966)</f>
        <v>203584</v>
      </c>
      <c r="Q114" s="18" cm="1">
        <f t="array" ref="Q114">INDEX(GMWQ!$A$2:$NE$60,MATCH(1,(GMWQ!$NE$2:$NE$60=Q$3)*(GMWQ!$ND$2:$ND$60=Q$4),0),$B114-1966)</f>
        <v>381.07499999999999</v>
      </c>
      <c r="R114" s="18" cm="1">
        <f t="array" ref="R114">INDEX(GMWQ!$A$2:$NE$60,MATCH(1,(GMWQ!$NE$2:$NE$60=R$3)*(GMWQ!$ND$2:$ND$60=R$4),0),$B114-1966)</f>
        <v>18545.95</v>
      </c>
      <c r="S114" s="18" cm="1">
        <f t="array" ref="S114">INDEX(GMWQ!$A$2:$NE$60,MATCH(1,(GMWQ!$NE$2:$NE$60=S$3)*(GMWQ!$ND$2:$ND$60=S$4),0),$B114-1966)</f>
        <v>77.58</v>
      </c>
      <c r="T114" s="18" cm="1">
        <f t="array" ref="T114">INDEX(GMWQ!$A$2:$NE$60,MATCH(1,(GMWQ!$NE$2:$NE$60=T$3)*(GMWQ!$ND$2:$ND$60=T$4),0),$B114-1966)</f>
        <v>52.119</v>
      </c>
      <c r="U114" s="18" cm="1">
        <f t="array" ref="U114">INDEX(GMWQ!$A$2:$NE$60,MATCH(1,(GMWQ!$NE$2:$NE$60=U$3)*(GMWQ!$ND$2:$ND$60=U$4),0),$B114-1966)</f>
        <v>48.489319999999999</v>
      </c>
      <c r="V114" s="18" cm="1">
        <f t="array" ref="V114">INDEX(GMWQ!$A$2:$NE$60,MATCH(1,(GMWQ!$NE$2:$NE$60=V$3)*(GMWQ!$ND$2:$ND$60=V$4),0),$B114-1966)</f>
        <v>41222</v>
      </c>
      <c r="W114" s="18" cm="1">
        <f t="array" ref="W114">INDEX(GMWQ!$A$2:$NF$60,MATCH(1,(GMWQ!$NE$2:$NE$60=W$3)*(GMWQ!$NF$2:$NF$60=W$1),0),$B114-1966)</f>
        <v>37244</v>
      </c>
      <c r="X114" s="18" cm="1">
        <f t="array" ref="X114">INDEX(GMWQ!$A$2:$NF$60,MATCH(1,(GMWQ!$NE$2:$NE$60=X$3)*(GMWQ!$NF$2:$NF$60=X$1),0),$B114-1966)</f>
        <v>40016</v>
      </c>
      <c r="Y114" s="18" cm="1">
        <f t="array" ref="Y114">INDEX(GMWQ!$A$2:$NF$60,MATCH(1,(GMWQ!$NE$2:$NE$60=Y$3)*(GMWQ!$NF$2:$NF$60=Y$1),0),$B114-1966)</f>
        <v>41303</v>
      </c>
      <c r="Z114" s="18" cm="1">
        <f t="array" ref="Z114">INDEX(GMWQ!$A$2:$NF$60,MATCH(1,(GMWQ!$NE$2:$NE$60=Z$3)*(GMWQ!$NF$2:$NF$60=Z$1),0),$B114-1966)</f>
        <v>38646</v>
      </c>
    </row>
    <row r="115" spans="1:26" x14ac:dyDescent="0.25">
      <c r="A115" s="18">
        <v>2000</v>
      </c>
      <c r="B115" s="18">
        <f t="shared" si="3"/>
        <v>2081</v>
      </c>
      <c r="C115" s="18" cm="1">
        <f t="array" ref="C115">INDEX(GMWQ!$A$2:$NE$60,MATCH(1,(GMWQ!$NE$2:$NE$60=C$3)*(GMWQ!$ND$2:$ND$60=C$4),0),$B115-1966)</f>
        <v>43624</v>
      </c>
      <c r="D115" s="18" cm="1">
        <f t="array" ref="D115">INDEX(GMWQ!$A$2:$NE$60,MATCH(1,(GMWQ!$NE$2:$NE$60=D$3)*(GMWQ!$ND$2:$ND$60=D$4),0),$B115-1966)</f>
        <v>61022</v>
      </c>
      <c r="E115" s="18" cm="1">
        <f t="array" ref="E115">INDEX(GMWQ!$A$2:$NE$60,MATCH(1,(GMWQ!$NE$2:$NE$60=E$3)*(GMWQ!$ND$2:$ND$60=E$4),0),$B115-1966)</f>
        <v>-2595</v>
      </c>
      <c r="F115" s="18" cm="1">
        <f t="array" ref="F115">INDEX(GMWQ!$A$2:$NE$60,MATCH(1,(GMWQ!$NE$2:$NE$60=F$3)*(GMWQ!$ND$2:$ND$60=F$4),0),$B115-1966)</f>
        <v>-10436</v>
      </c>
      <c r="G115" s="18" cm="1">
        <f t="array" ref="G115">INDEX(GMWQ!$A$2:$NE$60,MATCH(1,(GMWQ!$NE$2:$NE$60=G$3)*(GMWQ!$ND$2:$ND$60=G$4),0),$B115-1966)</f>
        <v>272305</v>
      </c>
      <c r="H115" s="18" cm="1">
        <f t="array" ref="H115">INDEX(GMWQ!$A$2:$NE$60,MATCH(1,(GMWQ!$NE$2:$NE$60=H$3)*(GMWQ!$ND$2:$ND$60=H$4),0),$B115-1966)</f>
        <v>75099</v>
      </c>
      <c r="I115" s="18" cm="1">
        <f t="array" ref="I115">INDEX(GMWQ!$A$2:$NE$60,MATCH(1,(GMWQ!$NE$2:$NE$60=I$3)*(GMWQ!$ND$2:$ND$60=I$4),0),$B115-1966)</f>
        <v>7144</v>
      </c>
      <c r="J115" s="18" cm="1">
        <f t="array" ref="J115">INDEX(GMWQ!$A$2:$NE$60,MATCH(1,(GMWQ!$NE$2:$NE$60=J$3)*(GMWQ!$ND$2:$ND$60=J$4),0),$B115-1966)</f>
        <v>20285</v>
      </c>
      <c r="K115" s="18" cm="1">
        <f t="array" ref="K115">INDEX(GMWQ!$A$2:$NE$60,MATCH(1,(GMWQ!$NE$2:$NE$60=K$3)*(GMWQ!$ND$2:$ND$60=K$4),0),$B115-1966)</f>
        <v>2048122</v>
      </c>
      <c r="L115" s="18" cm="1">
        <f t="array" ref="L115">INDEX(GMWQ!$A$2:$NE$60,MATCH(1,(GMWQ!$NE$2:$NE$60=L$3)*(GMWQ!$ND$2:$ND$60=L$4),0),$B115-1966)</f>
        <v>27362</v>
      </c>
      <c r="M115" s="18" cm="1">
        <f t="array" ref="M115">INDEX(GMWQ!$A$2:$NE$60,MATCH(1,(GMWQ!$NE$2:$NE$60=M$3)*(GMWQ!$ND$2:$ND$60=M$4),0),$B115-1966)</f>
        <v>32.4</v>
      </c>
      <c r="N115" s="18" cm="1">
        <f t="array" ref="N115">INDEX(GMWQ!$A$2:$NE$60,MATCH(1,(GMWQ!$NE$2:$NE$60=N$3)*(GMWQ!$ND$2:$ND$60=N$4),0),$B115-1966)</f>
        <v>17.360690000000002</v>
      </c>
      <c r="O115" s="18" cm="1">
        <f t="array" ref="O115">INDEX(GMWQ!$A$2:$NE$60,MATCH(1,(GMWQ!$NE$2:$NE$60=O$3)*(GMWQ!$ND$2:$ND$60=O$4),0),$B115-1966)</f>
        <v>1E-3</v>
      </c>
      <c r="P115" s="18" cm="1">
        <f t="array" ref="P115">INDEX(GMWQ!$A$2:$NE$60,MATCH(1,(GMWQ!$NE$2:$NE$60=P$3)*(GMWQ!$ND$2:$ND$60=P$4),0),$B115-1966)</f>
        <v>212005</v>
      </c>
      <c r="Q115" s="18" cm="1">
        <f t="array" ref="Q115">INDEX(GMWQ!$A$2:$NE$60,MATCH(1,(GMWQ!$NE$2:$NE$60=Q$3)*(GMWQ!$ND$2:$ND$60=Q$4),0),$B115-1966)</f>
        <v>395.02499999999998</v>
      </c>
      <c r="R115" s="18" cm="1">
        <f t="array" ref="R115">INDEX(GMWQ!$A$2:$NE$60,MATCH(1,(GMWQ!$NE$2:$NE$60=R$3)*(GMWQ!$ND$2:$ND$60=R$4),0),$B115-1966)</f>
        <v>19242.43</v>
      </c>
      <c r="S115" s="18" cm="1">
        <f t="array" ref="S115">INDEX(GMWQ!$A$2:$NE$60,MATCH(1,(GMWQ!$NE$2:$NE$60=S$3)*(GMWQ!$ND$2:$ND$60=S$4),0),$B115-1966)</f>
        <v>81.17</v>
      </c>
      <c r="T115" s="18" cm="1">
        <f t="array" ref="T115">INDEX(GMWQ!$A$2:$NE$60,MATCH(1,(GMWQ!$NE$2:$NE$60=T$3)*(GMWQ!$ND$2:$ND$60=T$4),0),$B115-1966)</f>
        <v>53.307000000000002</v>
      </c>
      <c r="U115" s="18" cm="1">
        <f t="array" ref="U115">INDEX(GMWQ!$A$2:$NE$60,MATCH(1,(GMWQ!$NE$2:$NE$60=U$3)*(GMWQ!$ND$2:$ND$60=U$4),0),$B115-1966)</f>
        <v>50.717120000000001</v>
      </c>
      <c r="V115" s="18" cm="1">
        <f t="array" ref="V115">INDEX(GMWQ!$A$2:$NE$60,MATCH(1,(GMWQ!$NE$2:$NE$60=V$3)*(GMWQ!$ND$2:$ND$60=V$4),0),$B115-1966)</f>
        <v>41832.75</v>
      </c>
      <c r="W115" s="18" cm="1">
        <f t="array" ref="W115">INDEX(GMWQ!$A$2:$NF$60,MATCH(1,(GMWQ!$NE$2:$NE$60=W$3)*(GMWQ!$NF$2:$NF$60=W$1),0),$B115-1966)</f>
        <v>38784</v>
      </c>
      <c r="X115" s="18" cm="1">
        <f t="array" ref="X115">INDEX(GMWQ!$A$2:$NF$60,MATCH(1,(GMWQ!$NE$2:$NE$60=X$3)*(GMWQ!$NF$2:$NF$60=X$1),0),$B115-1966)</f>
        <v>41681</v>
      </c>
      <c r="Y115" s="18" cm="1">
        <f t="array" ref="Y115">INDEX(GMWQ!$A$2:$NF$60,MATCH(1,(GMWQ!$NE$2:$NE$60=Y$3)*(GMWQ!$NF$2:$NF$60=Y$1),0),$B115-1966)</f>
        <v>42873</v>
      </c>
      <c r="Z115" s="18" cm="1">
        <f t="array" ref="Z115">INDEX(GMWQ!$A$2:$NF$60,MATCH(1,(GMWQ!$NE$2:$NE$60=Z$3)*(GMWQ!$NF$2:$NF$60=Z$1),0),$B115-1966)</f>
        <v>40191</v>
      </c>
    </row>
    <row r="116" spans="1:26" x14ac:dyDescent="0.25">
      <c r="B116" s="18">
        <f t="shared" si="3"/>
        <v>2082</v>
      </c>
      <c r="C116" s="18" cm="1">
        <f t="array" ref="C116">INDEX(GMWQ!$A$2:$NE$60,MATCH(1,(GMWQ!$NE$2:$NE$60=C$3)*(GMWQ!$ND$2:$ND$60=C$4),0),$B116-1966)</f>
        <v>46153</v>
      </c>
      <c r="D116" s="18" cm="1">
        <f t="array" ref="D116">INDEX(GMWQ!$A$2:$NE$60,MATCH(1,(GMWQ!$NE$2:$NE$60=D$3)*(GMWQ!$ND$2:$ND$60=D$4),0),$B116-1966)</f>
        <v>58869</v>
      </c>
      <c r="E116" s="18" cm="1">
        <f t="array" ref="E116">INDEX(GMWQ!$A$2:$NE$60,MATCH(1,(GMWQ!$NE$2:$NE$60=E$3)*(GMWQ!$ND$2:$ND$60=E$4),0),$B116-1966)</f>
        <v>-507</v>
      </c>
      <c r="F116" s="18" cm="1">
        <f t="array" ref="F116">INDEX(GMWQ!$A$2:$NE$60,MATCH(1,(GMWQ!$NE$2:$NE$60=F$3)*(GMWQ!$ND$2:$ND$60=F$4),0),$B116-1966)</f>
        <v>-13556</v>
      </c>
      <c r="G116" s="18" cm="1">
        <f t="array" ref="G116">INDEX(GMWQ!$A$2:$NE$60,MATCH(1,(GMWQ!$NE$2:$NE$60=G$3)*(GMWQ!$ND$2:$ND$60=G$4),0),$B116-1966)</f>
        <v>273916</v>
      </c>
      <c r="H116" s="18" cm="1">
        <f t="array" ref="H116">INDEX(GMWQ!$A$2:$NE$60,MATCH(1,(GMWQ!$NE$2:$NE$60=H$3)*(GMWQ!$ND$2:$ND$60=H$4),0),$B116-1966)</f>
        <v>79401</v>
      </c>
      <c r="I116" s="18" cm="1">
        <f t="array" ref="I116">INDEX(GMWQ!$A$2:$NE$60,MATCH(1,(GMWQ!$NE$2:$NE$60=I$3)*(GMWQ!$ND$2:$ND$60=I$4),0),$B116-1966)</f>
        <v>8166</v>
      </c>
      <c r="J116" s="18" cm="1">
        <f t="array" ref="J116">INDEX(GMWQ!$A$2:$NE$60,MATCH(1,(GMWQ!$NE$2:$NE$60=J$3)*(GMWQ!$ND$2:$ND$60=J$4),0),$B116-1966)</f>
        <v>20082</v>
      </c>
      <c r="K116" s="18" cm="1">
        <f t="array" ref="K116">INDEX(GMWQ!$A$2:$NE$60,MATCH(1,(GMWQ!$NE$2:$NE$60=K$3)*(GMWQ!$ND$2:$ND$60=K$4),0),$B116-1966)</f>
        <v>2069584</v>
      </c>
      <c r="L116" s="18" cm="1">
        <f t="array" ref="L116">INDEX(GMWQ!$A$2:$NE$60,MATCH(1,(GMWQ!$NE$2:$NE$60=L$3)*(GMWQ!$ND$2:$ND$60=L$4),0),$B116-1966)</f>
        <v>27468</v>
      </c>
      <c r="M116" s="18" cm="1">
        <f t="array" ref="M116">INDEX(GMWQ!$A$2:$NE$60,MATCH(1,(GMWQ!$NE$2:$NE$60=M$3)*(GMWQ!$ND$2:$ND$60=M$4),0),$B116-1966)</f>
        <v>32.6</v>
      </c>
      <c r="N116" s="18" cm="1">
        <f t="array" ref="N116">INDEX(GMWQ!$A$2:$NE$60,MATCH(1,(GMWQ!$NE$2:$NE$60=N$3)*(GMWQ!$ND$2:$ND$60=N$4),0),$B116-1966)</f>
        <v>19.715350000000001</v>
      </c>
      <c r="O116" s="18" cm="1">
        <f t="array" ref="O116">INDEX(GMWQ!$A$2:$NE$60,MATCH(1,(GMWQ!$NE$2:$NE$60=O$3)*(GMWQ!$ND$2:$ND$60=O$4),0),$B116-1966)</f>
        <v>1E-3</v>
      </c>
      <c r="P116" s="18" cm="1">
        <f t="array" ref="P116">INDEX(GMWQ!$A$2:$NE$60,MATCH(1,(GMWQ!$NE$2:$NE$60=P$3)*(GMWQ!$ND$2:$ND$60=P$4),0),$B116-1966)</f>
        <v>218927</v>
      </c>
      <c r="Q116" s="18" cm="1">
        <f t="array" ref="Q116">INDEX(GMWQ!$A$2:$NE$60,MATCH(1,(GMWQ!$NE$2:$NE$60=Q$3)*(GMWQ!$ND$2:$ND$60=Q$4),0),$B116-1966)</f>
        <v>407.35</v>
      </c>
      <c r="R116" s="18" cm="1">
        <f t="array" ref="R116">INDEX(GMWQ!$A$2:$NE$60,MATCH(1,(GMWQ!$NE$2:$NE$60=R$3)*(GMWQ!$ND$2:$ND$60=R$4),0),$B116-1966)</f>
        <v>18969.72</v>
      </c>
      <c r="S116" s="18" cm="1">
        <f t="array" ref="S116">INDEX(GMWQ!$A$2:$NE$60,MATCH(1,(GMWQ!$NE$2:$NE$60=S$3)*(GMWQ!$ND$2:$ND$60=S$4),0),$B116-1966)</f>
        <v>81.97</v>
      </c>
      <c r="T116" s="18" cm="1">
        <f t="array" ref="T116">INDEX(GMWQ!$A$2:$NE$60,MATCH(1,(GMWQ!$NE$2:$NE$60=T$3)*(GMWQ!$ND$2:$ND$60=T$4),0),$B116-1966)</f>
        <v>53.491999999999997</v>
      </c>
      <c r="U116" s="18" cm="1">
        <f t="array" ref="U116">INDEX(GMWQ!$A$2:$NE$60,MATCH(1,(GMWQ!$NE$2:$NE$60=U$3)*(GMWQ!$ND$2:$ND$60=U$4),0),$B116-1966)</f>
        <v>51.906640000000003</v>
      </c>
      <c r="V116" s="18" cm="1">
        <f t="array" ref="V116">INDEX(GMWQ!$A$2:$NE$60,MATCH(1,(GMWQ!$NE$2:$NE$60=V$3)*(GMWQ!$ND$2:$ND$60=V$4),0),$B116-1966)</f>
        <v>42105</v>
      </c>
      <c r="W116" s="18" cm="1">
        <f t="array" ref="W116">INDEX(GMWQ!$A$2:$NF$60,MATCH(1,(GMWQ!$NE$2:$NE$60=W$3)*(GMWQ!$NF$2:$NF$60=W$1),0),$B116-1966)</f>
        <v>41381</v>
      </c>
      <c r="X116" s="18" cm="1">
        <f t="array" ref="X116">INDEX(GMWQ!$A$2:$NF$60,MATCH(1,(GMWQ!$NE$2:$NE$60=X$3)*(GMWQ!$NF$2:$NF$60=X$1),0),$B116-1966)</f>
        <v>44262</v>
      </c>
      <c r="Y116" s="18" cm="1">
        <f t="array" ref="Y116">INDEX(GMWQ!$A$2:$NF$60,MATCH(1,(GMWQ!$NE$2:$NE$60=Y$3)*(GMWQ!$NF$2:$NF$60=Y$1),0),$B116-1966)</f>
        <v>45655</v>
      </c>
      <c r="Z116" s="18" cm="1">
        <f t="array" ref="Z116">INDEX(GMWQ!$A$2:$NF$60,MATCH(1,(GMWQ!$NE$2:$NE$60=Z$3)*(GMWQ!$NF$2:$NF$60=Z$1),0),$B116-1966)</f>
        <v>42527</v>
      </c>
    </row>
    <row r="117" spans="1:26" x14ac:dyDescent="0.25">
      <c r="B117" s="18">
        <f t="shared" si="3"/>
        <v>2083</v>
      </c>
      <c r="C117" s="18" cm="1">
        <f t="array" ref="C117">INDEX(GMWQ!$A$2:$NE$60,MATCH(1,(GMWQ!$NE$2:$NE$60=C$3)*(GMWQ!$ND$2:$ND$60=C$4),0),$B117-1966)</f>
        <v>43061</v>
      </c>
      <c r="D117" s="18" cm="1">
        <f t="array" ref="D117">INDEX(GMWQ!$A$2:$NE$60,MATCH(1,(GMWQ!$NE$2:$NE$60=D$3)*(GMWQ!$ND$2:$ND$60=D$4),0),$B117-1966)</f>
        <v>57825</v>
      </c>
      <c r="E117" s="18" cm="1">
        <f t="array" ref="E117">INDEX(GMWQ!$A$2:$NE$60,MATCH(1,(GMWQ!$NE$2:$NE$60=E$3)*(GMWQ!$ND$2:$ND$60=E$4),0),$B117-1966)</f>
        <v>-5105</v>
      </c>
      <c r="F117" s="18" cm="1">
        <f t="array" ref="F117">INDEX(GMWQ!$A$2:$NE$60,MATCH(1,(GMWQ!$NE$2:$NE$60=F$3)*(GMWQ!$ND$2:$ND$60=F$4),0),$B117-1966)</f>
        <v>-16016</v>
      </c>
      <c r="G117" s="18" cm="1">
        <f t="array" ref="G117">INDEX(GMWQ!$A$2:$NE$60,MATCH(1,(GMWQ!$NE$2:$NE$60=G$3)*(GMWQ!$ND$2:$ND$60=G$4),0),$B117-1966)</f>
        <v>276174</v>
      </c>
      <c r="H117" s="18" cm="1">
        <f t="array" ref="H117">INDEX(GMWQ!$A$2:$NE$60,MATCH(1,(GMWQ!$NE$2:$NE$60=H$3)*(GMWQ!$ND$2:$ND$60=H$4),0),$B117-1966)</f>
        <v>73900</v>
      </c>
      <c r="I117" s="18" cm="1">
        <f t="array" ref="I117">INDEX(GMWQ!$A$2:$NE$60,MATCH(1,(GMWQ!$NE$2:$NE$60=I$3)*(GMWQ!$ND$2:$ND$60=I$4),0),$B117-1966)</f>
        <v>7088</v>
      </c>
      <c r="J117" s="18" cm="1">
        <f t="array" ref="J117">INDEX(GMWQ!$A$2:$NE$60,MATCH(1,(GMWQ!$NE$2:$NE$60=J$3)*(GMWQ!$ND$2:$ND$60=J$4),0),$B117-1966)</f>
        <v>20082</v>
      </c>
      <c r="K117" s="18" cm="1">
        <f t="array" ref="K117">INDEX(GMWQ!$A$2:$NE$60,MATCH(1,(GMWQ!$NE$2:$NE$60=K$3)*(GMWQ!$ND$2:$ND$60=K$4),0),$B117-1966)</f>
        <v>2091046</v>
      </c>
      <c r="L117" s="18" cm="1">
        <f t="array" ref="L117">INDEX(GMWQ!$A$2:$NE$60,MATCH(1,(GMWQ!$NE$2:$NE$60=L$3)*(GMWQ!$ND$2:$ND$60=L$4),0),$B117-1966)</f>
        <v>27555</v>
      </c>
      <c r="M117" s="18" cm="1">
        <f t="array" ref="M117">INDEX(GMWQ!$A$2:$NE$60,MATCH(1,(GMWQ!$NE$2:$NE$60=M$3)*(GMWQ!$ND$2:$ND$60=M$4),0),$B117-1966)</f>
        <v>32.6</v>
      </c>
      <c r="N117" s="18" cm="1">
        <f t="array" ref="N117">INDEX(GMWQ!$A$2:$NE$60,MATCH(1,(GMWQ!$NE$2:$NE$60=N$3)*(GMWQ!$ND$2:$ND$60=N$4),0),$B117-1966)</f>
        <v>21.035440000000001</v>
      </c>
      <c r="O117" s="18" cm="1">
        <f t="array" ref="O117">INDEX(GMWQ!$A$2:$NE$60,MATCH(1,(GMWQ!$NE$2:$NE$60=O$3)*(GMWQ!$ND$2:$ND$60=O$4),0),$B117-1966)</f>
        <v>1E-3</v>
      </c>
      <c r="P117" s="18" cm="1">
        <f t="array" ref="P117">INDEX(GMWQ!$A$2:$NE$60,MATCH(1,(GMWQ!$NE$2:$NE$60=P$3)*(GMWQ!$ND$2:$ND$60=P$4),0),$B117-1966)</f>
        <v>227740</v>
      </c>
      <c r="Q117" s="18" cm="1">
        <f t="array" ref="Q117">INDEX(GMWQ!$A$2:$NE$60,MATCH(1,(GMWQ!$NE$2:$NE$60=Q$3)*(GMWQ!$ND$2:$ND$60=Q$4),0),$B117-1966)</f>
        <v>411.8</v>
      </c>
      <c r="R117" s="18" cm="1">
        <f t="array" ref="R117">INDEX(GMWQ!$A$2:$NE$60,MATCH(1,(GMWQ!$NE$2:$NE$60=R$3)*(GMWQ!$ND$2:$ND$60=R$4),0),$B117-1966)</f>
        <v>19619.22</v>
      </c>
      <c r="S117" s="18" cm="1">
        <f t="array" ref="S117">INDEX(GMWQ!$A$2:$NE$60,MATCH(1,(GMWQ!$NE$2:$NE$60=S$3)*(GMWQ!$ND$2:$ND$60=S$4),0),$B117-1966)</f>
        <v>84.16</v>
      </c>
      <c r="T117" s="18" cm="1">
        <f t="array" ref="T117">INDEX(GMWQ!$A$2:$NE$60,MATCH(1,(GMWQ!$NE$2:$NE$60=T$3)*(GMWQ!$ND$2:$ND$60=T$4),0),$B117-1966)</f>
        <v>55.779000000000003</v>
      </c>
      <c r="U117" s="18" cm="1">
        <f t="array" ref="U117">INDEX(GMWQ!$A$2:$NE$60,MATCH(1,(GMWQ!$NE$2:$NE$60=U$3)*(GMWQ!$ND$2:$ND$60=U$4),0),$B117-1966)</f>
        <v>52.449129999999997</v>
      </c>
      <c r="V117" s="18" cm="1">
        <f t="array" ref="V117">INDEX(GMWQ!$A$2:$NE$60,MATCH(1,(GMWQ!$NE$2:$NE$60=V$3)*(GMWQ!$ND$2:$ND$60=V$4),0),$B117-1966)</f>
        <v>41976</v>
      </c>
      <c r="W117" s="18" cm="1">
        <f t="array" ref="W117">INDEX(GMWQ!$A$2:$NF$60,MATCH(1,(GMWQ!$NE$2:$NE$60=W$3)*(GMWQ!$NF$2:$NF$60=W$1),0),$B117-1966)</f>
        <v>38105</v>
      </c>
      <c r="X117" s="18" cm="1">
        <f t="array" ref="X117">INDEX(GMWQ!$A$2:$NF$60,MATCH(1,(GMWQ!$NE$2:$NE$60=X$3)*(GMWQ!$NF$2:$NF$60=X$1),0),$B117-1966)</f>
        <v>40821</v>
      </c>
      <c r="Y117" s="18" cm="1">
        <f t="array" ref="Y117">INDEX(GMWQ!$A$2:$NF$60,MATCH(1,(GMWQ!$NE$2:$NE$60=Y$3)*(GMWQ!$NF$2:$NF$60=Y$1),0),$B117-1966)</f>
        <v>41952</v>
      </c>
      <c r="Z117" s="18" cm="1">
        <f t="array" ref="Z117">INDEX(GMWQ!$A$2:$NF$60,MATCH(1,(GMWQ!$NE$2:$NE$60=Z$3)*(GMWQ!$NF$2:$NF$60=Z$1),0),$B117-1966)</f>
        <v>39666</v>
      </c>
    </row>
    <row r="118" spans="1:26" x14ac:dyDescent="0.25">
      <c r="B118" s="18">
        <f t="shared" si="3"/>
        <v>2084</v>
      </c>
      <c r="C118" s="18" cm="1">
        <f t="array" ref="C118">INDEX(GMWQ!$A$2:$NE$60,MATCH(1,(GMWQ!$NE$2:$NE$60=C$3)*(GMWQ!$ND$2:$ND$60=C$4),0),$B118-1966)</f>
        <v>44611</v>
      </c>
      <c r="D118" s="18" cm="1">
        <f t="array" ref="D118">INDEX(GMWQ!$A$2:$NE$60,MATCH(1,(GMWQ!$NE$2:$NE$60=D$3)*(GMWQ!$ND$2:$ND$60=D$4),0),$B118-1966)</f>
        <v>56273</v>
      </c>
      <c r="E118" s="18" cm="1">
        <f t="array" ref="E118">INDEX(GMWQ!$A$2:$NE$60,MATCH(1,(GMWQ!$NE$2:$NE$60=E$3)*(GMWQ!$ND$2:$ND$60=E$4),0),$B118-1966)</f>
        <v>-4675</v>
      </c>
      <c r="F118" s="18" cm="1">
        <f t="array" ref="F118">INDEX(GMWQ!$A$2:$NE$60,MATCH(1,(GMWQ!$NE$2:$NE$60=F$3)*(GMWQ!$ND$2:$ND$60=F$4),0),$B118-1966)</f>
        <v>-15641</v>
      </c>
      <c r="G118" s="18" cm="1">
        <f t="array" ref="G118">INDEX(GMWQ!$A$2:$NE$60,MATCH(1,(GMWQ!$NE$2:$NE$60=G$3)*(GMWQ!$ND$2:$ND$60=G$4),0),$B118-1966)</f>
        <v>278357</v>
      </c>
      <c r="H118" s="18" cm="1">
        <f t="array" ref="H118">INDEX(GMWQ!$A$2:$NE$60,MATCH(1,(GMWQ!$NE$2:$NE$60=H$3)*(GMWQ!$ND$2:$ND$60=H$4),0),$B118-1966)</f>
        <v>76186</v>
      </c>
      <c r="I118" s="18" cm="1">
        <f t="array" ref="I118">INDEX(GMWQ!$A$2:$NE$60,MATCH(1,(GMWQ!$NE$2:$NE$60=I$3)*(GMWQ!$ND$2:$ND$60=I$4),0),$B118-1966)</f>
        <v>7237</v>
      </c>
      <c r="J118" s="18" cm="1">
        <f t="array" ref="J118">INDEX(GMWQ!$A$2:$NE$60,MATCH(1,(GMWQ!$NE$2:$NE$60=J$3)*(GMWQ!$ND$2:$ND$60=J$4),0),$B118-1966)</f>
        <v>19861</v>
      </c>
      <c r="K118" s="18" cm="1">
        <f t="array" ref="K118">INDEX(GMWQ!$A$2:$NE$60,MATCH(1,(GMWQ!$NE$2:$NE$60=K$3)*(GMWQ!$ND$2:$ND$60=K$4),0),$B118-1966)</f>
        <v>2112508</v>
      </c>
      <c r="L118" s="18" cm="1">
        <f t="array" ref="L118">INDEX(GMWQ!$A$2:$NE$60,MATCH(1,(GMWQ!$NE$2:$NE$60=L$3)*(GMWQ!$ND$2:$ND$60=L$4),0),$B118-1966)</f>
        <v>27549</v>
      </c>
      <c r="M118" s="18" cm="1">
        <f t="array" ref="M118">INDEX(GMWQ!$A$2:$NE$60,MATCH(1,(GMWQ!$NE$2:$NE$60=M$3)*(GMWQ!$ND$2:$ND$60=M$4),0),$B118-1966)</f>
        <v>32.799999999999997</v>
      </c>
      <c r="N118" s="18" cm="1">
        <f t="array" ref="N118">INDEX(GMWQ!$A$2:$NE$60,MATCH(1,(GMWQ!$NE$2:$NE$60=N$3)*(GMWQ!$ND$2:$ND$60=N$4),0),$B118-1966)</f>
        <v>21.627980000000001</v>
      </c>
      <c r="O118" s="18" cm="1">
        <f t="array" ref="O118">INDEX(GMWQ!$A$2:$NE$60,MATCH(1,(GMWQ!$NE$2:$NE$60=O$3)*(GMWQ!$ND$2:$ND$60=O$4),0),$B118-1966)</f>
        <v>1E-3</v>
      </c>
      <c r="P118" s="18" cm="1">
        <f t="array" ref="P118">INDEX(GMWQ!$A$2:$NE$60,MATCH(1,(GMWQ!$NE$2:$NE$60=P$3)*(GMWQ!$ND$2:$ND$60=P$4),0),$B118-1966)</f>
        <v>227660</v>
      </c>
      <c r="Q118" s="18" cm="1">
        <f t="array" ref="Q118">INDEX(GMWQ!$A$2:$NE$60,MATCH(1,(GMWQ!$NE$2:$NE$60=Q$3)*(GMWQ!$ND$2:$ND$60=Q$4),0),$B118-1966)</f>
        <v>413.35</v>
      </c>
      <c r="R118" s="18" cm="1">
        <f t="array" ref="R118">INDEX(GMWQ!$A$2:$NE$60,MATCH(1,(GMWQ!$NE$2:$NE$60=R$3)*(GMWQ!$ND$2:$ND$60=R$4),0),$B118-1966)</f>
        <v>20209.78</v>
      </c>
      <c r="S118" s="18" cm="1">
        <f t="array" ref="S118">INDEX(GMWQ!$A$2:$NE$60,MATCH(1,(GMWQ!$NE$2:$NE$60=S$3)*(GMWQ!$ND$2:$ND$60=S$4),0),$B118-1966)</f>
        <v>83.39</v>
      </c>
      <c r="T118" s="18" cm="1">
        <f t="array" ref="T118">INDEX(GMWQ!$A$2:$NE$60,MATCH(1,(GMWQ!$NE$2:$NE$60=T$3)*(GMWQ!$ND$2:$ND$60=T$4),0),$B118-1966)</f>
        <v>56.152000000000001</v>
      </c>
      <c r="U118" s="18" cm="1">
        <f t="array" ref="U118">INDEX(GMWQ!$A$2:$NE$60,MATCH(1,(GMWQ!$NE$2:$NE$60=U$3)*(GMWQ!$ND$2:$ND$60=U$4),0),$B118-1966)</f>
        <v>52.0794</v>
      </c>
      <c r="V118" s="18" cm="1">
        <f t="array" ref="V118">INDEX(GMWQ!$A$2:$NE$60,MATCH(1,(GMWQ!$NE$2:$NE$60=V$3)*(GMWQ!$ND$2:$ND$60=V$4),0),$B118-1966)</f>
        <v>42122.5</v>
      </c>
      <c r="W118" s="18" cm="1">
        <f t="array" ref="W118">INDEX(GMWQ!$A$2:$NF$60,MATCH(1,(GMWQ!$NE$2:$NE$60=W$3)*(GMWQ!$NF$2:$NF$60=W$1),0),$B118-1966)</f>
        <v>39475</v>
      </c>
      <c r="X118" s="18" cm="1">
        <f t="array" ref="X118">INDEX(GMWQ!$A$2:$NF$60,MATCH(1,(GMWQ!$NE$2:$NE$60=X$3)*(GMWQ!$NF$2:$NF$60=X$1),0),$B118-1966)</f>
        <v>42236</v>
      </c>
      <c r="Y118" s="18" cm="1">
        <f t="array" ref="Y118">INDEX(GMWQ!$A$2:$NF$60,MATCH(1,(GMWQ!$NE$2:$NE$60=Y$3)*(GMWQ!$NF$2:$NF$60=Y$1),0),$B118-1966)</f>
        <v>43271</v>
      </c>
      <c r="Z118" s="18" cm="1">
        <f t="array" ref="Z118">INDEX(GMWQ!$A$2:$NF$60,MATCH(1,(GMWQ!$NE$2:$NE$60=Z$3)*(GMWQ!$NF$2:$NF$60=Z$1),0),$B118-1966)</f>
        <v>41085</v>
      </c>
    </row>
    <row r="119" spans="1:26" x14ac:dyDescent="0.25">
      <c r="A119" s="18">
        <v>2001</v>
      </c>
      <c r="B119" s="18">
        <f t="shared" si="3"/>
        <v>2085</v>
      </c>
      <c r="C119" s="18" cm="1">
        <f t="array" ref="C119">INDEX(GMWQ!$A$2:$NE$60,MATCH(1,(GMWQ!$NE$2:$NE$60=C$3)*(GMWQ!$ND$2:$ND$60=C$4),0),$B119-1966)</f>
        <v>44343</v>
      </c>
      <c r="D119" s="18" cm="1">
        <f t="array" ref="D119">INDEX(GMWQ!$A$2:$NE$60,MATCH(1,(GMWQ!$NE$2:$NE$60=D$3)*(GMWQ!$ND$2:$ND$60=D$4),0),$B119-1966)</f>
        <v>56614</v>
      </c>
      <c r="E119" s="18" cm="1">
        <f t="array" ref="E119">INDEX(GMWQ!$A$2:$NE$60,MATCH(1,(GMWQ!$NE$2:$NE$60=E$3)*(GMWQ!$ND$2:$ND$60=E$4),0),$B119-1966)</f>
        <v>-6016</v>
      </c>
      <c r="F119" s="18" cm="1">
        <f t="array" ref="F119">INDEX(GMWQ!$A$2:$NE$60,MATCH(1,(GMWQ!$NE$2:$NE$60=F$3)*(GMWQ!$ND$2:$ND$60=F$4),0),$B119-1966)</f>
        <v>-14019</v>
      </c>
      <c r="G119" s="18" cm="1">
        <f t="array" ref="G119">INDEX(GMWQ!$A$2:$NE$60,MATCH(1,(GMWQ!$NE$2:$NE$60=G$3)*(GMWQ!$ND$2:$ND$60=G$4),0),$B119-1966)</f>
        <v>282889</v>
      </c>
      <c r="H119" s="18" cm="1">
        <f t="array" ref="H119">INDEX(GMWQ!$A$2:$NE$60,MATCH(1,(GMWQ!$NE$2:$NE$60=H$3)*(GMWQ!$ND$2:$ND$60=H$4),0),$B119-1966)</f>
        <v>76262</v>
      </c>
      <c r="I119" s="18" cm="1">
        <f t="array" ref="I119">INDEX(GMWQ!$A$2:$NE$60,MATCH(1,(GMWQ!$NE$2:$NE$60=I$3)*(GMWQ!$ND$2:$ND$60=I$4),0),$B119-1966)</f>
        <v>7194</v>
      </c>
      <c r="J119" s="18" cm="1">
        <f t="array" ref="J119">INDEX(GMWQ!$A$2:$NE$60,MATCH(1,(GMWQ!$NE$2:$NE$60=J$3)*(GMWQ!$ND$2:$ND$60=J$4),0),$B119-1966)</f>
        <v>19583</v>
      </c>
      <c r="K119" s="18" cm="1">
        <f t="array" ref="K119">INDEX(GMWQ!$A$2:$NE$60,MATCH(1,(GMWQ!$NE$2:$NE$60=K$3)*(GMWQ!$ND$2:$ND$60=K$4),0),$B119-1966)</f>
        <v>2131253</v>
      </c>
      <c r="L119" s="18" cm="1">
        <f t="array" ref="L119">INDEX(GMWQ!$A$2:$NE$60,MATCH(1,(GMWQ!$NE$2:$NE$60=L$3)*(GMWQ!$ND$2:$ND$60=L$4),0),$B119-1966)</f>
        <v>27623</v>
      </c>
      <c r="M119" s="18" cm="1">
        <f t="array" ref="M119">INDEX(GMWQ!$A$2:$NE$60,MATCH(1,(GMWQ!$NE$2:$NE$60=M$3)*(GMWQ!$ND$2:$ND$60=M$4),0),$B119-1966)</f>
        <v>32.700000000000003</v>
      </c>
      <c r="N119" s="18" cm="1">
        <f t="array" ref="N119">INDEX(GMWQ!$A$2:$NE$60,MATCH(1,(GMWQ!$NE$2:$NE$60=N$3)*(GMWQ!$ND$2:$ND$60=N$4),0),$B119-1966)</f>
        <v>22.748640000000002</v>
      </c>
      <c r="O119" s="18" cm="1">
        <f t="array" ref="O119">INDEX(GMWQ!$A$2:$NE$60,MATCH(1,(GMWQ!$NE$2:$NE$60=O$3)*(GMWQ!$ND$2:$ND$60=O$4),0),$B119-1966)</f>
        <v>6.8426229999999997</v>
      </c>
      <c r="P119" s="18" cm="1">
        <f t="array" ref="P119">INDEX(GMWQ!$A$2:$NE$60,MATCH(1,(GMWQ!$NE$2:$NE$60=P$3)*(GMWQ!$ND$2:$ND$60=P$4),0),$B119-1966)</f>
        <v>235910</v>
      </c>
      <c r="Q119" s="18" cm="1">
        <f t="array" ref="Q119">INDEX(GMWQ!$A$2:$NE$60,MATCH(1,(GMWQ!$NE$2:$NE$60=Q$3)*(GMWQ!$ND$2:$ND$60=Q$4),0),$B119-1966)</f>
        <v>409.65</v>
      </c>
      <c r="R119" s="18" cm="1">
        <f t="array" ref="R119">INDEX(GMWQ!$A$2:$NE$60,MATCH(1,(GMWQ!$NE$2:$NE$60=R$3)*(GMWQ!$ND$2:$ND$60=R$4),0),$B119-1966)</f>
        <v>20316.45</v>
      </c>
      <c r="S119" s="18" cm="1">
        <f t="array" ref="S119">INDEX(GMWQ!$A$2:$NE$60,MATCH(1,(GMWQ!$NE$2:$NE$60=S$3)*(GMWQ!$ND$2:$ND$60=S$4),0),$B119-1966)</f>
        <v>85.45</v>
      </c>
      <c r="T119" s="18" cm="1">
        <f t="array" ref="T119">INDEX(GMWQ!$A$2:$NE$60,MATCH(1,(GMWQ!$NE$2:$NE$60=T$3)*(GMWQ!$ND$2:$ND$60=T$4),0),$B119-1966)</f>
        <v>56.512999999999998</v>
      </c>
      <c r="U119" s="18" cm="1">
        <f t="array" ref="U119">INDEX(GMWQ!$A$2:$NE$60,MATCH(1,(GMWQ!$NE$2:$NE$60=U$3)*(GMWQ!$ND$2:$ND$60=U$4),0),$B119-1966)</f>
        <v>52.339750000000002</v>
      </c>
      <c r="V119" s="18" cm="1">
        <f t="array" ref="V119">INDEX(GMWQ!$A$2:$NE$60,MATCH(1,(GMWQ!$NE$2:$NE$60=V$3)*(GMWQ!$ND$2:$ND$60=V$4),0),$B119-1966)</f>
        <v>43287</v>
      </c>
      <c r="W119" s="18" cm="1">
        <f t="array" ref="W119">INDEX(GMWQ!$A$2:$NF$60,MATCH(1,(GMWQ!$NE$2:$NE$60=W$3)*(GMWQ!$NF$2:$NF$60=W$1),0),$B119-1966)</f>
        <v>39962</v>
      </c>
      <c r="X119" s="18" cm="1">
        <f t="array" ref="X119">INDEX(GMWQ!$A$2:$NF$60,MATCH(1,(GMWQ!$NE$2:$NE$60=X$3)*(GMWQ!$NF$2:$NF$60=X$1),0),$B119-1966)</f>
        <v>42448</v>
      </c>
      <c r="Y119" s="18" cm="1">
        <f t="array" ref="Y119">INDEX(GMWQ!$A$2:$NF$60,MATCH(1,(GMWQ!$NE$2:$NE$60=Y$3)*(GMWQ!$NF$2:$NF$60=Y$1),0),$B119-1966)</f>
        <v>43590</v>
      </c>
      <c r="Z119" s="18" cm="1">
        <f t="array" ref="Z119">INDEX(GMWQ!$A$2:$NF$60,MATCH(1,(GMWQ!$NE$2:$NE$60=Z$3)*(GMWQ!$NF$2:$NF$60=Z$1),0),$B119-1966)</f>
        <v>40854</v>
      </c>
    </row>
    <row r="120" spans="1:26" x14ac:dyDescent="0.25">
      <c r="B120" s="18">
        <f t="shared" si="3"/>
        <v>2086</v>
      </c>
      <c r="C120" s="18" cm="1">
        <f t="array" ref="C120">INDEX(GMWQ!$A$2:$NE$60,MATCH(1,(GMWQ!$NE$2:$NE$60=C$3)*(GMWQ!$ND$2:$ND$60=C$4),0),$B120-1966)</f>
        <v>44742</v>
      </c>
      <c r="D120" s="18" cm="1">
        <f t="array" ref="D120">INDEX(GMWQ!$A$2:$NE$60,MATCH(1,(GMWQ!$NE$2:$NE$60=D$3)*(GMWQ!$ND$2:$ND$60=D$4),0),$B120-1966)</f>
        <v>59422</v>
      </c>
      <c r="E120" s="18" cm="1">
        <f t="array" ref="E120">INDEX(GMWQ!$A$2:$NE$60,MATCH(1,(GMWQ!$NE$2:$NE$60=E$3)*(GMWQ!$ND$2:$ND$60=E$4),0),$B120-1966)</f>
        <v>-4338</v>
      </c>
      <c r="F120" s="18" cm="1">
        <f t="array" ref="F120">INDEX(GMWQ!$A$2:$NE$60,MATCH(1,(GMWQ!$NE$2:$NE$60=F$3)*(GMWQ!$ND$2:$ND$60=F$4),0),$B120-1966)</f>
        <v>-12854</v>
      </c>
      <c r="G120" s="18" cm="1">
        <f t="array" ref="G120">INDEX(GMWQ!$A$2:$NE$60,MATCH(1,(GMWQ!$NE$2:$NE$60=G$3)*(GMWQ!$ND$2:$ND$60=G$4),0),$B120-1966)</f>
        <v>286728</v>
      </c>
      <c r="H120" s="18" cm="1">
        <f t="array" ref="H120">INDEX(GMWQ!$A$2:$NE$60,MATCH(1,(GMWQ!$NE$2:$NE$60=H$3)*(GMWQ!$ND$2:$ND$60=H$4),0),$B120-1966)</f>
        <v>79060</v>
      </c>
      <c r="I120" s="18" cm="1">
        <f t="array" ref="I120">INDEX(GMWQ!$A$2:$NE$60,MATCH(1,(GMWQ!$NE$2:$NE$60=I$3)*(GMWQ!$ND$2:$ND$60=I$4),0),$B120-1966)</f>
        <v>9546</v>
      </c>
      <c r="J120" s="18" cm="1">
        <f t="array" ref="J120">INDEX(GMWQ!$A$2:$NE$60,MATCH(1,(GMWQ!$NE$2:$NE$60=J$3)*(GMWQ!$ND$2:$ND$60=J$4),0),$B120-1966)</f>
        <v>19309</v>
      </c>
      <c r="K120" s="18" cm="1">
        <f t="array" ref="K120">INDEX(GMWQ!$A$2:$NE$60,MATCH(1,(GMWQ!$NE$2:$NE$60=K$3)*(GMWQ!$ND$2:$ND$60=K$4),0),$B120-1966)</f>
        <v>2149998</v>
      </c>
      <c r="L120" s="18" cm="1">
        <f t="array" ref="L120">INDEX(GMWQ!$A$2:$NE$60,MATCH(1,(GMWQ!$NE$2:$NE$60=L$3)*(GMWQ!$ND$2:$ND$60=L$4),0),$B120-1966)</f>
        <v>27707</v>
      </c>
      <c r="M120" s="18" cm="1">
        <f t="array" ref="M120">INDEX(GMWQ!$A$2:$NE$60,MATCH(1,(GMWQ!$NE$2:$NE$60=M$3)*(GMWQ!$ND$2:$ND$60=M$4),0),$B120-1966)</f>
        <v>32.799999999999997</v>
      </c>
      <c r="N120" s="18" cm="1">
        <f t="array" ref="N120">INDEX(GMWQ!$A$2:$NE$60,MATCH(1,(GMWQ!$NE$2:$NE$60=N$3)*(GMWQ!$ND$2:$ND$60=N$4),0),$B120-1966)</f>
        <v>19.97015</v>
      </c>
      <c r="O120" s="18" cm="1">
        <f t="array" ref="O120">INDEX(GMWQ!$A$2:$NE$60,MATCH(1,(GMWQ!$NE$2:$NE$60=O$3)*(GMWQ!$ND$2:$ND$60=O$4),0),$B120-1966)</f>
        <v>6.7367790000000003</v>
      </c>
      <c r="P120" s="18" cm="1">
        <f t="array" ref="P120">INDEX(GMWQ!$A$2:$NE$60,MATCH(1,(GMWQ!$NE$2:$NE$60=P$3)*(GMWQ!$ND$2:$ND$60=P$4),0),$B120-1966)</f>
        <v>240877</v>
      </c>
      <c r="Q120" s="18" cm="1">
        <f t="array" ref="Q120">INDEX(GMWQ!$A$2:$NE$60,MATCH(1,(GMWQ!$NE$2:$NE$60=Q$3)*(GMWQ!$ND$2:$ND$60=Q$4),0),$B120-1966)</f>
        <v>401.17500000000001</v>
      </c>
      <c r="R120" s="18" cm="1">
        <f t="array" ref="R120">INDEX(GMWQ!$A$2:$NE$60,MATCH(1,(GMWQ!$NE$2:$NE$60=R$3)*(GMWQ!$ND$2:$ND$60=R$4),0),$B120-1966)</f>
        <v>19774.68</v>
      </c>
      <c r="S120" s="18" cm="1">
        <f t="array" ref="S120">INDEX(GMWQ!$A$2:$NE$60,MATCH(1,(GMWQ!$NE$2:$NE$60=S$3)*(GMWQ!$ND$2:$ND$60=S$4),0),$B120-1966)</f>
        <v>82.93</v>
      </c>
      <c r="T120" s="18" cm="1">
        <f t="array" ref="T120">INDEX(GMWQ!$A$2:$NE$60,MATCH(1,(GMWQ!$NE$2:$NE$60=T$3)*(GMWQ!$ND$2:$ND$60=T$4),0),$B120-1966)</f>
        <v>56.468000000000004</v>
      </c>
      <c r="U120" s="18" cm="1">
        <f t="array" ref="U120">INDEX(GMWQ!$A$2:$NE$60,MATCH(1,(GMWQ!$NE$2:$NE$60=U$3)*(GMWQ!$ND$2:$ND$60=U$4),0),$B120-1966)</f>
        <v>52.686050000000002</v>
      </c>
      <c r="V120" s="18" cm="1">
        <f t="array" ref="V120">INDEX(GMWQ!$A$2:$NE$60,MATCH(1,(GMWQ!$NE$2:$NE$60=V$3)*(GMWQ!$ND$2:$ND$60=V$4),0),$B120-1966)</f>
        <v>43761.25</v>
      </c>
      <c r="W120" s="18" cm="1">
        <f t="array" ref="W120">INDEX(GMWQ!$A$2:$NF$60,MATCH(1,(GMWQ!$NE$2:$NE$60=W$3)*(GMWQ!$NF$2:$NF$60=W$1),0),$B120-1966)</f>
        <v>40762</v>
      </c>
      <c r="X120" s="18" cm="1">
        <f t="array" ref="X120">INDEX(GMWQ!$A$2:$NF$60,MATCH(1,(GMWQ!$NE$2:$NE$60=X$3)*(GMWQ!$NF$2:$NF$60=X$1),0),$B120-1966)</f>
        <v>43017</v>
      </c>
      <c r="Y120" s="18" cm="1">
        <f t="array" ref="Y120">INDEX(GMWQ!$A$2:$NF$60,MATCH(1,(GMWQ!$NE$2:$NE$60=Y$3)*(GMWQ!$NF$2:$NF$60=Y$1),0),$B120-1966)</f>
        <v>44094</v>
      </c>
      <c r="Z120" s="18" cm="1">
        <f t="array" ref="Z120">INDEX(GMWQ!$A$2:$NF$60,MATCH(1,(GMWQ!$NE$2:$NE$60=Z$3)*(GMWQ!$NF$2:$NF$60=Z$1),0),$B120-1966)</f>
        <v>41234</v>
      </c>
    </row>
    <row r="121" spans="1:26" x14ac:dyDescent="0.25">
      <c r="B121" s="18">
        <f t="shared" si="3"/>
        <v>2087</v>
      </c>
      <c r="C121" s="18" cm="1">
        <f t="array" ref="C121">INDEX(GMWQ!$A$2:$NE$60,MATCH(1,(GMWQ!$NE$2:$NE$60=C$3)*(GMWQ!$ND$2:$ND$60=C$4),0),$B121-1966)</f>
        <v>44742</v>
      </c>
      <c r="D121" s="18" cm="1">
        <f t="array" ref="D121">INDEX(GMWQ!$A$2:$NE$60,MATCH(1,(GMWQ!$NE$2:$NE$60=D$3)*(GMWQ!$ND$2:$ND$60=D$4),0),$B121-1966)</f>
        <v>59828</v>
      </c>
      <c r="E121" s="18" cm="1">
        <f t="array" ref="E121">INDEX(GMWQ!$A$2:$NE$60,MATCH(1,(GMWQ!$NE$2:$NE$60=E$3)*(GMWQ!$ND$2:$ND$60=E$4),0),$B121-1966)</f>
        <v>-5499</v>
      </c>
      <c r="F121" s="18" cm="1">
        <f t="array" ref="F121">INDEX(GMWQ!$A$2:$NE$60,MATCH(1,(GMWQ!$NE$2:$NE$60=F$3)*(GMWQ!$ND$2:$ND$60=F$4),0),$B121-1966)</f>
        <v>-11518</v>
      </c>
      <c r="G121" s="18" cm="1">
        <f t="array" ref="G121">INDEX(GMWQ!$A$2:$NE$60,MATCH(1,(GMWQ!$NE$2:$NE$60=G$3)*(GMWQ!$ND$2:$ND$60=G$4),0),$B121-1966)</f>
        <v>288166</v>
      </c>
      <c r="H121" s="18" cm="1">
        <f t="array" ref="H121">INDEX(GMWQ!$A$2:$NE$60,MATCH(1,(GMWQ!$NE$2:$NE$60=H$3)*(GMWQ!$ND$2:$ND$60=H$4),0),$B121-1966)</f>
        <v>78994</v>
      </c>
      <c r="I121" s="18" cm="1">
        <f t="array" ref="I121">INDEX(GMWQ!$A$2:$NE$60,MATCH(1,(GMWQ!$NE$2:$NE$60=I$3)*(GMWQ!$ND$2:$ND$60=I$4),0),$B121-1966)</f>
        <v>8916</v>
      </c>
      <c r="J121" s="18" cm="1">
        <f t="array" ref="J121">INDEX(GMWQ!$A$2:$NE$60,MATCH(1,(GMWQ!$NE$2:$NE$60=J$3)*(GMWQ!$ND$2:$ND$60=J$4),0),$B121-1966)</f>
        <v>20525</v>
      </c>
      <c r="K121" s="18" cm="1">
        <f t="array" ref="K121">INDEX(GMWQ!$A$2:$NE$60,MATCH(1,(GMWQ!$NE$2:$NE$60=K$3)*(GMWQ!$ND$2:$ND$60=K$4),0),$B121-1966)</f>
        <v>2168744</v>
      </c>
      <c r="L121" s="18" cm="1">
        <f t="array" ref="L121">INDEX(GMWQ!$A$2:$NE$60,MATCH(1,(GMWQ!$NE$2:$NE$60=L$3)*(GMWQ!$ND$2:$ND$60=L$4),0),$B121-1966)</f>
        <v>27715</v>
      </c>
      <c r="M121" s="18" cm="1">
        <f t="array" ref="M121">INDEX(GMWQ!$A$2:$NE$60,MATCH(1,(GMWQ!$NE$2:$NE$60=M$3)*(GMWQ!$ND$2:$ND$60=M$4),0),$B121-1966)</f>
        <v>32.700000000000003</v>
      </c>
      <c r="N121" s="18" cm="1">
        <f t="array" ref="N121">INDEX(GMWQ!$A$2:$NE$60,MATCH(1,(GMWQ!$NE$2:$NE$60=N$3)*(GMWQ!$ND$2:$ND$60=N$4),0),$B121-1966)</f>
        <v>20.09273</v>
      </c>
      <c r="O121" s="18" cm="1">
        <f t="array" ref="O121">INDEX(GMWQ!$A$2:$NE$60,MATCH(1,(GMWQ!$NE$2:$NE$60=O$3)*(GMWQ!$ND$2:$ND$60=O$4),0),$B121-1966)</f>
        <v>6.5434789999999996</v>
      </c>
      <c r="P121" s="18" cm="1">
        <f t="array" ref="P121">INDEX(GMWQ!$A$2:$NE$60,MATCH(1,(GMWQ!$NE$2:$NE$60=P$3)*(GMWQ!$ND$2:$ND$60=P$4),0),$B121-1966)</f>
        <v>242591</v>
      </c>
      <c r="Q121" s="18" cm="1">
        <f t="array" ref="Q121">INDEX(GMWQ!$A$2:$NE$60,MATCH(1,(GMWQ!$NE$2:$NE$60=Q$3)*(GMWQ!$ND$2:$ND$60=Q$4),0),$B121-1966)</f>
        <v>396.42500000000001</v>
      </c>
      <c r="R121" s="18" cm="1">
        <f t="array" ref="R121">INDEX(GMWQ!$A$2:$NE$60,MATCH(1,(GMWQ!$NE$2:$NE$60=R$3)*(GMWQ!$ND$2:$ND$60=R$4),0),$B121-1966)</f>
        <v>19411.03</v>
      </c>
      <c r="S121" s="18" cm="1">
        <f t="array" ref="S121">INDEX(GMWQ!$A$2:$NE$60,MATCH(1,(GMWQ!$NE$2:$NE$60=S$3)*(GMWQ!$ND$2:$ND$60=S$4),0),$B121-1966)</f>
        <v>81.13</v>
      </c>
      <c r="T121" s="18" cm="1">
        <f t="array" ref="T121">INDEX(GMWQ!$A$2:$NE$60,MATCH(1,(GMWQ!$NE$2:$NE$60=T$3)*(GMWQ!$ND$2:$ND$60=T$4),0),$B121-1966)</f>
        <v>56.540999999999997</v>
      </c>
      <c r="U121" s="18" cm="1">
        <f t="array" ref="U121">INDEX(GMWQ!$A$2:$NE$60,MATCH(1,(GMWQ!$NE$2:$NE$60=U$3)*(GMWQ!$ND$2:$ND$60=U$4),0),$B121-1966)</f>
        <v>52.339970000000001</v>
      </c>
      <c r="V121" s="18" cm="1">
        <f t="array" ref="V121">INDEX(GMWQ!$A$2:$NE$60,MATCH(1,(GMWQ!$NE$2:$NE$60=V$3)*(GMWQ!$ND$2:$ND$60=V$4),0),$B121-1966)</f>
        <v>43812.25</v>
      </c>
      <c r="W121" s="18" cm="1">
        <f t="array" ref="W121">INDEX(GMWQ!$A$2:$NF$60,MATCH(1,(GMWQ!$NE$2:$NE$60=W$3)*(GMWQ!$NF$2:$NF$60=W$1),0),$B121-1966)</f>
        <v>39545</v>
      </c>
      <c r="X121" s="18" cm="1">
        <f t="array" ref="X121">INDEX(GMWQ!$A$2:$NF$60,MATCH(1,(GMWQ!$NE$2:$NE$60=X$3)*(GMWQ!$NF$2:$NF$60=X$1),0),$B121-1966)</f>
        <v>41925</v>
      </c>
      <c r="Y121" s="18" cm="1">
        <f t="array" ref="Y121">INDEX(GMWQ!$A$2:$NF$60,MATCH(1,(GMWQ!$NE$2:$NE$60=Y$3)*(GMWQ!$NF$2:$NF$60=Y$1),0),$B121-1966)</f>
        <v>43086</v>
      </c>
      <c r="Z121" s="18" cm="1">
        <f t="array" ref="Z121">INDEX(GMWQ!$A$2:$NF$60,MATCH(1,(GMWQ!$NE$2:$NE$60=Z$3)*(GMWQ!$NF$2:$NF$60=Z$1),0),$B121-1966)</f>
        <v>41229</v>
      </c>
    </row>
    <row r="122" spans="1:26" x14ac:dyDescent="0.25">
      <c r="B122" s="18">
        <f t="shared" si="3"/>
        <v>2088</v>
      </c>
      <c r="C122" s="18" cm="1">
        <f t="array" ref="C122">INDEX(GMWQ!$A$2:$NE$60,MATCH(1,(GMWQ!$NE$2:$NE$60=C$3)*(GMWQ!$ND$2:$ND$60=C$4),0),$B122-1966)</f>
        <v>42863</v>
      </c>
      <c r="D122" s="18" cm="1">
        <f t="array" ref="D122">INDEX(GMWQ!$A$2:$NE$60,MATCH(1,(GMWQ!$NE$2:$NE$60=D$3)*(GMWQ!$ND$2:$ND$60=D$4),0),$B122-1966)</f>
        <v>59188</v>
      </c>
      <c r="E122" s="18" cm="1">
        <f t="array" ref="E122">INDEX(GMWQ!$A$2:$NE$60,MATCH(1,(GMWQ!$NE$2:$NE$60=E$3)*(GMWQ!$ND$2:$ND$60=E$4),0),$B122-1966)</f>
        <v>1014</v>
      </c>
      <c r="F122" s="18" cm="1">
        <f t="array" ref="F122">INDEX(GMWQ!$A$2:$NE$60,MATCH(1,(GMWQ!$NE$2:$NE$60=F$3)*(GMWQ!$ND$2:$ND$60=F$4),0),$B122-1966)</f>
        <v>-5682</v>
      </c>
      <c r="G122" s="18" cm="1">
        <f t="array" ref="G122">INDEX(GMWQ!$A$2:$NE$60,MATCH(1,(GMWQ!$NE$2:$NE$60=G$3)*(GMWQ!$ND$2:$ND$60=G$4),0),$B122-1966)</f>
        <v>288352</v>
      </c>
      <c r="H122" s="18" cm="1">
        <f t="array" ref="H122">INDEX(GMWQ!$A$2:$NE$60,MATCH(1,(GMWQ!$NE$2:$NE$60=H$3)*(GMWQ!$ND$2:$ND$60=H$4),0),$B122-1966)</f>
        <v>76321</v>
      </c>
      <c r="I122" s="18" cm="1">
        <f t="array" ref="I122">INDEX(GMWQ!$A$2:$NE$60,MATCH(1,(GMWQ!$NE$2:$NE$60=I$3)*(GMWQ!$ND$2:$ND$60=I$4),0),$B122-1966)</f>
        <v>8978</v>
      </c>
      <c r="J122" s="18" cm="1">
        <f t="array" ref="J122">INDEX(GMWQ!$A$2:$NE$60,MATCH(1,(GMWQ!$NE$2:$NE$60=J$3)*(GMWQ!$ND$2:$ND$60=J$4),0),$B122-1966)</f>
        <v>20032</v>
      </c>
      <c r="K122" s="18" cm="1">
        <f t="array" ref="K122">INDEX(GMWQ!$A$2:$NE$60,MATCH(1,(GMWQ!$NE$2:$NE$60=K$3)*(GMWQ!$ND$2:$ND$60=K$4),0),$B122-1966)</f>
        <v>2187489</v>
      </c>
      <c r="L122" s="18" cm="1">
        <f t="array" ref="L122">INDEX(GMWQ!$A$2:$NE$60,MATCH(1,(GMWQ!$NE$2:$NE$60=L$3)*(GMWQ!$ND$2:$ND$60=L$4),0),$B122-1966)</f>
        <v>27803</v>
      </c>
      <c r="M122" s="18" cm="1">
        <f t="array" ref="M122">INDEX(GMWQ!$A$2:$NE$60,MATCH(1,(GMWQ!$NE$2:$NE$60=M$3)*(GMWQ!$ND$2:$ND$60=M$4),0),$B122-1966)</f>
        <v>32.5</v>
      </c>
      <c r="N122" s="18" cm="1">
        <f t="array" ref="N122">INDEX(GMWQ!$A$2:$NE$60,MATCH(1,(GMWQ!$NE$2:$NE$60=N$3)*(GMWQ!$ND$2:$ND$60=N$4),0),$B122-1966)</f>
        <v>17.87726</v>
      </c>
      <c r="O122" s="18" cm="1">
        <f t="array" ref="O122">INDEX(GMWQ!$A$2:$NE$60,MATCH(1,(GMWQ!$NE$2:$NE$60=O$3)*(GMWQ!$ND$2:$ND$60=O$4),0),$B122-1966)</f>
        <v>6.1108140000000004</v>
      </c>
      <c r="P122" s="18" cm="1">
        <f t="array" ref="P122">INDEX(GMWQ!$A$2:$NE$60,MATCH(1,(GMWQ!$NE$2:$NE$60=P$3)*(GMWQ!$ND$2:$ND$60=P$4),0),$B122-1966)</f>
        <v>246337</v>
      </c>
      <c r="Q122" s="18" cm="1">
        <f t="array" ref="Q122">INDEX(GMWQ!$A$2:$NE$60,MATCH(1,(GMWQ!$NE$2:$NE$60=Q$3)*(GMWQ!$ND$2:$ND$60=Q$4),0),$B122-1966)</f>
        <v>385.02499999999998</v>
      </c>
      <c r="R122" s="18" cm="1">
        <f t="array" ref="R122">INDEX(GMWQ!$A$2:$NE$60,MATCH(1,(GMWQ!$NE$2:$NE$60=R$3)*(GMWQ!$ND$2:$ND$60=R$4),0),$B122-1966)</f>
        <v>18648.68</v>
      </c>
      <c r="S122" s="18" cm="1">
        <f t="array" ref="S122">INDEX(GMWQ!$A$2:$NE$60,MATCH(1,(GMWQ!$NE$2:$NE$60=S$3)*(GMWQ!$ND$2:$ND$60=S$4),0),$B122-1966)</f>
        <v>78.73</v>
      </c>
      <c r="T122" s="18" cm="1">
        <f t="array" ref="T122">INDEX(GMWQ!$A$2:$NE$60,MATCH(1,(GMWQ!$NE$2:$NE$60=T$3)*(GMWQ!$ND$2:$ND$60=T$4),0),$B122-1966)</f>
        <v>56.119</v>
      </c>
      <c r="U122" s="18" cm="1">
        <f t="array" ref="U122">INDEX(GMWQ!$A$2:$NE$60,MATCH(1,(GMWQ!$NE$2:$NE$60=U$3)*(GMWQ!$ND$2:$ND$60=U$4),0),$B122-1966)</f>
        <v>53.159030000000001</v>
      </c>
      <c r="V122" s="18" cm="1">
        <f t="array" ref="V122">INDEX(GMWQ!$A$2:$NE$60,MATCH(1,(GMWQ!$NE$2:$NE$60=V$3)*(GMWQ!$ND$2:$ND$60=V$4),0),$B122-1966)</f>
        <v>41155.75</v>
      </c>
      <c r="W122" s="18" cm="1">
        <f t="array" ref="W122">INDEX(GMWQ!$A$2:$NF$60,MATCH(1,(GMWQ!$NE$2:$NE$60=W$3)*(GMWQ!$NF$2:$NF$60=W$1),0),$B122-1966)</f>
        <v>37981</v>
      </c>
      <c r="X122" s="18" cm="1">
        <f t="array" ref="X122">INDEX(GMWQ!$A$2:$NF$60,MATCH(1,(GMWQ!$NE$2:$NE$60=X$3)*(GMWQ!$NF$2:$NF$60=X$1),0),$B122-1966)</f>
        <v>40249</v>
      </c>
      <c r="Y122" s="18" cm="1">
        <f t="array" ref="Y122">INDEX(GMWQ!$A$2:$NF$60,MATCH(1,(GMWQ!$NE$2:$NE$60=Y$3)*(GMWQ!$NF$2:$NF$60=Y$1),0),$B122-1966)</f>
        <v>41092</v>
      </c>
      <c r="Z122" s="18" cm="1">
        <f t="array" ref="Z122">INDEX(GMWQ!$A$2:$NF$60,MATCH(1,(GMWQ!$NE$2:$NE$60=Z$3)*(GMWQ!$NF$2:$NF$60=Z$1),0),$B122-1966)</f>
        <v>39486</v>
      </c>
    </row>
    <row r="123" spans="1:26" x14ac:dyDescent="0.25">
      <c r="A123" s="18">
        <v>2002</v>
      </c>
      <c r="B123" s="18">
        <f t="shared" si="3"/>
        <v>2089</v>
      </c>
      <c r="C123" s="18" cm="1">
        <f t="array" ref="C123">INDEX(GMWQ!$A$2:$NE$60,MATCH(1,(GMWQ!$NE$2:$NE$60=C$3)*(GMWQ!$ND$2:$ND$60=C$4),0),$B123-1966)</f>
        <v>42091</v>
      </c>
      <c r="D123" s="18" cm="1">
        <f t="array" ref="D123">INDEX(GMWQ!$A$2:$NE$60,MATCH(1,(GMWQ!$NE$2:$NE$60=D$3)*(GMWQ!$ND$2:$ND$60=D$4),0),$B123-1966)</f>
        <v>60667</v>
      </c>
      <c r="E123" s="18" cm="1">
        <f t="array" ref="E123">INDEX(GMWQ!$A$2:$NE$60,MATCH(1,(GMWQ!$NE$2:$NE$60=E$3)*(GMWQ!$ND$2:$ND$60=E$4),0),$B123-1966)</f>
        <v>-1102</v>
      </c>
      <c r="F123" s="18" cm="1">
        <f t="array" ref="F123">INDEX(GMWQ!$A$2:$NE$60,MATCH(1,(GMWQ!$NE$2:$NE$60=F$3)*(GMWQ!$ND$2:$ND$60=F$4),0),$B123-1966)</f>
        <v>-7124</v>
      </c>
      <c r="G123" s="18" cm="1">
        <f t="array" ref="G123">INDEX(GMWQ!$A$2:$NE$60,MATCH(1,(GMWQ!$NE$2:$NE$60=G$3)*(GMWQ!$ND$2:$ND$60=G$4),0),$B123-1966)</f>
        <v>292486</v>
      </c>
      <c r="H123" s="18" cm="1">
        <f t="array" ref="H123">INDEX(GMWQ!$A$2:$NE$60,MATCH(1,(GMWQ!$NE$2:$NE$60=H$3)*(GMWQ!$ND$2:$ND$60=H$4),0),$B123-1966)</f>
        <v>76228</v>
      </c>
      <c r="I123" s="18" cm="1">
        <f t="array" ref="I123">INDEX(GMWQ!$A$2:$NE$60,MATCH(1,(GMWQ!$NE$2:$NE$60=I$3)*(GMWQ!$ND$2:$ND$60=I$4),0),$B123-1966)</f>
        <v>8736</v>
      </c>
      <c r="J123" s="18" cm="1">
        <f t="array" ref="J123">INDEX(GMWQ!$A$2:$NE$60,MATCH(1,(GMWQ!$NE$2:$NE$60=J$3)*(GMWQ!$ND$2:$ND$60=J$4),0),$B123-1966)</f>
        <v>20773</v>
      </c>
      <c r="K123" s="18" cm="1">
        <f t="array" ref="K123">INDEX(GMWQ!$A$2:$NE$60,MATCH(1,(GMWQ!$NE$2:$NE$60=K$3)*(GMWQ!$ND$2:$ND$60=K$4),0),$B123-1966)</f>
        <v>2202702</v>
      </c>
      <c r="L123" s="18" cm="1">
        <f t="array" ref="L123">INDEX(GMWQ!$A$2:$NE$60,MATCH(1,(GMWQ!$NE$2:$NE$60=L$3)*(GMWQ!$ND$2:$ND$60=L$4),0),$B123-1966)</f>
        <v>27797</v>
      </c>
      <c r="M123" s="18" cm="1">
        <f t="array" ref="M123">INDEX(GMWQ!$A$2:$NE$60,MATCH(1,(GMWQ!$NE$2:$NE$60=M$3)*(GMWQ!$ND$2:$ND$60=M$4),0),$B123-1966)</f>
        <v>32.5</v>
      </c>
      <c r="N123" s="18" cm="1">
        <f t="array" ref="N123">INDEX(GMWQ!$A$2:$NE$60,MATCH(1,(GMWQ!$NE$2:$NE$60=N$3)*(GMWQ!$ND$2:$ND$60=N$4),0),$B123-1966)</f>
        <v>18.851800000000001</v>
      </c>
      <c r="O123" s="18" cm="1">
        <f t="array" ref="O123">INDEX(GMWQ!$A$2:$NE$60,MATCH(1,(GMWQ!$NE$2:$NE$60=O$3)*(GMWQ!$ND$2:$ND$60=O$4),0),$B123-1966)</f>
        <v>6.0513579999999996</v>
      </c>
      <c r="P123" s="18" cm="1">
        <f t="array" ref="P123">INDEX(GMWQ!$A$2:$NE$60,MATCH(1,(GMWQ!$NE$2:$NE$60=P$3)*(GMWQ!$ND$2:$ND$60=P$4),0),$B123-1966)</f>
        <v>246154</v>
      </c>
      <c r="Q123" s="18" cm="1">
        <f t="array" ref="Q123">INDEX(GMWQ!$A$2:$NE$60,MATCH(1,(GMWQ!$NE$2:$NE$60=Q$3)*(GMWQ!$ND$2:$ND$60=Q$4),0),$B123-1966)</f>
        <v>375.8</v>
      </c>
      <c r="R123" s="18" cm="1">
        <f t="array" ref="R123">INDEX(GMWQ!$A$2:$NE$60,MATCH(1,(GMWQ!$NE$2:$NE$60=R$3)*(GMWQ!$ND$2:$ND$60=R$4),0),$B123-1966)</f>
        <v>18489.18</v>
      </c>
      <c r="S123" s="18" cm="1">
        <f t="array" ref="S123">INDEX(GMWQ!$A$2:$NE$60,MATCH(1,(GMWQ!$NE$2:$NE$60=S$3)*(GMWQ!$ND$2:$ND$60=S$4),0),$B123-1966)</f>
        <v>75.180000000000007</v>
      </c>
      <c r="T123" s="18" cm="1">
        <f t="array" ref="T123">INDEX(GMWQ!$A$2:$NE$60,MATCH(1,(GMWQ!$NE$2:$NE$60=T$3)*(GMWQ!$ND$2:$ND$60=T$4),0),$B123-1966)</f>
        <v>55.058</v>
      </c>
      <c r="U123" s="18" cm="1">
        <f t="array" ref="U123">INDEX(GMWQ!$A$2:$NE$60,MATCH(1,(GMWQ!$NE$2:$NE$60=U$3)*(GMWQ!$ND$2:$ND$60=U$4),0),$B123-1966)</f>
        <v>56.700609999999998</v>
      </c>
      <c r="V123" s="18" cm="1">
        <f t="array" ref="V123">INDEX(GMWQ!$A$2:$NE$60,MATCH(1,(GMWQ!$NE$2:$NE$60=V$3)*(GMWQ!$ND$2:$ND$60=V$4),0),$B123-1966)</f>
        <v>40291.75</v>
      </c>
      <c r="W123" s="18" cm="1">
        <f t="array" ref="W123">INDEX(GMWQ!$A$2:$NF$60,MATCH(1,(GMWQ!$NE$2:$NE$60=W$3)*(GMWQ!$NF$2:$NF$60=W$1),0),$B123-1966)</f>
        <v>37969</v>
      </c>
      <c r="X123" s="18" cm="1">
        <f t="array" ref="X123">INDEX(GMWQ!$A$2:$NF$60,MATCH(1,(GMWQ!$NE$2:$NE$60=X$3)*(GMWQ!$NF$2:$NF$60=X$1),0),$B123-1966)</f>
        <v>40206</v>
      </c>
      <c r="Y123" s="18" cm="1">
        <f t="array" ref="Y123">INDEX(GMWQ!$A$2:$NF$60,MATCH(1,(GMWQ!$NE$2:$NE$60=Y$3)*(GMWQ!$NF$2:$NF$60=Y$1),0),$B123-1966)</f>
        <v>41361</v>
      </c>
      <c r="Z123" s="18" cm="1">
        <f t="array" ref="Z123">INDEX(GMWQ!$A$2:$NF$60,MATCH(1,(GMWQ!$NE$2:$NE$60=Z$3)*(GMWQ!$NF$2:$NF$60=Z$1),0),$B123-1966)</f>
        <v>38765</v>
      </c>
    </row>
    <row r="124" spans="1:26" x14ac:dyDescent="0.25">
      <c r="B124" s="18">
        <f t="shared" si="3"/>
        <v>2090</v>
      </c>
      <c r="C124" s="18" cm="1">
        <f t="array" ref="C124">INDEX(GMWQ!$A$2:$NE$60,MATCH(1,(GMWQ!$NE$2:$NE$60=C$3)*(GMWQ!$ND$2:$ND$60=C$4),0),$B124-1966)</f>
        <v>41670</v>
      </c>
      <c r="D124" s="18" cm="1">
        <f t="array" ref="D124">INDEX(GMWQ!$A$2:$NE$60,MATCH(1,(GMWQ!$NE$2:$NE$60=D$3)*(GMWQ!$ND$2:$ND$60=D$4),0),$B124-1966)</f>
        <v>62293</v>
      </c>
      <c r="E124" s="18" cm="1">
        <f t="array" ref="E124">INDEX(GMWQ!$A$2:$NE$60,MATCH(1,(GMWQ!$NE$2:$NE$60=E$3)*(GMWQ!$ND$2:$ND$60=E$4),0),$B124-1966)</f>
        <v>1518</v>
      </c>
      <c r="F124" s="18" cm="1">
        <f t="array" ref="F124">INDEX(GMWQ!$A$2:$NE$60,MATCH(1,(GMWQ!$NE$2:$NE$60=F$3)*(GMWQ!$ND$2:$ND$60=F$4),0),$B124-1966)</f>
        <v>-8223</v>
      </c>
      <c r="G124" s="18" cm="1">
        <f t="array" ref="G124">INDEX(GMWQ!$A$2:$NE$60,MATCH(1,(GMWQ!$NE$2:$NE$60=G$3)*(GMWQ!$ND$2:$ND$60=G$4),0),$B124-1966)</f>
        <v>295516</v>
      </c>
      <c r="H124" s="18" cm="1">
        <f t="array" ref="H124">INDEX(GMWQ!$A$2:$NE$60,MATCH(1,(GMWQ!$NE$2:$NE$60=H$3)*(GMWQ!$ND$2:$ND$60=H$4),0),$B124-1966)</f>
        <v>76226</v>
      </c>
      <c r="I124" s="18" cm="1">
        <f t="array" ref="I124">INDEX(GMWQ!$A$2:$NE$60,MATCH(1,(GMWQ!$NE$2:$NE$60=I$3)*(GMWQ!$ND$2:$ND$60=I$4),0),$B124-1966)</f>
        <v>9758</v>
      </c>
      <c r="J124" s="18" cm="1">
        <f t="array" ref="J124">INDEX(GMWQ!$A$2:$NE$60,MATCH(1,(GMWQ!$NE$2:$NE$60=J$3)*(GMWQ!$ND$2:$ND$60=J$4),0),$B124-1966)</f>
        <v>20835</v>
      </c>
      <c r="K124" s="18" cm="1">
        <f t="array" ref="K124">INDEX(GMWQ!$A$2:$NE$60,MATCH(1,(GMWQ!$NE$2:$NE$60=K$3)*(GMWQ!$ND$2:$ND$60=K$4),0),$B124-1966)</f>
        <v>2217916</v>
      </c>
      <c r="L124" s="18" cm="1">
        <f t="array" ref="L124">INDEX(GMWQ!$A$2:$NE$60,MATCH(1,(GMWQ!$NE$2:$NE$60=L$3)*(GMWQ!$ND$2:$ND$60=L$4),0),$B124-1966)</f>
        <v>27933</v>
      </c>
      <c r="M124" s="18" cm="1">
        <f t="array" ref="M124">INDEX(GMWQ!$A$2:$NE$60,MATCH(1,(GMWQ!$NE$2:$NE$60=M$3)*(GMWQ!$ND$2:$ND$60=M$4),0),$B124-1966)</f>
        <v>32.200000000000003</v>
      </c>
      <c r="N124" s="18" cm="1">
        <f t="array" ref="N124">INDEX(GMWQ!$A$2:$NE$60,MATCH(1,(GMWQ!$NE$2:$NE$60=N$3)*(GMWQ!$ND$2:$ND$60=N$4),0),$B124-1966)</f>
        <v>17.95496</v>
      </c>
      <c r="O124" s="18" cm="1">
        <f t="array" ref="O124">INDEX(GMWQ!$A$2:$NE$60,MATCH(1,(GMWQ!$NE$2:$NE$60=O$3)*(GMWQ!$ND$2:$ND$60=O$4),0),$B124-1966)</f>
        <v>6.0971729999999997</v>
      </c>
      <c r="P124" s="18" cm="1">
        <f t="array" ref="P124">INDEX(GMWQ!$A$2:$NE$60,MATCH(1,(GMWQ!$NE$2:$NE$60=P$3)*(GMWQ!$ND$2:$ND$60=P$4),0),$B124-1966)</f>
        <v>246340</v>
      </c>
      <c r="Q124" s="18" cm="1">
        <f t="array" ref="Q124">INDEX(GMWQ!$A$2:$NE$60,MATCH(1,(GMWQ!$NE$2:$NE$60=Q$3)*(GMWQ!$ND$2:$ND$60=Q$4),0),$B124-1966)</f>
        <v>371.57499999999999</v>
      </c>
      <c r="R124" s="18" cm="1">
        <f t="array" ref="R124">INDEX(GMWQ!$A$2:$NE$60,MATCH(1,(GMWQ!$NE$2:$NE$60=R$3)*(GMWQ!$ND$2:$ND$60=R$4),0),$B124-1966)</f>
        <v>18231.78</v>
      </c>
      <c r="S124" s="18" cm="1">
        <f t="array" ref="S124">INDEX(GMWQ!$A$2:$NE$60,MATCH(1,(GMWQ!$NE$2:$NE$60=S$3)*(GMWQ!$ND$2:$ND$60=S$4),0),$B124-1966)</f>
        <v>75.61</v>
      </c>
      <c r="T124" s="18" cm="1">
        <f t="array" ref="T124">INDEX(GMWQ!$A$2:$NE$60,MATCH(1,(GMWQ!$NE$2:$NE$60=T$3)*(GMWQ!$ND$2:$ND$60=T$4),0),$B124-1966)</f>
        <v>54.320999999999998</v>
      </c>
      <c r="U124" s="18" cm="1">
        <f t="array" ref="U124">INDEX(GMWQ!$A$2:$NE$60,MATCH(1,(GMWQ!$NE$2:$NE$60=U$3)*(GMWQ!$ND$2:$ND$60=U$4),0),$B124-1966)</f>
        <v>56.94894</v>
      </c>
      <c r="V124" s="18" cm="1">
        <f t="array" ref="V124">INDEX(GMWQ!$A$2:$NE$60,MATCH(1,(GMWQ!$NE$2:$NE$60=V$3)*(GMWQ!$ND$2:$ND$60=V$4),0),$B124-1966)</f>
        <v>40538.75</v>
      </c>
      <c r="W124" s="18" cm="1">
        <f t="array" ref="W124">INDEX(GMWQ!$A$2:$NF$60,MATCH(1,(GMWQ!$NE$2:$NE$60=W$3)*(GMWQ!$NF$2:$NF$60=W$1),0),$B124-1966)</f>
        <v>38869</v>
      </c>
      <c r="X124" s="18" cm="1">
        <f t="array" ref="X124">INDEX(GMWQ!$A$2:$NF$60,MATCH(1,(GMWQ!$NE$2:$NE$60=X$3)*(GMWQ!$NF$2:$NF$60=X$1),0),$B124-1966)</f>
        <v>40927</v>
      </c>
      <c r="Y124" s="18" cm="1">
        <f t="array" ref="Y124">INDEX(GMWQ!$A$2:$NF$60,MATCH(1,(GMWQ!$NE$2:$NE$60=Y$3)*(GMWQ!$NF$2:$NF$60=Y$1),0),$B124-1966)</f>
        <v>42198</v>
      </c>
      <c r="Z124" s="18" cm="1">
        <f t="array" ref="Z124">INDEX(GMWQ!$A$2:$NF$60,MATCH(1,(GMWQ!$NE$2:$NE$60=Z$3)*(GMWQ!$NF$2:$NF$60=Z$1),0),$B124-1966)</f>
        <v>38387</v>
      </c>
    </row>
    <row r="125" spans="1:26" x14ac:dyDescent="0.25">
      <c r="B125" s="18">
        <f t="shared" si="3"/>
        <v>2091</v>
      </c>
      <c r="C125" s="18" cm="1">
        <f t="array" ref="C125">INDEX(GMWQ!$A$2:$NE$60,MATCH(1,(GMWQ!$NE$2:$NE$60=C$3)*(GMWQ!$ND$2:$ND$60=C$4),0),$B125-1966)</f>
        <v>43962</v>
      </c>
      <c r="D125" s="18" cm="1">
        <f t="array" ref="D125">INDEX(GMWQ!$A$2:$NE$60,MATCH(1,(GMWQ!$NE$2:$NE$60=D$3)*(GMWQ!$ND$2:$ND$60=D$4),0),$B125-1966)</f>
        <v>64473</v>
      </c>
      <c r="E125" s="18" cm="1">
        <f t="array" ref="E125">INDEX(GMWQ!$A$2:$NE$60,MATCH(1,(GMWQ!$NE$2:$NE$60=E$3)*(GMWQ!$ND$2:$ND$60=E$4),0),$B125-1966)</f>
        <v>3485</v>
      </c>
      <c r="F125" s="18" cm="1">
        <f t="array" ref="F125">INDEX(GMWQ!$A$2:$NE$60,MATCH(1,(GMWQ!$NE$2:$NE$60=F$3)*(GMWQ!$ND$2:$ND$60=F$4),0),$B125-1966)</f>
        <v>-3712</v>
      </c>
      <c r="G125" s="18" cm="1">
        <f t="array" ref="G125">INDEX(GMWQ!$A$2:$NE$60,MATCH(1,(GMWQ!$NE$2:$NE$60=G$3)*(GMWQ!$ND$2:$ND$60=G$4),0),$B125-1966)</f>
        <v>299230</v>
      </c>
      <c r="H125" s="18" cm="1">
        <f t="array" ref="H125">INDEX(GMWQ!$A$2:$NE$60,MATCH(1,(GMWQ!$NE$2:$NE$60=H$3)*(GMWQ!$ND$2:$ND$60=H$4),0),$B125-1966)</f>
        <v>80253</v>
      </c>
      <c r="I125" s="18" cm="1">
        <f t="array" ref="I125">INDEX(GMWQ!$A$2:$NE$60,MATCH(1,(GMWQ!$NE$2:$NE$60=I$3)*(GMWQ!$ND$2:$ND$60=I$4),0),$B125-1966)</f>
        <v>9582</v>
      </c>
      <c r="J125" s="18" cm="1">
        <f t="array" ref="J125">INDEX(GMWQ!$A$2:$NE$60,MATCH(1,(GMWQ!$NE$2:$NE$60=J$3)*(GMWQ!$ND$2:$ND$60=J$4),0),$B125-1966)</f>
        <v>22606</v>
      </c>
      <c r="K125" s="18" cm="1">
        <f t="array" ref="K125">INDEX(GMWQ!$A$2:$NE$60,MATCH(1,(GMWQ!$NE$2:$NE$60=K$3)*(GMWQ!$ND$2:$ND$60=K$4),0),$B125-1966)</f>
        <v>2233130</v>
      </c>
      <c r="L125" s="18" cm="1">
        <f t="array" ref="L125">INDEX(GMWQ!$A$2:$NE$60,MATCH(1,(GMWQ!$NE$2:$NE$60=L$3)*(GMWQ!$ND$2:$ND$60=L$4),0),$B125-1966)</f>
        <v>27935</v>
      </c>
      <c r="M125" s="18" cm="1">
        <f t="array" ref="M125">INDEX(GMWQ!$A$2:$NE$60,MATCH(1,(GMWQ!$NE$2:$NE$60=M$3)*(GMWQ!$ND$2:$ND$60=M$4),0),$B125-1966)</f>
        <v>32.4</v>
      </c>
      <c r="N125" s="18" cm="1">
        <f t="array" ref="N125">INDEX(GMWQ!$A$2:$NE$60,MATCH(1,(GMWQ!$NE$2:$NE$60=N$3)*(GMWQ!$ND$2:$ND$60=N$4),0),$B125-1966)</f>
        <v>17.508690000000001</v>
      </c>
      <c r="O125" s="18" cm="1">
        <f t="array" ref="O125">INDEX(GMWQ!$A$2:$NE$60,MATCH(1,(GMWQ!$NE$2:$NE$60=O$3)*(GMWQ!$ND$2:$ND$60=O$4),0),$B125-1966)</f>
        <v>5.8656790000000001</v>
      </c>
      <c r="P125" s="18" cm="1">
        <f t="array" ref="P125">INDEX(GMWQ!$A$2:$NE$60,MATCH(1,(GMWQ!$NE$2:$NE$60=P$3)*(GMWQ!$ND$2:$ND$60=P$4),0),$B125-1966)</f>
        <v>250286</v>
      </c>
      <c r="Q125" s="18" cm="1">
        <f t="array" ref="Q125">INDEX(GMWQ!$A$2:$NE$60,MATCH(1,(GMWQ!$NE$2:$NE$60=Q$3)*(GMWQ!$ND$2:$ND$60=Q$4),0),$B125-1966)</f>
        <v>370.35</v>
      </c>
      <c r="R125" s="18" cm="1">
        <f t="array" ref="R125">INDEX(GMWQ!$A$2:$NE$60,MATCH(1,(GMWQ!$NE$2:$NE$60=R$3)*(GMWQ!$ND$2:$ND$60=R$4),0),$B125-1966)</f>
        <v>18530.97</v>
      </c>
      <c r="S125" s="18" cm="1">
        <f t="array" ref="S125">INDEX(GMWQ!$A$2:$NE$60,MATCH(1,(GMWQ!$NE$2:$NE$60=S$3)*(GMWQ!$ND$2:$ND$60=S$4),0),$B125-1966)</f>
        <v>74.72</v>
      </c>
      <c r="T125" s="18" cm="1">
        <f t="array" ref="T125">INDEX(GMWQ!$A$2:$NE$60,MATCH(1,(GMWQ!$NE$2:$NE$60=T$3)*(GMWQ!$ND$2:$ND$60=T$4),0),$B125-1966)</f>
        <v>54.572000000000003</v>
      </c>
      <c r="U125" s="18" cm="1">
        <f t="array" ref="U125">INDEX(GMWQ!$A$2:$NE$60,MATCH(1,(GMWQ!$NE$2:$NE$60=U$3)*(GMWQ!$ND$2:$ND$60=U$4),0),$B125-1966)</f>
        <v>57.963520000000003</v>
      </c>
      <c r="V125" s="18" cm="1">
        <f t="array" ref="V125">INDEX(GMWQ!$A$2:$NE$60,MATCH(1,(GMWQ!$NE$2:$NE$60=V$3)*(GMWQ!$ND$2:$ND$60=V$4),0),$B125-1966)</f>
        <v>41081.5</v>
      </c>
      <c r="W125" s="18" cm="1">
        <f t="array" ref="W125">INDEX(GMWQ!$A$2:$NF$60,MATCH(1,(GMWQ!$NE$2:$NE$60=W$3)*(GMWQ!$NF$2:$NF$60=W$1),0),$B125-1966)</f>
        <v>39075</v>
      </c>
      <c r="X125" s="18" cm="1">
        <f t="array" ref="X125">INDEX(GMWQ!$A$2:$NF$60,MATCH(1,(GMWQ!$NE$2:$NE$60=X$3)*(GMWQ!$NF$2:$NF$60=X$1),0),$B125-1966)</f>
        <v>41082</v>
      </c>
      <c r="Y125" s="18" cm="1">
        <f t="array" ref="Y125">INDEX(GMWQ!$A$2:$NF$60,MATCH(1,(GMWQ!$NE$2:$NE$60=Y$3)*(GMWQ!$NF$2:$NF$60=Y$1),0),$B125-1966)</f>
        <v>42534</v>
      </c>
      <c r="Z125" s="18" cm="1">
        <f t="array" ref="Z125">INDEX(GMWQ!$A$2:$NF$60,MATCH(1,(GMWQ!$NE$2:$NE$60=Z$3)*(GMWQ!$NF$2:$NF$60=Z$1),0),$B125-1966)</f>
        <v>40498</v>
      </c>
    </row>
    <row r="126" spans="1:26" x14ac:dyDescent="0.25">
      <c r="B126" s="18">
        <f t="shared" si="3"/>
        <v>2092</v>
      </c>
      <c r="C126" s="18" cm="1">
        <f t="array" ref="C126">INDEX(GMWQ!$A$2:$NE$60,MATCH(1,(GMWQ!$NE$2:$NE$60=C$3)*(GMWQ!$ND$2:$ND$60=C$4),0),$B126-1966)</f>
        <v>45720</v>
      </c>
      <c r="D126" s="18" cm="1">
        <f t="array" ref="D126">INDEX(GMWQ!$A$2:$NE$60,MATCH(1,(GMWQ!$NE$2:$NE$60=D$3)*(GMWQ!$ND$2:$ND$60=D$4),0),$B126-1966)</f>
        <v>67224</v>
      </c>
      <c r="E126" s="18" cm="1">
        <f t="array" ref="E126">INDEX(GMWQ!$A$2:$NE$60,MATCH(1,(GMWQ!$NE$2:$NE$60=E$3)*(GMWQ!$ND$2:$ND$60=E$4),0),$B126-1966)</f>
        <v>4872</v>
      </c>
      <c r="F126" s="18" cm="1">
        <f t="array" ref="F126">INDEX(GMWQ!$A$2:$NE$60,MATCH(1,(GMWQ!$NE$2:$NE$60=F$3)*(GMWQ!$ND$2:$ND$60=F$4),0),$B126-1966)</f>
        <v>790</v>
      </c>
      <c r="G126" s="18" cm="1">
        <f t="array" ref="G126">INDEX(GMWQ!$A$2:$NE$60,MATCH(1,(GMWQ!$NE$2:$NE$60=G$3)*(GMWQ!$ND$2:$ND$60=G$4),0),$B126-1966)</f>
        <v>304207</v>
      </c>
      <c r="H126" s="18" cm="1">
        <f t="array" ref="H126">INDEX(GMWQ!$A$2:$NE$60,MATCH(1,(GMWQ!$NE$2:$NE$60=H$3)*(GMWQ!$ND$2:$ND$60=H$4),0),$B126-1966)</f>
        <v>84228</v>
      </c>
      <c r="I126" s="18" cm="1">
        <f t="array" ref="I126">INDEX(GMWQ!$A$2:$NE$60,MATCH(1,(GMWQ!$NE$2:$NE$60=I$3)*(GMWQ!$ND$2:$ND$60=I$4),0),$B126-1966)</f>
        <v>9869</v>
      </c>
      <c r="J126" s="18" cm="1">
        <f t="array" ref="J126">INDEX(GMWQ!$A$2:$NE$60,MATCH(1,(GMWQ!$NE$2:$NE$60=J$3)*(GMWQ!$ND$2:$ND$60=J$4),0),$B126-1966)</f>
        <v>24121</v>
      </c>
      <c r="K126" s="18" cm="1">
        <f t="array" ref="K126">INDEX(GMWQ!$A$2:$NE$60,MATCH(1,(GMWQ!$NE$2:$NE$60=K$3)*(GMWQ!$ND$2:$ND$60=K$4),0),$B126-1966)</f>
        <v>2248343</v>
      </c>
      <c r="L126" s="18" cm="1">
        <f t="array" ref="L126">INDEX(GMWQ!$A$2:$NE$60,MATCH(1,(GMWQ!$NE$2:$NE$60=L$3)*(GMWQ!$ND$2:$ND$60=L$4),0),$B126-1966)</f>
        <v>28110</v>
      </c>
      <c r="M126" s="18" cm="1">
        <f t="array" ref="M126">INDEX(GMWQ!$A$2:$NE$60,MATCH(1,(GMWQ!$NE$2:$NE$60=M$3)*(GMWQ!$ND$2:$ND$60=M$4),0),$B126-1966)</f>
        <v>32.200000000000003</v>
      </c>
      <c r="N126" s="18" cm="1">
        <f t="array" ref="N126">INDEX(GMWQ!$A$2:$NE$60,MATCH(1,(GMWQ!$NE$2:$NE$60=N$3)*(GMWQ!$ND$2:$ND$60=N$4),0),$B126-1966)</f>
        <v>16.811199999999999</v>
      </c>
      <c r="O126" s="18" cm="1">
        <f t="array" ref="O126">INDEX(GMWQ!$A$2:$NE$60,MATCH(1,(GMWQ!$NE$2:$NE$60=O$3)*(GMWQ!$ND$2:$ND$60=O$4),0),$B126-1966)</f>
        <v>5.7086560000000004</v>
      </c>
      <c r="P126" s="18" cm="1">
        <f t="array" ref="P126">INDEX(GMWQ!$A$2:$NE$60,MATCH(1,(GMWQ!$NE$2:$NE$60=P$3)*(GMWQ!$ND$2:$ND$60=P$4),0),$B126-1966)</f>
        <v>263998</v>
      </c>
      <c r="Q126" s="18" cm="1">
        <f t="array" ref="Q126">INDEX(GMWQ!$A$2:$NE$60,MATCH(1,(GMWQ!$NE$2:$NE$60=Q$3)*(GMWQ!$ND$2:$ND$60=Q$4),0),$B126-1966)</f>
        <v>365.375</v>
      </c>
      <c r="R126" s="18" cm="1">
        <f t="array" ref="R126">INDEX(GMWQ!$A$2:$NE$60,MATCH(1,(GMWQ!$NE$2:$NE$60=R$3)*(GMWQ!$ND$2:$ND$60=R$4),0),$B126-1966)</f>
        <v>18545.05</v>
      </c>
      <c r="S126" s="18" cm="1">
        <f t="array" ref="S126">INDEX(GMWQ!$A$2:$NE$60,MATCH(1,(GMWQ!$NE$2:$NE$60=S$3)*(GMWQ!$ND$2:$ND$60=S$4),0),$B126-1966)</f>
        <v>74.58</v>
      </c>
      <c r="T126" s="18" cm="1">
        <f t="array" ref="T126">INDEX(GMWQ!$A$2:$NE$60,MATCH(1,(GMWQ!$NE$2:$NE$60=T$3)*(GMWQ!$ND$2:$ND$60=T$4),0),$B126-1966)</f>
        <v>55.219990000000003</v>
      </c>
      <c r="U126" s="18" cm="1">
        <f t="array" ref="U126">INDEX(GMWQ!$A$2:$NE$60,MATCH(1,(GMWQ!$NE$2:$NE$60=U$3)*(GMWQ!$ND$2:$ND$60=U$4),0),$B126-1966)</f>
        <v>58.942070000000001</v>
      </c>
      <c r="V126" s="18" cm="1">
        <f t="array" ref="V126">INDEX(GMWQ!$A$2:$NE$60,MATCH(1,(GMWQ!$NE$2:$NE$60=V$3)*(GMWQ!$ND$2:$ND$60=V$4),0),$B126-1966)</f>
        <v>40979.25</v>
      </c>
      <c r="W126" s="18" cm="1">
        <f t="array" ref="W126">INDEX(GMWQ!$A$2:$NF$60,MATCH(1,(GMWQ!$NE$2:$NE$60=W$3)*(GMWQ!$NF$2:$NF$60=W$1),0),$B126-1966)</f>
        <v>41227</v>
      </c>
      <c r="X126" s="18" cm="1">
        <f t="array" ref="X126">INDEX(GMWQ!$A$2:$NF$60,MATCH(1,(GMWQ!$NE$2:$NE$60=X$3)*(GMWQ!$NF$2:$NF$60=X$1),0),$B126-1966)</f>
        <v>43441</v>
      </c>
      <c r="Y126" s="18" cm="1">
        <f t="array" ref="Y126">INDEX(GMWQ!$A$2:$NF$60,MATCH(1,(GMWQ!$NE$2:$NE$60=Y$3)*(GMWQ!$NF$2:$NF$60=Y$1),0),$B126-1966)</f>
        <v>44756</v>
      </c>
      <c r="Z126" s="18" cm="1">
        <f t="array" ref="Z126">INDEX(GMWQ!$A$2:$NF$60,MATCH(1,(GMWQ!$NE$2:$NE$60=Z$3)*(GMWQ!$NF$2:$NF$60=Z$1),0),$B126-1966)</f>
        <v>42138</v>
      </c>
    </row>
    <row r="127" spans="1:26" x14ac:dyDescent="0.25">
      <c r="A127" s="18">
        <v>2003</v>
      </c>
      <c r="B127" s="18">
        <f t="shared" si="3"/>
        <v>2093</v>
      </c>
      <c r="C127" s="18" cm="1">
        <f t="array" ref="C127">INDEX(GMWQ!$A$2:$NE$60,MATCH(1,(GMWQ!$NE$2:$NE$60=C$3)*(GMWQ!$ND$2:$ND$60=C$4),0),$B127-1966)</f>
        <v>45673</v>
      </c>
      <c r="D127" s="18" cm="1">
        <f t="array" ref="D127">INDEX(GMWQ!$A$2:$NE$60,MATCH(1,(GMWQ!$NE$2:$NE$60=D$3)*(GMWQ!$ND$2:$ND$60=D$4),0),$B127-1966)</f>
        <v>67091</v>
      </c>
      <c r="E127" s="18" cm="1">
        <f t="array" ref="E127">INDEX(GMWQ!$A$2:$NE$60,MATCH(1,(GMWQ!$NE$2:$NE$60=E$3)*(GMWQ!$ND$2:$ND$60=E$4),0),$B127-1966)</f>
        <v>7664</v>
      </c>
      <c r="F127" s="18" cm="1">
        <f t="array" ref="F127">INDEX(GMWQ!$A$2:$NE$60,MATCH(1,(GMWQ!$NE$2:$NE$60=F$3)*(GMWQ!$ND$2:$ND$60=F$4),0),$B127-1966)</f>
        <v>4022</v>
      </c>
      <c r="G127" s="18" cm="1">
        <f t="array" ref="G127">INDEX(GMWQ!$A$2:$NE$60,MATCH(1,(GMWQ!$NE$2:$NE$60=G$3)*(GMWQ!$ND$2:$ND$60=G$4),0),$B127-1966)</f>
        <v>307485</v>
      </c>
      <c r="H127" s="18" cm="1">
        <f t="array" ref="H127">INDEX(GMWQ!$A$2:$NE$60,MATCH(1,(GMWQ!$NE$2:$NE$60=H$3)*(GMWQ!$ND$2:$ND$60=H$4),0),$B127-1966)</f>
        <v>84514</v>
      </c>
      <c r="I127" s="18" cm="1">
        <f t="array" ref="I127">INDEX(GMWQ!$A$2:$NE$60,MATCH(1,(GMWQ!$NE$2:$NE$60=I$3)*(GMWQ!$ND$2:$ND$60=I$4),0),$B127-1966)</f>
        <v>11182</v>
      </c>
      <c r="J127" s="18" cm="1">
        <f t="array" ref="J127">INDEX(GMWQ!$A$2:$NE$60,MATCH(1,(GMWQ!$NE$2:$NE$60=J$3)*(GMWQ!$ND$2:$ND$60=J$4),0),$B127-1966)</f>
        <v>21926</v>
      </c>
      <c r="K127" s="18" cm="1">
        <f t="array" ref="K127">INDEX(GMWQ!$A$2:$NE$60,MATCH(1,(GMWQ!$NE$2:$NE$60=K$3)*(GMWQ!$ND$2:$ND$60=K$4),0),$B127-1966)</f>
        <v>2261655</v>
      </c>
      <c r="L127" s="18" cm="1">
        <f t="array" ref="L127">INDEX(GMWQ!$A$2:$NE$60,MATCH(1,(GMWQ!$NE$2:$NE$60=L$3)*(GMWQ!$ND$2:$ND$60=L$4),0),$B127-1966)</f>
        <v>28099</v>
      </c>
      <c r="M127" s="18" cm="1">
        <f t="array" ref="M127">INDEX(GMWQ!$A$2:$NE$60,MATCH(1,(GMWQ!$NE$2:$NE$60=M$3)*(GMWQ!$ND$2:$ND$60=M$4),0),$B127-1966)</f>
        <v>32.200000000000003</v>
      </c>
      <c r="N127" s="18" cm="1">
        <f t="array" ref="N127">INDEX(GMWQ!$A$2:$NE$60,MATCH(1,(GMWQ!$NE$2:$NE$60=N$3)*(GMWQ!$ND$2:$ND$60=N$4),0),$B127-1966)</f>
        <v>16.524470000000001</v>
      </c>
      <c r="O127" s="18" cm="1">
        <f t="array" ref="O127">INDEX(GMWQ!$A$2:$NE$60,MATCH(1,(GMWQ!$NE$2:$NE$60=O$3)*(GMWQ!$ND$2:$ND$60=O$4),0),$B127-1966)</f>
        <v>5.3022410000000004</v>
      </c>
      <c r="P127" s="18" cm="1">
        <f t="array" ref="P127">INDEX(GMWQ!$A$2:$NE$60,MATCH(1,(GMWQ!$NE$2:$NE$60=P$3)*(GMWQ!$ND$2:$ND$60=P$4),0),$B127-1966)</f>
        <v>265596</v>
      </c>
      <c r="Q127" s="18" cm="1">
        <f t="array" ref="Q127">INDEX(GMWQ!$A$2:$NE$60,MATCH(1,(GMWQ!$NE$2:$NE$60=Q$3)*(GMWQ!$ND$2:$ND$60=Q$4),0),$B127-1966)</f>
        <v>367.17500000000001</v>
      </c>
      <c r="R127" s="18" cm="1">
        <f t="array" ref="R127">INDEX(GMWQ!$A$2:$NE$60,MATCH(1,(GMWQ!$NE$2:$NE$60=R$3)*(GMWQ!$ND$2:$ND$60=R$4),0),$B127-1966)</f>
        <v>18617.3</v>
      </c>
      <c r="S127" s="18" cm="1">
        <f t="array" ref="S127">INDEX(GMWQ!$A$2:$NE$60,MATCH(1,(GMWQ!$NE$2:$NE$60=S$3)*(GMWQ!$ND$2:$ND$60=S$4),0),$B127-1966)</f>
        <v>75.28</v>
      </c>
      <c r="T127" s="18" cm="1">
        <f t="array" ref="T127">INDEX(GMWQ!$A$2:$NE$60,MATCH(1,(GMWQ!$NE$2:$NE$60=T$3)*(GMWQ!$ND$2:$ND$60=T$4),0),$B127-1966)</f>
        <v>54.96499</v>
      </c>
      <c r="U127" s="18" cm="1">
        <f t="array" ref="U127">INDEX(GMWQ!$A$2:$NE$60,MATCH(1,(GMWQ!$NE$2:$NE$60=U$3)*(GMWQ!$ND$2:$ND$60=U$4),0),$B127-1966)</f>
        <v>54.734499999999997</v>
      </c>
      <c r="V127" s="18" cm="1">
        <f t="array" ref="V127">INDEX(GMWQ!$A$2:$NE$60,MATCH(1,(GMWQ!$NE$2:$NE$60=V$3)*(GMWQ!$ND$2:$ND$60=V$4),0),$B127-1966)</f>
        <v>41833.25</v>
      </c>
      <c r="W127" s="18" cm="1">
        <f t="array" ref="W127">INDEX(GMWQ!$A$2:$NF$60,MATCH(1,(GMWQ!$NE$2:$NE$60=W$3)*(GMWQ!$NF$2:$NF$60=W$1),0),$B127-1966)</f>
        <v>41376</v>
      </c>
      <c r="X127" s="18" cm="1">
        <f t="array" ref="X127">INDEX(GMWQ!$A$2:$NF$60,MATCH(1,(GMWQ!$NE$2:$NE$60=X$3)*(GMWQ!$NF$2:$NF$60=X$1),0),$B127-1966)</f>
        <v>43738</v>
      </c>
      <c r="Y127" s="18" cm="1">
        <f t="array" ref="Y127">INDEX(GMWQ!$A$2:$NF$60,MATCH(1,(GMWQ!$NE$2:$NE$60=Y$3)*(GMWQ!$NF$2:$NF$60=Y$1),0),$B127-1966)</f>
        <v>45218</v>
      </c>
      <c r="Z127" s="18" cm="1">
        <f t="array" ref="Z127">INDEX(GMWQ!$A$2:$NF$60,MATCH(1,(GMWQ!$NE$2:$NE$60=Z$3)*(GMWQ!$NF$2:$NF$60=Z$1),0),$B127-1966)</f>
        <v>42078</v>
      </c>
    </row>
    <row r="128" spans="1:26" x14ac:dyDescent="0.25">
      <c r="B128" s="18">
        <f t="shared" si="3"/>
        <v>2094</v>
      </c>
      <c r="C128" s="18" cm="1">
        <f t="array" ref="C128">INDEX(GMWQ!$A$2:$NE$60,MATCH(1,(GMWQ!$NE$2:$NE$60=C$3)*(GMWQ!$ND$2:$ND$60=C$4),0),$B128-1966)</f>
        <v>41335</v>
      </c>
      <c r="D128" s="18" cm="1">
        <f t="array" ref="D128">INDEX(GMWQ!$A$2:$NE$60,MATCH(1,(GMWQ!$NE$2:$NE$60=D$3)*(GMWQ!$ND$2:$ND$60=D$4),0),$B128-1966)</f>
        <v>70002</v>
      </c>
      <c r="E128" s="18" cm="1">
        <f t="array" ref="E128">INDEX(GMWQ!$A$2:$NE$60,MATCH(1,(GMWQ!$NE$2:$NE$60=E$3)*(GMWQ!$ND$2:$ND$60=E$4),0),$B128-1966)</f>
        <v>5524</v>
      </c>
      <c r="F128" s="18" cm="1">
        <f t="array" ref="F128">INDEX(GMWQ!$A$2:$NE$60,MATCH(1,(GMWQ!$NE$2:$NE$60=F$3)*(GMWQ!$ND$2:$ND$60=F$4),0),$B128-1966)</f>
        <v>3730</v>
      </c>
      <c r="G128" s="18" cm="1">
        <f t="array" ref="G128">INDEX(GMWQ!$A$2:$NE$60,MATCH(1,(GMWQ!$NE$2:$NE$60=G$3)*(GMWQ!$ND$2:$ND$60=G$4),0),$B128-1966)</f>
        <v>312948</v>
      </c>
      <c r="H128" s="18" cm="1">
        <f t="array" ref="H128">INDEX(GMWQ!$A$2:$NE$60,MATCH(1,(GMWQ!$NE$2:$NE$60=H$3)*(GMWQ!$ND$2:$ND$60=H$4),0),$B128-1966)</f>
        <v>79269</v>
      </c>
      <c r="I128" s="18" cm="1">
        <f t="array" ref="I128">INDEX(GMWQ!$A$2:$NE$60,MATCH(1,(GMWQ!$NE$2:$NE$60=I$3)*(GMWQ!$ND$2:$ND$60=I$4),0),$B128-1966)</f>
        <v>10981</v>
      </c>
      <c r="J128" s="18" cm="1">
        <f t="array" ref="J128">INDEX(GMWQ!$A$2:$NE$60,MATCH(1,(GMWQ!$NE$2:$NE$60=J$3)*(GMWQ!$ND$2:$ND$60=J$4),0),$B128-1966)</f>
        <v>22628</v>
      </c>
      <c r="K128" s="18" cm="1">
        <f t="array" ref="K128">INDEX(GMWQ!$A$2:$NE$60,MATCH(1,(GMWQ!$NE$2:$NE$60=K$3)*(GMWQ!$ND$2:$ND$60=K$4),0),$B128-1966)</f>
        <v>2274967</v>
      </c>
      <c r="L128" s="18" cm="1">
        <f t="array" ref="L128">INDEX(GMWQ!$A$2:$NE$60,MATCH(1,(GMWQ!$NE$2:$NE$60=L$3)*(GMWQ!$ND$2:$ND$60=L$4),0),$B128-1966)</f>
        <v>28226</v>
      </c>
      <c r="M128" s="18" cm="1">
        <f t="array" ref="M128">INDEX(GMWQ!$A$2:$NE$60,MATCH(1,(GMWQ!$NE$2:$NE$60=M$3)*(GMWQ!$ND$2:$ND$60=M$4),0),$B128-1966)</f>
        <v>32.200000000000003</v>
      </c>
      <c r="N128" s="18" cm="1">
        <f t="array" ref="N128">INDEX(GMWQ!$A$2:$NE$60,MATCH(1,(GMWQ!$NE$2:$NE$60=N$3)*(GMWQ!$ND$2:$ND$60=N$4),0),$B128-1966)</f>
        <v>15.30988</v>
      </c>
      <c r="O128" s="18" cm="1">
        <f t="array" ref="O128">INDEX(GMWQ!$A$2:$NE$60,MATCH(1,(GMWQ!$NE$2:$NE$60=O$3)*(GMWQ!$ND$2:$ND$60=O$4),0),$B128-1966)</f>
        <v>5.1053870000000003</v>
      </c>
      <c r="P128" s="18" cm="1">
        <f t="array" ref="P128">INDEX(GMWQ!$A$2:$NE$60,MATCH(1,(GMWQ!$NE$2:$NE$60=P$3)*(GMWQ!$ND$2:$ND$60=P$4),0),$B128-1966)</f>
        <v>271175</v>
      </c>
      <c r="Q128" s="18" cm="1">
        <f t="array" ref="Q128">INDEX(GMWQ!$A$2:$NE$60,MATCH(1,(GMWQ!$NE$2:$NE$60=Q$3)*(GMWQ!$ND$2:$ND$60=Q$4),0),$B128-1966)</f>
        <v>377.32499999999999</v>
      </c>
      <c r="R128" s="18" cm="1">
        <f t="array" ref="R128">INDEX(GMWQ!$A$2:$NE$60,MATCH(1,(GMWQ!$NE$2:$NE$60=R$3)*(GMWQ!$ND$2:$ND$60=R$4),0),$B128-1966)</f>
        <v>18902.95</v>
      </c>
      <c r="S128" s="18" cm="1">
        <f t="array" ref="S128">INDEX(GMWQ!$A$2:$NE$60,MATCH(1,(GMWQ!$NE$2:$NE$60=S$3)*(GMWQ!$ND$2:$ND$60=S$4),0),$B128-1966)</f>
        <v>73.52</v>
      </c>
      <c r="T128" s="18" cm="1">
        <f t="array" ref="T128">INDEX(GMWQ!$A$2:$NE$60,MATCH(1,(GMWQ!$NE$2:$NE$60=T$3)*(GMWQ!$ND$2:$ND$60=T$4),0),$B128-1966)</f>
        <v>54.584000000000003</v>
      </c>
      <c r="U128" s="18" cm="1">
        <f t="array" ref="U128">INDEX(GMWQ!$A$2:$NE$60,MATCH(1,(GMWQ!$NE$2:$NE$60=U$3)*(GMWQ!$ND$2:$ND$60=U$4),0),$B128-1966)</f>
        <v>53.79027</v>
      </c>
      <c r="V128" s="18" cm="1">
        <f t="array" ref="V128">INDEX(GMWQ!$A$2:$NE$60,MATCH(1,(GMWQ!$NE$2:$NE$60=V$3)*(GMWQ!$ND$2:$ND$60=V$4),0),$B128-1966)</f>
        <v>42642.75</v>
      </c>
      <c r="W128" s="18" cm="1">
        <f t="array" ref="W128">INDEX(GMWQ!$A$2:$NF$60,MATCH(1,(GMWQ!$NE$2:$NE$60=W$3)*(GMWQ!$NF$2:$NF$60=W$1),0),$B128-1966)</f>
        <v>39283</v>
      </c>
      <c r="X128" s="18" cm="1">
        <f t="array" ref="X128">INDEX(GMWQ!$A$2:$NF$60,MATCH(1,(GMWQ!$NE$2:$NE$60=X$3)*(GMWQ!$NF$2:$NF$60=X$1),0),$B128-1966)</f>
        <v>41426</v>
      </c>
      <c r="Y128" s="18" cm="1">
        <f t="array" ref="Y128">INDEX(GMWQ!$A$2:$NF$60,MATCH(1,(GMWQ!$NE$2:$NE$60=Y$3)*(GMWQ!$NF$2:$NF$60=Y$1),0),$B128-1966)</f>
        <v>42386</v>
      </c>
      <c r="Z128" s="18" cm="1">
        <f t="array" ref="Z128">INDEX(GMWQ!$A$2:$NF$60,MATCH(1,(GMWQ!$NE$2:$NE$60=Z$3)*(GMWQ!$NF$2:$NF$60=Z$1),0),$B128-1966)</f>
        <v>38092</v>
      </c>
    </row>
    <row r="129" spans="1:26" x14ac:dyDescent="0.25">
      <c r="B129" s="18">
        <f t="shared" si="3"/>
        <v>2095</v>
      </c>
      <c r="C129" s="18" cm="1">
        <f t="array" ref="C129">INDEX(GMWQ!$A$2:$NE$60,MATCH(1,(GMWQ!$NE$2:$NE$60=C$3)*(GMWQ!$ND$2:$ND$60=C$4),0),$B129-1966)</f>
        <v>42368</v>
      </c>
      <c r="D129" s="18" cm="1">
        <f t="array" ref="D129">INDEX(GMWQ!$A$2:$NE$60,MATCH(1,(GMWQ!$NE$2:$NE$60=D$3)*(GMWQ!$ND$2:$ND$60=D$4),0),$B129-1966)</f>
        <v>71030</v>
      </c>
      <c r="E129" s="18" cm="1">
        <f t="array" ref="E129">INDEX(GMWQ!$A$2:$NE$60,MATCH(1,(GMWQ!$NE$2:$NE$60=E$3)*(GMWQ!$ND$2:$ND$60=E$4),0),$B129-1966)</f>
        <v>3386</v>
      </c>
      <c r="F129" s="18" cm="1">
        <f t="array" ref="F129">INDEX(GMWQ!$A$2:$NE$60,MATCH(1,(GMWQ!$NE$2:$NE$60=F$3)*(GMWQ!$ND$2:$ND$60=F$4),0),$B129-1966)</f>
        <v>1612</v>
      </c>
      <c r="G129" s="18" cm="1">
        <f t="array" ref="G129">INDEX(GMWQ!$A$2:$NE$60,MATCH(1,(GMWQ!$NE$2:$NE$60=G$3)*(GMWQ!$ND$2:$ND$60=G$4),0),$B129-1966)</f>
        <v>317463</v>
      </c>
      <c r="H129" s="18" cm="1">
        <f t="array" ref="H129">INDEX(GMWQ!$A$2:$NE$60,MATCH(1,(GMWQ!$NE$2:$NE$60=H$3)*(GMWQ!$ND$2:$ND$60=H$4),0),$B129-1966)</f>
        <v>80422</v>
      </c>
      <c r="I129" s="18" cm="1">
        <f t="array" ref="I129">INDEX(GMWQ!$A$2:$NE$60,MATCH(1,(GMWQ!$NE$2:$NE$60=I$3)*(GMWQ!$ND$2:$ND$60=I$4),0),$B129-1966)</f>
        <v>10322</v>
      </c>
      <c r="J129" s="18" cm="1">
        <f t="array" ref="J129">INDEX(GMWQ!$A$2:$NE$60,MATCH(1,(GMWQ!$NE$2:$NE$60=J$3)*(GMWQ!$ND$2:$ND$60=J$4),0),$B129-1966)</f>
        <v>23759</v>
      </c>
      <c r="K129" s="18" cm="1">
        <f t="array" ref="K129">INDEX(GMWQ!$A$2:$NE$60,MATCH(1,(GMWQ!$NE$2:$NE$60=K$3)*(GMWQ!$ND$2:$ND$60=K$4),0),$B129-1966)</f>
        <v>2288278</v>
      </c>
      <c r="L129" s="18" cm="1">
        <f t="array" ref="L129">INDEX(GMWQ!$A$2:$NE$60,MATCH(1,(GMWQ!$NE$2:$NE$60=L$3)*(GMWQ!$ND$2:$ND$60=L$4),0),$B129-1966)</f>
        <v>28256</v>
      </c>
      <c r="M129" s="18" cm="1">
        <f t="array" ref="M129">INDEX(GMWQ!$A$2:$NE$60,MATCH(1,(GMWQ!$NE$2:$NE$60=M$3)*(GMWQ!$ND$2:$ND$60=M$4),0),$B129-1966)</f>
        <v>32.200000000000003</v>
      </c>
      <c r="N129" s="18" cm="1">
        <f t="array" ref="N129">INDEX(GMWQ!$A$2:$NE$60,MATCH(1,(GMWQ!$NE$2:$NE$60=N$3)*(GMWQ!$ND$2:$ND$60=N$4),0),$B129-1966)</f>
        <v>15.23471</v>
      </c>
      <c r="O129" s="18" cm="1">
        <f t="array" ref="O129">INDEX(GMWQ!$A$2:$NE$60,MATCH(1,(GMWQ!$NE$2:$NE$60=O$3)*(GMWQ!$ND$2:$ND$60=O$4),0),$B129-1966)</f>
        <v>5.162147</v>
      </c>
      <c r="P129" s="18" cm="1">
        <f t="array" ref="P129">INDEX(GMWQ!$A$2:$NE$60,MATCH(1,(GMWQ!$NE$2:$NE$60=P$3)*(GMWQ!$ND$2:$ND$60=P$4),0),$B129-1966)</f>
        <v>269759</v>
      </c>
      <c r="Q129" s="18" cm="1">
        <f t="array" ref="Q129">INDEX(GMWQ!$A$2:$NE$60,MATCH(1,(GMWQ!$NE$2:$NE$60=Q$3)*(GMWQ!$ND$2:$ND$60=Q$4),0),$B129-1966)</f>
        <v>385.32499999999999</v>
      </c>
      <c r="R129" s="18" cm="1">
        <f t="array" ref="R129">INDEX(GMWQ!$A$2:$NE$60,MATCH(1,(GMWQ!$NE$2:$NE$60=R$3)*(GMWQ!$ND$2:$ND$60=R$4),0),$B129-1966)</f>
        <v>18608.349999999999</v>
      </c>
      <c r="S129" s="18" cm="1">
        <f t="array" ref="S129">INDEX(GMWQ!$A$2:$NE$60,MATCH(1,(GMWQ!$NE$2:$NE$60=S$3)*(GMWQ!$ND$2:$ND$60=S$4),0),$B129-1966)</f>
        <v>73.59</v>
      </c>
      <c r="T129" s="18" cm="1">
        <f t="array" ref="T129">INDEX(GMWQ!$A$2:$NE$60,MATCH(1,(GMWQ!$NE$2:$NE$60=T$3)*(GMWQ!$ND$2:$ND$60=T$4),0),$B129-1966)</f>
        <v>56.145000000000003</v>
      </c>
      <c r="U129" s="18" cm="1">
        <f t="array" ref="U129">INDEX(GMWQ!$A$2:$NE$60,MATCH(1,(GMWQ!$NE$2:$NE$60=U$3)*(GMWQ!$ND$2:$ND$60=U$4),0),$B129-1966)</f>
        <v>52.364330000000002</v>
      </c>
      <c r="V129" s="18" cm="1">
        <f t="array" ref="V129">INDEX(GMWQ!$A$2:$NE$60,MATCH(1,(GMWQ!$NE$2:$NE$60=V$3)*(GMWQ!$ND$2:$ND$60=V$4),0),$B129-1966)</f>
        <v>43867.5</v>
      </c>
      <c r="W129" s="18" cm="1">
        <f t="array" ref="W129">INDEX(GMWQ!$A$2:$NF$60,MATCH(1,(GMWQ!$NE$2:$NE$60=W$3)*(GMWQ!$NF$2:$NF$60=W$1),0),$B129-1966)</f>
        <v>38475</v>
      </c>
      <c r="X129" s="18" cm="1">
        <f t="array" ref="X129">INDEX(GMWQ!$A$2:$NF$60,MATCH(1,(GMWQ!$NE$2:$NE$60=X$3)*(GMWQ!$NF$2:$NF$60=X$1),0),$B129-1966)</f>
        <v>40615</v>
      </c>
      <c r="Y129" s="18" cm="1">
        <f t="array" ref="Y129">INDEX(GMWQ!$A$2:$NF$60,MATCH(1,(GMWQ!$NE$2:$NE$60=Y$3)*(GMWQ!$NF$2:$NF$60=Y$1),0),$B129-1966)</f>
        <v>41687</v>
      </c>
      <c r="Z129" s="18" cm="1">
        <f t="array" ref="Z129">INDEX(GMWQ!$A$2:$NF$60,MATCH(1,(GMWQ!$NE$2:$NE$60=Z$3)*(GMWQ!$NF$2:$NF$60=Z$1),0),$B129-1966)</f>
        <v>39039</v>
      </c>
    </row>
    <row r="130" spans="1:26" x14ac:dyDescent="0.25">
      <c r="B130" s="18">
        <f t="shared" si="3"/>
        <v>2096</v>
      </c>
      <c r="C130" s="18" cm="1">
        <f t="array" ref="C130">INDEX(GMWQ!$A$2:$NE$60,MATCH(1,(GMWQ!$NE$2:$NE$60=C$3)*(GMWQ!$ND$2:$ND$60=C$4),0),$B130-1966)</f>
        <v>42114</v>
      </c>
      <c r="D130" s="18" cm="1">
        <f t="array" ref="D130">INDEX(GMWQ!$A$2:$NE$60,MATCH(1,(GMWQ!$NE$2:$NE$60=D$3)*(GMWQ!$ND$2:$ND$60=D$4),0),$B130-1966)</f>
        <v>69510</v>
      </c>
      <c r="E130" s="18" cm="1">
        <f t="array" ref="E130">INDEX(GMWQ!$A$2:$NE$60,MATCH(1,(GMWQ!$NE$2:$NE$60=E$3)*(GMWQ!$ND$2:$ND$60=E$4),0),$B130-1966)</f>
        <v>7042</v>
      </c>
      <c r="F130" s="18" cm="1">
        <f t="array" ref="F130">INDEX(GMWQ!$A$2:$NE$60,MATCH(1,(GMWQ!$NE$2:$NE$60=F$3)*(GMWQ!$ND$2:$ND$60=F$4),0),$B130-1966)</f>
        <v>2101</v>
      </c>
      <c r="G130" s="18" cm="1">
        <f t="array" ref="G130">INDEX(GMWQ!$A$2:$NE$60,MATCH(1,(GMWQ!$NE$2:$NE$60=G$3)*(GMWQ!$ND$2:$ND$60=G$4),0),$B130-1966)</f>
        <v>320438</v>
      </c>
      <c r="H130" s="18" cm="1">
        <f t="array" ref="H130">INDEX(GMWQ!$A$2:$NE$60,MATCH(1,(GMWQ!$NE$2:$NE$60=H$3)*(GMWQ!$ND$2:$ND$60=H$4),0),$B130-1966)</f>
        <v>80600</v>
      </c>
      <c r="I130" s="18" cm="1">
        <f t="array" ref="I130">INDEX(GMWQ!$A$2:$NE$60,MATCH(1,(GMWQ!$NE$2:$NE$60=I$3)*(GMWQ!$ND$2:$ND$60=I$4),0),$B130-1966)</f>
        <v>10085</v>
      </c>
      <c r="J130" s="18" cm="1">
        <f t="array" ref="J130">INDEX(GMWQ!$A$2:$NE$60,MATCH(1,(GMWQ!$NE$2:$NE$60=J$3)*(GMWQ!$ND$2:$ND$60=J$4),0),$B130-1966)</f>
        <v>24709</v>
      </c>
      <c r="K130" s="18" cm="1">
        <f t="array" ref="K130">INDEX(GMWQ!$A$2:$NE$60,MATCH(1,(GMWQ!$NE$2:$NE$60=K$3)*(GMWQ!$ND$2:$ND$60=K$4),0),$B130-1966)</f>
        <v>2301590</v>
      </c>
      <c r="L130" s="18" cm="1">
        <f t="array" ref="L130">INDEX(GMWQ!$A$2:$NE$60,MATCH(1,(GMWQ!$NE$2:$NE$60=L$3)*(GMWQ!$ND$2:$ND$60=L$4),0),$B130-1966)</f>
        <v>28304</v>
      </c>
      <c r="M130" s="18" cm="1">
        <f t="array" ref="M130">INDEX(GMWQ!$A$2:$NE$60,MATCH(1,(GMWQ!$NE$2:$NE$60=M$3)*(GMWQ!$ND$2:$ND$60=M$4),0),$B130-1966)</f>
        <v>32</v>
      </c>
      <c r="N130" s="18" cm="1">
        <f t="array" ref="N130">INDEX(GMWQ!$A$2:$NE$60,MATCH(1,(GMWQ!$NE$2:$NE$60=N$3)*(GMWQ!$ND$2:$ND$60=N$4),0),$B130-1966)</f>
        <v>16.300149999999999</v>
      </c>
      <c r="O130" s="18" cm="1">
        <f t="array" ref="O130">INDEX(GMWQ!$A$2:$NE$60,MATCH(1,(GMWQ!$NE$2:$NE$60=O$3)*(GMWQ!$ND$2:$ND$60=O$4),0),$B130-1966)</f>
        <v>5.5074329999999998</v>
      </c>
      <c r="P130" s="18" cm="1">
        <f t="array" ref="P130">INDEX(GMWQ!$A$2:$NE$60,MATCH(1,(GMWQ!$NE$2:$NE$60=P$3)*(GMWQ!$ND$2:$ND$60=P$4),0),$B130-1966)</f>
        <v>277784</v>
      </c>
      <c r="Q130" s="18" cm="1">
        <f t="array" ref="Q130">INDEX(GMWQ!$A$2:$NE$60,MATCH(1,(GMWQ!$NE$2:$NE$60=Q$3)*(GMWQ!$ND$2:$ND$60=Q$4),0),$B130-1966)</f>
        <v>390.17500000000001</v>
      </c>
      <c r="R130" s="18" cm="1">
        <f t="array" ref="R130">INDEX(GMWQ!$A$2:$NE$60,MATCH(1,(GMWQ!$NE$2:$NE$60=R$3)*(GMWQ!$ND$2:$ND$60=R$4),0),$B130-1966)</f>
        <v>19356.75</v>
      </c>
      <c r="S130" s="18" cm="1">
        <f t="array" ref="S130">INDEX(GMWQ!$A$2:$NE$60,MATCH(1,(GMWQ!$NE$2:$NE$60=S$3)*(GMWQ!$ND$2:$ND$60=S$4),0),$B130-1966)</f>
        <v>74.22</v>
      </c>
      <c r="T130" s="18" cm="1">
        <f t="array" ref="T130">INDEX(GMWQ!$A$2:$NE$60,MATCH(1,(GMWQ!$NE$2:$NE$60=T$3)*(GMWQ!$ND$2:$ND$60=T$4),0),$B130-1966)</f>
        <v>55.87</v>
      </c>
      <c r="U130" s="18" cm="1">
        <f t="array" ref="U130">INDEX(GMWQ!$A$2:$NE$60,MATCH(1,(GMWQ!$NE$2:$NE$60=U$3)*(GMWQ!$ND$2:$ND$60=U$4),0),$B130-1966)</f>
        <v>53.327759999999998</v>
      </c>
      <c r="V130" s="18" cm="1">
        <f t="array" ref="V130">INDEX(GMWQ!$A$2:$NE$60,MATCH(1,(GMWQ!$NE$2:$NE$60=V$3)*(GMWQ!$ND$2:$ND$60=V$4),0),$B130-1966)</f>
        <v>45102</v>
      </c>
      <c r="W130" s="18" cm="1">
        <f t="array" ref="W130">INDEX(GMWQ!$A$2:$NF$60,MATCH(1,(GMWQ!$NE$2:$NE$60=W$3)*(GMWQ!$NF$2:$NF$60=W$1),0),$B130-1966)</f>
        <v>38321</v>
      </c>
      <c r="X130" s="18" cm="1">
        <f t="array" ref="X130">INDEX(GMWQ!$A$2:$NF$60,MATCH(1,(GMWQ!$NE$2:$NE$60=X$3)*(GMWQ!$NF$2:$NF$60=X$1),0),$B130-1966)</f>
        <v>40484</v>
      </c>
      <c r="Y130" s="18" cm="1">
        <f t="array" ref="Y130">INDEX(GMWQ!$A$2:$NF$60,MATCH(1,(GMWQ!$NE$2:$NE$60=Y$3)*(GMWQ!$NF$2:$NF$60=Y$1),0),$B130-1966)</f>
        <v>41634</v>
      </c>
      <c r="Z130" s="18" cm="1">
        <f t="array" ref="Z130">INDEX(GMWQ!$A$2:$NF$60,MATCH(1,(GMWQ!$NE$2:$NE$60=Z$3)*(GMWQ!$NF$2:$NF$60=Z$1),0),$B130-1966)</f>
        <v>38809</v>
      </c>
    </row>
    <row r="131" spans="1:26" x14ac:dyDescent="0.25">
      <c r="A131" s="18">
        <v>2004</v>
      </c>
      <c r="B131" s="18">
        <f t="shared" si="3"/>
        <v>2097</v>
      </c>
      <c r="C131" s="18" cm="1">
        <f t="array" ref="C131">INDEX(GMWQ!$A$2:$NE$60,MATCH(1,(GMWQ!$NE$2:$NE$60=C$3)*(GMWQ!$ND$2:$ND$60=C$4),0),$B131-1966)</f>
        <v>42450</v>
      </c>
      <c r="D131" s="18" cm="1">
        <f t="array" ref="D131">INDEX(GMWQ!$A$2:$NE$60,MATCH(1,(GMWQ!$NE$2:$NE$60=D$3)*(GMWQ!$ND$2:$ND$60=D$4),0),$B131-1966)</f>
        <v>66971</v>
      </c>
      <c r="E131" s="18" cm="1">
        <f t="array" ref="E131">INDEX(GMWQ!$A$2:$NE$60,MATCH(1,(GMWQ!$NE$2:$NE$60=E$3)*(GMWQ!$ND$2:$ND$60=E$4),0),$B131-1966)</f>
        <v>2548</v>
      </c>
      <c r="F131" s="18" cm="1">
        <f t="array" ref="F131">INDEX(GMWQ!$A$2:$NE$60,MATCH(1,(GMWQ!$NE$2:$NE$60=F$3)*(GMWQ!$ND$2:$ND$60=F$4),0),$B131-1966)</f>
        <v>-166</v>
      </c>
      <c r="G131" s="18" cm="1">
        <f t="array" ref="G131">INDEX(GMWQ!$A$2:$NE$60,MATCH(1,(GMWQ!$NE$2:$NE$60=G$3)*(GMWQ!$ND$2:$ND$60=G$4),0),$B131-1966)</f>
        <v>322778</v>
      </c>
      <c r="H131" s="18" cm="1">
        <f t="array" ref="H131">INDEX(GMWQ!$A$2:$NE$60,MATCH(1,(GMWQ!$NE$2:$NE$60=H$3)*(GMWQ!$ND$2:$ND$60=H$4),0),$B131-1966)</f>
        <v>82986</v>
      </c>
      <c r="I131" s="18" cm="1">
        <f t="array" ref="I131">INDEX(GMWQ!$A$2:$NE$60,MATCH(1,(GMWQ!$NE$2:$NE$60=I$3)*(GMWQ!$ND$2:$ND$60=I$4),0),$B131-1966)</f>
        <v>11527</v>
      </c>
      <c r="J131" s="18" cm="1">
        <f t="array" ref="J131">INDEX(GMWQ!$A$2:$NE$60,MATCH(1,(GMWQ!$NE$2:$NE$60=J$3)*(GMWQ!$ND$2:$ND$60=J$4),0),$B131-1966)</f>
        <v>25154</v>
      </c>
      <c r="K131" s="18" cm="1">
        <f t="array" ref="K131">INDEX(GMWQ!$A$2:$NE$60,MATCH(1,(GMWQ!$NE$2:$NE$60=K$3)*(GMWQ!$ND$2:$ND$60=K$4),0),$B131-1966)</f>
        <v>2315989</v>
      </c>
      <c r="L131" s="18" cm="1">
        <f t="array" ref="L131">INDEX(GMWQ!$A$2:$NE$60,MATCH(1,(GMWQ!$NE$2:$NE$60=L$3)*(GMWQ!$ND$2:$ND$60=L$4),0),$B131-1966)</f>
        <v>28459</v>
      </c>
      <c r="M131" s="18" cm="1">
        <f t="array" ref="M131">INDEX(GMWQ!$A$2:$NE$60,MATCH(1,(GMWQ!$NE$2:$NE$60=M$3)*(GMWQ!$ND$2:$ND$60=M$4),0),$B131-1966)</f>
        <v>32.1</v>
      </c>
      <c r="N131" s="18" cm="1">
        <f t="array" ref="N131">INDEX(GMWQ!$A$2:$NE$60,MATCH(1,(GMWQ!$NE$2:$NE$60=N$3)*(GMWQ!$ND$2:$ND$60=N$4),0),$B131-1966)</f>
        <v>18.37229</v>
      </c>
      <c r="O131" s="18" cm="1">
        <f t="array" ref="O131">INDEX(GMWQ!$A$2:$NE$60,MATCH(1,(GMWQ!$NE$2:$NE$60=O$3)*(GMWQ!$ND$2:$ND$60=O$4),0),$B131-1966)</f>
        <v>5.4258100000000002</v>
      </c>
      <c r="P131" s="18" cm="1">
        <f t="array" ref="P131">INDEX(GMWQ!$A$2:$NE$60,MATCH(1,(GMWQ!$NE$2:$NE$60=P$3)*(GMWQ!$ND$2:$ND$60=P$4),0),$B131-1966)</f>
        <v>279900</v>
      </c>
      <c r="Q131" s="18" cm="1">
        <f t="array" ref="Q131">INDEX(GMWQ!$A$2:$NE$60,MATCH(1,(GMWQ!$NE$2:$NE$60=Q$3)*(GMWQ!$ND$2:$ND$60=Q$4),0),$B131-1966)</f>
        <v>386.32499999999999</v>
      </c>
      <c r="R131" s="18" cm="1">
        <f t="array" ref="R131">INDEX(GMWQ!$A$2:$NE$60,MATCH(1,(GMWQ!$NE$2:$NE$60=R$3)*(GMWQ!$ND$2:$ND$60=R$4),0),$B131-1966)</f>
        <v>19339.849999999999</v>
      </c>
      <c r="S131" s="18" cm="1">
        <f t="array" ref="S131">INDEX(GMWQ!$A$2:$NE$60,MATCH(1,(GMWQ!$NE$2:$NE$60=S$3)*(GMWQ!$ND$2:$ND$60=S$4),0),$B131-1966)</f>
        <v>73.02</v>
      </c>
      <c r="T131" s="18" cm="1">
        <f t="array" ref="T131">INDEX(GMWQ!$A$2:$NE$60,MATCH(1,(GMWQ!$NE$2:$NE$60=T$3)*(GMWQ!$ND$2:$ND$60=T$4),0),$B131-1966)</f>
        <v>56.262</v>
      </c>
      <c r="U131" s="18" cm="1">
        <f t="array" ref="U131">INDEX(GMWQ!$A$2:$NE$60,MATCH(1,(GMWQ!$NE$2:$NE$60=U$3)*(GMWQ!$ND$2:$ND$60=U$4),0),$B131-1966)</f>
        <v>54.027119999999996</v>
      </c>
      <c r="V131" s="18" cm="1">
        <f t="array" ref="V131">INDEX(GMWQ!$A$2:$NE$60,MATCH(1,(GMWQ!$NE$2:$NE$60=V$3)*(GMWQ!$ND$2:$ND$60=V$4),0),$B131-1966)</f>
        <v>45977.75</v>
      </c>
      <c r="W131" s="18" cm="1">
        <f t="array" ref="W131">INDEX(GMWQ!$A$2:$NF$60,MATCH(1,(GMWQ!$NE$2:$NE$60=W$3)*(GMWQ!$NF$2:$NF$60=W$1),0),$B131-1966)</f>
        <v>38982</v>
      </c>
      <c r="X131" s="18" cm="1">
        <f t="array" ref="X131">INDEX(GMWQ!$A$2:$NF$60,MATCH(1,(GMWQ!$NE$2:$NE$60=X$3)*(GMWQ!$NF$2:$NF$60=X$1),0),$B131-1966)</f>
        <v>40828</v>
      </c>
      <c r="Y131" s="18" cm="1">
        <f t="array" ref="Y131">INDEX(GMWQ!$A$2:$NF$60,MATCH(1,(GMWQ!$NE$2:$NE$60=Y$3)*(GMWQ!$NF$2:$NF$60=Y$1),0),$B131-1966)</f>
        <v>42712</v>
      </c>
      <c r="Z131" s="18" cm="1">
        <f t="array" ref="Z131">INDEX(GMWQ!$A$2:$NF$60,MATCH(1,(GMWQ!$NE$2:$NE$60=Z$3)*(GMWQ!$NF$2:$NF$60=Z$1),0),$B131-1966)</f>
        <v>39134</v>
      </c>
    </row>
    <row r="132" spans="1:26" x14ac:dyDescent="0.25">
      <c r="B132" s="18">
        <f t="shared" si="3"/>
        <v>2098</v>
      </c>
      <c r="C132" s="18" cm="1">
        <f t="array" ref="C132">INDEX(GMWQ!$A$2:$NE$60,MATCH(1,(GMWQ!$NE$2:$NE$60=C$3)*(GMWQ!$ND$2:$ND$60=C$4),0),$B132-1966)</f>
        <v>39055</v>
      </c>
      <c r="D132" s="18" cm="1">
        <f t="array" ref="D132">INDEX(GMWQ!$A$2:$NE$60,MATCH(1,(GMWQ!$NE$2:$NE$60=D$3)*(GMWQ!$ND$2:$ND$60=D$4),0),$B132-1966)</f>
        <v>72939</v>
      </c>
      <c r="E132" s="18" cm="1">
        <f t="array" ref="E132">INDEX(GMWQ!$A$2:$NE$60,MATCH(1,(GMWQ!$NE$2:$NE$60=E$3)*(GMWQ!$ND$2:$ND$60=E$4),0),$B132-1966)</f>
        <v>6969</v>
      </c>
      <c r="F132" s="18" cm="1">
        <f t="array" ref="F132">INDEX(GMWQ!$A$2:$NE$60,MATCH(1,(GMWQ!$NE$2:$NE$60=F$3)*(GMWQ!$ND$2:$ND$60=F$4),0),$B132-1966)</f>
        <v>3705</v>
      </c>
      <c r="G132" s="18" cm="1">
        <f t="array" ref="G132">INDEX(GMWQ!$A$2:$NE$60,MATCH(1,(GMWQ!$NE$2:$NE$60=G$3)*(GMWQ!$ND$2:$ND$60=G$4),0),$B132-1966)</f>
        <v>329732</v>
      </c>
      <c r="H132" s="18" cm="1">
        <f t="array" ref="H132">INDEX(GMWQ!$A$2:$NE$60,MATCH(1,(GMWQ!$NE$2:$NE$60=H$3)*(GMWQ!$ND$2:$ND$60=H$4),0),$B132-1966)</f>
        <v>82454</v>
      </c>
      <c r="I132" s="18" cm="1">
        <f t="array" ref="I132">INDEX(GMWQ!$A$2:$NE$60,MATCH(1,(GMWQ!$NE$2:$NE$60=I$3)*(GMWQ!$ND$2:$ND$60=I$4),0),$B132-1966)</f>
        <v>13049</v>
      </c>
      <c r="J132" s="18" cm="1">
        <f t="array" ref="J132">INDEX(GMWQ!$A$2:$NE$60,MATCH(1,(GMWQ!$NE$2:$NE$60=J$3)*(GMWQ!$ND$2:$ND$60=J$4),0),$B132-1966)</f>
        <v>24324</v>
      </c>
      <c r="K132" s="18" cm="1">
        <f t="array" ref="K132">INDEX(GMWQ!$A$2:$NE$60,MATCH(1,(GMWQ!$NE$2:$NE$60=K$3)*(GMWQ!$ND$2:$ND$60=K$4),0),$B132-1966)</f>
        <v>2330388</v>
      </c>
      <c r="L132" s="18" cm="1">
        <f t="array" ref="L132">INDEX(GMWQ!$A$2:$NE$60,MATCH(1,(GMWQ!$NE$2:$NE$60=L$3)*(GMWQ!$ND$2:$ND$60=L$4),0),$B132-1966)</f>
        <v>28470</v>
      </c>
      <c r="M132" s="18" cm="1">
        <f t="array" ref="M132">INDEX(GMWQ!$A$2:$NE$60,MATCH(1,(GMWQ!$NE$2:$NE$60=M$3)*(GMWQ!$ND$2:$ND$60=M$4),0),$B132-1966)</f>
        <v>32</v>
      </c>
      <c r="N132" s="18" cm="1">
        <f t="array" ref="N132">INDEX(GMWQ!$A$2:$NE$60,MATCH(1,(GMWQ!$NE$2:$NE$60=N$3)*(GMWQ!$ND$2:$ND$60=N$4),0),$B132-1966)</f>
        <v>17.188289999999999</v>
      </c>
      <c r="O132" s="18" cm="1">
        <f t="array" ref="O132">INDEX(GMWQ!$A$2:$NE$60,MATCH(1,(GMWQ!$NE$2:$NE$60=O$3)*(GMWQ!$ND$2:$ND$60=O$4),0),$B132-1966)</f>
        <v>5.7981210000000001</v>
      </c>
      <c r="P132" s="18" cm="1">
        <f t="array" ref="P132">INDEX(GMWQ!$A$2:$NE$60,MATCH(1,(GMWQ!$NE$2:$NE$60=P$3)*(GMWQ!$ND$2:$ND$60=P$4),0),$B132-1966)</f>
        <v>282202</v>
      </c>
      <c r="Q132" s="18" cm="1">
        <f t="array" ref="Q132">INDEX(GMWQ!$A$2:$NE$60,MATCH(1,(GMWQ!$NE$2:$NE$60=Q$3)*(GMWQ!$ND$2:$ND$60=Q$4),0),$B132-1966)</f>
        <v>395.97500000000002</v>
      </c>
      <c r="R132" s="18" cm="1">
        <f t="array" ref="R132">INDEX(GMWQ!$A$2:$NE$60,MATCH(1,(GMWQ!$NE$2:$NE$60=R$3)*(GMWQ!$ND$2:$ND$60=R$4),0),$B132-1966)</f>
        <v>19271.22</v>
      </c>
      <c r="S132" s="18" cm="1">
        <f t="array" ref="S132">INDEX(GMWQ!$A$2:$NE$60,MATCH(1,(GMWQ!$NE$2:$NE$60=S$3)*(GMWQ!$ND$2:$ND$60=S$4),0),$B132-1966)</f>
        <v>76.25</v>
      </c>
      <c r="T132" s="18" cm="1">
        <f t="array" ref="T132">INDEX(GMWQ!$A$2:$NE$60,MATCH(1,(GMWQ!$NE$2:$NE$60=T$3)*(GMWQ!$ND$2:$ND$60=T$4),0),$B132-1966)</f>
        <v>56.300989999999999</v>
      </c>
      <c r="U132" s="18" cm="1">
        <f t="array" ref="U132">INDEX(GMWQ!$A$2:$NE$60,MATCH(1,(GMWQ!$NE$2:$NE$60=U$3)*(GMWQ!$ND$2:$ND$60=U$4),0),$B132-1966)</f>
        <v>54.106639999999999</v>
      </c>
      <c r="V132" s="18" cm="1">
        <f t="array" ref="V132">INDEX(GMWQ!$A$2:$NE$60,MATCH(1,(GMWQ!$NE$2:$NE$60=V$3)*(GMWQ!$ND$2:$ND$60=V$4),0),$B132-1966)</f>
        <v>46712.25</v>
      </c>
      <c r="W132" s="18" cm="1">
        <f t="array" ref="W132">INDEX(GMWQ!$A$2:$NF$60,MATCH(1,(GMWQ!$NE$2:$NE$60=W$3)*(GMWQ!$NF$2:$NF$60=W$1),0),$B132-1966)</f>
        <v>36727</v>
      </c>
      <c r="X132" s="18" cm="1">
        <f t="array" ref="X132">INDEX(GMWQ!$A$2:$NF$60,MATCH(1,(GMWQ!$NE$2:$NE$60=X$3)*(GMWQ!$NF$2:$NF$60=X$1),0),$B132-1966)</f>
        <v>38569</v>
      </c>
      <c r="Y132" s="18" cm="1">
        <f t="array" ref="Y132">INDEX(GMWQ!$A$2:$NF$60,MATCH(1,(GMWQ!$NE$2:$NE$60=Y$3)*(GMWQ!$NF$2:$NF$60=Y$1),0),$B132-1966)</f>
        <v>40056</v>
      </c>
      <c r="Z132" s="18" cm="1">
        <f t="array" ref="Z132">INDEX(GMWQ!$A$2:$NF$60,MATCH(1,(GMWQ!$NE$2:$NE$60=Z$3)*(GMWQ!$NF$2:$NF$60=Z$1),0),$B132-1966)</f>
        <v>36010</v>
      </c>
    </row>
    <row r="133" spans="1:26" x14ac:dyDescent="0.25">
      <c r="B133" s="18">
        <f t="shared" si="3"/>
        <v>2099</v>
      </c>
      <c r="C133" s="18" cm="1">
        <f t="array" ref="C133">INDEX(GMWQ!$A$2:$NE$60,MATCH(1,(GMWQ!$NE$2:$NE$60=C$3)*(GMWQ!$ND$2:$ND$60=C$4),0),$B133-1966)</f>
        <v>41359</v>
      </c>
      <c r="D133" s="18" cm="1">
        <f t="array" ref="D133">INDEX(GMWQ!$A$2:$NE$60,MATCH(1,(GMWQ!$NE$2:$NE$60=D$3)*(GMWQ!$ND$2:$ND$60=D$4),0),$B133-1966)</f>
        <v>71100</v>
      </c>
      <c r="E133" s="18" cm="1">
        <f t="array" ref="E133">INDEX(GMWQ!$A$2:$NE$60,MATCH(1,(GMWQ!$NE$2:$NE$60=E$3)*(GMWQ!$ND$2:$ND$60=E$4),0),$B133-1966)</f>
        <v>1680</v>
      </c>
      <c r="F133" s="18" cm="1">
        <f t="array" ref="F133">INDEX(GMWQ!$A$2:$NE$60,MATCH(1,(GMWQ!$NE$2:$NE$60=F$3)*(GMWQ!$ND$2:$ND$60=F$4),0),$B133-1966)</f>
        <v>-1538</v>
      </c>
      <c r="G133" s="18" cm="1">
        <f t="array" ref="G133">INDEX(GMWQ!$A$2:$NE$60,MATCH(1,(GMWQ!$NE$2:$NE$60=G$3)*(GMWQ!$ND$2:$ND$60=G$4),0),$B133-1966)</f>
        <v>331592</v>
      </c>
      <c r="H133" s="18" cm="1">
        <f t="array" ref="H133">INDEX(GMWQ!$A$2:$NE$60,MATCH(1,(GMWQ!$NE$2:$NE$60=H$3)*(GMWQ!$ND$2:$ND$60=H$4),0),$B133-1966)</f>
        <v>83913</v>
      </c>
      <c r="I133" s="18" cm="1">
        <f t="array" ref="I133">INDEX(GMWQ!$A$2:$NE$60,MATCH(1,(GMWQ!$NE$2:$NE$60=I$3)*(GMWQ!$ND$2:$ND$60=I$4),0),$B133-1966)</f>
        <v>12279</v>
      </c>
      <c r="J133" s="18" cm="1">
        <f t="array" ref="J133">INDEX(GMWQ!$A$2:$NE$60,MATCH(1,(GMWQ!$NE$2:$NE$60=J$3)*(GMWQ!$ND$2:$ND$60=J$4),0),$B133-1966)</f>
        <v>25516</v>
      </c>
      <c r="K133" s="18" cm="1">
        <f t="array" ref="K133">INDEX(GMWQ!$A$2:$NE$60,MATCH(1,(GMWQ!$NE$2:$NE$60=K$3)*(GMWQ!$ND$2:$ND$60=K$4),0),$B133-1966)</f>
        <v>2344786</v>
      </c>
      <c r="L133" s="18" cm="1">
        <f t="array" ref="L133">INDEX(GMWQ!$A$2:$NE$60,MATCH(1,(GMWQ!$NE$2:$NE$60=L$3)*(GMWQ!$ND$2:$ND$60=L$4),0),$B133-1966)</f>
        <v>28518</v>
      </c>
      <c r="M133" s="18" cm="1">
        <f t="array" ref="M133">INDEX(GMWQ!$A$2:$NE$60,MATCH(1,(GMWQ!$NE$2:$NE$60=M$3)*(GMWQ!$ND$2:$ND$60=M$4),0),$B133-1966)</f>
        <v>32</v>
      </c>
      <c r="N133" s="18" cm="1">
        <f t="array" ref="N133">INDEX(GMWQ!$A$2:$NE$60,MATCH(1,(GMWQ!$NE$2:$NE$60=N$3)*(GMWQ!$ND$2:$ND$60=N$4),0),$B133-1966)</f>
        <v>18.080819999999999</v>
      </c>
      <c r="O133" s="18" cm="1">
        <f t="array" ref="O133">INDEX(GMWQ!$A$2:$NE$60,MATCH(1,(GMWQ!$NE$2:$NE$60=O$3)*(GMWQ!$ND$2:$ND$60=O$4),0),$B133-1966)</f>
        <v>5.9686149999999998</v>
      </c>
      <c r="P133" s="18" cm="1">
        <f t="array" ref="P133">INDEX(GMWQ!$A$2:$NE$60,MATCH(1,(GMWQ!$NE$2:$NE$60=P$3)*(GMWQ!$ND$2:$ND$60=P$4),0),$B133-1966)</f>
        <v>288690</v>
      </c>
      <c r="Q133" s="18" cm="1">
        <f t="array" ref="Q133">INDEX(GMWQ!$A$2:$NE$60,MATCH(1,(GMWQ!$NE$2:$NE$60=Q$3)*(GMWQ!$ND$2:$ND$60=Q$4),0),$B133-1966)</f>
        <v>407.3</v>
      </c>
      <c r="R133" s="18" cm="1">
        <f t="array" ref="R133">INDEX(GMWQ!$A$2:$NE$60,MATCH(1,(GMWQ!$NE$2:$NE$60=R$3)*(GMWQ!$ND$2:$ND$60=R$4),0),$B133-1966)</f>
        <v>19516.53</v>
      </c>
      <c r="S133" s="18" cm="1">
        <f t="array" ref="S133">INDEX(GMWQ!$A$2:$NE$60,MATCH(1,(GMWQ!$NE$2:$NE$60=S$3)*(GMWQ!$ND$2:$ND$60=S$4),0),$B133-1966)</f>
        <v>76.89</v>
      </c>
      <c r="T133" s="18" cm="1">
        <f t="array" ref="T133">INDEX(GMWQ!$A$2:$NE$60,MATCH(1,(GMWQ!$NE$2:$NE$60=T$3)*(GMWQ!$ND$2:$ND$60=T$4),0),$B133-1966)</f>
        <v>56.438000000000002</v>
      </c>
      <c r="U133" s="18" cm="1">
        <f t="array" ref="U133">INDEX(GMWQ!$A$2:$NE$60,MATCH(1,(GMWQ!$NE$2:$NE$60=U$3)*(GMWQ!$ND$2:$ND$60=U$4),0),$B133-1966)</f>
        <v>53.055619999999998</v>
      </c>
      <c r="V133" s="18" cm="1">
        <f t="array" ref="V133">INDEX(GMWQ!$A$2:$NE$60,MATCH(1,(GMWQ!$NE$2:$NE$60=V$3)*(GMWQ!$ND$2:$ND$60=V$4),0),$B133-1966)</f>
        <v>47590.25</v>
      </c>
      <c r="W133" s="18" cm="1">
        <f t="array" ref="W133">INDEX(GMWQ!$A$2:$NF$60,MATCH(1,(GMWQ!$NE$2:$NE$60=W$3)*(GMWQ!$NF$2:$NF$60=W$1),0),$B133-1966)</f>
        <v>37003</v>
      </c>
      <c r="X133" s="18" cm="1">
        <f t="array" ref="X133">INDEX(GMWQ!$A$2:$NF$60,MATCH(1,(GMWQ!$NE$2:$NE$60=X$3)*(GMWQ!$NF$2:$NF$60=X$1),0),$B133-1966)</f>
        <v>38726</v>
      </c>
      <c r="Y133" s="18" cm="1">
        <f t="array" ref="Y133">INDEX(GMWQ!$A$2:$NF$60,MATCH(1,(GMWQ!$NE$2:$NE$60=Y$3)*(GMWQ!$NF$2:$NF$60=Y$1),0),$B133-1966)</f>
        <v>40599</v>
      </c>
      <c r="Z133" s="18" cm="1">
        <f t="array" ref="Z133">INDEX(GMWQ!$A$2:$NF$60,MATCH(1,(GMWQ!$NE$2:$NE$60=Z$3)*(GMWQ!$NF$2:$NF$60=Z$1),0),$B133-1966)</f>
        <v>38148</v>
      </c>
    </row>
    <row r="134" spans="1:26" x14ac:dyDescent="0.25">
      <c r="B134" s="18">
        <f t="shared" si="3"/>
        <v>2100</v>
      </c>
      <c r="C134" s="18" cm="1">
        <f t="array" ref="C134">INDEX(GMWQ!$A$2:$NE$60,MATCH(1,(GMWQ!$NE$2:$NE$60=C$3)*(GMWQ!$ND$2:$ND$60=C$4),0),$B134-1966)</f>
        <v>42269</v>
      </c>
      <c r="D134" s="18" cm="1">
        <f t="array" ref="D134">INDEX(GMWQ!$A$2:$NE$60,MATCH(1,(GMWQ!$NE$2:$NE$60=D$3)*(GMWQ!$ND$2:$ND$60=D$4),0),$B134-1966)</f>
        <v>73776</v>
      </c>
      <c r="E134" s="18" cm="1">
        <f t="array" ref="E134">INDEX(GMWQ!$A$2:$NE$60,MATCH(1,(GMWQ!$NE$2:$NE$60=E$3)*(GMWQ!$ND$2:$ND$60=E$4),0),$B134-1966)</f>
        <v>6061</v>
      </c>
      <c r="F134" s="18" cm="1">
        <f t="array" ref="F134">INDEX(GMWQ!$A$2:$NE$60,MATCH(1,(GMWQ!$NE$2:$NE$60=F$3)*(GMWQ!$ND$2:$ND$60=F$4),0),$B134-1966)</f>
        <v>4139</v>
      </c>
      <c r="G134" s="18" cm="1">
        <f t="array" ref="G134">INDEX(GMWQ!$A$2:$NE$60,MATCH(1,(GMWQ!$NE$2:$NE$60=G$3)*(GMWQ!$ND$2:$ND$60=G$4),0),$B134-1966)</f>
        <v>338535</v>
      </c>
      <c r="H134" s="18" cm="1">
        <f t="array" ref="H134">INDEX(GMWQ!$A$2:$NE$60,MATCH(1,(GMWQ!$NE$2:$NE$60=H$3)*(GMWQ!$ND$2:$ND$60=H$4),0),$B134-1966)</f>
        <v>84243</v>
      </c>
      <c r="I134" s="18" cm="1">
        <f t="array" ref="I134">INDEX(GMWQ!$A$2:$NE$60,MATCH(1,(GMWQ!$NE$2:$NE$60=I$3)*(GMWQ!$ND$2:$ND$60=I$4),0),$B134-1966)</f>
        <v>12328</v>
      </c>
      <c r="J134" s="18" cm="1">
        <f t="array" ref="J134">INDEX(GMWQ!$A$2:$NE$60,MATCH(1,(GMWQ!$NE$2:$NE$60=J$3)*(GMWQ!$ND$2:$ND$60=J$4),0),$B134-1966)</f>
        <v>25439</v>
      </c>
      <c r="K134" s="18" cm="1">
        <f t="array" ref="K134">INDEX(GMWQ!$A$2:$NE$60,MATCH(1,(GMWQ!$NE$2:$NE$60=K$3)*(GMWQ!$ND$2:$ND$60=K$4),0),$B134-1966)</f>
        <v>2359184</v>
      </c>
      <c r="L134" s="18" cm="1">
        <f t="array" ref="L134">INDEX(GMWQ!$A$2:$NE$60,MATCH(1,(GMWQ!$NE$2:$NE$60=L$3)*(GMWQ!$ND$2:$ND$60=L$4),0),$B134-1966)</f>
        <v>28673</v>
      </c>
      <c r="M134" s="18" cm="1">
        <f t="array" ref="M134">INDEX(GMWQ!$A$2:$NE$60,MATCH(1,(GMWQ!$NE$2:$NE$60=M$3)*(GMWQ!$ND$2:$ND$60=M$4),0),$B134-1966)</f>
        <v>32.200000000000003</v>
      </c>
      <c r="N134" s="18" cm="1">
        <f t="array" ref="N134">INDEX(GMWQ!$A$2:$NE$60,MATCH(1,(GMWQ!$NE$2:$NE$60=N$3)*(GMWQ!$ND$2:$ND$60=N$4),0),$B134-1966)</f>
        <v>18.015879999999999</v>
      </c>
      <c r="O134" s="18" cm="1">
        <f t="array" ref="O134">INDEX(GMWQ!$A$2:$NE$60,MATCH(1,(GMWQ!$NE$2:$NE$60=O$3)*(GMWQ!$ND$2:$ND$60=O$4),0),$B134-1966)</f>
        <v>5.6649330000000004</v>
      </c>
      <c r="P134" s="18" cm="1">
        <f t="array" ref="P134">INDEX(GMWQ!$A$2:$NE$60,MATCH(1,(GMWQ!$NE$2:$NE$60=P$3)*(GMWQ!$ND$2:$ND$60=P$4),0),$B134-1966)</f>
        <v>294979</v>
      </c>
      <c r="Q134" s="18" cm="1">
        <f t="array" ref="Q134">INDEX(GMWQ!$A$2:$NE$60,MATCH(1,(GMWQ!$NE$2:$NE$60=Q$3)*(GMWQ!$ND$2:$ND$60=Q$4),0),$B134-1966)</f>
        <v>415.67500000000001</v>
      </c>
      <c r="R134" s="18" cm="1">
        <f t="array" ref="R134">INDEX(GMWQ!$A$2:$NE$60,MATCH(1,(GMWQ!$NE$2:$NE$60=R$3)*(GMWQ!$ND$2:$ND$60=R$4),0),$B134-1966)</f>
        <v>19946.3</v>
      </c>
      <c r="S134" s="18" cm="1">
        <f t="array" ref="S134">INDEX(GMWQ!$A$2:$NE$60,MATCH(1,(GMWQ!$NE$2:$NE$60=S$3)*(GMWQ!$ND$2:$ND$60=S$4),0),$B134-1966)</f>
        <v>77.31</v>
      </c>
      <c r="T134" s="18" cm="1">
        <f t="array" ref="T134">INDEX(GMWQ!$A$2:$NE$60,MATCH(1,(GMWQ!$NE$2:$NE$60=T$3)*(GMWQ!$ND$2:$ND$60=T$4),0),$B134-1966)</f>
        <v>57.215000000000003</v>
      </c>
      <c r="U134" s="18" cm="1">
        <f t="array" ref="U134">INDEX(GMWQ!$A$2:$NE$60,MATCH(1,(GMWQ!$NE$2:$NE$60=U$3)*(GMWQ!$ND$2:$ND$60=U$4),0),$B134-1966)</f>
        <v>53.349119999999999</v>
      </c>
      <c r="V134" s="18" cm="1">
        <f t="array" ref="V134">INDEX(GMWQ!$A$2:$NE$60,MATCH(1,(GMWQ!$NE$2:$NE$60=V$3)*(GMWQ!$ND$2:$ND$60=V$4),0),$B134-1966)</f>
        <v>48189</v>
      </c>
      <c r="W134" s="18" cm="1">
        <f t="array" ref="W134">INDEX(GMWQ!$A$2:$NF$60,MATCH(1,(GMWQ!$NE$2:$NE$60=W$3)*(GMWQ!$NF$2:$NF$60=W$1),0),$B134-1966)</f>
        <v>37207</v>
      </c>
      <c r="X134" s="18" cm="1">
        <f t="array" ref="X134">INDEX(GMWQ!$A$2:$NF$60,MATCH(1,(GMWQ!$NE$2:$NE$60=X$3)*(GMWQ!$NF$2:$NF$60=X$1),0),$B134-1966)</f>
        <v>38924</v>
      </c>
      <c r="Y134" s="18" cm="1">
        <f t="array" ref="Y134">INDEX(GMWQ!$A$2:$NF$60,MATCH(1,(GMWQ!$NE$2:$NE$60=Y$3)*(GMWQ!$NF$2:$NF$60=Y$1),0),$B134-1966)</f>
        <v>41067</v>
      </c>
      <c r="Z134" s="18" cm="1">
        <f t="array" ref="Z134">INDEX(GMWQ!$A$2:$NF$60,MATCH(1,(GMWQ!$NE$2:$NE$60=Z$3)*(GMWQ!$NF$2:$NF$60=Z$1),0),$B134-1966)</f>
        <v>38978</v>
      </c>
    </row>
    <row r="135" spans="1:26" x14ac:dyDescent="0.25">
      <c r="A135" s="18">
        <v>2005</v>
      </c>
      <c r="B135" s="18">
        <f t="shared" si="3"/>
        <v>2101</v>
      </c>
      <c r="C135" s="18" cm="1">
        <f t="array" ref="C135">INDEX(GMWQ!$A$2:$NE$60,MATCH(1,(GMWQ!$NE$2:$NE$60=C$3)*(GMWQ!$ND$2:$ND$60=C$4),0),$B135-1966)</f>
        <v>42057</v>
      </c>
      <c r="D135" s="18" cm="1">
        <f t="array" ref="D135">INDEX(GMWQ!$A$2:$NE$60,MATCH(1,(GMWQ!$NE$2:$NE$60=D$3)*(GMWQ!$ND$2:$ND$60=D$4),0),$B135-1966)</f>
        <v>72678</v>
      </c>
      <c r="E135" s="18" cm="1">
        <f t="array" ref="E135">INDEX(GMWQ!$A$2:$NE$60,MATCH(1,(GMWQ!$NE$2:$NE$60=E$3)*(GMWQ!$ND$2:$ND$60=E$4),0),$B135-1966)</f>
        <v>4699</v>
      </c>
      <c r="F135" s="18" cm="1">
        <f t="array" ref="F135">INDEX(GMWQ!$A$2:$NE$60,MATCH(1,(GMWQ!$NE$2:$NE$60=F$3)*(GMWQ!$ND$2:$ND$60=F$4),0),$B135-1966)</f>
        <v>2192</v>
      </c>
      <c r="G135" s="18" cm="1">
        <f t="array" ref="G135">INDEX(GMWQ!$A$2:$NE$60,MATCH(1,(GMWQ!$NE$2:$NE$60=G$3)*(GMWQ!$ND$2:$ND$60=G$4),0),$B135-1966)</f>
        <v>341254</v>
      </c>
      <c r="H135" s="18" cm="1">
        <f t="array" ref="H135">INDEX(GMWQ!$A$2:$NE$60,MATCH(1,(GMWQ!$NE$2:$NE$60=H$3)*(GMWQ!$ND$2:$ND$60=H$4),0),$B135-1966)</f>
        <v>85883</v>
      </c>
      <c r="I135" s="18" cm="1">
        <f t="array" ref="I135">INDEX(GMWQ!$A$2:$NE$60,MATCH(1,(GMWQ!$NE$2:$NE$60=I$3)*(GMWQ!$ND$2:$ND$60=I$4),0),$B135-1966)</f>
        <v>14559</v>
      </c>
      <c r="J135" s="18" cm="1">
        <f t="array" ref="J135">INDEX(GMWQ!$A$2:$NE$60,MATCH(1,(GMWQ!$NE$2:$NE$60=J$3)*(GMWQ!$ND$2:$ND$60=J$4),0),$B135-1966)</f>
        <v>24930</v>
      </c>
      <c r="K135" s="18" cm="1">
        <f t="array" ref="K135">INDEX(GMWQ!$A$2:$NE$60,MATCH(1,(GMWQ!$NE$2:$NE$60=K$3)*(GMWQ!$ND$2:$ND$60=K$4),0),$B135-1966)</f>
        <v>2374398</v>
      </c>
      <c r="L135" s="18" cm="1">
        <f t="array" ref="L135">INDEX(GMWQ!$A$2:$NE$60,MATCH(1,(GMWQ!$NE$2:$NE$60=L$3)*(GMWQ!$ND$2:$ND$60=L$4),0),$B135-1966)</f>
        <v>28789</v>
      </c>
      <c r="M135" s="18" cm="1">
        <f t="array" ref="M135">INDEX(GMWQ!$A$2:$NE$60,MATCH(1,(GMWQ!$NE$2:$NE$60=M$3)*(GMWQ!$ND$2:$ND$60=M$4),0),$B135-1966)</f>
        <v>32.200000000000003</v>
      </c>
      <c r="N135" s="18" cm="1">
        <f t="array" ref="N135">INDEX(GMWQ!$A$2:$NE$60,MATCH(1,(GMWQ!$NE$2:$NE$60=N$3)*(GMWQ!$ND$2:$ND$60=N$4),0),$B135-1966)</f>
        <v>18.623740000000002</v>
      </c>
      <c r="O135" s="18" cm="1">
        <f t="array" ref="O135">INDEX(GMWQ!$A$2:$NE$60,MATCH(1,(GMWQ!$NE$2:$NE$60=O$3)*(GMWQ!$ND$2:$ND$60=O$4),0),$B135-1966)</f>
        <v>5.6269830000000001</v>
      </c>
      <c r="P135" s="18" cm="1">
        <f t="array" ref="P135">INDEX(GMWQ!$A$2:$NE$60,MATCH(1,(GMWQ!$NE$2:$NE$60=P$3)*(GMWQ!$ND$2:$ND$60=P$4),0),$B135-1966)</f>
        <v>307230</v>
      </c>
      <c r="Q135" s="18" cm="1">
        <f t="array" ref="Q135">INDEX(GMWQ!$A$2:$NE$60,MATCH(1,(GMWQ!$NE$2:$NE$60=Q$3)*(GMWQ!$ND$2:$ND$60=Q$4),0),$B135-1966)</f>
        <v>421.7</v>
      </c>
      <c r="R135" s="18" cm="1">
        <f t="array" ref="R135">INDEX(GMWQ!$A$2:$NE$60,MATCH(1,(GMWQ!$NE$2:$NE$60=R$3)*(GMWQ!$ND$2:$ND$60=R$4),0),$B135-1966)</f>
        <v>20448.82</v>
      </c>
      <c r="S135" s="18" cm="1">
        <f t="array" ref="S135">INDEX(GMWQ!$A$2:$NE$60,MATCH(1,(GMWQ!$NE$2:$NE$60=S$3)*(GMWQ!$ND$2:$ND$60=S$4),0),$B135-1966)</f>
        <v>76.45</v>
      </c>
      <c r="T135" s="18" cm="1">
        <f t="array" ref="T135">INDEX(GMWQ!$A$2:$NE$60,MATCH(1,(GMWQ!$NE$2:$NE$60=T$3)*(GMWQ!$ND$2:$ND$60=T$4),0),$B135-1966)</f>
        <v>57.440989999999999</v>
      </c>
      <c r="U135" s="18" cm="1">
        <f t="array" ref="U135">INDEX(GMWQ!$A$2:$NE$60,MATCH(1,(GMWQ!$NE$2:$NE$60=U$3)*(GMWQ!$ND$2:$ND$60=U$4),0),$B135-1966)</f>
        <v>53.510199999999998</v>
      </c>
      <c r="V135" s="18" cm="1">
        <f t="array" ref="V135">INDEX(GMWQ!$A$2:$NE$60,MATCH(1,(GMWQ!$NE$2:$NE$60=V$3)*(GMWQ!$ND$2:$ND$60=V$4),0),$B135-1966)</f>
        <v>49991.5</v>
      </c>
      <c r="W135" s="18" cm="1">
        <f t="array" ref="W135">INDEX(GMWQ!$A$2:$NF$60,MATCH(1,(GMWQ!$NE$2:$NE$60=W$3)*(GMWQ!$NF$2:$NF$60=W$1),0),$B135-1966)</f>
        <v>37450</v>
      </c>
      <c r="X135" s="18" cm="1">
        <f t="array" ref="X135">INDEX(GMWQ!$A$2:$NF$60,MATCH(1,(GMWQ!$NE$2:$NE$60=X$3)*(GMWQ!$NF$2:$NF$60=X$1),0),$B135-1966)</f>
        <v>38949</v>
      </c>
      <c r="Y135" s="18" cm="1">
        <f t="array" ref="Y135">INDEX(GMWQ!$A$2:$NF$60,MATCH(1,(GMWQ!$NE$2:$NE$60=Y$3)*(GMWQ!$NF$2:$NF$60=Y$1),0),$B135-1966)</f>
        <v>40943</v>
      </c>
      <c r="Z135" s="18" cm="1">
        <f t="array" ref="Z135">INDEX(GMWQ!$A$2:$NF$60,MATCH(1,(GMWQ!$NE$2:$NE$60=Z$3)*(GMWQ!$NF$2:$NF$60=Z$1),0),$B135-1966)</f>
        <v>38771</v>
      </c>
    </row>
    <row r="136" spans="1:26" x14ac:dyDescent="0.25">
      <c r="B136" s="18">
        <f t="shared" si="3"/>
        <v>2102</v>
      </c>
      <c r="C136" s="18" cm="1">
        <f t="array" ref="C136">INDEX(GMWQ!$A$2:$NE$60,MATCH(1,(GMWQ!$NE$2:$NE$60=C$3)*(GMWQ!$ND$2:$ND$60=C$4),0),$B136-1966)</f>
        <v>43213.5</v>
      </c>
      <c r="D136" s="18" cm="1">
        <f t="array" ref="D136">INDEX(GMWQ!$A$2:$NE$60,MATCH(1,(GMWQ!$NE$2:$NE$60=D$3)*(GMWQ!$ND$2:$ND$60=D$4),0),$B136-1966)</f>
        <v>78380</v>
      </c>
      <c r="E136" s="18" cm="1">
        <f t="array" ref="E136">INDEX(GMWQ!$A$2:$NE$60,MATCH(1,(GMWQ!$NE$2:$NE$60=E$3)*(GMWQ!$ND$2:$ND$60=E$4),0),$B136-1966)</f>
        <v>3281</v>
      </c>
      <c r="F136" s="18" cm="1">
        <f t="array" ref="F136">INDEX(GMWQ!$A$2:$NE$60,MATCH(1,(GMWQ!$NE$2:$NE$60=F$3)*(GMWQ!$ND$2:$ND$60=F$4),0),$B136-1966)</f>
        <v>1736</v>
      </c>
      <c r="G136" s="18" cm="1">
        <f t="array" ref="G136">INDEX(GMWQ!$A$2:$NE$60,MATCH(1,(GMWQ!$NE$2:$NE$60=G$3)*(GMWQ!$ND$2:$ND$60=G$4),0),$B136-1966)</f>
        <v>348491</v>
      </c>
      <c r="H136" s="18" cm="1">
        <f t="array" ref="H136">INDEX(GMWQ!$A$2:$NE$60,MATCH(1,(GMWQ!$NE$2:$NE$60=H$3)*(GMWQ!$ND$2:$ND$60=H$4),0),$B136-1966)</f>
        <v>87907</v>
      </c>
      <c r="I136" s="18" cm="1">
        <f t="array" ref="I136">INDEX(GMWQ!$A$2:$NE$60,MATCH(1,(GMWQ!$NE$2:$NE$60=I$3)*(GMWQ!$ND$2:$ND$60=I$4),0),$B136-1966)</f>
        <v>13671</v>
      </c>
      <c r="J136" s="18" cm="1">
        <f t="array" ref="J136">INDEX(GMWQ!$A$2:$NE$60,MATCH(1,(GMWQ!$NE$2:$NE$60=J$3)*(GMWQ!$ND$2:$ND$60=J$4),0),$B136-1966)</f>
        <v>24755</v>
      </c>
      <c r="K136" s="18" cm="1">
        <f t="array" ref="K136">INDEX(GMWQ!$A$2:$NE$60,MATCH(1,(GMWQ!$NE$2:$NE$60=K$3)*(GMWQ!$ND$2:$ND$60=K$4),0),$B136-1966)</f>
        <v>2389612</v>
      </c>
      <c r="L136" s="18" cm="1">
        <f t="array" ref="L136">INDEX(GMWQ!$A$2:$NE$60,MATCH(1,(GMWQ!$NE$2:$NE$60=L$3)*(GMWQ!$ND$2:$ND$60=L$4),0),$B136-1966)</f>
        <v>28802</v>
      </c>
      <c r="M136" s="18" cm="1">
        <f t="array" ref="M136">INDEX(GMWQ!$A$2:$NE$60,MATCH(1,(GMWQ!$NE$2:$NE$60=M$3)*(GMWQ!$ND$2:$ND$60=M$4),0),$B136-1966)</f>
        <v>32.1</v>
      </c>
      <c r="N136" s="18" cm="1">
        <f t="array" ref="N136">INDEX(GMWQ!$A$2:$NE$60,MATCH(1,(GMWQ!$NE$2:$NE$60=N$3)*(GMWQ!$ND$2:$ND$60=N$4),0),$B136-1966)</f>
        <v>18.94378</v>
      </c>
      <c r="O136" s="18" cm="1">
        <f t="array" ref="O136">INDEX(GMWQ!$A$2:$NE$60,MATCH(1,(GMWQ!$NE$2:$NE$60=O$3)*(GMWQ!$ND$2:$ND$60=O$4),0),$B136-1966)</f>
        <v>5.5813459999999999</v>
      </c>
      <c r="P136" s="18" cm="1">
        <f t="array" ref="P136">INDEX(GMWQ!$A$2:$NE$60,MATCH(1,(GMWQ!$NE$2:$NE$60=P$3)*(GMWQ!$ND$2:$ND$60=P$4),0),$B136-1966)</f>
        <v>320006</v>
      </c>
      <c r="Q136" s="18" cm="1">
        <f t="array" ref="Q136">INDEX(GMWQ!$A$2:$NE$60,MATCH(1,(GMWQ!$NE$2:$NE$60=Q$3)*(GMWQ!$ND$2:$ND$60=Q$4),0),$B136-1966)</f>
        <v>428.52499999999998</v>
      </c>
      <c r="R136" s="18" cm="1">
        <f t="array" ref="R136">INDEX(GMWQ!$A$2:$NE$60,MATCH(1,(GMWQ!$NE$2:$NE$60=R$3)*(GMWQ!$ND$2:$ND$60=R$4),0),$B136-1966)</f>
        <v>21158.57</v>
      </c>
      <c r="S136" s="18" cm="1">
        <f t="array" ref="S136">INDEX(GMWQ!$A$2:$NE$60,MATCH(1,(GMWQ!$NE$2:$NE$60=S$3)*(GMWQ!$ND$2:$ND$60=S$4),0),$B136-1966)</f>
        <v>78.08</v>
      </c>
      <c r="T136" s="18" cm="1">
        <f t="array" ref="T136">INDEX(GMWQ!$A$2:$NE$60,MATCH(1,(GMWQ!$NE$2:$NE$60=T$3)*(GMWQ!$ND$2:$ND$60=T$4),0),$B136-1966)</f>
        <v>57.393000000000001</v>
      </c>
      <c r="U136" s="18" cm="1">
        <f t="array" ref="U136">INDEX(GMWQ!$A$2:$NE$60,MATCH(1,(GMWQ!$NE$2:$NE$60=U$3)*(GMWQ!$ND$2:$ND$60=U$4),0),$B136-1966)</f>
        <v>53.643250000000002</v>
      </c>
      <c r="V136" s="18" cm="1">
        <f t="array" ref="V136">INDEX(GMWQ!$A$2:$NE$60,MATCH(1,(GMWQ!$NE$2:$NE$60=V$3)*(GMWQ!$ND$2:$ND$60=V$4),0),$B136-1966)</f>
        <v>51086.5</v>
      </c>
      <c r="W136" s="18" cm="1">
        <f t="array" ref="W136">INDEX(GMWQ!$A$2:$NF$60,MATCH(1,(GMWQ!$NE$2:$NE$60=W$3)*(GMWQ!$NF$2:$NF$60=W$1),0),$B136-1966)</f>
        <v>38753.5</v>
      </c>
      <c r="X136" s="18" cm="1">
        <f t="array" ref="X136">INDEX(GMWQ!$A$2:$NF$60,MATCH(1,(GMWQ!$NE$2:$NE$60=X$3)*(GMWQ!$NF$2:$NF$60=X$1),0),$B136-1966)</f>
        <v>40228</v>
      </c>
      <c r="Y136" s="18" cm="1">
        <f t="array" ref="Y136">INDEX(GMWQ!$A$2:$NF$60,MATCH(1,(GMWQ!$NE$2:$NE$60=Y$3)*(GMWQ!$NF$2:$NF$60=Y$1),0),$B136-1966)</f>
        <v>42129</v>
      </c>
      <c r="Z136" s="18" cm="1">
        <f t="array" ref="Z136">INDEX(GMWQ!$A$2:$NF$60,MATCH(1,(GMWQ!$NE$2:$NE$60=Z$3)*(GMWQ!$NF$2:$NF$60=Z$1),0),$B136-1966)</f>
        <v>39825</v>
      </c>
    </row>
    <row r="137" spans="1:26" x14ac:dyDescent="0.25">
      <c r="B137" s="18">
        <f t="shared" si="3"/>
        <v>2103</v>
      </c>
      <c r="C137" s="18" cm="1">
        <f t="array" ref="C137">INDEX(GMWQ!$A$2:$NE$60,MATCH(1,(GMWQ!$NE$2:$NE$60=C$3)*(GMWQ!$ND$2:$ND$60=C$4),0),$B137-1966)</f>
        <v>44370</v>
      </c>
      <c r="D137" s="18" cm="1">
        <f t="array" ref="D137">INDEX(GMWQ!$A$2:$NE$60,MATCH(1,(GMWQ!$NE$2:$NE$60=D$3)*(GMWQ!$ND$2:$ND$60=D$4),0),$B137-1966)</f>
        <v>77251</v>
      </c>
      <c r="E137" s="18" cm="1">
        <f t="array" ref="E137">INDEX(GMWQ!$A$2:$NE$60,MATCH(1,(GMWQ!$NE$2:$NE$60=E$3)*(GMWQ!$ND$2:$ND$60=E$4),0),$B137-1966)</f>
        <v>1877</v>
      </c>
      <c r="F137" s="18" cm="1">
        <f t="array" ref="F137">INDEX(GMWQ!$A$2:$NE$60,MATCH(1,(GMWQ!$NE$2:$NE$60=F$3)*(GMWQ!$ND$2:$ND$60=F$4),0),$B137-1966)</f>
        <v>275</v>
      </c>
      <c r="G137" s="18" cm="1">
        <f t="array" ref="G137">INDEX(GMWQ!$A$2:$NE$60,MATCH(1,(GMWQ!$NE$2:$NE$60=G$3)*(GMWQ!$ND$2:$ND$60=G$4),0),$B137-1966)</f>
        <v>352001</v>
      </c>
      <c r="H137" s="18" cm="1">
        <f t="array" ref="H137">INDEX(GMWQ!$A$2:$NE$60,MATCH(1,(GMWQ!$NE$2:$NE$60=H$3)*(GMWQ!$ND$2:$ND$60=H$4),0),$B137-1966)</f>
        <v>87059</v>
      </c>
      <c r="I137" s="18" cm="1">
        <f t="array" ref="I137">INDEX(GMWQ!$A$2:$NE$60,MATCH(1,(GMWQ!$NE$2:$NE$60=I$3)*(GMWQ!$ND$2:$ND$60=I$4),0),$B137-1966)</f>
        <v>12783</v>
      </c>
      <c r="J137" s="18" cm="1">
        <f t="array" ref="J137">INDEX(GMWQ!$A$2:$NE$60,MATCH(1,(GMWQ!$NE$2:$NE$60=J$3)*(GMWQ!$ND$2:$ND$60=J$4),0),$B137-1966)</f>
        <v>24681</v>
      </c>
      <c r="K137" s="18" cm="1">
        <f t="array" ref="K137">INDEX(GMWQ!$A$2:$NE$60,MATCH(1,(GMWQ!$NE$2:$NE$60=K$3)*(GMWQ!$ND$2:$ND$60=K$4),0),$B137-1966)</f>
        <v>2404825</v>
      </c>
      <c r="L137" s="18" cm="1">
        <f t="array" ref="L137">INDEX(GMWQ!$A$2:$NE$60,MATCH(1,(GMWQ!$NE$2:$NE$60=L$3)*(GMWQ!$ND$2:$ND$60=L$4),0),$B137-1966)</f>
        <v>28928</v>
      </c>
      <c r="M137" s="18" cm="1">
        <f t="array" ref="M137">INDEX(GMWQ!$A$2:$NE$60,MATCH(1,(GMWQ!$NE$2:$NE$60=M$3)*(GMWQ!$ND$2:$ND$60=M$4),0),$B137-1966)</f>
        <v>32.200000000000003</v>
      </c>
      <c r="N137" s="18" cm="1">
        <f t="array" ref="N137">INDEX(GMWQ!$A$2:$NE$60,MATCH(1,(GMWQ!$NE$2:$NE$60=N$3)*(GMWQ!$ND$2:$ND$60=N$4),0),$B137-1966)</f>
        <v>18.815570000000001</v>
      </c>
      <c r="O137" s="18" cm="1">
        <f t="array" ref="O137">INDEX(GMWQ!$A$2:$NE$60,MATCH(1,(GMWQ!$NE$2:$NE$60=O$3)*(GMWQ!$ND$2:$ND$60=O$4),0),$B137-1966)</f>
        <v>5.3401610000000002</v>
      </c>
      <c r="P137" s="18" cm="1">
        <f t="array" ref="P137">INDEX(GMWQ!$A$2:$NE$60,MATCH(1,(GMWQ!$NE$2:$NE$60=P$3)*(GMWQ!$ND$2:$ND$60=P$4),0),$B137-1966)</f>
        <v>352539</v>
      </c>
      <c r="Q137" s="18" cm="1">
        <f t="array" ref="Q137">INDEX(GMWQ!$A$2:$NE$60,MATCH(1,(GMWQ!$NE$2:$NE$60=Q$3)*(GMWQ!$ND$2:$ND$60=Q$4),0),$B137-1966)</f>
        <v>437.45</v>
      </c>
      <c r="R137" s="18" cm="1">
        <f t="array" ref="R137">INDEX(GMWQ!$A$2:$NE$60,MATCH(1,(GMWQ!$NE$2:$NE$60=R$3)*(GMWQ!$ND$2:$ND$60=R$4),0),$B137-1966)</f>
        <v>21629.32</v>
      </c>
      <c r="S137" s="18" cm="1">
        <f t="array" ref="S137">INDEX(GMWQ!$A$2:$NE$60,MATCH(1,(GMWQ!$NE$2:$NE$60=S$3)*(GMWQ!$ND$2:$ND$60=S$4),0),$B137-1966)</f>
        <v>78.83</v>
      </c>
      <c r="T137" s="18" cm="1">
        <f t="array" ref="T137">INDEX(GMWQ!$A$2:$NE$60,MATCH(1,(GMWQ!$NE$2:$NE$60=T$3)*(GMWQ!$ND$2:$ND$60=T$4),0),$B137-1966)</f>
        <v>58.124000000000002</v>
      </c>
      <c r="U137" s="18" cm="1">
        <f t="array" ref="U137">INDEX(GMWQ!$A$2:$NE$60,MATCH(1,(GMWQ!$NE$2:$NE$60=U$3)*(GMWQ!$ND$2:$ND$60=U$4),0),$B137-1966)</f>
        <v>53.826709999999999</v>
      </c>
      <c r="V137" s="18" cm="1">
        <f t="array" ref="V137">INDEX(GMWQ!$A$2:$NE$60,MATCH(1,(GMWQ!$NE$2:$NE$60=V$3)*(GMWQ!$ND$2:$ND$60=V$4),0),$B137-1966)</f>
        <v>53150.5</v>
      </c>
      <c r="W137" s="18" cm="1">
        <f t="array" ref="W137">INDEX(GMWQ!$A$2:$NF$60,MATCH(1,(GMWQ!$NE$2:$NE$60=W$3)*(GMWQ!$NF$2:$NF$60=W$1),0),$B137-1966)</f>
        <v>40057</v>
      </c>
      <c r="X137" s="18" cm="1">
        <f t="array" ref="X137">INDEX(GMWQ!$A$2:$NF$60,MATCH(1,(GMWQ!$NE$2:$NE$60=X$3)*(GMWQ!$NF$2:$NF$60=X$1),0),$B137-1966)</f>
        <v>41507</v>
      </c>
      <c r="Y137" s="18" cm="1">
        <f t="array" ref="Y137">INDEX(GMWQ!$A$2:$NF$60,MATCH(1,(GMWQ!$NE$2:$NE$60=Y$3)*(GMWQ!$NF$2:$NF$60=Y$1),0),$B137-1966)</f>
        <v>43315</v>
      </c>
      <c r="Z137" s="18" cm="1">
        <f t="array" ref="Z137">INDEX(GMWQ!$A$2:$NF$60,MATCH(1,(GMWQ!$NE$2:$NE$60=Z$3)*(GMWQ!$NF$2:$NF$60=Z$1),0),$B137-1966)</f>
        <v>40879</v>
      </c>
    </row>
    <row r="138" spans="1:26" x14ac:dyDescent="0.25">
      <c r="B138" s="18">
        <f t="shared" si="3"/>
        <v>2104</v>
      </c>
      <c r="C138" s="18" cm="1">
        <f t="array" ref="C138">INDEX(GMWQ!$A$2:$NE$60,MATCH(1,(GMWQ!$NE$2:$NE$60=C$3)*(GMWQ!$ND$2:$ND$60=C$4),0),$B138-1966)</f>
        <v>44148</v>
      </c>
      <c r="D138" s="18" cm="1">
        <f t="array" ref="D138">INDEX(GMWQ!$A$2:$NE$60,MATCH(1,(GMWQ!$NE$2:$NE$60=D$3)*(GMWQ!$ND$2:$ND$60=D$4),0),$B138-1966)</f>
        <v>81107</v>
      </c>
      <c r="E138" s="18" cm="1">
        <f t="array" ref="E138">INDEX(GMWQ!$A$2:$NE$60,MATCH(1,(GMWQ!$NE$2:$NE$60=E$3)*(GMWQ!$ND$2:$ND$60=E$4),0),$B138-1966)</f>
        <v>6364</v>
      </c>
      <c r="F138" s="18" cm="1">
        <f t="array" ref="F138">INDEX(GMWQ!$A$2:$NE$60,MATCH(1,(GMWQ!$NE$2:$NE$60=F$3)*(GMWQ!$ND$2:$ND$60=F$4),0),$B138-1966)</f>
        <v>2958</v>
      </c>
      <c r="G138" s="18" cm="1">
        <f t="array" ref="G138">INDEX(GMWQ!$A$2:$NE$60,MATCH(1,(GMWQ!$NE$2:$NE$60=G$3)*(GMWQ!$ND$2:$ND$60=G$4),0),$B138-1966)</f>
        <v>357003</v>
      </c>
      <c r="H138" s="18" cm="1">
        <f t="array" ref="H138">INDEX(GMWQ!$A$2:$NE$60,MATCH(1,(GMWQ!$NE$2:$NE$60=H$3)*(GMWQ!$ND$2:$ND$60=H$4),0),$B138-1966)</f>
        <v>86618</v>
      </c>
      <c r="I138" s="18" cm="1">
        <f t="array" ref="I138">INDEX(GMWQ!$A$2:$NE$60,MATCH(1,(GMWQ!$NE$2:$NE$60=I$3)*(GMWQ!$ND$2:$ND$60=I$4),0),$B138-1966)</f>
        <v>11965</v>
      </c>
      <c r="J138" s="18" cm="1">
        <f t="array" ref="J138">INDEX(GMWQ!$A$2:$NE$60,MATCH(1,(GMWQ!$NE$2:$NE$60=J$3)*(GMWQ!$ND$2:$ND$60=J$4),0),$B138-1966)</f>
        <v>24138</v>
      </c>
      <c r="K138" s="18" cm="1">
        <f t="array" ref="K138">INDEX(GMWQ!$A$2:$NE$60,MATCH(1,(GMWQ!$NE$2:$NE$60=K$3)*(GMWQ!$ND$2:$ND$60=K$4),0),$B138-1966)</f>
        <v>2420039</v>
      </c>
      <c r="L138" s="18" cm="1">
        <f t="array" ref="L138">INDEX(GMWQ!$A$2:$NE$60,MATCH(1,(GMWQ!$NE$2:$NE$60=L$3)*(GMWQ!$ND$2:$ND$60=L$4),0),$B138-1966)</f>
        <v>28880</v>
      </c>
      <c r="M138" s="18" cm="1">
        <f t="array" ref="M138">INDEX(GMWQ!$A$2:$NE$60,MATCH(1,(GMWQ!$NE$2:$NE$60=M$3)*(GMWQ!$ND$2:$ND$60=M$4),0),$B138-1966)</f>
        <v>32.200000000000003</v>
      </c>
      <c r="N138" s="18" cm="1">
        <f t="array" ref="N138">INDEX(GMWQ!$A$2:$NE$60,MATCH(1,(GMWQ!$NE$2:$NE$60=N$3)*(GMWQ!$ND$2:$ND$60=N$4),0),$B138-1966)</f>
        <v>18.96284</v>
      </c>
      <c r="O138" s="18" cm="1">
        <f t="array" ref="O138">INDEX(GMWQ!$A$2:$NE$60,MATCH(1,(GMWQ!$NE$2:$NE$60=O$3)*(GMWQ!$ND$2:$ND$60=O$4),0),$B138-1966)</f>
        <v>5.4054320000000002</v>
      </c>
      <c r="P138" s="18" cm="1">
        <f t="array" ref="P138">INDEX(GMWQ!$A$2:$NE$60,MATCH(1,(GMWQ!$NE$2:$NE$60=P$3)*(GMWQ!$ND$2:$ND$60=P$4),0),$B138-1966)</f>
        <v>363974</v>
      </c>
      <c r="Q138" s="18" cm="1">
        <f t="array" ref="Q138">INDEX(GMWQ!$A$2:$NE$60,MATCH(1,(GMWQ!$NE$2:$NE$60=Q$3)*(GMWQ!$ND$2:$ND$60=Q$4),0),$B138-1966)</f>
        <v>440.82499999999999</v>
      </c>
      <c r="R138" s="18" cm="1">
        <f t="array" ref="R138">INDEX(GMWQ!$A$2:$NE$60,MATCH(1,(GMWQ!$NE$2:$NE$60=R$3)*(GMWQ!$ND$2:$ND$60=R$4),0),$B138-1966)</f>
        <v>21278.3</v>
      </c>
      <c r="S138" s="18" cm="1">
        <f t="array" ref="S138">INDEX(GMWQ!$A$2:$NE$60,MATCH(1,(GMWQ!$NE$2:$NE$60=S$3)*(GMWQ!$ND$2:$ND$60=S$4),0),$B138-1966)</f>
        <v>83.88</v>
      </c>
      <c r="T138" s="18" cm="1">
        <f t="array" ref="T138">INDEX(GMWQ!$A$2:$NE$60,MATCH(1,(GMWQ!$NE$2:$NE$60=T$3)*(GMWQ!$ND$2:$ND$60=T$4),0),$B138-1966)</f>
        <v>58.457000000000001</v>
      </c>
      <c r="U138" s="18" cm="1">
        <f t="array" ref="U138">INDEX(GMWQ!$A$2:$NE$60,MATCH(1,(GMWQ!$NE$2:$NE$60=U$3)*(GMWQ!$ND$2:$ND$60=U$4),0),$B138-1966)</f>
        <v>53.639249999999997</v>
      </c>
      <c r="V138" s="18" cm="1">
        <f t="array" ref="V138">INDEX(GMWQ!$A$2:$NE$60,MATCH(1,(GMWQ!$NE$2:$NE$60=V$3)*(GMWQ!$ND$2:$ND$60=V$4),0),$B138-1966)</f>
        <v>54745.5</v>
      </c>
      <c r="W138" s="18" cm="1">
        <f t="array" ref="W138">INDEX(GMWQ!$A$2:$NF$60,MATCH(1,(GMWQ!$NE$2:$NE$60=W$3)*(GMWQ!$NF$2:$NF$60=W$1),0),$B138-1966)</f>
        <v>40584</v>
      </c>
      <c r="X138" s="18" cm="1">
        <f t="array" ref="X138">INDEX(GMWQ!$A$2:$NF$60,MATCH(1,(GMWQ!$NE$2:$NE$60=X$3)*(GMWQ!$NF$2:$NF$60=X$1),0),$B138-1966)</f>
        <v>42167</v>
      </c>
      <c r="Y138" s="18" cm="1">
        <f t="array" ref="Y138">INDEX(GMWQ!$A$2:$NF$60,MATCH(1,(GMWQ!$NE$2:$NE$60=Y$3)*(GMWQ!$NF$2:$NF$60=Y$1),0),$B138-1966)</f>
        <v>43787</v>
      </c>
      <c r="Z138" s="18" cm="1">
        <f t="array" ref="Z138">INDEX(GMWQ!$A$2:$NF$60,MATCH(1,(GMWQ!$NE$2:$NE$60=Z$3)*(GMWQ!$NF$2:$NF$60=Z$1),0),$B138-1966)</f>
        <v>40661</v>
      </c>
    </row>
    <row r="139" spans="1:26" x14ac:dyDescent="0.25">
      <c r="A139" s="18">
        <v>2006</v>
      </c>
      <c r="B139" s="18">
        <f t="shared" si="3"/>
        <v>2105</v>
      </c>
      <c r="C139" s="18" cm="1">
        <f t="array" ref="C139">INDEX(GMWQ!$A$2:$NE$60,MATCH(1,(GMWQ!$NE$2:$NE$60=C$3)*(GMWQ!$ND$2:$ND$60=C$4),0),$B139-1966)</f>
        <v>46400</v>
      </c>
      <c r="D139" s="18" cm="1">
        <f t="array" ref="D139">INDEX(GMWQ!$A$2:$NE$60,MATCH(1,(GMWQ!$NE$2:$NE$60=D$3)*(GMWQ!$ND$2:$ND$60=D$4),0),$B139-1966)</f>
        <v>76934</v>
      </c>
      <c r="E139" s="18" cm="1">
        <f t="array" ref="E139">INDEX(GMWQ!$A$2:$NE$60,MATCH(1,(GMWQ!$NE$2:$NE$60=E$3)*(GMWQ!$ND$2:$ND$60=E$4),0),$B139-1966)</f>
        <v>-2270</v>
      </c>
      <c r="F139" s="18" cm="1">
        <f t="array" ref="F139">INDEX(GMWQ!$A$2:$NE$60,MATCH(1,(GMWQ!$NE$2:$NE$60=F$3)*(GMWQ!$ND$2:$ND$60=F$4),0),$B139-1966)</f>
        <v>-4610</v>
      </c>
      <c r="G139" s="18" cm="1">
        <f t="array" ref="G139">INDEX(GMWQ!$A$2:$NE$60,MATCH(1,(GMWQ!$NE$2:$NE$60=G$3)*(GMWQ!$ND$2:$ND$60=G$4),0),$B139-1966)</f>
        <v>361213</v>
      </c>
      <c r="H139" s="18" cm="1">
        <f t="array" ref="H139">INDEX(GMWQ!$A$2:$NE$60,MATCH(1,(GMWQ!$NE$2:$NE$60=H$3)*(GMWQ!$ND$2:$ND$60=H$4),0),$B139-1966)</f>
        <v>87611</v>
      </c>
      <c r="I139" s="18" cm="1">
        <f t="array" ref="I139">INDEX(GMWQ!$A$2:$NE$60,MATCH(1,(GMWQ!$NE$2:$NE$60=I$3)*(GMWQ!$ND$2:$ND$60=I$4),0),$B139-1966)</f>
        <v>11415</v>
      </c>
      <c r="J139" s="18" cm="1">
        <f t="array" ref="J139">INDEX(GMWQ!$A$2:$NE$60,MATCH(1,(GMWQ!$NE$2:$NE$60=J$3)*(GMWQ!$ND$2:$ND$60=J$4),0),$B139-1966)</f>
        <v>24645</v>
      </c>
      <c r="K139" s="18" cm="1">
        <f t="array" ref="K139">INDEX(GMWQ!$A$2:$NE$60,MATCH(1,(GMWQ!$NE$2:$NE$60=K$3)*(GMWQ!$ND$2:$ND$60=K$4),0),$B139-1966)</f>
        <v>2437426</v>
      </c>
      <c r="L139" s="18" cm="1">
        <f t="array" ref="L139">INDEX(GMWQ!$A$2:$NE$60,MATCH(1,(GMWQ!$NE$2:$NE$60=L$3)*(GMWQ!$ND$2:$ND$60=L$4),0),$B139-1966)</f>
        <v>29048</v>
      </c>
      <c r="M139" s="18" cm="1">
        <f t="array" ref="M139">INDEX(GMWQ!$A$2:$NE$60,MATCH(1,(GMWQ!$NE$2:$NE$60=M$3)*(GMWQ!$ND$2:$ND$60=M$4),0),$B139-1966)</f>
        <v>32.1</v>
      </c>
      <c r="N139" s="18" cm="1">
        <f t="array" ref="N139">INDEX(GMWQ!$A$2:$NE$60,MATCH(1,(GMWQ!$NE$2:$NE$60=N$3)*(GMWQ!$ND$2:$ND$60=N$4),0),$B139-1966)</f>
        <v>20.33109</v>
      </c>
      <c r="O139" s="18" cm="1">
        <f t="array" ref="O139">INDEX(GMWQ!$A$2:$NE$60,MATCH(1,(GMWQ!$NE$2:$NE$60=O$3)*(GMWQ!$ND$2:$ND$60=O$4),0),$B139-1966)</f>
        <v>5.4350579999999997</v>
      </c>
      <c r="P139" s="18" cm="1">
        <f t="array" ref="P139">INDEX(GMWQ!$A$2:$NE$60,MATCH(1,(GMWQ!$NE$2:$NE$60=P$3)*(GMWQ!$ND$2:$ND$60=P$4),0),$B139-1966)</f>
        <v>377186</v>
      </c>
      <c r="Q139" s="18" cm="1">
        <f t="array" ref="Q139">INDEX(GMWQ!$A$2:$NE$60,MATCH(1,(GMWQ!$NE$2:$NE$60=Q$3)*(GMWQ!$ND$2:$ND$60=Q$4),0),$B139-1966)</f>
        <v>455.625</v>
      </c>
      <c r="R139" s="18" cm="1">
        <f t="array" ref="R139">INDEX(GMWQ!$A$2:$NE$60,MATCH(1,(GMWQ!$NE$2:$NE$60=R$3)*(GMWQ!$ND$2:$ND$60=R$4),0),$B139-1966)</f>
        <v>21189.15</v>
      </c>
      <c r="S139" s="18" cm="1">
        <f t="array" ref="S139">INDEX(GMWQ!$A$2:$NE$60,MATCH(1,(GMWQ!$NE$2:$NE$60=S$3)*(GMWQ!$ND$2:$ND$60=S$4),0),$B139-1966)</f>
        <v>81.739999999999995</v>
      </c>
      <c r="T139" s="18" cm="1">
        <f t="array" ref="T139">INDEX(GMWQ!$A$2:$NE$60,MATCH(1,(GMWQ!$NE$2:$NE$60=T$3)*(GMWQ!$ND$2:$ND$60=T$4),0),$B139-1966)</f>
        <v>59.05</v>
      </c>
      <c r="U139" s="18" cm="1">
        <f t="array" ref="U139">INDEX(GMWQ!$A$2:$NE$60,MATCH(1,(GMWQ!$NE$2:$NE$60=U$3)*(GMWQ!$ND$2:$ND$60=U$4),0),$B139-1966)</f>
        <v>54.066670000000002</v>
      </c>
      <c r="V139" s="18" cm="1">
        <f t="array" ref="V139">INDEX(GMWQ!$A$2:$NE$60,MATCH(1,(GMWQ!$NE$2:$NE$60=V$3)*(GMWQ!$ND$2:$ND$60=V$4),0),$B139-1966)</f>
        <v>55492.25</v>
      </c>
      <c r="W139" s="18" cm="1">
        <f t="array" ref="W139">INDEX(GMWQ!$A$2:$NF$60,MATCH(1,(GMWQ!$NE$2:$NE$60=W$3)*(GMWQ!$NF$2:$NF$60=W$1),0),$B139-1966)</f>
        <v>40974</v>
      </c>
      <c r="X139" s="18" cm="1">
        <f t="array" ref="X139">INDEX(GMWQ!$A$2:$NF$60,MATCH(1,(GMWQ!$NE$2:$NE$60=X$3)*(GMWQ!$NF$2:$NF$60=X$1),0),$B139-1966)</f>
        <v>42907</v>
      </c>
      <c r="Y139" s="18" cm="1">
        <f t="array" ref="Y139">INDEX(GMWQ!$A$2:$NF$60,MATCH(1,(GMWQ!$NE$2:$NE$60=Y$3)*(GMWQ!$NF$2:$NF$60=Y$1),0),$B139-1966)</f>
        <v>44604</v>
      </c>
      <c r="Z139" s="18" cm="1">
        <f t="array" ref="Z139">INDEX(GMWQ!$A$2:$NF$60,MATCH(1,(GMWQ!$NE$2:$NE$60=Z$3)*(GMWQ!$NF$2:$NF$60=Z$1),0),$B139-1966)</f>
        <v>42723</v>
      </c>
    </row>
    <row r="140" spans="1:26" x14ac:dyDescent="0.25">
      <c r="B140" s="18">
        <f t="shared" si="3"/>
        <v>2106</v>
      </c>
      <c r="C140" s="18" cm="1">
        <f t="array" ref="C140">INDEX(GMWQ!$A$2:$NE$60,MATCH(1,(GMWQ!$NE$2:$NE$60=C$3)*(GMWQ!$ND$2:$ND$60=C$4),0),$B140-1966)</f>
        <v>44590</v>
      </c>
      <c r="D140" s="18" cm="1">
        <f t="array" ref="D140">INDEX(GMWQ!$A$2:$NE$60,MATCH(1,(GMWQ!$NE$2:$NE$60=D$3)*(GMWQ!$ND$2:$ND$60=D$4),0),$B140-1966)</f>
        <v>83060</v>
      </c>
      <c r="E140" s="18" cm="1">
        <f t="array" ref="E140">INDEX(GMWQ!$A$2:$NE$60,MATCH(1,(GMWQ!$NE$2:$NE$60=E$3)*(GMWQ!$ND$2:$ND$60=E$4),0),$B140-1966)</f>
        <v>1811</v>
      </c>
      <c r="F140" s="18" cm="1">
        <f t="array" ref="F140">INDEX(GMWQ!$A$2:$NE$60,MATCH(1,(GMWQ!$NE$2:$NE$60=F$3)*(GMWQ!$ND$2:$ND$60=F$4),0),$B140-1966)</f>
        <v>-880</v>
      </c>
      <c r="G140" s="18" cm="1">
        <f t="array" ref="G140">INDEX(GMWQ!$A$2:$NE$60,MATCH(1,(GMWQ!$NE$2:$NE$60=G$3)*(GMWQ!$ND$2:$ND$60=G$4),0),$B140-1966)</f>
        <v>367042</v>
      </c>
      <c r="H140" s="18" cm="1">
        <f t="array" ref="H140">INDEX(GMWQ!$A$2:$NE$60,MATCH(1,(GMWQ!$NE$2:$NE$60=H$3)*(GMWQ!$ND$2:$ND$60=H$4),0),$B140-1966)</f>
        <v>87987</v>
      </c>
      <c r="I140" s="18" cm="1">
        <f t="array" ref="I140">INDEX(GMWQ!$A$2:$NE$60,MATCH(1,(GMWQ!$NE$2:$NE$60=I$3)*(GMWQ!$ND$2:$ND$60=I$4),0),$B140-1966)</f>
        <v>13253</v>
      </c>
      <c r="J140" s="18" cm="1">
        <f t="array" ref="J140">INDEX(GMWQ!$A$2:$NE$60,MATCH(1,(GMWQ!$NE$2:$NE$60=J$3)*(GMWQ!$ND$2:$ND$60=J$4),0),$B140-1966)</f>
        <v>23782</v>
      </c>
      <c r="K140" s="18" cm="1">
        <f t="array" ref="K140">INDEX(GMWQ!$A$2:$NE$60,MATCH(1,(GMWQ!$NE$2:$NE$60=K$3)*(GMWQ!$ND$2:$ND$60=K$4),0),$B140-1966)</f>
        <v>2454812</v>
      </c>
      <c r="L140" s="18" cm="1">
        <f t="array" ref="L140">INDEX(GMWQ!$A$2:$NE$60,MATCH(1,(GMWQ!$NE$2:$NE$60=L$3)*(GMWQ!$ND$2:$ND$60=L$4),0),$B140-1966)</f>
        <v>29106</v>
      </c>
      <c r="M140" s="18" cm="1">
        <f t="array" ref="M140">INDEX(GMWQ!$A$2:$NE$60,MATCH(1,(GMWQ!$NE$2:$NE$60=M$3)*(GMWQ!$ND$2:$ND$60=M$4),0),$B140-1966)</f>
        <v>32</v>
      </c>
      <c r="N140" s="18" cm="1">
        <f t="array" ref="N140">INDEX(GMWQ!$A$2:$NE$60,MATCH(1,(GMWQ!$NE$2:$NE$60=N$3)*(GMWQ!$ND$2:$ND$60=N$4),0),$B140-1966)</f>
        <v>19.269580000000001</v>
      </c>
      <c r="O140" s="18" cm="1">
        <f t="array" ref="O140">INDEX(GMWQ!$A$2:$NE$60,MATCH(1,(GMWQ!$NE$2:$NE$60=O$3)*(GMWQ!$ND$2:$ND$60=O$4),0),$B140-1966)</f>
        <v>5.6832029999999998</v>
      </c>
      <c r="P140" s="18" cm="1">
        <f t="array" ref="P140">INDEX(GMWQ!$A$2:$NE$60,MATCH(1,(GMWQ!$NE$2:$NE$60=P$3)*(GMWQ!$ND$2:$ND$60=P$4),0),$B140-1966)</f>
        <v>393494</v>
      </c>
      <c r="Q140" s="18" cm="1">
        <f t="array" ref="Q140">INDEX(GMWQ!$A$2:$NE$60,MATCH(1,(GMWQ!$NE$2:$NE$60=Q$3)*(GMWQ!$ND$2:$ND$60=Q$4),0),$B140-1966)</f>
        <v>463.57499999999999</v>
      </c>
      <c r="R140" s="18" cm="1">
        <f t="array" ref="R140">INDEX(GMWQ!$A$2:$NE$60,MATCH(1,(GMWQ!$NE$2:$NE$60=R$3)*(GMWQ!$ND$2:$ND$60=R$4),0),$B140-1966)</f>
        <v>21536.57</v>
      </c>
      <c r="S140" s="18" cm="1">
        <f t="array" ref="S140">INDEX(GMWQ!$A$2:$NE$60,MATCH(1,(GMWQ!$NE$2:$NE$60=S$3)*(GMWQ!$ND$2:$ND$60=S$4),0),$B140-1966)</f>
        <v>87.2</v>
      </c>
      <c r="T140" s="18" cm="1">
        <f t="array" ref="T140">INDEX(GMWQ!$A$2:$NE$60,MATCH(1,(GMWQ!$NE$2:$NE$60=T$3)*(GMWQ!$ND$2:$ND$60=T$4),0),$B140-1966)</f>
        <v>60.861989999999999</v>
      </c>
      <c r="U140" s="18" cm="1">
        <f t="array" ref="U140">INDEX(GMWQ!$A$2:$NE$60,MATCH(1,(GMWQ!$NE$2:$NE$60=U$3)*(GMWQ!$ND$2:$ND$60=U$4),0),$B140-1966)</f>
        <v>54.380409999999998</v>
      </c>
      <c r="V140" s="18" cm="1">
        <f t="array" ref="V140">INDEX(GMWQ!$A$2:$NE$60,MATCH(1,(GMWQ!$NE$2:$NE$60=V$3)*(GMWQ!$ND$2:$ND$60=V$4),0),$B140-1966)</f>
        <v>56632.75</v>
      </c>
      <c r="W140" s="18" cm="1">
        <f t="array" ref="W140">INDEX(GMWQ!$A$2:$NF$60,MATCH(1,(GMWQ!$NE$2:$NE$60=W$3)*(GMWQ!$NF$2:$NF$60=W$1),0),$B140-1966)</f>
        <v>41567</v>
      </c>
      <c r="X140" s="18" cm="1">
        <f t="array" ref="X140">INDEX(GMWQ!$A$2:$NF$60,MATCH(1,(GMWQ!$NE$2:$NE$60=X$3)*(GMWQ!$NF$2:$NF$60=X$1),0),$B140-1966)</f>
        <v>43450</v>
      </c>
      <c r="Y140" s="18" cm="1">
        <f t="array" ref="Y140">INDEX(GMWQ!$A$2:$NF$60,MATCH(1,(GMWQ!$NE$2:$NE$60=Y$3)*(GMWQ!$NF$2:$NF$60=Y$1),0),$B140-1966)</f>
        <v>44663</v>
      </c>
      <c r="Z140" s="18" cm="1">
        <f t="array" ref="Z140">INDEX(GMWQ!$A$2:$NF$60,MATCH(1,(GMWQ!$NE$2:$NE$60=Z$3)*(GMWQ!$NF$2:$NF$60=Z$1),0),$B140-1966)</f>
        <v>41073</v>
      </c>
    </row>
    <row r="141" spans="1:26" x14ac:dyDescent="0.25">
      <c r="B141" s="18">
        <f t="shared" si="3"/>
        <v>2107</v>
      </c>
      <c r="C141" s="18" cm="1">
        <f t="array" ref="C141">INDEX(GMWQ!$A$2:$NE$60,MATCH(1,(GMWQ!$NE$2:$NE$60=C$3)*(GMWQ!$ND$2:$ND$60=C$4),0),$B141-1966)</f>
        <v>48023</v>
      </c>
      <c r="D141" s="18" cm="1">
        <f t="array" ref="D141">INDEX(GMWQ!$A$2:$NE$60,MATCH(1,(GMWQ!$NE$2:$NE$60=D$3)*(GMWQ!$ND$2:$ND$60=D$4),0),$B141-1966)</f>
        <v>82467</v>
      </c>
      <c r="E141" s="18" cm="1">
        <f t="array" ref="E141">INDEX(GMWQ!$A$2:$NE$60,MATCH(1,(GMWQ!$NE$2:$NE$60=E$3)*(GMWQ!$ND$2:$ND$60=E$4),0),$B141-1966)</f>
        <v>200</v>
      </c>
      <c r="F141" s="18" cm="1">
        <f t="array" ref="F141">INDEX(GMWQ!$A$2:$NE$60,MATCH(1,(GMWQ!$NE$2:$NE$60=F$3)*(GMWQ!$ND$2:$ND$60=F$4),0),$B141-1966)</f>
        <v>-3199</v>
      </c>
      <c r="G141" s="18" cm="1">
        <f t="array" ref="G141">INDEX(GMWQ!$A$2:$NE$60,MATCH(1,(GMWQ!$NE$2:$NE$60=G$3)*(GMWQ!$ND$2:$ND$60=G$4),0),$B141-1966)</f>
        <v>370883</v>
      </c>
      <c r="H141" s="18" cm="1">
        <f t="array" ref="H141">INDEX(GMWQ!$A$2:$NE$60,MATCH(1,(GMWQ!$NE$2:$NE$60=H$3)*(GMWQ!$ND$2:$ND$60=H$4),0),$B141-1966)</f>
        <v>91024</v>
      </c>
      <c r="I141" s="18" cm="1">
        <f t="array" ref="I141">INDEX(GMWQ!$A$2:$NE$60,MATCH(1,(GMWQ!$NE$2:$NE$60=I$3)*(GMWQ!$ND$2:$ND$60=I$4),0),$B141-1966)</f>
        <v>12378</v>
      </c>
      <c r="J141" s="18" cm="1">
        <f t="array" ref="J141">INDEX(GMWQ!$A$2:$NE$60,MATCH(1,(GMWQ!$NE$2:$NE$60=J$3)*(GMWQ!$ND$2:$ND$60=J$4),0),$B141-1966)</f>
        <v>23544</v>
      </c>
      <c r="K141" s="18" cm="1">
        <f t="array" ref="K141">INDEX(GMWQ!$A$2:$NE$60,MATCH(1,(GMWQ!$NE$2:$NE$60=K$3)*(GMWQ!$ND$2:$ND$60=K$4),0),$B141-1966)</f>
        <v>2472199</v>
      </c>
      <c r="L141" s="18" cm="1">
        <f t="array" ref="L141">INDEX(GMWQ!$A$2:$NE$60,MATCH(1,(GMWQ!$NE$2:$NE$60=L$3)*(GMWQ!$ND$2:$ND$60=L$4),0),$B141-1966)</f>
        <v>29183</v>
      </c>
      <c r="M141" s="18" cm="1">
        <f t="array" ref="M141">INDEX(GMWQ!$A$2:$NE$60,MATCH(1,(GMWQ!$NE$2:$NE$60=M$3)*(GMWQ!$ND$2:$ND$60=M$4),0),$B141-1966)</f>
        <v>32</v>
      </c>
      <c r="N141" s="18" cm="1">
        <f t="array" ref="N141">INDEX(GMWQ!$A$2:$NE$60,MATCH(1,(GMWQ!$NE$2:$NE$60=N$3)*(GMWQ!$ND$2:$ND$60=N$4),0),$B141-1966)</f>
        <v>21.084489999999999</v>
      </c>
      <c r="O141" s="18" cm="1">
        <f t="array" ref="O141">INDEX(GMWQ!$A$2:$NE$60,MATCH(1,(GMWQ!$NE$2:$NE$60=O$3)*(GMWQ!$ND$2:$ND$60=O$4),0),$B141-1966)</f>
        <v>5.8217489999999996</v>
      </c>
      <c r="P141" s="18" cm="1">
        <f t="array" ref="P141">INDEX(GMWQ!$A$2:$NE$60,MATCH(1,(GMWQ!$NE$2:$NE$60=P$3)*(GMWQ!$ND$2:$ND$60=P$4),0),$B141-1966)</f>
        <v>412601</v>
      </c>
      <c r="Q141" s="18" cm="1">
        <f t="array" ref="Q141">INDEX(GMWQ!$A$2:$NE$60,MATCH(1,(GMWQ!$NE$2:$NE$60=Q$3)*(GMWQ!$ND$2:$ND$60=Q$4),0),$B141-1966)</f>
        <v>471.52499999999998</v>
      </c>
      <c r="R141" s="18" cm="1">
        <f t="array" ref="R141">INDEX(GMWQ!$A$2:$NE$60,MATCH(1,(GMWQ!$NE$2:$NE$60=R$3)*(GMWQ!$ND$2:$ND$60=R$4),0),$B141-1966)</f>
        <v>21575.5</v>
      </c>
      <c r="S141" s="18" cm="1">
        <f t="array" ref="S141">INDEX(GMWQ!$A$2:$NE$60,MATCH(1,(GMWQ!$NE$2:$NE$60=S$3)*(GMWQ!$ND$2:$ND$60=S$4),0),$B141-1966)</f>
        <v>86.58</v>
      </c>
      <c r="T141" s="18" cm="1">
        <f t="array" ref="T141">INDEX(GMWQ!$A$2:$NE$60,MATCH(1,(GMWQ!$NE$2:$NE$60=T$3)*(GMWQ!$ND$2:$ND$60=T$4),0),$B141-1966)</f>
        <v>61.353999999999999</v>
      </c>
      <c r="U141" s="18" cm="1">
        <f t="array" ref="U141">INDEX(GMWQ!$A$2:$NE$60,MATCH(1,(GMWQ!$NE$2:$NE$60=U$3)*(GMWQ!$ND$2:$ND$60=U$4),0),$B141-1966)</f>
        <v>54.630870000000002</v>
      </c>
      <c r="V141" s="18" cm="1">
        <f t="array" ref="V141">INDEX(GMWQ!$A$2:$NE$60,MATCH(1,(GMWQ!$NE$2:$NE$60=V$3)*(GMWQ!$ND$2:$ND$60=V$4),0),$B141-1966)</f>
        <v>57451.75</v>
      </c>
      <c r="W141" s="18" cm="1">
        <f t="array" ref="W141">INDEX(GMWQ!$A$2:$NF$60,MATCH(1,(GMWQ!$NE$2:$NE$60=W$3)*(GMWQ!$NF$2:$NF$60=W$1),0),$B141-1966)</f>
        <v>43576</v>
      </c>
      <c r="X141" s="18" cm="1">
        <f t="array" ref="X141">INDEX(GMWQ!$A$2:$NF$60,MATCH(1,(GMWQ!$NE$2:$NE$60=X$3)*(GMWQ!$NF$2:$NF$60=X$1),0),$B141-1966)</f>
        <v>45620</v>
      </c>
      <c r="Y141" s="18" cm="1">
        <f t="array" ref="Y141">INDEX(GMWQ!$A$2:$NF$60,MATCH(1,(GMWQ!$NE$2:$NE$60=Y$3)*(GMWQ!$NF$2:$NF$60=Y$1),0),$B141-1966)</f>
        <v>47231</v>
      </c>
      <c r="Z141" s="18" cm="1">
        <f t="array" ref="Z141">INDEX(GMWQ!$A$2:$NF$60,MATCH(1,(GMWQ!$NE$2:$NE$60=Z$3)*(GMWQ!$NF$2:$NF$60=Z$1),0),$B141-1966)</f>
        <v>44219</v>
      </c>
    </row>
    <row r="142" spans="1:26" x14ac:dyDescent="0.25">
      <c r="B142" s="18">
        <f t="shared" si="3"/>
        <v>2108</v>
      </c>
      <c r="C142" s="18" cm="1">
        <f t="array" ref="C142">INDEX(GMWQ!$A$2:$NE$60,MATCH(1,(GMWQ!$NE$2:$NE$60=C$3)*(GMWQ!$ND$2:$ND$60=C$4),0),$B142-1966)</f>
        <v>48119</v>
      </c>
      <c r="D142" s="18" cm="1">
        <f t="array" ref="D142">INDEX(GMWQ!$A$2:$NE$60,MATCH(1,(GMWQ!$NE$2:$NE$60=D$3)*(GMWQ!$ND$2:$ND$60=D$4),0),$B142-1966)</f>
        <v>78146</v>
      </c>
      <c r="E142" s="18" cm="1">
        <f t="array" ref="E142">INDEX(GMWQ!$A$2:$NE$60,MATCH(1,(GMWQ!$NE$2:$NE$60=E$3)*(GMWQ!$ND$2:$ND$60=E$4),0),$B142-1966)</f>
        <v>-1958</v>
      </c>
      <c r="F142" s="18" cm="1">
        <f t="array" ref="F142">INDEX(GMWQ!$A$2:$NE$60,MATCH(1,(GMWQ!$NE$2:$NE$60=F$3)*(GMWQ!$ND$2:$ND$60=F$4),0),$B142-1966)</f>
        <v>-4684</v>
      </c>
      <c r="G142" s="18" cm="1">
        <f t="array" ref="G142">INDEX(GMWQ!$A$2:$NE$60,MATCH(1,(GMWQ!$NE$2:$NE$60=G$3)*(GMWQ!$ND$2:$ND$60=G$4),0),$B142-1966)</f>
        <v>372900</v>
      </c>
      <c r="H142" s="18" cm="1">
        <f t="array" ref="H142">INDEX(GMWQ!$A$2:$NE$60,MATCH(1,(GMWQ!$NE$2:$NE$60=H$3)*(GMWQ!$ND$2:$ND$60=H$4),0),$B142-1966)</f>
        <v>90688</v>
      </c>
      <c r="I142" s="18" cm="1">
        <f t="array" ref="I142">INDEX(GMWQ!$A$2:$NE$60,MATCH(1,(GMWQ!$NE$2:$NE$60=I$3)*(GMWQ!$ND$2:$ND$60=I$4),0),$B142-1966)</f>
        <v>11932</v>
      </c>
      <c r="J142" s="18" cm="1">
        <f t="array" ref="J142">INDEX(GMWQ!$A$2:$NE$60,MATCH(1,(GMWQ!$NE$2:$NE$60=J$3)*(GMWQ!$ND$2:$ND$60=J$4),0),$B142-1966)</f>
        <v>23450</v>
      </c>
      <c r="K142" s="18" cm="1">
        <f t="array" ref="K142">INDEX(GMWQ!$A$2:$NE$60,MATCH(1,(GMWQ!$NE$2:$NE$60=K$3)*(GMWQ!$ND$2:$ND$60=K$4),0),$B142-1966)</f>
        <v>2489586</v>
      </c>
      <c r="L142" s="18" cm="1">
        <f t="array" ref="L142">INDEX(GMWQ!$A$2:$NE$60,MATCH(1,(GMWQ!$NE$2:$NE$60=L$3)*(GMWQ!$ND$2:$ND$60=L$4),0),$B142-1966)</f>
        <v>29214</v>
      </c>
      <c r="M142" s="18" cm="1">
        <f t="array" ref="M142">INDEX(GMWQ!$A$2:$NE$60,MATCH(1,(GMWQ!$NE$2:$NE$60=M$3)*(GMWQ!$ND$2:$ND$60=M$4),0),$B142-1966)</f>
        <v>32.1</v>
      </c>
      <c r="N142" s="18" cm="1">
        <f t="array" ref="N142">INDEX(GMWQ!$A$2:$NE$60,MATCH(1,(GMWQ!$NE$2:$NE$60=N$3)*(GMWQ!$ND$2:$ND$60=N$4),0),$B142-1966)</f>
        <v>23.836970000000001</v>
      </c>
      <c r="O142" s="18" cm="1">
        <f t="array" ref="O142">INDEX(GMWQ!$A$2:$NE$60,MATCH(1,(GMWQ!$NE$2:$NE$60=O$3)*(GMWQ!$ND$2:$ND$60=O$4),0),$B142-1966)</f>
        <v>5.9661460000000002</v>
      </c>
      <c r="P142" s="18" cm="1">
        <f t="array" ref="P142">INDEX(GMWQ!$A$2:$NE$60,MATCH(1,(GMWQ!$NE$2:$NE$60=P$3)*(GMWQ!$ND$2:$ND$60=P$4),0),$B142-1966)</f>
        <v>428644</v>
      </c>
      <c r="Q142" s="18" cm="1">
        <f t="array" ref="Q142">INDEX(GMWQ!$A$2:$NE$60,MATCH(1,(GMWQ!$NE$2:$NE$60=Q$3)*(GMWQ!$ND$2:$ND$60=Q$4),0),$B142-1966)</f>
        <v>476.52499999999998</v>
      </c>
      <c r="R142" s="18" cm="1">
        <f t="array" ref="R142">INDEX(GMWQ!$A$2:$NE$60,MATCH(1,(GMWQ!$NE$2:$NE$60=R$3)*(GMWQ!$ND$2:$ND$60=R$4),0),$B142-1966)</f>
        <v>21969.8</v>
      </c>
      <c r="S142" s="18" cm="1">
        <f t="array" ref="S142">INDEX(GMWQ!$A$2:$NE$60,MATCH(1,(GMWQ!$NE$2:$NE$60=S$3)*(GMWQ!$ND$2:$ND$60=S$4),0),$B142-1966)</f>
        <v>89.58</v>
      </c>
      <c r="T142" s="18" cm="1">
        <f t="array" ref="T142">INDEX(GMWQ!$A$2:$NE$60,MATCH(1,(GMWQ!$NE$2:$NE$60=T$3)*(GMWQ!$ND$2:$ND$60=T$4),0),$B142-1966)</f>
        <v>62.779000000000003</v>
      </c>
      <c r="U142" s="18" cm="1">
        <f t="array" ref="U142">INDEX(GMWQ!$A$2:$NE$60,MATCH(1,(GMWQ!$NE$2:$NE$60=U$3)*(GMWQ!$ND$2:$ND$60=U$4),0),$B142-1966)</f>
        <v>56.457270000000001</v>
      </c>
      <c r="V142" s="18" cm="1">
        <f t="array" ref="V142">INDEX(GMWQ!$A$2:$NE$60,MATCH(1,(GMWQ!$NE$2:$NE$60=V$3)*(GMWQ!$ND$2:$ND$60=V$4),0),$B142-1966)</f>
        <v>57770.25</v>
      </c>
      <c r="W142" s="18" cm="1">
        <f t="array" ref="W142">INDEX(GMWQ!$A$2:$NF$60,MATCH(1,(GMWQ!$NE$2:$NE$60=W$3)*(GMWQ!$NF$2:$NF$60=W$1),0),$B142-1966)</f>
        <v>43679</v>
      </c>
      <c r="X142" s="18" cm="1">
        <f t="array" ref="X142">INDEX(GMWQ!$A$2:$NF$60,MATCH(1,(GMWQ!$NE$2:$NE$60=X$3)*(GMWQ!$NF$2:$NF$60=X$1),0),$B142-1966)</f>
        <v>45643</v>
      </c>
      <c r="Y142" s="18" cm="1">
        <f t="array" ref="Y142">INDEX(GMWQ!$A$2:$NF$60,MATCH(1,(GMWQ!$NE$2:$NE$60=Y$3)*(GMWQ!$NF$2:$NF$60=Y$1),0),$B142-1966)</f>
        <v>47155</v>
      </c>
      <c r="Z142" s="18" cm="1">
        <f t="array" ref="Z142">INDEX(GMWQ!$A$2:$NF$60,MATCH(1,(GMWQ!$NE$2:$NE$60=Z$3)*(GMWQ!$NF$2:$NF$60=Z$1),0),$B142-1966)</f>
        <v>44291</v>
      </c>
    </row>
    <row r="143" spans="1:26" x14ac:dyDescent="0.25">
      <c r="A143" s="18">
        <v>2007</v>
      </c>
      <c r="B143" s="18">
        <f t="shared" si="3"/>
        <v>2109</v>
      </c>
      <c r="C143" s="18" cm="1">
        <f t="array" ref="C143">INDEX(GMWQ!$A$2:$NE$60,MATCH(1,(GMWQ!$NE$2:$NE$60=C$3)*(GMWQ!$ND$2:$ND$60=C$4),0),$B143-1966)</f>
        <v>50429</v>
      </c>
      <c r="D143" s="18" cm="1">
        <f t="array" ref="D143">INDEX(GMWQ!$A$2:$NE$60,MATCH(1,(GMWQ!$NE$2:$NE$60=D$3)*(GMWQ!$ND$2:$ND$60=D$4),0),$B143-1966)</f>
        <v>76454</v>
      </c>
      <c r="E143" s="18" cm="1">
        <f t="array" ref="E143">INDEX(GMWQ!$A$2:$NE$60,MATCH(1,(GMWQ!$NE$2:$NE$60=E$3)*(GMWQ!$ND$2:$ND$60=E$4),0),$B143-1966)</f>
        <v>-8760.0010000000002</v>
      </c>
      <c r="F143" s="18" cm="1">
        <f t="array" ref="F143">INDEX(GMWQ!$A$2:$NE$60,MATCH(1,(GMWQ!$NE$2:$NE$60=F$3)*(GMWQ!$ND$2:$ND$60=F$4),0),$B143-1966)</f>
        <v>-16674</v>
      </c>
      <c r="G143" s="18" cm="1">
        <f t="array" ref="G143">INDEX(GMWQ!$A$2:$NE$60,MATCH(1,(GMWQ!$NE$2:$NE$60=G$3)*(GMWQ!$ND$2:$ND$60=G$4),0),$B143-1966)</f>
        <v>376958</v>
      </c>
      <c r="H143" s="18" cm="1">
        <f t="array" ref="H143">INDEX(GMWQ!$A$2:$NE$60,MATCH(1,(GMWQ!$NE$2:$NE$60=H$3)*(GMWQ!$ND$2:$ND$60=H$4),0),$B143-1966)</f>
        <v>91825</v>
      </c>
      <c r="I143" s="18" cm="1">
        <f t="array" ref="I143">INDEX(GMWQ!$A$2:$NE$60,MATCH(1,(GMWQ!$NE$2:$NE$60=I$3)*(GMWQ!$ND$2:$ND$60=I$4),0),$B143-1966)</f>
        <v>11085</v>
      </c>
      <c r="J143" s="18" cm="1">
        <f t="array" ref="J143">INDEX(GMWQ!$A$2:$NE$60,MATCH(1,(GMWQ!$NE$2:$NE$60=J$3)*(GMWQ!$ND$2:$ND$60=J$4),0),$B143-1966)</f>
        <v>23309</v>
      </c>
      <c r="K143" s="18" cm="1">
        <f t="array" ref="K143">INDEX(GMWQ!$A$2:$NE$60,MATCH(1,(GMWQ!$NE$2:$NE$60=K$3)*(GMWQ!$ND$2:$ND$60=K$4),0),$B143-1966)</f>
        <v>2510776</v>
      </c>
      <c r="L143" s="18" cm="1">
        <f t="array" ref="L143">INDEX(GMWQ!$A$2:$NE$60,MATCH(1,(GMWQ!$NE$2:$NE$60=L$3)*(GMWQ!$ND$2:$ND$60=L$4),0),$B143-1966)</f>
        <v>29194</v>
      </c>
      <c r="M143" s="18" cm="1">
        <f t="array" ref="M143">INDEX(GMWQ!$A$2:$NE$60,MATCH(1,(GMWQ!$NE$2:$NE$60=M$3)*(GMWQ!$ND$2:$ND$60=M$4),0),$B143-1966)</f>
        <v>32.1</v>
      </c>
      <c r="N143" s="18" cm="1">
        <f t="array" ref="N143">INDEX(GMWQ!$A$2:$NE$60,MATCH(1,(GMWQ!$NE$2:$NE$60=N$3)*(GMWQ!$ND$2:$ND$60=N$4),0),$B143-1966)</f>
        <v>24.465340000000001</v>
      </c>
      <c r="O143" s="18" cm="1">
        <f t="array" ref="O143">INDEX(GMWQ!$A$2:$NE$60,MATCH(1,(GMWQ!$NE$2:$NE$60=O$3)*(GMWQ!$ND$2:$ND$60=O$4),0),$B143-1966)</f>
        <v>6.2084020000000004</v>
      </c>
      <c r="P143" s="18" cm="1">
        <f t="array" ref="P143">INDEX(GMWQ!$A$2:$NE$60,MATCH(1,(GMWQ!$NE$2:$NE$60=P$3)*(GMWQ!$ND$2:$ND$60=P$4),0),$B143-1966)</f>
        <v>444565</v>
      </c>
      <c r="Q143" s="18" cm="1">
        <f t="array" ref="Q143">INDEX(GMWQ!$A$2:$NE$60,MATCH(1,(GMWQ!$NE$2:$NE$60=Q$3)*(GMWQ!$ND$2:$ND$60=Q$4),0),$B143-1966)</f>
        <v>485.1</v>
      </c>
      <c r="R143" s="18" cm="1">
        <f t="array" ref="R143">INDEX(GMWQ!$A$2:$NE$60,MATCH(1,(GMWQ!$NE$2:$NE$60=R$3)*(GMWQ!$ND$2:$ND$60=R$4),0),$B143-1966)</f>
        <v>22051.03</v>
      </c>
      <c r="S143" s="18" cm="1">
        <f t="array" ref="S143">INDEX(GMWQ!$A$2:$NE$60,MATCH(1,(GMWQ!$NE$2:$NE$60=S$3)*(GMWQ!$ND$2:$ND$60=S$4),0),$B143-1966)</f>
        <v>91.06</v>
      </c>
      <c r="T143" s="18" cm="1">
        <f t="array" ref="T143">INDEX(GMWQ!$A$2:$NE$60,MATCH(1,(GMWQ!$NE$2:$NE$60=T$3)*(GMWQ!$ND$2:$ND$60=T$4),0),$B143-1966)</f>
        <v>64.516999999999996</v>
      </c>
      <c r="U143" s="18" cm="1">
        <f t="array" ref="U143">INDEX(GMWQ!$A$2:$NE$60,MATCH(1,(GMWQ!$NE$2:$NE$60=U$3)*(GMWQ!$ND$2:$ND$60=U$4),0),$B143-1966)</f>
        <v>56.456600000000002</v>
      </c>
      <c r="V143" s="18" cm="1">
        <f t="array" ref="V143">INDEX(GMWQ!$A$2:$NE$60,MATCH(1,(GMWQ!$NE$2:$NE$60=V$3)*(GMWQ!$ND$2:$ND$60=V$4),0),$B143-1966)</f>
        <v>57606</v>
      </c>
      <c r="W143" s="18" cm="1">
        <f t="array" ref="W143">INDEX(GMWQ!$A$2:$NF$60,MATCH(1,(GMWQ!$NE$2:$NE$60=W$3)*(GMWQ!$NF$2:$NF$60=W$1),0),$B143-1966)</f>
        <v>44389</v>
      </c>
      <c r="X143" s="18" cm="1">
        <f t="array" ref="X143">INDEX(GMWQ!$A$2:$NF$60,MATCH(1,(GMWQ!$NE$2:$NE$60=X$3)*(GMWQ!$NF$2:$NF$60=X$1),0),$B143-1966)</f>
        <v>46061</v>
      </c>
      <c r="Y143" s="18" cm="1">
        <f t="array" ref="Y143">INDEX(GMWQ!$A$2:$NF$60,MATCH(1,(GMWQ!$NE$2:$NE$60=Y$3)*(GMWQ!$NF$2:$NF$60=Y$1),0),$B143-1966)</f>
        <v>48473</v>
      </c>
      <c r="Z143" s="18" cm="1">
        <f t="array" ref="Z143">INDEX(GMWQ!$A$2:$NF$60,MATCH(1,(GMWQ!$NE$2:$NE$60=Z$3)*(GMWQ!$NF$2:$NF$60=Z$1),0),$B143-1966)</f>
        <v>46420</v>
      </c>
    </row>
    <row r="144" spans="1:26" x14ac:dyDescent="0.25">
      <c r="B144" s="18">
        <f t="shared" si="3"/>
        <v>2110</v>
      </c>
      <c r="C144" s="18" cm="1">
        <f t="array" ref="C144">INDEX(GMWQ!$A$2:$NE$60,MATCH(1,(GMWQ!$NE$2:$NE$60=C$3)*(GMWQ!$ND$2:$ND$60=C$4),0),$B144-1966)</f>
        <v>51135</v>
      </c>
      <c r="D144" s="18" cm="1">
        <f t="array" ref="D144">INDEX(GMWQ!$A$2:$NE$60,MATCH(1,(GMWQ!$NE$2:$NE$60=D$3)*(GMWQ!$ND$2:$ND$60=D$4),0),$B144-1966)</f>
        <v>84643</v>
      </c>
      <c r="E144" s="18" cm="1">
        <f t="array" ref="E144">INDEX(GMWQ!$A$2:$NE$60,MATCH(1,(GMWQ!$NE$2:$NE$60=E$3)*(GMWQ!$ND$2:$ND$60=E$4),0),$B144-1966)</f>
        <v>-1952</v>
      </c>
      <c r="F144" s="18" cm="1">
        <f t="array" ref="F144">INDEX(GMWQ!$A$2:$NE$60,MATCH(1,(GMWQ!$NE$2:$NE$60=F$3)*(GMWQ!$ND$2:$ND$60=F$4),0),$B144-1966)</f>
        <v>-8446</v>
      </c>
      <c r="G144" s="18" cm="1">
        <f t="array" ref="G144">INDEX(GMWQ!$A$2:$NE$60,MATCH(1,(GMWQ!$NE$2:$NE$60=G$3)*(GMWQ!$ND$2:$ND$60=G$4),0),$B144-1966)</f>
        <v>386144</v>
      </c>
      <c r="H144" s="18" cm="1">
        <f t="array" ref="H144">INDEX(GMWQ!$A$2:$NE$60,MATCH(1,(GMWQ!$NE$2:$NE$60=H$3)*(GMWQ!$ND$2:$ND$60=H$4),0),$B144-1966)</f>
        <v>94089</v>
      </c>
      <c r="I144" s="18" cm="1">
        <f t="array" ref="I144">INDEX(GMWQ!$A$2:$NE$60,MATCH(1,(GMWQ!$NE$2:$NE$60=I$3)*(GMWQ!$ND$2:$ND$60=I$4),0),$B144-1966)</f>
        <v>13158</v>
      </c>
      <c r="J144" s="18" cm="1">
        <f t="array" ref="J144">INDEX(GMWQ!$A$2:$NE$60,MATCH(1,(GMWQ!$NE$2:$NE$60=J$3)*(GMWQ!$ND$2:$ND$60=J$4),0),$B144-1966)</f>
        <v>22586</v>
      </c>
      <c r="K144" s="18" cm="1">
        <f t="array" ref="K144">INDEX(GMWQ!$A$2:$NE$60,MATCH(1,(GMWQ!$NE$2:$NE$60=K$3)*(GMWQ!$ND$2:$ND$60=K$4),0),$B144-1966)</f>
        <v>2531967</v>
      </c>
      <c r="L144" s="18" cm="1">
        <f t="array" ref="L144">INDEX(GMWQ!$A$2:$NE$60,MATCH(1,(GMWQ!$NE$2:$NE$60=L$3)*(GMWQ!$ND$2:$ND$60=L$4),0),$B144-1966)</f>
        <v>29322</v>
      </c>
      <c r="M144" s="18" cm="1">
        <f t="array" ref="M144">INDEX(GMWQ!$A$2:$NE$60,MATCH(1,(GMWQ!$NE$2:$NE$60=M$3)*(GMWQ!$ND$2:$ND$60=M$4),0),$B144-1966)</f>
        <v>32.200000000000003</v>
      </c>
      <c r="N144" s="18" cm="1">
        <f t="array" ref="N144">INDEX(GMWQ!$A$2:$NE$60,MATCH(1,(GMWQ!$NE$2:$NE$60=N$3)*(GMWQ!$ND$2:$ND$60=N$4),0),$B144-1966)</f>
        <v>22.297879999999999</v>
      </c>
      <c r="O144" s="18" cm="1">
        <f t="array" ref="O144">INDEX(GMWQ!$A$2:$NE$60,MATCH(1,(GMWQ!$NE$2:$NE$60=O$3)*(GMWQ!$ND$2:$ND$60=O$4),0),$B144-1966)</f>
        <v>6.4464249999999996</v>
      </c>
      <c r="P144" s="18" cm="1">
        <f t="array" ref="P144">INDEX(GMWQ!$A$2:$NE$60,MATCH(1,(GMWQ!$NE$2:$NE$60=P$3)*(GMWQ!$ND$2:$ND$60=P$4),0),$B144-1966)</f>
        <v>459609</v>
      </c>
      <c r="Q144" s="18" cm="1">
        <f t="array" ref="Q144">INDEX(GMWQ!$A$2:$NE$60,MATCH(1,(GMWQ!$NE$2:$NE$60=Q$3)*(GMWQ!$ND$2:$ND$60=Q$4),0),$B144-1966)</f>
        <v>495.875</v>
      </c>
      <c r="R144" s="18" cm="1">
        <f t="array" ref="R144">INDEX(GMWQ!$A$2:$NE$60,MATCH(1,(GMWQ!$NE$2:$NE$60=R$3)*(GMWQ!$ND$2:$ND$60=R$4),0),$B144-1966)</f>
        <v>21805.38</v>
      </c>
      <c r="S144" s="18" cm="1">
        <f t="array" ref="S144">INDEX(GMWQ!$A$2:$NE$60,MATCH(1,(GMWQ!$NE$2:$NE$60=S$3)*(GMWQ!$ND$2:$ND$60=S$4),0),$B144-1966)</f>
        <v>92.76</v>
      </c>
      <c r="T144" s="18" cm="1">
        <f t="array" ref="T144">INDEX(GMWQ!$A$2:$NE$60,MATCH(1,(GMWQ!$NE$2:$NE$60=T$3)*(GMWQ!$ND$2:$ND$60=T$4),0),$B144-1966)</f>
        <v>65.518010000000004</v>
      </c>
      <c r="U144" s="18" cm="1">
        <f t="array" ref="U144">INDEX(GMWQ!$A$2:$NE$60,MATCH(1,(GMWQ!$NE$2:$NE$60=U$3)*(GMWQ!$ND$2:$ND$60=U$4),0),$B144-1966)</f>
        <v>55.924759999999999</v>
      </c>
      <c r="V144" s="18" cm="1">
        <f t="array" ref="V144">INDEX(GMWQ!$A$2:$NE$60,MATCH(1,(GMWQ!$NE$2:$NE$60=V$3)*(GMWQ!$ND$2:$ND$60=V$4),0),$B144-1966)</f>
        <v>57889.75</v>
      </c>
      <c r="W144" s="18" cm="1">
        <f t="array" ref="W144">INDEX(GMWQ!$A$2:$NF$60,MATCH(1,(GMWQ!$NE$2:$NE$60=W$3)*(GMWQ!$NF$2:$NF$60=W$1),0),$B144-1966)</f>
        <v>46502</v>
      </c>
      <c r="X144" s="18" cm="1">
        <f t="array" ref="X144">INDEX(GMWQ!$A$2:$NF$60,MATCH(1,(GMWQ!$NE$2:$NE$60=X$3)*(GMWQ!$NF$2:$NF$60=X$1),0),$B144-1966)</f>
        <v>48349</v>
      </c>
      <c r="Y144" s="18" cm="1">
        <f t="array" ref="Y144">INDEX(GMWQ!$A$2:$NF$60,MATCH(1,(GMWQ!$NE$2:$NE$60=Y$3)*(GMWQ!$NF$2:$NF$60=Y$1),0),$B144-1966)</f>
        <v>50393</v>
      </c>
      <c r="Z144" s="18" cm="1">
        <f t="array" ref="Z144">INDEX(GMWQ!$A$2:$NF$60,MATCH(1,(GMWQ!$NE$2:$NE$60=Z$3)*(GMWQ!$NF$2:$NF$60=Z$1),0),$B144-1966)</f>
        <v>47070</v>
      </c>
    </row>
    <row r="145" spans="1:26" x14ac:dyDescent="0.25">
      <c r="B145" s="18">
        <f t="shared" si="3"/>
        <v>2111</v>
      </c>
      <c r="C145" s="18" cm="1">
        <f t="array" ref="C145">INDEX(GMWQ!$A$2:$NE$60,MATCH(1,(GMWQ!$NE$2:$NE$60=C$3)*(GMWQ!$ND$2:$ND$60=C$4),0),$B145-1966)</f>
        <v>48885</v>
      </c>
      <c r="D145" s="18" cm="1">
        <f t="array" ref="D145">INDEX(GMWQ!$A$2:$NE$60,MATCH(1,(GMWQ!$NE$2:$NE$60=D$3)*(GMWQ!$ND$2:$ND$60=D$4),0),$B145-1966)</f>
        <v>82980</v>
      </c>
      <c r="E145" s="18" cm="1">
        <f t="array" ref="E145">INDEX(GMWQ!$A$2:$NE$60,MATCH(1,(GMWQ!$NE$2:$NE$60=E$3)*(GMWQ!$ND$2:$ND$60=E$4),0),$B145-1966)</f>
        <v>-3485</v>
      </c>
      <c r="F145" s="18" cm="1">
        <f t="array" ref="F145">INDEX(GMWQ!$A$2:$NE$60,MATCH(1,(GMWQ!$NE$2:$NE$60=F$3)*(GMWQ!$ND$2:$ND$60=F$4),0),$B145-1966)</f>
        <v>-11577</v>
      </c>
      <c r="G145" s="18" cm="1">
        <f t="array" ref="G145">INDEX(GMWQ!$A$2:$NE$60,MATCH(1,(GMWQ!$NE$2:$NE$60=G$3)*(GMWQ!$ND$2:$ND$60=G$4),0),$B145-1966)</f>
        <v>389291</v>
      </c>
      <c r="H145" s="18" cm="1">
        <f t="array" ref="H145">INDEX(GMWQ!$A$2:$NE$60,MATCH(1,(GMWQ!$NE$2:$NE$60=H$3)*(GMWQ!$ND$2:$ND$60=H$4),0),$B145-1966)</f>
        <v>90344</v>
      </c>
      <c r="I145" s="18" cm="1">
        <f t="array" ref="I145">INDEX(GMWQ!$A$2:$NE$60,MATCH(1,(GMWQ!$NE$2:$NE$60=I$3)*(GMWQ!$ND$2:$ND$60=I$4),0),$B145-1966)</f>
        <v>11790</v>
      </c>
      <c r="J145" s="18" cm="1">
        <f t="array" ref="J145">INDEX(GMWQ!$A$2:$NE$60,MATCH(1,(GMWQ!$NE$2:$NE$60=J$3)*(GMWQ!$ND$2:$ND$60=J$4),0),$B145-1966)</f>
        <v>21795</v>
      </c>
      <c r="K145" s="18" cm="1">
        <f t="array" ref="K145">INDEX(GMWQ!$A$2:$NE$60,MATCH(1,(GMWQ!$NE$2:$NE$60=K$3)*(GMWQ!$ND$2:$ND$60=K$4),0),$B145-1966)</f>
        <v>2553157</v>
      </c>
      <c r="L145" s="18" cm="1">
        <f t="array" ref="L145">INDEX(GMWQ!$A$2:$NE$60,MATCH(1,(GMWQ!$NE$2:$NE$60=L$3)*(GMWQ!$ND$2:$ND$60=L$4),0),$B145-1966)</f>
        <v>29420</v>
      </c>
      <c r="M145" s="18" cm="1">
        <f t="array" ref="M145">INDEX(GMWQ!$A$2:$NE$60,MATCH(1,(GMWQ!$NE$2:$NE$60=M$3)*(GMWQ!$ND$2:$ND$60=M$4),0),$B145-1966)</f>
        <v>32.1</v>
      </c>
      <c r="N145" s="18" cm="1">
        <f t="array" ref="N145">INDEX(GMWQ!$A$2:$NE$60,MATCH(1,(GMWQ!$NE$2:$NE$60=N$3)*(GMWQ!$ND$2:$ND$60=N$4),0),$B145-1966)</f>
        <v>24.643599999999999</v>
      </c>
      <c r="O145" s="18" cm="1">
        <f t="array" ref="O145">INDEX(GMWQ!$A$2:$NE$60,MATCH(1,(GMWQ!$NE$2:$NE$60=O$3)*(GMWQ!$ND$2:$ND$60=O$4),0),$B145-1966)</f>
        <v>6.6847820000000002</v>
      </c>
      <c r="P145" s="18" cm="1">
        <f t="array" ref="P145">INDEX(GMWQ!$A$2:$NE$60,MATCH(1,(GMWQ!$NE$2:$NE$60=P$3)*(GMWQ!$ND$2:$ND$60=P$4),0),$B145-1966)</f>
        <v>477932</v>
      </c>
      <c r="Q145" s="18" cm="1">
        <f t="array" ref="Q145">INDEX(GMWQ!$A$2:$NE$60,MATCH(1,(GMWQ!$NE$2:$NE$60=Q$3)*(GMWQ!$ND$2:$ND$60=Q$4),0),$B145-1966)</f>
        <v>503.65</v>
      </c>
      <c r="R145" s="18" cm="1">
        <f t="array" ref="R145">INDEX(GMWQ!$A$2:$NE$60,MATCH(1,(GMWQ!$NE$2:$NE$60=R$3)*(GMWQ!$ND$2:$ND$60=R$4),0),$B145-1966)</f>
        <v>21538.03</v>
      </c>
      <c r="S145" s="18" cm="1">
        <f t="array" ref="S145">INDEX(GMWQ!$A$2:$NE$60,MATCH(1,(GMWQ!$NE$2:$NE$60=S$3)*(GMWQ!$ND$2:$ND$60=S$4),0),$B145-1966)</f>
        <v>92.67</v>
      </c>
      <c r="T145" s="18" cm="1">
        <f t="array" ref="T145">INDEX(GMWQ!$A$2:$NE$60,MATCH(1,(GMWQ!$NE$2:$NE$60=T$3)*(GMWQ!$ND$2:$ND$60=T$4),0),$B145-1966)</f>
        <v>66.856989999999996</v>
      </c>
      <c r="U145" s="18" cm="1">
        <f t="array" ref="U145">INDEX(GMWQ!$A$2:$NE$60,MATCH(1,(GMWQ!$NE$2:$NE$60=U$3)*(GMWQ!$ND$2:$ND$60=U$4),0),$B145-1966)</f>
        <v>56.075099999999999</v>
      </c>
      <c r="V145" s="18" cm="1">
        <f t="array" ref="V145">INDEX(GMWQ!$A$2:$NE$60,MATCH(1,(GMWQ!$NE$2:$NE$60=V$3)*(GMWQ!$ND$2:$ND$60=V$4),0),$B145-1966)</f>
        <v>58194.75</v>
      </c>
      <c r="W145" s="18" cm="1">
        <f t="array" ref="W145">INDEX(GMWQ!$A$2:$NF$60,MATCH(1,(GMWQ!$NE$2:$NE$60=W$3)*(GMWQ!$NF$2:$NF$60=W$1),0),$B145-1966)</f>
        <v>43478</v>
      </c>
      <c r="X145" s="18" cm="1">
        <f t="array" ref="X145">INDEX(GMWQ!$A$2:$NF$60,MATCH(1,(GMWQ!$NE$2:$NE$60=X$3)*(GMWQ!$NF$2:$NF$60=X$1),0),$B145-1966)</f>
        <v>45131</v>
      </c>
      <c r="Y145" s="18" cm="1">
        <f t="array" ref="Y145">INDEX(GMWQ!$A$2:$NF$60,MATCH(1,(GMWQ!$NE$2:$NE$60=Y$3)*(GMWQ!$NF$2:$NF$60=Y$1),0),$B145-1966)</f>
        <v>47741</v>
      </c>
      <c r="Z145" s="18" cm="1">
        <f t="array" ref="Z145">INDEX(GMWQ!$A$2:$NF$60,MATCH(1,(GMWQ!$NE$2:$NE$60=Z$3)*(GMWQ!$NF$2:$NF$60=Z$1),0),$B145-1966)</f>
        <v>44994</v>
      </c>
    </row>
    <row r="146" spans="1:26" x14ac:dyDescent="0.25">
      <c r="B146" s="18">
        <f t="shared" si="3"/>
        <v>2112</v>
      </c>
      <c r="C146" s="18" cm="1">
        <f t="array" ref="C146">INDEX(GMWQ!$A$2:$NE$60,MATCH(1,(GMWQ!$NE$2:$NE$60=C$3)*(GMWQ!$ND$2:$ND$60=C$4),0),$B146-1966)</f>
        <v>52991</v>
      </c>
      <c r="D146" s="18" cm="1">
        <f t="array" ref="D146">INDEX(GMWQ!$A$2:$NE$60,MATCH(1,(GMWQ!$NE$2:$NE$60=D$3)*(GMWQ!$ND$2:$ND$60=D$4),0),$B146-1966)</f>
        <v>85474</v>
      </c>
      <c r="E146" s="18" cm="1">
        <f t="array" ref="E146">INDEX(GMWQ!$A$2:$NE$60,MATCH(1,(GMWQ!$NE$2:$NE$60=E$3)*(GMWQ!$ND$2:$ND$60=E$4),0),$B146-1966)</f>
        <v>-2625</v>
      </c>
      <c r="F146" s="18" cm="1">
        <f t="array" ref="F146">INDEX(GMWQ!$A$2:$NE$60,MATCH(1,(GMWQ!$NE$2:$NE$60=F$3)*(GMWQ!$ND$2:$ND$60=F$4),0),$B146-1966)</f>
        <v>-5481</v>
      </c>
      <c r="G146" s="18" cm="1">
        <f t="array" ref="G146">INDEX(GMWQ!$A$2:$NE$60,MATCH(1,(GMWQ!$NE$2:$NE$60=G$3)*(GMWQ!$ND$2:$ND$60=G$4),0),$B146-1966)</f>
        <v>392244</v>
      </c>
      <c r="H146" s="18" cm="1">
        <f t="array" ref="H146">INDEX(GMWQ!$A$2:$NE$60,MATCH(1,(GMWQ!$NE$2:$NE$60=H$3)*(GMWQ!$ND$2:$ND$60=H$4),0),$B146-1966)</f>
        <v>96774</v>
      </c>
      <c r="I146" s="18" cm="1">
        <f t="array" ref="I146">INDEX(GMWQ!$A$2:$NE$60,MATCH(1,(GMWQ!$NE$2:$NE$60=I$3)*(GMWQ!$ND$2:$ND$60=I$4),0),$B146-1966)</f>
        <v>13900</v>
      </c>
      <c r="J146" s="18" cm="1">
        <f t="array" ref="J146">INDEX(GMWQ!$A$2:$NE$60,MATCH(1,(GMWQ!$NE$2:$NE$60=J$3)*(GMWQ!$ND$2:$ND$60=J$4),0),$B146-1966)</f>
        <v>22100</v>
      </c>
      <c r="K146" s="18" cm="1">
        <f t="array" ref="K146">INDEX(GMWQ!$A$2:$NE$60,MATCH(1,(GMWQ!$NE$2:$NE$60=K$3)*(GMWQ!$ND$2:$ND$60=K$4),0),$B146-1966)</f>
        <v>2574348</v>
      </c>
      <c r="L146" s="18" cm="1">
        <f t="array" ref="L146">INDEX(GMWQ!$A$2:$NE$60,MATCH(1,(GMWQ!$NE$2:$NE$60=L$3)*(GMWQ!$ND$2:$ND$60=L$4),0),$B146-1966)</f>
        <v>29576</v>
      </c>
      <c r="M146" s="18" cm="1">
        <f t="array" ref="M146">INDEX(GMWQ!$A$2:$NE$60,MATCH(1,(GMWQ!$NE$2:$NE$60=M$3)*(GMWQ!$ND$2:$ND$60=M$4),0),$B146-1966)</f>
        <v>31.9</v>
      </c>
      <c r="N146" s="18" cm="1">
        <f t="array" ref="N146">INDEX(GMWQ!$A$2:$NE$60,MATCH(1,(GMWQ!$NE$2:$NE$60=N$3)*(GMWQ!$ND$2:$ND$60=N$4),0),$B146-1966)</f>
        <v>24.6554</v>
      </c>
      <c r="O146" s="18" cm="1">
        <f t="array" ref="O146">INDEX(GMWQ!$A$2:$NE$60,MATCH(1,(GMWQ!$NE$2:$NE$60=O$3)*(GMWQ!$ND$2:$ND$60=O$4),0),$B146-1966)</f>
        <v>6.6735429999999996</v>
      </c>
      <c r="P146" s="18" cm="1">
        <f t="array" ref="P146">INDEX(GMWQ!$A$2:$NE$60,MATCH(1,(GMWQ!$NE$2:$NE$60=P$3)*(GMWQ!$ND$2:$ND$60=P$4),0),$B146-1966)</f>
        <v>495009</v>
      </c>
      <c r="Q146" s="18" cm="1">
        <f t="array" ref="Q146">INDEX(GMWQ!$A$2:$NE$60,MATCH(1,(GMWQ!$NE$2:$NE$60=Q$3)*(GMWQ!$ND$2:$ND$60=Q$4),0),$B146-1966)</f>
        <v>511.42500000000001</v>
      </c>
      <c r="R146" s="18" cm="1">
        <f t="array" ref="R146">INDEX(GMWQ!$A$2:$NE$60,MATCH(1,(GMWQ!$NE$2:$NE$60=R$3)*(GMWQ!$ND$2:$ND$60=R$4),0),$B146-1966)</f>
        <v>21516.6</v>
      </c>
      <c r="S146" s="18" cm="1">
        <f t="array" ref="S146">INDEX(GMWQ!$A$2:$NE$60,MATCH(1,(GMWQ!$NE$2:$NE$60=S$3)*(GMWQ!$ND$2:$ND$60=S$4),0),$B146-1966)</f>
        <v>95.67</v>
      </c>
      <c r="T146" s="18" cm="1">
        <f t="array" ref="T146">INDEX(GMWQ!$A$2:$NE$60,MATCH(1,(GMWQ!$NE$2:$NE$60=T$3)*(GMWQ!$ND$2:$ND$60=T$4),0),$B146-1966)</f>
        <v>67.42801</v>
      </c>
      <c r="U146" s="18" cm="1">
        <f t="array" ref="U146">INDEX(GMWQ!$A$2:$NE$60,MATCH(1,(GMWQ!$NE$2:$NE$60=U$3)*(GMWQ!$ND$2:$ND$60=U$4),0),$B146-1966)</f>
        <v>54.939900000000002</v>
      </c>
      <c r="V146" s="18" cm="1">
        <f t="array" ref="V146">INDEX(GMWQ!$A$2:$NE$60,MATCH(1,(GMWQ!$NE$2:$NE$60=V$3)*(GMWQ!$ND$2:$ND$60=V$4),0),$B146-1966)</f>
        <v>59252</v>
      </c>
      <c r="W146" s="18" cm="1">
        <f t="array" ref="W146">INDEX(GMWQ!$A$2:$NF$60,MATCH(1,(GMWQ!$NE$2:$NE$60=W$3)*(GMWQ!$NF$2:$NF$60=W$1),0),$B146-1966)</f>
        <v>47241</v>
      </c>
      <c r="X146" s="18" cm="1">
        <f t="array" ref="X146">INDEX(GMWQ!$A$2:$NF$60,MATCH(1,(GMWQ!$NE$2:$NE$60=X$3)*(GMWQ!$NF$2:$NF$60=X$1),0),$B146-1966)</f>
        <v>49041</v>
      </c>
      <c r="Y146" s="18" cm="1">
        <f t="array" ref="Y146">INDEX(GMWQ!$A$2:$NF$60,MATCH(1,(GMWQ!$NE$2:$NE$60=Y$3)*(GMWQ!$NF$2:$NF$60=Y$1),0),$B146-1966)</f>
        <v>51610</v>
      </c>
      <c r="Z146" s="18" cm="1">
        <f t="array" ref="Z146">INDEX(GMWQ!$A$2:$NF$60,MATCH(1,(GMWQ!$NE$2:$NE$60=Z$3)*(GMWQ!$NF$2:$NF$60=Z$1),0),$B146-1966)</f>
        <v>48770</v>
      </c>
    </row>
    <row r="147" spans="1:26" x14ac:dyDescent="0.25">
      <c r="A147" s="18">
        <v>2008</v>
      </c>
      <c r="B147" s="18">
        <f t="shared" si="3"/>
        <v>2113</v>
      </c>
      <c r="C147" s="18" cm="1">
        <f t="array" ref="C147">INDEX(GMWQ!$A$2:$NE$60,MATCH(1,(GMWQ!$NE$2:$NE$60=C$3)*(GMWQ!$ND$2:$ND$60=C$4),0),$B147-1966)</f>
        <v>49124</v>
      </c>
      <c r="D147" s="18" cm="1">
        <f t="array" ref="D147">INDEX(GMWQ!$A$2:$NE$60,MATCH(1,(GMWQ!$NE$2:$NE$60=D$3)*(GMWQ!$ND$2:$ND$60=D$4),0),$B147-1966)</f>
        <v>84691</v>
      </c>
      <c r="E147" s="18" cm="1">
        <f t="array" ref="E147">INDEX(GMWQ!$A$2:$NE$60,MATCH(1,(GMWQ!$NE$2:$NE$60=E$3)*(GMWQ!$ND$2:$ND$60=E$4),0),$B147-1966)</f>
        <v>8992</v>
      </c>
      <c r="F147" s="18" cm="1">
        <f t="array" ref="F147">INDEX(GMWQ!$A$2:$NE$60,MATCH(1,(GMWQ!$NE$2:$NE$60=F$3)*(GMWQ!$ND$2:$ND$60=F$4),0),$B147-1966)</f>
        <v>-448</v>
      </c>
      <c r="G147" s="18" cm="1">
        <f t="array" ref="G147">INDEX(GMWQ!$A$2:$NE$60,MATCH(1,(GMWQ!$NE$2:$NE$60=G$3)*(GMWQ!$ND$2:$ND$60=G$4),0),$B147-1966)</f>
        <v>397800</v>
      </c>
      <c r="H147" s="18" cm="1">
        <f t="array" ref="H147">INDEX(GMWQ!$A$2:$NE$60,MATCH(1,(GMWQ!$NE$2:$NE$60=H$3)*(GMWQ!$ND$2:$ND$60=H$4),0),$B147-1966)</f>
        <v>92244</v>
      </c>
      <c r="I147" s="18" cm="1">
        <f t="array" ref="I147">INDEX(GMWQ!$A$2:$NE$60,MATCH(1,(GMWQ!$NE$2:$NE$60=I$3)*(GMWQ!$ND$2:$ND$60=I$4),0),$B147-1966)</f>
        <v>14053</v>
      </c>
      <c r="J147" s="18" cm="1">
        <f t="array" ref="J147">INDEX(GMWQ!$A$2:$NE$60,MATCH(1,(GMWQ!$NE$2:$NE$60=J$3)*(GMWQ!$ND$2:$ND$60=J$4),0),$B147-1966)</f>
        <v>21172</v>
      </c>
      <c r="K147" s="18" cm="1">
        <f t="array" ref="K147">INDEX(GMWQ!$A$2:$NE$60,MATCH(1,(GMWQ!$NE$2:$NE$60=K$3)*(GMWQ!$ND$2:$ND$60=K$4),0),$B147-1966)</f>
        <v>2591462</v>
      </c>
      <c r="L147" s="18" cm="1">
        <f t="array" ref="L147">INDEX(GMWQ!$A$2:$NE$60,MATCH(1,(GMWQ!$NE$2:$NE$60=L$3)*(GMWQ!$ND$2:$ND$60=L$4),0),$B147-1966)</f>
        <v>29684</v>
      </c>
      <c r="M147" s="18" cm="1">
        <f t="array" ref="M147">INDEX(GMWQ!$A$2:$NE$60,MATCH(1,(GMWQ!$NE$2:$NE$60=M$3)*(GMWQ!$ND$2:$ND$60=M$4),0),$B147-1966)</f>
        <v>32.200000000000003</v>
      </c>
      <c r="N147" s="18" cm="1">
        <f t="array" ref="N147">INDEX(GMWQ!$A$2:$NE$60,MATCH(1,(GMWQ!$NE$2:$NE$60=N$3)*(GMWQ!$ND$2:$ND$60=N$4),0),$B147-1966)</f>
        <v>24.50901</v>
      </c>
      <c r="O147" s="18" cm="1">
        <f t="array" ref="O147">INDEX(GMWQ!$A$2:$NE$60,MATCH(1,(GMWQ!$NE$2:$NE$60=O$3)*(GMWQ!$ND$2:$ND$60=O$4),0),$B147-1966)</f>
        <v>6.684895</v>
      </c>
      <c r="P147" s="18" cm="1">
        <f t="array" ref="P147">INDEX(GMWQ!$A$2:$NE$60,MATCH(1,(GMWQ!$NE$2:$NE$60=P$3)*(GMWQ!$ND$2:$ND$60=P$4),0),$B147-1966)</f>
        <v>500663</v>
      </c>
      <c r="Q147" s="18" cm="1">
        <f t="array" ref="Q147">INDEX(GMWQ!$A$2:$NE$60,MATCH(1,(GMWQ!$NE$2:$NE$60=Q$3)*(GMWQ!$ND$2:$ND$60=Q$4),0),$B147-1966)</f>
        <v>513.45000000000005</v>
      </c>
      <c r="R147" s="18" cm="1">
        <f t="array" ref="R147">INDEX(GMWQ!$A$2:$NE$60,MATCH(1,(GMWQ!$NE$2:$NE$60=R$3)*(GMWQ!$ND$2:$ND$60=R$4),0),$B147-1966)</f>
        <v>21691</v>
      </c>
      <c r="S147" s="18" cm="1">
        <f t="array" ref="S147">INDEX(GMWQ!$A$2:$NE$60,MATCH(1,(GMWQ!$NE$2:$NE$60=S$3)*(GMWQ!$ND$2:$ND$60=S$4),0),$B147-1966)</f>
        <v>95.7</v>
      </c>
      <c r="T147" s="18" cm="1">
        <f t="array" ref="T147">INDEX(GMWQ!$A$2:$NE$60,MATCH(1,(GMWQ!$NE$2:$NE$60=T$3)*(GMWQ!$ND$2:$ND$60=T$4),0),$B147-1966)</f>
        <v>69.584999999999994</v>
      </c>
      <c r="U147" s="18" cm="1">
        <f t="array" ref="U147">INDEX(GMWQ!$A$2:$NE$60,MATCH(1,(GMWQ!$NE$2:$NE$60=U$3)*(GMWQ!$ND$2:$ND$60=U$4),0),$B147-1966)</f>
        <v>55.583359999999999</v>
      </c>
      <c r="V147" s="18" cm="1">
        <f t="array" ref="V147">INDEX(GMWQ!$A$2:$NE$60,MATCH(1,(GMWQ!$NE$2:$NE$60=V$3)*(GMWQ!$ND$2:$ND$60=V$4),0),$B147-1966)</f>
        <v>61412.75</v>
      </c>
      <c r="W147" s="18" cm="1">
        <f t="array" ref="W147">INDEX(GMWQ!$A$2:$NF$60,MATCH(1,(GMWQ!$NE$2:$NE$60=W$3)*(GMWQ!$NF$2:$NF$60=W$1),0),$B147-1966)</f>
        <v>42756</v>
      </c>
      <c r="X147" s="18" cm="1">
        <f t="array" ref="X147">INDEX(GMWQ!$A$2:$NF$60,MATCH(1,(GMWQ!$NE$2:$NE$60=X$3)*(GMWQ!$NF$2:$NF$60=X$1),0),$B147-1966)</f>
        <v>44888</v>
      </c>
      <c r="Y147" s="18" cm="1">
        <f t="array" ref="Y147">INDEX(GMWQ!$A$2:$NF$60,MATCH(1,(GMWQ!$NE$2:$NE$60=Y$3)*(GMWQ!$NF$2:$NF$60=Y$1),0),$B147-1966)</f>
        <v>47333</v>
      </c>
      <c r="Z147" s="18" cm="1">
        <f t="array" ref="Z147">INDEX(GMWQ!$A$2:$NF$60,MATCH(1,(GMWQ!$NE$2:$NE$60=Z$3)*(GMWQ!$NF$2:$NF$60=Z$1),0),$B147-1966)</f>
        <v>45209</v>
      </c>
    </row>
    <row r="148" spans="1:26" x14ac:dyDescent="0.25">
      <c r="B148" s="18">
        <f t="shared" si="3"/>
        <v>2114</v>
      </c>
      <c r="C148" s="18" cm="1">
        <f t="array" ref="C148">INDEX(GMWQ!$A$2:$NE$60,MATCH(1,(GMWQ!$NE$2:$NE$60=C$3)*(GMWQ!$ND$2:$ND$60=C$4),0),$B148-1966)</f>
        <v>50990</v>
      </c>
      <c r="D148" s="18" cm="1">
        <f t="array" ref="D148">INDEX(GMWQ!$A$2:$NE$60,MATCH(1,(GMWQ!$NE$2:$NE$60=D$3)*(GMWQ!$ND$2:$ND$60=D$4),0),$B148-1966)</f>
        <v>87843</v>
      </c>
      <c r="E148" s="18" cm="1">
        <f t="array" ref="E148">INDEX(GMWQ!$A$2:$NE$60,MATCH(1,(GMWQ!$NE$2:$NE$60=E$3)*(GMWQ!$ND$2:$ND$60=E$4),0),$B148-1966)</f>
        <v>5634</v>
      </c>
      <c r="F148" s="18" cm="1">
        <f t="array" ref="F148">INDEX(GMWQ!$A$2:$NE$60,MATCH(1,(GMWQ!$NE$2:$NE$60=F$3)*(GMWQ!$ND$2:$ND$60=F$4),0),$B148-1966)</f>
        <v>-5530</v>
      </c>
      <c r="G148" s="18" cm="1">
        <f t="array" ref="G148">INDEX(GMWQ!$A$2:$NE$60,MATCH(1,(GMWQ!$NE$2:$NE$60=G$3)*(GMWQ!$ND$2:$ND$60=G$4),0),$B148-1966)</f>
        <v>400685</v>
      </c>
      <c r="H148" s="18" cm="1">
        <f t="array" ref="H148">INDEX(GMWQ!$A$2:$NE$60,MATCH(1,(GMWQ!$NE$2:$NE$60=H$3)*(GMWQ!$ND$2:$ND$60=H$4),0),$B148-1966)</f>
        <v>93278</v>
      </c>
      <c r="I148" s="18" cm="1">
        <f t="array" ref="I148">INDEX(GMWQ!$A$2:$NE$60,MATCH(1,(GMWQ!$NE$2:$NE$60=I$3)*(GMWQ!$ND$2:$ND$60=I$4),0),$B148-1966)</f>
        <v>14461</v>
      </c>
      <c r="J148" s="18" cm="1">
        <f t="array" ref="J148">INDEX(GMWQ!$A$2:$NE$60,MATCH(1,(GMWQ!$NE$2:$NE$60=J$3)*(GMWQ!$ND$2:$ND$60=J$4),0),$B148-1966)</f>
        <v>20494</v>
      </c>
      <c r="K148" s="18" cm="1">
        <f t="array" ref="K148">INDEX(GMWQ!$A$2:$NE$60,MATCH(1,(GMWQ!$NE$2:$NE$60=K$3)*(GMWQ!$ND$2:$ND$60=K$4),0),$B148-1966)</f>
        <v>2608578</v>
      </c>
      <c r="L148" s="18" cm="1">
        <f t="array" ref="L148">INDEX(GMWQ!$A$2:$NE$60,MATCH(1,(GMWQ!$NE$2:$NE$60=L$3)*(GMWQ!$ND$2:$ND$60=L$4),0),$B148-1966)</f>
        <v>29722</v>
      </c>
      <c r="M148" s="18" cm="1">
        <f t="array" ref="M148">INDEX(GMWQ!$A$2:$NE$60,MATCH(1,(GMWQ!$NE$2:$NE$60=M$3)*(GMWQ!$ND$2:$ND$60=M$4),0),$B148-1966)</f>
        <v>31.8</v>
      </c>
      <c r="N148" s="18" cm="1">
        <f t="array" ref="N148">INDEX(GMWQ!$A$2:$NE$60,MATCH(1,(GMWQ!$NE$2:$NE$60=N$3)*(GMWQ!$ND$2:$ND$60=N$4),0),$B148-1966)</f>
        <v>23.62959</v>
      </c>
      <c r="O148" s="18" cm="1">
        <f t="array" ref="O148">INDEX(GMWQ!$A$2:$NE$60,MATCH(1,(GMWQ!$NE$2:$NE$60=O$3)*(GMWQ!$ND$2:$ND$60=O$4),0),$B148-1966)</f>
        <v>7.0225569999999999</v>
      </c>
      <c r="P148" s="18" cm="1">
        <f t="array" ref="P148">INDEX(GMWQ!$A$2:$NE$60,MATCH(1,(GMWQ!$NE$2:$NE$60=P$3)*(GMWQ!$ND$2:$ND$60=P$4),0),$B148-1966)</f>
        <v>514734</v>
      </c>
      <c r="Q148" s="18" cm="1">
        <f t="array" ref="Q148">INDEX(GMWQ!$A$2:$NE$60,MATCH(1,(GMWQ!$NE$2:$NE$60=Q$3)*(GMWQ!$ND$2:$ND$60=Q$4),0),$B148-1966)</f>
        <v>514.5</v>
      </c>
      <c r="R148" s="18" cm="1">
        <f t="array" ref="R148">INDEX(GMWQ!$A$2:$NE$60,MATCH(1,(GMWQ!$NE$2:$NE$60=R$3)*(GMWQ!$ND$2:$ND$60=R$4),0),$B148-1966)</f>
        <v>21342.78</v>
      </c>
      <c r="S148" s="18" cm="1">
        <f t="array" ref="S148">INDEX(GMWQ!$A$2:$NE$60,MATCH(1,(GMWQ!$NE$2:$NE$60=S$3)*(GMWQ!$ND$2:$ND$60=S$4),0),$B148-1966)</f>
        <v>95.92</v>
      </c>
      <c r="T148" s="18" cm="1">
        <f t="array" ref="T148">INDEX(GMWQ!$A$2:$NE$60,MATCH(1,(GMWQ!$NE$2:$NE$60=T$3)*(GMWQ!$ND$2:$ND$60=T$4),0),$B148-1966)</f>
        <v>68.852010000000007</v>
      </c>
      <c r="U148" s="18" cm="1">
        <f t="array" ref="U148">INDEX(GMWQ!$A$2:$NE$60,MATCH(1,(GMWQ!$NE$2:$NE$60=U$3)*(GMWQ!$ND$2:$ND$60=U$4),0),$B148-1966)</f>
        <v>55.078119999999998</v>
      </c>
      <c r="V148" s="18" cm="1">
        <f t="array" ref="V148">INDEX(GMWQ!$A$2:$NE$60,MATCH(1,(GMWQ!$NE$2:$NE$60=V$3)*(GMWQ!$ND$2:$ND$60=V$4),0),$B148-1966)</f>
        <v>61542.25</v>
      </c>
      <c r="W148" s="18" cm="1">
        <f t="array" ref="W148">INDEX(GMWQ!$A$2:$NF$60,MATCH(1,(GMWQ!$NE$2:$NE$60=W$3)*(GMWQ!$NF$2:$NF$60=W$1),0),$B148-1966)</f>
        <v>44493</v>
      </c>
      <c r="X148" s="18" cm="1">
        <f t="array" ref="X148">INDEX(GMWQ!$A$2:$NF$60,MATCH(1,(GMWQ!$NE$2:$NE$60=X$3)*(GMWQ!$NF$2:$NF$60=X$1),0),$B148-1966)</f>
        <v>46773</v>
      </c>
      <c r="Y148" s="18" cm="1">
        <f t="array" ref="Y148">INDEX(GMWQ!$A$2:$NF$60,MATCH(1,(GMWQ!$NE$2:$NE$60=Y$3)*(GMWQ!$NF$2:$NF$60=Y$1),0),$B148-1966)</f>
        <v>49002</v>
      </c>
      <c r="Z148" s="18" cm="1">
        <f t="array" ref="Z148">INDEX(GMWQ!$A$2:$NF$60,MATCH(1,(GMWQ!$NE$2:$NE$60=Z$3)*(GMWQ!$NF$2:$NF$60=Z$1),0),$B148-1966)</f>
        <v>46925</v>
      </c>
    </row>
    <row r="149" spans="1:26" x14ac:dyDescent="0.25">
      <c r="B149" s="18">
        <f t="shared" si="3"/>
        <v>2115</v>
      </c>
      <c r="C149" s="18" cm="1">
        <f t="array" ref="C149">INDEX(GMWQ!$A$2:$NE$60,MATCH(1,(GMWQ!$NE$2:$NE$60=C$3)*(GMWQ!$ND$2:$ND$60=C$4),0),$B149-1966)</f>
        <v>49052</v>
      </c>
      <c r="D149" s="18" cm="1">
        <f t="array" ref="D149">INDEX(GMWQ!$A$2:$NE$60,MATCH(1,(GMWQ!$NE$2:$NE$60=D$3)*(GMWQ!$ND$2:$ND$60=D$4),0),$B149-1966)</f>
        <v>90586</v>
      </c>
      <c r="E149" s="18" cm="1">
        <f t="array" ref="E149">INDEX(GMWQ!$A$2:$NE$60,MATCH(1,(GMWQ!$NE$2:$NE$60=E$3)*(GMWQ!$ND$2:$ND$60=E$4),0),$B149-1966)</f>
        <v>4023</v>
      </c>
      <c r="F149" s="18" cm="1">
        <f t="array" ref="F149">INDEX(GMWQ!$A$2:$NE$60,MATCH(1,(GMWQ!$NE$2:$NE$60=F$3)*(GMWQ!$ND$2:$ND$60=F$4),0),$B149-1966)</f>
        <v>2025</v>
      </c>
      <c r="G149" s="18" cm="1">
        <f t="array" ref="G149">INDEX(GMWQ!$A$2:$NE$60,MATCH(1,(GMWQ!$NE$2:$NE$60=G$3)*(GMWQ!$ND$2:$ND$60=G$4),0),$B149-1966)</f>
        <v>399994</v>
      </c>
      <c r="H149" s="18" cm="1">
        <f t="array" ref="H149">INDEX(GMWQ!$A$2:$NE$60,MATCH(1,(GMWQ!$NE$2:$NE$60=H$3)*(GMWQ!$ND$2:$ND$60=H$4),0),$B149-1966)</f>
        <v>88414</v>
      </c>
      <c r="I149" s="18" cm="1">
        <f t="array" ref="I149">INDEX(GMWQ!$A$2:$NE$60,MATCH(1,(GMWQ!$NE$2:$NE$60=I$3)*(GMWQ!$ND$2:$ND$60=I$4),0),$B149-1966)</f>
        <v>14475</v>
      </c>
      <c r="J149" s="18" cm="1">
        <f t="array" ref="J149">INDEX(GMWQ!$A$2:$NE$60,MATCH(1,(GMWQ!$NE$2:$NE$60=J$3)*(GMWQ!$ND$2:$ND$60=J$4),0),$B149-1966)</f>
        <v>17153</v>
      </c>
      <c r="K149" s="18" cm="1">
        <f t="array" ref="K149">INDEX(GMWQ!$A$2:$NE$60,MATCH(1,(GMWQ!$NE$2:$NE$60=K$3)*(GMWQ!$ND$2:$ND$60=K$4),0),$B149-1966)</f>
        <v>2625693</v>
      </c>
      <c r="L149" s="18" cm="1">
        <f t="array" ref="L149">INDEX(GMWQ!$A$2:$NE$60,MATCH(1,(GMWQ!$NE$2:$NE$60=L$3)*(GMWQ!$ND$2:$ND$60=L$4),0),$B149-1966)</f>
        <v>29580</v>
      </c>
      <c r="M149" s="18" cm="1">
        <f t="array" ref="M149">INDEX(GMWQ!$A$2:$NE$60,MATCH(1,(GMWQ!$NE$2:$NE$60=M$3)*(GMWQ!$ND$2:$ND$60=M$4),0),$B149-1966)</f>
        <v>32</v>
      </c>
      <c r="N149" s="18" cm="1">
        <f t="array" ref="N149">INDEX(GMWQ!$A$2:$NE$60,MATCH(1,(GMWQ!$NE$2:$NE$60=N$3)*(GMWQ!$ND$2:$ND$60=N$4),0),$B149-1966)</f>
        <v>22.33568</v>
      </c>
      <c r="O149" s="18" cm="1">
        <f t="array" ref="O149">INDEX(GMWQ!$A$2:$NE$60,MATCH(1,(GMWQ!$NE$2:$NE$60=O$3)*(GMWQ!$ND$2:$ND$60=O$4),0),$B149-1966)</f>
        <v>7.2127780000000001</v>
      </c>
      <c r="P149" s="18" cm="1">
        <f t="array" ref="P149">INDEX(GMWQ!$A$2:$NE$60,MATCH(1,(GMWQ!$NE$2:$NE$60=P$3)*(GMWQ!$ND$2:$ND$60=P$4),0),$B149-1966)</f>
        <v>515714</v>
      </c>
      <c r="Q149" s="18" cm="1">
        <f t="array" ref="Q149">INDEX(GMWQ!$A$2:$NE$60,MATCH(1,(GMWQ!$NE$2:$NE$60=Q$3)*(GMWQ!$ND$2:$ND$60=Q$4),0),$B149-1966)</f>
        <v>504.9</v>
      </c>
      <c r="R149" s="18" cm="1">
        <f t="array" ref="R149">INDEX(GMWQ!$A$2:$NE$60,MATCH(1,(GMWQ!$NE$2:$NE$60=R$3)*(GMWQ!$ND$2:$ND$60=R$4),0),$B149-1966)</f>
        <v>21000.22</v>
      </c>
      <c r="S149" s="18" cm="1">
        <f t="array" ref="S149">INDEX(GMWQ!$A$2:$NE$60,MATCH(1,(GMWQ!$NE$2:$NE$60=S$3)*(GMWQ!$ND$2:$ND$60=S$4),0),$B149-1966)</f>
        <v>96.39</v>
      </c>
      <c r="T149" s="18" cm="1">
        <f t="array" ref="T149">INDEX(GMWQ!$A$2:$NE$60,MATCH(1,(GMWQ!$NE$2:$NE$60=T$3)*(GMWQ!$ND$2:$ND$60=T$4),0),$B149-1966)</f>
        <v>68.712999999999994</v>
      </c>
      <c r="U149" s="18" cm="1">
        <f t="array" ref="U149">INDEX(GMWQ!$A$2:$NE$60,MATCH(1,(GMWQ!$NE$2:$NE$60=U$3)*(GMWQ!$ND$2:$ND$60=U$4),0),$B149-1966)</f>
        <v>53.549320000000002</v>
      </c>
      <c r="V149" s="18" cm="1">
        <f t="array" ref="V149">INDEX(GMWQ!$A$2:$NE$60,MATCH(1,(GMWQ!$NE$2:$NE$60=V$3)*(GMWQ!$ND$2:$ND$60=V$4),0),$B149-1966)</f>
        <v>61346.5</v>
      </c>
      <c r="W149" s="18" cm="1">
        <f t="array" ref="W149">INDEX(GMWQ!$A$2:$NF$60,MATCH(1,(GMWQ!$NE$2:$NE$60=W$3)*(GMWQ!$NF$2:$NF$60=W$1),0),$B149-1966)</f>
        <v>42355</v>
      </c>
      <c r="X149" s="18" cm="1">
        <f t="array" ref="X149">INDEX(GMWQ!$A$2:$NF$60,MATCH(1,(GMWQ!$NE$2:$NE$60=X$3)*(GMWQ!$NF$2:$NF$60=X$1),0),$B149-1966)</f>
        <v>44554</v>
      </c>
      <c r="Y149" s="18" cm="1">
        <f t="array" ref="Y149">INDEX(GMWQ!$A$2:$NF$60,MATCH(1,(GMWQ!$NE$2:$NE$60=Y$3)*(GMWQ!$NF$2:$NF$60=Y$1),0),$B149-1966)</f>
        <v>47029</v>
      </c>
      <c r="Z149" s="18" cm="1">
        <f t="array" ref="Z149">INDEX(GMWQ!$A$2:$NF$60,MATCH(1,(GMWQ!$NE$2:$NE$60=Z$3)*(GMWQ!$NF$2:$NF$60=Z$1),0),$B149-1966)</f>
        <v>45148</v>
      </c>
    </row>
    <row r="150" spans="1:26" x14ac:dyDescent="0.25">
      <c r="B150" s="18">
        <f t="shared" si="3"/>
        <v>2116</v>
      </c>
      <c r="C150" s="18" cm="1">
        <f t="array" ref="C150">INDEX(GMWQ!$A$2:$NE$60,MATCH(1,(GMWQ!$NE$2:$NE$60=C$3)*(GMWQ!$ND$2:$ND$60=C$4),0),$B150-1966)</f>
        <v>47384</v>
      </c>
      <c r="D150" s="18" cm="1">
        <f t="array" ref="D150">INDEX(GMWQ!$A$2:$NE$60,MATCH(1,(GMWQ!$NE$2:$NE$60=D$3)*(GMWQ!$ND$2:$ND$60=D$4),0),$B150-1966)</f>
        <v>87779</v>
      </c>
      <c r="E150" s="18" cm="1">
        <f t="array" ref="E150">INDEX(GMWQ!$A$2:$NE$60,MATCH(1,(GMWQ!$NE$2:$NE$60=E$3)*(GMWQ!$ND$2:$ND$60=E$4),0),$B150-1966)</f>
        <v>-5040</v>
      </c>
      <c r="F150" s="18" cm="1">
        <f t="array" ref="F150">INDEX(GMWQ!$A$2:$NE$60,MATCH(1,(GMWQ!$NE$2:$NE$60=F$3)*(GMWQ!$ND$2:$ND$60=F$4),0),$B150-1966)</f>
        <v>-3664</v>
      </c>
      <c r="G150" s="18" cm="1">
        <f t="array" ref="G150">INDEX(GMWQ!$A$2:$NE$60,MATCH(1,(GMWQ!$NE$2:$NE$60=G$3)*(GMWQ!$ND$2:$ND$60=G$4),0),$B150-1966)</f>
        <v>395121</v>
      </c>
      <c r="H150" s="18" cm="1">
        <f t="array" ref="H150">INDEX(GMWQ!$A$2:$NE$60,MATCH(1,(GMWQ!$NE$2:$NE$60=H$3)*(GMWQ!$ND$2:$ND$60=H$4),0),$B150-1966)</f>
        <v>86953</v>
      </c>
      <c r="I150" s="18" cm="1">
        <f t="array" ref="I150">INDEX(GMWQ!$A$2:$NE$60,MATCH(1,(GMWQ!$NE$2:$NE$60=I$3)*(GMWQ!$ND$2:$ND$60=I$4),0),$B150-1966)</f>
        <v>15546</v>
      </c>
      <c r="J150" s="18" cm="1">
        <f t="array" ref="J150">INDEX(GMWQ!$A$2:$NE$60,MATCH(1,(GMWQ!$NE$2:$NE$60=J$3)*(GMWQ!$ND$2:$ND$60=J$4),0),$B150-1966)</f>
        <v>16467</v>
      </c>
      <c r="K150" s="18" cm="1">
        <f t="array" ref="K150">INDEX(GMWQ!$A$2:$NE$60,MATCH(1,(GMWQ!$NE$2:$NE$60=K$3)*(GMWQ!$ND$2:$ND$60=K$4),0),$B150-1966)</f>
        <v>2642808</v>
      </c>
      <c r="L150" s="18" cm="1">
        <f t="array" ref="L150">INDEX(GMWQ!$A$2:$NE$60,MATCH(1,(GMWQ!$NE$2:$NE$60=L$3)*(GMWQ!$ND$2:$ND$60=L$4),0),$B150-1966)</f>
        <v>29528</v>
      </c>
      <c r="M150" s="18" cm="1">
        <f t="array" ref="M150">INDEX(GMWQ!$A$2:$NE$60,MATCH(1,(GMWQ!$NE$2:$NE$60=M$3)*(GMWQ!$ND$2:$ND$60=M$4),0),$B150-1966)</f>
        <v>31.9</v>
      </c>
      <c r="N150" s="18" cm="1">
        <f t="array" ref="N150">INDEX(GMWQ!$A$2:$NE$60,MATCH(1,(GMWQ!$NE$2:$NE$60=N$3)*(GMWQ!$ND$2:$ND$60=N$4),0),$B150-1966)</f>
        <v>24.138590000000001</v>
      </c>
      <c r="O150" s="18" cm="1">
        <f t="array" ref="O150">INDEX(GMWQ!$A$2:$NE$60,MATCH(1,(GMWQ!$NE$2:$NE$60=O$3)*(GMWQ!$ND$2:$ND$60=O$4),0),$B150-1966)</f>
        <v>7.6889859999999999</v>
      </c>
      <c r="P150" s="18" cm="1">
        <f t="array" ref="P150">INDEX(GMWQ!$A$2:$NE$60,MATCH(1,(GMWQ!$NE$2:$NE$60=P$3)*(GMWQ!$ND$2:$ND$60=P$4),0),$B150-1966)</f>
        <v>506250</v>
      </c>
      <c r="Q150" s="18" cm="1">
        <f t="array" ref="Q150">INDEX(GMWQ!$A$2:$NE$60,MATCH(1,(GMWQ!$NE$2:$NE$60=Q$3)*(GMWQ!$ND$2:$ND$60=Q$4),0),$B150-1966)</f>
        <v>475.47500000000002</v>
      </c>
      <c r="R150" s="18" cm="1">
        <f t="array" ref="R150">INDEX(GMWQ!$A$2:$NE$60,MATCH(1,(GMWQ!$NE$2:$NE$60=R$3)*(GMWQ!$ND$2:$ND$60=R$4),0),$B150-1966)</f>
        <v>20316.25</v>
      </c>
      <c r="S150" s="18" cm="1">
        <f t="array" ref="S150">INDEX(GMWQ!$A$2:$NE$60,MATCH(1,(GMWQ!$NE$2:$NE$60=S$3)*(GMWQ!$ND$2:$ND$60=S$4),0),$B150-1966)</f>
        <v>93.44</v>
      </c>
      <c r="T150" s="18" cm="1">
        <f t="array" ref="T150">INDEX(GMWQ!$A$2:$NE$60,MATCH(1,(GMWQ!$NE$2:$NE$60=T$3)*(GMWQ!$ND$2:$ND$60=T$4),0),$B150-1966)</f>
        <v>65.957999999999998</v>
      </c>
      <c r="U150" s="18" cm="1">
        <f t="array" ref="U150">INDEX(GMWQ!$A$2:$NE$60,MATCH(1,(GMWQ!$NE$2:$NE$60=U$3)*(GMWQ!$ND$2:$ND$60=U$4),0),$B150-1966)</f>
        <v>49.951630000000002</v>
      </c>
      <c r="V150" s="18" cm="1">
        <f t="array" ref="V150">INDEX(GMWQ!$A$2:$NE$60,MATCH(1,(GMWQ!$NE$2:$NE$60=V$3)*(GMWQ!$ND$2:$ND$60=V$4),0),$B150-1966)</f>
        <v>58360.25</v>
      </c>
      <c r="W150" s="18" cm="1">
        <f t="array" ref="W150">INDEX(GMWQ!$A$2:$NF$60,MATCH(1,(GMWQ!$NE$2:$NE$60=W$3)*(GMWQ!$NF$2:$NF$60=W$1),0),$B150-1966)</f>
        <v>41545</v>
      </c>
      <c r="X150" s="18" cm="1">
        <f t="array" ref="X150">INDEX(GMWQ!$A$2:$NF$60,MATCH(1,(GMWQ!$NE$2:$NE$60=X$3)*(GMWQ!$NF$2:$NF$60=X$1),0),$B150-1966)</f>
        <v>43763</v>
      </c>
      <c r="Y150" s="18" cm="1">
        <f t="array" ref="Y150">INDEX(GMWQ!$A$2:$NF$60,MATCH(1,(GMWQ!$NE$2:$NE$60=Y$3)*(GMWQ!$NF$2:$NF$60=Y$1),0),$B150-1966)</f>
        <v>45880</v>
      </c>
      <c r="Z150" s="18" cm="1">
        <f t="array" ref="Z150">INDEX(GMWQ!$A$2:$NF$60,MATCH(1,(GMWQ!$NE$2:$NE$60=Z$3)*(GMWQ!$NF$2:$NF$60=Z$1),0),$B150-1966)</f>
        <v>43617</v>
      </c>
    </row>
    <row r="151" spans="1:26" x14ac:dyDescent="0.25">
      <c r="A151" s="18">
        <v>2009</v>
      </c>
      <c r="B151" s="18">
        <f t="shared" si="3"/>
        <v>2117</v>
      </c>
      <c r="C151" s="18" cm="1">
        <f t="array" ref="C151">INDEX(GMWQ!$A$2:$NE$60,MATCH(1,(GMWQ!$NE$2:$NE$60=C$3)*(GMWQ!$ND$2:$ND$60=C$4),0),$B151-1966)</f>
        <v>43119</v>
      </c>
      <c r="D151" s="18" cm="1">
        <f t="array" ref="D151">INDEX(GMWQ!$A$2:$NE$60,MATCH(1,(GMWQ!$NE$2:$NE$60=D$3)*(GMWQ!$ND$2:$ND$60=D$4),0),$B151-1966)</f>
        <v>87453</v>
      </c>
      <c r="E151" s="18" cm="1">
        <f t="array" ref="E151">INDEX(GMWQ!$A$2:$NE$60,MATCH(1,(GMWQ!$NE$2:$NE$60=E$3)*(GMWQ!$ND$2:$ND$60=E$4),0),$B151-1966)</f>
        <v>10307</v>
      </c>
      <c r="F151" s="18" cm="1">
        <f t="array" ref="F151">INDEX(GMWQ!$A$2:$NE$60,MATCH(1,(GMWQ!$NE$2:$NE$60=F$3)*(GMWQ!$ND$2:$ND$60=F$4),0),$B151-1966)</f>
        <v>12079</v>
      </c>
      <c r="G151" s="18" cm="1">
        <f t="array" ref="G151">INDEX(GMWQ!$A$2:$NE$60,MATCH(1,(GMWQ!$NE$2:$NE$60=G$3)*(GMWQ!$ND$2:$ND$60=G$4),0),$B151-1966)</f>
        <v>386874</v>
      </c>
      <c r="H151" s="18" cm="1">
        <f t="array" ref="H151">INDEX(GMWQ!$A$2:$NE$60,MATCH(1,(GMWQ!$NE$2:$NE$60=H$3)*(GMWQ!$ND$2:$ND$60=H$4),0),$B151-1966)</f>
        <v>81803</v>
      </c>
      <c r="I151" s="18" cm="1">
        <f t="array" ref="I151">INDEX(GMWQ!$A$2:$NE$60,MATCH(1,(GMWQ!$NE$2:$NE$60=I$3)*(GMWQ!$ND$2:$ND$60=I$4),0),$B151-1966)</f>
        <v>15857</v>
      </c>
      <c r="J151" s="18" cm="1">
        <f t="array" ref="J151">INDEX(GMWQ!$A$2:$NE$60,MATCH(1,(GMWQ!$NE$2:$NE$60=J$3)*(GMWQ!$ND$2:$ND$60=J$4),0),$B151-1966)</f>
        <v>14985</v>
      </c>
      <c r="K151" s="18" cm="1">
        <f t="array" ref="K151">INDEX(GMWQ!$A$2:$NE$60,MATCH(1,(GMWQ!$NE$2:$NE$60=K$3)*(GMWQ!$ND$2:$ND$60=K$4),0),$B151-1966)</f>
        <v>2649328</v>
      </c>
      <c r="L151" s="18" cm="1">
        <f t="array" ref="L151">INDEX(GMWQ!$A$2:$NE$60,MATCH(1,(GMWQ!$NE$2:$NE$60=L$3)*(GMWQ!$ND$2:$ND$60=L$4),0),$B151-1966)</f>
        <v>29366</v>
      </c>
      <c r="M151" s="18" cm="1">
        <f t="array" ref="M151">INDEX(GMWQ!$A$2:$NE$60,MATCH(1,(GMWQ!$NE$2:$NE$60=M$3)*(GMWQ!$ND$2:$ND$60=M$4),0),$B151-1966)</f>
        <v>31.5</v>
      </c>
      <c r="N151" s="18" cm="1">
        <f t="array" ref="N151">INDEX(GMWQ!$A$2:$NE$60,MATCH(1,(GMWQ!$NE$2:$NE$60=N$3)*(GMWQ!$ND$2:$ND$60=N$4),0),$B151-1966)</f>
        <v>15.63899</v>
      </c>
      <c r="O151" s="18" cm="1">
        <f t="array" ref="O151">INDEX(GMWQ!$A$2:$NE$60,MATCH(1,(GMWQ!$NE$2:$NE$60=O$3)*(GMWQ!$ND$2:$ND$60=O$4),0),$B151-1966)</f>
        <v>6.5454800000000004</v>
      </c>
      <c r="P151" s="18" cm="1">
        <f t="array" ref="P151">INDEX(GMWQ!$A$2:$NE$60,MATCH(1,(GMWQ!$NE$2:$NE$60=P$3)*(GMWQ!$ND$2:$ND$60=P$4),0),$B151-1966)</f>
        <v>508598</v>
      </c>
      <c r="Q151" s="18" cm="1">
        <f t="array" ref="Q151">INDEX(GMWQ!$A$2:$NE$60,MATCH(1,(GMWQ!$NE$2:$NE$60=Q$3)*(GMWQ!$ND$2:$ND$60=Q$4),0),$B151-1966)</f>
        <v>439.65</v>
      </c>
      <c r="R151" s="18" cm="1">
        <f t="array" ref="R151">INDEX(GMWQ!$A$2:$NE$60,MATCH(1,(GMWQ!$NE$2:$NE$60=R$3)*(GMWQ!$ND$2:$ND$60=R$4),0),$B151-1966)</f>
        <v>19083.28</v>
      </c>
      <c r="S151" s="18" cm="1">
        <f t="array" ref="S151">INDEX(GMWQ!$A$2:$NE$60,MATCH(1,(GMWQ!$NE$2:$NE$60=S$3)*(GMWQ!$ND$2:$ND$60=S$4),0),$B151-1966)</f>
        <v>81.430000000000007</v>
      </c>
      <c r="T151" s="18" cm="1">
        <f t="array" ref="T151">INDEX(GMWQ!$A$2:$NE$60,MATCH(1,(GMWQ!$NE$2:$NE$60=T$3)*(GMWQ!$ND$2:$ND$60=T$4),0),$B151-1966)</f>
        <v>61.668990000000001</v>
      </c>
      <c r="U151" s="18" cm="1">
        <f t="array" ref="U151">INDEX(GMWQ!$A$2:$NE$60,MATCH(1,(GMWQ!$NE$2:$NE$60=U$3)*(GMWQ!$ND$2:$ND$60=U$4),0),$B151-1966)</f>
        <v>46.663559999999997</v>
      </c>
      <c r="V151" s="18" cm="1">
        <f t="array" ref="V151">INDEX(GMWQ!$A$2:$NE$60,MATCH(1,(GMWQ!$NE$2:$NE$60=V$3)*(GMWQ!$ND$2:$ND$60=V$4),0),$B151-1966)</f>
        <v>49815</v>
      </c>
      <c r="W151" s="18" cm="1">
        <f t="array" ref="W151">INDEX(GMWQ!$A$2:$NF$60,MATCH(1,(GMWQ!$NE$2:$NE$60=W$3)*(GMWQ!$NF$2:$NF$60=W$1),0),$B151-1966)</f>
        <v>37467</v>
      </c>
      <c r="X151" s="18" cm="1">
        <f t="array" ref="X151">INDEX(GMWQ!$A$2:$NF$60,MATCH(1,(GMWQ!$NE$2:$NE$60=X$3)*(GMWQ!$NF$2:$NF$60=X$1),0),$B151-1966)</f>
        <v>39552</v>
      </c>
      <c r="Y151" s="18" cm="1">
        <f t="array" ref="Y151">INDEX(GMWQ!$A$2:$NF$60,MATCH(1,(GMWQ!$NE$2:$NE$60=Y$3)*(GMWQ!$NF$2:$NF$60=Y$1),0),$B151-1966)</f>
        <v>41068</v>
      </c>
      <c r="Z151" s="18" cm="1">
        <f t="array" ref="Z151">INDEX(GMWQ!$A$2:$NF$60,MATCH(1,(GMWQ!$NE$2:$NE$60=Z$3)*(GMWQ!$NF$2:$NF$60=Z$1),0),$B151-1966)</f>
        <v>39697</v>
      </c>
    </row>
    <row r="152" spans="1:26" x14ac:dyDescent="0.25">
      <c r="B152" s="18">
        <f t="shared" si="3"/>
        <v>2118</v>
      </c>
      <c r="C152" s="18" cm="1">
        <f t="array" ref="C152">INDEX(GMWQ!$A$2:$NE$60,MATCH(1,(GMWQ!$NE$2:$NE$60=C$3)*(GMWQ!$ND$2:$ND$60=C$4),0),$B152-1966)</f>
        <v>40877</v>
      </c>
      <c r="D152" s="18" cm="1">
        <f t="array" ref="D152">INDEX(GMWQ!$A$2:$NE$60,MATCH(1,(GMWQ!$NE$2:$NE$60=D$3)*(GMWQ!$ND$2:$ND$60=D$4),0),$B152-1966)</f>
        <v>84343</v>
      </c>
      <c r="E152" s="18" cm="1">
        <f t="array" ref="E152">INDEX(GMWQ!$A$2:$NE$60,MATCH(1,(GMWQ!$NE$2:$NE$60=E$3)*(GMWQ!$ND$2:$ND$60=E$4),0),$B152-1966)</f>
        <v>1662</v>
      </c>
      <c r="F152" s="18" cm="1">
        <f t="array" ref="F152">INDEX(GMWQ!$A$2:$NE$60,MATCH(1,(GMWQ!$NE$2:$NE$60=F$3)*(GMWQ!$ND$2:$ND$60=F$4),0),$B152-1966)</f>
        <v>1355</v>
      </c>
      <c r="G152" s="18" cm="1">
        <f t="array" ref="G152">INDEX(GMWQ!$A$2:$NE$60,MATCH(1,(GMWQ!$NE$2:$NE$60=G$3)*(GMWQ!$ND$2:$ND$60=G$4),0),$B152-1966)</f>
        <v>386553</v>
      </c>
      <c r="H152" s="18" cm="1">
        <f t="array" ref="H152">INDEX(GMWQ!$A$2:$NE$60,MATCH(1,(GMWQ!$NE$2:$NE$60=H$3)*(GMWQ!$ND$2:$ND$60=H$4),0),$B152-1966)</f>
        <v>78328</v>
      </c>
      <c r="I152" s="18" cm="1">
        <f t="array" ref="I152">INDEX(GMWQ!$A$2:$NE$60,MATCH(1,(GMWQ!$NE$2:$NE$60=I$3)*(GMWQ!$ND$2:$ND$60=I$4),0),$B152-1966)</f>
        <v>15175</v>
      </c>
      <c r="J152" s="18" cm="1">
        <f t="array" ref="J152">INDEX(GMWQ!$A$2:$NE$60,MATCH(1,(GMWQ!$NE$2:$NE$60=J$3)*(GMWQ!$ND$2:$ND$60=J$4),0),$B152-1966)</f>
        <v>13801</v>
      </c>
      <c r="K152" s="18" cm="1">
        <f t="array" ref="K152">INDEX(GMWQ!$A$2:$NE$60,MATCH(1,(GMWQ!$NE$2:$NE$60=K$3)*(GMWQ!$ND$2:$ND$60=K$4),0),$B152-1966)</f>
        <v>2655848</v>
      </c>
      <c r="L152" s="18" cm="1">
        <f t="array" ref="L152">INDEX(GMWQ!$A$2:$NE$60,MATCH(1,(GMWQ!$NE$2:$NE$60=L$3)*(GMWQ!$ND$2:$ND$60=L$4),0),$B152-1966)</f>
        <v>29087</v>
      </c>
      <c r="M152" s="18" cm="1">
        <f t="array" ref="M152">INDEX(GMWQ!$A$2:$NE$60,MATCH(1,(GMWQ!$NE$2:$NE$60=M$3)*(GMWQ!$ND$2:$ND$60=M$4),0),$B152-1966)</f>
        <v>31.7</v>
      </c>
      <c r="N152" s="18" cm="1">
        <f t="array" ref="N152">INDEX(GMWQ!$A$2:$NE$60,MATCH(1,(GMWQ!$NE$2:$NE$60=N$3)*(GMWQ!$ND$2:$ND$60=N$4),0),$B152-1966)</f>
        <v>14.253539999999999</v>
      </c>
      <c r="O152" s="18" cm="1">
        <f t="array" ref="O152">INDEX(GMWQ!$A$2:$NE$60,MATCH(1,(GMWQ!$NE$2:$NE$60=O$3)*(GMWQ!$ND$2:$ND$60=O$4),0),$B152-1966)</f>
        <v>5.63096</v>
      </c>
      <c r="P152" s="18" cm="1">
        <f t="array" ref="P152">INDEX(GMWQ!$A$2:$NE$60,MATCH(1,(GMWQ!$NE$2:$NE$60=P$3)*(GMWQ!$ND$2:$ND$60=P$4),0),$B152-1966)</f>
        <v>503896</v>
      </c>
      <c r="Q152" s="18" cm="1">
        <f t="array" ref="Q152">INDEX(GMWQ!$A$2:$NE$60,MATCH(1,(GMWQ!$NE$2:$NE$60=Q$3)*(GMWQ!$ND$2:$ND$60=Q$4),0),$B152-1966)</f>
        <v>426.27499999999998</v>
      </c>
      <c r="R152" s="18" cm="1">
        <f t="array" ref="R152">INDEX(GMWQ!$A$2:$NE$60,MATCH(1,(GMWQ!$NE$2:$NE$60=R$3)*(GMWQ!$ND$2:$ND$60=R$4),0),$B152-1966)</f>
        <v>18491.75</v>
      </c>
      <c r="S152" s="18" cm="1">
        <f t="array" ref="S152">INDEX(GMWQ!$A$2:$NE$60,MATCH(1,(GMWQ!$NE$2:$NE$60=S$3)*(GMWQ!$ND$2:$ND$60=S$4),0),$B152-1966)</f>
        <v>81.23</v>
      </c>
      <c r="T152" s="18" cm="1">
        <f t="array" ref="T152">INDEX(GMWQ!$A$2:$NE$60,MATCH(1,(GMWQ!$NE$2:$NE$60=T$3)*(GMWQ!$ND$2:$ND$60=T$4),0),$B152-1966)</f>
        <v>59.497999999999998</v>
      </c>
      <c r="U152" s="18" cm="1">
        <f t="array" ref="U152">INDEX(GMWQ!$A$2:$NE$60,MATCH(1,(GMWQ!$NE$2:$NE$60=U$3)*(GMWQ!$ND$2:$ND$60=U$4),0),$B152-1966)</f>
        <v>44.834420000000001</v>
      </c>
      <c r="V152" s="18" cm="1">
        <f t="array" ref="V152">INDEX(GMWQ!$A$2:$NE$60,MATCH(1,(GMWQ!$NE$2:$NE$60=V$3)*(GMWQ!$ND$2:$ND$60=V$4),0),$B152-1966)</f>
        <v>47699.25</v>
      </c>
      <c r="W152" s="18" cm="1">
        <f t="array" ref="W152">INDEX(GMWQ!$A$2:$NF$60,MATCH(1,(GMWQ!$NE$2:$NE$60=W$3)*(GMWQ!$NF$2:$NF$60=W$1),0),$B152-1966)</f>
        <v>36307</v>
      </c>
      <c r="X152" s="18" cm="1">
        <f t="array" ref="X152">INDEX(GMWQ!$A$2:$NF$60,MATCH(1,(GMWQ!$NE$2:$NE$60=X$3)*(GMWQ!$NF$2:$NF$60=X$1),0),$B152-1966)</f>
        <v>38226</v>
      </c>
      <c r="Y152" s="18" cm="1">
        <f t="array" ref="Y152">INDEX(GMWQ!$A$2:$NF$60,MATCH(1,(GMWQ!$NE$2:$NE$60=Y$3)*(GMWQ!$NF$2:$NF$60=Y$1),0),$B152-1966)</f>
        <v>39293</v>
      </c>
      <c r="Z152" s="18" cm="1">
        <f t="array" ref="Z152">INDEX(GMWQ!$A$2:$NF$60,MATCH(1,(GMWQ!$NE$2:$NE$60=Z$3)*(GMWQ!$NF$2:$NF$60=Z$1),0),$B152-1966)</f>
        <v>37614</v>
      </c>
    </row>
    <row r="153" spans="1:26" x14ac:dyDescent="0.25">
      <c r="B153" s="18">
        <f t="shared" si="3"/>
        <v>2119</v>
      </c>
      <c r="C153" s="18" cm="1">
        <f t="array" ref="C153">INDEX(GMWQ!$A$2:$NE$60,MATCH(1,(GMWQ!$NE$2:$NE$60=C$3)*(GMWQ!$ND$2:$ND$60=C$4),0),$B153-1966)</f>
        <v>39978</v>
      </c>
      <c r="D153" s="18" cm="1">
        <f t="array" ref="D153">INDEX(GMWQ!$A$2:$NE$60,MATCH(1,(GMWQ!$NE$2:$NE$60=D$3)*(GMWQ!$ND$2:$ND$60=D$4),0),$B153-1966)</f>
        <v>86567</v>
      </c>
      <c r="E153" s="18" cm="1">
        <f t="array" ref="E153">INDEX(GMWQ!$A$2:$NE$60,MATCH(1,(GMWQ!$NE$2:$NE$60=E$3)*(GMWQ!$ND$2:$ND$60=E$4),0),$B153-1966)</f>
        <v>8279</v>
      </c>
      <c r="F153" s="18" cm="1">
        <f t="array" ref="F153">INDEX(GMWQ!$A$2:$NE$60,MATCH(1,(GMWQ!$NE$2:$NE$60=F$3)*(GMWQ!$ND$2:$ND$60=F$4),0),$B153-1966)</f>
        <v>7621</v>
      </c>
      <c r="G153" s="18" cm="1">
        <f t="array" ref="G153">INDEX(GMWQ!$A$2:$NE$60,MATCH(1,(GMWQ!$NE$2:$NE$60=G$3)*(GMWQ!$ND$2:$ND$60=G$4),0),$B153-1966)</f>
        <v>388596</v>
      </c>
      <c r="H153" s="18" cm="1">
        <f t="array" ref="H153">INDEX(GMWQ!$A$2:$NE$60,MATCH(1,(GMWQ!$NE$2:$NE$60=H$3)*(GMWQ!$ND$2:$ND$60=H$4),0),$B153-1966)</f>
        <v>78858</v>
      </c>
      <c r="I153" s="18" cm="1">
        <f t="array" ref="I153">INDEX(GMWQ!$A$2:$NE$60,MATCH(1,(GMWQ!$NE$2:$NE$60=I$3)*(GMWQ!$ND$2:$ND$60=I$4),0),$B153-1966)</f>
        <v>16450</v>
      </c>
      <c r="J153" s="18" cm="1">
        <f t="array" ref="J153">INDEX(GMWQ!$A$2:$NE$60,MATCH(1,(GMWQ!$NE$2:$NE$60=J$3)*(GMWQ!$ND$2:$ND$60=J$4),0),$B153-1966)</f>
        <v>14008</v>
      </c>
      <c r="K153" s="18" cm="1">
        <f t="array" ref="K153">INDEX(GMWQ!$A$2:$NE$60,MATCH(1,(GMWQ!$NE$2:$NE$60=K$3)*(GMWQ!$ND$2:$ND$60=K$4),0),$B153-1966)</f>
        <v>2662368</v>
      </c>
      <c r="L153" s="18" cm="1">
        <f t="array" ref="L153">INDEX(GMWQ!$A$2:$NE$60,MATCH(1,(GMWQ!$NE$2:$NE$60=L$3)*(GMWQ!$ND$2:$ND$60=L$4),0),$B153-1966)</f>
        <v>29069</v>
      </c>
      <c r="M153" s="18" cm="1">
        <f t="array" ref="M153">INDEX(GMWQ!$A$2:$NE$60,MATCH(1,(GMWQ!$NE$2:$NE$60=M$3)*(GMWQ!$ND$2:$ND$60=M$4),0),$B153-1966)</f>
        <v>31.5</v>
      </c>
      <c r="N153" s="18" cm="1">
        <f t="array" ref="N153">INDEX(GMWQ!$A$2:$NE$60,MATCH(1,(GMWQ!$NE$2:$NE$60=N$3)*(GMWQ!$ND$2:$ND$60=N$4),0),$B153-1966)</f>
        <v>12.548360000000001</v>
      </c>
      <c r="O153" s="18" cm="1">
        <f t="array" ref="O153">INDEX(GMWQ!$A$2:$NE$60,MATCH(1,(GMWQ!$NE$2:$NE$60=O$3)*(GMWQ!$ND$2:$ND$60=O$4),0),$B153-1966)</f>
        <v>4.6143080000000003</v>
      </c>
      <c r="P153" s="18" cm="1">
        <f t="array" ref="P153">INDEX(GMWQ!$A$2:$NE$60,MATCH(1,(GMWQ!$NE$2:$NE$60=P$3)*(GMWQ!$ND$2:$ND$60=P$4),0),$B153-1966)</f>
        <v>492437</v>
      </c>
      <c r="Q153" s="18" cm="1">
        <f t="array" ref="Q153">INDEX(GMWQ!$A$2:$NE$60,MATCH(1,(GMWQ!$NE$2:$NE$60=Q$3)*(GMWQ!$ND$2:$ND$60=Q$4),0),$B153-1966)</f>
        <v>423.8</v>
      </c>
      <c r="R153" s="18" cm="1">
        <f t="array" ref="R153">INDEX(GMWQ!$A$2:$NE$60,MATCH(1,(GMWQ!$NE$2:$NE$60=R$3)*(GMWQ!$ND$2:$ND$60=R$4),0),$B153-1966)</f>
        <v>17990.47</v>
      </c>
      <c r="S153" s="18" cm="1">
        <f t="array" ref="S153">INDEX(GMWQ!$A$2:$NE$60,MATCH(1,(GMWQ!$NE$2:$NE$60=S$3)*(GMWQ!$ND$2:$ND$60=S$4),0),$B153-1966)</f>
        <v>80.36</v>
      </c>
      <c r="T153" s="18" cm="1">
        <f t="array" ref="T153">INDEX(GMWQ!$A$2:$NE$60,MATCH(1,(GMWQ!$NE$2:$NE$60=T$3)*(GMWQ!$ND$2:$ND$60=T$4),0),$B153-1966)</f>
        <v>58.969000000000001</v>
      </c>
      <c r="U153" s="18" cm="1">
        <f t="array" ref="U153">INDEX(GMWQ!$A$2:$NE$60,MATCH(1,(GMWQ!$NE$2:$NE$60=U$3)*(GMWQ!$ND$2:$ND$60=U$4),0),$B153-1966)</f>
        <v>43.821010000000001</v>
      </c>
      <c r="V153" s="18" cm="1">
        <f t="array" ref="V153">INDEX(GMWQ!$A$2:$NE$60,MATCH(1,(GMWQ!$NE$2:$NE$60=V$3)*(GMWQ!$ND$2:$ND$60=V$4),0),$B153-1966)</f>
        <v>48017</v>
      </c>
      <c r="W153" s="18" cm="1">
        <f t="array" ref="W153">INDEX(GMWQ!$A$2:$NF$60,MATCH(1,(GMWQ!$NE$2:$NE$60=W$3)*(GMWQ!$NF$2:$NF$60=W$1),0),$B153-1966)</f>
        <v>35436</v>
      </c>
      <c r="X153" s="18" cm="1">
        <f t="array" ref="X153">INDEX(GMWQ!$A$2:$NF$60,MATCH(1,(GMWQ!$NE$2:$NE$60=X$3)*(GMWQ!$NF$2:$NF$60=X$1),0),$B153-1966)</f>
        <v>37394</v>
      </c>
      <c r="Y153" s="18" cm="1">
        <f t="array" ref="Y153">INDEX(GMWQ!$A$2:$NF$60,MATCH(1,(GMWQ!$NE$2:$NE$60=Y$3)*(GMWQ!$NF$2:$NF$60=Y$1),0),$B153-1966)</f>
        <v>38505</v>
      </c>
      <c r="Z153" s="18" cm="1">
        <f t="array" ref="Z153">INDEX(GMWQ!$A$2:$NF$60,MATCH(1,(GMWQ!$NE$2:$NE$60=Z$3)*(GMWQ!$NF$2:$NF$60=Z$1),0),$B153-1966)</f>
        <v>36801</v>
      </c>
    </row>
    <row r="154" spans="1:26" x14ac:dyDescent="0.25">
      <c r="B154" s="18">
        <f t="shared" si="3"/>
        <v>2120</v>
      </c>
      <c r="C154" s="18" cm="1">
        <f t="array" ref="C154">INDEX(GMWQ!$A$2:$NE$60,MATCH(1,(GMWQ!$NE$2:$NE$60=C$3)*(GMWQ!$ND$2:$ND$60=C$4),0),$B154-1966)</f>
        <v>39618</v>
      </c>
      <c r="D154" s="18" cm="1">
        <f t="array" ref="D154">INDEX(GMWQ!$A$2:$NE$60,MATCH(1,(GMWQ!$NE$2:$NE$60=D$3)*(GMWQ!$ND$2:$ND$60=D$4),0),$B154-1966)</f>
        <v>81654</v>
      </c>
      <c r="E154" s="18" cm="1">
        <f t="array" ref="E154">INDEX(GMWQ!$A$2:$NE$60,MATCH(1,(GMWQ!$NE$2:$NE$60=E$3)*(GMWQ!$ND$2:$ND$60=E$4),0),$B154-1966)</f>
        <v>6422</v>
      </c>
      <c r="F154" s="18" cm="1">
        <f t="array" ref="F154">INDEX(GMWQ!$A$2:$NE$60,MATCH(1,(GMWQ!$NE$2:$NE$60=F$3)*(GMWQ!$ND$2:$ND$60=F$4),0),$B154-1966)</f>
        <v>13575</v>
      </c>
      <c r="G154" s="18" cm="1">
        <f t="array" ref="G154">INDEX(GMWQ!$A$2:$NE$60,MATCH(1,(GMWQ!$NE$2:$NE$60=G$3)*(GMWQ!$ND$2:$ND$60=G$4),0),$B154-1966)</f>
        <v>386779</v>
      </c>
      <c r="H154" s="18" cm="1">
        <f t="array" ref="H154">INDEX(GMWQ!$A$2:$NE$60,MATCH(1,(GMWQ!$NE$2:$NE$60=H$3)*(GMWQ!$ND$2:$ND$60=H$4),0),$B154-1966)</f>
        <v>77537</v>
      </c>
      <c r="I154" s="18" cm="1">
        <f t="array" ref="I154">INDEX(GMWQ!$A$2:$NE$60,MATCH(1,(GMWQ!$NE$2:$NE$60=I$3)*(GMWQ!$ND$2:$ND$60=I$4),0),$B154-1966)</f>
        <v>16220</v>
      </c>
      <c r="J154" s="18" cm="1">
        <f t="array" ref="J154">INDEX(GMWQ!$A$2:$NE$60,MATCH(1,(GMWQ!$NE$2:$NE$60=J$3)*(GMWQ!$ND$2:$ND$60=J$4),0),$B154-1966)</f>
        <v>13168</v>
      </c>
      <c r="K154" s="18" cm="1">
        <f t="array" ref="K154">INDEX(GMWQ!$A$2:$NE$60,MATCH(1,(GMWQ!$NE$2:$NE$60=K$3)*(GMWQ!$ND$2:$ND$60=K$4),0),$B154-1966)</f>
        <v>2668889</v>
      </c>
      <c r="L154" s="18" cm="1">
        <f t="array" ref="L154">INDEX(GMWQ!$A$2:$NE$60,MATCH(1,(GMWQ!$NE$2:$NE$60=L$3)*(GMWQ!$ND$2:$ND$60=L$4),0),$B154-1966)</f>
        <v>29102</v>
      </c>
      <c r="M154" s="18" cm="1">
        <f t="array" ref="M154">INDEX(GMWQ!$A$2:$NE$60,MATCH(1,(GMWQ!$NE$2:$NE$60=M$3)*(GMWQ!$ND$2:$ND$60=M$4),0),$B154-1966)</f>
        <v>31.5</v>
      </c>
      <c r="N154" s="18" cm="1">
        <f t="array" ref="N154">INDEX(GMWQ!$A$2:$NE$60,MATCH(1,(GMWQ!$NE$2:$NE$60=N$3)*(GMWQ!$ND$2:$ND$60=N$4),0),$B154-1966)</f>
        <v>13.083909999999999</v>
      </c>
      <c r="O154" s="18" cm="1">
        <f t="array" ref="O154">INDEX(GMWQ!$A$2:$NE$60,MATCH(1,(GMWQ!$NE$2:$NE$60=O$3)*(GMWQ!$ND$2:$ND$60=O$4),0),$B154-1966)</f>
        <v>4.0910919999999997</v>
      </c>
      <c r="P154" s="18" cm="1">
        <f t="array" ref="P154">INDEX(GMWQ!$A$2:$NE$60,MATCH(1,(GMWQ!$NE$2:$NE$60=P$3)*(GMWQ!$ND$2:$ND$60=P$4),0),$B154-1966)</f>
        <v>492117</v>
      </c>
      <c r="Q154" s="18" cm="1">
        <f t="array" ref="Q154">INDEX(GMWQ!$A$2:$NE$60,MATCH(1,(GMWQ!$NE$2:$NE$60=Q$3)*(GMWQ!$ND$2:$ND$60=Q$4),0),$B154-1966)</f>
        <v>426.65</v>
      </c>
      <c r="R154" s="18" cm="1">
        <f t="array" ref="R154">INDEX(GMWQ!$A$2:$NE$60,MATCH(1,(GMWQ!$NE$2:$NE$60=R$3)*(GMWQ!$ND$2:$ND$60=R$4),0),$B154-1966)</f>
        <v>17820.8</v>
      </c>
      <c r="S154" s="18" cm="1">
        <f t="array" ref="S154">INDEX(GMWQ!$A$2:$NE$60,MATCH(1,(GMWQ!$NE$2:$NE$60=S$3)*(GMWQ!$ND$2:$ND$60=S$4),0),$B154-1966)</f>
        <v>78.650000000000006</v>
      </c>
      <c r="T154" s="18" cm="1">
        <f t="array" ref="T154">INDEX(GMWQ!$A$2:$NE$60,MATCH(1,(GMWQ!$NE$2:$NE$60=T$3)*(GMWQ!$ND$2:$ND$60=T$4),0),$B154-1966)</f>
        <v>59.280009999999997</v>
      </c>
      <c r="U154" s="18" cm="1">
        <f t="array" ref="U154">INDEX(GMWQ!$A$2:$NE$60,MATCH(1,(GMWQ!$NE$2:$NE$60=U$3)*(GMWQ!$ND$2:$ND$60=U$4),0),$B154-1966)</f>
        <v>46.420630000000003</v>
      </c>
      <c r="V154" s="18" cm="1">
        <f t="array" ref="V154">INDEX(GMWQ!$A$2:$NE$60,MATCH(1,(GMWQ!$NE$2:$NE$60=V$3)*(GMWQ!$ND$2:$ND$60=V$4),0),$B154-1966)</f>
        <v>49292.75</v>
      </c>
      <c r="W154" s="18" cm="1">
        <f t="array" ref="W154">INDEX(GMWQ!$A$2:$NF$60,MATCH(1,(GMWQ!$NE$2:$NE$60=W$3)*(GMWQ!$NF$2:$NF$60=W$1),0),$B154-1966)</f>
        <v>35195</v>
      </c>
      <c r="X154" s="18" cm="1">
        <f t="array" ref="X154">INDEX(GMWQ!$A$2:$NF$60,MATCH(1,(GMWQ!$NE$2:$NE$60=X$3)*(GMWQ!$NF$2:$NF$60=X$1),0),$B154-1966)</f>
        <v>37195</v>
      </c>
      <c r="Y154" s="18" cm="1">
        <f t="array" ref="Y154">INDEX(GMWQ!$A$2:$NF$60,MATCH(1,(GMWQ!$NE$2:$NE$60=Y$3)*(GMWQ!$NF$2:$NF$60=Y$1),0),$B154-1966)</f>
        <v>38358</v>
      </c>
      <c r="Z154" s="18" cm="1">
        <f t="array" ref="Z154">INDEX(GMWQ!$A$2:$NF$60,MATCH(1,(GMWQ!$NE$2:$NE$60=Z$3)*(GMWQ!$NF$2:$NF$60=Z$1),0),$B154-1966)</f>
        <v>36482</v>
      </c>
    </row>
    <row r="155" spans="1:26" x14ac:dyDescent="0.25">
      <c r="A155" s="18">
        <v>2010</v>
      </c>
      <c r="B155" s="18">
        <f t="shared" si="3"/>
        <v>2121</v>
      </c>
      <c r="C155" s="18" cm="1">
        <f t="array" ref="C155">INDEX(GMWQ!$A$2:$NE$60,MATCH(1,(GMWQ!$NE$2:$NE$60=C$3)*(GMWQ!$ND$2:$ND$60=C$4),0),$B155-1966)</f>
        <v>41479</v>
      </c>
      <c r="D155" s="18" cm="1">
        <f t="array" ref="D155">INDEX(GMWQ!$A$2:$NE$60,MATCH(1,(GMWQ!$NE$2:$NE$60=D$3)*(GMWQ!$ND$2:$ND$60=D$4),0),$B155-1966)</f>
        <v>86382</v>
      </c>
      <c r="E155" s="18" cm="1">
        <f t="array" ref="E155">INDEX(GMWQ!$A$2:$NE$60,MATCH(1,(GMWQ!$NE$2:$NE$60=E$3)*(GMWQ!$ND$2:$ND$60=E$4),0),$B155-1966)</f>
        <v>6663</v>
      </c>
      <c r="F155" s="18" cm="1">
        <f t="array" ref="F155">INDEX(GMWQ!$A$2:$NE$60,MATCH(1,(GMWQ!$NE$2:$NE$60=F$3)*(GMWQ!$ND$2:$ND$60=F$4),0),$B155-1966)</f>
        <v>1299</v>
      </c>
      <c r="G155" s="18" cm="1">
        <f t="array" ref="G155">INDEX(GMWQ!$A$2:$NE$60,MATCH(1,(GMWQ!$NE$2:$NE$60=G$3)*(GMWQ!$ND$2:$ND$60=G$4),0),$B155-1966)</f>
        <v>396176</v>
      </c>
      <c r="H155" s="18" cm="1">
        <f t="array" ref="H155">INDEX(GMWQ!$A$2:$NE$60,MATCH(1,(GMWQ!$NE$2:$NE$60=H$3)*(GMWQ!$ND$2:$ND$60=H$4),0),$B155-1966)</f>
        <v>81644</v>
      </c>
      <c r="I155" s="18" cm="1">
        <f t="array" ref="I155">INDEX(GMWQ!$A$2:$NE$60,MATCH(1,(GMWQ!$NE$2:$NE$60=I$3)*(GMWQ!$ND$2:$ND$60=I$4),0),$B155-1966)</f>
        <v>17177</v>
      </c>
      <c r="J155" s="18" cm="1">
        <f t="array" ref="J155">INDEX(GMWQ!$A$2:$NE$60,MATCH(1,(GMWQ!$NE$2:$NE$60=J$3)*(GMWQ!$ND$2:$ND$60=J$4),0),$B155-1966)</f>
        <v>14142</v>
      </c>
      <c r="K155" s="18" cm="1">
        <f t="array" ref="K155">INDEX(GMWQ!$A$2:$NE$60,MATCH(1,(GMWQ!$NE$2:$NE$60=K$3)*(GMWQ!$ND$2:$ND$60=K$4),0),$B155-1966)</f>
        <v>2677039</v>
      </c>
      <c r="L155" s="18" cm="1">
        <f t="array" ref="L155">INDEX(GMWQ!$A$2:$NE$60,MATCH(1,(GMWQ!$NE$2:$NE$60=L$3)*(GMWQ!$ND$2:$ND$60=L$4),0),$B155-1966)</f>
        <v>29013</v>
      </c>
      <c r="M155" s="18" cm="1">
        <f t="array" ref="M155">INDEX(GMWQ!$A$2:$NE$60,MATCH(1,(GMWQ!$NE$2:$NE$60=M$3)*(GMWQ!$ND$2:$ND$60=M$4),0),$B155-1966)</f>
        <v>31.6</v>
      </c>
      <c r="N155" s="18" cm="1">
        <f t="array" ref="N155">INDEX(GMWQ!$A$2:$NE$60,MATCH(1,(GMWQ!$NE$2:$NE$60=N$3)*(GMWQ!$ND$2:$ND$60=N$4),0),$B155-1966)</f>
        <v>10.314360000000001</v>
      </c>
      <c r="O155" s="18" cm="1">
        <f t="array" ref="O155">INDEX(GMWQ!$A$2:$NE$60,MATCH(1,(GMWQ!$NE$2:$NE$60=O$3)*(GMWQ!$ND$2:$ND$60=O$4),0),$B155-1966)</f>
        <v>4.0557359999999996</v>
      </c>
      <c r="P155" s="18" cm="1">
        <f t="array" ref="P155">INDEX(GMWQ!$A$2:$NE$60,MATCH(1,(GMWQ!$NE$2:$NE$60=P$3)*(GMWQ!$ND$2:$ND$60=P$4),0),$B155-1966)</f>
        <v>481387</v>
      </c>
      <c r="Q155" s="18" cm="1">
        <f t="array" ref="Q155">INDEX(GMWQ!$A$2:$NE$60,MATCH(1,(GMWQ!$NE$2:$NE$60=Q$3)*(GMWQ!$ND$2:$ND$60=Q$4),0),$B155-1966)</f>
        <v>429.67500000000001</v>
      </c>
      <c r="R155" s="18" cm="1">
        <f t="array" ref="R155">INDEX(GMWQ!$A$2:$NE$60,MATCH(1,(GMWQ!$NE$2:$NE$60=R$3)*(GMWQ!$ND$2:$ND$60=R$4),0),$B155-1966)</f>
        <v>17934.88</v>
      </c>
      <c r="S155" s="18" cm="1">
        <f t="array" ref="S155">INDEX(GMWQ!$A$2:$NE$60,MATCH(1,(GMWQ!$NE$2:$NE$60=S$3)*(GMWQ!$ND$2:$ND$60=S$4),0),$B155-1966)</f>
        <v>80.86</v>
      </c>
      <c r="T155" s="18" cm="1">
        <f t="array" ref="T155">INDEX(GMWQ!$A$2:$NE$60,MATCH(1,(GMWQ!$NE$2:$NE$60=T$3)*(GMWQ!$ND$2:$ND$60=T$4),0),$B155-1966)</f>
        <v>59.741</v>
      </c>
      <c r="U155" s="18" cm="1">
        <f t="array" ref="U155">INDEX(GMWQ!$A$2:$NE$60,MATCH(1,(GMWQ!$NE$2:$NE$60=U$3)*(GMWQ!$ND$2:$ND$60=U$4),0),$B155-1966)</f>
        <v>46.040030000000002</v>
      </c>
      <c r="V155" s="18" cm="1">
        <f t="array" ref="V155">INDEX(GMWQ!$A$2:$NE$60,MATCH(1,(GMWQ!$NE$2:$NE$60=V$3)*(GMWQ!$ND$2:$ND$60=V$4),0),$B155-1966)</f>
        <v>51979</v>
      </c>
      <c r="W155" s="18" cm="1">
        <f t="array" ref="W155">INDEX(GMWQ!$A$2:$NF$60,MATCH(1,(GMWQ!$NE$2:$NE$60=W$3)*(GMWQ!$NF$2:$NF$60=W$1),0),$B155-1966)</f>
        <v>36477</v>
      </c>
      <c r="X155" s="18" cm="1">
        <f t="array" ref="X155">INDEX(GMWQ!$A$2:$NF$60,MATCH(1,(GMWQ!$NE$2:$NE$60=X$3)*(GMWQ!$NF$2:$NF$60=X$1),0),$B155-1966)</f>
        <v>38674</v>
      </c>
      <c r="Y155" s="18" cm="1">
        <f t="array" ref="Y155">INDEX(GMWQ!$A$2:$NF$60,MATCH(1,(GMWQ!$NE$2:$NE$60=Y$3)*(GMWQ!$NF$2:$NF$60=Y$1),0),$B155-1966)</f>
        <v>39719</v>
      </c>
      <c r="Z155" s="18" cm="1">
        <f t="array" ref="Z155">INDEX(GMWQ!$A$2:$NF$60,MATCH(1,(GMWQ!$NE$2:$NE$60=Z$3)*(GMWQ!$NF$2:$NF$60=Z$1),0),$B155-1966)</f>
        <v>38204</v>
      </c>
    </row>
    <row r="156" spans="1:26" x14ac:dyDescent="0.25">
      <c r="B156" s="18">
        <f t="shared" si="3"/>
        <v>2122</v>
      </c>
      <c r="C156" s="18" cm="1">
        <f t="array" ref="C156">INDEX(GMWQ!$A$2:$NE$60,MATCH(1,(GMWQ!$NE$2:$NE$60=C$3)*(GMWQ!$ND$2:$ND$60=C$4),0),$B156-1966)</f>
        <v>40858</v>
      </c>
      <c r="D156" s="18" cm="1">
        <f t="array" ref="D156">INDEX(GMWQ!$A$2:$NE$60,MATCH(1,(GMWQ!$NE$2:$NE$60=D$3)*(GMWQ!$ND$2:$ND$60=D$4),0),$B156-1966)</f>
        <v>85496</v>
      </c>
      <c r="E156" s="18" cm="1">
        <f t="array" ref="E156">INDEX(GMWQ!$A$2:$NE$60,MATCH(1,(GMWQ!$NE$2:$NE$60=E$3)*(GMWQ!$ND$2:$ND$60=E$4),0),$B156-1966)</f>
        <v>5349</v>
      </c>
      <c r="F156" s="18" cm="1">
        <f t="array" ref="F156">INDEX(GMWQ!$A$2:$NE$60,MATCH(1,(GMWQ!$NE$2:$NE$60=F$3)*(GMWQ!$ND$2:$ND$60=F$4),0),$B156-1966)</f>
        <v>2770</v>
      </c>
      <c r="G156" s="18" cm="1">
        <f t="array" ref="G156">INDEX(GMWQ!$A$2:$NE$60,MATCH(1,(GMWQ!$NE$2:$NE$60=G$3)*(GMWQ!$ND$2:$ND$60=G$4),0),$B156-1966)</f>
        <v>401223</v>
      </c>
      <c r="H156" s="18" cm="1">
        <f t="array" ref="H156">INDEX(GMWQ!$A$2:$NE$60,MATCH(1,(GMWQ!$NE$2:$NE$60=H$3)*(GMWQ!$ND$2:$ND$60=H$4),0),$B156-1966)</f>
        <v>80431</v>
      </c>
      <c r="I156" s="18" cm="1">
        <f t="array" ref="I156">INDEX(GMWQ!$A$2:$NE$60,MATCH(1,(GMWQ!$NE$2:$NE$60=I$3)*(GMWQ!$ND$2:$ND$60=I$4),0),$B156-1966)</f>
        <v>15700</v>
      </c>
      <c r="J156" s="18" cm="1">
        <f t="array" ref="J156">INDEX(GMWQ!$A$2:$NE$60,MATCH(1,(GMWQ!$NE$2:$NE$60=J$3)*(GMWQ!$ND$2:$ND$60=J$4),0),$B156-1966)</f>
        <v>15485</v>
      </c>
      <c r="K156" s="18" cm="1">
        <f t="array" ref="K156">INDEX(GMWQ!$A$2:$NE$60,MATCH(1,(GMWQ!$NE$2:$NE$60=K$3)*(GMWQ!$ND$2:$ND$60=K$4),0),$B156-1966)</f>
        <v>2685189</v>
      </c>
      <c r="L156" s="18" cm="1">
        <f t="array" ref="L156">INDEX(GMWQ!$A$2:$NE$60,MATCH(1,(GMWQ!$NE$2:$NE$60=L$3)*(GMWQ!$ND$2:$ND$60=L$4),0),$B156-1966)</f>
        <v>29192</v>
      </c>
      <c r="M156" s="18" cm="1">
        <f t="array" ref="M156">INDEX(GMWQ!$A$2:$NE$60,MATCH(1,(GMWQ!$NE$2:$NE$60=M$3)*(GMWQ!$ND$2:$ND$60=M$4),0),$B156-1966)</f>
        <v>31.6</v>
      </c>
      <c r="N156" s="18" cm="1">
        <f t="array" ref="N156">INDEX(GMWQ!$A$2:$NE$60,MATCH(1,(GMWQ!$NE$2:$NE$60=N$3)*(GMWQ!$ND$2:$ND$60=N$4),0),$B156-1966)</f>
        <v>10.544230000000001</v>
      </c>
      <c r="O156" s="18" cm="1">
        <f t="array" ref="O156">INDEX(GMWQ!$A$2:$NE$60,MATCH(1,(GMWQ!$NE$2:$NE$60=O$3)*(GMWQ!$ND$2:$ND$60=O$4),0),$B156-1966)</f>
        <v>4.0073489999999996</v>
      </c>
      <c r="P156" s="18" cm="1">
        <f t="array" ref="P156">INDEX(GMWQ!$A$2:$NE$60,MATCH(1,(GMWQ!$NE$2:$NE$60=P$3)*(GMWQ!$ND$2:$ND$60=P$4),0),$B156-1966)</f>
        <v>475423</v>
      </c>
      <c r="Q156" s="18" cm="1">
        <f t="array" ref="Q156">INDEX(GMWQ!$A$2:$NE$60,MATCH(1,(GMWQ!$NE$2:$NE$60=Q$3)*(GMWQ!$ND$2:$ND$60=Q$4),0),$B156-1966)</f>
        <v>443.82499999999999</v>
      </c>
      <c r="R156" s="18" cm="1">
        <f t="array" ref="R156">INDEX(GMWQ!$A$2:$NE$60,MATCH(1,(GMWQ!$NE$2:$NE$60=R$3)*(GMWQ!$ND$2:$ND$60=R$4),0),$B156-1966)</f>
        <v>18140.53</v>
      </c>
      <c r="S156" s="18" cm="1">
        <f t="array" ref="S156">INDEX(GMWQ!$A$2:$NE$60,MATCH(1,(GMWQ!$NE$2:$NE$60=S$3)*(GMWQ!$ND$2:$ND$60=S$4),0),$B156-1966)</f>
        <v>86.23</v>
      </c>
      <c r="T156" s="18" cm="1">
        <f t="array" ref="T156">INDEX(GMWQ!$A$2:$NE$60,MATCH(1,(GMWQ!$NE$2:$NE$60=T$3)*(GMWQ!$ND$2:$ND$60=T$4),0),$B156-1966)</f>
        <v>60.490009999999998</v>
      </c>
      <c r="U156" s="18" cm="1">
        <f t="array" ref="U156">INDEX(GMWQ!$A$2:$NE$60,MATCH(1,(GMWQ!$NE$2:$NE$60=U$3)*(GMWQ!$ND$2:$ND$60=U$4),0),$B156-1966)</f>
        <v>47.654269999999997</v>
      </c>
      <c r="V156" s="18" cm="1">
        <f t="array" ref="V156">INDEX(GMWQ!$A$2:$NE$60,MATCH(1,(GMWQ!$NE$2:$NE$60=V$3)*(GMWQ!$ND$2:$ND$60=V$4),0),$B156-1966)</f>
        <v>54417.25</v>
      </c>
      <c r="W156" s="18" cm="1">
        <f t="array" ref="W156">INDEX(GMWQ!$A$2:$NF$60,MATCH(1,(GMWQ!$NE$2:$NE$60=W$3)*(GMWQ!$NF$2:$NF$60=W$1),0),$B156-1966)</f>
        <v>35875</v>
      </c>
      <c r="X156" s="18" cm="1">
        <f t="array" ref="X156">INDEX(GMWQ!$A$2:$NF$60,MATCH(1,(GMWQ!$NE$2:$NE$60=X$3)*(GMWQ!$NF$2:$NF$60=X$1),0),$B156-1966)</f>
        <v>38212</v>
      </c>
      <c r="Y156" s="18" cm="1">
        <f t="array" ref="Y156">INDEX(GMWQ!$A$2:$NF$60,MATCH(1,(GMWQ!$NE$2:$NE$60=Y$3)*(GMWQ!$NF$2:$NF$60=Y$1),0),$B156-1966)</f>
        <v>38851</v>
      </c>
      <c r="Z156" s="18" cm="1">
        <f t="array" ref="Z156">INDEX(GMWQ!$A$2:$NF$60,MATCH(1,(GMWQ!$NE$2:$NE$60=Z$3)*(GMWQ!$NF$2:$NF$60=Z$1),0),$B156-1966)</f>
        <v>37630</v>
      </c>
    </row>
    <row r="157" spans="1:26" x14ac:dyDescent="0.25">
      <c r="B157" s="18">
        <f t="shared" si="3"/>
        <v>2123</v>
      </c>
      <c r="C157" s="18" cm="1">
        <f t="array" ref="C157">INDEX(GMWQ!$A$2:$NE$60,MATCH(1,(GMWQ!$NE$2:$NE$60=C$3)*(GMWQ!$ND$2:$ND$60=C$4),0),$B157-1966)</f>
        <v>42697</v>
      </c>
      <c r="D157" s="18" cm="1">
        <f t="array" ref="D157">INDEX(GMWQ!$A$2:$NE$60,MATCH(1,(GMWQ!$NE$2:$NE$60=D$3)*(GMWQ!$ND$2:$ND$60=D$4),0),$B157-1966)</f>
        <v>90085</v>
      </c>
      <c r="E157" s="18" cm="1">
        <f t="array" ref="E157">INDEX(GMWQ!$A$2:$NE$60,MATCH(1,(GMWQ!$NE$2:$NE$60=E$3)*(GMWQ!$ND$2:$ND$60=E$4),0),$B157-1966)</f>
        <v>9678</v>
      </c>
      <c r="F157" s="18" cm="1">
        <f t="array" ref="F157">INDEX(GMWQ!$A$2:$NE$60,MATCH(1,(GMWQ!$NE$2:$NE$60=F$3)*(GMWQ!$ND$2:$ND$60=F$4),0),$B157-1966)</f>
        <v>6300</v>
      </c>
      <c r="G157" s="18" cm="1">
        <f t="array" ref="G157">INDEX(GMWQ!$A$2:$NE$60,MATCH(1,(GMWQ!$NE$2:$NE$60=G$3)*(GMWQ!$ND$2:$ND$60=G$4),0),$B157-1966)</f>
        <v>404365</v>
      </c>
      <c r="H157" s="18" cm="1">
        <f t="array" ref="H157">INDEX(GMWQ!$A$2:$NE$60,MATCH(1,(GMWQ!$NE$2:$NE$60=H$3)*(GMWQ!$ND$2:$ND$60=H$4),0),$B157-1966)</f>
        <v>83557</v>
      </c>
      <c r="I157" s="18" cm="1">
        <f t="array" ref="I157">INDEX(GMWQ!$A$2:$NE$60,MATCH(1,(GMWQ!$NE$2:$NE$60=I$3)*(GMWQ!$ND$2:$ND$60=I$4),0),$B157-1966)</f>
        <v>15983</v>
      </c>
      <c r="J157" s="18" cm="1">
        <f t="array" ref="J157">INDEX(GMWQ!$A$2:$NE$60,MATCH(1,(GMWQ!$NE$2:$NE$60=J$3)*(GMWQ!$ND$2:$ND$60=J$4),0),$B157-1966)</f>
        <v>16182</v>
      </c>
      <c r="K157" s="18" cm="1">
        <f t="array" ref="K157">INDEX(GMWQ!$A$2:$NE$60,MATCH(1,(GMWQ!$NE$2:$NE$60=K$3)*(GMWQ!$ND$2:$ND$60=K$4),0),$B157-1966)</f>
        <v>2693339</v>
      </c>
      <c r="L157" s="18" cm="1">
        <f t="array" ref="L157">INDEX(GMWQ!$A$2:$NE$60,MATCH(1,(GMWQ!$NE$2:$NE$60=L$3)*(GMWQ!$ND$2:$ND$60=L$4),0),$B157-1966)</f>
        <v>29385</v>
      </c>
      <c r="M157" s="18" cm="1">
        <f t="array" ref="M157">INDEX(GMWQ!$A$2:$NE$60,MATCH(1,(GMWQ!$NE$2:$NE$60=M$3)*(GMWQ!$ND$2:$ND$60=M$4),0),$B157-1966)</f>
        <v>31.6</v>
      </c>
      <c r="N157" s="18" cm="1">
        <f t="array" ref="N157">INDEX(GMWQ!$A$2:$NE$60,MATCH(1,(GMWQ!$NE$2:$NE$60=N$3)*(GMWQ!$ND$2:$ND$60=N$4),0),$B157-1966)</f>
        <v>9.109076</v>
      </c>
      <c r="O157" s="18" cm="1">
        <f t="array" ref="O157">INDEX(GMWQ!$A$2:$NE$60,MATCH(1,(GMWQ!$NE$2:$NE$60=O$3)*(GMWQ!$ND$2:$ND$60=O$4),0),$B157-1966)</f>
        <v>3.7050869999999998</v>
      </c>
      <c r="P157" s="18" cm="1">
        <f t="array" ref="P157">INDEX(GMWQ!$A$2:$NE$60,MATCH(1,(GMWQ!$NE$2:$NE$60=P$3)*(GMWQ!$ND$2:$ND$60=P$4),0),$B157-1966)</f>
        <v>469079</v>
      </c>
      <c r="Q157" s="18" cm="1">
        <f t="array" ref="Q157">INDEX(GMWQ!$A$2:$NE$60,MATCH(1,(GMWQ!$NE$2:$NE$60=Q$3)*(GMWQ!$ND$2:$ND$60=Q$4),0),$B157-1966)</f>
        <v>455.92500000000001</v>
      </c>
      <c r="R157" s="18" cm="1">
        <f t="array" ref="R157">INDEX(GMWQ!$A$2:$NE$60,MATCH(1,(GMWQ!$NE$2:$NE$60=R$3)*(GMWQ!$ND$2:$ND$60=R$4),0),$B157-1966)</f>
        <v>18358.3</v>
      </c>
      <c r="S157" s="18" cm="1">
        <f t="array" ref="S157">INDEX(GMWQ!$A$2:$NE$60,MATCH(1,(GMWQ!$NE$2:$NE$60=S$3)*(GMWQ!$ND$2:$ND$60=S$4),0),$B157-1966)</f>
        <v>87.68</v>
      </c>
      <c r="T157" s="18" cm="1">
        <f t="array" ref="T157">INDEX(GMWQ!$A$2:$NE$60,MATCH(1,(GMWQ!$NE$2:$NE$60=T$3)*(GMWQ!$ND$2:$ND$60=T$4),0),$B157-1966)</f>
        <v>61.77</v>
      </c>
      <c r="U157" s="18" cm="1">
        <f t="array" ref="U157">INDEX(GMWQ!$A$2:$NE$60,MATCH(1,(GMWQ!$NE$2:$NE$60=U$3)*(GMWQ!$ND$2:$ND$60=U$4),0),$B157-1966)</f>
        <v>48.065089999999998</v>
      </c>
      <c r="V157" s="18" cm="1">
        <f t="array" ref="V157">INDEX(GMWQ!$A$2:$NE$60,MATCH(1,(GMWQ!$NE$2:$NE$60=V$3)*(GMWQ!$ND$2:$ND$60=V$4),0),$B157-1966)</f>
        <v>56295.5</v>
      </c>
      <c r="W157" s="18" cm="1">
        <f t="array" ref="W157">INDEX(GMWQ!$A$2:$NF$60,MATCH(1,(GMWQ!$NE$2:$NE$60=W$3)*(GMWQ!$NF$2:$NF$60=W$1),0),$B157-1966)</f>
        <v>37167</v>
      </c>
      <c r="X157" s="18" cm="1">
        <f t="array" ref="X157">INDEX(GMWQ!$A$2:$NF$60,MATCH(1,(GMWQ!$NE$2:$NE$60=X$3)*(GMWQ!$NF$2:$NF$60=X$1),0),$B157-1966)</f>
        <v>39657</v>
      </c>
      <c r="Y157" s="18" cm="1">
        <f t="array" ref="Y157">INDEX(GMWQ!$A$2:$NF$60,MATCH(1,(GMWQ!$NE$2:$NE$60=Y$3)*(GMWQ!$NF$2:$NF$60=Y$1),0),$B157-1966)</f>
        <v>40473</v>
      </c>
      <c r="Z157" s="18" cm="1">
        <f t="array" ref="Z157">INDEX(GMWQ!$A$2:$NF$60,MATCH(1,(GMWQ!$NE$2:$NE$60=Z$3)*(GMWQ!$NF$2:$NF$60=Z$1),0),$B157-1966)</f>
        <v>39313</v>
      </c>
    </row>
    <row r="158" spans="1:26" x14ac:dyDescent="0.25">
      <c r="B158" s="18">
        <f t="shared" si="3"/>
        <v>2124</v>
      </c>
      <c r="C158" s="18" cm="1">
        <f t="array" ref="C158">INDEX(GMWQ!$A$2:$NE$60,MATCH(1,(GMWQ!$NE$2:$NE$60=C$3)*(GMWQ!$ND$2:$ND$60=C$4),0),$B158-1966)</f>
        <v>45515</v>
      </c>
      <c r="D158" s="18" cm="1">
        <f t="array" ref="D158">INDEX(GMWQ!$A$2:$NE$60,MATCH(1,(GMWQ!$NE$2:$NE$60=D$3)*(GMWQ!$ND$2:$ND$60=D$4),0),$B158-1966)</f>
        <v>91218</v>
      </c>
      <c r="E158" s="18" cm="1">
        <f t="array" ref="E158">INDEX(GMWQ!$A$2:$NE$60,MATCH(1,(GMWQ!$NE$2:$NE$60=E$3)*(GMWQ!$ND$2:$ND$60=E$4),0),$B158-1966)</f>
        <v>16361</v>
      </c>
      <c r="F158" s="18" cm="1">
        <f t="array" ref="F158">INDEX(GMWQ!$A$2:$NE$60,MATCH(1,(GMWQ!$NE$2:$NE$60=F$3)*(GMWQ!$ND$2:$ND$60=F$4),0),$B158-1966)</f>
        <v>7885</v>
      </c>
      <c r="G158" s="18" cm="1">
        <f t="array" ref="G158">INDEX(GMWQ!$A$2:$NE$60,MATCH(1,(GMWQ!$NE$2:$NE$60=G$3)*(GMWQ!$ND$2:$ND$60=G$4),0),$B158-1966)</f>
        <v>406789</v>
      </c>
      <c r="H158" s="18" cm="1">
        <f t="array" ref="H158">INDEX(GMWQ!$A$2:$NE$60,MATCH(1,(GMWQ!$NE$2:$NE$60=H$3)*(GMWQ!$ND$2:$ND$60=H$4),0),$B158-1966)</f>
        <v>85811</v>
      </c>
      <c r="I158" s="18" cm="1">
        <f t="array" ref="I158">INDEX(GMWQ!$A$2:$NE$60,MATCH(1,(GMWQ!$NE$2:$NE$60=I$3)*(GMWQ!$ND$2:$ND$60=I$4),0),$B158-1966)</f>
        <v>15903</v>
      </c>
      <c r="J158" s="18" cm="1">
        <f t="array" ref="J158">INDEX(GMWQ!$A$2:$NE$60,MATCH(1,(GMWQ!$NE$2:$NE$60=J$3)*(GMWQ!$ND$2:$ND$60=J$4),0),$B158-1966)</f>
        <v>15875</v>
      </c>
      <c r="K158" s="18" cm="1">
        <f t="array" ref="K158">INDEX(GMWQ!$A$2:$NE$60,MATCH(1,(GMWQ!$NE$2:$NE$60=K$3)*(GMWQ!$ND$2:$ND$60=K$4),0),$B158-1966)</f>
        <v>2701489</v>
      </c>
      <c r="L158" s="18" cm="1">
        <f t="array" ref="L158">INDEX(GMWQ!$A$2:$NE$60,MATCH(1,(GMWQ!$NE$2:$NE$60=L$3)*(GMWQ!$ND$2:$ND$60=L$4),0),$B158-1966)</f>
        <v>29324</v>
      </c>
      <c r="M158" s="18" cm="1">
        <f t="array" ref="M158">INDEX(GMWQ!$A$2:$NE$60,MATCH(1,(GMWQ!$NE$2:$NE$60=M$3)*(GMWQ!$ND$2:$ND$60=M$4),0),$B158-1966)</f>
        <v>31.8</v>
      </c>
      <c r="N158" s="18" cm="1">
        <f t="array" ref="N158">INDEX(GMWQ!$A$2:$NE$60,MATCH(1,(GMWQ!$NE$2:$NE$60=N$3)*(GMWQ!$ND$2:$ND$60=N$4),0),$B158-1966)</f>
        <v>10.435969999999999</v>
      </c>
      <c r="O158" s="18" cm="1">
        <f t="array" ref="O158">INDEX(GMWQ!$A$2:$NE$60,MATCH(1,(GMWQ!$NE$2:$NE$60=O$3)*(GMWQ!$ND$2:$ND$60=O$4),0),$B158-1966)</f>
        <v>3.5836440000000001</v>
      </c>
      <c r="P158" s="18" cm="1">
        <f t="array" ref="P158">INDEX(GMWQ!$A$2:$NE$60,MATCH(1,(GMWQ!$NE$2:$NE$60=P$3)*(GMWQ!$ND$2:$ND$60=P$4),0),$B158-1966)</f>
        <v>448009</v>
      </c>
      <c r="Q158" s="18" cm="1">
        <f t="array" ref="Q158">INDEX(GMWQ!$A$2:$NE$60,MATCH(1,(GMWQ!$NE$2:$NE$60=Q$3)*(GMWQ!$ND$2:$ND$60=Q$4),0),$B158-1966)</f>
        <v>464.85</v>
      </c>
      <c r="R158" s="18" cm="1">
        <f t="array" ref="R158">INDEX(GMWQ!$A$2:$NE$60,MATCH(1,(GMWQ!$NE$2:$NE$60=R$3)*(GMWQ!$ND$2:$ND$60=R$4),0),$B158-1966)</f>
        <v>18333.47</v>
      </c>
      <c r="S158" s="18" cm="1">
        <f t="array" ref="S158">INDEX(GMWQ!$A$2:$NE$60,MATCH(1,(GMWQ!$NE$2:$NE$60=S$3)*(GMWQ!$ND$2:$ND$60=S$4),0),$B158-1966)</f>
        <v>88.23</v>
      </c>
      <c r="T158" s="18" cm="1">
        <f t="array" ref="T158">INDEX(GMWQ!$A$2:$NE$60,MATCH(1,(GMWQ!$NE$2:$NE$60=T$3)*(GMWQ!$ND$2:$ND$60=T$4),0),$B158-1966)</f>
        <v>62.689</v>
      </c>
      <c r="U158" s="18" cm="1">
        <f t="array" ref="U158">INDEX(GMWQ!$A$2:$NE$60,MATCH(1,(GMWQ!$NE$2:$NE$60=U$3)*(GMWQ!$ND$2:$ND$60=U$4),0),$B158-1966)</f>
        <v>48.453919999999997</v>
      </c>
      <c r="V158" s="18" cm="1">
        <f t="array" ref="V158">INDEX(GMWQ!$A$2:$NE$60,MATCH(1,(GMWQ!$NE$2:$NE$60=V$3)*(GMWQ!$ND$2:$ND$60=V$4),0),$B158-1966)</f>
        <v>58629.75</v>
      </c>
      <c r="W158" s="18" cm="1">
        <f t="array" ref="W158">INDEX(GMWQ!$A$2:$NF$60,MATCH(1,(GMWQ!$NE$2:$NE$60=W$3)*(GMWQ!$NF$2:$NF$60=W$1),0),$B158-1966)</f>
        <v>39318</v>
      </c>
      <c r="X158" s="18" cm="1">
        <f t="array" ref="X158">INDEX(GMWQ!$A$2:$NF$60,MATCH(1,(GMWQ!$NE$2:$NE$60=X$3)*(GMWQ!$NF$2:$NF$60=X$1),0),$B158-1966)</f>
        <v>42384</v>
      </c>
      <c r="Y158" s="18" cm="1">
        <f t="array" ref="Y158">INDEX(GMWQ!$A$2:$NF$60,MATCH(1,(GMWQ!$NE$2:$NE$60=Y$3)*(GMWQ!$NF$2:$NF$60=Y$1),0),$B158-1966)</f>
        <v>43338</v>
      </c>
      <c r="Z158" s="18" cm="1">
        <f t="array" ref="Z158">INDEX(GMWQ!$A$2:$NF$60,MATCH(1,(GMWQ!$NE$2:$NE$60=Z$3)*(GMWQ!$NF$2:$NF$60=Z$1),0),$B158-1966)</f>
        <v>41914</v>
      </c>
    </row>
    <row r="159" spans="1:26" x14ac:dyDescent="0.25">
      <c r="A159" s="18">
        <v>2011</v>
      </c>
      <c r="B159" s="18">
        <f t="shared" si="3"/>
        <v>2125</v>
      </c>
      <c r="C159" s="18" cm="1">
        <f t="array" ref="C159">INDEX(GMWQ!$A$2:$NE$60,MATCH(1,(GMWQ!$NE$2:$NE$60=C$3)*(GMWQ!$ND$2:$ND$60=C$4),0),$B159-1966)</f>
        <v>42330</v>
      </c>
      <c r="D159" s="18" cm="1">
        <f t="array" ref="D159">INDEX(GMWQ!$A$2:$NE$60,MATCH(1,(GMWQ!$NE$2:$NE$60=D$3)*(GMWQ!$ND$2:$ND$60=D$4),0),$B159-1966)</f>
        <v>89806</v>
      </c>
      <c r="E159" s="18" cm="1">
        <f t="array" ref="E159">INDEX(GMWQ!$A$2:$NE$60,MATCH(1,(GMWQ!$NE$2:$NE$60=E$3)*(GMWQ!$ND$2:$ND$60=E$4),0),$B159-1966)</f>
        <v>16014</v>
      </c>
      <c r="F159" s="18" cm="1">
        <f t="array" ref="F159">INDEX(GMWQ!$A$2:$NE$60,MATCH(1,(GMWQ!$NE$2:$NE$60=F$3)*(GMWQ!$ND$2:$ND$60=F$4),0),$B159-1966)</f>
        <v>15199</v>
      </c>
      <c r="G159" s="18" cm="1">
        <f t="array" ref="G159">INDEX(GMWQ!$A$2:$NE$60,MATCH(1,(GMWQ!$NE$2:$NE$60=G$3)*(GMWQ!$ND$2:$ND$60=G$4),0),$B159-1966)</f>
        <v>414806</v>
      </c>
      <c r="H159" s="18" cm="1">
        <f t="array" ref="H159">INDEX(GMWQ!$A$2:$NE$60,MATCH(1,(GMWQ!$NE$2:$NE$60=H$3)*(GMWQ!$ND$2:$ND$60=H$4),0),$B159-1966)</f>
        <v>82496</v>
      </c>
      <c r="I159" s="18" cm="1">
        <f t="array" ref="I159">INDEX(GMWQ!$A$2:$NE$60,MATCH(1,(GMWQ!$NE$2:$NE$60=I$3)*(GMWQ!$ND$2:$ND$60=I$4),0),$B159-1966)</f>
        <v>16841</v>
      </c>
      <c r="J159" s="18" cm="1">
        <f t="array" ref="J159">INDEX(GMWQ!$A$2:$NE$60,MATCH(1,(GMWQ!$NE$2:$NE$60=J$3)*(GMWQ!$ND$2:$ND$60=J$4),0),$B159-1966)</f>
        <v>15335</v>
      </c>
      <c r="K159" s="18" cm="1">
        <f t="array" ref="K159">INDEX(GMWQ!$A$2:$NE$60,MATCH(1,(GMWQ!$NE$2:$NE$60=K$3)*(GMWQ!$ND$2:$ND$60=K$4),0),$B159-1966)</f>
        <v>2709096</v>
      </c>
      <c r="L159" s="18" cm="1">
        <f t="array" ref="L159">INDEX(GMWQ!$A$2:$NE$60,MATCH(1,(GMWQ!$NE$2:$NE$60=L$3)*(GMWQ!$ND$2:$ND$60=L$4),0),$B159-1966)</f>
        <v>29441</v>
      </c>
      <c r="M159" s="18" cm="1">
        <f t="array" ref="M159">INDEX(GMWQ!$A$2:$NE$60,MATCH(1,(GMWQ!$NE$2:$NE$60=M$3)*(GMWQ!$ND$2:$ND$60=M$4),0),$B159-1966)</f>
        <v>31.7</v>
      </c>
      <c r="N159" s="18" cm="1">
        <f t="array" ref="N159">INDEX(GMWQ!$A$2:$NE$60,MATCH(1,(GMWQ!$NE$2:$NE$60=N$3)*(GMWQ!$ND$2:$ND$60=N$4),0),$B159-1966)</f>
        <v>8.5299940000000003</v>
      </c>
      <c r="O159" s="18" cm="1">
        <f t="array" ref="O159">INDEX(GMWQ!$A$2:$NE$60,MATCH(1,(GMWQ!$NE$2:$NE$60=O$3)*(GMWQ!$ND$2:$ND$60=O$4),0),$B159-1966)</f>
        <v>3.913888</v>
      </c>
      <c r="P159" s="18" cm="1">
        <f t="array" ref="P159">INDEX(GMWQ!$A$2:$NE$60,MATCH(1,(GMWQ!$NE$2:$NE$60=P$3)*(GMWQ!$ND$2:$ND$60=P$4),0),$B159-1966)</f>
        <v>443540</v>
      </c>
      <c r="Q159" s="18" cm="1">
        <f t="array" ref="Q159">INDEX(GMWQ!$A$2:$NE$60,MATCH(1,(GMWQ!$NE$2:$NE$60=Q$3)*(GMWQ!$ND$2:$ND$60=Q$4),0),$B159-1966)</f>
        <v>464.32499999999999</v>
      </c>
      <c r="R159" s="18" cm="1">
        <f t="array" ref="R159">INDEX(GMWQ!$A$2:$NE$60,MATCH(1,(GMWQ!$NE$2:$NE$60=R$3)*(GMWQ!$ND$2:$ND$60=R$4),0),$B159-1966)</f>
        <v>18758.07</v>
      </c>
      <c r="S159" s="18" cm="1">
        <f t="array" ref="S159">INDEX(GMWQ!$A$2:$NE$60,MATCH(1,(GMWQ!$NE$2:$NE$60=S$3)*(GMWQ!$ND$2:$ND$60=S$4),0),$B159-1966)</f>
        <v>91.08</v>
      </c>
      <c r="T159" s="18" cm="1">
        <f t="array" ref="T159">INDEX(GMWQ!$A$2:$NE$60,MATCH(1,(GMWQ!$NE$2:$NE$60=T$3)*(GMWQ!$ND$2:$ND$60=T$4),0),$B159-1966)</f>
        <v>63.64</v>
      </c>
      <c r="U159" s="18" cm="1">
        <f t="array" ref="U159">INDEX(GMWQ!$A$2:$NE$60,MATCH(1,(GMWQ!$NE$2:$NE$60=U$3)*(GMWQ!$ND$2:$ND$60=U$4),0),$B159-1966)</f>
        <v>49.076799999999999</v>
      </c>
      <c r="V159" s="18" cm="1">
        <f t="array" ref="V159">INDEX(GMWQ!$A$2:$NE$60,MATCH(1,(GMWQ!$NE$2:$NE$60=V$3)*(GMWQ!$ND$2:$ND$60=V$4),0),$B159-1966)</f>
        <v>59759.75</v>
      </c>
      <c r="W159" s="18" cm="1">
        <f t="array" ref="W159">INDEX(GMWQ!$A$2:$NF$60,MATCH(1,(GMWQ!$NE$2:$NE$60=W$3)*(GMWQ!$NF$2:$NF$60=W$1),0),$B159-1966)</f>
        <v>35783</v>
      </c>
      <c r="X159" s="18" cm="1">
        <f t="array" ref="X159">INDEX(GMWQ!$A$2:$NF$60,MATCH(1,(GMWQ!$NE$2:$NE$60=X$3)*(GMWQ!$NF$2:$NF$60=X$1),0),$B159-1966)</f>
        <v>38609</v>
      </c>
      <c r="Y159" s="18" cm="1">
        <f t="array" ref="Y159">INDEX(GMWQ!$A$2:$NF$60,MATCH(1,(GMWQ!$NE$2:$NE$60=Y$3)*(GMWQ!$NF$2:$NF$60=Y$1),0),$B159-1966)</f>
        <v>39733</v>
      </c>
      <c r="Z159" s="18" cm="1">
        <f t="array" ref="Z159">INDEX(GMWQ!$A$2:$NF$60,MATCH(1,(GMWQ!$NE$2:$NE$60=Z$3)*(GMWQ!$NF$2:$NF$60=Z$1),0),$B159-1966)</f>
        <v>39000</v>
      </c>
    </row>
    <row r="160" spans="1:26" x14ac:dyDescent="0.25">
      <c r="B160" s="18">
        <f t="shared" si="3"/>
        <v>2126</v>
      </c>
      <c r="C160" s="18" cm="1">
        <f t="array" ref="C160">INDEX(GMWQ!$A$2:$NE$60,MATCH(1,(GMWQ!$NE$2:$NE$60=C$3)*(GMWQ!$ND$2:$ND$60=C$4),0),$B160-1966)</f>
        <v>44742</v>
      </c>
      <c r="D160" s="18" cm="1">
        <f t="array" ref="D160">INDEX(GMWQ!$A$2:$NE$60,MATCH(1,(GMWQ!$NE$2:$NE$60=D$3)*(GMWQ!$ND$2:$ND$60=D$4),0),$B160-1966)</f>
        <v>90019</v>
      </c>
      <c r="E160" s="18" cm="1">
        <f t="array" ref="E160">INDEX(GMWQ!$A$2:$NE$60,MATCH(1,(GMWQ!$NE$2:$NE$60=E$3)*(GMWQ!$ND$2:$ND$60=E$4),0),$B160-1966)</f>
        <v>5290</v>
      </c>
      <c r="F160" s="18" cm="1">
        <f t="array" ref="F160">INDEX(GMWQ!$A$2:$NE$60,MATCH(1,(GMWQ!$NE$2:$NE$60=F$3)*(GMWQ!$ND$2:$ND$60=F$4),0),$B160-1966)</f>
        <v>6424</v>
      </c>
      <c r="G160" s="18" cm="1">
        <f t="array" ref="G160">INDEX(GMWQ!$A$2:$NE$60,MATCH(1,(GMWQ!$NE$2:$NE$60=G$3)*(GMWQ!$ND$2:$ND$60=G$4),0),$B160-1966)</f>
        <v>412364</v>
      </c>
      <c r="H160" s="18" cm="1">
        <f t="array" ref="H160">INDEX(GMWQ!$A$2:$NE$60,MATCH(1,(GMWQ!$NE$2:$NE$60=H$3)*(GMWQ!$ND$2:$ND$60=H$4),0),$B160-1966)</f>
        <v>81610</v>
      </c>
      <c r="I160" s="18" cm="1">
        <f t="array" ref="I160">INDEX(GMWQ!$A$2:$NE$60,MATCH(1,(GMWQ!$NE$2:$NE$60=I$3)*(GMWQ!$ND$2:$ND$60=I$4),0),$B160-1966)</f>
        <v>14079</v>
      </c>
      <c r="J160" s="18" cm="1">
        <f t="array" ref="J160">INDEX(GMWQ!$A$2:$NE$60,MATCH(1,(GMWQ!$NE$2:$NE$60=J$3)*(GMWQ!$ND$2:$ND$60=J$4),0),$B160-1966)</f>
        <v>15320</v>
      </c>
      <c r="K160" s="18" cm="1">
        <f t="array" ref="K160">INDEX(GMWQ!$A$2:$NE$60,MATCH(1,(GMWQ!$NE$2:$NE$60=K$3)*(GMWQ!$ND$2:$ND$60=K$4),0),$B160-1966)</f>
        <v>2716702</v>
      </c>
      <c r="L160" s="18" cm="1">
        <f t="array" ref="L160">INDEX(GMWQ!$A$2:$NE$60,MATCH(1,(GMWQ!$NE$2:$NE$60=L$3)*(GMWQ!$ND$2:$ND$60=L$4),0),$B160-1966)</f>
        <v>29447</v>
      </c>
      <c r="M160" s="18" cm="1">
        <f t="array" ref="M160">INDEX(GMWQ!$A$2:$NE$60,MATCH(1,(GMWQ!$NE$2:$NE$60=M$3)*(GMWQ!$ND$2:$ND$60=M$4),0),$B160-1966)</f>
        <v>31.3</v>
      </c>
      <c r="N160" s="18" cm="1">
        <f t="array" ref="N160">INDEX(GMWQ!$A$2:$NE$60,MATCH(1,(GMWQ!$NE$2:$NE$60=N$3)*(GMWQ!$ND$2:$ND$60=N$4),0),$B160-1966)</f>
        <v>9.9548159999999992</v>
      </c>
      <c r="O160" s="18" cm="1">
        <f t="array" ref="O160">INDEX(GMWQ!$A$2:$NE$60,MATCH(1,(GMWQ!$NE$2:$NE$60=O$3)*(GMWQ!$ND$2:$ND$60=O$4),0),$B160-1966)</f>
        <v>3.626255</v>
      </c>
      <c r="P160" s="18" cm="1">
        <f t="array" ref="P160">INDEX(GMWQ!$A$2:$NE$60,MATCH(1,(GMWQ!$NE$2:$NE$60=P$3)*(GMWQ!$ND$2:$ND$60=P$4),0),$B160-1966)</f>
        <v>440266</v>
      </c>
      <c r="Q160" s="18" cm="1">
        <f t="array" ref="Q160">INDEX(GMWQ!$A$2:$NE$60,MATCH(1,(GMWQ!$NE$2:$NE$60=Q$3)*(GMWQ!$ND$2:$ND$60=Q$4),0),$B160-1966)</f>
        <v>476.42500000000001</v>
      </c>
      <c r="R160" s="18" cm="1">
        <f t="array" ref="R160">INDEX(GMWQ!$A$2:$NE$60,MATCH(1,(GMWQ!$NE$2:$NE$60=R$3)*(GMWQ!$ND$2:$ND$60=R$4),0),$B160-1966)</f>
        <v>18417.650000000001</v>
      </c>
      <c r="S160" s="18" cm="1">
        <f t="array" ref="S160">INDEX(GMWQ!$A$2:$NE$60,MATCH(1,(GMWQ!$NE$2:$NE$60=S$3)*(GMWQ!$ND$2:$ND$60=S$4),0),$B160-1966)</f>
        <v>92.05</v>
      </c>
      <c r="T160" s="18" cm="1">
        <f t="array" ref="T160">INDEX(GMWQ!$A$2:$NE$60,MATCH(1,(GMWQ!$NE$2:$NE$60=T$3)*(GMWQ!$ND$2:$ND$60=T$4),0),$B160-1966)</f>
        <v>64.341999999999999</v>
      </c>
      <c r="U160" s="18" cm="1">
        <f t="array" ref="U160">INDEX(GMWQ!$A$2:$NE$60,MATCH(1,(GMWQ!$NE$2:$NE$60=U$3)*(GMWQ!$ND$2:$ND$60=U$4),0),$B160-1966)</f>
        <v>49.126130000000003</v>
      </c>
      <c r="V160" s="18" cm="1">
        <f t="array" ref="V160">INDEX(GMWQ!$A$2:$NE$60,MATCH(1,(GMWQ!$NE$2:$NE$60=V$3)*(GMWQ!$ND$2:$ND$60=V$4),0),$B160-1966)</f>
        <v>61564.25</v>
      </c>
      <c r="W160" s="18" cm="1">
        <f t="array" ref="W160">INDEX(GMWQ!$A$2:$NF$60,MATCH(1,(GMWQ!$NE$2:$NE$60=W$3)*(GMWQ!$NF$2:$NF$60=W$1),0),$B160-1966)</f>
        <v>36608</v>
      </c>
      <c r="X160" s="18" cm="1">
        <f t="array" ref="X160">INDEX(GMWQ!$A$2:$NF$60,MATCH(1,(GMWQ!$NE$2:$NE$60=X$3)*(GMWQ!$NF$2:$NF$60=X$1),0),$B160-1966)</f>
        <v>39605</v>
      </c>
      <c r="Y160" s="18" cm="1">
        <f t="array" ref="Y160">INDEX(GMWQ!$A$2:$NF$60,MATCH(1,(GMWQ!$NE$2:$NE$60=Y$3)*(GMWQ!$NF$2:$NF$60=Y$1),0),$B160-1966)</f>
        <v>41451</v>
      </c>
      <c r="Z160" s="18" cm="1">
        <f t="array" ref="Z160">INDEX(GMWQ!$A$2:$NF$60,MATCH(1,(GMWQ!$NE$2:$NE$60=Z$3)*(GMWQ!$NF$2:$NF$60=Z$1),0),$B160-1966)</f>
        <v>41219</v>
      </c>
    </row>
    <row r="161" spans="1:26" x14ac:dyDescent="0.25">
      <c r="B161" s="18">
        <f t="shared" si="3"/>
        <v>2127</v>
      </c>
      <c r="C161" s="18" cm="1">
        <f t="array" ref="C161">INDEX(GMWQ!$A$2:$NE$60,MATCH(1,(GMWQ!$NE$2:$NE$60=C$3)*(GMWQ!$ND$2:$ND$60=C$4),0),$B161-1966)</f>
        <v>46218</v>
      </c>
      <c r="D161" s="18" cm="1">
        <f t="array" ref="D161">INDEX(GMWQ!$A$2:$NE$60,MATCH(1,(GMWQ!$NE$2:$NE$60=D$3)*(GMWQ!$ND$2:$ND$60=D$4),0),$B161-1966)</f>
        <v>91757</v>
      </c>
      <c r="E161" s="18" cm="1">
        <f t="array" ref="E161">INDEX(GMWQ!$A$2:$NE$60,MATCH(1,(GMWQ!$NE$2:$NE$60=E$3)*(GMWQ!$ND$2:$ND$60=E$4),0),$B161-1966)</f>
        <v>6387</v>
      </c>
      <c r="F161" s="18" cm="1">
        <f t="array" ref="F161">INDEX(GMWQ!$A$2:$NE$60,MATCH(1,(GMWQ!$NE$2:$NE$60=F$3)*(GMWQ!$ND$2:$ND$60=F$4),0),$B161-1966)</f>
        <v>5118</v>
      </c>
      <c r="G161" s="18" cm="1">
        <f t="array" ref="G161">INDEX(GMWQ!$A$2:$NE$60,MATCH(1,(GMWQ!$NE$2:$NE$60=G$3)*(GMWQ!$ND$2:$ND$60=G$4),0),$B161-1966)</f>
        <v>416115</v>
      </c>
      <c r="H161" s="18" cm="1">
        <f t="array" ref="H161">INDEX(GMWQ!$A$2:$NE$60,MATCH(1,(GMWQ!$NE$2:$NE$60=H$3)*(GMWQ!$ND$2:$ND$60=H$4),0),$B161-1966)</f>
        <v>83476</v>
      </c>
      <c r="I161" s="18" cm="1">
        <f t="array" ref="I161">INDEX(GMWQ!$A$2:$NE$60,MATCH(1,(GMWQ!$NE$2:$NE$60=I$3)*(GMWQ!$ND$2:$ND$60=I$4),0),$B161-1966)</f>
        <v>14389</v>
      </c>
      <c r="J161" s="18" cm="1">
        <f t="array" ref="J161">INDEX(GMWQ!$A$2:$NE$60,MATCH(1,(GMWQ!$NE$2:$NE$60=J$3)*(GMWQ!$ND$2:$ND$60=J$4),0),$B161-1966)</f>
        <v>15259</v>
      </c>
      <c r="K161" s="18" cm="1">
        <f t="array" ref="K161">INDEX(GMWQ!$A$2:$NE$60,MATCH(1,(GMWQ!$NE$2:$NE$60=K$3)*(GMWQ!$ND$2:$ND$60=K$4),0),$B161-1966)</f>
        <v>2724309</v>
      </c>
      <c r="L161" s="18" cm="1">
        <f t="array" ref="L161">INDEX(GMWQ!$A$2:$NE$60,MATCH(1,(GMWQ!$NE$2:$NE$60=L$3)*(GMWQ!$ND$2:$ND$60=L$4),0),$B161-1966)</f>
        <v>29283</v>
      </c>
      <c r="M161" s="18" cm="1">
        <f t="array" ref="M161">INDEX(GMWQ!$A$2:$NE$60,MATCH(1,(GMWQ!$NE$2:$NE$60=M$3)*(GMWQ!$ND$2:$ND$60=M$4),0),$B161-1966)</f>
        <v>31.7</v>
      </c>
      <c r="N161" s="18" cm="1">
        <f t="array" ref="N161">INDEX(GMWQ!$A$2:$NE$60,MATCH(1,(GMWQ!$NE$2:$NE$60=N$3)*(GMWQ!$ND$2:$ND$60=N$4),0),$B161-1966)</f>
        <v>9.7435539999999996</v>
      </c>
      <c r="O161" s="18" cm="1">
        <f t="array" ref="O161">INDEX(GMWQ!$A$2:$NE$60,MATCH(1,(GMWQ!$NE$2:$NE$60=O$3)*(GMWQ!$ND$2:$ND$60=O$4),0),$B161-1966)</f>
        <v>3.692094</v>
      </c>
      <c r="P161" s="18" cm="1">
        <f t="array" ref="P161">INDEX(GMWQ!$A$2:$NE$60,MATCH(1,(GMWQ!$NE$2:$NE$60=P$3)*(GMWQ!$ND$2:$ND$60=P$4),0),$B161-1966)</f>
        <v>433992</v>
      </c>
      <c r="Q161" s="18" cm="1">
        <f t="array" ref="Q161">INDEX(GMWQ!$A$2:$NE$60,MATCH(1,(GMWQ!$NE$2:$NE$60=Q$3)*(GMWQ!$ND$2:$ND$60=Q$4),0),$B161-1966)</f>
        <v>498.85</v>
      </c>
      <c r="R161" s="18" cm="1">
        <f t="array" ref="R161">INDEX(GMWQ!$A$2:$NE$60,MATCH(1,(GMWQ!$NE$2:$NE$60=R$3)*(GMWQ!$ND$2:$ND$60=R$4),0),$B161-1966)</f>
        <v>18851.650000000001</v>
      </c>
      <c r="S161" s="18" cm="1">
        <f t="array" ref="S161">INDEX(GMWQ!$A$2:$NE$60,MATCH(1,(GMWQ!$NE$2:$NE$60=S$3)*(GMWQ!$ND$2:$ND$60=S$4),0),$B161-1966)</f>
        <v>93.93</v>
      </c>
      <c r="T161" s="18" cm="1">
        <f t="array" ref="T161">INDEX(GMWQ!$A$2:$NE$60,MATCH(1,(GMWQ!$NE$2:$NE$60=T$3)*(GMWQ!$ND$2:$ND$60=T$4),0),$B161-1966)</f>
        <v>65.052000000000007</v>
      </c>
      <c r="U161" s="18" cm="1">
        <f t="array" ref="U161">INDEX(GMWQ!$A$2:$NE$60,MATCH(1,(GMWQ!$NE$2:$NE$60=U$3)*(GMWQ!$ND$2:$ND$60=U$4),0),$B161-1966)</f>
        <v>49.077950000000001</v>
      </c>
      <c r="V161" s="18" cm="1">
        <f t="array" ref="V161">INDEX(GMWQ!$A$2:$NE$60,MATCH(1,(GMWQ!$NE$2:$NE$60=V$3)*(GMWQ!$ND$2:$ND$60=V$4),0),$B161-1966)</f>
        <v>62039.5</v>
      </c>
      <c r="W161" s="18" cm="1">
        <f t="array" ref="W161">INDEX(GMWQ!$A$2:$NF$60,MATCH(1,(GMWQ!$NE$2:$NE$60=W$3)*(GMWQ!$NF$2:$NF$60=W$1),0),$B161-1966)</f>
        <v>37760</v>
      </c>
      <c r="X161" s="18" cm="1">
        <f t="array" ref="X161">INDEX(GMWQ!$A$2:$NF$60,MATCH(1,(GMWQ!$NE$2:$NE$60=X$3)*(GMWQ!$NF$2:$NF$60=X$1),0),$B161-1966)</f>
        <v>40830</v>
      </c>
      <c r="Y161" s="18" cm="1">
        <f t="array" ref="Y161">INDEX(GMWQ!$A$2:$NF$60,MATCH(1,(GMWQ!$NE$2:$NE$60=Y$3)*(GMWQ!$NF$2:$NF$60=Y$1),0),$B161-1966)</f>
        <v>43475</v>
      </c>
      <c r="Z161" s="18" cm="1">
        <f t="array" ref="Z161">INDEX(GMWQ!$A$2:$NF$60,MATCH(1,(GMWQ!$NE$2:$NE$60=Z$3)*(GMWQ!$NF$2:$NF$60=Z$1),0),$B161-1966)</f>
        <v>42597</v>
      </c>
    </row>
    <row r="162" spans="1:26" x14ac:dyDescent="0.25">
      <c r="B162" s="18">
        <f t="shared" si="3"/>
        <v>2128</v>
      </c>
      <c r="C162" s="18" cm="1">
        <f t="array" ref="C162">INDEX(GMWQ!$A$2:$NE$60,MATCH(1,(GMWQ!$NE$2:$NE$60=C$3)*(GMWQ!$ND$2:$ND$60=C$4),0),$B162-1966)</f>
        <v>47373</v>
      </c>
      <c r="D162" s="18" cm="1">
        <f t="array" ref="D162">INDEX(GMWQ!$A$2:$NE$60,MATCH(1,(GMWQ!$NE$2:$NE$60=D$3)*(GMWQ!$ND$2:$ND$60=D$4),0),$B162-1966)</f>
        <v>95118</v>
      </c>
      <c r="E162" s="18" cm="1">
        <f t="array" ref="E162">INDEX(GMWQ!$A$2:$NE$60,MATCH(1,(GMWQ!$NE$2:$NE$60=E$3)*(GMWQ!$ND$2:$ND$60=E$4),0),$B162-1966)</f>
        <v>13850</v>
      </c>
      <c r="F162" s="18" cm="1">
        <f t="array" ref="F162">INDEX(GMWQ!$A$2:$NE$60,MATCH(1,(GMWQ!$NE$2:$NE$60=F$3)*(GMWQ!$ND$2:$ND$60=F$4),0),$B162-1966)</f>
        <v>12649</v>
      </c>
      <c r="G162" s="18" cm="1">
        <f t="array" ref="G162">INDEX(GMWQ!$A$2:$NE$60,MATCH(1,(GMWQ!$NE$2:$NE$60=G$3)*(GMWQ!$ND$2:$ND$60=G$4),0),$B162-1966)</f>
        <v>419305</v>
      </c>
      <c r="H162" s="18" cm="1">
        <f t="array" ref="H162">INDEX(GMWQ!$A$2:$NE$60,MATCH(1,(GMWQ!$NE$2:$NE$60=H$3)*(GMWQ!$ND$2:$ND$60=H$4),0),$B162-1966)</f>
        <v>84212</v>
      </c>
      <c r="I162" s="18" cm="1">
        <f t="array" ref="I162">INDEX(GMWQ!$A$2:$NE$60,MATCH(1,(GMWQ!$NE$2:$NE$60=I$3)*(GMWQ!$ND$2:$ND$60=I$4),0),$B162-1966)</f>
        <v>14015</v>
      </c>
      <c r="J162" s="18" cm="1">
        <f t="array" ref="J162">INDEX(GMWQ!$A$2:$NE$60,MATCH(1,(GMWQ!$NE$2:$NE$60=J$3)*(GMWQ!$ND$2:$ND$60=J$4),0),$B162-1966)</f>
        <v>14984</v>
      </c>
      <c r="K162" s="18" cm="1">
        <f t="array" ref="K162">INDEX(GMWQ!$A$2:$NE$60,MATCH(1,(GMWQ!$NE$2:$NE$60=K$3)*(GMWQ!$ND$2:$ND$60=K$4),0),$B162-1966)</f>
        <v>2731916</v>
      </c>
      <c r="L162" s="18" cm="1">
        <f t="array" ref="L162">INDEX(GMWQ!$A$2:$NE$60,MATCH(1,(GMWQ!$NE$2:$NE$60=L$3)*(GMWQ!$ND$2:$ND$60=L$4),0),$B162-1966)</f>
        <v>29349</v>
      </c>
      <c r="M162" s="18" cm="1">
        <f t="array" ref="M162">INDEX(GMWQ!$A$2:$NE$60,MATCH(1,(GMWQ!$NE$2:$NE$60=M$3)*(GMWQ!$ND$2:$ND$60=M$4),0),$B162-1966)</f>
        <v>31.6</v>
      </c>
      <c r="N162" s="18" cm="1">
        <f t="array" ref="N162">INDEX(GMWQ!$A$2:$NE$60,MATCH(1,(GMWQ!$NE$2:$NE$60=N$3)*(GMWQ!$ND$2:$ND$60=N$4),0),$B162-1966)</f>
        <v>9.0813710000000007</v>
      </c>
      <c r="O162" s="18" cm="1">
        <f t="array" ref="O162">INDEX(GMWQ!$A$2:$NE$60,MATCH(1,(GMWQ!$NE$2:$NE$60=O$3)*(GMWQ!$ND$2:$ND$60=O$4),0),$B162-1966)</f>
        <v>3.8413590000000002</v>
      </c>
      <c r="P162" s="18" cm="1">
        <f t="array" ref="P162">INDEX(GMWQ!$A$2:$NE$60,MATCH(1,(GMWQ!$NE$2:$NE$60=P$3)*(GMWQ!$ND$2:$ND$60=P$4),0),$B162-1966)</f>
        <v>422991</v>
      </c>
      <c r="Q162" s="18" cm="1">
        <f t="array" ref="Q162">INDEX(GMWQ!$A$2:$NE$60,MATCH(1,(GMWQ!$NE$2:$NE$60=Q$3)*(GMWQ!$ND$2:$ND$60=Q$4),0),$B162-1966)</f>
        <v>511.65</v>
      </c>
      <c r="R162" s="18" cm="1">
        <f t="array" ref="R162">INDEX(GMWQ!$A$2:$NE$60,MATCH(1,(GMWQ!$NE$2:$NE$60=R$3)*(GMWQ!$ND$2:$ND$60=R$4),0),$B162-1966)</f>
        <v>19591.68</v>
      </c>
      <c r="S162" s="18" cm="1">
        <f t="array" ref="S162">INDEX(GMWQ!$A$2:$NE$60,MATCH(1,(GMWQ!$NE$2:$NE$60=S$3)*(GMWQ!$ND$2:$ND$60=S$4),0),$B162-1966)</f>
        <v>93.31</v>
      </c>
      <c r="T162" s="18" cm="1">
        <f t="array" ref="T162">INDEX(GMWQ!$A$2:$NE$60,MATCH(1,(GMWQ!$NE$2:$NE$60=T$3)*(GMWQ!$ND$2:$ND$60=T$4),0),$B162-1966)</f>
        <v>66.244</v>
      </c>
      <c r="U162" s="18" cm="1">
        <f t="array" ref="U162">INDEX(GMWQ!$A$2:$NE$60,MATCH(1,(GMWQ!$NE$2:$NE$60=U$3)*(GMWQ!$ND$2:$ND$60=U$4),0),$B162-1966)</f>
        <v>48.104379999999999</v>
      </c>
      <c r="V162" s="18" cm="1">
        <f t="array" ref="V162">INDEX(GMWQ!$A$2:$NE$60,MATCH(1,(GMWQ!$NE$2:$NE$60=V$3)*(GMWQ!$ND$2:$ND$60=V$4),0),$B162-1966)</f>
        <v>63538.75</v>
      </c>
      <c r="W162" s="18" cm="1">
        <f t="array" ref="W162">INDEX(GMWQ!$A$2:$NF$60,MATCH(1,(GMWQ!$NE$2:$NE$60=W$3)*(GMWQ!$NF$2:$NF$60=W$1),0),$B162-1966)</f>
        <v>39190</v>
      </c>
      <c r="X162" s="18" cm="1">
        <f t="array" ref="X162">INDEX(GMWQ!$A$2:$NF$60,MATCH(1,(GMWQ!$NE$2:$NE$60=X$3)*(GMWQ!$NF$2:$NF$60=X$1),0),$B162-1966)</f>
        <v>42348</v>
      </c>
      <c r="Y162" s="18" cm="1">
        <f t="array" ref="Y162">INDEX(GMWQ!$A$2:$NF$60,MATCH(1,(GMWQ!$NE$2:$NE$60=Y$3)*(GMWQ!$NF$2:$NF$60=Y$1),0),$B162-1966)</f>
        <v>44931</v>
      </c>
      <c r="Z162" s="18" cm="1">
        <f t="array" ref="Z162">INDEX(GMWQ!$A$2:$NF$60,MATCH(1,(GMWQ!$NE$2:$NE$60=Z$3)*(GMWQ!$NF$2:$NF$60=Z$1),0),$B162-1966)</f>
        <v>43649</v>
      </c>
    </row>
    <row r="163" spans="1:26" x14ac:dyDescent="0.25">
      <c r="A163" s="18">
        <v>2012</v>
      </c>
      <c r="B163" s="18">
        <f t="shared" si="3"/>
        <v>2129</v>
      </c>
      <c r="C163" s="18" cm="1">
        <f t="array" ref="C163">INDEX(GMWQ!$A$2:$NE$60,MATCH(1,(GMWQ!$NE$2:$NE$60=C$3)*(GMWQ!$ND$2:$ND$60=C$4),0),$B163-1966)</f>
        <v>49127</v>
      </c>
      <c r="D163" s="18" cm="1">
        <f t="array" ref="D163">INDEX(GMWQ!$A$2:$NE$60,MATCH(1,(GMWQ!$NE$2:$NE$60=D$3)*(GMWQ!$ND$2:$ND$60=D$4),0),$B163-1966)</f>
        <v>93359</v>
      </c>
      <c r="E163" s="18" cm="1">
        <f t="array" ref="E163">INDEX(GMWQ!$A$2:$NE$60,MATCH(1,(GMWQ!$NE$2:$NE$60=E$3)*(GMWQ!$ND$2:$ND$60=E$4),0),$B163-1966)</f>
        <v>3457</v>
      </c>
      <c r="F163" s="18" cm="1">
        <f t="array" ref="F163">INDEX(GMWQ!$A$2:$NE$60,MATCH(1,(GMWQ!$NE$2:$NE$60=F$3)*(GMWQ!$ND$2:$ND$60=F$4),0),$B163-1966)</f>
        <v>9369</v>
      </c>
      <c r="G163" s="18" cm="1">
        <f t="array" ref="G163">INDEX(GMWQ!$A$2:$NE$60,MATCH(1,(GMWQ!$NE$2:$NE$60=G$3)*(GMWQ!$ND$2:$ND$60=G$4),0),$B163-1966)</f>
        <v>424540</v>
      </c>
      <c r="H163" s="18" cm="1">
        <f t="array" ref="H163">INDEX(GMWQ!$A$2:$NE$60,MATCH(1,(GMWQ!$NE$2:$NE$60=H$3)*(GMWQ!$ND$2:$ND$60=H$4),0),$B163-1966)</f>
        <v>85491</v>
      </c>
      <c r="I163" s="18" cm="1">
        <f t="array" ref="I163">INDEX(GMWQ!$A$2:$NE$60,MATCH(1,(GMWQ!$NE$2:$NE$60=I$3)*(GMWQ!$ND$2:$ND$60=I$4),0),$B163-1966)</f>
        <v>14435</v>
      </c>
      <c r="J163" s="18" cm="1">
        <f t="array" ref="J163">INDEX(GMWQ!$A$2:$NE$60,MATCH(1,(GMWQ!$NE$2:$NE$60=J$3)*(GMWQ!$ND$2:$ND$60=J$4),0),$B163-1966)</f>
        <v>14100</v>
      </c>
      <c r="K163" s="18" cm="1">
        <f t="array" ref="K163">INDEX(GMWQ!$A$2:$NE$60,MATCH(1,(GMWQ!$NE$2:$NE$60=K$3)*(GMWQ!$ND$2:$ND$60=K$4),0),$B163-1966)</f>
        <v>2740338</v>
      </c>
      <c r="L163" s="18" cm="1">
        <f t="array" ref="L163">INDEX(GMWQ!$A$2:$NE$60,MATCH(1,(GMWQ!$NE$2:$NE$60=L$3)*(GMWQ!$ND$2:$ND$60=L$4),0),$B163-1966)</f>
        <v>29464</v>
      </c>
      <c r="M163" s="18" cm="1">
        <f t="array" ref="M163">INDEX(GMWQ!$A$2:$NE$60,MATCH(1,(GMWQ!$NE$2:$NE$60=M$3)*(GMWQ!$ND$2:$ND$60=M$4),0),$B163-1966)</f>
        <v>31.7</v>
      </c>
      <c r="N163" s="18" cm="1">
        <f t="array" ref="N163">INDEX(GMWQ!$A$2:$NE$60,MATCH(1,(GMWQ!$NE$2:$NE$60=N$3)*(GMWQ!$ND$2:$ND$60=N$4),0),$B163-1966)</f>
        <v>10.24574</v>
      </c>
      <c r="O163" s="18" cm="1">
        <f t="array" ref="O163">INDEX(GMWQ!$A$2:$NE$60,MATCH(1,(GMWQ!$NE$2:$NE$60=O$3)*(GMWQ!$ND$2:$ND$60=O$4),0),$B163-1966)</f>
        <v>3.5567669999999998</v>
      </c>
      <c r="P163" s="18" cm="1">
        <f t="array" ref="P163">INDEX(GMWQ!$A$2:$NE$60,MATCH(1,(GMWQ!$NE$2:$NE$60=P$3)*(GMWQ!$ND$2:$ND$60=P$4),0),$B163-1966)</f>
        <v>424064</v>
      </c>
      <c r="Q163" s="18" cm="1">
        <f t="array" ref="Q163">INDEX(GMWQ!$A$2:$NE$60,MATCH(1,(GMWQ!$NE$2:$NE$60=Q$3)*(GMWQ!$ND$2:$ND$60=Q$4),0),$B163-1966)</f>
        <v>524.82500000000005</v>
      </c>
      <c r="R163" s="18" cm="1">
        <f t="array" ref="R163">INDEX(GMWQ!$A$2:$NE$60,MATCH(1,(GMWQ!$NE$2:$NE$60=R$3)*(GMWQ!$ND$2:$ND$60=R$4),0),$B163-1966)</f>
        <v>19615.55</v>
      </c>
      <c r="S163" s="18" cm="1">
        <f t="array" ref="S163">INDEX(GMWQ!$A$2:$NE$60,MATCH(1,(GMWQ!$NE$2:$NE$60=S$3)*(GMWQ!$ND$2:$ND$60=S$4),0),$B163-1966)</f>
        <v>92</v>
      </c>
      <c r="T163" s="18" cm="1">
        <f t="array" ref="T163">INDEX(GMWQ!$A$2:$NE$60,MATCH(1,(GMWQ!$NE$2:$NE$60=T$3)*(GMWQ!$ND$2:$ND$60=T$4),0),$B163-1966)</f>
        <v>65.197000000000003</v>
      </c>
      <c r="U163" s="18" cm="1">
        <f t="array" ref="U163">INDEX(GMWQ!$A$2:$NE$60,MATCH(1,(GMWQ!$NE$2:$NE$60=U$3)*(GMWQ!$ND$2:$ND$60=U$4),0),$B163-1966)</f>
        <v>45.719619999999999</v>
      </c>
      <c r="V163" s="18" cm="1">
        <f t="array" ref="V163">INDEX(GMWQ!$A$2:$NE$60,MATCH(1,(GMWQ!$NE$2:$NE$60=V$3)*(GMWQ!$ND$2:$ND$60=V$4),0),$B163-1966)</f>
        <v>64829.5</v>
      </c>
      <c r="W163" s="18" cm="1">
        <f t="array" ref="W163">INDEX(GMWQ!$A$2:$NF$60,MATCH(1,(GMWQ!$NE$2:$NE$60=W$3)*(GMWQ!$NF$2:$NF$60=W$1),0),$B163-1966)</f>
        <v>39813</v>
      </c>
      <c r="X163" s="18" cm="1">
        <f t="array" ref="X163">INDEX(GMWQ!$A$2:$NF$60,MATCH(1,(GMWQ!$NE$2:$NE$60=X$3)*(GMWQ!$NF$2:$NF$60=X$1),0),$B163-1966)</f>
        <v>42963</v>
      </c>
      <c r="Y163" s="18" cm="1">
        <f t="array" ref="Y163">INDEX(GMWQ!$A$2:$NF$60,MATCH(1,(GMWQ!$NE$2:$NE$60=Y$3)*(GMWQ!$NF$2:$NF$60=Y$1),0),$B163-1966)</f>
        <v>45391</v>
      </c>
      <c r="Z163" s="18" cm="1">
        <f t="array" ref="Z163">INDEX(GMWQ!$A$2:$NF$60,MATCH(1,(GMWQ!$NE$2:$NE$60=Z$3)*(GMWQ!$NF$2:$NF$60=Z$1),0),$B163-1966)</f>
        <v>45274</v>
      </c>
    </row>
    <row r="164" spans="1:26" x14ac:dyDescent="0.25">
      <c r="B164" s="18">
        <f t="shared" si="3"/>
        <v>2130</v>
      </c>
      <c r="C164" s="18" cm="1">
        <f t="array" ref="C164">INDEX(GMWQ!$A$2:$NE$60,MATCH(1,(GMWQ!$NE$2:$NE$60=C$3)*(GMWQ!$ND$2:$ND$60=C$4),0),$B164-1966)</f>
        <v>47014</v>
      </c>
      <c r="D164" s="18" cm="1">
        <f t="array" ref="D164">INDEX(GMWQ!$A$2:$NE$60,MATCH(1,(GMWQ!$NE$2:$NE$60=D$3)*(GMWQ!$ND$2:$ND$60=D$4),0),$B164-1966)</f>
        <v>92968</v>
      </c>
      <c r="E164" s="18" cm="1">
        <f t="array" ref="E164">INDEX(GMWQ!$A$2:$NE$60,MATCH(1,(GMWQ!$NE$2:$NE$60=E$3)*(GMWQ!$ND$2:$ND$60=E$4),0),$B164-1966)</f>
        <v>-3363</v>
      </c>
      <c r="F164" s="18" cm="1">
        <f t="array" ref="F164">INDEX(GMWQ!$A$2:$NE$60,MATCH(1,(GMWQ!$NE$2:$NE$60=F$3)*(GMWQ!$ND$2:$ND$60=F$4),0),$B164-1966)</f>
        <v>6319</v>
      </c>
      <c r="G164" s="18" cm="1">
        <f t="array" ref="G164">INDEX(GMWQ!$A$2:$NE$60,MATCH(1,(GMWQ!$NE$2:$NE$60=G$3)*(GMWQ!$ND$2:$ND$60=G$4),0),$B164-1966)</f>
        <v>424939</v>
      </c>
      <c r="H164" s="18" cm="1">
        <f t="array" ref="H164">INDEX(GMWQ!$A$2:$NE$60,MATCH(1,(GMWQ!$NE$2:$NE$60=H$3)*(GMWQ!$ND$2:$ND$60=H$4),0),$B164-1966)</f>
        <v>83307</v>
      </c>
      <c r="I164" s="18" cm="1">
        <f t="array" ref="I164">INDEX(GMWQ!$A$2:$NE$60,MATCH(1,(GMWQ!$NE$2:$NE$60=I$3)*(GMWQ!$ND$2:$ND$60=I$4),0),$B164-1966)</f>
        <v>14117</v>
      </c>
      <c r="J164" s="18" cm="1">
        <f t="array" ref="J164">INDEX(GMWQ!$A$2:$NE$60,MATCH(1,(GMWQ!$NE$2:$NE$60=J$3)*(GMWQ!$ND$2:$ND$60=J$4),0),$B164-1966)</f>
        <v>14523</v>
      </c>
      <c r="K164" s="18" cm="1">
        <f t="array" ref="K164">INDEX(GMWQ!$A$2:$NE$60,MATCH(1,(GMWQ!$NE$2:$NE$60=K$3)*(GMWQ!$ND$2:$ND$60=K$4),0),$B164-1966)</f>
        <v>2748760</v>
      </c>
      <c r="L164" s="18" cm="1">
        <f t="array" ref="L164">INDEX(GMWQ!$A$2:$NE$60,MATCH(1,(GMWQ!$NE$2:$NE$60=L$3)*(GMWQ!$ND$2:$ND$60=L$4),0),$B164-1966)</f>
        <v>29681</v>
      </c>
      <c r="M164" s="18" cm="1">
        <f t="array" ref="M164">INDEX(GMWQ!$A$2:$NE$60,MATCH(1,(GMWQ!$NE$2:$NE$60=M$3)*(GMWQ!$ND$2:$ND$60=M$4),0),$B164-1966)</f>
        <v>31.7</v>
      </c>
      <c r="N164" s="18" cm="1">
        <f t="array" ref="N164">INDEX(GMWQ!$A$2:$NE$60,MATCH(1,(GMWQ!$NE$2:$NE$60=N$3)*(GMWQ!$ND$2:$ND$60=N$4),0),$B164-1966)</f>
        <v>10.18899</v>
      </c>
      <c r="O164" s="18" cm="1">
        <f t="array" ref="O164">INDEX(GMWQ!$A$2:$NE$60,MATCH(1,(GMWQ!$NE$2:$NE$60=O$3)*(GMWQ!$ND$2:$ND$60=O$4),0),$B164-1966)</f>
        <v>3.381526</v>
      </c>
      <c r="P164" s="18" cm="1">
        <f t="array" ref="P164">INDEX(GMWQ!$A$2:$NE$60,MATCH(1,(GMWQ!$NE$2:$NE$60=P$3)*(GMWQ!$ND$2:$ND$60=P$4),0),$B164-1966)</f>
        <v>421969</v>
      </c>
      <c r="Q164" s="18" cm="1">
        <f t="array" ref="Q164">INDEX(GMWQ!$A$2:$NE$60,MATCH(1,(GMWQ!$NE$2:$NE$60=Q$3)*(GMWQ!$ND$2:$ND$60=Q$4),0),$B164-1966)</f>
        <v>536.67499999999995</v>
      </c>
      <c r="R164" s="18" cm="1">
        <f t="array" ref="R164">INDEX(GMWQ!$A$2:$NE$60,MATCH(1,(GMWQ!$NE$2:$NE$60=R$3)*(GMWQ!$ND$2:$ND$60=R$4),0),$B164-1966)</f>
        <v>19577.150000000001</v>
      </c>
      <c r="S164" s="18" cm="1">
        <f t="array" ref="S164">INDEX(GMWQ!$A$2:$NE$60,MATCH(1,(GMWQ!$NE$2:$NE$60=S$3)*(GMWQ!$ND$2:$ND$60=S$4),0),$B164-1966)</f>
        <v>92.95</v>
      </c>
      <c r="T164" s="18" cm="1">
        <f t="array" ref="T164">INDEX(GMWQ!$A$2:$NE$60,MATCH(1,(GMWQ!$NE$2:$NE$60=T$3)*(GMWQ!$ND$2:$ND$60=T$4),0),$B164-1966)</f>
        <v>64.73</v>
      </c>
      <c r="U164" s="18" cm="1">
        <f t="array" ref="U164">INDEX(GMWQ!$A$2:$NE$60,MATCH(1,(GMWQ!$NE$2:$NE$60=U$3)*(GMWQ!$ND$2:$ND$60=U$4),0),$B164-1966)</f>
        <v>44.689369999999997</v>
      </c>
      <c r="V164" s="18" cm="1">
        <f t="array" ref="V164">INDEX(GMWQ!$A$2:$NE$60,MATCH(1,(GMWQ!$NE$2:$NE$60=V$3)*(GMWQ!$ND$2:$ND$60=V$4),0),$B164-1966)</f>
        <v>66015.5</v>
      </c>
      <c r="W164" s="18" cm="1">
        <f t="array" ref="W164">INDEX(GMWQ!$A$2:$NF$60,MATCH(1,(GMWQ!$NE$2:$NE$60=W$3)*(GMWQ!$NF$2:$NF$60=W$1),0),$B164-1966)</f>
        <v>38377</v>
      </c>
      <c r="X164" s="18" cm="1">
        <f t="array" ref="X164">INDEX(GMWQ!$A$2:$NF$60,MATCH(1,(GMWQ!$NE$2:$NE$60=X$3)*(GMWQ!$NF$2:$NF$60=X$1),0),$B164-1966)</f>
        <v>41468</v>
      </c>
      <c r="Y164" s="18" cm="1">
        <f t="array" ref="Y164">INDEX(GMWQ!$A$2:$NF$60,MATCH(1,(GMWQ!$NE$2:$NE$60=Y$3)*(GMWQ!$NF$2:$NF$60=Y$1),0),$B164-1966)</f>
        <v>42909</v>
      </c>
      <c r="Z164" s="18" cm="1">
        <f t="array" ref="Z164">INDEX(GMWQ!$A$2:$NF$60,MATCH(1,(GMWQ!$NE$2:$NE$60=Z$3)*(GMWQ!$NF$2:$NF$60=Z$1),0),$B164-1966)</f>
        <v>43325</v>
      </c>
    </row>
    <row r="165" spans="1:26" x14ac:dyDescent="0.25">
      <c r="B165" s="18">
        <f t="shared" si="3"/>
        <v>2131</v>
      </c>
      <c r="C165" s="18" cm="1">
        <f t="array" ref="C165">INDEX(GMWQ!$A$2:$NE$60,MATCH(1,(GMWQ!$NE$2:$NE$60=C$3)*(GMWQ!$ND$2:$ND$60=C$4),0),$B165-1966)</f>
        <v>47249</v>
      </c>
      <c r="D165" s="18" cm="1">
        <f t="array" ref="D165">INDEX(GMWQ!$A$2:$NE$60,MATCH(1,(GMWQ!$NE$2:$NE$60=D$3)*(GMWQ!$ND$2:$ND$60=D$4),0),$B165-1966)</f>
        <v>98031</v>
      </c>
      <c r="E165" s="18" cm="1">
        <f t="array" ref="E165">INDEX(GMWQ!$A$2:$NE$60,MATCH(1,(GMWQ!$NE$2:$NE$60=E$3)*(GMWQ!$ND$2:$ND$60=E$4),0),$B165-1966)</f>
        <v>5270</v>
      </c>
      <c r="F165" s="18" cm="1">
        <f t="array" ref="F165">INDEX(GMWQ!$A$2:$NE$60,MATCH(1,(GMWQ!$NE$2:$NE$60=F$3)*(GMWQ!$ND$2:$ND$60=F$4),0),$B165-1966)</f>
        <v>5648</v>
      </c>
      <c r="G165" s="18" cm="1">
        <f t="array" ref="G165">INDEX(GMWQ!$A$2:$NE$60,MATCH(1,(GMWQ!$NE$2:$NE$60=G$3)*(GMWQ!$ND$2:$ND$60=G$4),0),$B165-1966)</f>
        <v>430964</v>
      </c>
      <c r="H165" s="18" cm="1">
        <f t="array" ref="H165">INDEX(GMWQ!$A$2:$NE$60,MATCH(1,(GMWQ!$NE$2:$NE$60=H$3)*(GMWQ!$ND$2:$ND$60=H$4),0),$B165-1966)</f>
        <v>82537</v>
      </c>
      <c r="I165" s="18" cm="1">
        <f t="array" ref="I165">INDEX(GMWQ!$A$2:$NE$60,MATCH(1,(GMWQ!$NE$2:$NE$60=I$3)*(GMWQ!$ND$2:$ND$60=I$4),0),$B165-1966)</f>
        <v>12875</v>
      </c>
      <c r="J165" s="18" cm="1">
        <f t="array" ref="J165">INDEX(GMWQ!$A$2:$NE$60,MATCH(1,(GMWQ!$NE$2:$NE$60=J$3)*(GMWQ!$ND$2:$ND$60=J$4),0),$B165-1966)</f>
        <v>14857</v>
      </c>
      <c r="K165" s="18" cm="1">
        <f t="array" ref="K165">INDEX(GMWQ!$A$2:$NE$60,MATCH(1,(GMWQ!$NE$2:$NE$60=K$3)*(GMWQ!$ND$2:$ND$60=K$4),0),$B165-1966)</f>
        <v>2757182</v>
      </c>
      <c r="L165" s="18" cm="1">
        <f t="array" ref="L165">INDEX(GMWQ!$A$2:$NE$60,MATCH(1,(GMWQ!$NE$2:$NE$60=L$3)*(GMWQ!$ND$2:$ND$60=L$4),0),$B165-1966)</f>
        <v>29778</v>
      </c>
      <c r="M165" s="18" cm="1">
        <f t="array" ref="M165">INDEX(GMWQ!$A$2:$NE$60,MATCH(1,(GMWQ!$NE$2:$NE$60=M$3)*(GMWQ!$ND$2:$ND$60=M$4),0),$B165-1966)</f>
        <v>32</v>
      </c>
      <c r="N165" s="18" cm="1">
        <f t="array" ref="N165">INDEX(GMWQ!$A$2:$NE$60,MATCH(1,(GMWQ!$NE$2:$NE$60=N$3)*(GMWQ!$ND$2:$ND$60=N$4),0),$B165-1966)</f>
        <v>9.6282859999999992</v>
      </c>
      <c r="O165" s="18" cm="1">
        <f t="array" ref="O165">INDEX(GMWQ!$A$2:$NE$60,MATCH(1,(GMWQ!$NE$2:$NE$60=O$3)*(GMWQ!$ND$2:$ND$60=O$4),0),$B165-1966)</f>
        <v>2.94991</v>
      </c>
      <c r="P165" s="18" cm="1">
        <f t="array" ref="P165">INDEX(GMWQ!$A$2:$NE$60,MATCH(1,(GMWQ!$NE$2:$NE$60=P$3)*(GMWQ!$ND$2:$ND$60=P$4),0),$B165-1966)</f>
        <v>415288</v>
      </c>
      <c r="Q165" s="18" cm="1">
        <f t="array" ref="Q165">INDEX(GMWQ!$A$2:$NE$60,MATCH(1,(GMWQ!$NE$2:$NE$60=Q$3)*(GMWQ!$ND$2:$ND$60=Q$4),0),$B165-1966)</f>
        <v>534.9</v>
      </c>
      <c r="R165" s="18" cm="1">
        <f t="array" ref="R165">INDEX(GMWQ!$A$2:$NE$60,MATCH(1,(GMWQ!$NE$2:$NE$60=R$3)*(GMWQ!$ND$2:$ND$60=R$4),0),$B165-1966)</f>
        <v>19428.78</v>
      </c>
      <c r="S165" s="18" cm="1">
        <f t="array" ref="S165">INDEX(GMWQ!$A$2:$NE$60,MATCH(1,(GMWQ!$NE$2:$NE$60=S$3)*(GMWQ!$ND$2:$ND$60=S$4),0),$B165-1966)</f>
        <v>91.59</v>
      </c>
      <c r="T165" s="18" cm="1">
        <f t="array" ref="T165">INDEX(GMWQ!$A$2:$NE$60,MATCH(1,(GMWQ!$NE$2:$NE$60=T$3)*(GMWQ!$ND$2:$ND$60=T$4),0),$B165-1966)</f>
        <v>65.074010000000001</v>
      </c>
      <c r="U165" s="18" cm="1">
        <f t="array" ref="U165">INDEX(GMWQ!$A$2:$NE$60,MATCH(1,(GMWQ!$NE$2:$NE$60=U$3)*(GMWQ!$ND$2:$ND$60=U$4),0),$B165-1966)</f>
        <v>43.7866</v>
      </c>
      <c r="V165" s="18" cm="1">
        <f t="array" ref="V165">INDEX(GMWQ!$A$2:$NE$60,MATCH(1,(GMWQ!$NE$2:$NE$60=V$3)*(GMWQ!$ND$2:$ND$60=V$4),0),$B165-1966)</f>
        <v>66262.75</v>
      </c>
      <c r="W165" s="18" cm="1">
        <f t="array" ref="W165">INDEX(GMWQ!$A$2:$NF$60,MATCH(1,(GMWQ!$NE$2:$NE$60=W$3)*(GMWQ!$NF$2:$NF$60=W$1),0),$B165-1966)</f>
        <v>38961</v>
      </c>
      <c r="X165" s="18" cm="1">
        <f t="array" ref="X165">INDEX(GMWQ!$A$2:$NF$60,MATCH(1,(GMWQ!$NE$2:$NE$60=X$3)*(GMWQ!$NF$2:$NF$60=X$1),0),$B165-1966)</f>
        <v>42005</v>
      </c>
      <c r="Y165" s="18" cm="1">
        <f t="array" ref="Y165">INDEX(GMWQ!$A$2:$NF$60,MATCH(1,(GMWQ!$NE$2:$NE$60=Y$3)*(GMWQ!$NF$2:$NF$60=Y$1),0),$B165-1966)</f>
        <v>44083</v>
      </c>
      <c r="Z165" s="18" cm="1">
        <f t="array" ref="Z165">INDEX(GMWQ!$A$2:$NF$60,MATCH(1,(GMWQ!$NE$2:$NE$60=Z$3)*(GMWQ!$NF$2:$NF$60=Z$1),0),$B165-1966)</f>
        <v>43521</v>
      </c>
    </row>
    <row r="166" spans="1:26" x14ac:dyDescent="0.25">
      <c r="B166" s="18">
        <f t="shared" si="3"/>
        <v>2132</v>
      </c>
      <c r="C166" s="18" cm="1">
        <f t="array" ref="C166">INDEX(GMWQ!$A$2:$NE$60,MATCH(1,(GMWQ!$NE$2:$NE$60=C$3)*(GMWQ!$ND$2:$ND$60=C$4),0),$B166-1966)</f>
        <v>49989</v>
      </c>
      <c r="D166" s="18" cm="1">
        <f t="array" ref="D166">INDEX(GMWQ!$A$2:$NE$60,MATCH(1,(GMWQ!$NE$2:$NE$60=D$3)*(GMWQ!$ND$2:$ND$60=D$4),0),$B166-1966)</f>
        <v>98174</v>
      </c>
      <c r="E166" s="18" cm="1">
        <f t="array" ref="E166">INDEX(GMWQ!$A$2:$NE$60,MATCH(1,(GMWQ!$NE$2:$NE$60=E$3)*(GMWQ!$ND$2:$ND$60=E$4),0),$B166-1966)</f>
        <v>5921</v>
      </c>
      <c r="F166" s="18" cm="1">
        <f t="array" ref="F166">INDEX(GMWQ!$A$2:$NE$60,MATCH(1,(GMWQ!$NE$2:$NE$60=F$3)*(GMWQ!$ND$2:$ND$60=F$4),0),$B166-1966)</f>
        <v>10186</v>
      </c>
      <c r="G166" s="18" cm="1">
        <f t="array" ref="G166">INDEX(GMWQ!$A$2:$NE$60,MATCH(1,(GMWQ!$NE$2:$NE$60=G$3)*(GMWQ!$ND$2:$ND$60=G$4),0),$B166-1966)</f>
        <v>433272</v>
      </c>
      <c r="H166" s="18" cm="1">
        <f t="array" ref="H166">INDEX(GMWQ!$A$2:$NE$60,MATCH(1,(GMWQ!$NE$2:$NE$60=H$3)*(GMWQ!$ND$2:$ND$60=H$4),0),$B166-1966)</f>
        <v>85851</v>
      </c>
      <c r="I166" s="18" cm="1">
        <f t="array" ref="I166">INDEX(GMWQ!$A$2:$NE$60,MATCH(1,(GMWQ!$NE$2:$NE$60=I$3)*(GMWQ!$ND$2:$ND$60=I$4),0),$B166-1966)</f>
        <v>12862</v>
      </c>
      <c r="J166" s="18" cm="1">
        <f t="array" ref="J166">INDEX(GMWQ!$A$2:$NE$60,MATCH(1,(GMWQ!$NE$2:$NE$60=J$3)*(GMWQ!$ND$2:$ND$60=J$4),0),$B166-1966)</f>
        <v>14679</v>
      </c>
      <c r="K166" s="18" cm="1">
        <f t="array" ref="K166">INDEX(GMWQ!$A$2:$NE$60,MATCH(1,(GMWQ!$NE$2:$NE$60=K$3)*(GMWQ!$ND$2:$ND$60=K$4),0),$B166-1966)</f>
        <v>2765603</v>
      </c>
      <c r="L166" s="18" cm="1">
        <f t="array" ref="L166">INDEX(GMWQ!$A$2:$NE$60,MATCH(1,(GMWQ!$NE$2:$NE$60=L$3)*(GMWQ!$ND$2:$ND$60=L$4),0),$B166-1966)</f>
        <v>29932</v>
      </c>
      <c r="M166" s="18" cm="1">
        <f t="array" ref="M166">INDEX(GMWQ!$A$2:$NE$60,MATCH(1,(GMWQ!$NE$2:$NE$60=M$3)*(GMWQ!$ND$2:$ND$60=M$4),0),$B166-1966)</f>
        <v>31.9</v>
      </c>
      <c r="N166" s="18" cm="1">
        <f t="array" ref="N166">INDEX(GMWQ!$A$2:$NE$60,MATCH(1,(GMWQ!$NE$2:$NE$60=N$3)*(GMWQ!$ND$2:$ND$60=N$4),0),$B166-1966)</f>
        <v>8.9791380000000007</v>
      </c>
      <c r="O166" s="18" cm="1">
        <f t="array" ref="O166">INDEX(GMWQ!$A$2:$NE$60,MATCH(1,(GMWQ!$NE$2:$NE$60=O$3)*(GMWQ!$ND$2:$ND$60=O$4),0),$B166-1966)</f>
        <v>2.7627570000000001</v>
      </c>
      <c r="P166" s="18" cm="1">
        <f t="array" ref="P166">INDEX(GMWQ!$A$2:$NE$60,MATCH(1,(GMWQ!$NE$2:$NE$60=P$3)*(GMWQ!$ND$2:$ND$60=P$4),0),$B166-1966)</f>
        <v>406951</v>
      </c>
      <c r="Q166" s="18" cm="1">
        <f t="array" ref="Q166">INDEX(GMWQ!$A$2:$NE$60,MATCH(1,(GMWQ!$NE$2:$NE$60=Q$3)*(GMWQ!$ND$2:$ND$60=Q$4),0),$B166-1966)</f>
        <v>540.72500000000002</v>
      </c>
      <c r="R166" s="18" cm="1">
        <f t="array" ref="R166">INDEX(GMWQ!$A$2:$NE$60,MATCH(1,(GMWQ!$NE$2:$NE$60=R$3)*(GMWQ!$ND$2:$ND$60=R$4),0),$B166-1966)</f>
        <v>19382.93</v>
      </c>
      <c r="S166" s="18" cm="1">
        <f t="array" ref="S166">INDEX(GMWQ!$A$2:$NE$60,MATCH(1,(GMWQ!$NE$2:$NE$60=S$3)*(GMWQ!$ND$2:$ND$60=S$4),0),$B166-1966)</f>
        <v>91.19</v>
      </c>
      <c r="T166" s="18" cm="1">
        <f t="array" ref="T166">INDEX(GMWQ!$A$2:$NE$60,MATCH(1,(GMWQ!$NE$2:$NE$60=T$3)*(GMWQ!$ND$2:$ND$60=T$4),0),$B166-1966)</f>
        <v>64.427999999999997</v>
      </c>
      <c r="U166" s="18" cm="1">
        <f t="array" ref="U166">INDEX(GMWQ!$A$2:$NE$60,MATCH(1,(GMWQ!$NE$2:$NE$60=U$3)*(GMWQ!$ND$2:$ND$60=U$4),0),$B166-1966)</f>
        <v>42.526890000000002</v>
      </c>
      <c r="V166" s="18" cm="1">
        <f t="array" ref="V166">INDEX(GMWQ!$A$2:$NE$60,MATCH(1,(GMWQ!$NE$2:$NE$60=V$3)*(GMWQ!$ND$2:$ND$60=V$4),0),$B166-1966)</f>
        <v>67343.25</v>
      </c>
      <c r="W166" s="18" cm="1">
        <f t="array" ref="W166">INDEX(GMWQ!$A$2:$NF$60,MATCH(1,(GMWQ!$NE$2:$NE$60=W$3)*(GMWQ!$NF$2:$NF$60=W$1),0),$B166-1966)</f>
        <v>42322</v>
      </c>
      <c r="X166" s="18" cm="1">
        <f t="array" ref="X166">INDEX(GMWQ!$A$2:$NF$60,MATCH(1,(GMWQ!$NE$2:$NE$60=X$3)*(GMWQ!$NF$2:$NF$60=X$1),0),$B166-1966)</f>
        <v>45589</v>
      </c>
      <c r="Y166" s="18" cm="1">
        <f t="array" ref="Y166">INDEX(GMWQ!$A$2:$NF$60,MATCH(1,(GMWQ!$NE$2:$NE$60=Y$3)*(GMWQ!$NF$2:$NF$60=Y$1),0),$B166-1966)</f>
        <v>46914</v>
      </c>
      <c r="Z166" s="18" cm="1">
        <f t="array" ref="Z166">INDEX(GMWQ!$A$2:$NF$60,MATCH(1,(GMWQ!$NE$2:$NE$60=Z$3)*(GMWQ!$NF$2:$NF$60=Z$1),0),$B166-1966)</f>
        <v>46059</v>
      </c>
    </row>
    <row r="167" spans="1:26" x14ac:dyDescent="0.25">
      <c r="A167" s="18">
        <v>2013</v>
      </c>
      <c r="B167" s="18">
        <f t="shared" si="3"/>
        <v>2133</v>
      </c>
      <c r="C167" s="18" cm="1">
        <f t="array" ref="C167">INDEX(GMWQ!$A$2:$NE$60,MATCH(1,(GMWQ!$NE$2:$NE$60=C$3)*(GMWQ!$ND$2:$ND$60=C$4),0),$B167-1966)</f>
        <v>48539</v>
      </c>
      <c r="D167" s="18" cm="1">
        <f t="array" ref="D167">INDEX(GMWQ!$A$2:$NE$60,MATCH(1,(GMWQ!$NE$2:$NE$60=D$3)*(GMWQ!$ND$2:$ND$60=D$4),0),$B167-1966)</f>
        <v>100765</v>
      </c>
      <c r="E167" s="18" cm="1">
        <f t="array" ref="E167">INDEX(GMWQ!$A$2:$NE$60,MATCH(1,(GMWQ!$NE$2:$NE$60=E$3)*(GMWQ!$ND$2:$ND$60=E$4),0),$B167-1966)</f>
        <v>-186</v>
      </c>
      <c r="F167" s="18" cm="1">
        <f t="array" ref="F167">INDEX(GMWQ!$A$2:$NE$60,MATCH(1,(GMWQ!$NE$2:$NE$60=F$3)*(GMWQ!$ND$2:$ND$60=F$4),0),$B167-1966)</f>
        <v>-3155</v>
      </c>
      <c r="G167" s="18" cm="1">
        <f t="array" ref="G167">INDEX(GMWQ!$A$2:$NE$60,MATCH(1,(GMWQ!$NE$2:$NE$60=G$3)*(GMWQ!$ND$2:$ND$60=G$4),0),$B167-1966)</f>
        <v>438283</v>
      </c>
      <c r="H167" s="18" cm="1">
        <f t="array" ref="H167">INDEX(GMWQ!$A$2:$NE$60,MATCH(1,(GMWQ!$NE$2:$NE$60=H$3)*(GMWQ!$ND$2:$ND$60=H$4),0),$B167-1966)</f>
        <v>83337</v>
      </c>
      <c r="I167" s="18" cm="1">
        <f t="array" ref="I167">INDEX(GMWQ!$A$2:$NE$60,MATCH(1,(GMWQ!$NE$2:$NE$60=I$3)*(GMWQ!$ND$2:$ND$60=I$4),0),$B167-1966)</f>
        <v>12103</v>
      </c>
      <c r="J167" s="18" cm="1">
        <f t="array" ref="J167">INDEX(GMWQ!$A$2:$NE$60,MATCH(1,(GMWQ!$NE$2:$NE$60=J$3)*(GMWQ!$ND$2:$ND$60=J$4),0),$B167-1966)</f>
        <v>14767</v>
      </c>
      <c r="K167" s="18" cm="1">
        <f t="array" ref="K167">INDEX(GMWQ!$A$2:$NE$60,MATCH(1,(GMWQ!$NE$2:$NE$60=K$3)*(GMWQ!$ND$2:$ND$60=K$4),0),$B167-1966)</f>
        <v>2775112</v>
      </c>
      <c r="L167" s="18" cm="1">
        <f t="array" ref="L167">INDEX(GMWQ!$A$2:$NE$60,MATCH(1,(GMWQ!$NE$2:$NE$60=L$3)*(GMWQ!$ND$2:$ND$60=L$4),0),$B167-1966)</f>
        <v>29869</v>
      </c>
      <c r="M167" s="18" cm="1">
        <f t="array" ref="M167">INDEX(GMWQ!$A$2:$NE$60,MATCH(1,(GMWQ!$NE$2:$NE$60=M$3)*(GMWQ!$ND$2:$ND$60=M$4),0),$B167-1966)</f>
        <v>32</v>
      </c>
      <c r="N167" s="18" cm="1">
        <f t="array" ref="N167">INDEX(GMWQ!$A$2:$NE$60,MATCH(1,(GMWQ!$NE$2:$NE$60=N$3)*(GMWQ!$ND$2:$ND$60=N$4),0),$B167-1966)</f>
        <v>9.7472429999999992</v>
      </c>
      <c r="O167" s="18" cm="1">
        <f t="array" ref="O167">INDEX(GMWQ!$A$2:$NE$60,MATCH(1,(GMWQ!$NE$2:$NE$60=O$3)*(GMWQ!$ND$2:$ND$60=O$4),0),$B167-1966)</f>
        <v>2.7347009999999998</v>
      </c>
      <c r="P167" s="18" cm="1">
        <f t="array" ref="P167">INDEX(GMWQ!$A$2:$NE$60,MATCH(1,(GMWQ!$NE$2:$NE$60=P$3)*(GMWQ!$ND$2:$ND$60=P$4),0),$B167-1966)</f>
        <v>406536</v>
      </c>
      <c r="Q167" s="18" cm="1">
        <f t="array" ref="Q167">INDEX(GMWQ!$A$2:$NE$60,MATCH(1,(GMWQ!$NE$2:$NE$60=Q$3)*(GMWQ!$ND$2:$ND$60=Q$4),0),$B167-1966)</f>
        <v>549.07500000000005</v>
      </c>
      <c r="R167" s="18" cm="1">
        <f t="array" ref="R167">INDEX(GMWQ!$A$2:$NE$60,MATCH(1,(GMWQ!$NE$2:$NE$60=R$3)*(GMWQ!$ND$2:$ND$60=R$4),0),$B167-1966)</f>
        <v>19370.93</v>
      </c>
      <c r="S167" s="18" cm="1">
        <f t="array" ref="S167">INDEX(GMWQ!$A$2:$NE$60,MATCH(1,(GMWQ!$NE$2:$NE$60=S$3)*(GMWQ!$ND$2:$ND$60=S$4),0),$B167-1966)</f>
        <v>88.54</v>
      </c>
      <c r="T167" s="18" cm="1">
        <f t="array" ref="T167">INDEX(GMWQ!$A$2:$NE$60,MATCH(1,(GMWQ!$NE$2:$NE$60=T$3)*(GMWQ!$ND$2:$ND$60=T$4),0),$B167-1966)</f>
        <v>63.366999999999997</v>
      </c>
      <c r="U167" s="18" cm="1">
        <f t="array" ref="U167">INDEX(GMWQ!$A$2:$NE$60,MATCH(1,(GMWQ!$NE$2:$NE$60=U$3)*(GMWQ!$ND$2:$ND$60=U$4),0),$B167-1966)</f>
        <v>41.056919999999998</v>
      </c>
      <c r="V167" s="18" cm="1">
        <f t="array" ref="V167">INDEX(GMWQ!$A$2:$NE$60,MATCH(1,(GMWQ!$NE$2:$NE$60=V$3)*(GMWQ!$ND$2:$ND$60=V$4),0),$B167-1966)</f>
        <v>68513.75</v>
      </c>
      <c r="W167" s="18" cm="1">
        <f t="array" ref="W167">INDEX(GMWQ!$A$2:$NF$60,MATCH(1,(GMWQ!$NE$2:$NE$60=W$3)*(GMWQ!$NF$2:$NF$60=W$1),0),$B167-1966)</f>
        <v>39954</v>
      </c>
      <c r="X167" s="18" cm="1">
        <f t="array" ref="X167">INDEX(GMWQ!$A$2:$NF$60,MATCH(1,(GMWQ!$NE$2:$NE$60=X$3)*(GMWQ!$NF$2:$NF$60=X$1),0),$B167-1966)</f>
        <v>43367</v>
      </c>
      <c r="Y167" s="18" cm="1">
        <f t="array" ref="Y167">INDEX(GMWQ!$A$2:$NF$60,MATCH(1,(GMWQ!$NE$2:$NE$60=Y$3)*(GMWQ!$NF$2:$NF$60=Y$1),0),$B167-1966)</f>
        <v>44633</v>
      </c>
      <c r="Z167" s="18" cm="1">
        <f t="array" ref="Z167">INDEX(GMWQ!$A$2:$NF$60,MATCH(1,(GMWQ!$NE$2:$NE$60=Z$3)*(GMWQ!$NF$2:$NF$60=Z$1),0),$B167-1966)</f>
        <v>44731</v>
      </c>
    </row>
    <row r="168" spans="1:26" x14ac:dyDescent="0.25">
      <c r="B168" s="18">
        <f t="shared" si="3"/>
        <v>2134</v>
      </c>
      <c r="C168" s="18" cm="1">
        <f t="array" ref="C168">INDEX(GMWQ!$A$2:$NE$60,MATCH(1,(GMWQ!$NE$2:$NE$60=C$3)*(GMWQ!$ND$2:$ND$60=C$4),0),$B168-1966)</f>
        <v>49510</v>
      </c>
      <c r="D168" s="18" cm="1">
        <f t="array" ref="D168">INDEX(GMWQ!$A$2:$NE$60,MATCH(1,(GMWQ!$NE$2:$NE$60=D$3)*(GMWQ!$ND$2:$ND$60=D$4),0),$B168-1966)</f>
        <v>96733</v>
      </c>
      <c r="E168" s="18" cm="1">
        <f t="array" ref="E168">INDEX(GMWQ!$A$2:$NE$60,MATCH(1,(GMWQ!$NE$2:$NE$60=E$3)*(GMWQ!$ND$2:$ND$60=E$4),0),$B168-1966)</f>
        <v>3327</v>
      </c>
      <c r="F168" s="18" cm="1">
        <f t="array" ref="F168">INDEX(GMWQ!$A$2:$NE$60,MATCH(1,(GMWQ!$NE$2:$NE$60=F$3)*(GMWQ!$ND$2:$ND$60=F$4),0),$B168-1966)</f>
        <v>-13395</v>
      </c>
      <c r="G168" s="18" cm="1">
        <f t="array" ref="G168">INDEX(GMWQ!$A$2:$NE$60,MATCH(1,(GMWQ!$NE$2:$NE$60=G$3)*(GMWQ!$ND$2:$ND$60=G$4),0),$B168-1966)</f>
        <v>442095</v>
      </c>
      <c r="H168" s="18" cm="1">
        <f t="array" ref="H168">INDEX(GMWQ!$A$2:$NE$60,MATCH(1,(GMWQ!$NE$2:$NE$60=H$3)*(GMWQ!$ND$2:$ND$60=H$4),0),$B168-1966)</f>
        <v>86815</v>
      </c>
      <c r="I168" s="18" cm="1">
        <f t="array" ref="I168">INDEX(GMWQ!$A$2:$NE$60,MATCH(1,(GMWQ!$NE$2:$NE$60=I$3)*(GMWQ!$ND$2:$ND$60=I$4),0),$B168-1966)</f>
        <v>12502</v>
      </c>
      <c r="J168" s="18" cm="1">
        <f t="array" ref="J168">INDEX(GMWQ!$A$2:$NE$60,MATCH(1,(GMWQ!$NE$2:$NE$60=J$3)*(GMWQ!$ND$2:$ND$60=J$4),0),$B168-1966)</f>
        <v>16347</v>
      </c>
      <c r="K168" s="18" cm="1">
        <f t="array" ref="K168">INDEX(GMWQ!$A$2:$NE$60,MATCH(1,(GMWQ!$NE$2:$NE$60=K$3)*(GMWQ!$ND$2:$ND$60=K$4),0),$B168-1966)</f>
        <v>2784620</v>
      </c>
      <c r="L168" s="18" cm="1">
        <f t="array" ref="L168">INDEX(GMWQ!$A$2:$NE$60,MATCH(1,(GMWQ!$NE$2:$NE$60=L$3)*(GMWQ!$ND$2:$ND$60=L$4),0),$B168-1966)</f>
        <v>29974</v>
      </c>
      <c r="M168" s="18" cm="1">
        <f t="array" ref="M168">INDEX(GMWQ!$A$2:$NE$60,MATCH(1,(GMWQ!$NE$2:$NE$60=M$3)*(GMWQ!$ND$2:$ND$60=M$4),0),$B168-1966)</f>
        <v>32</v>
      </c>
      <c r="N168" s="18" cm="1">
        <f t="array" ref="N168">INDEX(GMWQ!$A$2:$NE$60,MATCH(1,(GMWQ!$NE$2:$NE$60=N$3)*(GMWQ!$ND$2:$ND$60=N$4),0),$B168-1966)</f>
        <v>9.477271</v>
      </c>
      <c r="O168" s="18" cm="1">
        <f t="array" ref="O168">INDEX(GMWQ!$A$2:$NE$60,MATCH(1,(GMWQ!$NE$2:$NE$60=O$3)*(GMWQ!$ND$2:$ND$60=O$4),0),$B168-1966)</f>
        <v>2.7079399999999998</v>
      </c>
      <c r="P168" s="18" cm="1">
        <f t="array" ref="P168">INDEX(GMWQ!$A$2:$NE$60,MATCH(1,(GMWQ!$NE$2:$NE$60=P$3)*(GMWQ!$ND$2:$ND$60=P$4),0),$B168-1966)</f>
        <v>394086</v>
      </c>
      <c r="Q168" s="18" cm="1">
        <f t="array" ref="Q168">INDEX(GMWQ!$A$2:$NE$60,MATCH(1,(GMWQ!$NE$2:$NE$60=Q$3)*(GMWQ!$ND$2:$ND$60=Q$4),0),$B168-1966)</f>
        <v>551.9</v>
      </c>
      <c r="R168" s="18" cm="1">
        <f t="array" ref="R168">INDEX(GMWQ!$A$2:$NE$60,MATCH(1,(GMWQ!$NE$2:$NE$60=R$3)*(GMWQ!$ND$2:$ND$60=R$4),0),$B168-1966)</f>
        <v>20032.22</v>
      </c>
      <c r="S168" s="18" cm="1">
        <f t="array" ref="S168">INDEX(GMWQ!$A$2:$NE$60,MATCH(1,(GMWQ!$NE$2:$NE$60=S$3)*(GMWQ!$ND$2:$ND$60=S$4),0),$B168-1966)</f>
        <v>91.14</v>
      </c>
      <c r="T168" s="18" cm="1">
        <f t="array" ref="T168">INDEX(GMWQ!$A$2:$NE$60,MATCH(1,(GMWQ!$NE$2:$NE$60=T$3)*(GMWQ!$ND$2:$ND$60=T$4),0),$B168-1966)</f>
        <v>63.624000000000002</v>
      </c>
      <c r="U168" s="18" cm="1">
        <f t="array" ref="U168">INDEX(GMWQ!$A$2:$NE$60,MATCH(1,(GMWQ!$NE$2:$NE$60=U$3)*(GMWQ!$ND$2:$ND$60=U$4),0),$B168-1966)</f>
        <v>41.146000000000001</v>
      </c>
      <c r="V168" s="18" cm="1">
        <f t="array" ref="V168">INDEX(GMWQ!$A$2:$NE$60,MATCH(1,(GMWQ!$NE$2:$NE$60=V$3)*(GMWQ!$ND$2:$ND$60=V$4),0),$B168-1966)</f>
        <v>68861.25</v>
      </c>
      <c r="W168" s="18" cm="1">
        <f t="array" ref="W168">INDEX(GMWQ!$A$2:$NF$60,MATCH(1,(GMWQ!$NE$2:$NE$60=W$3)*(GMWQ!$NF$2:$NF$60=W$1),0),$B168-1966)</f>
        <v>41024</v>
      </c>
      <c r="X168" s="18" cm="1">
        <f t="array" ref="X168">INDEX(GMWQ!$A$2:$NF$60,MATCH(1,(GMWQ!$NE$2:$NE$60=X$3)*(GMWQ!$NF$2:$NF$60=X$1),0),$B168-1966)</f>
        <v>44598</v>
      </c>
      <c r="Y168" s="18" cm="1">
        <f t="array" ref="Y168">INDEX(GMWQ!$A$2:$NF$60,MATCH(1,(GMWQ!$NE$2:$NE$60=Y$3)*(GMWQ!$NF$2:$NF$60=Y$1),0),$B168-1966)</f>
        <v>45753</v>
      </c>
      <c r="Z168" s="18" cm="1">
        <f t="array" ref="Z168">INDEX(GMWQ!$A$2:$NF$60,MATCH(1,(GMWQ!$NE$2:$NE$60=Z$3)*(GMWQ!$NF$2:$NF$60=Z$1),0),$B168-1966)</f>
        <v>45627</v>
      </c>
    </row>
    <row r="169" spans="1:26" x14ac:dyDescent="0.25">
      <c r="B169" s="18">
        <f t="shared" si="3"/>
        <v>2135</v>
      </c>
      <c r="C169" s="18" cm="1">
        <f t="array" ref="C169">INDEX(GMWQ!$A$2:$NE$60,MATCH(1,(GMWQ!$NE$2:$NE$60=C$3)*(GMWQ!$ND$2:$ND$60=C$4),0),$B169-1966)</f>
        <v>51243</v>
      </c>
      <c r="D169" s="18" cm="1">
        <f t="array" ref="D169">INDEX(GMWQ!$A$2:$NE$60,MATCH(1,(GMWQ!$NE$2:$NE$60=D$3)*(GMWQ!$ND$2:$ND$60=D$4),0),$B169-1966)</f>
        <v>99537</v>
      </c>
      <c r="E169" s="18" cm="1">
        <f t="array" ref="E169">INDEX(GMWQ!$A$2:$NE$60,MATCH(1,(GMWQ!$NE$2:$NE$60=E$3)*(GMWQ!$ND$2:$ND$60=E$4),0),$B169-1966)</f>
        <v>-8242</v>
      </c>
      <c r="F169" s="18" cm="1">
        <f t="array" ref="F169">INDEX(GMWQ!$A$2:$NE$60,MATCH(1,(GMWQ!$NE$2:$NE$60=F$3)*(GMWQ!$ND$2:$ND$60=F$4),0),$B169-1966)</f>
        <v>-4125</v>
      </c>
      <c r="G169" s="18" cm="1">
        <f t="array" ref="G169">INDEX(GMWQ!$A$2:$NE$60,MATCH(1,(GMWQ!$NE$2:$NE$60=G$3)*(GMWQ!$ND$2:$ND$60=G$4),0),$B169-1966)</f>
        <v>448800</v>
      </c>
      <c r="H169" s="18" cm="1">
        <f t="array" ref="H169">INDEX(GMWQ!$A$2:$NE$60,MATCH(1,(GMWQ!$NE$2:$NE$60=H$3)*(GMWQ!$ND$2:$ND$60=H$4),0),$B169-1966)</f>
        <v>88951</v>
      </c>
      <c r="I169" s="18" cm="1">
        <f t="array" ref="I169">INDEX(GMWQ!$A$2:$NE$60,MATCH(1,(GMWQ!$NE$2:$NE$60=I$3)*(GMWQ!$ND$2:$ND$60=I$4),0),$B169-1966)</f>
        <v>12927</v>
      </c>
      <c r="J169" s="18" cm="1">
        <f t="array" ref="J169">INDEX(GMWQ!$A$2:$NE$60,MATCH(1,(GMWQ!$NE$2:$NE$60=J$3)*(GMWQ!$ND$2:$ND$60=J$4),0),$B169-1966)</f>
        <v>16478</v>
      </c>
      <c r="K169" s="18" cm="1">
        <f t="array" ref="K169">INDEX(GMWQ!$A$2:$NE$60,MATCH(1,(GMWQ!$NE$2:$NE$60=K$3)*(GMWQ!$ND$2:$ND$60=K$4),0),$B169-1966)</f>
        <v>2794128</v>
      </c>
      <c r="L169" s="18" cm="1">
        <f t="array" ref="L169">INDEX(GMWQ!$A$2:$NE$60,MATCH(1,(GMWQ!$NE$2:$NE$60=L$3)*(GMWQ!$ND$2:$ND$60=L$4),0),$B169-1966)</f>
        <v>30144</v>
      </c>
      <c r="M169" s="18" cm="1">
        <f t="array" ref="M169">INDEX(GMWQ!$A$2:$NE$60,MATCH(1,(GMWQ!$NE$2:$NE$60=M$3)*(GMWQ!$ND$2:$ND$60=M$4),0),$B169-1966)</f>
        <v>32.200000000000003</v>
      </c>
      <c r="N169" s="18" cm="1">
        <f t="array" ref="N169">INDEX(GMWQ!$A$2:$NE$60,MATCH(1,(GMWQ!$NE$2:$NE$60=N$3)*(GMWQ!$ND$2:$ND$60=N$4),0),$B169-1966)</f>
        <v>8.8702579999999998</v>
      </c>
      <c r="O169" s="18" cm="1">
        <f t="array" ref="O169">INDEX(GMWQ!$A$2:$NE$60,MATCH(1,(GMWQ!$NE$2:$NE$60=O$3)*(GMWQ!$ND$2:$ND$60=O$4),0),$B169-1966)</f>
        <v>3.0656110000000001</v>
      </c>
      <c r="P169" s="18" cm="1">
        <f t="array" ref="P169">INDEX(GMWQ!$A$2:$NE$60,MATCH(1,(GMWQ!$NE$2:$NE$60=P$3)*(GMWQ!$ND$2:$ND$60=P$4),0),$B169-1966)</f>
        <v>389871</v>
      </c>
      <c r="Q169" s="18" cm="1">
        <f t="array" ref="Q169">INDEX(GMWQ!$A$2:$NE$60,MATCH(1,(GMWQ!$NE$2:$NE$60=Q$3)*(GMWQ!$ND$2:$ND$60=Q$4),0),$B169-1966)</f>
        <v>562.04999999999995</v>
      </c>
      <c r="R169" s="18" cm="1">
        <f t="array" ref="R169">INDEX(GMWQ!$A$2:$NE$60,MATCH(1,(GMWQ!$NE$2:$NE$60=R$3)*(GMWQ!$ND$2:$ND$60=R$4),0),$B169-1966)</f>
        <v>20317.75</v>
      </c>
      <c r="S169" s="18" cm="1">
        <f t="array" ref="S169">INDEX(GMWQ!$A$2:$NE$60,MATCH(1,(GMWQ!$NE$2:$NE$60=S$3)*(GMWQ!$ND$2:$ND$60=S$4),0),$B169-1966)</f>
        <v>90.02</v>
      </c>
      <c r="T169" s="18" cm="1">
        <f t="array" ref="T169">INDEX(GMWQ!$A$2:$NE$60,MATCH(1,(GMWQ!$NE$2:$NE$60=T$3)*(GMWQ!$ND$2:$ND$60=T$4),0),$B169-1966)</f>
        <v>64.352010000000007</v>
      </c>
      <c r="U169" s="18" cm="1">
        <f t="array" ref="U169">INDEX(GMWQ!$A$2:$NE$60,MATCH(1,(GMWQ!$NE$2:$NE$60=U$3)*(GMWQ!$ND$2:$ND$60=U$4),0),$B169-1966)</f>
        <v>41.068359999999998</v>
      </c>
      <c r="V169" s="18" cm="1">
        <f t="array" ref="V169">INDEX(GMWQ!$A$2:$NE$60,MATCH(1,(GMWQ!$NE$2:$NE$60=V$3)*(GMWQ!$ND$2:$ND$60=V$4),0),$B169-1966)</f>
        <v>69269</v>
      </c>
      <c r="W169" s="18" cm="1">
        <f t="array" ref="W169">INDEX(GMWQ!$A$2:$NF$60,MATCH(1,(GMWQ!$NE$2:$NE$60=W$3)*(GMWQ!$NF$2:$NF$60=W$1),0),$B169-1966)</f>
        <v>41895</v>
      </c>
      <c r="X169" s="18" cm="1">
        <f t="array" ref="X169">INDEX(GMWQ!$A$2:$NF$60,MATCH(1,(GMWQ!$NE$2:$NE$60=X$3)*(GMWQ!$NF$2:$NF$60=X$1),0),$B169-1966)</f>
        <v>45490</v>
      </c>
      <c r="Y169" s="18" cm="1">
        <f t="array" ref="Y169">INDEX(GMWQ!$A$2:$NF$60,MATCH(1,(GMWQ!$NE$2:$NE$60=Y$3)*(GMWQ!$NF$2:$NF$60=Y$1),0),$B169-1966)</f>
        <v>47243</v>
      </c>
      <c r="Z169" s="18" cm="1">
        <f t="array" ref="Z169">INDEX(GMWQ!$A$2:$NF$60,MATCH(1,(GMWQ!$NE$2:$NE$60=Z$3)*(GMWQ!$NF$2:$NF$60=Z$1),0),$B169-1966)</f>
        <v>47234</v>
      </c>
    </row>
    <row r="170" spans="1:26" x14ac:dyDescent="0.25">
      <c r="B170" s="18">
        <f t="shared" si="3"/>
        <v>2136</v>
      </c>
      <c r="C170" s="18" cm="1">
        <f t="array" ref="C170">INDEX(GMWQ!$A$2:$NE$60,MATCH(1,(GMWQ!$NE$2:$NE$60=C$3)*(GMWQ!$ND$2:$ND$60=C$4),0),$B170-1966)</f>
        <v>51038</v>
      </c>
      <c r="D170" s="18" cm="1">
        <f t="array" ref="D170">INDEX(GMWQ!$A$2:$NE$60,MATCH(1,(GMWQ!$NE$2:$NE$60=D$3)*(GMWQ!$ND$2:$ND$60=D$4),0),$B170-1966)</f>
        <v>99553</v>
      </c>
      <c r="E170" s="18" cm="1">
        <f t="array" ref="E170">INDEX(GMWQ!$A$2:$NE$60,MATCH(1,(GMWQ!$NE$2:$NE$60=E$3)*(GMWQ!$ND$2:$ND$60=E$4),0),$B170-1966)</f>
        <v>-5524</v>
      </c>
      <c r="F170" s="18" cm="1">
        <f t="array" ref="F170">INDEX(GMWQ!$A$2:$NE$60,MATCH(1,(GMWQ!$NE$2:$NE$60=F$3)*(GMWQ!$ND$2:$ND$60=F$4),0),$B170-1966)</f>
        <v>-9324</v>
      </c>
      <c r="G170" s="18" cm="1">
        <f t="array" ref="G170">INDEX(GMWQ!$A$2:$NE$60,MATCH(1,(GMWQ!$NE$2:$NE$60=G$3)*(GMWQ!$ND$2:$ND$60=G$4),0),$B170-1966)</f>
        <v>452183</v>
      </c>
      <c r="H170" s="18" cm="1">
        <f t="array" ref="H170">INDEX(GMWQ!$A$2:$NE$60,MATCH(1,(GMWQ!$NE$2:$NE$60=H$3)*(GMWQ!$ND$2:$ND$60=H$4),0),$B170-1966)</f>
        <v>88938</v>
      </c>
      <c r="I170" s="18" cm="1">
        <f t="array" ref="I170">INDEX(GMWQ!$A$2:$NE$60,MATCH(1,(GMWQ!$NE$2:$NE$60=I$3)*(GMWQ!$ND$2:$ND$60=I$4),0),$B170-1966)</f>
        <v>13289</v>
      </c>
      <c r="J170" s="18" cm="1">
        <f t="array" ref="J170">INDEX(GMWQ!$A$2:$NE$60,MATCH(1,(GMWQ!$NE$2:$NE$60=J$3)*(GMWQ!$ND$2:$ND$60=J$4),0),$B170-1966)</f>
        <v>16478</v>
      </c>
      <c r="K170" s="18" cm="1">
        <f t="array" ref="K170">INDEX(GMWQ!$A$2:$NE$60,MATCH(1,(GMWQ!$NE$2:$NE$60=K$3)*(GMWQ!$ND$2:$ND$60=K$4),0),$B170-1966)</f>
        <v>2803637</v>
      </c>
      <c r="L170" s="18" cm="1">
        <f t="array" ref="L170">INDEX(GMWQ!$A$2:$NE$60,MATCH(1,(GMWQ!$NE$2:$NE$60=L$3)*(GMWQ!$ND$2:$ND$60=L$4),0),$B170-1966)</f>
        <v>30330</v>
      </c>
      <c r="M170" s="18" cm="1">
        <f t="array" ref="M170">INDEX(GMWQ!$A$2:$NE$60,MATCH(1,(GMWQ!$NE$2:$NE$60=M$3)*(GMWQ!$ND$2:$ND$60=M$4),0),$B170-1966)</f>
        <v>32</v>
      </c>
      <c r="N170" s="18" cm="1">
        <f t="array" ref="N170">INDEX(GMWQ!$A$2:$NE$60,MATCH(1,(GMWQ!$NE$2:$NE$60=N$3)*(GMWQ!$ND$2:$ND$60=N$4),0),$B170-1966)</f>
        <v>9.042802</v>
      </c>
      <c r="O170" s="18" cm="1">
        <f t="array" ref="O170">INDEX(GMWQ!$A$2:$NE$60,MATCH(1,(GMWQ!$NE$2:$NE$60=O$3)*(GMWQ!$ND$2:$ND$60=O$4),0),$B170-1966)</f>
        <v>3.0202119999999999</v>
      </c>
      <c r="P170" s="18" cm="1">
        <f t="array" ref="P170">INDEX(GMWQ!$A$2:$NE$60,MATCH(1,(GMWQ!$NE$2:$NE$60=P$3)*(GMWQ!$ND$2:$ND$60=P$4),0),$B170-1966)</f>
        <v>394897</v>
      </c>
      <c r="Q170" s="18" cm="1">
        <f t="array" ref="Q170">INDEX(GMWQ!$A$2:$NE$60,MATCH(1,(GMWQ!$NE$2:$NE$60=Q$3)*(GMWQ!$ND$2:$ND$60=Q$4),0),$B170-1966)</f>
        <v>575.54999999999995</v>
      </c>
      <c r="R170" s="18" cm="1">
        <f t="array" ref="R170">INDEX(GMWQ!$A$2:$NE$60,MATCH(1,(GMWQ!$NE$2:$NE$60=R$3)*(GMWQ!$ND$2:$ND$60=R$4),0),$B170-1966)</f>
        <v>20464.900000000001</v>
      </c>
      <c r="S170" s="18" cm="1">
        <f t="array" ref="S170">INDEX(GMWQ!$A$2:$NE$60,MATCH(1,(GMWQ!$NE$2:$NE$60=S$3)*(GMWQ!$ND$2:$ND$60=S$4),0),$B170-1966)</f>
        <v>93.22</v>
      </c>
      <c r="T170" s="18" cm="1">
        <f t="array" ref="T170">INDEX(GMWQ!$A$2:$NE$60,MATCH(1,(GMWQ!$NE$2:$NE$60=T$3)*(GMWQ!$ND$2:$ND$60=T$4),0),$B170-1966)</f>
        <v>65.662999999999997</v>
      </c>
      <c r="U170" s="18" cm="1">
        <f t="array" ref="U170">INDEX(GMWQ!$A$2:$NE$60,MATCH(1,(GMWQ!$NE$2:$NE$60=U$3)*(GMWQ!$ND$2:$ND$60=U$4),0),$B170-1966)</f>
        <v>40.60275</v>
      </c>
      <c r="V170" s="18" cm="1">
        <f t="array" ref="V170">INDEX(GMWQ!$A$2:$NE$60,MATCH(1,(GMWQ!$NE$2:$NE$60=V$3)*(GMWQ!$ND$2:$ND$60=V$4),0),$B170-1966)</f>
        <v>70143</v>
      </c>
      <c r="W170" s="18" cm="1">
        <f t="array" ref="W170">INDEX(GMWQ!$A$2:$NF$60,MATCH(1,(GMWQ!$NE$2:$NE$60=W$3)*(GMWQ!$NF$2:$NF$60=W$1),0),$B170-1966)</f>
        <v>41820</v>
      </c>
      <c r="X170" s="18" cm="1">
        <f t="array" ref="X170">INDEX(GMWQ!$A$2:$NF$60,MATCH(1,(GMWQ!$NE$2:$NE$60=X$3)*(GMWQ!$NF$2:$NF$60=X$1),0),$B170-1966)</f>
        <v>45531</v>
      </c>
      <c r="Y170" s="18" cm="1">
        <f t="array" ref="Y170">INDEX(GMWQ!$A$2:$NF$60,MATCH(1,(GMWQ!$NE$2:$NE$60=Y$3)*(GMWQ!$NF$2:$NF$60=Y$1),0),$B170-1966)</f>
        <v>47552</v>
      </c>
      <c r="Z170" s="18" cm="1">
        <f t="array" ref="Z170">INDEX(GMWQ!$A$2:$NF$60,MATCH(1,(GMWQ!$NE$2:$NE$60=Z$3)*(GMWQ!$NF$2:$NF$60=Z$1),0),$B170-1966)</f>
        <v>47059</v>
      </c>
    </row>
    <row r="171" spans="1:26" x14ac:dyDescent="0.25">
      <c r="A171" s="18">
        <v>2014</v>
      </c>
      <c r="B171" s="18">
        <f t="shared" si="3"/>
        <v>2137</v>
      </c>
      <c r="C171" s="18" cm="1">
        <f t="array" ref="C171">INDEX(GMWQ!$A$2:$NE$60,MATCH(1,(GMWQ!$NE$2:$NE$60=C$3)*(GMWQ!$ND$2:$ND$60=C$4),0),$B171-1966)</f>
        <v>52059</v>
      </c>
      <c r="D171" s="18" cm="1">
        <f t="array" ref="D171">INDEX(GMWQ!$A$2:$NE$60,MATCH(1,(GMWQ!$NE$2:$NE$60=D$3)*(GMWQ!$ND$2:$ND$60=D$4),0),$B171-1966)</f>
        <v>99297</v>
      </c>
      <c r="E171" s="18" cm="1">
        <f t="array" ref="E171">INDEX(GMWQ!$A$2:$NE$60,MATCH(1,(GMWQ!$NE$2:$NE$60=E$3)*(GMWQ!$ND$2:$ND$60=E$4),0),$B171-1966)</f>
        <v>-5394</v>
      </c>
      <c r="F171" s="18" cm="1">
        <f t="array" ref="F171">INDEX(GMWQ!$A$2:$NE$60,MATCH(1,(GMWQ!$NE$2:$NE$60=F$3)*(GMWQ!$ND$2:$ND$60=F$4),0),$B171-1966)</f>
        <v>-2296</v>
      </c>
      <c r="G171" s="18" cm="1">
        <f t="array" ref="G171">INDEX(GMWQ!$A$2:$NE$60,MATCH(1,(GMWQ!$NE$2:$NE$60=G$3)*(GMWQ!$ND$2:$ND$60=G$4),0),$B171-1966)</f>
        <v>457683</v>
      </c>
      <c r="H171" s="18" cm="1">
        <f t="array" ref="H171">INDEX(GMWQ!$A$2:$NE$60,MATCH(1,(GMWQ!$NE$2:$NE$60=H$3)*(GMWQ!$ND$2:$ND$60=H$4),0),$B171-1966)</f>
        <v>91937</v>
      </c>
      <c r="I171" s="18" cm="1">
        <f t="array" ref="I171">INDEX(GMWQ!$A$2:$NE$60,MATCH(1,(GMWQ!$NE$2:$NE$60=I$3)*(GMWQ!$ND$2:$ND$60=I$4),0),$B171-1966)</f>
        <v>14458</v>
      </c>
      <c r="J171" s="18" cm="1">
        <f t="array" ref="J171">INDEX(GMWQ!$A$2:$NE$60,MATCH(1,(GMWQ!$NE$2:$NE$60=J$3)*(GMWQ!$ND$2:$ND$60=J$4),0),$B171-1966)</f>
        <v>16841</v>
      </c>
      <c r="K171" s="18" cm="1">
        <f t="array" ref="K171">INDEX(GMWQ!$A$2:$NE$60,MATCH(1,(GMWQ!$NE$2:$NE$60=K$3)*(GMWQ!$ND$2:$ND$60=K$4),0),$B171-1966)</f>
        <v>2816677</v>
      </c>
      <c r="L171" s="18" cm="1">
        <f t="array" ref="L171">INDEX(GMWQ!$A$2:$NE$60,MATCH(1,(GMWQ!$NE$2:$NE$60=L$3)*(GMWQ!$ND$2:$ND$60=L$4),0),$B171-1966)</f>
        <v>30573</v>
      </c>
      <c r="M171" s="18" cm="1">
        <f t="array" ref="M171">INDEX(GMWQ!$A$2:$NE$60,MATCH(1,(GMWQ!$NE$2:$NE$60=M$3)*(GMWQ!$ND$2:$ND$60=M$4),0),$B171-1966)</f>
        <v>32.1</v>
      </c>
      <c r="N171" s="18" cm="1">
        <f t="array" ref="N171">INDEX(GMWQ!$A$2:$NE$60,MATCH(1,(GMWQ!$NE$2:$NE$60=N$3)*(GMWQ!$ND$2:$ND$60=N$4),0),$B171-1966)</f>
        <v>8.8533480000000004</v>
      </c>
      <c r="O171" s="18" cm="1">
        <f t="array" ref="O171">INDEX(GMWQ!$A$2:$NE$60,MATCH(1,(GMWQ!$NE$2:$NE$60=O$3)*(GMWQ!$ND$2:$ND$60=O$4),0),$B171-1966)</f>
        <v>3.0789499999999999</v>
      </c>
      <c r="P171" s="18" cm="1">
        <f t="array" ref="P171">INDEX(GMWQ!$A$2:$NE$60,MATCH(1,(GMWQ!$NE$2:$NE$60=P$3)*(GMWQ!$ND$2:$ND$60=P$4),0),$B171-1966)</f>
        <v>381866</v>
      </c>
      <c r="Q171" s="18" cm="1">
        <f t="array" ref="Q171">INDEX(GMWQ!$A$2:$NE$60,MATCH(1,(GMWQ!$NE$2:$NE$60=Q$3)*(GMWQ!$ND$2:$ND$60=Q$4),0),$B171-1966)</f>
        <v>584.85</v>
      </c>
      <c r="R171" s="18" cm="1">
        <f t="array" ref="R171">INDEX(GMWQ!$A$2:$NE$60,MATCH(1,(GMWQ!$NE$2:$NE$60=R$3)*(GMWQ!$ND$2:$ND$60=R$4),0),$B171-1966)</f>
        <v>20993.43</v>
      </c>
      <c r="S171" s="18" cm="1">
        <f t="array" ref="S171">INDEX(GMWQ!$A$2:$NE$60,MATCH(1,(GMWQ!$NE$2:$NE$60=S$3)*(GMWQ!$ND$2:$ND$60=S$4),0),$B171-1966)</f>
        <v>94.62</v>
      </c>
      <c r="T171" s="18" cm="1">
        <f t="array" ref="T171">INDEX(GMWQ!$A$2:$NE$60,MATCH(1,(GMWQ!$NE$2:$NE$60=T$3)*(GMWQ!$ND$2:$ND$60=T$4),0),$B171-1966)</f>
        <v>65.013999999999996</v>
      </c>
      <c r="U171" s="18" cm="1">
        <f t="array" ref="U171">INDEX(GMWQ!$A$2:$NE$60,MATCH(1,(GMWQ!$NE$2:$NE$60=U$3)*(GMWQ!$ND$2:$ND$60=U$4),0),$B171-1966)</f>
        <v>41.312449999999998</v>
      </c>
      <c r="V171" s="18" cm="1">
        <f t="array" ref="V171">INDEX(GMWQ!$A$2:$NE$60,MATCH(1,(GMWQ!$NE$2:$NE$60=V$3)*(GMWQ!$ND$2:$ND$60=V$4),0),$B171-1966)</f>
        <v>70911.25</v>
      </c>
      <c r="W171" s="18" cm="1">
        <f t="array" ref="W171">INDEX(GMWQ!$A$2:$NF$60,MATCH(1,(GMWQ!$NE$2:$NE$60=W$3)*(GMWQ!$NF$2:$NF$60=W$1),0),$B171-1966)</f>
        <v>42475</v>
      </c>
      <c r="X171" s="18" cm="1">
        <f t="array" ref="X171">INDEX(GMWQ!$A$2:$NF$60,MATCH(1,(GMWQ!$NE$2:$NE$60=X$3)*(GMWQ!$NF$2:$NF$60=X$1),0),$B171-1966)</f>
        <v>46258</v>
      </c>
      <c r="Y171" s="18" cm="1">
        <f t="array" ref="Y171">INDEX(GMWQ!$A$2:$NF$60,MATCH(1,(GMWQ!$NE$2:$NE$60=Y$3)*(GMWQ!$NF$2:$NF$60=Y$1),0),$B171-1966)</f>
        <v>47627</v>
      </c>
      <c r="Z171" s="18" cm="1">
        <f t="array" ref="Z171">INDEX(GMWQ!$A$2:$NF$60,MATCH(1,(GMWQ!$NE$2:$NE$60=Z$3)*(GMWQ!$NF$2:$NF$60=Z$1),0),$B171-1966)</f>
        <v>47997</v>
      </c>
    </row>
    <row r="172" spans="1:26" x14ac:dyDescent="0.25">
      <c r="B172" s="18">
        <f t="shared" si="3"/>
        <v>2138</v>
      </c>
      <c r="C172" s="18" cm="1">
        <f t="array" ref="C172">INDEX(GMWQ!$A$2:$NE$60,MATCH(1,(GMWQ!$NE$2:$NE$60=C$3)*(GMWQ!$ND$2:$ND$60=C$4),0),$B172-1966)</f>
        <v>52215</v>
      </c>
      <c r="D172" s="18" cm="1">
        <f t="array" ref="D172">INDEX(GMWQ!$A$2:$NE$60,MATCH(1,(GMWQ!$NE$2:$NE$60=D$3)*(GMWQ!$ND$2:$ND$60=D$4),0),$B172-1966)</f>
        <v>103492</v>
      </c>
      <c r="E172" s="18" cm="1">
        <f t="array" ref="E172">INDEX(GMWQ!$A$2:$NE$60,MATCH(1,(GMWQ!$NE$2:$NE$60=E$3)*(GMWQ!$ND$2:$ND$60=E$4),0),$B172-1966)</f>
        <v>-2735</v>
      </c>
      <c r="F172" s="18" cm="1">
        <f t="array" ref="F172">INDEX(GMWQ!$A$2:$NE$60,MATCH(1,(GMWQ!$NE$2:$NE$60=F$3)*(GMWQ!$ND$2:$ND$60=F$4),0),$B172-1966)</f>
        <v>-4326</v>
      </c>
      <c r="G172" s="18" cm="1">
        <f t="array" ref="G172">INDEX(GMWQ!$A$2:$NE$60,MATCH(1,(GMWQ!$NE$2:$NE$60=G$3)*(GMWQ!$ND$2:$ND$60=G$4),0),$B172-1966)</f>
        <v>461549</v>
      </c>
      <c r="H172" s="18" cm="1">
        <f t="array" ref="H172">INDEX(GMWQ!$A$2:$NE$60,MATCH(1,(GMWQ!$NE$2:$NE$60=H$3)*(GMWQ!$ND$2:$ND$60=H$4),0),$B172-1966)</f>
        <v>91645</v>
      </c>
      <c r="I172" s="18" cm="1">
        <f t="array" ref="I172">INDEX(GMWQ!$A$2:$NE$60,MATCH(1,(GMWQ!$NE$2:$NE$60=I$3)*(GMWQ!$ND$2:$ND$60=I$4),0),$B172-1966)</f>
        <v>13576</v>
      </c>
      <c r="J172" s="18" cm="1">
        <f t="array" ref="J172">INDEX(GMWQ!$A$2:$NE$60,MATCH(1,(GMWQ!$NE$2:$NE$60=J$3)*(GMWQ!$ND$2:$ND$60=J$4),0),$B172-1966)</f>
        <v>16319</v>
      </c>
      <c r="K172" s="18" cm="1">
        <f t="array" ref="K172">INDEX(GMWQ!$A$2:$NE$60,MATCH(1,(GMWQ!$NE$2:$NE$60=K$3)*(GMWQ!$ND$2:$ND$60=K$4),0),$B172-1966)</f>
        <v>2829718</v>
      </c>
      <c r="L172" s="18" cm="1">
        <f t="array" ref="L172">INDEX(GMWQ!$A$2:$NE$60,MATCH(1,(GMWQ!$NE$2:$NE$60=L$3)*(GMWQ!$ND$2:$ND$60=L$4),0),$B172-1966)</f>
        <v>30747</v>
      </c>
      <c r="M172" s="18" cm="1">
        <f t="array" ref="M172">INDEX(GMWQ!$A$2:$NE$60,MATCH(1,(GMWQ!$NE$2:$NE$60=M$3)*(GMWQ!$ND$2:$ND$60=M$4),0),$B172-1966)</f>
        <v>32.200000000000003</v>
      </c>
      <c r="N172" s="18" cm="1">
        <f t="array" ref="N172">INDEX(GMWQ!$A$2:$NE$60,MATCH(1,(GMWQ!$NE$2:$NE$60=N$3)*(GMWQ!$ND$2:$ND$60=N$4),0),$B172-1966)</f>
        <v>8.6675579999999997</v>
      </c>
      <c r="O172" s="18" cm="1">
        <f t="array" ref="O172">INDEX(GMWQ!$A$2:$NE$60,MATCH(1,(GMWQ!$NE$2:$NE$60=O$3)*(GMWQ!$ND$2:$ND$60=O$4),0),$B172-1966)</f>
        <v>3.1513149999999999</v>
      </c>
      <c r="P172" s="18" cm="1">
        <f t="array" ref="P172">INDEX(GMWQ!$A$2:$NE$60,MATCH(1,(GMWQ!$NE$2:$NE$60=P$3)*(GMWQ!$ND$2:$ND$60=P$4),0),$B172-1966)</f>
        <v>384674</v>
      </c>
      <c r="Q172" s="18" cm="1">
        <f t="array" ref="Q172">INDEX(GMWQ!$A$2:$NE$60,MATCH(1,(GMWQ!$NE$2:$NE$60=Q$3)*(GMWQ!$ND$2:$ND$60=Q$4),0),$B172-1966)</f>
        <v>601.6</v>
      </c>
      <c r="R172" s="18" cm="1">
        <f t="array" ref="R172">INDEX(GMWQ!$A$2:$NE$60,MATCH(1,(GMWQ!$NE$2:$NE$60=R$3)*(GMWQ!$ND$2:$ND$60=R$4),0),$B172-1966)</f>
        <v>20571.18</v>
      </c>
      <c r="S172" s="18" cm="1">
        <f t="array" ref="S172">INDEX(GMWQ!$A$2:$NE$60,MATCH(1,(GMWQ!$NE$2:$NE$60=S$3)*(GMWQ!$ND$2:$ND$60=S$4),0),$B172-1966)</f>
        <v>95.1</v>
      </c>
      <c r="T172" s="18" cm="1">
        <f t="array" ref="T172">INDEX(GMWQ!$A$2:$NE$60,MATCH(1,(GMWQ!$NE$2:$NE$60=T$3)*(GMWQ!$ND$2:$ND$60=T$4),0),$B172-1966)</f>
        <v>65.619</v>
      </c>
      <c r="U172" s="18" cm="1">
        <f t="array" ref="U172">INDEX(GMWQ!$A$2:$NE$60,MATCH(1,(GMWQ!$NE$2:$NE$60=U$3)*(GMWQ!$ND$2:$ND$60=U$4),0),$B172-1966)</f>
        <v>41.474200000000003</v>
      </c>
      <c r="V172" s="18" cm="1">
        <f t="array" ref="V172">INDEX(GMWQ!$A$2:$NE$60,MATCH(1,(GMWQ!$NE$2:$NE$60=V$3)*(GMWQ!$ND$2:$ND$60=V$4),0),$B172-1966)</f>
        <v>71339.75</v>
      </c>
      <c r="W172" s="18" cm="1">
        <f t="array" ref="W172">INDEX(GMWQ!$A$2:$NF$60,MATCH(1,(GMWQ!$NE$2:$NE$60=W$3)*(GMWQ!$NF$2:$NF$60=W$1),0),$B172-1966)</f>
        <v>44035</v>
      </c>
      <c r="X172" s="18" cm="1">
        <f t="array" ref="X172">INDEX(GMWQ!$A$2:$NF$60,MATCH(1,(GMWQ!$NE$2:$NE$60=X$3)*(GMWQ!$NF$2:$NF$60=X$1),0),$B172-1966)</f>
        <v>47939</v>
      </c>
      <c r="Y172" s="18" cm="1">
        <f t="array" ref="Y172">INDEX(GMWQ!$A$2:$NF$60,MATCH(1,(GMWQ!$NE$2:$NE$60=Y$3)*(GMWQ!$NF$2:$NF$60=Y$1),0),$B172-1966)</f>
        <v>49200</v>
      </c>
      <c r="Z172" s="18" cm="1">
        <f t="array" ref="Z172">INDEX(GMWQ!$A$2:$NF$60,MATCH(1,(GMWQ!$NE$2:$NE$60=Z$3)*(GMWQ!$NF$2:$NF$60=Z$1),0),$B172-1966)</f>
        <v>48160</v>
      </c>
    </row>
    <row r="173" spans="1:26" x14ac:dyDescent="0.25">
      <c r="B173" s="18">
        <f t="shared" si="3"/>
        <v>2139</v>
      </c>
      <c r="C173" s="18" cm="1">
        <f t="array" ref="C173">INDEX(GMWQ!$A$2:$NE$60,MATCH(1,(GMWQ!$NE$2:$NE$60=C$3)*(GMWQ!$ND$2:$ND$60=C$4),0),$B173-1966)</f>
        <v>52581</v>
      </c>
      <c r="D173" s="18" cm="1">
        <f t="array" ref="D173">INDEX(GMWQ!$A$2:$NE$60,MATCH(1,(GMWQ!$NE$2:$NE$60=D$3)*(GMWQ!$ND$2:$ND$60=D$4),0),$B173-1966)</f>
        <v>111995</v>
      </c>
      <c r="E173" s="18" cm="1">
        <f t="array" ref="E173">INDEX(GMWQ!$A$2:$NE$60,MATCH(1,(GMWQ!$NE$2:$NE$60=E$3)*(GMWQ!$ND$2:$ND$60=E$4),0),$B173-1966)</f>
        <v>411</v>
      </c>
      <c r="F173" s="18" cm="1">
        <f t="array" ref="F173">INDEX(GMWQ!$A$2:$NE$60,MATCH(1,(GMWQ!$NE$2:$NE$60=F$3)*(GMWQ!$ND$2:$ND$60=F$4),0),$B173-1966)</f>
        <v>-2</v>
      </c>
      <c r="G173" s="18" cm="1">
        <f t="array" ref="G173">INDEX(GMWQ!$A$2:$NE$60,MATCH(1,(GMWQ!$NE$2:$NE$60=G$3)*(GMWQ!$ND$2:$ND$60=G$4),0),$B173-1966)</f>
        <v>470624</v>
      </c>
      <c r="H173" s="18" cm="1">
        <f t="array" ref="H173">INDEX(GMWQ!$A$2:$NE$60,MATCH(1,(GMWQ!$NE$2:$NE$60=H$3)*(GMWQ!$ND$2:$ND$60=H$4),0),$B173-1966)</f>
        <v>93278</v>
      </c>
      <c r="I173" s="18" cm="1">
        <f t="array" ref="I173">INDEX(GMWQ!$A$2:$NE$60,MATCH(1,(GMWQ!$NE$2:$NE$60=I$3)*(GMWQ!$ND$2:$ND$60=I$4),0),$B173-1966)</f>
        <v>14268</v>
      </c>
      <c r="J173" s="18" cm="1">
        <f t="array" ref="J173">INDEX(GMWQ!$A$2:$NE$60,MATCH(1,(GMWQ!$NE$2:$NE$60=J$3)*(GMWQ!$ND$2:$ND$60=J$4),0),$B173-1966)</f>
        <v>17168</v>
      </c>
      <c r="K173" s="18" cm="1">
        <f t="array" ref="K173">INDEX(GMWQ!$A$2:$NE$60,MATCH(1,(GMWQ!$NE$2:$NE$60=K$3)*(GMWQ!$ND$2:$ND$60=K$4),0),$B173-1966)</f>
        <v>2842758</v>
      </c>
      <c r="L173" s="18" cm="1">
        <f t="array" ref="L173">INDEX(GMWQ!$A$2:$NE$60,MATCH(1,(GMWQ!$NE$2:$NE$60=L$3)*(GMWQ!$ND$2:$ND$60=L$4),0),$B173-1966)</f>
        <v>30873</v>
      </c>
      <c r="M173" s="18" cm="1">
        <f t="array" ref="M173">INDEX(GMWQ!$A$2:$NE$60,MATCH(1,(GMWQ!$NE$2:$NE$60=M$3)*(GMWQ!$ND$2:$ND$60=M$4),0),$B173-1966)</f>
        <v>32.200000000000003</v>
      </c>
      <c r="N173" s="18" cm="1">
        <f t="array" ref="N173">INDEX(GMWQ!$A$2:$NE$60,MATCH(1,(GMWQ!$NE$2:$NE$60=N$3)*(GMWQ!$ND$2:$ND$60=N$4),0),$B173-1966)</f>
        <v>8.0897640000000006</v>
      </c>
      <c r="O173" s="18" cm="1">
        <f t="array" ref="O173">INDEX(GMWQ!$A$2:$NE$60,MATCH(1,(GMWQ!$NE$2:$NE$60=O$3)*(GMWQ!$ND$2:$ND$60=O$4),0),$B173-1966)</f>
        <v>3.1181890000000001</v>
      </c>
      <c r="P173" s="18" cm="1">
        <f t="array" ref="P173">INDEX(GMWQ!$A$2:$NE$60,MATCH(1,(GMWQ!$NE$2:$NE$60=P$3)*(GMWQ!$ND$2:$ND$60=P$4),0),$B173-1966)</f>
        <v>379822</v>
      </c>
      <c r="Q173" s="18" cm="1">
        <f t="array" ref="Q173">INDEX(GMWQ!$A$2:$NE$60,MATCH(1,(GMWQ!$NE$2:$NE$60=Q$3)*(GMWQ!$ND$2:$ND$60=Q$4),0),$B173-1966)</f>
        <v>614.625</v>
      </c>
      <c r="R173" s="18" cm="1">
        <f t="array" ref="R173">INDEX(GMWQ!$A$2:$NE$60,MATCH(1,(GMWQ!$NE$2:$NE$60=R$3)*(GMWQ!$ND$2:$ND$60=R$4),0),$B173-1966)</f>
        <v>20694.150000000001</v>
      </c>
      <c r="S173" s="18" cm="1">
        <f t="array" ref="S173">INDEX(GMWQ!$A$2:$NE$60,MATCH(1,(GMWQ!$NE$2:$NE$60=S$3)*(GMWQ!$ND$2:$ND$60=S$4),0),$B173-1966)</f>
        <v>94.85</v>
      </c>
      <c r="T173" s="18" cm="1">
        <f t="array" ref="T173">INDEX(GMWQ!$A$2:$NE$60,MATCH(1,(GMWQ!$NE$2:$NE$60=T$3)*(GMWQ!$ND$2:$ND$60=T$4),0),$B173-1966)</f>
        <v>66.924999999999997</v>
      </c>
      <c r="U173" s="18" cm="1">
        <f t="array" ref="U173">INDEX(GMWQ!$A$2:$NE$60,MATCH(1,(GMWQ!$NE$2:$NE$60=U$3)*(GMWQ!$ND$2:$ND$60=U$4),0),$B173-1966)</f>
        <v>41.796250000000001</v>
      </c>
      <c r="V173" s="18" cm="1">
        <f t="array" ref="V173">INDEX(GMWQ!$A$2:$NE$60,MATCH(1,(GMWQ!$NE$2:$NE$60=V$3)*(GMWQ!$ND$2:$ND$60=V$4),0),$B173-1966)</f>
        <v>72150</v>
      </c>
      <c r="W173" s="18" cm="1">
        <f t="array" ref="W173">INDEX(GMWQ!$A$2:$NF$60,MATCH(1,(GMWQ!$NE$2:$NE$60=W$3)*(GMWQ!$NF$2:$NF$60=W$1),0),$B173-1966)</f>
        <v>43893</v>
      </c>
      <c r="X173" s="18" cm="1">
        <f t="array" ref="X173">INDEX(GMWQ!$A$2:$NF$60,MATCH(1,(GMWQ!$NE$2:$NE$60=X$3)*(GMWQ!$NF$2:$NF$60=X$1),0),$B173-1966)</f>
        <v>47799</v>
      </c>
      <c r="Y173" s="18" cm="1">
        <f t="array" ref="Y173">INDEX(GMWQ!$A$2:$NF$60,MATCH(1,(GMWQ!$NE$2:$NE$60=Y$3)*(GMWQ!$NF$2:$NF$60=Y$1),0),$B173-1966)</f>
        <v>49344</v>
      </c>
      <c r="Z173" s="18" cm="1">
        <f t="array" ref="Z173">INDEX(GMWQ!$A$2:$NF$60,MATCH(1,(GMWQ!$NE$2:$NE$60=Z$3)*(GMWQ!$NF$2:$NF$60=Z$1),0),$B173-1966)</f>
        <v>48500</v>
      </c>
    </row>
    <row r="174" spans="1:26" x14ac:dyDescent="0.25">
      <c r="B174" s="18">
        <f t="shared" si="3"/>
        <v>2140</v>
      </c>
      <c r="C174" s="18" cm="1">
        <f t="array" ref="C174">INDEX(GMWQ!$A$2:$NE$60,MATCH(1,(GMWQ!$NE$2:$NE$60=C$3)*(GMWQ!$ND$2:$ND$60=C$4),0),$B174-1966)</f>
        <v>54474</v>
      </c>
      <c r="D174" s="18" cm="1">
        <f t="array" ref="D174">INDEX(GMWQ!$A$2:$NE$60,MATCH(1,(GMWQ!$NE$2:$NE$60=D$3)*(GMWQ!$ND$2:$ND$60=D$4),0),$B174-1966)</f>
        <v>110568</v>
      </c>
      <c r="E174" s="18" cm="1">
        <f t="array" ref="E174">INDEX(GMWQ!$A$2:$NE$60,MATCH(1,(GMWQ!$NE$2:$NE$60=E$3)*(GMWQ!$ND$2:$ND$60=E$4),0),$B174-1966)</f>
        <v>-4908</v>
      </c>
      <c r="F174" s="18" cm="1">
        <f t="array" ref="F174">INDEX(GMWQ!$A$2:$NE$60,MATCH(1,(GMWQ!$NE$2:$NE$60=F$3)*(GMWQ!$ND$2:$ND$60=F$4),0),$B174-1966)</f>
        <v>-13467</v>
      </c>
      <c r="G174" s="18" cm="1">
        <f t="array" ref="G174">INDEX(GMWQ!$A$2:$NE$60,MATCH(1,(GMWQ!$NE$2:$NE$60=G$3)*(GMWQ!$ND$2:$ND$60=G$4),0),$B174-1966)</f>
        <v>472658</v>
      </c>
      <c r="H174" s="18" cm="1">
        <f t="array" ref="H174">INDEX(GMWQ!$A$2:$NE$60,MATCH(1,(GMWQ!$NE$2:$NE$60=H$3)*(GMWQ!$ND$2:$ND$60=H$4),0),$B174-1966)</f>
        <v>95670</v>
      </c>
      <c r="I174" s="18" cm="1">
        <f t="array" ref="I174">INDEX(GMWQ!$A$2:$NE$60,MATCH(1,(GMWQ!$NE$2:$NE$60=I$3)*(GMWQ!$ND$2:$ND$60=I$4),0),$B174-1966)</f>
        <v>14639</v>
      </c>
      <c r="J174" s="18" cm="1">
        <f t="array" ref="J174">INDEX(GMWQ!$A$2:$NE$60,MATCH(1,(GMWQ!$NE$2:$NE$60=J$3)*(GMWQ!$ND$2:$ND$60=J$4),0),$B174-1966)</f>
        <v>16910</v>
      </c>
      <c r="K174" s="18" cm="1">
        <f t="array" ref="K174">INDEX(GMWQ!$A$2:$NE$60,MATCH(1,(GMWQ!$NE$2:$NE$60=K$3)*(GMWQ!$ND$2:$ND$60=K$4),0),$B174-1966)</f>
        <v>2855798</v>
      </c>
      <c r="L174" s="18" cm="1">
        <f t="array" ref="L174">INDEX(GMWQ!$A$2:$NE$60,MATCH(1,(GMWQ!$NE$2:$NE$60=L$3)*(GMWQ!$ND$2:$ND$60=L$4),0),$B174-1966)</f>
        <v>30981</v>
      </c>
      <c r="M174" s="18" cm="1">
        <f t="array" ref="M174">INDEX(GMWQ!$A$2:$NE$60,MATCH(1,(GMWQ!$NE$2:$NE$60=M$3)*(GMWQ!$ND$2:$ND$60=M$4),0),$B174-1966)</f>
        <v>32.200000000000003</v>
      </c>
      <c r="N174" s="18" cm="1">
        <f t="array" ref="N174">INDEX(GMWQ!$A$2:$NE$60,MATCH(1,(GMWQ!$NE$2:$NE$60=N$3)*(GMWQ!$ND$2:$ND$60=N$4),0),$B174-1966)</f>
        <v>9.0708839999999995</v>
      </c>
      <c r="O174" s="18" cm="1">
        <f t="array" ref="O174">INDEX(GMWQ!$A$2:$NE$60,MATCH(1,(GMWQ!$NE$2:$NE$60=O$3)*(GMWQ!$ND$2:$ND$60=O$4),0),$B174-1966)</f>
        <v>2.8931879999999999</v>
      </c>
      <c r="P174" s="18" cm="1">
        <f t="array" ref="P174">INDEX(GMWQ!$A$2:$NE$60,MATCH(1,(GMWQ!$NE$2:$NE$60=P$3)*(GMWQ!$ND$2:$ND$60=P$4),0),$B174-1966)</f>
        <v>372679</v>
      </c>
      <c r="Q174" s="18" cm="1">
        <f t="array" ref="Q174">INDEX(GMWQ!$A$2:$NE$60,MATCH(1,(GMWQ!$NE$2:$NE$60=Q$3)*(GMWQ!$ND$2:$ND$60=Q$4),0),$B174-1966)</f>
        <v>619.97500000000002</v>
      </c>
      <c r="R174" s="18" cm="1">
        <f t="array" ref="R174">INDEX(GMWQ!$A$2:$NE$60,MATCH(1,(GMWQ!$NE$2:$NE$60=R$3)*(GMWQ!$ND$2:$ND$60=R$4),0),$B174-1966)</f>
        <v>20851.55</v>
      </c>
      <c r="S174" s="18" cm="1">
        <f t="array" ref="S174">INDEX(GMWQ!$A$2:$NE$60,MATCH(1,(GMWQ!$NE$2:$NE$60=S$3)*(GMWQ!$ND$2:$ND$60=S$4),0),$B174-1966)</f>
        <v>96</v>
      </c>
      <c r="T174" s="18" cm="1">
        <f t="array" ref="T174">INDEX(GMWQ!$A$2:$NE$60,MATCH(1,(GMWQ!$NE$2:$NE$60=T$3)*(GMWQ!$ND$2:$ND$60=T$4),0),$B174-1966)</f>
        <v>66.332999999999998</v>
      </c>
      <c r="U174" s="18" cm="1">
        <f t="array" ref="U174">INDEX(GMWQ!$A$2:$NE$60,MATCH(1,(GMWQ!$NE$2:$NE$60=U$3)*(GMWQ!$ND$2:$ND$60=U$4),0),$B174-1966)</f>
        <v>42.125030000000002</v>
      </c>
      <c r="V174" s="18" cm="1">
        <f t="array" ref="V174">INDEX(GMWQ!$A$2:$NE$60,MATCH(1,(GMWQ!$NE$2:$NE$60=V$3)*(GMWQ!$ND$2:$ND$60=V$4),0),$B174-1966)</f>
        <v>73677.5</v>
      </c>
      <c r="W174" s="18" cm="1">
        <f t="array" ref="W174">INDEX(GMWQ!$A$2:$NF$60,MATCH(1,(GMWQ!$NE$2:$NE$60=W$3)*(GMWQ!$NF$2:$NF$60=W$1),0),$B174-1966)</f>
        <v>44855</v>
      </c>
      <c r="X174" s="18" cm="1">
        <f t="array" ref="X174">INDEX(GMWQ!$A$2:$NF$60,MATCH(1,(GMWQ!$NE$2:$NE$60=X$3)*(GMWQ!$NF$2:$NF$60=X$1),0),$B174-1966)</f>
        <v>48959</v>
      </c>
      <c r="Y174" s="18" cm="1">
        <f t="array" ref="Y174">INDEX(GMWQ!$A$2:$NF$60,MATCH(1,(GMWQ!$NE$2:$NE$60=Y$3)*(GMWQ!$NF$2:$NF$60=Y$1),0),$B174-1966)</f>
        <v>50245</v>
      </c>
      <c r="Z174" s="18" cm="1">
        <f t="array" ref="Z174">INDEX(GMWQ!$A$2:$NF$60,MATCH(1,(GMWQ!$NE$2:$NE$60=Z$3)*(GMWQ!$NF$2:$NF$60=Z$1),0),$B174-1966)</f>
        <v>50226</v>
      </c>
    </row>
    <row r="175" spans="1:26" x14ac:dyDescent="0.25">
      <c r="A175" s="18">
        <v>2015</v>
      </c>
      <c r="B175" s="18">
        <f t="shared" si="3"/>
        <v>2141</v>
      </c>
      <c r="C175" s="18" cm="1">
        <f t="array" ref="C175">INDEX(GMWQ!$A$2:$NE$60,MATCH(1,(GMWQ!$NE$2:$NE$60=C$3)*(GMWQ!$ND$2:$ND$60=C$4),0),$B175-1966)</f>
        <v>57960</v>
      </c>
      <c r="D175" s="18" cm="1">
        <f t="array" ref="D175">INDEX(GMWQ!$A$2:$NE$60,MATCH(1,(GMWQ!$NE$2:$NE$60=D$3)*(GMWQ!$ND$2:$ND$60=D$4),0),$B175-1966)</f>
        <v>108361</v>
      </c>
      <c r="E175" s="18" cm="1">
        <f t="array" ref="E175">INDEX(GMWQ!$A$2:$NE$60,MATCH(1,(GMWQ!$NE$2:$NE$60=E$3)*(GMWQ!$ND$2:$ND$60=E$4),0),$B175-1966)</f>
        <v>-6491</v>
      </c>
      <c r="F175" s="18" cm="1">
        <f t="array" ref="F175">INDEX(GMWQ!$A$2:$NE$60,MATCH(1,(GMWQ!$NE$2:$NE$60=F$3)*(GMWQ!$ND$2:$ND$60=F$4),0),$B175-1966)</f>
        <v>-15770</v>
      </c>
      <c r="G175" s="18" cm="1">
        <f t="array" ref="G175">INDEX(GMWQ!$A$2:$NE$60,MATCH(1,(GMWQ!$NE$2:$NE$60=G$3)*(GMWQ!$ND$2:$ND$60=G$4),0),$B175-1966)</f>
        <v>474680</v>
      </c>
      <c r="H175" s="18" cm="1">
        <f t="array" ref="H175">INDEX(GMWQ!$A$2:$NE$60,MATCH(1,(GMWQ!$NE$2:$NE$60=H$3)*(GMWQ!$ND$2:$ND$60=H$4),0),$B175-1966)</f>
        <v>99019</v>
      </c>
      <c r="I175" s="18" cm="1">
        <f t="array" ref="I175">INDEX(GMWQ!$A$2:$NE$60,MATCH(1,(GMWQ!$NE$2:$NE$60=I$3)*(GMWQ!$ND$2:$ND$60=I$4),0),$B175-1966)</f>
        <v>14961</v>
      </c>
      <c r="J175" s="18" cm="1">
        <f t="array" ref="J175">INDEX(GMWQ!$A$2:$NE$60,MATCH(1,(GMWQ!$NE$2:$NE$60=J$3)*(GMWQ!$ND$2:$ND$60=J$4),0),$B175-1966)</f>
        <v>16893</v>
      </c>
      <c r="K175" s="18" cm="1">
        <f t="array" ref="K175">INDEX(GMWQ!$A$2:$NE$60,MATCH(1,(GMWQ!$NE$2:$NE$60=K$3)*(GMWQ!$ND$2:$ND$60=K$4),0),$B175-1966)</f>
        <v>2872370</v>
      </c>
      <c r="L175" s="18" cm="1">
        <f t="array" ref="L175">INDEX(GMWQ!$A$2:$NE$60,MATCH(1,(GMWQ!$NE$2:$NE$60=L$3)*(GMWQ!$ND$2:$ND$60=L$4),0),$B175-1966)</f>
        <v>31188</v>
      </c>
      <c r="M175" s="18" cm="1">
        <f t="array" ref="M175">INDEX(GMWQ!$A$2:$NE$60,MATCH(1,(GMWQ!$NE$2:$NE$60=M$3)*(GMWQ!$ND$2:$ND$60=M$4),0),$B175-1966)</f>
        <v>32.1</v>
      </c>
      <c r="N175" s="18" cm="1">
        <f t="array" ref="N175">INDEX(GMWQ!$A$2:$NE$60,MATCH(1,(GMWQ!$NE$2:$NE$60=N$3)*(GMWQ!$ND$2:$ND$60=N$4),0),$B175-1966)</f>
        <v>7.2153580000000002</v>
      </c>
      <c r="O175" s="18" cm="1">
        <f t="array" ref="O175">INDEX(GMWQ!$A$2:$NE$60,MATCH(1,(GMWQ!$NE$2:$NE$60=O$3)*(GMWQ!$ND$2:$ND$60=O$4),0),$B175-1966)</f>
        <v>2.6851600000000002</v>
      </c>
      <c r="P175" s="18" cm="1">
        <f t="array" ref="P175">INDEX(GMWQ!$A$2:$NE$60,MATCH(1,(GMWQ!$NE$2:$NE$60=P$3)*(GMWQ!$ND$2:$ND$60=P$4),0),$B175-1966)</f>
        <v>374047</v>
      </c>
      <c r="Q175" s="18" cm="1">
        <f t="array" ref="Q175">INDEX(GMWQ!$A$2:$NE$60,MATCH(1,(GMWQ!$NE$2:$NE$60=Q$3)*(GMWQ!$ND$2:$ND$60=Q$4),0),$B175-1966)</f>
        <v>620.27499999999998</v>
      </c>
      <c r="R175" s="18" cm="1">
        <f t="array" ref="R175">INDEX(GMWQ!$A$2:$NE$60,MATCH(1,(GMWQ!$NE$2:$NE$60=R$3)*(GMWQ!$ND$2:$ND$60=R$4),0),$B175-1966)</f>
        <v>21901.88</v>
      </c>
      <c r="S175" s="18" cm="1">
        <f t="array" ref="S175">INDEX(GMWQ!$A$2:$NE$60,MATCH(1,(GMWQ!$NE$2:$NE$60=S$3)*(GMWQ!$ND$2:$ND$60=S$4),0),$B175-1966)</f>
        <v>95.89</v>
      </c>
      <c r="T175" s="18" cm="1">
        <f t="array" ref="T175">INDEX(GMWQ!$A$2:$NE$60,MATCH(1,(GMWQ!$NE$2:$NE$60=T$3)*(GMWQ!$ND$2:$ND$60=T$4),0),$B175-1966)</f>
        <v>67.14</v>
      </c>
      <c r="U175" s="18" cm="1">
        <f t="array" ref="U175">INDEX(GMWQ!$A$2:$NE$60,MATCH(1,(GMWQ!$NE$2:$NE$60=U$3)*(GMWQ!$ND$2:$ND$60=U$4),0),$B175-1966)</f>
        <v>42.273699999999998</v>
      </c>
      <c r="V175" s="18" cm="1">
        <f t="array" ref="V175">INDEX(GMWQ!$A$2:$NE$60,MATCH(1,(GMWQ!$NE$2:$NE$60=V$3)*(GMWQ!$ND$2:$ND$60=V$4),0),$B175-1966)</f>
        <v>67519.25</v>
      </c>
      <c r="W175" s="18" cm="1">
        <f t="array" ref="W175">INDEX(GMWQ!$A$2:$NF$60,MATCH(1,(GMWQ!$NE$2:$NE$60=W$3)*(GMWQ!$NF$2:$NF$60=W$1),0),$B175-1966)</f>
        <v>46651</v>
      </c>
      <c r="X175" s="18" cm="1">
        <f t="array" ref="X175">INDEX(GMWQ!$A$2:$NF$60,MATCH(1,(GMWQ!$NE$2:$NE$60=X$3)*(GMWQ!$NF$2:$NF$60=X$1),0),$B175-1966)</f>
        <v>50837</v>
      </c>
      <c r="Y175" s="18" cm="1">
        <f t="array" ref="Y175">INDEX(GMWQ!$A$2:$NF$60,MATCH(1,(GMWQ!$NE$2:$NE$60=Y$3)*(GMWQ!$NF$2:$NF$60=Y$1),0),$B175-1966)</f>
        <v>52979</v>
      </c>
      <c r="Z175" s="18" cm="1">
        <f t="array" ref="Z175">INDEX(GMWQ!$A$2:$NF$60,MATCH(1,(GMWQ!$NE$2:$NE$60=Z$3)*(GMWQ!$NF$2:$NF$60=Z$1),0),$B175-1966)</f>
        <v>53460</v>
      </c>
    </row>
    <row r="176" spans="1:26" x14ac:dyDescent="0.25">
      <c r="B176" s="18">
        <f t="shared" si="3"/>
        <v>2142</v>
      </c>
      <c r="C176" s="18" cm="1">
        <f t="array" ref="C176">INDEX(GMWQ!$A$2:$NE$60,MATCH(1,(GMWQ!$NE$2:$NE$60=C$3)*(GMWQ!$ND$2:$ND$60=C$4),0),$B176-1966)</f>
        <v>56395</v>
      </c>
      <c r="D176" s="18" cm="1">
        <f t="array" ref="D176">INDEX(GMWQ!$A$2:$NE$60,MATCH(1,(GMWQ!$NE$2:$NE$60=D$3)*(GMWQ!$ND$2:$ND$60=D$4),0),$B176-1966)</f>
        <v>106717</v>
      </c>
      <c r="E176" s="18" cm="1">
        <f t="array" ref="E176">INDEX(GMWQ!$A$2:$NE$60,MATCH(1,(GMWQ!$NE$2:$NE$60=E$3)*(GMWQ!$ND$2:$ND$60=E$4),0),$B176-1966)</f>
        <v>-3369</v>
      </c>
      <c r="F176" s="18" cm="1">
        <f t="array" ref="F176">INDEX(GMWQ!$A$2:$NE$60,MATCH(1,(GMWQ!$NE$2:$NE$60=F$3)*(GMWQ!$ND$2:$ND$60=F$4),0),$B176-1966)</f>
        <v>-11617</v>
      </c>
      <c r="G176" s="18" cm="1">
        <f t="array" ref="G176">INDEX(GMWQ!$A$2:$NE$60,MATCH(1,(GMWQ!$NE$2:$NE$60=G$3)*(GMWQ!$ND$2:$ND$60=G$4),0),$B176-1966)</f>
        <v>476591</v>
      </c>
      <c r="H176" s="18" cm="1">
        <f t="array" ref="H176">INDEX(GMWQ!$A$2:$NE$60,MATCH(1,(GMWQ!$NE$2:$NE$60=H$3)*(GMWQ!$ND$2:$ND$60=H$4),0),$B176-1966)</f>
        <v>99456</v>
      </c>
      <c r="I176" s="18" cm="1">
        <f t="array" ref="I176">INDEX(GMWQ!$A$2:$NE$60,MATCH(1,(GMWQ!$NE$2:$NE$60=I$3)*(GMWQ!$ND$2:$ND$60=I$4),0),$B176-1966)</f>
        <v>14946</v>
      </c>
      <c r="J176" s="18" cm="1">
        <f t="array" ref="J176">INDEX(GMWQ!$A$2:$NE$60,MATCH(1,(GMWQ!$NE$2:$NE$60=J$3)*(GMWQ!$ND$2:$ND$60=J$4),0),$B176-1966)</f>
        <v>18717</v>
      </c>
      <c r="K176" s="18" cm="1">
        <f t="array" ref="K176">INDEX(GMWQ!$A$2:$NE$60,MATCH(1,(GMWQ!$NE$2:$NE$60=K$3)*(GMWQ!$ND$2:$ND$60=K$4),0),$B176-1966)</f>
        <v>2888942</v>
      </c>
      <c r="L176" s="18" cm="1">
        <f t="array" ref="L176">INDEX(GMWQ!$A$2:$NE$60,MATCH(1,(GMWQ!$NE$2:$NE$60=L$3)*(GMWQ!$ND$2:$ND$60=L$4),0),$B176-1966)</f>
        <v>31140</v>
      </c>
      <c r="M176" s="18" cm="1">
        <f t="array" ref="M176">INDEX(GMWQ!$A$2:$NE$60,MATCH(1,(GMWQ!$NE$2:$NE$60=M$3)*(GMWQ!$ND$2:$ND$60=M$4),0),$B176-1966)</f>
        <v>32.1</v>
      </c>
      <c r="N176" s="18" cm="1">
        <f t="array" ref="N176">INDEX(GMWQ!$A$2:$NE$60,MATCH(1,(GMWQ!$NE$2:$NE$60=N$3)*(GMWQ!$ND$2:$ND$60=N$4),0),$B176-1966)</f>
        <v>7.2421230000000003</v>
      </c>
      <c r="O176" s="18" cm="1">
        <f t="array" ref="O176">INDEX(GMWQ!$A$2:$NE$60,MATCH(1,(GMWQ!$NE$2:$NE$60=O$3)*(GMWQ!$ND$2:$ND$60=O$4),0),$B176-1966)</f>
        <v>2.8485369999999999</v>
      </c>
      <c r="P176" s="18" cm="1">
        <f t="array" ref="P176">INDEX(GMWQ!$A$2:$NE$60,MATCH(1,(GMWQ!$NE$2:$NE$60=P$3)*(GMWQ!$ND$2:$ND$60=P$4),0),$B176-1966)</f>
        <v>369278</v>
      </c>
      <c r="Q176" s="18" cm="1">
        <f t="array" ref="Q176">INDEX(GMWQ!$A$2:$NE$60,MATCH(1,(GMWQ!$NE$2:$NE$60=Q$3)*(GMWQ!$ND$2:$ND$60=Q$4),0),$B176-1966)</f>
        <v>624.6</v>
      </c>
      <c r="R176" s="18" cm="1">
        <f t="array" ref="R176">INDEX(GMWQ!$A$2:$NE$60,MATCH(1,(GMWQ!$NE$2:$NE$60=R$3)*(GMWQ!$ND$2:$ND$60=R$4),0),$B176-1966)</f>
        <v>21604</v>
      </c>
      <c r="S176" s="18" cm="1">
        <f t="array" ref="S176">INDEX(GMWQ!$A$2:$NE$60,MATCH(1,(GMWQ!$NE$2:$NE$60=S$3)*(GMWQ!$ND$2:$ND$60=S$4),0),$B176-1966)</f>
        <v>96.56</v>
      </c>
      <c r="T176" s="18" cm="1">
        <f t="array" ref="T176">INDEX(GMWQ!$A$2:$NE$60,MATCH(1,(GMWQ!$NE$2:$NE$60=T$3)*(GMWQ!$ND$2:$ND$60=T$4),0),$B176-1966)</f>
        <v>67.48</v>
      </c>
      <c r="U176" s="18" cm="1">
        <f t="array" ref="U176">INDEX(GMWQ!$A$2:$NE$60,MATCH(1,(GMWQ!$NE$2:$NE$60=U$3)*(GMWQ!$ND$2:$ND$60=U$4),0),$B176-1966)</f>
        <v>42.822119999999998</v>
      </c>
      <c r="V176" s="18" cm="1">
        <f t="array" ref="V176">INDEX(GMWQ!$A$2:$NE$60,MATCH(1,(GMWQ!$NE$2:$NE$60=V$3)*(GMWQ!$ND$2:$ND$60=V$4),0),$B176-1966)</f>
        <v>64540.5</v>
      </c>
      <c r="W176" s="18" cm="1">
        <f t="array" ref="W176">INDEX(GMWQ!$A$2:$NF$60,MATCH(1,(GMWQ!$NE$2:$NE$60=W$3)*(GMWQ!$NF$2:$NF$60=W$1),0),$B176-1966)</f>
        <v>46853</v>
      </c>
      <c r="X176" s="18" cm="1">
        <f t="array" ref="X176">INDEX(GMWQ!$A$2:$NF$60,MATCH(1,(GMWQ!$NE$2:$NE$60=X$3)*(GMWQ!$NF$2:$NF$60=X$1),0),$B176-1966)</f>
        <v>50817</v>
      </c>
      <c r="Y176" s="18" cm="1">
        <f t="array" ref="Y176">INDEX(GMWQ!$A$2:$NF$60,MATCH(1,(GMWQ!$NE$2:$NE$60=Y$3)*(GMWQ!$NF$2:$NF$60=Y$1),0),$B176-1966)</f>
        <v>52791</v>
      </c>
      <c r="Z176" s="18" cm="1">
        <f t="array" ref="Z176">INDEX(GMWQ!$A$2:$NF$60,MATCH(1,(GMWQ!$NE$2:$NE$60=Z$3)*(GMWQ!$NF$2:$NF$60=Z$1),0),$B176-1966)</f>
        <v>52038</v>
      </c>
    </row>
    <row r="177" spans="1:26" x14ac:dyDescent="0.25">
      <c r="B177" s="18">
        <f t="shared" ref="B177:B240" si="4">+B176+1</f>
        <v>2143</v>
      </c>
      <c r="C177" s="18" cm="1">
        <f t="array" ref="C177">INDEX(GMWQ!$A$2:$NE$60,MATCH(1,(GMWQ!$NE$2:$NE$60=C$3)*(GMWQ!$ND$2:$ND$60=C$4),0),$B177-1966)</f>
        <v>56508</v>
      </c>
      <c r="D177" s="18" cm="1">
        <f t="array" ref="D177">INDEX(GMWQ!$A$2:$NE$60,MATCH(1,(GMWQ!$NE$2:$NE$60=D$3)*(GMWQ!$ND$2:$ND$60=D$4),0),$B177-1966)</f>
        <v>103717</v>
      </c>
      <c r="E177" s="18" cm="1">
        <f t="array" ref="E177">INDEX(GMWQ!$A$2:$NE$60,MATCH(1,(GMWQ!$NE$2:$NE$60=E$3)*(GMWQ!$ND$2:$ND$60=E$4),0),$B177-1966)</f>
        <v>-19921</v>
      </c>
      <c r="F177" s="18" cm="1">
        <f t="array" ref="F177">INDEX(GMWQ!$A$2:$NE$60,MATCH(1,(GMWQ!$NE$2:$NE$60=F$3)*(GMWQ!$ND$2:$ND$60=F$4),0),$B177-1966)</f>
        <v>-13569</v>
      </c>
      <c r="G177" s="18" cm="1">
        <f t="array" ref="G177">INDEX(GMWQ!$A$2:$NE$60,MATCH(1,(GMWQ!$NE$2:$NE$60=G$3)*(GMWQ!$ND$2:$ND$60=G$4),0),$B177-1966)</f>
        <v>479924</v>
      </c>
      <c r="H177" s="18" cm="1">
        <f t="array" ref="H177">INDEX(GMWQ!$A$2:$NE$60,MATCH(1,(GMWQ!$NE$2:$NE$60=H$3)*(GMWQ!$ND$2:$ND$60=H$4),0),$B177-1966)</f>
        <v>98717</v>
      </c>
      <c r="I177" s="18" cm="1">
        <f t="array" ref="I177">INDEX(GMWQ!$A$2:$NE$60,MATCH(1,(GMWQ!$NE$2:$NE$60=I$3)*(GMWQ!$ND$2:$ND$60=I$4),0),$B177-1966)</f>
        <v>14169</v>
      </c>
      <c r="J177" s="18" cm="1">
        <f t="array" ref="J177">INDEX(GMWQ!$A$2:$NE$60,MATCH(1,(GMWQ!$NE$2:$NE$60=J$3)*(GMWQ!$ND$2:$ND$60=J$4),0),$B177-1966)</f>
        <v>18492</v>
      </c>
      <c r="K177" s="18" cm="1">
        <f t="array" ref="K177">INDEX(GMWQ!$A$2:$NE$60,MATCH(1,(GMWQ!$NE$2:$NE$60=K$3)*(GMWQ!$ND$2:$ND$60=K$4),0),$B177-1966)</f>
        <v>2905514</v>
      </c>
      <c r="L177" s="18" cm="1">
        <f t="array" ref="L177">INDEX(GMWQ!$A$2:$NE$60,MATCH(1,(GMWQ!$NE$2:$NE$60=L$3)*(GMWQ!$ND$2:$ND$60=L$4),0),$B177-1966)</f>
        <v>31361</v>
      </c>
      <c r="M177" s="18" cm="1">
        <f t="array" ref="M177">INDEX(GMWQ!$A$2:$NE$60,MATCH(1,(GMWQ!$NE$2:$NE$60=M$3)*(GMWQ!$ND$2:$ND$60=M$4),0),$B177-1966)</f>
        <v>31.9</v>
      </c>
      <c r="N177" s="18" cm="1">
        <f t="array" ref="N177">INDEX(GMWQ!$A$2:$NE$60,MATCH(1,(GMWQ!$NE$2:$NE$60=N$3)*(GMWQ!$ND$2:$ND$60=N$4),0),$B177-1966)</f>
        <v>7.5025399999999998</v>
      </c>
      <c r="O177" s="18" cm="1">
        <f t="array" ref="O177">INDEX(GMWQ!$A$2:$NE$60,MATCH(1,(GMWQ!$NE$2:$NE$60=O$3)*(GMWQ!$ND$2:$ND$60=O$4),0),$B177-1966)</f>
        <v>3.009312</v>
      </c>
      <c r="P177" s="18" cm="1">
        <f t="array" ref="P177">INDEX(GMWQ!$A$2:$NE$60,MATCH(1,(GMWQ!$NE$2:$NE$60=P$3)*(GMWQ!$ND$2:$ND$60=P$4),0),$B177-1966)</f>
        <v>362603</v>
      </c>
      <c r="Q177" s="18" cm="1">
        <f t="array" ref="Q177">INDEX(GMWQ!$A$2:$NE$60,MATCH(1,(GMWQ!$NE$2:$NE$60=Q$3)*(GMWQ!$ND$2:$ND$60=Q$4),0),$B177-1966)</f>
        <v>628.4</v>
      </c>
      <c r="R177" s="18" cm="1">
        <f t="array" ref="R177">INDEX(GMWQ!$A$2:$NE$60,MATCH(1,(GMWQ!$NE$2:$NE$60=R$3)*(GMWQ!$ND$2:$ND$60=R$4),0),$B177-1966)</f>
        <v>21899.18</v>
      </c>
      <c r="S177" s="18" cm="1">
        <f t="array" ref="S177">INDEX(GMWQ!$A$2:$NE$60,MATCH(1,(GMWQ!$NE$2:$NE$60=S$3)*(GMWQ!$ND$2:$ND$60=S$4),0),$B177-1966)</f>
        <v>97.13</v>
      </c>
      <c r="T177" s="18" cm="1">
        <f t="array" ref="T177">INDEX(GMWQ!$A$2:$NE$60,MATCH(1,(GMWQ!$NE$2:$NE$60=T$3)*(GMWQ!$ND$2:$ND$60=T$4),0),$B177-1966)</f>
        <v>68.22</v>
      </c>
      <c r="U177" s="18" cm="1">
        <f t="array" ref="U177">INDEX(GMWQ!$A$2:$NE$60,MATCH(1,(GMWQ!$NE$2:$NE$60=U$3)*(GMWQ!$ND$2:$ND$60=U$4),0),$B177-1966)</f>
        <v>42.948279999999997</v>
      </c>
      <c r="V177" s="18" cm="1">
        <f t="array" ref="V177">INDEX(GMWQ!$A$2:$NE$60,MATCH(1,(GMWQ!$NE$2:$NE$60=V$3)*(GMWQ!$ND$2:$ND$60=V$4),0),$B177-1966)</f>
        <v>62281.75</v>
      </c>
      <c r="W177" s="18" cm="1">
        <f t="array" ref="W177">INDEX(GMWQ!$A$2:$NF$60,MATCH(1,(GMWQ!$NE$2:$NE$60=W$3)*(GMWQ!$NF$2:$NF$60=W$1),0),$B177-1966)</f>
        <v>46629</v>
      </c>
      <c r="X177" s="18" cm="1">
        <f t="array" ref="X177">INDEX(GMWQ!$A$2:$NF$60,MATCH(1,(GMWQ!$NE$2:$NE$60=X$3)*(GMWQ!$NF$2:$NF$60=X$1),0),$B177-1966)</f>
        <v>50575</v>
      </c>
      <c r="Y177" s="18" cm="1">
        <f t="array" ref="Y177">INDEX(GMWQ!$A$2:$NF$60,MATCH(1,(GMWQ!$NE$2:$NE$60=Y$3)*(GMWQ!$NF$2:$NF$60=Y$1),0),$B177-1966)</f>
        <v>52925</v>
      </c>
      <c r="Z177" s="18" cm="1">
        <f t="array" ref="Z177">INDEX(GMWQ!$A$2:$NF$60,MATCH(1,(GMWQ!$NE$2:$NE$60=Z$3)*(GMWQ!$NF$2:$NF$60=Z$1),0),$B177-1966)</f>
        <v>52163</v>
      </c>
    </row>
    <row r="178" spans="1:26" x14ac:dyDescent="0.25">
      <c r="B178" s="18">
        <f t="shared" si="4"/>
        <v>2144</v>
      </c>
      <c r="C178" s="18" cm="1">
        <f t="array" ref="C178">INDEX(GMWQ!$A$2:$NE$60,MATCH(1,(GMWQ!$NE$2:$NE$60=C$3)*(GMWQ!$ND$2:$ND$60=C$4),0),$B178-1966)</f>
        <v>60238</v>
      </c>
      <c r="D178" s="18" cm="1">
        <f t="array" ref="D178">INDEX(GMWQ!$A$2:$NE$60,MATCH(1,(GMWQ!$NE$2:$NE$60=D$3)*(GMWQ!$ND$2:$ND$60=D$4),0),$B178-1966)</f>
        <v>107050</v>
      </c>
      <c r="E178" s="18" cm="1">
        <f t="array" ref="E178">INDEX(GMWQ!$A$2:$NE$60,MATCH(1,(GMWQ!$NE$2:$NE$60=E$3)*(GMWQ!$ND$2:$ND$60=E$4),0),$B178-1966)</f>
        <v>-21029</v>
      </c>
      <c r="F178" s="18" cm="1">
        <f t="array" ref="F178">INDEX(GMWQ!$A$2:$NE$60,MATCH(1,(GMWQ!$NE$2:$NE$60=F$3)*(GMWQ!$ND$2:$ND$60=F$4),0),$B178-1966)</f>
        <v>-30256</v>
      </c>
      <c r="G178" s="18" cm="1">
        <f t="array" ref="G178">INDEX(GMWQ!$A$2:$NE$60,MATCH(1,(GMWQ!$NE$2:$NE$60=G$3)*(GMWQ!$ND$2:$ND$60=G$4),0),$B178-1966)</f>
        <v>485256</v>
      </c>
      <c r="H178" s="18" cm="1">
        <f t="array" ref="H178">INDEX(GMWQ!$A$2:$NE$60,MATCH(1,(GMWQ!$NE$2:$NE$60=H$3)*(GMWQ!$ND$2:$ND$60=H$4),0),$B178-1966)</f>
        <v>101962</v>
      </c>
      <c r="I178" s="18" cm="1">
        <f t="array" ref="I178">INDEX(GMWQ!$A$2:$NE$60,MATCH(1,(GMWQ!$NE$2:$NE$60=I$3)*(GMWQ!$ND$2:$ND$60=I$4),0),$B178-1966)</f>
        <v>13843</v>
      </c>
      <c r="J178" s="18" cm="1">
        <f t="array" ref="J178">INDEX(GMWQ!$A$2:$NE$60,MATCH(1,(GMWQ!$NE$2:$NE$60=J$3)*(GMWQ!$ND$2:$ND$60=J$4),0),$B178-1966)</f>
        <v>18806</v>
      </c>
      <c r="K178" s="18" cm="1">
        <f t="array" ref="K178">INDEX(GMWQ!$A$2:$NE$60,MATCH(1,(GMWQ!$NE$2:$NE$60=K$3)*(GMWQ!$ND$2:$ND$60=K$4),0),$B178-1966)</f>
        <v>2922085</v>
      </c>
      <c r="L178" s="18" cm="1">
        <f t="array" ref="L178">INDEX(GMWQ!$A$2:$NE$60,MATCH(1,(GMWQ!$NE$2:$NE$60=L$3)*(GMWQ!$ND$2:$ND$60=L$4),0),$B178-1966)</f>
        <v>31569</v>
      </c>
      <c r="M178" s="18" cm="1">
        <f t="array" ref="M178">INDEX(GMWQ!$A$2:$NE$60,MATCH(1,(GMWQ!$NE$2:$NE$60=M$3)*(GMWQ!$ND$2:$ND$60=M$4),0),$B178-1966)</f>
        <v>32.299999999999997</v>
      </c>
      <c r="N178" s="18" cm="1">
        <f t="array" ref="N178">INDEX(GMWQ!$A$2:$NE$60,MATCH(1,(GMWQ!$NE$2:$NE$60=N$3)*(GMWQ!$ND$2:$ND$60=N$4),0),$B178-1966)</f>
        <v>7.5250719999999998</v>
      </c>
      <c r="O178" s="18" cm="1">
        <f t="array" ref="O178">INDEX(GMWQ!$A$2:$NE$60,MATCH(1,(GMWQ!$NE$2:$NE$60=O$3)*(GMWQ!$ND$2:$ND$60=O$4),0),$B178-1966)</f>
        <v>2.9615860000000001</v>
      </c>
      <c r="P178" s="18" cm="1">
        <f t="array" ref="P178">INDEX(GMWQ!$A$2:$NE$60,MATCH(1,(GMWQ!$NE$2:$NE$60=P$3)*(GMWQ!$ND$2:$ND$60=P$4),0),$B178-1966)</f>
        <v>369279</v>
      </c>
      <c r="Q178" s="18" cm="1">
        <f t="array" ref="Q178">INDEX(GMWQ!$A$2:$NE$60,MATCH(1,(GMWQ!$NE$2:$NE$60=Q$3)*(GMWQ!$ND$2:$ND$60=Q$4),0),$B178-1966)</f>
        <v>625.625</v>
      </c>
      <c r="R178" s="18" cm="1">
        <f t="array" ref="R178">INDEX(GMWQ!$A$2:$NE$60,MATCH(1,(GMWQ!$NE$2:$NE$60=R$3)*(GMWQ!$ND$2:$ND$60=R$4),0),$B178-1966)</f>
        <v>21859.97</v>
      </c>
      <c r="S178" s="18" cm="1">
        <f t="array" ref="S178">INDEX(GMWQ!$A$2:$NE$60,MATCH(1,(GMWQ!$NE$2:$NE$60=S$3)*(GMWQ!$ND$2:$ND$60=S$4),0),$B178-1966)</f>
        <v>98.72</v>
      </c>
      <c r="T178" s="18" cm="1">
        <f t="array" ref="T178">INDEX(GMWQ!$A$2:$NE$60,MATCH(1,(GMWQ!$NE$2:$NE$60=T$3)*(GMWQ!$ND$2:$ND$60=T$4),0),$B178-1966)</f>
        <v>69.311999999999998</v>
      </c>
      <c r="U178" s="18" cm="1">
        <f t="array" ref="U178">INDEX(GMWQ!$A$2:$NE$60,MATCH(1,(GMWQ!$NE$2:$NE$60=U$3)*(GMWQ!$ND$2:$ND$60=U$4),0),$B178-1966)</f>
        <v>43.101939999999999</v>
      </c>
      <c r="V178" s="18" cm="1">
        <f t="array" ref="V178">INDEX(GMWQ!$A$2:$NE$60,MATCH(1,(GMWQ!$NE$2:$NE$60=V$3)*(GMWQ!$ND$2:$ND$60=V$4),0),$B178-1966)</f>
        <v>61039</v>
      </c>
      <c r="W178" s="18" cm="1">
        <f t="array" ref="W178">INDEX(GMWQ!$A$2:$NF$60,MATCH(1,(GMWQ!$NE$2:$NE$60=W$3)*(GMWQ!$NF$2:$NF$60=W$1),0),$B178-1966)</f>
        <v>47775</v>
      </c>
      <c r="X178" s="18" cm="1">
        <f t="array" ref="X178">INDEX(GMWQ!$A$2:$NF$60,MATCH(1,(GMWQ!$NE$2:$NE$60=X$3)*(GMWQ!$NF$2:$NF$60=X$1),0),$B178-1966)</f>
        <v>53475</v>
      </c>
      <c r="Y178" s="18" cm="1">
        <f t="array" ref="Y178">INDEX(GMWQ!$A$2:$NF$60,MATCH(1,(GMWQ!$NE$2:$NE$60=Y$3)*(GMWQ!$NF$2:$NF$60=Y$1),0),$B178-1966)</f>
        <v>55973</v>
      </c>
      <c r="Z178" s="18" cm="1">
        <f t="array" ref="Z178">INDEX(GMWQ!$A$2:$NF$60,MATCH(1,(GMWQ!$NE$2:$NE$60=Z$3)*(GMWQ!$NF$2:$NF$60=Z$1),0),$B178-1966)</f>
        <v>55620</v>
      </c>
    </row>
    <row r="179" spans="1:26" x14ac:dyDescent="0.25">
      <c r="A179" s="18">
        <v>2016</v>
      </c>
      <c r="B179" s="18">
        <f t="shared" si="4"/>
        <v>2145</v>
      </c>
      <c r="C179" s="18" cm="1">
        <f t="array" ref="C179">INDEX(GMWQ!$A$2:$NE$60,MATCH(1,(GMWQ!$NE$2:$NE$60=C$3)*(GMWQ!$ND$2:$ND$60=C$4),0),$B179-1966)</f>
        <v>61684</v>
      </c>
      <c r="D179" s="18" cm="1">
        <f t="array" ref="D179">INDEX(GMWQ!$A$2:$NE$60,MATCH(1,(GMWQ!$NE$2:$NE$60=D$3)*(GMWQ!$ND$2:$ND$60=D$4),0),$B179-1966)</f>
        <v>107542</v>
      </c>
      <c r="E179" s="18" cm="1">
        <f t="array" ref="E179">INDEX(GMWQ!$A$2:$NE$60,MATCH(1,(GMWQ!$NE$2:$NE$60=E$3)*(GMWQ!$ND$2:$ND$60=E$4),0),$B179-1966)</f>
        <v>-15019</v>
      </c>
      <c r="F179" s="18" cm="1">
        <f t="array" ref="F179">INDEX(GMWQ!$A$2:$NE$60,MATCH(1,(GMWQ!$NE$2:$NE$60=F$3)*(GMWQ!$ND$2:$ND$60=F$4),0),$B179-1966)</f>
        <v>-18730</v>
      </c>
      <c r="G179" s="18" cm="1">
        <f t="array" ref="G179">INDEX(GMWQ!$A$2:$NE$60,MATCH(1,(GMWQ!$NE$2:$NE$60=G$3)*(GMWQ!$ND$2:$ND$60=G$4),0),$B179-1966)</f>
        <v>489683</v>
      </c>
      <c r="H179" s="18" cm="1">
        <f t="array" ref="H179">INDEX(GMWQ!$A$2:$NE$60,MATCH(1,(GMWQ!$NE$2:$NE$60=H$3)*(GMWQ!$ND$2:$ND$60=H$4),0),$B179-1966)</f>
        <v>103052</v>
      </c>
      <c r="I179" s="18" cm="1">
        <f t="array" ref="I179">INDEX(GMWQ!$A$2:$NE$60,MATCH(1,(GMWQ!$NE$2:$NE$60=I$3)*(GMWQ!$ND$2:$ND$60=I$4),0),$B179-1966)</f>
        <v>13483</v>
      </c>
      <c r="J179" s="18" cm="1">
        <f t="array" ref="J179">INDEX(GMWQ!$A$2:$NE$60,MATCH(1,(GMWQ!$NE$2:$NE$60=J$3)*(GMWQ!$ND$2:$ND$60=J$4),0),$B179-1966)</f>
        <v>18674</v>
      </c>
      <c r="K179" s="18" cm="1">
        <f t="array" ref="K179">INDEX(GMWQ!$A$2:$NE$60,MATCH(1,(GMWQ!$NE$2:$NE$60=K$3)*(GMWQ!$ND$2:$ND$60=K$4),0),$B179-1966)</f>
        <v>2941102</v>
      </c>
      <c r="L179" s="18" cm="1">
        <f t="array" ref="L179">INDEX(GMWQ!$A$2:$NE$60,MATCH(1,(GMWQ!$NE$2:$NE$60=L$3)*(GMWQ!$ND$2:$ND$60=L$4),0),$B179-1966)</f>
        <v>31603</v>
      </c>
      <c r="M179" s="18" cm="1">
        <f t="array" ref="M179">INDEX(GMWQ!$A$2:$NE$60,MATCH(1,(GMWQ!$NE$2:$NE$60=M$3)*(GMWQ!$ND$2:$ND$60=M$4),0),$B179-1966)</f>
        <v>32.1</v>
      </c>
      <c r="N179" s="18" cm="1">
        <f t="array" ref="N179">INDEX(GMWQ!$A$2:$NE$60,MATCH(1,(GMWQ!$NE$2:$NE$60=N$3)*(GMWQ!$ND$2:$ND$60=N$4),0),$B179-1966)</f>
        <v>7.5212849999999998</v>
      </c>
      <c r="O179" s="18" cm="1">
        <f t="array" ref="O179">INDEX(GMWQ!$A$2:$NE$60,MATCH(1,(GMWQ!$NE$2:$NE$60=O$3)*(GMWQ!$ND$2:$ND$60=O$4),0),$B179-1966)</f>
        <v>2.9578340000000001</v>
      </c>
      <c r="P179" s="18" cm="1">
        <f t="array" ref="P179">INDEX(GMWQ!$A$2:$NE$60,MATCH(1,(GMWQ!$NE$2:$NE$60=P$3)*(GMWQ!$ND$2:$ND$60=P$4),0),$B179-1966)</f>
        <v>368741</v>
      </c>
      <c r="Q179" s="18" cm="1">
        <f t="array" ref="Q179">INDEX(GMWQ!$A$2:$NE$60,MATCH(1,(GMWQ!$NE$2:$NE$60=Q$3)*(GMWQ!$ND$2:$ND$60=Q$4),0),$B179-1966)</f>
        <v>626.15</v>
      </c>
      <c r="R179" s="18" cm="1">
        <f t="array" ref="R179">INDEX(GMWQ!$A$2:$NE$60,MATCH(1,(GMWQ!$NE$2:$NE$60=R$3)*(GMWQ!$ND$2:$ND$60=R$4),0),$B179-1966)</f>
        <v>21731.38</v>
      </c>
      <c r="S179" s="18" cm="1">
        <f t="array" ref="S179">INDEX(GMWQ!$A$2:$NE$60,MATCH(1,(GMWQ!$NE$2:$NE$60=S$3)*(GMWQ!$ND$2:$ND$60=S$4),0),$B179-1966)</f>
        <v>99.66</v>
      </c>
      <c r="T179" s="18" cm="1">
        <f t="array" ref="T179">INDEX(GMWQ!$A$2:$NE$60,MATCH(1,(GMWQ!$NE$2:$NE$60=T$3)*(GMWQ!$ND$2:$ND$60=T$4),0),$B179-1966)</f>
        <v>70.5</v>
      </c>
      <c r="U179" s="18" cm="1">
        <f t="array" ref="U179">INDEX(GMWQ!$A$2:$NE$60,MATCH(1,(GMWQ!$NE$2:$NE$60=U$3)*(GMWQ!$ND$2:$ND$60=U$4),0),$B179-1966)</f>
        <v>44.984070000000003</v>
      </c>
      <c r="V179" s="18" cm="1">
        <f t="array" ref="V179">INDEX(GMWQ!$A$2:$NE$60,MATCH(1,(GMWQ!$NE$2:$NE$60=V$3)*(GMWQ!$ND$2:$ND$60=V$4),0),$B179-1966)</f>
        <v>57954.25</v>
      </c>
      <c r="W179" s="18" cm="1">
        <f t="array" ref="W179">INDEX(GMWQ!$A$2:$NF$60,MATCH(1,(GMWQ!$NE$2:$NE$60=W$3)*(GMWQ!$NF$2:$NF$60=W$1),0),$B179-1966)</f>
        <v>48473</v>
      </c>
      <c r="X179" s="18" cm="1">
        <f t="array" ref="X179">INDEX(GMWQ!$A$2:$NF$60,MATCH(1,(GMWQ!$NE$2:$NE$60=X$3)*(GMWQ!$NF$2:$NF$60=X$1),0),$B179-1966)</f>
        <v>53785</v>
      </c>
      <c r="Y179" s="18" cm="1">
        <f t="array" ref="Y179">INDEX(GMWQ!$A$2:$NF$60,MATCH(1,(GMWQ!$NE$2:$NE$60=Y$3)*(GMWQ!$NF$2:$NF$60=Y$1),0),$B179-1966)</f>
        <v>56261</v>
      </c>
      <c r="Z179" s="18" cm="1">
        <f t="array" ref="Z179">INDEX(GMWQ!$A$2:$NF$60,MATCH(1,(GMWQ!$NE$2:$NE$60=Z$3)*(GMWQ!$NF$2:$NF$60=Z$1),0),$B179-1966)</f>
        <v>56947</v>
      </c>
    </row>
    <row r="180" spans="1:26" x14ac:dyDescent="0.25">
      <c r="B180" s="18">
        <f t="shared" si="4"/>
        <v>2146</v>
      </c>
      <c r="C180" s="18" cm="1">
        <f t="array" ref="C180">INDEX(GMWQ!$A$2:$NE$60,MATCH(1,(GMWQ!$NE$2:$NE$60=C$3)*(GMWQ!$ND$2:$ND$60=C$4),0),$B180-1966)</f>
        <v>61499</v>
      </c>
      <c r="D180" s="18" cm="1">
        <f t="array" ref="D180">INDEX(GMWQ!$A$2:$NE$60,MATCH(1,(GMWQ!$NE$2:$NE$60=D$3)*(GMWQ!$ND$2:$ND$60=D$4),0),$B180-1966)</f>
        <v>106640</v>
      </c>
      <c r="E180" s="18" cm="1">
        <f t="array" ref="E180">INDEX(GMWQ!$A$2:$NE$60,MATCH(1,(GMWQ!$NE$2:$NE$60=E$3)*(GMWQ!$ND$2:$ND$60=E$4),0),$B180-1966)</f>
        <v>-9332</v>
      </c>
      <c r="F180" s="18" cm="1">
        <f t="array" ref="F180">INDEX(GMWQ!$A$2:$NE$60,MATCH(1,(GMWQ!$NE$2:$NE$60=F$3)*(GMWQ!$ND$2:$ND$60=F$4),0),$B180-1966)</f>
        <v>-17510</v>
      </c>
      <c r="G180" s="18" cm="1">
        <f t="array" ref="G180">INDEX(GMWQ!$A$2:$NE$60,MATCH(1,(GMWQ!$NE$2:$NE$60=G$3)*(GMWQ!$ND$2:$ND$60=G$4),0),$B180-1966)</f>
        <v>493710</v>
      </c>
      <c r="H180" s="18" cm="1">
        <f t="array" ref="H180">INDEX(GMWQ!$A$2:$NE$60,MATCH(1,(GMWQ!$NE$2:$NE$60=H$3)*(GMWQ!$ND$2:$ND$60=H$4),0),$B180-1966)</f>
        <v>103914</v>
      </c>
      <c r="I180" s="18" cm="1">
        <f t="array" ref="I180">INDEX(GMWQ!$A$2:$NE$60,MATCH(1,(GMWQ!$NE$2:$NE$60=I$3)*(GMWQ!$ND$2:$ND$60=I$4),0),$B180-1966)</f>
        <v>13914</v>
      </c>
      <c r="J180" s="18" cm="1">
        <f t="array" ref="J180">INDEX(GMWQ!$A$2:$NE$60,MATCH(1,(GMWQ!$NE$2:$NE$60=J$3)*(GMWQ!$ND$2:$ND$60=J$4),0),$B180-1966)</f>
        <v>18805</v>
      </c>
      <c r="K180" s="18" cm="1">
        <f t="array" ref="K180">INDEX(GMWQ!$A$2:$NE$60,MATCH(1,(GMWQ!$NE$2:$NE$60=K$3)*(GMWQ!$ND$2:$ND$60=K$4),0),$B180-1966)</f>
        <v>2960119</v>
      </c>
      <c r="L180" s="18" cm="1">
        <f t="array" ref="L180">INDEX(GMWQ!$A$2:$NE$60,MATCH(1,(GMWQ!$NE$2:$NE$60=L$3)*(GMWQ!$ND$2:$ND$60=L$4),0),$B180-1966)</f>
        <v>31778</v>
      </c>
      <c r="M180" s="18" cm="1">
        <f t="array" ref="M180">INDEX(GMWQ!$A$2:$NE$60,MATCH(1,(GMWQ!$NE$2:$NE$60=M$3)*(GMWQ!$ND$2:$ND$60=M$4),0),$B180-1966)</f>
        <v>32</v>
      </c>
      <c r="N180" s="18" cm="1">
        <f t="array" ref="N180">INDEX(GMWQ!$A$2:$NE$60,MATCH(1,(GMWQ!$NE$2:$NE$60=N$3)*(GMWQ!$ND$2:$ND$60=N$4),0),$B180-1966)</f>
        <v>7.5344319999999998</v>
      </c>
      <c r="O180" s="18" cm="1">
        <f t="array" ref="O180">INDEX(GMWQ!$A$2:$NE$60,MATCH(1,(GMWQ!$NE$2:$NE$60=O$3)*(GMWQ!$ND$2:$ND$60=O$4),0),$B180-1966)</f>
        <v>2.747817</v>
      </c>
      <c r="P180" s="18" cm="1">
        <f t="array" ref="P180">INDEX(GMWQ!$A$2:$NE$60,MATCH(1,(GMWQ!$NE$2:$NE$60=P$3)*(GMWQ!$ND$2:$ND$60=P$4),0),$B180-1966)</f>
        <v>371482</v>
      </c>
      <c r="Q180" s="18" cm="1">
        <f t="array" ref="Q180">INDEX(GMWQ!$A$2:$NE$60,MATCH(1,(GMWQ!$NE$2:$NE$60=Q$3)*(GMWQ!$ND$2:$ND$60=Q$4),0),$B180-1966)</f>
        <v>631.47500000000002</v>
      </c>
      <c r="R180" s="18" cm="1">
        <f t="array" ref="R180">INDEX(GMWQ!$A$2:$NE$60,MATCH(1,(GMWQ!$NE$2:$NE$60=R$3)*(GMWQ!$ND$2:$ND$60=R$4),0),$B180-1966)</f>
        <v>21775.82</v>
      </c>
      <c r="S180" s="18" cm="1">
        <f t="array" ref="S180">INDEX(GMWQ!$A$2:$NE$60,MATCH(1,(GMWQ!$NE$2:$NE$60=S$3)*(GMWQ!$ND$2:$ND$60=S$4),0),$B180-1966)</f>
        <v>98.91</v>
      </c>
      <c r="T180" s="18" cm="1">
        <f t="array" ref="T180">INDEX(GMWQ!$A$2:$NE$60,MATCH(1,(GMWQ!$NE$2:$NE$60=T$3)*(GMWQ!$ND$2:$ND$60=T$4),0),$B180-1966)</f>
        <v>69.793000000000006</v>
      </c>
      <c r="U180" s="18" cm="1">
        <f t="array" ref="U180">INDEX(GMWQ!$A$2:$NE$60,MATCH(1,(GMWQ!$NE$2:$NE$60=U$3)*(GMWQ!$ND$2:$ND$60=U$4),0),$B180-1966)</f>
        <v>45.093170000000001</v>
      </c>
      <c r="V180" s="18" cm="1">
        <f t="array" ref="V180">INDEX(GMWQ!$A$2:$NE$60,MATCH(1,(GMWQ!$NE$2:$NE$60=V$3)*(GMWQ!$ND$2:$ND$60=V$4),0),$B180-1966)</f>
        <v>57227.5</v>
      </c>
      <c r="W180" s="18" cm="1">
        <f t="array" ref="W180">INDEX(GMWQ!$A$2:$NF$60,MATCH(1,(GMWQ!$NE$2:$NE$60=W$3)*(GMWQ!$NF$2:$NF$60=W$1),0),$B180-1966)</f>
        <v>48954</v>
      </c>
      <c r="X180" s="18" cm="1">
        <f t="array" ref="X180">INDEX(GMWQ!$A$2:$NF$60,MATCH(1,(GMWQ!$NE$2:$NE$60=X$3)*(GMWQ!$NF$2:$NF$60=X$1),0),$B180-1966)</f>
        <v>54494</v>
      </c>
      <c r="Y180" s="18" cm="1">
        <f t="array" ref="Y180">INDEX(GMWQ!$A$2:$NF$60,MATCH(1,(GMWQ!$NE$2:$NE$60=Y$3)*(GMWQ!$NF$2:$NF$60=Y$1),0),$B180-1966)</f>
        <v>56949</v>
      </c>
      <c r="Z180" s="18" cm="1">
        <f t="array" ref="Z180">INDEX(GMWQ!$A$2:$NF$60,MATCH(1,(GMWQ!$NE$2:$NE$60=Z$3)*(GMWQ!$NF$2:$NF$60=Z$1),0),$B180-1966)</f>
        <v>56796</v>
      </c>
    </row>
    <row r="181" spans="1:26" x14ac:dyDescent="0.25">
      <c r="B181" s="18">
        <f t="shared" si="4"/>
        <v>2147</v>
      </c>
      <c r="C181" s="18" cm="1">
        <f t="array" ref="C181">INDEX(GMWQ!$A$2:$NE$60,MATCH(1,(GMWQ!$NE$2:$NE$60=C$3)*(GMWQ!$ND$2:$ND$60=C$4),0),$B181-1966)</f>
        <v>62975</v>
      </c>
      <c r="D181" s="18" cm="1">
        <f t="array" ref="D181">INDEX(GMWQ!$A$2:$NE$60,MATCH(1,(GMWQ!$NE$2:$NE$60=D$3)*(GMWQ!$ND$2:$ND$60=D$4),0),$B181-1966)</f>
        <v>110732</v>
      </c>
      <c r="E181" s="18" cm="1">
        <f t="array" ref="E181">INDEX(GMWQ!$A$2:$NE$60,MATCH(1,(GMWQ!$NE$2:$NE$60=E$3)*(GMWQ!$ND$2:$ND$60=E$4),0),$B181-1966)</f>
        <v>-15037</v>
      </c>
      <c r="F181" s="18" cm="1">
        <f t="array" ref="F181">INDEX(GMWQ!$A$2:$NE$60,MATCH(1,(GMWQ!$NE$2:$NE$60=F$3)*(GMWQ!$ND$2:$ND$60=F$4),0),$B181-1966)</f>
        <v>-13628</v>
      </c>
      <c r="G181" s="18" cm="1">
        <f t="array" ref="G181">INDEX(GMWQ!$A$2:$NE$60,MATCH(1,(GMWQ!$NE$2:$NE$60=G$3)*(GMWQ!$ND$2:$ND$60=G$4),0),$B181-1966)</f>
        <v>500801</v>
      </c>
      <c r="H181" s="18" cm="1">
        <f t="array" ref="H181">INDEX(GMWQ!$A$2:$NE$60,MATCH(1,(GMWQ!$NE$2:$NE$60=H$3)*(GMWQ!$ND$2:$ND$60=H$4),0),$B181-1966)</f>
        <v>106846</v>
      </c>
      <c r="I181" s="18" cm="1">
        <f t="array" ref="I181">INDEX(GMWQ!$A$2:$NE$60,MATCH(1,(GMWQ!$NE$2:$NE$60=I$3)*(GMWQ!$ND$2:$ND$60=I$4),0),$B181-1966)</f>
        <v>14276</v>
      </c>
      <c r="J181" s="18" cm="1">
        <f t="array" ref="J181">INDEX(GMWQ!$A$2:$NE$60,MATCH(1,(GMWQ!$NE$2:$NE$60=J$3)*(GMWQ!$ND$2:$ND$60=J$4),0),$B181-1966)</f>
        <v>19614</v>
      </c>
      <c r="K181" s="18" cm="1">
        <f t="array" ref="K181">INDEX(GMWQ!$A$2:$NE$60,MATCH(1,(GMWQ!$NE$2:$NE$60=K$3)*(GMWQ!$ND$2:$ND$60=K$4),0),$B181-1966)</f>
        <v>2979136</v>
      </c>
      <c r="L181" s="18" cm="1">
        <f t="array" ref="L181">INDEX(GMWQ!$A$2:$NE$60,MATCH(1,(GMWQ!$NE$2:$NE$60=L$3)*(GMWQ!$ND$2:$ND$60=L$4),0),$B181-1966)</f>
        <v>31843</v>
      </c>
      <c r="M181" s="18" cm="1">
        <f t="array" ref="M181">INDEX(GMWQ!$A$2:$NE$60,MATCH(1,(GMWQ!$NE$2:$NE$60=M$3)*(GMWQ!$ND$2:$ND$60=M$4),0),$B181-1966)</f>
        <v>32</v>
      </c>
      <c r="N181" s="18" cm="1">
        <f t="array" ref="N181">INDEX(GMWQ!$A$2:$NE$60,MATCH(1,(GMWQ!$NE$2:$NE$60=N$3)*(GMWQ!$ND$2:$ND$60=N$4),0),$B181-1966)</f>
        <v>6.9274019999999998</v>
      </c>
      <c r="O181" s="18" cm="1">
        <f t="array" ref="O181">INDEX(GMWQ!$A$2:$NE$60,MATCH(1,(GMWQ!$NE$2:$NE$60=O$3)*(GMWQ!$ND$2:$ND$60=O$4),0),$B181-1966)</f>
        <v>2.2810830000000002</v>
      </c>
      <c r="P181" s="18" cm="1">
        <f t="array" ref="P181">INDEX(GMWQ!$A$2:$NE$60,MATCH(1,(GMWQ!$NE$2:$NE$60=P$3)*(GMWQ!$ND$2:$ND$60=P$4),0),$B181-1966)</f>
        <v>377693</v>
      </c>
      <c r="Q181" s="18" cm="1">
        <f t="array" ref="Q181">INDEX(GMWQ!$A$2:$NE$60,MATCH(1,(GMWQ!$NE$2:$NE$60=Q$3)*(GMWQ!$ND$2:$ND$60=Q$4),0),$B181-1966)</f>
        <v>641</v>
      </c>
      <c r="R181" s="18" cm="1">
        <f t="array" ref="R181">INDEX(GMWQ!$A$2:$NE$60,MATCH(1,(GMWQ!$NE$2:$NE$60=R$3)*(GMWQ!$ND$2:$ND$60=R$4),0),$B181-1966)</f>
        <v>21863.3</v>
      </c>
      <c r="S181" s="18" cm="1">
        <f t="array" ref="S181">INDEX(GMWQ!$A$2:$NE$60,MATCH(1,(GMWQ!$NE$2:$NE$60=S$3)*(GMWQ!$ND$2:$ND$60=S$4),0),$B181-1966)</f>
        <v>100.3</v>
      </c>
      <c r="T181" s="18" cm="1">
        <f t="array" ref="T181">INDEX(GMWQ!$A$2:$NE$60,MATCH(1,(GMWQ!$NE$2:$NE$60=T$3)*(GMWQ!$ND$2:$ND$60=T$4),0),$B181-1966)</f>
        <v>70.132000000000005</v>
      </c>
      <c r="U181" s="18" cm="1">
        <f t="array" ref="U181">INDEX(GMWQ!$A$2:$NE$60,MATCH(1,(GMWQ!$NE$2:$NE$60=U$3)*(GMWQ!$ND$2:$ND$60=U$4),0),$B181-1966)</f>
        <v>46.175229999999999</v>
      </c>
      <c r="V181" s="18" cm="1">
        <f t="array" ref="V181">INDEX(GMWQ!$A$2:$NE$60,MATCH(1,(GMWQ!$NE$2:$NE$60=V$3)*(GMWQ!$ND$2:$ND$60=V$4),0),$B181-1966)</f>
        <v>57672.5</v>
      </c>
      <c r="W181" s="18" cm="1">
        <f t="array" ref="W181">INDEX(GMWQ!$A$2:$NF$60,MATCH(1,(GMWQ!$NE$2:$NE$60=W$3)*(GMWQ!$NF$2:$NF$60=W$1),0),$B181-1966)</f>
        <v>49745</v>
      </c>
      <c r="X181" s="18" cm="1">
        <f t="array" ref="X181">INDEX(GMWQ!$A$2:$NF$60,MATCH(1,(GMWQ!$NE$2:$NE$60=X$3)*(GMWQ!$NF$2:$NF$60=X$1),0),$B181-1966)</f>
        <v>55022</v>
      </c>
      <c r="Y181" s="18" cm="1">
        <f t="array" ref="Y181">INDEX(GMWQ!$A$2:$NF$60,MATCH(1,(GMWQ!$NE$2:$NE$60=Y$3)*(GMWQ!$NF$2:$NF$60=Y$1),0),$B181-1966)</f>
        <v>57527</v>
      </c>
      <c r="Z181" s="18" cm="1">
        <f t="array" ref="Z181">INDEX(GMWQ!$A$2:$NF$60,MATCH(1,(GMWQ!$NE$2:$NE$60=Z$3)*(GMWQ!$NF$2:$NF$60=Z$1),0),$B181-1966)</f>
        <v>58177</v>
      </c>
    </row>
    <row r="182" spans="1:26" x14ac:dyDescent="0.25">
      <c r="B182" s="18">
        <f t="shared" si="4"/>
        <v>2148</v>
      </c>
      <c r="C182" s="18" cm="1">
        <f t="array" ref="C182">INDEX(GMWQ!$A$2:$NE$60,MATCH(1,(GMWQ!$NE$2:$NE$60=C$3)*(GMWQ!$ND$2:$ND$60=C$4),0),$B182-1966)</f>
        <v>60645</v>
      </c>
      <c r="D182" s="18" cm="1">
        <f t="array" ref="D182">INDEX(GMWQ!$A$2:$NE$60,MATCH(1,(GMWQ!$NE$2:$NE$60=D$3)*(GMWQ!$ND$2:$ND$60=D$4),0),$B182-1966)</f>
        <v>114569</v>
      </c>
      <c r="E182" s="18" cm="1">
        <f t="array" ref="E182">INDEX(GMWQ!$A$2:$NE$60,MATCH(1,(GMWQ!$NE$2:$NE$60=E$3)*(GMWQ!$ND$2:$ND$60=E$4),0),$B182-1966)</f>
        <v>-6269</v>
      </c>
      <c r="F182" s="18" cm="1">
        <f t="array" ref="F182">INDEX(GMWQ!$A$2:$NE$60,MATCH(1,(GMWQ!$NE$2:$NE$60=F$3)*(GMWQ!$ND$2:$ND$60=F$4),0),$B182-1966)</f>
        <v>-6340</v>
      </c>
      <c r="G182" s="18" cm="1">
        <f t="array" ref="G182">INDEX(GMWQ!$A$2:$NE$60,MATCH(1,(GMWQ!$NE$2:$NE$60=G$3)*(GMWQ!$ND$2:$ND$60=G$4),0),$B182-1966)</f>
        <v>507451</v>
      </c>
      <c r="H182" s="18" cm="1">
        <f t="array" ref="H182">INDEX(GMWQ!$A$2:$NE$60,MATCH(1,(GMWQ!$NE$2:$NE$60=H$3)*(GMWQ!$ND$2:$ND$60=H$4),0),$B182-1966)</f>
        <v>105866</v>
      </c>
      <c r="I182" s="18" cm="1">
        <f t="array" ref="I182">INDEX(GMWQ!$A$2:$NE$60,MATCH(1,(GMWQ!$NE$2:$NE$60=I$3)*(GMWQ!$ND$2:$ND$60=I$4),0),$B182-1966)</f>
        <v>14219</v>
      </c>
      <c r="J182" s="18" cm="1">
        <f t="array" ref="J182">INDEX(GMWQ!$A$2:$NE$60,MATCH(1,(GMWQ!$NE$2:$NE$60=J$3)*(GMWQ!$ND$2:$ND$60=J$4),0),$B182-1966)</f>
        <v>20791</v>
      </c>
      <c r="K182" s="18" cm="1">
        <f t="array" ref="K182">INDEX(GMWQ!$A$2:$NE$60,MATCH(1,(GMWQ!$NE$2:$NE$60=K$3)*(GMWQ!$ND$2:$ND$60=K$4),0),$B182-1966)</f>
        <v>2998153</v>
      </c>
      <c r="L182" s="18" cm="1">
        <f t="array" ref="L182">INDEX(GMWQ!$A$2:$NE$60,MATCH(1,(GMWQ!$NE$2:$NE$60=L$3)*(GMWQ!$ND$2:$ND$60=L$4),0),$B182-1966)</f>
        <v>31877</v>
      </c>
      <c r="M182" s="18" cm="1">
        <f t="array" ref="M182">INDEX(GMWQ!$A$2:$NE$60,MATCH(1,(GMWQ!$NE$2:$NE$60=M$3)*(GMWQ!$ND$2:$ND$60=M$4),0),$B182-1966)</f>
        <v>32.1</v>
      </c>
      <c r="N182" s="18" cm="1">
        <f t="array" ref="N182">INDEX(GMWQ!$A$2:$NE$60,MATCH(1,(GMWQ!$NE$2:$NE$60=N$3)*(GMWQ!$ND$2:$ND$60=N$4),0),$B182-1966)</f>
        <v>7.9506690000000004</v>
      </c>
      <c r="O182" s="18" cm="1">
        <f t="array" ref="O182">INDEX(GMWQ!$A$2:$NE$60,MATCH(1,(GMWQ!$NE$2:$NE$60=O$3)*(GMWQ!$ND$2:$ND$60=O$4),0),$B182-1966)</f>
        <v>2.3552590000000002</v>
      </c>
      <c r="P182" s="18" cm="1">
        <f t="array" ref="P182">INDEX(GMWQ!$A$2:$NE$60,MATCH(1,(GMWQ!$NE$2:$NE$60=P$3)*(GMWQ!$ND$2:$ND$60=P$4),0),$B182-1966)</f>
        <v>376082</v>
      </c>
      <c r="Q182" s="18" cm="1">
        <f t="array" ref="Q182">INDEX(GMWQ!$A$2:$NE$60,MATCH(1,(GMWQ!$NE$2:$NE$60=Q$3)*(GMWQ!$ND$2:$ND$60=Q$4),0),$B182-1966)</f>
        <v>646.15</v>
      </c>
      <c r="R182" s="18" cm="1">
        <f t="array" ref="R182">INDEX(GMWQ!$A$2:$NE$60,MATCH(1,(GMWQ!$NE$2:$NE$60=R$3)*(GMWQ!$ND$2:$ND$60=R$4),0),$B182-1966)</f>
        <v>22029.57</v>
      </c>
      <c r="S182" s="18" cm="1">
        <f t="array" ref="S182">INDEX(GMWQ!$A$2:$NE$60,MATCH(1,(GMWQ!$NE$2:$NE$60=S$3)*(GMWQ!$ND$2:$ND$60=S$4),0),$B182-1966)</f>
        <v>100.37</v>
      </c>
      <c r="T182" s="18" cm="1">
        <f t="array" ref="T182">INDEX(GMWQ!$A$2:$NE$60,MATCH(1,(GMWQ!$NE$2:$NE$60=T$3)*(GMWQ!$ND$2:$ND$60=T$4),0),$B182-1966)</f>
        <v>70.448999999999998</v>
      </c>
      <c r="U182" s="18" cm="1">
        <f t="array" ref="U182">INDEX(GMWQ!$A$2:$NE$60,MATCH(1,(GMWQ!$NE$2:$NE$60=U$3)*(GMWQ!$ND$2:$ND$60=U$4),0),$B182-1966)</f>
        <v>47.020040000000002</v>
      </c>
      <c r="V182" s="18" cm="1">
        <f t="array" ref="V182">INDEX(GMWQ!$A$2:$NE$60,MATCH(1,(GMWQ!$NE$2:$NE$60=V$3)*(GMWQ!$ND$2:$ND$60=V$4),0),$B182-1966)</f>
        <v>55146</v>
      </c>
      <c r="W182" s="18" cm="1">
        <f t="array" ref="W182">INDEX(GMWQ!$A$2:$NF$60,MATCH(1,(GMWQ!$NE$2:$NE$60=W$3)*(GMWQ!$NF$2:$NF$60=W$1),0),$B182-1966)</f>
        <v>48801</v>
      </c>
      <c r="X182" s="18" cm="1">
        <f t="array" ref="X182">INDEX(GMWQ!$A$2:$NF$60,MATCH(1,(GMWQ!$NE$2:$NE$60=X$3)*(GMWQ!$NF$2:$NF$60=X$1),0),$B182-1966)</f>
        <v>53764</v>
      </c>
      <c r="Y182" s="18" cm="1">
        <f t="array" ref="Y182">INDEX(GMWQ!$A$2:$NF$60,MATCH(1,(GMWQ!$NE$2:$NE$60=Y$3)*(GMWQ!$NF$2:$NF$60=Y$1),0),$B182-1966)</f>
        <v>55780</v>
      </c>
      <c r="Z182" s="18" cm="1">
        <f t="array" ref="Z182">INDEX(GMWQ!$A$2:$NF$60,MATCH(1,(GMWQ!$NE$2:$NE$60=Z$3)*(GMWQ!$NF$2:$NF$60=Z$1),0),$B182-1966)</f>
        <v>56045</v>
      </c>
    </row>
    <row r="183" spans="1:26" x14ac:dyDescent="0.25">
      <c r="A183" s="18">
        <v>2017</v>
      </c>
      <c r="B183" s="18">
        <f t="shared" si="4"/>
        <v>2149</v>
      </c>
      <c r="C183" s="18" cm="1">
        <f t="array" ref="C183">INDEX(GMWQ!$A$2:$NE$60,MATCH(1,(GMWQ!$NE$2:$NE$60=C$3)*(GMWQ!$ND$2:$ND$60=C$4),0),$B183-1966)</f>
        <v>62040</v>
      </c>
      <c r="D183" s="18" cm="1">
        <f t="array" ref="D183">INDEX(GMWQ!$A$2:$NE$60,MATCH(1,(GMWQ!$NE$2:$NE$60=D$3)*(GMWQ!$ND$2:$ND$60=D$4),0),$B183-1966)</f>
        <v>115888</v>
      </c>
      <c r="E183" s="18" cm="1">
        <f t="array" ref="E183">INDEX(GMWQ!$A$2:$NE$60,MATCH(1,(GMWQ!$NE$2:$NE$60=E$3)*(GMWQ!$ND$2:$ND$60=E$4),0),$B183-1966)</f>
        <v>-6148</v>
      </c>
      <c r="F183" s="18" cm="1">
        <f t="array" ref="F183">INDEX(GMWQ!$A$2:$NE$60,MATCH(1,(GMWQ!$NE$2:$NE$60=F$3)*(GMWQ!$ND$2:$ND$60=F$4),0),$B183-1966)</f>
        <v>-1391</v>
      </c>
      <c r="G183" s="18" cm="1">
        <f t="array" ref="G183">INDEX(GMWQ!$A$2:$NE$60,MATCH(1,(GMWQ!$NE$2:$NE$60=G$3)*(GMWQ!$ND$2:$ND$60=G$4),0),$B183-1966)</f>
        <v>513814</v>
      </c>
      <c r="H183" s="18" cm="1">
        <f t="array" ref="H183">INDEX(GMWQ!$A$2:$NE$60,MATCH(1,(GMWQ!$NE$2:$NE$60=H$3)*(GMWQ!$ND$2:$ND$60=H$4),0),$B183-1966)</f>
        <v>107659</v>
      </c>
      <c r="I183" s="18" cm="1">
        <f t="array" ref="I183">INDEX(GMWQ!$A$2:$NE$60,MATCH(1,(GMWQ!$NE$2:$NE$60=I$3)*(GMWQ!$ND$2:$ND$60=I$4),0),$B183-1966)</f>
        <v>14304</v>
      </c>
      <c r="J183" s="18" cm="1">
        <f t="array" ref="J183">INDEX(GMWQ!$A$2:$NE$60,MATCH(1,(GMWQ!$NE$2:$NE$60=J$3)*(GMWQ!$ND$2:$ND$60=J$4),0),$B183-1966)</f>
        <v>21186</v>
      </c>
      <c r="K183" s="18" cm="1">
        <f t="array" ref="K183">INDEX(GMWQ!$A$2:$NE$60,MATCH(1,(GMWQ!$NE$2:$NE$60=K$3)*(GMWQ!$ND$2:$ND$60=K$4),0),$B183-1966)</f>
        <v>3016355</v>
      </c>
      <c r="L183" s="18" cm="1">
        <f t="array" ref="L183">INDEX(GMWQ!$A$2:$NE$60,MATCH(1,(GMWQ!$NE$2:$NE$60=L$3)*(GMWQ!$ND$2:$ND$60=L$4),0),$B183-1966)</f>
        <v>31978</v>
      </c>
      <c r="M183" s="18" cm="1">
        <f t="array" ref="M183">INDEX(GMWQ!$A$2:$NE$60,MATCH(1,(GMWQ!$NE$2:$NE$60=M$3)*(GMWQ!$ND$2:$ND$60=M$4),0),$B183-1966)</f>
        <v>32.200000000000003</v>
      </c>
      <c r="N183" s="18" cm="1">
        <f t="array" ref="N183">INDEX(GMWQ!$A$2:$NE$60,MATCH(1,(GMWQ!$NE$2:$NE$60=N$3)*(GMWQ!$ND$2:$ND$60=N$4),0),$B183-1966)</f>
        <v>6.2195640000000001</v>
      </c>
      <c r="O183" s="18" cm="1">
        <f t="array" ref="O183">INDEX(GMWQ!$A$2:$NE$60,MATCH(1,(GMWQ!$NE$2:$NE$60=O$3)*(GMWQ!$ND$2:$ND$60=O$4),0),$B183-1966)</f>
        <v>2.308961</v>
      </c>
      <c r="P183" s="18" cm="1">
        <f t="array" ref="P183">INDEX(GMWQ!$A$2:$NE$60,MATCH(1,(GMWQ!$NE$2:$NE$60=P$3)*(GMWQ!$ND$2:$ND$60=P$4),0),$B183-1966)</f>
        <v>386763</v>
      </c>
      <c r="Q183" s="18" cm="1">
        <f t="array" ref="Q183">INDEX(GMWQ!$A$2:$NE$60,MATCH(1,(GMWQ!$NE$2:$NE$60=Q$3)*(GMWQ!$ND$2:$ND$60=Q$4),0),$B183-1966)</f>
        <v>652.6</v>
      </c>
      <c r="R183" s="18" cm="1">
        <f t="array" ref="R183">INDEX(GMWQ!$A$2:$NE$60,MATCH(1,(GMWQ!$NE$2:$NE$60=R$3)*(GMWQ!$ND$2:$ND$60=R$4),0),$B183-1966)</f>
        <v>22107.25</v>
      </c>
      <c r="S183" s="18" cm="1">
        <f t="array" ref="S183">INDEX(GMWQ!$A$2:$NE$60,MATCH(1,(GMWQ!$NE$2:$NE$60=S$3)*(GMWQ!$ND$2:$ND$60=S$4),0),$B183-1966)</f>
        <v>101.68</v>
      </c>
      <c r="T183" s="18" cm="1">
        <f t="array" ref="T183">INDEX(GMWQ!$A$2:$NE$60,MATCH(1,(GMWQ!$NE$2:$NE$60=T$3)*(GMWQ!$ND$2:$ND$60=T$4),0),$B183-1966)</f>
        <v>72.129009999999994</v>
      </c>
      <c r="U183" s="18" cm="1">
        <f t="array" ref="U183">INDEX(GMWQ!$A$2:$NE$60,MATCH(1,(GMWQ!$NE$2:$NE$60=U$3)*(GMWQ!$ND$2:$ND$60=U$4),0),$B183-1966)</f>
        <v>46.812739999999998</v>
      </c>
      <c r="V183" s="18" cm="1">
        <f t="array" ref="V183">INDEX(GMWQ!$A$2:$NE$60,MATCH(1,(GMWQ!$NE$2:$NE$60=V$3)*(GMWQ!$ND$2:$ND$60=V$4),0),$B183-1966)</f>
        <v>57367.5</v>
      </c>
      <c r="W183" s="18" cm="1">
        <f t="array" ref="W183">INDEX(GMWQ!$A$2:$NF$60,MATCH(1,(GMWQ!$NE$2:$NE$60=W$3)*(GMWQ!$NF$2:$NF$60=W$1),0),$B183-1966)</f>
        <v>49910</v>
      </c>
      <c r="X183" s="18" cm="1">
        <f t="array" ref="X183">INDEX(GMWQ!$A$2:$NF$60,MATCH(1,(GMWQ!$NE$2:$NE$60=X$3)*(GMWQ!$NF$2:$NF$60=X$1),0),$B183-1966)</f>
        <v>55000</v>
      </c>
      <c r="Y183" s="18" cm="1">
        <f t="array" ref="Y183">INDEX(GMWQ!$A$2:$NF$60,MATCH(1,(GMWQ!$NE$2:$NE$60=Y$3)*(GMWQ!$NF$2:$NF$60=Y$1),0),$B183-1966)</f>
        <v>56935</v>
      </c>
      <c r="Z183" s="18" cm="1">
        <f t="array" ref="Z183">INDEX(GMWQ!$A$2:$NF$60,MATCH(1,(GMWQ!$NE$2:$NE$60=Z$3)*(GMWQ!$NF$2:$NF$60=Z$1),0),$B183-1966)</f>
        <v>57345</v>
      </c>
    </row>
    <row r="184" spans="1:26" x14ac:dyDescent="0.25">
      <c r="B184" s="18">
        <f t="shared" si="4"/>
        <v>2150</v>
      </c>
      <c r="C184" s="18" cm="1">
        <f t="array" ref="C184">INDEX(GMWQ!$A$2:$NE$60,MATCH(1,(GMWQ!$NE$2:$NE$60=C$3)*(GMWQ!$ND$2:$ND$60=C$4),0),$B184-1966)</f>
        <v>61730</v>
      </c>
      <c r="D184" s="18" cm="1">
        <f t="array" ref="D184">INDEX(GMWQ!$A$2:$NE$60,MATCH(1,(GMWQ!$NE$2:$NE$60=D$3)*(GMWQ!$ND$2:$ND$60=D$4),0),$B184-1966)</f>
        <v>114975</v>
      </c>
      <c r="E184" s="18" cm="1">
        <f t="array" ref="E184">INDEX(GMWQ!$A$2:$NE$60,MATCH(1,(GMWQ!$NE$2:$NE$60=E$3)*(GMWQ!$ND$2:$ND$60=E$4),0),$B184-1966)</f>
        <v>-6533</v>
      </c>
      <c r="F184" s="18" cm="1">
        <f t="array" ref="F184">INDEX(GMWQ!$A$2:$NE$60,MATCH(1,(GMWQ!$NE$2:$NE$60=F$3)*(GMWQ!$ND$2:$ND$60=F$4),0),$B184-1966)</f>
        <v>-9871</v>
      </c>
      <c r="G184" s="18" cm="1">
        <f t="array" ref="G184">INDEX(GMWQ!$A$2:$NE$60,MATCH(1,(GMWQ!$NE$2:$NE$60=G$3)*(GMWQ!$ND$2:$ND$60=G$4),0),$B184-1966)</f>
        <v>517656</v>
      </c>
      <c r="H184" s="18" cm="1">
        <f t="array" ref="H184">INDEX(GMWQ!$A$2:$NE$60,MATCH(1,(GMWQ!$NE$2:$NE$60=H$3)*(GMWQ!$ND$2:$ND$60=H$4),0),$B184-1966)</f>
        <v>108992</v>
      </c>
      <c r="I184" s="18" cm="1">
        <f t="array" ref="I184">INDEX(GMWQ!$A$2:$NE$60,MATCH(1,(GMWQ!$NE$2:$NE$60=I$3)*(GMWQ!$ND$2:$ND$60=I$4),0),$B184-1966)</f>
        <v>16121</v>
      </c>
      <c r="J184" s="18" cm="1">
        <f t="array" ref="J184">INDEX(GMWQ!$A$2:$NE$60,MATCH(1,(GMWQ!$NE$2:$NE$60=J$3)*(GMWQ!$ND$2:$ND$60=J$4),0),$B184-1966)</f>
        <v>21250</v>
      </c>
      <c r="K184" s="18" cm="1">
        <f t="array" ref="K184">INDEX(GMWQ!$A$2:$NE$60,MATCH(1,(GMWQ!$NE$2:$NE$60=K$3)*(GMWQ!$ND$2:$ND$60=K$4),0),$B184-1966)</f>
        <v>3034557</v>
      </c>
      <c r="L184" s="18" cm="1">
        <f t="array" ref="L184">INDEX(GMWQ!$A$2:$NE$60,MATCH(1,(GMWQ!$NE$2:$NE$60=L$3)*(GMWQ!$ND$2:$ND$60=L$4),0),$B184-1966)</f>
        <v>32098</v>
      </c>
      <c r="M184" s="18" cm="1">
        <f t="array" ref="M184">INDEX(GMWQ!$A$2:$NE$60,MATCH(1,(GMWQ!$NE$2:$NE$60=M$3)*(GMWQ!$ND$2:$ND$60=M$4),0),$B184-1966)</f>
        <v>32.299999999999997</v>
      </c>
      <c r="N184" s="18" cm="1">
        <f t="array" ref="N184">INDEX(GMWQ!$A$2:$NE$60,MATCH(1,(GMWQ!$NE$2:$NE$60=N$3)*(GMWQ!$ND$2:$ND$60=N$4),0),$B184-1966)</f>
        <v>6.4953729999999998</v>
      </c>
      <c r="O184" s="18" cm="1">
        <f t="array" ref="O184">INDEX(GMWQ!$A$2:$NE$60,MATCH(1,(GMWQ!$NE$2:$NE$60=O$3)*(GMWQ!$ND$2:$ND$60=O$4),0),$B184-1966)</f>
        <v>2.2097600000000002</v>
      </c>
      <c r="P184" s="18" cm="1">
        <f t="array" ref="P184">INDEX(GMWQ!$A$2:$NE$60,MATCH(1,(GMWQ!$NE$2:$NE$60=P$3)*(GMWQ!$ND$2:$ND$60=P$4),0),$B184-1966)</f>
        <v>396076</v>
      </c>
      <c r="Q184" s="18" cm="1">
        <f t="array" ref="Q184">INDEX(GMWQ!$A$2:$NE$60,MATCH(1,(GMWQ!$NE$2:$NE$60=Q$3)*(GMWQ!$ND$2:$ND$60=Q$4),0),$B184-1966)</f>
        <v>659.95</v>
      </c>
      <c r="R184" s="18" cm="1">
        <f t="array" ref="R184">INDEX(GMWQ!$A$2:$NE$60,MATCH(1,(GMWQ!$NE$2:$NE$60=R$3)*(GMWQ!$ND$2:$ND$60=R$4),0),$B184-1966)</f>
        <v>22290.75</v>
      </c>
      <c r="S184" s="18" cm="1">
        <f t="array" ref="S184">INDEX(GMWQ!$A$2:$NE$60,MATCH(1,(GMWQ!$NE$2:$NE$60=S$3)*(GMWQ!$ND$2:$ND$60=S$4),0),$B184-1966)</f>
        <v>103.27</v>
      </c>
      <c r="T184" s="18" cm="1">
        <f t="array" ref="T184">INDEX(GMWQ!$A$2:$NE$60,MATCH(1,(GMWQ!$NE$2:$NE$60=T$3)*(GMWQ!$ND$2:$ND$60=T$4),0),$B184-1966)</f>
        <v>72.861009999999993</v>
      </c>
      <c r="U184" s="18" cm="1">
        <f t="array" ref="U184">INDEX(GMWQ!$A$2:$NE$60,MATCH(1,(GMWQ!$NE$2:$NE$60=U$3)*(GMWQ!$ND$2:$ND$60=U$4),0),$B184-1966)</f>
        <v>47.671430000000001</v>
      </c>
      <c r="V184" s="18" cm="1">
        <f t="array" ref="V184">INDEX(GMWQ!$A$2:$NE$60,MATCH(1,(GMWQ!$NE$2:$NE$60=V$3)*(GMWQ!$ND$2:$ND$60=V$4),0),$B184-1966)</f>
        <v>58309.5</v>
      </c>
      <c r="W184" s="18" cm="1">
        <f t="array" ref="W184">INDEX(GMWQ!$A$2:$NF$60,MATCH(1,(GMWQ!$NE$2:$NE$60=W$3)*(GMWQ!$NF$2:$NF$60=W$1),0),$B184-1966)</f>
        <v>50490</v>
      </c>
      <c r="X184" s="18" cm="1">
        <f t="array" ref="X184">INDEX(GMWQ!$A$2:$NF$60,MATCH(1,(GMWQ!$NE$2:$NE$60=X$3)*(GMWQ!$NF$2:$NF$60=X$1),0),$B184-1966)</f>
        <v>55216</v>
      </c>
      <c r="Y184" s="18" cm="1">
        <f t="array" ref="Y184">INDEX(GMWQ!$A$2:$NF$60,MATCH(1,(GMWQ!$NE$2:$NE$60=Y$3)*(GMWQ!$NF$2:$NF$60=Y$1),0),$B184-1966)</f>
        <v>57275</v>
      </c>
      <c r="Z184" s="18" cm="1">
        <f t="array" ref="Z184">INDEX(GMWQ!$A$2:$NF$60,MATCH(1,(GMWQ!$NE$2:$NE$60=Z$3)*(GMWQ!$NF$2:$NF$60=Z$1),0),$B184-1966)</f>
        <v>57030</v>
      </c>
    </row>
    <row r="185" spans="1:26" x14ac:dyDescent="0.25">
      <c r="B185" s="18">
        <f t="shared" si="4"/>
        <v>2151</v>
      </c>
      <c r="C185" s="18" cm="1">
        <f t="array" ref="C185">INDEX(GMWQ!$A$2:$NE$60,MATCH(1,(GMWQ!$NE$2:$NE$60=C$3)*(GMWQ!$ND$2:$ND$60=C$4),0),$B185-1966)</f>
        <v>60681</v>
      </c>
      <c r="D185" s="18" cm="1">
        <f t="array" ref="D185">INDEX(GMWQ!$A$2:$NE$60,MATCH(1,(GMWQ!$NE$2:$NE$60=D$3)*(GMWQ!$ND$2:$ND$60=D$4),0),$B185-1966)</f>
        <v>115131</v>
      </c>
      <c r="E185" s="18" cm="1">
        <f t="array" ref="E185">INDEX(GMWQ!$A$2:$NE$60,MATCH(1,(GMWQ!$NE$2:$NE$60=E$3)*(GMWQ!$ND$2:$ND$60=E$4),0),$B185-1966)</f>
        <v>-5205</v>
      </c>
      <c r="F185" s="18" cm="1">
        <f t="array" ref="F185">INDEX(GMWQ!$A$2:$NE$60,MATCH(1,(GMWQ!$NE$2:$NE$60=F$3)*(GMWQ!$ND$2:$ND$60=F$4),0),$B185-1966)</f>
        <v>-8195.9989999999998</v>
      </c>
      <c r="G185" s="18" cm="1">
        <f t="array" ref="G185">INDEX(GMWQ!$A$2:$NE$60,MATCH(1,(GMWQ!$NE$2:$NE$60=G$3)*(GMWQ!$ND$2:$ND$60=G$4),0),$B185-1966)</f>
        <v>521257</v>
      </c>
      <c r="H185" s="18" cm="1">
        <f t="array" ref="H185">INDEX(GMWQ!$A$2:$NE$60,MATCH(1,(GMWQ!$NE$2:$NE$60=H$3)*(GMWQ!$ND$2:$ND$60=H$4),0),$B185-1966)</f>
        <v>108030</v>
      </c>
      <c r="I185" s="18" cm="1">
        <f t="array" ref="I185">INDEX(GMWQ!$A$2:$NE$60,MATCH(1,(GMWQ!$NE$2:$NE$60=I$3)*(GMWQ!$ND$2:$ND$60=I$4),0),$B185-1966)</f>
        <v>15702</v>
      </c>
      <c r="J185" s="18" cm="1">
        <f t="array" ref="J185">INDEX(GMWQ!$A$2:$NE$60,MATCH(1,(GMWQ!$NE$2:$NE$60=J$3)*(GMWQ!$ND$2:$ND$60=J$4),0),$B185-1966)</f>
        <v>21505</v>
      </c>
      <c r="K185" s="18" cm="1">
        <f t="array" ref="K185">INDEX(GMWQ!$A$2:$NE$60,MATCH(1,(GMWQ!$NE$2:$NE$60=K$3)*(GMWQ!$ND$2:$ND$60=K$4),0),$B185-1966)</f>
        <v>3052759</v>
      </c>
      <c r="L185" s="18" cm="1">
        <f t="array" ref="L185">INDEX(GMWQ!$A$2:$NE$60,MATCH(1,(GMWQ!$NE$2:$NE$60=L$3)*(GMWQ!$ND$2:$ND$60=L$4),0),$B185-1966)</f>
        <v>32093</v>
      </c>
      <c r="M185" s="18" cm="1">
        <f t="array" ref="M185">INDEX(GMWQ!$A$2:$NE$60,MATCH(1,(GMWQ!$NE$2:$NE$60=M$3)*(GMWQ!$ND$2:$ND$60=M$4),0),$B185-1966)</f>
        <v>32</v>
      </c>
      <c r="N185" s="18" cm="1">
        <f t="array" ref="N185">INDEX(GMWQ!$A$2:$NE$60,MATCH(1,(GMWQ!$NE$2:$NE$60=N$3)*(GMWQ!$ND$2:$ND$60=N$4),0),$B185-1966)</f>
        <v>6.6747880000000004</v>
      </c>
      <c r="O185" s="18" cm="1">
        <f t="array" ref="O185">INDEX(GMWQ!$A$2:$NE$60,MATCH(1,(GMWQ!$NE$2:$NE$60=O$3)*(GMWQ!$ND$2:$ND$60=O$4),0),$B185-1966)</f>
        <v>2.1484760000000001</v>
      </c>
      <c r="P185" s="18" cm="1">
        <f t="array" ref="P185">INDEX(GMWQ!$A$2:$NE$60,MATCH(1,(GMWQ!$NE$2:$NE$60=P$3)*(GMWQ!$ND$2:$ND$60=P$4),0),$B185-1966)</f>
        <v>366696</v>
      </c>
      <c r="Q185" s="18" cm="1">
        <f t="array" ref="Q185">INDEX(GMWQ!$A$2:$NE$60,MATCH(1,(GMWQ!$NE$2:$NE$60=Q$3)*(GMWQ!$ND$2:$ND$60=Q$4),0),$B185-1966)</f>
        <v>666.3</v>
      </c>
      <c r="R185" s="18" cm="1">
        <f t="array" ref="R185">INDEX(GMWQ!$A$2:$NE$60,MATCH(1,(GMWQ!$NE$2:$NE$60=R$3)*(GMWQ!$ND$2:$ND$60=R$4),0),$B185-1966)</f>
        <v>22477.63</v>
      </c>
      <c r="S185" s="18" cm="1">
        <f t="array" ref="S185">INDEX(GMWQ!$A$2:$NE$60,MATCH(1,(GMWQ!$NE$2:$NE$60=S$3)*(GMWQ!$ND$2:$ND$60=S$4),0),$B185-1966)</f>
        <v>104.65</v>
      </c>
      <c r="T185" s="18" cm="1">
        <f t="array" ref="T185">INDEX(GMWQ!$A$2:$NE$60,MATCH(1,(GMWQ!$NE$2:$NE$60=T$3)*(GMWQ!$ND$2:$ND$60=T$4),0),$B185-1966)</f>
        <v>74.266000000000005</v>
      </c>
      <c r="U185" s="18" cm="1">
        <f t="array" ref="U185">INDEX(GMWQ!$A$2:$NE$60,MATCH(1,(GMWQ!$NE$2:$NE$60=U$3)*(GMWQ!$ND$2:$ND$60=U$4),0),$B185-1966)</f>
        <v>48.880830000000003</v>
      </c>
      <c r="V185" s="18" cm="1">
        <f t="array" ref="V185">INDEX(GMWQ!$A$2:$NE$60,MATCH(1,(GMWQ!$NE$2:$NE$60=V$3)*(GMWQ!$ND$2:$ND$60=V$4),0),$B185-1966)</f>
        <v>58773.75</v>
      </c>
      <c r="W185" s="18" cm="1">
        <f t="array" ref="W185">INDEX(GMWQ!$A$2:$NF$60,MATCH(1,(GMWQ!$NE$2:$NE$60=W$3)*(GMWQ!$NF$2:$NF$60=W$1),0),$B185-1966)</f>
        <v>50603</v>
      </c>
      <c r="X185" s="18" cm="1">
        <f t="array" ref="X185">INDEX(GMWQ!$A$2:$NF$60,MATCH(1,(GMWQ!$NE$2:$NE$60=X$3)*(GMWQ!$NF$2:$NF$60=X$1),0),$B185-1966)</f>
        <v>55070</v>
      </c>
      <c r="Y185" s="18" cm="1">
        <f t="array" ref="Y185">INDEX(GMWQ!$A$2:$NF$60,MATCH(1,(GMWQ!$NE$2:$NE$60=Y$3)*(GMWQ!$NF$2:$NF$60=Y$1),0),$B185-1966)</f>
        <v>56988</v>
      </c>
      <c r="Z185" s="18" cm="1">
        <f t="array" ref="Z185">INDEX(GMWQ!$A$2:$NF$60,MATCH(1,(GMWQ!$NE$2:$NE$60=Z$3)*(GMWQ!$NF$2:$NF$60=Z$1),0),$B185-1966)</f>
        <v>56048</v>
      </c>
    </row>
    <row r="186" spans="1:26" x14ac:dyDescent="0.25">
      <c r="B186" s="18">
        <f t="shared" si="4"/>
        <v>2152</v>
      </c>
      <c r="C186" s="18" cm="1">
        <f t="array" ref="C186">INDEX(GMWQ!$A$2:$NE$60,MATCH(1,(GMWQ!$NE$2:$NE$60=C$3)*(GMWQ!$ND$2:$ND$60=C$4),0),$B186-1966)</f>
        <v>61713</v>
      </c>
      <c r="D186" s="18" cm="1">
        <f t="array" ref="D186">INDEX(GMWQ!$A$2:$NE$60,MATCH(1,(GMWQ!$NE$2:$NE$60=D$3)*(GMWQ!$ND$2:$ND$60=D$4),0),$B186-1966)</f>
        <v>120994</v>
      </c>
      <c r="E186" s="18" cm="1">
        <f t="array" ref="E186">INDEX(GMWQ!$A$2:$NE$60,MATCH(1,(GMWQ!$NE$2:$NE$60=E$3)*(GMWQ!$ND$2:$ND$60=E$4),0),$B186-1966)</f>
        <v>-739</v>
      </c>
      <c r="F186" s="18" cm="1">
        <f t="array" ref="F186">INDEX(GMWQ!$A$2:$NE$60,MATCH(1,(GMWQ!$NE$2:$NE$60=F$3)*(GMWQ!$ND$2:$ND$60=F$4),0),$B186-1966)</f>
        <v>-782</v>
      </c>
      <c r="G186" s="18" cm="1">
        <f t="array" ref="G186">INDEX(GMWQ!$A$2:$NE$60,MATCH(1,(GMWQ!$NE$2:$NE$60=G$3)*(GMWQ!$ND$2:$ND$60=G$4),0),$B186-1966)</f>
        <v>529755</v>
      </c>
      <c r="H186" s="18" cm="1">
        <f t="array" ref="H186">INDEX(GMWQ!$A$2:$NE$60,MATCH(1,(GMWQ!$NE$2:$NE$60=H$3)*(GMWQ!$ND$2:$ND$60=H$4),0),$B186-1966)</f>
        <v>109696</v>
      </c>
      <c r="I186" s="18" cm="1">
        <f t="array" ref="I186">INDEX(GMWQ!$A$2:$NE$60,MATCH(1,(GMWQ!$NE$2:$NE$60=I$3)*(GMWQ!$ND$2:$ND$60=I$4),0),$B186-1966)</f>
        <v>15843</v>
      </c>
      <c r="J186" s="18" cm="1">
        <f t="array" ref="J186">INDEX(GMWQ!$A$2:$NE$60,MATCH(1,(GMWQ!$NE$2:$NE$60=J$3)*(GMWQ!$ND$2:$ND$60=J$4),0),$B186-1966)</f>
        <v>22580</v>
      </c>
      <c r="K186" s="18" cm="1">
        <f t="array" ref="K186">INDEX(GMWQ!$A$2:$NE$60,MATCH(1,(GMWQ!$NE$2:$NE$60=K$3)*(GMWQ!$ND$2:$ND$60=K$4),0),$B186-1966)</f>
        <v>3070960</v>
      </c>
      <c r="L186" s="18" cm="1">
        <f t="array" ref="L186">INDEX(GMWQ!$A$2:$NE$60,MATCH(1,(GMWQ!$NE$2:$NE$60=L$3)*(GMWQ!$ND$2:$ND$60=L$4),0),$B186-1966)</f>
        <v>32179</v>
      </c>
      <c r="M186" s="18" cm="1">
        <f t="array" ref="M186">INDEX(GMWQ!$A$2:$NE$60,MATCH(1,(GMWQ!$NE$2:$NE$60=M$3)*(GMWQ!$ND$2:$ND$60=M$4),0),$B186-1966)</f>
        <v>31.9</v>
      </c>
      <c r="N186" s="18" cm="1">
        <f t="array" ref="N186">INDEX(GMWQ!$A$2:$NE$60,MATCH(1,(GMWQ!$NE$2:$NE$60=N$3)*(GMWQ!$ND$2:$ND$60=N$4),0),$B186-1966)</f>
        <v>6.3887359999999997</v>
      </c>
      <c r="O186" s="18" cm="1">
        <f t="array" ref="O186">INDEX(GMWQ!$A$2:$NE$60,MATCH(1,(GMWQ!$NE$2:$NE$60=O$3)*(GMWQ!$ND$2:$ND$60=O$4),0),$B186-1966)</f>
        <v>2.25766</v>
      </c>
      <c r="P186" s="18" cm="1">
        <f t="array" ref="P186">INDEX(GMWQ!$A$2:$NE$60,MATCH(1,(GMWQ!$NE$2:$NE$60=P$3)*(GMWQ!$ND$2:$ND$60=P$4),0),$B186-1966)</f>
        <v>363882</v>
      </c>
      <c r="Q186" s="18" cm="1">
        <f t="array" ref="Q186">INDEX(GMWQ!$A$2:$NE$60,MATCH(1,(GMWQ!$NE$2:$NE$60=Q$3)*(GMWQ!$ND$2:$ND$60=Q$4),0),$B186-1966)</f>
        <v>682.22500000000002</v>
      </c>
      <c r="R186" s="18" cm="1">
        <f t="array" ref="R186">INDEX(GMWQ!$A$2:$NE$60,MATCH(1,(GMWQ!$NE$2:$NE$60=R$3)*(GMWQ!$ND$2:$ND$60=R$4),0),$B186-1966)</f>
        <v>22614.2</v>
      </c>
      <c r="S186" s="18" cm="1">
        <f t="array" ref="S186">INDEX(GMWQ!$A$2:$NE$60,MATCH(1,(GMWQ!$NE$2:$NE$60=S$3)*(GMWQ!$ND$2:$ND$60=S$4),0),$B186-1966)</f>
        <v>106.15</v>
      </c>
      <c r="T186" s="18" cm="1">
        <f t="array" ref="T186">INDEX(GMWQ!$A$2:$NE$60,MATCH(1,(GMWQ!$NE$2:$NE$60=T$3)*(GMWQ!$ND$2:$ND$60=T$4),0),$B186-1966)</f>
        <v>75.387990000000002</v>
      </c>
      <c r="U186" s="18" cm="1">
        <f t="array" ref="U186">INDEX(GMWQ!$A$2:$NE$60,MATCH(1,(GMWQ!$NE$2:$NE$60=U$3)*(GMWQ!$ND$2:$ND$60=U$4),0),$B186-1966)</f>
        <v>49.907130000000002</v>
      </c>
      <c r="V186" s="18" cm="1">
        <f t="array" ref="V186">INDEX(GMWQ!$A$2:$NE$60,MATCH(1,(GMWQ!$NE$2:$NE$60=V$3)*(GMWQ!$ND$2:$ND$60=V$4),0),$B186-1966)</f>
        <v>60460.75</v>
      </c>
      <c r="W186" s="18" cm="1">
        <f t="array" ref="W186">INDEX(GMWQ!$A$2:$NF$60,MATCH(1,(GMWQ!$NE$2:$NE$60=W$3)*(GMWQ!$NF$2:$NF$60=W$1),0),$B186-1966)</f>
        <v>50705</v>
      </c>
      <c r="X186" s="18" cm="1">
        <f t="array" ref="X186">INDEX(GMWQ!$A$2:$NF$60,MATCH(1,(GMWQ!$NE$2:$NE$60=X$3)*(GMWQ!$NF$2:$NF$60=X$1),0),$B186-1966)</f>
        <v>55123</v>
      </c>
      <c r="Y186" s="18" cm="1">
        <f t="array" ref="Y186">INDEX(GMWQ!$A$2:$NF$60,MATCH(1,(GMWQ!$NE$2:$NE$60=Y$3)*(GMWQ!$NF$2:$NF$60=Y$1),0),$B186-1966)</f>
        <v>57096</v>
      </c>
      <c r="Z186" s="18" cm="1">
        <f t="array" ref="Z186">INDEX(GMWQ!$A$2:$NF$60,MATCH(1,(GMWQ!$NE$2:$NE$60=Z$3)*(GMWQ!$NF$2:$NF$60=Z$1),0),$B186-1966)</f>
        <v>57022</v>
      </c>
    </row>
    <row r="187" spans="1:26" x14ac:dyDescent="0.25">
      <c r="A187" s="18">
        <v>2018</v>
      </c>
      <c r="B187" s="18">
        <f t="shared" si="4"/>
        <v>2153</v>
      </c>
      <c r="C187" s="18" cm="1">
        <f t="array" ref="C187">INDEX(GMWQ!$A$2:$NE$60,MATCH(1,(GMWQ!$NE$2:$NE$60=C$3)*(GMWQ!$ND$2:$ND$60=C$4),0),$B187-1966)</f>
        <v>61342</v>
      </c>
      <c r="D187" s="18" cm="1">
        <f t="array" ref="D187">INDEX(GMWQ!$A$2:$NE$60,MATCH(1,(GMWQ!$NE$2:$NE$60=D$3)*(GMWQ!$ND$2:$ND$60=D$4),0),$B187-1966)</f>
        <v>116160</v>
      </c>
      <c r="E187" s="18" cm="1">
        <f t="array" ref="E187">INDEX(GMWQ!$A$2:$NE$60,MATCH(1,(GMWQ!$NE$2:$NE$60=E$3)*(GMWQ!$ND$2:$ND$60=E$4),0),$B187-1966)</f>
        <v>-10965</v>
      </c>
      <c r="F187" s="18" cm="1">
        <f t="array" ref="F187">INDEX(GMWQ!$A$2:$NE$60,MATCH(1,(GMWQ!$NE$2:$NE$60=F$3)*(GMWQ!$ND$2:$ND$60=F$4),0),$B187-1966)</f>
        <v>-5067</v>
      </c>
      <c r="G187" s="18" cm="1">
        <f t="array" ref="G187">INDEX(GMWQ!$A$2:$NE$60,MATCH(1,(GMWQ!$NE$2:$NE$60=G$3)*(GMWQ!$ND$2:$ND$60=G$4),0),$B187-1966)</f>
        <v>531131</v>
      </c>
      <c r="H187" s="18" cm="1">
        <f t="array" ref="H187">INDEX(GMWQ!$A$2:$NE$60,MATCH(1,(GMWQ!$NE$2:$NE$60=H$3)*(GMWQ!$ND$2:$ND$60=H$4),0),$B187-1966)</f>
        <v>109097</v>
      </c>
      <c r="I187" s="18" cm="1">
        <f t="array" ref="I187">INDEX(GMWQ!$A$2:$NE$60,MATCH(1,(GMWQ!$NE$2:$NE$60=I$3)*(GMWQ!$ND$2:$ND$60=I$4),0),$B187-1966)</f>
        <v>16065</v>
      </c>
      <c r="J187" s="18" cm="1">
        <f t="array" ref="J187">INDEX(GMWQ!$A$2:$NE$60,MATCH(1,(GMWQ!$NE$2:$NE$60=J$3)*(GMWQ!$ND$2:$ND$60=J$4),0),$B187-1966)</f>
        <v>23054</v>
      </c>
      <c r="K187" s="18" cm="1">
        <f t="array" ref="K187">INDEX(GMWQ!$A$2:$NE$60,MATCH(1,(GMWQ!$NE$2:$NE$60=K$3)*(GMWQ!$ND$2:$ND$60=K$4),0),$B187-1966)</f>
        <v>3085902</v>
      </c>
      <c r="L187" s="18" cm="1">
        <f t="array" ref="L187">INDEX(GMWQ!$A$2:$NE$60,MATCH(1,(GMWQ!$NE$2:$NE$60=L$3)*(GMWQ!$ND$2:$ND$60=L$4),0),$B187-1966)</f>
        <v>32364</v>
      </c>
      <c r="M187" s="18" cm="1">
        <f t="array" ref="M187">INDEX(GMWQ!$A$2:$NE$60,MATCH(1,(GMWQ!$NE$2:$NE$60=M$3)*(GMWQ!$ND$2:$ND$60=M$4),0),$B187-1966)</f>
        <v>31.9</v>
      </c>
      <c r="N187" s="18" cm="1">
        <f t="array" ref="N187">INDEX(GMWQ!$A$2:$NE$60,MATCH(1,(GMWQ!$NE$2:$NE$60=N$3)*(GMWQ!$ND$2:$ND$60=N$4),0),$B187-1966)</f>
        <v>8.127224</v>
      </c>
      <c r="O187" s="18" cm="1">
        <f t="array" ref="O187">INDEX(GMWQ!$A$2:$NE$60,MATCH(1,(GMWQ!$NE$2:$NE$60=O$3)*(GMWQ!$ND$2:$ND$60=O$4),0),$B187-1966)</f>
        <v>2.469964</v>
      </c>
      <c r="P187" s="18" cm="1">
        <f t="array" ref="P187">INDEX(GMWQ!$A$2:$NE$60,MATCH(1,(GMWQ!$NE$2:$NE$60=P$3)*(GMWQ!$ND$2:$ND$60=P$4),0),$B187-1966)</f>
        <v>359057</v>
      </c>
      <c r="Q187" s="18" cm="1">
        <f t="array" ref="Q187">INDEX(GMWQ!$A$2:$NE$60,MATCH(1,(GMWQ!$NE$2:$NE$60=Q$3)*(GMWQ!$ND$2:$ND$60=Q$4),0),$B187-1966)</f>
        <v>701.32500000000005</v>
      </c>
      <c r="R187" s="18" cm="1">
        <f t="array" ref="R187">INDEX(GMWQ!$A$2:$NE$60,MATCH(1,(GMWQ!$NE$2:$NE$60=R$3)*(GMWQ!$ND$2:$ND$60=R$4),0),$B187-1966)</f>
        <v>22847.15</v>
      </c>
      <c r="S187" s="18" cm="1">
        <f t="array" ref="S187">INDEX(GMWQ!$A$2:$NE$60,MATCH(1,(GMWQ!$NE$2:$NE$60=S$3)*(GMWQ!$ND$2:$ND$60=S$4),0),$B187-1966)</f>
        <v>105.33</v>
      </c>
      <c r="T187" s="18" cm="1">
        <f t="array" ref="T187">INDEX(GMWQ!$A$2:$NE$60,MATCH(1,(GMWQ!$NE$2:$NE$60=T$3)*(GMWQ!$ND$2:$ND$60=T$4),0),$B187-1966)</f>
        <v>75.570009999999996</v>
      </c>
      <c r="U187" s="18" cm="1">
        <f t="array" ref="U187">INDEX(GMWQ!$A$2:$NE$60,MATCH(1,(GMWQ!$NE$2:$NE$60=U$3)*(GMWQ!$ND$2:$ND$60=U$4),0),$B187-1966)</f>
        <v>50.243740000000003</v>
      </c>
      <c r="V187" s="18" cm="1">
        <f t="array" ref="V187">INDEX(GMWQ!$A$2:$NE$60,MATCH(1,(GMWQ!$NE$2:$NE$60=V$3)*(GMWQ!$ND$2:$ND$60=V$4),0),$B187-1966)</f>
        <v>61444.5</v>
      </c>
      <c r="W187" s="18" cm="1">
        <f t="array" ref="W187">INDEX(GMWQ!$A$2:$NF$60,MATCH(1,(GMWQ!$NE$2:$NE$60=W$3)*(GMWQ!$NF$2:$NF$60=W$1),0),$B187-1966)</f>
        <v>50275</v>
      </c>
      <c r="X187" s="18" cm="1">
        <f t="array" ref="X187">INDEX(GMWQ!$A$2:$NF$60,MATCH(1,(GMWQ!$NE$2:$NE$60=X$3)*(GMWQ!$NF$2:$NF$60=X$1),0),$B187-1966)</f>
        <v>54625</v>
      </c>
      <c r="Y187" s="18" cm="1">
        <f t="array" ref="Y187">INDEX(GMWQ!$A$2:$NF$60,MATCH(1,(GMWQ!$NE$2:$NE$60=Y$3)*(GMWQ!$NF$2:$NF$60=Y$1),0),$B187-1966)</f>
        <v>57012</v>
      </c>
      <c r="Z187" s="18" cm="1">
        <f t="array" ref="Z187">INDEX(GMWQ!$A$2:$NF$60,MATCH(1,(GMWQ!$NE$2:$NE$60=Z$3)*(GMWQ!$NF$2:$NF$60=Z$1),0),$B187-1966)</f>
        <v>56689</v>
      </c>
    </row>
    <row r="188" spans="1:26" x14ac:dyDescent="0.25">
      <c r="B188" s="18">
        <f t="shared" si="4"/>
        <v>2154</v>
      </c>
      <c r="C188" s="18" cm="1">
        <f t="array" ref="C188">INDEX(GMWQ!$A$2:$NE$60,MATCH(1,(GMWQ!$NE$2:$NE$60=C$3)*(GMWQ!$ND$2:$ND$60=C$4),0),$B188-1966)</f>
        <v>60055</v>
      </c>
      <c r="D188" s="18" cm="1">
        <f t="array" ref="D188">INDEX(GMWQ!$A$2:$NE$60,MATCH(1,(GMWQ!$NE$2:$NE$60=D$3)*(GMWQ!$ND$2:$ND$60=D$4),0),$B188-1966)</f>
        <v>117940</v>
      </c>
      <c r="E188" s="18" cm="1">
        <f t="array" ref="E188">INDEX(GMWQ!$A$2:$NE$60,MATCH(1,(GMWQ!$NE$2:$NE$60=E$3)*(GMWQ!$ND$2:$ND$60=E$4),0),$B188-1966)</f>
        <v>-6187</v>
      </c>
      <c r="F188" s="18" cm="1">
        <f t="array" ref="F188">INDEX(GMWQ!$A$2:$NE$60,MATCH(1,(GMWQ!$NE$2:$NE$60=F$3)*(GMWQ!$ND$2:$ND$60=F$4),0),$B188-1966)</f>
        <v>-8192.9989999999998</v>
      </c>
      <c r="G188" s="18" cm="1">
        <f t="array" ref="G188">INDEX(GMWQ!$A$2:$NE$60,MATCH(1,(GMWQ!$NE$2:$NE$60=G$3)*(GMWQ!$ND$2:$ND$60=G$4),0),$B188-1966)</f>
        <v>535707</v>
      </c>
      <c r="H188" s="18" cm="1">
        <f t="array" ref="H188">INDEX(GMWQ!$A$2:$NE$60,MATCH(1,(GMWQ!$NE$2:$NE$60=H$3)*(GMWQ!$ND$2:$ND$60=H$4),0),$B188-1966)</f>
        <v>107829</v>
      </c>
      <c r="I188" s="18" cm="1">
        <f t="array" ref="I188">INDEX(GMWQ!$A$2:$NE$60,MATCH(1,(GMWQ!$NE$2:$NE$60=I$3)*(GMWQ!$ND$2:$ND$60=I$4),0),$B188-1966)</f>
        <v>14892</v>
      </c>
      <c r="J188" s="18" cm="1">
        <f t="array" ref="J188">INDEX(GMWQ!$A$2:$NE$60,MATCH(1,(GMWQ!$NE$2:$NE$60=J$3)*(GMWQ!$ND$2:$ND$60=J$4),0),$B188-1966)</f>
        <v>24068</v>
      </c>
      <c r="K188" s="18" cm="1">
        <f t="array" ref="K188">INDEX(GMWQ!$A$2:$NE$60,MATCH(1,(GMWQ!$NE$2:$NE$60=K$3)*(GMWQ!$ND$2:$ND$60=K$4),0),$B188-1966)</f>
        <v>3100844</v>
      </c>
      <c r="L188" s="18" cm="1">
        <f t="array" ref="L188">INDEX(GMWQ!$A$2:$NE$60,MATCH(1,(GMWQ!$NE$2:$NE$60=L$3)*(GMWQ!$ND$2:$ND$60=L$4),0),$B188-1966)</f>
        <v>32403</v>
      </c>
      <c r="M188" s="18" cm="1">
        <f t="array" ref="M188">INDEX(GMWQ!$A$2:$NE$60,MATCH(1,(GMWQ!$NE$2:$NE$60=M$3)*(GMWQ!$ND$2:$ND$60=M$4),0),$B188-1966)</f>
        <v>31.9</v>
      </c>
      <c r="N188" s="18" cm="1">
        <f t="array" ref="N188">INDEX(GMWQ!$A$2:$NE$60,MATCH(1,(GMWQ!$NE$2:$NE$60=N$3)*(GMWQ!$ND$2:$ND$60=N$4),0),$B188-1966)</f>
        <v>7.3489079999999998</v>
      </c>
      <c r="O188" s="18" cm="1">
        <f t="array" ref="O188">INDEX(GMWQ!$A$2:$NE$60,MATCH(1,(GMWQ!$NE$2:$NE$60=O$3)*(GMWQ!$ND$2:$ND$60=O$4),0),$B188-1966)</f>
        <v>2.6848489999999998</v>
      </c>
      <c r="P188" s="18" cm="1">
        <f t="array" ref="P188">INDEX(GMWQ!$A$2:$NE$60,MATCH(1,(GMWQ!$NE$2:$NE$60=P$3)*(GMWQ!$ND$2:$ND$60=P$4),0),$B188-1966)</f>
        <v>404556</v>
      </c>
      <c r="Q188" s="18" cm="1">
        <f t="array" ref="Q188">INDEX(GMWQ!$A$2:$NE$60,MATCH(1,(GMWQ!$NE$2:$NE$60=Q$3)*(GMWQ!$ND$2:$ND$60=Q$4),0),$B188-1966)</f>
        <v>709.27499999999998</v>
      </c>
      <c r="R188" s="18" cm="1">
        <f t="array" ref="R188">INDEX(GMWQ!$A$2:$NE$60,MATCH(1,(GMWQ!$NE$2:$NE$60=R$3)*(GMWQ!$ND$2:$ND$60=R$4),0),$B188-1966)</f>
        <v>23181</v>
      </c>
      <c r="S188" s="18" cm="1">
        <f t="array" ref="S188">INDEX(GMWQ!$A$2:$NE$60,MATCH(1,(GMWQ!$NE$2:$NE$60=S$3)*(GMWQ!$ND$2:$ND$60=S$4),0),$B188-1966)</f>
        <v>107.22</v>
      </c>
      <c r="T188" s="18" cm="1">
        <f t="array" ref="T188">INDEX(GMWQ!$A$2:$NE$60,MATCH(1,(GMWQ!$NE$2:$NE$60=T$3)*(GMWQ!$ND$2:$ND$60=T$4),0),$B188-1966)</f>
        <v>76.501999999999995</v>
      </c>
      <c r="U188" s="18" cm="1">
        <f t="array" ref="U188">INDEX(GMWQ!$A$2:$NE$60,MATCH(1,(GMWQ!$NE$2:$NE$60=U$3)*(GMWQ!$ND$2:$ND$60=U$4),0),$B188-1966)</f>
        <v>51.25197</v>
      </c>
      <c r="V188" s="18" cm="1">
        <f t="array" ref="V188">INDEX(GMWQ!$A$2:$NE$60,MATCH(1,(GMWQ!$NE$2:$NE$60=V$3)*(GMWQ!$ND$2:$ND$60=V$4),0),$B188-1966)</f>
        <v>62421.75</v>
      </c>
      <c r="W188" s="18" cm="1">
        <f t="array" ref="W188">INDEX(GMWQ!$A$2:$NF$60,MATCH(1,(GMWQ!$NE$2:$NE$60=W$3)*(GMWQ!$NF$2:$NF$60=W$1),0),$B188-1966)</f>
        <v>49859</v>
      </c>
      <c r="X188" s="18" cm="1">
        <f t="array" ref="X188">INDEX(GMWQ!$A$2:$NF$60,MATCH(1,(GMWQ!$NE$2:$NE$60=X$3)*(GMWQ!$NF$2:$NF$60=X$1),0),$B188-1966)</f>
        <v>53952</v>
      </c>
      <c r="Y188" s="18" cm="1">
        <f t="array" ref="Y188">INDEX(GMWQ!$A$2:$NF$60,MATCH(1,(GMWQ!$NE$2:$NE$60=Y$3)*(GMWQ!$NF$2:$NF$60=Y$1),0),$B188-1966)</f>
        <v>56085</v>
      </c>
      <c r="Z188" s="18" cm="1">
        <f t="array" ref="Z188">INDEX(GMWQ!$A$2:$NF$60,MATCH(1,(GMWQ!$NE$2:$NE$60=Z$3)*(GMWQ!$NF$2:$NF$60=Z$1),0),$B188-1966)</f>
        <v>55519</v>
      </c>
    </row>
    <row r="189" spans="1:26" x14ac:dyDescent="0.25">
      <c r="B189" s="18">
        <f t="shared" si="4"/>
        <v>2155</v>
      </c>
      <c r="C189" s="18" cm="1">
        <f t="array" ref="C189">INDEX(GMWQ!$A$2:$NE$60,MATCH(1,(GMWQ!$NE$2:$NE$60=C$3)*(GMWQ!$ND$2:$ND$60=C$4),0),$B189-1966)</f>
        <v>60115</v>
      </c>
      <c r="D189" s="18" cm="1">
        <f t="array" ref="D189">INDEX(GMWQ!$A$2:$NE$60,MATCH(1,(GMWQ!$NE$2:$NE$60=D$3)*(GMWQ!$ND$2:$ND$60=D$4),0),$B189-1966)</f>
        <v>117461</v>
      </c>
      <c r="E189" s="18" cm="1">
        <f t="array" ref="E189">INDEX(GMWQ!$A$2:$NE$60,MATCH(1,(GMWQ!$NE$2:$NE$60=E$3)*(GMWQ!$ND$2:$ND$60=E$4),0),$B189-1966)</f>
        <v>-6230</v>
      </c>
      <c r="F189" s="18" cm="1">
        <f t="array" ref="F189">INDEX(GMWQ!$A$2:$NE$60,MATCH(1,(GMWQ!$NE$2:$NE$60=F$3)*(GMWQ!$ND$2:$ND$60=F$4),0),$B189-1966)</f>
        <v>-5080</v>
      </c>
      <c r="G189" s="18" cm="1">
        <f t="array" ref="G189">INDEX(GMWQ!$A$2:$NE$60,MATCH(1,(GMWQ!$NE$2:$NE$60=G$3)*(GMWQ!$ND$2:$ND$60=G$4),0),$B189-1966)</f>
        <v>540205</v>
      </c>
      <c r="H189" s="18" cm="1">
        <f t="array" ref="H189">INDEX(GMWQ!$A$2:$NE$60,MATCH(1,(GMWQ!$NE$2:$NE$60=H$3)*(GMWQ!$ND$2:$ND$60=H$4),0),$B189-1966)</f>
        <v>107807</v>
      </c>
      <c r="I189" s="18" cm="1">
        <f t="array" ref="I189">INDEX(GMWQ!$A$2:$NE$60,MATCH(1,(GMWQ!$NE$2:$NE$60=I$3)*(GMWQ!$ND$2:$ND$60=I$4),0),$B189-1966)</f>
        <v>15562</v>
      </c>
      <c r="J189" s="18" cm="1">
        <f t="array" ref="J189">INDEX(GMWQ!$A$2:$NE$60,MATCH(1,(GMWQ!$NE$2:$NE$60=J$3)*(GMWQ!$ND$2:$ND$60=J$4),0),$B189-1966)</f>
        <v>23611</v>
      </c>
      <c r="K189" s="18" cm="1">
        <f t="array" ref="K189">INDEX(GMWQ!$A$2:$NE$60,MATCH(1,(GMWQ!$NE$2:$NE$60=K$3)*(GMWQ!$ND$2:$ND$60=K$4),0),$B189-1966)</f>
        <v>3115786</v>
      </c>
      <c r="L189" s="18" cm="1">
        <f t="array" ref="L189">INDEX(GMWQ!$A$2:$NE$60,MATCH(1,(GMWQ!$NE$2:$NE$60=L$3)*(GMWQ!$ND$2:$ND$60=L$4),0),$B189-1966)</f>
        <v>32448</v>
      </c>
      <c r="M189" s="18" cm="1">
        <f t="array" ref="M189">INDEX(GMWQ!$A$2:$NE$60,MATCH(1,(GMWQ!$NE$2:$NE$60=M$3)*(GMWQ!$ND$2:$ND$60=M$4),0),$B189-1966)</f>
        <v>32.200000000000003</v>
      </c>
      <c r="N189" s="18" cm="1">
        <f t="array" ref="N189">INDEX(GMWQ!$A$2:$NE$60,MATCH(1,(GMWQ!$NE$2:$NE$60=N$3)*(GMWQ!$ND$2:$ND$60=N$4),0),$B189-1966)</f>
        <v>7.7747989999999998</v>
      </c>
      <c r="O189" s="18" cm="1">
        <f t="array" ref="O189">INDEX(GMWQ!$A$2:$NE$60,MATCH(1,(GMWQ!$NE$2:$NE$60=O$3)*(GMWQ!$ND$2:$ND$60=O$4),0),$B189-1966)</f>
        <v>2.7213750000000001</v>
      </c>
      <c r="P189" s="18" cm="1">
        <f t="array" ref="P189">INDEX(GMWQ!$A$2:$NE$60,MATCH(1,(GMWQ!$NE$2:$NE$60=P$3)*(GMWQ!$ND$2:$ND$60=P$4),0),$B189-1966)</f>
        <v>405266</v>
      </c>
      <c r="Q189" s="18" cm="1">
        <f t="array" ref="Q189">INDEX(GMWQ!$A$2:$NE$60,MATCH(1,(GMWQ!$NE$2:$NE$60=Q$3)*(GMWQ!$ND$2:$ND$60=Q$4),0),$B189-1966)</f>
        <v>713.65</v>
      </c>
      <c r="R189" s="18" cm="1">
        <f t="array" ref="R189">INDEX(GMWQ!$A$2:$NE$60,MATCH(1,(GMWQ!$NE$2:$NE$60=R$3)*(GMWQ!$ND$2:$ND$60=R$4),0),$B189-1966)</f>
        <v>22514.75</v>
      </c>
      <c r="S189" s="18" cm="1">
        <f t="array" ref="S189">INDEX(GMWQ!$A$2:$NE$60,MATCH(1,(GMWQ!$NE$2:$NE$60=S$3)*(GMWQ!$ND$2:$ND$60=S$4),0),$B189-1966)</f>
        <v>108.01</v>
      </c>
      <c r="T189" s="18" cm="1">
        <f t="array" ref="T189">INDEX(GMWQ!$A$2:$NE$60,MATCH(1,(GMWQ!$NE$2:$NE$60=T$3)*(GMWQ!$ND$2:$ND$60=T$4),0),$B189-1966)</f>
        <v>77.351010000000002</v>
      </c>
      <c r="U189" s="18" cm="1">
        <f t="array" ref="U189">INDEX(GMWQ!$A$2:$NE$60,MATCH(1,(GMWQ!$NE$2:$NE$60=U$3)*(GMWQ!$ND$2:$ND$60=U$4),0),$B189-1966)</f>
        <v>50.525410000000001</v>
      </c>
      <c r="V189" s="18" cm="1">
        <f t="array" ref="V189">INDEX(GMWQ!$A$2:$NE$60,MATCH(1,(GMWQ!$NE$2:$NE$60=V$3)*(GMWQ!$ND$2:$ND$60=V$4),0),$B189-1966)</f>
        <v>61161.5</v>
      </c>
      <c r="W189" s="18" cm="1">
        <f t="array" ref="W189">INDEX(GMWQ!$A$2:$NF$60,MATCH(1,(GMWQ!$NE$2:$NE$60=W$3)*(GMWQ!$NF$2:$NF$60=W$1),0),$B189-1966)</f>
        <v>49411</v>
      </c>
      <c r="X189" s="18" cm="1">
        <f t="array" ref="X189">INDEX(GMWQ!$A$2:$NF$60,MATCH(1,(GMWQ!$NE$2:$NE$60=X$3)*(GMWQ!$NF$2:$NF$60=X$1),0),$B189-1966)</f>
        <v>53209</v>
      </c>
      <c r="Y189" s="18" cm="1">
        <f t="array" ref="Y189">INDEX(GMWQ!$A$2:$NF$60,MATCH(1,(GMWQ!$NE$2:$NE$60=Y$3)*(GMWQ!$NF$2:$NF$60=Y$1),0),$B189-1966)</f>
        <v>55463</v>
      </c>
      <c r="Z189" s="18" cm="1">
        <f t="array" ref="Z189">INDEX(GMWQ!$A$2:$NF$60,MATCH(1,(GMWQ!$NE$2:$NE$60=Z$3)*(GMWQ!$NF$2:$NF$60=Z$1),0),$B189-1966)</f>
        <v>55578</v>
      </c>
    </row>
    <row r="190" spans="1:26" x14ac:dyDescent="0.25">
      <c r="B190" s="18">
        <f t="shared" si="4"/>
        <v>2156</v>
      </c>
      <c r="C190" s="18" cm="1">
        <f t="array" ref="C190">INDEX(GMWQ!$A$2:$NE$60,MATCH(1,(GMWQ!$NE$2:$NE$60=C$3)*(GMWQ!$ND$2:$ND$60=C$4),0),$B190-1966)</f>
        <v>60536</v>
      </c>
      <c r="D190" s="18" cm="1">
        <f t="array" ref="D190">INDEX(GMWQ!$A$2:$NE$60,MATCH(1,(GMWQ!$NE$2:$NE$60=D$3)*(GMWQ!$ND$2:$ND$60=D$4),0),$B190-1966)</f>
        <v>117040</v>
      </c>
      <c r="E190" s="18" cm="1">
        <f t="array" ref="E190">INDEX(GMWQ!$A$2:$NE$60,MATCH(1,(GMWQ!$NE$2:$NE$60=E$3)*(GMWQ!$ND$2:$ND$60=E$4),0),$B190-1966)</f>
        <v>-8834</v>
      </c>
      <c r="F190" s="18" cm="1">
        <f t="array" ref="F190">INDEX(GMWQ!$A$2:$NE$60,MATCH(1,(GMWQ!$NE$2:$NE$60=F$3)*(GMWQ!$ND$2:$ND$60=F$4),0),$B190-1966)</f>
        <v>-7701</v>
      </c>
      <c r="G190" s="18" cm="1">
        <f t="array" ref="G190">INDEX(GMWQ!$A$2:$NE$60,MATCH(1,(GMWQ!$NE$2:$NE$60=G$3)*(GMWQ!$ND$2:$ND$60=G$4),0),$B190-1966)</f>
        <v>545261</v>
      </c>
      <c r="H190" s="18" cm="1">
        <f t="array" ref="H190">INDEX(GMWQ!$A$2:$NE$60,MATCH(1,(GMWQ!$NE$2:$NE$60=H$3)*(GMWQ!$ND$2:$ND$60=H$4),0),$B190-1966)</f>
        <v>107662</v>
      </c>
      <c r="I190" s="18" cm="1">
        <f t="array" ref="I190">INDEX(GMWQ!$A$2:$NE$60,MATCH(1,(GMWQ!$NE$2:$NE$60=I$3)*(GMWQ!$ND$2:$ND$60=I$4),0),$B190-1966)</f>
        <v>15438</v>
      </c>
      <c r="J190" s="18" cm="1">
        <f t="array" ref="J190">INDEX(GMWQ!$A$2:$NE$60,MATCH(1,(GMWQ!$NE$2:$NE$60=J$3)*(GMWQ!$ND$2:$ND$60=J$4),0),$B190-1966)</f>
        <v>23729</v>
      </c>
      <c r="K190" s="18" cm="1">
        <f t="array" ref="K190">INDEX(GMWQ!$A$2:$NE$60,MATCH(1,(GMWQ!$NE$2:$NE$60=K$3)*(GMWQ!$ND$2:$ND$60=K$4),0),$B190-1966)</f>
        <v>3130728</v>
      </c>
      <c r="L190" s="18" cm="1">
        <f t="array" ref="L190">INDEX(GMWQ!$A$2:$NE$60,MATCH(1,(GMWQ!$NE$2:$NE$60=L$3)*(GMWQ!$ND$2:$ND$60=L$4),0),$B190-1966)</f>
        <v>32618</v>
      </c>
      <c r="M190" s="18" cm="1">
        <f t="array" ref="M190">INDEX(GMWQ!$A$2:$NE$60,MATCH(1,(GMWQ!$NE$2:$NE$60=M$3)*(GMWQ!$ND$2:$ND$60=M$4),0),$B190-1966)</f>
        <v>32</v>
      </c>
      <c r="N190" s="18" cm="1">
        <f t="array" ref="N190">INDEX(GMWQ!$A$2:$NE$60,MATCH(1,(GMWQ!$NE$2:$NE$60=N$3)*(GMWQ!$ND$2:$ND$60=N$4),0),$B190-1966)</f>
        <v>8.2578809999999994</v>
      </c>
      <c r="O190" s="18" cm="1">
        <f t="array" ref="O190">INDEX(GMWQ!$A$2:$NE$60,MATCH(1,(GMWQ!$NE$2:$NE$60=O$3)*(GMWQ!$ND$2:$ND$60=O$4),0),$B190-1966)</f>
        <v>2.8603900000000002</v>
      </c>
      <c r="P190" s="18" cm="1">
        <f t="array" ref="P190">INDEX(GMWQ!$A$2:$NE$60,MATCH(1,(GMWQ!$NE$2:$NE$60=P$3)*(GMWQ!$ND$2:$ND$60=P$4),0),$B190-1966)</f>
        <v>405051</v>
      </c>
      <c r="Q190" s="18" cm="1">
        <f t="array" ref="Q190">INDEX(GMWQ!$A$2:$NE$60,MATCH(1,(GMWQ!$NE$2:$NE$60=Q$3)*(GMWQ!$ND$2:$ND$60=Q$4),0),$B190-1966)</f>
        <v>720.1</v>
      </c>
      <c r="R190" s="18" cm="1">
        <f t="array" ref="R190">INDEX(GMWQ!$A$2:$NE$60,MATCH(1,(GMWQ!$NE$2:$NE$60=R$3)*(GMWQ!$ND$2:$ND$60=R$4),0),$B190-1966)</f>
        <v>22989.15</v>
      </c>
      <c r="S190" s="18" cm="1">
        <f t="array" ref="S190">INDEX(GMWQ!$A$2:$NE$60,MATCH(1,(GMWQ!$NE$2:$NE$60=S$3)*(GMWQ!$ND$2:$ND$60=S$4),0),$B190-1966)</f>
        <v>109.23</v>
      </c>
      <c r="T190" s="18" cm="1">
        <f t="array" ref="T190">INDEX(GMWQ!$A$2:$NE$60,MATCH(1,(GMWQ!$NE$2:$NE$60=T$3)*(GMWQ!$ND$2:$ND$60=T$4),0),$B190-1966)</f>
        <v>78.023989999999998</v>
      </c>
      <c r="U190" s="18" cm="1">
        <f t="array" ref="U190">INDEX(GMWQ!$A$2:$NE$60,MATCH(1,(GMWQ!$NE$2:$NE$60=U$3)*(GMWQ!$ND$2:$ND$60=U$4),0),$B190-1966)</f>
        <v>50.282490000000003</v>
      </c>
      <c r="V190" s="18" cm="1">
        <f t="array" ref="V190">INDEX(GMWQ!$A$2:$NE$60,MATCH(1,(GMWQ!$NE$2:$NE$60=V$3)*(GMWQ!$ND$2:$ND$60=V$4),0),$B190-1966)</f>
        <v>61342.75</v>
      </c>
      <c r="W190" s="18" cm="1">
        <f t="array" ref="W190">INDEX(GMWQ!$A$2:$NF$60,MATCH(1,(GMWQ!$NE$2:$NE$60=W$3)*(GMWQ!$NF$2:$NF$60=W$1),0),$B190-1966)</f>
        <v>49136</v>
      </c>
      <c r="X190" s="18" cm="1">
        <f t="array" ref="X190">INDEX(GMWQ!$A$2:$NF$60,MATCH(1,(GMWQ!$NE$2:$NE$60=X$3)*(GMWQ!$NF$2:$NF$60=X$1),0),$B190-1966)</f>
        <v>53062</v>
      </c>
      <c r="Y190" s="18" cm="1">
        <f t="array" ref="Y190">INDEX(GMWQ!$A$2:$NF$60,MATCH(1,(GMWQ!$NE$2:$NE$60=Y$3)*(GMWQ!$NF$2:$NF$60=Y$1),0),$B190-1966)</f>
        <v>55203</v>
      </c>
      <c r="Z190" s="18" cm="1">
        <f t="array" ref="Z190">INDEX(GMWQ!$A$2:$NF$60,MATCH(1,(GMWQ!$NE$2:$NE$60=Z$3)*(GMWQ!$NF$2:$NF$60=Z$1),0),$B190-1966)</f>
        <v>55984</v>
      </c>
    </row>
    <row r="191" spans="1:26" x14ac:dyDescent="0.25">
      <c r="A191" s="18">
        <v>2019</v>
      </c>
      <c r="B191" s="18">
        <f t="shared" si="4"/>
        <v>2157</v>
      </c>
      <c r="C191" s="18" cm="1">
        <f t="array" ref="C191">INDEX(GMWQ!$A$2:$NE$60,MATCH(1,(GMWQ!$NE$2:$NE$60=C$3)*(GMWQ!$ND$2:$ND$60=C$4),0),$B191-1966)</f>
        <v>61201</v>
      </c>
      <c r="D191" s="18" cm="1">
        <f t="array" ref="D191">INDEX(GMWQ!$A$2:$NE$60,MATCH(1,(GMWQ!$NE$2:$NE$60=D$3)*(GMWQ!$ND$2:$ND$60=D$4),0),$B191-1966)</f>
        <v>116521</v>
      </c>
      <c r="E191" s="18" cm="1">
        <f t="array" ref="E191">INDEX(GMWQ!$A$2:$NE$60,MATCH(1,(GMWQ!$NE$2:$NE$60=E$3)*(GMWQ!$ND$2:$ND$60=E$4),0),$B191-1966)</f>
        <v>-11149</v>
      </c>
      <c r="F191" s="18" cm="1">
        <f t="array" ref="F191">INDEX(GMWQ!$A$2:$NE$60,MATCH(1,(GMWQ!$NE$2:$NE$60=F$3)*(GMWQ!$ND$2:$ND$60=F$4),0),$B191-1966)</f>
        <v>-21087</v>
      </c>
      <c r="G191" s="18" cm="1">
        <f t="array" ref="G191">INDEX(GMWQ!$A$2:$NE$60,MATCH(1,(GMWQ!$NE$2:$NE$60=G$3)*(GMWQ!$ND$2:$ND$60=G$4),0),$B191-1966)</f>
        <v>549060</v>
      </c>
      <c r="H191" s="18" cm="1">
        <f t="array" ref="H191">INDEX(GMWQ!$A$2:$NE$60,MATCH(1,(GMWQ!$NE$2:$NE$60=H$3)*(GMWQ!$ND$2:$ND$60=H$4),0),$B191-1966)</f>
        <v>110948</v>
      </c>
      <c r="I191" s="18" cm="1">
        <f t="array" ref="I191">INDEX(GMWQ!$A$2:$NE$60,MATCH(1,(GMWQ!$NE$2:$NE$60=I$3)*(GMWQ!$ND$2:$ND$60=I$4),0),$B191-1966)</f>
        <v>16750</v>
      </c>
      <c r="J191" s="18" cm="1">
        <f t="array" ref="J191">INDEX(GMWQ!$A$2:$NE$60,MATCH(1,(GMWQ!$NE$2:$NE$60=J$3)*(GMWQ!$ND$2:$ND$60=J$4),0),$B191-1966)</f>
        <v>24298</v>
      </c>
      <c r="K191" s="18" cm="1">
        <f t="array" ref="K191">INDEX(GMWQ!$A$2:$NE$60,MATCH(1,(GMWQ!$NE$2:$NE$60=K$3)*(GMWQ!$ND$2:$ND$60=K$4),0),$B191-1966)</f>
        <v>3145670</v>
      </c>
      <c r="L191" s="18" cm="1">
        <f t="array" ref="L191">INDEX(GMWQ!$A$2:$NE$60,MATCH(1,(GMWQ!$NE$2:$NE$60=L$3)*(GMWQ!$ND$2:$ND$60=L$4),0),$B191-1966)</f>
        <v>32721</v>
      </c>
      <c r="M191" s="18" cm="1">
        <f t="array" ref="M191">INDEX(GMWQ!$A$2:$NE$60,MATCH(1,(GMWQ!$NE$2:$NE$60=M$3)*(GMWQ!$ND$2:$ND$60=M$4),0),$B191-1966)</f>
        <v>32.200000000000003</v>
      </c>
      <c r="N191" s="18" cm="1">
        <f t="array" ref="N191">INDEX(GMWQ!$A$2:$NE$60,MATCH(1,(GMWQ!$NE$2:$NE$60=N$3)*(GMWQ!$ND$2:$ND$60=N$4),0),$B191-1966)</f>
        <v>7.996696</v>
      </c>
      <c r="O191" s="18" cm="1">
        <f t="array" ref="O191">INDEX(GMWQ!$A$2:$NE$60,MATCH(1,(GMWQ!$NE$2:$NE$60=O$3)*(GMWQ!$ND$2:$ND$60=O$4),0),$B191-1966)</f>
        <v>2.8313519999999999</v>
      </c>
      <c r="P191" s="18" cm="1">
        <f t="array" ref="P191">INDEX(GMWQ!$A$2:$NE$60,MATCH(1,(GMWQ!$NE$2:$NE$60=P$3)*(GMWQ!$ND$2:$ND$60=P$4),0),$B191-1966)</f>
        <v>408833</v>
      </c>
      <c r="Q191" s="18" cm="1">
        <f t="array" ref="Q191">INDEX(GMWQ!$A$2:$NE$60,MATCH(1,(GMWQ!$NE$2:$NE$60=Q$3)*(GMWQ!$ND$2:$ND$60=Q$4),0),$B191-1966)</f>
        <v>724.95</v>
      </c>
      <c r="R191" s="18" cm="1">
        <f t="array" ref="R191">INDEX(GMWQ!$A$2:$NE$60,MATCH(1,(GMWQ!$NE$2:$NE$60=R$3)*(GMWQ!$ND$2:$ND$60=R$4),0),$B191-1966)</f>
        <v>23004.07</v>
      </c>
      <c r="S191" s="18" cm="1">
        <f t="array" ref="S191">INDEX(GMWQ!$A$2:$NE$60,MATCH(1,(GMWQ!$NE$2:$NE$60=S$3)*(GMWQ!$ND$2:$ND$60=S$4),0),$B191-1966)</f>
        <v>110.82</v>
      </c>
      <c r="T191" s="18" cm="1">
        <f t="array" ref="T191">INDEX(GMWQ!$A$2:$NE$60,MATCH(1,(GMWQ!$NE$2:$NE$60=T$3)*(GMWQ!$ND$2:$ND$60=T$4),0),$B191-1966)</f>
        <v>78.352000000000004</v>
      </c>
      <c r="U191" s="18" cm="1">
        <f t="array" ref="U191">INDEX(GMWQ!$A$2:$NE$60,MATCH(1,(GMWQ!$NE$2:$NE$60=U$3)*(GMWQ!$ND$2:$ND$60=U$4),0),$B191-1966)</f>
        <v>50.507739999999998</v>
      </c>
      <c r="V191" s="18" cm="1">
        <f t="array" ref="V191">INDEX(GMWQ!$A$2:$NE$60,MATCH(1,(GMWQ!$NE$2:$NE$60=V$3)*(GMWQ!$ND$2:$ND$60=V$4),0),$B191-1966)</f>
        <v>64305.5</v>
      </c>
      <c r="W191" s="18" cm="1">
        <f t="array" ref="W191">INDEX(GMWQ!$A$2:$NF$60,MATCH(1,(GMWQ!$NE$2:$NE$60=W$3)*(GMWQ!$NF$2:$NF$60=W$1),0),$B191-1966)</f>
        <v>49619</v>
      </c>
      <c r="X191" s="18" cm="1">
        <f t="array" ref="X191">INDEX(GMWQ!$A$2:$NF$60,MATCH(1,(GMWQ!$NE$2:$NE$60=X$3)*(GMWQ!$NF$2:$NF$60=X$1),0),$B191-1966)</f>
        <v>53774</v>
      </c>
      <c r="Y191" s="18" cm="1">
        <f t="array" ref="Y191">INDEX(GMWQ!$A$2:$NF$60,MATCH(1,(GMWQ!$NE$2:$NE$60=Y$3)*(GMWQ!$NF$2:$NF$60=Y$1),0),$B191-1966)</f>
        <v>56124</v>
      </c>
      <c r="Z191" s="18" cm="1">
        <f t="array" ref="Z191">INDEX(GMWQ!$A$2:$NF$60,MATCH(1,(GMWQ!$NE$2:$NE$60=Z$3)*(GMWQ!$NF$2:$NF$60=Z$1),0),$B191-1966)</f>
        <v>56579</v>
      </c>
    </row>
    <row r="192" spans="1:26" x14ac:dyDescent="0.25">
      <c r="B192" s="18">
        <f t="shared" si="4"/>
        <v>2158</v>
      </c>
      <c r="C192" s="18" cm="1">
        <f t="array" ref="C192">INDEX(GMWQ!$A$2:$NE$60,MATCH(1,(GMWQ!$NE$2:$NE$60=C$3)*(GMWQ!$ND$2:$ND$60=C$4),0),$B192-1966)</f>
        <v>62181</v>
      </c>
      <c r="D192" s="18" cm="1">
        <f t="array" ref="D192">INDEX(GMWQ!$A$2:$NE$60,MATCH(1,(GMWQ!$NE$2:$NE$60=D$3)*(GMWQ!$ND$2:$ND$60=D$4),0),$B192-1966)</f>
        <v>118367</v>
      </c>
      <c r="E192" s="18" cm="1">
        <f t="array" ref="E192">INDEX(GMWQ!$A$2:$NE$60,MATCH(1,(GMWQ!$NE$2:$NE$60=E$3)*(GMWQ!$ND$2:$ND$60=E$4),0),$B192-1966)</f>
        <v>562</v>
      </c>
      <c r="F192" s="18" cm="1">
        <f t="array" ref="F192">INDEX(GMWQ!$A$2:$NE$60,MATCH(1,(GMWQ!$NE$2:$NE$60=F$3)*(GMWQ!$ND$2:$ND$60=F$4),0),$B192-1966)</f>
        <v>-189</v>
      </c>
      <c r="G192" s="18" cm="1">
        <f t="array" ref="G192">INDEX(GMWQ!$A$2:$NE$60,MATCH(1,(GMWQ!$NE$2:$NE$60=G$3)*(GMWQ!$ND$2:$ND$60=G$4),0),$B192-1966)</f>
        <v>556104</v>
      </c>
      <c r="H192" s="18" cm="1">
        <f t="array" ref="H192">INDEX(GMWQ!$A$2:$NE$60,MATCH(1,(GMWQ!$NE$2:$NE$60=H$3)*(GMWQ!$ND$2:$ND$60=H$4),0),$B192-1966)</f>
        <v>110046</v>
      </c>
      <c r="I192" s="18" cm="1">
        <f t="array" ref="I192">INDEX(GMWQ!$A$2:$NE$60,MATCH(1,(GMWQ!$NE$2:$NE$60=I$3)*(GMWQ!$ND$2:$ND$60=I$4),0),$B192-1966)</f>
        <v>15561</v>
      </c>
      <c r="J192" s="18" cm="1">
        <f t="array" ref="J192">INDEX(GMWQ!$A$2:$NE$60,MATCH(1,(GMWQ!$NE$2:$NE$60=J$3)*(GMWQ!$ND$2:$ND$60=J$4),0),$B192-1966)</f>
        <v>24371</v>
      </c>
      <c r="K192" s="18" cm="1">
        <f t="array" ref="K192">INDEX(GMWQ!$A$2:$NE$60,MATCH(1,(GMWQ!$NE$2:$NE$60=K$3)*(GMWQ!$ND$2:$ND$60=K$4),0),$B192-1966)</f>
        <v>3160612</v>
      </c>
      <c r="L192" s="18" cm="1">
        <f t="array" ref="L192">INDEX(GMWQ!$A$2:$NE$60,MATCH(1,(GMWQ!$NE$2:$NE$60=L$3)*(GMWQ!$ND$2:$ND$60=L$4),0),$B192-1966)</f>
        <v>32839</v>
      </c>
      <c r="M192" s="18" cm="1">
        <f t="array" ref="M192">INDEX(GMWQ!$A$2:$NE$60,MATCH(1,(GMWQ!$NE$2:$NE$60=M$3)*(GMWQ!$ND$2:$ND$60=M$4),0),$B192-1966)</f>
        <v>32.1</v>
      </c>
      <c r="N192" s="18" cm="1">
        <f t="array" ref="N192">INDEX(GMWQ!$A$2:$NE$60,MATCH(1,(GMWQ!$NE$2:$NE$60=N$3)*(GMWQ!$ND$2:$ND$60=N$4),0),$B192-1966)</f>
        <v>7.8105099999999998</v>
      </c>
      <c r="O192" s="18" cm="1">
        <f t="array" ref="O192">INDEX(GMWQ!$A$2:$NE$60,MATCH(1,(GMWQ!$NE$2:$NE$60=O$3)*(GMWQ!$ND$2:$ND$60=O$4),0),$B192-1966)</f>
        <v>2.6274060000000001</v>
      </c>
      <c r="P192" s="18" cm="1">
        <f t="array" ref="P192">INDEX(GMWQ!$A$2:$NE$60,MATCH(1,(GMWQ!$NE$2:$NE$60=P$3)*(GMWQ!$ND$2:$ND$60=P$4),0),$B192-1966)</f>
        <v>412087</v>
      </c>
      <c r="Q192" s="18" cm="1">
        <f t="array" ref="Q192">INDEX(GMWQ!$A$2:$NE$60,MATCH(1,(GMWQ!$NE$2:$NE$60=Q$3)*(GMWQ!$ND$2:$ND$60=Q$4),0),$B192-1966)</f>
        <v>738.75</v>
      </c>
      <c r="R192" s="18" cm="1">
        <f t="array" ref="R192">INDEX(GMWQ!$A$2:$NE$60,MATCH(1,(GMWQ!$NE$2:$NE$60=R$3)*(GMWQ!$ND$2:$ND$60=R$4),0),$B192-1966)</f>
        <v>22866.32</v>
      </c>
      <c r="S192" s="18" cm="1">
        <f t="array" ref="S192">INDEX(GMWQ!$A$2:$NE$60,MATCH(1,(GMWQ!$NE$2:$NE$60=S$3)*(GMWQ!$ND$2:$ND$60=S$4),0),$B192-1966)</f>
        <v>110.29</v>
      </c>
      <c r="T192" s="18" cm="1">
        <f t="array" ref="T192">INDEX(GMWQ!$A$2:$NE$60,MATCH(1,(GMWQ!$NE$2:$NE$60=T$3)*(GMWQ!$ND$2:$ND$60=T$4),0),$B192-1966)</f>
        <v>79.566010000000006</v>
      </c>
      <c r="U192" s="18" cm="1">
        <f t="array" ref="U192">INDEX(GMWQ!$A$2:$NE$60,MATCH(1,(GMWQ!$NE$2:$NE$60=U$3)*(GMWQ!$ND$2:$ND$60=U$4),0),$B192-1966)</f>
        <v>51.374130000000001</v>
      </c>
      <c r="V192" s="18" cm="1">
        <f t="array" ref="V192">INDEX(GMWQ!$A$2:$NE$60,MATCH(1,(GMWQ!$NE$2:$NE$60=V$3)*(GMWQ!$ND$2:$ND$60=V$4),0),$B192-1966)</f>
        <v>62872.5</v>
      </c>
      <c r="W192" s="18" cm="1">
        <f t="array" ref="W192">INDEX(GMWQ!$A$2:$NF$60,MATCH(1,(GMWQ!$NE$2:$NE$60=W$3)*(GMWQ!$NF$2:$NF$60=W$1),0),$B192-1966)</f>
        <v>49659</v>
      </c>
      <c r="X192" s="18" cm="1">
        <f t="array" ref="X192">INDEX(GMWQ!$A$2:$NF$60,MATCH(1,(GMWQ!$NE$2:$NE$60=X$3)*(GMWQ!$NF$2:$NF$60=X$1),0),$B192-1966)</f>
        <v>54050</v>
      </c>
      <c r="Y192" s="18" cm="1">
        <f t="array" ref="Y192">INDEX(GMWQ!$A$2:$NF$60,MATCH(1,(GMWQ!$NE$2:$NE$60=Y$3)*(GMWQ!$NF$2:$NF$60=Y$1),0),$B192-1966)</f>
        <v>56190</v>
      </c>
      <c r="Z192" s="18" cm="1">
        <f t="array" ref="Z192">INDEX(GMWQ!$A$2:$NF$60,MATCH(1,(GMWQ!$NE$2:$NE$60=Z$3)*(GMWQ!$NF$2:$NF$60=Z$1),0),$B192-1966)</f>
        <v>57469</v>
      </c>
    </row>
    <row r="193" spans="1:26" x14ac:dyDescent="0.25">
      <c r="B193" s="18">
        <f t="shared" si="4"/>
        <v>2159</v>
      </c>
      <c r="C193" s="18" cm="1">
        <f t="array" ref="C193">INDEX(GMWQ!$A$2:$NE$60,MATCH(1,(GMWQ!$NE$2:$NE$60=C$3)*(GMWQ!$ND$2:$ND$60=C$4),0),$B193-1966)</f>
        <v>61932</v>
      </c>
      <c r="D193" s="18" cm="1">
        <f t="array" ref="D193">INDEX(GMWQ!$A$2:$NE$60,MATCH(1,(GMWQ!$NE$2:$NE$60=D$3)*(GMWQ!$ND$2:$ND$60=D$4),0),$B193-1966)</f>
        <v>124088</v>
      </c>
      <c r="E193" s="18" cm="1">
        <f t="array" ref="E193">INDEX(GMWQ!$A$2:$NE$60,MATCH(1,(GMWQ!$NE$2:$NE$60=E$3)*(GMWQ!$ND$2:$ND$60=E$4),0),$B193-1966)</f>
        <v>2471</v>
      </c>
      <c r="F193" s="18" cm="1">
        <f t="array" ref="F193">INDEX(GMWQ!$A$2:$NE$60,MATCH(1,(GMWQ!$NE$2:$NE$60=F$3)*(GMWQ!$ND$2:$ND$60=F$4),0),$B193-1966)</f>
        <v>3505</v>
      </c>
      <c r="G193" s="18" cm="1">
        <f t="array" ref="G193">INDEX(GMWQ!$A$2:$NE$60,MATCH(1,(GMWQ!$NE$2:$NE$60=G$3)*(GMWQ!$ND$2:$ND$60=G$4),0),$B193-1966)</f>
        <v>562999</v>
      </c>
      <c r="H193" s="18" cm="1">
        <f t="array" ref="H193">INDEX(GMWQ!$A$2:$NE$60,MATCH(1,(GMWQ!$NE$2:$NE$60=H$3)*(GMWQ!$ND$2:$ND$60=H$4),0),$B193-1966)</f>
        <v>110942</v>
      </c>
      <c r="I193" s="18" cm="1">
        <f t="array" ref="I193">INDEX(GMWQ!$A$2:$NE$60,MATCH(1,(GMWQ!$NE$2:$NE$60=I$3)*(GMWQ!$ND$2:$ND$60=I$4),0),$B193-1966)</f>
        <v>15639</v>
      </c>
      <c r="J193" s="18" cm="1">
        <f t="array" ref="J193">INDEX(GMWQ!$A$2:$NE$60,MATCH(1,(GMWQ!$NE$2:$NE$60=J$3)*(GMWQ!$ND$2:$ND$60=J$4),0),$B193-1966)</f>
        <v>25029</v>
      </c>
      <c r="K193" s="18" cm="1">
        <f t="array" ref="K193">INDEX(GMWQ!$A$2:$NE$60,MATCH(1,(GMWQ!$NE$2:$NE$60=K$3)*(GMWQ!$ND$2:$ND$60=K$4),0),$B193-1966)</f>
        <v>3175554</v>
      </c>
      <c r="L193" s="18" cm="1">
        <f t="array" ref="L193">INDEX(GMWQ!$A$2:$NE$60,MATCH(1,(GMWQ!$NE$2:$NE$60=L$3)*(GMWQ!$ND$2:$ND$60=L$4),0),$B193-1966)</f>
        <v>32779</v>
      </c>
      <c r="M193" s="18" cm="1">
        <f t="array" ref="M193">INDEX(GMWQ!$A$2:$NE$60,MATCH(1,(GMWQ!$NE$2:$NE$60=M$3)*(GMWQ!$ND$2:$ND$60=M$4),0),$B193-1966)</f>
        <v>32.1</v>
      </c>
      <c r="N193" s="18" cm="1">
        <f t="array" ref="N193">INDEX(GMWQ!$A$2:$NE$60,MATCH(1,(GMWQ!$NE$2:$NE$60=N$3)*(GMWQ!$ND$2:$ND$60=N$4),0),$B193-1966)</f>
        <v>7.6590879999999997</v>
      </c>
      <c r="O193" s="18" cm="1">
        <f t="array" ref="O193">INDEX(GMWQ!$A$2:$NE$60,MATCH(1,(GMWQ!$NE$2:$NE$60=O$3)*(GMWQ!$ND$2:$ND$60=O$4),0),$B193-1966)</f>
        <v>2.3754080000000002</v>
      </c>
      <c r="P193" s="18" cm="1">
        <f t="array" ref="P193">INDEX(GMWQ!$A$2:$NE$60,MATCH(1,(GMWQ!$NE$2:$NE$60=P$3)*(GMWQ!$ND$2:$ND$60=P$4),0),$B193-1966)</f>
        <v>418580</v>
      </c>
      <c r="Q193" s="18" cm="1">
        <f t="array" ref="Q193">INDEX(GMWQ!$A$2:$NE$60,MATCH(1,(GMWQ!$NE$2:$NE$60=Q$3)*(GMWQ!$ND$2:$ND$60=Q$4),0),$B193-1966)</f>
        <v>745.875</v>
      </c>
      <c r="R193" s="18" cm="1">
        <f t="array" ref="R193">INDEX(GMWQ!$A$2:$NE$60,MATCH(1,(GMWQ!$NE$2:$NE$60=R$3)*(GMWQ!$ND$2:$ND$60=R$4),0),$B193-1966)</f>
        <v>23354.57</v>
      </c>
      <c r="S193" s="18" cm="1">
        <f t="array" ref="S193">INDEX(GMWQ!$A$2:$NE$60,MATCH(1,(GMWQ!$NE$2:$NE$60=S$3)*(GMWQ!$ND$2:$ND$60=S$4),0),$B193-1966)</f>
        <v>109.82</v>
      </c>
      <c r="T193" s="18" cm="1">
        <f t="array" ref="T193">INDEX(GMWQ!$A$2:$NE$60,MATCH(1,(GMWQ!$NE$2:$NE$60=T$3)*(GMWQ!$ND$2:$ND$60=T$4),0),$B193-1966)</f>
        <v>80.292000000000002</v>
      </c>
      <c r="U193" s="18" cm="1">
        <f t="array" ref="U193">INDEX(GMWQ!$A$2:$NE$60,MATCH(1,(GMWQ!$NE$2:$NE$60=U$3)*(GMWQ!$ND$2:$ND$60=U$4),0),$B193-1966)</f>
        <v>51.344209999999997</v>
      </c>
      <c r="V193" s="18" cm="1">
        <f t="array" ref="V193">INDEX(GMWQ!$A$2:$NE$60,MATCH(1,(GMWQ!$NE$2:$NE$60=V$3)*(GMWQ!$ND$2:$ND$60=V$4),0),$B193-1966)</f>
        <v>64147.5</v>
      </c>
      <c r="W193" s="18" cm="1">
        <f t="array" ref="W193">INDEX(GMWQ!$A$2:$NF$60,MATCH(1,(GMWQ!$NE$2:$NE$60=W$3)*(GMWQ!$NF$2:$NF$60=W$1),0),$B193-1966)</f>
        <v>49677</v>
      </c>
      <c r="X193" s="18" cm="1">
        <f t="array" ref="X193">INDEX(GMWQ!$A$2:$NF$60,MATCH(1,(GMWQ!$NE$2:$NE$60=X$3)*(GMWQ!$NF$2:$NF$60=X$1),0),$B193-1966)</f>
        <v>54782</v>
      </c>
      <c r="Y193" s="18" cm="1">
        <f t="array" ref="Y193">INDEX(GMWQ!$A$2:$NF$60,MATCH(1,(GMWQ!$NE$2:$NE$60=Y$3)*(GMWQ!$NF$2:$NF$60=Y$1),0),$B193-1966)</f>
        <v>56853</v>
      </c>
      <c r="Z193" s="18" cm="1">
        <f t="array" ref="Z193">INDEX(GMWQ!$A$2:$NF$60,MATCH(1,(GMWQ!$NE$2:$NE$60=Z$3)*(GMWQ!$NF$2:$NF$60=Z$1),0),$B193-1966)</f>
        <v>57240</v>
      </c>
    </row>
    <row r="194" spans="1:26" x14ac:dyDescent="0.25">
      <c r="B194" s="18">
        <f t="shared" si="4"/>
        <v>2160</v>
      </c>
      <c r="C194" s="18" cm="1">
        <f t="array" ref="C194">INDEX(GMWQ!$A$2:$NE$60,MATCH(1,(GMWQ!$NE$2:$NE$60=C$3)*(GMWQ!$ND$2:$ND$60=C$4),0),$B194-1966)</f>
        <v>61994</v>
      </c>
      <c r="D194" s="18" cm="1">
        <f t="array" ref="D194">INDEX(GMWQ!$A$2:$NE$60,MATCH(1,(GMWQ!$NE$2:$NE$60=D$3)*(GMWQ!$ND$2:$ND$60=D$4),0),$B194-1966)</f>
        <v>126032</v>
      </c>
      <c r="E194" s="18" cm="1">
        <f t="array" ref="E194">INDEX(GMWQ!$A$2:$NE$60,MATCH(1,(GMWQ!$NE$2:$NE$60=E$3)*(GMWQ!$ND$2:$ND$60=E$4),0),$B194-1966)</f>
        <v>-1800</v>
      </c>
      <c r="F194" s="18" cm="1">
        <f t="array" ref="F194">INDEX(GMWQ!$A$2:$NE$60,MATCH(1,(GMWQ!$NE$2:$NE$60=F$3)*(GMWQ!$ND$2:$ND$60=F$4),0),$B194-1966)</f>
        <v>17402</v>
      </c>
      <c r="G194" s="18" cm="1">
        <f t="array" ref="G194">INDEX(GMWQ!$A$2:$NE$60,MATCH(1,(GMWQ!$NE$2:$NE$60=G$3)*(GMWQ!$ND$2:$ND$60=G$4),0),$B194-1966)</f>
        <v>565758</v>
      </c>
      <c r="H194" s="18" cm="1">
        <f t="array" ref="H194">INDEX(GMWQ!$A$2:$NE$60,MATCH(1,(GMWQ!$NE$2:$NE$60=H$3)*(GMWQ!$ND$2:$ND$60=H$4),0),$B194-1966)</f>
        <v>109685</v>
      </c>
      <c r="I194" s="18" cm="1">
        <f t="array" ref="I194">INDEX(GMWQ!$A$2:$NE$60,MATCH(1,(GMWQ!$NE$2:$NE$60=I$3)*(GMWQ!$ND$2:$ND$60=I$4),0),$B194-1966)</f>
        <v>15702</v>
      </c>
      <c r="J194" s="18" cm="1">
        <f t="array" ref="J194">INDEX(GMWQ!$A$2:$NE$60,MATCH(1,(GMWQ!$NE$2:$NE$60=J$3)*(GMWQ!$ND$2:$ND$60=J$4),0),$B194-1966)</f>
        <v>23677</v>
      </c>
      <c r="K194" s="18" cm="1">
        <f t="array" ref="K194">INDEX(GMWQ!$A$2:$NE$60,MATCH(1,(GMWQ!$NE$2:$NE$60=K$3)*(GMWQ!$ND$2:$ND$60=K$4),0),$B194-1966)</f>
        <v>3190496</v>
      </c>
      <c r="L194" s="18" cm="1">
        <f t="array" ref="L194">INDEX(GMWQ!$A$2:$NE$60,MATCH(1,(GMWQ!$NE$2:$NE$60=L$3)*(GMWQ!$ND$2:$ND$60=L$4),0),$B194-1966)</f>
        <v>32954</v>
      </c>
      <c r="M194" s="18" cm="1">
        <f t="array" ref="M194">INDEX(GMWQ!$A$2:$NE$60,MATCH(1,(GMWQ!$NE$2:$NE$60=M$3)*(GMWQ!$ND$2:$ND$60=M$4),0),$B194-1966)</f>
        <v>31.9</v>
      </c>
      <c r="N194" s="18" cm="1">
        <f t="array" ref="N194">INDEX(GMWQ!$A$2:$NE$60,MATCH(1,(GMWQ!$NE$2:$NE$60=N$3)*(GMWQ!$ND$2:$ND$60=N$4),0),$B194-1966)</f>
        <v>6.7628760000000003</v>
      </c>
      <c r="O194" s="18" cm="1">
        <f t="array" ref="O194">INDEX(GMWQ!$A$2:$NE$60,MATCH(1,(GMWQ!$NE$2:$NE$60=O$3)*(GMWQ!$ND$2:$ND$60=O$4),0),$B194-1966)</f>
        <v>2.3350930000000001</v>
      </c>
      <c r="P194" s="18" cm="1">
        <f t="array" ref="P194">INDEX(GMWQ!$A$2:$NE$60,MATCH(1,(GMWQ!$NE$2:$NE$60=P$3)*(GMWQ!$ND$2:$ND$60=P$4),0),$B194-1966)</f>
        <v>416439</v>
      </c>
      <c r="Q194" s="18" cm="1">
        <f t="array" ref="Q194">INDEX(GMWQ!$A$2:$NE$60,MATCH(1,(GMWQ!$NE$2:$NE$60=Q$3)*(GMWQ!$ND$2:$ND$60=Q$4),0),$B194-1966)</f>
        <v>742.57500000000005</v>
      </c>
      <c r="R194" s="18" cm="1">
        <f t="array" ref="R194">INDEX(GMWQ!$A$2:$NE$60,MATCH(1,(GMWQ!$NE$2:$NE$60=R$3)*(GMWQ!$ND$2:$ND$60=R$4),0),$B194-1966)</f>
        <v>21676.38</v>
      </c>
      <c r="S194" s="18" cm="1">
        <f t="array" ref="S194">INDEX(GMWQ!$A$2:$NE$60,MATCH(1,(GMWQ!$NE$2:$NE$60=S$3)*(GMWQ!$ND$2:$ND$60=S$4),0),$B194-1966)</f>
        <v>109.42</v>
      </c>
      <c r="T194" s="18" cm="1">
        <f t="array" ref="T194">INDEX(GMWQ!$A$2:$NE$60,MATCH(1,(GMWQ!$NE$2:$NE$60=T$3)*(GMWQ!$ND$2:$ND$60=T$4),0),$B194-1966)</f>
        <v>80.650000000000006</v>
      </c>
      <c r="U194" s="18" cm="1">
        <f t="array" ref="U194">INDEX(GMWQ!$A$2:$NE$60,MATCH(1,(GMWQ!$NE$2:$NE$60=U$3)*(GMWQ!$ND$2:$ND$60=U$4),0),$B194-1966)</f>
        <v>50.835360000000001</v>
      </c>
      <c r="V194" s="18" cm="1">
        <f t="array" ref="V194">INDEX(GMWQ!$A$2:$NE$60,MATCH(1,(GMWQ!$NE$2:$NE$60=V$3)*(GMWQ!$ND$2:$ND$60=V$4),0),$B194-1966)</f>
        <v>63054.5</v>
      </c>
      <c r="W194" s="18" cm="1">
        <f t="array" ref="W194">INDEX(GMWQ!$A$2:$NF$60,MATCH(1,(GMWQ!$NE$2:$NE$60=W$3)*(GMWQ!$NF$2:$NF$60=W$1),0),$B194-1966)</f>
        <v>49602.48</v>
      </c>
      <c r="X194" s="18" cm="1">
        <f t="array" ref="X194">INDEX(GMWQ!$A$2:$NF$60,MATCH(1,(GMWQ!$NE$2:$NE$60=X$3)*(GMWQ!$NF$2:$NF$60=X$1),0),$B194-1966)</f>
        <v>54654</v>
      </c>
      <c r="Y194" s="18" cm="1">
        <f t="array" ref="Y194">INDEX(GMWQ!$A$2:$NF$60,MATCH(1,(GMWQ!$NE$2:$NE$60=Y$3)*(GMWQ!$NF$2:$NF$60=Y$1),0),$B194-1966)</f>
        <v>56698</v>
      </c>
      <c r="Z194" s="18" cm="1">
        <f t="array" ref="Z194">INDEX(GMWQ!$A$2:$NF$60,MATCH(1,(GMWQ!$NE$2:$NE$60=Z$3)*(GMWQ!$NF$2:$NF$60=Z$1),0),$B194-1966)</f>
        <v>57293</v>
      </c>
    </row>
    <row r="195" spans="1:26" x14ac:dyDescent="0.25">
      <c r="A195" s="18">
        <v>2020</v>
      </c>
      <c r="B195" s="18">
        <f t="shared" si="4"/>
        <v>2161</v>
      </c>
      <c r="C195" s="18" cm="1">
        <f t="array" ref="C195">INDEX(GMWQ!$A$2:$NE$60,MATCH(1,(GMWQ!$NE$2:$NE$60=C$3)*(GMWQ!$ND$2:$ND$60=C$4),0),$B195-1966)</f>
        <v>60599</v>
      </c>
      <c r="D195" s="18" cm="1">
        <f t="array" ref="D195">INDEX(GMWQ!$A$2:$NE$60,MATCH(1,(GMWQ!$NE$2:$NE$60=D$3)*(GMWQ!$ND$2:$ND$60=D$4),0),$B195-1966)</f>
        <v>120061</v>
      </c>
      <c r="E195" s="18" cm="1">
        <f t="array" ref="E195">INDEX(GMWQ!$A$2:$NE$60,MATCH(1,(GMWQ!$NE$2:$NE$60=E$3)*(GMWQ!$ND$2:$ND$60=E$4),0),$B195-1966)</f>
        <v>-9316</v>
      </c>
      <c r="F195" s="18" cm="1">
        <f t="array" ref="F195">INDEX(GMWQ!$A$2:$NE$60,MATCH(1,(GMWQ!$NE$2:$NE$60=F$3)*(GMWQ!$ND$2:$ND$60=F$4),0),$B195-1966)</f>
        <v>1493</v>
      </c>
      <c r="G195" s="18" cm="1">
        <f t="array" ref="G195">INDEX(GMWQ!$A$2:$NE$60,MATCH(1,(GMWQ!$NE$2:$NE$60=G$3)*(GMWQ!$ND$2:$ND$60=G$4),0),$B195-1966)</f>
        <v>555891</v>
      </c>
      <c r="H195" s="18" cm="1">
        <f t="array" ref="H195">INDEX(GMWQ!$A$2:$NE$60,MATCH(1,(GMWQ!$NE$2:$NE$60=H$3)*(GMWQ!$ND$2:$ND$60=H$4),0),$B195-1966)</f>
        <v>106217</v>
      </c>
      <c r="I195" s="18" cm="1">
        <f t="array" ref="I195">INDEX(GMWQ!$A$2:$NE$60,MATCH(1,(GMWQ!$NE$2:$NE$60=I$3)*(GMWQ!$ND$2:$ND$60=I$4),0),$B195-1966)</f>
        <v>15772</v>
      </c>
      <c r="J195" s="18" cm="1">
        <f t="array" ref="J195">INDEX(GMWQ!$A$2:$NE$60,MATCH(1,(GMWQ!$NE$2:$NE$60=J$3)*(GMWQ!$ND$2:$ND$60=J$4),0),$B195-1966)</f>
        <v>23159</v>
      </c>
      <c r="K195" s="18" cm="1">
        <f t="array" ref="K195">INDEX(GMWQ!$A$2:$NE$60,MATCH(1,(GMWQ!$NE$2:$NE$60=K$3)*(GMWQ!$ND$2:$ND$60=K$4),0),$B195-1966)</f>
        <v>3195929</v>
      </c>
      <c r="L195" s="18" cm="1">
        <f t="array" ref="L195">INDEX(GMWQ!$A$2:$NE$60,MATCH(1,(GMWQ!$NE$2:$NE$60=L$3)*(GMWQ!$ND$2:$ND$60=L$4),0),$B195-1966)</f>
        <v>33000</v>
      </c>
      <c r="M195" s="18" cm="1">
        <f t="array" ref="M195">INDEX(GMWQ!$A$2:$NE$60,MATCH(1,(GMWQ!$NE$2:$NE$60=M$3)*(GMWQ!$ND$2:$ND$60=M$4),0),$B195-1966)</f>
        <v>31.3</v>
      </c>
      <c r="N195" s="18" cm="1">
        <f t="array" ref="N195">INDEX(GMWQ!$A$2:$NE$60,MATCH(1,(GMWQ!$NE$2:$NE$60=N$3)*(GMWQ!$ND$2:$ND$60=N$4),0),$B195-1966)</f>
        <v>7.3461990000000004</v>
      </c>
      <c r="O195" s="18" cm="1">
        <f t="array" ref="O195">INDEX(GMWQ!$A$2:$NE$60,MATCH(1,(GMWQ!$NE$2:$NE$60=O$3)*(GMWQ!$ND$2:$ND$60=O$4),0),$B195-1966)</f>
        <v>2.4473470000000002</v>
      </c>
      <c r="P195" s="18" cm="1">
        <f t="array" ref="P195">INDEX(GMWQ!$A$2:$NE$60,MATCH(1,(GMWQ!$NE$2:$NE$60=P$3)*(GMWQ!$ND$2:$ND$60=P$4),0),$B195-1966)</f>
        <v>436603</v>
      </c>
      <c r="Q195" s="18" cm="1">
        <f t="array" ref="Q195">INDEX(GMWQ!$A$2:$NE$60,MATCH(1,(GMWQ!$NE$2:$NE$60=Q$3)*(GMWQ!$ND$2:$ND$60=Q$4),0),$B195-1966)</f>
        <v>728.47500000000002</v>
      </c>
      <c r="R195" s="18" cm="1">
        <f t="array" ref="R195">INDEX(GMWQ!$A$2:$NE$60,MATCH(1,(GMWQ!$NE$2:$NE$60=R$3)*(GMWQ!$ND$2:$ND$60=R$4),0),$B195-1966)</f>
        <v>22634.47</v>
      </c>
      <c r="S195" s="18" cm="1">
        <f t="array" ref="S195">INDEX(GMWQ!$A$2:$NE$60,MATCH(1,(GMWQ!$NE$2:$NE$60=S$3)*(GMWQ!$ND$2:$ND$60=S$4),0),$B195-1966)</f>
        <v>101.53</v>
      </c>
      <c r="T195" s="18" cm="1">
        <f t="array" ref="T195">INDEX(GMWQ!$A$2:$NE$60,MATCH(1,(GMWQ!$NE$2:$NE$60=T$3)*(GMWQ!$ND$2:$ND$60=T$4),0),$B195-1966)</f>
        <v>74.806989999999999</v>
      </c>
      <c r="U195" s="18" cm="1">
        <f t="array" ref="U195">INDEX(GMWQ!$A$2:$NE$60,MATCH(1,(GMWQ!$NE$2:$NE$60=U$3)*(GMWQ!$ND$2:$ND$60=U$4),0),$B195-1966)</f>
        <v>46.138129999999997</v>
      </c>
      <c r="V195" s="18" cm="1">
        <f t="array" ref="V195">INDEX(GMWQ!$A$2:$NE$60,MATCH(1,(GMWQ!$NE$2:$NE$60=V$3)*(GMWQ!$ND$2:$ND$60=V$4),0),$B195-1966)</f>
        <v>62743.25</v>
      </c>
      <c r="W195" s="18" cm="1">
        <f t="array" ref="W195">INDEX(GMWQ!$A$2:$NF$60,MATCH(1,(GMWQ!$NE$2:$NE$60=W$3)*(GMWQ!$NF$2:$NF$60=W$1),0),$B195-1966)</f>
        <v>49552.88</v>
      </c>
      <c r="X195" s="18" cm="1">
        <f t="array" ref="X195">INDEX(GMWQ!$A$2:$NF$60,MATCH(1,(GMWQ!$NE$2:$NE$60=X$3)*(GMWQ!$NF$2:$NF$60=X$1),0),$B195-1966)</f>
        <v>54426</v>
      </c>
      <c r="Y195" s="18" cm="1">
        <f t="array" ref="Y195">INDEX(GMWQ!$A$2:$NF$60,MATCH(1,(GMWQ!$NE$2:$NE$60=Y$3)*(GMWQ!$NF$2:$NF$60=Y$1),0),$B195-1966)</f>
        <v>55060</v>
      </c>
      <c r="Z195" s="18" cm="1">
        <f t="array" ref="Z195">INDEX(GMWQ!$A$2:$NF$60,MATCH(1,(GMWQ!$NE$2:$NE$60=Z$3)*(GMWQ!$NF$2:$NF$60=Z$1),0),$B195-1966)</f>
        <v>55992</v>
      </c>
    </row>
    <row r="196" spans="1:26" x14ac:dyDescent="0.25">
      <c r="B196" s="18">
        <f t="shared" si="4"/>
        <v>2162</v>
      </c>
      <c r="C196" s="18" cm="1">
        <f t="array" ref="C196">INDEX(GMWQ!$A$2:$NE$60,MATCH(1,(GMWQ!$NE$2:$NE$60=C$3)*(GMWQ!$ND$2:$ND$60=C$4),0),$B196-1966)</f>
        <v>48951</v>
      </c>
      <c r="D196" s="18" cm="1">
        <f t="array" ref="D196">INDEX(GMWQ!$A$2:$NE$60,MATCH(1,(GMWQ!$NE$2:$NE$60=D$3)*(GMWQ!$ND$2:$ND$60=D$4),0),$B196-1966)</f>
        <v>115664</v>
      </c>
      <c r="E196" s="18" cm="1">
        <f t="array" ref="E196">INDEX(GMWQ!$A$2:$NE$60,MATCH(1,(GMWQ!$NE$2:$NE$60=E$3)*(GMWQ!$ND$2:$ND$60=E$4),0),$B196-1966)</f>
        <v>-1969</v>
      </c>
      <c r="F196" s="18" cm="1">
        <f t="array" ref="F196">INDEX(GMWQ!$A$2:$NE$60,MATCH(1,(GMWQ!$NE$2:$NE$60=F$3)*(GMWQ!$ND$2:$ND$60=F$4),0),$B196-1966)</f>
        <v>21516</v>
      </c>
      <c r="G196" s="18" cm="1">
        <f t="array" ref="G196">INDEX(GMWQ!$A$2:$NE$60,MATCH(1,(GMWQ!$NE$2:$NE$60=G$3)*(GMWQ!$ND$2:$ND$60=G$4),0),$B196-1966)</f>
        <v>476160</v>
      </c>
      <c r="H196" s="18" cm="1">
        <f t="array" ref="H196">INDEX(GMWQ!$A$2:$NE$60,MATCH(1,(GMWQ!$NE$2:$NE$60=H$3)*(GMWQ!$ND$2:$ND$60=H$4),0),$B196-1966)</f>
        <v>86237</v>
      </c>
      <c r="I196" s="18" cm="1">
        <f t="array" ref="I196">INDEX(GMWQ!$A$2:$NE$60,MATCH(1,(GMWQ!$NE$2:$NE$60=I$3)*(GMWQ!$ND$2:$ND$60=I$4),0),$B196-1966)</f>
        <v>17944</v>
      </c>
      <c r="J196" s="18" cm="1">
        <f t="array" ref="J196">INDEX(GMWQ!$A$2:$NE$60,MATCH(1,(GMWQ!$NE$2:$NE$60=J$3)*(GMWQ!$ND$2:$ND$60=J$4),0),$B196-1966)</f>
        <v>13072</v>
      </c>
      <c r="K196" s="18" cm="1">
        <f t="array" ref="K196">INDEX(GMWQ!$A$2:$NE$60,MATCH(1,(GMWQ!$NE$2:$NE$60=K$3)*(GMWQ!$ND$2:$ND$60=K$4),0),$B196-1966)</f>
        <v>3201362</v>
      </c>
      <c r="L196" s="18" cm="1">
        <f t="array" ref="L196">INDEX(GMWQ!$A$2:$NE$60,MATCH(1,(GMWQ!$NE$2:$NE$60=L$3)*(GMWQ!$ND$2:$ND$60=L$4),0),$B196-1966)</f>
        <v>32571</v>
      </c>
      <c r="M196" s="18" cm="1">
        <f t="array" ref="M196">INDEX(GMWQ!$A$2:$NE$60,MATCH(1,(GMWQ!$NE$2:$NE$60=M$3)*(GMWQ!$ND$2:$ND$60=M$4),0),$B196-1966)</f>
        <v>26.1</v>
      </c>
      <c r="N196" s="18" cm="1">
        <f t="array" ref="N196">INDEX(GMWQ!$A$2:$NE$60,MATCH(1,(GMWQ!$NE$2:$NE$60=N$3)*(GMWQ!$ND$2:$ND$60=N$4),0),$B196-1966)</f>
        <v>6.8716720000000002</v>
      </c>
      <c r="O196" s="18" cm="1">
        <f t="array" ref="O196">INDEX(GMWQ!$A$2:$NE$60,MATCH(1,(GMWQ!$NE$2:$NE$60=O$3)*(GMWQ!$ND$2:$ND$60=O$4),0),$B196-1966)</f>
        <v>2.4249200000000002</v>
      </c>
      <c r="P196" s="18" cm="1">
        <f t="array" ref="P196">INDEX(GMWQ!$A$2:$NE$60,MATCH(1,(GMWQ!$NE$2:$NE$60=P$3)*(GMWQ!$ND$2:$ND$60=P$4),0),$B196-1966)</f>
        <v>454166</v>
      </c>
      <c r="Q196" s="18" cm="1">
        <f t="array" ref="Q196">INDEX(GMWQ!$A$2:$NE$60,MATCH(1,(GMWQ!$NE$2:$NE$60=Q$3)*(GMWQ!$ND$2:$ND$60=Q$4),0),$B196-1966)</f>
        <v>669.9</v>
      </c>
      <c r="R196" s="18" cm="1">
        <f t="array" ref="R196">INDEX(GMWQ!$A$2:$NE$60,MATCH(1,(GMWQ!$NE$2:$NE$60=R$3)*(GMWQ!$ND$2:$ND$60=R$4),0),$B196-1966)</f>
        <v>21041.03</v>
      </c>
      <c r="S196" s="18" cm="1">
        <f t="array" ref="S196">INDEX(GMWQ!$A$2:$NE$60,MATCH(1,(GMWQ!$NE$2:$NE$60=S$3)*(GMWQ!$ND$2:$ND$60=S$4),0),$B196-1966)</f>
        <v>90.34</v>
      </c>
      <c r="T196" s="18" cm="1">
        <f t="array" ref="T196">INDEX(GMWQ!$A$2:$NE$60,MATCH(1,(GMWQ!$NE$2:$NE$60=T$3)*(GMWQ!$ND$2:$ND$60=T$4),0),$B196-1966)</f>
        <v>66.373990000000006</v>
      </c>
      <c r="U196" s="18" cm="1">
        <f t="array" ref="U196">INDEX(GMWQ!$A$2:$NE$60,MATCH(1,(GMWQ!$NE$2:$NE$60=U$3)*(GMWQ!$ND$2:$ND$60=U$4),0),$B196-1966)</f>
        <v>38.821109999999997</v>
      </c>
      <c r="V196" s="18" cm="1">
        <f t="array" ref="V196">INDEX(GMWQ!$A$2:$NE$60,MATCH(1,(GMWQ!$NE$2:$NE$60=V$3)*(GMWQ!$ND$2:$ND$60=V$4),0),$B196-1966)</f>
        <v>52201.75</v>
      </c>
      <c r="W196" s="18" cm="1">
        <f t="array" ref="W196">INDEX(GMWQ!$A$2:$NF$60,MATCH(1,(GMWQ!$NE$2:$NE$60=W$3)*(GMWQ!$NF$2:$NF$60=W$1),0),$B196-1966)</f>
        <v>49552.88</v>
      </c>
      <c r="X196" s="18" cm="1">
        <f t="array" ref="X196">INDEX(GMWQ!$A$2:$NF$60,MATCH(1,(GMWQ!$NE$2:$NE$60=X$3)*(GMWQ!$NF$2:$NF$60=X$1),0),$B196-1966)</f>
        <v>42206</v>
      </c>
      <c r="Y196" s="18" cm="1">
        <f t="array" ref="Y196">INDEX(GMWQ!$A$2:$NF$60,MATCH(1,(GMWQ!$NE$2:$NE$60=Y$3)*(GMWQ!$NF$2:$NF$60=Y$1),0),$B196-1966)</f>
        <v>44779</v>
      </c>
      <c r="Z196" s="18" cm="1">
        <f t="array" ref="Z196">INDEX(GMWQ!$A$2:$NF$60,MATCH(1,(GMWQ!$NE$2:$NE$60=Z$3)*(GMWQ!$NF$2:$NF$60=Z$1),0),$B196-1966)</f>
        <v>45262</v>
      </c>
    </row>
    <row r="197" spans="1:26" x14ac:dyDescent="0.25">
      <c r="B197" s="18">
        <f t="shared" si="4"/>
        <v>2163</v>
      </c>
      <c r="C197" s="18" cm="1">
        <f t="array" ref="C197">INDEX(GMWQ!$A$2:$NE$60,MATCH(1,(GMWQ!$NE$2:$NE$60=C$3)*(GMWQ!$ND$2:$ND$60=C$4),0),$B197-1966)</f>
        <v>54710</v>
      </c>
      <c r="D197" s="18" cm="1">
        <f t="array" ref="D197">INDEX(GMWQ!$A$2:$NE$60,MATCH(1,(GMWQ!$NE$2:$NE$60=D$3)*(GMWQ!$ND$2:$ND$60=D$4),0),$B197-1966)</f>
        <v>125991</v>
      </c>
      <c r="E197" s="18" cm="1">
        <f t="array" ref="E197">INDEX(GMWQ!$A$2:$NE$60,MATCH(1,(GMWQ!$NE$2:$NE$60=E$3)*(GMWQ!$ND$2:$ND$60=E$4),0),$B197-1966)</f>
        <v>9211</v>
      </c>
      <c r="F197" s="18" cm="1">
        <f t="array" ref="F197">INDEX(GMWQ!$A$2:$NE$60,MATCH(1,(GMWQ!$NE$2:$NE$60=F$3)*(GMWQ!$ND$2:$ND$60=F$4),0),$B197-1966)</f>
        <v>20618</v>
      </c>
      <c r="G197" s="18" cm="1">
        <f t="array" ref="G197">INDEX(GMWQ!$A$2:$NE$60,MATCH(1,(GMWQ!$NE$2:$NE$60=G$3)*(GMWQ!$ND$2:$ND$60=G$4),0),$B197-1966)</f>
        <v>533806</v>
      </c>
      <c r="H197" s="18" cm="1">
        <f t="array" ref="H197">INDEX(GMWQ!$A$2:$NE$60,MATCH(1,(GMWQ!$NE$2:$NE$60=H$3)*(GMWQ!$ND$2:$ND$60=H$4),0),$B197-1966)</f>
        <v>100076</v>
      </c>
      <c r="I197" s="18" cm="1">
        <f t="array" ref="I197">INDEX(GMWQ!$A$2:$NE$60,MATCH(1,(GMWQ!$NE$2:$NE$60=I$3)*(GMWQ!$ND$2:$ND$60=I$4),0),$B197-1966)</f>
        <v>18096</v>
      </c>
      <c r="J197" s="18" cm="1">
        <f t="array" ref="J197">INDEX(GMWQ!$A$2:$NE$60,MATCH(1,(GMWQ!$NE$2:$NE$60=J$3)*(GMWQ!$ND$2:$ND$60=J$4),0),$B197-1966)</f>
        <v>21781</v>
      </c>
      <c r="K197" s="18" cm="1">
        <f t="array" ref="K197">INDEX(GMWQ!$A$2:$NE$60,MATCH(1,(GMWQ!$NE$2:$NE$60=K$3)*(GMWQ!$ND$2:$ND$60=K$4),0),$B197-1966)</f>
        <v>3206796</v>
      </c>
      <c r="L197" s="18" cm="1">
        <f t="array" ref="L197">INDEX(GMWQ!$A$2:$NE$60,MATCH(1,(GMWQ!$NE$2:$NE$60=L$3)*(GMWQ!$ND$2:$ND$60=L$4),0),$B197-1966)</f>
        <v>32354</v>
      </c>
      <c r="M197" s="18" cm="1">
        <f t="array" ref="M197">INDEX(GMWQ!$A$2:$NE$60,MATCH(1,(GMWQ!$NE$2:$NE$60=M$3)*(GMWQ!$ND$2:$ND$60=M$4),0),$B197-1966)</f>
        <v>28.3</v>
      </c>
      <c r="N197" s="18" cm="1">
        <f t="array" ref="N197">INDEX(GMWQ!$A$2:$NE$60,MATCH(1,(GMWQ!$NE$2:$NE$60=N$3)*(GMWQ!$ND$2:$ND$60=N$4),0),$B197-1966)</f>
        <v>6.0945739999999997</v>
      </c>
      <c r="O197" s="18" cm="1">
        <f t="array" ref="O197">INDEX(GMWQ!$A$2:$NE$60,MATCH(1,(GMWQ!$NE$2:$NE$60=O$3)*(GMWQ!$ND$2:$ND$60=O$4),0),$B197-1966)</f>
        <v>1.8709389999999999</v>
      </c>
      <c r="P197" s="18" cm="1">
        <f t="array" ref="P197">INDEX(GMWQ!$A$2:$NE$60,MATCH(1,(GMWQ!$NE$2:$NE$60=P$3)*(GMWQ!$ND$2:$ND$60=P$4),0),$B197-1966)</f>
        <v>451380</v>
      </c>
      <c r="Q197" s="18" cm="1">
        <f t="array" ref="Q197">INDEX(GMWQ!$A$2:$NE$60,MATCH(1,(GMWQ!$NE$2:$NE$60=Q$3)*(GMWQ!$ND$2:$ND$60=Q$4),0),$B197-1966)</f>
        <v>699.2</v>
      </c>
      <c r="R197" s="18" cm="1">
        <f t="array" ref="R197">INDEX(GMWQ!$A$2:$NE$60,MATCH(1,(GMWQ!$NE$2:$NE$60=R$3)*(GMWQ!$ND$2:$ND$60=R$4),0),$B197-1966)</f>
        <v>21047.63</v>
      </c>
      <c r="S197" s="18" cm="1">
        <f t="array" ref="S197">INDEX(GMWQ!$A$2:$NE$60,MATCH(1,(GMWQ!$NE$2:$NE$60=S$3)*(GMWQ!$ND$2:$ND$60=S$4),0),$B197-1966)</f>
        <v>99.8</v>
      </c>
      <c r="T197" s="18" cm="1">
        <f t="array" ref="T197">INDEX(GMWQ!$A$2:$NE$60,MATCH(1,(GMWQ!$NE$2:$NE$60=T$3)*(GMWQ!$ND$2:$ND$60=T$4),0),$B197-1966)</f>
        <v>78.377009999999999</v>
      </c>
      <c r="U197" s="18" cm="1">
        <f t="array" ref="U197">INDEX(GMWQ!$A$2:$NE$60,MATCH(1,(GMWQ!$NE$2:$NE$60=U$3)*(GMWQ!$ND$2:$ND$60=U$4),0),$B197-1966)</f>
        <v>48.989339999999999</v>
      </c>
      <c r="V197" s="18" cm="1">
        <f t="array" ref="V197">INDEX(GMWQ!$A$2:$NE$60,MATCH(1,(GMWQ!$NE$2:$NE$60=V$3)*(GMWQ!$ND$2:$ND$60=V$4),0),$B197-1966)</f>
        <v>55949.5</v>
      </c>
      <c r="W197" s="18" cm="1">
        <f t="array" ref="W197">INDEX(GMWQ!$A$2:$NF$60,MATCH(1,(GMWQ!$NE$2:$NE$60=W$3)*(GMWQ!$NF$2:$NF$60=W$1),0),$B197-1966)</f>
        <v>49651.97</v>
      </c>
      <c r="X197" s="18" cm="1">
        <f t="array" ref="X197">INDEX(GMWQ!$A$2:$NF$60,MATCH(1,(GMWQ!$NE$2:$NE$60=X$3)*(GMWQ!$NF$2:$NF$60=X$1),0),$B197-1966)</f>
        <v>47787</v>
      </c>
      <c r="Y197" s="18" cm="1">
        <f t="array" ref="Y197">INDEX(GMWQ!$A$2:$NF$60,MATCH(1,(GMWQ!$NE$2:$NE$60=Y$3)*(GMWQ!$NF$2:$NF$60=Y$1),0),$B197-1966)</f>
        <v>48806</v>
      </c>
      <c r="Z197" s="18" cm="1">
        <f t="array" ref="Z197">INDEX(GMWQ!$A$2:$NF$60,MATCH(1,(GMWQ!$NE$2:$NE$60=Z$3)*(GMWQ!$NF$2:$NF$60=Z$1),0),$B197-1966)</f>
        <v>50140</v>
      </c>
    </row>
    <row r="198" spans="1:26" x14ac:dyDescent="0.25">
      <c r="B198" s="18">
        <f t="shared" si="4"/>
        <v>2164</v>
      </c>
      <c r="C198" s="18" cm="1">
        <f t="array" ref="C198">INDEX(GMWQ!$A$2:$NE$60,MATCH(1,(GMWQ!$NE$2:$NE$60=C$3)*(GMWQ!$ND$2:$ND$60=C$4),0),$B198-1966)</f>
        <v>57775</v>
      </c>
      <c r="D198" s="18" cm="1">
        <f t="array" ref="D198">INDEX(GMWQ!$A$2:$NE$60,MATCH(1,(GMWQ!$NE$2:$NE$60=D$3)*(GMWQ!$ND$2:$ND$60=D$4),0),$B198-1966)</f>
        <v>117012</v>
      </c>
      <c r="E198" s="18" cm="1">
        <f t="array" ref="E198">INDEX(GMWQ!$A$2:$NE$60,MATCH(1,(GMWQ!$NE$2:$NE$60=E$3)*(GMWQ!$ND$2:$ND$60=E$4),0),$B198-1966)</f>
        <v>-17719</v>
      </c>
      <c r="F198" s="18" cm="1">
        <f t="array" ref="F198">INDEX(GMWQ!$A$2:$NE$60,MATCH(1,(GMWQ!$NE$2:$NE$60=F$3)*(GMWQ!$ND$2:$ND$60=F$4),0),$B198-1966)</f>
        <v>-15834</v>
      </c>
      <c r="G198" s="18" cm="1">
        <f t="array" ref="G198">INDEX(GMWQ!$A$2:$NE$60,MATCH(1,(GMWQ!$NE$2:$NE$60=G$3)*(GMWQ!$ND$2:$ND$60=G$4),0),$B198-1966)</f>
        <v>537629</v>
      </c>
      <c r="H198" s="18" cm="1">
        <f t="array" ref="H198">INDEX(GMWQ!$A$2:$NE$60,MATCH(1,(GMWQ!$NE$2:$NE$60=H$3)*(GMWQ!$ND$2:$ND$60=H$4),0),$B198-1966)</f>
        <v>106348</v>
      </c>
      <c r="I198" s="18" cm="1">
        <f t="array" ref="I198">INDEX(GMWQ!$A$2:$NE$60,MATCH(1,(GMWQ!$NE$2:$NE$60=I$3)*(GMWQ!$ND$2:$ND$60=I$4),0),$B198-1966)</f>
        <v>18754</v>
      </c>
      <c r="J198" s="18" cm="1">
        <f t="array" ref="J198">INDEX(GMWQ!$A$2:$NE$60,MATCH(1,(GMWQ!$NE$2:$NE$60=J$3)*(GMWQ!$ND$2:$ND$60=J$4),0),$B198-1966)</f>
        <v>23176</v>
      </c>
      <c r="K198" s="18" cm="1">
        <f t="array" ref="K198">INDEX(GMWQ!$A$2:$NE$60,MATCH(1,(GMWQ!$NE$2:$NE$60=K$3)*(GMWQ!$ND$2:$ND$60=K$4),0),$B198-1966)</f>
        <v>3212229</v>
      </c>
      <c r="L198" s="18" cm="1">
        <f t="array" ref="L198">INDEX(GMWQ!$A$2:$NE$60,MATCH(1,(GMWQ!$NE$2:$NE$60=L$3)*(GMWQ!$ND$2:$ND$60=L$4),0),$B198-1966)</f>
        <v>32198</v>
      </c>
      <c r="M198" s="18" cm="1">
        <f t="array" ref="M198">INDEX(GMWQ!$A$2:$NE$60,MATCH(1,(GMWQ!$NE$2:$NE$60=M$3)*(GMWQ!$ND$2:$ND$60=M$4),0),$B198-1966)</f>
        <v>30.1</v>
      </c>
      <c r="N198" s="18" cm="1">
        <f t="array" ref="N198">INDEX(GMWQ!$A$2:$NE$60,MATCH(1,(GMWQ!$NE$2:$NE$60=N$3)*(GMWQ!$ND$2:$ND$60=N$4),0),$B198-1966)</f>
        <v>6.4964459999999997</v>
      </c>
      <c r="O198" s="18" cm="1">
        <f t="array" ref="O198">INDEX(GMWQ!$A$2:$NE$60,MATCH(1,(GMWQ!$NE$2:$NE$60=O$3)*(GMWQ!$ND$2:$ND$60=O$4),0),$B198-1966)</f>
        <v>1.7167429999999999</v>
      </c>
      <c r="P198" s="18" cm="1">
        <f t="array" ref="P198">INDEX(GMWQ!$A$2:$NE$60,MATCH(1,(GMWQ!$NE$2:$NE$60=P$3)*(GMWQ!$ND$2:$ND$60=P$4),0),$B198-1966)</f>
        <v>457320</v>
      </c>
      <c r="Q198" s="18" cm="1">
        <f t="array" ref="Q198">INDEX(GMWQ!$A$2:$NE$60,MATCH(1,(GMWQ!$NE$2:$NE$60=Q$3)*(GMWQ!$ND$2:$ND$60=Q$4),0),$B198-1966)</f>
        <v>717.9</v>
      </c>
      <c r="R198" s="18" cm="1">
        <f t="array" ref="R198">INDEX(GMWQ!$A$2:$NE$60,MATCH(1,(GMWQ!$NE$2:$NE$60=R$3)*(GMWQ!$ND$2:$ND$60=R$4),0),$B198-1966)</f>
        <v>21431.03</v>
      </c>
      <c r="S198" s="18" cm="1">
        <f t="array" ref="S198">INDEX(GMWQ!$A$2:$NE$60,MATCH(1,(GMWQ!$NE$2:$NE$60=S$3)*(GMWQ!$ND$2:$ND$60=S$4),0),$B198-1966)</f>
        <v>102.79</v>
      </c>
      <c r="T198" s="18" cm="1">
        <f t="array" ref="T198">INDEX(GMWQ!$A$2:$NE$60,MATCH(1,(GMWQ!$NE$2:$NE$60=T$3)*(GMWQ!$ND$2:$ND$60=T$4),0),$B198-1966)</f>
        <v>80.977990000000005</v>
      </c>
      <c r="U198" s="18" cm="1">
        <f t="array" ref="U198">INDEX(GMWQ!$A$2:$NE$60,MATCH(1,(GMWQ!$NE$2:$NE$60=U$3)*(GMWQ!$ND$2:$ND$60=U$4),0),$B198-1966)</f>
        <v>48.584800000000001</v>
      </c>
      <c r="V198" s="18" cm="1">
        <f t="array" ref="V198">INDEX(GMWQ!$A$2:$NE$60,MATCH(1,(GMWQ!$NE$2:$NE$60=V$3)*(GMWQ!$ND$2:$ND$60=V$4),0),$B198-1966)</f>
        <v>57600</v>
      </c>
      <c r="W198" s="18" cm="1">
        <f t="array" ref="W198">INDEX(GMWQ!$A$2:$NF$60,MATCH(1,(GMWQ!$NE$2:$NE$60=W$3)*(GMWQ!$NF$2:$NF$60=W$1),0),$B198-1966)</f>
        <v>49860.54</v>
      </c>
      <c r="X198" s="18" cm="1">
        <f t="array" ref="X198">INDEX(GMWQ!$A$2:$NF$60,MATCH(1,(GMWQ!$NE$2:$NE$60=X$3)*(GMWQ!$NF$2:$NF$60=X$1),0),$B198-1966)</f>
        <v>50622</v>
      </c>
      <c r="Y198" s="18" cm="1">
        <f t="array" ref="Y198">INDEX(GMWQ!$A$2:$NF$60,MATCH(1,(GMWQ!$NE$2:$NE$60=Y$3)*(GMWQ!$NF$2:$NF$60=Y$1),0),$B198-1966)</f>
        <v>51264</v>
      </c>
      <c r="Z198" s="18" cm="1">
        <f t="array" ref="Z198">INDEX(GMWQ!$A$2:$NF$60,MATCH(1,(GMWQ!$NE$2:$NE$60=Z$3)*(GMWQ!$NF$2:$NF$60=Z$1),0),$B198-1966)</f>
        <v>52906</v>
      </c>
    </row>
    <row r="199" spans="1:26" x14ac:dyDescent="0.25">
      <c r="A199" s="18">
        <v>2021</v>
      </c>
      <c r="B199" s="18">
        <f t="shared" si="4"/>
        <v>2165</v>
      </c>
      <c r="C199" s="18" cm="1">
        <f t="array" ref="C199">INDEX(GMWQ!$A$2:$NE$60,MATCH(1,(GMWQ!$NE$2:$NE$60=C$3)*(GMWQ!$ND$2:$ND$60=C$4),0),$B199-1966)</f>
        <v>53828</v>
      </c>
      <c r="D199" s="18" cm="1">
        <f t="array" ref="D199">INDEX(GMWQ!$A$2:$NE$60,MATCH(1,(GMWQ!$NE$2:$NE$60=D$3)*(GMWQ!$ND$2:$ND$60=D$4),0),$B199-1966)</f>
        <v>118117</v>
      </c>
      <c r="E199" s="18" cm="1">
        <f t="array" ref="E199">INDEX(GMWQ!$A$2:$NE$60,MATCH(1,(GMWQ!$NE$2:$NE$60=E$3)*(GMWQ!$ND$2:$ND$60=E$4),0),$B199-1966)</f>
        <v>-4400</v>
      </c>
      <c r="F199" s="18" cm="1">
        <f t="array" ref="F199">INDEX(GMWQ!$A$2:$NE$60,MATCH(1,(GMWQ!$NE$2:$NE$60=F$3)*(GMWQ!$ND$2:$ND$60=F$4),0),$B199-1966)</f>
        <v>-2263</v>
      </c>
      <c r="G199" s="18" cm="1">
        <f t="array" ref="G199">INDEX(GMWQ!$A$2:$NE$60,MATCH(1,(GMWQ!$NE$2:$NE$60=G$3)*(GMWQ!$ND$2:$ND$60=G$4),0),$B199-1966)</f>
        <v>537992</v>
      </c>
      <c r="H199" s="18" cm="1">
        <f t="array" ref="H199">INDEX(GMWQ!$A$2:$NE$60,MATCH(1,(GMWQ!$NE$2:$NE$60=H$3)*(GMWQ!$ND$2:$ND$60=H$4),0),$B199-1966)</f>
        <v>103493</v>
      </c>
      <c r="I199" s="18" cm="1">
        <f t="array" ref="I199">INDEX(GMWQ!$A$2:$NE$60,MATCH(1,(GMWQ!$NE$2:$NE$60=I$3)*(GMWQ!$ND$2:$ND$60=I$4),0),$B199-1966)</f>
        <v>18171</v>
      </c>
      <c r="J199" s="18" cm="1">
        <f t="array" ref="J199">INDEX(GMWQ!$A$2:$NE$60,MATCH(1,(GMWQ!$NE$2:$NE$60=J$3)*(GMWQ!$ND$2:$ND$60=J$4),0),$B199-1966)</f>
        <v>24762</v>
      </c>
      <c r="K199" s="18" cm="1">
        <f t="array" ref="K199">INDEX(GMWQ!$A$2:$NE$60,MATCH(1,(GMWQ!$NE$2:$NE$60=K$3)*(GMWQ!$ND$2:$ND$60=K$4),0),$B199-1966)</f>
        <v>3219292</v>
      </c>
      <c r="L199" s="18" cm="1">
        <f t="array" ref="L199">INDEX(GMWQ!$A$2:$NE$60,MATCH(1,(GMWQ!$NE$2:$NE$60=L$3)*(GMWQ!$ND$2:$ND$60=L$4),0),$B199-1966)</f>
        <v>32221</v>
      </c>
      <c r="M199" s="18" cm="1">
        <f t="array" ref="M199">INDEX(GMWQ!$A$2:$NE$60,MATCH(1,(GMWQ!$NE$2:$NE$60=M$3)*(GMWQ!$ND$2:$ND$60=M$4),0),$B199-1966)</f>
        <v>29.6</v>
      </c>
      <c r="N199" s="18" cm="1">
        <f t="array" ref="N199">INDEX(GMWQ!$A$2:$NE$60,MATCH(1,(GMWQ!$NE$2:$NE$60=N$3)*(GMWQ!$ND$2:$ND$60=N$4),0),$B199-1966)</f>
        <v>6.6471559999999998</v>
      </c>
      <c r="O199" s="18" cm="1">
        <f t="array" ref="O199">INDEX(GMWQ!$A$2:$NE$60,MATCH(1,(GMWQ!$NE$2:$NE$60=O$3)*(GMWQ!$ND$2:$ND$60=O$4),0),$B199-1966)</f>
        <v>1.678196</v>
      </c>
      <c r="P199" s="18" cm="1">
        <f t="array" ref="P199">INDEX(GMWQ!$A$2:$NE$60,MATCH(1,(GMWQ!$NE$2:$NE$60=P$3)*(GMWQ!$ND$2:$ND$60=P$4),0),$B199-1966)</f>
        <v>461579</v>
      </c>
      <c r="Q199" s="18" cm="1">
        <f t="array" ref="Q199">INDEX(GMWQ!$A$2:$NE$60,MATCH(1,(GMWQ!$NE$2:$NE$60=Q$3)*(GMWQ!$ND$2:$ND$60=Q$4),0),$B199-1966)</f>
        <v>734.47500000000002</v>
      </c>
      <c r="R199" s="18" cm="1">
        <f t="array" ref="R199">INDEX(GMWQ!$A$2:$NE$60,MATCH(1,(GMWQ!$NE$2:$NE$60=R$3)*(GMWQ!$ND$2:$ND$60=R$4),0),$B199-1966)</f>
        <v>21749.57</v>
      </c>
      <c r="S199" s="18" cm="1">
        <f t="array" ref="S199">INDEX(GMWQ!$A$2:$NE$60,MATCH(1,(GMWQ!$NE$2:$NE$60=S$3)*(GMWQ!$ND$2:$ND$60=S$4),0),$B199-1966)</f>
        <v>101.54</v>
      </c>
      <c r="T199" s="18" cm="1">
        <f t="array" ref="T199">INDEX(GMWQ!$A$2:$NE$60,MATCH(1,(GMWQ!$NE$2:$NE$60=T$3)*(GMWQ!$ND$2:$ND$60=T$4),0),$B199-1966)</f>
        <v>81.826989999999995</v>
      </c>
      <c r="U199" s="18" cm="1">
        <f t="array" ref="U199">INDEX(GMWQ!$A$2:$NE$60,MATCH(1,(GMWQ!$NE$2:$NE$60=U$3)*(GMWQ!$ND$2:$ND$60=U$4),0),$B199-1966)</f>
        <v>49.507750000000001</v>
      </c>
      <c r="V199" s="18" cm="1">
        <f t="array" ref="V199">INDEX(GMWQ!$A$2:$NE$60,MATCH(1,(GMWQ!$NE$2:$NE$60=V$3)*(GMWQ!$ND$2:$ND$60=V$4),0),$B199-1966)</f>
        <v>59121.25</v>
      </c>
      <c r="W199" s="18" cm="1">
        <f t="array" ref="W199">INDEX(GMWQ!$A$2:$NF$60,MATCH(1,(GMWQ!$NE$2:$NE$60=W$3)*(GMWQ!$NF$2:$NF$60=W$1),0),$B199-1966)</f>
        <v>50084.93</v>
      </c>
      <c r="X199" s="18" cm="1">
        <f t="array" ref="X199">INDEX(GMWQ!$A$2:$NF$60,MATCH(1,(GMWQ!$NE$2:$NE$60=X$3)*(GMWQ!$NF$2:$NF$60=X$1),0),$B199-1966)</f>
        <v>44578</v>
      </c>
      <c r="Y199" s="18" cm="1">
        <f t="array" ref="Y199">INDEX(GMWQ!$A$2:$NF$60,MATCH(1,(GMWQ!$NE$2:$NE$60=Y$3)*(GMWQ!$NF$2:$NF$60=Y$1),0),$B199-1966)</f>
        <v>47538</v>
      </c>
      <c r="Z199" s="18" cm="1">
        <f t="array" ref="Z199">INDEX(GMWQ!$A$2:$NF$60,MATCH(1,(GMWQ!$NE$2:$NE$60=Z$3)*(GMWQ!$NF$2:$NF$60=Z$1),0),$B199-1966)</f>
        <v>48113</v>
      </c>
    </row>
    <row r="200" spans="1:26" x14ac:dyDescent="0.25">
      <c r="B200" s="18">
        <f t="shared" si="4"/>
        <v>2166</v>
      </c>
      <c r="C200" s="18" cm="1">
        <f t="array" ref="C200">INDEX(GMWQ!$A$2:$NE$60,MATCH(1,(GMWQ!$NE$2:$NE$60=C$3)*(GMWQ!$ND$2:$ND$60=C$4),0),$B200-1966)</f>
        <v>57987</v>
      </c>
      <c r="D200" s="18" cm="1">
        <f t="array" ref="D200">INDEX(GMWQ!$A$2:$NE$60,MATCH(1,(GMWQ!$NE$2:$NE$60=D$3)*(GMWQ!$ND$2:$ND$60=D$4),0),$B200-1966)</f>
        <v>128410</v>
      </c>
      <c r="E200" s="18" cm="1">
        <f t="array" ref="E200">INDEX(GMWQ!$A$2:$NE$60,MATCH(1,(GMWQ!$NE$2:$NE$60=E$3)*(GMWQ!$ND$2:$ND$60=E$4),0),$B200-1966)</f>
        <v>15403</v>
      </c>
      <c r="F200" s="18" cm="1">
        <f t="array" ref="F200">INDEX(GMWQ!$A$2:$NE$60,MATCH(1,(GMWQ!$NE$2:$NE$60=F$3)*(GMWQ!$ND$2:$ND$60=F$4),0),$B200-1966)</f>
        <v>25535</v>
      </c>
      <c r="G200" s="18" cm="1">
        <f t="array" ref="G200">INDEX(GMWQ!$A$2:$NE$60,MATCH(1,(GMWQ!$NE$2:$NE$60=G$3)*(GMWQ!$ND$2:$ND$60=G$4),0),$B200-1966)</f>
        <v>568521</v>
      </c>
      <c r="H200" s="18" cm="1">
        <f t="array" ref="H200">INDEX(GMWQ!$A$2:$NE$60,MATCH(1,(GMWQ!$NE$2:$NE$60=H$3)*(GMWQ!$ND$2:$ND$60=H$4),0),$B200-1966)</f>
        <v>108600</v>
      </c>
      <c r="I200" s="18" cm="1">
        <f t="array" ref="I200">INDEX(GMWQ!$A$2:$NE$60,MATCH(1,(GMWQ!$NE$2:$NE$60=I$3)*(GMWQ!$ND$2:$ND$60=I$4),0),$B200-1966)</f>
        <v>19642</v>
      </c>
      <c r="J200" s="18" cm="1">
        <f t="array" ref="J200">INDEX(GMWQ!$A$2:$NE$60,MATCH(1,(GMWQ!$NE$2:$NE$60=J$3)*(GMWQ!$ND$2:$ND$60=J$4),0),$B200-1966)</f>
        <v>24236</v>
      </c>
      <c r="K200" s="18" cm="1">
        <f t="array" ref="K200">INDEX(GMWQ!$A$2:$NE$60,MATCH(1,(GMWQ!$NE$2:$NE$60=K$3)*(GMWQ!$ND$2:$ND$60=K$4),0),$B200-1966)</f>
        <v>3226356</v>
      </c>
      <c r="L200" s="18" cm="1">
        <f t="array" ref="L200">INDEX(GMWQ!$A$2:$NE$60,MATCH(1,(GMWQ!$NE$2:$NE$60=L$3)*(GMWQ!$ND$2:$ND$60=L$4),0),$B200-1966)</f>
        <v>32377</v>
      </c>
      <c r="M200" s="18" cm="1">
        <f t="array" ref="M200">INDEX(GMWQ!$A$2:$NE$60,MATCH(1,(GMWQ!$NE$2:$NE$60=M$3)*(GMWQ!$ND$2:$ND$60=M$4),0),$B200-1966)</f>
        <v>31.1</v>
      </c>
      <c r="N200" s="18" cm="1">
        <f t="array" ref="N200">INDEX(GMWQ!$A$2:$NE$60,MATCH(1,(GMWQ!$NE$2:$NE$60=N$3)*(GMWQ!$ND$2:$ND$60=N$4),0),$B200-1966)</f>
        <v>5.9191549999999999</v>
      </c>
      <c r="O200" s="18" cm="1">
        <f t="array" ref="O200">INDEX(GMWQ!$A$2:$NE$60,MATCH(1,(GMWQ!$NE$2:$NE$60=O$3)*(GMWQ!$ND$2:$ND$60=O$4),0),$B200-1966)</f>
        <v>1.806934</v>
      </c>
      <c r="P200" s="18" cm="1">
        <f t="array" ref="P200">INDEX(GMWQ!$A$2:$NE$60,MATCH(1,(GMWQ!$NE$2:$NE$60=P$3)*(GMWQ!$ND$2:$ND$60=P$4),0),$B200-1966)</f>
        <v>459366</v>
      </c>
      <c r="Q200" s="18" cm="1">
        <f t="array" ref="Q200">INDEX(GMWQ!$A$2:$NE$60,MATCH(1,(GMWQ!$NE$2:$NE$60=Q$3)*(GMWQ!$ND$2:$ND$60=Q$4),0),$B200-1966)</f>
        <v>750.35</v>
      </c>
      <c r="R200" s="18" cm="1">
        <f t="array" ref="R200">INDEX(GMWQ!$A$2:$NE$60,MATCH(1,(GMWQ!$NE$2:$NE$60=R$3)*(GMWQ!$ND$2:$ND$60=R$4),0),$B200-1966)</f>
        <v>22204.22</v>
      </c>
      <c r="S200" s="18" cm="1">
        <f t="array" ref="S200">INDEX(GMWQ!$A$2:$NE$60,MATCH(1,(GMWQ!$NE$2:$NE$60=S$3)*(GMWQ!$ND$2:$ND$60=S$4),0),$B200-1966)</f>
        <v>103.68</v>
      </c>
      <c r="T200" s="18" cm="1">
        <f t="array" ref="T200">INDEX(GMWQ!$A$2:$NE$60,MATCH(1,(GMWQ!$NE$2:$NE$60=T$3)*(GMWQ!$ND$2:$ND$60=T$4),0),$B200-1966)</f>
        <v>83.177989999999994</v>
      </c>
      <c r="U200" s="18" cm="1">
        <f t="array" ref="U200">INDEX(GMWQ!$A$2:$NE$60,MATCH(1,(GMWQ!$NE$2:$NE$60=U$3)*(GMWQ!$ND$2:$ND$60=U$4),0),$B200-1966)</f>
        <v>49.986660000000001</v>
      </c>
      <c r="V200" s="18" cm="1">
        <f t="array" ref="V200">INDEX(GMWQ!$A$2:$NE$60,MATCH(1,(GMWQ!$NE$2:$NE$60=V$3)*(GMWQ!$ND$2:$ND$60=V$4),0),$B200-1966)</f>
        <v>62572.5</v>
      </c>
      <c r="W200" s="18" cm="1">
        <f t="array" ref="W200">INDEX(GMWQ!$A$2:$NF$60,MATCH(1,(GMWQ!$NE$2:$NE$60=W$3)*(GMWQ!$NF$2:$NF$60=W$1),0),$B200-1966)</f>
        <v>50315.32</v>
      </c>
      <c r="X200" s="18" cm="1">
        <f t="array" ref="X200">INDEX(GMWQ!$A$2:$NF$60,MATCH(1,(GMWQ!$NE$2:$NE$60=X$3)*(GMWQ!$NF$2:$NF$60=X$1),0),$B200-1966)</f>
        <v>50105.67</v>
      </c>
      <c r="Y200" s="18" cm="1">
        <f t="array" ref="Y200">INDEX(GMWQ!$A$2:$NF$60,MATCH(1,(GMWQ!$NE$2:$NE$60=Y$3)*(GMWQ!$NF$2:$NF$60=Y$1),0),$B200-1966)</f>
        <v>50915</v>
      </c>
      <c r="Z200" s="18" cm="1">
        <f t="array" ref="Z200">INDEX(GMWQ!$A$2:$NF$60,MATCH(1,(GMWQ!$NE$2:$NE$60=Z$3)*(GMWQ!$NF$2:$NF$60=Z$1),0),$B200-1966)</f>
        <v>53705</v>
      </c>
    </row>
    <row r="201" spans="1:26" x14ac:dyDescent="0.25">
      <c r="B201" s="18">
        <f t="shared" si="4"/>
        <v>2167</v>
      </c>
      <c r="C201" s="18" cm="1">
        <f t="array" ref="C201">INDEX(GMWQ!$A$2:$NE$60,MATCH(1,(GMWQ!$NE$2:$NE$60=C$3)*(GMWQ!$ND$2:$ND$60=C$4),0),$B201-1966)</f>
        <v>56998</v>
      </c>
      <c r="D201" s="18" cm="1">
        <f t="array" ref="D201">INDEX(GMWQ!$A$2:$NE$60,MATCH(1,(GMWQ!$NE$2:$NE$60=D$3)*(GMWQ!$ND$2:$ND$60=D$4),0),$B201-1966)</f>
        <v>126311</v>
      </c>
      <c r="E201" s="18" cm="1">
        <f t="array" ref="E201">INDEX(GMWQ!$A$2:$NE$60,MATCH(1,(GMWQ!$NE$2:$NE$60=E$3)*(GMWQ!$ND$2:$ND$60=E$4),0),$B201-1966)</f>
        <v>1879</v>
      </c>
      <c r="F201" s="18" cm="1">
        <f t="array" ref="F201">INDEX(GMWQ!$A$2:$NE$60,MATCH(1,(GMWQ!$NE$2:$NE$60=F$3)*(GMWQ!$ND$2:$ND$60=F$4),0),$B201-1966)</f>
        <v>6358</v>
      </c>
      <c r="G201" s="18" cm="1">
        <f t="array" ref="G201">INDEX(GMWQ!$A$2:$NE$60,MATCH(1,(GMWQ!$NE$2:$NE$60=G$3)*(GMWQ!$ND$2:$ND$60=G$4),0),$B201-1966)</f>
        <v>581805</v>
      </c>
      <c r="H201" s="18" cm="1">
        <f t="array" ref="H201">INDEX(GMWQ!$A$2:$NE$60,MATCH(1,(GMWQ!$NE$2:$NE$60=H$3)*(GMWQ!$ND$2:$ND$60=H$4),0),$B201-1966)</f>
        <v>108182</v>
      </c>
      <c r="I201" s="18" cm="1">
        <f t="array" ref="I201">INDEX(GMWQ!$A$2:$NE$60,MATCH(1,(GMWQ!$NE$2:$NE$60=I$3)*(GMWQ!$ND$2:$ND$60=I$4),0),$B201-1966)</f>
        <v>19918</v>
      </c>
      <c r="J201" s="18" cm="1">
        <f t="array" ref="J201">INDEX(GMWQ!$A$2:$NE$60,MATCH(1,(GMWQ!$NE$2:$NE$60=J$3)*(GMWQ!$ND$2:$ND$60=J$4),0),$B201-1966)</f>
        <v>24316</v>
      </c>
      <c r="K201" s="18" cm="1">
        <f t="array" ref="K201">INDEX(GMWQ!$A$2:$NE$60,MATCH(1,(GMWQ!$NE$2:$NE$60=K$3)*(GMWQ!$ND$2:$ND$60=K$4),0),$B201-1966)</f>
        <v>3233420</v>
      </c>
      <c r="L201" s="18" cm="1">
        <f t="array" ref="L201">INDEX(GMWQ!$A$2:$NE$60,MATCH(1,(GMWQ!$NE$2:$NE$60=L$3)*(GMWQ!$ND$2:$ND$60=L$4),0),$B201-1966)</f>
        <v>32687</v>
      </c>
      <c r="M201" s="18" cm="1">
        <f t="array" ref="M201">INDEX(GMWQ!$A$2:$NE$60,MATCH(1,(GMWQ!$NE$2:$NE$60=M$3)*(GMWQ!$ND$2:$ND$60=M$4),0),$B201-1966)</f>
        <v>31.6</v>
      </c>
      <c r="N201" s="18" cm="1">
        <f t="array" ref="N201">INDEX(GMWQ!$A$2:$NE$60,MATCH(1,(GMWQ!$NE$2:$NE$60=N$3)*(GMWQ!$ND$2:$ND$60=N$4),0),$B201-1966)</f>
        <v>5.7786520000000001</v>
      </c>
      <c r="O201" s="18" cm="1">
        <f t="array" ref="O201">INDEX(GMWQ!$A$2:$NE$60,MATCH(1,(GMWQ!$NE$2:$NE$60=O$3)*(GMWQ!$ND$2:$ND$60=O$4),0),$B201-1966)</f>
        <v>1.830992</v>
      </c>
      <c r="P201" s="18" cm="1">
        <f t="array" ref="P201">INDEX(GMWQ!$A$2:$NE$60,MATCH(1,(GMWQ!$NE$2:$NE$60=P$3)*(GMWQ!$ND$2:$ND$60=P$4),0),$B201-1966)</f>
        <v>450387</v>
      </c>
      <c r="Q201" s="18" cm="1">
        <f t="array" ref="Q201">INDEX(GMWQ!$A$2:$NE$60,MATCH(1,(GMWQ!$NE$2:$NE$60=Q$3)*(GMWQ!$ND$2:$ND$60=Q$4),0),$B201-1966)</f>
        <v>747.05</v>
      </c>
      <c r="R201" s="18" cm="1">
        <f t="array" ref="R201">INDEX(GMWQ!$A$2:$NE$60,MATCH(1,(GMWQ!$NE$2:$NE$60=R$3)*(GMWQ!$ND$2:$ND$60=R$4),0),$B201-1966)</f>
        <v>21890.55</v>
      </c>
      <c r="S201" s="18" cm="1">
        <f t="array" ref="S201">INDEX(GMWQ!$A$2:$NE$60,MATCH(1,(GMWQ!$NE$2:$NE$60=S$3)*(GMWQ!$ND$2:$ND$60=S$4),0),$B201-1966)</f>
        <v>100.62</v>
      </c>
      <c r="T201" s="18" cm="1">
        <f t="array" ref="T201">INDEX(GMWQ!$A$2:$NE$60,MATCH(1,(GMWQ!$NE$2:$NE$60=T$3)*(GMWQ!$ND$2:$ND$60=T$4),0),$B201-1966)</f>
        <v>82.679000000000002</v>
      </c>
      <c r="U201" s="18" cm="1">
        <f t="array" ref="U201">INDEX(GMWQ!$A$2:$NE$60,MATCH(1,(GMWQ!$NE$2:$NE$60=U$3)*(GMWQ!$ND$2:$ND$60=U$4),0),$B201-1966)</f>
        <v>50.999549999999999</v>
      </c>
      <c r="V201" s="18" cm="1">
        <f t="array" ref="V201">INDEX(GMWQ!$A$2:$NE$60,MATCH(1,(GMWQ!$NE$2:$NE$60=V$3)*(GMWQ!$ND$2:$ND$60=V$4),0),$B201-1966)</f>
        <v>62938.75</v>
      </c>
      <c r="W201" s="18" cm="1">
        <f t="array" ref="W201">INDEX(GMWQ!$A$2:$NF$60,MATCH(1,(GMWQ!$NE$2:$NE$60=W$3)*(GMWQ!$NF$2:$NF$60=W$1),0),$B201-1966)</f>
        <v>50541.73</v>
      </c>
      <c r="X201" s="18" cm="1">
        <f t="array" ref="X201">INDEX(GMWQ!$A$2:$NF$60,MATCH(1,(GMWQ!$NE$2:$NE$60=X$3)*(GMWQ!$NF$2:$NF$60=X$1),0),$B201-1966)</f>
        <v>51608.84</v>
      </c>
      <c r="Y201" s="18" cm="1">
        <f t="array" ref="Y201">INDEX(GMWQ!$A$2:$NF$60,MATCH(1,(GMWQ!$NE$2:$NE$60=Y$3)*(GMWQ!$NF$2:$NF$60=Y$1),0),$B201-1966)</f>
        <v>51292</v>
      </c>
      <c r="Z201" s="18" cm="1">
        <f t="array" ref="Z201">INDEX(GMWQ!$A$2:$NF$60,MATCH(1,(GMWQ!$NE$2:$NE$60=Z$3)*(GMWQ!$NF$2:$NF$60=Z$1),0),$B201-1966)</f>
        <v>53035</v>
      </c>
    </row>
    <row r="202" spans="1:26" x14ac:dyDescent="0.25">
      <c r="B202" s="18">
        <f t="shared" si="4"/>
        <v>2168</v>
      </c>
      <c r="C202" s="18" cm="1">
        <f t="array" ref="C202">INDEX(GMWQ!$A$2:$NE$60,MATCH(1,(GMWQ!$NE$2:$NE$60=C$3)*(GMWQ!$ND$2:$ND$60=C$4),0),$B202-1966)</f>
        <v>57178</v>
      </c>
      <c r="D202" s="18" cm="1">
        <f t="array" ref="D202">INDEX(GMWQ!$A$2:$NE$60,MATCH(1,(GMWQ!$NE$2:$NE$60=D$3)*(GMWQ!$ND$2:$ND$60=D$4),0),$B202-1966)</f>
        <v>128877</v>
      </c>
      <c r="E202" s="18" cm="1">
        <f t="array" ref="E202">INDEX(GMWQ!$A$2:$NE$60,MATCH(1,(GMWQ!$NE$2:$NE$60=E$3)*(GMWQ!$ND$2:$ND$60=E$4),0),$B202-1966)</f>
        <v>10676</v>
      </c>
      <c r="F202" s="18" cm="1">
        <f t="array" ref="F202">INDEX(GMWQ!$A$2:$NE$60,MATCH(1,(GMWQ!$NE$2:$NE$60=F$3)*(GMWQ!$ND$2:$ND$60=F$4),0),$B202-1966)</f>
        <v>20791</v>
      </c>
      <c r="G202" s="18" cm="1">
        <f t="array" ref="G202">INDEX(GMWQ!$A$2:$NE$60,MATCH(1,(GMWQ!$NE$2:$NE$60=G$3)*(GMWQ!$ND$2:$ND$60=G$4),0),$B202-1966)</f>
        <v>597082</v>
      </c>
      <c r="H202" s="18" cm="1">
        <f t="array" ref="H202">INDEX(GMWQ!$A$2:$NE$60,MATCH(1,(GMWQ!$NE$2:$NE$60=H$3)*(GMWQ!$ND$2:$ND$60=H$4),0),$B202-1966)</f>
        <v>108845</v>
      </c>
      <c r="I202" s="18" cm="1">
        <f t="array" ref="I202">INDEX(GMWQ!$A$2:$NE$60,MATCH(1,(GMWQ!$NE$2:$NE$60=I$3)*(GMWQ!$ND$2:$ND$60=I$4),0),$B202-1966)</f>
        <v>19892</v>
      </c>
      <c r="J202" s="18" cm="1">
        <f t="array" ref="J202">INDEX(GMWQ!$A$2:$NE$60,MATCH(1,(GMWQ!$NE$2:$NE$60=J$3)*(GMWQ!$ND$2:$ND$60=J$4),0),$B202-1966)</f>
        <v>24485</v>
      </c>
      <c r="K202" s="18" cm="1">
        <f t="array" ref="K202">INDEX(GMWQ!$A$2:$NE$60,MATCH(1,(GMWQ!$NE$2:$NE$60=K$3)*(GMWQ!$ND$2:$ND$60=K$4),0),$B202-1966)</f>
        <v>3240483</v>
      </c>
      <c r="L202" s="18" cm="1">
        <f t="array" ref="L202">INDEX(GMWQ!$A$2:$NE$60,MATCH(1,(GMWQ!$NE$2:$NE$60=L$3)*(GMWQ!$ND$2:$ND$60=L$4),0),$B202-1966)</f>
        <v>32686</v>
      </c>
      <c r="M202" s="18" cm="1">
        <f t="array" ref="M202">INDEX(GMWQ!$A$2:$NE$60,MATCH(1,(GMWQ!$NE$2:$NE$60=M$3)*(GMWQ!$ND$2:$ND$60=M$4),0),$B202-1966)</f>
        <v>31.6</v>
      </c>
      <c r="N202" s="18" cm="1">
        <f t="array" ref="N202">INDEX(GMWQ!$A$2:$NE$60,MATCH(1,(GMWQ!$NE$2:$NE$60=N$3)*(GMWQ!$ND$2:$ND$60=N$4),0),$B202-1966)</f>
        <v>5.6529910000000001</v>
      </c>
      <c r="O202" s="18" cm="1">
        <f t="array" ref="O202">INDEX(GMWQ!$A$2:$NE$60,MATCH(1,(GMWQ!$NE$2:$NE$60=O$3)*(GMWQ!$ND$2:$ND$60=O$4),0),$B202-1966)</f>
        <v>2.1216409999999999</v>
      </c>
      <c r="P202" s="18" cm="1">
        <f t="array" ref="P202">INDEX(GMWQ!$A$2:$NE$60,MATCH(1,(GMWQ!$NE$2:$NE$60=P$3)*(GMWQ!$ND$2:$ND$60=P$4),0),$B202-1966)</f>
        <v>454064</v>
      </c>
      <c r="Q202" s="18" cm="1">
        <f t="array" ref="Q202">INDEX(GMWQ!$A$2:$NE$60,MATCH(1,(GMWQ!$NE$2:$NE$60=Q$3)*(GMWQ!$ND$2:$ND$60=Q$4),0),$B202-1966)</f>
        <v>753.32500000000005</v>
      </c>
      <c r="R202" s="18" cm="1">
        <f t="array" ref="R202">INDEX(GMWQ!$A$2:$NE$60,MATCH(1,(GMWQ!$NE$2:$NE$60=R$3)*(GMWQ!$ND$2:$ND$60=R$4),0),$B202-1966)</f>
        <v>21957.32</v>
      </c>
      <c r="S202" s="18" cm="1">
        <f t="array" ref="S202">INDEX(GMWQ!$A$2:$NE$60,MATCH(1,(GMWQ!$NE$2:$NE$60=S$3)*(GMWQ!$ND$2:$ND$60=S$4),0),$B202-1966)</f>
        <v>101.45</v>
      </c>
      <c r="T202" s="18" cm="1">
        <f t="array" ref="T202">INDEX(GMWQ!$A$2:$NE$60,MATCH(1,(GMWQ!$NE$2:$NE$60=T$3)*(GMWQ!$ND$2:$ND$60=T$4),0),$B202-1966)</f>
        <v>82.21799</v>
      </c>
      <c r="U202" s="18" cm="1">
        <f t="array" ref="U202">INDEX(GMWQ!$A$2:$NE$60,MATCH(1,(GMWQ!$NE$2:$NE$60=U$3)*(GMWQ!$ND$2:$ND$60=U$4),0),$B202-1966)</f>
        <v>52.074300000000001</v>
      </c>
      <c r="V202" s="18" cm="1">
        <f t="array" ref="V202">INDEX(GMWQ!$A$2:$NE$60,MATCH(1,(GMWQ!$NE$2:$NE$60=V$3)*(GMWQ!$ND$2:$ND$60=V$4),0),$B202-1966)</f>
        <v>64570.75</v>
      </c>
      <c r="W202" s="18" cm="1">
        <f t="array" ref="W202">INDEX(GMWQ!$A$2:$NF$60,MATCH(1,(GMWQ!$NE$2:$NE$60=W$3)*(GMWQ!$NF$2:$NF$60=W$1),0),$B202-1966)</f>
        <v>50769.16</v>
      </c>
      <c r="X202" s="18" cm="1">
        <f t="array" ref="X202">INDEX(GMWQ!$A$2:$NF$60,MATCH(1,(GMWQ!$NE$2:$NE$60=X$3)*(GMWQ!$NF$2:$NF$60=X$1),0),$B202-1966)</f>
        <v>52382.96</v>
      </c>
      <c r="Y202" s="18" cm="1">
        <f t="array" ref="Y202">INDEX(GMWQ!$A$2:$NF$60,MATCH(1,(GMWQ!$NE$2:$NE$60=Y$3)*(GMWQ!$NF$2:$NF$60=Y$1),0),$B202-1966)</f>
        <v>51802</v>
      </c>
      <c r="Z202" s="18" cm="1">
        <f t="array" ref="Z202">INDEX(GMWQ!$A$2:$NF$60,MATCH(1,(GMWQ!$NE$2:$NE$60=Z$3)*(GMWQ!$NF$2:$NF$60=Z$1),0),$B202-1966)</f>
        <v>53441</v>
      </c>
    </row>
    <row r="203" spans="1:26" x14ac:dyDescent="0.25">
      <c r="A203" s="18">
        <v>2022</v>
      </c>
      <c r="B203" s="18">
        <f t="shared" si="4"/>
        <v>2169</v>
      </c>
      <c r="C203" s="18" cm="1">
        <f t="array" ref="C203">INDEX(GMWQ!$A$2:$NE$60,MATCH(1,(GMWQ!$NE$2:$NE$60=C$3)*(GMWQ!$ND$2:$ND$60=C$4),0),$B203-1966)</f>
        <v>58903</v>
      </c>
      <c r="D203" s="18" cm="1">
        <f t="array" ref="D203">INDEX(GMWQ!$A$2:$NE$60,MATCH(1,(GMWQ!$NE$2:$NE$60=D$3)*(GMWQ!$ND$2:$ND$60=D$4),0),$B203-1966)</f>
        <v>128748</v>
      </c>
      <c r="E203" s="18" cm="1">
        <f t="array" ref="E203">INDEX(GMWQ!$A$2:$NE$60,MATCH(1,(GMWQ!$NE$2:$NE$60=E$3)*(GMWQ!$ND$2:$ND$60=E$4),0),$B203-1966)</f>
        <v>-13145</v>
      </c>
      <c r="F203" s="18" cm="1">
        <f t="array" ref="F203">INDEX(GMWQ!$A$2:$NE$60,MATCH(1,(GMWQ!$NE$2:$NE$60=F$3)*(GMWQ!$ND$2:$ND$60=F$4),0),$B203-1966)</f>
        <v>-16196</v>
      </c>
      <c r="G203" s="18" cm="1">
        <f t="array" ref="G203">INDEX(GMWQ!$A$2:$NE$60,MATCH(1,(GMWQ!$NE$2:$NE$60=G$3)*(GMWQ!$ND$2:$ND$60=G$4),0),$B203-1966)</f>
        <v>610346</v>
      </c>
      <c r="H203" s="18" cm="1">
        <f t="array" ref="H203">INDEX(GMWQ!$A$2:$NE$60,MATCH(1,(GMWQ!$NE$2:$NE$60=H$3)*(GMWQ!$ND$2:$ND$60=H$4),0),$B203-1966)</f>
        <v>113041</v>
      </c>
      <c r="I203" s="18" cm="1">
        <f t="array" ref="I203">INDEX(GMWQ!$A$2:$NE$60,MATCH(1,(GMWQ!$NE$2:$NE$60=I$3)*(GMWQ!$ND$2:$ND$60=I$4),0),$B203-1966)</f>
        <v>20140</v>
      </c>
      <c r="J203" s="18" cm="1">
        <f t="array" ref="J203">INDEX(GMWQ!$A$2:$NE$60,MATCH(1,(GMWQ!$NE$2:$NE$60=J$3)*(GMWQ!$ND$2:$ND$60=J$4),0),$B203-1966)</f>
        <v>25499</v>
      </c>
      <c r="K203" s="18" cm="1">
        <f t="array" ref="K203">INDEX(GMWQ!$A$2:$NE$60,MATCH(1,(GMWQ!$NE$2:$NE$60=K$3)*(GMWQ!$ND$2:$ND$60=K$4),0),$B203-1966)</f>
        <v>3252980</v>
      </c>
      <c r="L203" s="18" cm="1">
        <f t="array" ref="L203">INDEX(GMWQ!$A$2:$NE$60,MATCH(1,(GMWQ!$NE$2:$NE$60=L$3)*(GMWQ!$ND$2:$ND$60=L$4),0),$B203-1966)</f>
        <v>32775</v>
      </c>
      <c r="M203" s="18" cm="1">
        <f t="array" ref="M203">INDEX(GMWQ!$A$2:$NE$60,MATCH(1,(GMWQ!$NE$2:$NE$60=M$3)*(GMWQ!$ND$2:$ND$60=M$4),0),$B203-1966)</f>
        <v>32</v>
      </c>
      <c r="N203" s="18" cm="1">
        <f t="array" ref="N203">INDEX(GMWQ!$A$2:$NE$60,MATCH(1,(GMWQ!$NE$2:$NE$60=N$3)*(GMWQ!$ND$2:$ND$60=N$4),0),$B203-1966)</f>
        <v>5.4906009999999998</v>
      </c>
      <c r="O203" s="18" cm="1">
        <f t="array" ref="O203">INDEX(GMWQ!$A$2:$NE$60,MATCH(1,(GMWQ!$NE$2:$NE$60=O$3)*(GMWQ!$ND$2:$ND$60=O$4),0),$B203-1966)</f>
        <v>2.6620789999999999</v>
      </c>
      <c r="P203" s="18" cm="1">
        <f t="array" ref="P203">INDEX(GMWQ!$A$2:$NE$60,MATCH(1,(GMWQ!$NE$2:$NE$60=P$3)*(GMWQ!$ND$2:$ND$60=P$4),0),$B203-1966)</f>
        <v>460283</v>
      </c>
      <c r="Q203" s="18" cm="1">
        <f t="array" ref="Q203">INDEX(GMWQ!$A$2:$NE$60,MATCH(1,(GMWQ!$NE$2:$NE$60=Q$3)*(GMWQ!$ND$2:$ND$60=Q$4),0),$B203-1966)</f>
        <v>777.67499999999995</v>
      </c>
      <c r="R203" s="18" cm="1">
        <f t="array" ref="R203">INDEX(GMWQ!$A$2:$NE$60,MATCH(1,(GMWQ!$NE$2:$NE$60=R$3)*(GMWQ!$ND$2:$ND$60=R$4),0),$B203-1966)</f>
        <v>22038.2</v>
      </c>
      <c r="S203" s="18" cm="1">
        <f t="array" ref="S203">INDEX(GMWQ!$A$2:$NE$60,MATCH(1,(GMWQ!$NE$2:$NE$60=S$3)*(GMWQ!$ND$2:$ND$60=S$4),0),$B203-1966)</f>
        <v>103.75</v>
      </c>
      <c r="T203" s="18" cm="1">
        <f t="array" ref="T203">INDEX(GMWQ!$A$2:$NE$60,MATCH(1,(GMWQ!$NE$2:$NE$60=T$3)*(GMWQ!$ND$2:$ND$60=T$4),0),$B203-1966)</f>
        <v>82.526989999999998</v>
      </c>
      <c r="U203" s="18" cm="1">
        <f t="array" ref="U203">INDEX(GMWQ!$A$2:$NE$60,MATCH(1,(GMWQ!$NE$2:$NE$60=U$3)*(GMWQ!$ND$2:$ND$60=U$4),0),$B203-1966)</f>
        <v>54.178190000000001</v>
      </c>
      <c r="V203" s="18" cm="1">
        <f t="array" ref="V203">INDEX(GMWQ!$A$2:$NE$60,MATCH(1,(GMWQ!$NE$2:$NE$60=V$3)*(GMWQ!$ND$2:$ND$60=V$4),0),$B203-1966)</f>
        <v>64330.25</v>
      </c>
      <c r="W203" s="18" cm="1">
        <f t="array" ref="W203">INDEX(GMWQ!$A$2:$NF$60,MATCH(1,(GMWQ!$NE$2:$NE$60=W$3)*(GMWQ!$NF$2:$NF$60=W$1),0),$B203-1966)</f>
        <v>50997.61</v>
      </c>
      <c r="X203" s="18" cm="1">
        <f t="array" ref="X203">INDEX(GMWQ!$A$2:$NF$60,MATCH(1,(GMWQ!$NE$2:$NE$60=X$3)*(GMWQ!$NF$2:$NF$60=X$1),0),$B203-1966)</f>
        <v>53430.64</v>
      </c>
      <c r="Y203" s="18" cm="1">
        <f t="array" ref="Y203">INDEX(GMWQ!$A$2:$NF$60,MATCH(1,(GMWQ!$NE$2:$NE$60=Y$3)*(GMWQ!$NF$2:$NF$60=Y$1),0),$B203-1966)</f>
        <v>51561</v>
      </c>
      <c r="Z203" s="18" cm="1">
        <f t="array" ref="Z203">INDEX(GMWQ!$A$2:$NF$60,MATCH(1,(GMWQ!$NE$2:$NE$60=Z$3)*(GMWQ!$NF$2:$NF$60=Z$1),0),$B203-1966)</f>
        <v>55098</v>
      </c>
    </row>
    <row r="204" spans="1:26" x14ac:dyDescent="0.25">
      <c r="B204" s="18">
        <f t="shared" si="4"/>
        <v>2170</v>
      </c>
      <c r="C204" s="18" cm="1">
        <f t="array" ref="C204">INDEX(GMWQ!$A$2:$NE$60,MATCH(1,(GMWQ!$NE$2:$NE$60=C$3)*(GMWQ!$ND$2:$ND$60=C$4),0),$B204-1966)</f>
        <v>60332</v>
      </c>
      <c r="D204" s="18" cm="1">
        <f t="array" ref="D204">INDEX(GMWQ!$A$2:$NE$60,MATCH(1,(GMWQ!$NE$2:$NE$60=D$3)*(GMWQ!$ND$2:$ND$60=D$4),0),$B204-1966)</f>
        <v>133727</v>
      </c>
      <c r="E204" s="18" cm="1">
        <f t="array" ref="E204">INDEX(GMWQ!$A$2:$NE$60,MATCH(1,(GMWQ!$NE$2:$NE$60=E$3)*(GMWQ!$ND$2:$ND$60=E$4),0),$B204-1966)</f>
        <v>6375</v>
      </c>
      <c r="F204" s="18" cm="1">
        <f t="array" ref="F204">INDEX(GMWQ!$A$2:$NE$60,MATCH(1,(GMWQ!$NE$2:$NE$60=F$3)*(GMWQ!$ND$2:$ND$60=F$4),0),$B204-1966)</f>
        <v>15077</v>
      </c>
      <c r="G204" s="18" cm="1">
        <f t="array" ref="G204">INDEX(GMWQ!$A$2:$NE$60,MATCH(1,(GMWQ!$NE$2:$NE$60=G$3)*(GMWQ!$ND$2:$ND$60=G$4),0),$B204-1966)</f>
        <v>625467</v>
      </c>
      <c r="H204" s="18" cm="1">
        <f t="array" ref="H204">INDEX(GMWQ!$A$2:$NE$60,MATCH(1,(GMWQ!$NE$2:$NE$60=H$3)*(GMWQ!$ND$2:$ND$60=H$4),0),$B204-1966)</f>
        <v>112982</v>
      </c>
      <c r="I204" s="18" cm="1">
        <f t="array" ref="I204">INDEX(GMWQ!$A$2:$NE$60,MATCH(1,(GMWQ!$NE$2:$NE$60=I$3)*(GMWQ!$ND$2:$ND$60=I$4),0),$B204-1966)</f>
        <v>18894</v>
      </c>
      <c r="J204" s="18" cm="1">
        <f t="array" ref="J204">INDEX(GMWQ!$A$2:$NE$60,MATCH(1,(GMWQ!$NE$2:$NE$60=J$3)*(GMWQ!$ND$2:$ND$60=J$4),0),$B204-1966)</f>
        <v>25451</v>
      </c>
      <c r="K204" s="18" cm="1">
        <f t="array" ref="K204">INDEX(GMWQ!$A$2:$NE$60,MATCH(1,(GMWQ!$NE$2:$NE$60=K$3)*(GMWQ!$ND$2:$ND$60=K$4),0),$B204-1966)</f>
        <v>3265476</v>
      </c>
      <c r="L204" s="18" cm="1">
        <f t="array" ref="L204">INDEX(GMWQ!$A$2:$NE$60,MATCH(1,(GMWQ!$NE$2:$NE$60=L$3)*(GMWQ!$ND$2:$ND$60=L$4),0),$B204-1966)</f>
        <v>32958</v>
      </c>
      <c r="M204" s="18" cm="1">
        <f t="array" ref="M204">INDEX(GMWQ!$A$2:$NE$60,MATCH(1,(GMWQ!$NE$2:$NE$60=M$3)*(GMWQ!$ND$2:$ND$60=M$4),0),$B204-1966)</f>
        <v>31.8</v>
      </c>
      <c r="N204" s="18" cm="1">
        <f t="array" ref="N204">INDEX(GMWQ!$A$2:$NE$60,MATCH(1,(GMWQ!$NE$2:$NE$60=N$3)*(GMWQ!$ND$2:$ND$60=N$4),0),$B204-1966)</f>
        <v>5.5896569999999999</v>
      </c>
      <c r="O204" s="18" cm="1">
        <f t="array" ref="O204">INDEX(GMWQ!$A$2:$NE$60,MATCH(1,(GMWQ!$NE$2:$NE$60=O$3)*(GMWQ!$ND$2:$ND$60=O$4),0),$B204-1966)</f>
        <v>3.319016</v>
      </c>
      <c r="P204" s="18" cm="1">
        <f t="array" ref="P204">INDEX(GMWQ!$A$2:$NE$60,MATCH(1,(GMWQ!$NE$2:$NE$60=P$3)*(GMWQ!$ND$2:$ND$60=P$4),0),$B204-1966)</f>
        <v>455393</v>
      </c>
      <c r="Q204" s="18" cm="1">
        <f t="array" ref="Q204">INDEX(GMWQ!$A$2:$NE$60,MATCH(1,(GMWQ!$NE$2:$NE$60=Q$3)*(GMWQ!$ND$2:$ND$60=Q$4),0),$B204-1966)</f>
        <v>791.47500000000002</v>
      </c>
      <c r="R204" s="18" cm="1">
        <f t="array" ref="R204">INDEX(GMWQ!$A$2:$NE$60,MATCH(1,(GMWQ!$NE$2:$NE$60=R$3)*(GMWQ!$ND$2:$ND$60=R$4),0),$B204-1966)</f>
        <v>22538.75</v>
      </c>
      <c r="S204" s="18" cm="1">
        <f t="array" ref="S204">INDEX(GMWQ!$A$2:$NE$60,MATCH(1,(GMWQ!$NE$2:$NE$60=S$3)*(GMWQ!$ND$2:$ND$60=S$4),0),$B204-1966)</f>
        <v>105.74</v>
      </c>
      <c r="T204" s="18" cm="1">
        <f t="array" ref="T204">INDEX(GMWQ!$A$2:$NE$60,MATCH(1,(GMWQ!$NE$2:$NE$60=T$3)*(GMWQ!$ND$2:$ND$60=T$4),0),$B204-1966)</f>
        <v>82.569000000000003</v>
      </c>
      <c r="U204" s="18" cm="1">
        <f t="array" ref="U204">INDEX(GMWQ!$A$2:$NE$60,MATCH(1,(GMWQ!$NE$2:$NE$60=U$3)*(GMWQ!$ND$2:$ND$60=U$4),0),$B204-1966)</f>
        <v>55.65634</v>
      </c>
      <c r="V204" s="18" cm="1">
        <f t="array" ref="V204">INDEX(GMWQ!$A$2:$NE$60,MATCH(1,(GMWQ!$NE$2:$NE$60=V$3)*(GMWQ!$ND$2:$ND$60=V$4),0),$B204-1966)</f>
        <v>65588.25</v>
      </c>
      <c r="W204" s="18" cm="1">
        <f t="array" ref="W204">INDEX(GMWQ!$A$2:$NF$60,MATCH(1,(GMWQ!$NE$2:$NE$60=W$3)*(GMWQ!$NF$2:$NF$60=W$1),0),$B204-1966)</f>
        <v>51227.09</v>
      </c>
      <c r="X204" s="18" cm="1">
        <f t="array" ref="X204">INDEX(GMWQ!$A$2:$NF$60,MATCH(1,(GMWQ!$NE$2:$NE$60=X$3)*(GMWQ!$NF$2:$NF$60=X$1),0),$B204-1966)</f>
        <v>54499.25</v>
      </c>
      <c r="Y204" s="18" cm="1">
        <f t="array" ref="Y204">INDEX(GMWQ!$A$2:$NF$60,MATCH(1,(GMWQ!$NE$2:$NE$60=Y$3)*(GMWQ!$NF$2:$NF$60=Y$1),0),$B204-1966)</f>
        <v>53107.83</v>
      </c>
      <c r="Z204" s="18" cm="1">
        <f t="array" ref="Z204">INDEX(GMWQ!$A$2:$NF$60,MATCH(1,(GMWQ!$NE$2:$NE$60=Z$3)*(GMWQ!$NF$2:$NF$60=Z$1),0),$B204-1966)</f>
        <v>56823</v>
      </c>
    </row>
    <row r="205" spans="1:26" x14ac:dyDescent="0.25">
      <c r="B205" s="18">
        <f t="shared" si="4"/>
        <v>2171</v>
      </c>
      <c r="C205" s="18" cm="1">
        <f t="array" ref="C205">INDEX(GMWQ!$A$2:$NE$60,MATCH(1,(GMWQ!$NE$2:$NE$60=C$3)*(GMWQ!$ND$2:$ND$60=C$4),0),$B205-1966)</f>
        <v>60887</v>
      </c>
      <c r="D205" s="18" cm="1">
        <f t="array" ref="D205">INDEX(GMWQ!$A$2:$NE$60,MATCH(1,(GMWQ!$NE$2:$NE$60=D$3)*(GMWQ!$ND$2:$ND$60=D$4),0),$B205-1966)</f>
        <v>134606</v>
      </c>
      <c r="E205" s="18" cm="1">
        <f t="array" ref="E205">INDEX(GMWQ!$A$2:$NE$60,MATCH(1,(GMWQ!$NE$2:$NE$60=E$3)*(GMWQ!$ND$2:$ND$60=E$4),0),$B205-1966)</f>
        <v>-1850</v>
      </c>
      <c r="F205" s="18" cm="1">
        <f t="array" ref="F205">INDEX(GMWQ!$A$2:$NE$60,MATCH(1,(GMWQ!$NE$2:$NE$60=F$3)*(GMWQ!$ND$2:$ND$60=F$4),0),$B205-1966)</f>
        <v>15865</v>
      </c>
      <c r="G205" s="18" cm="1">
        <f t="array" ref="G205">INDEX(GMWQ!$A$2:$NE$60,MATCH(1,(GMWQ!$NE$2:$NE$60=G$3)*(GMWQ!$ND$2:$ND$60=G$4),0),$B205-1966)</f>
        <v>636553</v>
      </c>
      <c r="H205" s="18" cm="1">
        <f t="array" ref="H205">INDEX(GMWQ!$A$2:$NE$60,MATCH(1,(GMWQ!$NE$2:$NE$60=H$3)*(GMWQ!$ND$2:$ND$60=H$4),0),$B205-1966)</f>
        <v>113281</v>
      </c>
      <c r="I205" s="18" cm="1">
        <f t="array" ref="I205">INDEX(GMWQ!$A$2:$NE$60,MATCH(1,(GMWQ!$NE$2:$NE$60=I$3)*(GMWQ!$ND$2:$ND$60=I$4),0),$B205-1966)</f>
        <v>18801</v>
      </c>
      <c r="J205" s="18" cm="1">
        <f t="array" ref="J205">INDEX(GMWQ!$A$2:$NE$60,MATCH(1,(GMWQ!$NE$2:$NE$60=J$3)*(GMWQ!$ND$2:$ND$60=J$4),0),$B205-1966)</f>
        <v>25632</v>
      </c>
      <c r="K205" s="18" cm="1">
        <f t="array" ref="K205">INDEX(GMWQ!$A$2:$NE$60,MATCH(1,(GMWQ!$NE$2:$NE$60=K$3)*(GMWQ!$ND$2:$ND$60=K$4),0),$B205-1966)</f>
        <v>3277973</v>
      </c>
      <c r="L205" s="18" cm="1">
        <f t="array" ref="L205">INDEX(GMWQ!$A$2:$NE$60,MATCH(1,(GMWQ!$NE$2:$NE$60=L$3)*(GMWQ!$ND$2:$ND$60=L$4),0),$B205-1966)</f>
        <v>32916</v>
      </c>
      <c r="M205" s="18" cm="1">
        <f t="array" ref="M205">INDEX(GMWQ!$A$2:$NE$60,MATCH(1,(GMWQ!$NE$2:$NE$60=M$3)*(GMWQ!$ND$2:$ND$60=M$4),0),$B205-1966)</f>
        <v>31.7</v>
      </c>
      <c r="N205" s="18" cm="1">
        <f t="array" ref="N205">INDEX(GMWQ!$A$2:$NE$60,MATCH(1,(GMWQ!$NE$2:$NE$60=N$3)*(GMWQ!$ND$2:$ND$60=N$4),0),$B205-1966)</f>
        <v>6.3093320000000004</v>
      </c>
      <c r="O205" s="18" cm="1">
        <f t="array" ref="O205">INDEX(GMWQ!$A$2:$NE$60,MATCH(1,(GMWQ!$NE$2:$NE$60=O$3)*(GMWQ!$ND$2:$ND$60=O$4),0),$B205-1966)</f>
        <v>4.1385310000000004</v>
      </c>
      <c r="P205" s="18" cm="1">
        <f t="array" ref="P205">INDEX(GMWQ!$A$2:$NE$60,MATCH(1,(GMWQ!$NE$2:$NE$60=P$3)*(GMWQ!$ND$2:$ND$60=P$4),0),$B205-1966)</f>
        <v>454499</v>
      </c>
      <c r="Q205" s="18" cm="1">
        <f t="array" ref="Q205">INDEX(GMWQ!$A$2:$NE$60,MATCH(1,(GMWQ!$NE$2:$NE$60=Q$3)*(GMWQ!$ND$2:$ND$60=Q$4),0),$B205-1966)</f>
        <v>806.27499999999998</v>
      </c>
      <c r="R205" s="18" cm="1">
        <f t="array" ref="R205">INDEX(GMWQ!$A$2:$NE$60,MATCH(1,(GMWQ!$NE$2:$NE$60=R$3)*(GMWQ!$ND$2:$ND$60=R$4),0),$B205-1966)</f>
        <v>23017.32</v>
      </c>
      <c r="S205" s="18" cm="1">
        <f t="array" ref="S205">INDEX(GMWQ!$A$2:$NE$60,MATCH(1,(GMWQ!$NE$2:$NE$60=S$3)*(GMWQ!$ND$2:$ND$60=S$4),0),$B205-1966)</f>
        <v>105.99</v>
      </c>
      <c r="T205" s="18" cm="1">
        <f t="array" ref="T205">INDEX(GMWQ!$A$2:$NE$60,MATCH(1,(GMWQ!$NE$2:$NE$60=T$3)*(GMWQ!$ND$2:$ND$60=T$4),0),$B205-1966)</f>
        <v>84.721990000000005</v>
      </c>
      <c r="U205" s="18" cm="1">
        <f t="array" ref="U205">INDEX(GMWQ!$A$2:$NE$60,MATCH(1,(GMWQ!$NE$2:$NE$60=U$3)*(GMWQ!$ND$2:$ND$60=U$4),0),$B205-1966)</f>
        <v>56.222659999999998</v>
      </c>
      <c r="V205" s="18" cm="1">
        <f t="array" ref="V205">INDEX(GMWQ!$A$2:$NE$60,MATCH(1,(GMWQ!$NE$2:$NE$60=V$3)*(GMWQ!$ND$2:$ND$60=V$4),0),$B205-1966)</f>
        <v>65552.75</v>
      </c>
      <c r="W205" s="18" cm="1">
        <f t="array" ref="W205">INDEX(GMWQ!$A$2:$NF$60,MATCH(1,(GMWQ!$NE$2:$NE$60=W$3)*(GMWQ!$NF$2:$NF$60=W$1),0),$B205-1966)</f>
        <v>51457.64</v>
      </c>
      <c r="X205" s="18" cm="1">
        <f t="array" ref="X205">INDEX(GMWQ!$A$2:$NF$60,MATCH(1,(GMWQ!$NE$2:$NE$60=X$3)*(GMWQ!$NF$2:$NF$60=X$1),0),$B205-1966)</f>
        <v>55589.23</v>
      </c>
      <c r="Y205" s="18" cm="1">
        <f t="array" ref="Y205">INDEX(GMWQ!$A$2:$NF$60,MATCH(1,(GMWQ!$NE$2:$NE$60=Y$3)*(GMWQ!$NF$2:$NF$60=Y$1),0),$B205-1966)</f>
        <v>54063.77</v>
      </c>
      <c r="Z205" s="18" cm="1">
        <f t="array" ref="Z205">INDEX(GMWQ!$A$2:$NF$60,MATCH(1,(GMWQ!$NE$2:$NE$60=Z$3)*(GMWQ!$NF$2:$NF$60=Z$1),0),$B205-1966)</f>
        <v>58076</v>
      </c>
    </row>
    <row r="206" spans="1:26" x14ac:dyDescent="0.25">
      <c r="B206" s="18">
        <f t="shared" si="4"/>
        <v>2172</v>
      </c>
      <c r="C206" s="18" cm="1">
        <f t="array" ref="C206">INDEX(GMWQ!$A$2:$NE$60,MATCH(1,(GMWQ!$NE$2:$NE$60=C$3)*(GMWQ!$ND$2:$ND$60=C$4),0),$B206-1966)</f>
        <v>59248</v>
      </c>
      <c r="D206" s="18" cm="1">
        <f t="array" ref="D206">INDEX(GMWQ!$A$2:$NE$60,MATCH(1,(GMWQ!$NE$2:$NE$60=D$3)*(GMWQ!$ND$2:$ND$60=D$4),0),$B206-1966)</f>
        <v>148171</v>
      </c>
      <c r="E206" s="18" cm="1">
        <f t="array" ref="E206">INDEX(GMWQ!$A$2:$NE$60,MATCH(1,(GMWQ!$NE$2:$NE$60=E$3)*(GMWQ!$ND$2:$ND$60=E$4),0),$B206-1966)</f>
        <v>20073</v>
      </c>
      <c r="F206" s="18" cm="1">
        <f t="array" ref="F206">INDEX(GMWQ!$A$2:$NE$60,MATCH(1,(GMWQ!$NE$2:$NE$60=F$3)*(GMWQ!$ND$2:$ND$60=F$4),0),$B206-1966)</f>
        <v>54608</v>
      </c>
      <c r="G206" s="18" cm="1">
        <f t="array" ref="G206">INDEX(GMWQ!$A$2:$NE$60,MATCH(1,(GMWQ!$NE$2:$NE$60=G$3)*(GMWQ!$ND$2:$ND$60=G$4),0),$B206-1966)</f>
        <v>654062</v>
      </c>
      <c r="H206" s="18" cm="1">
        <f t="array" ref="H206">INDEX(GMWQ!$A$2:$NE$60,MATCH(1,(GMWQ!$NE$2:$NE$60=H$3)*(GMWQ!$ND$2:$ND$60=H$4),0),$B206-1966)</f>
        <v>111787</v>
      </c>
      <c r="I206" s="18" cm="1">
        <f t="array" ref="I206">INDEX(GMWQ!$A$2:$NE$60,MATCH(1,(GMWQ!$NE$2:$NE$60=I$3)*(GMWQ!$ND$2:$ND$60=I$4),0),$B206-1966)</f>
        <v>19702</v>
      </c>
      <c r="J206" s="18" cm="1">
        <f t="array" ref="J206">INDEX(GMWQ!$A$2:$NE$60,MATCH(1,(GMWQ!$NE$2:$NE$60=J$3)*(GMWQ!$ND$2:$ND$60=J$4),0),$B206-1966)</f>
        <v>25319</v>
      </c>
      <c r="K206" s="18" cm="1">
        <f t="array" ref="K206">INDEX(GMWQ!$A$2:$NE$60,MATCH(1,(GMWQ!$NE$2:$NE$60=K$3)*(GMWQ!$ND$2:$ND$60=K$4),0),$B206-1966)</f>
        <v>3290470</v>
      </c>
      <c r="L206" s="18" cm="1">
        <f t="array" ref="L206">INDEX(GMWQ!$A$2:$NE$60,MATCH(1,(GMWQ!$NE$2:$NE$60=L$3)*(GMWQ!$ND$2:$ND$60=L$4),0),$B206-1966)</f>
        <v>33067</v>
      </c>
      <c r="M206" s="18" cm="1">
        <f t="array" ref="M206">INDEX(GMWQ!$A$2:$NE$60,MATCH(1,(GMWQ!$NE$2:$NE$60=M$3)*(GMWQ!$ND$2:$ND$60=M$4),0),$B206-1966)</f>
        <v>31.7</v>
      </c>
      <c r="N206" s="18" cm="1">
        <f t="array" ref="N206">INDEX(GMWQ!$A$2:$NE$60,MATCH(1,(GMWQ!$NE$2:$NE$60=N$3)*(GMWQ!$ND$2:$ND$60=N$4),0),$B206-1966)</f>
        <v>7.1077170000000001</v>
      </c>
      <c r="O206" s="18" cm="1">
        <f t="array" ref="O206">INDEX(GMWQ!$A$2:$NE$60,MATCH(1,(GMWQ!$NE$2:$NE$60=O$3)*(GMWQ!$ND$2:$ND$60=O$4),0),$B206-1966)</f>
        <v>5.2966839999999999</v>
      </c>
      <c r="P206" s="18" cm="1">
        <f t="array" ref="P206">INDEX(GMWQ!$A$2:$NE$60,MATCH(1,(GMWQ!$NE$2:$NE$60=P$3)*(GMWQ!$ND$2:$ND$60=P$4),0),$B206-1966)</f>
        <v>452019</v>
      </c>
      <c r="Q206" s="18" cm="1">
        <f t="array" ref="Q206">INDEX(GMWQ!$A$2:$NE$60,MATCH(1,(GMWQ!$NE$2:$NE$60=Q$3)*(GMWQ!$ND$2:$ND$60=Q$4),0),$B206-1966)</f>
        <v>817.5</v>
      </c>
      <c r="R206" s="18" cm="1">
        <f t="array" ref="R206">INDEX(GMWQ!$A$2:$NE$60,MATCH(1,(GMWQ!$NE$2:$NE$60=R$3)*(GMWQ!$ND$2:$ND$60=R$4),0),$B206-1966)</f>
        <v>22742.63</v>
      </c>
      <c r="S206" s="18" cm="1">
        <f t="array" ref="S206">INDEX(GMWQ!$A$2:$NE$60,MATCH(1,(GMWQ!$NE$2:$NE$60=S$3)*(GMWQ!$ND$2:$ND$60=S$4),0),$B206-1966)</f>
        <v>105.99</v>
      </c>
      <c r="T206" s="18" cm="1">
        <f t="array" ref="T206">INDEX(GMWQ!$A$2:$NE$60,MATCH(1,(GMWQ!$NE$2:$NE$60=T$3)*(GMWQ!$ND$2:$ND$60=T$4),0),$B206-1966)</f>
        <v>85.22</v>
      </c>
      <c r="U206" s="18" cm="1">
        <f t="array" ref="U206">INDEX(GMWQ!$A$2:$NE$60,MATCH(1,(GMWQ!$NE$2:$NE$60=U$3)*(GMWQ!$ND$2:$ND$60=U$4),0),$B206-1966)</f>
        <v>56.10669</v>
      </c>
      <c r="V206" s="18" cm="1">
        <f t="array" ref="V206">INDEX(GMWQ!$A$2:$NE$60,MATCH(1,(GMWQ!$NE$2:$NE$60=V$3)*(GMWQ!$ND$2:$ND$60=V$4),0),$B206-1966)</f>
        <v>64412.25</v>
      </c>
      <c r="W206" s="18" cm="1">
        <f t="array" ref="W206">INDEX(GMWQ!$A$2:$NF$60,MATCH(1,(GMWQ!$NE$2:$NE$60=W$3)*(GMWQ!$NF$2:$NF$60=W$1),0),$B206-1966)</f>
        <v>51689.2</v>
      </c>
      <c r="X206" s="18" cm="1">
        <f t="array" ref="X206">INDEX(GMWQ!$A$2:$NF$60,MATCH(1,(GMWQ!$NE$2:$NE$60=X$3)*(GMWQ!$NF$2:$NF$60=X$1),0),$B206-1966)</f>
        <v>56701.01</v>
      </c>
      <c r="Y206" s="18" cm="1">
        <f t="array" ref="Y206">INDEX(GMWQ!$A$2:$NF$60,MATCH(1,(GMWQ!$NE$2:$NE$60=Y$3)*(GMWQ!$NF$2:$NF$60=Y$1),0),$B206-1966)</f>
        <v>55409.95</v>
      </c>
      <c r="Z206" s="18" cm="1">
        <f t="array" ref="Z206">INDEX(GMWQ!$A$2:$NF$60,MATCH(1,(GMWQ!$NE$2:$NE$60=Z$3)*(GMWQ!$NF$2:$NF$60=Z$1),0),$B206-1966)</f>
        <v>58320</v>
      </c>
    </row>
    <row r="207" spans="1:26" x14ac:dyDescent="0.25">
      <c r="A207" s="18">
        <v>2023</v>
      </c>
      <c r="B207" s="18">
        <f t="shared" si="4"/>
        <v>2173</v>
      </c>
      <c r="C207" s="18" cm="1">
        <f t="array" ref="C207">INDEX(GMWQ!$A$2:$NE$60,MATCH(1,(GMWQ!$NE$2:$NE$60=C$3)*(GMWQ!$ND$2:$ND$60=C$4),0),$B207-1966)</f>
        <v>62482</v>
      </c>
      <c r="D207" s="18" cm="1">
        <f t="array" ref="D207">INDEX(GMWQ!$A$2:$NE$60,MATCH(1,(GMWQ!$NE$2:$NE$60=D$3)*(GMWQ!$ND$2:$ND$60=D$4),0),$B207-1966)</f>
        <v>155912</v>
      </c>
      <c r="E207" s="18" cm="1">
        <f t="array" ref="E207">INDEX(GMWQ!$A$2:$NE$60,MATCH(1,(GMWQ!$NE$2:$NE$60=E$3)*(GMWQ!$ND$2:$ND$60=E$4),0),$B207-1966)</f>
        <v>15392</v>
      </c>
      <c r="F207" s="18" cm="1">
        <f t="array" ref="F207">INDEX(GMWQ!$A$2:$NE$60,MATCH(1,(GMWQ!$NE$2:$NE$60=F$3)*(GMWQ!$ND$2:$ND$60=F$4),0),$B207-1966)</f>
        <v>26842</v>
      </c>
      <c r="G207" s="18" cm="1">
        <f t="array" ref="G207">INDEX(GMWQ!$A$2:$NE$60,MATCH(1,(GMWQ!$NE$2:$NE$60=G$3)*(GMWQ!$ND$2:$ND$60=G$4),0),$B207-1966)</f>
        <v>667939</v>
      </c>
      <c r="H207" s="18" cm="1">
        <f t="array" ref="H207">INDEX(GMWQ!$A$2:$NE$60,MATCH(1,(GMWQ!$NE$2:$NE$60=H$3)*(GMWQ!$ND$2:$ND$60=H$4),0),$B207-1966)</f>
        <v>114830</v>
      </c>
      <c r="I207" s="18" cm="1">
        <f t="array" ref="I207">INDEX(GMWQ!$A$2:$NE$60,MATCH(1,(GMWQ!$NE$2:$NE$60=I$3)*(GMWQ!$ND$2:$ND$60=I$4),0),$B207-1966)</f>
        <v>20023</v>
      </c>
      <c r="J207" s="18" cm="1">
        <f t="array" ref="J207">INDEX(GMWQ!$A$2:$NE$60,MATCH(1,(GMWQ!$NE$2:$NE$60=J$3)*(GMWQ!$ND$2:$ND$60=J$4),0),$B207-1966)</f>
        <v>24843</v>
      </c>
      <c r="K207" s="18" cm="1">
        <f t="array" ref="K207">INDEX(GMWQ!$A$2:$NE$60,MATCH(1,(GMWQ!$NE$2:$NE$60=K$3)*(GMWQ!$ND$2:$ND$60=K$4),0),$B207-1966)</f>
        <v>3304325</v>
      </c>
      <c r="L207" s="18" cm="1">
        <f t="array" ref="L207">INDEX(GMWQ!$A$2:$NE$60,MATCH(1,(GMWQ!$NE$2:$NE$60=L$3)*(GMWQ!$ND$2:$ND$60=L$4),0),$B207-1966)</f>
        <v>33201</v>
      </c>
      <c r="M207" s="18" cm="1">
        <f t="array" ref="M207">INDEX(GMWQ!$A$2:$NE$60,MATCH(1,(GMWQ!$NE$2:$NE$60=M$3)*(GMWQ!$ND$2:$ND$60=M$4),0),$B207-1966)</f>
        <v>31.8</v>
      </c>
      <c r="N207" s="18" cm="1">
        <f t="array" ref="N207">INDEX(GMWQ!$A$2:$NE$60,MATCH(1,(GMWQ!$NE$2:$NE$60=N$3)*(GMWQ!$ND$2:$ND$60=N$4),0),$B207-1966)</f>
        <v>8.4596300000000006</v>
      </c>
      <c r="O207" s="18" cm="1">
        <f t="array" ref="O207">INDEX(GMWQ!$A$2:$NE$60,MATCH(1,(GMWQ!$NE$2:$NE$60=O$3)*(GMWQ!$ND$2:$ND$60=O$4),0),$B207-1966)</f>
        <v>5.224634</v>
      </c>
      <c r="P207" s="18" cm="1">
        <f t="array" ref="P207">INDEX(GMWQ!$A$2:$NE$60,MATCH(1,(GMWQ!$NE$2:$NE$60=P$3)*(GMWQ!$ND$2:$ND$60=P$4),0),$B207-1966)</f>
        <v>454811</v>
      </c>
      <c r="Q207" s="18" cm="1">
        <f t="array" ref="Q207">INDEX(GMWQ!$A$2:$NE$60,MATCH(1,(GMWQ!$NE$2:$NE$60=Q$3)*(GMWQ!$ND$2:$ND$60=Q$4),0),$B207-1966)</f>
        <v>828.2</v>
      </c>
      <c r="R207" s="18" cm="1">
        <f t="array" ref="R207">INDEX(GMWQ!$A$2:$NE$60,MATCH(1,(GMWQ!$NE$2:$NE$60=R$3)*(GMWQ!$ND$2:$ND$60=R$4),0),$B207-1966)</f>
        <v>23271.8</v>
      </c>
      <c r="S207" s="18" cm="1">
        <f t="array" ref="S207">INDEX(GMWQ!$A$2:$NE$60,MATCH(1,(GMWQ!$NE$2:$NE$60=S$3)*(GMWQ!$ND$2:$ND$60=S$4),0),$B207-1966)</f>
        <v>106.51</v>
      </c>
      <c r="T207" s="18" cm="1">
        <f t="array" ref="T207">INDEX(GMWQ!$A$2:$NE$60,MATCH(1,(GMWQ!$NE$2:$NE$60=T$3)*(GMWQ!$ND$2:$ND$60=T$4),0),$B207-1966)</f>
        <v>85.296999999999997</v>
      </c>
      <c r="U207" s="18" cm="1">
        <f t="array" ref="U207">INDEX(GMWQ!$A$2:$NE$60,MATCH(1,(GMWQ!$NE$2:$NE$60=U$3)*(GMWQ!$ND$2:$ND$60=U$4),0),$B207-1966)</f>
        <v>56.391210000000001</v>
      </c>
      <c r="V207" s="18" cm="1">
        <f t="array" ref="V207">INDEX(GMWQ!$A$2:$NE$60,MATCH(1,(GMWQ!$NE$2:$NE$60=V$3)*(GMWQ!$ND$2:$ND$60=V$4),0),$B207-1966)</f>
        <v>64932.75</v>
      </c>
      <c r="W207" s="18" cm="1">
        <f t="array" ref="W207">INDEX(GMWQ!$A$2:$NF$60,MATCH(1,(GMWQ!$NE$2:$NE$60=W$3)*(GMWQ!$NF$2:$NF$60=W$1),0),$B207-1966)</f>
        <v>51921.8</v>
      </c>
      <c r="X207" s="18" cm="1">
        <f t="array" ref="X207">INDEX(GMWQ!$A$2:$NF$60,MATCH(1,(GMWQ!$NE$2:$NE$60=X$3)*(GMWQ!$NF$2:$NF$60=X$1),0),$B207-1966)</f>
        <v>57835.040000000001</v>
      </c>
      <c r="Y207" s="18" cm="1">
        <f t="array" ref="Y207">INDEX(GMWQ!$A$2:$NF$60,MATCH(1,(GMWQ!$NE$2:$NE$60=Y$3)*(GMWQ!$NF$2:$NF$60=Y$1),0),$B207-1966)</f>
        <v>56435.05</v>
      </c>
      <c r="Z207" s="18" cm="1">
        <f t="array" ref="Z207">INDEX(GMWQ!$A$2:$NF$60,MATCH(1,(GMWQ!$NE$2:$NE$60=Z$3)*(GMWQ!$NF$2:$NF$60=Z$1),0),$B207-1966)</f>
        <v>60904</v>
      </c>
    </row>
    <row r="208" spans="1:26" x14ac:dyDescent="0.25">
      <c r="B208" s="18">
        <f t="shared" si="4"/>
        <v>2174</v>
      </c>
      <c r="C208" s="18" cm="1">
        <f t="array" ref="C208">INDEX(GMWQ!$A$2:$NE$60,MATCH(1,(GMWQ!$NE$2:$NE$60=C$3)*(GMWQ!$ND$2:$ND$60=C$4),0),$B208-1966)</f>
        <v>62152</v>
      </c>
      <c r="D208" s="18" cm="1">
        <f t="array" ref="D208">INDEX(GMWQ!$A$2:$NE$60,MATCH(1,(GMWQ!$NE$2:$NE$60=D$3)*(GMWQ!$ND$2:$ND$60=D$4),0),$B208-1966)</f>
        <v>146415</v>
      </c>
      <c r="E208" s="18" cm="1">
        <f t="array" ref="E208">INDEX(GMWQ!$A$2:$NE$60,MATCH(1,(GMWQ!$NE$2:$NE$60=E$3)*(GMWQ!$ND$2:$ND$60=E$4),0),$B208-1966)</f>
        <v>-4386</v>
      </c>
      <c r="F208" s="18" cm="1">
        <f t="array" ref="F208">INDEX(GMWQ!$A$2:$NE$60,MATCH(1,(GMWQ!$NE$2:$NE$60=F$3)*(GMWQ!$ND$2:$ND$60=F$4),0),$B208-1966)</f>
        <v>11506</v>
      </c>
      <c r="G208" s="18" cm="1">
        <f t="array" ref="G208">INDEX(GMWQ!$A$2:$NE$60,MATCH(1,(GMWQ!$NE$2:$NE$60=G$3)*(GMWQ!$ND$2:$ND$60=G$4),0),$B208-1966)</f>
        <v>680492</v>
      </c>
      <c r="H208" s="18" cm="1">
        <f t="array" ref="H208">INDEX(GMWQ!$A$2:$NE$60,MATCH(1,(GMWQ!$NE$2:$NE$60=H$3)*(GMWQ!$ND$2:$ND$60=H$4),0),$B208-1966)</f>
        <v>113009</v>
      </c>
      <c r="I208" s="18" cm="1">
        <f t="array" ref="I208">INDEX(GMWQ!$A$2:$NE$60,MATCH(1,(GMWQ!$NE$2:$NE$60=I$3)*(GMWQ!$ND$2:$ND$60=I$4),0),$B208-1966)</f>
        <v>19563</v>
      </c>
      <c r="J208" s="18" cm="1">
        <f t="array" ref="J208">INDEX(GMWQ!$A$2:$NE$60,MATCH(1,(GMWQ!$NE$2:$NE$60=J$3)*(GMWQ!$ND$2:$ND$60=J$4),0),$B208-1966)</f>
        <v>23934</v>
      </c>
      <c r="K208" s="18" cm="1">
        <f t="array" ref="K208">INDEX(GMWQ!$A$2:$NE$60,MATCH(1,(GMWQ!$NE$2:$NE$60=K$3)*(GMWQ!$ND$2:$ND$60=K$4),0),$B208-1966)</f>
        <v>3318180</v>
      </c>
      <c r="L208" s="18" cm="1">
        <f t="array" ref="L208">INDEX(GMWQ!$A$2:$NE$60,MATCH(1,(GMWQ!$NE$2:$NE$60=L$3)*(GMWQ!$ND$2:$ND$60=L$4),0),$B208-1966)</f>
        <v>33163</v>
      </c>
      <c r="M208" s="18" cm="1">
        <f t="array" ref="M208">INDEX(GMWQ!$A$2:$NE$60,MATCH(1,(GMWQ!$NE$2:$NE$60=M$3)*(GMWQ!$ND$2:$ND$60=M$4),0),$B208-1966)</f>
        <v>31.6</v>
      </c>
      <c r="N208" s="18" cm="1">
        <f t="array" ref="N208">INDEX(GMWQ!$A$2:$NE$60,MATCH(1,(GMWQ!$NE$2:$NE$60=N$3)*(GMWQ!$ND$2:$ND$60=N$4),0),$B208-1966)</f>
        <v>9.5397390000000009</v>
      </c>
      <c r="O208" s="18" cm="1">
        <f t="array" ref="O208">INDEX(GMWQ!$A$2:$NE$60,MATCH(1,(GMWQ!$NE$2:$NE$60=O$3)*(GMWQ!$ND$2:$ND$60=O$4),0),$B208-1966)</f>
        <v>5.8034480000000004</v>
      </c>
      <c r="P208" s="18" cm="1">
        <f t="array" ref="P208">INDEX(GMWQ!$A$2:$NE$60,MATCH(1,(GMWQ!$NE$2:$NE$60=P$3)*(GMWQ!$ND$2:$ND$60=P$4),0),$B208-1966)</f>
        <v>444760</v>
      </c>
      <c r="Q208" s="18" cm="1">
        <f t="array" ref="Q208">INDEX(GMWQ!$A$2:$NE$60,MATCH(1,(GMWQ!$NE$2:$NE$60=Q$3)*(GMWQ!$ND$2:$ND$60=Q$4),0),$B208-1966)</f>
        <v>847.9</v>
      </c>
      <c r="R208" s="18" cm="1">
        <f t="array" ref="R208">INDEX(GMWQ!$A$2:$NE$60,MATCH(1,(GMWQ!$NE$2:$NE$60=R$3)*(GMWQ!$ND$2:$ND$60=R$4),0),$B208-1966)</f>
        <v>22796.75</v>
      </c>
      <c r="S208" s="18" cm="1">
        <f t="array" ref="S208">INDEX(GMWQ!$A$2:$NE$60,MATCH(1,(GMWQ!$NE$2:$NE$60=S$3)*(GMWQ!$ND$2:$ND$60=S$4),0),$B208-1966)</f>
        <v>106.48</v>
      </c>
      <c r="T208" s="18" cm="1">
        <f t="array" ref="T208">INDEX(GMWQ!$A$2:$NE$60,MATCH(1,(GMWQ!$NE$2:$NE$60=T$3)*(GMWQ!$ND$2:$ND$60=T$4),0),$B208-1966)</f>
        <v>85.943989999999999</v>
      </c>
      <c r="U208" s="18" cm="1">
        <f t="array" ref="U208">INDEX(GMWQ!$A$2:$NE$60,MATCH(1,(GMWQ!$NE$2:$NE$60=U$3)*(GMWQ!$ND$2:$ND$60=U$4),0),$B208-1966)</f>
        <v>55.770150000000001</v>
      </c>
      <c r="V208" s="18" cm="1">
        <f t="array" ref="V208">INDEX(GMWQ!$A$2:$NE$60,MATCH(1,(GMWQ!$NE$2:$NE$60=V$3)*(GMWQ!$ND$2:$ND$60=V$4),0),$B208-1966)</f>
        <v>66627.5</v>
      </c>
      <c r="W208" s="18" cm="1">
        <f t="array" ref="W208">INDEX(GMWQ!$A$2:$NF$60,MATCH(1,(GMWQ!$NE$2:$NE$60=W$3)*(GMWQ!$NF$2:$NF$60=W$1),0),$B208-1966)</f>
        <v>52155.43</v>
      </c>
      <c r="X208" s="18" cm="1">
        <f t="array" ref="X208">INDEX(GMWQ!$A$2:$NF$60,MATCH(1,(GMWQ!$NE$2:$NE$60=X$3)*(GMWQ!$NF$2:$NF$60=X$1),0),$B208-1966)</f>
        <v>56389.16</v>
      </c>
      <c r="Y208" s="18" cm="1">
        <f t="array" ref="Y208">INDEX(GMWQ!$A$2:$NF$60,MATCH(1,(GMWQ!$NE$2:$NE$60=Y$3)*(GMWQ!$NF$2:$NF$60=Y$1),0),$B208-1966)</f>
        <v>55108.84</v>
      </c>
      <c r="Z208" s="18" cm="1">
        <f t="array" ref="Z208">INDEX(GMWQ!$A$2:$NF$60,MATCH(1,(GMWQ!$NE$2:$NE$60=Z$3)*(GMWQ!$NF$2:$NF$60=Z$1),0),$B208-1966)</f>
        <v>60887</v>
      </c>
    </row>
    <row r="209" spans="1:26" x14ac:dyDescent="0.25">
      <c r="B209" s="18">
        <f t="shared" si="4"/>
        <v>2175</v>
      </c>
      <c r="C209" s="18" cm="1">
        <f t="array" ref="C209">INDEX(GMWQ!$A$2:$NE$60,MATCH(1,(GMWQ!$NE$2:$NE$60=C$3)*(GMWQ!$ND$2:$ND$60=C$4),0),$B209-1966)</f>
        <v>60296</v>
      </c>
      <c r="D209" s="18" cm="1">
        <f t="array" ref="D209">INDEX(GMWQ!$A$2:$NE$60,MATCH(1,(GMWQ!$NE$2:$NE$60=D$3)*(GMWQ!$ND$2:$ND$60=D$4),0),$B209-1966)</f>
        <v>144032</v>
      </c>
      <c r="E209" s="18" cm="1">
        <f t="array" ref="E209">INDEX(GMWQ!$A$2:$NE$60,MATCH(1,(GMWQ!$NE$2:$NE$60=E$3)*(GMWQ!$ND$2:$ND$60=E$4),0),$B209-1966)</f>
        <v>-5728</v>
      </c>
      <c r="F209" s="18" cm="1">
        <f t="array" ref="F209">INDEX(GMWQ!$A$2:$NE$60,MATCH(1,(GMWQ!$NE$2:$NE$60=F$3)*(GMWQ!$ND$2:$ND$60=F$4),0),$B209-1966)</f>
        <v>11049</v>
      </c>
      <c r="G209" s="18" cm="1">
        <f t="array" ref="G209">INDEX(GMWQ!$A$2:$NE$60,MATCH(1,(GMWQ!$NE$2:$NE$60=G$3)*(GMWQ!$ND$2:$ND$60=G$4),0),$B209-1966)</f>
        <v>685669</v>
      </c>
      <c r="H209" s="18" cm="1">
        <f t="array" ref="H209">INDEX(GMWQ!$A$2:$NE$60,MATCH(1,(GMWQ!$NE$2:$NE$60=H$3)*(GMWQ!$ND$2:$ND$60=H$4),0),$B209-1966)</f>
        <v>111099</v>
      </c>
      <c r="I209" s="18" cm="1">
        <f t="array" ref="I209">INDEX(GMWQ!$A$2:$NE$60,MATCH(1,(GMWQ!$NE$2:$NE$60=I$3)*(GMWQ!$ND$2:$ND$60=I$4),0),$B209-1966)</f>
        <v>19997</v>
      </c>
      <c r="J209" s="18" cm="1">
        <f t="array" ref="J209">INDEX(GMWQ!$A$2:$NE$60,MATCH(1,(GMWQ!$NE$2:$NE$60=J$3)*(GMWQ!$ND$2:$ND$60=J$4),0),$B209-1966)</f>
        <v>23418</v>
      </c>
      <c r="K209" s="18" cm="1">
        <f t="array" ref="K209">INDEX(GMWQ!$A$2:$NE$60,MATCH(1,(GMWQ!$NE$2:$NE$60=K$3)*(GMWQ!$ND$2:$ND$60=K$4),0),$B209-1966)</f>
        <v>3332036</v>
      </c>
      <c r="L209" s="18" cm="1">
        <f t="array" ref="L209">INDEX(GMWQ!$A$2:$NE$60,MATCH(1,(GMWQ!$NE$2:$NE$60=L$3)*(GMWQ!$ND$2:$ND$60=L$4),0),$B209-1966)</f>
        <v>33102</v>
      </c>
      <c r="M209" s="18" cm="1">
        <f t="array" ref="M209">INDEX(GMWQ!$A$2:$NE$60,MATCH(1,(GMWQ!$NE$2:$NE$60=M$3)*(GMWQ!$ND$2:$ND$60=M$4),0),$B209-1966)</f>
        <v>31.4</v>
      </c>
      <c r="N209" s="18" cm="1">
        <f t="array" ref="N209">INDEX(GMWQ!$A$2:$NE$60,MATCH(1,(GMWQ!$NE$2:$NE$60=N$3)*(GMWQ!$ND$2:$ND$60=N$4),0),$B209-1966)</f>
        <v>11.1264</v>
      </c>
      <c r="O209" s="18" cm="1">
        <f t="array" ref="O209">INDEX(GMWQ!$A$2:$NE$60,MATCH(1,(GMWQ!$NE$2:$NE$60=O$3)*(GMWQ!$ND$2:$ND$60=O$4),0),$B209-1966)</f>
        <v>6.3550089999999999</v>
      </c>
      <c r="P209" s="18" cm="1">
        <f t="array" ref="P209">INDEX(GMWQ!$A$2:$NE$60,MATCH(1,(GMWQ!$NE$2:$NE$60=P$3)*(GMWQ!$ND$2:$ND$60=P$4),0),$B209-1966)</f>
        <v>442720</v>
      </c>
      <c r="Q209" s="18" cm="1">
        <f t="array" ref="Q209">INDEX(GMWQ!$A$2:$NE$60,MATCH(1,(GMWQ!$NE$2:$NE$60=Q$3)*(GMWQ!$ND$2:$ND$60=Q$4),0),$B209-1966)</f>
        <v>850.22500000000002</v>
      </c>
      <c r="R209" s="18" cm="1">
        <f t="array" ref="R209">INDEX(GMWQ!$A$2:$NE$60,MATCH(1,(GMWQ!$NE$2:$NE$60=R$3)*(GMWQ!$ND$2:$ND$60=R$4),0),$B209-1966)</f>
        <v>22760.2</v>
      </c>
      <c r="S209" s="18" cm="1">
        <f t="array" ref="S209">INDEX(GMWQ!$A$2:$NE$60,MATCH(1,(GMWQ!$NE$2:$NE$60=S$3)*(GMWQ!$ND$2:$ND$60=S$4),0),$B209-1966)</f>
        <v>106.14</v>
      </c>
      <c r="T209" s="18" cm="1">
        <f t="array" ref="T209">INDEX(GMWQ!$A$2:$NE$60,MATCH(1,(GMWQ!$NE$2:$NE$60=T$3)*(GMWQ!$ND$2:$ND$60=T$4),0),$B209-1966)</f>
        <v>86.435000000000002</v>
      </c>
      <c r="U209" s="18" cm="1">
        <f t="array" ref="U209">INDEX(GMWQ!$A$2:$NE$60,MATCH(1,(GMWQ!$NE$2:$NE$60=U$3)*(GMWQ!$ND$2:$ND$60=U$4),0),$B209-1966)</f>
        <v>55.128010000000003</v>
      </c>
      <c r="V209" s="18" cm="1">
        <f t="array" ref="V209">INDEX(GMWQ!$A$2:$NE$60,MATCH(1,(GMWQ!$NE$2:$NE$60=V$3)*(GMWQ!$ND$2:$ND$60=V$4),0),$B209-1966)</f>
        <v>64161.5</v>
      </c>
      <c r="W209" s="18" cm="1">
        <f t="array" ref="W209">INDEX(GMWQ!$A$2:$NF$60,MATCH(1,(GMWQ!$NE$2:$NE$60=W$3)*(GMWQ!$NF$2:$NF$60=W$1),0),$B209-1966)</f>
        <v>52390.11</v>
      </c>
      <c r="X209" s="18" cm="1">
        <f t="array" ref="X209">INDEX(GMWQ!$A$2:$NF$60,MATCH(1,(GMWQ!$NE$2:$NE$60=X$3)*(GMWQ!$NF$2:$NF$60=X$1),0),$B209-1966)</f>
        <v>55768.87</v>
      </c>
      <c r="Y209" s="18" cm="1">
        <f t="array" ref="Y209">INDEX(GMWQ!$A$2:$NF$60,MATCH(1,(GMWQ!$NE$2:$NE$60=Y$3)*(GMWQ!$NF$2:$NF$60=Y$1),0),$B209-1966)</f>
        <v>54585.29</v>
      </c>
      <c r="Z209" s="18" cm="1">
        <f t="array" ref="Z209">INDEX(GMWQ!$A$2:$NF$60,MATCH(1,(GMWQ!$NE$2:$NE$60=Z$3)*(GMWQ!$NF$2:$NF$60=Z$1),0),$B209-1966)</f>
        <v>59159</v>
      </c>
    </row>
    <row r="210" spans="1:26" x14ac:dyDescent="0.25">
      <c r="B210" s="18">
        <f t="shared" si="4"/>
        <v>2176</v>
      </c>
      <c r="C210" s="18" cm="1">
        <f t="array" ref="C210">INDEX(GMWQ!$A$2:$NE$60,MATCH(1,(GMWQ!$NE$2:$NE$60=C$3)*(GMWQ!$ND$2:$ND$60=C$4),0),$B210-1966)</f>
        <v>61021</v>
      </c>
      <c r="D210" s="18" cm="1">
        <f t="array" ref="D210">INDEX(GMWQ!$A$2:$NE$60,MATCH(1,(GMWQ!$NE$2:$NE$60=D$3)*(GMWQ!$ND$2:$ND$60=D$4),0),$B210-1966)</f>
        <v>141736</v>
      </c>
      <c r="E210" s="18" cm="1">
        <f t="array" ref="E210">INDEX(GMWQ!$A$2:$NE$60,MATCH(1,(GMWQ!$NE$2:$NE$60=E$3)*(GMWQ!$ND$2:$ND$60=E$4),0),$B210-1966)</f>
        <v>-14203</v>
      </c>
      <c r="F210" s="18" cm="1">
        <f t="array" ref="F210">INDEX(GMWQ!$A$2:$NE$60,MATCH(1,(GMWQ!$NE$2:$NE$60=F$3)*(GMWQ!$ND$2:$ND$60=F$4),0),$B210-1966)</f>
        <v>10972</v>
      </c>
      <c r="G210" s="18" cm="1">
        <f t="array" ref="G210">INDEX(GMWQ!$A$2:$NE$60,MATCH(1,(GMWQ!$NE$2:$NE$60=G$3)*(GMWQ!$ND$2:$ND$60=G$4),0),$B210-1966)</f>
        <v>685929</v>
      </c>
      <c r="H210" s="18" cm="1">
        <f t="array" ref="H210">INDEX(GMWQ!$A$2:$NE$60,MATCH(1,(GMWQ!$NE$2:$NE$60=H$3)*(GMWQ!$ND$2:$ND$60=H$4),0),$B210-1966)</f>
        <v>111841</v>
      </c>
      <c r="I210" s="18" cm="1">
        <f t="array" ref="I210">INDEX(GMWQ!$A$2:$NE$60,MATCH(1,(GMWQ!$NE$2:$NE$60=I$3)*(GMWQ!$ND$2:$ND$60=I$4),0),$B210-1966)</f>
        <v>20428</v>
      </c>
      <c r="J210" s="18" cm="1">
        <f t="array" ref="J210">INDEX(GMWQ!$A$2:$NE$60,MATCH(1,(GMWQ!$NE$2:$NE$60=J$3)*(GMWQ!$ND$2:$ND$60=J$4),0),$B210-1966)</f>
        <v>23136</v>
      </c>
      <c r="K210" s="18" cm="1">
        <f t="array" ref="K210">INDEX(GMWQ!$A$2:$NE$60,MATCH(1,(GMWQ!$NE$2:$NE$60=K$3)*(GMWQ!$ND$2:$ND$60=K$4),0),$B210-1966)</f>
        <v>3345891</v>
      </c>
      <c r="L210" s="18" cm="1">
        <f t="array" ref="L210">INDEX(GMWQ!$A$2:$NE$60,MATCH(1,(GMWQ!$NE$2:$NE$60=L$3)*(GMWQ!$ND$2:$ND$60=L$4),0),$B210-1966)</f>
        <v>33174</v>
      </c>
      <c r="M210" s="18" cm="1">
        <f t="array" ref="M210">INDEX(GMWQ!$A$2:$NE$60,MATCH(1,(GMWQ!$NE$2:$NE$60=M$3)*(GMWQ!$ND$2:$ND$60=M$4),0),$B210-1966)</f>
        <v>31.5</v>
      </c>
      <c r="N210" s="18" cm="1">
        <f t="array" ref="N210">INDEX(GMWQ!$A$2:$NE$60,MATCH(1,(GMWQ!$NE$2:$NE$60=N$3)*(GMWQ!$ND$2:$ND$60=N$4),0),$B210-1966)</f>
        <v>11.51923</v>
      </c>
      <c r="O210" s="18" cm="1">
        <f t="array" ref="O210">INDEX(GMWQ!$A$2:$NE$60,MATCH(1,(GMWQ!$NE$2:$NE$60=O$3)*(GMWQ!$ND$2:$ND$60=O$4),0),$B210-1966)</f>
        <v>6.1587019999999999</v>
      </c>
      <c r="P210" s="18" cm="1">
        <f t="array" ref="P210">INDEX(GMWQ!$A$2:$NE$60,MATCH(1,(GMWQ!$NE$2:$NE$60=P$3)*(GMWQ!$ND$2:$ND$60=P$4),0),$B210-1966)</f>
        <v>444406</v>
      </c>
      <c r="Q210" s="18" cm="1">
        <f t="array" ref="Q210">INDEX(GMWQ!$A$2:$NE$60,MATCH(1,(GMWQ!$NE$2:$NE$60=Q$3)*(GMWQ!$ND$2:$ND$60=Q$4),0),$B210-1966)</f>
        <v>858.22500000000002</v>
      </c>
      <c r="R210" s="18" cm="1">
        <f t="array" ref="R210">INDEX(GMWQ!$A$2:$NE$60,MATCH(1,(GMWQ!$NE$2:$NE$60=R$3)*(GMWQ!$ND$2:$ND$60=R$4),0),$B210-1966)</f>
        <v>23236.47</v>
      </c>
      <c r="S210" s="18" cm="1">
        <f t="array" ref="S210">INDEX(GMWQ!$A$2:$NE$60,MATCH(1,(GMWQ!$NE$2:$NE$60=S$3)*(GMWQ!$ND$2:$ND$60=S$4),0),$B210-1966)</f>
        <v>104.67</v>
      </c>
      <c r="T210" s="18" cm="1">
        <f t="array" ref="T210">INDEX(GMWQ!$A$2:$NE$60,MATCH(1,(GMWQ!$NE$2:$NE$60=T$3)*(GMWQ!$ND$2:$ND$60=T$4),0),$B210-1966)</f>
        <v>85.619</v>
      </c>
      <c r="U210" s="18" cm="1">
        <f t="array" ref="U210">INDEX(GMWQ!$A$2:$NE$60,MATCH(1,(GMWQ!$NE$2:$NE$60=U$3)*(GMWQ!$ND$2:$ND$60=U$4),0),$B210-1966)</f>
        <v>54.8264</v>
      </c>
      <c r="V210" s="18" cm="1">
        <f t="array" ref="V210">INDEX(GMWQ!$A$2:$NE$60,MATCH(1,(GMWQ!$NE$2:$NE$60=V$3)*(GMWQ!$ND$2:$ND$60=V$4),0),$B210-1966)</f>
        <v>62431.25</v>
      </c>
      <c r="W210" s="18" cm="1">
        <f t="array" ref="W210">INDEX(GMWQ!$A$2:$NF$60,MATCH(1,(GMWQ!$NE$2:$NE$60=W$3)*(GMWQ!$NF$2:$NF$60=W$1),0),$B210-1966)</f>
        <v>52625.91</v>
      </c>
      <c r="X210" s="18" cm="1">
        <f t="array" ref="X210">INDEX(GMWQ!$A$2:$NF$60,MATCH(1,(GMWQ!$NE$2:$NE$60=X$3)*(GMWQ!$NF$2:$NF$60=X$1),0),$B210-1966)</f>
        <v>55155.42</v>
      </c>
      <c r="Y210" s="18" cm="1">
        <f t="array" ref="Y210">INDEX(GMWQ!$A$2:$NF$60,MATCH(1,(GMWQ!$NE$2:$NE$60=Y$3)*(GMWQ!$NF$2:$NF$60=Y$1),0),$B210-1966)</f>
        <v>54612.59</v>
      </c>
      <c r="Z210" s="18" cm="1">
        <f t="array" ref="Z210">INDEX(GMWQ!$A$2:$NF$60,MATCH(1,(GMWQ!$NE$2:$NE$60=Z$3)*(GMWQ!$NF$2:$NF$60=Z$1),0),$B210-1966)</f>
        <v>59979</v>
      </c>
    </row>
    <row r="211" spans="1:26" x14ac:dyDescent="0.25">
      <c r="A211" s="18">
        <v>2024</v>
      </c>
      <c r="B211" s="18">
        <f t="shared" si="4"/>
        <v>2177</v>
      </c>
      <c r="C211" s="18" cm="1">
        <f t="array" ref="C211">INDEX(GMWQ!$A$2:$NE$60,MATCH(1,(GMWQ!$NE$2:$NE$60=C$3)*(GMWQ!$ND$2:$ND$60=C$4),0),$B211-1966)</f>
        <v>61370</v>
      </c>
      <c r="D211" s="18" cm="1">
        <f t="array" ref="D211">INDEX(GMWQ!$A$2:$NE$60,MATCH(1,(GMWQ!$NE$2:$NE$60=D$3)*(GMWQ!$ND$2:$ND$60=D$4),0),$B211-1966)</f>
        <v>143278</v>
      </c>
      <c r="E211" s="18" cm="1">
        <f t="array" ref="E211">INDEX(GMWQ!$A$2:$NE$60,MATCH(1,(GMWQ!$NE$2:$NE$60=E$3)*(GMWQ!$ND$2:$ND$60=E$4),0),$B211-1966)</f>
        <v>1785</v>
      </c>
      <c r="F211" s="18" cm="1">
        <f t="array" ref="F211">INDEX(GMWQ!$A$2:$NE$60,MATCH(1,(GMWQ!$NE$2:$NE$60=F$3)*(GMWQ!$ND$2:$ND$60=F$4),0),$B211-1966)</f>
        <v>9161</v>
      </c>
      <c r="G211" s="18" cm="1">
        <f t="array" ref="G211">INDEX(GMWQ!$A$2:$NE$60,MATCH(1,(GMWQ!$NE$2:$NE$60=G$3)*(GMWQ!$ND$2:$ND$60=G$4),0),$B211-1966)</f>
        <v>695527</v>
      </c>
      <c r="H211" s="18" cm="1">
        <f t="array" ref="H211">INDEX(GMWQ!$A$2:$NE$60,MATCH(1,(GMWQ!$NE$2:$NE$60=H$3)*(GMWQ!$ND$2:$ND$60=H$4),0),$B211-1966)</f>
        <v>113179</v>
      </c>
      <c r="I211" s="18" cm="1">
        <f t="array" ref="I211">INDEX(GMWQ!$A$2:$NE$60,MATCH(1,(GMWQ!$NE$2:$NE$60=I$3)*(GMWQ!$ND$2:$ND$60=I$4),0),$B211-1966)</f>
        <v>20010</v>
      </c>
      <c r="J211" s="18" cm="1">
        <f t="array" ref="J211">INDEX(GMWQ!$A$2:$NE$60,MATCH(1,(GMWQ!$NE$2:$NE$60=J$3)*(GMWQ!$ND$2:$ND$60=J$4),0),$B211-1966)</f>
        <v>24194</v>
      </c>
      <c r="K211" s="18" cm="1">
        <f t="array" ref="K211">INDEX(GMWQ!$A$2:$NE$60,MATCH(1,(GMWQ!$NE$2:$NE$60=K$3)*(GMWQ!$ND$2:$ND$60=K$4),0),$B211-1966)</f>
        <v>3359594</v>
      </c>
      <c r="L211" s="18" cm="1">
        <f t="array" ref="L211">INDEX(GMWQ!$A$2:$NE$60,MATCH(1,(GMWQ!$NE$2:$NE$60=L$3)*(GMWQ!$ND$2:$ND$60=L$4),0),$B211-1966)</f>
        <v>32997</v>
      </c>
      <c r="M211" s="18" cm="1">
        <f t="array" ref="M211">INDEX(GMWQ!$A$2:$NE$60,MATCH(1,(GMWQ!$NE$2:$NE$60=M$3)*(GMWQ!$ND$2:$ND$60=M$4),0),$B211-1966)</f>
        <v>32</v>
      </c>
      <c r="N211" s="18" cm="1">
        <f t="array" ref="N211">INDEX(GMWQ!$A$2:$NE$60,MATCH(1,(GMWQ!$NE$2:$NE$60=N$3)*(GMWQ!$ND$2:$ND$60=N$4),0),$B211-1966)</f>
        <v>11.61557</v>
      </c>
      <c r="O211" s="18" cm="1">
        <f t="array" ref="O211">INDEX(GMWQ!$A$2:$NE$60,MATCH(1,(GMWQ!$NE$2:$NE$60=O$3)*(GMWQ!$ND$2:$ND$60=O$4),0),$B211-1966)</f>
        <v>5.8400509999999999</v>
      </c>
      <c r="P211" s="18" cm="1">
        <f t="array" ref="P211">INDEX(GMWQ!$A$2:$NE$60,MATCH(1,(GMWQ!$NE$2:$NE$60=P$3)*(GMWQ!$ND$2:$ND$60=P$4),0),$B211-1966)</f>
        <v>450507</v>
      </c>
      <c r="Q211" s="18" cm="1">
        <f t="array" ref="Q211">INDEX(GMWQ!$A$2:$NE$60,MATCH(1,(GMWQ!$NE$2:$NE$60=Q$3)*(GMWQ!$ND$2:$ND$60=Q$4),0),$B211-1966)</f>
        <v>867.75</v>
      </c>
      <c r="R211" s="18" cm="1">
        <f t="array" ref="R211">INDEX(GMWQ!$A$2:$NE$60,MATCH(1,(GMWQ!$NE$2:$NE$60=R$3)*(GMWQ!$ND$2:$ND$60=R$4),0),$B211-1966)</f>
        <v>23125.9</v>
      </c>
      <c r="S211" s="18" cm="1">
        <f t="array" ref="S211">INDEX(GMWQ!$A$2:$NE$60,MATCH(1,(GMWQ!$NE$2:$NE$60=S$3)*(GMWQ!$ND$2:$ND$60=S$4),0),$B211-1966)</f>
        <v>104.07</v>
      </c>
      <c r="T211" s="18" cm="1">
        <f t="array" ref="T211">INDEX(GMWQ!$A$2:$NE$60,MATCH(1,(GMWQ!$NE$2:$NE$60=T$3)*(GMWQ!$ND$2:$ND$60=T$4),0),$B211-1966)</f>
        <v>85.362989999999996</v>
      </c>
      <c r="U211" s="18" cm="1">
        <f t="array" ref="U211">INDEX(GMWQ!$A$2:$NE$60,MATCH(1,(GMWQ!$NE$2:$NE$60=U$3)*(GMWQ!$ND$2:$ND$60=U$4),0),$B211-1966)</f>
        <v>56.13899</v>
      </c>
      <c r="V211" s="18" cm="1">
        <f t="array" ref="V211">INDEX(GMWQ!$A$2:$NE$60,MATCH(1,(GMWQ!$NE$2:$NE$60=V$3)*(GMWQ!$ND$2:$ND$60=V$4),0),$B211-1966)</f>
        <v>62964.5</v>
      </c>
      <c r="W211" s="18" cm="1">
        <f t="array" ref="W211">INDEX(GMWQ!$A$2:$NF$60,MATCH(1,(GMWQ!$NE$2:$NE$60=W$3)*(GMWQ!$NF$2:$NF$60=W$1),0),$B211-1966)</f>
        <v>52862.73</v>
      </c>
      <c r="X211" s="18" cm="1">
        <f t="array" ref="X211">INDEX(GMWQ!$A$2:$NF$60,MATCH(1,(GMWQ!$NE$2:$NE$60=X$3)*(GMWQ!$NF$2:$NF$60=X$1),0),$B211-1966)</f>
        <v>55100.27</v>
      </c>
      <c r="Y211" s="18" cm="1">
        <f t="array" ref="Y211">INDEX(GMWQ!$A$2:$NF$60,MATCH(1,(GMWQ!$NE$2:$NE$60=Y$3)*(GMWQ!$NF$2:$NF$60=Y$1),0),$B211-1966)</f>
        <v>54776.44</v>
      </c>
      <c r="Z211" s="18" cm="1">
        <f t="array" ref="Z211">INDEX(GMWQ!$A$2:$NF$60,MATCH(1,(GMWQ!$NE$2:$NE$60=Z$3)*(GMWQ!$NF$2:$NF$60=Z$1),0),$B211-1966)</f>
        <v>60299</v>
      </c>
    </row>
    <row r="212" spans="1:26" x14ac:dyDescent="0.25">
      <c r="B212" s="18">
        <f t="shared" si="4"/>
        <v>2178</v>
      </c>
      <c r="C212" s="18" cm="1">
        <f t="array" ref="C212">INDEX(GMWQ!$A$2:$NE$60,MATCH(1,(GMWQ!$NE$2:$NE$60=C$3)*(GMWQ!$ND$2:$ND$60=C$4),0),$B212-1966)</f>
        <v>62250</v>
      </c>
      <c r="D212" s="18" cm="1">
        <f t="array" ref="D212">INDEX(GMWQ!$A$2:$NE$60,MATCH(1,(GMWQ!$NE$2:$NE$60=D$3)*(GMWQ!$ND$2:$ND$60=D$4),0),$B212-1966)</f>
        <v>145287</v>
      </c>
      <c r="E212" s="18" cm="1">
        <f t="array" ref="E212">INDEX(GMWQ!$A$2:$NE$60,MATCH(1,(GMWQ!$NE$2:$NE$60=E$3)*(GMWQ!$ND$2:$ND$60=E$4),0),$B212-1966)</f>
        <v>-23765</v>
      </c>
      <c r="F212" s="18" cm="1">
        <f t="array" ref="F212">INDEX(GMWQ!$A$2:$NE$60,MATCH(1,(GMWQ!$NE$2:$NE$60=F$3)*(GMWQ!$ND$2:$ND$60=F$4),0),$B212-1966)</f>
        <v>-9245</v>
      </c>
      <c r="G212" s="18" cm="1">
        <f t="array" ref="G212">INDEX(GMWQ!$A$2:$NE$60,MATCH(1,(GMWQ!$NE$2:$NE$60=G$3)*(GMWQ!$ND$2:$ND$60=G$4),0),$B212-1966)</f>
        <v>702893</v>
      </c>
      <c r="H212" s="18" cm="1">
        <f t="array" ref="H212">INDEX(GMWQ!$A$2:$NE$60,MATCH(1,(GMWQ!$NE$2:$NE$60=H$3)*(GMWQ!$ND$2:$ND$60=H$4),0),$B212-1966)</f>
        <v>113833</v>
      </c>
      <c r="I212" s="18" cm="1">
        <f t="array" ref="I212">INDEX(GMWQ!$A$2:$NE$60,MATCH(1,(GMWQ!$NE$2:$NE$60=I$3)*(GMWQ!$ND$2:$ND$60=I$4),0),$B212-1966)</f>
        <v>20427</v>
      </c>
      <c r="J212" s="18" cm="1">
        <f t="array" ref="J212">INDEX(GMWQ!$A$2:$NE$60,MATCH(1,(GMWQ!$NE$2:$NE$60=J$3)*(GMWQ!$ND$2:$ND$60=J$4),0),$B212-1966)</f>
        <v>23666</v>
      </c>
      <c r="K212" s="18" cm="1">
        <f t="array" ref="K212">INDEX(GMWQ!$A$2:$NE$60,MATCH(1,(GMWQ!$NE$2:$NE$60=K$3)*(GMWQ!$ND$2:$ND$60=K$4),0),$B212-1966)</f>
        <v>3374122</v>
      </c>
      <c r="L212" s="18" cm="1">
        <f t="array" ref="L212">INDEX(GMWQ!$A$2:$NE$60,MATCH(1,(GMWQ!$NE$2:$NE$60=L$3)*(GMWQ!$ND$2:$ND$60=L$4),0),$B212-1966)</f>
        <v>33094</v>
      </c>
      <c r="M212" s="18" cm="1">
        <f t="array" ref="M212">INDEX(GMWQ!$A$2:$NE$60,MATCH(1,(GMWQ!$NE$2:$NE$60=M$3)*(GMWQ!$ND$2:$ND$60=M$4),0),$B212-1966)</f>
        <v>32</v>
      </c>
      <c r="N212" s="18" cm="1">
        <f t="array" ref="N212">INDEX(GMWQ!$A$2:$NE$60,MATCH(1,(GMWQ!$NE$2:$NE$60=N$3)*(GMWQ!$ND$2:$ND$60=N$4),0),$B212-1966)</f>
        <v>11.222950000000001</v>
      </c>
      <c r="O212" s="18" cm="1">
        <f t="array" ref="O212">INDEX(GMWQ!$A$2:$NE$60,MATCH(1,(GMWQ!$NE$2:$NE$60=O$3)*(GMWQ!$ND$2:$ND$60=O$4),0),$B212-1966)</f>
        <v>5.8827699999999998</v>
      </c>
      <c r="P212" s="18" cm="1">
        <f t="array" ref="P212">INDEX(GMWQ!$A$2:$NE$60,MATCH(1,(GMWQ!$NE$2:$NE$60=P$3)*(GMWQ!$ND$2:$ND$60=P$4),0),$B212-1966)</f>
        <v>453455</v>
      </c>
      <c r="Q212" s="18" cm="1">
        <f t="array" ref="Q212">INDEX(GMWQ!$A$2:$NE$60,MATCH(1,(GMWQ!$NE$2:$NE$60=Q$3)*(GMWQ!$ND$2:$ND$60=Q$4),0),$B212-1966)</f>
        <v>876.02499999999998</v>
      </c>
      <c r="R212" s="18" cm="1">
        <f t="array" ref="R212">INDEX(GMWQ!$A$2:$NE$60,MATCH(1,(GMWQ!$NE$2:$NE$60=R$3)*(GMWQ!$ND$2:$ND$60=R$4),0),$B212-1966)</f>
        <v>23305.22</v>
      </c>
      <c r="S212" s="18" cm="1">
        <f t="array" ref="S212">INDEX(GMWQ!$A$2:$NE$60,MATCH(1,(GMWQ!$NE$2:$NE$60=S$3)*(GMWQ!$ND$2:$ND$60=S$4),0),$B212-1966)</f>
        <v>101.19</v>
      </c>
      <c r="T212" s="18" cm="1">
        <f t="array" ref="T212">INDEX(GMWQ!$A$2:$NE$60,MATCH(1,(GMWQ!$NE$2:$NE$60=T$3)*(GMWQ!$ND$2:$ND$60=T$4),0),$B212-1966)</f>
        <v>85.022009999999995</v>
      </c>
      <c r="U212" s="18" cm="1">
        <f t="array" ref="U212">INDEX(GMWQ!$A$2:$NE$60,MATCH(1,(GMWQ!$NE$2:$NE$60=U$3)*(GMWQ!$ND$2:$ND$60=U$4),0),$B212-1966)</f>
        <v>56.23039</v>
      </c>
      <c r="V212" s="18" cm="1">
        <f t="array" ref="V212">INDEX(GMWQ!$A$2:$NE$60,MATCH(1,(GMWQ!$NE$2:$NE$60=V$3)*(GMWQ!$ND$2:$ND$60=V$4),0),$B212-1966)</f>
        <v>64330.75</v>
      </c>
      <c r="W212" s="18" cm="1">
        <f t="array" ref="W212">INDEX(GMWQ!$A$2:$NF$60,MATCH(1,(GMWQ!$NE$2:$NE$60=W$3)*(GMWQ!$NF$2:$NF$60=W$1),0),$B212-1966)</f>
        <v>53100.57</v>
      </c>
      <c r="X212" s="18" cm="1">
        <f t="array" ref="X212">INDEX(GMWQ!$A$2:$NF$60,MATCH(1,(GMWQ!$NE$2:$NE$60=X$3)*(GMWQ!$NF$2:$NF$60=X$1),0),$B212-1966)</f>
        <v>55293.120000000003</v>
      </c>
      <c r="Y212" s="18" cm="1">
        <f t="array" ref="Y212">INDEX(GMWQ!$A$2:$NF$60,MATCH(1,(GMWQ!$NE$2:$NE$60=Y$3)*(GMWQ!$NF$2:$NF$60=Y$1),0),$B212-1966)</f>
        <v>55050.32</v>
      </c>
      <c r="Z212" s="18" cm="1">
        <f t="array" ref="Z212">INDEX(GMWQ!$A$2:$NF$60,MATCH(1,(GMWQ!$NE$2:$NE$60=Z$3)*(GMWQ!$NF$2:$NF$60=Z$1),0),$B212-1966)</f>
        <v>60245</v>
      </c>
    </row>
    <row r="213" spans="1:26" x14ac:dyDescent="0.25">
      <c r="B213" s="18">
        <f t="shared" si="4"/>
        <v>2179</v>
      </c>
      <c r="C213" s="18" cm="1">
        <f t="array" ref="C213">INDEX(GMWQ!$A$2:$NE$60,MATCH(1,(GMWQ!$NE$2:$NE$60=C$3)*(GMWQ!$ND$2:$ND$60=C$4),0),$B213-1966)</f>
        <v>62685.75</v>
      </c>
      <c r="D213" s="18" cm="1">
        <f t="array" ref="D213">INDEX(GMWQ!$A$2:$NE$60,MATCH(1,(GMWQ!$NE$2:$NE$60=D$3)*(GMWQ!$ND$2:$ND$60=D$4),0),$B213-1966)</f>
        <v>152948.9</v>
      </c>
      <c r="E213" s="18" cm="1">
        <f t="array" ref="E213">INDEX(GMWQ!$A$2:$NE$60,MATCH(1,(GMWQ!$NE$2:$NE$60=E$3)*(GMWQ!$ND$2:$ND$60=E$4),0),$B213-1966)</f>
        <v>-26459.29</v>
      </c>
      <c r="F213" s="18" cm="1">
        <f t="array" ref="F213">INDEX(GMWQ!$A$2:$NE$60,MATCH(1,(GMWQ!$NE$2:$NE$60=F$3)*(GMWQ!$ND$2:$ND$60=F$4),0),$B213-1966)</f>
        <v>-14989.12</v>
      </c>
      <c r="G213" s="18" cm="1">
        <f t="array" ref="G213">INDEX(GMWQ!$A$2:$NE$60,MATCH(1,(GMWQ!$NE$2:$NE$60=G$3)*(GMWQ!$ND$2:$ND$60=G$4),0),$B213-1966)</f>
        <v>709692.4</v>
      </c>
      <c r="H213" s="18" cm="1">
        <f t="array" ref="H213">INDEX(GMWQ!$A$2:$NE$60,MATCH(1,(GMWQ!$NE$2:$NE$60=H$3)*(GMWQ!$ND$2:$ND$60=H$4),0),$B213-1966)</f>
        <v>113175.3</v>
      </c>
      <c r="I213" s="18" cm="1">
        <f t="array" ref="I213">INDEX(GMWQ!$A$2:$NE$60,MATCH(1,(GMWQ!$NE$2:$NE$60=I$3)*(GMWQ!$ND$2:$ND$60=I$4),0),$B213-1966)</f>
        <v>19357.03</v>
      </c>
      <c r="J213" s="18" cm="1">
        <f t="array" ref="J213">INDEX(GMWQ!$A$2:$NE$60,MATCH(1,(GMWQ!$NE$2:$NE$60=J$3)*(GMWQ!$ND$2:$ND$60=J$4),0),$B213-1966)</f>
        <v>23571.34</v>
      </c>
      <c r="K213" s="18" cm="1">
        <f t="array" ref="K213">INDEX(GMWQ!$A$2:$NE$60,MATCH(1,(GMWQ!$NE$2:$NE$60=K$3)*(GMWQ!$ND$2:$ND$60=K$4),0),$B213-1966)</f>
        <v>3387712</v>
      </c>
      <c r="L213" s="18" cm="1">
        <f t="array" ref="L213">INDEX(GMWQ!$A$2:$NE$60,MATCH(1,(GMWQ!$NE$2:$NE$60=L$3)*(GMWQ!$ND$2:$ND$60=L$4),0),$B213-1966)</f>
        <v>33098.85</v>
      </c>
      <c r="M213" s="18" cm="1">
        <f t="array" ref="M213">INDEX(GMWQ!$A$2:$NE$60,MATCH(1,(GMWQ!$NE$2:$NE$60=M$3)*(GMWQ!$ND$2:$ND$60=M$4),0),$B213-1966)</f>
        <v>32</v>
      </c>
      <c r="N213" s="18" cm="1">
        <f t="array" ref="N213">INDEX(GMWQ!$A$2:$NE$60,MATCH(1,(GMWQ!$NE$2:$NE$60=N$3)*(GMWQ!$ND$2:$ND$60=N$4),0),$B213-1966)</f>
        <v>10.85272</v>
      </c>
      <c r="O213" s="18" cm="1">
        <f t="array" ref="O213">INDEX(GMWQ!$A$2:$NE$60,MATCH(1,(GMWQ!$NE$2:$NE$60=O$3)*(GMWQ!$ND$2:$ND$60=O$4),0),$B213-1966)</f>
        <v>5.7002139999999999</v>
      </c>
      <c r="P213" s="18" cm="1">
        <f t="array" ref="P213">INDEX(GMWQ!$A$2:$NE$60,MATCH(1,(GMWQ!$NE$2:$NE$60=P$3)*(GMWQ!$ND$2:$ND$60=P$4),0),$B213-1966)</f>
        <v>453095.7</v>
      </c>
      <c r="Q213" s="18" cm="1">
        <f t="array" ref="Q213">INDEX(GMWQ!$A$2:$NE$60,MATCH(1,(GMWQ!$NE$2:$NE$60=Q$3)*(GMWQ!$ND$2:$ND$60=Q$4),0),$B213-1966)</f>
        <v>886.7758</v>
      </c>
      <c r="R213" s="18" cm="1">
        <f t="array" ref="R213">INDEX(GMWQ!$A$2:$NE$60,MATCH(1,(GMWQ!$NE$2:$NE$60=R$3)*(GMWQ!$ND$2:$ND$60=R$4),0),$B213-1966)</f>
        <v>23474.01</v>
      </c>
      <c r="S213" s="18" cm="1">
        <f t="array" ref="S213">INDEX(GMWQ!$A$2:$NE$60,MATCH(1,(GMWQ!$NE$2:$NE$60=S$3)*(GMWQ!$ND$2:$ND$60=S$4),0),$B213-1966)</f>
        <v>101.4041</v>
      </c>
      <c r="T213" s="18" cm="1">
        <f t="array" ref="T213">INDEX(GMWQ!$A$2:$NE$60,MATCH(1,(GMWQ!$NE$2:$NE$60=T$3)*(GMWQ!$ND$2:$ND$60=T$4),0),$B213-1966)</f>
        <v>84.84254</v>
      </c>
      <c r="U213" s="18" cm="1">
        <f t="array" ref="U213">INDEX(GMWQ!$A$2:$NE$60,MATCH(1,(GMWQ!$NE$2:$NE$60=U$3)*(GMWQ!$ND$2:$ND$60=U$4),0),$B213-1966)</f>
        <v>56.638330000000003</v>
      </c>
      <c r="V213" s="18" cm="1">
        <f t="array" ref="V213">INDEX(GMWQ!$A$2:$NE$60,MATCH(1,(GMWQ!$NE$2:$NE$60=V$3)*(GMWQ!$ND$2:$ND$60=V$4),0),$B213-1966)</f>
        <v>64091.35</v>
      </c>
      <c r="W213" s="18" cm="1">
        <f t="array" ref="W213">INDEX(GMWQ!$A$2:$NF$60,MATCH(1,(GMWQ!$NE$2:$NE$60=W$3)*(GMWQ!$NF$2:$NF$60=W$1),0),$B213-1966)</f>
        <v>53339.5</v>
      </c>
      <c r="X213" s="18" cm="1">
        <f t="array" ref="X213">INDEX(GMWQ!$A$2:$NF$60,MATCH(1,(GMWQ!$NE$2:$NE$60=X$3)*(GMWQ!$NF$2:$NF$60=X$1),0),$B213-1966)</f>
        <v>55486.61</v>
      </c>
      <c r="Y213" s="18" cm="1">
        <f t="array" ref="Y213">INDEX(GMWQ!$A$2:$NF$60,MATCH(1,(GMWQ!$NE$2:$NE$60=Y$3)*(GMWQ!$NF$2:$NF$60=Y$1),0),$B213-1966)</f>
        <v>55325.52</v>
      </c>
      <c r="Z213" s="18" cm="1">
        <f t="array" ref="Z213">INDEX(GMWQ!$A$2:$NF$60,MATCH(1,(GMWQ!$NE$2:$NE$60=Z$3)*(GMWQ!$NF$2:$NF$60=Z$1),0),$B213-1966)</f>
        <v>60666.71</v>
      </c>
    </row>
    <row r="214" spans="1:26" x14ac:dyDescent="0.25">
      <c r="B214" s="18">
        <f t="shared" si="4"/>
        <v>2180</v>
      </c>
      <c r="C214" s="18" cm="1">
        <f t="array" ref="C214">INDEX(GMWQ!$A$2:$NE$60,MATCH(1,(GMWQ!$NE$2:$NE$60=C$3)*(GMWQ!$ND$2:$ND$60=C$4),0),$B214-1966)</f>
        <v>63030.5</v>
      </c>
      <c r="D214" s="18" cm="1">
        <f t="array" ref="D214">INDEX(GMWQ!$A$2:$NE$60,MATCH(1,(GMWQ!$NE$2:$NE$60=D$3)*(GMWQ!$ND$2:$ND$60=D$4),0),$B214-1966)</f>
        <v>155616.79999999999</v>
      </c>
      <c r="E214" s="18" cm="1">
        <f t="array" ref="E214">INDEX(GMWQ!$A$2:$NE$60,MATCH(1,(GMWQ!$NE$2:$NE$60=E$3)*(GMWQ!$ND$2:$ND$60=E$4),0),$B214-1966)</f>
        <v>-16019.26</v>
      </c>
      <c r="F214" s="18" cm="1">
        <f t="array" ref="F214">INDEX(GMWQ!$A$2:$NE$60,MATCH(1,(GMWQ!$NE$2:$NE$60=F$3)*(GMWQ!$ND$2:$ND$60=F$4),0),$B214-1966)</f>
        <v>-7008.2330000000002</v>
      </c>
      <c r="G214" s="18" cm="1">
        <f t="array" ref="G214">INDEX(GMWQ!$A$2:$NE$60,MATCH(1,(GMWQ!$NE$2:$NE$60=G$3)*(GMWQ!$ND$2:$ND$60=G$4),0),$B214-1966)</f>
        <v>717100.5</v>
      </c>
      <c r="H214" s="18" cm="1">
        <f t="array" ref="H214">INDEX(GMWQ!$A$2:$NE$60,MATCH(1,(GMWQ!$NE$2:$NE$60=H$3)*(GMWQ!$ND$2:$ND$60=H$4),0),$B214-1966)</f>
        <v>113497.60000000001</v>
      </c>
      <c r="I214" s="18" cm="1">
        <f t="array" ref="I214">INDEX(GMWQ!$A$2:$NE$60,MATCH(1,(GMWQ!$NE$2:$NE$60=I$3)*(GMWQ!$ND$2:$ND$60=I$4),0),$B214-1966)</f>
        <v>19251.759999999998</v>
      </c>
      <c r="J214" s="18" cm="1">
        <f t="array" ref="J214">INDEX(GMWQ!$A$2:$NE$60,MATCH(1,(GMWQ!$NE$2:$NE$60=J$3)*(GMWQ!$ND$2:$ND$60=J$4),0),$B214-1966)</f>
        <v>23540.74</v>
      </c>
      <c r="K214" s="18" cm="1">
        <f t="array" ref="K214">INDEX(GMWQ!$A$2:$NE$60,MATCH(1,(GMWQ!$NE$2:$NE$60=K$3)*(GMWQ!$ND$2:$ND$60=K$4),0),$B214-1966)</f>
        <v>3401300</v>
      </c>
      <c r="L214" s="18" cm="1">
        <f t="array" ref="L214">INDEX(GMWQ!$A$2:$NE$60,MATCH(1,(GMWQ!$NE$2:$NE$60=L$3)*(GMWQ!$ND$2:$ND$60=L$4),0),$B214-1966)</f>
        <v>33155.550000000003</v>
      </c>
      <c r="M214" s="18" cm="1">
        <f t="array" ref="M214">INDEX(GMWQ!$A$2:$NE$60,MATCH(1,(GMWQ!$NE$2:$NE$60=M$3)*(GMWQ!$ND$2:$ND$60=M$4),0),$B214-1966)</f>
        <v>32</v>
      </c>
      <c r="N214" s="18" cm="1">
        <f t="array" ref="N214">INDEX(GMWQ!$A$2:$NE$60,MATCH(1,(GMWQ!$NE$2:$NE$60=N$3)*(GMWQ!$ND$2:$ND$60=N$4),0),$B214-1966)</f>
        <v>10.60759</v>
      </c>
      <c r="O214" s="18" cm="1">
        <f t="array" ref="O214">INDEX(GMWQ!$A$2:$NE$60,MATCH(1,(GMWQ!$NE$2:$NE$60=O$3)*(GMWQ!$ND$2:$ND$60=O$4),0),$B214-1966)</f>
        <v>5.6348539999999998</v>
      </c>
      <c r="P214" s="18" cm="1">
        <f t="array" ref="P214">INDEX(GMWQ!$A$2:$NE$60,MATCH(1,(GMWQ!$NE$2:$NE$60=P$3)*(GMWQ!$ND$2:$ND$60=P$4),0),$B214-1966)</f>
        <v>456647.3</v>
      </c>
      <c r="Q214" s="18" cm="1">
        <f t="array" ref="Q214">INDEX(GMWQ!$A$2:$NE$60,MATCH(1,(GMWQ!$NE$2:$NE$60=Q$3)*(GMWQ!$ND$2:$ND$60=Q$4),0),$B214-1966)</f>
        <v>891.85310000000004</v>
      </c>
      <c r="R214" s="18" cm="1">
        <f t="array" ref="R214">INDEX(GMWQ!$A$2:$NE$60,MATCH(1,(GMWQ!$NE$2:$NE$60=R$3)*(GMWQ!$ND$2:$ND$60=R$4),0),$B214-1966)</f>
        <v>23535.15</v>
      </c>
      <c r="S214" s="18" cm="1">
        <f t="array" ref="S214">INDEX(GMWQ!$A$2:$NE$60,MATCH(1,(GMWQ!$NE$2:$NE$60=S$3)*(GMWQ!$ND$2:$ND$60=S$4),0),$B214-1966)</f>
        <v>101.7086</v>
      </c>
      <c r="T214" s="18" cm="1">
        <f t="array" ref="T214">INDEX(GMWQ!$A$2:$NE$60,MATCH(1,(GMWQ!$NE$2:$NE$60=T$3)*(GMWQ!$ND$2:$ND$60=T$4),0),$B214-1966)</f>
        <v>84.847759999999994</v>
      </c>
      <c r="U214" s="18" cm="1">
        <f t="array" ref="U214">INDEX(GMWQ!$A$2:$NE$60,MATCH(1,(GMWQ!$NE$2:$NE$60=U$3)*(GMWQ!$ND$2:$ND$60=U$4),0),$B214-1966)</f>
        <v>57.141500000000001</v>
      </c>
      <c r="V214" s="18" cm="1">
        <f t="array" ref="V214">INDEX(GMWQ!$A$2:$NE$60,MATCH(1,(GMWQ!$NE$2:$NE$60=V$3)*(GMWQ!$ND$2:$ND$60=V$4),0),$B214-1966)</f>
        <v>64382.96</v>
      </c>
      <c r="W214" s="18" cm="1">
        <f t="array" ref="W214">INDEX(GMWQ!$A$2:$NF$60,MATCH(1,(GMWQ!$NE$2:$NE$60=W$3)*(GMWQ!$NF$2:$NF$60=W$1),0),$B214-1966)</f>
        <v>53579.59</v>
      </c>
      <c r="X214" s="18" cm="1">
        <f t="array" ref="X214">INDEX(GMWQ!$A$2:$NF$60,MATCH(1,(GMWQ!$NE$2:$NE$60=X$3)*(GMWQ!$NF$2:$NF$60=X$1),0),$B214-1966)</f>
        <v>55680.89</v>
      </c>
      <c r="Y214" s="18" cm="1">
        <f t="array" ref="Y214">INDEX(GMWQ!$A$2:$NF$60,MATCH(1,(GMWQ!$NE$2:$NE$60=Y$3)*(GMWQ!$NF$2:$NF$60=Y$1),0),$B214-1966)</f>
        <v>55602.22</v>
      </c>
      <c r="Z214" s="18" cm="1">
        <f t="array" ref="Z214">INDEX(GMWQ!$A$2:$NF$60,MATCH(1,(GMWQ!$NE$2:$NE$60=Z$3)*(GMWQ!$NF$2:$NF$60=Z$1),0),$B214-1966)</f>
        <v>61000.36</v>
      </c>
    </row>
    <row r="215" spans="1:26" x14ac:dyDescent="0.25">
      <c r="A215" s="18">
        <v>2025</v>
      </c>
      <c r="B215" s="18">
        <f t="shared" si="4"/>
        <v>2181</v>
      </c>
      <c r="C215" s="18" cm="1">
        <f t="array" ref="C215">INDEX(GMWQ!$A$2:$NE$60,MATCH(1,(GMWQ!$NE$2:$NE$60=C$3)*(GMWQ!$ND$2:$ND$60=C$4),0),$B215-1966)</f>
        <v>63408.71</v>
      </c>
      <c r="D215" s="18" cm="1">
        <f t="array" ref="D215">INDEX(GMWQ!$A$2:$NE$60,MATCH(1,(GMWQ!$NE$2:$NE$60=D$3)*(GMWQ!$ND$2:$ND$60=D$4),0),$B215-1966)</f>
        <v>156998.20000000001</v>
      </c>
      <c r="E215" s="18" cm="1">
        <f t="array" ref="E215">INDEX(GMWQ!$A$2:$NE$60,MATCH(1,(GMWQ!$NE$2:$NE$60=E$3)*(GMWQ!$ND$2:$ND$60=E$4),0),$B215-1966)</f>
        <v>-14492.25</v>
      </c>
      <c r="F215" s="18" cm="1">
        <f t="array" ref="F215">INDEX(GMWQ!$A$2:$NE$60,MATCH(1,(GMWQ!$NE$2:$NE$60=F$3)*(GMWQ!$ND$2:$ND$60=F$4),0),$B215-1966)</f>
        <v>-7474.433</v>
      </c>
      <c r="G215" s="18" cm="1">
        <f t="array" ref="G215">INDEX(GMWQ!$A$2:$NE$60,MATCH(1,(GMWQ!$NE$2:$NE$60=G$3)*(GMWQ!$ND$2:$ND$60=G$4),0),$B215-1966)</f>
        <v>724313.4</v>
      </c>
      <c r="H215" s="18" cm="1">
        <f t="array" ref="H215">INDEX(GMWQ!$A$2:$NE$60,MATCH(1,(GMWQ!$NE$2:$NE$60=H$3)*(GMWQ!$ND$2:$ND$60=H$4),0),$B215-1966)</f>
        <v>113937.3</v>
      </c>
      <c r="I215" s="18" cm="1">
        <f t="array" ref="I215">INDEX(GMWQ!$A$2:$NE$60,MATCH(1,(GMWQ!$NE$2:$NE$60=I$3)*(GMWQ!$ND$2:$ND$60=I$4),0),$B215-1966)</f>
        <v>19127.580000000002</v>
      </c>
      <c r="J215" s="18" cm="1">
        <f t="array" ref="J215">INDEX(GMWQ!$A$2:$NE$60,MATCH(1,(GMWQ!$NE$2:$NE$60=J$3)*(GMWQ!$ND$2:$ND$60=J$4),0),$B215-1966)</f>
        <v>23611.37</v>
      </c>
      <c r="K215" s="18" cm="1">
        <f t="array" ref="K215">INDEX(GMWQ!$A$2:$NE$60,MATCH(1,(GMWQ!$NE$2:$NE$60=K$3)*(GMWQ!$ND$2:$ND$60=K$4),0),$B215-1966)</f>
        <v>3414902</v>
      </c>
      <c r="L215" s="18" cm="1">
        <f t="array" ref="L215">INDEX(GMWQ!$A$2:$NE$60,MATCH(1,(GMWQ!$NE$2:$NE$60=L$3)*(GMWQ!$ND$2:$ND$60=L$4),0),$B215-1966)</f>
        <v>33259.480000000003</v>
      </c>
      <c r="M215" s="18" cm="1">
        <f t="array" ref="M215">INDEX(GMWQ!$A$2:$NE$60,MATCH(1,(GMWQ!$NE$2:$NE$60=M$3)*(GMWQ!$ND$2:$ND$60=M$4),0),$B215-1966)</f>
        <v>32</v>
      </c>
      <c r="N215" s="18" cm="1">
        <f t="array" ref="N215">INDEX(GMWQ!$A$2:$NE$60,MATCH(1,(GMWQ!$NE$2:$NE$60=N$3)*(GMWQ!$ND$2:$ND$60=N$4),0),$B215-1966)</f>
        <v>10.437670000000001</v>
      </c>
      <c r="O215" s="18" cm="1">
        <f t="array" ref="O215">INDEX(GMWQ!$A$2:$NE$60,MATCH(1,(GMWQ!$NE$2:$NE$60=O$3)*(GMWQ!$ND$2:$ND$60=O$4),0),$B215-1966)</f>
        <v>5.5009680000000003</v>
      </c>
      <c r="P215" s="18" cm="1">
        <f t="array" ref="P215">INDEX(GMWQ!$A$2:$NE$60,MATCH(1,(GMWQ!$NE$2:$NE$60=P$3)*(GMWQ!$ND$2:$ND$60=P$4),0),$B215-1966)</f>
        <v>461617.5</v>
      </c>
      <c r="Q215" s="18" cm="1">
        <f t="array" ref="Q215">INDEX(GMWQ!$A$2:$NE$60,MATCH(1,(GMWQ!$NE$2:$NE$60=Q$3)*(GMWQ!$ND$2:$ND$60=Q$4),0),$B215-1966)</f>
        <v>899.88220000000001</v>
      </c>
      <c r="R215" s="18" cm="1">
        <f t="array" ref="R215">INDEX(GMWQ!$A$2:$NE$60,MATCH(1,(GMWQ!$NE$2:$NE$60=R$3)*(GMWQ!$ND$2:$ND$60=R$4),0),$B215-1966)</f>
        <v>23568.41</v>
      </c>
      <c r="S215" s="18" cm="1">
        <f t="array" ref="S215">INDEX(GMWQ!$A$2:$NE$60,MATCH(1,(GMWQ!$NE$2:$NE$60=S$3)*(GMWQ!$ND$2:$ND$60=S$4),0),$B215-1966)</f>
        <v>101.95059999999999</v>
      </c>
      <c r="T215" s="18" cm="1">
        <f t="array" ref="T215">INDEX(GMWQ!$A$2:$NE$60,MATCH(1,(GMWQ!$NE$2:$NE$60=T$3)*(GMWQ!$ND$2:$ND$60=T$4),0),$B215-1966)</f>
        <v>84.918549999999996</v>
      </c>
      <c r="U215" s="18" cm="1">
        <f t="array" ref="U215">INDEX(GMWQ!$A$2:$NE$60,MATCH(1,(GMWQ!$NE$2:$NE$60=U$3)*(GMWQ!$ND$2:$ND$60=U$4),0),$B215-1966)</f>
        <v>57.801839999999999</v>
      </c>
      <c r="V215" s="18" cm="1">
        <f t="array" ref="V215">INDEX(GMWQ!$A$2:$NE$60,MATCH(1,(GMWQ!$NE$2:$NE$60=V$3)*(GMWQ!$ND$2:$ND$60=V$4),0),$B215-1966)</f>
        <v>65096.32</v>
      </c>
      <c r="W215" s="18" cm="1">
        <f t="array" ref="W215">INDEX(GMWQ!$A$2:$NF$60,MATCH(1,(GMWQ!$NE$2:$NE$60=W$3)*(GMWQ!$NF$2:$NF$60=W$1),0),$B215-1966)</f>
        <v>53820.69</v>
      </c>
      <c r="X215" s="18" cm="1">
        <f t="array" ref="X215">INDEX(GMWQ!$A$2:$NF$60,MATCH(1,(GMWQ!$NE$2:$NE$60=X$3)*(GMWQ!$NF$2:$NF$60=X$1),0),$B215-1966)</f>
        <v>55903.61</v>
      </c>
      <c r="Y215" s="18" cm="1">
        <f t="array" ref="Y215">INDEX(GMWQ!$A$2:$NF$60,MATCH(1,(GMWQ!$NE$2:$NE$60=Y$3)*(GMWQ!$NF$2:$NF$60=Y$1),0),$B215-1966)</f>
        <v>55908.03</v>
      </c>
      <c r="Z215" s="18" cm="1">
        <f t="array" ref="Z215">INDEX(GMWQ!$A$2:$NF$60,MATCH(1,(GMWQ!$NE$2:$NE$60=Z$3)*(GMWQ!$NF$2:$NF$60=Z$1),0),$B215-1966)</f>
        <v>61366.39</v>
      </c>
    </row>
    <row r="216" spans="1:26" x14ac:dyDescent="0.25">
      <c r="B216" s="18">
        <f t="shared" si="4"/>
        <v>2182</v>
      </c>
      <c r="C216" s="18" cm="1">
        <f t="array" ref="C216">INDEX(GMWQ!$A$2:$NE$60,MATCH(1,(GMWQ!$NE$2:$NE$60=C$3)*(GMWQ!$ND$2:$ND$60=C$4),0),$B216-1966)</f>
        <v>63941.34</v>
      </c>
      <c r="D216" s="18" cm="1">
        <f t="array" ref="D216">INDEX(GMWQ!$A$2:$NE$60,MATCH(1,(GMWQ!$NE$2:$NE$60=D$3)*(GMWQ!$ND$2:$ND$60=D$4),0),$B216-1966)</f>
        <v>158869</v>
      </c>
      <c r="E216" s="18" cm="1">
        <f t="array" ref="E216">INDEX(GMWQ!$A$2:$NE$60,MATCH(1,(GMWQ!$NE$2:$NE$60=E$3)*(GMWQ!$ND$2:$ND$60=E$4),0),$B216-1966)</f>
        <v>-19469.78</v>
      </c>
      <c r="F216" s="18" cm="1">
        <f t="array" ref="F216">INDEX(GMWQ!$A$2:$NE$60,MATCH(1,(GMWQ!$NE$2:$NE$60=F$3)*(GMWQ!$ND$2:$ND$60=F$4),0),$B216-1966)</f>
        <v>-14068.98</v>
      </c>
      <c r="G216" s="18" cm="1">
        <f t="array" ref="G216">INDEX(GMWQ!$A$2:$NE$60,MATCH(1,(GMWQ!$NE$2:$NE$60=G$3)*(GMWQ!$ND$2:$ND$60=G$4),0),$B216-1966)</f>
        <v>731088.9</v>
      </c>
      <c r="H216" s="18" cm="1">
        <f t="array" ref="H216">INDEX(GMWQ!$A$2:$NE$60,MATCH(1,(GMWQ!$NE$2:$NE$60=H$3)*(GMWQ!$ND$2:$ND$60=H$4),0),$B216-1966)</f>
        <v>114522</v>
      </c>
      <c r="I216" s="18" cm="1">
        <f t="array" ref="I216">INDEX(GMWQ!$A$2:$NE$60,MATCH(1,(GMWQ!$NE$2:$NE$60=I$3)*(GMWQ!$ND$2:$ND$60=I$4),0),$B216-1966)</f>
        <v>18866.810000000001</v>
      </c>
      <c r="J216" s="18" cm="1">
        <f t="array" ref="J216">INDEX(GMWQ!$A$2:$NE$60,MATCH(1,(GMWQ!$NE$2:$NE$60=J$3)*(GMWQ!$ND$2:$ND$60=J$4),0),$B216-1966)</f>
        <v>23807.279999999999</v>
      </c>
      <c r="K216" s="18" cm="1">
        <f t="array" ref="K216">INDEX(GMWQ!$A$2:$NE$60,MATCH(1,(GMWQ!$NE$2:$NE$60=K$3)*(GMWQ!$ND$2:$ND$60=K$4),0),$B216-1966)</f>
        <v>3428538</v>
      </c>
      <c r="L216" s="18" cm="1">
        <f t="array" ref="L216">INDEX(GMWQ!$A$2:$NE$60,MATCH(1,(GMWQ!$NE$2:$NE$60=L$3)*(GMWQ!$ND$2:$ND$60=L$4),0),$B216-1966)</f>
        <v>33373.68</v>
      </c>
      <c r="M216" s="18" cm="1">
        <f t="array" ref="M216">INDEX(GMWQ!$A$2:$NE$60,MATCH(1,(GMWQ!$NE$2:$NE$60=M$3)*(GMWQ!$ND$2:$ND$60=M$4),0),$B216-1966)</f>
        <v>32</v>
      </c>
      <c r="N216" s="18" cm="1">
        <f t="array" ref="N216">INDEX(GMWQ!$A$2:$NE$60,MATCH(1,(GMWQ!$NE$2:$NE$60=N$3)*(GMWQ!$ND$2:$ND$60=N$4),0),$B216-1966)</f>
        <v>10.26009</v>
      </c>
      <c r="O216" s="18" cm="1">
        <f t="array" ref="O216">INDEX(GMWQ!$A$2:$NE$60,MATCH(1,(GMWQ!$NE$2:$NE$60=O$3)*(GMWQ!$ND$2:$ND$60=O$4),0),$B216-1966)</f>
        <v>5.3787719999999997</v>
      </c>
      <c r="P216" s="18" cm="1">
        <f t="array" ref="P216">INDEX(GMWQ!$A$2:$NE$60,MATCH(1,(GMWQ!$NE$2:$NE$60=P$3)*(GMWQ!$ND$2:$ND$60=P$4),0),$B216-1966)</f>
        <v>466707.4</v>
      </c>
      <c r="Q216" s="18" cm="1">
        <f t="array" ref="Q216">INDEX(GMWQ!$A$2:$NE$60,MATCH(1,(GMWQ!$NE$2:$NE$60=Q$3)*(GMWQ!$ND$2:$ND$60=Q$4),0),$B216-1966)</f>
        <v>910.27440000000001</v>
      </c>
      <c r="R216" s="18" cm="1">
        <f t="array" ref="R216">INDEX(GMWQ!$A$2:$NE$60,MATCH(1,(GMWQ!$NE$2:$NE$60=R$3)*(GMWQ!$ND$2:$ND$60=R$4),0),$B216-1966)</f>
        <v>23593.040000000001</v>
      </c>
      <c r="S216" s="18" cm="1">
        <f t="array" ref="S216">INDEX(GMWQ!$A$2:$NE$60,MATCH(1,(GMWQ!$NE$2:$NE$60=S$3)*(GMWQ!$ND$2:$ND$60=S$4),0),$B216-1966)</f>
        <v>102.19289999999999</v>
      </c>
      <c r="T216" s="18" cm="1">
        <f t="array" ref="T216">INDEX(GMWQ!$A$2:$NE$60,MATCH(1,(GMWQ!$NE$2:$NE$60=T$3)*(GMWQ!$ND$2:$ND$60=T$4),0),$B216-1966)</f>
        <v>85.141509999999997</v>
      </c>
      <c r="U216" s="18" cm="1">
        <f t="array" ref="U216">INDEX(GMWQ!$A$2:$NE$60,MATCH(1,(GMWQ!$NE$2:$NE$60=U$3)*(GMWQ!$ND$2:$ND$60=U$4),0),$B216-1966)</f>
        <v>59.109400000000001</v>
      </c>
      <c r="V216" s="18" cm="1">
        <f t="array" ref="V216">INDEX(GMWQ!$A$2:$NE$60,MATCH(1,(GMWQ!$NE$2:$NE$60=V$3)*(GMWQ!$ND$2:$ND$60=V$4),0),$B216-1966)</f>
        <v>65971.87</v>
      </c>
      <c r="W216" s="18" cm="1">
        <f t="array" ref="W216">INDEX(GMWQ!$A$2:$NF$60,MATCH(1,(GMWQ!$NE$2:$NE$60=W$3)*(GMWQ!$NF$2:$NF$60=W$1),0),$B216-1966)</f>
        <v>54062.89</v>
      </c>
      <c r="X216" s="18" cm="1">
        <f t="array" ref="X216">INDEX(GMWQ!$A$2:$NF$60,MATCH(1,(GMWQ!$NE$2:$NE$60=X$3)*(GMWQ!$NF$2:$NF$60=X$1),0),$B216-1966)</f>
        <v>56127.22</v>
      </c>
      <c r="Y216" s="18" cm="1">
        <f t="array" ref="Y216">INDEX(GMWQ!$A$2:$NF$60,MATCH(1,(GMWQ!$NE$2:$NE$60=Y$3)*(GMWQ!$NF$2:$NF$60=Y$1),0),$B216-1966)</f>
        <v>56215.519999999997</v>
      </c>
      <c r="Z216" s="18" cm="1">
        <f t="array" ref="Z216">INDEX(GMWQ!$A$2:$NF$60,MATCH(1,(GMWQ!$NE$2:$NE$60=Z$3)*(GMWQ!$NF$2:$NF$60=Z$1),0),$B216-1966)</f>
        <v>61881.86</v>
      </c>
    </row>
    <row r="217" spans="1:26" x14ac:dyDescent="0.25">
      <c r="B217" s="18">
        <f t="shared" si="4"/>
        <v>2183</v>
      </c>
      <c r="C217" s="18" cm="1">
        <f t="array" ref="C217">INDEX(GMWQ!$A$2:$NE$60,MATCH(1,(GMWQ!$NE$2:$NE$60=C$3)*(GMWQ!$ND$2:$ND$60=C$4),0),$B217-1966)</f>
        <v>64542.39</v>
      </c>
      <c r="D217" s="18" cm="1">
        <f t="array" ref="D217">INDEX(GMWQ!$A$2:$NE$60,MATCH(1,(GMWQ!$NE$2:$NE$60=D$3)*(GMWQ!$ND$2:$ND$60=D$4),0),$B217-1966)</f>
        <v>160719.20000000001</v>
      </c>
      <c r="E217" s="18" cm="1">
        <f t="array" ref="E217">INDEX(GMWQ!$A$2:$NE$60,MATCH(1,(GMWQ!$NE$2:$NE$60=E$3)*(GMWQ!$ND$2:$ND$60=E$4),0),$B217-1966)</f>
        <v>-17927.34</v>
      </c>
      <c r="F217" s="18" cm="1">
        <f t="array" ref="F217">INDEX(GMWQ!$A$2:$NE$60,MATCH(1,(GMWQ!$NE$2:$NE$60=F$3)*(GMWQ!$ND$2:$ND$60=F$4),0),$B217-1966)</f>
        <v>-13836.56</v>
      </c>
      <c r="G217" s="18" cm="1">
        <f t="array" ref="G217">INDEX(GMWQ!$A$2:$NE$60,MATCH(1,(GMWQ!$NE$2:$NE$60=G$3)*(GMWQ!$ND$2:$ND$60=G$4),0),$B217-1966)</f>
        <v>737603.2</v>
      </c>
      <c r="H217" s="18" cm="1">
        <f t="array" ref="H217">INDEX(GMWQ!$A$2:$NE$60,MATCH(1,(GMWQ!$NE$2:$NE$60=H$3)*(GMWQ!$ND$2:$ND$60=H$4),0),$B217-1966)</f>
        <v>115181.3</v>
      </c>
      <c r="I217" s="18" cm="1">
        <f t="array" ref="I217">INDEX(GMWQ!$A$2:$NE$60,MATCH(1,(GMWQ!$NE$2:$NE$60=I$3)*(GMWQ!$ND$2:$ND$60=I$4),0),$B217-1966)</f>
        <v>18650.759999999998</v>
      </c>
      <c r="J217" s="18" cm="1">
        <f t="array" ref="J217">INDEX(GMWQ!$A$2:$NE$60,MATCH(1,(GMWQ!$NE$2:$NE$60=J$3)*(GMWQ!$ND$2:$ND$60=J$4),0),$B217-1966)</f>
        <v>24002.5</v>
      </c>
      <c r="K217" s="18" cm="1">
        <f t="array" ref="K217">INDEX(GMWQ!$A$2:$NE$60,MATCH(1,(GMWQ!$NE$2:$NE$60=K$3)*(GMWQ!$ND$2:$ND$60=K$4),0),$B217-1966)</f>
        <v>3442281</v>
      </c>
      <c r="L217" s="18" cm="1">
        <f t="array" ref="L217">INDEX(GMWQ!$A$2:$NE$60,MATCH(1,(GMWQ!$NE$2:$NE$60=L$3)*(GMWQ!$ND$2:$ND$60=L$4),0),$B217-1966)</f>
        <v>33483.519999999997</v>
      </c>
      <c r="M217" s="18" cm="1">
        <f t="array" ref="M217">INDEX(GMWQ!$A$2:$NE$60,MATCH(1,(GMWQ!$NE$2:$NE$60=M$3)*(GMWQ!$ND$2:$ND$60=M$4),0),$B217-1966)</f>
        <v>32</v>
      </c>
      <c r="N217" s="18" cm="1">
        <f t="array" ref="N217">INDEX(GMWQ!$A$2:$NE$60,MATCH(1,(GMWQ!$NE$2:$NE$60=N$3)*(GMWQ!$ND$2:$ND$60=N$4),0),$B217-1966)</f>
        <v>10.08376</v>
      </c>
      <c r="O217" s="18" cm="1">
        <f t="array" ref="O217">INDEX(GMWQ!$A$2:$NE$60,MATCH(1,(GMWQ!$NE$2:$NE$60=O$3)*(GMWQ!$ND$2:$ND$60=O$4),0),$B217-1966)</f>
        <v>5.2457799999999999</v>
      </c>
      <c r="P217" s="18" cm="1">
        <f t="array" ref="P217">INDEX(GMWQ!$A$2:$NE$60,MATCH(1,(GMWQ!$NE$2:$NE$60=P$3)*(GMWQ!$ND$2:$ND$60=P$4),0),$B217-1966)</f>
        <v>472306.8</v>
      </c>
      <c r="Q217" s="18" cm="1">
        <f t="array" ref="Q217">INDEX(GMWQ!$A$2:$NE$60,MATCH(1,(GMWQ!$NE$2:$NE$60=Q$3)*(GMWQ!$ND$2:$ND$60=Q$4),0),$B217-1966)</f>
        <v>922.13369999999998</v>
      </c>
      <c r="R217" s="18" cm="1">
        <f t="array" ref="R217">INDEX(GMWQ!$A$2:$NE$60,MATCH(1,(GMWQ!$NE$2:$NE$60=R$3)*(GMWQ!$ND$2:$ND$60=R$4),0),$B217-1966)</f>
        <v>23633.85</v>
      </c>
      <c r="S217" s="18" cm="1">
        <f t="array" ref="S217">INDEX(GMWQ!$A$2:$NE$60,MATCH(1,(GMWQ!$NE$2:$NE$60=S$3)*(GMWQ!$ND$2:$ND$60=S$4),0),$B217-1966)</f>
        <v>102.5213</v>
      </c>
      <c r="T217" s="18" cm="1">
        <f t="array" ref="T217">INDEX(GMWQ!$A$2:$NE$60,MATCH(1,(GMWQ!$NE$2:$NE$60=T$3)*(GMWQ!$ND$2:$ND$60=T$4),0),$B217-1966)</f>
        <v>85.435230000000004</v>
      </c>
      <c r="U217" s="18" cm="1">
        <f t="array" ref="U217">INDEX(GMWQ!$A$2:$NE$60,MATCH(1,(GMWQ!$NE$2:$NE$60=U$3)*(GMWQ!$ND$2:$ND$60=U$4),0),$B217-1966)</f>
        <v>59.632599999999996</v>
      </c>
      <c r="V217" s="18" cm="1">
        <f t="array" ref="V217">INDEX(GMWQ!$A$2:$NE$60,MATCH(1,(GMWQ!$NE$2:$NE$60=V$3)*(GMWQ!$ND$2:$ND$60=V$4),0),$B217-1966)</f>
        <v>66907.350000000006</v>
      </c>
      <c r="W217" s="18" cm="1">
        <f t="array" ref="W217">INDEX(GMWQ!$A$2:$NF$60,MATCH(1,(GMWQ!$NE$2:$NE$60=W$3)*(GMWQ!$NF$2:$NF$60=W$1),0),$B217-1966)</f>
        <v>54306.17</v>
      </c>
      <c r="X217" s="18" cm="1">
        <f t="array" ref="X217">INDEX(GMWQ!$A$2:$NF$60,MATCH(1,(GMWQ!$NE$2:$NE$60=X$3)*(GMWQ!$NF$2:$NF$60=X$1),0),$B217-1966)</f>
        <v>56379.81</v>
      </c>
      <c r="Y217" s="18" cm="1">
        <f t="array" ref="Y217">INDEX(GMWQ!$A$2:$NF$60,MATCH(1,(GMWQ!$NE$2:$NE$60=Y$3)*(GMWQ!$NF$2:$NF$60=Y$1),0),$B217-1966)</f>
        <v>56524.73</v>
      </c>
      <c r="Z217" s="18" cm="1">
        <f t="array" ref="Z217">INDEX(GMWQ!$A$2:$NF$60,MATCH(1,(GMWQ!$NE$2:$NE$60=Z$3)*(GMWQ!$NF$2:$NF$60=Z$1),0),$B217-1966)</f>
        <v>62463.55</v>
      </c>
    </row>
    <row r="218" spans="1:26" x14ac:dyDescent="0.25">
      <c r="B218" s="18">
        <f t="shared" si="4"/>
        <v>2184</v>
      </c>
      <c r="C218" s="18" cm="1">
        <f t="array" ref="C218">INDEX(GMWQ!$A$2:$NE$60,MATCH(1,(GMWQ!$NE$2:$NE$60=C$3)*(GMWQ!$ND$2:$ND$60=C$4),0),$B218-1966)</f>
        <v>65155.55</v>
      </c>
      <c r="D218" s="18" cm="1">
        <f t="array" ref="D218">INDEX(GMWQ!$A$2:$NE$60,MATCH(1,(GMWQ!$NE$2:$NE$60=D$3)*(GMWQ!$ND$2:$ND$60=D$4),0),$B218-1966)</f>
        <v>162506.4</v>
      </c>
      <c r="E218" s="18" cm="1">
        <f t="array" ref="E218">INDEX(GMWQ!$A$2:$NE$60,MATCH(1,(GMWQ!$NE$2:$NE$60=E$3)*(GMWQ!$ND$2:$ND$60=E$4),0),$B218-1966)</f>
        <v>-9818.1589999999997</v>
      </c>
      <c r="F218" s="18" cm="1">
        <f t="array" ref="F218">INDEX(GMWQ!$A$2:$NE$60,MATCH(1,(GMWQ!$NE$2:$NE$60=F$3)*(GMWQ!$ND$2:$ND$60=F$4),0),$B218-1966)</f>
        <v>-6786.3109999999997</v>
      </c>
      <c r="G218" s="18" cm="1">
        <f t="array" ref="G218">INDEX(GMWQ!$A$2:$NE$60,MATCH(1,(GMWQ!$NE$2:$NE$60=G$3)*(GMWQ!$ND$2:$ND$60=G$4),0),$B218-1966)</f>
        <v>744370.9</v>
      </c>
      <c r="H218" s="18" cm="1">
        <f t="array" ref="H218">INDEX(GMWQ!$A$2:$NE$60,MATCH(1,(GMWQ!$NE$2:$NE$60=H$3)*(GMWQ!$ND$2:$ND$60=H$4),0),$B218-1966)</f>
        <v>115870.8</v>
      </c>
      <c r="I218" s="18" cm="1">
        <f t="array" ref="I218">INDEX(GMWQ!$A$2:$NE$60,MATCH(1,(GMWQ!$NE$2:$NE$60=I$3)*(GMWQ!$ND$2:$ND$60=I$4),0),$B218-1966)</f>
        <v>18438.400000000001</v>
      </c>
      <c r="J218" s="18" cm="1">
        <f t="array" ref="J218">INDEX(GMWQ!$A$2:$NE$60,MATCH(1,(GMWQ!$NE$2:$NE$60=J$3)*(GMWQ!$ND$2:$ND$60=J$4),0),$B218-1966)</f>
        <v>24211.37</v>
      </c>
      <c r="K218" s="18" cm="1">
        <f t="array" ref="K218">INDEX(GMWQ!$A$2:$NE$60,MATCH(1,(GMWQ!$NE$2:$NE$60=K$3)*(GMWQ!$ND$2:$ND$60=K$4),0),$B218-1966)</f>
        <v>3456145</v>
      </c>
      <c r="L218" s="18" cm="1">
        <f t="array" ref="L218">INDEX(GMWQ!$A$2:$NE$60,MATCH(1,(GMWQ!$NE$2:$NE$60=L$3)*(GMWQ!$ND$2:$ND$60=L$4),0),$B218-1966)</f>
        <v>33599.18</v>
      </c>
      <c r="M218" s="18" cm="1">
        <f t="array" ref="M218">INDEX(GMWQ!$A$2:$NE$60,MATCH(1,(GMWQ!$NE$2:$NE$60=M$3)*(GMWQ!$ND$2:$ND$60=M$4),0),$B218-1966)</f>
        <v>32</v>
      </c>
      <c r="N218" s="18" cm="1">
        <f t="array" ref="N218">INDEX(GMWQ!$A$2:$NE$60,MATCH(1,(GMWQ!$NE$2:$NE$60=N$3)*(GMWQ!$ND$2:$ND$60=N$4),0),$B218-1966)</f>
        <v>9.9067260000000008</v>
      </c>
      <c r="O218" s="18" cm="1">
        <f t="array" ref="O218">INDEX(GMWQ!$A$2:$NE$60,MATCH(1,(GMWQ!$NE$2:$NE$60=O$3)*(GMWQ!$ND$2:$ND$60=O$4),0),$B218-1966)</f>
        <v>5.1048369999999998</v>
      </c>
      <c r="P218" s="18" cm="1">
        <f t="array" ref="P218">INDEX(GMWQ!$A$2:$NE$60,MATCH(1,(GMWQ!$NE$2:$NE$60=P$3)*(GMWQ!$ND$2:$ND$60=P$4),0),$B218-1966)</f>
        <v>477893.4</v>
      </c>
      <c r="Q218" s="18" cm="1">
        <f t="array" ref="Q218">INDEX(GMWQ!$A$2:$NE$60,MATCH(1,(GMWQ!$NE$2:$NE$60=Q$3)*(GMWQ!$ND$2:$ND$60=Q$4),0),$B218-1966)</f>
        <v>934.71900000000005</v>
      </c>
      <c r="R218" s="18" cm="1">
        <f t="array" ref="R218">INDEX(GMWQ!$A$2:$NE$60,MATCH(1,(GMWQ!$NE$2:$NE$60=R$3)*(GMWQ!$ND$2:$ND$60=R$4),0),$B218-1966)</f>
        <v>23686.79</v>
      </c>
      <c r="S218" s="18" cm="1">
        <f t="array" ref="S218">INDEX(GMWQ!$A$2:$NE$60,MATCH(1,(GMWQ!$NE$2:$NE$60=S$3)*(GMWQ!$ND$2:$ND$60=S$4),0),$B218-1966)</f>
        <v>103.05419999999999</v>
      </c>
      <c r="T218" s="18" cm="1">
        <f t="array" ref="T218">INDEX(GMWQ!$A$2:$NE$60,MATCH(1,(GMWQ!$NE$2:$NE$60=T$3)*(GMWQ!$ND$2:$ND$60=T$4),0),$B218-1966)</f>
        <v>85.707470000000001</v>
      </c>
      <c r="U218" s="18" cm="1">
        <f t="array" ref="U218">INDEX(GMWQ!$A$2:$NE$60,MATCH(1,(GMWQ!$NE$2:$NE$60=U$3)*(GMWQ!$ND$2:$ND$60=U$4),0),$B218-1966)</f>
        <v>60.118899999999996</v>
      </c>
      <c r="V218" s="18" cm="1">
        <f t="array" ref="V218">INDEX(GMWQ!$A$2:$NE$60,MATCH(1,(GMWQ!$NE$2:$NE$60=V$3)*(GMWQ!$ND$2:$ND$60=V$4),0),$B218-1966)</f>
        <v>67906.95</v>
      </c>
      <c r="W218" s="18" cm="1">
        <f t="array" ref="W218">INDEX(GMWQ!$A$2:$NF$60,MATCH(1,(GMWQ!$NE$2:$NE$60=W$3)*(GMWQ!$NF$2:$NF$60=W$1),0),$B218-1966)</f>
        <v>54555.98</v>
      </c>
      <c r="X218" s="18" cm="1">
        <f t="array" ref="X218">INDEX(GMWQ!$A$2:$NF$60,MATCH(1,(GMWQ!$NE$2:$NE$60=X$3)*(GMWQ!$NF$2:$NF$60=X$1),0),$B218-1966)</f>
        <v>56639.13</v>
      </c>
      <c r="Y218" s="18" cm="1">
        <f t="array" ref="Y218">INDEX(GMWQ!$A$2:$NF$60,MATCH(1,(GMWQ!$NE$2:$NE$60=Y$3)*(GMWQ!$NF$2:$NF$60=Y$1),0),$B218-1966)</f>
        <v>56835.59</v>
      </c>
      <c r="Z218" s="18" cm="1">
        <f t="array" ref="Z218">INDEX(GMWQ!$A$2:$NF$60,MATCH(1,(GMWQ!$NE$2:$NE$60=Z$3)*(GMWQ!$NF$2:$NF$60=Z$1),0),$B218-1966)</f>
        <v>63056.959999999999</v>
      </c>
    </row>
    <row r="219" spans="1:26" x14ac:dyDescent="0.25">
      <c r="A219" s="18">
        <v>2026</v>
      </c>
      <c r="B219" s="18">
        <f t="shared" si="4"/>
        <v>2185</v>
      </c>
      <c r="C219" s="18" cm="1">
        <f t="array" ref="C219">INDEX(GMWQ!$A$2:$NE$60,MATCH(1,(GMWQ!$NE$2:$NE$60=C$3)*(GMWQ!$ND$2:$ND$60=C$4),0),$B219-1966)</f>
        <v>65781.009999999995</v>
      </c>
      <c r="D219" s="18" cm="1">
        <f t="array" ref="D219">INDEX(GMWQ!$A$2:$NE$60,MATCH(1,(GMWQ!$NE$2:$NE$60=D$3)*(GMWQ!$ND$2:$ND$60=D$4),0),$B219-1966)</f>
        <v>163452.70000000001</v>
      </c>
      <c r="E219" s="18" cm="1">
        <f t="array" ref="E219">INDEX(GMWQ!$A$2:$NE$60,MATCH(1,(GMWQ!$NE$2:$NE$60=E$3)*(GMWQ!$ND$2:$ND$60=E$4),0),$B219-1966)</f>
        <v>-10563.81</v>
      </c>
      <c r="F219" s="18" cm="1">
        <f t="array" ref="F219">INDEX(GMWQ!$A$2:$NE$60,MATCH(1,(GMWQ!$NE$2:$NE$60=F$3)*(GMWQ!$ND$2:$ND$60=F$4),0),$B219-1966)</f>
        <v>-8388.4079999999994</v>
      </c>
      <c r="G219" s="18" cm="1">
        <f t="array" ref="G219">INDEX(GMWQ!$A$2:$NE$60,MATCH(1,(GMWQ!$NE$2:$NE$60=G$3)*(GMWQ!$ND$2:$ND$60=G$4),0),$B219-1966)</f>
        <v>751533.9</v>
      </c>
      <c r="H219" s="18" cm="1">
        <f t="array" ref="H219">INDEX(GMWQ!$A$2:$NE$60,MATCH(1,(GMWQ!$NE$2:$NE$60=H$3)*(GMWQ!$ND$2:$ND$60=H$4),0),$B219-1966)</f>
        <v>116630.5</v>
      </c>
      <c r="I219" s="18" cm="1">
        <f t="array" ref="I219">INDEX(GMWQ!$A$2:$NE$60,MATCH(1,(GMWQ!$NE$2:$NE$60=I$3)*(GMWQ!$ND$2:$ND$60=I$4),0),$B219-1966)</f>
        <v>18270.54</v>
      </c>
      <c r="J219" s="18" cm="1">
        <f t="array" ref="J219">INDEX(GMWQ!$A$2:$NE$60,MATCH(1,(GMWQ!$NE$2:$NE$60=J$3)*(GMWQ!$ND$2:$ND$60=J$4),0),$B219-1966)</f>
        <v>24432.85</v>
      </c>
      <c r="K219" s="18" cm="1">
        <f t="array" ref="K219">INDEX(GMWQ!$A$2:$NE$60,MATCH(1,(GMWQ!$NE$2:$NE$60=K$3)*(GMWQ!$ND$2:$ND$60=K$4),0),$B219-1966)</f>
        <v>3470184</v>
      </c>
      <c r="L219" s="18" cm="1">
        <f t="array" ref="L219">INDEX(GMWQ!$A$2:$NE$60,MATCH(1,(GMWQ!$NE$2:$NE$60=L$3)*(GMWQ!$ND$2:$ND$60=L$4),0),$B219-1966)</f>
        <v>33713.43</v>
      </c>
      <c r="M219" s="18" cm="1">
        <f t="array" ref="M219">INDEX(GMWQ!$A$2:$NE$60,MATCH(1,(GMWQ!$NE$2:$NE$60=M$3)*(GMWQ!$ND$2:$ND$60=M$4),0),$B219-1966)</f>
        <v>32</v>
      </c>
      <c r="N219" s="18" cm="1">
        <f t="array" ref="N219">INDEX(GMWQ!$A$2:$NE$60,MATCH(1,(GMWQ!$NE$2:$NE$60=N$3)*(GMWQ!$ND$2:$ND$60=N$4),0),$B219-1966)</f>
        <v>9.7463960000000007</v>
      </c>
      <c r="O219" s="18" cm="1">
        <f t="array" ref="O219">INDEX(GMWQ!$A$2:$NE$60,MATCH(1,(GMWQ!$NE$2:$NE$60=O$3)*(GMWQ!$ND$2:$ND$60=O$4),0),$B219-1966)</f>
        <v>4.9764799999999996</v>
      </c>
      <c r="P219" s="18" cm="1">
        <f t="array" ref="P219">INDEX(GMWQ!$A$2:$NE$60,MATCH(1,(GMWQ!$NE$2:$NE$60=P$3)*(GMWQ!$ND$2:$ND$60=P$4),0),$B219-1966)</f>
        <v>483734.5</v>
      </c>
      <c r="Q219" s="18" cm="1">
        <f t="array" ref="Q219">INDEX(GMWQ!$A$2:$NE$60,MATCH(1,(GMWQ!$NE$2:$NE$60=Q$3)*(GMWQ!$ND$2:$ND$60=Q$4),0),$B219-1966)</f>
        <v>947.67790000000002</v>
      </c>
      <c r="R219" s="18" cm="1">
        <f t="array" ref="R219">INDEX(GMWQ!$A$2:$NE$60,MATCH(1,(GMWQ!$NE$2:$NE$60=R$3)*(GMWQ!$ND$2:$ND$60=R$4),0),$B219-1966)</f>
        <v>23771.599999999999</v>
      </c>
      <c r="S219" s="18" cm="1">
        <f t="array" ref="S219">INDEX(GMWQ!$A$2:$NE$60,MATCH(1,(GMWQ!$NE$2:$NE$60=S$3)*(GMWQ!$ND$2:$ND$60=S$4),0),$B219-1966)</f>
        <v>103.7968</v>
      </c>
      <c r="T219" s="18" cm="1">
        <f t="array" ref="T219">INDEX(GMWQ!$A$2:$NE$60,MATCH(1,(GMWQ!$NE$2:$NE$60=T$3)*(GMWQ!$ND$2:$ND$60=T$4),0),$B219-1966)</f>
        <v>86.025000000000006</v>
      </c>
      <c r="U219" s="18" cm="1">
        <f t="array" ref="U219">INDEX(GMWQ!$A$2:$NE$60,MATCH(1,(GMWQ!$NE$2:$NE$60=U$3)*(GMWQ!$ND$2:$ND$60=U$4),0),$B219-1966)</f>
        <v>60.749400000000001</v>
      </c>
      <c r="V219" s="18" cm="1">
        <f t="array" ref="V219">INDEX(GMWQ!$A$2:$NE$60,MATCH(1,(GMWQ!$NE$2:$NE$60=V$3)*(GMWQ!$ND$2:$ND$60=V$4),0),$B219-1966)</f>
        <v>69000.25</v>
      </c>
      <c r="W219" s="18" cm="1">
        <f t="array" ref="W219">INDEX(GMWQ!$A$2:$NF$60,MATCH(1,(GMWQ!$NE$2:$NE$60=W$3)*(GMWQ!$NF$2:$NF$60=W$1),0),$B219-1966)</f>
        <v>54809.45</v>
      </c>
      <c r="X219" s="18" cm="1">
        <f t="array" ref="X219">INDEX(GMWQ!$A$2:$NF$60,MATCH(1,(GMWQ!$NE$2:$NE$60=X$3)*(GMWQ!$NF$2:$NF$60=X$1),0),$B219-1966)</f>
        <v>56905.34</v>
      </c>
      <c r="Y219" s="18" cm="1">
        <f t="array" ref="Y219">INDEX(GMWQ!$A$2:$NF$60,MATCH(1,(GMWQ!$NE$2:$NE$60=Y$3)*(GMWQ!$NF$2:$NF$60=Y$1),0),$B219-1966)</f>
        <v>57131.14</v>
      </c>
      <c r="Z219" s="18" cm="1">
        <f t="array" ref="Z219">INDEX(GMWQ!$A$2:$NF$60,MATCH(1,(GMWQ!$NE$2:$NE$60=Z$3)*(GMWQ!$NF$2:$NF$60=Z$1),0),$B219-1966)</f>
        <v>63662.27</v>
      </c>
    </row>
    <row r="220" spans="1:26" x14ac:dyDescent="0.25">
      <c r="B220" s="18">
        <f t="shared" si="4"/>
        <v>2186</v>
      </c>
      <c r="C220" s="18" cm="1">
        <f t="array" ref="C220">INDEX(GMWQ!$A$2:$NE$60,MATCH(1,(GMWQ!$NE$2:$NE$60=C$3)*(GMWQ!$ND$2:$ND$60=C$4),0),$B220-1966)</f>
        <v>66373.05</v>
      </c>
      <c r="D220" s="18" cm="1">
        <f t="array" ref="D220">INDEX(GMWQ!$A$2:$NE$60,MATCH(1,(GMWQ!$NE$2:$NE$60=D$3)*(GMWQ!$ND$2:$ND$60=D$4),0),$B220-1966)</f>
        <v>165029.5</v>
      </c>
      <c r="E220" s="18" cm="1">
        <f t="array" ref="E220">INDEX(GMWQ!$A$2:$NE$60,MATCH(1,(GMWQ!$NE$2:$NE$60=E$3)*(GMWQ!$ND$2:$ND$60=E$4),0),$B220-1966)</f>
        <v>-20321.87</v>
      </c>
      <c r="F220" s="18" cm="1">
        <f t="array" ref="F220">INDEX(GMWQ!$A$2:$NE$60,MATCH(1,(GMWQ!$NE$2:$NE$60=F$3)*(GMWQ!$ND$2:$ND$60=F$4),0),$B220-1966)</f>
        <v>-18840.84</v>
      </c>
      <c r="G220" s="18" cm="1">
        <f t="array" ref="G220">INDEX(GMWQ!$A$2:$NE$60,MATCH(1,(GMWQ!$NE$2:$NE$60=G$3)*(GMWQ!$ND$2:$ND$60=G$4),0),$B220-1966)</f>
        <v>758767</v>
      </c>
      <c r="H220" s="18" cm="1">
        <f t="array" ref="H220">INDEX(GMWQ!$A$2:$NE$60,MATCH(1,(GMWQ!$NE$2:$NE$60=H$3)*(GMWQ!$ND$2:$ND$60=H$4),0),$B220-1966)</f>
        <v>117449.7</v>
      </c>
      <c r="I220" s="18" cm="1">
        <f t="array" ref="I220">INDEX(GMWQ!$A$2:$NE$60,MATCH(1,(GMWQ!$NE$2:$NE$60=I$3)*(GMWQ!$ND$2:$ND$60=I$4),0),$B220-1966)</f>
        <v>18212.63</v>
      </c>
      <c r="J220" s="18" cm="1">
        <f t="array" ref="J220">INDEX(GMWQ!$A$2:$NE$60,MATCH(1,(GMWQ!$NE$2:$NE$60=J$3)*(GMWQ!$ND$2:$ND$60=J$4),0),$B220-1966)</f>
        <v>24652.75</v>
      </c>
      <c r="K220" s="18" cm="1">
        <f t="array" ref="K220">INDEX(GMWQ!$A$2:$NE$60,MATCH(1,(GMWQ!$NE$2:$NE$60=K$3)*(GMWQ!$ND$2:$ND$60=K$4),0),$B220-1966)</f>
        <v>3484456</v>
      </c>
      <c r="L220" s="18" cm="1">
        <f t="array" ref="L220">INDEX(GMWQ!$A$2:$NE$60,MATCH(1,(GMWQ!$NE$2:$NE$60=L$3)*(GMWQ!$ND$2:$ND$60=L$4),0),$B220-1966)</f>
        <v>33824.74</v>
      </c>
      <c r="M220" s="18" cm="1">
        <f t="array" ref="M220">INDEX(GMWQ!$A$2:$NE$60,MATCH(1,(GMWQ!$NE$2:$NE$60=M$3)*(GMWQ!$ND$2:$ND$60=M$4),0),$B220-1966)</f>
        <v>32</v>
      </c>
      <c r="N220" s="18" cm="1">
        <f t="array" ref="N220">INDEX(GMWQ!$A$2:$NE$60,MATCH(1,(GMWQ!$NE$2:$NE$60=N$3)*(GMWQ!$ND$2:$ND$60=N$4),0),$B220-1966)</f>
        <v>9.5783240000000003</v>
      </c>
      <c r="O220" s="18" cm="1">
        <f t="array" ref="O220">INDEX(GMWQ!$A$2:$NE$60,MATCH(1,(GMWQ!$NE$2:$NE$60=O$3)*(GMWQ!$ND$2:$ND$60=O$4),0),$B220-1966)</f>
        <v>4.8383200000000004</v>
      </c>
      <c r="P220" s="18" cm="1">
        <f t="array" ref="P220">INDEX(GMWQ!$A$2:$NE$60,MATCH(1,(GMWQ!$NE$2:$NE$60=P$3)*(GMWQ!$ND$2:$ND$60=P$4),0),$B220-1966)</f>
        <v>489952.2</v>
      </c>
      <c r="Q220" s="18" cm="1">
        <f t="array" ref="Q220">INDEX(GMWQ!$A$2:$NE$60,MATCH(1,(GMWQ!$NE$2:$NE$60=Q$3)*(GMWQ!$ND$2:$ND$60=Q$4),0),$B220-1966)</f>
        <v>960.47080000000005</v>
      </c>
      <c r="R220" s="18" cm="1">
        <f t="array" ref="R220">INDEX(GMWQ!$A$2:$NE$60,MATCH(1,(GMWQ!$NE$2:$NE$60=R$3)*(GMWQ!$ND$2:$ND$60=R$4),0),$B220-1966)</f>
        <v>23877.03</v>
      </c>
      <c r="S220" s="18" cm="1">
        <f t="array" ref="S220">INDEX(GMWQ!$A$2:$NE$60,MATCH(1,(GMWQ!$NE$2:$NE$60=S$3)*(GMWQ!$ND$2:$ND$60=S$4),0),$B220-1966)</f>
        <v>104.51690000000001</v>
      </c>
      <c r="T220" s="18" cm="1">
        <f t="array" ref="T220">INDEX(GMWQ!$A$2:$NE$60,MATCH(1,(GMWQ!$NE$2:$NE$60=T$3)*(GMWQ!$ND$2:$ND$60=T$4),0),$B220-1966)</f>
        <v>86.48939</v>
      </c>
      <c r="U220" s="18" cm="1">
        <f t="array" ref="U220">INDEX(GMWQ!$A$2:$NE$60,MATCH(1,(GMWQ!$NE$2:$NE$60=U$3)*(GMWQ!$ND$2:$ND$60=U$4),0),$B220-1966)</f>
        <v>61.3872</v>
      </c>
      <c r="V220" s="18" cm="1">
        <f t="array" ref="V220">INDEX(GMWQ!$A$2:$NE$60,MATCH(1,(GMWQ!$NE$2:$NE$60=V$3)*(GMWQ!$ND$2:$ND$60=V$4),0),$B220-1966)</f>
        <v>70166.350000000006</v>
      </c>
      <c r="W220" s="18" cm="1">
        <f t="array" ref="W220">INDEX(GMWQ!$A$2:$NF$60,MATCH(1,(GMWQ!$NE$2:$NE$60=W$3)*(GMWQ!$NF$2:$NF$60=W$1),0),$B220-1966)</f>
        <v>55064.07</v>
      </c>
      <c r="X220" s="18" cm="1">
        <f t="array" ref="X220">INDEX(GMWQ!$A$2:$NF$60,MATCH(1,(GMWQ!$NE$2:$NE$60=X$3)*(GMWQ!$NF$2:$NF$60=X$1),0),$B220-1966)</f>
        <v>57172.79</v>
      </c>
      <c r="Y220" s="18" cm="1">
        <f t="array" ref="Y220">INDEX(GMWQ!$A$2:$NF$60,MATCH(1,(GMWQ!$NE$2:$NE$60=Y$3)*(GMWQ!$NF$2:$NF$60=Y$1),0),$B220-1966)</f>
        <v>57428.22</v>
      </c>
      <c r="Z220" s="18" cm="1">
        <f t="array" ref="Z220">INDEX(GMWQ!$A$2:$NF$60,MATCH(1,(GMWQ!$NE$2:$NE$60=Z$3)*(GMWQ!$NF$2:$NF$60=Z$1),0),$B220-1966)</f>
        <v>64235.25</v>
      </c>
    </row>
    <row r="221" spans="1:26" x14ac:dyDescent="0.25">
      <c r="B221" s="18">
        <f t="shared" si="4"/>
        <v>2187</v>
      </c>
      <c r="C221" s="18" cm="1">
        <f t="array" ref="C221">INDEX(GMWQ!$A$2:$NE$60,MATCH(1,(GMWQ!$NE$2:$NE$60=C$3)*(GMWQ!$ND$2:$ND$60=C$4),0),$B221-1966)</f>
        <v>66870.86</v>
      </c>
      <c r="D221" s="18" cm="1">
        <f t="array" ref="D221">INDEX(GMWQ!$A$2:$NE$60,MATCH(1,(GMWQ!$NE$2:$NE$60=D$3)*(GMWQ!$ND$2:$ND$60=D$4),0),$B221-1966)</f>
        <v>166874.70000000001</v>
      </c>
      <c r="E221" s="18" cm="1">
        <f t="array" ref="E221">INDEX(GMWQ!$A$2:$NE$60,MATCH(1,(GMWQ!$NE$2:$NE$60=E$3)*(GMWQ!$ND$2:$ND$60=E$4),0),$B221-1966)</f>
        <v>-19721.95</v>
      </c>
      <c r="F221" s="18" cm="1">
        <f t="array" ref="F221">INDEX(GMWQ!$A$2:$NE$60,MATCH(1,(GMWQ!$NE$2:$NE$60=F$3)*(GMWQ!$ND$2:$ND$60=F$4),0),$B221-1966)</f>
        <v>-18804.79</v>
      </c>
      <c r="G221" s="18" cm="1">
        <f t="array" ref="G221">INDEX(GMWQ!$A$2:$NE$60,MATCH(1,(GMWQ!$NE$2:$NE$60=G$3)*(GMWQ!$ND$2:$ND$60=G$4),0),$B221-1966)</f>
        <v>765763.3</v>
      </c>
      <c r="H221" s="18" cm="1">
        <f t="array" ref="H221">INDEX(GMWQ!$A$2:$NE$60,MATCH(1,(GMWQ!$NE$2:$NE$60=H$3)*(GMWQ!$ND$2:$ND$60=H$4),0),$B221-1966)</f>
        <v>118156.9</v>
      </c>
      <c r="I221" s="18" cm="1">
        <f t="array" ref="I221">INDEX(GMWQ!$A$2:$NE$60,MATCH(1,(GMWQ!$NE$2:$NE$60=I$3)*(GMWQ!$ND$2:$ND$60=I$4),0),$B221-1966)</f>
        <v>18137.73</v>
      </c>
      <c r="J221" s="18" cm="1">
        <f t="array" ref="J221">INDEX(GMWQ!$A$2:$NE$60,MATCH(1,(GMWQ!$NE$2:$NE$60=J$3)*(GMWQ!$ND$2:$ND$60=J$4),0),$B221-1966)</f>
        <v>24879.59</v>
      </c>
      <c r="K221" s="18" cm="1">
        <f t="array" ref="K221">INDEX(GMWQ!$A$2:$NE$60,MATCH(1,(GMWQ!$NE$2:$NE$60=K$3)*(GMWQ!$ND$2:$ND$60=K$4),0),$B221-1966)</f>
        <v>3498835</v>
      </c>
      <c r="L221" s="18" cm="1">
        <f t="array" ref="L221">INDEX(GMWQ!$A$2:$NE$60,MATCH(1,(GMWQ!$NE$2:$NE$60=L$3)*(GMWQ!$ND$2:$ND$60=L$4),0),$B221-1966)</f>
        <v>33926.22</v>
      </c>
      <c r="M221" s="18" cm="1">
        <f t="array" ref="M221">INDEX(GMWQ!$A$2:$NE$60,MATCH(1,(GMWQ!$NE$2:$NE$60=M$3)*(GMWQ!$ND$2:$ND$60=M$4),0),$B221-1966)</f>
        <v>32</v>
      </c>
      <c r="N221" s="18" cm="1">
        <f t="array" ref="N221">INDEX(GMWQ!$A$2:$NE$60,MATCH(1,(GMWQ!$NE$2:$NE$60=N$3)*(GMWQ!$ND$2:$ND$60=N$4),0),$B221-1966)</f>
        <v>9.4050510000000003</v>
      </c>
      <c r="O221" s="18" cm="1">
        <f t="array" ref="O221">INDEX(GMWQ!$A$2:$NE$60,MATCH(1,(GMWQ!$NE$2:$NE$60=O$3)*(GMWQ!$ND$2:$ND$60=O$4),0),$B221-1966)</f>
        <v>4.6612629999999999</v>
      </c>
      <c r="P221" s="18" cm="1">
        <f t="array" ref="P221">INDEX(GMWQ!$A$2:$NE$60,MATCH(1,(GMWQ!$NE$2:$NE$60=P$3)*(GMWQ!$ND$2:$ND$60=P$4),0),$B221-1966)</f>
        <v>496712.6</v>
      </c>
      <c r="Q221" s="18" cm="1">
        <f t="array" ref="Q221">INDEX(GMWQ!$A$2:$NE$60,MATCH(1,(GMWQ!$NE$2:$NE$60=Q$3)*(GMWQ!$ND$2:$ND$60=Q$4),0),$B221-1966)</f>
        <v>972.7876</v>
      </c>
      <c r="R221" s="18" cm="1">
        <f t="array" ref="R221">INDEX(GMWQ!$A$2:$NE$60,MATCH(1,(GMWQ!$NE$2:$NE$60=R$3)*(GMWQ!$ND$2:$ND$60=R$4),0),$B221-1966)</f>
        <v>23982.53</v>
      </c>
      <c r="S221" s="18" cm="1">
        <f t="array" ref="S221">INDEX(GMWQ!$A$2:$NE$60,MATCH(1,(GMWQ!$NE$2:$NE$60=S$3)*(GMWQ!$ND$2:$ND$60=S$4),0),$B221-1966)</f>
        <v>105.241</v>
      </c>
      <c r="T221" s="18" cm="1">
        <f t="array" ref="T221">INDEX(GMWQ!$A$2:$NE$60,MATCH(1,(GMWQ!$NE$2:$NE$60=T$3)*(GMWQ!$ND$2:$ND$60=T$4),0),$B221-1966)</f>
        <v>86.923190000000005</v>
      </c>
      <c r="U221" s="18" cm="1">
        <f t="array" ref="U221">INDEX(GMWQ!$A$2:$NE$60,MATCH(1,(GMWQ!$NE$2:$NE$60=U$3)*(GMWQ!$ND$2:$ND$60=U$4),0),$B221-1966)</f>
        <v>61.849800000000002</v>
      </c>
      <c r="V221" s="18" cm="1">
        <f t="array" ref="V221">INDEX(GMWQ!$A$2:$NE$60,MATCH(1,(GMWQ!$NE$2:$NE$60=V$3)*(GMWQ!$ND$2:$ND$60=V$4),0),$B221-1966)</f>
        <v>71397.86</v>
      </c>
      <c r="W221" s="18" cm="1">
        <f t="array" ref="W221">INDEX(GMWQ!$A$2:$NF$60,MATCH(1,(GMWQ!$NE$2:$NE$60=W$3)*(GMWQ!$NF$2:$NF$60=W$1),0),$B221-1966)</f>
        <v>55319.83</v>
      </c>
      <c r="X221" s="18" cm="1">
        <f t="array" ref="X221">INDEX(GMWQ!$A$2:$NF$60,MATCH(1,(GMWQ!$NE$2:$NE$60=X$3)*(GMWQ!$NF$2:$NF$60=X$1),0),$B221-1966)</f>
        <v>57435.79</v>
      </c>
      <c r="Y221" s="18" cm="1">
        <f t="array" ref="Y221">INDEX(GMWQ!$A$2:$NF$60,MATCH(1,(GMWQ!$NE$2:$NE$60=Y$3)*(GMWQ!$NF$2:$NF$60=Y$1),0),$B221-1966)</f>
        <v>57721.1</v>
      </c>
      <c r="Z221" s="18" cm="1">
        <f t="array" ref="Z221">INDEX(GMWQ!$A$2:$NF$60,MATCH(1,(GMWQ!$NE$2:$NE$60=Z$3)*(GMWQ!$NF$2:$NF$60=Z$1),0),$B221-1966)</f>
        <v>64717.02</v>
      </c>
    </row>
    <row r="222" spans="1:26" x14ac:dyDescent="0.25">
      <c r="B222" s="18">
        <f t="shared" si="4"/>
        <v>2188</v>
      </c>
      <c r="C222" s="18" cm="1">
        <f t="array" ref="C222">INDEX(GMWQ!$A$2:$NE$60,MATCH(1,(GMWQ!$NE$2:$NE$60=C$3)*(GMWQ!$ND$2:$ND$60=C$4),0),$B222-1966)</f>
        <v>67338.97</v>
      </c>
      <c r="D222" s="18" cm="1">
        <f t="array" ref="D222">INDEX(GMWQ!$A$2:$NE$60,MATCH(1,(GMWQ!$NE$2:$NE$60=D$3)*(GMWQ!$ND$2:$ND$60=D$4),0),$B222-1966)</f>
        <v>168263.9</v>
      </c>
      <c r="E222" s="18" cm="1">
        <f t="array" ref="E222">INDEX(GMWQ!$A$2:$NE$60,MATCH(1,(GMWQ!$NE$2:$NE$60=E$3)*(GMWQ!$ND$2:$ND$60=E$4),0),$B222-1966)</f>
        <v>-10602.15</v>
      </c>
      <c r="F222" s="18" cm="1">
        <f t="array" ref="F222">INDEX(GMWQ!$A$2:$NE$60,MATCH(1,(GMWQ!$NE$2:$NE$60=F$3)*(GMWQ!$ND$2:$ND$60=F$4),0),$B222-1966)</f>
        <v>-10142.780000000001</v>
      </c>
      <c r="G222" s="18" cm="1">
        <f t="array" ref="G222">INDEX(GMWQ!$A$2:$NE$60,MATCH(1,(GMWQ!$NE$2:$NE$60=G$3)*(GMWQ!$ND$2:$ND$60=G$4),0),$B222-1966)</f>
        <v>772900.8</v>
      </c>
      <c r="H222" s="18" cm="1">
        <f t="array" ref="H222">INDEX(GMWQ!$A$2:$NE$60,MATCH(1,(GMWQ!$NE$2:$NE$60=H$3)*(GMWQ!$ND$2:$ND$60=H$4),0),$B222-1966)</f>
        <v>118828.1</v>
      </c>
      <c r="I222" s="18" cm="1">
        <f t="array" ref="I222">INDEX(GMWQ!$A$2:$NE$60,MATCH(1,(GMWQ!$NE$2:$NE$60=I$3)*(GMWQ!$ND$2:$ND$60=I$4),0),$B222-1966)</f>
        <v>18067.29</v>
      </c>
      <c r="J222" s="18" cm="1">
        <f t="array" ref="J222">INDEX(GMWQ!$A$2:$NE$60,MATCH(1,(GMWQ!$NE$2:$NE$60=J$3)*(GMWQ!$ND$2:$ND$60=J$4),0),$B222-1966)</f>
        <v>25103.46</v>
      </c>
      <c r="K222" s="18" cm="1">
        <f t="array" ref="K222">INDEX(GMWQ!$A$2:$NE$60,MATCH(1,(GMWQ!$NE$2:$NE$60=K$3)*(GMWQ!$ND$2:$ND$60=K$4),0),$B222-1966)</f>
        <v>3513286</v>
      </c>
      <c r="L222" s="18" cm="1">
        <f t="array" ref="L222">INDEX(GMWQ!$A$2:$NE$60,MATCH(1,(GMWQ!$NE$2:$NE$60=L$3)*(GMWQ!$ND$2:$ND$60=L$4),0),$B222-1966)</f>
        <v>34026.28</v>
      </c>
      <c r="M222" s="18" cm="1">
        <f t="array" ref="M222">INDEX(GMWQ!$A$2:$NE$60,MATCH(1,(GMWQ!$NE$2:$NE$60=M$3)*(GMWQ!$ND$2:$ND$60=M$4),0),$B222-1966)</f>
        <v>32</v>
      </c>
      <c r="N222" s="18" cm="1">
        <f t="array" ref="N222">INDEX(GMWQ!$A$2:$NE$60,MATCH(1,(GMWQ!$NE$2:$NE$60=N$3)*(GMWQ!$ND$2:$ND$60=N$4),0),$B222-1966)</f>
        <v>9.2358930000000008</v>
      </c>
      <c r="O222" s="18" cm="1">
        <f t="array" ref="O222">INDEX(GMWQ!$A$2:$NE$60,MATCH(1,(GMWQ!$NE$2:$NE$60=O$3)*(GMWQ!$ND$2:$ND$60=O$4),0),$B222-1966)</f>
        <v>4.4827089999999998</v>
      </c>
      <c r="P222" s="18" cm="1">
        <f t="array" ref="P222">INDEX(GMWQ!$A$2:$NE$60,MATCH(1,(GMWQ!$NE$2:$NE$60=P$3)*(GMWQ!$ND$2:$ND$60=P$4),0),$B222-1966)</f>
        <v>503717.1</v>
      </c>
      <c r="Q222" s="18" cm="1">
        <f t="array" ref="Q222">INDEX(GMWQ!$A$2:$NE$60,MATCH(1,(GMWQ!$NE$2:$NE$60=Q$3)*(GMWQ!$ND$2:$ND$60=Q$4),0),$B222-1966)</f>
        <v>984.5453</v>
      </c>
      <c r="R222" s="18" cm="1">
        <f t="array" ref="R222">INDEX(GMWQ!$A$2:$NE$60,MATCH(1,(GMWQ!$NE$2:$NE$60=R$3)*(GMWQ!$ND$2:$ND$60=R$4),0),$B222-1966)</f>
        <v>24093.13</v>
      </c>
      <c r="S222" s="18" cm="1">
        <f t="array" ref="S222">INDEX(GMWQ!$A$2:$NE$60,MATCH(1,(GMWQ!$NE$2:$NE$60=S$3)*(GMWQ!$ND$2:$ND$60=S$4),0),$B222-1966)</f>
        <v>105.9691</v>
      </c>
      <c r="T222" s="18" cm="1">
        <f t="array" ref="T222">INDEX(GMWQ!$A$2:$NE$60,MATCH(1,(GMWQ!$NE$2:$NE$60=T$3)*(GMWQ!$ND$2:$ND$60=T$4),0),$B222-1966)</f>
        <v>87.358149999999995</v>
      </c>
      <c r="U222" s="18" cm="1">
        <f t="array" ref="U222">INDEX(GMWQ!$A$2:$NE$60,MATCH(1,(GMWQ!$NE$2:$NE$60=U$3)*(GMWQ!$ND$2:$ND$60=U$4),0),$B222-1966)</f>
        <v>62.186419999999998</v>
      </c>
      <c r="V222" s="18" cm="1">
        <f t="array" ref="V222">INDEX(GMWQ!$A$2:$NE$60,MATCH(1,(GMWQ!$NE$2:$NE$60=V$3)*(GMWQ!$ND$2:$ND$60=V$4),0),$B222-1966)</f>
        <v>72623.97</v>
      </c>
      <c r="W222" s="18" cm="1">
        <f t="array" ref="W222">INDEX(GMWQ!$A$2:$NF$60,MATCH(1,(GMWQ!$NE$2:$NE$60=W$3)*(GMWQ!$NF$2:$NF$60=W$1),0),$B222-1966)</f>
        <v>55576.73</v>
      </c>
      <c r="X222" s="18" cm="1">
        <f t="array" ref="X222">INDEX(GMWQ!$A$2:$NF$60,MATCH(1,(GMWQ!$NE$2:$NE$60=X$3)*(GMWQ!$NF$2:$NF$60=X$1),0),$B222-1966)</f>
        <v>57694.25</v>
      </c>
      <c r="Y222" s="18" cm="1">
        <f t="array" ref="Y222">INDEX(GMWQ!$A$2:$NF$60,MATCH(1,(GMWQ!$NE$2:$NE$60=Y$3)*(GMWQ!$NF$2:$NF$60=Y$1),0),$B222-1966)</f>
        <v>58003.93</v>
      </c>
      <c r="Z222" s="18" cm="1">
        <f t="array" ref="Z222">INDEX(GMWQ!$A$2:$NF$60,MATCH(1,(GMWQ!$NE$2:$NE$60=Z$3)*(GMWQ!$NF$2:$NF$60=Z$1),0),$B222-1966)</f>
        <v>65170.05</v>
      </c>
    </row>
    <row r="223" spans="1:26" x14ac:dyDescent="0.25">
      <c r="A223" s="18">
        <v>2027</v>
      </c>
      <c r="B223" s="18">
        <f t="shared" si="4"/>
        <v>2189</v>
      </c>
      <c r="C223" s="18" cm="1">
        <f t="array" ref="C223">INDEX(GMWQ!$A$2:$NE$60,MATCH(1,(GMWQ!$NE$2:$NE$60=C$3)*(GMWQ!$ND$2:$ND$60=C$4),0),$B223-1966)</f>
        <v>67776.67</v>
      </c>
      <c r="D223" s="18" cm="1">
        <f t="array" ref="D223">INDEX(GMWQ!$A$2:$NE$60,MATCH(1,(GMWQ!$NE$2:$NE$60=D$3)*(GMWQ!$ND$2:$ND$60=D$4),0),$B223-1966)</f>
        <v>170157.9</v>
      </c>
      <c r="E223" s="18" cm="1">
        <f t="array" ref="E223">INDEX(GMWQ!$A$2:$NE$60,MATCH(1,(GMWQ!$NE$2:$NE$60=E$3)*(GMWQ!$ND$2:$ND$60=E$4),0),$B223-1966)</f>
        <v>-12764.53</v>
      </c>
      <c r="F223" s="18" cm="1">
        <f t="array" ref="F223">INDEX(GMWQ!$A$2:$NE$60,MATCH(1,(GMWQ!$NE$2:$NE$60=F$3)*(GMWQ!$ND$2:$ND$60=F$4),0),$B223-1966)</f>
        <v>-12677.43</v>
      </c>
      <c r="G223" s="18" cm="1">
        <f t="array" ref="G223">INDEX(GMWQ!$A$2:$NE$60,MATCH(1,(GMWQ!$NE$2:$NE$60=G$3)*(GMWQ!$ND$2:$ND$60=G$4),0),$B223-1966)</f>
        <v>780027.7</v>
      </c>
      <c r="H223" s="18" cm="1">
        <f t="array" ref="H223">INDEX(GMWQ!$A$2:$NE$60,MATCH(1,(GMWQ!$NE$2:$NE$60=H$3)*(GMWQ!$ND$2:$ND$60=H$4),0),$B223-1966)</f>
        <v>119431.8</v>
      </c>
      <c r="I223" s="18" cm="1">
        <f t="array" ref="I223">INDEX(GMWQ!$A$2:$NE$60,MATCH(1,(GMWQ!$NE$2:$NE$60=I$3)*(GMWQ!$ND$2:$ND$60=I$4),0),$B223-1966)</f>
        <v>17961.57</v>
      </c>
      <c r="J223" s="18" cm="1">
        <f t="array" ref="J223">INDEX(GMWQ!$A$2:$NE$60,MATCH(1,(GMWQ!$NE$2:$NE$60=J$3)*(GMWQ!$ND$2:$ND$60=J$4),0),$B223-1966)</f>
        <v>25329.41</v>
      </c>
      <c r="K223" s="18" cm="1">
        <f t="array" ref="K223">INDEX(GMWQ!$A$2:$NE$60,MATCH(1,(GMWQ!$NE$2:$NE$60=K$3)*(GMWQ!$ND$2:$ND$60=K$4),0),$B223-1966)</f>
        <v>3527738</v>
      </c>
      <c r="L223" s="18" cm="1">
        <f t="array" ref="L223">INDEX(GMWQ!$A$2:$NE$60,MATCH(1,(GMWQ!$NE$2:$NE$60=L$3)*(GMWQ!$ND$2:$ND$60=L$4),0),$B223-1966)</f>
        <v>34124.959999999999</v>
      </c>
      <c r="M223" s="18" cm="1">
        <f t="array" ref="M223">INDEX(GMWQ!$A$2:$NE$60,MATCH(1,(GMWQ!$NE$2:$NE$60=M$3)*(GMWQ!$ND$2:$ND$60=M$4),0),$B223-1966)</f>
        <v>31.999790000000001</v>
      </c>
      <c r="N223" s="18" cm="1">
        <f t="array" ref="N223">INDEX(GMWQ!$A$2:$NE$60,MATCH(1,(GMWQ!$NE$2:$NE$60=N$3)*(GMWQ!$ND$2:$ND$60=N$4),0),$B223-1966)</f>
        <v>9.0654839999999997</v>
      </c>
      <c r="O223" s="18" cm="1">
        <f t="array" ref="O223">INDEX(GMWQ!$A$2:$NE$60,MATCH(1,(GMWQ!$NE$2:$NE$60=O$3)*(GMWQ!$ND$2:$ND$60=O$4),0),$B223-1966)</f>
        <v>4.2932110000000003</v>
      </c>
      <c r="P223" s="18" cm="1">
        <f t="array" ref="P223">INDEX(GMWQ!$A$2:$NE$60,MATCH(1,(GMWQ!$NE$2:$NE$60=P$3)*(GMWQ!$ND$2:$ND$60=P$4),0),$B223-1966)</f>
        <v>510744</v>
      </c>
      <c r="Q223" s="18" cm="1">
        <f t="array" ref="Q223">INDEX(GMWQ!$A$2:$NE$60,MATCH(1,(GMWQ!$NE$2:$NE$60=Q$3)*(GMWQ!$ND$2:$ND$60=Q$4),0),$B223-1966)</f>
        <v>995.39170000000001</v>
      </c>
      <c r="R223" s="18" cm="1">
        <f t="array" ref="R223">INDEX(GMWQ!$A$2:$NE$60,MATCH(1,(GMWQ!$NE$2:$NE$60=R$3)*(GMWQ!$ND$2:$ND$60=R$4),0),$B223-1966)</f>
        <v>24205.08</v>
      </c>
      <c r="S223" s="18" cm="1">
        <f t="array" ref="S223">INDEX(GMWQ!$A$2:$NE$60,MATCH(1,(GMWQ!$NE$2:$NE$60=S$3)*(GMWQ!$ND$2:$ND$60=S$4),0),$B223-1966)</f>
        <v>106.8184</v>
      </c>
      <c r="T223" s="18" cm="1">
        <f t="array" ref="T223">INDEX(GMWQ!$A$2:$NE$60,MATCH(1,(GMWQ!$NE$2:$NE$60=T$3)*(GMWQ!$ND$2:$ND$60=T$4),0),$B223-1966)</f>
        <v>87.791480000000007</v>
      </c>
      <c r="U223" s="18" cm="1">
        <f t="array" ref="U223">INDEX(GMWQ!$A$2:$NE$60,MATCH(1,(GMWQ!$NE$2:$NE$60=U$3)*(GMWQ!$ND$2:$ND$60=U$4),0),$B223-1966)</f>
        <v>62.307549999999999</v>
      </c>
      <c r="V223" s="18" cm="1">
        <f t="array" ref="V223">INDEX(GMWQ!$A$2:$NE$60,MATCH(1,(GMWQ!$NE$2:$NE$60=V$3)*(GMWQ!$ND$2:$ND$60=V$4),0),$B223-1966)</f>
        <v>73751.199999999997</v>
      </c>
      <c r="W223" s="18" cm="1">
        <f t="array" ref="W223">INDEX(GMWQ!$A$2:$NF$60,MATCH(1,(GMWQ!$NE$2:$NE$60=W$3)*(GMWQ!$NF$2:$NF$60=W$1),0),$B223-1966)</f>
        <v>55834.77</v>
      </c>
      <c r="X223" s="18" cm="1">
        <f t="array" ref="X223">INDEX(GMWQ!$A$2:$NF$60,MATCH(1,(GMWQ!$NE$2:$NE$60=X$3)*(GMWQ!$NF$2:$NF$60=X$1),0),$B223-1966)</f>
        <v>57962.43</v>
      </c>
      <c r="Y223" s="18" cm="1">
        <f t="array" ref="Y223">INDEX(GMWQ!$A$2:$NF$60,MATCH(1,(GMWQ!$NE$2:$NE$60=Y$3)*(GMWQ!$NF$2:$NF$60=Y$1),0),$B223-1966)</f>
        <v>58288.15</v>
      </c>
      <c r="Z223" s="18" cm="1">
        <f t="array" ref="Z223">INDEX(GMWQ!$A$2:$NF$60,MATCH(1,(GMWQ!$NE$2:$NE$60=Z$3)*(GMWQ!$NF$2:$NF$60=Z$1),0),$B223-1966)</f>
        <v>65593.66</v>
      </c>
    </row>
    <row r="224" spans="1:26" x14ac:dyDescent="0.25">
      <c r="B224" s="18">
        <f t="shared" si="4"/>
        <v>2190</v>
      </c>
      <c r="C224" s="18" cm="1">
        <f t="array" ref="C224">INDEX(GMWQ!$A$2:$NE$60,MATCH(1,(GMWQ!$NE$2:$NE$60=C$3)*(GMWQ!$ND$2:$ND$60=C$4),0),$B224-1966)</f>
        <v>68183.31</v>
      </c>
      <c r="D224" s="18" cm="1">
        <f t="array" ref="D224">INDEX(GMWQ!$A$2:$NE$60,MATCH(1,(GMWQ!$NE$2:$NE$60=D$3)*(GMWQ!$ND$2:$ND$60=D$4),0),$B224-1966)</f>
        <v>171382</v>
      </c>
      <c r="E224" s="18" cm="1">
        <f t="array" ref="E224">INDEX(GMWQ!$A$2:$NE$60,MATCH(1,(GMWQ!$NE$2:$NE$60=E$3)*(GMWQ!$ND$2:$ND$60=E$4),0),$B224-1966)</f>
        <v>-20515.61</v>
      </c>
      <c r="F224" s="18" cm="1">
        <f t="array" ref="F224">INDEX(GMWQ!$A$2:$NE$60,MATCH(1,(GMWQ!$NE$2:$NE$60=F$3)*(GMWQ!$ND$2:$ND$60=F$4),0),$B224-1966)</f>
        <v>-20731.68</v>
      </c>
      <c r="G224" s="18" cm="1">
        <f t="array" ref="G224">INDEX(GMWQ!$A$2:$NE$60,MATCH(1,(GMWQ!$NE$2:$NE$60=G$3)*(GMWQ!$ND$2:$ND$60=G$4),0),$B224-1966)</f>
        <v>787220.5</v>
      </c>
      <c r="H224" s="18" cm="1">
        <f t="array" ref="H224">INDEX(GMWQ!$A$2:$NE$60,MATCH(1,(GMWQ!$NE$2:$NE$60=H$3)*(GMWQ!$ND$2:$ND$60=H$4),0),$B224-1966)</f>
        <v>120006.9</v>
      </c>
      <c r="I224" s="18" cm="1">
        <f t="array" ref="I224">INDEX(GMWQ!$A$2:$NE$60,MATCH(1,(GMWQ!$NE$2:$NE$60=I$3)*(GMWQ!$ND$2:$ND$60=I$4),0),$B224-1966)</f>
        <v>17860.27</v>
      </c>
      <c r="J224" s="18" cm="1">
        <f t="array" ref="J224">INDEX(GMWQ!$A$2:$NE$60,MATCH(1,(GMWQ!$NE$2:$NE$60=J$3)*(GMWQ!$ND$2:$ND$60=J$4),0),$B224-1966)</f>
        <v>25557.37</v>
      </c>
      <c r="K224" s="18" cm="1">
        <f t="array" ref="K224">INDEX(GMWQ!$A$2:$NE$60,MATCH(1,(GMWQ!$NE$2:$NE$60=K$3)*(GMWQ!$ND$2:$ND$60=K$4),0),$B224-1966)</f>
        <v>3542158</v>
      </c>
      <c r="L224" s="18" cm="1">
        <f t="array" ref="L224">INDEX(GMWQ!$A$2:$NE$60,MATCH(1,(GMWQ!$NE$2:$NE$60=L$3)*(GMWQ!$ND$2:$ND$60=L$4),0),$B224-1966)</f>
        <v>34223.93</v>
      </c>
      <c r="M224" s="18" cm="1">
        <f t="array" ref="M224">INDEX(GMWQ!$A$2:$NE$60,MATCH(1,(GMWQ!$NE$2:$NE$60=M$3)*(GMWQ!$ND$2:$ND$60=M$4),0),$B224-1966)</f>
        <v>31.999580000000002</v>
      </c>
      <c r="N224" s="18" cm="1">
        <f t="array" ref="N224">INDEX(GMWQ!$A$2:$NE$60,MATCH(1,(GMWQ!$NE$2:$NE$60=N$3)*(GMWQ!$ND$2:$ND$60=N$4),0),$B224-1966)</f>
        <v>8.9069939999999992</v>
      </c>
      <c r="O224" s="18" cm="1">
        <f t="array" ref="O224">INDEX(GMWQ!$A$2:$NE$60,MATCH(1,(GMWQ!$NE$2:$NE$60=O$3)*(GMWQ!$ND$2:$ND$60=O$4),0),$B224-1966)</f>
        <v>4.1081529999999997</v>
      </c>
      <c r="P224" s="18" cm="1">
        <f t="array" ref="P224">INDEX(GMWQ!$A$2:$NE$60,MATCH(1,(GMWQ!$NE$2:$NE$60=P$3)*(GMWQ!$ND$2:$ND$60=P$4),0),$B224-1966)</f>
        <v>517993.7</v>
      </c>
      <c r="Q224" s="18" cm="1">
        <f t="array" ref="Q224">INDEX(GMWQ!$A$2:$NE$60,MATCH(1,(GMWQ!$NE$2:$NE$60=Q$3)*(GMWQ!$ND$2:$ND$60=Q$4),0),$B224-1966)</f>
        <v>1005.731</v>
      </c>
      <c r="R224" s="18" cm="1">
        <f t="array" ref="R224">INDEX(GMWQ!$A$2:$NE$60,MATCH(1,(GMWQ!$NE$2:$NE$60=R$3)*(GMWQ!$ND$2:$ND$60=R$4),0),$B224-1966)</f>
        <v>24283.279999999999</v>
      </c>
      <c r="S224" s="18" cm="1">
        <f t="array" ref="S224">INDEX(GMWQ!$A$2:$NE$60,MATCH(1,(GMWQ!$NE$2:$NE$60=S$3)*(GMWQ!$ND$2:$ND$60=S$4),0),$B224-1966)</f>
        <v>107.6614</v>
      </c>
      <c r="T224" s="18" cm="1">
        <f t="array" ref="T224">INDEX(GMWQ!$A$2:$NE$60,MATCH(1,(GMWQ!$NE$2:$NE$60=T$3)*(GMWQ!$ND$2:$ND$60=T$4),0),$B224-1966)</f>
        <v>88.222729999999999</v>
      </c>
      <c r="U224" s="18" cm="1">
        <f t="array" ref="U224">INDEX(GMWQ!$A$2:$NE$60,MATCH(1,(GMWQ!$NE$2:$NE$60=U$3)*(GMWQ!$ND$2:$ND$60=U$4),0),$B224-1966)</f>
        <v>62.429220000000001</v>
      </c>
      <c r="V224" s="18" cm="1">
        <f t="array" ref="V224">INDEX(GMWQ!$A$2:$NE$60,MATCH(1,(GMWQ!$NE$2:$NE$60=V$3)*(GMWQ!$ND$2:$ND$60=V$4),0),$B224-1966)</f>
        <v>74797.72</v>
      </c>
      <c r="W224" s="18" cm="1">
        <f t="array" ref="W224">INDEX(GMWQ!$A$2:$NF$60,MATCH(1,(GMWQ!$NE$2:$NE$60=W$3)*(GMWQ!$NF$2:$NF$60=W$1),0),$B224-1966)</f>
        <v>56093.94</v>
      </c>
      <c r="X224" s="18" cm="1">
        <f t="array" ref="X224">INDEX(GMWQ!$A$2:$NF$60,MATCH(1,(GMWQ!$NE$2:$NE$60=X$3)*(GMWQ!$NF$2:$NF$60=X$1),0),$B224-1966)</f>
        <v>58232.39</v>
      </c>
      <c r="Y224" s="18" cm="1">
        <f t="array" ref="Y224">INDEX(GMWQ!$A$2:$NF$60,MATCH(1,(GMWQ!$NE$2:$NE$60=Y$3)*(GMWQ!$NF$2:$NF$60=Y$1),0),$B224-1966)</f>
        <v>58573.77</v>
      </c>
      <c r="Z224" s="18" cm="1">
        <f t="array" ref="Z224">INDEX(GMWQ!$A$2:$NF$60,MATCH(1,(GMWQ!$NE$2:$NE$60=Z$3)*(GMWQ!$NF$2:$NF$60=Z$1),0),$B224-1966)</f>
        <v>65987.199999999997</v>
      </c>
    </row>
    <row r="225" spans="1:26" x14ac:dyDescent="0.25">
      <c r="B225" s="18">
        <f t="shared" si="4"/>
        <v>2191</v>
      </c>
      <c r="C225" s="18" cm="1">
        <f t="array" ref="C225">INDEX(GMWQ!$A$2:$NE$60,MATCH(1,(GMWQ!$NE$2:$NE$60=C$3)*(GMWQ!$ND$2:$ND$60=C$4),0),$B225-1966)</f>
        <v>68592.41</v>
      </c>
      <c r="D225" s="18" cm="1">
        <f t="array" ref="D225">INDEX(GMWQ!$A$2:$NE$60,MATCH(1,(GMWQ!$NE$2:$NE$60=D$3)*(GMWQ!$ND$2:$ND$60=D$4),0),$B225-1966)</f>
        <v>173727.8</v>
      </c>
      <c r="E225" s="18" cm="1">
        <f t="array" ref="E225">INDEX(GMWQ!$A$2:$NE$60,MATCH(1,(GMWQ!$NE$2:$NE$60=E$3)*(GMWQ!$ND$2:$ND$60=E$4),0),$B225-1966)</f>
        <v>-20934.39</v>
      </c>
      <c r="F225" s="18" cm="1">
        <f t="array" ref="F225">INDEX(GMWQ!$A$2:$NE$60,MATCH(1,(GMWQ!$NE$2:$NE$60=F$3)*(GMWQ!$ND$2:$ND$60=F$4),0),$B225-1966)</f>
        <v>-21397.85</v>
      </c>
      <c r="G225" s="18" cm="1">
        <f t="array" ref="G225">INDEX(GMWQ!$A$2:$NE$60,MATCH(1,(GMWQ!$NE$2:$NE$60=G$3)*(GMWQ!$ND$2:$ND$60=G$4),0),$B225-1966)</f>
        <v>794420.2</v>
      </c>
      <c r="H225" s="18" cm="1">
        <f t="array" ref="H225">INDEX(GMWQ!$A$2:$NE$60,MATCH(1,(GMWQ!$NE$2:$NE$60=H$3)*(GMWQ!$ND$2:$ND$60=H$4),0),$B225-1966)</f>
        <v>120555.5</v>
      </c>
      <c r="I225" s="18" cm="1">
        <f t="array" ref="I225">INDEX(GMWQ!$A$2:$NE$60,MATCH(1,(GMWQ!$NE$2:$NE$60=I$3)*(GMWQ!$ND$2:$ND$60=I$4),0),$B225-1966)</f>
        <v>17755.759999999998</v>
      </c>
      <c r="J225" s="18" cm="1">
        <f t="array" ref="J225">INDEX(GMWQ!$A$2:$NE$60,MATCH(1,(GMWQ!$NE$2:$NE$60=J$3)*(GMWQ!$ND$2:$ND$60=J$4),0),$B225-1966)</f>
        <v>25761.86</v>
      </c>
      <c r="K225" s="18" cm="1">
        <f t="array" ref="K225">INDEX(GMWQ!$A$2:$NE$60,MATCH(1,(GMWQ!$NE$2:$NE$60=K$3)*(GMWQ!$ND$2:$ND$60=K$4),0),$B225-1966)</f>
        <v>3556544</v>
      </c>
      <c r="L225" s="18" cm="1">
        <f t="array" ref="L225">INDEX(GMWQ!$A$2:$NE$60,MATCH(1,(GMWQ!$NE$2:$NE$60=L$3)*(GMWQ!$ND$2:$ND$60=L$4),0),$B225-1966)</f>
        <v>34321.480000000003</v>
      </c>
      <c r="M225" s="18" cm="1">
        <f t="array" ref="M225">INDEX(GMWQ!$A$2:$NE$60,MATCH(1,(GMWQ!$NE$2:$NE$60=M$3)*(GMWQ!$ND$2:$ND$60=M$4),0),$B225-1966)</f>
        <v>31.999369999999999</v>
      </c>
      <c r="N225" s="18" cm="1">
        <f t="array" ref="N225">INDEX(GMWQ!$A$2:$NE$60,MATCH(1,(GMWQ!$NE$2:$NE$60=N$3)*(GMWQ!$ND$2:$ND$60=N$4),0),$B225-1966)</f>
        <v>8.7522249999999993</v>
      </c>
      <c r="O225" s="18" cm="1">
        <f t="array" ref="O225">INDEX(GMWQ!$A$2:$NE$60,MATCH(1,(GMWQ!$NE$2:$NE$60=O$3)*(GMWQ!$ND$2:$ND$60=O$4),0),$B225-1966)</f>
        <v>3.9363049999999999</v>
      </c>
      <c r="P225" s="18" cm="1">
        <f t="array" ref="P225">INDEX(GMWQ!$A$2:$NE$60,MATCH(1,(GMWQ!$NE$2:$NE$60=P$3)*(GMWQ!$ND$2:$ND$60=P$4),0),$B225-1966)</f>
        <v>525485</v>
      </c>
      <c r="Q225" s="18" cm="1">
        <f t="array" ref="Q225">INDEX(GMWQ!$A$2:$NE$60,MATCH(1,(GMWQ!$NE$2:$NE$60=Q$3)*(GMWQ!$ND$2:$ND$60=Q$4),0),$B225-1966)</f>
        <v>1015.567</v>
      </c>
      <c r="R225" s="18" cm="1">
        <f t="array" ref="R225">INDEX(GMWQ!$A$2:$NE$60,MATCH(1,(GMWQ!$NE$2:$NE$60=R$3)*(GMWQ!$ND$2:$ND$60=R$4),0),$B225-1966)</f>
        <v>24367.48</v>
      </c>
      <c r="S225" s="18" cm="1">
        <f t="array" ref="S225">INDEX(GMWQ!$A$2:$NE$60,MATCH(1,(GMWQ!$NE$2:$NE$60=S$3)*(GMWQ!$ND$2:$ND$60=S$4),0),$B225-1966)</f>
        <v>108.5403</v>
      </c>
      <c r="T225" s="18" cm="1">
        <f t="array" ref="T225">INDEX(GMWQ!$A$2:$NE$60,MATCH(1,(GMWQ!$NE$2:$NE$60=T$3)*(GMWQ!$ND$2:$ND$60=T$4),0),$B225-1966)</f>
        <v>88.729969999999994</v>
      </c>
      <c r="U225" s="18" cm="1">
        <f t="array" ref="U225">INDEX(GMWQ!$A$2:$NE$60,MATCH(1,(GMWQ!$NE$2:$NE$60=U$3)*(GMWQ!$ND$2:$ND$60=U$4),0),$B225-1966)</f>
        <v>62.568620000000003</v>
      </c>
      <c r="V225" s="18" cm="1">
        <f t="array" ref="V225">INDEX(GMWQ!$A$2:$NE$60,MATCH(1,(GMWQ!$NE$2:$NE$60=V$3)*(GMWQ!$ND$2:$ND$60=V$4),0),$B225-1966)</f>
        <v>75763.350000000006</v>
      </c>
      <c r="W225" s="18" cm="1">
        <f t="array" ref="W225">INDEX(GMWQ!$A$2:$NF$60,MATCH(1,(GMWQ!$NE$2:$NE$60=W$3)*(GMWQ!$NF$2:$NF$60=W$1),0),$B225-1966)</f>
        <v>56354.23</v>
      </c>
      <c r="X225" s="18" cm="1">
        <f t="array" ref="X225">INDEX(GMWQ!$A$2:$NF$60,MATCH(1,(GMWQ!$NE$2:$NE$60=X$3)*(GMWQ!$NF$2:$NF$60=X$1),0),$B225-1966)</f>
        <v>58509.17</v>
      </c>
      <c r="Y225" s="18" cm="1">
        <f t="array" ref="Y225">INDEX(GMWQ!$A$2:$NF$60,MATCH(1,(GMWQ!$NE$2:$NE$60=Y$3)*(GMWQ!$NF$2:$NF$60=Y$1),0),$B225-1966)</f>
        <v>58860.78</v>
      </c>
      <c r="Z225" s="18" cm="1">
        <f t="array" ref="Z225">INDEX(GMWQ!$A$2:$NF$60,MATCH(1,(GMWQ!$NE$2:$NE$60=Z$3)*(GMWQ!$NF$2:$NF$60=Z$1),0),$B225-1966)</f>
        <v>66383.13</v>
      </c>
    </row>
    <row r="226" spans="1:26" x14ac:dyDescent="0.25">
      <c r="B226" s="18">
        <f t="shared" si="4"/>
        <v>2192</v>
      </c>
      <c r="C226" s="18" cm="1">
        <f t="array" ref="C226">INDEX(GMWQ!$A$2:$NE$60,MATCH(1,(GMWQ!$NE$2:$NE$60=C$3)*(GMWQ!$ND$2:$ND$60=C$4),0),$B226-1966)</f>
        <v>69003.990000000005</v>
      </c>
      <c r="D226" s="18" cm="1">
        <f t="array" ref="D226">INDEX(GMWQ!$A$2:$NE$60,MATCH(1,(GMWQ!$NE$2:$NE$60=D$3)*(GMWQ!$ND$2:$ND$60=D$4),0),$B226-1966)</f>
        <v>175515</v>
      </c>
      <c r="E226" s="18" cm="1">
        <f t="array" ref="E226">INDEX(GMWQ!$A$2:$NE$60,MATCH(1,(GMWQ!$NE$2:$NE$60=E$3)*(GMWQ!$ND$2:$ND$60=E$4),0),$B226-1966)</f>
        <v>-12036.36</v>
      </c>
      <c r="F226" s="18" cm="1">
        <f t="array" ref="F226">INDEX(GMWQ!$A$2:$NE$60,MATCH(1,(GMWQ!$NE$2:$NE$60=F$3)*(GMWQ!$ND$2:$ND$60=F$4),0),$B226-1966)</f>
        <v>-12702.28</v>
      </c>
      <c r="G226" s="18" cm="1">
        <f t="array" ref="G226">INDEX(GMWQ!$A$2:$NE$60,MATCH(1,(GMWQ!$NE$2:$NE$60=G$3)*(GMWQ!$ND$2:$ND$60=G$4),0),$B226-1966)</f>
        <v>801805.3</v>
      </c>
      <c r="H226" s="18" cm="1">
        <f t="array" ref="H226">INDEX(GMWQ!$A$2:$NE$60,MATCH(1,(GMWQ!$NE$2:$NE$60=H$3)*(GMWQ!$ND$2:$ND$60=H$4),0),$B226-1966)</f>
        <v>121089.8</v>
      </c>
      <c r="I226" s="18" cm="1">
        <f t="array" ref="I226">INDEX(GMWQ!$A$2:$NE$60,MATCH(1,(GMWQ!$NE$2:$NE$60=I$3)*(GMWQ!$ND$2:$ND$60=I$4),0),$B226-1966)</f>
        <v>17632.75</v>
      </c>
      <c r="J226" s="18" cm="1">
        <f t="array" ref="J226">INDEX(GMWQ!$A$2:$NE$60,MATCH(1,(GMWQ!$NE$2:$NE$60=J$3)*(GMWQ!$ND$2:$ND$60=J$4),0),$B226-1966)</f>
        <v>25967.919999999998</v>
      </c>
      <c r="K226" s="18" cm="1">
        <f t="array" ref="K226">INDEX(GMWQ!$A$2:$NE$60,MATCH(1,(GMWQ!$NE$2:$NE$60=K$3)*(GMWQ!$ND$2:$ND$60=K$4),0),$B226-1966)</f>
        <v>3570882</v>
      </c>
      <c r="L226" s="18" cm="1">
        <f t="array" ref="L226">INDEX(GMWQ!$A$2:$NE$60,MATCH(1,(GMWQ!$NE$2:$NE$60=L$3)*(GMWQ!$ND$2:$ND$60=L$4),0),$B226-1966)</f>
        <v>34424.43</v>
      </c>
      <c r="M226" s="18" cm="1">
        <f t="array" ref="M226">INDEX(GMWQ!$A$2:$NE$60,MATCH(1,(GMWQ!$NE$2:$NE$60=M$3)*(GMWQ!$ND$2:$ND$60=M$4),0),$B226-1966)</f>
        <v>31.999169999999999</v>
      </c>
      <c r="N226" s="18" cm="1">
        <f t="array" ref="N226">INDEX(GMWQ!$A$2:$NE$60,MATCH(1,(GMWQ!$NE$2:$NE$60=N$3)*(GMWQ!$ND$2:$ND$60=N$4),0),$B226-1966)</f>
        <v>8.7058160000000004</v>
      </c>
      <c r="O226" s="18" cm="1">
        <f t="array" ref="O226">INDEX(GMWQ!$A$2:$NE$60,MATCH(1,(GMWQ!$NE$2:$NE$60=O$3)*(GMWQ!$ND$2:$ND$60=O$4),0),$B226-1966)</f>
        <v>3.8568210000000001</v>
      </c>
      <c r="P226" s="18" cm="1">
        <f t="array" ref="P226">INDEX(GMWQ!$A$2:$NE$60,MATCH(1,(GMWQ!$NE$2:$NE$60=P$3)*(GMWQ!$ND$2:$ND$60=P$4),0),$B226-1966)</f>
        <v>533561.80000000005</v>
      </c>
      <c r="Q226" s="18" cm="1">
        <f t="array" ref="Q226">INDEX(GMWQ!$A$2:$NE$60,MATCH(1,(GMWQ!$NE$2:$NE$60=Q$3)*(GMWQ!$ND$2:$ND$60=Q$4),0),$B226-1966)</f>
        <v>1025.0809999999999</v>
      </c>
      <c r="R226" s="18" cm="1">
        <f t="array" ref="R226">INDEX(GMWQ!$A$2:$NE$60,MATCH(1,(GMWQ!$NE$2:$NE$60=R$3)*(GMWQ!$ND$2:$ND$60=R$4),0),$B226-1966)</f>
        <v>24471.06</v>
      </c>
      <c r="S226" s="18" cm="1">
        <f t="array" ref="S226">INDEX(GMWQ!$A$2:$NE$60,MATCH(1,(GMWQ!$NE$2:$NE$60=S$3)*(GMWQ!$ND$2:$ND$60=S$4),0),$B226-1966)</f>
        <v>109.4415</v>
      </c>
      <c r="T226" s="18" cm="1">
        <f t="array" ref="T226">INDEX(GMWQ!$A$2:$NE$60,MATCH(1,(GMWQ!$NE$2:$NE$60=T$3)*(GMWQ!$ND$2:$ND$60=T$4),0),$B226-1966)</f>
        <v>89.140140000000002</v>
      </c>
      <c r="U226" s="18" cm="1">
        <f t="array" ref="U226">INDEX(GMWQ!$A$2:$NE$60,MATCH(1,(GMWQ!$NE$2:$NE$60=U$3)*(GMWQ!$ND$2:$ND$60=U$4),0),$B226-1966)</f>
        <v>62.637250000000002</v>
      </c>
      <c r="V226" s="18" cm="1">
        <f t="array" ref="V226">INDEX(GMWQ!$A$2:$NE$60,MATCH(1,(GMWQ!$NE$2:$NE$60=V$3)*(GMWQ!$ND$2:$ND$60=V$4),0),$B226-1966)</f>
        <v>76657.66</v>
      </c>
      <c r="W226" s="18" cm="1">
        <f t="array" ref="W226">INDEX(GMWQ!$A$2:$NF$60,MATCH(1,(GMWQ!$NE$2:$NE$60=W$3)*(GMWQ!$NF$2:$NF$60=W$1),0),$B226-1966)</f>
        <v>56615.64</v>
      </c>
      <c r="X226" s="18" cm="1">
        <f t="array" ref="X226">INDEX(GMWQ!$A$2:$NF$60,MATCH(1,(GMWQ!$NE$2:$NE$60=X$3)*(GMWQ!$NF$2:$NF$60=X$1),0),$B226-1966)</f>
        <v>58787.8</v>
      </c>
      <c r="Y226" s="18" cm="1">
        <f t="array" ref="Y226">INDEX(GMWQ!$A$2:$NF$60,MATCH(1,(GMWQ!$NE$2:$NE$60=Y$3)*(GMWQ!$NF$2:$NF$60=Y$1),0),$B226-1966)</f>
        <v>59149.2</v>
      </c>
      <c r="Z226" s="18" cm="1">
        <f t="array" ref="Z226">INDEX(GMWQ!$A$2:$NF$60,MATCH(1,(GMWQ!$NE$2:$NE$60=Z$3)*(GMWQ!$NF$2:$NF$60=Z$1),0),$B226-1966)</f>
        <v>66781.45</v>
      </c>
    </row>
    <row r="227" spans="1:26" x14ac:dyDescent="0.25">
      <c r="A227" s="18">
        <v>2028</v>
      </c>
      <c r="B227" s="18">
        <f t="shared" si="4"/>
        <v>2193</v>
      </c>
      <c r="C227" s="18" cm="1">
        <f t="array" ref="C227">INDEX(GMWQ!$A$2:$NE$60,MATCH(1,(GMWQ!$NE$2:$NE$60=C$3)*(GMWQ!$ND$2:$ND$60=C$4),0),$B227-1966)</f>
        <v>69418.02</v>
      </c>
      <c r="D227" s="18" cm="1">
        <f t="array" ref="D227">INDEX(GMWQ!$A$2:$NE$60,MATCH(1,(GMWQ!$NE$2:$NE$60=D$3)*(GMWQ!$ND$2:$ND$60=D$4),0),$B227-1966)</f>
        <v>177121.8</v>
      </c>
      <c r="E227" s="18" cm="1">
        <f t="array" ref="E227">INDEX(GMWQ!$A$2:$NE$60,MATCH(1,(GMWQ!$NE$2:$NE$60=E$3)*(GMWQ!$ND$2:$ND$60=E$4),0),$B227-1966)</f>
        <v>-17289.7</v>
      </c>
      <c r="F227" s="18" cm="1">
        <f t="array" ref="F227">INDEX(GMWQ!$A$2:$NE$60,MATCH(1,(GMWQ!$NE$2:$NE$60=F$3)*(GMWQ!$ND$2:$ND$60=F$4),0),$B227-1966)</f>
        <v>-18121.72</v>
      </c>
      <c r="G227" s="18" cm="1">
        <f t="array" ref="G227">INDEX(GMWQ!$A$2:$NE$60,MATCH(1,(GMWQ!$NE$2:$NE$60=G$3)*(GMWQ!$ND$2:$ND$60=G$4),0),$B227-1966)</f>
        <v>809178.4</v>
      </c>
      <c r="H227" s="18" cm="1">
        <f t="array" ref="H227">INDEX(GMWQ!$A$2:$NE$60,MATCH(1,(GMWQ!$NE$2:$NE$60=H$3)*(GMWQ!$ND$2:$ND$60=H$4),0),$B227-1966)</f>
        <v>121597.3</v>
      </c>
      <c r="I227" s="18" cm="1">
        <f t="array" ref="I227">INDEX(GMWQ!$A$2:$NE$60,MATCH(1,(GMWQ!$NE$2:$NE$60=I$3)*(GMWQ!$ND$2:$ND$60=I$4),0),$B227-1966)</f>
        <v>17491.59</v>
      </c>
      <c r="J227" s="18" cm="1">
        <f t="array" ref="J227">INDEX(GMWQ!$A$2:$NE$60,MATCH(1,(GMWQ!$NE$2:$NE$60=J$3)*(GMWQ!$ND$2:$ND$60=J$4),0),$B227-1966)</f>
        <v>26162.68</v>
      </c>
      <c r="K227" s="18" cm="1">
        <f t="array" ref="K227">INDEX(GMWQ!$A$2:$NE$60,MATCH(1,(GMWQ!$NE$2:$NE$60=K$3)*(GMWQ!$ND$2:$ND$60=K$4),0),$B227-1966)</f>
        <v>3585156</v>
      </c>
      <c r="L227" s="18" cm="1">
        <f t="array" ref="L227">INDEX(GMWQ!$A$2:$NE$60,MATCH(1,(GMWQ!$NE$2:$NE$60=L$3)*(GMWQ!$ND$2:$ND$60=L$4),0),$B227-1966)</f>
        <v>34524.26</v>
      </c>
      <c r="M227" s="18" cm="1">
        <f t="array" ref="M227">INDEX(GMWQ!$A$2:$NE$60,MATCH(1,(GMWQ!$NE$2:$NE$60=M$3)*(GMWQ!$ND$2:$ND$60=M$4),0),$B227-1966)</f>
        <v>31.99896</v>
      </c>
      <c r="N227" s="18" cm="1">
        <f t="array" ref="N227">INDEX(GMWQ!$A$2:$NE$60,MATCH(1,(GMWQ!$NE$2:$NE$60=N$3)*(GMWQ!$ND$2:$ND$60=N$4),0),$B227-1966)</f>
        <v>8.7162629999999996</v>
      </c>
      <c r="O227" s="18" cm="1">
        <f t="array" ref="O227">INDEX(GMWQ!$A$2:$NE$60,MATCH(1,(GMWQ!$NE$2:$NE$60=O$3)*(GMWQ!$ND$2:$ND$60=O$4),0),$B227-1966)</f>
        <v>3.8562470000000002</v>
      </c>
      <c r="P227" s="18" cm="1">
        <f t="array" ref="P227">INDEX(GMWQ!$A$2:$NE$60,MATCH(1,(GMWQ!$NE$2:$NE$60=P$3)*(GMWQ!$ND$2:$ND$60=P$4),0),$B227-1966)</f>
        <v>541959.4</v>
      </c>
      <c r="Q227" s="18" cm="1">
        <f t="array" ref="Q227">INDEX(GMWQ!$A$2:$NE$60,MATCH(1,(GMWQ!$NE$2:$NE$60=Q$3)*(GMWQ!$ND$2:$ND$60=Q$4),0),$B227-1966)</f>
        <v>1034.2840000000001</v>
      </c>
      <c r="R227" s="18" cm="1">
        <f t="array" ref="R227">INDEX(GMWQ!$A$2:$NE$60,MATCH(1,(GMWQ!$NE$2:$NE$60=R$3)*(GMWQ!$ND$2:$ND$60=R$4),0),$B227-1966)</f>
        <v>24547.07</v>
      </c>
      <c r="S227" s="18" cm="1">
        <f t="array" ref="S227">INDEX(GMWQ!$A$2:$NE$60,MATCH(1,(GMWQ!$NE$2:$NE$60=S$3)*(GMWQ!$ND$2:$ND$60=S$4),0),$B227-1966)</f>
        <v>110.36579999999999</v>
      </c>
      <c r="T227" s="18" cm="1">
        <f t="array" ref="T227">INDEX(GMWQ!$A$2:$NE$60,MATCH(1,(GMWQ!$NE$2:$NE$60=T$3)*(GMWQ!$ND$2:$ND$60=T$4),0),$B227-1966)</f>
        <v>89.614760000000004</v>
      </c>
      <c r="U227" s="18" cm="1">
        <f t="array" ref="U227">INDEX(GMWQ!$A$2:$NE$60,MATCH(1,(GMWQ!$NE$2:$NE$60=U$3)*(GMWQ!$ND$2:$ND$60=U$4),0),$B227-1966)</f>
        <v>62.705590000000001</v>
      </c>
      <c r="V227" s="18" cm="1">
        <f t="array" ref="V227">INDEX(GMWQ!$A$2:$NE$60,MATCH(1,(GMWQ!$NE$2:$NE$60=V$3)*(GMWQ!$ND$2:$ND$60=V$4),0),$B227-1966)</f>
        <v>77468.7</v>
      </c>
      <c r="W227" s="18" cm="1">
        <f t="array" ref="W227">INDEX(GMWQ!$A$2:$NF$60,MATCH(1,(GMWQ!$NE$2:$NE$60=W$3)*(GMWQ!$NF$2:$NF$60=W$1),0),$B227-1966)</f>
        <v>56878.17</v>
      </c>
      <c r="X227" s="18" cm="1">
        <f t="array" ref="X227">INDEX(GMWQ!$A$2:$NF$60,MATCH(1,(GMWQ!$NE$2:$NE$60=X$3)*(GMWQ!$NF$2:$NF$60=X$1),0),$B227-1966)</f>
        <v>59073.36</v>
      </c>
      <c r="Y227" s="18" cm="1">
        <f t="array" ref="Y227">INDEX(GMWQ!$A$2:$NF$60,MATCH(1,(GMWQ!$NE$2:$NE$60=Y$3)*(GMWQ!$NF$2:$NF$60=Y$1),0),$B227-1966)</f>
        <v>59439.03</v>
      </c>
      <c r="Z227" s="18" cm="1">
        <f t="array" ref="Z227">INDEX(GMWQ!$A$2:$NF$60,MATCH(1,(GMWQ!$NE$2:$NE$60=Z$3)*(GMWQ!$NF$2:$NF$60=Z$1),0),$B227-1966)</f>
        <v>67182.14</v>
      </c>
    </row>
    <row r="228" spans="1:26" x14ac:dyDescent="0.25">
      <c r="B228" s="18">
        <f t="shared" si="4"/>
        <v>2194</v>
      </c>
      <c r="C228" s="18" cm="1">
        <f t="array" ref="C228">INDEX(GMWQ!$A$2:$NE$60,MATCH(1,(GMWQ!$NE$2:$NE$60=C$3)*(GMWQ!$ND$2:$ND$60=C$4),0),$B228-1966)</f>
        <v>69834.52</v>
      </c>
      <c r="D228" s="18" cm="1">
        <f t="array" ref="D228">INDEX(GMWQ!$A$2:$NE$60,MATCH(1,(GMWQ!$NE$2:$NE$60=D$3)*(GMWQ!$ND$2:$ND$60=D$4),0),$B228-1966)</f>
        <v>178775.8</v>
      </c>
      <c r="E228" s="18" cm="1">
        <f t="array" ref="E228">INDEX(GMWQ!$A$2:$NE$60,MATCH(1,(GMWQ!$NE$2:$NE$60=E$3)*(GMWQ!$ND$2:$ND$60=E$4),0),$B228-1966)</f>
        <v>-21982.71</v>
      </c>
      <c r="F228" s="18" cm="1">
        <f t="array" ref="F228">INDEX(GMWQ!$A$2:$NE$60,MATCH(1,(GMWQ!$NE$2:$NE$60=F$3)*(GMWQ!$ND$2:$ND$60=F$4),0),$B228-1966)</f>
        <v>-22951.55</v>
      </c>
      <c r="G228" s="18" cm="1">
        <f t="array" ref="G228">INDEX(GMWQ!$A$2:$NE$60,MATCH(1,(GMWQ!$NE$2:$NE$60=G$3)*(GMWQ!$ND$2:$ND$60=G$4),0),$B228-1966)</f>
        <v>816619.4</v>
      </c>
      <c r="H228" s="18" cm="1">
        <f t="array" ref="H228">INDEX(GMWQ!$A$2:$NE$60,MATCH(1,(GMWQ!$NE$2:$NE$60=H$3)*(GMWQ!$ND$2:$ND$60=H$4),0),$B228-1966)</f>
        <v>122088</v>
      </c>
      <c r="I228" s="18" cm="1">
        <f t="array" ref="I228">INDEX(GMWQ!$A$2:$NE$60,MATCH(1,(GMWQ!$NE$2:$NE$60=I$3)*(GMWQ!$ND$2:$ND$60=I$4),0),$B228-1966)</f>
        <v>17342.59</v>
      </c>
      <c r="J228" s="18" cm="1">
        <f t="array" ref="J228">INDEX(GMWQ!$A$2:$NE$60,MATCH(1,(GMWQ!$NE$2:$NE$60=J$3)*(GMWQ!$ND$2:$ND$60=J$4),0),$B228-1966)</f>
        <v>26345.82</v>
      </c>
      <c r="K228" s="18" cm="1">
        <f t="array" ref="K228">INDEX(GMWQ!$A$2:$NE$60,MATCH(1,(GMWQ!$NE$2:$NE$60=K$3)*(GMWQ!$ND$2:$ND$60=K$4),0),$B228-1966)</f>
        <v>3599361</v>
      </c>
      <c r="L228" s="18" cm="1">
        <f t="array" ref="L228">INDEX(GMWQ!$A$2:$NE$60,MATCH(1,(GMWQ!$NE$2:$NE$60=L$3)*(GMWQ!$ND$2:$ND$60=L$4),0),$B228-1966)</f>
        <v>34624.379999999997</v>
      </c>
      <c r="M228" s="18" cm="1">
        <f t="array" ref="M228">INDEX(GMWQ!$A$2:$NE$60,MATCH(1,(GMWQ!$NE$2:$NE$60=M$3)*(GMWQ!$ND$2:$ND$60=M$4),0),$B228-1966)</f>
        <v>31.998750000000001</v>
      </c>
      <c r="N228" s="18" cm="1">
        <f t="array" ref="N228">INDEX(GMWQ!$A$2:$NE$60,MATCH(1,(GMWQ!$NE$2:$NE$60=N$3)*(GMWQ!$ND$2:$ND$60=N$4),0),$B228-1966)</f>
        <v>8.7267480000000006</v>
      </c>
      <c r="O228" s="18" cm="1">
        <f t="array" ref="O228">INDEX(GMWQ!$A$2:$NE$60,MATCH(1,(GMWQ!$NE$2:$NE$60=O$3)*(GMWQ!$ND$2:$ND$60=O$4),0),$B228-1966)</f>
        <v>3.8562470000000002</v>
      </c>
      <c r="P228" s="18" cm="1">
        <f t="array" ref="P228">INDEX(GMWQ!$A$2:$NE$60,MATCH(1,(GMWQ!$NE$2:$NE$60=P$3)*(GMWQ!$ND$2:$ND$60=P$4),0),$B228-1966)</f>
        <v>550578.5</v>
      </c>
      <c r="Q228" s="18" cm="1">
        <f t="array" ref="Q228">INDEX(GMWQ!$A$2:$NE$60,MATCH(1,(GMWQ!$NE$2:$NE$60=Q$3)*(GMWQ!$ND$2:$ND$60=Q$4),0),$B228-1966)</f>
        <v>1043.1679999999999</v>
      </c>
      <c r="R228" s="18" cm="1">
        <f t="array" ref="R228">INDEX(GMWQ!$A$2:$NE$60,MATCH(1,(GMWQ!$NE$2:$NE$60=R$3)*(GMWQ!$ND$2:$ND$60=R$4),0),$B228-1966)</f>
        <v>24630.46</v>
      </c>
      <c r="S228" s="18" cm="1">
        <f t="array" ref="S228">INDEX(GMWQ!$A$2:$NE$60,MATCH(1,(GMWQ!$NE$2:$NE$60=S$3)*(GMWQ!$ND$2:$ND$60=S$4),0),$B228-1966)</f>
        <v>111.3566</v>
      </c>
      <c r="T228" s="18" cm="1">
        <f t="array" ref="T228">INDEX(GMWQ!$A$2:$NE$60,MATCH(1,(GMWQ!$NE$2:$NE$60=T$3)*(GMWQ!$ND$2:$ND$60=T$4),0),$B228-1966)</f>
        <v>90.003709999999998</v>
      </c>
      <c r="U228" s="18" cm="1">
        <f t="array" ref="U228">INDEX(GMWQ!$A$2:$NE$60,MATCH(1,(GMWQ!$NE$2:$NE$60=U$3)*(GMWQ!$ND$2:$ND$60=U$4),0),$B228-1966)</f>
        <v>62.887889999999999</v>
      </c>
      <c r="V228" s="18" cm="1">
        <f t="array" ref="V228">INDEX(GMWQ!$A$2:$NE$60,MATCH(1,(GMWQ!$NE$2:$NE$60=V$3)*(GMWQ!$ND$2:$ND$60=V$4),0),$B228-1966)</f>
        <v>78219.789999999994</v>
      </c>
      <c r="W228" s="18" cm="1">
        <f t="array" ref="W228">INDEX(GMWQ!$A$2:$NF$60,MATCH(1,(GMWQ!$NE$2:$NE$60=W$3)*(GMWQ!$NF$2:$NF$60=W$1),0),$B228-1966)</f>
        <v>57141.8</v>
      </c>
      <c r="X228" s="18" cm="1">
        <f t="array" ref="X228">INDEX(GMWQ!$A$2:$NF$60,MATCH(1,(GMWQ!$NE$2:$NE$60=X$3)*(GMWQ!$NF$2:$NF$60=X$1),0),$B228-1966)</f>
        <v>59360.86</v>
      </c>
      <c r="Y228" s="18" cm="1">
        <f t="array" ref="Y228">INDEX(GMWQ!$A$2:$NF$60,MATCH(1,(GMWQ!$NE$2:$NE$60=Y$3)*(GMWQ!$NF$2:$NF$60=Y$1),0),$B228-1966)</f>
        <v>59730.28</v>
      </c>
      <c r="Z228" s="18" cm="1">
        <f t="array" ref="Z228">INDEX(GMWQ!$A$2:$NF$60,MATCH(1,(GMWQ!$NE$2:$NE$60=Z$3)*(GMWQ!$NF$2:$NF$60=Z$1),0),$B228-1966)</f>
        <v>67585.23</v>
      </c>
    </row>
    <row r="229" spans="1:26" x14ac:dyDescent="0.25">
      <c r="B229" s="18">
        <f t="shared" si="4"/>
        <v>2195</v>
      </c>
      <c r="C229" s="18" cm="1">
        <f t="array" ref="C229">INDEX(GMWQ!$A$2:$NE$60,MATCH(1,(GMWQ!$NE$2:$NE$60=C$3)*(GMWQ!$ND$2:$ND$60=C$4),0),$B229-1966)</f>
        <v>70253.53</v>
      </c>
      <c r="D229" s="18" cm="1">
        <f t="array" ref="D229">INDEX(GMWQ!$A$2:$NE$60,MATCH(1,(GMWQ!$NE$2:$NE$60=D$3)*(GMWQ!$ND$2:$ND$60=D$4),0),$B229-1966)</f>
        <v>180580.2</v>
      </c>
      <c r="E229" s="18" cm="1">
        <f t="array" ref="E229">INDEX(GMWQ!$A$2:$NE$60,MATCH(1,(GMWQ!$NE$2:$NE$60=E$3)*(GMWQ!$ND$2:$ND$60=E$4),0),$B229-1966)</f>
        <v>-23760.02</v>
      </c>
      <c r="F229" s="18" cm="1">
        <f t="array" ref="F229">INDEX(GMWQ!$A$2:$NE$60,MATCH(1,(GMWQ!$NE$2:$NE$60=F$3)*(GMWQ!$ND$2:$ND$60=F$4),0),$B229-1966)</f>
        <v>-24841.9</v>
      </c>
      <c r="G229" s="18" cm="1">
        <f t="array" ref="G229">INDEX(GMWQ!$A$2:$NE$60,MATCH(1,(GMWQ!$NE$2:$NE$60=G$3)*(GMWQ!$ND$2:$ND$60=G$4),0),$B229-1966)</f>
        <v>824026.6</v>
      </c>
      <c r="H229" s="18" cm="1">
        <f t="array" ref="H229">INDEX(GMWQ!$A$2:$NE$60,MATCH(1,(GMWQ!$NE$2:$NE$60=H$3)*(GMWQ!$ND$2:$ND$60=H$4),0),$B229-1966)</f>
        <v>122570.8</v>
      </c>
      <c r="I229" s="18" cm="1">
        <f t="array" ref="I229">INDEX(GMWQ!$A$2:$NE$60,MATCH(1,(GMWQ!$NE$2:$NE$60=I$3)*(GMWQ!$ND$2:$ND$60=I$4),0),$B229-1966)</f>
        <v>17194.86</v>
      </c>
      <c r="J229" s="18" cm="1">
        <f t="array" ref="J229">INDEX(GMWQ!$A$2:$NE$60,MATCH(1,(GMWQ!$NE$2:$NE$60=J$3)*(GMWQ!$ND$2:$ND$60=J$4),0),$B229-1966)</f>
        <v>26517.07</v>
      </c>
      <c r="K229" s="18" cm="1">
        <f t="array" ref="K229">INDEX(GMWQ!$A$2:$NE$60,MATCH(1,(GMWQ!$NE$2:$NE$60=K$3)*(GMWQ!$ND$2:$ND$60=K$4),0),$B229-1966)</f>
        <v>3613504</v>
      </c>
      <c r="L229" s="18" cm="1">
        <f t="array" ref="L229">INDEX(GMWQ!$A$2:$NE$60,MATCH(1,(GMWQ!$NE$2:$NE$60=L$3)*(GMWQ!$ND$2:$ND$60=L$4),0),$B229-1966)</f>
        <v>34717.379999999997</v>
      </c>
      <c r="M229" s="18" cm="1">
        <f t="array" ref="M229">INDEX(GMWQ!$A$2:$NE$60,MATCH(1,(GMWQ!$NE$2:$NE$60=M$3)*(GMWQ!$ND$2:$ND$60=M$4),0),$B229-1966)</f>
        <v>31.998539999999998</v>
      </c>
      <c r="N229" s="18" cm="1">
        <f t="array" ref="N229">INDEX(GMWQ!$A$2:$NE$60,MATCH(1,(GMWQ!$NE$2:$NE$60=N$3)*(GMWQ!$ND$2:$ND$60=N$4),0),$B229-1966)</f>
        <v>8.7362690000000001</v>
      </c>
      <c r="O229" s="18" cm="1">
        <f t="array" ref="O229">INDEX(GMWQ!$A$2:$NE$60,MATCH(1,(GMWQ!$NE$2:$NE$60=O$3)*(GMWQ!$ND$2:$ND$60=O$4),0),$B229-1966)</f>
        <v>3.8562470000000002</v>
      </c>
      <c r="P229" s="18" cm="1">
        <f t="array" ref="P229">INDEX(GMWQ!$A$2:$NE$60,MATCH(1,(GMWQ!$NE$2:$NE$60=P$3)*(GMWQ!$ND$2:$ND$60=P$4),0),$B229-1966)</f>
        <v>559399.80000000005</v>
      </c>
      <c r="Q229" s="18" cm="1">
        <f t="array" ref="Q229">INDEX(GMWQ!$A$2:$NE$60,MATCH(1,(GMWQ!$NE$2:$NE$60=Q$3)*(GMWQ!$ND$2:$ND$60=Q$4),0),$B229-1966)</f>
        <v>1051.8219999999999</v>
      </c>
      <c r="R229" s="18" cm="1">
        <f t="array" ref="R229">INDEX(GMWQ!$A$2:$NE$60,MATCH(1,(GMWQ!$NE$2:$NE$60=R$3)*(GMWQ!$ND$2:$ND$60=R$4),0),$B229-1966)</f>
        <v>24700.15</v>
      </c>
      <c r="S229" s="18" cm="1">
        <f t="array" ref="S229">INDEX(GMWQ!$A$2:$NE$60,MATCH(1,(GMWQ!$NE$2:$NE$60=S$3)*(GMWQ!$ND$2:$ND$60=S$4),0),$B229-1966)</f>
        <v>112.35760000000001</v>
      </c>
      <c r="T229" s="18" cm="1">
        <f t="array" ref="T229">INDEX(GMWQ!$A$2:$NE$60,MATCH(1,(GMWQ!$NE$2:$NE$60=T$3)*(GMWQ!$ND$2:$ND$60=T$4),0),$B229-1966)</f>
        <v>90.382779999999997</v>
      </c>
      <c r="U229" s="18" cm="1">
        <f t="array" ref="U229">INDEX(GMWQ!$A$2:$NE$60,MATCH(1,(GMWQ!$NE$2:$NE$60=U$3)*(GMWQ!$ND$2:$ND$60=U$4),0),$B229-1966)</f>
        <v>63.070010000000003</v>
      </c>
      <c r="V229" s="18" cm="1">
        <f t="array" ref="V229">INDEX(GMWQ!$A$2:$NE$60,MATCH(1,(GMWQ!$NE$2:$NE$60=V$3)*(GMWQ!$ND$2:$ND$60=V$4),0),$B229-1966)</f>
        <v>78899.83</v>
      </c>
      <c r="W229" s="18" cm="1">
        <f t="array" ref="W229">INDEX(GMWQ!$A$2:$NF$60,MATCH(1,(GMWQ!$NE$2:$NE$60=W$3)*(GMWQ!$NF$2:$NF$60=W$1),0),$B229-1966)</f>
        <v>57406.54</v>
      </c>
      <c r="X229" s="18" cm="1">
        <f t="array" ref="X229">INDEX(GMWQ!$A$2:$NF$60,MATCH(1,(GMWQ!$NE$2:$NE$60=X$3)*(GMWQ!$NF$2:$NF$60=X$1),0),$B229-1966)</f>
        <v>59650.29</v>
      </c>
      <c r="Y229" s="18" cm="1">
        <f t="array" ref="Y229">INDEX(GMWQ!$A$2:$NF$60,MATCH(1,(GMWQ!$NE$2:$NE$60=Y$3)*(GMWQ!$NF$2:$NF$60=Y$1),0),$B229-1966)</f>
        <v>60022.96</v>
      </c>
      <c r="Z229" s="18" cm="1">
        <f t="array" ref="Z229">INDEX(GMWQ!$A$2:$NF$60,MATCH(1,(GMWQ!$NE$2:$NE$60=Z$3)*(GMWQ!$NF$2:$NF$60=Z$1),0),$B229-1966)</f>
        <v>67990.75</v>
      </c>
    </row>
    <row r="230" spans="1:26" x14ac:dyDescent="0.25">
      <c r="B230" s="18">
        <f t="shared" si="4"/>
        <v>2196</v>
      </c>
      <c r="C230" s="18" cm="1">
        <f t="array" ref="C230">INDEX(GMWQ!$A$2:$NE$60,MATCH(1,(GMWQ!$NE$2:$NE$60=C$3)*(GMWQ!$ND$2:$ND$60=C$4),0),$B230-1966)</f>
        <v>70675.05</v>
      </c>
      <c r="D230" s="18" cm="1">
        <f t="array" ref="D230">INDEX(GMWQ!$A$2:$NE$60,MATCH(1,(GMWQ!$NE$2:$NE$60=D$3)*(GMWQ!$ND$2:$ND$60=D$4),0),$B230-1966)</f>
        <v>182755.4</v>
      </c>
      <c r="E230" s="18" cm="1">
        <f t="array" ref="E230">INDEX(GMWQ!$A$2:$NE$60,MATCH(1,(GMWQ!$NE$2:$NE$60=E$3)*(GMWQ!$ND$2:$ND$60=E$4),0),$B230-1966)</f>
        <v>-15292.47</v>
      </c>
      <c r="F230" s="18" cm="1">
        <f t="array" ref="F230">INDEX(GMWQ!$A$2:$NE$60,MATCH(1,(GMWQ!$NE$2:$NE$60=F$3)*(GMWQ!$ND$2:$ND$60=F$4),0),$B230-1966)</f>
        <v>-16468.28</v>
      </c>
      <c r="G230" s="18" cm="1">
        <f t="array" ref="G230">INDEX(GMWQ!$A$2:$NE$60,MATCH(1,(GMWQ!$NE$2:$NE$60=G$3)*(GMWQ!$ND$2:$ND$60=G$4),0),$B230-1966)</f>
        <v>831459.4</v>
      </c>
      <c r="H230" s="18" cm="1">
        <f t="array" ref="H230">INDEX(GMWQ!$A$2:$NE$60,MATCH(1,(GMWQ!$NE$2:$NE$60=H$3)*(GMWQ!$ND$2:$ND$60=H$4),0),$B230-1966)</f>
        <v>123045.4</v>
      </c>
      <c r="I230" s="18" cm="1">
        <f t="array" ref="I230">INDEX(GMWQ!$A$2:$NE$60,MATCH(1,(GMWQ!$NE$2:$NE$60=I$3)*(GMWQ!$ND$2:$ND$60=I$4),0),$B230-1966)</f>
        <v>17048.400000000001</v>
      </c>
      <c r="J230" s="18" cm="1">
        <f t="array" ref="J230">INDEX(GMWQ!$A$2:$NE$60,MATCH(1,(GMWQ!$NE$2:$NE$60=J$3)*(GMWQ!$ND$2:$ND$60=J$4),0),$B230-1966)</f>
        <v>26676.17</v>
      </c>
      <c r="K230" s="18" cm="1">
        <f t="array" ref="K230">INDEX(GMWQ!$A$2:$NE$60,MATCH(1,(GMWQ!$NE$2:$NE$60=K$3)*(GMWQ!$ND$2:$ND$60=K$4),0),$B230-1966)</f>
        <v>3627589</v>
      </c>
      <c r="L230" s="18" cm="1">
        <f t="array" ref="L230">INDEX(GMWQ!$A$2:$NE$60,MATCH(1,(GMWQ!$NE$2:$NE$60=L$3)*(GMWQ!$ND$2:$ND$60=L$4),0),$B230-1966)</f>
        <v>34807.58</v>
      </c>
      <c r="M230" s="18" cm="1">
        <f t="array" ref="M230">INDEX(GMWQ!$A$2:$NE$60,MATCH(1,(GMWQ!$NE$2:$NE$60=M$3)*(GMWQ!$ND$2:$ND$60=M$4),0),$B230-1966)</f>
        <v>31.998329999999999</v>
      </c>
      <c r="N230" s="18" cm="1">
        <f t="array" ref="N230">INDEX(GMWQ!$A$2:$NE$60,MATCH(1,(GMWQ!$NE$2:$NE$60=N$3)*(GMWQ!$ND$2:$ND$60=N$4),0),$B230-1966)</f>
        <v>8.7424579999999992</v>
      </c>
      <c r="O230" s="18" cm="1">
        <f t="array" ref="O230">INDEX(GMWQ!$A$2:$NE$60,MATCH(1,(GMWQ!$NE$2:$NE$60=O$3)*(GMWQ!$ND$2:$ND$60=O$4),0),$B230-1966)</f>
        <v>3.8562470000000002</v>
      </c>
      <c r="P230" s="18" cm="1">
        <f t="array" ref="P230">INDEX(GMWQ!$A$2:$NE$60,MATCH(1,(GMWQ!$NE$2:$NE$60=P$3)*(GMWQ!$ND$2:$ND$60=P$4),0),$B230-1966)</f>
        <v>568285.6</v>
      </c>
      <c r="Q230" s="18" cm="1">
        <f t="array" ref="Q230">INDEX(GMWQ!$A$2:$NE$60,MATCH(1,(GMWQ!$NE$2:$NE$60=Q$3)*(GMWQ!$ND$2:$ND$60=Q$4),0),$B230-1966)</f>
        <v>1060.2139999999999</v>
      </c>
      <c r="R230" s="18" cm="1">
        <f t="array" ref="R230">INDEX(GMWQ!$A$2:$NE$60,MATCH(1,(GMWQ!$NE$2:$NE$60=R$3)*(GMWQ!$ND$2:$ND$60=R$4),0),$B230-1966)</f>
        <v>24765.66</v>
      </c>
      <c r="S230" s="18" cm="1">
        <f t="array" ref="S230">INDEX(GMWQ!$A$2:$NE$60,MATCH(1,(GMWQ!$NE$2:$NE$60=S$3)*(GMWQ!$ND$2:$ND$60=S$4),0),$B230-1966)</f>
        <v>113.36879999999999</v>
      </c>
      <c r="T230" s="18" cm="1">
        <f t="array" ref="T230">INDEX(GMWQ!$A$2:$NE$60,MATCH(1,(GMWQ!$NE$2:$NE$60=T$3)*(GMWQ!$ND$2:$ND$60=T$4),0),$B230-1966)</f>
        <v>90.878860000000003</v>
      </c>
      <c r="U230" s="18" cm="1">
        <f t="array" ref="U230">INDEX(GMWQ!$A$2:$NE$60,MATCH(1,(GMWQ!$NE$2:$NE$60=U$3)*(GMWQ!$ND$2:$ND$60=U$4),0),$B230-1966)</f>
        <v>63.252949999999998</v>
      </c>
      <c r="V230" s="18" cm="1">
        <f t="array" ref="V230">INDEX(GMWQ!$A$2:$NE$60,MATCH(1,(GMWQ!$NE$2:$NE$60=V$3)*(GMWQ!$ND$2:$ND$60=V$4),0),$B230-1966)</f>
        <v>79553.539999999994</v>
      </c>
      <c r="W230" s="18" cm="1">
        <f t="array" ref="W230">INDEX(GMWQ!$A$2:$NF$60,MATCH(1,(GMWQ!$NE$2:$NE$60=W$3)*(GMWQ!$NF$2:$NF$60=W$1),0),$B230-1966)</f>
        <v>57677.36</v>
      </c>
      <c r="X230" s="18" cm="1">
        <f t="array" ref="X230">INDEX(GMWQ!$A$2:$NF$60,MATCH(1,(GMWQ!$NE$2:$NE$60=X$3)*(GMWQ!$NF$2:$NF$60=X$1),0),$B230-1966)</f>
        <v>59941.66</v>
      </c>
      <c r="Y230" s="18" cm="1">
        <f t="array" ref="Y230">INDEX(GMWQ!$A$2:$NF$60,MATCH(1,(GMWQ!$NE$2:$NE$60=Y$3)*(GMWQ!$NF$2:$NF$60=Y$1),0),$B230-1966)</f>
        <v>60317.07</v>
      </c>
      <c r="Z230" s="18" cm="1">
        <f t="array" ref="Z230">INDEX(GMWQ!$A$2:$NF$60,MATCH(1,(GMWQ!$NE$2:$NE$60=Z$3)*(GMWQ!$NF$2:$NF$60=Z$1),0),$B230-1966)</f>
        <v>68398.7</v>
      </c>
    </row>
    <row r="231" spans="1:26" x14ac:dyDescent="0.25">
      <c r="A231" s="18">
        <v>2029</v>
      </c>
      <c r="B231" s="18">
        <f t="shared" si="4"/>
        <v>2197</v>
      </c>
      <c r="C231" s="18" cm="1">
        <f t="array" ref="C231">INDEX(GMWQ!$A$2:$NE$60,MATCH(1,(GMWQ!$NE$2:$NE$60=C$3)*(GMWQ!$ND$2:$ND$60=C$4),0),$B231-1966)</f>
        <v>71099.100000000006</v>
      </c>
      <c r="D231" s="18" cm="1">
        <f t="array" ref="D231">INDEX(GMWQ!$A$2:$NE$60,MATCH(1,(GMWQ!$NE$2:$NE$60=D$3)*(GMWQ!$ND$2:$ND$60=D$4),0),$B231-1966)</f>
        <v>184847.5</v>
      </c>
      <c r="E231" s="18" cm="1">
        <f t="array" ref="E231">INDEX(GMWQ!$A$2:$NE$60,MATCH(1,(GMWQ!$NE$2:$NE$60=E$3)*(GMWQ!$ND$2:$ND$60=E$4),0),$B231-1966)</f>
        <v>-22747.25</v>
      </c>
      <c r="F231" s="18" cm="1">
        <f t="array" ref="F231">INDEX(GMWQ!$A$2:$NE$60,MATCH(1,(GMWQ!$NE$2:$NE$60=F$3)*(GMWQ!$ND$2:$ND$60=F$4),0),$B231-1966)</f>
        <v>-24001.61</v>
      </c>
      <c r="G231" s="18" cm="1">
        <f t="array" ref="G231">INDEX(GMWQ!$A$2:$NE$60,MATCH(1,(GMWQ!$NE$2:$NE$60=G$3)*(GMWQ!$ND$2:$ND$60=G$4),0),$B231-1966)</f>
        <v>838959</v>
      </c>
      <c r="H231" s="18" cm="1">
        <f t="array" ref="H231">INDEX(GMWQ!$A$2:$NE$60,MATCH(1,(GMWQ!$NE$2:$NE$60=H$3)*(GMWQ!$ND$2:$ND$60=H$4),0),$B231-1966)</f>
        <v>123510.2</v>
      </c>
      <c r="I231" s="18" cm="1">
        <f t="array" ref="I231">INDEX(GMWQ!$A$2:$NE$60,MATCH(1,(GMWQ!$NE$2:$NE$60=I$3)*(GMWQ!$ND$2:$ND$60=I$4),0),$B231-1966)</f>
        <v>16915.150000000001</v>
      </c>
      <c r="J231" s="18" cm="1">
        <f t="array" ref="J231">INDEX(GMWQ!$A$2:$NE$60,MATCH(1,(GMWQ!$NE$2:$NE$60=J$3)*(GMWQ!$ND$2:$ND$60=J$4),0),$B231-1966)</f>
        <v>26809.55</v>
      </c>
      <c r="K231" s="18" cm="1">
        <f t="array" ref="K231">INDEX(GMWQ!$A$2:$NE$60,MATCH(1,(GMWQ!$NE$2:$NE$60=K$3)*(GMWQ!$ND$2:$ND$60=K$4),0),$B231-1966)</f>
        <v>3641632</v>
      </c>
      <c r="L231" s="18" cm="1">
        <f t="array" ref="L231">INDEX(GMWQ!$A$2:$NE$60,MATCH(1,(GMWQ!$NE$2:$NE$60=L$3)*(GMWQ!$ND$2:$ND$60=L$4),0),$B231-1966)</f>
        <v>34894.629999999997</v>
      </c>
      <c r="M231" s="18" cm="1">
        <f t="array" ref="M231">INDEX(GMWQ!$A$2:$NE$60,MATCH(1,(GMWQ!$NE$2:$NE$60=M$3)*(GMWQ!$ND$2:$ND$60=M$4),0),$B231-1966)</f>
        <v>31.99813</v>
      </c>
      <c r="N231" s="18" cm="1">
        <f t="array" ref="N231">INDEX(GMWQ!$A$2:$NE$60,MATCH(1,(GMWQ!$NE$2:$NE$60=N$3)*(GMWQ!$ND$2:$ND$60=N$4),0),$B231-1966)</f>
        <v>8.7500859999999996</v>
      </c>
      <c r="O231" s="18" cm="1">
        <f t="array" ref="O231">INDEX(GMWQ!$A$2:$NE$60,MATCH(1,(GMWQ!$NE$2:$NE$60=O$3)*(GMWQ!$ND$2:$ND$60=O$4),0),$B231-1966)</f>
        <v>3.8562470000000002</v>
      </c>
      <c r="P231" s="18" cm="1">
        <f t="array" ref="P231">INDEX(GMWQ!$A$2:$NE$60,MATCH(1,(GMWQ!$NE$2:$NE$60=P$3)*(GMWQ!$ND$2:$ND$60=P$4),0),$B231-1966)</f>
        <v>577467.9</v>
      </c>
      <c r="Q231" s="18" cm="1">
        <f t="array" ref="Q231">INDEX(GMWQ!$A$2:$NE$60,MATCH(1,(GMWQ!$NE$2:$NE$60=Q$3)*(GMWQ!$ND$2:$ND$60=Q$4),0),$B231-1966)</f>
        <v>1068.615</v>
      </c>
      <c r="R231" s="18" cm="1">
        <f t="array" ref="R231">INDEX(GMWQ!$A$2:$NE$60,MATCH(1,(GMWQ!$NE$2:$NE$60=R$3)*(GMWQ!$ND$2:$ND$60=R$4),0),$B231-1966)</f>
        <v>24822.01</v>
      </c>
      <c r="S231" s="18" cm="1">
        <f t="array" ref="S231">INDEX(GMWQ!$A$2:$NE$60,MATCH(1,(GMWQ!$NE$2:$NE$60=S$3)*(GMWQ!$ND$2:$ND$60=S$4),0),$B231-1966)</f>
        <v>114.36109999999999</v>
      </c>
      <c r="T231" s="18" cm="1">
        <f t="array" ref="T231">INDEX(GMWQ!$A$2:$NE$60,MATCH(1,(GMWQ!$NE$2:$NE$60=T$3)*(GMWQ!$ND$2:$ND$60=T$4),0),$B231-1966)</f>
        <v>91.18929</v>
      </c>
      <c r="U231" s="18" cm="1">
        <f t="array" ref="U231">INDEX(GMWQ!$A$2:$NE$60,MATCH(1,(GMWQ!$NE$2:$NE$60=U$3)*(GMWQ!$ND$2:$ND$60=U$4),0),$B231-1966)</f>
        <v>63.435420000000001</v>
      </c>
      <c r="V231" s="18" cm="1">
        <f t="array" ref="V231">INDEX(GMWQ!$A$2:$NE$60,MATCH(1,(GMWQ!$NE$2:$NE$60=V$3)*(GMWQ!$ND$2:$ND$60=V$4),0),$B231-1966)</f>
        <v>80177.62</v>
      </c>
      <c r="W231" s="18" cm="1">
        <f t="array" ref="W231">INDEX(GMWQ!$A$2:$NF$60,MATCH(1,(GMWQ!$NE$2:$NE$60=W$3)*(GMWQ!$NF$2:$NF$60=W$1),0),$B231-1966)</f>
        <v>57949.36</v>
      </c>
      <c r="X231" s="18" cm="1">
        <f t="array" ref="X231">INDEX(GMWQ!$A$2:$NF$60,MATCH(1,(GMWQ!$NE$2:$NE$60=X$3)*(GMWQ!$NF$2:$NF$60=X$1),0),$B231-1966)</f>
        <v>60234.95</v>
      </c>
      <c r="Y231" s="18" cm="1">
        <f t="array" ref="Y231">INDEX(GMWQ!$A$2:$NF$60,MATCH(1,(GMWQ!$NE$2:$NE$60=Y$3)*(GMWQ!$NF$2:$NF$60=Y$1),0),$B231-1966)</f>
        <v>60612.62</v>
      </c>
      <c r="Z231" s="18" cm="1">
        <f t="array" ref="Z231">INDEX(GMWQ!$A$2:$NF$60,MATCH(1,(GMWQ!$NE$2:$NE$60=Z$3)*(GMWQ!$NF$2:$NF$60=Z$1),0),$B231-1966)</f>
        <v>68809.09</v>
      </c>
    </row>
    <row r="232" spans="1:26" x14ac:dyDescent="0.25">
      <c r="B232" s="18">
        <f t="shared" si="4"/>
        <v>2198</v>
      </c>
      <c r="C232" s="18" cm="1">
        <f t="array" ref="C232">INDEX(GMWQ!$A$2:$NE$60,MATCH(1,(GMWQ!$NE$2:$NE$60=C$3)*(GMWQ!$ND$2:$ND$60=C$4),0),$B232-1966)</f>
        <v>71525.7</v>
      </c>
      <c r="D232" s="18" cm="1">
        <f t="array" ref="D232">INDEX(GMWQ!$A$2:$NE$60,MATCH(1,(GMWQ!$NE$2:$NE$60=D$3)*(GMWQ!$ND$2:$ND$60=D$4),0),$B232-1966)</f>
        <v>186637.8</v>
      </c>
      <c r="E232" s="18" cm="1">
        <f t="array" ref="E232">INDEX(GMWQ!$A$2:$NE$60,MATCH(1,(GMWQ!$NE$2:$NE$60=E$3)*(GMWQ!$ND$2:$ND$60=E$4),0),$B232-1966)</f>
        <v>-19129.509999999998</v>
      </c>
      <c r="F232" s="18" cm="1">
        <f t="array" ref="F232">INDEX(GMWQ!$A$2:$NE$60,MATCH(1,(GMWQ!$NE$2:$NE$60=F$3)*(GMWQ!$ND$2:$ND$60=F$4),0),$B232-1966)</f>
        <v>-20450.02</v>
      </c>
      <c r="G232" s="18" cm="1">
        <f t="array" ref="G232">INDEX(GMWQ!$A$2:$NE$60,MATCH(1,(GMWQ!$NE$2:$NE$60=G$3)*(GMWQ!$ND$2:$ND$60=G$4),0),$B232-1966)</f>
        <v>846526.6</v>
      </c>
      <c r="H232" s="18" cm="1">
        <f t="array" ref="H232">INDEX(GMWQ!$A$2:$NE$60,MATCH(1,(GMWQ!$NE$2:$NE$60=H$3)*(GMWQ!$ND$2:$ND$60=H$4),0),$B232-1966)</f>
        <v>124051.1</v>
      </c>
      <c r="I232" s="18" cm="1">
        <f t="array" ref="I232">INDEX(GMWQ!$A$2:$NE$60,MATCH(1,(GMWQ!$NE$2:$NE$60=I$3)*(GMWQ!$ND$2:$ND$60=I$4),0),$B232-1966)</f>
        <v>16881.32</v>
      </c>
      <c r="J232" s="18" cm="1">
        <f t="array" ref="J232">INDEX(GMWQ!$A$2:$NE$60,MATCH(1,(GMWQ!$NE$2:$NE$60=J$3)*(GMWQ!$ND$2:$ND$60=J$4),0),$B232-1966)</f>
        <v>26916.79</v>
      </c>
      <c r="K232" s="18" cm="1">
        <f t="array" ref="K232">INDEX(GMWQ!$A$2:$NE$60,MATCH(1,(GMWQ!$NE$2:$NE$60=K$3)*(GMWQ!$ND$2:$ND$60=K$4),0),$B232-1966)</f>
        <v>3655737</v>
      </c>
      <c r="L232" s="18" cm="1">
        <f t="array" ref="L232">INDEX(GMWQ!$A$2:$NE$60,MATCH(1,(GMWQ!$NE$2:$NE$60=L$3)*(GMWQ!$ND$2:$ND$60=L$4),0),$B232-1966)</f>
        <v>34978.379999999997</v>
      </c>
      <c r="M232" s="18" cm="1">
        <f t="array" ref="M232">INDEX(GMWQ!$A$2:$NE$60,MATCH(1,(GMWQ!$NE$2:$NE$60=M$3)*(GMWQ!$ND$2:$ND$60=M$4),0),$B232-1966)</f>
        <v>31.997920000000001</v>
      </c>
      <c r="N232" s="18" cm="1">
        <f t="array" ref="N232">INDEX(GMWQ!$A$2:$NE$60,MATCH(1,(GMWQ!$NE$2:$NE$60=N$3)*(GMWQ!$ND$2:$ND$60=N$4),0),$B232-1966)</f>
        <v>8.7602759999999993</v>
      </c>
      <c r="O232" s="18" cm="1">
        <f t="array" ref="O232">INDEX(GMWQ!$A$2:$NE$60,MATCH(1,(GMWQ!$NE$2:$NE$60=O$3)*(GMWQ!$ND$2:$ND$60=O$4),0),$B232-1966)</f>
        <v>3.8562470000000002</v>
      </c>
      <c r="P232" s="18" cm="1">
        <f t="array" ref="P232">INDEX(GMWQ!$A$2:$NE$60,MATCH(1,(GMWQ!$NE$2:$NE$60=P$3)*(GMWQ!$ND$2:$ND$60=P$4),0),$B232-1966)</f>
        <v>586671.30000000005</v>
      </c>
      <c r="Q232" s="18" cm="1">
        <f t="array" ref="Q232">INDEX(GMWQ!$A$2:$NE$60,MATCH(1,(GMWQ!$NE$2:$NE$60=Q$3)*(GMWQ!$ND$2:$ND$60=Q$4),0),$B232-1966)</f>
        <v>1077.0250000000001</v>
      </c>
      <c r="R232" s="18" cm="1">
        <f t="array" ref="R232">INDEX(GMWQ!$A$2:$NE$60,MATCH(1,(GMWQ!$NE$2:$NE$60=R$3)*(GMWQ!$ND$2:$ND$60=R$4),0),$B232-1966)</f>
        <v>24876.959999999999</v>
      </c>
      <c r="S232" s="18" cm="1">
        <f t="array" ref="S232">INDEX(GMWQ!$A$2:$NE$60,MATCH(1,(GMWQ!$NE$2:$NE$60=S$3)*(GMWQ!$ND$2:$ND$60=S$4),0),$B232-1966)</f>
        <v>115.2757</v>
      </c>
      <c r="T232" s="18" cm="1">
        <f t="array" ref="T232">INDEX(GMWQ!$A$2:$NE$60,MATCH(1,(GMWQ!$NE$2:$NE$60=T$3)*(GMWQ!$ND$2:$ND$60=T$4),0),$B232-1966)</f>
        <v>91.518870000000007</v>
      </c>
      <c r="U232" s="18" cm="1">
        <f t="array" ref="U232">INDEX(GMWQ!$A$2:$NE$60,MATCH(1,(GMWQ!$NE$2:$NE$60=U$3)*(GMWQ!$ND$2:$ND$60=U$4),0),$B232-1966)</f>
        <v>63.622880000000002</v>
      </c>
      <c r="V232" s="18" cm="1">
        <f t="array" ref="V232">INDEX(GMWQ!$A$2:$NE$60,MATCH(1,(GMWQ!$NE$2:$NE$60=V$3)*(GMWQ!$ND$2:$ND$60=V$4),0),$B232-1966)</f>
        <v>80769.8</v>
      </c>
      <c r="W232" s="18" cm="1">
        <f t="array" ref="W232">INDEX(GMWQ!$A$2:$NF$60,MATCH(1,(GMWQ!$NE$2:$NE$60=W$3)*(GMWQ!$NF$2:$NF$60=W$1),0),$B232-1966)</f>
        <v>58222.57</v>
      </c>
      <c r="X232" s="18" cm="1">
        <f t="array" ref="X232">INDEX(GMWQ!$A$2:$NF$60,MATCH(1,(GMWQ!$NE$2:$NE$60=X$3)*(GMWQ!$NF$2:$NF$60=X$1),0),$B232-1966)</f>
        <v>60530.16</v>
      </c>
      <c r="Y232" s="18" cm="1">
        <f t="array" ref="Y232">INDEX(GMWQ!$A$2:$NF$60,MATCH(1,(GMWQ!$NE$2:$NE$60=Y$3)*(GMWQ!$NF$2:$NF$60=Y$1),0),$B232-1966)</f>
        <v>60909.63</v>
      </c>
      <c r="Z232" s="18" cm="1">
        <f t="array" ref="Z232">INDEX(GMWQ!$A$2:$NF$60,MATCH(1,(GMWQ!$NE$2:$NE$60=Z$3)*(GMWQ!$NF$2:$NF$60=Z$1),0),$B232-1966)</f>
        <v>69221.94</v>
      </c>
    </row>
    <row r="233" spans="1:26" x14ac:dyDescent="0.25">
      <c r="B233" s="18">
        <f t="shared" si="4"/>
        <v>2199</v>
      </c>
      <c r="C233" s="18" cm="1">
        <f t="array" ref="C233">INDEX(GMWQ!$A$2:$NE$60,MATCH(1,(GMWQ!$NE$2:$NE$60=C$3)*(GMWQ!$ND$2:$ND$60=C$4),0),$B233-1966)</f>
        <v>71954.850000000006</v>
      </c>
      <c r="D233" s="18" cm="1">
        <f t="array" ref="D233">INDEX(GMWQ!$A$2:$NE$60,MATCH(1,(GMWQ!$NE$2:$NE$60=D$3)*(GMWQ!$ND$2:$ND$60=D$4),0),$B233-1966)</f>
        <v>188478.4</v>
      </c>
      <c r="E233" s="18" cm="1">
        <f t="array" ref="E233">INDEX(GMWQ!$A$2:$NE$60,MATCH(1,(GMWQ!$NE$2:$NE$60=E$3)*(GMWQ!$ND$2:$ND$60=E$4),0),$B233-1966)</f>
        <v>-21899.75</v>
      </c>
      <c r="F233" s="18" cm="1">
        <f t="array" ref="F233">INDEX(GMWQ!$A$2:$NE$60,MATCH(1,(GMWQ!$NE$2:$NE$60=F$3)*(GMWQ!$ND$2:$ND$60=F$4),0),$B233-1966)</f>
        <v>-23276.44</v>
      </c>
      <c r="G233" s="18" cm="1">
        <f t="array" ref="G233">INDEX(GMWQ!$A$2:$NE$60,MATCH(1,(GMWQ!$NE$2:$NE$60=G$3)*(GMWQ!$ND$2:$ND$60=G$4),0),$B233-1966)</f>
        <v>854161.9</v>
      </c>
      <c r="H233" s="18" cm="1">
        <f t="array" ref="H233">INDEX(GMWQ!$A$2:$NE$60,MATCH(1,(GMWQ!$NE$2:$NE$60=H$3)*(GMWQ!$ND$2:$ND$60=H$4),0),$B233-1966)</f>
        <v>124615.4</v>
      </c>
      <c r="I233" s="18" cm="1">
        <f t="array" ref="I233">INDEX(GMWQ!$A$2:$NE$60,MATCH(1,(GMWQ!$NE$2:$NE$60=I$3)*(GMWQ!$ND$2:$ND$60=I$4),0),$B233-1966)</f>
        <v>16881.32</v>
      </c>
      <c r="J233" s="18" cm="1">
        <f t="array" ref="J233">INDEX(GMWQ!$A$2:$NE$60,MATCH(1,(GMWQ!$NE$2:$NE$60=J$3)*(GMWQ!$ND$2:$ND$60=J$4),0),$B233-1966)</f>
        <v>27011</v>
      </c>
      <c r="K233" s="18" cm="1">
        <f t="array" ref="K233">INDEX(GMWQ!$A$2:$NE$60,MATCH(1,(GMWQ!$NE$2:$NE$60=K$3)*(GMWQ!$ND$2:$ND$60=K$4),0),$B233-1966)</f>
        <v>3669939</v>
      </c>
      <c r="L233" s="18" cm="1">
        <f t="array" ref="L233">INDEX(GMWQ!$A$2:$NE$60,MATCH(1,(GMWQ!$NE$2:$NE$60=L$3)*(GMWQ!$ND$2:$ND$60=L$4),0),$B233-1966)</f>
        <v>35058.83</v>
      </c>
      <c r="M233" s="18" cm="1">
        <f t="array" ref="M233">INDEX(GMWQ!$A$2:$NE$60,MATCH(1,(GMWQ!$NE$2:$NE$60=M$3)*(GMWQ!$ND$2:$ND$60=M$4),0),$B233-1966)</f>
        <v>31.997710000000001</v>
      </c>
      <c r="N233" s="18" cm="1">
        <f t="array" ref="N233">INDEX(GMWQ!$A$2:$NE$60,MATCH(1,(GMWQ!$NE$2:$NE$60=N$3)*(GMWQ!$ND$2:$ND$60=N$4),0),$B233-1966)</f>
        <v>8.7697350000000007</v>
      </c>
      <c r="O233" s="18" cm="1">
        <f t="array" ref="O233">INDEX(GMWQ!$A$2:$NE$60,MATCH(1,(GMWQ!$NE$2:$NE$60=O$3)*(GMWQ!$ND$2:$ND$60=O$4),0),$B233-1966)</f>
        <v>3.8562470000000002</v>
      </c>
      <c r="P233" s="18" cm="1">
        <f t="array" ref="P233">INDEX(GMWQ!$A$2:$NE$60,MATCH(1,(GMWQ!$NE$2:$NE$60=P$3)*(GMWQ!$ND$2:$ND$60=P$4),0),$B233-1966)</f>
        <v>595841.9</v>
      </c>
      <c r="Q233" s="18" cm="1">
        <f t="array" ref="Q233">INDEX(GMWQ!$A$2:$NE$60,MATCH(1,(GMWQ!$NE$2:$NE$60=Q$3)*(GMWQ!$ND$2:$ND$60=Q$4),0),$B233-1966)</f>
        <v>1085.44</v>
      </c>
      <c r="R233" s="18" cm="1">
        <f t="array" ref="R233">INDEX(GMWQ!$A$2:$NE$60,MATCH(1,(GMWQ!$NE$2:$NE$60=R$3)*(GMWQ!$ND$2:$ND$60=R$4),0),$B233-1966)</f>
        <v>24924.87</v>
      </c>
      <c r="S233" s="18" cm="1">
        <f t="array" ref="S233">INDEX(GMWQ!$A$2:$NE$60,MATCH(1,(GMWQ!$NE$2:$NE$60=S$3)*(GMWQ!$ND$2:$ND$60=S$4),0),$B233-1966)</f>
        <v>116.1396</v>
      </c>
      <c r="T233" s="18" cm="1">
        <f t="array" ref="T233">INDEX(GMWQ!$A$2:$NE$60,MATCH(1,(GMWQ!$NE$2:$NE$60=T$3)*(GMWQ!$ND$2:$ND$60=T$4),0),$B233-1966)</f>
        <v>91.855009999999993</v>
      </c>
      <c r="U233" s="18" cm="1">
        <f t="array" ref="U233">INDEX(GMWQ!$A$2:$NE$60,MATCH(1,(GMWQ!$NE$2:$NE$60=U$3)*(GMWQ!$ND$2:$ND$60=U$4),0),$B233-1966)</f>
        <v>63.804789999999997</v>
      </c>
      <c r="V233" s="18" cm="1">
        <f t="array" ref="V233">INDEX(GMWQ!$A$2:$NE$60,MATCH(1,(GMWQ!$NE$2:$NE$60=V$3)*(GMWQ!$ND$2:$ND$60=V$4),0),$B233-1966)</f>
        <v>81334.59</v>
      </c>
      <c r="W233" s="18" cm="1">
        <f t="array" ref="W233">INDEX(GMWQ!$A$2:$NF$60,MATCH(1,(GMWQ!$NE$2:$NE$60=W$3)*(GMWQ!$NF$2:$NF$60=W$1),0),$B233-1966)</f>
        <v>58496.94</v>
      </c>
      <c r="X233" s="18" cm="1">
        <f t="array" ref="X233">INDEX(GMWQ!$A$2:$NF$60,MATCH(1,(GMWQ!$NE$2:$NE$60=X$3)*(GMWQ!$NF$2:$NF$60=X$1),0),$B233-1966)</f>
        <v>60827.28</v>
      </c>
      <c r="Y233" s="18" cm="1">
        <f t="array" ref="Y233">INDEX(GMWQ!$A$2:$NF$60,MATCH(1,(GMWQ!$NE$2:$NE$60=Y$3)*(GMWQ!$NF$2:$NF$60=Y$1),0),$B233-1966)</f>
        <v>61208.08</v>
      </c>
      <c r="Z233" s="18" cm="1">
        <f t="array" ref="Z233">INDEX(GMWQ!$A$2:$NF$60,MATCH(1,(GMWQ!$NE$2:$NE$60=Z$3)*(GMWQ!$NF$2:$NF$60=Z$1),0),$B233-1966)</f>
        <v>69637.27</v>
      </c>
    </row>
    <row r="234" spans="1:26" x14ac:dyDescent="0.25">
      <c r="B234" s="18">
        <f t="shared" si="4"/>
        <v>2200</v>
      </c>
      <c r="C234" s="18" cm="1">
        <f t="array" ref="C234">INDEX(GMWQ!$A$2:$NE$60,MATCH(1,(GMWQ!$NE$2:$NE$60=C$3)*(GMWQ!$ND$2:$ND$60=C$4),0),$B234-1966)</f>
        <v>72386.59</v>
      </c>
      <c r="D234" s="18" cm="1">
        <f t="array" ref="D234">INDEX(GMWQ!$A$2:$NE$60,MATCH(1,(GMWQ!$NE$2:$NE$60=D$3)*(GMWQ!$ND$2:$ND$60=D$4),0),$B234-1966)</f>
        <v>189875.6</v>
      </c>
      <c r="E234" s="18" cm="1">
        <f t="array" ref="E234">INDEX(GMWQ!$A$2:$NE$60,MATCH(1,(GMWQ!$NE$2:$NE$60=E$3)*(GMWQ!$ND$2:$ND$60=E$4),0),$B234-1966)</f>
        <v>-12566.43</v>
      </c>
      <c r="F234" s="18" cm="1">
        <f t="array" ref="F234">INDEX(GMWQ!$A$2:$NE$60,MATCH(1,(GMWQ!$NE$2:$NE$60=F$3)*(GMWQ!$ND$2:$ND$60=F$4),0),$B234-1966)</f>
        <v>-13991.56</v>
      </c>
      <c r="G234" s="18" cm="1">
        <f t="array" ref="G234">INDEX(GMWQ!$A$2:$NE$60,MATCH(1,(GMWQ!$NE$2:$NE$60=G$3)*(GMWQ!$ND$2:$ND$60=G$4),0),$B234-1966)</f>
        <v>862037.8</v>
      </c>
      <c r="H234" s="18" cm="1">
        <f t="array" ref="H234">INDEX(GMWQ!$A$2:$NE$60,MATCH(1,(GMWQ!$NE$2:$NE$60=H$3)*(GMWQ!$ND$2:$ND$60=H$4),0),$B234-1966)</f>
        <v>125216.7</v>
      </c>
      <c r="I234" s="18" cm="1">
        <f t="array" ref="I234">INDEX(GMWQ!$A$2:$NE$60,MATCH(1,(GMWQ!$NE$2:$NE$60=I$3)*(GMWQ!$ND$2:$ND$60=I$4),0),$B234-1966)</f>
        <v>16915.080000000002</v>
      </c>
      <c r="J234" s="18" cm="1">
        <f t="array" ref="J234">INDEX(GMWQ!$A$2:$NE$60,MATCH(1,(GMWQ!$NE$2:$NE$60=J$3)*(GMWQ!$ND$2:$ND$60=J$4),0),$B234-1966)</f>
        <v>27105.54</v>
      </c>
      <c r="K234" s="18" cm="1">
        <f t="array" ref="K234">INDEX(GMWQ!$A$2:$NE$60,MATCH(1,(GMWQ!$NE$2:$NE$60=K$3)*(GMWQ!$ND$2:$ND$60=K$4),0),$B234-1966)</f>
        <v>3684270</v>
      </c>
      <c r="L234" s="18" cm="1">
        <f t="array" ref="L234">INDEX(GMWQ!$A$2:$NE$60,MATCH(1,(GMWQ!$NE$2:$NE$60=L$3)*(GMWQ!$ND$2:$ND$60=L$4),0),$B234-1966)</f>
        <v>35139.46</v>
      </c>
      <c r="M234" s="18" cm="1">
        <f t="array" ref="M234">INDEX(GMWQ!$A$2:$NE$60,MATCH(1,(GMWQ!$NE$2:$NE$60=M$3)*(GMWQ!$ND$2:$ND$60=M$4),0),$B234-1966)</f>
        <v>31.997499999999999</v>
      </c>
      <c r="N234" s="18" cm="1">
        <f t="array" ref="N234">INDEX(GMWQ!$A$2:$NE$60,MATCH(1,(GMWQ!$NE$2:$NE$60=N$3)*(GMWQ!$ND$2:$ND$60=N$4),0),$B234-1966)</f>
        <v>8.7832779999999993</v>
      </c>
      <c r="O234" s="18" cm="1">
        <f t="array" ref="O234">INDEX(GMWQ!$A$2:$NE$60,MATCH(1,(GMWQ!$NE$2:$NE$60=O$3)*(GMWQ!$ND$2:$ND$60=O$4),0),$B234-1966)</f>
        <v>3.8562470000000002</v>
      </c>
      <c r="P234" s="18" cm="1">
        <f t="array" ref="P234">INDEX(GMWQ!$A$2:$NE$60,MATCH(1,(GMWQ!$NE$2:$NE$60=P$3)*(GMWQ!$ND$2:$ND$60=P$4),0),$B234-1966)</f>
        <v>605140.4</v>
      </c>
      <c r="Q234" s="18" cm="1">
        <f t="array" ref="Q234">INDEX(GMWQ!$A$2:$NE$60,MATCH(1,(GMWQ!$NE$2:$NE$60=Q$3)*(GMWQ!$ND$2:$ND$60=Q$4),0),$B234-1966)</f>
        <v>1093.8620000000001</v>
      </c>
      <c r="R234" s="18" cm="1">
        <f t="array" ref="R234">INDEX(GMWQ!$A$2:$NE$60,MATCH(1,(GMWQ!$NE$2:$NE$60=R$3)*(GMWQ!$ND$2:$ND$60=R$4),0),$B234-1966)</f>
        <v>24956.27</v>
      </c>
      <c r="S234" s="18" cm="1">
        <f t="array" ref="S234">INDEX(GMWQ!$A$2:$NE$60,MATCH(1,(GMWQ!$NE$2:$NE$60=S$3)*(GMWQ!$ND$2:$ND$60=S$4),0),$B234-1966)</f>
        <v>116.94199999999999</v>
      </c>
      <c r="T234" s="18" cm="1">
        <f t="array" ref="T234">INDEX(GMWQ!$A$2:$NE$60,MATCH(1,(GMWQ!$NE$2:$NE$60=T$3)*(GMWQ!$ND$2:$ND$60=T$4),0),$B234-1966)</f>
        <v>92.089470000000006</v>
      </c>
      <c r="U234" s="18" cm="1">
        <f t="array" ref="U234">INDEX(GMWQ!$A$2:$NE$60,MATCH(1,(GMWQ!$NE$2:$NE$60=U$3)*(GMWQ!$ND$2:$ND$60=U$4),0),$B234-1966)</f>
        <v>63.978180000000002</v>
      </c>
      <c r="V234" s="18" cm="1">
        <f t="array" ref="V234">INDEX(GMWQ!$A$2:$NE$60,MATCH(1,(GMWQ!$NE$2:$NE$60=V$3)*(GMWQ!$ND$2:$ND$60=V$4),0),$B234-1966)</f>
        <v>81875.45</v>
      </c>
      <c r="W234" s="18" cm="1">
        <f t="array" ref="W234">INDEX(GMWQ!$A$2:$NF$60,MATCH(1,(GMWQ!$NE$2:$NE$60=W$3)*(GMWQ!$NF$2:$NF$60=W$1),0),$B234-1966)</f>
        <v>58772.49</v>
      </c>
      <c r="X234" s="18" cm="1">
        <f t="array" ref="X234">INDEX(GMWQ!$A$2:$NF$60,MATCH(1,(GMWQ!$NE$2:$NE$60=X$3)*(GMWQ!$NF$2:$NF$60=X$1),0),$B234-1966)</f>
        <v>61126.29</v>
      </c>
      <c r="Y234" s="18" cm="1">
        <f t="array" ref="Y234">INDEX(GMWQ!$A$2:$NF$60,MATCH(1,(GMWQ!$NE$2:$NE$60=Y$3)*(GMWQ!$NF$2:$NF$60=Y$1),0),$B234-1966)</f>
        <v>61508</v>
      </c>
      <c r="Z234" s="18" cm="1">
        <f t="array" ref="Z234">INDEX(GMWQ!$A$2:$NF$60,MATCH(1,(GMWQ!$NE$2:$NE$60=Z$3)*(GMWQ!$NF$2:$NF$60=Z$1),0),$B234-1966)</f>
        <v>70055.09</v>
      </c>
    </row>
    <row r="235" spans="1:26" x14ac:dyDescent="0.25">
      <c r="A235" s="18">
        <v>2030</v>
      </c>
      <c r="B235" s="18">
        <f t="shared" si="4"/>
        <v>2201</v>
      </c>
      <c r="C235" s="18" cm="1">
        <f t="array" ref="C235">INDEX(GMWQ!$A$2:$NE$60,MATCH(1,(GMWQ!$NE$2:$NE$60=C$3)*(GMWQ!$ND$2:$ND$60=C$4),0),$B235-1966)</f>
        <v>72828.14</v>
      </c>
      <c r="D235" s="18" cm="1">
        <f t="array" ref="D235">INDEX(GMWQ!$A$2:$NE$60,MATCH(1,(GMWQ!$NE$2:$NE$60=D$3)*(GMWQ!$ND$2:$ND$60=D$4),0),$B235-1966)</f>
        <v>191645.6</v>
      </c>
      <c r="E235" s="18" cm="1">
        <f t="array" ref="E235">INDEX(GMWQ!$A$2:$NE$60,MATCH(1,(GMWQ!$NE$2:$NE$60=E$3)*(GMWQ!$ND$2:$ND$60=E$4),0),$B235-1966)</f>
        <v>-22501.13</v>
      </c>
      <c r="F235" s="18" cm="1">
        <f t="array" ref="F235">INDEX(GMWQ!$A$2:$NE$60,MATCH(1,(GMWQ!$NE$2:$NE$60=F$3)*(GMWQ!$ND$2:$ND$60=F$4),0),$B235-1966)</f>
        <v>-23968.47</v>
      </c>
      <c r="G235" s="18" cm="1">
        <f t="array" ref="G235">INDEX(GMWQ!$A$2:$NE$60,MATCH(1,(GMWQ!$NE$2:$NE$60=G$3)*(GMWQ!$ND$2:$ND$60=G$4),0),$B235-1966)</f>
        <v>870116.6</v>
      </c>
      <c r="H235" s="18" cm="1">
        <f t="array" ref="H235">INDEX(GMWQ!$A$2:$NE$60,MATCH(1,(GMWQ!$NE$2:$NE$60=H$3)*(GMWQ!$ND$2:$ND$60=H$4),0),$B235-1966)</f>
        <v>125862.2</v>
      </c>
      <c r="I235" s="18" cm="1">
        <f t="array" ref="I235">INDEX(GMWQ!$A$2:$NE$60,MATCH(1,(GMWQ!$NE$2:$NE$60=I$3)*(GMWQ!$ND$2:$ND$60=I$4),0),$B235-1966)</f>
        <v>16982.740000000002</v>
      </c>
      <c r="J235" s="18" cm="1">
        <f t="array" ref="J235">INDEX(GMWQ!$A$2:$NE$60,MATCH(1,(GMWQ!$NE$2:$NE$60=J$3)*(GMWQ!$ND$2:$ND$60=J$4),0),$B235-1966)</f>
        <v>27200.400000000001</v>
      </c>
      <c r="K235" s="18" cm="1">
        <f t="array" ref="K235">INDEX(GMWQ!$A$2:$NE$60,MATCH(1,(GMWQ!$NE$2:$NE$60=K$3)*(GMWQ!$ND$2:$ND$60=K$4),0),$B235-1966)</f>
        <v>3698773</v>
      </c>
      <c r="L235" s="18" cm="1">
        <f t="array" ref="L235">INDEX(GMWQ!$A$2:$NE$60,MATCH(1,(GMWQ!$NE$2:$NE$60=L$3)*(GMWQ!$ND$2:$ND$60=L$4),0),$B235-1966)</f>
        <v>35220.29</v>
      </c>
      <c r="M235" s="18" cm="1">
        <f t="array" ref="M235">INDEX(GMWQ!$A$2:$NE$60,MATCH(1,(GMWQ!$NE$2:$NE$60=M$3)*(GMWQ!$ND$2:$ND$60=M$4),0),$B235-1966)</f>
        <v>31.99729</v>
      </c>
      <c r="N235" s="18" cm="1">
        <f t="array" ref="N235">INDEX(GMWQ!$A$2:$NE$60,MATCH(1,(GMWQ!$NE$2:$NE$60=N$3)*(GMWQ!$ND$2:$ND$60=N$4),0),$B235-1966)</f>
        <v>8.7936219999999992</v>
      </c>
      <c r="O235" s="18" cm="1">
        <f t="array" ref="O235">INDEX(GMWQ!$A$2:$NE$60,MATCH(1,(GMWQ!$NE$2:$NE$60=O$3)*(GMWQ!$ND$2:$ND$60=O$4),0),$B235-1966)</f>
        <v>3.8562470000000002</v>
      </c>
      <c r="P235" s="18" cm="1">
        <f t="array" ref="P235">INDEX(GMWQ!$A$2:$NE$60,MATCH(1,(GMWQ!$NE$2:$NE$60=P$3)*(GMWQ!$ND$2:$ND$60=P$4),0),$B235-1966)</f>
        <v>614545.30000000005</v>
      </c>
      <c r="Q235" s="18" cm="1">
        <f t="array" ref="Q235">INDEX(GMWQ!$A$2:$NE$60,MATCH(1,(GMWQ!$NE$2:$NE$60=Q$3)*(GMWQ!$ND$2:$ND$60=Q$4),0),$B235-1966)</f>
        <v>1102.29</v>
      </c>
      <c r="R235" s="18" cm="1">
        <f t="array" ref="R235">INDEX(GMWQ!$A$2:$NE$60,MATCH(1,(GMWQ!$NE$2:$NE$60=R$3)*(GMWQ!$ND$2:$ND$60=R$4),0),$B235-1966)</f>
        <v>24988.51</v>
      </c>
      <c r="S235" s="18" cm="1">
        <f t="array" ref="S235">INDEX(GMWQ!$A$2:$NE$60,MATCH(1,(GMWQ!$NE$2:$NE$60=S$3)*(GMWQ!$ND$2:$ND$60=S$4),0),$B235-1966)</f>
        <v>117.6786</v>
      </c>
      <c r="T235" s="18" cm="1">
        <f t="array" ref="T235">INDEX(GMWQ!$A$2:$NE$60,MATCH(1,(GMWQ!$NE$2:$NE$60=T$3)*(GMWQ!$ND$2:$ND$60=T$4),0),$B235-1966)</f>
        <v>92.415199999999999</v>
      </c>
      <c r="U235" s="18" cm="1">
        <f t="array" ref="U235">INDEX(GMWQ!$A$2:$NE$60,MATCH(1,(GMWQ!$NE$2:$NE$60=U$3)*(GMWQ!$ND$2:$ND$60=U$4),0),$B235-1966)</f>
        <v>64.087639999999993</v>
      </c>
      <c r="V235" s="18" cm="1">
        <f t="array" ref="V235">INDEX(GMWQ!$A$2:$NE$60,MATCH(1,(GMWQ!$NE$2:$NE$60=V$3)*(GMWQ!$ND$2:$ND$60=V$4),0),$B235-1966)</f>
        <v>82394.66</v>
      </c>
      <c r="W235" s="18" cm="1">
        <f t="array" ref="W235">INDEX(GMWQ!$A$2:$NF$60,MATCH(1,(GMWQ!$NE$2:$NE$60=W$3)*(GMWQ!$NF$2:$NF$60=W$1),0),$B235-1966)</f>
        <v>59049.2</v>
      </c>
      <c r="X235" s="18" cm="1">
        <f t="array" ref="X235">INDEX(GMWQ!$A$2:$NF$60,MATCH(1,(GMWQ!$NE$2:$NE$60=X$3)*(GMWQ!$NF$2:$NF$60=X$1),0),$B235-1966)</f>
        <v>61427.19</v>
      </c>
      <c r="Y235" s="18" cm="1">
        <f t="array" ref="Y235">INDEX(GMWQ!$A$2:$NF$60,MATCH(1,(GMWQ!$NE$2:$NE$60=Y$3)*(GMWQ!$NF$2:$NF$60=Y$1),0),$B235-1966)</f>
        <v>61809.39</v>
      </c>
      <c r="Z235" s="18" cm="1">
        <f t="array" ref="Z235">INDEX(GMWQ!$A$2:$NF$60,MATCH(1,(GMWQ!$NE$2:$NE$60=Z$3)*(GMWQ!$NF$2:$NF$60=Z$1),0),$B235-1966)</f>
        <v>70482.429999999993</v>
      </c>
    </row>
    <row r="236" spans="1:26" x14ac:dyDescent="0.25">
      <c r="B236" s="18">
        <f t="shared" si="4"/>
        <v>2202</v>
      </c>
      <c r="C236" s="18" cm="1">
        <f t="array" ref="C236">INDEX(GMWQ!$A$2:$NE$60,MATCH(1,(GMWQ!$NE$2:$NE$60=C$3)*(GMWQ!$ND$2:$ND$60=C$4),0),$B236-1966)</f>
        <v>73272.39</v>
      </c>
      <c r="D236" s="18" cm="1">
        <f t="array" ref="D236">INDEX(GMWQ!$A$2:$NE$60,MATCH(1,(GMWQ!$NE$2:$NE$60=D$3)*(GMWQ!$ND$2:$ND$60=D$4),0),$B236-1966)</f>
        <v>193569.2</v>
      </c>
      <c r="E236" s="18" cm="1">
        <f t="array" ref="E236">INDEX(GMWQ!$A$2:$NE$60,MATCH(1,(GMWQ!$NE$2:$NE$60=E$3)*(GMWQ!$ND$2:$ND$60=E$4),0),$B236-1966)</f>
        <v>-17290.93</v>
      </c>
      <c r="F236" s="18" cm="1">
        <f t="array" ref="F236">INDEX(GMWQ!$A$2:$NE$60,MATCH(1,(GMWQ!$NE$2:$NE$60=F$3)*(GMWQ!$ND$2:$ND$60=F$4),0),$B236-1966)</f>
        <v>-18795.330000000002</v>
      </c>
      <c r="G236" s="18" cm="1">
        <f t="array" ref="G236">INDEX(GMWQ!$A$2:$NE$60,MATCH(1,(GMWQ!$NE$2:$NE$60=G$3)*(GMWQ!$ND$2:$ND$60=G$4),0),$B236-1966)</f>
        <v>878270.9</v>
      </c>
      <c r="H236" s="18" cm="1">
        <f t="array" ref="H236">INDEX(GMWQ!$A$2:$NE$60,MATCH(1,(GMWQ!$NE$2:$NE$60=H$3)*(GMWQ!$ND$2:$ND$60=H$4),0),$B236-1966)</f>
        <v>126519.6</v>
      </c>
      <c r="I236" s="18" cm="1">
        <f t="array" ref="I236">INDEX(GMWQ!$A$2:$NE$60,MATCH(1,(GMWQ!$NE$2:$NE$60=I$3)*(GMWQ!$ND$2:$ND$60=I$4),0),$B236-1966)</f>
        <v>17059.16</v>
      </c>
      <c r="J236" s="18" cm="1">
        <f t="array" ref="J236">INDEX(GMWQ!$A$2:$NE$60,MATCH(1,(GMWQ!$NE$2:$NE$60=J$3)*(GMWQ!$ND$2:$ND$60=J$4),0),$B236-1966)</f>
        <v>27295.61</v>
      </c>
      <c r="K236" s="18" cm="1">
        <f t="array" ref="K236">INDEX(GMWQ!$A$2:$NE$60,MATCH(1,(GMWQ!$NE$2:$NE$60=K$3)*(GMWQ!$ND$2:$ND$60=K$4),0),$B236-1966)</f>
        <v>3713454</v>
      </c>
      <c r="L236" s="18" cm="1">
        <f t="array" ref="L236">INDEX(GMWQ!$A$2:$NE$60,MATCH(1,(GMWQ!$NE$2:$NE$60=L$3)*(GMWQ!$ND$2:$ND$60=L$4),0),$B236-1966)</f>
        <v>35297.769999999997</v>
      </c>
      <c r="M236" s="18" cm="1">
        <f t="array" ref="M236">INDEX(GMWQ!$A$2:$NE$60,MATCH(1,(GMWQ!$NE$2:$NE$60=M$3)*(GMWQ!$ND$2:$ND$60=M$4),0),$B236-1966)</f>
        <v>31.99708</v>
      </c>
      <c r="N236" s="18" cm="1">
        <f t="array" ref="N236">INDEX(GMWQ!$A$2:$NE$60,MATCH(1,(GMWQ!$NE$2:$NE$60=N$3)*(GMWQ!$ND$2:$ND$60=N$4),0),$B236-1966)</f>
        <v>8.8029980000000005</v>
      </c>
      <c r="O236" s="18" cm="1">
        <f t="array" ref="O236">INDEX(GMWQ!$A$2:$NE$60,MATCH(1,(GMWQ!$NE$2:$NE$60=O$3)*(GMWQ!$ND$2:$ND$60=O$4),0),$B236-1966)</f>
        <v>3.8562470000000002</v>
      </c>
      <c r="P236" s="18" cm="1">
        <f t="array" ref="P236">INDEX(GMWQ!$A$2:$NE$60,MATCH(1,(GMWQ!$NE$2:$NE$60=P$3)*(GMWQ!$ND$2:$ND$60=P$4),0),$B236-1966)</f>
        <v>624158.9</v>
      </c>
      <c r="Q236" s="18" cm="1">
        <f t="array" ref="Q236">INDEX(GMWQ!$A$2:$NE$60,MATCH(1,(GMWQ!$NE$2:$NE$60=Q$3)*(GMWQ!$ND$2:$ND$60=Q$4),0),$B236-1966)</f>
        <v>1110.721</v>
      </c>
      <c r="R236" s="18" cm="1">
        <f t="array" ref="R236">INDEX(GMWQ!$A$2:$NE$60,MATCH(1,(GMWQ!$NE$2:$NE$60=R$3)*(GMWQ!$ND$2:$ND$60=R$4),0),$B236-1966)</f>
        <v>25022.04</v>
      </c>
      <c r="S236" s="18" cm="1">
        <f t="array" ref="S236">INDEX(GMWQ!$A$2:$NE$60,MATCH(1,(GMWQ!$NE$2:$NE$60=S$3)*(GMWQ!$ND$2:$ND$60=S$4),0),$B236-1966)</f>
        <v>118.34869999999999</v>
      </c>
      <c r="T236" s="18" cm="1">
        <f t="array" ref="T236">INDEX(GMWQ!$A$2:$NE$60,MATCH(1,(GMWQ!$NE$2:$NE$60=T$3)*(GMWQ!$ND$2:$ND$60=T$4),0),$B236-1966)</f>
        <v>92.697400000000002</v>
      </c>
      <c r="U236" s="18" cm="1">
        <f t="array" ref="U236">INDEX(GMWQ!$A$2:$NE$60,MATCH(1,(GMWQ!$NE$2:$NE$60=U$3)*(GMWQ!$ND$2:$ND$60=U$4),0),$B236-1966)</f>
        <v>64.184950000000001</v>
      </c>
      <c r="V236" s="18" cm="1">
        <f t="array" ref="V236">INDEX(GMWQ!$A$2:$NE$60,MATCH(1,(GMWQ!$NE$2:$NE$60=V$3)*(GMWQ!$ND$2:$ND$60=V$4),0),$B236-1966)</f>
        <v>82891.73</v>
      </c>
      <c r="W236" s="18" cm="1">
        <f t="array" ref="W236">INDEX(GMWQ!$A$2:$NF$60,MATCH(1,(GMWQ!$NE$2:$NE$60=W$3)*(GMWQ!$NF$2:$NF$60=W$1),0),$B236-1966)</f>
        <v>59326.95</v>
      </c>
      <c r="X236" s="18" cm="1">
        <f t="array" ref="X236">INDEX(GMWQ!$A$2:$NF$60,MATCH(1,(GMWQ!$NE$2:$NE$60=X$3)*(GMWQ!$NF$2:$NF$60=X$1),0),$B236-1966)</f>
        <v>61729.99</v>
      </c>
      <c r="Y236" s="18" cm="1">
        <f t="array" ref="Y236">INDEX(GMWQ!$A$2:$NF$60,MATCH(1,(GMWQ!$NE$2:$NE$60=Y$3)*(GMWQ!$NF$2:$NF$60=Y$1),0),$B236-1966)</f>
        <v>62112.25</v>
      </c>
      <c r="Z236" s="18" cm="1">
        <f t="array" ref="Z236">INDEX(GMWQ!$A$2:$NF$60,MATCH(1,(GMWQ!$NE$2:$NE$60=Z$3)*(GMWQ!$NF$2:$NF$60=Z$1),0),$B236-1966)</f>
        <v>70912.38</v>
      </c>
    </row>
    <row r="237" spans="1:26" x14ac:dyDescent="0.25">
      <c r="B237" s="18">
        <f t="shared" si="4"/>
        <v>2203</v>
      </c>
      <c r="C237" s="18" cm="1">
        <f t="array" ref="C237">INDEX(GMWQ!$A$2:$NE$60,MATCH(1,(GMWQ!$NE$2:$NE$60=C$3)*(GMWQ!$ND$2:$ND$60=C$4),0),$B237-1966)</f>
        <v>73719.350000000006</v>
      </c>
      <c r="D237" s="18" cm="1">
        <f t="array" ref="D237">INDEX(GMWQ!$A$2:$NE$60,MATCH(1,(GMWQ!$NE$2:$NE$60=D$3)*(GMWQ!$ND$2:$ND$60=D$4),0),$B237-1966)</f>
        <v>195546.2</v>
      </c>
      <c r="E237" s="18" cm="1">
        <f t="array" ref="E237">INDEX(GMWQ!$A$2:$NE$60,MATCH(1,(GMWQ!$NE$2:$NE$60=E$3)*(GMWQ!$ND$2:$ND$60=E$4),0),$B237-1966)</f>
        <v>-19988.84</v>
      </c>
      <c r="F237" s="18" cm="1">
        <f t="array" ref="F237">INDEX(GMWQ!$A$2:$NE$60,MATCH(1,(GMWQ!$NE$2:$NE$60=F$3)*(GMWQ!$ND$2:$ND$60=F$4),0),$B237-1966)</f>
        <v>-21526.16</v>
      </c>
      <c r="G237" s="18" cm="1">
        <f t="array" ref="G237">INDEX(GMWQ!$A$2:$NE$60,MATCH(1,(GMWQ!$NE$2:$NE$60=G$3)*(GMWQ!$ND$2:$ND$60=G$4),0),$B237-1966)</f>
        <v>886501.6</v>
      </c>
      <c r="H237" s="18" cm="1">
        <f t="array" ref="H237">INDEX(GMWQ!$A$2:$NE$60,MATCH(1,(GMWQ!$NE$2:$NE$60=H$3)*(GMWQ!$ND$2:$ND$60=H$4),0),$B237-1966)</f>
        <v>127185.1</v>
      </c>
      <c r="I237" s="18" cm="1">
        <f t="array" ref="I237">INDEX(GMWQ!$A$2:$NE$60,MATCH(1,(GMWQ!$NE$2:$NE$60=I$3)*(GMWQ!$ND$2:$ND$60=I$4),0),$B237-1966)</f>
        <v>17137.64</v>
      </c>
      <c r="J237" s="18" cm="1">
        <f t="array" ref="J237">INDEX(GMWQ!$A$2:$NE$60,MATCH(1,(GMWQ!$NE$2:$NE$60=J$3)*(GMWQ!$ND$2:$ND$60=J$4),0),$B237-1966)</f>
        <v>27393.87</v>
      </c>
      <c r="K237" s="18" cm="1">
        <f t="array" ref="K237">INDEX(GMWQ!$A$2:$NE$60,MATCH(1,(GMWQ!$NE$2:$NE$60=K$3)*(GMWQ!$ND$2:$ND$60=K$4),0),$B237-1966)</f>
        <v>3728313</v>
      </c>
      <c r="L237" s="18" cm="1">
        <f t="array" ref="L237">INDEX(GMWQ!$A$2:$NE$60,MATCH(1,(GMWQ!$NE$2:$NE$60=L$3)*(GMWQ!$ND$2:$ND$60=L$4),0),$B237-1966)</f>
        <v>35375.43</v>
      </c>
      <c r="M237" s="18" cm="1">
        <f t="array" ref="M237">INDEX(GMWQ!$A$2:$NE$60,MATCH(1,(GMWQ!$NE$2:$NE$60=M$3)*(GMWQ!$ND$2:$ND$60=M$4),0),$B237-1966)</f>
        <v>31.996880000000001</v>
      </c>
      <c r="N237" s="18" cm="1">
        <f t="array" ref="N237">INDEX(GMWQ!$A$2:$NE$60,MATCH(1,(GMWQ!$NE$2:$NE$60=N$3)*(GMWQ!$ND$2:$ND$60=N$4),0),$B237-1966)</f>
        <v>8.8121620000000007</v>
      </c>
      <c r="O237" s="18" cm="1">
        <f t="array" ref="O237">INDEX(GMWQ!$A$2:$NE$60,MATCH(1,(GMWQ!$NE$2:$NE$60=O$3)*(GMWQ!$ND$2:$ND$60=O$4),0),$B237-1966)</f>
        <v>3.8562470000000002</v>
      </c>
      <c r="P237" s="18" cm="1">
        <f t="array" ref="P237">INDEX(GMWQ!$A$2:$NE$60,MATCH(1,(GMWQ!$NE$2:$NE$60=P$3)*(GMWQ!$ND$2:$ND$60=P$4),0),$B237-1966)</f>
        <v>633936.30000000005</v>
      </c>
      <c r="Q237" s="18" cm="1">
        <f t="array" ref="Q237">INDEX(GMWQ!$A$2:$NE$60,MATCH(1,(GMWQ!$NE$2:$NE$60=Q$3)*(GMWQ!$ND$2:$ND$60=Q$4),0),$B237-1966)</f>
        <v>1119.1559999999999</v>
      </c>
      <c r="R237" s="18" cm="1">
        <f t="array" ref="R237">INDEX(GMWQ!$A$2:$NE$60,MATCH(1,(GMWQ!$NE$2:$NE$60=R$3)*(GMWQ!$ND$2:$ND$60=R$4),0),$B237-1966)</f>
        <v>25054.12</v>
      </c>
      <c r="S237" s="18" cm="1">
        <f t="array" ref="S237">INDEX(GMWQ!$A$2:$NE$60,MATCH(1,(GMWQ!$NE$2:$NE$60=S$3)*(GMWQ!$ND$2:$ND$60=S$4),0),$B237-1966)</f>
        <v>118.95140000000001</v>
      </c>
      <c r="T237" s="18" cm="1">
        <f t="array" ref="T237">INDEX(GMWQ!$A$2:$NE$60,MATCH(1,(GMWQ!$NE$2:$NE$60=T$3)*(GMWQ!$ND$2:$ND$60=T$4),0),$B237-1966)</f>
        <v>92.884730000000005</v>
      </c>
      <c r="U237" s="18" cm="1">
        <f t="array" ref="U237">INDEX(GMWQ!$A$2:$NE$60,MATCH(1,(GMWQ!$NE$2:$NE$60=U$3)*(GMWQ!$ND$2:$ND$60=U$4),0),$B237-1966)</f>
        <v>64.270229999999998</v>
      </c>
      <c r="V237" s="18" cm="1">
        <f t="array" ref="V237">INDEX(GMWQ!$A$2:$NE$60,MATCH(1,(GMWQ!$NE$2:$NE$60=V$3)*(GMWQ!$ND$2:$ND$60=V$4),0),$B237-1966)</f>
        <v>83373.69</v>
      </c>
      <c r="W237" s="18" cm="1">
        <f t="array" ref="W237">INDEX(GMWQ!$A$2:$NF$60,MATCH(1,(GMWQ!$NE$2:$NE$60=W$3)*(GMWQ!$NF$2:$NF$60=W$1),0),$B237-1966)</f>
        <v>59605.75</v>
      </c>
      <c r="X237" s="18" cm="1">
        <f t="array" ref="X237">INDEX(GMWQ!$A$2:$NF$60,MATCH(1,(GMWQ!$NE$2:$NE$60=X$3)*(GMWQ!$NF$2:$NF$60=X$1),0),$B237-1966)</f>
        <v>62034.68</v>
      </c>
      <c r="Y237" s="18" cm="1">
        <f t="array" ref="Y237">INDEX(GMWQ!$A$2:$NF$60,MATCH(1,(GMWQ!$NE$2:$NE$60=Y$3)*(GMWQ!$NF$2:$NF$60=Y$1),0),$B237-1966)</f>
        <v>62416.61</v>
      </c>
      <c r="Z237" s="18" cm="1">
        <f t="array" ref="Z237">INDEX(GMWQ!$A$2:$NF$60,MATCH(1,(GMWQ!$NE$2:$NE$60=Z$3)*(GMWQ!$NF$2:$NF$60=Z$1),0),$B237-1966)</f>
        <v>71344.94</v>
      </c>
    </row>
    <row r="238" spans="1:26" x14ac:dyDescent="0.25">
      <c r="B238" s="18">
        <f t="shared" si="4"/>
        <v>2204</v>
      </c>
      <c r="C238" s="18" cm="1">
        <f t="array" ref="C238">INDEX(GMWQ!$A$2:$NE$60,MATCH(1,(GMWQ!$NE$2:$NE$60=C$3)*(GMWQ!$ND$2:$ND$60=C$4),0),$B238-1966)</f>
        <v>74169.039999999994</v>
      </c>
      <c r="D238" s="18" cm="1">
        <f t="array" ref="D238">INDEX(GMWQ!$A$2:$NE$60,MATCH(1,(GMWQ!$NE$2:$NE$60=D$3)*(GMWQ!$ND$2:$ND$60=D$4),0),$B238-1966)</f>
        <v>197064.5</v>
      </c>
      <c r="E238" s="18" cm="1">
        <f t="array" ref="E238">INDEX(GMWQ!$A$2:$NE$60,MATCH(1,(GMWQ!$NE$2:$NE$60=E$3)*(GMWQ!$ND$2:$ND$60=E$4),0),$B238-1966)</f>
        <v>-9909.0939999999991</v>
      </c>
      <c r="F238" s="18" cm="1">
        <f t="array" ref="F238">INDEX(GMWQ!$A$2:$NE$60,MATCH(1,(GMWQ!$NE$2:$NE$60=F$3)*(GMWQ!$ND$2:$ND$60=F$4),0),$B238-1966)</f>
        <v>-11476.02</v>
      </c>
      <c r="G238" s="18" cm="1">
        <f t="array" ref="G238">INDEX(GMWQ!$A$2:$NE$60,MATCH(1,(GMWQ!$NE$2:$NE$60=G$3)*(GMWQ!$ND$2:$ND$60=G$4),0),$B238-1966)</f>
        <v>894809.3</v>
      </c>
      <c r="H238" s="18" cm="1">
        <f t="array" ref="H238">INDEX(GMWQ!$A$2:$NE$60,MATCH(1,(GMWQ!$NE$2:$NE$60=H$3)*(GMWQ!$ND$2:$ND$60=H$4),0),$B238-1966)</f>
        <v>127854.3</v>
      </c>
      <c r="I238" s="18" cm="1">
        <f t="array" ref="I238">INDEX(GMWQ!$A$2:$NE$60,MATCH(1,(GMWQ!$NE$2:$NE$60=I$3)*(GMWQ!$ND$2:$ND$60=I$4),0),$B238-1966)</f>
        <v>17216.47</v>
      </c>
      <c r="J238" s="18" cm="1">
        <f t="array" ref="J238">INDEX(GMWQ!$A$2:$NE$60,MATCH(1,(GMWQ!$NE$2:$NE$60=J$3)*(GMWQ!$ND$2:$ND$60=J$4),0),$B238-1966)</f>
        <v>27492.49</v>
      </c>
      <c r="K238" s="18" cm="1">
        <f t="array" ref="K238">INDEX(GMWQ!$A$2:$NE$60,MATCH(1,(GMWQ!$NE$2:$NE$60=K$3)*(GMWQ!$ND$2:$ND$60=K$4),0),$B238-1966)</f>
        <v>3743350</v>
      </c>
      <c r="L238" s="18" cm="1">
        <f t="array" ref="L238">INDEX(GMWQ!$A$2:$NE$60,MATCH(1,(GMWQ!$NE$2:$NE$60=L$3)*(GMWQ!$ND$2:$ND$60=L$4),0),$B238-1966)</f>
        <v>35453.25</v>
      </c>
      <c r="M238" s="18" cm="1">
        <f t="array" ref="M238">INDEX(GMWQ!$A$2:$NE$60,MATCH(1,(GMWQ!$NE$2:$NE$60=M$3)*(GMWQ!$ND$2:$ND$60=M$4),0),$B238-1966)</f>
        <v>31.996670000000002</v>
      </c>
      <c r="N238" s="18" cm="1">
        <f t="array" ref="N238">INDEX(GMWQ!$A$2:$NE$60,MATCH(1,(GMWQ!$NE$2:$NE$60=N$3)*(GMWQ!$ND$2:$ND$60=N$4),0),$B238-1966)</f>
        <v>8.8253970000000006</v>
      </c>
      <c r="O238" s="18" cm="1">
        <f t="array" ref="O238">INDEX(GMWQ!$A$2:$NE$60,MATCH(1,(GMWQ!$NE$2:$NE$60=O$3)*(GMWQ!$ND$2:$ND$60=O$4),0),$B238-1966)</f>
        <v>3.8562470000000002</v>
      </c>
      <c r="P238" s="18" cm="1">
        <f t="array" ref="P238">INDEX(GMWQ!$A$2:$NE$60,MATCH(1,(GMWQ!$NE$2:$NE$60=P$3)*(GMWQ!$ND$2:$ND$60=P$4),0),$B238-1966)</f>
        <v>643810</v>
      </c>
      <c r="Q238" s="18" cm="1">
        <f t="array" ref="Q238">INDEX(GMWQ!$A$2:$NE$60,MATCH(1,(GMWQ!$NE$2:$NE$60=Q$3)*(GMWQ!$ND$2:$ND$60=Q$4),0),$B238-1966)</f>
        <v>1127.5930000000001</v>
      </c>
      <c r="R238" s="18" cm="1">
        <f t="array" ref="R238">INDEX(GMWQ!$A$2:$NE$60,MATCH(1,(GMWQ!$NE$2:$NE$60=R$3)*(GMWQ!$ND$2:$ND$60=R$4),0),$B238-1966)</f>
        <v>25086.46</v>
      </c>
      <c r="S238" s="18" cm="1">
        <f t="array" ref="S238">INDEX(GMWQ!$A$2:$NE$60,MATCH(1,(GMWQ!$NE$2:$NE$60=S$3)*(GMWQ!$ND$2:$ND$60=S$4),0),$B238-1966)</f>
        <v>119.4825</v>
      </c>
      <c r="T238" s="18" cm="1">
        <f t="array" ref="T238">INDEX(GMWQ!$A$2:$NE$60,MATCH(1,(GMWQ!$NE$2:$NE$60=T$3)*(GMWQ!$ND$2:$ND$60=T$4),0),$B238-1966)</f>
        <v>93.167810000000003</v>
      </c>
      <c r="U238" s="18" cm="1">
        <f t="array" ref="U238">INDEX(GMWQ!$A$2:$NE$60,MATCH(1,(GMWQ!$NE$2:$NE$60=U$3)*(GMWQ!$ND$2:$ND$60=U$4),0),$B238-1966)</f>
        <v>64.354699999999994</v>
      </c>
      <c r="V238" s="18" cm="1">
        <f t="array" ref="V238">INDEX(GMWQ!$A$2:$NE$60,MATCH(1,(GMWQ!$NE$2:$NE$60=V$3)*(GMWQ!$ND$2:$ND$60=V$4),0),$B238-1966)</f>
        <v>83840.41</v>
      </c>
      <c r="W238" s="18" cm="1">
        <f t="array" ref="W238">INDEX(GMWQ!$A$2:$NF$60,MATCH(1,(GMWQ!$NE$2:$NE$60=W$3)*(GMWQ!$NF$2:$NF$60=W$1),0),$B238-1966)</f>
        <v>59885.59</v>
      </c>
      <c r="X238" s="18" cm="1">
        <f t="array" ref="X238">INDEX(GMWQ!$A$2:$NF$60,MATCH(1,(GMWQ!$NE$2:$NE$60=X$3)*(GMWQ!$NF$2:$NF$60=X$1),0),$B238-1966)</f>
        <v>62341.29</v>
      </c>
      <c r="Y238" s="18" cm="1">
        <f t="array" ref="Y238">INDEX(GMWQ!$A$2:$NF$60,MATCH(1,(GMWQ!$NE$2:$NE$60=Y$3)*(GMWQ!$NF$2:$NF$60=Y$1),0),$B238-1966)</f>
        <v>62722.45</v>
      </c>
      <c r="Z238" s="18" cm="1">
        <f t="array" ref="Z238">INDEX(GMWQ!$A$2:$NF$60,MATCH(1,(GMWQ!$NE$2:$NE$60=Z$3)*(GMWQ!$NF$2:$NF$60=Z$1),0),$B238-1966)</f>
        <v>71780.14</v>
      </c>
    </row>
    <row r="239" spans="1:26" x14ac:dyDescent="0.25">
      <c r="A239" s="18">
        <v>2031</v>
      </c>
      <c r="B239" s="18">
        <f t="shared" si="4"/>
        <v>2205</v>
      </c>
      <c r="C239" s="18" cm="1">
        <f t="array" ref="C239">INDEX(GMWQ!$A$2:$NE$60,MATCH(1,(GMWQ!$NE$2:$NE$60=C$3)*(GMWQ!$ND$2:$ND$60=C$4),0),$B239-1966)</f>
        <v>74621.48</v>
      </c>
      <c r="D239" s="18" cm="1">
        <f t="array" ref="D239">INDEX(GMWQ!$A$2:$NE$60,MATCH(1,(GMWQ!$NE$2:$NE$60=D$3)*(GMWQ!$ND$2:$ND$60=D$4),0),$B239-1966)</f>
        <v>198931.3</v>
      </c>
      <c r="E239" s="18" cm="1">
        <f t="array" ref="E239">INDEX(GMWQ!$A$2:$NE$60,MATCH(1,(GMWQ!$NE$2:$NE$60=E$3)*(GMWQ!$ND$2:$ND$60=E$4),0),$B239-1966)</f>
        <v>-21164.720000000001</v>
      </c>
      <c r="F239" s="18" cm="1">
        <f t="array" ref="F239">INDEX(GMWQ!$A$2:$NE$60,MATCH(1,(GMWQ!$NE$2:$NE$60=F$3)*(GMWQ!$ND$2:$ND$60=F$4),0),$B239-1966)</f>
        <v>-22758.44</v>
      </c>
      <c r="G239" s="18" cm="1">
        <f t="array" ref="G239">INDEX(GMWQ!$A$2:$NE$60,MATCH(1,(GMWQ!$NE$2:$NE$60=G$3)*(GMWQ!$ND$2:$ND$60=G$4),0),$B239-1966)</f>
        <v>903104.7</v>
      </c>
      <c r="H239" s="18" cm="1">
        <f t="array" ref="H239">INDEX(GMWQ!$A$2:$NE$60,MATCH(1,(GMWQ!$NE$2:$NE$60=H$3)*(GMWQ!$ND$2:$ND$60=H$4),0),$B239-1966)</f>
        <v>128527.1</v>
      </c>
      <c r="I239" s="18" cm="1">
        <f t="array" ref="I239">INDEX(GMWQ!$A$2:$NE$60,MATCH(1,(GMWQ!$NE$2:$NE$60=I$3)*(GMWQ!$ND$2:$ND$60=I$4),0),$B239-1966)</f>
        <v>17295.66</v>
      </c>
      <c r="J239" s="18" cm="1">
        <f t="array" ref="J239">INDEX(GMWQ!$A$2:$NE$60,MATCH(1,(GMWQ!$NE$2:$NE$60=J$3)*(GMWQ!$ND$2:$ND$60=J$4),0),$B239-1966)</f>
        <v>27591.46</v>
      </c>
      <c r="K239" s="18" cm="1">
        <f t="array" ref="K239">INDEX(GMWQ!$A$2:$NE$60,MATCH(1,(GMWQ!$NE$2:$NE$60=K$3)*(GMWQ!$ND$2:$ND$60=K$4),0),$B239-1966)</f>
        <v>3758562</v>
      </c>
      <c r="L239" s="18" cm="1">
        <f t="array" ref="L239">INDEX(GMWQ!$A$2:$NE$60,MATCH(1,(GMWQ!$NE$2:$NE$60=L$3)*(GMWQ!$ND$2:$ND$60=L$4),0),$B239-1966)</f>
        <v>35527.699999999997</v>
      </c>
      <c r="M239" s="18" cm="1">
        <f t="array" ref="M239">INDEX(GMWQ!$A$2:$NE$60,MATCH(1,(GMWQ!$NE$2:$NE$60=M$3)*(GMWQ!$ND$2:$ND$60=M$4),0),$B239-1966)</f>
        <v>31.996459999999999</v>
      </c>
      <c r="N239" s="18" cm="1">
        <f t="array" ref="N239">INDEX(GMWQ!$A$2:$NE$60,MATCH(1,(GMWQ!$NE$2:$NE$60=N$3)*(GMWQ!$ND$2:$ND$60=N$4),0),$B239-1966)</f>
        <v>8.8354809999999997</v>
      </c>
      <c r="O239" s="18" cm="1">
        <f t="array" ref="O239">INDEX(GMWQ!$A$2:$NE$60,MATCH(1,(GMWQ!$NE$2:$NE$60=O$3)*(GMWQ!$ND$2:$ND$60=O$4),0),$B239-1966)</f>
        <v>3.8562470000000002</v>
      </c>
      <c r="P239" s="18" cm="1">
        <f t="array" ref="P239">INDEX(GMWQ!$A$2:$NE$60,MATCH(1,(GMWQ!$NE$2:$NE$60=P$3)*(GMWQ!$ND$2:$ND$60=P$4),0),$B239-1966)</f>
        <v>653716.69999999995</v>
      </c>
      <c r="Q239" s="18" cm="1">
        <f t="array" ref="Q239">INDEX(GMWQ!$A$2:$NE$60,MATCH(1,(GMWQ!$NE$2:$NE$60=Q$3)*(GMWQ!$ND$2:$ND$60=Q$4),0),$B239-1966)</f>
        <v>1136.0319999999999</v>
      </c>
      <c r="R239" s="18" cm="1">
        <f t="array" ref="R239">INDEX(GMWQ!$A$2:$NE$60,MATCH(1,(GMWQ!$NE$2:$NE$60=R$3)*(GMWQ!$ND$2:$ND$60=R$4),0),$B239-1966)</f>
        <v>25118.02</v>
      </c>
      <c r="S239" s="18" cm="1">
        <f t="array" ref="S239">INDEX(GMWQ!$A$2:$NE$60,MATCH(1,(GMWQ!$NE$2:$NE$60=S$3)*(GMWQ!$ND$2:$ND$60=S$4),0),$B239-1966)</f>
        <v>119.908</v>
      </c>
      <c r="T239" s="18" cm="1">
        <f t="array" ref="T239">INDEX(GMWQ!$A$2:$NE$60,MATCH(1,(GMWQ!$NE$2:$NE$60=T$3)*(GMWQ!$ND$2:$ND$60=T$4),0),$B239-1966)</f>
        <v>93.469160000000002</v>
      </c>
      <c r="U239" s="18" cm="1">
        <f t="array" ref="U239">INDEX(GMWQ!$A$2:$NE$60,MATCH(1,(GMWQ!$NE$2:$NE$60=U$3)*(GMWQ!$ND$2:$ND$60=U$4),0),$B239-1966)</f>
        <v>64.43365</v>
      </c>
      <c r="V239" s="18" cm="1">
        <f t="array" ref="V239">INDEX(GMWQ!$A$2:$NE$60,MATCH(1,(GMWQ!$NE$2:$NE$60=V$3)*(GMWQ!$ND$2:$ND$60=V$4),0),$B239-1966)</f>
        <v>84293.58</v>
      </c>
      <c r="W239" s="18" cm="1">
        <f t="array" ref="W239">INDEX(GMWQ!$A$2:$NF$60,MATCH(1,(GMWQ!$NE$2:$NE$60=W$3)*(GMWQ!$NF$2:$NF$60=W$1),0),$B239-1966)</f>
        <v>60156.68</v>
      </c>
      <c r="X239" s="18" cm="1">
        <f t="array" ref="X239">INDEX(GMWQ!$A$2:$NF$60,MATCH(1,(GMWQ!$NE$2:$NE$60=X$3)*(GMWQ!$NF$2:$NF$60=X$1),0),$B239-1966)</f>
        <v>62648.89</v>
      </c>
      <c r="Y239" s="18" cm="1">
        <f t="array" ref="Y239">INDEX(GMWQ!$A$2:$NF$60,MATCH(1,(GMWQ!$NE$2:$NE$60=Y$3)*(GMWQ!$NF$2:$NF$60=Y$1),0),$B239-1966)</f>
        <v>63024.25</v>
      </c>
      <c r="Z239" s="18" cm="1">
        <f t="array" ref="Z239">INDEX(GMWQ!$A$2:$NF$60,MATCH(1,(GMWQ!$NE$2:$NE$60=Z$3)*(GMWQ!$NF$2:$NF$60=Z$1),0),$B239-1966)</f>
        <v>72218</v>
      </c>
    </row>
    <row r="240" spans="1:26" x14ac:dyDescent="0.25">
      <c r="B240" s="18">
        <f t="shared" si="4"/>
        <v>2206</v>
      </c>
      <c r="C240" s="18" cm="1">
        <f t="array" ref="C240">INDEX(GMWQ!$A$2:$NE$60,MATCH(1,(GMWQ!$NE$2:$NE$60=C$3)*(GMWQ!$ND$2:$ND$60=C$4),0),$B240-1966)</f>
        <v>75076.66</v>
      </c>
      <c r="D240" s="18" cm="1">
        <f t="array" ref="D240">INDEX(GMWQ!$A$2:$NE$60,MATCH(1,(GMWQ!$NE$2:$NE$60=D$3)*(GMWQ!$ND$2:$ND$60=D$4),0),$B240-1966)</f>
        <v>200907.9</v>
      </c>
      <c r="E240" s="18" cm="1">
        <f t="array" ref="E240">INDEX(GMWQ!$A$2:$NE$60,MATCH(1,(GMWQ!$NE$2:$NE$60=E$3)*(GMWQ!$ND$2:$ND$60=E$4),0),$B240-1966)</f>
        <v>-14777.77</v>
      </c>
      <c r="F240" s="18" cm="1">
        <f t="array" ref="F240">INDEX(GMWQ!$A$2:$NE$60,MATCH(1,(GMWQ!$NE$2:$NE$60=F$3)*(GMWQ!$ND$2:$ND$60=F$4),0),$B240-1966)</f>
        <v>-16396.169999999998</v>
      </c>
      <c r="G240" s="18" cm="1">
        <f t="array" ref="G240">INDEX(GMWQ!$A$2:$NE$60,MATCH(1,(GMWQ!$NE$2:$NE$60=G$3)*(GMWQ!$ND$2:$ND$60=G$4),0),$B240-1966)</f>
        <v>911477.3</v>
      </c>
      <c r="H240" s="18" cm="1">
        <f t="array" ref="H240">INDEX(GMWQ!$A$2:$NE$60,MATCH(1,(GMWQ!$NE$2:$NE$60=H$3)*(GMWQ!$ND$2:$ND$60=H$4),0),$B240-1966)</f>
        <v>129203.5</v>
      </c>
      <c r="I240" s="18" cm="1">
        <f t="array" ref="I240">INDEX(GMWQ!$A$2:$NE$60,MATCH(1,(GMWQ!$NE$2:$NE$60=I$3)*(GMWQ!$ND$2:$ND$60=I$4),0),$B240-1966)</f>
        <v>17375.22</v>
      </c>
      <c r="J240" s="18" cm="1">
        <f t="array" ref="J240">INDEX(GMWQ!$A$2:$NE$60,MATCH(1,(GMWQ!$NE$2:$NE$60=J$3)*(GMWQ!$ND$2:$ND$60=J$4),0),$B240-1966)</f>
        <v>27690.79</v>
      </c>
      <c r="K240" s="18" cm="1">
        <f t="array" ref="K240">INDEX(GMWQ!$A$2:$NE$60,MATCH(1,(GMWQ!$NE$2:$NE$60=K$3)*(GMWQ!$ND$2:$ND$60=K$4),0),$B240-1966)</f>
        <v>3773950</v>
      </c>
      <c r="L240" s="18" cm="1">
        <f t="array" ref="L240">INDEX(GMWQ!$A$2:$NE$60,MATCH(1,(GMWQ!$NE$2:$NE$60=L$3)*(GMWQ!$ND$2:$ND$60=L$4),0),$B240-1966)</f>
        <v>35598.76</v>
      </c>
      <c r="M240" s="18" cm="1">
        <f t="array" ref="M240">INDEX(GMWQ!$A$2:$NE$60,MATCH(1,(GMWQ!$NE$2:$NE$60=M$3)*(GMWQ!$ND$2:$ND$60=M$4),0),$B240-1966)</f>
        <v>31.99625</v>
      </c>
      <c r="N240" s="18" cm="1">
        <f t="array" ref="N240">INDEX(GMWQ!$A$2:$NE$60,MATCH(1,(GMWQ!$NE$2:$NE$60=N$3)*(GMWQ!$ND$2:$ND$60=N$4),0),$B240-1966)</f>
        <v>8.8447549999999993</v>
      </c>
      <c r="O240" s="18" cm="1">
        <f t="array" ref="O240">INDEX(GMWQ!$A$2:$NE$60,MATCH(1,(GMWQ!$NE$2:$NE$60=O$3)*(GMWQ!$ND$2:$ND$60=O$4),0),$B240-1966)</f>
        <v>3.8562470000000002</v>
      </c>
      <c r="P240" s="18" cm="1">
        <f t="array" ref="P240">INDEX(GMWQ!$A$2:$NE$60,MATCH(1,(GMWQ!$NE$2:$NE$60=P$3)*(GMWQ!$ND$2:$ND$60=P$4),0),$B240-1966)</f>
        <v>663749.6</v>
      </c>
      <c r="Q240" s="18" cm="1">
        <f t="array" ref="Q240">INDEX(GMWQ!$A$2:$NE$60,MATCH(1,(GMWQ!$NE$2:$NE$60=Q$3)*(GMWQ!$ND$2:$ND$60=Q$4),0),$B240-1966)</f>
        <v>1144.471</v>
      </c>
      <c r="R240" s="18" cm="1">
        <f t="array" ref="R240">INDEX(GMWQ!$A$2:$NE$60,MATCH(1,(GMWQ!$NE$2:$NE$60=R$3)*(GMWQ!$ND$2:$ND$60=R$4),0),$B240-1966)</f>
        <v>25149.78</v>
      </c>
      <c r="S240" s="18" cm="1">
        <f t="array" ref="S240">INDEX(GMWQ!$A$2:$NE$60,MATCH(1,(GMWQ!$NE$2:$NE$60=S$3)*(GMWQ!$ND$2:$ND$60=S$4),0),$B240-1966)</f>
        <v>120.27509999999999</v>
      </c>
      <c r="T240" s="18" cm="1">
        <f t="array" ref="T240">INDEX(GMWQ!$A$2:$NE$60,MATCH(1,(GMWQ!$NE$2:$NE$60=T$3)*(GMWQ!$ND$2:$ND$60=T$4),0),$B240-1966)</f>
        <v>93.751589999999993</v>
      </c>
      <c r="U240" s="18" cm="1">
        <f t="array" ref="U240">INDEX(GMWQ!$A$2:$NE$60,MATCH(1,(GMWQ!$NE$2:$NE$60=U$3)*(GMWQ!$ND$2:$ND$60=U$4),0),$B240-1966)</f>
        <v>64.495900000000006</v>
      </c>
      <c r="V240" s="18" cm="1">
        <f t="array" ref="V240">INDEX(GMWQ!$A$2:$NE$60,MATCH(1,(GMWQ!$NE$2:$NE$60=V$3)*(GMWQ!$ND$2:$ND$60=V$4),0),$B240-1966)</f>
        <v>84734.9</v>
      </c>
      <c r="W240" s="18" cm="1">
        <f t="array" ref="W240">INDEX(GMWQ!$A$2:$NF$60,MATCH(1,(GMWQ!$NE$2:$NE$60=W$3)*(GMWQ!$NF$2:$NF$60=W$1),0),$B240-1966)</f>
        <v>60428.46</v>
      </c>
      <c r="X240" s="18" cm="1">
        <f t="array" ref="X240">INDEX(GMWQ!$A$2:$NF$60,MATCH(1,(GMWQ!$NE$2:$NE$60=X$3)*(GMWQ!$NF$2:$NF$60=X$1),0),$B240-1966)</f>
        <v>62958.01</v>
      </c>
      <c r="Y240" s="18" cm="1">
        <f t="array" ref="Y240">INDEX(GMWQ!$A$2:$NF$60,MATCH(1,(GMWQ!$NE$2:$NE$60=Y$3)*(GMWQ!$NF$2:$NF$60=Y$1),0),$B240-1966)</f>
        <v>63327.74</v>
      </c>
      <c r="Z240" s="18" cm="1">
        <f t="array" ref="Z240">INDEX(GMWQ!$A$2:$NF$60,MATCH(1,(GMWQ!$NE$2:$NE$60=Z$3)*(GMWQ!$NF$2:$NF$60=Z$1),0),$B240-1966)</f>
        <v>72658.53</v>
      </c>
    </row>
    <row r="241" spans="1:26" x14ac:dyDescent="0.25">
      <c r="B241" s="18">
        <f t="shared" ref="B241:B304" si="5">+B240+1</f>
        <v>2207</v>
      </c>
      <c r="C241" s="18" cm="1">
        <f t="array" ref="C241">INDEX(GMWQ!$A$2:$NE$60,MATCH(1,(GMWQ!$NE$2:$NE$60=C$3)*(GMWQ!$ND$2:$ND$60=C$4),0),$B241-1966)</f>
        <v>75534.63</v>
      </c>
      <c r="D241" s="18" cm="1">
        <f t="array" ref="D241">INDEX(GMWQ!$A$2:$NE$60,MATCH(1,(GMWQ!$NE$2:$NE$60=D$3)*(GMWQ!$ND$2:$ND$60=D$4),0),$B241-1966)</f>
        <v>202939.6</v>
      </c>
      <c r="E241" s="18" cm="1">
        <f t="array" ref="E241">INDEX(GMWQ!$A$2:$NE$60,MATCH(1,(GMWQ!$NE$2:$NE$60=E$3)*(GMWQ!$ND$2:$ND$60=E$4),0),$B241-1966)</f>
        <v>-18030.64</v>
      </c>
      <c r="F241" s="18" cm="1">
        <f t="array" ref="F241">INDEX(GMWQ!$A$2:$NE$60,MATCH(1,(GMWQ!$NE$2:$NE$60=F$3)*(GMWQ!$ND$2:$ND$60=F$4),0),$B241-1966)</f>
        <v>-19671.96</v>
      </c>
      <c r="G241" s="18" cm="1">
        <f t="array" ref="G241">INDEX(GMWQ!$A$2:$NE$60,MATCH(1,(GMWQ!$NE$2:$NE$60=G$3)*(GMWQ!$ND$2:$ND$60=G$4),0),$B241-1966)</f>
        <v>919881.8</v>
      </c>
      <c r="H241" s="18" cm="1">
        <f t="array" ref="H241">INDEX(GMWQ!$A$2:$NE$60,MATCH(1,(GMWQ!$NE$2:$NE$60=H$3)*(GMWQ!$ND$2:$ND$60=H$4),0),$B241-1966)</f>
        <v>129883.7</v>
      </c>
      <c r="I241" s="18" cm="1">
        <f t="array" ref="I241">INDEX(GMWQ!$A$2:$NE$60,MATCH(1,(GMWQ!$NE$2:$NE$60=I$3)*(GMWQ!$ND$2:$ND$60=I$4),0),$B241-1966)</f>
        <v>17455.150000000001</v>
      </c>
      <c r="J241" s="18" cm="1">
        <f t="array" ref="J241">INDEX(GMWQ!$A$2:$NE$60,MATCH(1,(GMWQ!$NE$2:$NE$60=J$3)*(GMWQ!$ND$2:$ND$60=J$4),0),$B241-1966)</f>
        <v>27790.48</v>
      </c>
      <c r="K241" s="18" cm="1">
        <f t="array" ref="K241">INDEX(GMWQ!$A$2:$NE$60,MATCH(1,(GMWQ!$NE$2:$NE$60=K$3)*(GMWQ!$ND$2:$ND$60=K$4),0),$B241-1966)</f>
        <v>3789512</v>
      </c>
      <c r="L241" s="18" cm="1">
        <f t="array" ref="L241">INDEX(GMWQ!$A$2:$NE$60,MATCH(1,(GMWQ!$NE$2:$NE$60=L$3)*(GMWQ!$ND$2:$ND$60=L$4),0),$B241-1966)</f>
        <v>35668.18</v>
      </c>
      <c r="M241" s="18" cm="1">
        <f t="array" ref="M241">INDEX(GMWQ!$A$2:$NE$60,MATCH(1,(GMWQ!$NE$2:$NE$60=M$3)*(GMWQ!$ND$2:$ND$60=M$4),0),$B241-1966)</f>
        <v>31.996040000000001</v>
      </c>
      <c r="N241" s="18" cm="1">
        <f t="array" ref="N241">INDEX(GMWQ!$A$2:$NE$60,MATCH(1,(GMWQ!$NE$2:$NE$60=N$3)*(GMWQ!$ND$2:$ND$60=N$4),0),$B241-1966)</f>
        <v>8.8532410000000006</v>
      </c>
      <c r="O241" s="18" cm="1">
        <f t="array" ref="O241">INDEX(GMWQ!$A$2:$NE$60,MATCH(1,(GMWQ!$NE$2:$NE$60=O$3)*(GMWQ!$ND$2:$ND$60=O$4),0),$B241-1966)</f>
        <v>3.8562470000000002</v>
      </c>
      <c r="P241" s="18" cm="1">
        <f t="array" ref="P241">INDEX(GMWQ!$A$2:$NE$60,MATCH(1,(GMWQ!$NE$2:$NE$60=P$3)*(GMWQ!$ND$2:$ND$60=P$4),0),$B241-1966)</f>
        <v>673731.3</v>
      </c>
      <c r="Q241" s="18" cm="1">
        <f t="array" ref="Q241">INDEX(GMWQ!$A$2:$NE$60,MATCH(1,(GMWQ!$NE$2:$NE$60=Q$3)*(GMWQ!$ND$2:$ND$60=Q$4),0),$B241-1966)</f>
        <v>1152.9110000000001</v>
      </c>
      <c r="R241" s="18" cm="1">
        <f t="array" ref="R241">INDEX(GMWQ!$A$2:$NE$60,MATCH(1,(GMWQ!$NE$2:$NE$60=R$3)*(GMWQ!$ND$2:$ND$60=R$4),0),$B241-1966)</f>
        <v>25183.22</v>
      </c>
      <c r="S241" s="18" cm="1">
        <f t="array" ref="S241">INDEX(GMWQ!$A$2:$NE$60,MATCH(1,(GMWQ!$NE$2:$NE$60=S$3)*(GMWQ!$ND$2:$ND$60=S$4),0),$B241-1966)</f>
        <v>120.58329999999999</v>
      </c>
      <c r="T241" s="18" cm="1">
        <f t="array" ref="T241">INDEX(GMWQ!$A$2:$NE$60,MATCH(1,(GMWQ!$NE$2:$NE$60=T$3)*(GMWQ!$ND$2:$ND$60=T$4),0),$B241-1966)</f>
        <v>93.939220000000006</v>
      </c>
      <c r="U241" s="18" cm="1">
        <f t="array" ref="U241">INDEX(GMWQ!$A$2:$NE$60,MATCH(1,(GMWQ!$NE$2:$NE$60=U$3)*(GMWQ!$ND$2:$ND$60=U$4),0),$B241-1966)</f>
        <v>64.56335</v>
      </c>
      <c r="V241" s="18" cm="1">
        <f t="array" ref="V241">INDEX(GMWQ!$A$2:$NE$60,MATCH(1,(GMWQ!$NE$2:$NE$60=V$3)*(GMWQ!$ND$2:$ND$60=V$4),0),$B241-1966)</f>
        <v>85166.48</v>
      </c>
      <c r="W241" s="18" cm="1">
        <f t="array" ref="W241">INDEX(GMWQ!$A$2:$NF$60,MATCH(1,(GMWQ!$NE$2:$NE$60=W$3)*(GMWQ!$NF$2:$NF$60=W$1),0),$B241-1966)</f>
        <v>60700.93</v>
      </c>
      <c r="X241" s="18" cm="1">
        <f t="array" ref="X241">INDEX(GMWQ!$A$2:$NF$60,MATCH(1,(GMWQ!$NE$2:$NE$60=X$3)*(GMWQ!$NF$2:$NF$60=X$1),0),$B241-1966)</f>
        <v>63268.62</v>
      </c>
      <c r="Y241" s="18" cm="1">
        <f t="array" ref="Y241">INDEX(GMWQ!$A$2:$NF$60,MATCH(1,(GMWQ!$NE$2:$NE$60=Y$3)*(GMWQ!$NF$2:$NF$60=Y$1),0),$B241-1966)</f>
        <v>63632.86</v>
      </c>
      <c r="Z241" s="18" cm="1">
        <f t="array" ref="Z241">INDEX(GMWQ!$A$2:$NF$60,MATCH(1,(GMWQ!$NE$2:$NE$60=Z$3)*(GMWQ!$NF$2:$NF$60=Z$1),0),$B241-1966)</f>
        <v>73101.75</v>
      </c>
    </row>
    <row r="242" spans="1:26" x14ac:dyDescent="0.25">
      <c r="B242" s="18">
        <f t="shared" si="5"/>
        <v>2208</v>
      </c>
      <c r="C242" s="18" cm="1">
        <f t="array" ref="C242">INDEX(GMWQ!$A$2:$NE$60,MATCH(1,(GMWQ!$NE$2:$NE$60=C$3)*(GMWQ!$ND$2:$ND$60=C$4),0),$B242-1966)</f>
        <v>75995.39</v>
      </c>
      <c r="D242" s="18" cm="1">
        <f t="array" ref="D242">INDEX(GMWQ!$A$2:$NE$60,MATCH(1,(GMWQ!$NE$2:$NE$60=D$3)*(GMWQ!$ND$2:$ND$60=D$4),0),$B242-1966)</f>
        <v>204484.8</v>
      </c>
      <c r="E242" s="18" cm="1">
        <f t="array" ref="E242">INDEX(GMWQ!$A$2:$NE$60,MATCH(1,(GMWQ!$NE$2:$NE$60=E$3)*(GMWQ!$ND$2:$ND$60=E$4),0),$B242-1966)</f>
        <v>-7499.9560000000001</v>
      </c>
      <c r="F242" s="18" cm="1">
        <f t="array" ref="F242">INDEX(GMWQ!$A$2:$NE$60,MATCH(1,(GMWQ!$NE$2:$NE$60=F$3)*(GMWQ!$ND$2:$ND$60=F$4),0),$B242-1966)</f>
        <v>-9162.8690000000006</v>
      </c>
      <c r="G242" s="18" cm="1">
        <f t="array" ref="G242">INDEX(GMWQ!$A$2:$NE$60,MATCH(1,(GMWQ!$NE$2:$NE$60=G$3)*(GMWQ!$ND$2:$ND$60=G$4),0),$B242-1966)</f>
        <v>928363.4</v>
      </c>
      <c r="H242" s="18" cm="1">
        <f t="array" ref="H242">INDEX(GMWQ!$A$2:$NE$60,MATCH(1,(GMWQ!$NE$2:$NE$60=H$3)*(GMWQ!$ND$2:$ND$60=H$4),0),$B242-1966)</f>
        <v>130567.6</v>
      </c>
      <c r="I242" s="18" cm="1">
        <f t="array" ref="I242">INDEX(GMWQ!$A$2:$NE$60,MATCH(1,(GMWQ!$NE$2:$NE$60=I$3)*(GMWQ!$ND$2:$ND$60=I$4),0),$B242-1966)</f>
        <v>17535.45</v>
      </c>
      <c r="J242" s="18" cm="1">
        <f t="array" ref="J242">INDEX(GMWQ!$A$2:$NE$60,MATCH(1,(GMWQ!$NE$2:$NE$60=J$3)*(GMWQ!$ND$2:$ND$60=J$4),0),$B242-1966)</f>
        <v>27890.52</v>
      </c>
      <c r="K242" s="18" cm="1">
        <f t="array" ref="K242">INDEX(GMWQ!$A$2:$NE$60,MATCH(1,(GMWQ!$NE$2:$NE$60=K$3)*(GMWQ!$ND$2:$ND$60=K$4),0),$B242-1966)</f>
        <v>3805247</v>
      </c>
      <c r="L242" s="18" cm="1">
        <f t="array" ref="L242">INDEX(GMWQ!$A$2:$NE$60,MATCH(1,(GMWQ!$NE$2:$NE$60=L$3)*(GMWQ!$ND$2:$ND$60=L$4),0),$B242-1966)</f>
        <v>35737.730000000003</v>
      </c>
      <c r="M242" s="18" cm="1">
        <f t="array" ref="M242">INDEX(GMWQ!$A$2:$NE$60,MATCH(1,(GMWQ!$NE$2:$NE$60=M$3)*(GMWQ!$ND$2:$ND$60=M$4),0),$B242-1966)</f>
        <v>31.995830000000002</v>
      </c>
      <c r="N242" s="18" cm="1">
        <f t="array" ref="N242">INDEX(GMWQ!$A$2:$NE$60,MATCH(1,(GMWQ!$NE$2:$NE$60=N$3)*(GMWQ!$ND$2:$ND$60=N$4),0),$B242-1966)</f>
        <v>8.8657430000000002</v>
      </c>
      <c r="O242" s="18" cm="1">
        <f t="array" ref="O242">INDEX(GMWQ!$A$2:$NE$60,MATCH(1,(GMWQ!$NE$2:$NE$60=O$3)*(GMWQ!$ND$2:$ND$60=O$4),0),$B242-1966)</f>
        <v>3.8562470000000002</v>
      </c>
      <c r="P242" s="18" cm="1">
        <f t="array" ref="P242">INDEX(GMWQ!$A$2:$NE$60,MATCH(1,(GMWQ!$NE$2:$NE$60=P$3)*(GMWQ!$ND$2:$ND$60=P$4),0),$B242-1966)</f>
        <v>683714.1</v>
      </c>
      <c r="Q242" s="18" cm="1">
        <f t="array" ref="Q242">INDEX(GMWQ!$A$2:$NE$60,MATCH(1,(GMWQ!$NE$2:$NE$60=Q$3)*(GMWQ!$ND$2:$ND$60=Q$4),0),$B242-1966)</f>
        <v>1161.3489999999999</v>
      </c>
      <c r="R242" s="18" cm="1">
        <f t="array" ref="R242">INDEX(GMWQ!$A$2:$NE$60,MATCH(1,(GMWQ!$NE$2:$NE$60=R$3)*(GMWQ!$ND$2:$ND$60=R$4),0),$B242-1966)</f>
        <v>25212.31</v>
      </c>
      <c r="S242" s="18" cm="1">
        <f t="array" ref="S242">INDEX(GMWQ!$A$2:$NE$60,MATCH(1,(GMWQ!$NE$2:$NE$60=S$3)*(GMWQ!$ND$2:$ND$60=S$4),0),$B242-1966)</f>
        <v>120.831</v>
      </c>
      <c r="T242" s="18" cm="1">
        <f t="array" ref="T242">INDEX(GMWQ!$A$2:$NE$60,MATCH(1,(GMWQ!$NE$2:$NE$60=T$3)*(GMWQ!$ND$2:$ND$60=T$4),0),$B242-1966)</f>
        <v>94.228620000000006</v>
      </c>
      <c r="U242" s="18" cm="1">
        <f t="array" ref="U242">INDEX(GMWQ!$A$2:$NE$60,MATCH(1,(GMWQ!$NE$2:$NE$60=U$3)*(GMWQ!$ND$2:$ND$60=U$4),0),$B242-1966)</f>
        <v>64.639579999999995</v>
      </c>
      <c r="V242" s="18" cm="1">
        <f t="array" ref="V242">INDEX(GMWQ!$A$2:$NE$60,MATCH(1,(GMWQ!$NE$2:$NE$60=V$3)*(GMWQ!$ND$2:$ND$60=V$4),0),$B242-1966)</f>
        <v>85590.42</v>
      </c>
      <c r="W242" s="18" cm="1">
        <f t="array" ref="W242">INDEX(GMWQ!$A$2:$NF$60,MATCH(1,(GMWQ!$NE$2:$NE$60=W$3)*(GMWQ!$NF$2:$NF$60=W$1),0),$B242-1966)</f>
        <v>60974.080000000002</v>
      </c>
      <c r="X242" s="18" cm="1">
        <f t="array" ref="X242">INDEX(GMWQ!$A$2:$NF$60,MATCH(1,(GMWQ!$NE$2:$NE$60=X$3)*(GMWQ!$NF$2:$NF$60=X$1),0),$B242-1966)</f>
        <v>63580.68</v>
      </c>
      <c r="Y242" s="18" cm="1">
        <f t="array" ref="Y242">INDEX(GMWQ!$A$2:$NF$60,MATCH(1,(GMWQ!$NE$2:$NE$60=Y$3)*(GMWQ!$NF$2:$NF$60=Y$1),0),$B242-1966)</f>
        <v>63939.62</v>
      </c>
      <c r="Z242" s="18" cm="1">
        <f t="array" ref="Z242">INDEX(GMWQ!$A$2:$NF$60,MATCH(1,(GMWQ!$NE$2:$NE$60=Z$3)*(GMWQ!$NF$2:$NF$60=Z$1),0),$B242-1966)</f>
        <v>73547.67</v>
      </c>
    </row>
    <row r="243" spans="1:26" x14ac:dyDescent="0.25">
      <c r="A243" s="18">
        <v>2032</v>
      </c>
      <c r="B243" s="18">
        <f t="shared" si="5"/>
        <v>2209</v>
      </c>
      <c r="C243" s="18" cm="1">
        <f t="array" ref="C243">INDEX(GMWQ!$A$2:$NE$60,MATCH(1,(GMWQ!$NE$2:$NE$60=C$3)*(GMWQ!$ND$2:$ND$60=C$4),0),$B243-1966)</f>
        <v>76458.97</v>
      </c>
      <c r="D243" s="18" cm="1">
        <f t="array" ref="D243">INDEX(GMWQ!$A$2:$NE$60,MATCH(1,(GMWQ!$NE$2:$NE$60=D$3)*(GMWQ!$ND$2:$ND$60=D$4),0),$B243-1966)</f>
        <v>206390.9</v>
      </c>
      <c r="E243" s="18" cm="1">
        <f t="array" ref="E243">INDEX(GMWQ!$A$2:$NE$60,MATCH(1,(GMWQ!$NE$2:$NE$60=E$3)*(GMWQ!$ND$2:$ND$60=E$4),0),$B243-1966)</f>
        <v>-21824.62</v>
      </c>
      <c r="F243" s="18" cm="1">
        <f t="array" ref="F243">INDEX(GMWQ!$A$2:$NE$60,MATCH(1,(GMWQ!$NE$2:$NE$60=F$3)*(GMWQ!$ND$2:$ND$60=F$4),0),$B243-1966)</f>
        <v>-23508</v>
      </c>
      <c r="G243" s="18" cm="1">
        <f t="array" ref="G243">INDEX(GMWQ!$A$2:$NE$60,MATCH(1,(GMWQ!$NE$2:$NE$60=G$3)*(GMWQ!$ND$2:$ND$60=G$4),0),$B243-1966)</f>
        <v>936877.1</v>
      </c>
      <c r="H243" s="18" cm="1">
        <f t="array" ref="H243">INDEX(GMWQ!$A$2:$NE$60,MATCH(1,(GMWQ!$NE$2:$NE$60=H$3)*(GMWQ!$ND$2:$ND$60=H$4),0),$B243-1966)</f>
        <v>131255.20000000001</v>
      </c>
      <c r="I243" s="18" cm="1">
        <f t="array" ref="I243">INDEX(GMWQ!$A$2:$NE$60,MATCH(1,(GMWQ!$NE$2:$NE$60=I$3)*(GMWQ!$ND$2:$ND$60=I$4),0),$B243-1966)</f>
        <v>17616.11</v>
      </c>
      <c r="J243" s="18" cm="1">
        <f t="array" ref="J243">INDEX(GMWQ!$A$2:$NE$60,MATCH(1,(GMWQ!$NE$2:$NE$60=J$3)*(GMWQ!$ND$2:$ND$60=J$4),0),$B243-1966)</f>
        <v>27990.93</v>
      </c>
      <c r="K243" s="18" cm="1">
        <f t="array" ref="K243">INDEX(GMWQ!$A$2:$NE$60,MATCH(1,(GMWQ!$NE$2:$NE$60=K$3)*(GMWQ!$ND$2:$ND$60=K$4),0),$B243-1966)</f>
        <v>3821154</v>
      </c>
      <c r="L243" s="18" cm="1">
        <f t="array" ref="L243">INDEX(GMWQ!$A$2:$NE$60,MATCH(1,(GMWQ!$NE$2:$NE$60=L$3)*(GMWQ!$ND$2:$ND$60=L$4),0),$B243-1966)</f>
        <v>35802.06</v>
      </c>
      <c r="M243" s="18" cm="1">
        <f t="array" ref="M243">INDEX(GMWQ!$A$2:$NE$60,MATCH(1,(GMWQ!$NE$2:$NE$60=M$3)*(GMWQ!$ND$2:$ND$60=M$4),0),$B243-1966)</f>
        <v>31.995619999999999</v>
      </c>
      <c r="N243" s="18" cm="1">
        <f t="array" ref="N243">INDEX(GMWQ!$A$2:$NE$60,MATCH(1,(GMWQ!$NE$2:$NE$60=N$3)*(GMWQ!$ND$2:$ND$60=N$4),0),$B243-1966)</f>
        <v>8.8761010000000002</v>
      </c>
      <c r="O243" s="18" cm="1">
        <f t="array" ref="O243">INDEX(GMWQ!$A$2:$NE$60,MATCH(1,(GMWQ!$NE$2:$NE$60=O$3)*(GMWQ!$ND$2:$ND$60=O$4),0),$B243-1966)</f>
        <v>3.8562470000000002</v>
      </c>
      <c r="P243" s="18" cm="1">
        <f t="array" ref="P243">INDEX(GMWQ!$A$2:$NE$60,MATCH(1,(GMWQ!$NE$2:$NE$60=P$3)*(GMWQ!$ND$2:$ND$60=P$4),0),$B243-1966)</f>
        <v>694145.8</v>
      </c>
      <c r="Q243" s="18" cm="1">
        <f t="array" ref="Q243">INDEX(GMWQ!$A$2:$NE$60,MATCH(1,(GMWQ!$NE$2:$NE$60=Q$3)*(GMWQ!$ND$2:$ND$60=Q$4),0),$B243-1966)</f>
        <v>1169.7840000000001</v>
      </c>
      <c r="R243" s="18" cm="1">
        <f t="array" ref="R243">INDEX(GMWQ!$A$2:$NE$60,MATCH(1,(GMWQ!$NE$2:$NE$60=R$3)*(GMWQ!$ND$2:$ND$60=R$4),0),$B243-1966)</f>
        <v>25240.48</v>
      </c>
      <c r="S243" s="18" cm="1">
        <f t="array" ref="S243">INDEX(GMWQ!$A$2:$NE$60,MATCH(1,(GMWQ!$NE$2:$NE$60=S$3)*(GMWQ!$ND$2:$ND$60=S$4),0),$B243-1966)</f>
        <v>121.0793</v>
      </c>
      <c r="T243" s="18" cm="1">
        <f t="array" ref="T243">INDEX(GMWQ!$A$2:$NE$60,MATCH(1,(GMWQ!$NE$2:$NE$60=T$3)*(GMWQ!$ND$2:$ND$60=T$4),0),$B243-1966)</f>
        <v>94.450509999999994</v>
      </c>
      <c r="U243" s="18" cm="1">
        <f t="array" ref="U243">INDEX(GMWQ!$A$2:$NE$60,MATCH(1,(GMWQ!$NE$2:$NE$60=U$3)*(GMWQ!$ND$2:$ND$60=U$4),0),$B243-1966)</f>
        <v>64.715379999999996</v>
      </c>
      <c r="V243" s="18" cm="1">
        <f t="array" ref="V243">INDEX(GMWQ!$A$2:$NE$60,MATCH(1,(GMWQ!$NE$2:$NE$60=V$3)*(GMWQ!$ND$2:$ND$60=V$4),0),$B243-1966)</f>
        <v>86007.95</v>
      </c>
      <c r="W243" s="18" cm="1">
        <f t="array" ref="W243">INDEX(GMWQ!$A$2:$NF$60,MATCH(1,(GMWQ!$NE$2:$NE$60=W$3)*(GMWQ!$NF$2:$NF$60=W$1),0),$B243-1966)</f>
        <v>61247.91</v>
      </c>
      <c r="X243" s="18" cm="1">
        <f t="array" ref="X243">INDEX(GMWQ!$A$2:$NF$60,MATCH(1,(GMWQ!$NE$2:$NE$60=X$3)*(GMWQ!$NF$2:$NF$60=X$1),0),$B243-1966)</f>
        <v>63875.17</v>
      </c>
      <c r="Y243" s="18" cm="1">
        <f t="array" ref="Y243">INDEX(GMWQ!$A$2:$NF$60,MATCH(1,(GMWQ!$NE$2:$NE$60=Y$3)*(GMWQ!$NF$2:$NF$60=Y$1),0),$B243-1966)</f>
        <v>64248.03</v>
      </c>
      <c r="Z243" s="18" cm="1">
        <f t="array" ref="Z243">INDEX(GMWQ!$A$2:$NF$60,MATCH(1,(GMWQ!$NE$2:$NE$60=Z$3)*(GMWQ!$NF$2:$NF$60=Z$1),0),$B243-1966)</f>
        <v>73996.31</v>
      </c>
    </row>
    <row r="244" spans="1:26" x14ac:dyDescent="0.25">
      <c r="B244" s="18">
        <f t="shared" si="5"/>
        <v>2210</v>
      </c>
      <c r="C244" s="18" cm="1">
        <f t="array" ref="C244">INDEX(GMWQ!$A$2:$NE$60,MATCH(1,(GMWQ!$NE$2:$NE$60=C$3)*(GMWQ!$ND$2:$ND$60=C$4),0),$B244-1966)</f>
        <v>76925.37</v>
      </c>
      <c r="D244" s="18" cm="1">
        <f t="array" ref="D244">INDEX(GMWQ!$A$2:$NE$60,MATCH(1,(GMWQ!$NE$2:$NE$60=D$3)*(GMWQ!$ND$2:$ND$60=D$4),0),$B244-1966)</f>
        <v>208421</v>
      </c>
      <c r="E244" s="18" cm="1">
        <f t="array" ref="E244">INDEX(GMWQ!$A$2:$NE$60,MATCH(1,(GMWQ!$NE$2:$NE$60=E$3)*(GMWQ!$ND$2:$ND$60=E$4),0),$B244-1966)</f>
        <v>-14213.16</v>
      </c>
      <c r="F244" s="18" cm="1">
        <f t="array" ref="F244">INDEX(GMWQ!$A$2:$NE$60,MATCH(1,(GMWQ!$NE$2:$NE$60=F$3)*(GMWQ!$ND$2:$ND$60=F$4),0),$B244-1966)</f>
        <v>-15916.23</v>
      </c>
      <c r="G244" s="18" cm="1">
        <f t="array" ref="G244">INDEX(GMWQ!$A$2:$NE$60,MATCH(1,(GMWQ!$NE$2:$NE$60=G$3)*(GMWQ!$ND$2:$ND$60=G$4),0),$B244-1966)</f>
        <v>945491.8</v>
      </c>
      <c r="H244" s="18" cm="1">
        <f t="array" ref="H244">INDEX(GMWQ!$A$2:$NE$60,MATCH(1,(GMWQ!$NE$2:$NE$60=H$3)*(GMWQ!$ND$2:$ND$60=H$4),0),$B244-1966)</f>
        <v>131946.6</v>
      </c>
      <c r="I244" s="18" cm="1">
        <f t="array" ref="I244">INDEX(GMWQ!$A$2:$NE$60,MATCH(1,(GMWQ!$NE$2:$NE$60=I$3)*(GMWQ!$ND$2:$ND$60=I$4),0),$B244-1966)</f>
        <v>17697.14</v>
      </c>
      <c r="J244" s="18" cm="1">
        <f t="array" ref="J244">INDEX(GMWQ!$A$2:$NE$60,MATCH(1,(GMWQ!$NE$2:$NE$60=J$3)*(GMWQ!$ND$2:$ND$60=J$4),0),$B244-1966)</f>
        <v>28091.7</v>
      </c>
      <c r="K244" s="18" cm="1">
        <f t="array" ref="K244">INDEX(GMWQ!$A$2:$NE$60,MATCH(1,(GMWQ!$NE$2:$NE$60=K$3)*(GMWQ!$ND$2:$ND$60=K$4),0),$B244-1966)</f>
        <v>3837231</v>
      </c>
      <c r="L244" s="18" cm="1">
        <f t="array" ref="L244">INDEX(GMWQ!$A$2:$NE$60,MATCH(1,(GMWQ!$NE$2:$NE$60=L$3)*(GMWQ!$ND$2:$ND$60=L$4),0),$B244-1966)</f>
        <v>35866.5</v>
      </c>
      <c r="M244" s="18" cm="1">
        <f t="array" ref="M244">INDEX(GMWQ!$A$2:$NE$60,MATCH(1,(GMWQ!$NE$2:$NE$60=M$3)*(GMWQ!$ND$2:$ND$60=M$4),0),$B244-1966)</f>
        <v>31.995419999999999</v>
      </c>
      <c r="N244" s="18" cm="1">
        <f t="array" ref="N244">INDEX(GMWQ!$A$2:$NE$60,MATCH(1,(GMWQ!$NE$2:$NE$60=N$3)*(GMWQ!$ND$2:$ND$60=N$4),0),$B244-1966)</f>
        <v>8.8853969999999993</v>
      </c>
      <c r="O244" s="18" cm="1">
        <f t="array" ref="O244">INDEX(GMWQ!$A$2:$NE$60,MATCH(1,(GMWQ!$NE$2:$NE$60=O$3)*(GMWQ!$ND$2:$ND$60=O$4),0),$B244-1966)</f>
        <v>3.8562470000000002</v>
      </c>
      <c r="P244" s="18" cm="1">
        <f t="array" ref="P244">INDEX(GMWQ!$A$2:$NE$60,MATCH(1,(GMWQ!$NE$2:$NE$60=P$3)*(GMWQ!$ND$2:$ND$60=P$4),0),$B244-1966)</f>
        <v>704651.6</v>
      </c>
      <c r="Q244" s="18" cm="1">
        <f t="array" ref="Q244">INDEX(GMWQ!$A$2:$NE$60,MATCH(1,(GMWQ!$NE$2:$NE$60=Q$3)*(GMWQ!$ND$2:$ND$60=Q$4),0),$B244-1966)</f>
        <v>1178.2170000000001</v>
      </c>
      <c r="R244" s="18" cm="1">
        <f t="array" ref="R244">INDEX(GMWQ!$A$2:$NE$60,MATCH(1,(GMWQ!$NE$2:$NE$60=R$3)*(GMWQ!$ND$2:$ND$60=R$4),0),$B244-1966)</f>
        <v>25269.15</v>
      </c>
      <c r="S244" s="18" cm="1">
        <f t="array" ref="S244">INDEX(GMWQ!$A$2:$NE$60,MATCH(1,(GMWQ!$NE$2:$NE$60=S$3)*(GMWQ!$ND$2:$ND$60=S$4),0),$B244-1966)</f>
        <v>121.32810000000001</v>
      </c>
      <c r="T244" s="18" cm="1">
        <f t="array" ref="T244">INDEX(GMWQ!$A$2:$NE$60,MATCH(1,(GMWQ!$NE$2:$NE$60=T$3)*(GMWQ!$ND$2:$ND$60=T$4),0),$B244-1966)</f>
        <v>94.770330000000001</v>
      </c>
      <c r="U244" s="18" cm="1">
        <f t="array" ref="U244">INDEX(GMWQ!$A$2:$NE$60,MATCH(1,(GMWQ!$NE$2:$NE$60=U$3)*(GMWQ!$ND$2:$ND$60=U$4),0),$B244-1966)</f>
        <v>64.791799999999995</v>
      </c>
      <c r="V244" s="18" cm="1">
        <f t="array" ref="V244">INDEX(GMWQ!$A$2:$NE$60,MATCH(1,(GMWQ!$NE$2:$NE$60=V$3)*(GMWQ!$ND$2:$ND$60=V$4),0),$B244-1966)</f>
        <v>86426.77</v>
      </c>
      <c r="W244" s="18" cm="1">
        <f t="array" ref="W244">INDEX(GMWQ!$A$2:$NF$60,MATCH(1,(GMWQ!$NE$2:$NE$60=W$3)*(GMWQ!$NF$2:$NF$60=W$1),0),$B244-1966)</f>
        <v>61522.42</v>
      </c>
      <c r="X244" s="18" cm="1">
        <f t="array" ref="X244">INDEX(GMWQ!$A$2:$NF$60,MATCH(1,(GMWQ!$NE$2:$NE$60=X$3)*(GMWQ!$NF$2:$NF$60=X$1),0),$B244-1966)</f>
        <v>64170.77</v>
      </c>
      <c r="Y244" s="18" cm="1">
        <f t="array" ref="Y244">INDEX(GMWQ!$A$2:$NF$60,MATCH(1,(GMWQ!$NE$2:$NE$60=Y$3)*(GMWQ!$NF$2:$NF$60=Y$1),0),$B244-1966)</f>
        <v>64558.05</v>
      </c>
      <c r="Z244" s="18" cm="1">
        <f t="array" ref="Z244">INDEX(GMWQ!$A$2:$NF$60,MATCH(1,(GMWQ!$NE$2:$NE$60=Z$3)*(GMWQ!$NF$2:$NF$60=Z$1),0),$B244-1966)</f>
        <v>74447.69</v>
      </c>
    </row>
    <row r="245" spans="1:26" x14ac:dyDescent="0.25">
      <c r="B245" s="18">
        <f t="shared" si="5"/>
        <v>2211</v>
      </c>
      <c r="C245" s="18" cm="1">
        <f t="array" ref="C245">INDEX(GMWQ!$A$2:$NE$60,MATCH(1,(GMWQ!$NE$2:$NE$60=C$3)*(GMWQ!$ND$2:$ND$60=C$4),0),$B245-1966)</f>
        <v>77394.61</v>
      </c>
      <c r="D245" s="18" cm="1">
        <f t="array" ref="D245">INDEX(GMWQ!$A$2:$NE$60,MATCH(1,(GMWQ!$NE$2:$NE$60=D$3)*(GMWQ!$ND$2:$ND$60=D$4),0),$B245-1966)</f>
        <v>210512.9</v>
      </c>
      <c r="E245" s="18" cm="1">
        <f t="array" ref="E245">INDEX(GMWQ!$A$2:$NE$60,MATCH(1,(GMWQ!$NE$2:$NE$60=E$3)*(GMWQ!$ND$2:$ND$60=E$4),0),$B245-1966)</f>
        <v>-17568.28</v>
      </c>
      <c r="F245" s="18" cm="1">
        <f t="array" ref="F245">INDEX(GMWQ!$A$2:$NE$60,MATCH(1,(GMWQ!$NE$2:$NE$60=F$3)*(GMWQ!$ND$2:$ND$60=F$4),0),$B245-1966)</f>
        <v>-19290.32</v>
      </c>
      <c r="G245" s="18" cm="1">
        <f t="array" ref="G245">INDEX(GMWQ!$A$2:$NE$60,MATCH(1,(GMWQ!$NE$2:$NE$60=G$3)*(GMWQ!$ND$2:$ND$60=G$4),0),$B245-1966)</f>
        <v>954138.8</v>
      </c>
      <c r="H245" s="18" cm="1">
        <f t="array" ref="H245">INDEX(GMWQ!$A$2:$NE$60,MATCH(1,(GMWQ!$NE$2:$NE$60=H$3)*(GMWQ!$ND$2:$ND$60=H$4),0),$B245-1966)</f>
        <v>132641.79999999999</v>
      </c>
      <c r="I245" s="18" cm="1">
        <f t="array" ref="I245">INDEX(GMWQ!$A$2:$NE$60,MATCH(1,(GMWQ!$NE$2:$NE$60=I$3)*(GMWQ!$ND$2:$ND$60=I$4),0),$B245-1966)</f>
        <v>17778.55</v>
      </c>
      <c r="J245" s="18" cm="1">
        <f t="array" ref="J245">INDEX(GMWQ!$A$2:$NE$60,MATCH(1,(GMWQ!$NE$2:$NE$60=J$3)*(GMWQ!$ND$2:$ND$60=J$4),0),$B245-1966)</f>
        <v>28192.83</v>
      </c>
      <c r="K245" s="18" cm="1">
        <f t="array" ref="K245">INDEX(GMWQ!$A$2:$NE$60,MATCH(1,(GMWQ!$NE$2:$NE$60=K$3)*(GMWQ!$ND$2:$ND$60=K$4),0),$B245-1966)</f>
        <v>3853479</v>
      </c>
      <c r="L245" s="18" cm="1">
        <f t="array" ref="L245">INDEX(GMWQ!$A$2:$NE$60,MATCH(1,(GMWQ!$NE$2:$NE$60=L$3)*(GMWQ!$ND$2:$ND$60=L$4),0),$B245-1966)</f>
        <v>35925.68</v>
      </c>
      <c r="M245" s="18" cm="1">
        <f t="array" ref="M245">INDEX(GMWQ!$A$2:$NE$60,MATCH(1,(GMWQ!$NE$2:$NE$60=M$3)*(GMWQ!$ND$2:$ND$60=M$4),0),$B245-1966)</f>
        <v>31.99521</v>
      </c>
      <c r="N245" s="18" cm="1">
        <f t="array" ref="N245">INDEX(GMWQ!$A$2:$NE$60,MATCH(1,(GMWQ!$NE$2:$NE$60=N$3)*(GMWQ!$ND$2:$ND$60=N$4),0),$B245-1966)</f>
        <v>8.8942759999999996</v>
      </c>
      <c r="O245" s="18" cm="1">
        <f t="array" ref="O245">INDEX(GMWQ!$A$2:$NE$60,MATCH(1,(GMWQ!$NE$2:$NE$60=O$3)*(GMWQ!$ND$2:$ND$60=O$4),0),$B245-1966)</f>
        <v>3.8562470000000002</v>
      </c>
      <c r="P245" s="18" cm="1">
        <f t="array" ref="P245">INDEX(GMWQ!$A$2:$NE$60,MATCH(1,(GMWQ!$NE$2:$NE$60=P$3)*(GMWQ!$ND$2:$ND$60=P$4),0),$B245-1966)</f>
        <v>715272.8</v>
      </c>
      <c r="Q245" s="18" cm="1">
        <f t="array" ref="Q245">INDEX(GMWQ!$A$2:$NE$60,MATCH(1,(GMWQ!$NE$2:$NE$60=Q$3)*(GMWQ!$ND$2:$ND$60=Q$4),0),$B245-1966)</f>
        <v>1186.645</v>
      </c>
      <c r="R245" s="18" cm="1">
        <f t="array" ref="R245">INDEX(GMWQ!$A$2:$NE$60,MATCH(1,(GMWQ!$NE$2:$NE$60=R$3)*(GMWQ!$ND$2:$ND$60=R$4),0),$B245-1966)</f>
        <v>25299.88</v>
      </c>
      <c r="S245" s="18" cm="1">
        <f t="array" ref="S245">INDEX(GMWQ!$A$2:$NE$60,MATCH(1,(GMWQ!$NE$2:$NE$60=S$3)*(GMWQ!$ND$2:$ND$60=S$4),0),$B245-1966)</f>
        <v>121.5775</v>
      </c>
      <c r="T245" s="18" cm="1">
        <f t="array" ref="T245">INDEX(GMWQ!$A$2:$NE$60,MATCH(1,(GMWQ!$NE$2:$NE$60=T$3)*(GMWQ!$ND$2:$ND$60=T$4),0),$B245-1966)</f>
        <v>95.088459999999998</v>
      </c>
      <c r="U245" s="18" cm="1">
        <f t="array" ref="U245">INDEX(GMWQ!$A$2:$NE$60,MATCH(1,(GMWQ!$NE$2:$NE$60=U$3)*(GMWQ!$ND$2:$ND$60=U$4),0),$B245-1966)</f>
        <v>64.868309999999994</v>
      </c>
      <c r="V245" s="18" cm="1">
        <f t="array" ref="V245">INDEX(GMWQ!$A$2:$NE$60,MATCH(1,(GMWQ!$NE$2:$NE$60=V$3)*(GMWQ!$ND$2:$ND$60=V$4),0),$B245-1966)</f>
        <v>86844.5</v>
      </c>
      <c r="W245" s="18" cm="1">
        <f t="array" ref="W245">INDEX(GMWQ!$A$2:$NF$60,MATCH(1,(GMWQ!$NE$2:$NE$60=W$3)*(GMWQ!$NF$2:$NF$60=W$1),0),$B245-1966)</f>
        <v>61797.59</v>
      </c>
      <c r="X245" s="18" cm="1">
        <f t="array" ref="X245">INDEX(GMWQ!$A$2:$NF$60,MATCH(1,(GMWQ!$NE$2:$NE$60=X$3)*(GMWQ!$NF$2:$NF$60=X$1),0),$B245-1966)</f>
        <v>64478.38</v>
      </c>
      <c r="Y245" s="18" cm="1">
        <f t="array" ref="Y245">INDEX(GMWQ!$A$2:$NF$60,MATCH(1,(GMWQ!$NE$2:$NE$60=Y$3)*(GMWQ!$NF$2:$NF$60=Y$1),0),$B245-1966)</f>
        <v>64880.47</v>
      </c>
      <c r="Z245" s="18" cm="1">
        <f t="array" ref="Z245">INDEX(GMWQ!$A$2:$NF$60,MATCH(1,(GMWQ!$NE$2:$NE$60=Z$3)*(GMWQ!$NF$2:$NF$60=Z$1),0),$B245-1966)</f>
        <v>74901.820000000007</v>
      </c>
    </row>
    <row r="246" spans="1:26" x14ac:dyDescent="0.25">
      <c r="B246" s="18">
        <f t="shared" si="5"/>
        <v>2212</v>
      </c>
      <c r="C246" s="18" cm="1">
        <f t="array" ref="C246">INDEX(GMWQ!$A$2:$NE$60,MATCH(1,(GMWQ!$NE$2:$NE$60=C$3)*(GMWQ!$ND$2:$ND$60=C$4),0),$B246-1966)</f>
        <v>77866.720000000001</v>
      </c>
      <c r="D246" s="18" cm="1">
        <f t="array" ref="D246">INDEX(GMWQ!$A$2:$NE$60,MATCH(1,(GMWQ!$NE$2:$NE$60=D$3)*(GMWQ!$ND$2:$ND$60=D$4),0),$B246-1966)</f>
        <v>212099.9</v>
      </c>
      <c r="E246" s="18" cm="1">
        <f t="array" ref="E246">INDEX(GMWQ!$A$2:$NE$60,MATCH(1,(GMWQ!$NE$2:$NE$60=E$3)*(GMWQ!$ND$2:$ND$60=E$4),0),$B246-1966)</f>
        <v>-6650.6360000000004</v>
      </c>
      <c r="F246" s="18" cm="1">
        <f t="array" ref="F246">INDEX(GMWQ!$A$2:$NE$60,MATCH(1,(GMWQ!$NE$2:$NE$60=F$3)*(GMWQ!$ND$2:$ND$60=F$4),0),$B246-1966)</f>
        <v>-8391.0370000000003</v>
      </c>
      <c r="G246" s="18" cm="1">
        <f t="array" ref="G246">INDEX(GMWQ!$A$2:$NE$60,MATCH(1,(GMWQ!$NE$2:$NE$60=G$3)*(GMWQ!$ND$2:$ND$60=G$4),0),$B246-1966)</f>
        <v>962792.7</v>
      </c>
      <c r="H246" s="18" cm="1">
        <f t="array" ref="H246">INDEX(GMWQ!$A$2:$NE$60,MATCH(1,(GMWQ!$NE$2:$NE$60=H$3)*(GMWQ!$ND$2:$ND$60=H$4),0),$B246-1966)</f>
        <v>133339.79999999999</v>
      </c>
      <c r="I246" s="18" cm="1">
        <f t="array" ref="I246">INDEX(GMWQ!$A$2:$NE$60,MATCH(1,(GMWQ!$NE$2:$NE$60=I$3)*(GMWQ!$ND$2:$ND$60=I$4),0),$B246-1966)</f>
        <v>17860.330000000002</v>
      </c>
      <c r="J246" s="18" cm="1">
        <f t="array" ref="J246">INDEX(GMWQ!$A$2:$NE$60,MATCH(1,(GMWQ!$NE$2:$NE$60=J$3)*(GMWQ!$ND$2:$ND$60=J$4),0),$B246-1966)</f>
        <v>28294.32</v>
      </c>
      <c r="K246" s="18" cm="1">
        <f t="array" ref="K246">INDEX(GMWQ!$A$2:$NE$60,MATCH(1,(GMWQ!$NE$2:$NE$60=K$3)*(GMWQ!$ND$2:$ND$60=K$4),0),$B246-1966)</f>
        <v>3869894</v>
      </c>
      <c r="L246" s="18" cm="1">
        <f t="array" ref="L246">INDEX(GMWQ!$A$2:$NE$60,MATCH(1,(GMWQ!$NE$2:$NE$60=L$3)*(GMWQ!$ND$2:$ND$60=L$4),0),$B246-1966)</f>
        <v>35982.269999999997</v>
      </c>
      <c r="M246" s="18" cm="1">
        <f t="array" ref="M246">INDEX(GMWQ!$A$2:$NE$60,MATCH(1,(GMWQ!$NE$2:$NE$60=M$3)*(GMWQ!$ND$2:$ND$60=M$4),0),$B246-1966)</f>
        <v>31.995000000000001</v>
      </c>
      <c r="N246" s="18" cm="1">
        <f t="array" ref="N246">INDEX(GMWQ!$A$2:$NE$60,MATCH(1,(GMWQ!$NE$2:$NE$60=N$3)*(GMWQ!$ND$2:$ND$60=N$4),0),$B246-1966)</f>
        <v>8.9076520000000006</v>
      </c>
      <c r="O246" s="18" cm="1">
        <f t="array" ref="O246">INDEX(GMWQ!$A$2:$NE$60,MATCH(1,(GMWQ!$NE$2:$NE$60=O$3)*(GMWQ!$ND$2:$ND$60=O$4),0),$B246-1966)</f>
        <v>3.8562470000000002</v>
      </c>
      <c r="P246" s="18" cm="1">
        <f t="array" ref="P246">INDEX(GMWQ!$A$2:$NE$60,MATCH(1,(GMWQ!$NE$2:$NE$60=P$3)*(GMWQ!$ND$2:$ND$60=P$4),0),$B246-1966)</f>
        <v>726051.3</v>
      </c>
      <c r="Q246" s="18" cm="1">
        <f t="array" ref="Q246">INDEX(GMWQ!$A$2:$NE$60,MATCH(1,(GMWQ!$NE$2:$NE$60=Q$3)*(GMWQ!$ND$2:$ND$60=Q$4),0),$B246-1966)</f>
        <v>1195.068</v>
      </c>
      <c r="R246" s="18" cm="1">
        <f t="array" ref="R246">INDEX(GMWQ!$A$2:$NE$60,MATCH(1,(GMWQ!$NE$2:$NE$60=R$3)*(GMWQ!$ND$2:$ND$60=R$4),0),$B246-1966)</f>
        <v>25329.24</v>
      </c>
      <c r="S246" s="18" cm="1">
        <f t="array" ref="S246">INDEX(GMWQ!$A$2:$NE$60,MATCH(1,(GMWQ!$NE$2:$NE$60=S$3)*(GMWQ!$ND$2:$ND$60=S$4),0),$B246-1966)</f>
        <v>121.8275</v>
      </c>
      <c r="T246" s="18" cm="1">
        <f t="array" ref="T246">INDEX(GMWQ!$A$2:$NE$60,MATCH(1,(GMWQ!$NE$2:$NE$60=T$3)*(GMWQ!$ND$2:$ND$60=T$4),0),$B246-1966)</f>
        <v>95.310680000000005</v>
      </c>
      <c r="U246" s="18" cm="1">
        <f t="array" ref="U246">INDEX(GMWQ!$A$2:$NE$60,MATCH(1,(GMWQ!$NE$2:$NE$60=U$3)*(GMWQ!$ND$2:$ND$60=U$4),0),$B246-1966)</f>
        <v>64.927269999999993</v>
      </c>
      <c r="V246" s="18" cm="1">
        <f t="array" ref="V246">INDEX(GMWQ!$A$2:$NE$60,MATCH(1,(GMWQ!$NE$2:$NE$60=V$3)*(GMWQ!$ND$2:$ND$60=V$4),0),$B246-1966)</f>
        <v>87260.479999999996</v>
      </c>
      <c r="W246" s="18" cm="1">
        <f t="array" ref="W246">INDEX(GMWQ!$A$2:$NF$60,MATCH(1,(GMWQ!$NE$2:$NE$60=W$3)*(GMWQ!$NF$2:$NF$60=W$1),0),$B246-1966)</f>
        <v>62073.39</v>
      </c>
      <c r="X246" s="18" cm="1">
        <f t="array" ref="X246">INDEX(GMWQ!$A$2:$NF$60,MATCH(1,(GMWQ!$NE$2:$NE$60=X$3)*(GMWQ!$NF$2:$NF$60=X$1),0),$B246-1966)</f>
        <v>64787.3</v>
      </c>
      <c r="Y246" s="18" cm="1">
        <f t="array" ref="Y246">INDEX(GMWQ!$A$2:$NF$60,MATCH(1,(GMWQ!$NE$2:$NE$60=Y$3)*(GMWQ!$NF$2:$NF$60=Y$1),0),$B246-1966)</f>
        <v>65204.68</v>
      </c>
      <c r="Z246" s="18" cm="1">
        <f t="array" ref="Z246">INDEX(GMWQ!$A$2:$NF$60,MATCH(1,(GMWQ!$NE$2:$NE$60=Z$3)*(GMWQ!$NF$2:$NF$60=Z$1),0),$B246-1966)</f>
        <v>75358.720000000001</v>
      </c>
    </row>
    <row r="247" spans="1:26" x14ac:dyDescent="0.25">
      <c r="A247" s="18">
        <v>2033</v>
      </c>
      <c r="B247" s="18">
        <f t="shared" si="5"/>
        <v>2213</v>
      </c>
      <c r="C247" s="18" cm="1">
        <f t="array" ref="C247">INDEX(GMWQ!$A$2:$NE$60,MATCH(1,(GMWQ!$NE$2:$NE$60=C$3)*(GMWQ!$ND$2:$ND$60=C$4),0),$B247-1966)</f>
        <v>78365.570000000007</v>
      </c>
      <c r="D247" s="18" cm="1">
        <f t="array" ref="D247">INDEX(GMWQ!$A$2:$NE$60,MATCH(1,(GMWQ!$NE$2:$NE$60=D$3)*(GMWQ!$ND$2:$ND$60=D$4),0),$B247-1966)</f>
        <v>214045.2</v>
      </c>
      <c r="E247" s="18" cm="1">
        <f t="array" ref="E247">INDEX(GMWQ!$A$2:$NE$60,MATCH(1,(GMWQ!$NE$2:$NE$60=E$3)*(GMWQ!$ND$2:$ND$60=E$4),0),$B247-1966)</f>
        <v>-21430.86</v>
      </c>
      <c r="F247" s="18" cm="1">
        <f t="array" ref="F247">INDEX(GMWQ!$A$2:$NE$60,MATCH(1,(GMWQ!$NE$2:$NE$60=F$3)*(GMWQ!$ND$2:$ND$60=F$4),0),$B247-1966)</f>
        <v>-23189.66</v>
      </c>
      <c r="G247" s="18" cm="1">
        <f t="array" ref="G247">INDEX(GMWQ!$A$2:$NE$60,MATCH(1,(GMWQ!$NE$2:$NE$60=G$3)*(GMWQ!$ND$2:$ND$60=G$4),0),$B247-1966)</f>
        <v>971748.9</v>
      </c>
      <c r="H247" s="18" cm="1">
        <f t="array" ref="H247">INDEX(GMWQ!$A$2:$NE$60,MATCH(1,(GMWQ!$NE$2:$NE$60=H$3)*(GMWQ!$ND$2:$ND$60=H$4),0),$B247-1966)</f>
        <v>134082</v>
      </c>
      <c r="I247" s="18" cm="1">
        <f t="array" ref="I247">INDEX(GMWQ!$A$2:$NE$60,MATCH(1,(GMWQ!$NE$2:$NE$60=I$3)*(GMWQ!$ND$2:$ND$60=I$4),0),$B247-1966)</f>
        <v>17947.96</v>
      </c>
      <c r="J247" s="18" cm="1">
        <f t="array" ref="J247">INDEX(GMWQ!$A$2:$NE$60,MATCH(1,(GMWQ!$NE$2:$NE$60=J$3)*(GMWQ!$ND$2:$ND$60=J$4),0),$B247-1966)</f>
        <v>28404.29</v>
      </c>
      <c r="K247" s="18" cm="1">
        <f t="array" ref="K247">INDEX(GMWQ!$A$2:$NE$60,MATCH(1,(GMWQ!$NE$2:$NE$60=K$3)*(GMWQ!$ND$2:$ND$60=K$4),0),$B247-1966)</f>
        <v>3886511</v>
      </c>
      <c r="L247" s="18" cm="1">
        <f t="array" ref="L247">INDEX(GMWQ!$A$2:$NE$60,MATCH(1,(GMWQ!$NE$2:$NE$60=L$3)*(GMWQ!$ND$2:$ND$60=L$4),0),$B247-1966)</f>
        <v>36043.67</v>
      </c>
      <c r="M247" s="18" cm="1">
        <f t="array" ref="M247">INDEX(GMWQ!$A$2:$NE$60,MATCH(1,(GMWQ!$NE$2:$NE$60=M$3)*(GMWQ!$ND$2:$ND$60=M$4),0),$B247-1966)</f>
        <v>31.994430000000001</v>
      </c>
      <c r="N247" s="18" cm="1">
        <f t="array" ref="N247">INDEX(GMWQ!$A$2:$NE$60,MATCH(1,(GMWQ!$NE$2:$NE$60=N$3)*(GMWQ!$ND$2:$ND$60=N$4),0),$B247-1966)</f>
        <v>8.9178289999999993</v>
      </c>
      <c r="O247" s="18" cm="1">
        <f t="array" ref="O247">INDEX(GMWQ!$A$2:$NE$60,MATCH(1,(GMWQ!$NE$2:$NE$60=O$3)*(GMWQ!$ND$2:$ND$60=O$4),0),$B247-1966)</f>
        <v>3.8562470000000002</v>
      </c>
      <c r="P247" s="18" cm="1">
        <f t="array" ref="P247">INDEX(GMWQ!$A$2:$NE$60,MATCH(1,(GMWQ!$NE$2:$NE$60=P$3)*(GMWQ!$ND$2:$ND$60=P$4),0),$B247-1966)</f>
        <v>736845.3</v>
      </c>
      <c r="Q247" s="18" cm="1">
        <f t="array" ref="Q247">INDEX(GMWQ!$A$2:$NE$60,MATCH(1,(GMWQ!$NE$2:$NE$60=Q$3)*(GMWQ!$ND$2:$ND$60=Q$4),0),$B247-1966)</f>
        <v>1203.4849999999999</v>
      </c>
      <c r="R247" s="18" cm="1">
        <f t="array" ref="R247">INDEX(GMWQ!$A$2:$NE$60,MATCH(1,(GMWQ!$NE$2:$NE$60=R$3)*(GMWQ!$ND$2:$ND$60=R$4),0),$B247-1966)</f>
        <v>25353.18</v>
      </c>
      <c r="S247" s="18" cm="1">
        <f t="array" ref="S247">INDEX(GMWQ!$A$2:$NE$60,MATCH(1,(GMWQ!$NE$2:$NE$60=S$3)*(GMWQ!$ND$2:$ND$60=S$4),0),$B247-1966)</f>
        <v>122.07810000000001</v>
      </c>
      <c r="T247" s="18" cm="1">
        <f t="array" ref="T247">INDEX(GMWQ!$A$2:$NE$60,MATCH(1,(GMWQ!$NE$2:$NE$60=T$3)*(GMWQ!$ND$2:$ND$60=T$4),0),$B247-1966)</f>
        <v>95.627690000000001</v>
      </c>
      <c r="U247" s="18" cm="1">
        <f t="array" ref="U247">INDEX(GMWQ!$A$2:$NE$60,MATCH(1,(GMWQ!$NE$2:$NE$60=U$3)*(GMWQ!$ND$2:$ND$60=U$4),0),$B247-1966)</f>
        <v>64.986660000000001</v>
      </c>
      <c r="V247" s="18" cm="1">
        <f t="array" ref="V247">INDEX(GMWQ!$A$2:$NE$60,MATCH(1,(GMWQ!$NE$2:$NE$60=V$3)*(GMWQ!$ND$2:$ND$60=V$4),0),$B247-1966)</f>
        <v>87675.55</v>
      </c>
      <c r="W247" s="18" cm="1">
        <f t="array" ref="W247">INDEX(GMWQ!$A$2:$NF$60,MATCH(1,(GMWQ!$NE$2:$NE$60=W$3)*(GMWQ!$NF$2:$NF$60=W$1),0),$B247-1966)</f>
        <v>62352.51</v>
      </c>
      <c r="X247" s="18" cm="1">
        <f t="array" ref="X247">INDEX(GMWQ!$A$2:$NF$60,MATCH(1,(GMWQ!$NE$2:$NE$60=X$3)*(GMWQ!$NF$2:$NF$60=X$1),0),$B247-1966)</f>
        <v>65091.01</v>
      </c>
      <c r="Y247" s="18" cm="1">
        <f t="array" ref="Y247">INDEX(GMWQ!$A$2:$NF$60,MATCH(1,(GMWQ!$NE$2:$NE$60=Y$3)*(GMWQ!$NF$2:$NF$60=Y$1),0),$B247-1966)</f>
        <v>65530.68</v>
      </c>
      <c r="Z247" s="18" cm="1">
        <f t="array" ref="Z247">INDEX(GMWQ!$A$2:$NF$60,MATCH(1,(GMWQ!$NE$2:$NE$60=Z$3)*(GMWQ!$NF$2:$NF$60=Z$1),0),$B247-1966)</f>
        <v>75838.63</v>
      </c>
    </row>
    <row r="248" spans="1:26" x14ac:dyDescent="0.25">
      <c r="B248" s="18">
        <f t="shared" si="5"/>
        <v>2214</v>
      </c>
      <c r="C248" s="18" cm="1">
        <f t="array" ref="C248">INDEX(GMWQ!$A$2:$NE$60,MATCH(1,(GMWQ!$NE$2:$NE$60=C$3)*(GMWQ!$ND$2:$ND$60=C$4),0),$B248-1966)</f>
        <v>78864.850000000006</v>
      </c>
      <c r="D248" s="18" cm="1">
        <f t="array" ref="D248">INDEX(GMWQ!$A$2:$NE$60,MATCH(1,(GMWQ!$NE$2:$NE$60=D$3)*(GMWQ!$ND$2:$ND$60=D$4),0),$B248-1966)</f>
        <v>216178.7</v>
      </c>
      <c r="E248" s="18" cm="1">
        <f t="array" ref="E248">INDEX(GMWQ!$A$2:$NE$60,MATCH(1,(GMWQ!$NE$2:$NE$60=E$3)*(GMWQ!$ND$2:$ND$60=E$4),0),$B248-1966)</f>
        <v>-13537.29</v>
      </c>
      <c r="F248" s="18" cm="1">
        <f t="array" ref="F248">INDEX(GMWQ!$A$2:$NE$60,MATCH(1,(GMWQ!$NE$2:$NE$60=F$3)*(GMWQ!$ND$2:$ND$60=F$4),0),$B248-1966)</f>
        <v>-15314.19</v>
      </c>
      <c r="G248" s="18" cm="1">
        <f t="array" ref="G248">INDEX(GMWQ!$A$2:$NE$60,MATCH(1,(GMWQ!$NE$2:$NE$60=G$3)*(GMWQ!$ND$2:$ND$60=G$4),0),$B248-1966)</f>
        <v>980754.4</v>
      </c>
      <c r="H248" s="18" cm="1">
        <f t="array" ref="H248">INDEX(GMWQ!$A$2:$NE$60,MATCH(1,(GMWQ!$NE$2:$NE$60=H$3)*(GMWQ!$ND$2:$ND$60=H$4),0),$B248-1966)</f>
        <v>134823.70000000001</v>
      </c>
      <c r="I248" s="18" cm="1">
        <f t="array" ref="I248">INDEX(GMWQ!$A$2:$NE$60,MATCH(1,(GMWQ!$NE$2:$NE$60=I$3)*(GMWQ!$ND$2:$ND$60=I$4),0),$B248-1966)</f>
        <v>18035.39</v>
      </c>
      <c r="J248" s="18" cm="1">
        <f t="array" ref="J248">INDEX(GMWQ!$A$2:$NE$60,MATCH(1,(GMWQ!$NE$2:$NE$60=J$3)*(GMWQ!$ND$2:$ND$60=J$4),0),$B248-1966)</f>
        <v>28513.68</v>
      </c>
      <c r="K248" s="18" cm="1">
        <f t="array" ref="K248">INDEX(GMWQ!$A$2:$NE$60,MATCH(1,(GMWQ!$NE$2:$NE$60=K$3)*(GMWQ!$ND$2:$ND$60=K$4),0),$B248-1966)</f>
        <v>3903323</v>
      </c>
      <c r="L248" s="18" cm="1">
        <f t="array" ref="L248">INDEX(GMWQ!$A$2:$NE$60,MATCH(1,(GMWQ!$NE$2:$NE$60=L$3)*(GMWQ!$ND$2:$ND$60=L$4),0),$B248-1966)</f>
        <v>36103.910000000003</v>
      </c>
      <c r="M248" s="18" cm="1">
        <f t="array" ref="M248">INDEX(GMWQ!$A$2:$NE$60,MATCH(1,(GMWQ!$NE$2:$NE$60=M$3)*(GMWQ!$ND$2:$ND$60=M$4),0),$B248-1966)</f>
        <v>31.993849999999998</v>
      </c>
      <c r="N248" s="18" cm="1">
        <f t="array" ref="N248">INDEX(GMWQ!$A$2:$NE$60,MATCH(1,(GMWQ!$NE$2:$NE$60=N$3)*(GMWQ!$ND$2:$ND$60=N$4),0),$B248-1966)</f>
        <v>8.9258769999999998</v>
      </c>
      <c r="O248" s="18" cm="1">
        <f t="array" ref="O248">INDEX(GMWQ!$A$2:$NE$60,MATCH(1,(GMWQ!$NE$2:$NE$60=O$3)*(GMWQ!$ND$2:$ND$60=O$4),0),$B248-1966)</f>
        <v>3.8562470000000002</v>
      </c>
      <c r="P248" s="18" cm="1">
        <f t="array" ref="P248">INDEX(GMWQ!$A$2:$NE$60,MATCH(1,(GMWQ!$NE$2:$NE$60=P$3)*(GMWQ!$ND$2:$ND$60=P$4),0),$B248-1966)</f>
        <v>747493.3</v>
      </c>
      <c r="Q248" s="18" cm="1">
        <f t="array" ref="Q248">INDEX(GMWQ!$A$2:$NE$60,MATCH(1,(GMWQ!$NE$2:$NE$60=Q$3)*(GMWQ!$ND$2:$ND$60=Q$4),0),$B248-1966)</f>
        <v>1211.896</v>
      </c>
      <c r="R248" s="18" cm="1">
        <f t="array" ref="R248">INDEX(GMWQ!$A$2:$NE$60,MATCH(1,(GMWQ!$NE$2:$NE$60=R$3)*(GMWQ!$ND$2:$ND$60=R$4),0),$B248-1966)</f>
        <v>25370.799999999999</v>
      </c>
      <c r="S248" s="18" cm="1">
        <f t="array" ref="S248">INDEX(GMWQ!$A$2:$NE$60,MATCH(1,(GMWQ!$NE$2:$NE$60=S$3)*(GMWQ!$ND$2:$ND$60=S$4),0),$B248-1966)</f>
        <v>122.3291</v>
      </c>
      <c r="T248" s="18" cm="1">
        <f t="array" ref="T248">INDEX(GMWQ!$A$2:$NE$60,MATCH(1,(GMWQ!$NE$2:$NE$60=T$3)*(GMWQ!$ND$2:$ND$60=T$4),0),$B248-1966)</f>
        <v>95.944969999999998</v>
      </c>
      <c r="U248" s="18" cm="1">
        <f t="array" ref="U248">INDEX(GMWQ!$A$2:$NE$60,MATCH(1,(GMWQ!$NE$2:$NE$60=U$3)*(GMWQ!$ND$2:$ND$60=U$4),0),$B248-1966)</f>
        <v>65.045770000000005</v>
      </c>
      <c r="V248" s="18" cm="1">
        <f t="array" ref="V248">INDEX(GMWQ!$A$2:$NE$60,MATCH(1,(GMWQ!$NE$2:$NE$60=V$3)*(GMWQ!$ND$2:$ND$60=V$4),0),$B248-1966)</f>
        <v>88091.7</v>
      </c>
      <c r="W248" s="18" cm="1">
        <f t="array" ref="W248">INDEX(GMWQ!$A$2:$NF$60,MATCH(1,(GMWQ!$NE$2:$NE$60=W$3)*(GMWQ!$NF$2:$NF$60=W$1),0),$B248-1966)</f>
        <v>62632.33</v>
      </c>
      <c r="X248" s="18" cm="1">
        <f t="array" ref="X248">INDEX(GMWQ!$A$2:$NF$60,MATCH(1,(GMWQ!$NE$2:$NE$60=X$3)*(GMWQ!$NF$2:$NF$60=X$1),0),$B248-1966)</f>
        <v>65395.89</v>
      </c>
      <c r="Y248" s="18" cm="1">
        <f t="array" ref="Y248">INDEX(GMWQ!$A$2:$NF$60,MATCH(1,(GMWQ!$NE$2:$NE$60=Y$3)*(GMWQ!$NF$2:$NF$60=Y$1),0),$B248-1966)</f>
        <v>65858.460000000006</v>
      </c>
      <c r="Z248" s="18" cm="1">
        <f t="array" ref="Z248">INDEX(GMWQ!$A$2:$NF$60,MATCH(1,(GMWQ!$NE$2:$NE$60=Z$3)*(GMWQ!$NF$2:$NF$60=Z$1),0),$B248-1966)</f>
        <v>76316.94</v>
      </c>
    </row>
    <row r="249" spans="1:26" x14ac:dyDescent="0.25">
      <c r="B249" s="18">
        <f t="shared" si="5"/>
        <v>2215</v>
      </c>
      <c r="C249" s="18" cm="1">
        <f t="array" ref="C249">INDEX(GMWQ!$A$2:$NE$60,MATCH(1,(GMWQ!$NE$2:$NE$60=C$3)*(GMWQ!$ND$2:$ND$60=C$4),0),$B249-1966)</f>
        <v>79357.100000000006</v>
      </c>
      <c r="D249" s="18" cm="1">
        <f t="array" ref="D249">INDEX(GMWQ!$A$2:$NE$60,MATCH(1,(GMWQ!$NE$2:$NE$60=D$3)*(GMWQ!$ND$2:$ND$60=D$4),0),$B249-1966)</f>
        <v>218364.1</v>
      </c>
      <c r="E249" s="18" cm="1">
        <f t="array" ref="E249">INDEX(GMWQ!$A$2:$NE$60,MATCH(1,(GMWQ!$NE$2:$NE$60=E$3)*(GMWQ!$ND$2:$ND$60=E$4),0),$B249-1966)</f>
        <v>-17013.169999999998</v>
      </c>
      <c r="F249" s="18" cm="1">
        <f t="array" ref="F249">INDEX(GMWQ!$A$2:$NE$60,MATCH(1,(GMWQ!$NE$2:$NE$60=F$3)*(GMWQ!$ND$2:$ND$60=F$4),0),$B249-1966)</f>
        <v>-18807.740000000002</v>
      </c>
      <c r="G249" s="18" cm="1">
        <f t="array" ref="G249">INDEX(GMWQ!$A$2:$NE$60,MATCH(1,(GMWQ!$NE$2:$NE$60=G$3)*(GMWQ!$ND$2:$ND$60=G$4),0),$B249-1966)</f>
        <v>989715.1</v>
      </c>
      <c r="H249" s="18" cm="1">
        <f t="array" ref="H249">INDEX(GMWQ!$A$2:$NE$60,MATCH(1,(GMWQ!$NE$2:$NE$60=H$3)*(GMWQ!$ND$2:$ND$60=H$4),0),$B249-1966)</f>
        <v>135552.20000000001</v>
      </c>
      <c r="I249" s="18" cm="1">
        <f t="array" ref="I249">INDEX(GMWQ!$A$2:$NE$60,MATCH(1,(GMWQ!$NE$2:$NE$60=I$3)*(GMWQ!$ND$2:$ND$60=I$4),0),$B249-1966)</f>
        <v>18120.91</v>
      </c>
      <c r="J249" s="18" cm="1">
        <f t="array" ref="J249">INDEX(GMWQ!$A$2:$NE$60,MATCH(1,(GMWQ!$NE$2:$NE$60=J$3)*(GMWQ!$ND$2:$ND$60=J$4),0),$B249-1966)</f>
        <v>28619.79</v>
      </c>
      <c r="K249" s="18" cm="1">
        <f t="array" ref="K249">INDEX(GMWQ!$A$2:$NE$60,MATCH(1,(GMWQ!$NE$2:$NE$60=K$3)*(GMWQ!$ND$2:$ND$60=K$4),0),$B249-1966)</f>
        <v>3920316</v>
      </c>
      <c r="L249" s="18" cm="1">
        <f t="array" ref="L249">INDEX(GMWQ!$A$2:$NE$60,MATCH(1,(GMWQ!$NE$2:$NE$60=L$3)*(GMWQ!$ND$2:$ND$60=L$4),0),$B249-1966)</f>
        <v>36155.949999999997</v>
      </c>
      <c r="M249" s="18" cm="1">
        <f t="array" ref="M249">INDEX(GMWQ!$A$2:$NE$60,MATCH(1,(GMWQ!$NE$2:$NE$60=M$3)*(GMWQ!$ND$2:$ND$60=M$4),0),$B249-1966)</f>
        <v>31.993279999999999</v>
      </c>
      <c r="N249" s="18" cm="1">
        <f t="array" ref="N249">INDEX(GMWQ!$A$2:$NE$60,MATCH(1,(GMWQ!$NE$2:$NE$60=N$3)*(GMWQ!$ND$2:$ND$60=N$4),0),$B249-1966)</f>
        <v>8.9334249999999997</v>
      </c>
      <c r="O249" s="18" cm="1">
        <f t="array" ref="O249">INDEX(GMWQ!$A$2:$NE$60,MATCH(1,(GMWQ!$NE$2:$NE$60=O$3)*(GMWQ!$ND$2:$ND$60=O$4),0),$B249-1966)</f>
        <v>3.8562470000000002</v>
      </c>
      <c r="P249" s="18" cm="1">
        <f t="array" ref="P249">INDEX(GMWQ!$A$2:$NE$60,MATCH(1,(GMWQ!$NE$2:$NE$60=P$3)*(GMWQ!$ND$2:$ND$60=P$4),0),$B249-1966)</f>
        <v>758178.8</v>
      </c>
      <c r="Q249" s="18" cm="1">
        <f t="array" ref="Q249">INDEX(GMWQ!$A$2:$NE$60,MATCH(1,(GMWQ!$NE$2:$NE$60=Q$3)*(GMWQ!$ND$2:$ND$60=Q$4),0),$B249-1966)</f>
        <v>1220.298</v>
      </c>
      <c r="R249" s="18" cm="1">
        <f t="array" ref="R249">INDEX(GMWQ!$A$2:$NE$60,MATCH(1,(GMWQ!$NE$2:$NE$60=R$3)*(GMWQ!$ND$2:$ND$60=R$4),0),$B249-1966)</f>
        <v>25386.52</v>
      </c>
      <c r="S249" s="18" cm="1">
        <f t="array" ref="S249">INDEX(GMWQ!$A$2:$NE$60,MATCH(1,(GMWQ!$NE$2:$NE$60=S$3)*(GMWQ!$ND$2:$ND$60=S$4),0),$B249-1966)</f>
        <v>122.5808</v>
      </c>
      <c r="T249" s="18" cm="1">
        <f t="array" ref="T249">INDEX(GMWQ!$A$2:$NE$60,MATCH(1,(GMWQ!$NE$2:$NE$60=T$3)*(GMWQ!$ND$2:$ND$60=T$4),0),$B249-1966)</f>
        <v>96.165210000000002</v>
      </c>
      <c r="U249" s="18" cm="1">
        <f t="array" ref="U249">INDEX(GMWQ!$A$2:$NE$60,MATCH(1,(GMWQ!$NE$2:$NE$60=U$3)*(GMWQ!$ND$2:$ND$60=U$4),0),$B249-1966)</f>
        <v>65.105900000000005</v>
      </c>
      <c r="V249" s="18" cm="1">
        <f t="array" ref="V249">INDEX(GMWQ!$A$2:$NE$60,MATCH(1,(GMWQ!$NE$2:$NE$60=V$3)*(GMWQ!$ND$2:$ND$60=V$4),0),$B249-1966)</f>
        <v>88507.73</v>
      </c>
      <c r="W249" s="18" cm="1">
        <f t="array" ref="W249">INDEX(GMWQ!$A$2:$NF$60,MATCH(1,(GMWQ!$NE$2:$NE$60=W$3)*(GMWQ!$NF$2:$NF$60=W$1),0),$B249-1966)</f>
        <v>62912.82</v>
      </c>
      <c r="X249" s="18" cm="1">
        <f t="array" ref="X249">INDEX(GMWQ!$A$2:$NF$60,MATCH(1,(GMWQ!$NE$2:$NE$60=X$3)*(GMWQ!$NF$2:$NF$60=X$1),0),$B249-1966)</f>
        <v>65701.89</v>
      </c>
      <c r="Y249" s="18" cm="1">
        <f t="array" ref="Y249">INDEX(GMWQ!$A$2:$NF$60,MATCH(1,(GMWQ!$NE$2:$NE$60=Y$3)*(GMWQ!$NF$2:$NF$60=Y$1),0),$B249-1966)</f>
        <v>66187.990000000005</v>
      </c>
      <c r="Z249" s="18" cm="1">
        <f t="array" ref="Z249">INDEX(GMWQ!$A$2:$NF$60,MATCH(1,(GMWQ!$NE$2:$NE$60=Z$3)*(GMWQ!$NF$2:$NF$60=Z$1),0),$B249-1966)</f>
        <v>76790.28</v>
      </c>
    </row>
    <row r="250" spans="1:26" x14ac:dyDescent="0.25">
      <c r="B250" s="18">
        <f t="shared" si="5"/>
        <v>2216</v>
      </c>
      <c r="C250" s="18" cm="1">
        <f t="array" ref="C250">INDEX(GMWQ!$A$2:$NE$60,MATCH(1,(GMWQ!$NE$2:$NE$60=C$3)*(GMWQ!$ND$2:$ND$60=C$4),0),$B250-1966)</f>
        <v>79852.53</v>
      </c>
      <c r="D250" s="18" cm="1">
        <f t="array" ref="D250">INDEX(GMWQ!$A$2:$NE$60,MATCH(1,(GMWQ!$NE$2:$NE$60=D$3)*(GMWQ!$ND$2:$ND$60=D$4),0),$B250-1966)</f>
        <v>220008.3</v>
      </c>
      <c r="E250" s="18" cm="1">
        <f t="array" ref="E250">INDEX(GMWQ!$A$2:$NE$60,MATCH(1,(GMWQ!$NE$2:$NE$60=E$3)*(GMWQ!$ND$2:$ND$60=E$4),0),$B250-1966)</f>
        <v>-5698.8739999999998</v>
      </c>
      <c r="F250" s="18" cm="1">
        <f t="array" ref="F250">INDEX(GMWQ!$A$2:$NE$60,MATCH(1,(GMWQ!$NE$2:$NE$60=F$3)*(GMWQ!$ND$2:$ND$60=F$4),0),$B250-1966)</f>
        <v>-7511.0110000000004</v>
      </c>
      <c r="G250" s="18" cm="1">
        <f t="array" ref="G250">INDEX(GMWQ!$A$2:$NE$60,MATCH(1,(GMWQ!$NE$2:$NE$60=G$3)*(GMWQ!$ND$2:$ND$60=G$4),0),$B250-1966)</f>
        <v>998759.3</v>
      </c>
      <c r="H250" s="18" cm="1">
        <f t="array" ref="H250">INDEX(GMWQ!$A$2:$NE$60,MATCH(1,(GMWQ!$NE$2:$NE$60=H$3)*(GMWQ!$ND$2:$ND$60=H$4),0),$B250-1966)</f>
        <v>136285</v>
      </c>
      <c r="I250" s="18" cm="1">
        <f t="array" ref="I250">INDEX(GMWQ!$A$2:$NE$60,MATCH(1,(GMWQ!$NE$2:$NE$60=I$3)*(GMWQ!$ND$2:$ND$60=I$4),0),$B250-1966)</f>
        <v>18206.86</v>
      </c>
      <c r="J250" s="18" cm="1">
        <f t="array" ref="J250">INDEX(GMWQ!$A$2:$NE$60,MATCH(1,(GMWQ!$NE$2:$NE$60=J$3)*(GMWQ!$ND$2:$ND$60=J$4),0),$B250-1966)</f>
        <v>28726.35</v>
      </c>
      <c r="K250" s="18" cm="1">
        <f t="array" ref="K250">INDEX(GMWQ!$A$2:$NE$60,MATCH(1,(GMWQ!$NE$2:$NE$60=K$3)*(GMWQ!$ND$2:$ND$60=K$4),0),$B250-1966)</f>
        <v>3937490</v>
      </c>
      <c r="L250" s="18" cm="1">
        <f t="array" ref="L250">INDEX(GMWQ!$A$2:$NE$60,MATCH(1,(GMWQ!$NE$2:$NE$60=L$3)*(GMWQ!$ND$2:$ND$60=L$4),0),$B250-1966)</f>
        <v>36208.129999999997</v>
      </c>
      <c r="M250" s="18" cm="1">
        <f t="array" ref="M250">INDEX(GMWQ!$A$2:$NE$60,MATCH(1,(GMWQ!$NE$2:$NE$60=M$3)*(GMWQ!$ND$2:$ND$60=M$4),0),$B250-1966)</f>
        <v>31.992709999999999</v>
      </c>
      <c r="N250" s="18" cm="1">
        <f t="array" ref="N250">INDEX(GMWQ!$A$2:$NE$60,MATCH(1,(GMWQ!$NE$2:$NE$60=N$3)*(GMWQ!$ND$2:$ND$60=N$4),0),$B250-1966)</f>
        <v>8.9458219999999997</v>
      </c>
      <c r="O250" s="18" cm="1">
        <f t="array" ref="O250">INDEX(GMWQ!$A$2:$NE$60,MATCH(1,(GMWQ!$NE$2:$NE$60=O$3)*(GMWQ!$ND$2:$ND$60=O$4),0),$B250-1966)</f>
        <v>3.8562470000000002</v>
      </c>
      <c r="P250" s="18" cm="1">
        <f t="array" ref="P250">INDEX(GMWQ!$A$2:$NE$60,MATCH(1,(GMWQ!$NE$2:$NE$60=P$3)*(GMWQ!$ND$2:$ND$60=P$4),0),$B250-1966)</f>
        <v>769065.8</v>
      </c>
      <c r="Q250" s="18" cm="1">
        <f t="array" ref="Q250">INDEX(GMWQ!$A$2:$NE$60,MATCH(1,(GMWQ!$NE$2:$NE$60=Q$3)*(GMWQ!$ND$2:$ND$60=Q$4),0),$B250-1966)</f>
        <v>1228.691</v>
      </c>
      <c r="R250" s="18" cm="1">
        <f t="array" ref="R250">INDEX(GMWQ!$A$2:$NE$60,MATCH(1,(GMWQ!$NE$2:$NE$60=R$3)*(GMWQ!$ND$2:$ND$60=R$4),0),$B250-1966)</f>
        <v>25400.76</v>
      </c>
      <c r="S250" s="18" cm="1">
        <f t="array" ref="S250">INDEX(GMWQ!$A$2:$NE$60,MATCH(1,(GMWQ!$NE$2:$NE$60=S$3)*(GMWQ!$ND$2:$ND$60=S$4),0),$B250-1966)</f>
        <v>122.833</v>
      </c>
      <c r="T250" s="18" cm="1">
        <f t="array" ref="T250">INDEX(GMWQ!$A$2:$NE$60,MATCH(1,(GMWQ!$NE$2:$NE$60=T$3)*(GMWQ!$ND$2:$ND$60=T$4),0),$B250-1966)</f>
        <v>96.490260000000006</v>
      </c>
      <c r="U250" s="18" cm="1">
        <f t="array" ref="U250">INDEX(GMWQ!$A$2:$NE$60,MATCH(1,(GMWQ!$NE$2:$NE$60=U$3)*(GMWQ!$ND$2:$ND$60=U$4),0),$B250-1966)</f>
        <v>65.154380000000003</v>
      </c>
      <c r="V250" s="18" cm="1">
        <f t="array" ref="V250">INDEX(GMWQ!$A$2:$NE$60,MATCH(1,(GMWQ!$NE$2:$NE$60=V$3)*(GMWQ!$ND$2:$ND$60=V$4),0),$B250-1966)</f>
        <v>88922.69</v>
      </c>
      <c r="W250" s="18" cm="1">
        <f t="array" ref="W250">INDEX(GMWQ!$A$2:$NF$60,MATCH(1,(GMWQ!$NE$2:$NE$60=W$3)*(GMWQ!$NF$2:$NF$60=W$1),0),$B250-1966)</f>
        <v>63193.96</v>
      </c>
      <c r="X250" s="18" cm="1">
        <f t="array" ref="X250">INDEX(GMWQ!$A$2:$NF$60,MATCH(1,(GMWQ!$NE$2:$NE$60=X$3)*(GMWQ!$NF$2:$NF$60=X$1),0),$B250-1966)</f>
        <v>66009.02</v>
      </c>
      <c r="Y250" s="18" cm="1">
        <f t="array" ref="Y250">INDEX(GMWQ!$A$2:$NF$60,MATCH(1,(GMWQ!$NE$2:$NE$60=Y$3)*(GMWQ!$NF$2:$NF$60=Y$1),0),$B250-1966)</f>
        <v>66519.27</v>
      </c>
      <c r="Z250" s="18" cm="1">
        <f t="array" ref="Z250">INDEX(GMWQ!$A$2:$NF$60,MATCH(1,(GMWQ!$NE$2:$NE$60=Z$3)*(GMWQ!$NF$2:$NF$60=Z$1),0),$B250-1966)</f>
        <v>77266.45</v>
      </c>
    </row>
    <row r="251" spans="1:26" x14ac:dyDescent="0.25">
      <c r="A251" s="18">
        <v>2034</v>
      </c>
      <c r="B251" s="18">
        <f t="shared" si="5"/>
        <v>2217</v>
      </c>
      <c r="C251" s="18" cm="1">
        <f t="array" ref="C251">INDEX(GMWQ!$A$2:$NE$60,MATCH(1,(GMWQ!$NE$2:$NE$60=C$3)*(GMWQ!$ND$2:$ND$60=C$4),0),$B251-1966)</f>
        <v>80356.479999999996</v>
      </c>
      <c r="D251" s="18" cm="1">
        <f t="array" ref="D251">INDEX(GMWQ!$A$2:$NE$60,MATCH(1,(GMWQ!$NE$2:$NE$60=D$3)*(GMWQ!$ND$2:$ND$60=D$4),0),$B251-1966)</f>
        <v>222041.2</v>
      </c>
      <c r="E251" s="18" cm="1">
        <f t="array" ref="E251">INDEX(GMWQ!$A$2:$NE$60,MATCH(1,(GMWQ!$NE$2:$NE$60=E$3)*(GMWQ!$ND$2:$ND$60=E$4),0),$B251-1966)</f>
        <v>-20970.96</v>
      </c>
      <c r="F251" s="18" cm="1">
        <f t="array" ref="F251">INDEX(GMWQ!$A$2:$NE$60,MATCH(1,(GMWQ!$NE$2:$NE$60=F$3)*(GMWQ!$ND$2:$ND$60=F$4),0),$B251-1966)</f>
        <v>-22800.720000000001</v>
      </c>
      <c r="G251" s="18" cm="1">
        <f t="array" ref="G251">INDEX(GMWQ!$A$2:$NE$60,MATCH(1,(GMWQ!$NE$2:$NE$60=G$3)*(GMWQ!$ND$2:$ND$60=G$4),0),$B251-1966)</f>
        <v>1007955</v>
      </c>
      <c r="H251" s="18" cm="1">
        <f t="array" ref="H251">INDEX(GMWQ!$A$2:$NE$60,MATCH(1,(GMWQ!$NE$2:$NE$60=H$3)*(GMWQ!$ND$2:$ND$60=H$4),0),$B251-1966)</f>
        <v>137031.1</v>
      </c>
      <c r="I251" s="18" cm="1">
        <f t="array" ref="I251">INDEX(GMWQ!$A$2:$NE$60,MATCH(1,(GMWQ!$NE$2:$NE$60=I$3)*(GMWQ!$ND$2:$ND$60=I$4),0),$B251-1966)</f>
        <v>18294.45</v>
      </c>
      <c r="J251" s="18" cm="1">
        <f t="array" ref="J251">INDEX(GMWQ!$A$2:$NE$60,MATCH(1,(GMWQ!$NE$2:$NE$60=J$3)*(GMWQ!$ND$2:$ND$60=J$4),0),$B251-1966)</f>
        <v>28835.25</v>
      </c>
      <c r="K251" s="18" cm="1">
        <f t="array" ref="K251">INDEX(GMWQ!$A$2:$NE$60,MATCH(1,(GMWQ!$NE$2:$NE$60=K$3)*(GMWQ!$ND$2:$ND$60=K$4),0),$B251-1966)</f>
        <v>3954850</v>
      </c>
      <c r="L251" s="18" cm="1">
        <f t="array" ref="L251">INDEX(GMWQ!$A$2:$NE$60,MATCH(1,(GMWQ!$NE$2:$NE$60=L$3)*(GMWQ!$ND$2:$ND$60=L$4),0),$B251-1966)</f>
        <v>36259.22</v>
      </c>
      <c r="M251" s="18" cm="1">
        <f t="array" ref="M251">INDEX(GMWQ!$A$2:$NE$60,MATCH(1,(GMWQ!$NE$2:$NE$60=M$3)*(GMWQ!$ND$2:$ND$60=M$4),0),$B251-1966)</f>
        <v>31.992139999999999</v>
      </c>
      <c r="N251" s="18" cm="1">
        <f t="array" ref="N251">INDEX(GMWQ!$A$2:$NE$60,MATCH(1,(GMWQ!$NE$2:$NE$60=N$3)*(GMWQ!$ND$2:$ND$60=N$4),0),$B251-1966)</f>
        <v>8.9545659999999998</v>
      </c>
      <c r="O251" s="18" cm="1">
        <f t="array" ref="O251">INDEX(GMWQ!$A$2:$NE$60,MATCH(1,(GMWQ!$NE$2:$NE$60=O$3)*(GMWQ!$ND$2:$ND$60=O$4),0),$B251-1966)</f>
        <v>3.8562470000000002</v>
      </c>
      <c r="P251" s="18" cm="1">
        <f t="array" ref="P251">INDEX(GMWQ!$A$2:$NE$60,MATCH(1,(GMWQ!$NE$2:$NE$60=P$3)*(GMWQ!$ND$2:$ND$60=P$4),0),$B251-1966)</f>
        <v>779857.8</v>
      </c>
      <c r="Q251" s="18" cm="1">
        <f t="array" ref="Q251">INDEX(GMWQ!$A$2:$NE$60,MATCH(1,(GMWQ!$NE$2:$NE$60=Q$3)*(GMWQ!$ND$2:$ND$60=Q$4),0),$B251-1966)</f>
        <v>1237.0740000000001</v>
      </c>
      <c r="R251" s="18" cm="1">
        <f t="array" ref="R251">INDEX(GMWQ!$A$2:$NE$60,MATCH(1,(GMWQ!$NE$2:$NE$60=R$3)*(GMWQ!$ND$2:$ND$60=R$4),0),$B251-1966)</f>
        <v>25416.720000000001</v>
      </c>
      <c r="S251" s="18" cm="1">
        <f t="array" ref="S251">INDEX(GMWQ!$A$2:$NE$60,MATCH(1,(GMWQ!$NE$2:$NE$60=S$3)*(GMWQ!$ND$2:$ND$60=S$4),0),$B251-1966)</f>
        <v>123.0859</v>
      </c>
      <c r="T251" s="18" cm="1">
        <f t="array" ref="T251">INDEX(GMWQ!$A$2:$NE$60,MATCH(1,(GMWQ!$NE$2:$NE$60=T$3)*(GMWQ!$ND$2:$ND$60=T$4),0),$B251-1966)</f>
        <v>96.816339999999997</v>
      </c>
      <c r="U251" s="18" cm="1">
        <f t="array" ref="U251">INDEX(GMWQ!$A$2:$NE$60,MATCH(1,(GMWQ!$NE$2:$NE$60=U$3)*(GMWQ!$ND$2:$ND$60=U$4),0),$B251-1966)</f>
        <v>65.201390000000004</v>
      </c>
      <c r="V251" s="18" cm="1">
        <f t="array" ref="V251">INDEX(GMWQ!$A$2:$NE$60,MATCH(1,(GMWQ!$NE$2:$NE$60=V$3)*(GMWQ!$ND$2:$ND$60=V$4),0),$B251-1966)</f>
        <v>89336.31</v>
      </c>
      <c r="W251" s="18" cm="1">
        <f t="array" ref="W251">INDEX(GMWQ!$A$2:$NF$60,MATCH(1,(GMWQ!$NE$2:$NE$60=W$3)*(GMWQ!$NF$2:$NF$60=W$1),0),$B251-1966)</f>
        <v>63475.77</v>
      </c>
      <c r="X251" s="18" cm="1">
        <f t="array" ref="X251">INDEX(GMWQ!$A$2:$NF$60,MATCH(1,(GMWQ!$NE$2:$NE$60=X$3)*(GMWQ!$NF$2:$NF$60=X$1),0),$B251-1966)</f>
        <v>66310.649999999994</v>
      </c>
      <c r="Y251" s="18" cm="1">
        <f t="array" ref="Y251">INDEX(GMWQ!$A$2:$NF$60,MATCH(1,(GMWQ!$NE$2:$NE$60=Y$3)*(GMWQ!$NF$2:$NF$60=Y$1),0),$B251-1966)</f>
        <v>66852.28</v>
      </c>
      <c r="Z251" s="18" cm="1">
        <f t="array" ref="Z251">INDEX(GMWQ!$A$2:$NF$60,MATCH(1,(GMWQ!$NE$2:$NE$60=Z$3)*(GMWQ!$NF$2:$NF$60=Z$1),0),$B251-1966)</f>
        <v>77751.13</v>
      </c>
    </row>
    <row r="252" spans="1:26" x14ac:dyDescent="0.25">
      <c r="B252" s="18">
        <f t="shared" si="5"/>
        <v>2218</v>
      </c>
      <c r="C252" s="18" cm="1">
        <f t="array" ref="C252">INDEX(GMWQ!$A$2:$NE$60,MATCH(1,(GMWQ!$NE$2:$NE$60=C$3)*(GMWQ!$ND$2:$ND$60=C$4),0),$B252-1966)</f>
        <v>80863.98</v>
      </c>
      <c r="D252" s="18" cm="1">
        <f t="array" ref="D252">INDEX(GMWQ!$A$2:$NE$60,MATCH(1,(GMWQ!$NE$2:$NE$60=D$3)*(GMWQ!$ND$2:$ND$60=D$4),0),$B252-1966)</f>
        <v>224233.1</v>
      </c>
      <c r="E252" s="18" cm="1">
        <f t="array" ref="E252">INDEX(GMWQ!$A$2:$NE$60,MATCH(1,(GMWQ!$NE$2:$NE$60=E$3)*(GMWQ!$ND$2:$ND$60=E$4),0),$B252-1966)</f>
        <v>-12769.48</v>
      </c>
      <c r="F252" s="18" cm="1">
        <f t="array" ref="F252">INDEX(GMWQ!$A$2:$NE$60,MATCH(1,(GMWQ!$NE$2:$NE$60=F$3)*(GMWQ!$ND$2:$ND$60=F$4),0),$B252-1966)</f>
        <v>-14616.86</v>
      </c>
      <c r="G252" s="18" cm="1">
        <f t="array" ref="G252">INDEX(GMWQ!$A$2:$NE$60,MATCH(1,(GMWQ!$NE$2:$NE$60=G$3)*(GMWQ!$ND$2:$ND$60=G$4),0),$B252-1966)</f>
        <v>1017239</v>
      </c>
      <c r="H252" s="18" cm="1">
        <f t="array" ref="H252">INDEX(GMWQ!$A$2:$NE$60,MATCH(1,(GMWQ!$NE$2:$NE$60=H$3)*(GMWQ!$ND$2:$ND$60=H$4),0),$B252-1966)</f>
        <v>137782.20000000001</v>
      </c>
      <c r="I252" s="18" cm="1">
        <f t="array" ref="I252">INDEX(GMWQ!$A$2:$NE$60,MATCH(1,(GMWQ!$NE$2:$NE$60=I$3)*(GMWQ!$ND$2:$ND$60=I$4),0),$B252-1966)</f>
        <v>18382.55</v>
      </c>
      <c r="J252" s="18" cm="1">
        <f t="array" ref="J252">INDEX(GMWQ!$A$2:$NE$60,MATCH(1,(GMWQ!$NE$2:$NE$60=J$3)*(GMWQ!$ND$2:$ND$60=J$4),0),$B252-1966)</f>
        <v>28944.7</v>
      </c>
      <c r="K252" s="18" cm="1">
        <f t="array" ref="K252">INDEX(GMWQ!$A$2:$NE$60,MATCH(1,(GMWQ!$NE$2:$NE$60=K$3)*(GMWQ!$ND$2:$ND$60=K$4),0),$B252-1966)</f>
        <v>3972397</v>
      </c>
      <c r="L252" s="18" cm="1">
        <f t="array" ref="L252">INDEX(GMWQ!$A$2:$NE$60,MATCH(1,(GMWQ!$NE$2:$NE$60=L$3)*(GMWQ!$ND$2:$ND$60=L$4),0),$B252-1966)</f>
        <v>36310.550000000003</v>
      </c>
      <c r="M252" s="18" cm="1">
        <f t="array" ref="M252">INDEX(GMWQ!$A$2:$NE$60,MATCH(1,(GMWQ!$NE$2:$NE$60=M$3)*(GMWQ!$ND$2:$ND$60=M$4),0),$B252-1966)</f>
        <v>31.99156</v>
      </c>
      <c r="N252" s="18" cm="1">
        <f t="array" ref="N252">INDEX(GMWQ!$A$2:$NE$60,MATCH(1,(GMWQ!$NE$2:$NE$60=N$3)*(GMWQ!$ND$2:$ND$60=N$4),0),$B252-1966)</f>
        <v>8.9624869999999994</v>
      </c>
      <c r="O252" s="18" cm="1">
        <f t="array" ref="O252">INDEX(GMWQ!$A$2:$NE$60,MATCH(1,(GMWQ!$NE$2:$NE$60=O$3)*(GMWQ!$ND$2:$ND$60=O$4),0),$B252-1966)</f>
        <v>3.8562470000000002</v>
      </c>
      <c r="P252" s="18" cm="1">
        <f t="array" ref="P252">INDEX(GMWQ!$A$2:$NE$60,MATCH(1,(GMWQ!$NE$2:$NE$60=P$3)*(GMWQ!$ND$2:$ND$60=P$4),0),$B252-1966)</f>
        <v>790928.3</v>
      </c>
      <c r="Q252" s="18" cm="1">
        <f t="array" ref="Q252">INDEX(GMWQ!$A$2:$NE$60,MATCH(1,(GMWQ!$NE$2:$NE$60=Q$3)*(GMWQ!$ND$2:$ND$60=Q$4),0),$B252-1966)</f>
        <v>1245.4459999999999</v>
      </c>
      <c r="R252" s="18" cm="1">
        <f t="array" ref="R252">INDEX(GMWQ!$A$2:$NE$60,MATCH(1,(GMWQ!$NE$2:$NE$60=R$3)*(GMWQ!$ND$2:$ND$60=R$4),0),$B252-1966)</f>
        <v>25429.66</v>
      </c>
      <c r="S252" s="18" cm="1">
        <f t="array" ref="S252">INDEX(GMWQ!$A$2:$NE$60,MATCH(1,(GMWQ!$NE$2:$NE$60=S$3)*(GMWQ!$ND$2:$ND$60=S$4),0),$B252-1966)</f>
        <v>123.33920000000001</v>
      </c>
      <c r="T252" s="18" cm="1">
        <f t="array" ref="T252">INDEX(GMWQ!$A$2:$NE$60,MATCH(1,(GMWQ!$NE$2:$NE$60=T$3)*(GMWQ!$ND$2:$ND$60=T$4),0),$B252-1966)</f>
        <v>97.04401</v>
      </c>
      <c r="U252" s="18" cm="1">
        <f t="array" ref="U252">INDEX(GMWQ!$A$2:$NE$60,MATCH(1,(GMWQ!$NE$2:$NE$60=U$3)*(GMWQ!$ND$2:$ND$60=U$4),0),$B252-1966)</f>
        <v>65.244829999999993</v>
      </c>
      <c r="V252" s="18" cm="1">
        <f t="array" ref="V252">INDEX(GMWQ!$A$2:$NE$60,MATCH(1,(GMWQ!$NE$2:$NE$60=V$3)*(GMWQ!$ND$2:$ND$60=V$4),0),$B252-1966)</f>
        <v>89751.39</v>
      </c>
      <c r="W252" s="18" cm="1">
        <f t="array" ref="W252">INDEX(GMWQ!$A$2:$NF$60,MATCH(1,(GMWQ!$NE$2:$NE$60=W$3)*(GMWQ!$NF$2:$NF$60=W$1),0),$B252-1966)</f>
        <v>63758.239999999998</v>
      </c>
      <c r="X252" s="18" cm="1">
        <f t="array" ref="X252">INDEX(GMWQ!$A$2:$NF$60,MATCH(1,(GMWQ!$NE$2:$NE$60=X$3)*(GMWQ!$NF$2:$NF$60=X$1),0),$B252-1966)</f>
        <v>66613.25</v>
      </c>
      <c r="Y252" s="18" cm="1">
        <f t="array" ref="Y252">INDEX(GMWQ!$A$2:$NF$60,MATCH(1,(GMWQ!$NE$2:$NE$60=Y$3)*(GMWQ!$NF$2:$NF$60=Y$1),0),$B252-1966)</f>
        <v>67187.02</v>
      </c>
      <c r="Z252" s="18" cm="1">
        <f t="array" ref="Z252">INDEX(GMWQ!$A$2:$NF$60,MATCH(1,(GMWQ!$NE$2:$NE$60=Z$3)*(GMWQ!$NF$2:$NF$60=Z$1),0),$B252-1966)</f>
        <v>78239.14</v>
      </c>
    </row>
    <row r="253" spans="1:26" x14ac:dyDescent="0.25">
      <c r="B253" s="18">
        <f t="shared" si="5"/>
        <v>2219</v>
      </c>
      <c r="C253" s="18" cm="1">
        <f t="array" ref="C253">INDEX(GMWQ!$A$2:$NE$60,MATCH(1,(GMWQ!$NE$2:$NE$60=C$3)*(GMWQ!$ND$2:$ND$60=C$4),0),$B253-1966)</f>
        <v>81359.34</v>
      </c>
      <c r="D253" s="18" cm="1">
        <f t="array" ref="D253">INDEX(GMWQ!$A$2:$NE$60,MATCH(1,(GMWQ!$NE$2:$NE$60=D$3)*(GMWQ!$ND$2:$ND$60=D$4),0),$B253-1966)</f>
        <v>226487.4</v>
      </c>
      <c r="E253" s="18" cm="1">
        <f t="array" ref="E253">INDEX(GMWQ!$A$2:$NE$60,MATCH(1,(GMWQ!$NE$2:$NE$60=E$3)*(GMWQ!$ND$2:$ND$60=E$4),0),$B253-1966)</f>
        <v>-16307</v>
      </c>
      <c r="F253" s="18" cm="1">
        <f t="array" ref="F253">INDEX(GMWQ!$A$2:$NE$60,MATCH(1,(GMWQ!$NE$2:$NE$60=F$3)*(GMWQ!$ND$2:$ND$60=F$4),0),$B253-1966)</f>
        <v>-18171.650000000001</v>
      </c>
      <c r="G253" s="18" cm="1">
        <f t="array" ref="G253">INDEX(GMWQ!$A$2:$NE$60,MATCH(1,(GMWQ!$NE$2:$NE$60=G$3)*(GMWQ!$ND$2:$ND$60=G$4),0),$B253-1966)</f>
        <v>1026415</v>
      </c>
      <c r="H253" s="18" cm="1">
        <f t="array" ref="H253">INDEX(GMWQ!$A$2:$NE$60,MATCH(1,(GMWQ!$NE$2:$NE$60=H$3)*(GMWQ!$ND$2:$ND$60=H$4),0),$B253-1966)</f>
        <v>138511.29999999999</v>
      </c>
      <c r="I253" s="18" cm="1">
        <f t="array" ref="I253">INDEX(GMWQ!$A$2:$NE$60,MATCH(1,(GMWQ!$NE$2:$NE$60=I$3)*(GMWQ!$ND$2:$ND$60=I$4),0),$B253-1966)</f>
        <v>18467.580000000002</v>
      </c>
      <c r="J253" s="18" cm="1">
        <f t="array" ref="J253">INDEX(GMWQ!$A$2:$NE$60,MATCH(1,(GMWQ!$NE$2:$NE$60=J$3)*(GMWQ!$ND$2:$ND$60=J$4),0),$B253-1966)</f>
        <v>29049.07</v>
      </c>
      <c r="K253" s="18" cm="1">
        <f t="array" ref="K253">INDEX(GMWQ!$A$2:$NE$60,MATCH(1,(GMWQ!$NE$2:$NE$60=K$3)*(GMWQ!$ND$2:$ND$60=K$4),0),$B253-1966)</f>
        <v>3990108</v>
      </c>
      <c r="L253" s="18" cm="1">
        <f t="array" ref="L253">INDEX(GMWQ!$A$2:$NE$60,MATCH(1,(GMWQ!$NE$2:$NE$60=L$3)*(GMWQ!$ND$2:$ND$60=L$4),0),$B253-1966)</f>
        <v>36351.43</v>
      </c>
      <c r="M253" s="18" cm="1">
        <f t="array" ref="M253">INDEX(GMWQ!$A$2:$NE$60,MATCH(1,(GMWQ!$NE$2:$NE$60=M$3)*(GMWQ!$ND$2:$ND$60=M$4),0),$B253-1966)</f>
        <v>31.99099</v>
      </c>
      <c r="N253" s="18" cm="1">
        <f t="array" ref="N253">INDEX(GMWQ!$A$2:$NE$60,MATCH(1,(GMWQ!$NE$2:$NE$60=N$3)*(GMWQ!$ND$2:$ND$60=N$4),0),$B253-1966)</f>
        <v>8.9702289999999998</v>
      </c>
      <c r="O253" s="18" cm="1">
        <f t="array" ref="O253">INDEX(GMWQ!$A$2:$NE$60,MATCH(1,(GMWQ!$NE$2:$NE$60=O$3)*(GMWQ!$ND$2:$ND$60=O$4),0),$B253-1966)</f>
        <v>3.8562470000000002</v>
      </c>
      <c r="P253" s="18" cm="1">
        <f t="array" ref="P253">INDEX(GMWQ!$A$2:$NE$60,MATCH(1,(GMWQ!$NE$2:$NE$60=P$3)*(GMWQ!$ND$2:$ND$60=P$4),0),$B253-1966)</f>
        <v>802208.9</v>
      </c>
      <c r="Q253" s="18" cm="1">
        <f t="array" ref="Q253">INDEX(GMWQ!$A$2:$NE$60,MATCH(1,(GMWQ!$NE$2:$NE$60=Q$3)*(GMWQ!$ND$2:$ND$60=Q$4),0),$B253-1966)</f>
        <v>1253.806</v>
      </c>
      <c r="R253" s="18" cm="1">
        <f t="array" ref="R253">INDEX(GMWQ!$A$2:$NE$60,MATCH(1,(GMWQ!$NE$2:$NE$60=R$3)*(GMWQ!$ND$2:$ND$60=R$4),0),$B253-1966)</f>
        <v>25433.87</v>
      </c>
      <c r="S253" s="18" cm="1">
        <f t="array" ref="S253">INDEX(GMWQ!$A$2:$NE$60,MATCH(1,(GMWQ!$NE$2:$NE$60=S$3)*(GMWQ!$ND$2:$ND$60=S$4),0),$B253-1966)</f>
        <v>123.59310000000001</v>
      </c>
      <c r="T253" s="18" cm="1">
        <f t="array" ref="T253">INDEX(GMWQ!$A$2:$NE$60,MATCH(1,(GMWQ!$NE$2:$NE$60=T$3)*(GMWQ!$ND$2:$ND$60=T$4),0),$B253-1966)</f>
        <v>97.369209999999995</v>
      </c>
      <c r="U253" s="18" cm="1">
        <f t="array" ref="U253">INDEX(GMWQ!$A$2:$NE$60,MATCH(1,(GMWQ!$NE$2:$NE$60=U$3)*(GMWQ!$ND$2:$ND$60=U$4),0),$B253-1966)</f>
        <v>65.283379999999994</v>
      </c>
      <c r="V253" s="18" cm="1">
        <f t="array" ref="V253">INDEX(GMWQ!$A$2:$NE$60,MATCH(1,(GMWQ!$NE$2:$NE$60=V$3)*(GMWQ!$ND$2:$ND$60=V$4),0),$B253-1966)</f>
        <v>90168.3</v>
      </c>
      <c r="W253" s="18" cm="1">
        <f t="array" ref="W253">INDEX(GMWQ!$A$2:$NF$60,MATCH(1,(GMWQ!$NE$2:$NE$60=W$3)*(GMWQ!$NF$2:$NF$60=W$1),0),$B253-1966)</f>
        <v>64041.37</v>
      </c>
      <c r="X253" s="18" cm="1">
        <f t="array" ref="X253">INDEX(GMWQ!$A$2:$NF$60,MATCH(1,(GMWQ!$NE$2:$NE$60=X$3)*(GMWQ!$NF$2:$NF$60=X$1),0),$B253-1966)</f>
        <v>66916.83</v>
      </c>
      <c r="Y253" s="18" cm="1">
        <f t="array" ref="Y253">INDEX(GMWQ!$A$2:$NF$60,MATCH(1,(GMWQ!$NE$2:$NE$60=Y$3)*(GMWQ!$NF$2:$NF$60=Y$1),0),$B253-1966)</f>
        <v>67523.48</v>
      </c>
      <c r="Z253" s="18" cm="1">
        <f t="array" ref="Z253">INDEX(GMWQ!$A$2:$NF$60,MATCH(1,(GMWQ!$NE$2:$NE$60=Z$3)*(GMWQ!$NF$2:$NF$60=Z$1),0),$B253-1966)</f>
        <v>78718.850000000006</v>
      </c>
    </row>
    <row r="254" spans="1:26" x14ac:dyDescent="0.25">
      <c r="B254" s="18">
        <f t="shared" si="5"/>
        <v>2220</v>
      </c>
      <c r="C254" s="18" cm="1">
        <f t="array" ref="C254">INDEX(GMWQ!$A$2:$NE$60,MATCH(1,(GMWQ!$NE$2:$NE$60=C$3)*(GMWQ!$ND$2:$ND$60=C$4),0),$B254-1966)</f>
        <v>81858.3</v>
      </c>
      <c r="D254" s="18" cm="1">
        <f t="array" ref="D254">INDEX(GMWQ!$A$2:$NE$60,MATCH(1,(GMWQ!$NE$2:$NE$60=D$3)*(GMWQ!$ND$2:$ND$60=D$4),0),$B254-1966)</f>
        <v>228166.39999999999</v>
      </c>
      <c r="E254" s="18" cm="1">
        <f t="array" ref="E254">INDEX(GMWQ!$A$2:$NE$60,MATCH(1,(GMWQ!$NE$2:$NE$60=E$3)*(GMWQ!$ND$2:$ND$60=E$4),0),$B254-1966)</f>
        <v>-4495.4080000000004</v>
      </c>
      <c r="F254" s="18" cm="1">
        <f t="array" ref="F254">INDEX(GMWQ!$A$2:$NE$60,MATCH(1,(GMWQ!$NE$2:$NE$60=F$3)*(GMWQ!$ND$2:$ND$60=F$4),0),$B254-1966)</f>
        <v>-6377.4350000000004</v>
      </c>
      <c r="G254" s="18" cm="1">
        <f t="array" ref="G254">INDEX(GMWQ!$A$2:$NE$60,MATCH(1,(GMWQ!$NE$2:$NE$60=G$3)*(GMWQ!$ND$2:$ND$60=G$4),0),$B254-1966)</f>
        <v>1035706</v>
      </c>
      <c r="H254" s="18" cm="1">
        <f t="array" ref="H254">INDEX(GMWQ!$A$2:$NE$60,MATCH(1,(GMWQ!$NE$2:$NE$60=H$3)*(GMWQ!$ND$2:$ND$60=H$4),0),$B254-1966)</f>
        <v>139245.4</v>
      </c>
      <c r="I254" s="18" cm="1">
        <f t="array" ref="I254">INDEX(GMWQ!$A$2:$NE$60,MATCH(1,(GMWQ!$NE$2:$NE$60=I$3)*(GMWQ!$ND$2:$ND$60=I$4),0),$B254-1966)</f>
        <v>18553.14</v>
      </c>
      <c r="J254" s="18" cm="1">
        <f t="array" ref="J254">INDEX(GMWQ!$A$2:$NE$60,MATCH(1,(GMWQ!$NE$2:$NE$60=J$3)*(GMWQ!$ND$2:$ND$60=J$4),0),$B254-1966)</f>
        <v>29154.02</v>
      </c>
      <c r="K254" s="18" cm="1">
        <f t="array" ref="K254">INDEX(GMWQ!$A$2:$NE$60,MATCH(1,(GMWQ!$NE$2:$NE$60=K$3)*(GMWQ!$ND$2:$ND$60=K$4),0),$B254-1966)</f>
        <v>4007983</v>
      </c>
      <c r="L254" s="18" cm="1">
        <f t="array" ref="L254">INDEX(GMWQ!$A$2:$NE$60,MATCH(1,(GMWQ!$NE$2:$NE$60=L$3)*(GMWQ!$ND$2:$ND$60=L$4),0),$B254-1966)</f>
        <v>36390.11</v>
      </c>
      <c r="M254" s="18" cm="1">
        <f t="array" ref="M254">INDEX(GMWQ!$A$2:$NE$60,MATCH(1,(GMWQ!$NE$2:$NE$60=M$3)*(GMWQ!$ND$2:$ND$60=M$4),0),$B254-1966)</f>
        <v>31.99042</v>
      </c>
      <c r="N254" s="18" cm="1">
        <f t="array" ref="N254">INDEX(GMWQ!$A$2:$NE$60,MATCH(1,(GMWQ!$NE$2:$NE$60=N$3)*(GMWQ!$ND$2:$ND$60=N$4),0),$B254-1966)</f>
        <v>8.9829670000000004</v>
      </c>
      <c r="O254" s="18" cm="1">
        <f t="array" ref="O254">INDEX(GMWQ!$A$2:$NE$60,MATCH(1,(GMWQ!$NE$2:$NE$60=O$3)*(GMWQ!$ND$2:$ND$60=O$4),0),$B254-1966)</f>
        <v>3.8562470000000002</v>
      </c>
      <c r="P254" s="18" cm="1">
        <f t="array" ref="P254">INDEX(GMWQ!$A$2:$NE$60,MATCH(1,(GMWQ!$NE$2:$NE$60=P$3)*(GMWQ!$ND$2:$ND$60=P$4),0),$B254-1966)</f>
        <v>813673.8</v>
      </c>
      <c r="Q254" s="18" cm="1">
        <f t="array" ref="Q254">INDEX(GMWQ!$A$2:$NE$60,MATCH(1,(GMWQ!$NE$2:$NE$60=Q$3)*(GMWQ!$ND$2:$ND$60=Q$4),0),$B254-1966)</f>
        <v>1262.153</v>
      </c>
      <c r="R254" s="18" cm="1">
        <f t="array" ref="R254">INDEX(GMWQ!$A$2:$NE$60,MATCH(1,(GMWQ!$NE$2:$NE$60=R$3)*(GMWQ!$ND$2:$ND$60=R$4),0),$B254-1966)</f>
        <v>25428.23</v>
      </c>
      <c r="S254" s="18" cm="1">
        <f t="array" ref="S254">INDEX(GMWQ!$A$2:$NE$60,MATCH(1,(GMWQ!$NE$2:$NE$60=S$3)*(GMWQ!$ND$2:$ND$60=S$4),0),$B254-1966)</f>
        <v>123.8476</v>
      </c>
      <c r="T254" s="18" cm="1">
        <f t="array" ref="T254">INDEX(GMWQ!$A$2:$NE$60,MATCH(1,(GMWQ!$NE$2:$NE$60=T$3)*(GMWQ!$ND$2:$ND$60=T$4),0),$B254-1966)</f>
        <v>97.602419999999995</v>
      </c>
      <c r="U254" s="18" cm="1">
        <f t="array" ref="U254">INDEX(GMWQ!$A$2:$NE$60,MATCH(1,(GMWQ!$NE$2:$NE$60=U$3)*(GMWQ!$ND$2:$ND$60=U$4),0),$B254-1966)</f>
        <v>65.320499999999996</v>
      </c>
      <c r="V254" s="18" cm="1">
        <f t="array" ref="V254">INDEX(GMWQ!$A$2:$NE$60,MATCH(1,(GMWQ!$NE$2:$NE$60=V$3)*(GMWQ!$ND$2:$ND$60=V$4),0),$B254-1966)</f>
        <v>90586.34</v>
      </c>
      <c r="W254" s="18" cm="1">
        <f t="array" ref="W254">INDEX(GMWQ!$A$2:$NF$60,MATCH(1,(GMWQ!$NE$2:$NE$60=W$3)*(GMWQ!$NF$2:$NF$60=W$1),0),$B254-1966)</f>
        <v>64325.16</v>
      </c>
      <c r="X254" s="18" cm="1">
        <f t="array" ref="X254">INDEX(GMWQ!$A$2:$NF$60,MATCH(1,(GMWQ!$NE$2:$NE$60=X$3)*(GMWQ!$NF$2:$NF$60=X$1),0),$B254-1966)</f>
        <v>67221.38</v>
      </c>
      <c r="Y254" s="18" cm="1">
        <f t="array" ref="Y254">INDEX(GMWQ!$A$2:$NF$60,MATCH(1,(GMWQ!$NE$2:$NE$60=Y$3)*(GMWQ!$NF$2:$NF$60=Y$1),0),$B254-1966)</f>
        <v>67861.679999999993</v>
      </c>
      <c r="Z254" s="18" cm="1">
        <f t="array" ref="Z254">INDEX(GMWQ!$A$2:$NF$60,MATCH(1,(GMWQ!$NE$2:$NE$60=Z$3)*(GMWQ!$NF$2:$NF$60=Z$1),0),$B254-1966)</f>
        <v>79202.490000000005</v>
      </c>
    </row>
    <row r="255" spans="1:26" x14ac:dyDescent="0.25">
      <c r="A255" s="18">
        <v>2035</v>
      </c>
      <c r="B255" s="18">
        <f t="shared" si="5"/>
        <v>2221</v>
      </c>
      <c r="C255" s="18" cm="1">
        <f t="array" ref="C255">INDEX(GMWQ!$A$2:$NE$60,MATCH(1,(GMWQ!$NE$2:$NE$60=C$3)*(GMWQ!$ND$2:$ND$60=C$4),0),$B255-1966)</f>
        <v>82369.289999999994</v>
      </c>
      <c r="D255" s="18" cm="1">
        <f t="array" ref="D255">INDEX(GMWQ!$A$2:$NE$60,MATCH(1,(GMWQ!$NE$2:$NE$60=D$3)*(GMWQ!$ND$2:$ND$60=D$4),0),$B255-1966)</f>
        <v>230255.1</v>
      </c>
      <c r="E255" s="18" cm="1">
        <f t="array" ref="E255">INDEX(GMWQ!$A$2:$NE$60,MATCH(1,(GMWQ!$NE$2:$NE$60=E$3)*(GMWQ!$ND$2:$ND$60=E$4),0),$B255-1966)</f>
        <v>-20225.22</v>
      </c>
      <c r="F255" s="18" cm="1">
        <f t="array" ref="F255">INDEX(GMWQ!$A$2:$NE$60,MATCH(1,(GMWQ!$NE$2:$NE$60=F$3)*(GMWQ!$ND$2:$ND$60=F$4),0),$B255-1966)</f>
        <v>-22124.89</v>
      </c>
      <c r="G255" s="18" cm="1">
        <f t="array" ref="G255">INDEX(GMWQ!$A$2:$NE$60,MATCH(1,(GMWQ!$NE$2:$NE$60=G$3)*(GMWQ!$ND$2:$ND$60=G$4),0),$B255-1966)</f>
        <v>1045196</v>
      </c>
      <c r="H255" s="18" cm="1">
        <f t="array" ref="H255">INDEX(GMWQ!$A$2:$NE$60,MATCH(1,(GMWQ!$NE$2:$NE$60=H$3)*(GMWQ!$ND$2:$ND$60=H$4),0),$B255-1966)</f>
        <v>139998.79999999999</v>
      </c>
      <c r="I255" s="18" cm="1">
        <f t="array" ref="I255">INDEX(GMWQ!$A$2:$NE$60,MATCH(1,(GMWQ!$NE$2:$NE$60=I$3)*(GMWQ!$ND$2:$ND$60=I$4),0),$B255-1966)</f>
        <v>18641.13</v>
      </c>
      <c r="J255" s="18" cm="1">
        <f t="array" ref="J255">INDEX(GMWQ!$A$2:$NE$60,MATCH(1,(GMWQ!$NE$2:$NE$60=J$3)*(GMWQ!$ND$2:$ND$60=J$4),0),$B255-1966)</f>
        <v>29262.54</v>
      </c>
      <c r="K255" s="18" cm="1">
        <f t="array" ref="K255">INDEX(GMWQ!$A$2:$NE$60,MATCH(1,(GMWQ!$NE$2:$NE$60=K$3)*(GMWQ!$ND$2:$ND$60=K$4),0),$B255-1966)</f>
        <v>4026035</v>
      </c>
      <c r="L255" s="18" cm="1">
        <f t="array" ref="L255">INDEX(GMWQ!$A$2:$NE$60,MATCH(1,(GMWQ!$NE$2:$NE$60=L$3)*(GMWQ!$ND$2:$ND$60=L$4),0),$B255-1966)</f>
        <v>36431.25</v>
      </c>
      <c r="M255" s="18" cm="1">
        <f t="array" ref="M255">INDEX(GMWQ!$A$2:$NE$60,MATCH(1,(GMWQ!$NE$2:$NE$60=M$3)*(GMWQ!$ND$2:$ND$60=M$4),0),$B255-1966)</f>
        <v>31.989840000000001</v>
      </c>
      <c r="N255" s="18" cm="1">
        <f t="array" ref="N255">INDEX(GMWQ!$A$2:$NE$60,MATCH(1,(GMWQ!$NE$2:$NE$60=N$3)*(GMWQ!$ND$2:$ND$60=N$4),0),$B255-1966)</f>
        <v>8.9914769999999997</v>
      </c>
      <c r="O255" s="18" cm="1">
        <f t="array" ref="O255">INDEX(GMWQ!$A$2:$NE$60,MATCH(1,(GMWQ!$NE$2:$NE$60=O$3)*(GMWQ!$ND$2:$ND$60=O$4),0),$B255-1966)</f>
        <v>3.8562470000000002</v>
      </c>
      <c r="P255" s="18" cm="1">
        <f t="array" ref="P255">INDEX(GMWQ!$A$2:$NE$60,MATCH(1,(GMWQ!$NE$2:$NE$60=P$3)*(GMWQ!$ND$2:$ND$60=P$4),0),$B255-1966)</f>
        <v>824842.3</v>
      </c>
      <c r="Q255" s="18" cm="1">
        <f t="array" ref="Q255">INDEX(GMWQ!$A$2:$NE$60,MATCH(1,(GMWQ!$NE$2:$NE$60=Q$3)*(GMWQ!$ND$2:$ND$60=Q$4),0),$B255-1966)</f>
        <v>1270.4849999999999</v>
      </c>
      <c r="R255" s="18" cm="1">
        <f t="array" ref="R255">INDEX(GMWQ!$A$2:$NE$60,MATCH(1,(GMWQ!$NE$2:$NE$60=R$3)*(GMWQ!$ND$2:$ND$60=R$4),0),$B255-1966)</f>
        <v>25426.91</v>
      </c>
      <c r="S255" s="18" cm="1">
        <f t="array" ref="S255">INDEX(GMWQ!$A$2:$NE$60,MATCH(1,(GMWQ!$NE$2:$NE$60=S$3)*(GMWQ!$ND$2:$ND$60=S$4),0),$B255-1966)</f>
        <v>124.1026</v>
      </c>
      <c r="T255" s="18" cm="1">
        <f t="array" ref="T255">INDEX(GMWQ!$A$2:$NE$60,MATCH(1,(GMWQ!$NE$2:$NE$60=T$3)*(GMWQ!$ND$2:$ND$60=T$4),0),$B255-1966)</f>
        <v>97.837289999999996</v>
      </c>
      <c r="U255" s="18" cm="1">
        <f t="array" ref="U255">INDEX(GMWQ!$A$2:$NE$60,MATCH(1,(GMWQ!$NE$2:$NE$60=U$3)*(GMWQ!$ND$2:$ND$60=U$4),0),$B255-1966)</f>
        <v>65.359160000000003</v>
      </c>
      <c r="V255" s="18" cm="1">
        <f t="array" ref="V255">INDEX(GMWQ!$A$2:$NE$60,MATCH(1,(GMWQ!$NE$2:$NE$60=V$3)*(GMWQ!$ND$2:$ND$60=V$4),0),$B255-1966)</f>
        <v>91005.53</v>
      </c>
      <c r="W255" s="18" cm="1">
        <f t="array" ref="W255">INDEX(GMWQ!$A$2:$NF$60,MATCH(1,(GMWQ!$NE$2:$NE$60=W$3)*(GMWQ!$NF$2:$NF$60=W$1),0),$B255-1966)</f>
        <v>64609.599999999999</v>
      </c>
      <c r="X255" s="18" cm="1">
        <f t="array" ref="X255">INDEX(GMWQ!$A$2:$NF$60,MATCH(1,(GMWQ!$NE$2:$NE$60=X$3)*(GMWQ!$NF$2:$NF$60=X$1),0),$B255-1966)</f>
        <v>67526.880000000005</v>
      </c>
      <c r="Y255" s="18" cm="1">
        <f t="array" ref="Y255">INDEX(GMWQ!$A$2:$NF$60,MATCH(1,(GMWQ!$NE$2:$NE$60=Y$3)*(GMWQ!$NF$2:$NF$60=Y$1),0),$B255-1966)</f>
        <v>68201.58</v>
      </c>
      <c r="Z255" s="18" cm="1">
        <f t="array" ref="Z255">INDEX(GMWQ!$A$2:$NF$60,MATCH(1,(GMWQ!$NE$2:$NE$60=Z$3)*(GMWQ!$NF$2:$NF$60=Z$1),0),$B255-1966)</f>
        <v>79698.289999999994</v>
      </c>
    </row>
    <row r="256" spans="1:26" x14ac:dyDescent="0.25">
      <c r="B256" s="18">
        <f t="shared" si="5"/>
        <v>2222</v>
      </c>
      <c r="C256" s="18" cm="1">
        <f t="array" ref="C256">INDEX(GMWQ!$A$2:$NE$60,MATCH(1,(GMWQ!$NE$2:$NE$60=C$3)*(GMWQ!$ND$2:$ND$60=C$4),0),$B256-1966)</f>
        <v>82883.47</v>
      </c>
      <c r="D256" s="18" cm="1">
        <f t="array" ref="D256">INDEX(GMWQ!$A$2:$NE$60,MATCH(1,(GMWQ!$NE$2:$NE$60=D$3)*(GMWQ!$ND$2:$ND$60=D$4),0),$B256-1966)</f>
        <v>232518</v>
      </c>
      <c r="E256" s="18" cm="1">
        <f t="array" ref="E256">INDEX(GMWQ!$A$2:$NE$60,MATCH(1,(GMWQ!$NE$2:$NE$60=E$3)*(GMWQ!$ND$2:$ND$60=E$4),0),$B256-1966)</f>
        <v>-11684.76</v>
      </c>
      <c r="F256" s="18" cm="1">
        <f t="array" ref="F256">INDEX(GMWQ!$A$2:$NE$60,MATCH(1,(GMWQ!$NE$2:$NE$60=F$3)*(GMWQ!$ND$2:$ND$60=F$4),0),$B256-1966)</f>
        <v>-13602.16</v>
      </c>
      <c r="G256" s="18" cm="1">
        <f t="array" ref="G256">INDEX(GMWQ!$A$2:$NE$60,MATCH(1,(GMWQ!$NE$2:$NE$60=G$3)*(GMWQ!$ND$2:$ND$60=G$4),0),$B256-1966)</f>
        <v>1054772</v>
      </c>
      <c r="H256" s="18" cm="1">
        <f t="array" ref="H256">INDEX(GMWQ!$A$2:$NE$60,MATCH(1,(GMWQ!$NE$2:$NE$60=H$3)*(GMWQ!$ND$2:$ND$60=H$4),0),$B256-1966)</f>
        <v>140756.4</v>
      </c>
      <c r="I256" s="18" cm="1">
        <f t="array" ref="I256">INDEX(GMWQ!$A$2:$NE$60,MATCH(1,(GMWQ!$NE$2:$NE$60=I$3)*(GMWQ!$ND$2:$ND$60=I$4),0),$B256-1966)</f>
        <v>18729.53</v>
      </c>
      <c r="J256" s="18" cm="1">
        <f t="array" ref="J256">INDEX(GMWQ!$A$2:$NE$60,MATCH(1,(GMWQ!$NE$2:$NE$60=J$3)*(GMWQ!$ND$2:$ND$60=J$4),0),$B256-1966)</f>
        <v>29371.46</v>
      </c>
      <c r="K256" s="18" cm="1">
        <f t="array" ref="K256">INDEX(GMWQ!$A$2:$NE$60,MATCH(1,(GMWQ!$NE$2:$NE$60=K$3)*(GMWQ!$ND$2:$ND$60=K$4),0),$B256-1966)</f>
        <v>4044262</v>
      </c>
      <c r="L256" s="18" cm="1">
        <f t="array" ref="L256">INDEX(GMWQ!$A$2:$NE$60,MATCH(1,(GMWQ!$NE$2:$NE$60=L$3)*(GMWQ!$ND$2:$ND$60=L$4),0),$B256-1966)</f>
        <v>36472.39</v>
      </c>
      <c r="M256" s="18" cm="1">
        <f t="array" ref="M256">INDEX(GMWQ!$A$2:$NE$60,MATCH(1,(GMWQ!$NE$2:$NE$60=M$3)*(GMWQ!$ND$2:$ND$60=M$4),0),$B256-1966)</f>
        <v>31.989270000000001</v>
      </c>
      <c r="N256" s="18" cm="1">
        <f t="array" ref="N256">INDEX(GMWQ!$A$2:$NE$60,MATCH(1,(GMWQ!$NE$2:$NE$60=N$3)*(GMWQ!$ND$2:$ND$60=N$4),0),$B256-1966)</f>
        <v>8.9991090000000007</v>
      </c>
      <c r="O256" s="18" cm="1">
        <f t="array" ref="O256">INDEX(GMWQ!$A$2:$NE$60,MATCH(1,(GMWQ!$NE$2:$NE$60=O$3)*(GMWQ!$ND$2:$ND$60=O$4),0),$B256-1966)</f>
        <v>3.8562470000000002</v>
      </c>
      <c r="P256" s="18" cm="1">
        <f t="array" ref="P256">INDEX(GMWQ!$A$2:$NE$60,MATCH(1,(GMWQ!$NE$2:$NE$60=P$3)*(GMWQ!$ND$2:$ND$60=P$4),0),$B256-1966)</f>
        <v>836317.5</v>
      </c>
      <c r="Q256" s="18" cm="1">
        <f t="array" ref="Q256">INDEX(GMWQ!$A$2:$NE$60,MATCH(1,(GMWQ!$NE$2:$NE$60=Q$3)*(GMWQ!$ND$2:$ND$60=Q$4),0),$B256-1966)</f>
        <v>1278.8030000000001</v>
      </c>
      <c r="R256" s="18" cm="1">
        <f t="array" ref="R256">INDEX(GMWQ!$A$2:$NE$60,MATCH(1,(GMWQ!$NE$2:$NE$60=R$3)*(GMWQ!$ND$2:$ND$60=R$4),0),$B256-1966)</f>
        <v>25421.23</v>
      </c>
      <c r="S256" s="18" cm="1">
        <f t="array" ref="S256">INDEX(GMWQ!$A$2:$NE$60,MATCH(1,(GMWQ!$NE$2:$NE$60=S$3)*(GMWQ!$ND$2:$ND$60=S$4),0),$B256-1966)</f>
        <v>124.3582</v>
      </c>
      <c r="T256" s="18" cm="1">
        <f t="array" ref="T256">INDEX(GMWQ!$A$2:$NE$60,MATCH(1,(GMWQ!$NE$2:$NE$60=T$3)*(GMWQ!$ND$2:$ND$60=T$4),0),$B256-1966)</f>
        <v>98.078040000000001</v>
      </c>
      <c r="U256" s="18" cm="1">
        <f t="array" ref="U256">INDEX(GMWQ!$A$2:$NE$60,MATCH(1,(GMWQ!$NE$2:$NE$60=U$3)*(GMWQ!$ND$2:$ND$60=U$4),0),$B256-1966)</f>
        <v>65.396879999999996</v>
      </c>
      <c r="V256" s="18" cm="1">
        <f t="array" ref="V256">INDEX(GMWQ!$A$2:$NE$60,MATCH(1,(GMWQ!$NE$2:$NE$60=V$3)*(GMWQ!$ND$2:$ND$60=V$4),0),$B256-1966)</f>
        <v>91426.06</v>
      </c>
      <c r="W256" s="18" cm="1">
        <f t="array" ref="W256">INDEX(GMWQ!$A$2:$NF$60,MATCH(1,(GMWQ!$NE$2:$NE$60=W$3)*(GMWQ!$NF$2:$NF$60=W$1),0),$B256-1966)</f>
        <v>64894.69</v>
      </c>
      <c r="X256" s="18" cm="1">
        <f t="array" ref="X256">INDEX(GMWQ!$A$2:$NF$60,MATCH(1,(GMWQ!$NE$2:$NE$60=X$3)*(GMWQ!$NF$2:$NF$60=X$1),0),$B256-1966)</f>
        <v>67833.34</v>
      </c>
      <c r="Y256" s="18" cm="1">
        <f t="array" ref="Y256">INDEX(GMWQ!$A$2:$NF$60,MATCH(1,(GMWQ!$NE$2:$NE$60=Y$3)*(GMWQ!$NF$2:$NF$60=Y$1),0),$B256-1966)</f>
        <v>68543.199999999997</v>
      </c>
      <c r="Z256" s="18" cm="1">
        <f t="array" ref="Z256">INDEX(GMWQ!$A$2:$NF$60,MATCH(1,(GMWQ!$NE$2:$NE$60=Z$3)*(GMWQ!$NF$2:$NF$60=Z$1),0),$B256-1966)</f>
        <v>80197.22</v>
      </c>
    </row>
    <row r="257" spans="1:26" x14ac:dyDescent="0.25">
      <c r="B257" s="18">
        <f t="shared" si="5"/>
        <v>2223</v>
      </c>
      <c r="C257" s="18" cm="1">
        <f t="array" ref="C257">INDEX(GMWQ!$A$2:$NE$60,MATCH(1,(GMWQ!$NE$2:$NE$60=C$3)*(GMWQ!$ND$2:$ND$60=C$4),0),$B257-1966)</f>
        <v>83400.84</v>
      </c>
      <c r="D257" s="18" cm="1">
        <f t="array" ref="D257">INDEX(GMWQ!$A$2:$NE$60,MATCH(1,(GMWQ!$NE$2:$NE$60=D$3)*(GMWQ!$ND$2:$ND$60=D$4),0),$B257-1966)</f>
        <v>234844.2</v>
      </c>
      <c r="E257" s="18" cm="1">
        <f t="array" ref="E257">INDEX(GMWQ!$A$2:$NE$60,MATCH(1,(GMWQ!$NE$2:$NE$60=E$3)*(GMWQ!$ND$2:$ND$60=E$4),0),$B257-1966)</f>
        <v>-15360.58</v>
      </c>
      <c r="F257" s="18" cm="1">
        <f t="array" ref="F257">INDEX(GMWQ!$A$2:$NE$60,MATCH(1,(GMWQ!$NE$2:$NE$60=F$3)*(GMWQ!$ND$2:$ND$60=F$4),0),$B257-1966)</f>
        <v>-17295.810000000001</v>
      </c>
      <c r="G257" s="18" cm="1">
        <f t="array" ref="G257">INDEX(GMWQ!$A$2:$NE$60,MATCH(1,(GMWQ!$NE$2:$NE$60=G$3)*(GMWQ!$ND$2:$ND$60=G$4),0),$B257-1966)</f>
        <v>1064437</v>
      </c>
      <c r="H257" s="18" cm="1">
        <f t="array" ref="H257">INDEX(GMWQ!$A$2:$NE$60,MATCH(1,(GMWQ!$NE$2:$NE$60=H$3)*(GMWQ!$ND$2:$ND$60=H$4),0),$B257-1966)</f>
        <v>141518.29999999999</v>
      </c>
      <c r="I257" s="18" cm="1">
        <f t="array" ref="I257">INDEX(GMWQ!$A$2:$NE$60,MATCH(1,(GMWQ!$NE$2:$NE$60=I$3)*(GMWQ!$ND$2:$ND$60=I$4),0),$B257-1966)</f>
        <v>18818.349999999999</v>
      </c>
      <c r="J257" s="18" cm="1">
        <f t="array" ref="J257">INDEX(GMWQ!$A$2:$NE$60,MATCH(1,(GMWQ!$NE$2:$NE$60=J$3)*(GMWQ!$ND$2:$ND$60=J$4),0),$B257-1966)</f>
        <v>29480.79</v>
      </c>
      <c r="K257" s="18" cm="1">
        <f t="array" ref="K257">INDEX(GMWQ!$A$2:$NE$60,MATCH(1,(GMWQ!$NE$2:$NE$60=K$3)*(GMWQ!$ND$2:$ND$60=K$4),0),$B257-1966)</f>
        <v>4062664</v>
      </c>
      <c r="L257" s="18" cm="1">
        <f t="array" ref="L257">INDEX(GMWQ!$A$2:$NE$60,MATCH(1,(GMWQ!$NE$2:$NE$60=L$3)*(GMWQ!$ND$2:$ND$60=L$4),0),$B257-1966)</f>
        <v>36513.53</v>
      </c>
      <c r="M257" s="18" cm="1">
        <f t="array" ref="M257">INDEX(GMWQ!$A$2:$NE$60,MATCH(1,(GMWQ!$NE$2:$NE$60=M$3)*(GMWQ!$ND$2:$ND$60=M$4),0),$B257-1966)</f>
        <v>31.988700000000001</v>
      </c>
      <c r="N257" s="18" cm="1">
        <f t="array" ref="N257">INDEX(GMWQ!$A$2:$NE$60,MATCH(1,(GMWQ!$NE$2:$NE$60=N$3)*(GMWQ!$ND$2:$ND$60=N$4),0),$B257-1966)</f>
        <v>9.0066469999999992</v>
      </c>
      <c r="O257" s="18" cm="1">
        <f t="array" ref="O257">INDEX(GMWQ!$A$2:$NE$60,MATCH(1,(GMWQ!$NE$2:$NE$60=O$3)*(GMWQ!$ND$2:$ND$60=O$4),0),$B257-1966)</f>
        <v>3.8562470000000002</v>
      </c>
      <c r="P257" s="18" cm="1">
        <f t="array" ref="P257">INDEX(GMWQ!$A$2:$NE$60,MATCH(1,(GMWQ!$NE$2:$NE$60=P$3)*(GMWQ!$ND$2:$ND$60=P$4),0),$B257-1966)</f>
        <v>848045</v>
      </c>
      <c r="Q257" s="18" cm="1">
        <f t="array" ref="Q257">INDEX(GMWQ!$A$2:$NE$60,MATCH(1,(GMWQ!$NE$2:$NE$60=Q$3)*(GMWQ!$ND$2:$ND$60=Q$4),0),$B257-1966)</f>
        <v>1287.105</v>
      </c>
      <c r="R257" s="18" cm="1">
        <f t="array" ref="R257">INDEX(GMWQ!$A$2:$NE$60,MATCH(1,(GMWQ!$NE$2:$NE$60=R$3)*(GMWQ!$ND$2:$ND$60=R$4),0),$B257-1966)</f>
        <v>25413.93</v>
      </c>
      <c r="S257" s="18" cm="1">
        <f t="array" ref="S257">INDEX(GMWQ!$A$2:$NE$60,MATCH(1,(GMWQ!$NE$2:$NE$60=S$3)*(GMWQ!$ND$2:$ND$60=S$4),0),$B257-1966)</f>
        <v>124.6144</v>
      </c>
      <c r="T257" s="18" cm="1">
        <f t="array" ref="T257">INDEX(GMWQ!$A$2:$NE$60,MATCH(1,(GMWQ!$NE$2:$NE$60=T$3)*(GMWQ!$ND$2:$ND$60=T$4),0),$B257-1966)</f>
        <v>98.318780000000004</v>
      </c>
      <c r="U257" s="18" cm="1">
        <f t="array" ref="U257">INDEX(GMWQ!$A$2:$NE$60,MATCH(1,(GMWQ!$NE$2:$NE$60=U$3)*(GMWQ!$ND$2:$ND$60=U$4),0),$B257-1966)</f>
        <v>65.434520000000006</v>
      </c>
      <c r="V257" s="18" cm="1">
        <f t="array" ref="V257">INDEX(GMWQ!$A$2:$NE$60,MATCH(1,(GMWQ!$NE$2:$NE$60=V$3)*(GMWQ!$ND$2:$ND$60=V$4),0),$B257-1966)</f>
        <v>91848.4</v>
      </c>
      <c r="W257" s="18" cm="1">
        <f t="array" ref="W257">INDEX(GMWQ!$A$2:$NF$60,MATCH(1,(GMWQ!$NE$2:$NE$60=W$3)*(GMWQ!$NF$2:$NF$60=W$1),0),$B257-1966)</f>
        <v>65180.39</v>
      </c>
      <c r="X257" s="18" cm="1">
        <f t="array" ref="X257">INDEX(GMWQ!$A$2:$NF$60,MATCH(1,(GMWQ!$NE$2:$NE$60=X$3)*(GMWQ!$NF$2:$NF$60=X$1),0),$B257-1966)</f>
        <v>68140.73</v>
      </c>
      <c r="Y257" s="18" cm="1">
        <f t="array" ref="Y257">INDEX(GMWQ!$A$2:$NF$60,MATCH(1,(GMWQ!$NE$2:$NE$60=Y$3)*(GMWQ!$NF$2:$NF$60=Y$1),0),$B257-1966)</f>
        <v>68886.47</v>
      </c>
      <c r="Z257" s="18" cm="1">
        <f t="array" ref="Z257">INDEX(GMWQ!$A$2:$NF$60,MATCH(1,(GMWQ!$NE$2:$NE$60=Z$3)*(GMWQ!$NF$2:$NF$60=Z$1),0),$B257-1966)</f>
        <v>80699.27</v>
      </c>
    </row>
    <row r="258" spans="1:26" x14ac:dyDescent="0.25">
      <c r="B258" s="18">
        <f t="shared" si="5"/>
        <v>2224</v>
      </c>
      <c r="C258" s="18" cm="1">
        <f t="array" ref="C258">INDEX(GMWQ!$A$2:$NE$60,MATCH(1,(GMWQ!$NE$2:$NE$60=C$3)*(GMWQ!$ND$2:$ND$60=C$4),0),$B258-1966)</f>
        <v>83921.38</v>
      </c>
      <c r="D258" s="18" cm="1">
        <f t="array" ref="D258">INDEX(GMWQ!$A$2:$NE$60,MATCH(1,(GMWQ!$NE$2:$NE$60=D$3)*(GMWQ!$ND$2:$ND$60=D$4),0),$B258-1966)</f>
        <v>236618.6</v>
      </c>
      <c r="E258" s="18" cm="1">
        <f t="array" ref="E258">INDEX(GMWQ!$A$2:$NE$60,MATCH(1,(GMWQ!$NE$2:$NE$60=E$3)*(GMWQ!$ND$2:$ND$60=E$4),0),$B258-1966)</f>
        <v>-3159.8319999999999</v>
      </c>
      <c r="F258" s="18" cm="1">
        <f t="array" ref="F258">INDEX(GMWQ!$A$2:$NE$60,MATCH(1,(GMWQ!$NE$2:$NE$60=F$3)*(GMWQ!$ND$2:$ND$60=F$4),0),$B258-1966)</f>
        <v>-5112.9989999999998</v>
      </c>
      <c r="G258" s="18" cm="1">
        <f t="array" ref="G258">INDEX(GMWQ!$A$2:$NE$60,MATCH(1,(GMWQ!$NE$2:$NE$60=G$3)*(GMWQ!$ND$2:$ND$60=G$4),0),$B258-1966)</f>
        <v>1074188</v>
      </c>
      <c r="H258" s="18" cm="1">
        <f t="array" ref="H258">INDEX(GMWQ!$A$2:$NE$60,MATCH(1,(GMWQ!$NE$2:$NE$60=H$3)*(GMWQ!$ND$2:$ND$60=H$4),0),$B258-1966)</f>
        <v>142284.29999999999</v>
      </c>
      <c r="I258" s="18" cm="1">
        <f t="array" ref="I258">INDEX(GMWQ!$A$2:$NE$60,MATCH(1,(GMWQ!$NE$2:$NE$60=I$3)*(GMWQ!$ND$2:$ND$60=I$4),0),$B258-1966)</f>
        <v>18907.57</v>
      </c>
      <c r="J258" s="18" cm="1">
        <f t="array" ref="J258">INDEX(GMWQ!$A$2:$NE$60,MATCH(1,(GMWQ!$NE$2:$NE$60=J$3)*(GMWQ!$ND$2:$ND$60=J$4),0),$B258-1966)</f>
        <v>29590.5</v>
      </c>
      <c r="K258" s="18" cm="1">
        <f t="array" ref="K258">INDEX(GMWQ!$A$2:$NE$60,MATCH(1,(GMWQ!$NE$2:$NE$60=K$3)*(GMWQ!$ND$2:$ND$60=K$4),0),$B258-1966)</f>
        <v>4081239</v>
      </c>
      <c r="L258" s="18" cm="1">
        <f t="array" ref="L258">INDEX(GMWQ!$A$2:$NE$60,MATCH(1,(GMWQ!$NE$2:$NE$60=L$3)*(GMWQ!$ND$2:$ND$60=L$4),0),$B258-1966)</f>
        <v>36554.67</v>
      </c>
      <c r="M258" s="18" cm="1">
        <f t="array" ref="M258">INDEX(GMWQ!$A$2:$NE$60,MATCH(1,(GMWQ!$NE$2:$NE$60=M$3)*(GMWQ!$ND$2:$ND$60=M$4),0),$B258-1966)</f>
        <v>31.988119999999999</v>
      </c>
      <c r="N258" s="18" cm="1">
        <f t="array" ref="N258">INDEX(GMWQ!$A$2:$NE$60,MATCH(1,(GMWQ!$NE$2:$NE$60=N$3)*(GMWQ!$ND$2:$ND$60=N$4),0),$B258-1966)</f>
        <v>9.0188140000000008</v>
      </c>
      <c r="O258" s="18" cm="1">
        <f t="array" ref="O258">INDEX(GMWQ!$A$2:$NE$60,MATCH(1,(GMWQ!$NE$2:$NE$60=O$3)*(GMWQ!$ND$2:$ND$60=O$4),0),$B258-1966)</f>
        <v>3.8562470000000002</v>
      </c>
      <c r="P258" s="18" cm="1">
        <f t="array" ref="P258">INDEX(GMWQ!$A$2:$NE$60,MATCH(1,(GMWQ!$NE$2:$NE$60=P$3)*(GMWQ!$ND$2:$ND$60=P$4),0),$B258-1966)</f>
        <v>859918.3</v>
      </c>
      <c r="Q258" s="18" cm="1">
        <f t="array" ref="Q258">INDEX(GMWQ!$A$2:$NE$60,MATCH(1,(GMWQ!$NE$2:$NE$60=Q$3)*(GMWQ!$ND$2:$ND$60=Q$4),0),$B258-1966)</f>
        <v>1295.3889999999999</v>
      </c>
      <c r="R258" s="18" cm="1">
        <f t="array" ref="R258">INDEX(GMWQ!$A$2:$NE$60,MATCH(1,(GMWQ!$NE$2:$NE$60=R$3)*(GMWQ!$ND$2:$ND$60=R$4),0),$B258-1966)</f>
        <v>25404.46</v>
      </c>
      <c r="S258" s="18" cm="1">
        <f t="array" ref="S258">INDEX(GMWQ!$A$2:$NE$60,MATCH(1,(GMWQ!$NE$2:$NE$60=S$3)*(GMWQ!$ND$2:$ND$60=S$4),0),$B258-1966)</f>
        <v>124.8711</v>
      </c>
      <c r="T258" s="18" cm="1">
        <f t="array" ref="T258">INDEX(GMWQ!$A$2:$NE$60,MATCH(1,(GMWQ!$NE$2:$NE$60=T$3)*(GMWQ!$ND$2:$ND$60=T$4),0),$B258-1966)</f>
        <v>98.557590000000005</v>
      </c>
      <c r="U258" s="18" cm="1">
        <f t="array" ref="U258">INDEX(GMWQ!$A$2:$NE$60,MATCH(1,(GMWQ!$NE$2:$NE$60=U$3)*(GMWQ!$ND$2:$ND$60=U$4),0),$B258-1966)</f>
        <v>65.473370000000003</v>
      </c>
      <c r="V258" s="18" cm="1">
        <f t="array" ref="V258">INDEX(GMWQ!$A$2:$NE$60,MATCH(1,(GMWQ!$NE$2:$NE$60=V$3)*(GMWQ!$ND$2:$ND$60=V$4),0),$B258-1966)</f>
        <v>92272.19</v>
      </c>
      <c r="W258" s="18" cm="1">
        <f t="array" ref="W258">INDEX(GMWQ!$A$2:$NF$60,MATCH(1,(GMWQ!$NE$2:$NE$60=W$3)*(GMWQ!$NF$2:$NF$60=W$1),0),$B258-1966)</f>
        <v>65466.71</v>
      </c>
      <c r="X258" s="18" cm="1">
        <f t="array" ref="X258">INDEX(GMWQ!$A$2:$NF$60,MATCH(1,(GMWQ!$NE$2:$NE$60=X$3)*(GMWQ!$NF$2:$NF$60=X$1),0),$B258-1966)</f>
        <v>68449.02</v>
      </c>
      <c r="Y258" s="18" cm="1">
        <f t="array" ref="Y258">INDEX(GMWQ!$A$2:$NF$60,MATCH(1,(GMWQ!$NE$2:$NE$60=Y$3)*(GMWQ!$NF$2:$NF$60=Y$1),0),$B258-1966)</f>
        <v>69231.42</v>
      </c>
      <c r="Z258" s="18" cm="1">
        <f t="array" ref="Z258">INDEX(GMWQ!$A$2:$NF$60,MATCH(1,(GMWQ!$NE$2:$NE$60=Z$3)*(GMWQ!$NF$2:$NF$60=Z$1),0),$B258-1966)</f>
        <v>81204.42</v>
      </c>
    </row>
    <row r="259" spans="1:26" x14ac:dyDescent="0.25">
      <c r="A259" s="18">
        <v>2036</v>
      </c>
      <c r="B259" s="18">
        <f t="shared" si="5"/>
        <v>2225</v>
      </c>
      <c r="C259" s="18" cm="1">
        <f t="array" ref="C259">INDEX(GMWQ!$A$2:$NE$60,MATCH(1,(GMWQ!$NE$2:$NE$60=C$3)*(GMWQ!$ND$2:$ND$60=C$4),0),$B259-1966)</f>
        <v>84452.42</v>
      </c>
      <c r="D259" s="18" cm="1">
        <f t="array" ref="D259">INDEX(GMWQ!$A$2:$NE$60,MATCH(1,(GMWQ!$NE$2:$NE$60=D$3)*(GMWQ!$ND$2:$ND$60=D$4),0),$B259-1966)</f>
        <v>238810.3</v>
      </c>
      <c r="E259" s="18" cm="1">
        <f t="array" ref="E259">INDEX(GMWQ!$A$2:$NE$60,MATCH(1,(GMWQ!$NE$2:$NE$60=E$3)*(GMWQ!$ND$2:$ND$60=E$4),0),$B259-1966)</f>
        <v>-19883.27</v>
      </c>
      <c r="F259" s="18" cm="1">
        <f t="array" ref="F259">INDEX(GMWQ!$A$2:$NE$60,MATCH(1,(GMWQ!$NE$2:$NE$60=F$3)*(GMWQ!$ND$2:$ND$60=F$4),0),$B259-1966)</f>
        <v>-21854.67</v>
      </c>
      <c r="G259" s="18" cm="1">
        <f t="array" ref="G259">INDEX(GMWQ!$A$2:$NE$60,MATCH(1,(GMWQ!$NE$2:$NE$60=G$3)*(GMWQ!$ND$2:$ND$60=G$4),0),$B259-1966)</f>
        <v>1084124</v>
      </c>
      <c r="H259" s="18" cm="1">
        <f t="array" ref="H259">INDEX(GMWQ!$A$2:$NE$60,MATCH(1,(GMWQ!$NE$2:$NE$60=H$3)*(GMWQ!$ND$2:$ND$60=H$4),0),$B259-1966)</f>
        <v>143066.9</v>
      </c>
      <c r="I259" s="18" cm="1">
        <f t="array" ref="I259">INDEX(GMWQ!$A$2:$NE$60,MATCH(1,(GMWQ!$NE$2:$NE$60=I$3)*(GMWQ!$ND$2:$ND$60=I$4),0),$B259-1966)</f>
        <v>18998.86</v>
      </c>
      <c r="J259" s="18" cm="1">
        <f t="array" ref="J259">INDEX(GMWQ!$A$2:$NE$60,MATCH(1,(GMWQ!$NE$2:$NE$60=J$3)*(GMWQ!$ND$2:$ND$60=J$4),0),$B259-1966)</f>
        <v>29703.18</v>
      </c>
      <c r="K259" s="18" cm="1">
        <f t="array" ref="K259">INDEX(GMWQ!$A$2:$NE$60,MATCH(1,(GMWQ!$NE$2:$NE$60=K$3)*(GMWQ!$ND$2:$ND$60=K$4),0),$B259-1966)</f>
        <v>4099998</v>
      </c>
      <c r="L259" s="18" cm="1">
        <f t="array" ref="L259">INDEX(GMWQ!$A$2:$NE$60,MATCH(1,(GMWQ!$NE$2:$NE$60=L$3)*(GMWQ!$ND$2:$ND$60=L$4),0),$B259-1966)</f>
        <v>36595.81</v>
      </c>
      <c r="M259" s="18" cm="1">
        <f t="array" ref="M259">INDEX(GMWQ!$A$2:$NE$60,MATCH(1,(GMWQ!$NE$2:$NE$60=M$3)*(GMWQ!$ND$2:$ND$60=M$4),0),$B259-1966)</f>
        <v>31.987549999999999</v>
      </c>
      <c r="N259" s="18" cm="1">
        <f t="array" ref="N259">INDEX(GMWQ!$A$2:$NE$60,MATCH(1,(GMWQ!$NE$2:$NE$60=N$3)*(GMWQ!$ND$2:$ND$60=N$4),0),$B259-1966)</f>
        <v>9.0272690000000004</v>
      </c>
      <c r="O259" s="18" cm="1">
        <f t="array" ref="O259">INDEX(GMWQ!$A$2:$NE$60,MATCH(1,(GMWQ!$NE$2:$NE$60=O$3)*(GMWQ!$ND$2:$ND$60=O$4),0),$B259-1966)</f>
        <v>3.8562470000000002</v>
      </c>
      <c r="P259" s="18" cm="1">
        <f t="array" ref="P259">INDEX(GMWQ!$A$2:$NE$60,MATCH(1,(GMWQ!$NE$2:$NE$60=P$3)*(GMWQ!$ND$2:$ND$60=P$4),0),$B259-1966)</f>
        <v>871716.8</v>
      </c>
      <c r="Q259" s="18" cm="1">
        <f t="array" ref="Q259">INDEX(GMWQ!$A$2:$NE$60,MATCH(1,(GMWQ!$NE$2:$NE$60=Q$3)*(GMWQ!$ND$2:$ND$60=Q$4),0),$B259-1966)</f>
        <v>1303.6289999999999</v>
      </c>
      <c r="R259" s="18" cm="1">
        <f t="array" ref="R259">INDEX(GMWQ!$A$2:$NE$60,MATCH(1,(GMWQ!$NE$2:$NE$60=R$3)*(GMWQ!$ND$2:$ND$60=R$4),0),$B259-1966)</f>
        <v>25398.37</v>
      </c>
      <c r="S259" s="18" cm="1">
        <f t="array" ref="S259">INDEX(GMWQ!$A$2:$NE$60,MATCH(1,(GMWQ!$NE$2:$NE$60=S$3)*(GMWQ!$ND$2:$ND$60=S$4),0),$B259-1966)</f>
        <v>125.1247</v>
      </c>
      <c r="T259" s="18" cm="1">
        <f t="array" ref="T259">INDEX(GMWQ!$A$2:$NE$60,MATCH(1,(GMWQ!$NE$2:$NE$60=T$3)*(GMWQ!$ND$2:$ND$60=T$4),0),$B259-1966)</f>
        <v>98.79759</v>
      </c>
      <c r="U259" s="18" cm="1">
        <f t="array" ref="U259">INDEX(GMWQ!$A$2:$NE$60,MATCH(1,(GMWQ!$NE$2:$NE$60=U$3)*(GMWQ!$ND$2:$ND$60=U$4),0),$B259-1966)</f>
        <v>65.516490000000005</v>
      </c>
      <c r="V259" s="18" cm="1">
        <f t="array" ref="V259">INDEX(GMWQ!$A$2:$NE$60,MATCH(1,(GMWQ!$NE$2:$NE$60=V$3)*(GMWQ!$ND$2:$ND$60=V$4),0),$B259-1966)</f>
        <v>92737.54</v>
      </c>
      <c r="W259" s="18" cm="1">
        <f t="array" ref="W259">INDEX(GMWQ!$A$2:$NF$60,MATCH(1,(GMWQ!$NE$2:$NE$60=W$3)*(GMWQ!$NF$2:$NF$60=W$1),0),$B259-1966)</f>
        <v>65753.88</v>
      </c>
      <c r="X259" s="18" cm="1">
        <f t="array" ref="X259">INDEX(GMWQ!$A$2:$NF$60,MATCH(1,(GMWQ!$NE$2:$NE$60=X$3)*(GMWQ!$NF$2:$NF$60=X$1),0),$B259-1966)</f>
        <v>68769.929999999993</v>
      </c>
      <c r="Y259" s="18" cm="1">
        <f t="array" ref="Y259">INDEX(GMWQ!$A$2:$NF$60,MATCH(1,(GMWQ!$NE$2:$NE$60=Y$3)*(GMWQ!$NF$2:$NF$60=Y$1),0),$B259-1966)</f>
        <v>69589.67</v>
      </c>
      <c r="Z259" s="18" cm="1">
        <f t="array" ref="Z259">INDEX(GMWQ!$A$2:$NF$60,MATCH(1,(GMWQ!$NE$2:$NE$60=Z$3)*(GMWQ!$NF$2:$NF$60=Z$1),0),$B259-1966)</f>
        <v>81720.070000000007</v>
      </c>
    </row>
    <row r="260" spans="1:26" x14ac:dyDescent="0.25">
      <c r="B260" s="18">
        <f t="shared" si="5"/>
        <v>2226</v>
      </c>
      <c r="C260" s="18" cm="1">
        <f t="array" ref="C260">INDEX(GMWQ!$A$2:$NE$60,MATCH(1,(GMWQ!$NE$2:$NE$60=C$3)*(GMWQ!$ND$2:$ND$60=C$4),0),$B260-1966)</f>
        <v>84987.09</v>
      </c>
      <c r="D260" s="18" cm="1">
        <f t="array" ref="D260">INDEX(GMWQ!$A$2:$NE$60,MATCH(1,(GMWQ!$NE$2:$NE$60=D$3)*(GMWQ!$ND$2:$ND$60=D$4),0),$B260-1966)</f>
        <v>241178</v>
      </c>
      <c r="E260" s="18" cm="1">
        <f t="array" ref="E260">INDEX(GMWQ!$A$2:$NE$60,MATCH(1,(GMWQ!$NE$2:$NE$60=E$3)*(GMWQ!$ND$2:$ND$60=E$4),0),$B260-1966)</f>
        <v>-10732.35</v>
      </c>
      <c r="F260" s="18" cm="1">
        <f t="array" ref="F260">INDEX(GMWQ!$A$2:$NE$60,MATCH(1,(GMWQ!$NE$2:$NE$60=F$3)*(GMWQ!$ND$2:$ND$60=F$4),0),$B260-1966)</f>
        <v>-12722.13</v>
      </c>
      <c r="G260" s="18" cm="1">
        <f t="array" ref="G260">INDEX(GMWQ!$A$2:$NE$60,MATCH(1,(GMWQ!$NE$2:$NE$60=G$3)*(GMWQ!$ND$2:$ND$60=G$4),0),$B260-1966)</f>
        <v>1094153</v>
      </c>
      <c r="H260" s="18" cm="1">
        <f t="array" ref="H260">INDEX(GMWQ!$A$2:$NE$60,MATCH(1,(GMWQ!$NE$2:$NE$60=H$3)*(GMWQ!$ND$2:$ND$60=H$4),0),$B260-1966)</f>
        <v>143854.5</v>
      </c>
      <c r="I260" s="18" cm="1">
        <f t="array" ref="I260">INDEX(GMWQ!$A$2:$NE$60,MATCH(1,(GMWQ!$NE$2:$NE$60=I$3)*(GMWQ!$ND$2:$ND$60=I$4),0),$B260-1966)</f>
        <v>19090.64</v>
      </c>
      <c r="J260" s="18" cm="1">
        <f t="array" ref="J260">INDEX(GMWQ!$A$2:$NE$60,MATCH(1,(GMWQ!$NE$2:$NE$60=J$3)*(GMWQ!$ND$2:$ND$60=J$4),0),$B260-1966)</f>
        <v>29816.37</v>
      </c>
      <c r="K260" s="18" cm="1">
        <f t="array" ref="K260">INDEX(GMWQ!$A$2:$NE$60,MATCH(1,(GMWQ!$NE$2:$NE$60=K$3)*(GMWQ!$ND$2:$ND$60=K$4),0),$B260-1966)</f>
        <v>4118939</v>
      </c>
      <c r="L260" s="18" cm="1">
        <f t="array" ref="L260">INDEX(GMWQ!$A$2:$NE$60,MATCH(1,(GMWQ!$NE$2:$NE$60=L$3)*(GMWQ!$ND$2:$ND$60=L$4),0),$B260-1966)</f>
        <v>36636.949999999997</v>
      </c>
      <c r="M260" s="18" cm="1">
        <f t="array" ref="M260">INDEX(GMWQ!$A$2:$NE$60,MATCH(1,(GMWQ!$NE$2:$NE$60=M$3)*(GMWQ!$ND$2:$ND$60=M$4),0),$B260-1966)</f>
        <v>31.986979999999999</v>
      </c>
      <c r="N260" s="18" cm="1">
        <f t="array" ref="N260">INDEX(GMWQ!$A$2:$NE$60,MATCH(1,(GMWQ!$NE$2:$NE$60=N$3)*(GMWQ!$ND$2:$ND$60=N$4),0),$B260-1966)</f>
        <v>9.0349599999999999</v>
      </c>
      <c r="O260" s="18" cm="1">
        <f t="array" ref="O260">INDEX(GMWQ!$A$2:$NE$60,MATCH(1,(GMWQ!$NE$2:$NE$60=O$3)*(GMWQ!$ND$2:$ND$60=O$4),0),$B260-1966)</f>
        <v>3.8562470000000002</v>
      </c>
      <c r="P260" s="18" cm="1">
        <f t="array" ref="P260">INDEX(GMWQ!$A$2:$NE$60,MATCH(1,(GMWQ!$NE$2:$NE$60=P$3)*(GMWQ!$ND$2:$ND$60=P$4),0),$B260-1966)</f>
        <v>883880.5</v>
      </c>
      <c r="Q260" s="18" cm="1">
        <f t="array" ref="Q260">INDEX(GMWQ!$A$2:$NE$60,MATCH(1,(GMWQ!$NE$2:$NE$60=Q$3)*(GMWQ!$ND$2:$ND$60=Q$4),0),$B260-1966)</f>
        <v>1311.91</v>
      </c>
      <c r="R260" s="18" cm="1">
        <f t="array" ref="R260">INDEX(GMWQ!$A$2:$NE$60,MATCH(1,(GMWQ!$NE$2:$NE$60=R$3)*(GMWQ!$ND$2:$ND$60=R$4),0),$B260-1966)</f>
        <v>25392.23</v>
      </c>
      <c r="S260" s="18" cm="1">
        <f t="array" ref="S260">INDEX(GMWQ!$A$2:$NE$60,MATCH(1,(GMWQ!$NE$2:$NE$60=S$3)*(GMWQ!$ND$2:$ND$60=S$4),0),$B260-1966)</f>
        <v>125.3789</v>
      </c>
      <c r="T260" s="18" cm="1">
        <f t="array" ref="T260">INDEX(GMWQ!$A$2:$NE$60,MATCH(1,(GMWQ!$NE$2:$NE$60=T$3)*(GMWQ!$ND$2:$ND$60=T$4),0),$B260-1966)</f>
        <v>99.039919999999995</v>
      </c>
      <c r="U260" s="18" cm="1">
        <f t="array" ref="U260">INDEX(GMWQ!$A$2:$NE$60,MATCH(1,(GMWQ!$NE$2:$NE$60=U$3)*(GMWQ!$ND$2:$ND$60=U$4),0),$B260-1966)</f>
        <v>65.559610000000006</v>
      </c>
      <c r="V260" s="18" cm="1">
        <f t="array" ref="V260">INDEX(GMWQ!$A$2:$NE$60,MATCH(1,(GMWQ!$NE$2:$NE$60=V$3)*(GMWQ!$ND$2:$ND$60=V$4),0),$B260-1966)</f>
        <v>93191.41</v>
      </c>
      <c r="W260" s="18" cm="1">
        <f t="array" ref="W260">INDEX(GMWQ!$A$2:$NF$60,MATCH(1,(GMWQ!$NE$2:$NE$60=W$3)*(GMWQ!$NF$2:$NF$60=W$1),0),$B260-1966)</f>
        <v>66041.89</v>
      </c>
      <c r="X260" s="18" cm="1">
        <f t="array" ref="X260">INDEX(GMWQ!$A$2:$NF$60,MATCH(1,(GMWQ!$NE$2:$NE$60=X$3)*(GMWQ!$NF$2:$NF$60=X$1),0),$B260-1966)</f>
        <v>69092.179999999993</v>
      </c>
      <c r="Y260" s="18" cm="1">
        <f t="array" ref="Y260">INDEX(GMWQ!$A$2:$NF$60,MATCH(1,(GMWQ!$NE$2:$NE$60=Y$3)*(GMWQ!$NF$2:$NF$60=Y$1),0),$B260-1966)</f>
        <v>69950.03</v>
      </c>
      <c r="Z260" s="18" cm="1">
        <f t="array" ref="Z260">INDEX(GMWQ!$A$2:$NF$60,MATCH(1,(GMWQ!$NE$2:$NE$60=Z$3)*(GMWQ!$NF$2:$NF$60=Z$1),0),$B260-1966)</f>
        <v>82239.27</v>
      </c>
    </row>
    <row r="261" spans="1:26" x14ac:dyDescent="0.25">
      <c r="B261" s="18">
        <f t="shared" si="5"/>
        <v>2227</v>
      </c>
      <c r="C261" s="18" cm="1">
        <f t="array" ref="C261">INDEX(GMWQ!$A$2:$NE$60,MATCH(1,(GMWQ!$NE$2:$NE$60=C$3)*(GMWQ!$ND$2:$ND$60=C$4),0),$B261-1966)</f>
        <v>85525.42</v>
      </c>
      <c r="D261" s="18" cm="1">
        <f t="array" ref="D261">INDEX(GMWQ!$A$2:$NE$60,MATCH(1,(GMWQ!$NE$2:$NE$60=D$3)*(GMWQ!$ND$2:$ND$60=D$4),0),$B261-1966)</f>
        <v>243612.2</v>
      </c>
      <c r="E261" s="18" cm="1">
        <f t="array" ref="E261">INDEX(GMWQ!$A$2:$NE$60,MATCH(1,(GMWQ!$NE$2:$NE$60=E$3)*(GMWQ!$ND$2:$ND$60=E$4),0),$B261-1966)</f>
        <v>-14568.87</v>
      </c>
      <c r="F261" s="18" cm="1">
        <f t="array" ref="F261">INDEX(GMWQ!$A$2:$NE$60,MATCH(1,(GMWQ!$NE$2:$NE$60=F$3)*(GMWQ!$ND$2:$ND$60=F$4),0),$B261-1966)</f>
        <v>-16577.169999999998</v>
      </c>
      <c r="G261" s="18" cm="1">
        <f t="array" ref="G261">INDEX(GMWQ!$A$2:$NE$60,MATCH(1,(GMWQ!$NE$2:$NE$60=G$3)*(GMWQ!$ND$2:$ND$60=G$4),0),$B261-1966)</f>
        <v>1104279</v>
      </c>
      <c r="H261" s="18" cm="1">
        <f t="array" ref="H261">INDEX(GMWQ!$A$2:$NE$60,MATCH(1,(GMWQ!$NE$2:$NE$60=H$3)*(GMWQ!$ND$2:$ND$60=H$4),0),$B261-1966)</f>
        <v>144647</v>
      </c>
      <c r="I261" s="18" cm="1">
        <f t="array" ref="I261">INDEX(GMWQ!$A$2:$NE$60,MATCH(1,(GMWQ!$NE$2:$NE$60=I$3)*(GMWQ!$ND$2:$ND$60=I$4),0),$B261-1966)</f>
        <v>19182.93</v>
      </c>
      <c r="J261" s="18" cm="1">
        <f t="array" ref="J261">INDEX(GMWQ!$A$2:$NE$60,MATCH(1,(GMWQ!$NE$2:$NE$60=J$3)*(GMWQ!$ND$2:$ND$60=J$4),0),$B261-1966)</f>
        <v>29930.1</v>
      </c>
      <c r="K261" s="18" cm="1">
        <f t="array" ref="K261">INDEX(GMWQ!$A$2:$NE$60,MATCH(1,(GMWQ!$NE$2:$NE$60=K$3)*(GMWQ!$ND$2:$ND$60=K$4),0),$B261-1966)</f>
        <v>4138062</v>
      </c>
      <c r="L261" s="18" cm="1">
        <f t="array" ref="L261">INDEX(GMWQ!$A$2:$NE$60,MATCH(1,(GMWQ!$NE$2:$NE$60=L$3)*(GMWQ!$ND$2:$ND$60=L$4),0),$B261-1966)</f>
        <v>36678.089999999997</v>
      </c>
      <c r="M261" s="18" cm="1">
        <f t="array" ref="M261">INDEX(GMWQ!$A$2:$NE$60,MATCH(1,(GMWQ!$NE$2:$NE$60=M$3)*(GMWQ!$ND$2:$ND$60=M$4),0),$B261-1966)</f>
        <v>31.986409999999999</v>
      </c>
      <c r="N261" s="18" cm="1">
        <f t="array" ref="N261">INDEX(GMWQ!$A$2:$NE$60,MATCH(1,(GMWQ!$NE$2:$NE$60=N$3)*(GMWQ!$ND$2:$ND$60=N$4),0),$B261-1966)</f>
        <v>9.0425330000000006</v>
      </c>
      <c r="O261" s="18" cm="1">
        <f t="array" ref="O261">INDEX(GMWQ!$A$2:$NE$60,MATCH(1,(GMWQ!$NE$2:$NE$60=O$3)*(GMWQ!$ND$2:$ND$60=O$4),0),$B261-1966)</f>
        <v>3.8562470000000002</v>
      </c>
      <c r="P261" s="18" cm="1">
        <f t="array" ref="P261">INDEX(GMWQ!$A$2:$NE$60,MATCH(1,(GMWQ!$NE$2:$NE$60=P$3)*(GMWQ!$ND$2:$ND$60=P$4),0),$B261-1966)</f>
        <v>896304</v>
      </c>
      <c r="Q261" s="18" cm="1">
        <f t="array" ref="Q261">INDEX(GMWQ!$A$2:$NE$60,MATCH(1,(GMWQ!$NE$2:$NE$60=Q$3)*(GMWQ!$ND$2:$ND$60=Q$4),0),$B261-1966)</f>
        <v>1320.2149999999999</v>
      </c>
      <c r="R261" s="18" cm="1">
        <f t="array" ref="R261">INDEX(GMWQ!$A$2:$NE$60,MATCH(1,(GMWQ!$NE$2:$NE$60=R$3)*(GMWQ!$ND$2:$ND$60=R$4),0),$B261-1966)</f>
        <v>25386.74</v>
      </c>
      <c r="S261" s="18" cm="1">
        <f t="array" ref="S261">INDEX(GMWQ!$A$2:$NE$60,MATCH(1,(GMWQ!$NE$2:$NE$60=S$3)*(GMWQ!$ND$2:$ND$60=S$4),0),$B261-1966)</f>
        <v>125.6331</v>
      </c>
      <c r="T261" s="18" cm="1">
        <f t="array" ref="T261">INDEX(GMWQ!$A$2:$NE$60,MATCH(1,(GMWQ!$NE$2:$NE$60=T$3)*(GMWQ!$ND$2:$ND$60=T$4),0),$B261-1966)</f>
        <v>99.281019999999998</v>
      </c>
      <c r="U261" s="18" cm="1">
        <f t="array" ref="U261">INDEX(GMWQ!$A$2:$NE$60,MATCH(1,(GMWQ!$NE$2:$NE$60=U$3)*(GMWQ!$ND$2:$ND$60=U$4),0),$B261-1966)</f>
        <v>65.589089999999999</v>
      </c>
      <c r="V261" s="18" cm="1">
        <f t="array" ref="V261">INDEX(GMWQ!$A$2:$NE$60,MATCH(1,(GMWQ!$NE$2:$NE$60=V$3)*(GMWQ!$ND$2:$ND$60=V$4),0),$B261-1966)</f>
        <v>93646.09</v>
      </c>
      <c r="W261" s="18" cm="1">
        <f t="array" ref="W261">INDEX(GMWQ!$A$2:$NF$60,MATCH(1,(GMWQ!$NE$2:$NE$60=W$3)*(GMWQ!$NF$2:$NF$60=W$1),0),$B261-1966)</f>
        <v>66330.75</v>
      </c>
      <c r="X261" s="18" cm="1">
        <f t="array" ref="X261">INDEX(GMWQ!$A$2:$NF$60,MATCH(1,(GMWQ!$NE$2:$NE$60=X$3)*(GMWQ!$NF$2:$NF$60=X$1),0),$B261-1966)</f>
        <v>69415.789999999994</v>
      </c>
      <c r="Y261" s="18" cm="1">
        <f t="array" ref="Y261">INDEX(GMWQ!$A$2:$NF$60,MATCH(1,(GMWQ!$NE$2:$NE$60=Y$3)*(GMWQ!$NF$2:$NF$60=Y$1),0),$B261-1966)</f>
        <v>70312.509999999995</v>
      </c>
      <c r="Z261" s="18" cm="1">
        <f t="array" ref="Z261">INDEX(GMWQ!$A$2:$NF$60,MATCH(1,(GMWQ!$NE$2:$NE$60=Z$3)*(GMWQ!$NF$2:$NF$60=Z$1),0),$B261-1966)</f>
        <v>82762.05</v>
      </c>
    </row>
    <row r="262" spans="1:26" x14ac:dyDescent="0.25">
      <c r="B262" s="18">
        <f t="shared" si="5"/>
        <v>2228</v>
      </c>
      <c r="C262" s="18" cm="1">
        <f t="array" ref="C262">INDEX(GMWQ!$A$2:$NE$60,MATCH(1,(GMWQ!$NE$2:$NE$60=C$3)*(GMWQ!$ND$2:$ND$60=C$4),0),$B262-1966)</f>
        <v>86067.42</v>
      </c>
      <c r="D262" s="18" cm="1">
        <f t="array" ref="D262">INDEX(GMWQ!$A$2:$NE$60,MATCH(1,(GMWQ!$NE$2:$NE$60=D$3)*(GMWQ!$ND$2:$ND$60=D$4),0),$B262-1966)</f>
        <v>245475.4</v>
      </c>
      <c r="E262" s="18" cm="1">
        <f t="array" ref="E262">INDEX(GMWQ!$A$2:$NE$60,MATCH(1,(GMWQ!$NE$2:$NE$60=E$3)*(GMWQ!$ND$2:$ND$60=E$4),0),$B262-1966)</f>
        <v>-2004.4839999999999</v>
      </c>
      <c r="F262" s="18" cm="1">
        <f t="array" ref="F262">INDEX(GMWQ!$A$2:$NE$60,MATCH(1,(GMWQ!$NE$2:$NE$60=F$3)*(GMWQ!$ND$2:$ND$60=F$4),0),$B262-1966)</f>
        <v>-4031.49</v>
      </c>
      <c r="G262" s="18" cm="1">
        <f t="array" ref="G262">INDEX(GMWQ!$A$2:$NE$60,MATCH(1,(GMWQ!$NE$2:$NE$60=G$3)*(GMWQ!$ND$2:$ND$60=G$4),0),$B262-1966)</f>
        <v>1114514</v>
      </c>
      <c r="H262" s="18" cm="1">
        <f t="array" ref="H262">INDEX(GMWQ!$A$2:$NE$60,MATCH(1,(GMWQ!$NE$2:$NE$60=H$3)*(GMWQ!$ND$2:$ND$60=H$4),0),$B262-1966)</f>
        <v>145444.4</v>
      </c>
      <c r="I262" s="18" cm="1">
        <f t="array" ref="I262">INDEX(GMWQ!$A$2:$NE$60,MATCH(1,(GMWQ!$NE$2:$NE$60=I$3)*(GMWQ!$ND$2:$ND$60=I$4),0),$B262-1966)</f>
        <v>19275.72</v>
      </c>
      <c r="J262" s="18" cm="1">
        <f t="array" ref="J262">INDEX(GMWQ!$A$2:$NE$60,MATCH(1,(GMWQ!$NE$2:$NE$60=J$3)*(GMWQ!$ND$2:$ND$60=J$4),0),$B262-1966)</f>
        <v>30044.35</v>
      </c>
      <c r="K262" s="18" cm="1">
        <f t="array" ref="K262">INDEX(GMWQ!$A$2:$NE$60,MATCH(1,(GMWQ!$NE$2:$NE$60=K$3)*(GMWQ!$ND$2:$ND$60=K$4),0),$B262-1966)</f>
        <v>4157367</v>
      </c>
      <c r="L262" s="18" cm="1">
        <f t="array" ref="L262">INDEX(GMWQ!$A$2:$NE$60,MATCH(1,(GMWQ!$NE$2:$NE$60=L$3)*(GMWQ!$ND$2:$ND$60=L$4),0),$B262-1966)</f>
        <v>36719.230000000003</v>
      </c>
      <c r="M262" s="18" cm="1">
        <f t="array" ref="M262">INDEX(GMWQ!$A$2:$NE$60,MATCH(1,(GMWQ!$NE$2:$NE$60=M$3)*(GMWQ!$ND$2:$ND$60=M$4),0),$B262-1966)</f>
        <v>31.98583</v>
      </c>
      <c r="N262" s="18" cm="1">
        <f t="array" ref="N262">INDEX(GMWQ!$A$2:$NE$60,MATCH(1,(GMWQ!$NE$2:$NE$60=N$3)*(GMWQ!$ND$2:$ND$60=N$4),0),$B262-1966)</f>
        <v>9.0547889999999995</v>
      </c>
      <c r="O262" s="18" cm="1">
        <f t="array" ref="O262">INDEX(GMWQ!$A$2:$NE$60,MATCH(1,(GMWQ!$NE$2:$NE$60=O$3)*(GMWQ!$ND$2:$ND$60=O$4),0),$B262-1966)</f>
        <v>3.8562470000000002</v>
      </c>
      <c r="P262" s="18" cm="1">
        <f t="array" ref="P262">INDEX(GMWQ!$A$2:$NE$60,MATCH(1,(GMWQ!$NE$2:$NE$60=P$3)*(GMWQ!$ND$2:$ND$60=P$4),0),$B262-1966)</f>
        <v>908870.4</v>
      </c>
      <c r="Q262" s="18" cm="1">
        <f t="array" ref="Q262">INDEX(GMWQ!$A$2:$NE$60,MATCH(1,(GMWQ!$NE$2:$NE$60=Q$3)*(GMWQ!$ND$2:$ND$60=Q$4),0),$B262-1966)</f>
        <v>1328.548</v>
      </c>
      <c r="R262" s="18" cm="1">
        <f t="array" ref="R262">INDEX(GMWQ!$A$2:$NE$60,MATCH(1,(GMWQ!$NE$2:$NE$60=R$3)*(GMWQ!$ND$2:$ND$60=R$4),0),$B262-1966)</f>
        <v>25380.67</v>
      </c>
      <c r="S262" s="18" cm="1">
        <f t="array" ref="S262">INDEX(GMWQ!$A$2:$NE$60,MATCH(1,(GMWQ!$NE$2:$NE$60=S$3)*(GMWQ!$ND$2:$ND$60=S$4),0),$B262-1966)</f>
        <v>125.8875</v>
      </c>
      <c r="T262" s="18" cm="1">
        <f t="array" ref="T262">INDEX(GMWQ!$A$2:$NE$60,MATCH(1,(GMWQ!$NE$2:$NE$60=T$3)*(GMWQ!$ND$2:$ND$60=T$4),0),$B262-1966)</f>
        <v>99.537379999999999</v>
      </c>
      <c r="U262" s="18" cm="1">
        <f t="array" ref="U262">INDEX(GMWQ!$A$2:$NE$60,MATCH(1,(GMWQ!$NE$2:$NE$60=U$3)*(GMWQ!$ND$2:$ND$60=U$4),0),$B262-1966)</f>
        <v>65.622739999999993</v>
      </c>
      <c r="V262" s="18" cm="1">
        <f t="array" ref="V262">INDEX(GMWQ!$A$2:$NE$60,MATCH(1,(GMWQ!$NE$2:$NE$60=V$3)*(GMWQ!$ND$2:$ND$60=V$4),0),$B262-1966)</f>
        <v>94103.76</v>
      </c>
      <c r="W262" s="18" cm="1">
        <f t="array" ref="W262">INDEX(GMWQ!$A$2:$NF$60,MATCH(1,(GMWQ!$NE$2:$NE$60=W$3)*(GMWQ!$NF$2:$NF$60=W$1),0),$B262-1966)</f>
        <v>66620.460000000006</v>
      </c>
      <c r="X262" s="18" cm="1">
        <f t="array" ref="X262">INDEX(GMWQ!$A$2:$NF$60,MATCH(1,(GMWQ!$NE$2:$NE$60=X$3)*(GMWQ!$NF$2:$NF$60=X$1),0),$B262-1966)</f>
        <v>69740.740000000005</v>
      </c>
      <c r="Y262" s="18" cm="1">
        <f t="array" ref="Y262">INDEX(GMWQ!$A$2:$NF$60,MATCH(1,(GMWQ!$NE$2:$NE$60=Y$3)*(GMWQ!$NF$2:$NF$60=Y$1),0),$B262-1966)</f>
        <v>70677.09</v>
      </c>
      <c r="Z262" s="18" cm="1">
        <f t="array" ref="Z262">INDEX(GMWQ!$A$2:$NF$60,MATCH(1,(GMWQ!$NE$2:$NE$60=Z$3)*(GMWQ!$NF$2:$NF$60=Z$1),0),$B262-1966)</f>
        <v>83288.42</v>
      </c>
    </row>
    <row r="263" spans="1:26" x14ac:dyDescent="0.25">
      <c r="A263" s="18">
        <v>2037</v>
      </c>
      <c r="B263" s="18">
        <f t="shared" si="5"/>
        <v>2229</v>
      </c>
      <c r="C263" s="18" cm="1">
        <f t="array" ref="C263">INDEX(GMWQ!$A$2:$NE$60,MATCH(1,(GMWQ!$NE$2:$NE$60=C$3)*(GMWQ!$ND$2:$ND$60=C$4),0),$B263-1966)</f>
        <v>86613.13</v>
      </c>
      <c r="D263" s="18" cm="1">
        <f t="array" ref="D263">INDEX(GMWQ!$A$2:$NE$60,MATCH(1,(GMWQ!$NE$2:$NE$60=D$3)*(GMWQ!$ND$2:$ND$60=D$4),0),$B263-1966)</f>
        <v>247775.4</v>
      </c>
      <c r="E263" s="18" cm="1">
        <f t="array" ref="E263">INDEX(GMWQ!$A$2:$NE$60,MATCH(1,(GMWQ!$NE$2:$NE$60=E$3)*(GMWQ!$ND$2:$ND$60=E$4),0),$B263-1966)</f>
        <v>-19407.650000000001</v>
      </c>
      <c r="F263" s="18" cm="1">
        <f t="array" ref="F263">INDEX(GMWQ!$A$2:$NE$60,MATCH(1,(GMWQ!$NE$2:$NE$60=F$3)*(GMWQ!$ND$2:$ND$60=F$4),0),$B263-1966)</f>
        <v>-21453.52</v>
      </c>
      <c r="G263" s="18" cm="1">
        <f t="array" ref="G263">INDEX(GMWQ!$A$2:$NE$60,MATCH(1,(GMWQ!$NE$2:$NE$60=G$3)*(GMWQ!$ND$2:$ND$60=G$4),0),$B263-1966)</f>
        <v>1124847</v>
      </c>
      <c r="H263" s="18" cm="1">
        <f t="array" ref="H263">INDEX(GMWQ!$A$2:$NE$60,MATCH(1,(GMWQ!$NE$2:$NE$60=H$3)*(GMWQ!$ND$2:$ND$60=H$4),0),$B263-1966)</f>
        <v>146246.9</v>
      </c>
      <c r="I263" s="18" cm="1">
        <f t="array" ref="I263">INDEX(GMWQ!$A$2:$NE$60,MATCH(1,(GMWQ!$NE$2:$NE$60=I$3)*(GMWQ!$ND$2:$ND$60=I$4),0),$B263-1966)</f>
        <v>19369.03</v>
      </c>
      <c r="J263" s="18" cm="1">
        <f t="array" ref="J263">INDEX(GMWQ!$A$2:$NE$60,MATCH(1,(GMWQ!$NE$2:$NE$60=J$3)*(GMWQ!$ND$2:$ND$60=J$4),0),$B263-1966)</f>
        <v>30159.14</v>
      </c>
      <c r="K263" s="18" cm="1">
        <f t="array" ref="K263">INDEX(GMWQ!$A$2:$NE$60,MATCH(1,(GMWQ!$NE$2:$NE$60=K$3)*(GMWQ!$ND$2:$ND$60=K$4),0),$B263-1966)</f>
        <v>4176853</v>
      </c>
      <c r="L263" s="18" cm="1">
        <f t="array" ref="L263">INDEX(GMWQ!$A$2:$NE$60,MATCH(1,(GMWQ!$NE$2:$NE$60=L$3)*(GMWQ!$ND$2:$ND$60=L$4),0),$B263-1966)</f>
        <v>36760.370000000003</v>
      </c>
      <c r="M263" s="18" cm="1">
        <f t="array" ref="M263">INDEX(GMWQ!$A$2:$NE$60,MATCH(1,(GMWQ!$NE$2:$NE$60=M$3)*(GMWQ!$ND$2:$ND$60=M$4),0),$B263-1966)</f>
        <v>31.98526</v>
      </c>
      <c r="N263" s="18" cm="1">
        <f t="array" ref="N263">INDEX(GMWQ!$A$2:$NE$60,MATCH(1,(GMWQ!$NE$2:$NE$60=N$3)*(GMWQ!$ND$2:$ND$60=N$4),0),$B263-1966)</f>
        <v>9.0640719999999995</v>
      </c>
      <c r="O263" s="18" cm="1">
        <f t="array" ref="O263">INDEX(GMWQ!$A$2:$NE$60,MATCH(1,(GMWQ!$NE$2:$NE$60=O$3)*(GMWQ!$ND$2:$ND$60=O$4),0),$B263-1966)</f>
        <v>3.8562470000000002</v>
      </c>
      <c r="P263" s="18" cm="1">
        <f t="array" ref="P263">INDEX(GMWQ!$A$2:$NE$60,MATCH(1,(GMWQ!$NE$2:$NE$60=P$3)*(GMWQ!$ND$2:$ND$60=P$4),0),$B263-1966)</f>
        <v>921753.3</v>
      </c>
      <c r="Q263" s="18" cm="1">
        <f t="array" ref="Q263">INDEX(GMWQ!$A$2:$NE$60,MATCH(1,(GMWQ!$NE$2:$NE$60=Q$3)*(GMWQ!$ND$2:$ND$60=Q$4),0),$B263-1966)</f>
        <v>1336.9079999999999</v>
      </c>
      <c r="R263" s="18" cm="1">
        <f t="array" ref="R263">INDEX(GMWQ!$A$2:$NE$60,MATCH(1,(GMWQ!$NE$2:$NE$60=R$3)*(GMWQ!$ND$2:$ND$60=R$4),0),$B263-1966)</f>
        <v>25374.16</v>
      </c>
      <c r="S263" s="18" cm="1">
        <f t="array" ref="S263">INDEX(GMWQ!$A$2:$NE$60,MATCH(1,(GMWQ!$NE$2:$NE$60=S$3)*(GMWQ!$ND$2:$ND$60=S$4),0),$B263-1966)</f>
        <v>126.1446</v>
      </c>
      <c r="T263" s="18" cm="1">
        <f t="array" ref="T263">INDEX(GMWQ!$A$2:$NE$60,MATCH(1,(GMWQ!$NE$2:$NE$60=T$3)*(GMWQ!$ND$2:$ND$60=T$4),0),$B263-1966)</f>
        <v>99.792310000000001</v>
      </c>
      <c r="U263" s="18" cm="1">
        <f t="array" ref="U263">INDEX(GMWQ!$A$2:$NE$60,MATCH(1,(GMWQ!$NE$2:$NE$60=U$3)*(GMWQ!$ND$2:$ND$60=U$4),0),$B263-1966)</f>
        <v>65.65607</v>
      </c>
      <c r="V263" s="18" cm="1">
        <f t="array" ref="V263">INDEX(GMWQ!$A$2:$NE$60,MATCH(1,(GMWQ!$NE$2:$NE$60=V$3)*(GMWQ!$ND$2:$ND$60=V$4),0),$B263-1966)</f>
        <v>94565.57</v>
      </c>
      <c r="W263" s="18" cm="1">
        <f t="array" ref="W263">INDEX(GMWQ!$A$2:$NF$60,MATCH(1,(GMWQ!$NE$2:$NE$60=W$3)*(GMWQ!$NF$2:$NF$60=W$1),0),$B263-1966)</f>
        <v>66911.009999999995</v>
      </c>
      <c r="X263" s="18" cm="1">
        <f t="array" ref="X263">INDEX(GMWQ!$A$2:$NF$60,MATCH(1,(GMWQ!$NE$2:$NE$60=X$3)*(GMWQ!$NF$2:$NF$60=X$1),0),$B263-1966)</f>
        <v>70067.06</v>
      </c>
      <c r="Y263" s="18" cm="1">
        <f t="array" ref="Y263">INDEX(GMWQ!$A$2:$NF$60,MATCH(1,(GMWQ!$NE$2:$NE$60=Y$3)*(GMWQ!$NF$2:$NF$60=Y$1),0),$B263-1966)</f>
        <v>71043.789999999994</v>
      </c>
      <c r="Z263" s="18" cm="1">
        <f t="array" ref="Z263">INDEX(GMWQ!$A$2:$NF$60,MATCH(1,(GMWQ!$NE$2:$NE$60=Z$3)*(GMWQ!$NF$2:$NF$60=Z$1),0),$B263-1966)</f>
        <v>83818.429999999993</v>
      </c>
    </row>
    <row r="264" spans="1:26" x14ac:dyDescent="0.25">
      <c r="B264" s="18">
        <f t="shared" si="5"/>
        <v>2230</v>
      </c>
      <c r="C264" s="18" cm="1">
        <f t="array" ref="C264">INDEX(GMWQ!$A$2:$NE$60,MATCH(1,(GMWQ!$NE$2:$NE$60=C$3)*(GMWQ!$ND$2:$ND$60=C$4),0),$B264-1966)</f>
        <v>87162.52</v>
      </c>
      <c r="D264" s="18" cm="1">
        <f t="array" ref="D264">INDEX(GMWQ!$A$2:$NE$60,MATCH(1,(GMWQ!$NE$2:$NE$60=D$3)*(GMWQ!$ND$2:$ND$60=D$4),0),$B264-1966)</f>
        <v>250237.5</v>
      </c>
      <c r="E264" s="18" cm="1">
        <f t="array" ref="E264">INDEX(GMWQ!$A$2:$NE$60,MATCH(1,(GMWQ!$NE$2:$NE$60=E$3)*(GMWQ!$ND$2:$ND$60=E$4),0),$B264-1966)</f>
        <v>-9934.0490000000009</v>
      </c>
      <c r="F264" s="18" cm="1">
        <f t="array" ref="F264">INDEX(GMWQ!$A$2:$NE$60,MATCH(1,(GMWQ!$NE$2:$NE$60=F$3)*(GMWQ!$ND$2:$ND$60=F$4),0),$B264-1966)</f>
        <v>-11998.95</v>
      </c>
      <c r="G264" s="18" cm="1">
        <f t="array" ref="G264">INDEX(GMWQ!$A$2:$NE$60,MATCH(1,(GMWQ!$NE$2:$NE$60=G$3)*(GMWQ!$ND$2:$ND$60=G$4),0),$B264-1966)</f>
        <v>1135279</v>
      </c>
      <c r="H264" s="18" cm="1">
        <f t="array" ref="H264">INDEX(GMWQ!$A$2:$NE$60,MATCH(1,(GMWQ!$NE$2:$NE$60=H$3)*(GMWQ!$ND$2:$ND$60=H$4),0),$B264-1966)</f>
        <v>147054.29999999999</v>
      </c>
      <c r="I264" s="18" cm="1">
        <f t="array" ref="I264">INDEX(GMWQ!$A$2:$NE$60,MATCH(1,(GMWQ!$NE$2:$NE$60=I$3)*(GMWQ!$ND$2:$ND$60=I$4),0),$B264-1966)</f>
        <v>19462.830000000002</v>
      </c>
      <c r="J264" s="18" cm="1">
        <f t="array" ref="J264">INDEX(GMWQ!$A$2:$NE$60,MATCH(1,(GMWQ!$NE$2:$NE$60=J$3)*(GMWQ!$ND$2:$ND$60=J$4),0),$B264-1966)</f>
        <v>30274.44</v>
      </c>
      <c r="K264" s="18" cm="1">
        <f t="array" ref="K264">INDEX(GMWQ!$A$2:$NE$60,MATCH(1,(GMWQ!$NE$2:$NE$60=K$3)*(GMWQ!$ND$2:$ND$60=K$4),0),$B264-1966)</f>
        <v>4196522</v>
      </c>
      <c r="L264" s="18" cm="1">
        <f t="array" ref="L264">INDEX(GMWQ!$A$2:$NE$60,MATCH(1,(GMWQ!$NE$2:$NE$60=L$3)*(GMWQ!$ND$2:$ND$60=L$4),0),$B264-1966)</f>
        <v>36801.5</v>
      </c>
      <c r="M264" s="18" cm="1">
        <f t="array" ref="M264">INDEX(GMWQ!$A$2:$NE$60,MATCH(1,(GMWQ!$NE$2:$NE$60=M$3)*(GMWQ!$ND$2:$ND$60=M$4),0),$B264-1966)</f>
        <v>31.984690000000001</v>
      </c>
      <c r="N264" s="18" cm="1">
        <f t="array" ref="N264">INDEX(GMWQ!$A$2:$NE$60,MATCH(1,(GMWQ!$NE$2:$NE$60=N$3)*(GMWQ!$ND$2:$ND$60=N$4),0),$B264-1966)</f>
        <v>9.0727779999999996</v>
      </c>
      <c r="O264" s="18" cm="1">
        <f t="array" ref="O264">INDEX(GMWQ!$A$2:$NE$60,MATCH(1,(GMWQ!$NE$2:$NE$60=O$3)*(GMWQ!$ND$2:$ND$60=O$4),0),$B264-1966)</f>
        <v>3.8562470000000002</v>
      </c>
      <c r="P264" s="18" cm="1">
        <f t="array" ref="P264">INDEX(GMWQ!$A$2:$NE$60,MATCH(1,(GMWQ!$NE$2:$NE$60=P$3)*(GMWQ!$ND$2:$ND$60=P$4),0),$B264-1966)</f>
        <v>935048.3</v>
      </c>
      <c r="Q264" s="18" cm="1">
        <f t="array" ref="Q264">INDEX(GMWQ!$A$2:$NE$60,MATCH(1,(GMWQ!$NE$2:$NE$60=Q$3)*(GMWQ!$ND$2:$ND$60=Q$4),0),$B264-1966)</f>
        <v>1345.308</v>
      </c>
      <c r="R264" s="18" cm="1">
        <f t="array" ref="R264">INDEX(GMWQ!$A$2:$NE$60,MATCH(1,(GMWQ!$NE$2:$NE$60=R$3)*(GMWQ!$ND$2:$ND$60=R$4),0),$B264-1966)</f>
        <v>25367.599999999999</v>
      </c>
      <c r="S264" s="18" cm="1">
        <f t="array" ref="S264">INDEX(GMWQ!$A$2:$NE$60,MATCH(1,(GMWQ!$NE$2:$NE$60=S$3)*(GMWQ!$ND$2:$ND$60=S$4),0),$B264-1966)</f>
        <v>126.402</v>
      </c>
      <c r="T264" s="18" cm="1">
        <f t="array" ref="T264">INDEX(GMWQ!$A$2:$NE$60,MATCH(1,(GMWQ!$NE$2:$NE$60=T$3)*(GMWQ!$ND$2:$ND$60=T$4),0),$B264-1966)</f>
        <v>99.943619999999996</v>
      </c>
      <c r="U264" s="18" cm="1">
        <f t="array" ref="U264">INDEX(GMWQ!$A$2:$NE$60,MATCH(1,(GMWQ!$NE$2:$NE$60=U$3)*(GMWQ!$ND$2:$ND$60=U$4),0),$B264-1966)</f>
        <v>65.686400000000006</v>
      </c>
      <c r="V264" s="18" cm="1">
        <f t="array" ref="V264">INDEX(GMWQ!$A$2:$NE$60,MATCH(1,(GMWQ!$NE$2:$NE$60=V$3)*(GMWQ!$ND$2:$ND$60=V$4),0),$B264-1966)</f>
        <v>95029.98</v>
      </c>
      <c r="W264" s="18" cm="1">
        <f t="array" ref="W264">INDEX(GMWQ!$A$2:$NF$60,MATCH(1,(GMWQ!$NE$2:$NE$60=W$3)*(GMWQ!$NF$2:$NF$60=W$1),0),$B264-1966)</f>
        <v>67202.42</v>
      </c>
      <c r="X264" s="18" cm="1">
        <f t="array" ref="X264">INDEX(GMWQ!$A$2:$NF$60,MATCH(1,(GMWQ!$NE$2:$NE$60=X$3)*(GMWQ!$NF$2:$NF$60=X$1),0),$B264-1966)</f>
        <v>70394.7</v>
      </c>
      <c r="Y264" s="18" cm="1">
        <f t="array" ref="Y264">INDEX(GMWQ!$A$2:$NF$60,MATCH(1,(GMWQ!$NE$2:$NE$60=Y$3)*(GMWQ!$NF$2:$NF$60=Y$1),0),$B264-1966)</f>
        <v>71412.62</v>
      </c>
      <c r="Z264" s="18" cm="1">
        <f t="array" ref="Z264">INDEX(GMWQ!$A$2:$NF$60,MATCH(1,(GMWQ!$NE$2:$NE$60=Z$3)*(GMWQ!$NF$2:$NF$60=Z$1),0),$B264-1966)</f>
        <v>84352.03</v>
      </c>
    </row>
    <row r="265" spans="1:26" x14ac:dyDescent="0.25">
      <c r="B265" s="18">
        <f t="shared" si="5"/>
        <v>2231</v>
      </c>
      <c r="C265" s="18" cm="1">
        <f t="array" ref="C265">INDEX(GMWQ!$A$2:$NE$60,MATCH(1,(GMWQ!$NE$2:$NE$60=C$3)*(GMWQ!$ND$2:$ND$60=C$4),0),$B265-1966)</f>
        <v>87715.66</v>
      </c>
      <c r="D265" s="18" cm="1">
        <f t="array" ref="D265">INDEX(GMWQ!$A$2:$NE$60,MATCH(1,(GMWQ!$NE$2:$NE$60=D$3)*(GMWQ!$ND$2:$ND$60=D$4),0),$B265-1966)</f>
        <v>252768.8</v>
      </c>
      <c r="E265" s="18" cm="1">
        <f t="array" ref="E265">INDEX(GMWQ!$A$2:$NE$60,MATCH(1,(GMWQ!$NE$2:$NE$60=E$3)*(GMWQ!$ND$2:$ND$60=E$4),0),$B265-1966)</f>
        <v>-13913.36</v>
      </c>
      <c r="F265" s="18" cm="1">
        <f t="array" ref="F265">INDEX(GMWQ!$A$2:$NE$60,MATCH(1,(GMWQ!$NE$2:$NE$60=F$3)*(GMWQ!$ND$2:$ND$60=F$4),0),$B265-1966)</f>
        <v>-15997.46</v>
      </c>
      <c r="G265" s="18" cm="1">
        <f t="array" ref="G265">INDEX(GMWQ!$A$2:$NE$60,MATCH(1,(GMWQ!$NE$2:$NE$60=G$3)*(GMWQ!$ND$2:$ND$60=G$4),0),$B265-1966)</f>
        <v>1145811</v>
      </c>
      <c r="H265" s="18" cm="1">
        <f t="array" ref="H265">INDEX(GMWQ!$A$2:$NE$60,MATCH(1,(GMWQ!$NE$2:$NE$60=H$3)*(GMWQ!$ND$2:$ND$60=H$4),0),$B265-1966)</f>
        <v>147866.79999999999</v>
      </c>
      <c r="I265" s="18" cm="1">
        <f t="array" ref="I265">INDEX(GMWQ!$A$2:$NE$60,MATCH(1,(GMWQ!$NE$2:$NE$60=I$3)*(GMWQ!$ND$2:$ND$60=I$4),0),$B265-1966)</f>
        <v>19557.150000000001</v>
      </c>
      <c r="J265" s="18" cm="1">
        <f t="array" ref="J265">INDEX(GMWQ!$A$2:$NE$60,MATCH(1,(GMWQ!$NE$2:$NE$60=J$3)*(GMWQ!$ND$2:$ND$60=J$4),0),$B265-1966)</f>
        <v>30390.27</v>
      </c>
      <c r="K265" s="18" cm="1">
        <f t="array" ref="K265">INDEX(GMWQ!$A$2:$NE$60,MATCH(1,(GMWQ!$NE$2:$NE$60=K$3)*(GMWQ!$ND$2:$ND$60=K$4),0),$B265-1966)</f>
        <v>4216371</v>
      </c>
      <c r="L265" s="18" cm="1">
        <f t="array" ref="L265">INDEX(GMWQ!$A$2:$NE$60,MATCH(1,(GMWQ!$NE$2:$NE$60=L$3)*(GMWQ!$ND$2:$ND$60=L$4),0),$B265-1966)</f>
        <v>36842.639999999999</v>
      </c>
      <c r="M265" s="18" cm="1">
        <f t="array" ref="M265">INDEX(GMWQ!$A$2:$NE$60,MATCH(1,(GMWQ!$NE$2:$NE$60=M$3)*(GMWQ!$ND$2:$ND$60=M$4),0),$B265-1966)</f>
        <v>31.984110000000001</v>
      </c>
      <c r="N265" s="18" cm="1">
        <f t="array" ref="N265">INDEX(GMWQ!$A$2:$NE$60,MATCH(1,(GMWQ!$NE$2:$NE$60=N$3)*(GMWQ!$ND$2:$ND$60=N$4),0),$B265-1966)</f>
        <v>9.0813100000000002</v>
      </c>
      <c r="O265" s="18" cm="1">
        <f t="array" ref="O265">INDEX(GMWQ!$A$2:$NE$60,MATCH(1,(GMWQ!$NE$2:$NE$60=O$3)*(GMWQ!$ND$2:$ND$60=O$4),0),$B265-1966)</f>
        <v>3.8562470000000002</v>
      </c>
      <c r="P265" s="18" cm="1">
        <f t="array" ref="P265">INDEX(GMWQ!$A$2:$NE$60,MATCH(1,(GMWQ!$NE$2:$NE$60=P$3)*(GMWQ!$ND$2:$ND$60=P$4),0),$B265-1966)</f>
        <v>948601.5</v>
      </c>
      <c r="Q265" s="18" cm="1">
        <f t="array" ref="Q265">INDEX(GMWQ!$A$2:$NE$60,MATCH(1,(GMWQ!$NE$2:$NE$60=Q$3)*(GMWQ!$ND$2:$ND$60=Q$4),0),$B265-1966)</f>
        <v>1353.729</v>
      </c>
      <c r="R265" s="18" cm="1">
        <f t="array" ref="R265">INDEX(GMWQ!$A$2:$NE$60,MATCH(1,(GMWQ!$NE$2:$NE$60=R$3)*(GMWQ!$ND$2:$ND$60=R$4),0),$B265-1966)</f>
        <v>25360.9</v>
      </c>
      <c r="S265" s="18" cm="1">
        <f t="array" ref="S265">INDEX(GMWQ!$A$2:$NE$60,MATCH(1,(GMWQ!$NE$2:$NE$60=S$3)*(GMWQ!$ND$2:$ND$60=S$4),0),$B265-1966)</f>
        <v>126.6597</v>
      </c>
      <c r="T265" s="18" cm="1">
        <f t="array" ref="T265">INDEX(GMWQ!$A$2:$NE$60,MATCH(1,(GMWQ!$NE$2:$NE$60=T$3)*(GMWQ!$ND$2:$ND$60=T$4),0),$B265-1966)</f>
        <v>100.1991</v>
      </c>
      <c r="U265" s="18" cm="1">
        <f t="array" ref="U265">INDEX(GMWQ!$A$2:$NE$60,MATCH(1,(GMWQ!$NE$2:$NE$60=U$3)*(GMWQ!$ND$2:$ND$60=U$4),0),$B265-1966)</f>
        <v>65.716380000000001</v>
      </c>
      <c r="V265" s="18" cm="1">
        <f t="array" ref="V265">INDEX(GMWQ!$A$2:$NE$60,MATCH(1,(GMWQ!$NE$2:$NE$60=V$3)*(GMWQ!$ND$2:$ND$60=V$4),0),$B265-1966)</f>
        <v>95495.83</v>
      </c>
      <c r="W265" s="18" cm="1">
        <f t="array" ref="W265">INDEX(GMWQ!$A$2:$NF$60,MATCH(1,(GMWQ!$NE$2:$NE$60=W$3)*(GMWQ!$NF$2:$NF$60=W$1),0),$B265-1966)</f>
        <v>67494.720000000001</v>
      </c>
      <c r="X265" s="18" cm="1">
        <f t="array" ref="X265">INDEX(GMWQ!$A$2:$NF$60,MATCH(1,(GMWQ!$NE$2:$NE$60=X$3)*(GMWQ!$NF$2:$NF$60=X$1),0),$B265-1966)</f>
        <v>70723.759999999995</v>
      </c>
      <c r="Y265" s="18" cm="1">
        <f t="array" ref="Y265">INDEX(GMWQ!$A$2:$NF$60,MATCH(1,(GMWQ!$NE$2:$NE$60=Y$3)*(GMWQ!$NF$2:$NF$60=Y$1),0),$B265-1966)</f>
        <v>71783.59</v>
      </c>
      <c r="Z265" s="18" cm="1">
        <f t="array" ref="Z265">INDEX(GMWQ!$A$2:$NF$60,MATCH(1,(GMWQ!$NE$2:$NE$60=Z$3)*(GMWQ!$NF$2:$NF$60=Z$1),0),$B265-1966)</f>
        <v>84889.32</v>
      </c>
    </row>
    <row r="266" spans="1:26" x14ac:dyDescent="0.25">
      <c r="B266" s="18">
        <f t="shared" si="5"/>
        <v>2232</v>
      </c>
      <c r="C266" s="18" cm="1">
        <f t="array" ref="C266">INDEX(GMWQ!$A$2:$NE$60,MATCH(1,(GMWQ!$NE$2:$NE$60=C$3)*(GMWQ!$ND$2:$ND$60=C$4),0),$B266-1966)</f>
        <v>88272.59</v>
      </c>
      <c r="D266" s="18" cm="1">
        <f t="array" ref="D266">INDEX(GMWQ!$A$2:$NE$60,MATCH(1,(GMWQ!$NE$2:$NE$60=D$3)*(GMWQ!$ND$2:$ND$60=D$4),0),$B266-1966)</f>
        <v>254707.5</v>
      </c>
      <c r="E266" s="18" cm="1">
        <f t="array" ref="E266">INDEX(GMWQ!$A$2:$NE$60,MATCH(1,(GMWQ!$NE$2:$NE$60=E$3)*(GMWQ!$ND$2:$ND$60=E$4),0),$B266-1966)</f>
        <v>-872.76390000000004</v>
      </c>
      <c r="F266" s="18" cm="1">
        <f t="array" ref="F266">INDEX(GMWQ!$A$2:$NE$60,MATCH(1,(GMWQ!$NE$2:$NE$60=F$3)*(GMWQ!$ND$2:$ND$60=F$4),0),$B266-1966)</f>
        <v>-2976.248</v>
      </c>
      <c r="G266" s="18" cm="1">
        <f t="array" ref="G266">INDEX(GMWQ!$A$2:$NE$60,MATCH(1,(GMWQ!$NE$2:$NE$60=G$3)*(GMWQ!$ND$2:$ND$60=G$4),0),$B266-1966)</f>
        <v>1156444</v>
      </c>
      <c r="H266" s="18" cm="1">
        <f t="array" ref="H266">INDEX(GMWQ!$A$2:$NE$60,MATCH(1,(GMWQ!$NE$2:$NE$60=H$3)*(GMWQ!$ND$2:$ND$60=H$4),0),$B266-1966)</f>
        <v>148684.5</v>
      </c>
      <c r="I266" s="18" cm="1">
        <f t="array" ref="I266">INDEX(GMWQ!$A$2:$NE$60,MATCH(1,(GMWQ!$NE$2:$NE$60=I$3)*(GMWQ!$ND$2:$ND$60=I$4),0),$B266-1966)</f>
        <v>19651.990000000002</v>
      </c>
      <c r="J266" s="18" cm="1">
        <f t="array" ref="J266">INDEX(GMWQ!$A$2:$NE$60,MATCH(1,(GMWQ!$NE$2:$NE$60=J$3)*(GMWQ!$ND$2:$ND$60=J$4),0),$B266-1966)</f>
        <v>30506.639999999999</v>
      </c>
      <c r="K266" s="18" cm="1">
        <f t="array" ref="K266">INDEX(GMWQ!$A$2:$NE$60,MATCH(1,(GMWQ!$NE$2:$NE$60=K$3)*(GMWQ!$ND$2:$ND$60=K$4),0),$B266-1966)</f>
        <v>4236401</v>
      </c>
      <c r="L266" s="18" cm="1">
        <f t="array" ref="L266">INDEX(GMWQ!$A$2:$NE$60,MATCH(1,(GMWQ!$NE$2:$NE$60=L$3)*(GMWQ!$ND$2:$ND$60=L$4),0),$B266-1966)</f>
        <v>36883.79</v>
      </c>
      <c r="M266" s="18" cm="1">
        <f t="array" ref="M266">INDEX(GMWQ!$A$2:$NE$60,MATCH(1,(GMWQ!$NE$2:$NE$60=M$3)*(GMWQ!$ND$2:$ND$60=M$4),0),$B266-1966)</f>
        <v>31.983540000000001</v>
      </c>
      <c r="N266" s="18" cm="1">
        <f t="array" ref="N266">INDEX(GMWQ!$A$2:$NE$60,MATCH(1,(GMWQ!$NE$2:$NE$60=N$3)*(GMWQ!$ND$2:$ND$60=N$4),0),$B266-1966)</f>
        <v>9.0945680000000007</v>
      </c>
      <c r="O266" s="18" cm="1">
        <f t="array" ref="O266">INDEX(GMWQ!$A$2:$NE$60,MATCH(1,(GMWQ!$NE$2:$NE$60=O$3)*(GMWQ!$ND$2:$ND$60=O$4),0),$B266-1966)</f>
        <v>3.8562470000000002</v>
      </c>
      <c r="P266" s="18" cm="1">
        <f t="array" ref="P266">INDEX(GMWQ!$A$2:$NE$60,MATCH(1,(GMWQ!$NE$2:$NE$60=P$3)*(GMWQ!$ND$2:$ND$60=P$4),0),$B266-1966)</f>
        <v>962288.3</v>
      </c>
      <c r="Q266" s="18" cm="1">
        <f t="array" ref="Q266">INDEX(GMWQ!$A$2:$NE$60,MATCH(1,(GMWQ!$NE$2:$NE$60=Q$3)*(GMWQ!$ND$2:$ND$60=Q$4),0),$B266-1966)</f>
        <v>1362.1759999999999</v>
      </c>
      <c r="R266" s="18" cm="1">
        <f t="array" ref="R266">INDEX(GMWQ!$A$2:$NE$60,MATCH(1,(GMWQ!$NE$2:$NE$60=R$3)*(GMWQ!$ND$2:$ND$60=R$4),0),$B266-1966)</f>
        <v>25353.759999999998</v>
      </c>
      <c r="S266" s="18" cm="1">
        <f t="array" ref="S266">INDEX(GMWQ!$A$2:$NE$60,MATCH(1,(GMWQ!$NE$2:$NE$60=S$3)*(GMWQ!$ND$2:$ND$60=S$4),0),$B266-1966)</f>
        <v>126.9177</v>
      </c>
      <c r="T266" s="18" cm="1">
        <f t="array" ref="T266">INDEX(GMWQ!$A$2:$NE$60,MATCH(1,(GMWQ!$NE$2:$NE$60=T$3)*(GMWQ!$ND$2:$ND$60=T$4),0),$B266-1966)</f>
        <v>100.45610000000001</v>
      </c>
      <c r="U266" s="18" cm="1">
        <f t="array" ref="U266">INDEX(GMWQ!$A$2:$NE$60,MATCH(1,(GMWQ!$NE$2:$NE$60=U$3)*(GMWQ!$ND$2:$ND$60=U$4),0),$B266-1966)</f>
        <v>65.74597</v>
      </c>
      <c r="V266" s="18" cm="1">
        <f t="array" ref="V266">INDEX(GMWQ!$A$2:$NE$60,MATCH(1,(GMWQ!$NE$2:$NE$60=V$3)*(GMWQ!$ND$2:$ND$60=V$4),0),$B266-1966)</f>
        <v>95961.66</v>
      </c>
      <c r="W266" s="18" cm="1">
        <f t="array" ref="W266">INDEX(GMWQ!$A$2:$NF$60,MATCH(1,(GMWQ!$NE$2:$NE$60=W$3)*(GMWQ!$NF$2:$NF$60=W$1),0),$B266-1966)</f>
        <v>67787.91</v>
      </c>
      <c r="X266" s="18" cm="1">
        <f t="array" ref="X266">INDEX(GMWQ!$A$2:$NF$60,MATCH(1,(GMWQ!$NE$2:$NE$60=X$3)*(GMWQ!$NF$2:$NF$60=X$1),0),$B266-1966)</f>
        <v>71054.17</v>
      </c>
      <c r="Y266" s="18" cm="1">
        <f t="array" ref="Y266">INDEX(GMWQ!$A$2:$NF$60,MATCH(1,(GMWQ!$NE$2:$NE$60=Y$3)*(GMWQ!$NF$2:$NF$60=Y$1),0),$B266-1966)</f>
        <v>72156.72</v>
      </c>
      <c r="Z266" s="18" cm="1">
        <f t="array" ref="Z266">INDEX(GMWQ!$A$2:$NF$60,MATCH(1,(GMWQ!$NE$2:$NE$60=Z$3)*(GMWQ!$NF$2:$NF$60=Z$1),0),$B266-1966)</f>
        <v>85430.3</v>
      </c>
    </row>
    <row r="267" spans="1:26" x14ac:dyDescent="0.25">
      <c r="A267" s="18">
        <v>2038</v>
      </c>
      <c r="B267" s="18">
        <f t="shared" si="5"/>
        <v>2233</v>
      </c>
      <c r="C267" s="18" cm="1">
        <f t="array" ref="C267">INDEX(GMWQ!$A$2:$NE$60,MATCH(1,(GMWQ!$NE$2:$NE$60=C$3)*(GMWQ!$ND$2:$ND$60=C$4),0),$B267-1966)</f>
        <v>88840.65</v>
      </c>
      <c r="D267" s="18" cm="1">
        <f t="array" ref="D267">INDEX(GMWQ!$A$2:$NE$60,MATCH(1,(GMWQ!$NE$2:$NE$60=D$3)*(GMWQ!$ND$2:$ND$60=D$4),0),$B267-1966)</f>
        <v>257097.1</v>
      </c>
      <c r="E267" s="18" cm="1">
        <f t="array" ref="E267">INDEX(GMWQ!$A$2:$NE$60,MATCH(1,(GMWQ!$NE$2:$NE$60=E$3)*(GMWQ!$ND$2:$ND$60=E$4),0),$B267-1966)</f>
        <v>-18847.169999999998</v>
      </c>
      <c r="F267" s="18" cm="1">
        <f t="array" ref="F267">INDEX(GMWQ!$A$2:$NE$60,MATCH(1,(GMWQ!$NE$2:$NE$60=F$3)*(GMWQ!$ND$2:$ND$60=F$4),0),$B267-1966)</f>
        <v>-20970.39</v>
      </c>
      <c r="G267" s="18" cm="1">
        <f t="array" ref="G267">INDEX(GMWQ!$A$2:$NE$60,MATCH(1,(GMWQ!$NE$2:$NE$60=G$3)*(GMWQ!$ND$2:$ND$60=G$4),0),$B267-1966)</f>
        <v>1167276</v>
      </c>
      <c r="H267" s="18" cm="1">
        <f t="array" ref="H267">INDEX(GMWQ!$A$2:$NE$60,MATCH(1,(GMWQ!$NE$2:$NE$60=H$3)*(GMWQ!$ND$2:$ND$60=H$4),0),$B267-1966)</f>
        <v>149519.5</v>
      </c>
      <c r="I267" s="18" cm="1">
        <f t="array" ref="I267">INDEX(GMWQ!$A$2:$NE$60,MATCH(1,(GMWQ!$NE$2:$NE$60=I$3)*(GMWQ!$ND$2:$ND$60=I$4),0),$B267-1966)</f>
        <v>19748.97</v>
      </c>
      <c r="J267" s="18" cm="1">
        <f t="array" ref="J267">INDEX(GMWQ!$A$2:$NE$60,MATCH(1,(GMWQ!$NE$2:$NE$60=J$3)*(GMWQ!$ND$2:$ND$60=J$4),0),$B267-1966)</f>
        <v>30626.080000000002</v>
      </c>
      <c r="K267" s="18" cm="1">
        <f t="array" ref="K267">INDEX(GMWQ!$A$2:$NE$60,MATCH(1,(GMWQ!$NE$2:$NE$60=K$3)*(GMWQ!$ND$2:$ND$60=K$4),0),$B267-1966)</f>
        <v>4256622</v>
      </c>
      <c r="L267" s="18" cm="1">
        <f t="array" ref="L267">INDEX(GMWQ!$A$2:$NE$60,MATCH(1,(GMWQ!$NE$2:$NE$60=L$3)*(GMWQ!$ND$2:$ND$60=L$4),0),$B267-1966)</f>
        <v>36924.92</v>
      </c>
      <c r="M267" s="18" cm="1">
        <f t="array" ref="M267">INDEX(GMWQ!$A$2:$NE$60,MATCH(1,(GMWQ!$NE$2:$NE$60=M$3)*(GMWQ!$ND$2:$ND$60=M$4),0),$B267-1966)</f>
        <v>31.982970000000002</v>
      </c>
      <c r="N267" s="18" cm="1">
        <f t="array" ref="N267">INDEX(GMWQ!$A$2:$NE$60,MATCH(1,(GMWQ!$NE$2:$NE$60=N$3)*(GMWQ!$ND$2:$ND$60=N$4),0),$B267-1966)</f>
        <v>9.1033030000000004</v>
      </c>
      <c r="O267" s="18" cm="1">
        <f t="array" ref="O267">INDEX(GMWQ!$A$2:$NE$60,MATCH(1,(GMWQ!$NE$2:$NE$60=O$3)*(GMWQ!$ND$2:$ND$60=O$4),0),$B267-1966)</f>
        <v>3.8562470000000002</v>
      </c>
      <c r="P267" s="18" cm="1">
        <f t="array" ref="P267">INDEX(GMWQ!$A$2:$NE$60,MATCH(1,(GMWQ!$NE$2:$NE$60=P$3)*(GMWQ!$ND$2:$ND$60=P$4),0),$B267-1966)</f>
        <v>975579.5</v>
      </c>
      <c r="Q267" s="18" cm="1">
        <f t="array" ref="Q267">INDEX(GMWQ!$A$2:$NE$60,MATCH(1,(GMWQ!$NE$2:$NE$60=Q$3)*(GMWQ!$ND$2:$ND$60=Q$4),0),$B267-1966)</f>
        <v>1370.6559999999999</v>
      </c>
      <c r="R267" s="18" cm="1">
        <f t="array" ref="R267">INDEX(GMWQ!$A$2:$NE$60,MATCH(1,(GMWQ!$NE$2:$NE$60=R$3)*(GMWQ!$ND$2:$ND$60=R$4),0),$B267-1966)</f>
        <v>25346.080000000002</v>
      </c>
      <c r="S267" s="18" cm="1">
        <f t="array" ref="S267">INDEX(GMWQ!$A$2:$NE$60,MATCH(1,(GMWQ!$NE$2:$NE$60=S$3)*(GMWQ!$ND$2:$ND$60=S$4),0),$B267-1966)</f>
        <v>127.1741</v>
      </c>
      <c r="T267" s="18" cm="1">
        <f t="array" ref="T267">INDEX(GMWQ!$A$2:$NE$60,MATCH(1,(GMWQ!$NE$2:$NE$60=T$3)*(GMWQ!$ND$2:$ND$60=T$4),0),$B267-1966)</f>
        <v>100.60680000000001</v>
      </c>
      <c r="U267" s="18" cm="1">
        <f t="array" ref="U267">INDEX(GMWQ!$A$2:$NE$60,MATCH(1,(GMWQ!$NE$2:$NE$60=U$3)*(GMWQ!$ND$2:$ND$60=U$4),0),$B267-1966)</f>
        <v>65.775220000000004</v>
      </c>
      <c r="V267" s="18" cm="1">
        <f t="array" ref="V267">INDEX(GMWQ!$A$2:$NE$60,MATCH(1,(GMWQ!$NE$2:$NE$60=V$3)*(GMWQ!$ND$2:$ND$60=V$4),0),$B267-1966)</f>
        <v>96427.6</v>
      </c>
      <c r="W267" s="18" cm="1">
        <f t="array" ref="W267">INDEX(GMWQ!$A$2:$NF$60,MATCH(1,(GMWQ!$NE$2:$NE$60=W$3)*(GMWQ!$NF$2:$NF$60=W$1),0),$B267-1966)</f>
        <v>68081.990000000005</v>
      </c>
      <c r="X267" s="18" cm="1">
        <f t="array" ref="X267">INDEX(GMWQ!$A$2:$NF$60,MATCH(1,(GMWQ!$NE$2:$NE$60=X$3)*(GMWQ!$NF$2:$NF$60=X$1),0),$B267-1966)</f>
        <v>71385.97</v>
      </c>
      <c r="Y267" s="18" cm="1">
        <f t="array" ref="Y267">INDEX(GMWQ!$A$2:$NF$60,MATCH(1,(GMWQ!$NE$2:$NE$60=Y$3)*(GMWQ!$NF$2:$NF$60=Y$1),0),$B267-1966)</f>
        <v>72531.990000000005</v>
      </c>
      <c r="Z267" s="18" cm="1">
        <f t="array" ref="Z267">INDEX(GMWQ!$A$2:$NF$60,MATCH(1,(GMWQ!$NE$2:$NE$60=Z$3)*(GMWQ!$NF$2:$NF$60=Z$1),0),$B267-1966)</f>
        <v>85982.41</v>
      </c>
    </row>
    <row r="268" spans="1:26" x14ac:dyDescent="0.25">
      <c r="B268" s="18">
        <f t="shared" si="5"/>
        <v>2234</v>
      </c>
      <c r="C268" s="18" cm="1">
        <f t="array" ref="C268">INDEX(GMWQ!$A$2:$NE$60,MATCH(1,(GMWQ!$NE$2:$NE$60=C$3)*(GMWQ!$ND$2:$ND$60=C$4),0),$B268-1966)</f>
        <v>89412.67</v>
      </c>
      <c r="D268" s="18" cm="1">
        <f t="array" ref="D268">INDEX(GMWQ!$A$2:$NE$60,MATCH(1,(GMWQ!$NE$2:$NE$60=D$3)*(GMWQ!$ND$2:$ND$60=D$4),0),$B268-1966)</f>
        <v>259676.3</v>
      </c>
      <c r="E268" s="18" cm="1">
        <f t="array" ref="E268">INDEX(GMWQ!$A$2:$NE$60,MATCH(1,(GMWQ!$NE$2:$NE$60=E$3)*(GMWQ!$ND$2:$ND$60=E$4),0),$B268-1966)</f>
        <v>-9023.1759999999995</v>
      </c>
      <c r="F268" s="18" cm="1">
        <f t="array" ref="F268">INDEX(GMWQ!$A$2:$NE$60,MATCH(1,(GMWQ!$NE$2:$NE$60=F$3)*(GMWQ!$ND$2:$ND$60=F$4),0),$B268-1966)</f>
        <v>-11166.31</v>
      </c>
      <c r="G268" s="18" cm="1">
        <f t="array" ref="G268">INDEX(GMWQ!$A$2:$NE$60,MATCH(1,(GMWQ!$NE$2:$NE$60=G$3)*(GMWQ!$ND$2:$ND$60=G$4),0),$B268-1966)</f>
        <v>1178214</v>
      </c>
      <c r="H268" s="18" cm="1">
        <f t="array" ref="H268">INDEX(GMWQ!$A$2:$NE$60,MATCH(1,(GMWQ!$NE$2:$NE$60=H$3)*(GMWQ!$ND$2:$ND$60=H$4),0),$B268-1966)</f>
        <v>150360</v>
      </c>
      <c r="I268" s="18" cm="1">
        <f t="array" ref="I268">INDEX(GMWQ!$A$2:$NE$60,MATCH(1,(GMWQ!$NE$2:$NE$60=I$3)*(GMWQ!$ND$2:$ND$60=I$4),0),$B268-1966)</f>
        <v>19846.509999999998</v>
      </c>
      <c r="J268" s="18" cm="1">
        <f t="array" ref="J268">INDEX(GMWQ!$A$2:$NE$60,MATCH(1,(GMWQ!$NE$2:$NE$60=J$3)*(GMWQ!$ND$2:$ND$60=J$4),0),$B268-1966)</f>
        <v>30746.1</v>
      </c>
      <c r="K268" s="18" cm="1">
        <f t="array" ref="K268">INDEX(GMWQ!$A$2:$NE$60,MATCH(1,(GMWQ!$NE$2:$NE$60=K$3)*(GMWQ!$ND$2:$ND$60=K$4),0),$B268-1966)</f>
        <v>4277033</v>
      </c>
      <c r="L268" s="18" cm="1">
        <f t="array" ref="L268">INDEX(GMWQ!$A$2:$NE$60,MATCH(1,(GMWQ!$NE$2:$NE$60=L$3)*(GMWQ!$ND$2:$ND$60=L$4),0),$B268-1966)</f>
        <v>36966.06</v>
      </c>
      <c r="M268" s="18" cm="1">
        <f t="array" ref="M268">INDEX(GMWQ!$A$2:$NE$60,MATCH(1,(GMWQ!$NE$2:$NE$60=M$3)*(GMWQ!$ND$2:$ND$60=M$4),0),$B268-1966)</f>
        <v>31.982399999999998</v>
      </c>
      <c r="N268" s="18" cm="1">
        <f t="array" ref="N268">INDEX(GMWQ!$A$2:$NE$60,MATCH(1,(GMWQ!$NE$2:$NE$60=N$3)*(GMWQ!$ND$2:$ND$60=N$4),0),$B268-1966)</f>
        <v>9.1108209999999996</v>
      </c>
      <c r="O268" s="18" cm="1">
        <f t="array" ref="O268">INDEX(GMWQ!$A$2:$NE$60,MATCH(1,(GMWQ!$NE$2:$NE$60=O$3)*(GMWQ!$ND$2:$ND$60=O$4),0),$B268-1966)</f>
        <v>3.8562470000000002</v>
      </c>
      <c r="P268" s="18" cm="1">
        <f t="array" ref="P268">INDEX(GMWQ!$A$2:$NE$60,MATCH(1,(GMWQ!$NE$2:$NE$60=P$3)*(GMWQ!$ND$2:$ND$60=P$4),0),$B268-1966)</f>
        <v>989072.4</v>
      </c>
      <c r="Q268" s="18" cm="1">
        <f t="array" ref="Q268">INDEX(GMWQ!$A$2:$NE$60,MATCH(1,(GMWQ!$NE$2:$NE$60=Q$3)*(GMWQ!$ND$2:$ND$60=Q$4),0),$B268-1966)</f>
        <v>1379.1690000000001</v>
      </c>
      <c r="R268" s="18" cm="1">
        <f t="array" ref="R268">INDEX(GMWQ!$A$2:$NE$60,MATCH(1,(GMWQ!$NE$2:$NE$60=R$3)*(GMWQ!$ND$2:$ND$60=R$4),0),$B268-1966)</f>
        <v>25338.47</v>
      </c>
      <c r="S268" s="18" cm="1">
        <f t="array" ref="S268">INDEX(GMWQ!$A$2:$NE$60,MATCH(1,(GMWQ!$NE$2:$NE$60=S$3)*(GMWQ!$ND$2:$ND$60=S$4),0),$B268-1966)</f>
        <v>127.4308</v>
      </c>
      <c r="T268" s="18" cm="1">
        <f t="array" ref="T268">INDEX(GMWQ!$A$2:$NE$60,MATCH(1,(GMWQ!$NE$2:$NE$60=T$3)*(GMWQ!$ND$2:$ND$60=T$4),0),$B268-1966)</f>
        <v>100.8582</v>
      </c>
      <c r="U268" s="18" cm="1">
        <f t="array" ref="U268">INDEX(GMWQ!$A$2:$NE$60,MATCH(1,(GMWQ!$NE$2:$NE$60=U$3)*(GMWQ!$ND$2:$ND$60=U$4),0),$B268-1966)</f>
        <v>65.797489999999996</v>
      </c>
      <c r="V268" s="18" cm="1">
        <f t="array" ref="V268">INDEX(GMWQ!$A$2:$NE$60,MATCH(1,(GMWQ!$NE$2:$NE$60=V$3)*(GMWQ!$ND$2:$ND$60=V$4),0),$B268-1966)</f>
        <v>96892.4</v>
      </c>
      <c r="W268" s="18" cm="1">
        <f t="array" ref="W268">INDEX(GMWQ!$A$2:$NF$60,MATCH(1,(GMWQ!$NE$2:$NE$60=W$3)*(GMWQ!$NF$2:$NF$60=W$1),0),$B268-1966)</f>
        <v>68376.97</v>
      </c>
      <c r="X268" s="18" cm="1">
        <f t="array" ref="X268">INDEX(GMWQ!$A$2:$NF$60,MATCH(1,(GMWQ!$NE$2:$NE$60=X$3)*(GMWQ!$NF$2:$NF$60=X$1),0),$B268-1966)</f>
        <v>71719.16</v>
      </c>
      <c r="Y268" s="18" cm="1">
        <f t="array" ref="Y268">INDEX(GMWQ!$A$2:$NF$60,MATCH(1,(GMWQ!$NE$2:$NE$60=Y$3)*(GMWQ!$NF$2:$NF$60=Y$1),0),$B268-1966)</f>
        <v>72909.41</v>
      </c>
      <c r="Z268" s="18" cm="1">
        <f t="array" ref="Z268">INDEX(GMWQ!$A$2:$NF$60,MATCH(1,(GMWQ!$NE$2:$NE$60=Z$3)*(GMWQ!$NF$2:$NF$60=Z$1),0),$B268-1966)</f>
        <v>86538.41</v>
      </c>
    </row>
    <row r="269" spans="1:26" x14ac:dyDescent="0.25">
      <c r="B269" s="18">
        <f t="shared" si="5"/>
        <v>2235</v>
      </c>
      <c r="C269" s="18" cm="1">
        <f t="array" ref="C269">INDEX(GMWQ!$A$2:$NE$60,MATCH(1,(GMWQ!$NE$2:$NE$60=C$3)*(GMWQ!$ND$2:$ND$60=C$4),0),$B269-1966)</f>
        <v>89988.74</v>
      </c>
      <c r="D269" s="18" cm="1">
        <f t="array" ref="D269">INDEX(GMWQ!$A$2:$NE$60,MATCH(1,(GMWQ!$NE$2:$NE$60=D$3)*(GMWQ!$ND$2:$ND$60=D$4),0),$B269-1966)</f>
        <v>262328.3</v>
      </c>
      <c r="E269" s="18" cm="1">
        <f t="array" ref="E269">INDEX(GMWQ!$A$2:$NE$60,MATCH(1,(GMWQ!$NE$2:$NE$60=E$3)*(GMWQ!$ND$2:$ND$60=E$4),0),$B269-1966)</f>
        <v>-13138.73</v>
      </c>
      <c r="F269" s="18" cm="1">
        <f t="array" ref="F269">INDEX(GMWQ!$A$2:$NE$60,MATCH(1,(GMWQ!$NE$2:$NE$60=F$3)*(GMWQ!$ND$2:$ND$60=F$4),0),$B269-1966)</f>
        <v>-15301.98</v>
      </c>
      <c r="G269" s="18" cm="1">
        <f t="array" ref="G269">INDEX(GMWQ!$A$2:$NE$60,MATCH(1,(GMWQ!$NE$2:$NE$60=G$3)*(GMWQ!$ND$2:$ND$60=G$4),0),$B269-1966)</f>
        <v>1189258</v>
      </c>
      <c r="H269" s="18" cm="1">
        <f t="array" ref="H269">INDEX(GMWQ!$A$2:$NE$60,MATCH(1,(GMWQ!$NE$2:$NE$60=H$3)*(GMWQ!$ND$2:$ND$60=H$4),0),$B269-1966)</f>
        <v>151206</v>
      </c>
      <c r="I269" s="18" cm="1">
        <f t="array" ref="I269">INDEX(GMWQ!$A$2:$NE$60,MATCH(1,(GMWQ!$NE$2:$NE$60=I$3)*(GMWQ!$ND$2:$ND$60=I$4),0),$B269-1966)</f>
        <v>19944.61</v>
      </c>
      <c r="J269" s="18" cm="1">
        <f t="array" ref="J269">INDEX(GMWQ!$A$2:$NE$60,MATCH(1,(GMWQ!$NE$2:$NE$60=J$3)*(GMWQ!$ND$2:$ND$60=J$4),0),$B269-1966)</f>
        <v>30866.71</v>
      </c>
      <c r="K269" s="18" cm="1">
        <f t="array" ref="K269">INDEX(GMWQ!$A$2:$NE$60,MATCH(1,(GMWQ!$NE$2:$NE$60=K$3)*(GMWQ!$ND$2:$ND$60=K$4),0),$B269-1966)</f>
        <v>4297634</v>
      </c>
      <c r="L269" s="18" cm="1">
        <f t="array" ref="L269">INDEX(GMWQ!$A$2:$NE$60,MATCH(1,(GMWQ!$NE$2:$NE$60=L$3)*(GMWQ!$ND$2:$ND$60=L$4),0),$B269-1966)</f>
        <v>37007.199999999997</v>
      </c>
      <c r="M269" s="18" cm="1">
        <f t="array" ref="M269">INDEX(GMWQ!$A$2:$NE$60,MATCH(1,(GMWQ!$NE$2:$NE$60=M$3)*(GMWQ!$ND$2:$ND$60=M$4),0),$B269-1966)</f>
        <v>31.981819999999999</v>
      </c>
      <c r="N269" s="18" cm="1">
        <f t="array" ref="N269">INDEX(GMWQ!$A$2:$NE$60,MATCH(1,(GMWQ!$NE$2:$NE$60=N$3)*(GMWQ!$ND$2:$ND$60=N$4),0),$B269-1966)</f>
        <v>9.1181830000000001</v>
      </c>
      <c r="O269" s="18" cm="1">
        <f t="array" ref="O269">INDEX(GMWQ!$A$2:$NE$60,MATCH(1,(GMWQ!$NE$2:$NE$60=O$3)*(GMWQ!$ND$2:$ND$60=O$4),0),$B269-1966)</f>
        <v>3.8562470000000002</v>
      </c>
      <c r="P269" s="18" cm="1">
        <f t="array" ref="P269">INDEX(GMWQ!$A$2:$NE$60,MATCH(1,(GMWQ!$NE$2:$NE$60=P$3)*(GMWQ!$ND$2:$ND$60=P$4),0),$B269-1966)</f>
        <v>1002839</v>
      </c>
      <c r="Q269" s="18" cm="1">
        <f t="array" ref="Q269">INDEX(GMWQ!$A$2:$NE$60,MATCH(1,(GMWQ!$NE$2:$NE$60=Q$3)*(GMWQ!$ND$2:$ND$60=Q$4),0),$B269-1966)</f>
        <v>1387.7180000000001</v>
      </c>
      <c r="R269" s="18" cm="1">
        <f t="array" ref="R269">INDEX(GMWQ!$A$2:$NE$60,MATCH(1,(GMWQ!$NE$2:$NE$60=R$3)*(GMWQ!$ND$2:$ND$60=R$4),0),$B269-1966)</f>
        <v>25330.65</v>
      </c>
      <c r="S269" s="18" cm="1">
        <f t="array" ref="S269">INDEX(GMWQ!$A$2:$NE$60,MATCH(1,(GMWQ!$NE$2:$NE$60=S$3)*(GMWQ!$ND$2:$ND$60=S$4),0),$B269-1966)</f>
        <v>127.68810000000001</v>
      </c>
      <c r="T269" s="18" cm="1">
        <f t="array" ref="T269">INDEX(GMWQ!$A$2:$NE$60,MATCH(1,(GMWQ!$NE$2:$NE$60=T$3)*(GMWQ!$ND$2:$ND$60=T$4),0),$B269-1966)</f>
        <v>101.125</v>
      </c>
      <c r="U269" s="18" cm="1">
        <f t="array" ref="U269">INDEX(GMWQ!$A$2:$NE$60,MATCH(1,(GMWQ!$NE$2:$NE$60=U$3)*(GMWQ!$ND$2:$ND$60=U$4),0),$B269-1966)</f>
        <v>65.81935</v>
      </c>
      <c r="V269" s="18" cm="1">
        <f t="array" ref="V269">INDEX(GMWQ!$A$2:$NE$60,MATCH(1,(GMWQ!$NE$2:$NE$60=V$3)*(GMWQ!$ND$2:$ND$60=V$4),0),$B269-1966)</f>
        <v>97359.98</v>
      </c>
      <c r="W269" s="18" cm="1">
        <f t="array" ref="W269">INDEX(GMWQ!$A$2:$NF$60,MATCH(1,(GMWQ!$NE$2:$NE$60=W$3)*(GMWQ!$NF$2:$NF$60=W$1),0),$B269-1966)</f>
        <v>68672.88</v>
      </c>
      <c r="X269" s="18" cm="1">
        <f t="array" ref="X269">INDEX(GMWQ!$A$2:$NF$60,MATCH(1,(GMWQ!$NE$2:$NE$60=X$3)*(GMWQ!$NF$2:$NF$60=X$1),0),$B269-1966)</f>
        <v>72053.77</v>
      </c>
      <c r="Y269" s="18" cm="1">
        <f t="array" ref="Y269">INDEX(GMWQ!$A$2:$NF$60,MATCH(1,(GMWQ!$NE$2:$NE$60=Y$3)*(GMWQ!$NF$2:$NF$60=Y$1),0),$B269-1966)</f>
        <v>73289.05</v>
      </c>
      <c r="Z269" s="18" cm="1">
        <f t="array" ref="Z269">INDEX(GMWQ!$A$2:$NF$60,MATCH(1,(GMWQ!$NE$2:$NE$60=Z$3)*(GMWQ!$NF$2:$NF$60=Z$1),0),$B269-1966)</f>
        <v>87098.39</v>
      </c>
    </row>
    <row r="270" spans="1:26" x14ac:dyDescent="0.25">
      <c r="B270" s="18">
        <f t="shared" si="5"/>
        <v>2236</v>
      </c>
      <c r="C270" s="18" cm="1">
        <f t="array" ref="C270">INDEX(GMWQ!$A$2:$NE$60,MATCH(1,(GMWQ!$NE$2:$NE$60=C$3)*(GMWQ!$ND$2:$ND$60=C$4),0),$B270-1966)</f>
        <v>90568.9</v>
      </c>
      <c r="D270" s="18" cm="1">
        <f t="array" ref="D270">INDEX(GMWQ!$A$2:$NE$60,MATCH(1,(GMWQ!$NE$2:$NE$60=D$3)*(GMWQ!$ND$2:$ND$60=D$4),0),$B270-1966)</f>
        <v>264365.7</v>
      </c>
      <c r="E270" s="18" cm="1">
        <f t="array" ref="E270">INDEX(GMWQ!$A$2:$NE$60,MATCH(1,(GMWQ!$NE$2:$NE$60=E$3)*(GMWQ!$ND$2:$ND$60=E$4),0),$B270-1966)</f>
        <v>410.60059999999999</v>
      </c>
      <c r="F270" s="18" cm="1">
        <f t="array" ref="F270">INDEX(GMWQ!$A$2:$NE$60,MATCH(1,(GMWQ!$NE$2:$NE$60=F$3)*(GMWQ!$ND$2:$ND$60=F$4),0),$B270-1966)</f>
        <v>-1772.95</v>
      </c>
      <c r="G270" s="18" cm="1">
        <f t="array" ref="G270">INDEX(GMWQ!$A$2:$NE$60,MATCH(1,(GMWQ!$NE$2:$NE$60=G$3)*(GMWQ!$ND$2:$ND$60=G$4),0),$B270-1966)</f>
        <v>1200411</v>
      </c>
      <c r="H270" s="18" cm="1">
        <f t="array" ref="H270">INDEX(GMWQ!$A$2:$NE$60,MATCH(1,(GMWQ!$NE$2:$NE$60=H$3)*(GMWQ!$ND$2:$ND$60=H$4),0),$B270-1966)</f>
        <v>152057.5</v>
      </c>
      <c r="I270" s="18" cm="1">
        <f t="array" ref="I270">INDEX(GMWQ!$A$2:$NE$60,MATCH(1,(GMWQ!$NE$2:$NE$60=I$3)*(GMWQ!$ND$2:$ND$60=I$4),0),$B270-1966)</f>
        <v>20043.27</v>
      </c>
      <c r="J270" s="18" cm="1">
        <f t="array" ref="J270">INDEX(GMWQ!$A$2:$NE$60,MATCH(1,(GMWQ!$NE$2:$NE$60=J$3)*(GMWQ!$ND$2:$ND$60=J$4),0),$B270-1966)</f>
        <v>30987.93</v>
      </c>
      <c r="K270" s="18" cm="1">
        <f t="array" ref="K270">INDEX(GMWQ!$A$2:$NE$60,MATCH(1,(GMWQ!$NE$2:$NE$60=K$3)*(GMWQ!$ND$2:$ND$60=K$4),0),$B270-1966)</f>
        <v>4318426</v>
      </c>
      <c r="L270" s="18" cm="1">
        <f t="array" ref="L270">INDEX(GMWQ!$A$2:$NE$60,MATCH(1,(GMWQ!$NE$2:$NE$60=L$3)*(GMWQ!$ND$2:$ND$60=L$4),0),$B270-1966)</f>
        <v>37048.339999999997</v>
      </c>
      <c r="M270" s="18" cm="1">
        <f t="array" ref="M270">INDEX(GMWQ!$A$2:$NE$60,MATCH(1,(GMWQ!$NE$2:$NE$60=M$3)*(GMWQ!$ND$2:$ND$60=M$4),0),$B270-1966)</f>
        <v>31.981249999999999</v>
      </c>
      <c r="N270" s="18" cm="1">
        <f t="array" ref="N270">INDEX(GMWQ!$A$2:$NE$60,MATCH(1,(GMWQ!$NE$2:$NE$60=N$3)*(GMWQ!$ND$2:$ND$60=N$4),0),$B270-1966)</f>
        <v>9.1304040000000004</v>
      </c>
      <c r="O270" s="18" cm="1">
        <f t="array" ref="O270">INDEX(GMWQ!$A$2:$NE$60,MATCH(1,(GMWQ!$NE$2:$NE$60=O$3)*(GMWQ!$ND$2:$ND$60=O$4),0),$B270-1966)</f>
        <v>3.8562470000000002</v>
      </c>
      <c r="P270" s="18" cm="1">
        <f t="array" ref="P270">INDEX(GMWQ!$A$2:$NE$60,MATCH(1,(GMWQ!$NE$2:$NE$60=P$3)*(GMWQ!$ND$2:$ND$60=P$4),0),$B270-1966)</f>
        <v>1016762</v>
      </c>
      <c r="Q270" s="18" cm="1">
        <f t="array" ref="Q270">INDEX(GMWQ!$A$2:$NE$60,MATCH(1,(GMWQ!$NE$2:$NE$60=Q$3)*(GMWQ!$ND$2:$ND$60=Q$4),0),$B270-1966)</f>
        <v>1396.3030000000001</v>
      </c>
      <c r="R270" s="18" cm="1">
        <f t="array" ref="R270">INDEX(GMWQ!$A$2:$NE$60,MATCH(1,(GMWQ!$NE$2:$NE$60=R$3)*(GMWQ!$ND$2:$ND$60=R$4),0),$B270-1966)</f>
        <v>25322.19</v>
      </c>
      <c r="S270" s="18" cm="1">
        <f t="array" ref="S270">INDEX(GMWQ!$A$2:$NE$60,MATCH(1,(GMWQ!$NE$2:$NE$60=S$3)*(GMWQ!$ND$2:$ND$60=S$4),0),$B270-1966)</f>
        <v>127.946</v>
      </c>
      <c r="T270" s="18" cm="1">
        <f t="array" ref="T270">INDEX(GMWQ!$A$2:$NE$60,MATCH(1,(GMWQ!$NE$2:$NE$60=T$3)*(GMWQ!$ND$2:$ND$60=T$4),0),$B270-1966)</f>
        <v>101.29510000000001</v>
      </c>
      <c r="U270" s="18" cm="1">
        <f t="array" ref="U270">INDEX(GMWQ!$A$2:$NE$60,MATCH(1,(GMWQ!$NE$2:$NE$60=U$3)*(GMWQ!$ND$2:$ND$60=U$4),0),$B270-1966)</f>
        <v>65.84075</v>
      </c>
      <c r="V270" s="18" cm="1">
        <f t="array" ref="V270">INDEX(GMWQ!$A$2:$NE$60,MATCH(1,(GMWQ!$NE$2:$NE$60=V$3)*(GMWQ!$ND$2:$ND$60=V$4),0),$B270-1966)</f>
        <v>97832.73</v>
      </c>
      <c r="W270" s="18" cm="1">
        <f t="array" ref="W270">INDEX(GMWQ!$A$2:$NF$60,MATCH(1,(GMWQ!$NE$2:$NE$60=W$3)*(GMWQ!$NF$2:$NF$60=W$1),0),$B270-1966)</f>
        <v>68969.78</v>
      </c>
      <c r="X270" s="18" cm="1">
        <f t="array" ref="X270">INDEX(GMWQ!$A$2:$NF$60,MATCH(1,(GMWQ!$NE$2:$NE$60=X$3)*(GMWQ!$NF$2:$NF$60=X$1),0),$B270-1966)</f>
        <v>72389.84</v>
      </c>
      <c r="Y270" s="18" cm="1">
        <f t="array" ref="Y270">INDEX(GMWQ!$A$2:$NF$60,MATCH(1,(GMWQ!$NE$2:$NE$60=Y$3)*(GMWQ!$NF$2:$NF$60=Y$1),0),$B270-1966)</f>
        <v>73670.929999999993</v>
      </c>
      <c r="Z270" s="18" cm="1">
        <f t="array" ref="Z270">INDEX(GMWQ!$A$2:$NF$60,MATCH(1,(GMWQ!$NE$2:$NE$60=Z$3)*(GMWQ!$NF$2:$NF$60=Z$1),0),$B270-1966)</f>
        <v>87662.36</v>
      </c>
    </row>
    <row r="271" spans="1:26" x14ac:dyDescent="0.25">
      <c r="A271" s="18">
        <v>2039</v>
      </c>
      <c r="B271" s="18">
        <f t="shared" si="5"/>
        <v>2237</v>
      </c>
      <c r="C271" s="18" cm="1">
        <f t="array" ref="C271">INDEX(GMWQ!$A$2:$NE$60,MATCH(1,(GMWQ!$NE$2:$NE$60=C$3)*(GMWQ!$ND$2:$ND$60=C$4),0),$B271-1966)</f>
        <v>91153.15</v>
      </c>
      <c r="D271" s="18" cm="1">
        <f t="array" ref="D271">INDEX(GMWQ!$A$2:$NE$60,MATCH(1,(GMWQ!$NE$2:$NE$60=D$3)*(GMWQ!$ND$2:$ND$60=D$4),0),$B271-1966)</f>
        <v>266871.8</v>
      </c>
      <c r="E271" s="18" cm="1">
        <f t="array" ref="E271">INDEX(GMWQ!$A$2:$NE$60,MATCH(1,(GMWQ!$NE$2:$NE$60=E$3)*(GMWQ!$ND$2:$ND$60=E$4),0),$B271-1966)</f>
        <v>-18281.55</v>
      </c>
      <c r="F271" s="18" cm="1">
        <f t="array" ref="F271">INDEX(GMWQ!$A$2:$NE$60,MATCH(1,(GMWQ!$NE$2:$NE$60=F$3)*(GMWQ!$ND$2:$ND$60=F$4),0),$B271-1966)</f>
        <v>-20485.599999999999</v>
      </c>
      <c r="G271" s="18" cm="1">
        <f t="array" ref="G271">INDEX(GMWQ!$A$2:$NE$60,MATCH(1,(GMWQ!$NE$2:$NE$60=G$3)*(GMWQ!$ND$2:$ND$60=G$4),0),$B271-1966)</f>
        <v>1211673</v>
      </c>
      <c r="H271" s="18" cm="1">
        <f t="array" ref="H271">INDEX(GMWQ!$A$2:$NE$60,MATCH(1,(GMWQ!$NE$2:$NE$60=H$3)*(GMWQ!$ND$2:$ND$60=H$4),0),$B271-1966)</f>
        <v>152914.5</v>
      </c>
      <c r="I271" s="18" cm="1">
        <f t="array" ref="I271">INDEX(GMWQ!$A$2:$NE$60,MATCH(1,(GMWQ!$NE$2:$NE$60=I$3)*(GMWQ!$ND$2:$ND$60=I$4),0),$B271-1966)</f>
        <v>20142.5</v>
      </c>
      <c r="J271" s="18" cm="1">
        <f t="array" ref="J271">INDEX(GMWQ!$A$2:$NE$60,MATCH(1,(GMWQ!$NE$2:$NE$60=J$3)*(GMWQ!$ND$2:$ND$60=J$4),0),$B271-1966)</f>
        <v>31109.73</v>
      </c>
      <c r="K271" s="18" cm="1">
        <f t="array" ref="K271">INDEX(GMWQ!$A$2:$NE$60,MATCH(1,(GMWQ!$NE$2:$NE$60=K$3)*(GMWQ!$ND$2:$ND$60=K$4),0),$B271-1966)</f>
        <v>4339408</v>
      </c>
      <c r="L271" s="18" cm="1">
        <f t="array" ref="L271">INDEX(GMWQ!$A$2:$NE$60,MATCH(1,(GMWQ!$NE$2:$NE$60=L$3)*(GMWQ!$ND$2:$ND$60=L$4),0),$B271-1966)</f>
        <v>37089.480000000003</v>
      </c>
      <c r="M271" s="18" cm="1">
        <f t="array" ref="M271">INDEX(GMWQ!$A$2:$NE$60,MATCH(1,(GMWQ!$NE$2:$NE$60=M$3)*(GMWQ!$ND$2:$ND$60=M$4),0),$B271-1966)</f>
        <v>31.98068</v>
      </c>
      <c r="N271" s="18" cm="1">
        <f t="array" ref="N271">INDEX(GMWQ!$A$2:$NE$60,MATCH(1,(GMWQ!$NE$2:$NE$60=N$3)*(GMWQ!$ND$2:$ND$60=N$4),0),$B271-1966)</f>
        <v>9.1383369999999999</v>
      </c>
      <c r="O271" s="18" cm="1">
        <f t="array" ref="O271">INDEX(GMWQ!$A$2:$NE$60,MATCH(1,(GMWQ!$NE$2:$NE$60=O$3)*(GMWQ!$ND$2:$ND$60=O$4),0),$B271-1966)</f>
        <v>3.8562470000000002</v>
      </c>
      <c r="P271" s="18" cm="1">
        <f t="array" ref="P271">INDEX(GMWQ!$A$2:$NE$60,MATCH(1,(GMWQ!$NE$2:$NE$60=P$3)*(GMWQ!$ND$2:$ND$60=P$4),0),$B271-1966)</f>
        <v>1030420</v>
      </c>
      <c r="Q271" s="18" cm="1">
        <f t="array" ref="Q271">INDEX(GMWQ!$A$2:$NE$60,MATCH(1,(GMWQ!$NE$2:$NE$60=Q$3)*(GMWQ!$ND$2:$ND$60=Q$4),0),$B271-1966)</f>
        <v>1404.9190000000001</v>
      </c>
      <c r="R271" s="18" cm="1">
        <f t="array" ref="R271">INDEX(GMWQ!$A$2:$NE$60,MATCH(1,(GMWQ!$NE$2:$NE$60=R$3)*(GMWQ!$ND$2:$ND$60=R$4),0),$B271-1966)</f>
        <v>25312.98</v>
      </c>
      <c r="S271" s="18" cm="1">
        <f t="array" ref="S271">INDEX(GMWQ!$A$2:$NE$60,MATCH(1,(GMWQ!$NE$2:$NE$60=S$3)*(GMWQ!$ND$2:$ND$60=S$4),0),$B271-1966)</f>
        <v>128.24010000000001</v>
      </c>
      <c r="T271" s="18" cm="1">
        <f t="array" ref="T271">INDEX(GMWQ!$A$2:$NE$60,MATCH(1,(GMWQ!$NE$2:$NE$60=T$3)*(GMWQ!$ND$2:$ND$60=T$4),0),$B271-1966)</f>
        <v>101.4576</v>
      </c>
      <c r="U271" s="18" cm="1">
        <f t="array" ref="U271">INDEX(GMWQ!$A$2:$NE$60,MATCH(1,(GMWQ!$NE$2:$NE$60=U$3)*(GMWQ!$ND$2:$ND$60=U$4),0),$B271-1966)</f>
        <v>65.861660000000001</v>
      </c>
      <c r="V271" s="18" cm="1">
        <f t="array" ref="V271">INDEX(GMWQ!$A$2:$NE$60,MATCH(1,(GMWQ!$NE$2:$NE$60=V$3)*(GMWQ!$ND$2:$ND$60=V$4),0),$B271-1966)</f>
        <v>98310.59</v>
      </c>
      <c r="W271" s="18" cm="1">
        <f t="array" ref="W271">INDEX(GMWQ!$A$2:$NF$60,MATCH(1,(GMWQ!$NE$2:$NE$60=W$3)*(GMWQ!$NF$2:$NF$60=W$1),0),$B271-1966)</f>
        <v>69267.64</v>
      </c>
      <c r="X271" s="18" cm="1">
        <f t="array" ref="X271">INDEX(GMWQ!$A$2:$NF$60,MATCH(1,(GMWQ!$NE$2:$NE$60=X$3)*(GMWQ!$NF$2:$NF$60=X$1),0),$B271-1966)</f>
        <v>72727.350000000006</v>
      </c>
      <c r="Y271" s="18" cm="1">
        <f t="array" ref="Y271">INDEX(GMWQ!$A$2:$NF$60,MATCH(1,(GMWQ!$NE$2:$NE$60=Y$3)*(GMWQ!$NF$2:$NF$60=Y$1),0),$B271-1966)</f>
        <v>74055.02</v>
      </c>
      <c r="Z271" s="18" cm="1">
        <f t="array" ref="Z271">INDEX(GMWQ!$A$2:$NF$60,MATCH(1,(GMWQ!$NE$2:$NE$60=Z$3)*(GMWQ!$NF$2:$NF$60=Z$1),0),$B271-1966)</f>
        <v>88230.34</v>
      </c>
    </row>
    <row r="272" spans="1:26" x14ac:dyDescent="0.25">
      <c r="B272" s="18">
        <f t="shared" si="5"/>
        <v>2238</v>
      </c>
      <c r="C272" s="18" cm="1">
        <f t="array" ref="C272">INDEX(GMWQ!$A$2:$NE$60,MATCH(1,(GMWQ!$NE$2:$NE$60=C$3)*(GMWQ!$ND$2:$ND$60=C$4),0),$B272-1966)</f>
        <v>91741.53</v>
      </c>
      <c r="D272" s="18" cm="1">
        <f t="array" ref="D272">INDEX(GMWQ!$A$2:$NE$60,MATCH(1,(GMWQ!$NE$2:$NE$60=D$3)*(GMWQ!$ND$2:$ND$60=D$4),0),$B272-1966)</f>
        <v>269553.2</v>
      </c>
      <c r="E272" s="18" cm="1">
        <f t="array" ref="E272">INDEX(GMWQ!$A$2:$NE$60,MATCH(1,(GMWQ!$NE$2:$NE$60=E$3)*(GMWQ!$ND$2:$ND$60=E$4),0),$B272-1966)</f>
        <v>-8090.3339999999998</v>
      </c>
      <c r="F272" s="18" cm="1">
        <f t="array" ref="F272">INDEX(GMWQ!$A$2:$NE$60,MATCH(1,(GMWQ!$NE$2:$NE$60=F$3)*(GMWQ!$ND$2:$ND$60=F$4),0),$B272-1966)</f>
        <v>-10315.08</v>
      </c>
      <c r="G272" s="18" cm="1">
        <f t="array" ref="G272">INDEX(GMWQ!$A$2:$NE$60,MATCH(1,(GMWQ!$NE$2:$NE$60=G$3)*(GMWQ!$ND$2:$ND$60=G$4),0),$B272-1966)</f>
        <v>1223047</v>
      </c>
      <c r="H272" s="18" cm="1">
        <f t="array" ref="H272">INDEX(GMWQ!$A$2:$NE$60,MATCH(1,(GMWQ!$NE$2:$NE$60=H$3)*(GMWQ!$ND$2:$ND$60=H$4),0),$B272-1966)</f>
        <v>153777.20000000001</v>
      </c>
      <c r="I272" s="18" cm="1">
        <f t="array" ref="I272">INDEX(GMWQ!$A$2:$NE$60,MATCH(1,(GMWQ!$NE$2:$NE$60=I$3)*(GMWQ!$ND$2:$ND$60=I$4),0),$B272-1966)</f>
        <v>20242.310000000001</v>
      </c>
      <c r="J272" s="18" cm="1">
        <f t="array" ref="J272">INDEX(GMWQ!$A$2:$NE$60,MATCH(1,(GMWQ!$NE$2:$NE$60=J$3)*(GMWQ!$ND$2:$ND$60=J$4),0),$B272-1966)</f>
        <v>31232.15</v>
      </c>
      <c r="K272" s="18" cm="1">
        <f t="array" ref="K272">INDEX(GMWQ!$A$2:$NE$60,MATCH(1,(GMWQ!$NE$2:$NE$60=K$3)*(GMWQ!$ND$2:$ND$60=K$4),0),$B272-1966)</f>
        <v>4360579</v>
      </c>
      <c r="L272" s="18" cm="1">
        <f t="array" ref="L272">INDEX(GMWQ!$A$2:$NE$60,MATCH(1,(GMWQ!$NE$2:$NE$60=L$3)*(GMWQ!$ND$2:$ND$60=L$4),0),$B272-1966)</f>
        <v>37130.620000000003</v>
      </c>
      <c r="M272" s="18" cm="1">
        <f t="array" ref="M272">INDEX(GMWQ!$A$2:$NE$60,MATCH(1,(GMWQ!$NE$2:$NE$60=M$3)*(GMWQ!$ND$2:$ND$60=M$4),0),$B272-1966)</f>
        <v>31.9801</v>
      </c>
      <c r="N272" s="18" cm="1">
        <f t="array" ref="N272">INDEX(GMWQ!$A$2:$NE$60,MATCH(1,(GMWQ!$NE$2:$NE$60=N$3)*(GMWQ!$ND$2:$ND$60=N$4),0),$B272-1966)</f>
        <v>9.1453290000000003</v>
      </c>
      <c r="O272" s="18" cm="1">
        <f t="array" ref="O272">INDEX(GMWQ!$A$2:$NE$60,MATCH(1,(GMWQ!$NE$2:$NE$60=O$3)*(GMWQ!$ND$2:$ND$60=O$4),0),$B272-1966)</f>
        <v>3.8562470000000002</v>
      </c>
      <c r="P272" s="18" cm="1">
        <f t="array" ref="P272">INDEX(GMWQ!$A$2:$NE$60,MATCH(1,(GMWQ!$NE$2:$NE$60=P$3)*(GMWQ!$ND$2:$ND$60=P$4),0),$B272-1966)</f>
        <v>1044351</v>
      </c>
      <c r="Q272" s="18" cm="1">
        <f t="array" ref="Q272">INDEX(GMWQ!$A$2:$NE$60,MATCH(1,(GMWQ!$NE$2:$NE$60=Q$3)*(GMWQ!$ND$2:$ND$60=Q$4),0),$B272-1966)</f>
        <v>1413.5630000000001</v>
      </c>
      <c r="R272" s="18" cm="1">
        <f t="array" ref="R272">INDEX(GMWQ!$A$2:$NE$60,MATCH(1,(GMWQ!$NE$2:$NE$60=R$3)*(GMWQ!$ND$2:$ND$60=R$4),0),$B272-1966)</f>
        <v>25303.35</v>
      </c>
      <c r="S272" s="18" cm="1">
        <f t="array" ref="S272">INDEX(GMWQ!$A$2:$NE$60,MATCH(1,(GMWQ!$NE$2:$NE$60=S$3)*(GMWQ!$ND$2:$ND$60=S$4),0),$B272-1966)</f>
        <v>128.53530000000001</v>
      </c>
      <c r="T272" s="18" cm="1">
        <f t="array" ref="T272">INDEX(GMWQ!$A$2:$NE$60,MATCH(1,(GMWQ!$NE$2:$NE$60=T$3)*(GMWQ!$ND$2:$ND$60=T$4),0),$B272-1966)</f>
        <v>101.72190000000001</v>
      </c>
      <c r="U272" s="18" cm="1">
        <f t="array" ref="U272">INDEX(GMWQ!$A$2:$NE$60,MATCH(1,(GMWQ!$NE$2:$NE$60=U$3)*(GMWQ!$ND$2:$ND$60=U$4),0),$B272-1966)</f>
        <v>65.880359999999996</v>
      </c>
      <c r="V272" s="18" cm="1">
        <f t="array" ref="V272">INDEX(GMWQ!$A$2:$NE$60,MATCH(1,(GMWQ!$NE$2:$NE$60=V$3)*(GMWQ!$ND$2:$ND$60=V$4),0),$B272-1966)</f>
        <v>98789.2</v>
      </c>
      <c r="W272" s="18" cm="1">
        <f t="array" ref="W272">INDEX(GMWQ!$A$2:$NF$60,MATCH(1,(GMWQ!$NE$2:$NE$60=W$3)*(GMWQ!$NF$2:$NF$60=W$1),0),$B272-1966)</f>
        <v>69566.47</v>
      </c>
      <c r="X272" s="18" cm="1">
        <f t="array" ref="X272">INDEX(GMWQ!$A$2:$NF$60,MATCH(1,(GMWQ!$NE$2:$NE$60=X$3)*(GMWQ!$NF$2:$NF$60=X$1),0),$B272-1966)</f>
        <v>73066.33</v>
      </c>
      <c r="Y272" s="18" cm="1">
        <f t="array" ref="Y272">INDEX(GMWQ!$A$2:$NF$60,MATCH(1,(GMWQ!$NE$2:$NE$60=Y$3)*(GMWQ!$NF$2:$NF$60=Y$1),0),$B272-1966)</f>
        <v>74441.34</v>
      </c>
      <c r="Z272" s="18" cm="1">
        <f t="array" ref="Z272">INDEX(GMWQ!$A$2:$NF$60,MATCH(1,(GMWQ!$NE$2:$NE$60=Z$3)*(GMWQ!$NF$2:$NF$60=Z$1),0),$B272-1966)</f>
        <v>88802.38</v>
      </c>
    </row>
    <row r="273" spans="1:26" x14ac:dyDescent="0.25">
      <c r="B273" s="18">
        <f t="shared" si="5"/>
        <v>2239</v>
      </c>
      <c r="C273" s="18" cm="1">
        <f t="array" ref="C273">INDEX(GMWQ!$A$2:$NE$60,MATCH(1,(GMWQ!$NE$2:$NE$60=C$3)*(GMWQ!$ND$2:$ND$60=C$4),0),$B273-1966)</f>
        <v>92334.09</v>
      </c>
      <c r="D273" s="18" cm="1">
        <f t="array" ref="D273">INDEX(GMWQ!$A$2:$NE$60,MATCH(1,(GMWQ!$NE$2:$NE$60=D$3)*(GMWQ!$ND$2:$ND$60=D$4),0),$B273-1966)</f>
        <v>272310.3</v>
      </c>
      <c r="E273" s="18" cm="1">
        <f t="array" ref="E273">INDEX(GMWQ!$A$2:$NE$60,MATCH(1,(GMWQ!$NE$2:$NE$60=E$3)*(GMWQ!$ND$2:$ND$60=E$4),0),$B273-1966)</f>
        <v>-12348.17</v>
      </c>
      <c r="F273" s="18" cm="1">
        <f t="array" ref="F273">INDEX(GMWQ!$A$2:$NE$60,MATCH(1,(GMWQ!$NE$2:$NE$60=F$3)*(GMWQ!$ND$2:$ND$60=F$4),0),$B273-1966)</f>
        <v>-14593.82</v>
      </c>
      <c r="G273" s="18" cm="1">
        <f t="array" ref="G273">INDEX(GMWQ!$A$2:$NE$60,MATCH(1,(GMWQ!$NE$2:$NE$60=G$3)*(GMWQ!$ND$2:$ND$60=G$4),0),$B273-1966)</f>
        <v>1234531</v>
      </c>
      <c r="H273" s="18" cm="1">
        <f t="array" ref="H273">INDEX(GMWQ!$A$2:$NE$60,MATCH(1,(GMWQ!$NE$2:$NE$60=H$3)*(GMWQ!$ND$2:$ND$60=H$4),0),$B273-1966)</f>
        <v>154645.6</v>
      </c>
      <c r="I273" s="18" cm="1">
        <f t="array" ref="I273">INDEX(GMWQ!$A$2:$NE$60,MATCH(1,(GMWQ!$NE$2:$NE$60=I$3)*(GMWQ!$ND$2:$ND$60=I$4),0),$B273-1966)</f>
        <v>20342.689999999999</v>
      </c>
      <c r="J273" s="18" cm="1">
        <f t="array" ref="J273">INDEX(GMWQ!$A$2:$NE$60,MATCH(1,(GMWQ!$NE$2:$NE$60=J$3)*(GMWQ!$ND$2:$ND$60=J$4),0),$B273-1966)</f>
        <v>31355.17</v>
      </c>
      <c r="K273" s="18" cm="1">
        <f t="array" ref="K273">INDEX(GMWQ!$A$2:$NE$60,MATCH(1,(GMWQ!$NE$2:$NE$60=K$3)*(GMWQ!$ND$2:$ND$60=K$4),0),$B273-1966)</f>
        <v>4381941</v>
      </c>
      <c r="L273" s="18" cm="1">
        <f t="array" ref="L273">INDEX(GMWQ!$A$2:$NE$60,MATCH(1,(GMWQ!$NE$2:$NE$60=L$3)*(GMWQ!$ND$2:$ND$60=L$4),0),$B273-1966)</f>
        <v>37171.760000000002</v>
      </c>
      <c r="M273" s="18" cm="1">
        <f t="array" ref="M273">INDEX(GMWQ!$A$2:$NE$60,MATCH(1,(GMWQ!$NE$2:$NE$60=M$3)*(GMWQ!$ND$2:$ND$60=M$4),0),$B273-1966)</f>
        <v>31.97953</v>
      </c>
      <c r="N273" s="18" cm="1">
        <f t="array" ref="N273">INDEX(GMWQ!$A$2:$NE$60,MATCH(1,(GMWQ!$NE$2:$NE$60=N$3)*(GMWQ!$ND$2:$ND$60=N$4),0),$B273-1966)</f>
        <v>9.1522100000000002</v>
      </c>
      <c r="O273" s="18" cm="1">
        <f t="array" ref="O273">INDEX(GMWQ!$A$2:$NE$60,MATCH(1,(GMWQ!$NE$2:$NE$60=O$3)*(GMWQ!$ND$2:$ND$60=O$4),0),$B273-1966)</f>
        <v>3.8562470000000002</v>
      </c>
      <c r="P273" s="18" cm="1">
        <f t="array" ref="P273">INDEX(GMWQ!$A$2:$NE$60,MATCH(1,(GMWQ!$NE$2:$NE$60=P$3)*(GMWQ!$ND$2:$ND$60=P$4),0),$B273-1966)</f>
        <v>1058590</v>
      </c>
      <c r="Q273" s="18" cm="1">
        <f t="array" ref="Q273">INDEX(GMWQ!$A$2:$NE$60,MATCH(1,(GMWQ!$NE$2:$NE$60=Q$3)*(GMWQ!$ND$2:$ND$60=Q$4),0),$B273-1966)</f>
        <v>1422.241</v>
      </c>
      <c r="R273" s="18" cm="1">
        <f t="array" ref="R273">INDEX(GMWQ!$A$2:$NE$60,MATCH(1,(GMWQ!$NE$2:$NE$60=R$3)*(GMWQ!$ND$2:$ND$60=R$4),0),$B273-1966)</f>
        <v>25293.61</v>
      </c>
      <c r="S273" s="18" cm="1">
        <f t="array" ref="S273">INDEX(GMWQ!$A$2:$NE$60,MATCH(1,(GMWQ!$NE$2:$NE$60=S$3)*(GMWQ!$ND$2:$ND$60=S$4),0),$B273-1966)</f>
        <v>128.8313</v>
      </c>
      <c r="T273" s="18" cm="1">
        <f t="array" ref="T273">INDEX(GMWQ!$A$2:$NE$60,MATCH(1,(GMWQ!$NE$2:$NE$60=T$3)*(GMWQ!$ND$2:$ND$60=T$4),0),$B273-1966)</f>
        <v>101.8897</v>
      </c>
      <c r="U273" s="18" cm="1">
        <f t="array" ref="U273">INDEX(GMWQ!$A$2:$NE$60,MATCH(1,(GMWQ!$NE$2:$NE$60=U$3)*(GMWQ!$ND$2:$ND$60=U$4),0),$B273-1966)</f>
        <v>65.898480000000006</v>
      </c>
      <c r="V273" s="18" cm="1">
        <f t="array" ref="V273">INDEX(GMWQ!$A$2:$NE$60,MATCH(1,(GMWQ!$NE$2:$NE$60=V$3)*(GMWQ!$ND$2:$ND$60=V$4),0),$B273-1966)</f>
        <v>99270.11</v>
      </c>
      <c r="W273" s="18" cm="1">
        <f t="array" ref="W273">INDEX(GMWQ!$A$2:$NF$60,MATCH(1,(GMWQ!$NE$2:$NE$60=W$3)*(GMWQ!$NF$2:$NF$60=W$1),0),$B273-1966)</f>
        <v>69866.3</v>
      </c>
      <c r="X273" s="18" cm="1">
        <f t="array" ref="X273">INDEX(GMWQ!$A$2:$NF$60,MATCH(1,(GMWQ!$NE$2:$NE$60=X$3)*(GMWQ!$NF$2:$NF$60=X$1),0),$B273-1966)</f>
        <v>73406.75</v>
      </c>
      <c r="Y273" s="18" cm="1">
        <f t="array" ref="Y273">INDEX(GMWQ!$A$2:$NF$60,MATCH(1,(GMWQ!$NE$2:$NE$60=Y$3)*(GMWQ!$NF$2:$NF$60=Y$1),0),$B273-1966)</f>
        <v>74829.91</v>
      </c>
      <c r="Z273" s="18" cm="1">
        <f t="array" ref="Z273">INDEX(GMWQ!$A$2:$NF$60,MATCH(1,(GMWQ!$NE$2:$NE$60=Z$3)*(GMWQ!$NF$2:$NF$60=Z$1),0),$B273-1966)</f>
        <v>89378.49</v>
      </c>
    </row>
    <row r="274" spans="1:26" x14ac:dyDescent="0.25">
      <c r="B274" s="18">
        <f t="shared" si="5"/>
        <v>2240</v>
      </c>
      <c r="C274" s="18" cm="1">
        <f t="array" ref="C274">INDEX(GMWQ!$A$2:$NE$60,MATCH(1,(GMWQ!$NE$2:$NE$60=C$3)*(GMWQ!$ND$2:$ND$60=C$4),0),$B274-1966)</f>
        <v>92930.83</v>
      </c>
      <c r="D274" s="18" cm="1">
        <f t="array" ref="D274">INDEX(GMWQ!$A$2:$NE$60,MATCH(1,(GMWQ!$NE$2:$NE$60=D$3)*(GMWQ!$ND$2:$ND$60=D$4),0),$B274-1966)</f>
        <v>274429.7</v>
      </c>
      <c r="E274" s="18" cm="1">
        <f t="array" ref="E274">INDEX(GMWQ!$A$2:$NE$60,MATCH(1,(GMWQ!$NE$2:$NE$60=E$3)*(GMWQ!$ND$2:$ND$60=E$4),0),$B274-1966)</f>
        <v>1745.7529999999999</v>
      </c>
      <c r="F274" s="18" cm="1">
        <f t="array" ref="F274">INDEX(GMWQ!$A$2:$NE$60,MATCH(1,(GMWQ!$NE$2:$NE$60=F$3)*(GMWQ!$ND$2:$ND$60=F$4),0),$B274-1966)</f>
        <v>-520.99900000000002</v>
      </c>
      <c r="G274" s="18" cm="1">
        <f t="array" ref="G274">INDEX(GMWQ!$A$2:$NE$60,MATCH(1,(GMWQ!$NE$2:$NE$60=G$3)*(GMWQ!$ND$2:$ND$60=G$4),0),$B274-1966)</f>
        <v>1246129</v>
      </c>
      <c r="H274" s="18" cm="1">
        <f t="array" ref="H274">INDEX(GMWQ!$A$2:$NE$60,MATCH(1,(GMWQ!$NE$2:$NE$60=H$3)*(GMWQ!$ND$2:$ND$60=H$4),0),$B274-1966)</f>
        <v>155519.6</v>
      </c>
      <c r="I274" s="18" cm="1">
        <f t="array" ref="I274">INDEX(GMWQ!$A$2:$NE$60,MATCH(1,(GMWQ!$NE$2:$NE$60=I$3)*(GMWQ!$ND$2:$ND$60=I$4),0),$B274-1966)</f>
        <v>20443.650000000001</v>
      </c>
      <c r="J274" s="18" cm="1">
        <f t="array" ref="J274">INDEX(GMWQ!$A$2:$NE$60,MATCH(1,(GMWQ!$NE$2:$NE$60=J$3)*(GMWQ!$ND$2:$ND$60=J$4),0),$B274-1966)</f>
        <v>31478.799999999999</v>
      </c>
      <c r="K274" s="18" cm="1">
        <f t="array" ref="K274">INDEX(GMWQ!$A$2:$NE$60,MATCH(1,(GMWQ!$NE$2:$NE$60=K$3)*(GMWQ!$ND$2:$ND$60=K$4),0),$B274-1966)</f>
        <v>4403494</v>
      </c>
      <c r="L274" s="18" cm="1">
        <f t="array" ref="L274">INDEX(GMWQ!$A$2:$NE$60,MATCH(1,(GMWQ!$NE$2:$NE$60=L$3)*(GMWQ!$ND$2:$ND$60=L$4),0),$B274-1966)</f>
        <v>37212.9</v>
      </c>
      <c r="M274" s="18" cm="1">
        <f t="array" ref="M274">INDEX(GMWQ!$A$2:$NE$60,MATCH(1,(GMWQ!$NE$2:$NE$60=M$3)*(GMWQ!$ND$2:$ND$60=M$4),0),$B274-1966)</f>
        <v>31.978960000000001</v>
      </c>
      <c r="N274" s="18" cm="1">
        <f t="array" ref="N274">INDEX(GMWQ!$A$2:$NE$60,MATCH(1,(GMWQ!$NE$2:$NE$60=N$3)*(GMWQ!$ND$2:$ND$60=N$4),0),$B274-1966)</f>
        <v>9.1640630000000005</v>
      </c>
      <c r="O274" s="18" cm="1">
        <f t="array" ref="O274">INDEX(GMWQ!$A$2:$NE$60,MATCH(1,(GMWQ!$NE$2:$NE$60=O$3)*(GMWQ!$ND$2:$ND$60=O$4),0),$B274-1966)</f>
        <v>3.8562470000000002</v>
      </c>
      <c r="P274" s="18" cm="1">
        <f t="array" ref="P274">INDEX(GMWQ!$A$2:$NE$60,MATCH(1,(GMWQ!$NE$2:$NE$60=P$3)*(GMWQ!$ND$2:$ND$60=P$4),0),$B274-1966)</f>
        <v>1073004</v>
      </c>
      <c r="Q274" s="18" cm="1">
        <f t="array" ref="Q274">INDEX(GMWQ!$A$2:$NE$60,MATCH(1,(GMWQ!$NE$2:$NE$60=Q$3)*(GMWQ!$ND$2:$ND$60=Q$4),0),$B274-1966)</f>
        <v>1430.9449999999999</v>
      </c>
      <c r="R274" s="18" cm="1">
        <f t="array" ref="R274">INDEX(GMWQ!$A$2:$NE$60,MATCH(1,(GMWQ!$NE$2:$NE$60=R$3)*(GMWQ!$ND$2:$ND$60=R$4),0),$B274-1966)</f>
        <v>25284.560000000001</v>
      </c>
      <c r="S274" s="18" cm="1">
        <f t="array" ref="S274">INDEX(GMWQ!$A$2:$NE$60,MATCH(1,(GMWQ!$NE$2:$NE$60=S$3)*(GMWQ!$ND$2:$ND$60=S$4),0),$B274-1966)</f>
        <v>129.1283</v>
      </c>
      <c r="T274" s="18" cm="1">
        <f t="array" ref="T274">INDEX(GMWQ!$A$2:$NE$60,MATCH(1,(GMWQ!$NE$2:$NE$60=T$3)*(GMWQ!$ND$2:$ND$60=T$4),0),$B274-1966)</f>
        <v>102.157</v>
      </c>
      <c r="U274" s="18" cm="1">
        <f t="array" ref="U274">INDEX(GMWQ!$A$2:$NE$60,MATCH(1,(GMWQ!$NE$2:$NE$60=U$3)*(GMWQ!$ND$2:$ND$60=U$4),0),$B274-1966)</f>
        <v>65.916030000000006</v>
      </c>
      <c r="V274" s="18" cm="1">
        <f t="array" ref="V274">INDEX(GMWQ!$A$2:$NE$60,MATCH(1,(GMWQ!$NE$2:$NE$60=V$3)*(GMWQ!$ND$2:$ND$60=V$4),0),$B274-1966)</f>
        <v>99755.23</v>
      </c>
      <c r="W274" s="18" cm="1">
        <f t="array" ref="W274">INDEX(GMWQ!$A$2:$NF$60,MATCH(1,(GMWQ!$NE$2:$NE$60=W$3)*(GMWQ!$NF$2:$NF$60=W$1),0),$B274-1966)</f>
        <v>70167.12</v>
      </c>
      <c r="X274" s="18" cm="1">
        <f t="array" ref="X274">INDEX(GMWQ!$A$2:$NF$60,MATCH(1,(GMWQ!$NE$2:$NE$60=X$3)*(GMWQ!$NF$2:$NF$60=X$1),0),$B274-1966)</f>
        <v>73748.69</v>
      </c>
      <c r="Y274" s="18" cm="1">
        <f t="array" ref="Y274">INDEX(GMWQ!$A$2:$NF$60,MATCH(1,(GMWQ!$NE$2:$NE$60=Y$3)*(GMWQ!$NF$2:$NF$60=Y$1),0),$B274-1966)</f>
        <v>75220.75</v>
      </c>
      <c r="Z274" s="18" cm="1">
        <f t="array" ref="Z274">INDEX(GMWQ!$A$2:$NF$60,MATCH(1,(GMWQ!$NE$2:$NE$60=Z$3)*(GMWQ!$NF$2:$NF$60=Z$1),0),$B274-1966)</f>
        <v>89958.720000000001</v>
      </c>
    </row>
    <row r="275" spans="1:26" x14ac:dyDescent="0.25">
      <c r="A275" s="18">
        <v>2040</v>
      </c>
      <c r="B275" s="18">
        <f t="shared" si="5"/>
        <v>2241</v>
      </c>
      <c r="C275" s="18" cm="1">
        <f t="array" ref="C275">INDEX(GMWQ!$A$2:$NE$60,MATCH(1,(GMWQ!$NE$2:$NE$60=C$3)*(GMWQ!$ND$2:$ND$60=C$4),0),$B275-1966)</f>
        <v>93438.87</v>
      </c>
      <c r="D275" s="18" cm="1">
        <f t="array" ref="D275">INDEX(GMWQ!$A$2:$NE$60,MATCH(1,(GMWQ!$NE$2:$NE$60=D$3)*(GMWQ!$ND$2:$ND$60=D$4),0),$B275-1966)</f>
        <v>277035.7</v>
      </c>
      <c r="E275" s="18" cm="1">
        <f t="array" ref="E275">INDEX(GMWQ!$A$2:$NE$60,MATCH(1,(GMWQ!$NE$2:$NE$60=E$3)*(GMWQ!$ND$2:$ND$60=E$4),0),$B275-1966)</f>
        <v>-17620.53</v>
      </c>
      <c r="F275" s="18" cm="1">
        <f t="array" ref="F275">INDEX(GMWQ!$A$2:$NE$60,MATCH(1,(GMWQ!$NE$2:$NE$60=F$3)*(GMWQ!$ND$2:$ND$60=F$4),0),$B275-1966)</f>
        <v>-19908.580000000002</v>
      </c>
      <c r="G275" s="18" cm="1">
        <f t="array" ref="G275">INDEX(GMWQ!$A$2:$NE$60,MATCH(1,(GMWQ!$NE$2:$NE$60=G$3)*(GMWQ!$ND$2:$ND$60=G$4),0),$B275-1966)</f>
        <v>1257840</v>
      </c>
      <c r="H275" s="18" cm="1">
        <f t="array" ref="H275">INDEX(GMWQ!$A$2:$NE$60,MATCH(1,(GMWQ!$NE$2:$NE$60=H$3)*(GMWQ!$ND$2:$ND$60=H$4),0),$B275-1966)</f>
        <v>156306.4</v>
      </c>
      <c r="I275" s="18" cm="1">
        <f t="array" ref="I275">INDEX(GMWQ!$A$2:$NE$60,MATCH(1,(GMWQ!$NE$2:$NE$60=I$3)*(GMWQ!$ND$2:$ND$60=I$4),0),$B275-1966)</f>
        <v>20545.189999999999</v>
      </c>
      <c r="J275" s="18" cm="1">
        <f t="array" ref="J275">INDEX(GMWQ!$A$2:$NE$60,MATCH(1,(GMWQ!$NE$2:$NE$60=J$3)*(GMWQ!$ND$2:$ND$60=J$4),0),$B275-1966)</f>
        <v>31603.040000000001</v>
      </c>
      <c r="K275" s="18" cm="1">
        <f t="array" ref="K275">INDEX(GMWQ!$A$2:$NE$60,MATCH(1,(GMWQ!$NE$2:$NE$60=K$3)*(GMWQ!$ND$2:$ND$60=K$4),0),$B275-1966)</f>
        <v>4425143</v>
      </c>
      <c r="L275" s="18" cm="1">
        <f t="array" ref="L275">INDEX(GMWQ!$A$2:$NE$60,MATCH(1,(GMWQ!$NE$2:$NE$60=L$3)*(GMWQ!$ND$2:$ND$60=L$4),0),$B275-1966)</f>
        <v>37254.04</v>
      </c>
      <c r="M275" s="18" cm="1">
        <f t="array" ref="M275">INDEX(GMWQ!$A$2:$NE$60,MATCH(1,(GMWQ!$NE$2:$NE$60=M$3)*(GMWQ!$ND$2:$ND$60=M$4),0),$B275-1966)</f>
        <v>31.978390000000001</v>
      </c>
      <c r="N275" s="18" cm="1">
        <f t="array" ref="N275">INDEX(GMWQ!$A$2:$NE$60,MATCH(1,(GMWQ!$NE$2:$NE$60=N$3)*(GMWQ!$ND$2:$ND$60=N$4),0),$B275-1966)</f>
        <v>9.170973</v>
      </c>
      <c r="O275" s="18" cm="1">
        <f t="array" ref="O275">INDEX(GMWQ!$A$2:$NE$60,MATCH(1,(GMWQ!$NE$2:$NE$60=O$3)*(GMWQ!$ND$2:$ND$60=O$4),0),$B275-1966)</f>
        <v>3.8562470000000002</v>
      </c>
      <c r="P275" s="18" cm="1">
        <f t="array" ref="P275">INDEX(GMWQ!$A$2:$NE$60,MATCH(1,(GMWQ!$NE$2:$NE$60=P$3)*(GMWQ!$ND$2:$ND$60=P$4),0),$B275-1966)</f>
        <v>1086828</v>
      </c>
      <c r="Q275" s="18" cm="1">
        <f t="array" ref="Q275">INDEX(GMWQ!$A$2:$NE$60,MATCH(1,(GMWQ!$NE$2:$NE$60=Q$3)*(GMWQ!$ND$2:$ND$60=Q$4),0),$B275-1966)</f>
        <v>1439.682</v>
      </c>
      <c r="R275" s="18" cm="1">
        <f t="array" ref="R275">INDEX(GMWQ!$A$2:$NE$60,MATCH(1,(GMWQ!$NE$2:$NE$60=R$3)*(GMWQ!$ND$2:$ND$60=R$4),0),$B275-1966)</f>
        <v>25276.28</v>
      </c>
      <c r="S275" s="18" cm="1">
        <f t="array" ref="S275">INDEX(GMWQ!$A$2:$NE$60,MATCH(1,(GMWQ!$NE$2:$NE$60=S$3)*(GMWQ!$ND$2:$ND$60=S$4),0),$B275-1966)</f>
        <v>129.4605</v>
      </c>
      <c r="T275" s="18" cm="1">
        <f t="array" ref="T275">INDEX(GMWQ!$A$2:$NE$60,MATCH(1,(GMWQ!$NE$2:$NE$60=T$3)*(GMWQ!$ND$2:$ND$60=T$4),0),$B275-1966)</f>
        <v>102.3236</v>
      </c>
      <c r="U275" s="18" cm="1">
        <f t="array" ref="U275">INDEX(GMWQ!$A$2:$NE$60,MATCH(1,(GMWQ!$NE$2:$NE$60=U$3)*(GMWQ!$ND$2:$ND$60=U$4),0),$B275-1966)</f>
        <v>65.933059999999998</v>
      </c>
      <c r="V275" s="18" cm="1">
        <f t="array" ref="V275">INDEX(GMWQ!$A$2:$NE$60,MATCH(1,(GMWQ!$NE$2:$NE$60=V$3)*(GMWQ!$ND$2:$ND$60=V$4),0),$B275-1966)</f>
        <v>100244.4</v>
      </c>
      <c r="W275" s="18" cm="1">
        <f t="array" ref="W275">INDEX(GMWQ!$A$2:$NF$60,MATCH(1,(GMWQ!$NE$2:$NE$60=W$3)*(GMWQ!$NF$2:$NF$60=W$1),0),$B275-1966)</f>
        <v>70468.97</v>
      </c>
      <c r="X275" s="18" cm="1">
        <f t="array" ref="X275">INDEX(GMWQ!$A$2:$NF$60,MATCH(1,(GMWQ!$NE$2:$NE$60=X$3)*(GMWQ!$NF$2:$NF$60=X$1),0),$B275-1966)</f>
        <v>74098.16</v>
      </c>
      <c r="Y275" s="18" cm="1">
        <f t="array" ref="Y275">INDEX(GMWQ!$A$2:$NF$60,MATCH(1,(GMWQ!$NE$2:$NE$60=Y$3)*(GMWQ!$NF$2:$NF$60=Y$1),0),$B275-1966)</f>
        <v>75582.33</v>
      </c>
      <c r="Z275" s="18" cm="1">
        <f t="array" ref="Z275">INDEX(GMWQ!$A$2:$NF$60,MATCH(1,(GMWQ!$NE$2:$NE$60=Z$3)*(GMWQ!$NF$2:$NF$60=Z$1),0),$B275-1966)</f>
        <v>90453.13</v>
      </c>
    </row>
    <row r="276" spans="1:26" x14ac:dyDescent="0.25">
      <c r="B276" s="18">
        <f t="shared" si="5"/>
        <v>2242</v>
      </c>
      <c r="C276" s="18" cm="1">
        <f t="array" ref="C276">INDEX(GMWQ!$A$2:$NE$60,MATCH(1,(GMWQ!$NE$2:$NE$60=C$3)*(GMWQ!$ND$2:$ND$60=C$4),0),$B276-1966)</f>
        <v>93949.35</v>
      </c>
      <c r="D276" s="18" cm="1">
        <f t="array" ref="D276">INDEX(GMWQ!$A$2:$NE$60,MATCH(1,(GMWQ!$NE$2:$NE$60=D$3)*(GMWQ!$ND$2:$ND$60=D$4),0),$B276-1966)</f>
        <v>279823.7</v>
      </c>
      <c r="E276" s="18" cm="1">
        <f t="array" ref="E276">INDEX(GMWQ!$A$2:$NE$60,MATCH(1,(GMWQ!$NE$2:$NE$60=E$3)*(GMWQ!$ND$2:$ND$60=E$4),0),$B276-1966)</f>
        <v>-6977.7719999999999</v>
      </c>
      <c r="F276" s="18" cm="1">
        <f t="array" ref="F276">INDEX(GMWQ!$A$2:$NE$60,MATCH(1,(GMWQ!$NE$2:$NE$60=F$3)*(GMWQ!$ND$2:$ND$60=F$4),0),$B276-1966)</f>
        <v>-9287.3340000000007</v>
      </c>
      <c r="G276" s="18" cm="1">
        <f t="array" ref="G276">INDEX(GMWQ!$A$2:$NE$60,MATCH(1,(GMWQ!$NE$2:$NE$60=G$3)*(GMWQ!$ND$2:$ND$60=G$4),0),$B276-1966)</f>
        <v>1269658</v>
      </c>
      <c r="H276" s="18" cm="1">
        <f t="array" ref="H276">INDEX(GMWQ!$A$2:$NE$60,MATCH(1,(GMWQ!$NE$2:$NE$60=H$3)*(GMWQ!$ND$2:$ND$60=H$4),0),$B276-1966)</f>
        <v>157096.6</v>
      </c>
      <c r="I276" s="18" cm="1">
        <f t="array" ref="I276">INDEX(GMWQ!$A$2:$NE$60,MATCH(1,(GMWQ!$NE$2:$NE$60=I$3)*(GMWQ!$ND$2:$ND$60=I$4),0),$B276-1966)</f>
        <v>20647.16</v>
      </c>
      <c r="J276" s="18" cm="1">
        <f t="array" ref="J276">INDEX(GMWQ!$A$2:$NE$60,MATCH(1,(GMWQ!$NE$2:$NE$60=J$3)*(GMWQ!$ND$2:$ND$60=J$4),0),$B276-1966)</f>
        <v>31727.66</v>
      </c>
      <c r="K276" s="18" cm="1">
        <f t="array" ref="K276">INDEX(GMWQ!$A$2:$NE$60,MATCH(1,(GMWQ!$NE$2:$NE$60=K$3)*(GMWQ!$ND$2:$ND$60=K$4),0),$B276-1966)</f>
        <v>4446890</v>
      </c>
      <c r="L276" s="18" cm="1">
        <f t="array" ref="L276">INDEX(GMWQ!$A$2:$NE$60,MATCH(1,(GMWQ!$NE$2:$NE$60=L$3)*(GMWQ!$ND$2:$ND$60=L$4),0),$B276-1966)</f>
        <v>37295.18</v>
      </c>
      <c r="M276" s="18" cm="1">
        <f t="array" ref="M276">INDEX(GMWQ!$A$2:$NE$60,MATCH(1,(GMWQ!$NE$2:$NE$60=M$3)*(GMWQ!$ND$2:$ND$60=M$4),0),$B276-1966)</f>
        <v>31.977810000000002</v>
      </c>
      <c r="N276" s="18" cm="1">
        <f t="array" ref="N276">INDEX(GMWQ!$A$2:$NE$60,MATCH(1,(GMWQ!$NE$2:$NE$60=N$3)*(GMWQ!$ND$2:$ND$60=N$4),0),$B276-1966)</f>
        <v>9.1770420000000001</v>
      </c>
      <c r="O276" s="18" cm="1">
        <f t="array" ref="O276">INDEX(GMWQ!$A$2:$NE$60,MATCH(1,(GMWQ!$NE$2:$NE$60=O$3)*(GMWQ!$ND$2:$ND$60=O$4),0),$B276-1966)</f>
        <v>3.8562470000000002</v>
      </c>
      <c r="P276" s="18" cm="1">
        <f t="array" ref="P276">INDEX(GMWQ!$A$2:$NE$60,MATCH(1,(GMWQ!$NE$2:$NE$60=P$3)*(GMWQ!$ND$2:$ND$60=P$4),0),$B276-1966)</f>
        <v>1100990</v>
      </c>
      <c r="Q276" s="18" cm="1">
        <f t="array" ref="Q276">INDEX(GMWQ!$A$2:$NE$60,MATCH(1,(GMWQ!$NE$2:$NE$60=Q$3)*(GMWQ!$ND$2:$ND$60=Q$4),0),$B276-1966)</f>
        <v>1448.45</v>
      </c>
      <c r="R276" s="18" cm="1">
        <f t="array" ref="R276">INDEX(GMWQ!$A$2:$NE$60,MATCH(1,(GMWQ!$NE$2:$NE$60=R$3)*(GMWQ!$ND$2:$ND$60=R$4),0),$B276-1966)</f>
        <v>25268.22</v>
      </c>
      <c r="S276" s="18" cm="1">
        <f t="array" ref="S276">INDEX(GMWQ!$A$2:$NE$60,MATCH(1,(GMWQ!$NE$2:$NE$60=S$3)*(GMWQ!$ND$2:$ND$60=S$4),0),$B276-1966)</f>
        <v>129.79419999999999</v>
      </c>
      <c r="T276" s="18" cm="1">
        <f t="array" ref="T276">INDEX(GMWQ!$A$2:$NE$60,MATCH(1,(GMWQ!$NE$2:$NE$60=T$3)*(GMWQ!$ND$2:$ND$60=T$4),0),$B276-1966)</f>
        <v>102.49379999999999</v>
      </c>
      <c r="U276" s="18" cm="1">
        <f t="array" ref="U276">INDEX(GMWQ!$A$2:$NE$60,MATCH(1,(GMWQ!$NE$2:$NE$60=U$3)*(GMWQ!$ND$2:$ND$60=U$4),0),$B276-1966)</f>
        <v>65.953130000000002</v>
      </c>
      <c r="V276" s="18" cm="1">
        <f t="array" ref="V276">INDEX(GMWQ!$A$2:$NE$60,MATCH(1,(GMWQ!$NE$2:$NE$60=V$3)*(GMWQ!$ND$2:$ND$60=V$4),0),$B276-1966)</f>
        <v>100731.4</v>
      </c>
      <c r="W276" s="18" cm="1">
        <f t="array" ref="W276">INDEX(GMWQ!$A$2:$NF$60,MATCH(1,(GMWQ!$NE$2:$NE$60=W$3)*(GMWQ!$NF$2:$NF$60=W$1),0),$B276-1966)</f>
        <v>70771.83</v>
      </c>
      <c r="X276" s="18" cm="1">
        <f t="array" ref="X276">INDEX(GMWQ!$A$2:$NF$60,MATCH(1,(GMWQ!$NE$2:$NE$60=X$3)*(GMWQ!$NF$2:$NF$60=X$1),0),$B276-1966)</f>
        <v>74449.240000000005</v>
      </c>
      <c r="Y276" s="18" cm="1">
        <f t="array" ref="Y276">INDEX(GMWQ!$A$2:$NF$60,MATCH(1,(GMWQ!$NE$2:$NE$60=Y$3)*(GMWQ!$NF$2:$NF$60=Y$1),0),$B276-1966)</f>
        <v>75945.63</v>
      </c>
      <c r="Z276" s="18" cm="1">
        <f t="array" ref="Z276">INDEX(GMWQ!$A$2:$NF$60,MATCH(1,(GMWQ!$NE$2:$NE$60=Z$3)*(GMWQ!$NF$2:$NF$60=Z$1),0),$B276-1966)</f>
        <v>90949.9</v>
      </c>
    </row>
    <row r="277" spans="1:26" x14ac:dyDescent="0.25">
      <c r="B277" s="18">
        <f t="shared" si="5"/>
        <v>2243</v>
      </c>
      <c r="C277" s="18" cm="1">
        <f t="array" ref="C277">INDEX(GMWQ!$A$2:$NE$60,MATCH(1,(GMWQ!$NE$2:$NE$60=C$3)*(GMWQ!$ND$2:$ND$60=C$4),0),$B277-1966)</f>
        <v>94462.31</v>
      </c>
      <c r="D277" s="18" cm="1">
        <f t="array" ref="D277">INDEX(GMWQ!$A$2:$NE$60,MATCH(1,(GMWQ!$NE$2:$NE$60=D$3)*(GMWQ!$ND$2:$ND$60=D$4),0),$B277-1966)</f>
        <v>282688.3</v>
      </c>
      <c r="E277" s="18" cm="1">
        <f t="array" ref="E277">INDEX(GMWQ!$A$2:$NE$60,MATCH(1,(GMWQ!$NE$2:$NE$60=E$3)*(GMWQ!$ND$2:$ND$60=E$4),0),$B277-1966)</f>
        <v>-11312.58</v>
      </c>
      <c r="F277" s="18" cm="1">
        <f t="array" ref="F277">INDEX(GMWQ!$A$2:$NE$60,MATCH(1,(GMWQ!$NE$2:$NE$60=F$3)*(GMWQ!$ND$2:$ND$60=F$4),0),$B277-1966)</f>
        <v>-13643.83</v>
      </c>
      <c r="G277" s="18" cm="1">
        <f t="array" ref="G277">INDEX(GMWQ!$A$2:$NE$60,MATCH(1,(GMWQ!$NE$2:$NE$60=G$3)*(GMWQ!$ND$2:$ND$60=G$4),0),$B277-1966)</f>
        <v>1281582</v>
      </c>
      <c r="H277" s="18" cm="1">
        <f t="array" ref="H277">INDEX(GMWQ!$A$2:$NE$60,MATCH(1,(GMWQ!$NE$2:$NE$60=H$3)*(GMWQ!$ND$2:$ND$60=H$4),0),$B277-1966)</f>
        <v>157890.4</v>
      </c>
      <c r="I277" s="18" cm="1">
        <f t="array" ref="I277">INDEX(GMWQ!$A$2:$NE$60,MATCH(1,(GMWQ!$NE$2:$NE$60=I$3)*(GMWQ!$ND$2:$ND$60=I$4),0),$B277-1966)</f>
        <v>20749.57</v>
      </c>
      <c r="J277" s="18" cm="1">
        <f t="array" ref="J277">INDEX(GMWQ!$A$2:$NE$60,MATCH(1,(GMWQ!$NE$2:$NE$60=J$3)*(GMWQ!$ND$2:$ND$60=J$4),0),$B277-1966)</f>
        <v>31852.67</v>
      </c>
      <c r="K277" s="18" cm="1">
        <f t="array" ref="K277">INDEX(GMWQ!$A$2:$NE$60,MATCH(1,(GMWQ!$NE$2:$NE$60=K$3)*(GMWQ!$ND$2:$ND$60=K$4),0),$B277-1966)</f>
        <v>4468735</v>
      </c>
      <c r="L277" s="18" cm="1">
        <f t="array" ref="L277">INDEX(GMWQ!$A$2:$NE$60,MATCH(1,(GMWQ!$NE$2:$NE$60=L$3)*(GMWQ!$ND$2:$ND$60=L$4),0),$B277-1966)</f>
        <v>37336.32</v>
      </c>
      <c r="M277" s="18" cm="1">
        <f t="array" ref="M277">INDEX(GMWQ!$A$2:$NE$60,MATCH(1,(GMWQ!$NE$2:$NE$60=M$3)*(GMWQ!$ND$2:$ND$60=M$4),0),$B277-1966)</f>
        <v>31.977239999999998</v>
      </c>
      <c r="N277" s="18" cm="1">
        <f t="array" ref="N277">INDEX(GMWQ!$A$2:$NE$60,MATCH(1,(GMWQ!$NE$2:$NE$60=N$3)*(GMWQ!$ND$2:$ND$60=N$4),0),$B277-1966)</f>
        <v>9.1830189999999998</v>
      </c>
      <c r="O277" s="18" cm="1">
        <f t="array" ref="O277">INDEX(GMWQ!$A$2:$NE$60,MATCH(1,(GMWQ!$NE$2:$NE$60=O$3)*(GMWQ!$ND$2:$ND$60=O$4),0),$B277-1966)</f>
        <v>3.8562470000000002</v>
      </c>
      <c r="P277" s="18" cm="1">
        <f t="array" ref="P277">INDEX(GMWQ!$A$2:$NE$60,MATCH(1,(GMWQ!$NE$2:$NE$60=P$3)*(GMWQ!$ND$2:$ND$60=P$4),0),$B277-1966)</f>
        <v>1115468</v>
      </c>
      <c r="Q277" s="18" cm="1">
        <f t="array" ref="Q277">INDEX(GMWQ!$A$2:$NE$60,MATCH(1,(GMWQ!$NE$2:$NE$60=Q$3)*(GMWQ!$ND$2:$ND$60=Q$4),0),$B277-1966)</f>
        <v>1457.248</v>
      </c>
      <c r="R277" s="18" cm="1">
        <f t="array" ref="R277">INDEX(GMWQ!$A$2:$NE$60,MATCH(1,(GMWQ!$NE$2:$NE$60=R$3)*(GMWQ!$ND$2:$ND$60=R$4),0),$B277-1966)</f>
        <v>25260.01</v>
      </c>
      <c r="S277" s="18" cm="1">
        <f t="array" ref="S277">INDEX(GMWQ!$A$2:$NE$60,MATCH(1,(GMWQ!$NE$2:$NE$60=S$3)*(GMWQ!$ND$2:$ND$60=S$4),0),$B277-1966)</f>
        <v>130.1292</v>
      </c>
      <c r="T277" s="18" cm="1">
        <f t="array" ref="T277">INDEX(GMWQ!$A$2:$NE$60,MATCH(1,(GMWQ!$NE$2:$NE$60=T$3)*(GMWQ!$ND$2:$ND$60=T$4),0),$B277-1966)</f>
        <v>102.67100000000001</v>
      </c>
      <c r="U277" s="18" cm="1">
        <f t="array" ref="U277">INDEX(GMWQ!$A$2:$NE$60,MATCH(1,(GMWQ!$NE$2:$NE$60=U$3)*(GMWQ!$ND$2:$ND$60=U$4),0),$B277-1966)</f>
        <v>65.972629999999995</v>
      </c>
      <c r="V277" s="18" cm="1">
        <f t="array" ref="V277">INDEX(GMWQ!$A$2:$NE$60,MATCH(1,(GMWQ!$NE$2:$NE$60=V$3)*(GMWQ!$ND$2:$ND$60=V$4),0),$B277-1966)</f>
        <v>101220.8</v>
      </c>
      <c r="W277" s="18" cm="1">
        <f t="array" ref="W277">INDEX(GMWQ!$A$2:$NF$60,MATCH(1,(GMWQ!$NE$2:$NE$60=W$3)*(GMWQ!$NF$2:$NF$60=W$1),0),$B277-1966)</f>
        <v>71075.710000000006</v>
      </c>
      <c r="X277" s="18" cm="1">
        <f t="array" ref="X277">INDEX(GMWQ!$A$2:$NF$60,MATCH(1,(GMWQ!$NE$2:$NE$60=X$3)*(GMWQ!$NF$2:$NF$60=X$1),0),$B277-1966)</f>
        <v>74801.94</v>
      </c>
      <c r="Y277" s="18" cm="1">
        <f t="array" ref="Y277">INDEX(GMWQ!$A$2:$NF$60,MATCH(1,(GMWQ!$NE$2:$NE$60=Y$3)*(GMWQ!$NF$2:$NF$60=Y$1),0),$B277-1966)</f>
        <v>76310.66</v>
      </c>
      <c r="Z277" s="18" cm="1">
        <f t="array" ref="Z277">INDEX(GMWQ!$A$2:$NF$60,MATCH(1,(GMWQ!$NE$2:$NE$60=Z$3)*(GMWQ!$NF$2:$NF$60=Z$1),0),$B277-1966)</f>
        <v>91449.07</v>
      </c>
    </row>
    <row r="278" spans="1:26" x14ac:dyDescent="0.25">
      <c r="B278" s="18">
        <f t="shared" si="5"/>
        <v>2244</v>
      </c>
      <c r="C278" s="18" cm="1">
        <f t="array" ref="C278">INDEX(GMWQ!$A$2:$NE$60,MATCH(1,(GMWQ!$NE$2:$NE$60=C$3)*(GMWQ!$ND$2:$ND$60=C$4),0),$B278-1966)</f>
        <v>94977.73</v>
      </c>
      <c r="D278" s="18" cm="1">
        <f t="array" ref="D278">INDEX(GMWQ!$A$2:$NE$60,MATCH(1,(GMWQ!$NE$2:$NE$60=D$3)*(GMWQ!$ND$2:$ND$60=D$4),0),$B278-1966)</f>
        <v>284888.8</v>
      </c>
      <c r="E278" s="18" cm="1">
        <f t="array" ref="E278">INDEX(GMWQ!$A$2:$NE$60,MATCH(1,(GMWQ!$NE$2:$NE$60=E$3)*(GMWQ!$ND$2:$ND$60=E$4),0),$B278-1966)</f>
        <v>3384.8310000000001</v>
      </c>
      <c r="F278" s="18" cm="1">
        <f t="array" ref="F278">INDEX(GMWQ!$A$2:$NE$60,MATCH(1,(GMWQ!$NE$2:$NE$60=F$3)*(GMWQ!$ND$2:$ND$60=F$4),0),$B278-1966)</f>
        <v>1031.6880000000001</v>
      </c>
      <c r="G278" s="18" cm="1">
        <f t="array" ref="G278">INDEX(GMWQ!$A$2:$NE$60,MATCH(1,(GMWQ!$NE$2:$NE$60=G$3)*(GMWQ!$ND$2:$ND$60=G$4),0),$B278-1966)</f>
        <v>1293613</v>
      </c>
      <c r="H278" s="18" cm="1">
        <f t="array" ref="H278">INDEX(GMWQ!$A$2:$NE$60,MATCH(1,(GMWQ!$NE$2:$NE$60=H$3)*(GMWQ!$ND$2:$ND$60=H$4),0),$B278-1966)</f>
        <v>158687.70000000001</v>
      </c>
      <c r="I278" s="18" cm="1">
        <f t="array" ref="I278">INDEX(GMWQ!$A$2:$NE$60,MATCH(1,(GMWQ!$NE$2:$NE$60=I$3)*(GMWQ!$ND$2:$ND$60=I$4),0),$B278-1966)</f>
        <v>20852.41</v>
      </c>
      <c r="J278" s="18" cm="1">
        <f t="array" ref="J278">INDEX(GMWQ!$A$2:$NE$60,MATCH(1,(GMWQ!$NE$2:$NE$60=J$3)*(GMWQ!$ND$2:$ND$60=J$4),0),$B278-1966)</f>
        <v>31978.05</v>
      </c>
      <c r="K278" s="18" cm="1">
        <f t="array" ref="K278">INDEX(GMWQ!$A$2:$NE$60,MATCH(1,(GMWQ!$NE$2:$NE$60=K$3)*(GMWQ!$ND$2:$ND$60=K$4),0),$B278-1966)</f>
        <v>4490678</v>
      </c>
      <c r="L278" s="18" cm="1">
        <f t="array" ref="L278">INDEX(GMWQ!$A$2:$NE$60,MATCH(1,(GMWQ!$NE$2:$NE$60=L$3)*(GMWQ!$ND$2:$ND$60=L$4),0),$B278-1966)</f>
        <v>37377.46</v>
      </c>
      <c r="M278" s="18" cm="1">
        <f t="array" ref="M278">INDEX(GMWQ!$A$2:$NE$60,MATCH(1,(GMWQ!$NE$2:$NE$60=M$3)*(GMWQ!$ND$2:$ND$60=M$4),0),$B278-1966)</f>
        <v>31.976669999999999</v>
      </c>
      <c r="N278" s="18" cm="1">
        <f t="array" ref="N278">INDEX(GMWQ!$A$2:$NE$60,MATCH(1,(GMWQ!$NE$2:$NE$60=N$3)*(GMWQ!$ND$2:$ND$60=N$4),0),$B278-1966)</f>
        <v>9.1940489999999997</v>
      </c>
      <c r="O278" s="18" cm="1">
        <f t="array" ref="O278">INDEX(GMWQ!$A$2:$NE$60,MATCH(1,(GMWQ!$NE$2:$NE$60=O$3)*(GMWQ!$ND$2:$ND$60=O$4),0),$B278-1966)</f>
        <v>3.8562470000000002</v>
      </c>
      <c r="P278" s="18" cm="1">
        <f t="array" ref="P278">INDEX(GMWQ!$A$2:$NE$60,MATCH(1,(GMWQ!$NE$2:$NE$60=P$3)*(GMWQ!$ND$2:$ND$60=P$4),0),$B278-1966)</f>
        <v>1130117</v>
      </c>
      <c r="Q278" s="18" cm="1">
        <f t="array" ref="Q278">INDEX(GMWQ!$A$2:$NE$60,MATCH(1,(GMWQ!$NE$2:$NE$60=Q$3)*(GMWQ!$ND$2:$ND$60=Q$4),0),$B278-1966)</f>
        <v>1466.085</v>
      </c>
      <c r="R278" s="18" cm="1">
        <f t="array" ref="R278">INDEX(GMWQ!$A$2:$NE$60,MATCH(1,(GMWQ!$NE$2:$NE$60=R$3)*(GMWQ!$ND$2:$ND$60=R$4),0),$B278-1966)</f>
        <v>25252.61</v>
      </c>
      <c r="S278" s="18" cm="1">
        <f t="array" ref="S278">INDEX(GMWQ!$A$2:$NE$60,MATCH(1,(GMWQ!$NE$2:$NE$60=S$3)*(GMWQ!$ND$2:$ND$60=S$4),0),$B278-1966)</f>
        <v>130.46559999999999</v>
      </c>
      <c r="T278" s="18" cm="1">
        <f t="array" ref="T278">INDEX(GMWQ!$A$2:$NE$60,MATCH(1,(GMWQ!$NE$2:$NE$60=T$3)*(GMWQ!$ND$2:$ND$60=T$4),0),$B278-1966)</f>
        <v>102.93989999999999</v>
      </c>
      <c r="U278" s="18" cm="1">
        <f t="array" ref="U278">INDEX(GMWQ!$A$2:$NE$60,MATCH(1,(GMWQ!$NE$2:$NE$60=U$3)*(GMWQ!$ND$2:$ND$60=U$4),0),$B278-1966)</f>
        <v>65.991609999999994</v>
      </c>
      <c r="V278" s="18" cm="1">
        <f t="array" ref="V278">INDEX(GMWQ!$A$2:$NE$60,MATCH(1,(GMWQ!$NE$2:$NE$60=V$3)*(GMWQ!$ND$2:$ND$60=V$4),0),$B278-1966)</f>
        <v>101716.6</v>
      </c>
      <c r="W278" s="18" cm="1">
        <f t="array" ref="W278">INDEX(GMWQ!$A$2:$NF$60,MATCH(1,(GMWQ!$NE$2:$NE$60=W$3)*(GMWQ!$NF$2:$NF$60=W$1),0),$B278-1966)</f>
        <v>71380.63</v>
      </c>
      <c r="X278" s="18" cm="1">
        <f t="array" ref="X278">INDEX(GMWQ!$A$2:$NF$60,MATCH(1,(GMWQ!$NE$2:$NE$60=X$3)*(GMWQ!$NF$2:$NF$60=X$1),0),$B278-1966)</f>
        <v>75156.22</v>
      </c>
      <c r="Y278" s="18" cm="1">
        <f t="array" ref="Y278">INDEX(GMWQ!$A$2:$NF$60,MATCH(1,(GMWQ!$NE$2:$NE$60=Y$3)*(GMWQ!$NF$2:$NF$60=Y$1),0),$B278-1966)</f>
        <v>76677.429999999993</v>
      </c>
      <c r="Z278" s="18" cm="1">
        <f t="array" ref="Z278">INDEX(GMWQ!$A$2:$NF$60,MATCH(1,(GMWQ!$NE$2:$NE$60=Z$3)*(GMWQ!$NF$2:$NF$60=Z$1),0),$B278-1966)</f>
        <v>91950.62</v>
      </c>
    </row>
    <row r="279" spans="1:26" x14ac:dyDescent="0.25">
      <c r="A279" s="18">
        <v>2041</v>
      </c>
      <c r="B279" s="18">
        <f t="shared" si="5"/>
        <v>2245</v>
      </c>
      <c r="C279" s="18" cm="1">
        <f t="array" ref="C279">INDEX(GMWQ!$A$2:$NE$60,MATCH(1,(GMWQ!$NE$2:$NE$60=C$3)*(GMWQ!$ND$2:$ND$60=C$4),0),$B279-1966)</f>
        <v>95486.67</v>
      </c>
      <c r="D279" s="18" cm="1">
        <f t="array" ref="D279">INDEX(GMWQ!$A$2:$NE$60,MATCH(1,(GMWQ!$NE$2:$NE$60=D$3)*(GMWQ!$ND$2:$ND$60=D$4),0),$B279-1966)</f>
        <v>287592.09999999998</v>
      </c>
      <c r="E279" s="18" cm="1">
        <f t="array" ref="E279">INDEX(GMWQ!$A$2:$NE$60,MATCH(1,(GMWQ!$NE$2:$NE$60=E$3)*(GMWQ!$ND$2:$ND$60=E$4),0),$B279-1966)</f>
        <v>-17973.259999999998</v>
      </c>
      <c r="F279" s="18" cm="1">
        <f t="array" ref="F279">INDEX(GMWQ!$A$2:$NE$60,MATCH(1,(GMWQ!$NE$2:$NE$60=F$3)*(GMWQ!$ND$2:$ND$60=F$4),0),$B279-1966)</f>
        <v>-20348.240000000002</v>
      </c>
      <c r="G279" s="18" cm="1">
        <f t="array" ref="G279">INDEX(GMWQ!$A$2:$NE$60,MATCH(1,(GMWQ!$NE$2:$NE$60=G$3)*(GMWQ!$ND$2:$ND$60=G$4),0),$B279-1966)</f>
        <v>1305617</v>
      </c>
      <c r="H279" s="18" cm="1">
        <f t="array" ref="H279">INDEX(GMWQ!$A$2:$NE$60,MATCH(1,(GMWQ!$NE$2:$NE$60=H$3)*(GMWQ!$ND$2:$ND$60=H$4),0),$B279-1966)</f>
        <v>159473.60000000001</v>
      </c>
      <c r="I279" s="18" cm="1">
        <f t="array" ref="I279">INDEX(GMWQ!$A$2:$NE$60,MATCH(1,(GMWQ!$NE$2:$NE$60=I$3)*(GMWQ!$ND$2:$ND$60=I$4),0),$B279-1966)</f>
        <v>20953.72</v>
      </c>
      <c r="J279" s="18" cm="1">
        <f t="array" ref="J279">INDEX(GMWQ!$A$2:$NE$60,MATCH(1,(GMWQ!$NE$2:$NE$60=J$3)*(GMWQ!$ND$2:$ND$60=J$4),0),$B279-1966)</f>
        <v>32100.799999999999</v>
      </c>
      <c r="K279" s="18" cm="1">
        <f t="array" ref="K279">INDEX(GMWQ!$A$2:$NE$60,MATCH(1,(GMWQ!$NE$2:$NE$60=K$3)*(GMWQ!$ND$2:$ND$60=K$4),0),$B279-1966)</f>
        <v>4512707</v>
      </c>
      <c r="L279" s="18" cm="1">
        <f t="array" ref="L279">INDEX(GMWQ!$A$2:$NE$60,MATCH(1,(GMWQ!$NE$2:$NE$60=L$3)*(GMWQ!$ND$2:$ND$60=L$4),0),$B279-1966)</f>
        <v>37413.4</v>
      </c>
      <c r="M279" s="18" cm="1">
        <f t="array" ref="M279">INDEX(GMWQ!$A$2:$NE$60,MATCH(1,(GMWQ!$NE$2:$NE$60=M$3)*(GMWQ!$ND$2:$ND$60=M$4),0),$B279-1966)</f>
        <v>31.975919999999999</v>
      </c>
      <c r="N279" s="18" cm="1">
        <f t="array" ref="N279">INDEX(GMWQ!$A$2:$NE$60,MATCH(1,(GMWQ!$NE$2:$NE$60=N$3)*(GMWQ!$ND$2:$ND$60=N$4),0),$B279-1966)</f>
        <v>9.2001279999999994</v>
      </c>
      <c r="O279" s="18" cm="1">
        <f t="array" ref="O279">INDEX(GMWQ!$A$2:$NE$60,MATCH(1,(GMWQ!$NE$2:$NE$60=O$3)*(GMWQ!$ND$2:$ND$60=O$4),0),$B279-1966)</f>
        <v>3.8562470000000002</v>
      </c>
      <c r="P279" s="18" cm="1">
        <f t="array" ref="P279">INDEX(GMWQ!$A$2:$NE$60,MATCH(1,(GMWQ!$NE$2:$NE$60=P$3)*(GMWQ!$ND$2:$ND$60=P$4),0),$B279-1966)</f>
        <v>1144160</v>
      </c>
      <c r="Q279" s="18" cm="1">
        <f t="array" ref="Q279">INDEX(GMWQ!$A$2:$NE$60,MATCH(1,(GMWQ!$NE$2:$NE$60=Q$3)*(GMWQ!$ND$2:$ND$60=Q$4),0),$B279-1966)</f>
        <v>1474.9559999999999</v>
      </c>
      <c r="R279" s="18" cm="1">
        <f t="array" ref="R279">INDEX(GMWQ!$A$2:$NE$60,MATCH(1,(GMWQ!$NE$2:$NE$60=R$3)*(GMWQ!$ND$2:$ND$60=R$4),0),$B279-1966)</f>
        <v>25246</v>
      </c>
      <c r="S279" s="18" cm="1">
        <f t="array" ref="S279">INDEX(GMWQ!$A$2:$NE$60,MATCH(1,(GMWQ!$NE$2:$NE$60=S$3)*(GMWQ!$ND$2:$ND$60=S$4),0),$B279-1966)</f>
        <v>130.81039999999999</v>
      </c>
      <c r="T279" s="18" cm="1">
        <f t="array" ref="T279">INDEX(GMWQ!$A$2:$NE$60,MATCH(1,(GMWQ!$NE$2:$NE$60=T$3)*(GMWQ!$ND$2:$ND$60=T$4),0),$B279-1966)</f>
        <v>103.111</v>
      </c>
      <c r="U279" s="18" cm="1">
        <f t="array" ref="U279">INDEX(GMWQ!$A$2:$NE$60,MATCH(1,(GMWQ!$NE$2:$NE$60=U$3)*(GMWQ!$ND$2:$ND$60=U$4),0),$B279-1966)</f>
        <v>66.009990000000002</v>
      </c>
      <c r="V279" s="18" cm="1">
        <f t="array" ref="V279">INDEX(GMWQ!$A$2:$NE$60,MATCH(1,(GMWQ!$NE$2:$NE$60=V$3)*(GMWQ!$ND$2:$ND$60=V$4),0),$B279-1966)</f>
        <v>102219</v>
      </c>
      <c r="W279" s="18" cm="1">
        <f t="array" ref="W279">INDEX(GMWQ!$A$2:$NF$60,MATCH(1,(GMWQ!$NE$2:$NE$60=W$3)*(GMWQ!$NF$2:$NF$60=W$1),0),$B279-1966)</f>
        <v>71685.899999999994</v>
      </c>
      <c r="X279" s="18" cm="1">
        <f t="array" ref="X279">INDEX(GMWQ!$A$2:$NF$60,MATCH(1,(GMWQ!$NE$2:$NE$60=X$3)*(GMWQ!$NF$2:$NF$60=X$1),0),$B279-1966)</f>
        <v>75512.45</v>
      </c>
      <c r="Y279" s="18" cm="1">
        <f t="array" ref="Y279">INDEX(GMWQ!$A$2:$NF$60,MATCH(1,(GMWQ!$NE$2:$NE$60=Y$3)*(GMWQ!$NF$2:$NF$60=Y$1),0),$B279-1966)</f>
        <v>77033.210000000006</v>
      </c>
      <c r="Z279" s="18" cm="1">
        <f t="array" ref="Z279">INDEX(GMWQ!$A$2:$NF$60,MATCH(1,(GMWQ!$NE$2:$NE$60=Z$3)*(GMWQ!$NF$2:$NF$60=Z$1),0),$B279-1966)</f>
        <v>92445.91</v>
      </c>
    </row>
    <row r="280" spans="1:26" x14ac:dyDescent="0.25">
      <c r="B280" s="18">
        <f t="shared" si="5"/>
        <v>2246</v>
      </c>
      <c r="C280" s="18" cm="1">
        <f t="array" ref="C280">INDEX(GMWQ!$A$2:$NE$60,MATCH(1,(GMWQ!$NE$2:$NE$60=C$3)*(GMWQ!$ND$2:$ND$60=C$4),0),$B280-1966)</f>
        <v>95997.95</v>
      </c>
      <c r="D280" s="18" cm="1">
        <f t="array" ref="D280">INDEX(GMWQ!$A$2:$NE$60,MATCH(1,(GMWQ!$NE$2:$NE$60=D$3)*(GMWQ!$ND$2:$ND$60=D$4),0),$B280-1966)</f>
        <v>290452.3</v>
      </c>
      <c r="E280" s="18" cm="1">
        <f t="array" ref="E280">INDEX(GMWQ!$A$2:$NE$60,MATCH(1,(GMWQ!$NE$2:$NE$60=E$3)*(GMWQ!$ND$2:$ND$60=E$4),0),$B280-1966)</f>
        <v>-7076.5219999999999</v>
      </c>
      <c r="F280" s="18" cm="1">
        <f t="array" ref="F280">INDEX(GMWQ!$A$2:$NE$60,MATCH(1,(GMWQ!$NE$2:$NE$60=F$3)*(GMWQ!$ND$2:$ND$60=F$4),0),$B280-1966)</f>
        <v>-9473.5339999999997</v>
      </c>
      <c r="G280" s="18" cm="1">
        <f t="array" ref="G280">INDEX(GMWQ!$A$2:$NE$60,MATCH(1,(GMWQ!$NE$2:$NE$60=G$3)*(GMWQ!$ND$2:$ND$60=G$4),0),$B280-1966)</f>
        <v>1317727</v>
      </c>
      <c r="H280" s="18" cm="1">
        <f t="array" ref="H280">INDEX(GMWQ!$A$2:$NE$60,MATCH(1,(GMWQ!$NE$2:$NE$60=H$3)*(GMWQ!$ND$2:$ND$60=H$4),0),$B280-1966)</f>
        <v>160262.79999999999</v>
      </c>
      <c r="I280" s="18" cm="1">
        <f t="array" ref="I280">INDEX(GMWQ!$A$2:$NE$60,MATCH(1,(GMWQ!$NE$2:$NE$60=I$3)*(GMWQ!$ND$2:$ND$60=I$4),0),$B280-1966)</f>
        <v>21055.439999999999</v>
      </c>
      <c r="J280" s="18" cm="1">
        <f t="array" ref="J280">INDEX(GMWQ!$A$2:$NE$60,MATCH(1,(GMWQ!$NE$2:$NE$60=J$3)*(GMWQ!$ND$2:$ND$60=J$4),0),$B280-1966)</f>
        <v>32223.89</v>
      </c>
      <c r="K280" s="18" cm="1">
        <f t="array" ref="K280">INDEX(GMWQ!$A$2:$NE$60,MATCH(1,(GMWQ!$NE$2:$NE$60=K$3)*(GMWQ!$ND$2:$ND$60=K$4),0),$B280-1966)</f>
        <v>4534823</v>
      </c>
      <c r="L280" s="18" cm="1">
        <f t="array" ref="L280">INDEX(GMWQ!$A$2:$NE$60,MATCH(1,(GMWQ!$NE$2:$NE$60=L$3)*(GMWQ!$ND$2:$ND$60=L$4),0),$B280-1966)</f>
        <v>37449.339999999997</v>
      </c>
      <c r="M280" s="18" cm="1">
        <f t="array" ref="M280">INDEX(GMWQ!$A$2:$NE$60,MATCH(1,(GMWQ!$NE$2:$NE$60=M$3)*(GMWQ!$ND$2:$ND$60=M$4),0),$B280-1966)</f>
        <v>31.975169999999999</v>
      </c>
      <c r="N280" s="18" cm="1">
        <f t="array" ref="N280">INDEX(GMWQ!$A$2:$NE$60,MATCH(1,(GMWQ!$NE$2:$NE$60=N$3)*(GMWQ!$ND$2:$ND$60=N$4),0),$B280-1966)</f>
        <v>9.2056050000000003</v>
      </c>
      <c r="O280" s="18" cm="1">
        <f t="array" ref="O280">INDEX(GMWQ!$A$2:$NE$60,MATCH(1,(GMWQ!$NE$2:$NE$60=O$3)*(GMWQ!$ND$2:$ND$60=O$4),0),$B280-1966)</f>
        <v>3.8562470000000002</v>
      </c>
      <c r="P280" s="18" cm="1">
        <f t="array" ref="P280">INDEX(GMWQ!$A$2:$NE$60,MATCH(1,(GMWQ!$NE$2:$NE$60=P$3)*(GMWQ!$ND$2:$ND$60=P$4),0),$B280-1966)</f>
        <v>1158559</v>
      </c>
      <c r="Q280" s="18" cm="1">
        <f t="array" ref="Q280">INDEX(GMWQ!$A$2:$NE$60,MATCH(1,(GMWQ!$NE$2:$NE$60=Q$3)*(GMWQ!$ND$2:$ND$60=Q$4),0),$B280-1966)</f>
        <v>1483.87</v>
      </c>
      <c r="R280" s="18" cm="1">
        <f t="array" ref="R280">INDEX(GMWQ!$A$2:$NE$60,MATCH(1,(GMWQ!$NE$2:$NE$60=R$3)*(GMWQ!$ND$2:$ND$60=R$4),0),$B280-1966)</f>
        <v>25239.71</v>
      </c>
      <c r="S280" s="18" cm="1">
        <f t="array" ref="S280">INDEX(GMWQ!$A$2:$NE$60,MATCH(1,(GMWQ!$NE$2:$NE$60=S$3)*(GMWQ!$ND$2:$ND$60=S$4),0),$B280-1966)</f>
        <v>131.1566</v>
      </c>
      <c r="T280" s="18" cm="1">
        <f t="array" ref="T280">INDEX(GMWQ!$A$2:$NE$60,MATCH(1,(GMWQ!$NE$2:$NE$60=T$3)*(GMWQ!$ND$2:$ND$60=T$4),0),$B280-1966)</f>
        <v>103.2782</v>
      </c>
      <c r="U280" s="18" cm="1">
        <f t="array" ref="U280">INDEX(GMWQ!$A$2:$NE$60,MATCH(1,(GMWQ!$NE$2:$NE$60=U$3)*(GMWQ!$ND$2:$ND$60=U$4),0),$B280-1966)</f>
        <v>66.027069999999995</v>
      </c>
      <c r="V280" s="18" cm="1">
        <f t="array" ref="V280">INDEX(GMWQ!$A$2:$NE$60,MATCH(1,(GMWQ!$NE$2:$NE$60=V$3)*(GMWQ!$ND$2:$ND$60=V$4),0),$B280-1966)</f>
        <v>102721.9</v>
      </c>
      <c r="W280" s="18" cm="1">
        <f t="array" ref="W280">INDEX(GMWQ!$A$2:$NF$60,MATCH(1,(GMWQ!$NE$2:$NE$60=W$3)*(GMWQ!$NF$2:$NF$60=W$1),0),$B280-1966)</f>
        <v>71992.210000000006</v>
      </c>
      <c r="X280" s="18" cm="1">
        <f t="array" ref="X280">INDEX(GMWQ!$A$2:$NF$60,MATCH(1,(GMWQ!$NE$2:$NE$60=X$3)*(GMWQ!$NF$2:$NF$60=X$1),0),$B280-1966)</f>
        <v>75870.3</v>
      </c>
      <c r="Y280" s="18" cm="1">
        <f t="array" ref="Y280">INDEX(GMWQ!$A$2:$NF$60,MATCH(1,(GMWQ!$NE$2:$NE$60=Y$3)*(GMWQ!$NF$2:$NF$60=Y$1),0),$B280-1966)</f>
        <v>77390.48</v>
      </c>
      <c r="Z280" s="18" cm="1">
        <f t="array" ref="Z280">INDEX(GMWQ!$A$2:$NF$60,MATCH(1,(GMWQ!$NE$2:$NE$60=Z$3)*(GMWQ!$NF$2:$NF$60=Z$1),0),$B280-1966)</f>
        <v>92943.45</v>
      </c>
    </row>
    <row r="281" spans="1:26" x14ac:dyDescent="0.25">
      <c r="B281" s="18">
        <f t="shared" si="5"/>
        <v>2247</v>
      </c>
      <c r="C281" s="18" cm="1">
        <f t="array" ref="C281">INDEX(GMWQ!$A$2:$NE$60,MATCH(1,(GMWQ!$NE$2:$NE$60=C$3)*(GMWQ!$ND$2:$ND$60=C$4),0),$B281-1966)</f>
        <v>96511.55</v>
      </c>
      <c r="D281" s="18" cm="1">
        <f t="array" ref="D281">INDEX(GMWQ!$A$2:$NE$60,MATCH(1,(GMWQ!$NE$2:$NE$60=D$3)*(GMWQ!$ND$2:$ND$60=D$4),0),$B281-1966)</f>
        <v>293390.8</v>
      </c>
      <c r="E281" s="18" cm="1">
        <f t="array" ref="E281">INDEX(GMWQ!$A$2:$NE$60,MATCH(1,(GMWQ!$NE$2:$NE$60=E$3)*(GMWQ!$ND$2:$ND$60=E$4),0),$B281-1966)</f>
        <v>-11583.22</v>
      </c>
      <c r="F281" s="18" cm="1">
        <f t="array" ref="F281">INDEX(GMWQ!$A$2:$NE$60,MATCH(1,(GMWQ!$NE$2:$NE$60=F$3)*(GMWQ!$ND$2:$ND$60=F$4),0),$B281-1966)</f>
        <v>-14002.46</v>
      </c>
      <c r="G281" s="18" cm="1">
        <f t="array" ref="G281">INDEX(GMWQ!$A$2:$NE$60,MATCH(1,(GMWQ!$NE$2:$NE$60=G$3)*(GMWQ!$ND$2:$ND$60=G$4),0),$B281-1966)</f>
        <v>1329944</v>
      </c>
      <c r="H281" s="18" cm="1">
        <f t="array" ref="H281">INDEX(GMWQ!$A$2:$NE$60,MATCH(1,(GMWQ!$NE$2:$NE$60=H$3)*(GMWQ!$ND$2:$ND$60=H$4),0),$B281-1966)</f>
        <v>161055.20000000001</v>
      </c>
      <c r="I281" s="18" cm="1">
        <f t="array" ref="I281">INDEX(GMWQ!$A$2:$NE$60,MATCH(1,(GMWQ!$NE$2:$NE$60=I$3)*(GMWQ!$ND$2:$ND$60=I$4),0),$B281-1966)</f>
        <v>21157.56</v>
      </c>
      <c r="J281" s="18" cm="1">
        <f t="array" ref="J281">INDEX(GMWQ!$A$2:$NE$60,MATCH(1,(GMWQ!$NE$2:$NE$60=J$3)*(GMWQ!$ND$2:$ND$60=J$4),0),$B281-1966)</f>
        <v>32347.31</v>
      </c>
      <c r="K281" s="18" cm="1">
        <f t="array" ref="K281">INDEX(GMWQ!$A$2:$NE$60,MATCH(1,(GMWQ!$NE$2:$NE$60=K$3)*(GMWQ!$ND$2:$ND$60=K$4),0),$B281-1966)</f>
        <v>4557026</v>
      </c>
      <c r="L281" s="18" cm="1">
        <f t="array" ref="L281">INDEX(GMWQ!$A$2:$NE$60,MATCH(1,(GMWQ!$NE$2:$NE$60=L$3)*(GMWQ!$ND$2:$ND$60=L$4),0),$B281-1966)</f>
        <v>37485.29</v>
      </c>
      <c r="M281" s="18" cm="1">
        <f t="array" ref="M281">INDEX(GMWQ!$A$2:$NE$60,MATCH(1,(GMWQ!$NE$2:$NE$60=M$3)*(GMWQ!$ND$2:$ND$60=M$4),0),$B281-1966)</f>
        <v>31.974419999999999</v>
      </c>
      <c r="N281" s="18" cm="1">
        <f t="array" ref="N281">INDEX(GMWQ!$A$2:$NE$60,MATCH(1,(GMWQ!$NE$2:$NE$60=N$3)*(GMWQ!$ND$2:$ND$60=N$4),0),$B281-1966)</f>
        <v>9.2110249999999994</v>
      </c>
      <c r="O281" s="18" cm="1">
        <f t="array" ref="O281">INDEX(GMWQ!$A$2:$NE$60,MATCH(1,(GMWQ!$NE$2:$NE$60=O$3)*(GMWQ!$ND$2:$ND$60=O$4),0),$B281-1966)</f>
        <v>3.8562470000000002</v>
      </c>
      <c r="P281" s="18" cm="1">
        <f t="array" ref="P281">INDEX(GMWQ!$A$2:$NE$60,MATCH(1,(GMWQ!$NE$2:$NE$60=P$3)*(GMWQ!$ND$2:$ND$60=P$4),0),$B281-1966)</f>
        <v>1173299</v>
      </c>
      <c r="Q281" s="18" cm="1">
        <f t="array" ref="Q281">INDEX(GMWQ!$A$2:$NE$60,MATCH(1,(GMWQ!$NE$2:$NE$60=Q$3)*(GMWQ!$ND$2:$ND$60=Q$4),0),$B281-1966)</f>
        <v>1492.8209999999999</v>
      </c>
      <c r="R281" s="18" cm="1">
        <f t="array" ref="R281">INDEX(GMWQ!$A$2:$NE$60,MATCH(1,(GMWQ!$NE$2:$NE$60=R$3)*(GMWQ!$ND$2:$ND$60=R$4),0),$B281-1966)</f>
        <v>25233.360000000001</v>
      </c>
      <c r="S281" s="18" cm="1">
        <f t="array" ref="S281">INDEX(GMWQ!$A$2:$NE$60,MATCH(1,(GMWQ!$NE$2:$NE$60=S$3)*(GMWQ!$ND$2:$ND$60=S$4),0),$B281-1966)</f>
        <v>131.5042</v>
      </c>
      <c r="T281" s="18" cm="1">
        <f t="array" ref="T281">INDEX(GMWQ!$A$2:$NE$60,MATCH(1,(GMWQ!$NE$2:$NE$60=T$3)*(GMWQ!$ND$2:$ND$60=T$4),0),$B281-1966)</f>
        <v>103.4551</v>
      </c>
      <c r="U281" s="18" cm="1">
        <f t="array" ref="U281">INDEX(GMWQ!$A$2:$NE$60,MATCH(1,(GMWQ!$NE$2:$NE$60=U$3)*(GMWQ!$ND$2:$ND$60=U$4),0),$B281-1966)</f>
        <v>66.043580000000006</v>
      </c>
      <c r="V281" s="18" cm="1">
        <f t="array" ref="V281">INDEX(GMWQ!$A$2:$NE$60,MATCH(1,(GMWQ!$NE$2:$NE$60=V$3)*(GMWQ!$ND$2:$ND$60=V$4),0),$B281-1966)</f>
        <v>103226.3</v>
      </c>
      <c r="W281" s="18" cm="1">
        <f t="array" ref="W281">INDEX(GMWQ!$A$2:$NF$60,MATCH(1,(GMWQ!$NE$2:$NE$60=W$3)*(GMWQ!$NF$2:$NF$60=W$1),0),$B281-1966)</f>
        <v>72299.55</v>
      </c>
      <c r="X281" s="18" cm="1">
        <f t="array" ref="X281">INDEX(GMWQ!$A$2:$NF$60,MATCH(1,(GMWQ!$NE$2:$NE$60=X$3)*(GMWQ!$NF$2:$NF$60=X$1),0),$B281-1966)</f>
        <v>76229.77</v>
      </c>
      <c r="Y281" s="18" cm="1">
        <f t="array" ref="Y281">INDEX(GMWQ!$A$2:$NF$60,MATCH(1,(GMWQ!$NE$2:$NE$60=Y$3)*(GMWQ!$NF$2:$NF$60=Y$1),0),$B281-1966)</f>
        <v>77749.2</v>
      </c>
      <c r="Z281" s="18" cm="1">
        <f t="array" ref="Z281">INDEX(GMWQ!$A$2:$NF$60,MATCH(1,(GMWQ!$NE$2:$NE$60=Z$3)*(GMWQ!$NF$2:$NF$60=Z$1),0),$B281-1966)</f>
        <v>93443.26</v>
      </c>
    </row>
    <row r="282" spans="1:26" x14ac:dyDescent="0.25">
      <c r="B282" s="18">
        <f t="shared" si="5"/>
        <v>2248</v>
      </c>
      <c r="C282" s="18" cm="1">
        <f t="array" ref="C282">INDEX(GMWQ!$A$2:$NE$60,MATCH(1,(GMWQ!$NE$2:$NE$60=C$3)*(GMWQ!$ND$2:$ND$60=C$4),0),$B282-1966)</f>
        <v>97027.520000000004</v>
      </c>
      <c r="D282" s="18" cm="1">
        <f t="array" ref="D282">INDEX(GMWQ!$A$2:$NE$60,MATCH(1,(GMWQ!$NE$2:$NE$60=D$3)*(GMWQ!$ND$2:$ND$60=D$4),0),$B282-1966)</f>
        <v>295639.3</v>
      </c>
      <c r="E282" s="18" cm="1">
        <f t="array" ref="E282">INDEX(GMWQ!$A$2:$NE$60,MATCH(1,(GMWQ!$NE$2:$NE$60=E$3)*(GMWQ!$ND$2:$ND$60=E$4),0),$B282-1966)</f>
        <v>3655.172</v>
      </c>
      <c r="F282" s="18" cm="1">
        <f t="array" ref="F282">INDEX(GMWQ!$A$2:$NE$60,MATCH(1,(GMWQ!$NE$2:$NE$60=F$3)*(GMWQ!$ND$2:$ND$60=F$4),0),$B282-1966)</f>
        <v>1213.518</v>
      </c>
      <c r="G282" s="18" cm="1">
        <f t="array" ref="G282">INDEX(GMWQ!$A$2:$NE$60,MATCH(1,(GMWQ!$NE$2:$NE$60=G$3)*(GMWQ!$ND$2:$ND$60=G$4),0),$B282-1966)</f>
        <v>1342268</v>
      </c>
      <c r="H282" s="18" cm="1">
        <f t="array" ref="H282">INDEX(GMWQ!$A$2:$NE$60,MATCH(1,(GMWQ!$NE$2:$NE$60=H$3)*(GMWQ!$ND$2:$ND$60=H$4),0),$B282-1966)</f>
        <v>161851</v>
      </c>
      <c r="I282" s="18" cm="1">
        <f t="array" ref="I282">INDEX(GMWQ!$A$2:$NE$60,MATCH(1,(GMWQ!$NE$2:$NE$60=I$3)*(GMWQ!$ND$2:$ND$60=I$4),0),$B282-1966)</f>
        <v>21260.1</v>
      </c>
      <c r="J282" s="18" cm="1">
        <f t="array" ref="J282">INDEX(GMWQ!$A$2:$NE$60,MATCH(1,(GMWQ!$NE$2:$NE$60=J$3)*(GMWQ!$ND$2:$ND$60=J$4),0),$B282-1966)</f>
        <v>32471.08</v>
      </c>
      <c r="K282" s="18" cm="1">
        <f t="array" ref="K282">INDEX(GMWQ!$A$2:$NE$60,MATCH(1,(GMWQ!$NE$2:$NE$60=K$3)*(GMWQ!$ND$2:$ND$60=K$4),0),$B282-1966)</f>
        <v>4579316</v>
      </c>
      <c r="L282" s="18" cm="1">
        <f t="array" ref="L282">INDEX(GMWQ!$A$2:$NE$60,MATCH(1,(GMWQ!$NE$2:$NE$60=L$3)*(GMWQ!$ND$2:$ND$60=L$4),0),$B282-1966)</f>
        <v>37521.230000000003</v>
      </c>
      <c r="M282" s="18" cm="1">
        <f t="array" ref="M282">INDEX(GMWQ!$A$2:$NE$60,MATCH(1,(GMWQ!$NE$2:$NE$60=M$3)*(GMWQ!$ND$2:$ND$60=M$4),0),$B282-1966)</f>
        <v>31.973669999999998</v>
      </c>
      <c r="N282" s="18" cm="1">
        <f t="array" ref="N282">INDEX(GMWQ!$A$2:$NE$60,MATCH(1,(GMWQ!$NE$2:$NE$60=N$3)*(GMWQ!$ND$2:$ND$60=N$4),0),$B282-1966)</f>
        <v>9.2215959999999999</v>
      </c>
      <c r="O282" s="18" cm="1">
        <f t="array" ref="O282">INDEX(GMWQ!$A$2:$NE$60,MATCH(1,(GMWQ!$NE$2:$NE$60=O$3)*(GMWQ!$ND$2:$ND$60=O$4),0),$B282-1966)</f>
        <v>3.8562470000000002</v>
      </c>
      <c r="P282" s="18" cm="1">
        <f t="array" ref="P282">INDEX(GMWQ!$A$2:$NE$60,MATCH(1,(GMWQ!$NE$2:$NE$60=P$3)*(GMWQ!$ND$2:$ND$60=P$4),0),$B282-1966)</f>
        <v>1188224</v>
      </c>
      <c r="Q282" s="18" cm="1">
        <f t="array" ref="Q282">INDEX(GMWQ!$A$2:$NE$60,MATCH(1,(GMWQ!$NE$2:$NE$60=Q$3)*(GMWQ!$ND$2:$ND$60=Q$4),0),$B282-1966)</f>
        <v>1501.8050000000001</v>
      </c>
      <c r="R282" s="18" cm="1">
        <f t="array" ref="R282">INDEX(GMWQ!$A$2:$NE$60,MATCH(1,(GMWQ!$NE$2:$NE$60=R$3)*(GMWQ!$ND$2:$ND$60=R$4),0),$B282-1966)</f>
        <v>25227.71</v>
      </c>
      <c r="S282" s="18" cm="1">
        <f t="array" ref="S282">INDEX(GMWQ!$A$2:$NE$60,MATCH(1,(GMWQ!$NE$2:$NE$60=S$3)*(GMWQ!$ND$2:$ND$60=S$4),0),$B282-1966)</f>
        <v>131.85329999999999</v>
      </c>
      <c r="T282" s="18" cm="1">
        <f t="array" ref="T282">INDEX(GMWQ!$A$2:$NE$60,MATCH(1,(GMWQ!$NE$2:$NE$60=T$3)*(GMWQ!$ND$2:$ND$60=T$4),0),$B282-1966)</f>
        <v>103.718</v>
      </c>
      <c r="U282" s="18" cm="1">
        <f t="array" ref="U282">INDEX(GMWQ!$A$2:$NE$60,MATCH(1,(GMWQ!$NE$2:$NE$60=U$3)*(GMWQ!$ND$2:$ND$60=U$4),0),$B282-1966)</f>
        <v>66.059489999999997</v>
      </c>
      <c r="V282" s="18" cm="1">
        <f t="array" ref="V282">INDEX(GMWQ!$A$2:$NE$60,MATCH(1,(GMWQ!$NE$2:$NE$60=V$3)*(GMWQ!$ND$2:$ND$60=V$4),0),$B282-1966)</f>
        <v>103734.1</v>
      </c>
      <c r="W282" s="18" cm="1">
        <f t="array" ref="W282">INDEX(GMWQ!$A$2:$NF$60,MATCH(1,(GMWQ!$NE$2:$NE$60=W$3)*(GMWQ!$NF$2:$NF$60=W$1),0),$B282-1966)</f>
        <v>72607.91</v>
      </c>
      <c r="X282" s="18" cm="1">
        <f t="array" ref="X282">INDEX(GMWQ!$A$2:$NF$60,MATCH(1,(GMWQ!$NE$2:$NE$60=X$3)*(GMWQ!$NF$2:$NF$60=X$1),0),$B282-1966)</f>
        <v>76590.850000000006</v>
      </c>
      <c r="Y282" s="18" cm="1">
        <f t="array" ref="Y282">INDEX(GMWQ!$A$2:$NF$60,MATCH(1,(GMWQ!$NE$2:$NE$60=Y$3)*(GMWQ!$NF$2:$NF$60=Y$1),0),$B282-1966)</f>
        <v>78109.41</v>
      </c>
      <c r="Z282" s="18" cm="1">
        <f t="array" ref="Z282">INDEX(GMWQ!$A$2:$NF$60,MATCH(1,(GMWQ!$NE$2:$NE$60=Z$3)*(GMWQ!$NF$2:$NF$60=Z$1),0),$B282-1966)</f>
        <v>93945.34</v>
      </c>
    </row>
    <row r="283" spans="1:26" x14ac:dyDescent="0.25">
      <c r="A283" s="18">
        <v>2042</v>
      </c>
      <c r="B283" s="18">
        <f t="shared" si="5"/>
        <v>2249</v>
      </c>
      <c r="C283" s="18" cm="1">
        <f t="array" ref="C283">INDEX(GMWQ!$A$2:$NE$60,MATCH(1,(GMWQ!$NE$2:$NE$60=C$3)*(GMWQ!$ND$2:$ND$60=C$4),0),$B283-1966)</f>
        <v>97545.84</v>
      </c>
      <c r="D283" s="18" cm="1">
        <f t="array" ref="D283">INDEX(GMWQ!$A$2:$NE$60,MATCH(1,(GMWQ!$NE$2:$NE$60=D$3)*(GMWQ!$ND$2:$ND$60=D$4),0),$B283-1966)</f>
        <v>298409</v>
      </c>
      <c r="E283" s="18" cm="1">
        <f t="array" ref="E283">INDEX(GMWQ!$A$2:$NE$60,MATCH(1,(GMWQ!$NE$2:$NE$60=E$3)*(GMWQ!$ND$2:$ND$60=E$4),0),$B283-1966)</f>
        <v>-18430.509999999998</v>
      </c>
      <c r="F283" s="18" cm="1">
        <f t="array" ref="F283">INDEX(GMWQ!$A$2:$NE$60,MATCH(1,(GMWQ!$NE$2:$NE$60=F$3)*(GMWQ!$ND$2:$ND$60=F$4),0),$B283-1966)</f>
        <v>-20894.78</v>
      </c>
      <c r="G283" s="18" cm="1">
        <f t="array" ref="G283">INDEX(GMWQ!$A$2:$NE$60,MATCH(1,(GMWQ!$NE$2:$NE$60=G$3)*(GMWQ!$ND$2:$ND$60=G$4),0),$B283-1966)</f>
        <v>1354701</v>
      </c>
      <c r="H283" s="18" cm="1">
        <f t="array" ref="H283">INDEX(GMWQ!$A$2:$NE$60,MATCH(1,(GMWQ!$NE$2:$NE$60=H$3)*(GMWQ!$ND$2:$ND$60=H$4),0),$B283-1966)</f>
        <v>162650</v>
      </c>
      <c r="I283" s="18" cm="1">
        <f t="array" ref="I283">INDEX(GMWQ!$A$2:$NE$60,MATCH(1,(GMWQ!$NE$2:$NE$60=I$3)*(GMWQ!$ND$2:$ND$60=I$4),0),$B283-1966)</f>
        <v>21363.040000000001</v>
      </c>
      <c r="J283" s="18" cm="1">
        <f t="array" ref="J283">INDEX(GMWQ!$A$2:$NE$60,MATCH(1,(GMWQ!$NE$2:$NE$60=J$3)*(GMWQ!$ND$2:$ND$60=J$4),0),$B283-1966)</f>
        <v>32595.18</v>
      </c>
      <c r="K283" s="18" cm="1">
        <f t="array" ref="K283">INDEX(GMWQ!$A$2:$NE$60,MATCH(1,(GMWQ!$NE$2:$NE$60=K$3)*(GMWQ!$ND$2:$ND$60=K$4),0),$B283-1966)</f>
        <v>4601693</v>
      </c>
      <c r="L283" s="18" cm="1">
        <f t="array" ref="L283">INDEX(GMWQ!$A$2:$NE$60,MATCH(1,(GMWQ!$NE$2:$NE$60=L$3)*(GMWQ!$ND$2:$ND$60=L$4),0),$B283-1966)</f>
        <v>37557.18</v>
      </c>
      <c r="M283" s="18" cm="1">
        <f t="array" ref="M283">INDEX(GMWQ!$A$2:$NE$60,MATCH(1,(GMWQ!$NE$2:$NE$60=M$3)*(GMWQ!$ND$2:$ND$60=M$4),0),$B283-1966)</f>
        <v>31.972919999999998</v>
      </c>
      <c r="N283" s="18" cm="1">
        <f t="array" ref="N283">INDEX(GMWQ!$A$2:$NE$60,MATCH(1,(GMWQ!$NE$2:$NE$60=N$3)*(GMWQ!$ND$2:$ND$60=N$4),0),$B283-1966)</f>
        <v>9.2272110000000005</v>
      </c>
      <c r="O283" s="18" cm="1">
        <f t="array" ref="O283">INDEX(GMWQ!$A$2:$NE$60,MATCH(1,(GMWQ!$NE$2:$NE$60=O$3)*(GMWQ!$ND$2:$ND$60=O$4),0),$B283-1966)</f>
        <v>3.8562470000000002</v>
      </c>
      <c r="P283" s="18" cm="1">
        <f t="array" ref="P283">INDEX(GMWQ!$A$2:$NE$60,MATCH(1,(GMWQ!$NE$2:$NE$60=P$3)*(GMWQ!$ND$2:$ND$60=P$4),0),$B283-1966)</f>
        <v>1202537</v>
      </c>
      <c r="Q283" s="18" cm="1">
        <f t="array" ref="Q283">INDEX(GMWQ!$A$2:$NE$60,MATCH(1,(GMWQ!$NE$2:$NE$60=Q$3)*(GMWQ!$ND$2:$ND$60=Q$4),0),$B283-1966)</f>
        <v>1510.8340000000001</v>
      </c>
      <c r="R283" s="18" cm="1">
        <f t="array" ref="R283">INDEX(GMWQ!$A$2:$NE$60,MATCH(1,(GMWQ!$NE$2:$NE$60=R$3)*(GMWQ!$ND$2:$ND$60=R$4),0),$B283-1966)</f>
        <v>25222.71</v>
      </c>
      <c r="S283" s="18" cm="1">
        <f t="array" ref="S283">INDEX(GMWQ!$A$2:$NE$60,MATCH(1,(GMWQ!$NE$2:$NE$60=S$3)*(GMWQ!$ND$2:$ND$60=S$4),0),$B283-1966)</f>
        <v>132.21039999999999</v>
      </c>
      <c r="T283" s="18" cm="1">
        <f t="array" ref="T283">INDEX(GMWQ!$A$2:$NE$60,MATCH(1,(GMWQ!$NE$2:$NE$60=T$3)*(GMWQ!$ND$2:$ND$60=T$4),0),$B283-1966)</f>
        <v>103.887</v>
      </c>
      <c r="U283" s="18" cm="1">
        <f t="array" ref="U283">INDEX(GMWQ!$A$2:$NE$60,MATCH(1,(GMWQ!$NE$2:$NE$60=U$3)*(GMWQ!$ND$2:$ND$60=U$4),0),$B283-1966)</f>
        <v>66.074839999999995</v>
      </c>
      <c r="V283" s="18" cm="1">
        <f t="array" ref="V283">INDEX(GMWQ!$A$2:$NE$60,MATCH(1,(GMWQ!$NE$2:$NE$60=V$3)*(GMWQ!$ND$2:$ND$60=V$4),0),$B283-1966)</f>
        <v>104245.1</v>
      </c>
      <c r="W283" s="18" cm="1">
        <f t="array" ref="W283">INDEX(GMWQ!$A$2:$NF$60,MATCH(1,(GMWQ!$NE$2:$NE$60=W$3)*(GMWQ!$NF$2:$NF$60=W$1),0),$B283-1966)</f>
        <v>72917.320000000007</v>
      </c>
      <c r="X283" s="18" cm="1">
        <f t="array" ref="X283">INDEX(GMWQ!$A$2:$NF$60,MATCH(1,(GMWQ!$NE$2:$NE$60=X$3)*(GMWQ!$NF$2:$NF$60=X$1),0),$B283-1966)</f>
        <v>76953.539999999994</v>
      </c>
      <c r="Y283" s="18" cm="1">
        <f t="array" ref="Y283">INDEX(GMWQ!$A$2:$NF$60,MATCH(1,(GMWQ!$NE$2:$NE$60=Y$3)*(GMWQ!$NF$2:$NF$60=Y$1),0),$B283-1966)</f>
        <v>78471.11</v>
      </c>
      <c r="Z283" s="18" cm="1">
        <f t="array" ref="Z283">INDEX(GMWQ!$A$2:$NF$60,MATCH(1,(GMWQ!$NE$2:$NE$60=Z$3)*(GMWQ!$NF$2:$NF$60=Z$1),0),$B283-1966)</f>
        <v>94449.7</v>
      </c>
    </row>
    <row r="284" spans="1:26" x14ac:dyDescent="0.25">
      <c r="B284" s="18">
        <f t="shared" si="5"/>
        <v>2250</v>
      </c>
      <c r="C284" s="18" cm="1">
        <f t="array" ref="C284">INDEX(GMWQ!$A$2:$NE$60,MATCH(1,(GMWQ!$NE$2:$NE$60=C$3)*(GMWQ!$ND$2:$ND$60=C$4),0),$B284-1966)</f>
        <v>98066.52</v>
      </c>
      <c r="D284" s="18" cm="1">
        <f t="array" ref="D284">INDEX(GMWQ!$A$2:$NE$60,MATCH(1,(GMWQ!$NE$2:$NE$60=D$3)*(GMWQ!$ND$2:$ND$60=D$4),0),$B284-1966)</f>
        <v>301371.7</v>
      </c>
      <c r="E284" s="18" cm="1">
        <f t="array" ref="E284">INDEX(GMWQ!$A$2:$NE$60,MATCH(1,(GMWQ!$NE$2:$NE$60=E$3)*(GMWQ!$ND$2:$ND$60=E$4),0),$B284-1966)</f>
        <v>-7119.7309999999998</v>
      </c>
      <c r="F284" s="18" cm="1">
        <f t="array" ref="F284">INDEX(GMWQ!$A$2:$NE$60,MATCH(1,(GMWQ!$NE$2:$NE$60=F$3)*(GMWQ!$ND$2:$ND$60=F$4),0),$B284-1966)</f>
        <v>-9606.82</v>
      </c>
      <c r="G284" s="18" cm="1">
        <f t="array" ref="G284">INDEX(GMWQ!$A$2:$NE$60,MATCH(1,(GMWQ!$NE$2:$NE$60=G$3)*(GMWQ!$ND$2:$ND$60=G$4),0),$B284-1966)</f>
        <v>1367243</v>
      </c>
      <c r="H284" s="18" cm="1">
        <f t="array" ref="H284">INDEX(GMWQ!$A$2:$NE$60,MATCH(1,(GMWQ!$NE$2:$NE$60=H$3)*(GMWQ!$ND$2:$ND$60=H$4),0),$B284-1966)</f>
        <v>163452.4</v>
      </c>
      <c r="I284" s="18" cm="1">
        <f t="array" ref="I284">INDEX(GMWQ!$A$2:$NE$60,MATCH(1,(GMWQ!$NE$2:$NE$60=I$3)*(GMWQ!$ND$2:$ND$60=I$4),0),$B284-1966)</f>
        <v>21466.39</v>
      </c>
      <c r="J284" s="18" cm="1">
        <f t="array" ref="J284">INDEX(GMWQ!$A$2:$NE$60,MATCH(1,(GMWQ!$NE$2:$NE$60=J$3)*(GMWQ!$ND$2:$ND$60=J$4),0),$B284-1966)</f>
        <v>32719.63</v>
      </c>
      <c r="K284" s="18" cm="1">
        <f t="array" ref="K284">INDEX(GMWQ!$A$2:$NE$60,MATCH(1,(GMWQ!$NE$2:$NE$60=K$3)*(GMWQ!$ND$2:$ND$60=K$4),0),$B284-1966)</f>
        <v>4624159</v>
      </c>
      <c r="L284" s="18" cm="1">
        <f t="array" ref="L284">INDEX(GMWQ!$A$2:$NE$60,MATCH(1,(GMWQ!$NE$2:$NE$60=L$3)*(GMWQ!$ND$2:$ND$60=L$4),0),$B284-1966)</f>
        <v>37593.120000000003</v>
      </c>
      <c r="M284" s="18" cm="1">
        <f t="array" ref="M284">INDEX(GMWQ!$A$2:$NE$60,MATCH(1,(GMWQ!$NE$2:$NE$60=M$3)*(GMWQ!$ND$2:$ND$60=M$4),0),$B284-1966)</f>
        <v>31.972169999999998</v>
      </c>
      <c r="N284" s="18" cm="1">
        <f t="array" ref="N284">INDEX(GMWQ!$A$2:$NE$60,MATCH(1,(GMWQ!$NE$2:$NE$60=N$3)*(GMWQ!$ND$2:$ND$60=N$4),0),$B284-1966)</f>
        <v>9.2319890000000004</v>
      </c>
      <c r="O284" s="18" cm="1">
        <f t="array" ref="O284">INDEX(GMWQ!$A$2:$NE$60,MATCH(1,(GMWQ!$NE$2:$NE$60=O$3)*(GMWQ!$ND$2:$ND$60=O$4),0),$B284-1966)</f>
        <v>3.8562470000000002</v>
      </c>
      <c r="P284" s="18" cm="1">
        <f t="array" ref="P284">INDEX(GMWQ!$A$2:$NE$60,MATCH(1,(GMWQ!$NE$2:$NE$60=P$3)*(GMWQ!$ND$2:$ND$60=P$4),0),$B284-1966)</f>
        <v>1217210</v>
      </c>
      <c r="Q284" s="18" cm="1">
        <f t="array" ref="Q284">INDEX(GMWQ!$A$2:$NE$60,MATCH(1,(GMWQ!$NE$2:$NE$60=Q$3)*(GMWQ!$ND$2:$ND$60=Q$4),0),$B284-1966)</f>
        <v>1519.9059999999999</v>
      </c>
      <c r="R284" s="18" cm="1">
        <f t="array" ref="R284">INDEX(GMWQ!$A$2:$NE$60,MATCH(1,(GMWQ!$NE$2:$NE$60=R$3)*(GMWQ!$ND$2:$ND$60=R$4),0),$B284-1966)</f>
        <v>25218.14</v>
      </c>
      <c r="S284" s="18" cm="1">
        <f t="array" ref="S284">INDEX(GMWQ!$A$2:$NE$60,MATCH(1,(GMWQ!$NE$2:$NE$60=S$3)*(GMWQ!$ND$2:$ND$60=S$4),0),$B284-1966)</f>
        <v>132.56909999999999</v>
      </c>
      <c r="T284" s="18" cm="1">
        <f t="array" ref="T284">INDEX(GMWQ!$A$2:$NE$60,MATCH(1,(GMWQ!$NE$2:$NE$60=T$3)*(GMWQ!$ND$2:$ND$60=T$4),0),$B284-1966)</f>
        <v>104.1433</v>
      </c>
      <c r="U284" s="18" cm="1">
        <f t="array" ref="U284">INDEX(GMWQ!$A$2:$NE$60,MATCH(1,(GMWQ!$NE$2:$NE$60=U$3)*(GMWQ!$ND$2:$ND$60=U$4),0),$B284-1966)</f>
        <v>66.090869999999995</v>
      </c>
      <c r="V284" s="18" cm="1">
        <f t="array" ref="V284">INDEX(GMWQ!$A$2:$NE$60,MATCH(1,(GMWQ!$NE$2:$NE$60=V$3)*(GMWQ!$ND$2:$ND$60=V$4),0),$B284-1966)</f>
        <v>104760.5</v>
      </c>
      <c r="W284" s="18" cm="1">
        <f t="array" ref="W284">INDEX(GMWQ!$A$2:$NF$60,MATCH(1,(GMWQ!$NE$2:$NE$60=W$3)*(GMWQ!$NF$2:$NF$60=W$1),0),$B284-1966)</f>
        <v>73227.78</v>
      </c>
      <c r="X284" s="18" cm="1">
        <f t="array" ref="X284">INDEX(GMWQ!$A$2:$NF$60,MATCH(1,(GMWQ!$NE$2:$NE$60=X$3)*(GMWQ!$NF$2:$NF$60=X$1),0),$B284-1966)</f>
        <v>77317.86</v>
      </c>
      <c r="Y284" s="18" cm="1">
        <f t="array" ref="Y284">INDEX(GMWQ!$A$2:$NF$60,MATCH(1,(GMWQ!$NE$2:$NE$60=Y$3)*(GMWQ!$NF$2:$NF$60=Y$1),0),$B284-1966)</f>
        <v>78834.27</v>
      </c>
      <c r="Z284" s="18" cm="1">
        <f t="array" ref="Z284">INDEX(GMWQ!$A$2:$NF$60,MATCH(1,(GMWQ!$NE$2:$NE$60=Z$3)*(GMWQ!$NF$2:$NF$60=Z$1),0),$B284-1966)</f>
        <v>94956.34</v>
      </c>
    </row>
    <row r="285" spans="1:26" x14ac:dyDescent="0.25">
      <c r="B285" s="18">
        <f t="shared" si="5"/>
        <v>2251</v>
      </c>
      <c r="C285" s="18" cm="1">
        <f t="array" ref="C285">INDEX(GMWQ!$A$2:$NE$60,MATCH(1,(GMWQ!$NE$2:$NE$60=C$3)*(GMWQ!$ND$2:$ND$60=C$4),0),$B285-1966)</f>
        <v>98589.58</v>
      </c>
      <c r="D285" s="18" cm="1">
        <f t="array" ref="D285">INDEX(GMWQ!$A$2:$NE$60,MATCH(1,(GMWQ!$NE$2:$NE$60=D$3)*(GMWQ!$ND$2:$ND$60=D$4),0),$B285-1966)</f>
        <v>304415.59999999998</v>
      </c>
      <c r="E285" s="18" cm="1">
        <f t="array" ref="E285">INDEX(GMWQ!$A$2:$NE$60,MATCH(1,(GMWQ!$NE$2:$NE$60=E$3)*(GMWQ!$ND$2:$ND$60=E$4),0),$B285-1966)</f>
        <v>-11802.39</v>
      </c>
      <c r="F285" s="18" cm="1">
        <f t="array" ref="F285">INDEX(GMWQ!$A$2:$NE$60,MATCH(1,(GMWQ!$NE$2:$NE$60=F$3)*(GMWQ!$ND$2:$ND$60=F$4),0),$B285-1966)</f>
        <v>-14312.5</v>
      </c>
      <c r="G285" s="18" cm="1">
        <f t="array" ref="G285">INDEX(GMWQ!$A$2:$NE$60,MATCH(1,(GMWQ!$NE$2:$NE$60=G$3)*(GMWQ!$ND$2:$ND$60=G$4),0),$B285-1966)</f>
        <v>1379897</v>
      </c>
      <c r="H285" s="18" cm="1">
        <f t="array" ref="H285">INDEX(GMWQ!$A$2:$NE$60,MATCH(1,(GMWQ!$NE$2:$NE$60=H$3)*(GMWQ!$ND$2:$ND$60=H$4),0),$B285-1966)</f>
        <v>164258.20000000001</v>
      </c>
      <c r="I285" s="18" cm="1">
        <f t="array" ref="I285">INDEX(GMWQ!$A$2:$NE$60,MATCH(1,(GMWQ!$NE$2:$NE$60=I$3)*(GMWQ!$ND$2:$ND$60=I$4),0),$B285-1966)</f>
        <v>21570.15</v>
      </c>
      <c r="J285" s="18" cm="1">
        <f t="array" ref="J285">INDEX(GMWQ!$A$2:$NE$60,MATCH(1,(GMWQ!$NE$2:$NE$60=J$3)*(GMWQ!$ND$2:$ND$60=J$4),0),$B285-1966)</f>
        <v>32844.410000000003</v>
      </c>
      <c r="K285" s="18" cm="1">
        <f t="array" ref="K285">INDEX(GMWQ!$A$2:$NE$60,MATCH(1,(GMWQ!$NE$2:$NE$60=K$3)*(GMWQ!$ND$2:$ND$60=K$4),0),$B285-1966)</f>
        <v>4646712</v>
      </c>
      <c r="L285" s="18" cm="1">
        <f t="array" ref="L285">INDEX(GMWQ!$A$2:$NE$60,MATCH(1,(GMWQ!$NE$2:$NE$60=L$3)*(GMWQ!$ND$2:$ND$60=L$4),0),$B285-1966)</f>
        <v>37629.07</v>
      </c>
      <c r="M285" s="18" cm="1">
        <f t="array" ref="M285">INDEX(GMWQ!$A$2:$NE$60,MATCH(1,(GMWQ!$NE$2:$NE$60=M$3)*(GMWQ!$ND$2:$ND$60=M$4),0),$B285-1966)</f>
        <v>31.971419999999998</v>
      </c>
      <c r="N285" s="18" cm="1">
        <f t="array" ref="N285">INDEX(GMWQ!$A$2:$NE$60,MATCH(1,(GMWQ!$NE$2:$NE$60=N$3)*(GMWQ!$ND$2:$ND$60=N$4),0),$B285-1966)</f>
        <v>9.2367340000000002</v>
      </c>
      <c r="O285" s="18" cm="1">
        <f t="array" ref="O285">INDEX(GMWQ!$A$2:$NE$60,MATCH(1,(GMWQ!$NE$2:$NE$60=O$3)*(GMWQ!$ND$2:$ND$60=O$4),0),$B285-1966)</f>
        <v>3.8562470000000002</v>
      </c>
      <c r="P285" s="18" cm="1">
        <f t="array" ref="P285">INDEX(GMWQ!$A$2:$NE$60,MATCH(1,(GMWQ!$NE$2:$NE$60=P$3)*(GMWQ!$ND$2:$ND$60=P$4),0),$B285-1966)</f>
        <v>1232246</v>
      </c>
      <c r="Q285" s="18" cm="1">
        <f t="array" ref="Q285">INDEX(GMWQ!$A$2:$NE$60,MATCH(1,(GMWQ!$NE$2:$NE$60=Q$3)*(GMWQ!$ND$2:$ND$60=Q$4),0),$B285-1966)</f>
        <v>1529.0129999999999</v>
      </c>
      <c r="R285" s="18" cm="1">
        <f t="array" ref="R285">INDEX(GMWQ!$A$2:$NE$60,MATCH(1,(GMWQ!$NE$2:$NE$60=R$3)*(GMWQ!$ND$2:$ND$60=R$4),0),$B285-1966)</f>
        <v>25213.72</v>
      </c>
      <c r="S285" s="18" cm="1">
        <f t="array" ref="S285">INDEX(GMWQ!$A$2:$NE$60,MATCH(1,(GMWQ!$NE$2:$NE$60=S$3)*(GMWQ!$ND$2:$ND$60=S$4),0),$B285-1966)</f>
        <v>132.92920000000001</v>
      </c>
      <c r="T285" s="18" cm="1">
        <f t="array" ref="T285">INDEX(GMWQ!$A$2:$NE$60,MATCH(1,(GMWQ!$NE$2:$NE$60=T$3)*(GMWQ!$ND$2:$ND$60=T$4),0),$B285-1966)</f>
        <v>104.31489999999999</v>
      </c>
      <c r="U285" s="18" cm="1">
        <f t="array" ref="U285">INDEX(GMWQ!$A$2:$NE$60,MATCH(1,(GMWQ!$NE$2:$NE$60=U$3)*(GMWQ!$ND$2:$ND$60=U$4),0),$B285-1966)</f>
        <v>66.106340000000003</v>
      </c>
      <c r="V285" s="18" cm="1">
        <f t="array" ref="V285">INDEX(GMWQ!$A$2:$NE$60,MATCH(1,(GMWQ!$NE$2:$NE$60=V$3)*(GMWQ!$ND$2:$ND$60=V$4),0),$B285-1966)</f>
        <v>105275</v>
      </c>
      <c r="W285" s="18" cm="1">
        <f t="array" ref="W285">INDEX(GMWQ!$A$2:$NF$60,MATCH(1,(GMWQ!$NE$2:$NE$60=W$3)*(GMWQ!$NF$2:$NF$60=W$1),0),$B285-1966)</f>
        <v>73539.27</v>
      </c>
      <c r="X285" s="18" cm="1">
        <f t="array" ref="X285">INDEX(GMWQ!$A$2:$NF$60,MATCH(1,(GMWQ!$NE$2:$NE$60=X$3)*(GMWQ!$NF$2:$NF$60=X$1),0),$B285-1966)</f>
        <v>77683.77</v>
      </c>
      <c r="Y285" s="18" cm="1">
        <f t="array" ref="Y285">INDEX(GMWQ!$A$2:$NF$60,MATCH(1,(GMWQ!$NE$2:$NE$60=Y$3)*(GMWQ!$NF$2:$NF$60=Y$1),0),$B285-1966)</f>
        <v>79198.91</v>
      </c>
      <c r="Z285" s="18" cm="1">
        <f t="array" ref="Z285">INDEX(GMWQ!$A$2:$NF$60,MATCH(1,(GMWQ!$NE$2:$NE$60=Z$3)*(GMWQ!$NF$2:$NF$60=Z$1),0),$B285-1966)</f>
        <v>95465.279999999999</v>
      </c>
    </row>
    <row r="286" spans="1:26" x14ac:dyDescent="0.25">
      <c r="B286" s="18">
        <f t="shared" si="5"/>
        <v>2252</v>
      </c>
      <c r="C286" s="18" cm="1">
        <f t="array" ref="C286">INDEX(GMWQ!$A$2:$NE$60,MATCH(1,(GMWQ!$NE$2:$NE$60=C$3)*(GMWQ!$ND$2:$ND$60=C$4),0),$B286-1966)</f>
        <v>99115.01</v>
      </c>
      <c r="D286" s="18" cm="1">
        <f t="array" ref="D286">INDEX(GMWQ!$A$2:$NE$60,MATCH(1,(GMWQ!$NE$2:$NE$60=D$3)*(GMWQ!$ND$2:$ND$60=D$4),0),$B286-1966)</f>
        <v>306743.59999999998</v>
      </c>
      <c r="E286" s="18" cm="1">
        <f t="array" ref="E286">INDEX(GMWQ!$A$2:$NE$60,MATCH(1,(GMWQ!$NE$2:$NE$60=E$3)*(GMWQ!$ND$2:$ND$60=E$4),0),$B286-1966)</f>
        <v>4000.857</v>
      </c>
      <c r="F286" s="18" cm="1">
        <f t="array" ref="F286">INDEX(GMWQ!$A$2:$NE$60,MATCH(1,(GMWQ!$NE$2:$NE$60=F$3)*(GMWQ!$ND$2:$ND$60=F$4),0),$B286-1966)</f>
        <v>1467.5319999999999</v>
      </c>
      <c r="G286" s="18" cm="1">
        <f t="array" ref="G286">INDEX(GMWQ!$A$2:$NE$60,MATCH(1,(GMWQ!$NE$2:$NE$60=G$3)*(GMWQ!$ND$2:$ND$60=G$4),0),$B286-1966)</f>
        <v>1392660</v>
      </c>
      <c r="H286" s="18" cm="1">
        <f t="array" ref="H286">INDEX(GMWQ!$A$2:$NE$60,MATCH(1,(GMWQ!$NE$2:$NE$60=H$3)*(GMWQ!$ND$2:$ND$60=H$4),0),$B286-1966)</f>
        <v>165067.20000000001</v>
      </c>
      <c r="I286" s="18" cm="1">
        <f t="array" ref="I286">INDEX(GMWQ!$A$2:$NE$60,MATCH(1,(GMWQ!$NE$2:$NE$60=I$3)*(GMWQ!$ND$2:$ND$60=I$4),0),$B286-1966)</f>
        <v>21674.32</v>
      </c>
      <c r="J286" s="18" cm="1">
        <f t="array" ref="J286">INDEX(GMWQ!$A$2:$NE$60,MATCH(1,(GMWQ!$NE$2:$NE$60=J$3)*(GMWQ!$ND$2:$ND$60=J$4),0),$B286-1966)</f>
        <v>32969.53</v>
      </c>
      <c r="K286" s="18" cm="1">
        <f t="array" ref="K286">INDEX(GMWQ!$A$2:$NE$60,MATCH(1,(GMWQ!$NE$2:$NE$60=K$3)*(GMWQ!$ND$2:$ND$60=K$4),0),$B286-1966)</f>
        <v>4669354</v>
      </c>
      <c r="L286" s="18" cm="1">
        <f t="array" ref="L286">INDEX(GMWQ!$A$2:$NE$60,MATCH(1,(GMWQ!$NE$2:$NE$60=L$3)*(GMWQ!$ND$2:$ND$60=L$4),0),$B286-1966)</f>
        <v>37665.01</v>
      </c>
      <c r="M286" s="18" cm="1">
        <f t="array" ref="M286">INDEX(GMWQ!$A$2:$NE$60,MATCH(1,(GMWQ!$NE$2:$NE$60=M$3)*(GMWQ!$ND$2:$ND$60=M$4),0),$B286-1966)</f>
        <v>31.970669999999998</v>
      </c>
      <c r="N286" s="18" cm="1">
        <f t="array" ref="N286">INDEX(GMWQ!$A$2:$NE$60,MATCH(1,(GMWQ!$NE$2:$NE$60=N$3)*(GMWQ!$ND$2:$ND$60=N$4),0),$B286-1966)</f>
        <v>9.2467140000000008</v>
      </c>
      <c r="O286" s="18" cm="1">
        <f t="array" ref="O286">INDEX(GMWQ!$A$2:$NE$60,MATCH(1,(GMWQ!$NE$2:$NE$60=O$3)*(GMWQ!$ND$2:$ND$60=O$4),0),$B286-1966)</f>
        <v>3.8562470000000002</v>
      </c>
      <c r="P286" s="18" cm="1">
        <f t="array" ref="P286">INDEX(GMWQ!$A$2:$NE$60,MATCH(1,(GMWQ!$NE$2:$NE$60=P$3)*(GMWQ!$ND$2:$ND$60=P$4),0),$B286-1966)</f>
        <v>1247481</v>
      </c>
      <c r="Q286" s="18" cm="1">
        <f t="array" ref="Q286">INDEX(GMWQ!$A$2:$NE$60,MATCH(1,(GMWQ!$NE$2:$NE$60=Q$3)*(GMWQ!$ND$2:$ND$60=Q$4),0),$B286-1966)</f>
        <v>1538.1690000000001</v>
      </c>
      <c r="R286" s="18" cm="1">
        <f t="array" ref="R286">INDEX(GMWQ!$A$2:$NE$60,MATCH(1,(GMWQ!$NE$2:$NE$60=R$3)*(GMWQ!$ND$2:$ND$60=R$4),0),$B286-1966)</f>
        <v>25210.12</v>
      </c>
      <c r="S286" s="18" cm="1">
        <f t="array" ref="S286">INDEX(GMWQ!$A$2:$NE$60,MATCH(1,(GMWQ!$NE$2:$NE$60=S$3)*(GMWQ!$ND$2:$ND$60=S$4),0),$B286-1966)</f>
        <v>133.29089999999999</v>
      </c>
      <c r="T286" s="18" cm="1">
        <f t="array" ref="T286">INDEX(GMWQ!$A$2:$NE$60,MATCH(1,(GMWQ!$NE$2:$NE$60=T$3)*(GMWQ!$ND$2:$ND$60=T$4),0),$B286-1966)</f>
        <v>104.572</v>
      </c>
      <c r="U286" s="18" cm="1">
        <f t="array" ref="U286">INDEX(GMWQ!$A$2:$NE$60,MATCH(1,(GMWQ!$NE$2:$NE$60=U$3)*(GMWQ!$ND$2:$ND$60=U$4),0),$B286-1966)</f>
        <v>66.121290000000002</v>
      </c>
      <c r="V286" s="18" cm="1">
        <f t="array" ref="V286">INDEX(GMWQ!$A$2:$NE$60,MATCH(1,(GMWQ!$NE$2:$NE$60=V$3)*(GMWQ!$ND$2:$ND$60=V$4),0),$B286-1966)</f>
        <v>105791.6</v>
      </c>
      <c r="W286" s="18" cm="1">
        <f t="array" ref="W286">INDEX(GMWQ!$A$2:$NF$60,MATCH(1,(GMWQ!$NE$2:$NE$60=W$3)*(GMWQ!$NF$2:$NF$60=W$1),0),$B286-1966)</f>
        <v>73851.8</v>
      </c>
      <c r="X286" s="18" cm="1">
        <f t="array" ref="X286">INDEX(GMWQ!$A$2:$NF$60,MATCH(1,(GMWQ!$NE$2:$NE$60=X$3)*(GMWQ!$NF$2:$NF$60=X$1),0),$B286-1966)</f>
        <v>78051.3</v>
      </c>
      <c r="Y286" s="18" cm="1">
        <f t="array" ref="Y286">INDEX(GMWQ!$A$2:$NF$60,MATCH(1,(GMWQ!$NE$2:$NE$60=Y$3)*(GMWQ!$NF$2:$NF$60=Y$1),0),$B286-1966)</f>
        <v>79565.02</v>
      </c>
      <c r="Z286" s="18" cm="1">
        <f t="array" ref="Z286">INDEX(GMWQ!$A$2:$NF$60,MATCH(1,(GMWQ!$NE$2:$NE$60=Z$3)*(GMWQ!$NF$2:$NF$60=Z$1),0),$B286-1966)</f>
        <v>95976.52</v>
      </c>
    </row>
    <row r="287" spans="1:26" x14ac:dyDescent="0.25">
      <c r="A287" s="18">
        <v>2043</v>
      </c>
      <c r="B287" s="18">
        <f t="shared" si="5"/>
        <v>2253</v>
      </c>
      <c r="C287" s="18" cm="1">
        <f t="array" ref="C287">INDEX(GMWQ!$A$2:$NE$60,MATCH(1,(GMWQ!$NE$2:$NE$60=C$3)*(GMWQ!$ND$2:$ND$60=C$4),0),$B287-1966)</f>
        <v>99637.86</v>
      </c>
      <c r="D287" s="18" cm="1">
        <f t="array" ref="D287">INDEX(GMWQ!$A$2:$NE$60,MATCH(1,(GMWQ!$NE$2:$NE$60=D$3)*(GMWQ!$ND$2:$ND$60=D$4),0),$B287-1966)</f>
        <v>309612</v>
      </c>
      <c r="E287" s="18" cm="1">
        <f t="array" ref="E287">INDEX(GMWQ!$A$2:$NE$60,MATCH(1,(GMWQ!$NE$2:$NE$60=E$3)*(GMWQ!$ND$2:$ND$60=E$4),0),$B287-1966)</f>
        <v>-18919.919999999998</v>
      </c>
      <c r="F287" s="18" cm="1">
        <f t="array" ref="F287">INDEX(GMWQ!$A$2:$NE$60,MATCH(1,(GMWQ!$NE$2:$NE$60=F$3)*(GMWQ!$ND$2:$ND$60=F$4),0),$B287-1966)</f>
        <v>-21476.639999999999</v>
      </c>
      <c r="G287" s="18" cm="1">
        <f t="array" ref="G287">INDEX(GMWQ!$A$2:$NE$60,MATCH(1,(GMWQ!$NE$2:$NE$60=G$3)*(GMWQ!$ND$2:$ND$60=G$4),0),$B287-1966)</f>
        <v>1405523</v>
      </c>
      <c r="H287" s="18" cm="1">
        <f t="array" ref="H287">INDEX(GMWQ!$A$2:$NE$60,MATCH(1,(GMWQ!$NE$2:$NE$60=H$3)*(GMWQ!$ND$2:$ND$60=H$4),0),$B287-1966)</f>
        <v>165874.70000000001</v>
      </c>
      <c r="I287" s="18" cm="1">
        <f t="array" ref="I287">INDEX(GMWQ!$A$2:$NE$60,MATCH(1,(GMWQ!$NE$2:$NE$60=I$3)*(GMWQ!$ND$2:$ND$60=I$4),0),$B287-1966)</f>
        <v>21778.91</v>
      </c>
      <c r="J287" s="18" cm="1">
        <f t="array" ref="J287">INDEX(GMWQ!$A$2:$NE$60,MATCH(1,(GMWQ!$NE$2:$NE$60=J$3)*(GMWQ!$ND$2:$ND$60=J$4),0),$B287-1966)</f>
        <v>33094.980000000003</v>
      </c>
      <c r="K287" s="18" cm="1">
        <f t="array" ref="K287">INDEX(GMWQ!$A$2:$NE$60,MATCH(1,(GMWQ!$NE$2:$NE$60=K$3)*(GMWQ!$ND$2:$ND$60=K$4),0),$B287-1966)</f>
        <v>4692079</v>
      </c>
      <c r="L287" s="18" cm="1">
        <f t="array" ref="L287">INDEX(GMWQ!$A$2:$NE$60,MATCH(1,(GMWQ!$NE$2:$NE$60=L$3)*(GMWQ!$ND$2:$ND$60=L$4),0),$B287-1966)</f>
        <v>37700.949999999997</v>
      </c>
      <c r="M287" s="18" cm="1">
        <f t="array" ref="M287">INDEX(GMWQ!$A$2:$NE$60,MATCH(1,(GMWQ!$NE$2:$NE$60=M$3)*(GMWQ!$ND$2:$ND$60=M$4),0),$B287-1966)</f>
        <v>31.969919999999998</v>
      </c>
      <c r="N287" s="18" cm="1">
        <f t="array" ref="N287">INDEX(GMWQ!$A$2:$NE$60,MATCH(1,(GMWQ!$NE$2:$NE$60=N$3)*(GMWQ!$ND$2:$ND$60=N$4),0),$B287-1966)</f>
        <v>9.252262</v>
      </c>
      <c r="O287" s="18" cm="1">
        <f t="array" ref="O287">INDEX(GMWQ!$A$2:$NE$60,MATCH(1,(GMWQ!$NE$2:$NE$60=O$3)*(GMWQ!$ND$2:$ND$60=O$4),0),$B287-1966)</f>
        <v>3.8562470000000002</v>
      </c>
      <c r="P287" s="18" cm="1">
        <f t="array" ref="P287">INDEX(GMWQ!$A$2:$NE$60,MATCH(1,(GMWQ!$NE$2:$NE$60=P$3)*(GMWQ!$ND$2:$ND$60=P$4),0),$B287-1966)</f>
        <v>1262408</v>
      </c>
      <c r="Q287" s="18" cm="1">
        <f t="array" ref="Q287">INDEX(GMWQ!$A$2:$NE$60,MATCH(1,(GMWQ!$NE$2:$NE$60=Q$3)*(GMWQ!$ND$2:$ND$60=Q$4),0),$B287-1966)</f>
        <v>1547.365</v>
      </c>
      <c r="R287" s="18" cm="1">
        <f t="array" ref="R287">INDEX(GMWQ!$A$2:$NE$60,MATCH(1,(GMWQ!$NE$2:$NE$60=R$3)*(GMWQ!$ND$2:$ND$60=R$4),0),$B287-1966)</f>
        <v>25207.23</v>
      </c>
      <c r="S287" s="18" cm="1">
        <f t="array" ref="S287">INDEX(GMWQ!$A$2:$NE$60,MATCH(1,(GMWQ!$NE$2:$NE$60=S$3)*(GMWQ!$ND$2:$ND$60=S$4),0),$B287-1966)</f>
        <v>133.64609999999999</v>
      </c>
      <c r="T287" s="18" cm="1">
        <f t="array" ref="T287">INDEX(GMWQ!$A$2:$NE$60,MATCH(1,(GMWQ!$NE$2:$NE$60=T$3)*(GMWQ!$ND$2:$ND$60=T$4),0),$B287-1966)</f>
        <v>104.7367</v>
      </c>
      <c r="U287" s="18" cm="1">
        <f t="array" ref="U287">INDEX(GMWQ!$A$2:$NE$60,MATCH(1,(GMWQ!$NE$2:$NE$60=U$3)*(GMWQ!$ND$2:$ND$60=U$4),0),$B287-1966)</f>
        <v>66.135710000000003</v>
      </c>
      <c r="V287" s="18" cm="1">
        <f t="array" ref="V287">INDEX(GMWQ!$A$2:$NE$60,MATCH(1,(GMWQ!$NE$2:$NE$60=V$3)*(GMWQ!$ND$2:$ND$60=V$4),0),$B287-1966)</f>
        <v>106311</v>
      </c>
      <c r="W287" s="18" cm="1">
        <f t="array" ref="W287">INDEX(GMWQ!$A$2:$NF$60,MATCH(1,(GMWQ!$NE$2:$NE$60=W$3)*(GMWQ!$NF$2:$NF$60=W$1),0),$B287-1966)</f>
        <v>74165.38</v>
      </c>
      <c r="X287" s="18" cm="1">
        <f t="array" ref="X287">INDEX(GMWQ!$A$2:$NF$60,MATCH(1,(GMWQ!$NE$2:$NE$60=X$3)*(GMWQ!$NF$2:$NF$60=X$1),0),$B287-1966)</f>
        <v>78416.55</v>
      </c>
      <c r="Y287" s="18" cm="1">
        <f t="array" ref="Y287">INDEX(GMWQ!$A$2:$NF$60,MATCH(1,(GMWQ!$NE$2:$NE$60=Y$3)*(GMWQ!$NF$2:$NF$60=Y$1),0),$B287-1966)</f>
        <v>79928.61</v>
      </c>
      <c r="Z287" s="18" cm="1">
        <f t="array" ref="Z287">INDEX(GMWQ!$A$2:$NF$60,MATCH(1,(GMWQ!$NE$2:$NE$60=Z$3)*(GMWQ!$NF$2:$NF$60=Z$1),0),$B287-1966)</f>
        <v>96485.27</v>
      </c>
    </row>
    <row r="288" spans="1:26" x14ac:dyDescent="0.25">
      <c r="B288" s="18">
        <f t="shared" si="5"/>
        <v>2254</v>
      </c>
      <c r="C288" s="18" cm="1">
        <f t="array" ref="C288">INDEX(GMWQ!$A$2:$NE$60,MATCH(1,(GMWQ!$NE$2:$NE$60=C$3)*(GMWQ!$ND$2:$ND$60=C$4),0),$B288-1966)</f>
        <v>100163</v>
      </c>
      <c r="D288" s="18" cm="1">
        <f t="array" ref="D288">INDEX(GMWQ!$A$2:$NE$60,MATCH(1,(GMWQ!$NE$2:$NE$60=D$3)*(GMWQ!$ND$2:$ND$60=D$4),0),$B288-1966)</f>
        <v>312677.8</v>
      </c>
      <c r="E288" s="18" cm="1">
        <f t="array" ref="E288">INDEX(GMWQ!$A$2:$NE$60,MATCH(1,(GMWQ!$NE$2:$NE$60=E$3)*(GMWQ!$ND$2:$ND$60=E$4),0),$B288-1966)</f>
        <v>-7195.43</v>
      </c>
      <c r="F288" s="18" cm="1">
        <f t="array" ref="F288">INDEX(GMWQ!$A$2:$NE$60,MATCH(1,(GMWQ!$NE$2:$NE$60=F$3)*(GMWQ!$ND$2:$ND$60=F$4),0),$B288-1966)</f>
        <v>-9775.7540000000008</v>
      </c>
      <c r="G288" s="18" cm="1">
        <f t="array" ref="G288">INDEX(GMWQ!$A$2:$NE$60,MATCH(1,(GMWQ!$NE$2:$NE$60=G$3)*(GMWQ!$ND$2:$ND$60=G$4),0),$B288-1966)</f>
        <v>1418498</v>
      </c>
      <c r="H288" s="18" cm="1">
        <f t="array" ref="H288">INDEX(GMWQ!$A$2:$NE$60,MATCH(1,(GMWQ!$NE$2:$NE$60=H$3)*(GMWQ!$ND$2:$ND$60=H$4),0),$B288-1966)</f>
        <v>166685.4</v>
      </c>
      <c r="I288" s="18" cm="1">
        <f t="array" ref="I288">INDEX(GMWQ!$A$2:$NE$60,MATCH(1,(GMWQ!$NE$2:$NE$60=I$3)*(GMWQ!$ND$2:$ND$60=I$4),0),$B288-1966)</f>
        <v>21883.9</v>
      </c>
      <c r="J288" s="18" cm="1">
        <f t="array" ref="J288">INDEX(GMWQ!$A$2:$NE$60,MATCH(1,(GMWQ!$NE$2:$NE$60=J$3)*(GMWQ!$ND$2:$ND$60=J$4),0),$B288-1966)</f>
        <v>33220.769999999997</v>
      </c>
      <c r="K288" s="18" cm="1">
        <f t="array" ref="K288">INDEX(GMWQ!$A$2:$NE$60,MATCH(1,(GMWQ!$NE$2:$NE$60=K$3)*(GMWQ!$ND$2:$ND$60=K$4),0),$B288-1966)</f>
        <v>4714889</v>
      </c>
      <c r="L288" s="18" cm="1">
        <f t="array" ref="L288">INDEX(GMWQ!$A$2:$NE$60,MATCH(1,(GMWQ!$NE$2:$NE$60=L$3)*(GMWQ!$ND$2:$ND$60=L$4),0),$B288-1966)</f>
        <v>37736.9</v>
      </c>
      <c r="M288" s="18" cm="1">
        <f t="array" ref="M288">INDEX(GMWQ!$A$2:$NE$60,MATCH(1,(GMWQ!$NE$2:$NE$60=M$3)*(GMWQ!$ND$2:$ND$60=M$4),0),$B288-1966)</f>
        <v>31.969169999999998</v>
      </c>
      <c r="N288" s="18" cm="1">
        <f t="array" ref="N288">INDEX(GMWQ!$A$2:$NE$60,MATCH(1,(GMWQ!$NE$2:$NE$60=N$3)*(GMWQ!$ND$2:$ND$60=N$4),0),$B288-1966)</f>
        <v>9.257028</v>
      </c>
      <c r="O288" s="18" cm="1">
        <f t="array" ref="O288">INDEX(GMWQ!$A$2:$NE$60,MATCH(1,(GMWQ!$NE$2:$NE$60=O$3)*(GMWQ!$ND$2:$ND$60=O$4),0),$B288-1966)</f>
        <v>3.8562470000000002</v>
      </c>
      <c r="P288" s="18" cm="1">
        <f t="array" ref="P288">INDEX(GMWQ!$A$2:$NE$60,MATCH(1,(GMWQ!$NE$2:$NE$60=P$3)*(GMWQ!$ND$2:$ND$60=P$4),0),$B288-1966)</f>
        <v>1277737</v>
      </c>
      <c r="Q288" s="18" cm="1">
        <f t="array" ref="Q288">INDEX(GMWQ!$A$2:$NE$60,MATCH(1,(GMWQ!$NE$2:$NE$60=Q$3)*(GMWQ!$ND$2:$ND$60=Q$4),0),$B288-1966)</f>
        <v>1556.6089999999999</v>
      </c>
      <c r="R288" s="18" cm="1">
        <f t="array" ref="R288">INDEX(GMWQ!$A$2:$NE$60,MATCH(1,(GMWQ!$NE$2:$NE$60=R$3)*(GMWQ!$ND$2:$ND$60=R$4),0),$B288-1966)</f>
        <v>25204.82</v>
      </c>
      <c r="S288" s="18" cm="1">
        <f t="array" ref="S288">INDEX(GMWQ!$A$2:$NE$60,MATCH(1,(GMWQ!$NE$2:$NE$60=S$3)*(GMWQ!$ND$2:$ND$60=S$4),0),$B288-1966)</f>
        <v>134.0027</v>
      </c>
      <c r="T288" s="18" cm="1">
        <f t="array" ref="T288">INDEX(GMWQ!$A$2:$NE$60,MATCH(1,(GMWQ!$NE$2:$NE$60=T$3)*(GMWQ!$ND$2:$ND$60=T$4),0),$B288-1966)</f>
        <v>104.99379999999999</v>
      </c>
      <c r="U288" s="18" cm="1">
        <f t="array" ref="U288">INDEX(GMWQ!$A$2:$NE$60,MATCH(1,(GMWQ!$NE$2:$NE$60=U$3)*(GMWQ!$ND$2:$ND$60=U$4),0),$B288-1966)</f>
        <v>66.151219999999995</v>
      </c>
      <c r="V288" s="18" cm="1">
        <f t="array" ref="V288">INDEX(GMWQ!$A$2:$NE$60,MATCH(1,(GMWQ!$NE$2:$NE$60=V$3)*(GMWQ!$ND$2:$ND$60=V$4),0),$B288-1966)</f>
        <v>106833.8</v>
      </c>
      <c r="W288" s="18" cm="1">
        <f t="array" ref="W288">INDEX(GMWQ!$A$2:$NF$60,MATCH(1,(GMWQ!$NE$2:$NE$60=W$3)*(GMWQ!$NF$2:$NF$60=W$1),0),$B288-1966)</f>
        <v>74480</v>
      </c>
      <c r="X288" s="18" cm="1">
        <f t="array" ref="X288">INDEX(GMWQ!$A$2:$NF$60,MATCH(1,(GMWQ!$NE$2:$NE$60=X$3)*(GMWQ!$NF$2:$NF$60=X$1),0),$B288-1966)</f>
        <v>78783.34</v>
      </c>
      <c r="Y288" s="18" cm="1">
        <f t="array" ref="Y288">INDEX(GMWQ!$A$2:$NF$60,MATCH(1,(GMWQ!$NE$2:$NE$60=Y$3)*(GMWQ!$NF$2:$NF$60=Y$1),0),$B288-1966)</f>
        <v>80293.63</v>
      </c>
      <c r="Z288" s="18" cm="1">
        <f t="array" ref="Z288">INDEX(GMWQ!$A$2:$NF$60,MATCH(1,(GMWQ!$NE$2:$NE$60=Z$3)*(GMWQ!$NF$2:$NF$60=Z$1),0),$B288-1966)</f>
        <v>96996.26</v>
      </c>
    </row>
    <row r="289" spans="1:26" x14ac:dyDescent="0.25">
      <c r="B289" s="18">
        <f t="shared" si="5"/>
        <v>2255</v>
      </c>
      <c r="C289" s="18" cm="1">
        <f t="array" ref="C289">INDEX(GMWQ!$A$2:$NE$60,MATCH(1,(GMWQ!$NE$2:$NE$60=C$3)*(GMWQ!$ND$2:$ND$60=C$4),0),$B289-1966)</f>
        <v>100690.5</v>
      </c>
      <c r="D289" s="18" cm="1">
        <f t="array" ref="D289">INDEX(GMWQ!$A$2:$NE$60,MATCH(1,(GMWQ!$NE$2:$NE$60=D$3)*(GMWQ!$ND$2:$ND$60=D$4),0),$B289-1966)</f>
        <v>315827.3</v>
      </c>
      <c r="E289" s="18" cm="1">
        <f t="array" ref="E289">INDEX(GMWQ!$A$2:$NE$60,MATCH(1,(GMWQ!$NE$2:$NE$60=E$3)*(GMWQ!$ND$2:$ND$60=E$4),0),$B289-1966)</f>
        <v>-12060.23</v>
      </c>
      <c r="F289" s="18" cm="1">
        <f t="array" ref="F289">INDEX(GMWQ!$A$2:$NE$60,MATCH(1,(GMWQ!$NE$2:$NE$60=F$3)*(GMWQ!$ND$2:$ND$60=F$4),0),$B289-1966)</f>
        <v>-14664.36</v>
      </c>
      <c r="G289" s="18" cm="1">
        <f t="array" ref="G289">INDEX(GMWQ!$A$2:$NE$60,MATCH(1,(GMWQ!$NE$2:$NE$60=G$3)*(GMWQ!$ND$2:$ND$60=G$4),0),$B289-1966)</f>
        <v>1431586</v>
      </c>
      <c r="H289" s="18" cm="1">
        <f t="array" ref="H289">INDEX(GMWQ!$A$2:$NE$60,MATCH(1,(GMWQ!$NE$2:$NE$60=H$3)*(GMWQ!$ND$2:$ND$60=H$4),0),$B289-1966)</f>
        <v>167499.29999999999</v>
      </c>
      <c r="I289" s="18" cm="1">
        <f t="array" ref="I289">INDEX(GMWQ!$A$2:$NE$60,MATCH(1,(GMWQ!$NE$2:$NE$60=I$3)*(GMWQ!$ND$2:$ND$60=I$4),0),$B289-1966)</f>
        <v>21989.279999999999</v>
      </c>
      <c r="J289" s="18" cm="1">
        <f t="array" ref="J289">INDEX(GMWQ!$A$2:$NE$60,MATCH(1,(GMWQ!$NE$2:$NE$60=J$3)*(GMWQ!$ND$2:$ND$60=J$4),0),$B289-1966)</f>
        <v>33346.86</v>
      </c>
      <c r="K289" s="18" cm="1">
        <f t="array" ref="K289">INDEX(GMWQ!$A$2:$NE$60,MATCH(1,(GMWQ!$NE$2:$NE$60=K$3)*(GMWQ!$ND$2:$ND$60=K$4),0),$B289-1966)</f>
        <v>4737783</v>
      </c>
      <c r="L289" s="18" cm="1">
        <f t="array" ref="L289">INDEX(GMWQ!$A$2:$NE$60,MATCH(1,(GMWQ!$NE$2:$NE$60=L$3)*(GMWQ!$ND$2:$ND$60=L$4),0),$B289-1966)</f>
        <v>37772.839999999997</v>
      </c>
      <c r="M289" s="18" cm="1">
        <f t="array" ref="M289">INDEX(GMWQ!$A$2:$NE$60,MATCH(1,(GMWQ!$NE$2:$NE$60=M$3)*(GMWQ!$ND$2:$ND$60=M$4),0),$B289-1966)</f>
        <v>31.968419999999998</v>
      </c>
      <c r="N289" s="18" cm="1">
        <f t="array" ref="N289">INDEX(GMWQ!$A$2:$NE$60,MATCH(1,(GMWQ!$NE$2:$NE$60=N$3)*(GMWQ!$ND$2:$ND$60=N$4),0),$B289-1966)</f>
        <v>9.2617910000000006</v>
      </c>
      <c r="O289" s="18" cm="1">
        <f t="array" ref="O289">INDEX(GMWQ!$A$2:$NE$60,MATCH(1,(GMWQ!$NE$2:$NE$60=O$3)*(GMWQ!$ND$2:$ND$60=O$4),0),$B289-1966)</f>
        <v>3.8562470000000002</v>
      </c>
      <c r="P289" s="18" cm="1">
        <f t="array" ref="P289">INDEX(GMWQ!$A$2:$NE$60,MATCH(1,(GMWQ!$NE$2:$NE$60=P$3)*(GMWQ!$ND$2:$ND$60=P$4),0),$B289-1966)</f>
        <v>1293464</v>
      </c>
      <c r="Q289" s="18" cm="1">
        <f t="array" ref="Q289">INDEX(GMWQ!$A$2:$NE$60,MATCH(1,(GMWQ!$NE$2:$NE$60=Q$3)*(GMWQ!$ND$2:$ND$60=Q$4),0),$B289-1966)</f>
        <v>1565.8910000000001</v>
      </c>
      <c r="R289" s="18" cm="1">
        <f t="array" ref="R289">INDEX(GMWQ!$A$2:$NE$60,MATCH(1,(GMWQ!$NE$2:$NE$60=R$3)*(GMWQ!$ND$2:$ND$60=R$4),0),$B289-1966)</f>
        <v>25202.639999999999</v>
      </c>
      <c r="S289" s="18" cm="1">
        <f t="array" ref="S289">INDEX(GMWQ!$A$2:$NE$60,MATCH(1,(GMWQ!$NE$2:$NE$60=S$3)*(GMWQ!$ND$2:$ND$60=S$4),0),$B289-1966)</f>
        <v>134.36060000000001</v>
      </c>
      <c r="T289" s="18" cm="1">
        <f t="array" ref="T289">INDEX(GMWQ!$A$2:$NE$60,MATCH(1,(GMWQ!$NE$2:$NE$60=T$3)*(GMWQ!$ND$2:$ND$60=T$4),0),$B289-1966)</f>
        <v>105.1627</v>
      </c>
      <c r="U289" s="18" cm="1">
        <f t="array" ref="U289">INDEX(GMWQ!$A$2:$NE$60,MATCH(1,(GMWQ!$NE$2:$NE$60=U$3)*(GMWQ!$ND$2:$ND$60=U$4),0),$B289-1966)</f>
        <v>66.166210000000007</v>
      </c>
      <c r="V289" s="18" cm="1">
        <f t="array" ref="V289">INDEX(GMWQ!$A$2:$NE$60,MATCH(1,(GMWQ!$NE$2:$NE$60=V$3)*(GMWQ!$ND$2:$ND$60=V$4),0),$B289-1966)</f>
        <v>107355.9</v>
      </c>
      <c r="W289" s="18" cm="1">
        <f t="array" ref="W289">INDEX(GMWQ!$A$2:$NF$60,MATCH(1,(GMWQ!$NE$2:$NE$60=W$3)*(GMWQ!$NF$2:$NF$60=W$1),0),$B289-1966)</f>
        <v>74795.63</v>
      </c>
      <c r="X289" s="18" cm="1">
        <f t="array" ref="X289">INDEX(GMWQ!$A$2:$NF$60,MATCH(1,(GMWQ!$NE$2:$NE$60=X$3)*(GMWQ!$NF$2:$NF$60=X$1),0),$B289-1966)</f>
        <v>79151.64</v>
      </c>
      <c r="Y289" s="18" cm="1">
        <f t="array" ref="Y289">INDEX(GMWQ!$A$2:$NF$60,MATCH(1,(GMWQ!$NE$2:$NE$60=Y$3)*(GMWQ!$NF$2:$NF$60=Y$1),0),$B289-1966)</f>
        <v>80659.990000000005</v>
      </c>
      <c r="Z289" s="18" cm="1">
        <f t="array" ref="Z289">INDEX(GMWQ!$A$2:$NF$60,MATCH(1,(GMWQ!$NE$2:$NE$60=Z$3)*(GMWQ!$NF$2:$NF$60=Z$1),0),$B289-1966)</f>
        <v>97509.41</v>
      </c>
    </row>
    <row r="290" spans="1:26" x14ac:dyDescent="0.25">
      <c r="B290" s="18">
        <f t="shared" si="5"/>
        <v>2256</v>
      </c>
      <c r="C290" s="18" cm="1">
        <f t="array" ref="C290">INDEX(GMWQ!$A$2:$NE$60,MATCH(1,(GMWQ!$NE$2:$NE$60=C$3)*(GMWQ!$ND$2:$ND$60=C$4),0),$B290-1966)</f>
        <v>101220.1</v>
      </c>
      <c r="D290" s="18" cm="1">
        <f t="array" ref="D290">INDEX(GMWQ!$A$2:$NE$60,MATCH(1,(GMWQ!$NE$2:$NE$60=D$3)*(GMWQ!$ND$2:$ND$60=D$4),0),$B290-1966)</f>
        <v>318233.8</v>
      </c>
      <c r="E290" s="18" cm="1">
        <f t="array" ref="E290">INDEX(GMWQ!$A$2:$NE$60,MATCH(1,(GMWQ!$NE$2:$NE$60=E$3)*(GMWQ!$ND$2:$ND$60=E$4),0),$B290-1966)</f>
        <v>4328.2449999999999</v>
      </c>
      <c r="F290" s="18" cm="1">
        <f t="array" ref="F290">INDEX(GMWQ!$A$2:$NE$60,MATCH(1,(GMWQ!$NE$2:$NE$60=F$3)*(GMWQ!$ND$2:$ND$60=F$4),0),$B290-1966)</f>
        <v>1700.1</v>
      </c>
      <c r="G290" s="18" cm="1">
        <f t="array" ref="G290">INDEX(GMWQ!$A$2:$NE$60,MATCH(1,(GMWQ!$NE$2:$NE$60=G$3)*(GMWQ!$ND$2:$ND$60=G$4),0),$B290-1966)</f>
        <v>1444786</v>
      </c>
      <c r="H290" s="18" cm="1">
        <f t="array" ref="H290">INDEX(GMWQ!$A$2:$NE$60,MATCH(1,(GMWQ!$NE$2:$NE$60=H$3)*(GMWQ!$ND$2:$ND$60=H$4),0),$B290-1966)</f>
        <v>168316.3</v>
      </c>
      <c r="I290" s="18" cm="1">
        <f t="array" ref="I290">INDEX(GMWQ!$A$2:$NE$60,MATCH(1,(GMWQ!$NE$2:$NE$60=I$3)*(GMWQ!$ND$2:$ND$60=I$4),0),$B290-1966)</f>
        <v>22095.07</v>
      </c>
      <c r="J290" s="18" cm="1">
        <f t="array" ref="J290">INDEX(GMWQ!$A$2:$NE$60,MATCH(1,(GMWQ!$NE$2:$NE$60=J$3)*(GMWQ!$ND$2:$ND$60=J$4),0),$B290-1966)</f>
        <v>33473.269999999997</v>
      </c>
      <c r="K290" s="18" cm="1">
        <f t="array" ref="K290">INDEX(GMWQ!$A$2:$NE$60,MATCH(1,(GMWQ!$NE$2:$NE$60=K$3)*(GMWQ!$ND$2:$ND$60=K$4),0),$B290-1966)</f>
        <v>4760761</v>
      </c>
      <c r="L290" s="18" cm="1">
        <f t="array" ref="L290">INDEX(GMWQ!$A$2:$NE$60,MATCH(1,(GMWQ!$NE$2:$NE$60=L$3)*(GMWQ!$ND$2:$ND$60=L$4),0),$B290-1966)</f>
        <v>37808.79</v>
      </c>
      <c r="M290" s="18" cm="1">
        <f t="array" ref="M290">INDEX(GMWQ!$A$2:$NE$60,MATCH(1,(GMWQ!$NE$2:$NE$60=M$3)*(GMWQ!$ND$2:$ND$60=M$4),0),$B290-1966)</f>
        <v>31.967669999999998</v>
      </c>
      <c r="N290" s="18" cm="1">
        <f t="array" ref="N290">INDEX(GMWQ!$A$2:$NE$60,MATCH(1,(GMWQ!$NE$2:$NE$60=N$3)*(GMWQ!$ND$2:$ND$60=N$4),0),$B290-1966)</f>
        <v>9.2718749999999996</v>
      </c>
      <c r="O290" s="18" cm="1">
        <f t="array" ref="O290">INDEX(GMWQ!$A$2:$NE$60,MATCH(1,(GMWQ!$NE$2:$NE$60=O$3)*(GMWQ!$ND$2:$ND$60=O$4),0),$B290-1966)</f>
        <v>3.8562470000000002</v>
      </c>
      <c r="P290" s="18" cm="1">
        <f t="array" ref="P290">INDEX(GMWQ!$A$2:$NE$60,MATCH(1,(GMWQ!$NE$2:$NE$60=P$3)*(GMWQ!$ND$2:$ND$60=P$4),0),$B290-1966)</f>
        <v>1309412</v>
      </c>
      <c r="Q290" s="18" cm="1">
        <f t="array" ref="Q290">INDEX(GMWQ!$A$2:$NE$60,MATCH(1,(GMWQ!$NE$2:$NE$60=Q$3)*(GMWQ!$ND$2:$ND$60=Q$4),0),$B290-1966)</f>
        <v>1575.2159999999999</v>
      </c>
      <c r="R290" s="18" cm="1">
        <f t="array" ref="R290">INDEX(GMWQ!$A$2:$NE$60,MATCH(1,(GMWQ!$NE$2:$NE$60=R$3)*(GMWQ!$ND$2:$ND$60=R$4),0),$B290-1966)</f>
        <v>25201.02</v>
      </c>
      <c r="S290" s="18" cm="1">
        <f t="array" ref="S290">INDEX(GMWQ!$A$2:$NE$60,MATCH(1,(GMWQ!$NE$2:$NE$60=S$3)*(GMWQ!$ND$2:$ND$60=S$4),0),$B290-1966)</f>
        <v>134.7201</v>
      </c>
      <c r="T290" s="18" cm="1">
        <f t="array" ref="T290">INDEX(GMWQ!$A$2:$NE$60,MATCH(1,(GMWQ!$NE$2:$NE$60=T$3)*(GMWQ!$ND$2:$ND$60=T$4),0),$B290-1966)</f>
        <v>105.4258</v>
      </c>
      <c r="U290" s="18" cm="1">
        <f t="array" ref="U290">INDEX(GMWQ!$A$2:$NE$60,MATCH(1,(GMWQ!$NE$2:$NE$60=U$3)*(GMWQ!$ND$2:$ND$60=U$4),0),$B290-1966)</f>
        <v>66.180729999999997</v>
      </c>
      <c r="V290" s="18" cm="1">
        <f t="array" ref="V290">INDEX(GMWQ!$A$2:$NE$60,MATCH(1,(GMWQ!$NE$2:$NE$60=V$3)*(GMWQ!$ND$2:$ND$60=V$4),0),$B290-1966)</f>
        <v>107877.6</v>
      </c>
      <c r="W290" s="18" cm="1">
        <f t="array" ref="W290">INDEX(GMWQ!$A$2:$NF$60,MATCH(1,(GMWQ!$NE$2:$NE$60=W$3)*(GMWQ!$NF$2:$NF$60=W$1),0),$B290-1966)</f>
        <v>75112.289999999994</v>
      </c>
      <c r="X290" s="18" cm="1">
        <f t="array" ref="X290">INDEX(GMWQ!$A$2:$NF$60,MATCH(1,(GMWQ!$NE$2:$NE$60=X$3)*(GMWQ!$NF$2:$NF$60=X$1),0),$B290-1966)</f>
        <v>79521.440000000002</v>
      </c>
      <c r="Y290" s="18" cm="1">
        <f t="array" ref="Y290">INDEX(GMWQ!$A$2:$NF$60,MATCH(1,(GMWQ!$NE$2:$NE$60=Y$3)*(GMWQ!$NF$2:$NF$60=Y$1),0),$B290-1966)</f>
        <v>81027.73</v>
      </c>
      <c r="Z290" s="18" cm="1">
        <f t="array" ref="Z290">INDEX(GMWQ!$A$2:$NF$60,MATCH(1,(GMWQ!$NE$2:$NE$60=Z$3)*(GMWQ!$NF$2:$NF$60=Z$1),0),$B290-1966)</f>
        <v>98024.78</v>
      </c>
    </row>
    <row r="291" spans="1:26" x14ac:dyDescent="0.25">
      <c r="A291" s="18">
        <v>2044</v>
      </c>
      <c r="B291" s="18">
        <f t="shared" si="5"/>
        <v>2257</v>
      </c>
      <c r="C291" s="18" cm="1">
        <f t="array" ref="C291">INDEX(GMWQ!$A$2:$NE$60,MATCH(1,(GMWQ!$NE$2:$NE$60=C$3)*(GMWQ!$ND$2:$ND$60=C$4),0),$B291-1966)</f>
        <v>101752.1</v>
      </c>
      <c r="D291" s="18" cm="1">
        <f t="array" ref="D291">INDEX(GMWQ!$A$2:$NE$60,MATCH(1,(GMWQ!$NE$2:$NE$60=D$3)*(GMWQ!$ND$2:$ND$60=D$4),0),$B291-1966)</f>
        <v>321200.59999999998</v>
      </c>
      <c r="E291" s="18" cm="1">
        <f t="array" ref="E291">INDEX(GMWQ!$A$2:$NE$60,MATCH(1,(GMWQ!$NE$2:$NE$60=E$3)*(GMWQ!$ND$2:$ND$60=E$4),0),$B291-1966)</f>
        <v>-19456.68</v>
      </c>
      <c r="F291" s="18" cm="1">
        <f t="array" ref="F291">INDEX(GMWQ!$A$2:$NE$60,MATCH(1,(GMWQ!$NE$2:$NE$60=F$3)*(GMWQ!$ND$2:$ND$60=F$4),0),$B291-1966)</f>
        <v>-22109.05</v>
      </c>
      <c r="G291" s="18" cm="1">
        <f t="array" ref="G291">INDEX(GMWQ!$A$2:$NE$60,MATCH(1,(GMWQ!$NE$2:$NE$60=G$3)*(GMWQ!$ND$2:$ND$60=G$4),0),$B291-1966)</f>
        <v>1458101</v>
      </c>
      <c r="H291" s="18" cm="1">
        <f t="array" ref="H291">INDEX(GMWQ!$A$2:$NE$60,MATCH(1,(GMWQ!$NE$2:$NE$60=H$3)*(GMWQ!$ND$2:$ND$60=H$4),0),$B291-1966)</f>
        <v>169136.6</v>
      </c>
      <c r="I291" s="18" cm="1">
        <f t="array" ref="I291">INDEX(GMWQ!$A$2:$NE$60,MATCH(1,(GMWQ!$NE$2:$NE$60=I$3)*(GMWQ!$ND$2:$ND$60=I$4),0),$B291-1966)</f>
        <v>22201.24</v>
      </c>
      <c r="J291" s="18" cm="1">
        <f t="array" ref="J291">INDEX(GMWQ!$A$2:$NE$60,MATCH(1,(GMWQ!$NE$2:$NE$60=J$3)*(GMWQ!$ND$2:$ND$60=J$4),0),$B291-1966)</f>
        <v>33599.980000000003</v>
      </c>
      <c r="K291" s="18" cm="1">
        <f t="array" ref="K291">INDEX(GMWQ!$A$2:$NE$60,MATCH(1,(GMWQ!$NE$2:$NE$60=K$3)*(GMWQ!$ND$2:$ND$60=K$4),0),$B291-1966)</f>
        <v>4783825</v>
      </c>
      <c r="L291" s="18" cm="1">
        <f t="array" ref="L291">INDEX(GMWQ!$A$2:$NE$60,MATCH(1,(GMWQ!$NE$2:$NE$60=L$3)*(GMWQ!$ND$2:$ND$60=L$4),0),$B291-1966)</f>
        <v>37844.730000000003</v>
      </c>
      <c r="M291" s="18" cm="1">
        <f t="array" ref="M291">INDEX(GMWQ!$A$2:$NE$60,MATCH(1,(GMWQ!$NE$2:$NE$60=M$3)*(GMWQ!$ND$2:$ND$60=M$4),0),$B291-1966)</f>
        <v>31.966920000000002</v>
      </c>
      <c r="N291" s="18" cm="1">
        <f t="array" ref="N291">INDEX(GMWQ!$A$2:$NE$60,MATCH(1,(GMWQ!$NE$2:$NE$60=N$3)*(GMWQ!$ND$2:$ND$60=N$4),0),$B291-1966)</f>
        <v>9.2775060000000007</v>
      </c>
      <c r="O291" s="18" cm="1">
        <f t="array" ref="O291">INDEX(GMWQ!$A$2:$NE$60,MATCH(1,(GMWQ!$NE$2:$NE$60=O$3)*(GMWQ!$ND$2:$ND$60=O$4),0),$B291-1966)</f>
        <v>3.8562470000000002</v>
      </c>
      <c r="P291" s="18" cm="1">
        <f t="array" ref="P291">INDEX(GMWQ!$A$2:$NE$60,MATCH(1,(GMWQ!$NE$2:$NE$60=P$3)*(GMWQ!$ND$2:$ND$60=P$4),0),$B291-1966)</f>
        <v>1325052</v>
      </c>
      <c r="Q291" s="18" cm="1">
        <f t="array" ref="Q291">INDEX(GMWQ!$A$2:$NE$60,MATCH(1,(GMWQ!$NE$2:$NE$60=Q$3)*(GMWQ!$ND$2:$ND$60=Q$4),0),$B291-1966)</f>
        <v>1584.5820000000001</v>
      </c>
      <c r="R291" s="18" cm="1">
        <f t="array" ref="R291">INDEX(GMWQ!$A$2:$NE$60,MATCH(1,(GMWQ!$NE$2:$NE$60=R$3)*(GMWQ!$ND$2:$ND$60=R$4),0),$B291-1966)</f>
        <v>25199.97</v>
      </c>
      <c r="S291" s="18" cm="1">
        <f t="array" ref="S291">INDEX(GMWQ!$A$2:$NE$60,MATCH(1,(GMWQ!$NE$2:$NE$60=S$3)*(GMWQ!$ND$2:$ND$60=S$4),0),$B291-1966)</f>
        <v>135.07320000000001</v>
      </c>
      <c r="T291" s="18" cm="1">
        <f t="array" ref="T291">INDEX(GMWQ!$A$2:$NE$60,MATCH(1,(GMWQ!$NE$2:$NE$60=T$3)*(GMWQ!$ND$2:$ND$60=T$4),0),$B291-1966)</f>
        <v>105.5852</v>
      </c>
      <c r="U291" s="18" cm="1">
        <f t="array" ref="U291">INDEX(GMWQ!$A$2:$NE$60,MATCH(1,(GMWQ!$NE$2:$NE$60=U$3)*(GMWQ!$ND$2:$ND$60=U$4),0),$B291-1966)</f>
        <v>66.194670000000002</v>
      </c>
      <c r="V291" s="18" cm="1">
        <f t="array" ref="V291">INDEX(GMWQ!$A$2:$NE$60,MATCH(1,(GMWQ!$NE$2:$NE$60=V$3)*(GMWQ!$ND$2:$ND$60=V$4),0),$B291-1966)</f>
        <v>108398.2</v>
      </c>
      <c r="W291" s="18" cm="1">
        <f t="array" ref="W291">INDEX(GMWQ!$A$2:$NF$60,MATCH(1,(GMWQ!$NE$2:$NE$60=W$3)*(GMWQ!$NF$2:$NF$60=W$1),0),$B291-1966)</f>
        <v>75429.929999999993</v>
      </c>
      <c r="X291" s="18" cm="1">
        <f t="array" ref="X291">INDEX(GMWQ!$A$2:$NF$60,MATCH(1,(GMWQ!$NE$2:$NE$60=X$3)*(GMWQ!$NF$2:$NF$60=X$1),0),$B291-1966)</f>
        <v>79892.759999999995</v>
      </c>
      <c r="Y291" s="18" cm="1">
        <f t="array" ref="Y291">INDEX(GMWQ!$A$2:$NF$60,MATCH(1,(GMWQ!$NE$2:$NE$60=Y$3)*(GMWQ!$NF$2:$NF$60=Y$1),0),$B291-1966)</f>
        <v>81396.81</v>
      </c>
      <c r="Z291" s="18" cm="1">
        <f t="array" ref="Z291">INDEX(GMWQ!$A$2:$NF$60,MATCH(1,(GMWQ!$NE$2:$NE$60=Z$3)*(GMWQ!$NF$2:$NF$60=Z$1),0),$B291-1966)</f>
        <v>98542.33</v>
      </c>
    </row>
    <row r="292" spans="1:26" x14ac:dyDescent="0.25">
      <c r="B292" s="18">
        <f t="shared" si="5"/>
        <v>2258</v>
      </c>
      <c r="C292" s="18" cm="1">
        <f t="array" ref="C292">INDEX(GMWQ!$A$2:$NE$60,MATCH(1,(GMWQ!$NE$2:$NE$60=C$3)*(GMWQ!$ND$2:$ND$60=C$4),0),$B292-1966)</f>
        <v>102286.39999999999</v>
      </c>
      <c r="D292" s="18" cm="1">
        <f t="array" ref="D292">INDEX(GMWQ!$A$2:$NE$60,MATCH(1,(GMWQ!$NE$2:$NE$60=D$3)*(GMWQ!$ND$2:$ND$60=D$4),0),$B292-1966)</f>
        <v>324374.40000000002</v>
      </c>
      <c r="E292" s="18" cm="1">
        <f t="array" ref="E292">INDEX(GMWQ!$A$2:$NE$60,MATCH(1,(GMWQ!$NE$2:$NE$60=E$3)*(GMWQ!$ND$2:$ND$60=E$4),0),$B292-1966)</f>
        <v>-7301.5529999999999</v>
      </c>
      <c r="F292" s="18" cm="1">
        <f t="array" ref="F292">INDEX(GMWQ!$A$2:$NE$60,MATCH(1,(GMWQ!$NE$2:$NE$60=F$3)*(GMWQ!$ND$2:$ND$60=F$4),0),$B292-1966)</f>
        <v>-9978.3520000000008</v>
      </c>
      <c r="G292" s="18" cm="1">
        <f t="array" ref="G292">INDEX(GMWQ!$A$2:$NE$60,MATCH(1,(GMWQ!$NE$2:$NE$60=G$3)*(GMWQ!$ND$2:$ND$60=G$4),0),$B292-1966)</f>
        <v>1471532</v>
      </c>
      <c r="H292" s="18" cm="1">
        <f t="array" ref="H292">INDEX(GMWQ!$A$2:$NE$60,MATCH(1,(GMWQ!$NE$2:$NE$60=H$3)*(GMWQ!$ND$2:$ND$60=H$4),0),$B292-1966)</f>
        <v>169960.1</v>
      </c>
      <c r="I292" s="18" cm="1">
        <f t="array" ref="I292">INDEX(GMWQ!$A$2:$NE$60,MATCH(1,(GMWQ!$NE$2:$NE$60=I$3)*(GMWQ!$ND$2:$ND$60=I$4),0),$B292-1966)</f>
        <v>22307.82</v>
      </c>
      <c r="J292" s="18" cm="1">
        <f t="array" ref="J292">INDEX(GMWQ!$A$2:$NE$60,MATCH(1,(GMWQ!$NE$2:$NE$60=J$3)*(GMWQ!$ND$2:$ND$60=J$4),0),$B292-1966)</f>
        <v>33727</v>
      </c>
      <c r="K292" s="18" cm="1">
        <f t="array" ref="K292">INDEX(GMWQ!$A$2:$NE$60,MATCH(1,(GMWQ!$NE$2:$NE$60=K$3)*(GMWQ!$ND$2:$ND$60=K$4),0),$B292-1966)</f>
        <v>4806973</v>
      </c>
      <c r="L292" s="18" cm="1">
        <f t="array" ref="L292">INDEX(GMWQ!$A$2:$NE$60,MATCH(1,(GMWQ!$NE$2:$NE$60=L$3)*(GMWQ!$ND$2:$ND$60=L$4),0),$B292-1966)</f>
        <v>37880.68</v>
      </c>
      <c r="M292" s="18" cm="1">
        <f t="array" ref="M292">INDEX(GMWQ!$A$2:$NE$60,MATCH(1,(GMWQ!$NE$2:$NE$60=M$3)*(GMWQ!$ND$2:$ND$60=M$4),0),$B292-1966)</f>
        <v>31.966170000000002</v>
      </c>
      <c r="N292" s="18" cm="1">
        <f t="array" ref="N292">INDEX(GMWQ!$A$2:$NE$60,MATCH(1,(GMWQ!$NE$2:$NE$60=N$3)*(GMWQ!$ND$2:$ND$60=N$4),0),$B292-1966)</f>
        <v>9.2823580000000003</v>
      </c>
      <c r="O292" s="18" cm="1">
        <f t="array" ref="O292">INDEX(GMWQ!$A$2:$NE$60,MATCH(1,(GMWQ!$NE$2:$NE$60=O$3)*(GMWQ!$ND$2:$ND$60=O$4),0),$B292-1966)</f>
        <v>3.8562470000000002</v>
      </c>
      <c r="P292" s="18" cm="1">
        <f t="array" ref="P292">INDEX(GMWQ!$A$2:$NE$60,MATCH(1,(GMWQ!$NE$2:$NE$60=P$3)*(GMWQ!$ND$2:$ND$60=P$4),0),$B292-1966)</f>
        <v>1341134</v>
      </c>
      <c r="Q292" s="18" cm="1">
        <f t="array" ref="Q292">INDEX(GMWQ!$A$2:$NE$60,MATCH(1,(GMWQ!$NE$2:$NE$60=Q$3)*(GMWQ!$ND$2:$ND$60=Q$4),0),$B292-1966)</f>
        <v>1593.9839999999999</v>
      </c>
      <c r="R292" s="18" cm="1">
        <f t="array" ref="R292">INDEX(GMWQ!$A$2:$NE$60,MATCH(1,(GMWQ!$NE$2:$NE$60=R$3)*(GMWQ!$ND$2:$ND$60=R$4),0),$B292-1966)</f>
        <v>25199.65</v>
      </c>
      <c r="S292" s="18" cm="1">
        <f t="array" ref="S292">INDEX(GMWQ!$A$2:$NE$60,MATCH(1,(GMWQ!$NE$2:$NE$60=S$3)*(GMWQ!$ND$2:$ND$60=S$4),0),$B292-1966)</f>
        <v>135.4247</v>
      </c>
      <c r="T292" s="18" cm="1">
        <f t="array" ref="T292">INDEX(GMWQ!$A$2:$NE$60,MATCH(1,(GMWQ!$NE$2:$NE$60=T$3)*(GMWQ!$ND$2:$ND$60=T$4),0),$B292-1966)</f>
        <v>105.75530000000001</v>
      </c>
      <c r="U292" s="18" cm="1">
        <f t="array" ref="U292">INDEX(GMWQ!$A$2:$NE$60,MATCH(1,(GMWQ!$NE$2:$NE$60=U$3)*(GMWQ!$ND$2:$ND$60=U$4),0),$B292-1966)</f>
        <v>66.20514</v>
      </c>
      <c r="V292" s="18" cm="1">
        <f t="array" ref="V292">INDEX(GMWQ!$A$2:$NE$60,MATCH(1,(GMWQ!$NE$2:$NE$60=V$3)*(GMWQ!$ND$2:$ND$60=V$4),0),$B292-1966)</f>
        <v>108924.3</v>
      </c>
      <c r="W292" s="18" cm="1">
        <f t="array" ref="W292">INDEX(GMWQ!$A$2:$NF$60,MATCH(1,(GMWQ!$NE$2:$NE$60=W$3)*(GMWQ!$NF$2:$NF$60=W$1),0),$B292-1966)</f>
        <v>75748.62</v>
      </c>
      <c r="X292" s="18" cm="1">
        <f t="array" ref="X292">INDEX(GMWQ!$A$2:$NF$60,MATCH(1,(GMWQ!$NE$2:$NE$60=X$3)*(GMWQ!$NF$2:$NF$60=X$1),0),$B292-1966)</f>
        <v>80265.56</v>
      </c>
      <c r="Y292" s="18" cm="1">
        <f t="array" ref="Y292">INDEX(GMWQ!$A$2:$NF$60,MATCH(1,(GMWQ!$NE$2:$NE$60=Y$3)*(GMWQ!$NF$2:$NF$60=Y$1),0),$B292-1966)</f>
        <v>81767.259999999995</v>
      </c>
      <c r="Z292" s="18" cm="1">
        <f t="array" ref="Z292">INDEX(GMWQ!$A$2:$NF$60,MATCH(1,(GMWQ!$NE$2:$NE$60=Z$3)*(GMWQ!$NF$2:$NF$60=Z$1),0),$B292-1966)</f>
        <v>99062.09</v>
      </c>
    </row>
    <row r="293" spans="1:26" x14ac:dyDescent="0.25">
      <c r="B293" s="18">
        <f t="shared" si="5"/>
        <v>2259</v>
      </c>
      <c r="C293" s="18" cm="1">
        <f t="array" ref="C293">INDEX(GMWQ!$A$2:$NE$60,MATCH(1,(GMWQ!$NE$2:$NE$60=C$3)*(GMWQ!$ND$2:$ND$60=C$4),0),$B293-1966)</f>
        <v>102822.9</v>
      </c>
      <c r="D293" s="18" cm="1">
        <f t="array" ref="D293">INDEX(GMWQ!$A$2:$NE$60,MATCH(1,(GMWQ!$NE$2:$NE$60=D$3)*(GMWQ!$ND$2:$ND$60=D$4),0),$B293-1966)</f>
        <v>327635.3</v>
      </c>
      <c r="E293" s="18" cm="1">
        <f t="array" ref="E293">INDEX(GMWQ!$A$2:$NE$60,MATCH(1,(GMWQ!$NE$2:$NE$60=E$3)*(GMWQ!$ND$2:$ND$60=E$4),0),$B293-1966)</f>
        <v>-12352.33</v>
      </c>
      <c r="F293" s="18" cm="1">
        <f t="array" ref="F293">INDEX(GMWQ!$A$2:$NE$60,MATCH(1,(GMWQ!$NE$2:$NE$60=F$3)*(GMWQ!$ND$2:$ND$60=F$4),0),$B293-1966)</f>
        <v>-15053.78</v>
      </c>
      <c r="G293" s="18" cm="1">
        <f t="array" ref="G293">INDEX(GMWQ!$A$2:$NE$60,MATCH(1,(GMWQ!$NE$2:$NE$60=G$3)*(GMWQ!$ND$2:$ND$60=G$4),0),$B293-1966)</f>
        <v>1485079</v>
      </c>
      <c r="H293" s="18" cm="1">
        <f t="array" ref="H293">INDEX(GMWQ!$A$2:$NE$60,MATCH(1,(GMWQ!$NE$2:$NE$60=H$3)*(GMWQ!$ND$2:$ND$60=H$4),0),$B293-1966)</f>
        <v>170786.8</v>
      </c>
      <c r="I293" s="18" cm="1">
        <f t="array" ref="I293">INDEX(GMWQ!$A$2:$NE$60,MATCH(1,(GMWQ!$NE$2:$NE$60=I$3)*(GMWQ!$ND$2:$ND$60=I$4),0),$B293-1966)</f>
        <v>22414.799999999999</v>
      </c>
      <c r="J293" s="18" cm="1">
        <f t="array" ref="J293">INDEX(GMWQ!$A$2:$NE$60,MATCH(1,(GMWQ!$NE$2:$NE$60=J$3)*(GMWQ!$ND$2:$ND$60=J$4),0),$B293-1966)</f>
        <v>33854.339999999997</v>
      </c>
      <c r="K293" s="18" cm="1">
        <f t="array" ref="K293">INDEX(GMWQ!$A$2:$NE$60,MATCH(1,(GMWQ!$NE$2:$NE$60=K$3)*(GMWQ!$ND$2:$ND$60=K$4),0),$B293-1966)</f>
        <v>4830207</v>
      </c>
      <c r="L293" s="18" cm="1">
        <f t="array" ref="L293">INDEX(GMWQ!$A$2:$NE$60,MATCH(1,(GMWQ!$NE$2:$NE$60=L$3)*(GMWQ!$ND$2:$ND$60=L$4),0),$B293-1966)</f>
        <v>37916.620000000003</v>
      </c>
      <c r="M293" s="18" cm="1">
        <f t="array" ref="M293">INDEX(GMWQ!$A$2:$NE$60,MATCH(1,(GMWQ!$NE$2:$NE$60=M$3)*(GMWQ!$ND$2:$ND$60=M$4),0),$B293-1966)</f>
        <v>31.965420000000002</v>
      </c>
      <c r="N293" s="18" cm="1">
        <f t="array" ref="N293">INDEX(GMWQ!$A$2:$NE$60,MATCH(1,(GMWQ!$NE$2:$NE$60=N$3)*(GMWQ!$ND$2:$ND$60=N$4),0),$B293-1966)</f>
        <v>9.2872199999999996</v>
      </c>
      <c r="O293" s="18" cm="1">
        <f t="array" ref="O293">INDEX(GMWQ!$A$2:$NE$60,MATCH(1,(GMWQ!$NE$2:$NE$60=O$3)*(GMWQ!$ND$2:$ND$60=O$4),0),$B293-1966)</f>
        <v>3.8562470000000002</v>
      </c>
      <c r="P293" s="18" cm="1">
        <f t="array" ref="P293">INDEX(GMWQ!$A$2:$NE$60,MATCH(1,(GMWQ!$NE$2:$NE$60=P$3)*(GMWQ!$ND$2:$ND$60=P$4),0),$B293-1966)</f>
        <v>1357640</v>
      </c>
      <c r="Q293" s="18" cm="1">
        <f t="array" ref="Q293">INDEX(GMWQ!$A$2:$NE$60,MATCH(1,(GMWQ!$NE$2:$NE$60=Q$3)*(GMWQ!$ND$2:$ND$60=Q$4),0),$B293-1966)</f>
        <v>1603.423</v>
      </c>
      <c r="R293" s="18" cm="1">
        <f t="array" ref="R293">INDEX(GMWQ!$A$2:$NE$60,MATCH(1,(GMWQ!$NE$2:$NE$60=R$3)*(GMWQ!$ND$2:$ND$60=R$4),0),$B293-1966)</f>
        <v>25200.18</v>
      </c>
      <c r="S293" s="18" cm="1">
        <f t="array" ref="S293">INDEX(GMWQ!$A$2:$NE$60,MATCH(1,(GMWQ!$NE$2:$NE$60=S$3)*(GMWQ!$ND$2:$ND$60=S$4),0),$B293-1966)</f>
        <v>135.77510000000001</v>
      </c>
      <c r="T293" s="18" cm="1">
        <f t="array" ref="T293">INDEX(GMWQ!$A$2:$NE$60,MATCH(1,(GMWQ!$NE$2:$NE$60=T$3)*(GMWQ!$ND$2:$ND$60=T$4),0),$B293-1966)</f>
        <v>106.0307</v>
      </c>
      <c r="U293" s="18" cm="1">
        <f t="array" ref="U293">INDEX(GMWQ!$A$2:$NE$60,MATCH(1,(GMWQ!$NE$2:$NE$60=U$3)*(GMWQ!$ND$2:$ND$60=U$4),0),$B293-1966)</f>
        <v>66.215130000000002</v>
      </c>
      <c r="V293" s="18" cm="1">
        <f t="array" ref="V293">INDEX(GMWQ!$A$2:$NE$60,MATCH(1,(GMWQ!$NE$2:$NE$60=V$3)*(GMWQ!$ND$2:$ND$60=V$4),0),$B293-1966)</f>
        <v>109447.7</v>
      </c>
      <c r="W293" s="18" cm="1">
        <f t="array" ref="W293">INDEX(GMWQ!$A$2:$NF$60,MATCH(1,(GMWQ!$NE$2:$NE$60=W$3)*(GMWQ!$NF$2:$NF$60=W$1),0),$B293-1966)</f>
        <v>76068.3</v>
      </c>
      <c r="X293" s="18" cm="1">
        <f t="array" ref="X293">INDEX(GMWQ!$A$2:$NF$60,MATCH(1,(GMWQ!$NE$2:$NE$60=X$3)*(GMWQ!$NF$2:$NF$60=X$1),0),$B293-1966)</f>
        <v>80639.88</v>
      </c>
      <c r="Y293" s="18" cm="1">
        <f t="array" ref="Y293">INDEX(GMWQ!$A$2:$NF$60,MATCH(1,(GMWQ!$NE$2:$NE$60=Y$3)*(GMWQ!$NF$2:$NF$60=Y$1),0),$B293-1966)</f>
        <v>82139.08</v>
      </c>
      <c r="Z293" s="18" cm="1">
        <f t="array" ref="Z293">INDEX(GMWQ!$A$2:$NF$60,MATCH(1,(GMWQ!$NE$2:$NE$60=Z$3)*(GMWQ!$NF$2:$NF$60=Z$1),0),$B293-1966)</f>
        <v>99584.09</v>
      </c>
    </row>
    <row r="294" spans="1:26" x14ac:dyDescent="0.25">
      <c r="B294" s="18">
        <f t="shared" si="5"/>
        <v>2260</v>
      </c>
      <c r="C294" s="18" cm="1">
        <f t="array" ref="C294">INDEX(GMWQ!$A$2:$NE$60,MATCH(1,(GMWQ!$NE$2:$NE$60=C$3)*(GMWQ!$ND$2:$ND$60=C$4),0),$B294-1966)</f>
        <v>103361.7</v>
      </c>
      <c r="D294" s="18" cm="1">
        <f t="array" ref="D294">INDEX(GMWQ!$A$2:$NE$60,MATCH(1,(GMWQ!$NE$2:$NE$60=D$3)*(GMWQ!$ND$2:$ND$60=D$4),0),$B294-1966)</f>
        <v>330125</v>
      </c>
      <c r="E294" s="18" cm="1">
        <f t="array" ref="E294">INDEX(GMWQ!$A$2:$NE$60,MATCH(1,(GMWQ!$NE$2:$NE$60=E$3)*(GMWQ!$ND$2:$ND$60=E$4),0),$B294-1966)</f>
        <v>4644.2510000000002</v>
      </c>
      <c r="F294" s="18" cm="1">
        <f t="array" ref="F294">INDEX(GMWQ!$A$2:$NE$60,MATCH(1,(GMWQ!$NE$2:$NE$60=F$3)*(GMWQ!$ND$2:$ND$60=F$4),0),$B294-1966)</f>
        <v>1917.953</v>
      </c>
      <c r="G294" s="18" cm="1">
        <f t="array" ref="G294">INDEX(GMWQ!$A$2:$NE$60,MATCH(1,(GMWQ!$NE$2:$NE$60=G$3)*(GMWQ!$ND$2:$ND$60=G$4),0),$B294-1966)</f>
        <v>1498743</v>
      </c>
      <c r="H294" s="18" cm="1">
        <f t="array" ref="H294">INDEX(GMWQ!$A$2:$NE$60,MATCH(1,(GMWQ!$NE$2:$NE$60=H$3)*(GMWQ!$ND$2:$ND$60=H$4),0),$B294-1966)</f>
        <v>171616.6</v>
      </c>
      <c r="I294" s="18" cm="1">
        <f t="array" ref="I294">INDEX(GMWQ!$A$2:$NE$60,MATCH(1,(GMWQ!$NE$2:$NE$60=I$3)*(GMWQ!$ND$2:$ND$60=I$4),0),$B294-1966)</f>
        <v>22522.17</v>
      </c>
      <c r="J294" s="18" cm="1">
        <f t="array" ref="J294">INDEX(GMWQ!$A$2:$NE$60,MATCH(1,(GMWQ!$NE$2:$NE$60=J$3)*(GMWQ!$ND$2:$ND$60=J$4),0),$B294-1966)</f>
        <v>33981.99</v>
      </c>
      <c r="K294" s="18" cm="1">
        <f t="array" ref="K294">INDEX(GMWQ!$A$2:$NE$60,MATCH(1,(GMWQ!$NE$2:$NE$60=K$3)*(GMWQ!$ND$2:$ND$60=K$4),0),$B294-1966)</f>
        <v>4853527</v>
      </c>
      <c r="L294" s="18" cm="1">
        <f t="array" ref="L294">INDEX(GMWQ!$A$2:$NE$60,MATCH(1,(GMWQ!$NE$2:$NE$60=L$3)*(GMWQ!$ND$2:$ND$60=L$4),0),$B294-1966)</f>
        <v>37952.559999999998</v>
      </c>
      <c r="M294" s="18" cm="1">
        <f t="array" ref="M294">INDEX(GMWQ!$A$2:$NE$60,MATCH(1,(GMWQ!$NE$2:$NE$60=M$3)*(GMWQ!$ND$2:$ND$60=M$4),0),$B294-1966)</f>
        <v>31.964670000000002</v>
      </c>
      <c r="N294" s="18" cm="1">
        <f t="array" ref="N294">INDEX(GMWQ!$A$2:$NE$60,MATCH(1,(GMWQ!$NE$2:$NE$60=N$3)*(GMWQ!$ND$2:$ND$60=N$4),0),$B294-1966)</f>
        <v>9.2974739999999994</v>
      </c>
      <c r="O294" s="18" cm="1">
        <f t="array" ref="O294">INDEX(GMWQ!$A$2:$NE$60,MATCH(1,(GMWQ!$NE$2:$NE$60=O$3)*(GMWQ!$ND$2:$ND$60=O$4),0),$B294-1966)</f>
        <v>3.8562470000000002</v>
      </c>
      <c r="P294" s="18" cm="1">
        <f t="array" ref="P294">INDEX(GMWQ!$A$2:$NE$60,MATCH(1,(GMWQ!$NE$2:$NE$60=P$3)*(GMWQ!$ND$2:$ND$60=P$4),0),$B294-1966)</f>
        <v>1374383</v>
      </c>
      <c r="Q294" s="18" cm="1">
        <f t="array" ref="Q294">INDEX(GMWQ!$A$2:$NE$60,MATCH(1,(GMWQ!$NE$2:$NE$60=Q$3)*(GMWQ!$ND$2:$ND$60=Q$4),0),$B294-1966)</f>
        <v>1612.902</v>
      </c>
      <c r="R294" s="18" cm="1">
        <f t="array" ref="R294">INDEX(GMWQ!$A$2:$NE$60,MATCH(1,(GMWQ!$NE$2:$NE$60=R$3)*(GMWQ!$ND$2:$ND$60=R$4),0),$B294-1966)</f>
        <v>25202.01</v>
      </c>
      <c r="S294" s="18" cm="1">
        <f t="array" ref="S294">INDEX(GMWQ!$A$2:$NE$60,MATCH(1,(GMWQ!$NE$2:$NE$60=S$3)*(GMWQ!$ND$2:$ND$60=S$4),0),$B294-1966)</f>
        <v>136.12389999999999</v>
      </c>
      <c r="T294" s="18" cm="1">
        <f t="array" ref="T294">INDEX(GMWQ!$A$2:$NE$60,MATCH(1,(GMWQ!$NE$2:$NE$60=T$3)*(GMWQ!$ND$2:$ND$60=T$4),0),$B294-1966)</f>
        <v>106.2029</v>
      </c>
      <c r="U294" s="18" cm="1">
        <f t="array" ref="U294">INDEX(GMWQ!$A$2:$NE$60,MATCH(1,(GMWQ!$NE$2:$NE$60=U$3)*(GMWQ!$ND$2:$ND$60=U$4),0),$B294-1966)</f>
        <v>66.224649999999997</v>
      </c>
      <c r="V294" s="18" cm="1">
        <f t="array" ref="V294">INDEX(GMWQ!$A$2:$NE$60,MATCH(1,(GMWQ!$NE$2:$NE$60=V$3)*(GMWQ!$ND$2:$ND$60=V$4),0),$B294-1966)</f>
        <v>109970.8</v>
      </c>
      <c r="W294" s="18" cm="1">
        <f t="array" ref="W294">INDEX(GMWQ!$A$2:$NF$60,MATCH(1,(GMWQ!$NE$2:$NE$60=W$3)*(GMWQ!$NF$2:$NF$60=W$1),0),$B294-1966)</f>
        <v>76389</v>
      </c>
      <c r="X294" s="18" cm="1">
        <f t="array" ref="X294">INDEX(GMWQ!$A$2:$NF$60,MATCH(1,(GMWQ!$NE$2:$NE$60=X$3)*(GMWQ!$NF$2:$NF$60=X$1),0),$B294-1966)</f>
        <v>81015.67</v>
      </c>
      <c r="Y294" s="18" cm="1">
        <f t="array" ref="Y294">INDEX(GMWQ!$A$2:$NF$60,MATCH(1,(GMWQ!$NE$2:$NE$60=Y$3)*(GMWQ!$NF$2:$NF$60=Y$1),0),$B294-1966)</f>
        <v>82512.23</v>
      </c>
      <c r="Z294" s="18" cm="1">
        <f t="array" ref="Z294">INDEX(GMWQ!$A$2:$NF$60,MATCH(1,(GMWQ!$NE$2:$NE$60=Z$3)*(GMWQ!$NF$2:$NF$60=Z$1),0),$B294-1966)</f>
        <v>100108.3</v>
      </c>
    </row>
    <row r="295" spans="1:26" x14ac:dyDescent="0.25">
      <c r="A295" s="18">
        <v>2045</v>
      </c>
      <c r="B295" s="18">
        <f t="shared" si="5"/>
        <v>2261</v>
      </c>
      <c r="C295" s="18" cm="1">
        <f t="array" ref="C295">INDEX(GMWQ!$A$2:$NE$60,MATCH(1,(GMWQ!$NE$2:$NE$60=C$3)*(GMWQ!$ND$2:$ND$60=C$4),0),$B295-1966)</f>
        <v>103902.9</v>
      </c>
      <c r="D295" s="18" cm="1">
        <f t="array" ref="D295">INDEX(GMWQ!$A$2:$NE$60,MATCH(1,(GMWQ!$NE$2:$NE$60=D$3)*(GMWQ!$ND$2:$ND$60=D$4),0),$B295-1966)</f>
        <v>333196</v>
      </c>
      <c r="E295" s="18" cm="1">
        <f t="array" ref="E295">INDEX(GMWQ!$A$2:$NE$60,MATCH(1,(GMWQ!$NE$2:$NE$60=E$3)*(GMWQ!$ND$2:$ND$60=E$4),0),$B295-1966)</f>
        <v>-20033.5</v>
      </c>
      <c r="F295" s="18" cm="1">
        <f t="array" ref="F295">INDEX(GMWQ!$A$2:$NE$60,MATCH(1,(GMWQ!$NE$2:$NE$60=F$3)*(GMWQ!$ND$2:$ND$60=F$4),0),$B295-1966)</f>
        <v>-22784.87</v>
      </c>
      <c r="G295" s="18" cm="1">
        <f t="array" ref="G295">INDEX(GMWQ!$A$2:$NE$60,MATCH(1,(GMWQ!$NE$2:$NE$60=G$3)*(GMWQ!$ND$2:$ND$60=G$4),0),$B295-1966)</f>
        <v>1512525</v>
      </c>
      <c r="H295" s="18" cm="1">
        <f t="array" ref="H295">INDEX(GMWQ!$A$2:$NE$60,MATCH(1,(GMWQ!$NE$2:$NE$60=H$3)*(GMWQ!$ND$2:$ND$60=H$4),0),$B295-1966)</f>
        <v>172449.8</v>
      </c>
      <c r="I295" s="18" cm="1">
        <f t="array" ref="I295">INDEX(GMWQ!$A$2:$NE$60,MATCH(1,(GMWQ!$NE$2:$NE$60=I$3)*(GMWQ!$ND$2:$ND$60=I$4),0),$B295-1966)</f>
        <v>22629.95</v>
      </c>
      <c r="J295" s="18" cm="1">
        <f t="array" ref="J295">INDEX(GMWQ!$A$2:$NE$60,MATCH(1,(GMWQ!$NE$2:$NE$60=J$3)*(GMWQ!$ND$2:$ND$60=J$4),0),$B295-1966)</f>
        <v>34109.949999999997</v>
      </c>
      <c r="K295" s="18" cm="1">
        <f t="array" ref="K295">INDEX(GMWQ!$A$2:$NE$60,MATCH(1,(GMWQ!$NE$2:$NE$60=K$3)*(GMWQ!$ND$2:$ND$60=K$4),0),$B295-1966)</f>
        <v>4876932</v>
      </c>
      <c r="L295" s="18" cm="1">
        <f t="array" ref="L295">INDEX(GMWQ!$A$2:$NE$60,MATCH(1,(GMWQ!$NE$2:$NE$60=L$3)*(GMWQ!$ND$2:$ND$60=L$4),0),$B295-1966)</f>
        <v>37988.51</v>
      </c>
      <c r="M295" s="18" cm="1">
        <f t="array" ref="M295">INDEX(GMWQ!$A$2:$NE$60,MATCH(1,(GMWQ!$NE$2:$NE$60=M$3)*(GMWQ!$ND$2:$ND$60=M$4),0),$B295-1966)</f>
        <v>31.963920000000002</v>
      </c>
      <c r="N295" s="18" cm="1">
        <f t="array" ref="N295">INDEX(GMWQ!$A$2:$NE$60,MATCH(1,(GMWQ!$NE$2:$NE$60=N$3)*(GMWQ!$ND$2:$ND$60=N$4),0),$B295-1966)</f>
        <v>9.3032360000000001</v>
      </c>
      <c r="O295" s="18" cm="1">
        <f t="array" ref="O295">INDEX(GMWQ!$A$2:$NE$60,MATCH(1,(GMWQ!$NE$2:$NE$60=O$3)*(GMWQ!$ND$2:$ND$60=O$4),0),$B295-1966)</f>
        <v>3.8562470000000002</v>
      </c>
      <c r="P295" s="18" cm="1">
        <f t="array" ref="P295">INDEX(GMWQ!$A$2:$NE$60,MATCH(1,(GMWQ!$NE$2:$NE$60=P$3)*(GMWQ!$ND$2:$ND$60=P$4),0),$B295-1966)</f>
        <v>1390813</v>
      </c>
      <c r="Q295" s="18" cm="1">
        <f t="array" ref="Q295">INDEX(GMWQ!$A$2:$NE$60,MATCH(1,(GMWQ!$NE$2:$NE$60=Q$3)*(GMWQ!$ND$2:$ND$60=Q$4),0),$B295-1966)</f>
        <v>1622.4079999999999</v>
      </c>
      <c r="R295" s="18" cm="1">
        <f t="array" ref="R295">INDEX(GMWQ!$A$2:$NE$60,MATCH(1,(GMWQ!$NE$2:$NE$60=R$3)*(GMWQ!$ND$2:$ND$60=R$4),0),$B295-1966)</f>
        <v>25205.1</v>
      </c>
      <c r="S295" s="18" cm="1">
        <f t="array" ref="S295">INDEX(GMWQ!$A$2:$NE$60,MATCH(1,(GMWQ!$NE$2:$NE$60=S$3)*(GMWQ!$ND$2:$ND$60=S$4),0),$B295-1966)</f>
        <v>136.4648</v>
      </c>
      <c r="T295" s="18" cm="1">
        <f t="array" ref="T295">INDEX(GMWQ!$A$2:$NE$60,MATCH(1,(GMWQ!$NE$2:$NE$60=T$3)*(GMWQ!$ND$2:$ND$60=T$4),0),$B295-1966)</f>
        <v>106.3723</v>
      </c>
      <c r="U295" s="18" cm="1">
        <f t="array" ref="U295">INDEX(GMWQ!$A$2:$NE$60,MATCH(1,(GMWQ!$NE$2:$NE$60=U$3)*(GMWQ!$ND$2:$ND$60=U$4),0),$B295-1966)</f>
        <v>66.233649999999997</v>
      </c>
      <c r="V295" s="18" cm="1">
        <f t="array" ref="V295">INDEX(GMWQ!$A$2:$NE$60,MATCH(1,(GMWQ!$NE$2:$NE$60=V$3)*(GMWQ!$ND$2:$ND$60=V$4),0),$B295-1966)</f>
        <v>110493.8</v>
      </c>
      <c r="W295" s="18" cm="1">
        <f t="array" ref="W295">INDEX(GMWQ!$A$2:$NF$60,MATCH(1,(GMWQ!$NE$2:$NE$60=W$3)*(GMWQ!$NF$2:$NF$60=W$1),0),$B295-1966)</f>
        <v>76710.710000000006</v>
      </c>
      <c r="X295" s="18" cm="1">
        <f t="array" ref="X295">INDEX(GMWQ!$A$2:$NF$60,MATCH(1,(GMWQ!$NE$2:$NE$60=X$3)*(GMWQ!$NF$2:$NF$60=X$1),0),$B295-1966)</f>
        <v>81392.990000000005</v>
      </c>
      <c r="Y295" s="18" cm="1">
        <f t="array" ref="Y295">INDEX(GMWQ!$A$2:$NF$60,MATCH(1,(GMWQ!$NE$2:$NE$60=Y$3)*(GMWQ!$NF$2:$NF$60=Y$1),0),$B295-1966)</f>
        <v>82886.740000000005</v>
      </c>
      <c r="Z295" s="18" cm="1">
        <f t="array" ref="Z295">INDEX(GMWQ!$A$2:$NF$60,MATCH(1,(GMWQ!$NE$2:$NE$60=Z$3)*(GMWQ!$NF$2:$NF$60=Z$1),0),$B295-1966)</f>
        <v>100634.7</v>
      </c>
    </row>
    <row r="296" spans="1:26" x14ac:dyDescent="0.25">
      <c r="B296" s="18">
        <f t="shared" si="5"/>
        <v>2262</v>
      </c>
      <c r="C296" s="18" cm="1">
        <f t="array" ref="C296">INDEX(GMWQ!$A$2:$NE$60,MATCH(1,(GMWQ!$NE$2:$NE$60=C$3)*(GMWQ!$ND$2:$ND$60=C$4),0),$B296-1966)</f>
        <v>104446.39999999999</v>
      </c>
      <c r="D296" s="18" cm="1">
        <f t="array" ref="D296">INDEX(GMWQ!$A$2:$NE$60,MATCH(1,(GMWQ!$NE$2:$NE$60=D$3)*(GMWQ!$ND$2:$ND$60=D$4),0),$B296-1966)</f>
        <v>336481.7</v>
      </c>
      <c r="E296" s="18" cm="1">
        <f t="array" ref="E296">INDEX(GMWQ!$A$2:$NE$60,MATCH(1,(GMWQ!$NE$2:$NE$60=E$3)*(GMWQ!$ND$2:$ND$60=E$4),0),$B296-1966)</f>
        <v>-7431.8310000000001</v>
      </c>
      <c r="F296" s="18" cm="1">
        <f t="array" ref="F296">INDEX(GMWQ!$A$2:$NE$60,MATCH(1,(GMWQ!$NE$2:$NE$60=F$3)*(GMWQ!$ND$2:$ND$60=F$4),0),$B296-1966)</f>
        <v>-10208.48</v>
      </c>
      <c r="G296" s="18" cm="1">
        <f t="array" ref="G296">INDEX(GMWQ!$A$2:$NE$60,MATCH(1,(GMWQ!$NE$2:$NE$60=G$3)*(GMWQ!$ND$2:$ND$60=G$4),0),$B296-1966)</f>
        <v>1526427</v>
      </c>
      <c r="H296" s="18" cm="1">
        <f t="array" ref="H296">INDEX(GMWQ!$A$2:$NE$60,MATCH(1,(GMWQ!$NE$2:$NE$60=H$3)*(GMWQ!$ND$2:$ND$60=H$4),0),$B296-1966)</f>
        <v>173286.2</v>
      </c>
      <c r="I296" s="18" cm="1">
        <f t="array" ref="I296">INDEX(GMWQ!$A$2:$NE$60,MATCH(1,(GMWQ!$NE$2:$NE$60=I$3)*(GMWQ!$ND$2:$ND$60=I$4),0),$B296-1966)</f>
        <v>22738.13</v>
      </c>
      <c r="J296" s="18" cm="1">
        <f t="array" ref="J296">INDEX(GMWQ!$A$2:$NE$60,MATCH(1,(GMWQ!$NE$2:$NE$60=J$3)*(GMWQ!$ND$2:$ND$60=J$4),0),$B296-1966)</f>
        <v>34238.21</v>
      </c>
      <c r="K296" s="18" cm="1">
        <f t="array" ref="K296">INDEX(GMWQ!$A$2:$NE$60,MATCH(1,(GMWQ!$NE$2:$NE$60=K$3)*(GMWQ!$ND$2:$ND$60=K$4),0),$B296-1966)</f>
        <v>4900424</v>
      </c>
      <c r="L296" s="18" cm="1">
        <f t="array" ref="L296">INDEX(GMWQ!$A$2:$NE$60,MATCH(1,(GMWQ!$NE$2:$NE$60=L$3)*(GMWQ!$ND$2:$ND$60=L$4),0),$B296-1966)</f>
        <v>38024.449999999997</v>
      </c>
      <c r="M296" s="18" cm="1">
        <f t="array" ref="M296">INDEX(GMWQ!$A$2:$NE$60,MATCH(1,(GMWQ!$NE$2:$NE$60=M$3)*(GMWQ!$ND$2:$ND$60=M$4),0),$B296-1966)</f>
        <v>31.963170000000002</v>
      </c>
      <c r="N296" s="18" cm="1">
        <f t="array" ref="N296">INDEX(GMWQ!$A$2:$NE$60,MATCH(1,(GMWQ!$NE$2:$NE$60=N$3)*(GMWQ!$ND$2:$ND$60=N$4),0),$B296-1966)</f>
        <v>9.3082259999999994</v>
      </c>
      <c r="O296" s="18" cm="1">
        <f t="array" ref="O296">INDEX(GMWQ!$A$2:$NE$60,MATCH(1,(GMWQ!$NE$2:$NE$60=O$3)*(GMWQ!$ND$2:$ND$60=O$4),0),$B296-1966)</f>
        <v>3.8562470000000002</v>
      </c>
      <c r="P296" s="18" cm="1">
        <f t="array" ref="P296">INDEX(GMWQ!$A$2:$NE$60,MATCH(1,(GMWQ!$NE$2:$NE$60=P$3)*(GMWQ!$ND$2:$ND$60=P$4),0),$B296-1966)</f>
        <v>1407716</v>
      </c>
      <c r="Q296" s="18" cm="1">
        <f t="array" ref="Q296">INDEX(GMWQ!$A$2:$NE$60,MATCH(1,(GMWQ!$NE$2:$NE$60=Q$3)*(GMWQ!$ND$2:$ND$60=Q$4),0),$B296-1966)</f>
        <v>1631.9490000000001</v>
      </c>
      <c r="R296" s="18" cm="1">
        <f t="array" ref="R296">INDEX(GMWQ!$A$2:$NE$60,MATCH(1,(GMWQ!$NE$2:$NE$60=R$3)*(GMWQ!$ND$2:$ND$60=R$4),0),$B296-1966)</f>
        <v>25209.16</v>
      </c>
      <c r="S296" s="18" cm="1">
        <f t="array" ref="S296">INDEX(GMWQ!$A$2:$NE$60,MATCH(1,(GMWQ!$NE$2:$NE$60=S$3)*(GMWQ!$ND$2:$ND$60=S$4),0),$B296-1966)</f>
        <v>136.80420000000001</v>
      </c>
      <c r="T296" s="18" cm="1">
        <f t="array" ref="T296">INDEX(GMWQ!$A$2:$NE$60,MATCH(1,(GMWQ!$NE$2:$NE$60=T$3)*(GMWQ!$ND$2:$ND$60=T$4),0),$B296-1966)</f>
        <v>106.54040000000001</v>
      </c>
      <c r="U296" s="18" cm="1">
        <f t="array" ref="U296">INDEX(GMWQ!$A$2:$NE$60,MATCH(1,(GMWQ!$NE$2:$NE$60=U$3)*(GMWQ!$ND$2:$ND$60=U$4),0),$B296-1966)</f>
        <v>66.250579999999999</v>
      </c>
      <c r="V296" s="18" cm="1">
        <f t="array" ref="V296">INDEX(GMWQ!$A$2:$NE$60,MATCH(1,(GMWQ!$NE$2:$NE$60=V$3)*(GMWQ!$ND$2:$ND$60=V$4),0),$B296-1966)</f>
        <v>111011</v>
      </c>
      <c r="W296" s="18" cm="1">
        <f t="array" ref="W296">INDEX(GMWQ!$A$2:$NF$60,MATCH(1,(GMWQ!$NE$2:$NE$60=W$3)*(GMWQ!$NF$2:$NF$60=W$1),0),$B296-1966)</f>
        <v>77033.45</v>
      </c>
      <c r="X296" s="18" cm="1">
        <f t="array" ref="X296">INDEX(GMWQ!$A$2:$NF$60,MATCH(1,(GMWQ!$NE$2:$NE$60=X$3)*(GMWQ!$NF$2:$NF$60=X$1),0),$B296-1966)</f>
        <v>81771.78</v>
      </c>
      <c r="Y296" s="18" cm="1">
        <f t="array" ref="Y296">INDEX(GMWQ!$A$2:$NF$60,MATCH(1,(GMWQ!$NE$2:$NE$60=Y$3)*(GMWQ!$NF$2:$NF$60=Y$1),0),$B296-1966)</f>
        <v>83262.59</v>
      </c>
      <c r="Z296" s="18" cm="1">
        <f t="array" ref="Z296">INDEX(GMWQ!$A$2:$NF$60,MATCH(1,(GMWQ!$NE$2:$NE$60=Z$3)*(GMWQ!$NF$2:$NF$60=Z$1),0),$B296-1966)</f>
        <v>101163.4</v>
      </c>
    </row>
    <row r="297" spans="1:26" x14ac:dyDescent="0.25">
      <c r="B297" s="18">
        <f t="shared" si="5"/>
        <v>2263</v>
      </c>
      <c r="C297" s="18" cm="1">
        <f t="array" ref="C297">INDEX(GMWQ!$A$2:$NE$60,MATCH(1,(GMWQ!$NE$2:$NE$60=C$3)*(GMWQ!$ND$2:$ND$60=C$4),0),$B297-1966)</f>
        <v>104992.1</v>
      </c>
      <c r="D297" s="18" cm="1">
        <f t="array" ref="D297">INDEX(GMWQ!$A$2:$NE$60,MATCH(1,(GMWQ!$NE$2:$NE$60=D$3)*(GMWQ!$ND$2:$ND$60=D$4),0),$B297-1966)</f>
        <v>339857.6</v>
      </c>
      <c r="E297" s="18" cm="1">
        <f t="array" ref="E297">INDEX(GMWQ!$A$2:$NE$60,MATCH(1,(GMWQ!$NE$2:$NE$60=E$3)*(GMWQ!$ND$2:$ND$60=E$4),0),$B297-1966)</f>
        <v>-12676.25</v>
      </c>
      <c r="F297" s="18" cm="1">
        <f t="array" ref="F297">INDEX(GMWQ!$A$2:$NE$60,MATCH(1,(GMWQ!$NE$2:$NE$60=F$3)*(GMWQ!$ND$2:$ND$60=F$4),0),$B297-1966)</f>
        <v>-15478.41</v>
      </c>
      <c r="G297" s="18" cm="1">
        <f t="array" ref="G297">INDEX(GMWQ!$A$2:$NE$60,MATCH(1,(GMWQ!$NE$2:$NE$60=G$3)*(GMWQ!$ND$2:$ND$60=G$4),0),$B297-1966)</f>
        <v>1540448</v>
      </c>
      <c r="H297" s="18" cm="1">
        <f t="array" ref="H297">INDEX(GMWQ!$A$2:$NE$60,MATCH(1,(GMWQ!$NE$2:$NE$60=H$3)*(GMWQ!$ND$2:$ND$60=H$4),0),$B297-1966)</f>
        <v>174125.7</v>
      </c>
      <c r="I297" s="18" cm="1">
        <f t="array" ref="I297">INDEX(GMWQ!$A$2:$NE$60,MATCH(1,(GMWQ!$NE$2:$NE$60=I$3)*(GMWQ!$ND$2:$ND$60=I$4),0),$B297-1966)</f>
        <v>22846.720000000001</v>
      </c>
      <c r="J297" s="18" cm="1">
        <f t="array" ref="J297">INDEX(GMWQ!$A$2:$NE$60,MATCH(1,(GMWQ!$NE$2:$NE$60=J$3)*(GMWQ!$ND$2:$ND$60=J$4),0),$B297-1966)</f>
        <v>34366.800000000003</v>
      </c>
      <c r="K297" s="18" cm="1">
        <f t="array" ref="K297">INDEX(GMWQ!$A$2:$NE$60,MATCH(1,(GMWQ!$NE$2:$NE$60=K$3)*(GMWQ!$ND$2:$ND$60=K$4),0),$B297-1966)</f>
        <v>4924002</v>
      </c>
      <c r="L297" s="18" cm="1">
        <f t="array" ref="L297">INDEX(GMWQ!$A$2:$NE$60,MATCH(1,(GMWQ!$NE$2:$NE$60=L$3)*(GMWQ!$ND$2:$ND$60=L$4),0),$B297-1966)</f>
        <v>38060.39</v>
      </c>
      <c r="M297" s="18" cm="1">
        <f t="array" ref="M297">INDEX(GMWQ!$A$2:$NE$60,MATCH(1,(GMWQ!$NE$2:$NE$60=M$3)*(GMWQ!$ND$2:$ND$60=M$4),0),$B297-1966)</f>
        <v>31.962420000000002</v>
      </c>
      <c r="N297" s="18" cm="1">
        <f t="array" ref="N297">INDEX(GMWQ!$A$2:$NE$60,MATCH(1,(GMWQ!$NE$2:$NE$60=N$3)*(GMWQ!$ND$2:$ND$60=N$4),0),$B297-1966)</f>
        <v>9.3132339999999996</v>
      </c>
      <c r="O297" s="18" cm="1">
        <f t="array" ref="O297">INDEX(GMWQ!$A$2:$NE$60,MATCH(1,(GMWQ!$NE$2:$NE$60=O$3)*(GMWQ!$ND$2:$ND$60=O$4),0),$B297-1966)</f>
        <v>3.8562470000000002</v>
      </c>
      <c r="P297" s="18" cm="1">
        <f t="array" ref="P297">INDEX(GMWQ!$A$2:$NE$60,MATCH(1,(GMWQ!$NE$2:$NE$60=P$3)*(GMWQ!$ND$2:$ND$60=P$4),0),$B297-1966)</f>
        <v>1425071</v>
      </c>
      <c r="Q297" s="18" cm="1">
        <f t="array" ref="Q297">INDEX(GMWQ!$A$2:$NE$60,MATCH(1,(GMWQ!$NE$2:$NE$60=Q$3)*(GMWQ!$ND$2:$ND$60=Q$4),0),$B297-1966)</f>
        <v>1641.5309999999999</v>
      </c>
      <c r="R297" s="18" cm="1">
        <f t="array" ref="R297">INDEX(GMWQ!$A$2:$NE$60,MATCH(1,(GMWQ!$NE$2:$NE$60=R$3)*(GMWQ!$ND$2:$ND$60=R$4),0),$B297-1966)</f>
        <v>25213.96</v>
      </c>
      <c r="S297" s="18" cm="1">
        <f t="array" ref="S297">INDEX(GMWQ!$A$2:$NE$60,MATCH(1,(GMWQ!$NE$2:$NE$60=S$3)*(GMWQ!$ND$2:$ND$60=S$4),0),$B297-1966)</f>
        <v>137.1448</v>
      </c>
      <c r="T297" s="18" cm="1">
        <f t="array" ref="T297">INDEX(GMWQ!$A$2:$NE$60,MATCH(1,(GMWQ!$NE$2:$NE$60=T$3)*(GMWQ!$ND$2:$ND$60=T$4),0),$B297-1966)</f>
        <v>106.723</v>
      </c>
      <c r="U297" s="18" cm="1">
        <f t="array" ref="U297">INDEX(GMWQ!$A$2:$NE$60,MATCH(1,(GMWQ!$NE$2:$NE$60=U$3)*(GMWQ!$ND$2:$ND$60=U$4),0),$B297-1966)</f>
        <v>66.267070000000004</v>
      </c>
      <c r="V297" s="18" cm="1">
        <f t="array" ref="V297">INDEX(GMWQ!$A$2:$NE$60,MATCH(1,(GMWQ!$NE$2:$NE$60=V$3)*(GMWQ!$ND$2:$ND$60=V$4),0),$B297-1966)</f>
        <v>111533.5</v>
      </c>
      <c r="W297" s="18" cm="1">
        <f t="array" ref="W297">INDEX(GMWQ!$A$2:$NF$60,MATCH(1,(GMWQ!$NE$2:$NE$60=W$3)*(GMWQ!$NF$2:$NF$60=W$1),0),$B297-1966)</f>
        <v>77357.2</v>
      </c>
      <c r="X297" s="18" cm="1">
        <f t="array" ref="X297">INDEX(GMWQ!$A$2:$NF$60,MATCH(1,(GMWQ!$NE$2:$NE$60=X$3)*(GMWQ!$NF$2:$NF$60=X$1),0),$B297-1966)</f>
        <v>82152.09</v>
      </c>
      <c r="Y297" s="18" cm="1">
        <f t="array" ref="Y297">INDEX(GMWQ!$A$2:$NF$60,MATCH(1,(GMWQ!$NE$2:$NE$60=Y$3)*(GMWQ!$NF$2:$NF$60=Y$1),0),$B297-1966)</f>
        <v>83639.81</v>
      </c>
      <c r="Z297" s="18" cm="1">
        <f t="array" ref="Z297">INDEX(GMWQ!$A$2:$NF$60,MATCH(1,(GMWQ!$NE$2:$NE$60=Z$3)*(GMWQ!$NF$2:$NF$60=Z$1),0),$B297-1966)</f>
        <v>101694.39999999999</v>
      </c>
    </row>
    <row r="298" spans="1:26" x14ac:dyDescent="0.25">
      <c r="B298" s="18">
        <f t="shared" si="5"/>
        <v>2264</v>
      </c>
      <c r="C298" s="18" cm="1">
        <f t="array" ref="C298">INDEX(GMWQ!$A$2:$NE$60,MATCH(1,(GMWQ!$NE$2:$NE$60=C$3)*(GMWQ!$ND$2:$ND$60=C$4),0),$B298-1966)</f>
        <v>105540.3</v>
      </c>
      <c r="D298" s="18" cm="1">
        <f t="array" ref="D298">INDEX(GMWQ!$A$2:$NE$60,MATCH(1,(GMWQ!$NE$2:$NE$60=D$3)*(GMWQ!$ND$2:$ND$60=D$4),0),$B298-1966)</f>
        <v>342433.3</v>
      </c>
      <c r="E298" s="18" cm="1">
        <f t="array" ref="E298">INDEX(GMWQ!$A$2:$NE$60,MATCH(1,(GMWQ!$NE$2:$NE$60=E$3)*(GMWQ!$ND$2:$ND$60=E$4),0),$B298-1966)</f>
        <v>4949.18</v>
      </c>
      <c r="F298" s="18" cm="1">
        <f t="array" ref="F298">INDEX(GMWQ!$A$2:$NE$60,MATCH(1,(GMWQ!$NE$2:$NE$60=F$3)*(GMWQ!$ND$2:$ND$60=F$4),0),$B298-1966)</f>
        <v>2121.2919999999999</v>
      </c>
      <c r="G298" s="18" cm="1">
        <f t="array" ref="G298">INDEX(GMWQ!$A$2:$NE$60,MATCH(1,(GMWQ!$NE$2:$NE$60=G$3)*(GMWQ!$ND$2:$ND$60=G$4),0),$B298-1966)</f>
        <v>1554591</v>
      </c>
      <c r="H298" s="18" cm="1">
        <f t="array" ref="H298">INDEX(GMWQ!$A$2:$NE$60,MATCH(1,(GMWQ!$NE$2:$NE$60=H$3)*(GMWQ!$ND$2:$ND$60=H$4),0),$B298-1966)</f>
        <v>174968.7</v>
      </c>
      <c r="I298" s="18" cm="1">
        <f t="array" ref="I298">INDEX(GMWQ!$A$2:$NE$60,MATCH(1,(GMWQ!$NE$2:$NE$60=I$3)*(GMWQ!$ND$2:$ND$60=I$4),0),$B298-1966)</f>
        <v>22955.72</v>
      </c>
      <c r="J298" s="18" cm="1">
        <f t="array" ref="J298">INDEX(GMWQ!$A$2:$NE$60,MATCH(1,(GMWQ!$NE$2:$NE$60=J$3)*(GMWQ!$ND$2:$ND$60=J$4),0),$B298-1966)</f>
        <v>34495.699999999997</v>
      </c>
      <c r="K298" s="18" cm="1">
        <f t="array" ref="K298">INDEX(GMWQ!$A$2:$NE$60,MATCH(1,(GMWQ!$NE$2:$NE$60=K$3)*(GMWQ!$ND$2:$ND$60=K$4),0),$B298-1966)</f>
        <v>4947667</v>
      </c>
      <c r="L298" s="18" cm="1">
        <f t="array" ref="L298">INDEX(GMWQ!$A$2:$NE$60,MATCH(1,(GMWQ!$NE$2:$NE$60=L$3)*(GMWQ!$ND$2:$ND$60=L$4),0),$B298-1966)</f>
        <v>38096.339999999997</v>
      </c>
      <c r="M298" s="18" cm="1">
        <f t="array" ref="M298">INDEX(GMWQ!$A$2:$NE$60,MATCH(1,(GMWQ!$NE$2:$NE$60=M$3)*(GMWQ!$ND$2:$ND$60=M$4),0),$B298-1966)</f>
        <v>31.961670000000002</v>
      </c>
      <c r="N298" s="18" cm="1">
        <f t="array" ref="N298">INDEX(GMWQ!$A$2:$NE$60,MATCH(1,(GMWQ!$NE$2:$NE$60=N$3)*(GMWQ!$ND$2:$ND$60=N$4),0),$B298-1966)</f>
        <v>9.3237039999999993</v>
      </c>
      <c r="O298" s="18" cm="1">
        <f t="array" ref="O298">INDEX(GMWQ!$A$2:$NE$60,MATCH(1,(GMWQ!$NE$2:$NE$60=O$3)*(GMWQ!$ND$2:$ND$60=O$4),0),$B298-1966)</f>
        <v>3.8562470000000002</v>
      </c>
      <c r="P298" s="18" cm="1">
        <f t="array" ref="P298">INDEX(GMWQ!$A$2:$NE$60,MATCH(1,(GMWQ!$NE$2:$NE$60=P$3)*(GMWQ!$ND$2:$ND$60=P$4),0),$B298-1966)</f>
        <v>1442678</v>
      </c>
      <c r="Q298" s="18" cm="1">
        <f t="array" ref="Q298">INDEX(GMWQ!$A$2:$NE$60,MATCH(1,(GMWQ!$NE$2:$NE$60=Q$3)*(GMWQ!$ND$2:$ND$60=Q$4),0),$B298-1966)</f>
        <v>1651.1479999999999</v>
      </c>
      <c r="R298" s="18" cm="1">
        <f t="array" ref="R298">INDEX(GMWQ!$A$2:$NE$60,MATCH(1,(GMWQ!$NE$2:$NE$60=R$3)*(GMWQ!$ND$2:$ND$60=R$4),0),$B298-1966)</f>
        <v>25219.82</v>
      </c>
      <c r="S298" s="18" cm="1">
        <f t="array" ref="S298">INDEX(GMWQ!$A$2:$NE$60,MATCH(1,(GMWQ!$NE$2:$NE$60=S$3)*(GMWQ!$ND$2:$ND$60=S$4),0),$B298-1966)</f>
        <v>137.4864</v>
      </c>
      <c r="T298" s="18" cm="1">
        <f t="array" ref="T298">INDEX(GMWQ!$A$2:$NE$60,MATCH(1,(GMWQ!$NE$2:$NE$60=T$3)*(GMWQ!$ND$2:$ND$60=T$4),0),$B298-1966)</f>
        <v>106.90219999999999</v>
      </c>
      <c r="U298" s="18" cm="1">
        <f t="array" ref="U298">INDEX(GMWQ!$A$2:$NE$60,MATCH(1,(GMWQ!$NE$2:$NE$60=U$3)*(GMWQ!$ND$2:$ND$60=U$4),0),$B298-1966)</f>
        <v>66.283140000000003</v>
      </c>
      <c r="V298" s="18" cm="1">
        <f t="array" ref="V298">INDEX(GMWQ!$A$2:$NE$60,MATCH(1,(GMWQ!$NE$2:$NE$60=V$3)*(GMWQ!$ND$2:$ND$60=V$4),0),$B298-1966)</f>
        <v>112059.1</v>
      </c>
      <c r="W298" s="18" cm="1">
        <f t="array" ref="W298">INDEX(GMWQ!$A$2:$NF$60,MATCH(1,(GMWQ!$NE$2:$NE$60=W$3)*(GMWQ!$NF$2:$NF$60=W$1),0),$B298-1966)</f>
        <v>77681.98</v>
      </c>
      <c r="X298" s="18" cm="1">
        <f t="array" ref="X298">INDEX(GMWQ!$A$2:$NF$60,MATCH(1,(GMWQ!$NE$2:$NE$60=X$3)*(GMWQ!$NF$2:$NF$60=X$1),0),$B298-1966)</f>
        <v>82533.88</v>
      </c>
      <c r="Y298" s="18" cm="1">
        <f t="array" ref="Y298">INDEX(GMWQ!$A$2:$NF$60,MATCH(1,(GMWQ!$NE$2:$NE$60=Y$3)*(GMWQ!$NF$2:$NF$60=Y$1),0),$B298-1966)</f>
        <v>84018.38</v>
      </c>
      <c r="Z298" s="18" cm="1">
        <f t="array" ref="Z298">INDEX(GMWQ!$A$2:$NF$60,MATCH(1,(GMWQ!$NE$2:$NE$60=Z$3)*(GMWQ!$NF$2:$NF$60=Z$1),0),$B298-1966)</f>
        <v>102227.6</v>
      </c>
    </row>
    <row r="299" spans="1:26" x14ac:dyDescent="0.25">
      <c r="A299" s="18">
        <v>2046</v>
      </c>
      <c r="B299" s="18">
        <f t="shared" si="5"/>
        <v>2265</v>
      </c>
      <c r="C299" s="18" cm="1">
        <f t="array" ref="C299">INDEX(GMWQ!$A$2:$NE$60,MATCH(1,(GMWQ!$NE$2:$NE$60=C$3)*(GMWQ!$ND$2:$ND$60=C$4),0),$B299-1966)</f>
        <v>106090.8</v>
      </c>
      <c r="D299" s="18" cm="1">
        <f t="array" ref="D299">INDEX(GMWQ!$A$2:$NE$60,MATCH(1,(GMWQ!$NE$2:$NE$60=D$3)*(GMWQ!$ND$2:$ND$60=D$4),0),$B299-1966)</f>
        <v>345612</v>
      </c>
      <c r="E299" s="18" cm="1">
        <f t="array" ref="E299">INDEX(GMWQ!$A$2:$NE$60,MATCH(1,(GMWQ!$NE$2:$NE$60=E$3)*(GMWQ!$ND$2:$ND$60=E$4),0),$B299-1966)</f>
        <v>-20652.400000000001</v>
      </c>
      <c r="F299" s="18" cm="1">
        <f t="array" ref="F299">INDEX(GMWQ!$A$2:$NE$60,MATCH(1,(GMWQ!$NE$2:$NE$60=F$3)*(GMWQ!$ND$2:$ND$60=F$4),0),$B299-1966)</f>
        <v>-23506.240000000002</v>
      </c>
      <c r="G299" s="18" cm="1">
        <f t="array" ref="G299">INDEX(GMWQ!$A$2:$NE$60,MATCH(1,(GMWQ!$NE$2:$NE$60=G$3)*(GMWQ!$ND$2:$ND$60=G$4),0),$B299-1966)</f>
        <v>1568856</v>
      </c>
      <c r="H299" s="18" cm="1">
        <f t="array" ref="H299">INDEX(GMWQ!$A$2:$NE$60,MATCH(1,(GMWQ!$NE$2:$NE$60=H$3)*(GMWQ!$ND$2:$ND$60=H$4),0),$B299-1966)</f>
        <v>175814.9</v>
      </c>
      <c r="I299" s="18" cm="1">
        <f t="array" ref="I299">INDEX(GMWQ!$A$2:$NE$60,MATCH(1,(GMWQ!$NE$2:$NE$60=I$3)*(GMWQ!$ND$2:$ND$60=I$4),0),$B299-1966)</f>
        <v>23065.119999999999</v>
      </c>
      <c r="J299" s="18" cm="1">
        <f t="array" ref="J299">INDEX(GMWQ!$A$2:$NE$60,MATCH(1,(GMWQ!$NE$2:$NE$60=J$3)*(GMWQ!$ND$2:$ND$60=J$4),0),$B299-1966)</f>
        <v>34624.92</v>
      </c>
      <c r="K299" s="18" cm="1">
        <f t="array" ref="K299">INDEX(GMWQ!$A$2:$NE$60,MATCH(1,(GMWQ!$NE$2:$NE$60=K$3)*(GMWQ!$ND$2:$ND$60=K$4),0),$B299-1966)</f>
        <v>4971418</v>
      </c>
      <c r="L299" s="18" cm="1">
        <f t="array" ref="L299">INDEX(GMWQ!$A$2:$NE$60,MATCH(1,(GMWQ!$NE$2:$NE$60=L$3)*(GMWQ!$ND$2:$ND$60=L$4),0),$B299-1966)</f>
        <v>38132.29</v>
      </c>
      <c r="M299" s="18" cm="1">
        <f t="array" ref="M299">INDEX(GMWQ!$A$2:$NE$60,MATCH(1,(GMWQ!$NE$2:$NE$60=M$3)*(GMWQ!$ND$2:$ND$60=M$4),0),$B299-1966)</f>
        <v>31.960920000000002</v>
      </c>
      <c r="N299" s="18" cm="1">
        <f t="array" ref="N299">INDEX(GMWQ!$A$2:$NE$60,MATCH(1,(GMWQ!$NE$2:$NE$60=N$3)*(GMWQ!$ND$2:$ND$60=N$4),0),$B299-1966)</f>
        <v>9.3296390000000002</v>
      </c>
      <c r="O299" s="18" cm="1">
        <f t="array" ref="O299">INDEX(GMWQ!$A$2:$NE$60,MATCH(1,(GMWQ!$NE$2:$NE$60=O$3)*(GMWQ!$ND$2:$ND$60=O$4),0),$B299-1966)</f>
        <v>3.8562470000000002</v>
      </c>
      <c r="P299" s="18" cm="1">
        <f t="array" ref="P299">INDEX(GMWQ!$A$2:$NE$60,MATCH(1,(GMWQ!$NE$2:$NE$60=P$3)*(GMWQ!$ND$2:$ND$60=P$4),0),$B299-1966)</f>
        <v>1459963</v>
      </c>
      <c r="Q299" s="18" cm="1">
        <f t="array" ref="Q299">INDEX(GMWQ!$A$2:$NE$60,MATCH(1,(GMWQ!$NE$2:$NE$60=Q$3)*(GMWQ!$ND$2:$ND$60=Q$4),0),$B299-1966)</f>
        <v>1660.8050000000001</v>
      </c>
      <c r="R299" s="18" cm="1">
        <f t="array" ref="R299">INDEX(GMWQ!$A$2:$NE$60,MATCH(1,(GMWQ!$NE$2:$NE$60=R$3)*(GMWQ!$ND$2:$ND$60=R$4),0),$B299-1966)</f>
        <v>25226.71</v>
      </c>
      <c r="S299" s="18" cm="1">
        <f t="array" ref="S299">INDEX(GMWQ!$A$2:$NE$60,MATCH(1,(GMWQ!$NE$2:$NE$60=S$3)*(GMWQ!$ND$2:$ND$60=S$4),0),$B299-1966)</f>
        <v>137.82089999999999</v>
      </c>
      <c r="T299" s="18" cm="1">
        <f t="array" ref="T299">INDEX(GMWQ!$A$2:$NE$60,MATCH(1,(GMWQ!$NE$2:$NE$60=T$3)*(GMWQ!$ND$2:$ND$60=T$4),0),$B299-1966)</f>
        <v>107.1772</v>
      </c>
      <c r="U299" s="18" cm="1">
        <f t="array" ref="U299">INDEX(GMWQ!$A$2:$NE$60,MATCH(1,(GMWQ!$NE$2:$NE$60=U$3)*(GMWQ!$ND$2:$ND$60=U$4),0),$B299-1966)</f>
        <v>66.298770000000005</v>
      </c>
      <c r="V299" s="18" cm="1">
        <f t="array" ref="V299">INDEX(GMWQ!$A$2:$NE$60,MATCH(1,(GMWQ!$NE$2:$NE$60=V$3)*(GMWQ!$ND$2:$ND$60=V$4),0),$B299-1966)</f>
        <v>112587.1</v>
      </c>
      <c r="W299" s="18" cm="1">
        <f t="array" ref="W299">INDEX(GMWQ!$A$2:$NF$60,MATCH(1,(GMWQ!$NE$2:$NE$60=W$3)*(GMWQ!$NF$2:$NF$60=W$1),0),$B299-1966)</f>
        <v>78007.789999999994</v>
      </c>
      <c r="X299" s="18" cm="1">
        <f t="array" ref="X299">INDEX(GMWQ!$A$2:$NF$60,MATCH(1,(GMWQ!$NE$2:$NE$60=X$3)*(GMWQ!$NF$2:$NF$60=X$1),0),$B299-1966)</f>
        <v>82917.19</v>
      </c>
      <c r="Y299" s="18" cm="1">
        <f t="array" ref="Y299">INDEX(GMWQ!$A$2:$NF$60,MATCH(1,(GMWQ!$NE$2:$NE$60=Y$3)*(GMWQ!$NF$2:$NF$60=Y$1),0),$B299-1966)</f>
        <v>84398.28</v>
      </c>
      <c r="Z299" s="18" cm="1">
        <f t="array" ref="Z299">INDEX(GMWQ!$A$2:$NF$60,MATCH(1,(GMWQ!$NE$2:$NE$60=Z$3)*(GMWQ!$NF$2:$NF$60=Z$1),0),$B299-1966)</f>
        <v>102763.1</v>
      </c>
    </row>
    <row r="300" spans="1:26" x14ac:dyDescent="0.25">
      <c r="B300" s="18">
        <f t="shared" si="5"/>
        <v>2266</v>
      </c>
      <c r="C300" s="18" cm="1">
        <f t="array" ref="C300">INDEX(GMWQ!$A$2:$NE$60,MATCH(1,(GMWQ!$NE$2:$NE$60=C$3)*(GMWQ!$ND$2:$ND$60=C$4),0),$B300-1966)</f>
        <v>106643.6</v>
      </c>
      <c r="D300" s="18" cm="1">
        <f t="array" ref="D300">INDEX(GMWQ!$A$2:$NE$60,MATCH(1,(GMWQ!$NE$2:$NE$60=D$3)*(GMWQ!$ND$2:$ND$60=D$4),0),$B300-1966)</f>
        <v>349013.4</v>
      </c>
      <c r="E300" s="18" cm="1">
        <f t="array" ref="E300">INDEX(GMWQ!$A$2:$NE$60,MATCH(1,(GMWQ!$NE$2:$NE$60=E$3)*(GMWQ!$ND$2:$ND$60=E$4),0),$B300-1966)</f>
        <v>-7589.8490000000002</v>
      </c>
      <c r="F300" s="18" cm="1">
        <f t="array" ref="F300">INDEX(GMWQ!$A$2:$NE$60,MATCH(1,(GMWQ!$NE$2:$NE$60=F$3)*(GMWQ!$ND$2:$ND$60=F$4),0),$B300-1966)</f>
        <v>-10469.86</v>
      </c>
      <c r="G300" s="18" cm="1">
        <f t="array" ref="G300">INDEX(GMWQ!$A$2:$NE$60,MATCH(1,(GMWQ!$NE$2:$NE$60=G$3)*(GMWQ!$ND$2:$ND$60=G$4),0),$B300-1966)</f>
        <v>1583245</v>
      </c>
      <c r="H300" s="18" cm="1">
        <f t="array" ref="H300">INDEX(GMWQ!$A$2:$NE$60,MATCH(1,(GMWQ!$NE$2:$NE$60=H$3)*(GMWQ!$ND$2:$ND$60=H$4),0),$B300-1966)</f>
        <v>176664.3</v>
      </c>
      <c r="I300" s="18" cm="1">
        <f t="array" ref="I300">INDEX(GMWQ!$A$2:$NE$60,MATCH(1,(GMWQ!$NE$2:$NE$60=I$3)*(GMWQ!$ND$2:$ND$60=I$4),0),$B300-1966)</f>
        <v>23174.94</v>
      </c>
      <c r="J300" s="18" cm="1">
        <f t="array" ref="J300">INDEX(GMWQ!$A$2:$NE$60,MATCH(1,(GMWQ!$NE$2:$NE$60=J$3)*(GMWQ!$ND$2:$ND$60=J$4),0),$B300-1966)</f>
        <v>34754.449999999997</v>
      </c>
      <c r="K300" s="18" cm="1">
        <f t="array" ref="K300">INDEX(GMWQ!$A$2:$NE$60,MATCH(1,(GMWQ!$NE$2:$NE$60=K$3)*(GMWQ!$ND$2:$ND$60=K$4),0),$B300-1966)</f>
        <v>4995257</v>
      </c>
      <c r="L300" s="18" cm="1">
        <f t="array" ref="L300">INDEX(GMWQ!$A$2:$NE$60,MATCH(1,(GMWQ!$NE$2:$NE$60=L$3)*(GMWQ!$ND$2:$ND$60=L$4),0),$B300-1966)</f>
        <v>38168.230000000003</v>
      </c>
      <c r="M300" s="18" cm="1">
        <f t="array" ref="M300">INDEX(GMWQ!$A$2:$NE$60,MATCH(1,(GMWQ!$NE$2:$NE$60=M$3)*(GMWQ!$ND$2:$ND$60=M$4),0),$B300-1966)</f>
        <v>31.960170000000002</v>
      </c>
      <c r="N300" s="18" cm="1">
        <f t="array" ref="N300">INDEX(GMWQ!$A$2:$NE$60,MATCH(1,(GMWQ!$NE$2:$NE$60=N$3)*(GMWQ!$ND$2:$ND$60=N$4),0),$B300-1966)</f>
        <v>9.3348069999999996</v>
      </c>
      <c r="O300" s="18" cm="1">
        <f t="array" ref="O300">INDEX(GMWQ!$A$2:$NE$60,MATCH(1,(GMWQ!$NE$2:$NE$60=O$3)*(GMWQ!$ND$2:$ND$60=O$4),0),$B300-1966)</f>
        <v>3.8562470000000002</v>
      </c>
      <c r="P300" s="18" cm="1">
        <f t="array" ref="P300">INDEX(GMWQ!$A$2:$NE$60,MATCH(1,(GMWQ!$NE$2:$NE$60=P$3)*(GMWQ!$ND$2:$ND$60=P$4),0),$B300-1966)</f>
        <v>1477757</v>
      </c>
      <c r="Q300" s="18" cm="1">
        <f t="array" ref="Q300">INDEX(GMWQ!$A$2:$NE$60,MATCH(1,(GMWQ!$NE$2:$NE$60=Q$3)*(GMWQ!$ND$2:$ND$60=Q$4),0),$B300-1966)</f>
        <v>1670.4960000000001</v>
      </c>
      <c r="R300" s="18" cm="1">
        <f t="array" ref="R300">INDEX(GMWQ!$A$2:$NE$60,MATCH(1,(GMWQ!$NE$2:$NE$60=R$3)*(GMWQ!$ND$2:$ND$60=R$4),0),$B300-1966)</f>
        <v>25234.47</v>
      </c>
      <c r="S300" s="18" cm="1">
        <f t="array" ref="S300">INDEX(GMWQ!$A$2:$NE$60,MATCH(1,(GMWQ!$NE$2:$NE$60=S$3)*(GMWQ!$ND$2:$ND$60=S$4),0),$B300-1966)</f>
        <v>138.1566</v>
      </c>
      <c r="T300" s="18" cm="1">
        <f t="array" ref="T300">INDEX(GMWQ!$A$2:$NE$60,MATCH(1,(GMWQ!$NE$2:$NE$60=T$3)*(GMWQ!$ND$2:$ND$60=T$4),0),$B300-1966)</f>
        <v>107.3533</v>
      </c>
      <c r="U300" s="18" cm="1">
        <f t="array" ref="U300">INDEX(GMWQ!$A$2:$NE$60,MATCH(1,(GMWQ!$NE$2:$NE$60=U$3)*(GMWQ!$ND$2:$ND$60=U$4),0),$B300-1966)</f>
        <v>66.32038</v>
      </c>
      <c r="V300" s="18" cm="1">
        <f t="array" ref="V300">INDEX(GMWQ!$A$2:$NE$60,MATCH(1,(GMWQ!$NE$2:$NE$60=V$3)*(GMWQ!$ND$2:$ND$60=V$4),0),$B300-1966)</f>
        <v>113115.1</v>
      </c>
      <c r="W300" s="18" cm="1">
        <f t="array" ref="W300">INDEX(GMWQ!$A$2:$NF$60,MATCH(1,(GMWQ!$NE$2:$NE$60=W$3)*(GMWQ!$NF$2:$NF$60=W$1),0),$B300-1966)</f>
        <v>78334.61</v>
      </c>
      <c r="X300" s="18" cm="1">
        <f t="array" ref="X300">INDEX(GMWQ!$A$2:$NF$60,MATCH(1,(GMWQ!$NE$2:$NE$60=X$3)*(GMWQ!$NF$2:$NF$60=X$1),0),$B300-1966)</f>
        <v>83301.98</v>
      </c>
      <c r="Y300" s="18" cm="1">
        <f t="array" ref="Y300">INDEX(GMWQ!$A$2:$NF$60,MATCH(1,(GMWQ!$NE$2:$NE$60=Y$3)*(GMWQ!$NF$2:$NF$60=Y$1),0),$B300-1966)</f>
        <v>84779.55</v>
      </c>
      <c r="Z300" s="18" cm="1">
        <f t="array" ref="Z300">INDEX(GMWQ!$A$2:$NF$60,MATCH(1,(GMWQ!$NE$2:$NE$60=Z$3)*(GMWQ!$NF$2:$NF$60=Z$1),0),$B300-1966)</f>
        <v>103300.8</v>
      </c>
    </row>
    <row r="301" spans="1:26" x14ac:dyDescent="0.25">
      <c r="B301" s="18">
        <f t="shared" si="5"/>
        <v>2267</v>
      </c>
      <c r="C301" s="18" cm="1">
        <f t="array" ref="C301">INDEX(GMWQ!$A$2:$NE$60,MATCH(1,(GMWQ!$NE$2:$NE$60=C$3)*(GMWQ!$ND$2:$ND$60=C$4),0),$B301-1966)</f>
        <v>107198.8</v>
      </c>
      <c r="D301" s="18" cm="1">
        <f t="array" ref="D301">INDEX(GMWQ!$A$2:$NE$60,MATCH(1,(GMWQ!$NE$2:$NE$60=D$3)*(GMWQ!$ND$2:$ND$60=D$4),0),$B301-1966)</f>
        <v>352508.1</v>
      </c>
      <c r="E301" s="18" cm="1">
        <f t="array" ref="E301">INDEX(GMWQ!$A$2:$NE$60,MATCH(1,(GMWQ!$NE$2:$NE$60=E$3)*(GMWQ!$ND$2:$ND$60=E$4),0),$B301-1966)</f>
        <v>-13034.65</v>
      </c>
      <c r="F301" s="18" cm="1">
        <f t="array" ref="F301">INDEX(GMWQ!$A$2:$NE$60,MATCH(1,(GMWQ!$NE$2:$NE$60=F$3)*(GMWQ!$ND$2:$ND$60=F$4),0),$B301-1966)</f>
        <v>-15941.06</v>
      </c>
      <c r="G301" s="18" cm="1">
        <f t="array" ref="G301">INDEX(GMWQ!$A$2:$NE$60,MATCH(1,(GMWQ!$NE$2:$NE$60=G$3)*(GMWQ!$ND$2:$ND$60=G$4),0),$B301-1966)</f>
        <v>1597758</v>
      </c>
      <c r="H301" s="18" cm="1">
        <f t="array" ref="H301">INDEX(GMWQ!$A$2:$NE$60,MATCH(1,(GMWQ!$NE$2:$NE$60=H$3)*(GMWQ!$ND$2:$ND$60=H$4),0),$B301-1966)</f>
        <v>177517.1</v>
      </c>
      <c r="I301" s="18" cm="1">
        <f t="array" ref="I301">INDEX(GMWQ!$A$2:$NE$60,MATCH(1,(GMWQ!$NE$2:$NE$60=I$3)*(GMWQ!$ND$2:$ND$60=I$4),0),$B301-1966)</f>
        <v>23285.16</v>
      </c>
      <c r="J301" s="18" cm="1">
        <f t="array" ref="J301">INDEX(GMWQ!$A$2:$NE$60,MATCH(1,(GMWQ!$NE$2:$NE$60=J$3)*(GMWQ!$ND$2:$ND$60=J$4),0),$B301-1966)</f>
        <v>34884.300000000003</v>
      </c>
      <c r="K301" s="18" cm="1">
        <f t="array" ref="K301">INDEX(GMWQ!$A$2:$NE$60,MATCH(1,(GMWQ!$NE$2:$NE$60=K$3)*(GMWQ!$ND$2:$ND$60=K$4),0),$B301-1966)</f>
        <v>5019183</v>
      </c>
      <c r="L301" s="18" cm="1">
        <f t="array" ref="L301">INDEX(GMWQ!$A$2:$NE$60,MATCH(1,(GMWQ!$NE$2:$NE$60=L$3)*(GMWQ!$ND$2:$ND$60=L$4),0),$B301-1966)</f>
        <v>38204.17</v>
      </c>
      <c r="M301" s="18" cm="1">
        <f t="array" ref="M301">INDEX(GMWQ!$A$2:$NE$60,MATCH(1,(GMWQ!$NE$2:$NE$60=M$3)*(GMWQ!$ND$2:$ND$60=M$4),0),$B301-1966)</f>
        <v>31.959420000000001</v>
      </c>
      <c r="N301" s="18" cm="1">
        <f t="array" ref="N301">INDEX(GMWQ!$A$2:$NE$60,MATCH(1,(GMWQ!$NE$2:$NE$60=N$3)*(GMWQ!$ND$2:$ND$60=N$4),0),$B301-1966)</f>
        <v>9.3400029999999994</v>
      </c>
      <c r="O301" s="18" cm="1">
        <f t="array" ref="O301">INDEX(GMWQ!$A$2:$NE$60,MATCH(1,(GMWQ!$NE$2:$NE$60=O$3)*(GMWQ!$ND$2:$ND$60=O$4),0),$B301-1966)</f>
        <v>3.8562470000000002</v>
      </c>
      <c r="P301" s="18" cm="1">
        <f t="array" ref="P301">INDEX(GMWQ!$A$2:$NE$60,MATCH(1,(GMWQ!$NE$2:$NE$60=P$3)*(GMWQ!$ND$2:$ND$60=P$4),0),$B301-1966)</f>
        <v>1496030</v>
      </c>
      <c r="Q301" s="18" cm="1">
        <f t="array" ref="Q301">INDEX(GMWQ!$A$2:$NE$60,MATCH(1,(GMWQ!$NE$2:$NE$60=Q$3)*(GMWQ!$ND$2:$ND$60=Q$4),0),$B301-1966)</f>
        <v>1680.223</v>
      </c>
      <c r="R301" s="18" cm="1">
        <f t="array" ref="R301">INDEX(GMWQ!$A$2:$NE$60,MATCH(1,(GMWQ!$NE$2:$NE$60=R$3)*(GMWQ!$ND$2:$ND$60=R$4),0),$B301-1966)</f>
        <v>25242.95</v>
      </c>
      <c r="S301" s="18" cm="1">
        <f t="array" ref="S301">INDEX(GMWQ!$A$2:$NE$60,MATCH(1,(GMWQ!$NE$2:$NE$60=S$3)*(GMWQ!$ND$2:$ND$60=S$4),0),$B301-1966)</f>
        <v>138.49369999999999</v>
      </c>
      <c r="T301" s="18" cm="1">
        <f t="array" ref="T301">INDEX(GMWQ!$A$2:$NE$60,MATCH(1,(GMWQ!$NE$2:$NE$60=T$3)*(GMWQ!$ND$2:$ND$60=T$4),0),$B301-1966)</f>
        <v>107.5394</v>
      </c>
      <c r="U301" s="18" cm="1">
        <f t="array" ref="U301">INDEX(GMWQ!$A$2:$NE$60,MATCH(1,(GMWQ!$NE$2:$NE$60=U$3)*(GMWQ!$ND$2:$ND$60=U$4),0),$B301-1966)</f>
        <v>66.341629999999995</v>
      </c>
      <c r="V301" s="18" cm="1">
        <f t="array" ref="V301">INDEX(GMWQ!$A$2:$NE$60,MATCH(1,(GMWQ!$NE$2:$NE$60=V$3)*(GMWQ!$ND$2:$ND$60=V$4),0),$B301-1966)</f>
        <v>113646.2</v>
      </c>
      <c r="W301" s="18" cm="1">
        <f t="array" ref="W301">INDEX(GMWQ!$A$2:$NF$60,MATCH(1,(GMWQ!$NE$2:$NE$60=W$3)*(GMWQ!$NF$2:$NF$60=W$1),0),$B301-1966)</f>
        <v>78662.47</v>
      </c>
      <c r="X301" s="18" cm="1">
        <f t="array" ref="X301">INDEX(GMWQ!$A$2:$NF$60,MATCH(1,(GMWQ!$NE$2:$NE$60=X$3)*(GMWQ!$NF$2:$NF$60=X$1),0),$B301-1966)</f>
        <v>83688.27</v>
      </c>
      <c r="Y301" s="18" cm="1">
        <f t="array" ref="Y301">INDEX(GMWQ!$A$2:$NF$60,MATCH(1,(GMWQ!$NE$2:$NE$60=Y$3)*(GMWQ!$NF$2:$NF$60=Y$1),0),$B301-1966)</f>
        <v>85162.16</v>
      </c>
      <c r="Z301" s="18" cm="1">
        <f t="array" ref="Z301">INDEX(GMWQ!$A$2:$NF$60,MATCH(1,(GMWQ!$NE$2:$NE$60=Z$3)*(GMWQ!$NF$2:$NF$60=Z$1),0),$B301-1966)</f>
        <v>103840.9</v>
      </c>
    </row>
    <row r="302" spans="1:26" x14ac:dyDescent="0.25">
      <c r="B302" s="18">
        <f t="shared" si="5"/>
        <v>2268</v>
      </c>
      <c r="C302" s="18" cm="1">
        <f t="array" ref="C302">INDEX(GMWQ!$A$2:$NE$60,MATCH(1,(GMWQ!$NE$2:$NE$60=C$3)*(GMWQ!$ND$2:$ND$60=C$4),0),$B302-1966)</f>
        <v>107756.4</v>
      </c>
      <c r="D302" s="18" cm="1">
        <f t="array" ref="D302">INDEX(GMWQ!$A$2:$NE$60,MATCH(1,(GMWQ!$NE$2:$NE$60=D$3)*(GMWQ!$ND$2:$ND$60=D$4),0),$B302-1966)</f>
        <v>355172.9</v>
      </c>
      <c r="E302" s="18" cm="1">
        <f t="array" ref="E302">INDEX(GMWQ!$A$2:$NE$60,MATCH(1,(GMWQ!$NE$2:$NE$60=E$3)*(GMWQ!$ND$2:$ND$60=E$4),0),$B302-1966)</f>
        <v>5241.0159999999996</v>
      </c>
      <c r="F302" s="18" cm="1">
        <f t="array" ref="F302">INDEX(GMWQ!$A$2:$NE$60,MATCH(1,(GMWQ!$NE$2:$NE$60=F$3)*(GMWQ!$ND$2:$ND$60=F$4),0),$B302-1966)</f>
        <v>2307.9769999999999</v>
      </c>
      <c r="G302" s="18" cm="1">
        <f t="array" ref="G302">INDEX(GMWQ!$A$2:$NE$60,MATCH(1,(GMWQ!$NE$2:$NE$60=G$3)*(GMWQ!$ND$2:$ND$60=G$4),0),$B302-1966)</f>
        <v>1612396</v>
      </c>
      <c r="H302" s="18" cm="1">
        <f t="array" ref="H302">INDEX(GMWQ!$A$2:$NE$60,MATCH(1,(GMWQ!$NE$2:$NE$60=H$3)*(GMWQ!$ND$2:$ND$60=H$4),0),$B302-1966)</f>
        <v>178373.2</v>
      </c>
      <c r="I302" s="18" cm="1">
        <f t="array" ref="I302">INDEX(GMWQ!$A$2:$NE$60,MATCH(1,(GMWQ!$NE$2:$NE$60=I$3)*(GMWQ!$ND$2:$ND$60=I$4),0),$B302-1966)</f>
        <v>23395.81</v>
      </c>
      <c r="J302" s="18" cm="1">
        <f t="array" ref="J302">INDEX(GMWQ!$A$2:$NE$60,MATCH(1,(GMWQ!$NE$2:$NE$60=J$3)*(GMWQ!$ND$2:$ND$60=J$4),0),$B302-1966)</f>
        <v>35014.480000000003</v>
      </c>
      <c r="K302" s="18" cm="1">
        <f t="array" ref="K302">INDEX(GMWQ!$A$2:$NE$60,MATCH(1,(GMWQ!$NE$2:$NE$60=K$3)*(GMWQ!$ND$2:$ND$60=K$4),0),$B302-1966)</f>
        <v>5043197</v>
      </c>
      <c r="L302" s="18" cm="1">
        <f t="array" ref="L302">INDEX(GMWQ!$A$2:$NE$60,MATCH(1,(GMWQ!$NE$2:$NE$60=L$3)*(GMWQ!$ND$2:$ND$60=L$4),0),$B302-1966)</f>
        <v>38240.120000000003</v>
      </c>
      <c r="M302" s="18" cm="1">
        <f t="array" ref="M302">INDEX(GMWQ!$A$2:$NE$60,MATCH(1,(GMWQ!$NE$2:$NE$60=M$3)*(GMWQ!$ND$2:$ND$60=M$4),0),$B302-1966)</f>
        <v>31.958670000000001</v>
      </c>
      <c r="N302" s="18" cm="1">
        <f t="array" ref="N302">INDEX(GMWQ!$A$2:$NE$60,MATCH(1,(GMWQ!$NE$2:$NE$60=N$3)*(GMWQ!$ND$2:$ND$60=N$4),0),$B302-1966)</f>
        <v>9.3507239999999996</v>
      </c>
      <c r="O302" s="18" cm="1">
        <f t="array" ref="O302">INDEX(GMWQ!$A$2:$NE$60,MATCH(1,(GMWQ!$NE$2:$NE$60=O$3)*(GMWQ!$ND$2:$ND$60=O$4),0),$B302-1966)</f>
        <v>3.8562470000000002</v>
      </c>
      <c r="P302" s="18" cm="1">
        <f t="array" ref="P302">INDEX(GMWQ!$A$2:$NE$60,MATCH(1,(GMWQ!$NE$2:$NE$60=P$3)*(GMWQ!$ND$2:$ND$60=P$4),0),$B302-1966)</f>
        <v>1514569</v>
      </c>
      <c r="Q302" s="18" cm="1">
        <f t="array" ref="Q302">INDEX(GMWQ!$A$2:$NE$60,MATCH(1,(GMWQ!$NE$2:$NE$60=Q$3)*(GMWQ!$ND$2:$ND$60=Q$4),0),$B302-1966)</f>
        <v>1689.992</v>
      </c>
      <c r="R302" s="18" cm="1">
        <f t="array" ref="R302">INDEX(GMWQ!$A$2:$NE$60,MATCH(1,(GMWQ!$NE$2:$NE$60=R$3)*(GMWQ!$ND$2:$ND$60=R$4),0),$B302-1966)</f>
        <v>25252.32</v>
      </c>
      <c r="S302" s="18" cm="1">
        <f t="array" ref="S302">INDEX(GMWQ!$A$2:$NE$60,MATCH(1,(GMWQ!$NE$2:$NE$60=S$3)*(GMWQ!$ND$2:$ND$60=S$4),0),$B302-1966)</f>
        <v>138.83179999999999</v>
      </c>
      <c r="T302" s="18" cm="1">
        <f t="array" ref="T302">INDEX(GMWQ!$A$2:$NE$60,MATCH(1,(GMWQ!$NE$2:$NE$60=T$3)*(GMWQ!$ND$2:$ND$60=T$4),0),$B302-1966)</f>
        <v>107.62860000000001</v>
      </c>
      <c r="U302" s="18" cm="1">
        <f t="array" ref="U302">INDEX(GMWQ!$A$2:$NE$60,MATCH(1,(GMWQ!$NE$2:$NE$60=U$3)*(GMWQ!$ND$2:$ND$60=U$4),0),$B302-1966)</f>
        <v>66.362499999999997</v>
      </c>
      <c r="V302" s="18" cm="1">
        <f t="array" ref="V302">INDEX(GMWQ!$A$2:$NE$60,MATCH(1,(GMWQ!$NE$2:$NE$60=V$3)*(GMWQ!$ND$2:$ND$60=V$4),0),$B302-1966)</f>
        <v>114178.6</v>
      </c>
      <c r="W302" s="18" cm="1">
        <f t="array" ref="W302">INDEX(GMWQ!$A$2:$NF$60,MATCH(1,(GMWQ!$NE$2:$NE$60=W$3)*(GMWQ!$NF$2:$NF$60=W$1),0),$B302-1966)</f>
        <v>78991.350000000006</v>
      </c>
      <c r="X302" s="18" cm="1">
        <f t="array" ref="X302">INDEX(GMWQ!$A$2:$NF$60,MATCH(1,(GMWQ!$NE$2:$NE$60=X$3)*(GMWQ!$NF$2:$NF$60=X$1),0),$B302-1966)</f>
        <v>84076.07</v>
      </c>
      <c r="Y302" s="18" cm="1">
        <f t="array" ref="Y302">INDEX(GMWQ!$A$2:$NF$60,MATCH(1,(GMWQ!$NE$2:$NE$60=Y$3)*(GMWQ!$NF$2:$NF$60=Y$1),0),$B302-1966)</f>
        <v>85546.13</v>
      </c>
      <c r="Z302" s="18" cm="1">
        <f t="array" ref="Z302">INDEX(GMWQ!$A$2:$NF$60,MATCH(1,(GMWQ!$NE$2:$NE$60=Z$3)*(GMWQ!$NF$2:$NF$60=Z$1),0),$B302-1966)</f>
        <v>104383.3</v>
      </c>
    </row>
    <row r="303" spans="1:26" x14ac:dyDescent="0.25">
      <c r="A303" s="18">
        <v>2047</v>
      </c>
      <c r="B303" s="18">
        <f t="shared" si="5"/>
        <v>2269</v>
      </c>
      <c r="C303" s="18" cm="1">
        <f t="array" ref="C303">INDEX(GMWQ!$A$2:$NE$60,MATCH(1,(GMWQ!$NE$2:$NE$60=C$3)*(GMWQ!$ND$2:$ND$60=C$4),0),$B303-1966)</f>
        <v>108316.5</v>
      </c>
      <c r="D303" s="18" cm="1">
        <f t="array" ref="D303">INDEX(GMWQ!$A$2:$NE$60,MATCH(1,(GMWQ!$NE$2:$NE$60=D$3)*(GMWQ!$ND$2:$ND$60=D$4),0),$B303-1966)</f>
        <v>358462.9</v>
      </c>
      <c r="E303" s="18" cm="1">
        <f t="array" ref="E303">INDEX(GMWQ!$A$2:$NE$60,MATCH(1,(GMWQ!$NE$2:$NE$60=E$3)*(GMWQ!$ND$2:$ND$60=E$4),0),$B303-1966)</f>
        <v>-21318</v>
      </c>
      <c r="F303" s="18" cm="1">
        <f t="array" ref="F303">INDEX(GMWQ!$A$2:$NE$60,MATCH(1,(GMWQ!$NE$2:$NE$60=F$3)*(GMWQ!$ND$2:$ND$60=F$4),0),$B303-1966)</f>
        <v>-24277.89</v>
      </c>
      <c r="G303" s="18" cm="1">
        <f t="array" ref="G303">INDEX(GMWQ!$A$2:$NE$60,MATCH(1,(GMWQ!$NE$2:$NE$60=G$3)*(GMWQ!$ND$2:$ND$60=G$4),0),$B303-1966)</f>
        <v>1627161</v>
      </c>
      <c r="H303" s="18" cm="1">
        <f t="array" ref="H303">INDEX(GMWQ!$A$2:$NE$60,MATCH(1,(GMWQ!$NE$2:$NE$60=H$3)*(GMWQ!$ND$2:$ND$60=H$4),0),$B303-1966)</f>
        <v>179232.8</v>
      </c>
      <c r="I303" s="18" cm="1">
        <f t="array" ref="I303">INDEX(GMWQ!$A$2:$NE$60,MATCH(1,(GMWQ!$NE$2:$NE$60=I$3)*(GMWQ!$ND$2:$ND$60=I$4),0),$B303-1966)</f>
        <v>23506.87</v>
      </c>
      <c r="J303" s="18" cm="1">
        <f t="array" ref="J303">INDEX(GMWQ!$A$2:$NE$60,MATCH(1,(GMWQ!$NE$2:$NE$60=J$3)*(GMWQ!$ND$2:$ND$60=J$4),0),$B303-1966)</f>
        <v>35144.980000000003</v>
      </c>
      <c r="K303" s="18" cm="1">
        <f t="array" ref="K303">INDEX(GMWQ!$A$2:$NE$60,MATCH(1,(GMWQ!$NE$2:$NE$60=K$3)*(GMWQ!$ND$2:$ND$60=K$4),0),$B303-1966)</f>
        <v>5067299</v>
      </c>
      <c r="L303" s="18" cm="1">
        <f t="array" ref="L303">INDEX(GMWQ!$A$2:$NE$60,MATCH(1,(GMWQ!$NE$2:$NE$60=L$3)*(GMWQ!$ND$2:$ND$60=L$4),0),$B303-1966)</f>
        <v>38276.06</v>
      </c>
      <c r="M303" s="18" cm="1">
        <f t="array" ref="M303">INDEX(GMWQ!$A$2:$NE$60,MATCH(1,(GMWQ!$NE$2:$NE$60=M$3)*(GMWQ!$ND$2:$ND$60=M$4),0),$B303-1966)</f>
        <v>31.957920000000001</v>
      </c>
      <c r="N303" s="18" cm="1">
        <f t="array" ref="N303">INDEX(GMWQ!$A$2:$NE$60,MATCH(1,(GMWQ!$NE$2:$NE$60=N$3)*(GMWQ!$ND$2:$ND$60=N$4),0),$B303-1966)</f>
        <v>9.3568680000000004</v>
      </c>
      <c r="O303" s="18" cm="1">
        <f t="array" ref="O303">INDEX(GMWQ!$A$2:$NE$60,MATCH(1,(GMWQ!$NE$2:$NE$60=O$3)*(GMWQ!$ND$2:$ND$60=O$4),0),$B303-1966)</f>
        <v>3.8562470000000002</v>
      </c>
      <c r="P303" s="18" cm="1">
        <f t="array" ref="P303">INDEX(GMWQ!$A$2:$NE$60,MATCH(1,(GMWQ!$NE$2:$NE$60=P$3)*(GMWQ!$ND$2:$ND$60=P$4),0),$B303-1966)</f>
        <v>1532779</v>
      </c>
      <c r="Q303" s="18" cm="1">
        <f t="array" ref="Q303">INDEX(GMWQ!$A$2:$NE$60,MATCH(1,(GMWQ!$NE$2:$NE$60=Q$3)*(GMWQ!$ND$2:$ND$60=Q$4),0),$B303-1966)</f>
        <v>1699.798</v>
      </c>
      <c r="R303" s="18" cm="1">
        <f t="array" ref="R303">INDEX(GMWQ!$A$2:$NE$60,MATCH(1,(GMWQ!$NE$2:$NE$60=R$3)*(GMWQ!$ND$2:$ND$60=R$4),0),$B303-1966)</f>
        <v>25262.45</v>
      </c>
      <c r="S303" s="18" cm="1">
        <f t="array" ref="S303">INDEX(GMWQ!$A$2:$NE$60,MATCH(1,(GMWQ!$NE$2:$NE$60=S$3)*(GMWQ!$ND$2:$ND$60=S$4),0),$B303-1966)</f>
        <v>139.14670000000001</v>
      </c>
      <c r="T303" s="18" cm="1">
        <f t="array" ref="T303">INDEX(GMWQ!$A$2:$NE$60,MATCH(1,(GMWQ!$NE$2:$NE$60=T$3)*(GMWQ!$ND$2:$ND$60=T$4),0),$B303-1966)</f>
        <v>107.8137</v>
      </c>
      <c r="U303" s="18" cm="1">
        <f t="array" ref="U303">INDEX(GMWQ!$A$2:$NE$60,MATCH(1,(GMWQ!$NE$2:$NE$60=U$3)*(GMWQ!$ND$2:$ND$60=U$4),0),$B303-1966)</f>
        <v>66.382999999999996</v>
      </c>
      <c r="V303" s="18" cm="1">
        <f t="array" ref="V303">INDEX(GMWQ!$A$2:$NE$60,MATCH(1,(GMWQ!$NE$2:$NE$60=V$3)*(GMWQ!$ND$2:$ND$60=V$4),0),$B303-1966)</f>
        <v>114712.5</v>
      </c>
      <c r="W303" s="18" cm="1">
        <f t="array" ref="W303">INDEX(GMWQ!$A$2:$NF$60,MATCH(1,(GMWQ!$NE$2:$NE$60=W$3)*(GMWQ!$NF$2:$NF$60=W$1),0),$B303-1966)</f>
        <v>79321.27</v>
      </c>
      <c r="X303" s="18" cm="1">
        <f t="array" ref="X303">INDEX(GMWQ!$A$2:$NF$60,MATCH(1,(GMWQ!$NE$2:$NE$60=X$3)*(GMWQ!$NF$2:$NF$60=X$1),0),$B303-1966)</f>
        <v>84465.36</v>
      </c>
      <c r="Y303" s="18" cm="1">
        <f t="array" ref="Y303">INDEX(GMWQ!$A$2:$NF$60,MATCH(1,(GMWQ!$NE$2:$NE$60=Y$3)*(GMWQ!$NF$2:$NF$60=Y$1),0),$B303-1966)</f>
        <v>85931.44</v>
      </c>
      <c r="Z303" s="18" cm="1">
        <f t="array" ref="Z303">INDEX(GMWQ!$A$2:$NF$60,MATCH(1,(GMWQ!$NE$2:$NE$60=Z$3)*(GMWQ!$NF$2:$NF$60=Z$1),0),$B303-1966)</f>
        <v>104928</v>
      </c>
    </row>
    <row r="304" spans="1:26" x14ac:dyDescent="0.25">
      <c r="B304" s="18">
        <f t="shared" si="5"/>
        <v>2270</v>
      </c>
      <c r="C304" s="18" cm="1">
        <f t="array" ref="C304">INDEX(GMWQ!$A$2:$NE$60,MATCH(1,(GMWQ!$NE$2:$NE$60=C$3)*(GMWQ!$ND$2:$ND$60=C$4),0),$B304-1966)</f>
        <v>108878.9</v>
      </c>
      <c r="D304" s="18" cm="1">
        <f t="array" ref="D304">INDEX(GMWQ!$A$2:$NE$60,MATCH(1,(GMWQ!$NE$2:$NE$60=D$3)*(GMWQ!$ND$2:$ND$60=D$4),0),$B304-1966)</f>
        <v>361984.2</v>
      </c>
      <c r="E304" s="18" cm="1">
        <f t="array" ref="E304">INDEX(GMWQ!$A$2:$NE$60,MATCH(1,(GMWQ!$NE$2:$NE$60=E$3)*(GMWQ!$ND$2:$ND$60=E$4),0),$B304-1966)</f>
        <v>-7779.4489999999996</v>
      </c>
      <c r="F304" s="18" cm="1">
        <f t="array" ref="F304">INDEX(GMWQ!$A$2:$NE$60,MATCH(1,(GMWQ!$NE$2:$NE$60=F$3)*(GMWQ!$ND$2:$ND$60=F$4),0),$B304-1966)</f>
        <v>-10766.44</v>
      </c>
      <c r="G304" s="18" cm="1">
        <f t="array" ref="G304">INDEX(GMWQ!$A$2:$NE$60,MATCH(1,(GMWQ!$NE$2:$NE$60=G$3)*(GMWQ!$ND$2:$ND$60=G$4),0),$B304-1966)</f>
        <v>1642054</v>
      </c>
      <c r="H304" s="18" cm="1">
        <f t="array" ref="H304">INDEX(GMWQ!$A$2:$NE$60,MATCH(1,(GMWQ!$NE$2:$NE$60=H$3)*(GMWQ!$ND$2:$ND$60=H$4),0),$B304-1966)</f>
        <v>180095.7</v>
      </c>
      <c r="I304" s="18" cm="1">
        <f t="array" ref="I304">INDEX(GMWQ!$A$2:$NE$60,MATCH(1,(GMWQ!$NE$2:$NE$60=I$3)*(GMWQ!$ND$2:$ND$60=I$4),0),$B304-1966)</f>
        <v>23618.35</v>
      </c>
      <c r="J304" s="18" cm="1">
        <f t="array" ref="J304">INDEX(GMWQ!$A$2:$NE$60,MATCH(1,(GMWQ!$NE$2:$NE$60=J$3)*(GMWQ!$ND$2:$ND$60=J$4),0),$B304-1966)</f>
        <v>35275.800000000003</v>
      </c>
      <c r="K304" s="18" cm="1">
        <f t="array" ref="K304">INDEX(GMWQ!$A$2:$NE$60,MATCH(1,(GMWQ!$NE$2:$NE$60=K$3)*(GMWQ!$ND$2:$ND$60=K$4),0),$B304-1966)</f>
        <v>5091489</v>
      </c>
      <c r="L304" s="18" cm="1">
        <f t="array" ref="L304">INDEX(GMWQ!$A$2:$NE$60,MATCH(1,(GMWQ!$NE$2:$NE$60=L$3)*(GMWQ!$ND$2:$ND$60=L$4),0),$B304-1966)</f>
        <v>38312</v>
      </c>
      <c r="M304" s="18" cm="1">
        <f t="array" ref="M304">INDEX(GMWQ!$A$2:$NE$60,MATCH(1,(GMWQ!$NE$2:$NE$60=M$3)*(GMWQ!$ND$2:$ND$60=M$4),0),$B304-1966)</f>
        <v>31.957170000000001</v>
      </c>
      <c r="N304" s="18" cm="1">
        <f t="array" ref="N304">INDEX(GMWQ!$A$2:$NE$60,MATCH(1,(GMWQ!$NE$2:$NE$60=N$3)*(GMWQ!$ND$2:$ND$60=N$4),0),$B304-1966)</f>
        <v>9.3622350000000001</v>
      </c>
      <c r="O304" s="18" cm="1">
        <f t="array" ref="O304">INDEX(GMWQ!$A$2:$NE$60,MATCH(1,(GMWQ!$NE$2:$NE$60=O$3)*(GMWQ!$ND$2:$ND$60=O$4),0),$B304-1966)</f>
        <v>3.8562470000000002</v>
      </c>
      <c r="P304" s="18" cm="1">
        <f t="array" ref="P304">INDEX(GMWQ!$A$2:$NE$60,MATCH(1,(GMWQ!$NE$2:$NE$60=P$3)*(GMWQ!$ND$2:$ND$60=P$4),0),$B304-1966)</f>
        <v>1551525</v>
      </c>
      <c r="Q304" s="18" cm="1">
        <f t="array" ref="Q304">INDEX(GMWQ!$A$2:$NE$60,MATCH(1,(GMWQ!$NE$2:$NE$60=Q$3)*(GMWQ!$ND$2:$ND$60=Q$4),0),$B304-1966)</f>
        <v>1709.644</v>
      </c>
      <c r="R304" s="18" cm="1">
        <f t="array" ref="R304">INDEX(GMWQ!$A$2:$NE$60,MATCH(1,(GMWQ!$NE$2:$NE$60=R$3)*(GMWQ!$ND$2:$ND$60=R$4),0),$B304-1966)</f>
        <v>25272.76</v>
      </c>
      <c r="S304" s="18" cm="1">
        <f t="array" ref="S304">INDEX(GMWQ!$A$2:$NE$60,MATCH(1,(GMWQ!$NE$2:$NE$60=S$3)*(GMWQ!$ND$2:$ND$60=S$4),0),$B304-1966)</f>
        <v>139.46270000000001</v>
      </c>
      <c r="T304" s="18" cm="1">
        <f t="array" ref="T304">INDEX(GMWQ!$A$2:$NE$60,MATCH(1,(GMWQ!$NE$2:$NE$60=T$3)*(GMWQ!$ND$2:$ND$60=T$4),0),$B304-1966)</f>
        <v>108.0069</v>
      </c>
      <c r="U304" s="18" cm="1">
        <f t="array" ref="U304">INDEX(GMWQ!$A$2:$NE$60,MATCH(1,(GMWQ!$NE$2:$NE$60=U$3)*(GMWQ!$ND$2:$ND$60=U$4),0),$B304-1966)</f>
        <v>66.411199999999994</v>
      </c>
      <c r="V304" s="18" cm="1">
        <f t="array" ref="V304">INDEX(GMWQ!$A$2:$NE$60,MATCH(1,(GMWQ!$NE$2:$NE$60=V$3)*(GMWQ!$ND$2:$ND$60=V$4),0),$B304-1966)</f>
        <v>115250.6</v>
      </c>
      <c r="W304" s="18" cm="1">
        <f t="array" ref="W304">INDEX(GMWQ!$A$2:$NF$60,MATCH(1,(GMWQ!$NE$2:$NE$60=W$3)*(GMWQ!$NF$2:$NF$60=W$1),0),$B304-1966)</f>
        <v>79652.240000000005</v>
      </c>
      <c r="X304" s="18" cm="1">
        <f t="array" ref="X304">INDEX(GMWQ!$A$2:$NF$60,MATCH(1,(GMWQ!$NE$2:$NE$60=X$3)*(GMWQ!$NF$2:$NF$60=X$1),0),$B304-1966)</f>
        <v>84856.15</v>
      </c>
      <c r="Y304" s="18" cm="1">
        <f t="array" ref="Y304">INDEX(GMWQ!$A$2:$NF$60,MATCH(1,(GMWQ!$NE$2:$NE$60=Y$3)*(GMWQ!$NF$2:$NF$60=Y$1),0),$B304-1966)</f>
        <v>86318.09</v>
      </c>
      <c r="Z304" s="18" cm="1">
        <f t="array" ref="Z304">INDEX(GMWQ!$A$2:$NF$60,MATCH(1,(GMWQ!$NE$2:$NE$60=Z$3)*(GMWQ!$NF$2:$NF$60=Z$1),0),$B304-1966)</f>
        <v>105475</v>
      </c>
    </row>
    <row r="305" spans="1:26" x14ac:dyDescent="0.25">
      <c r="B305" s="18">
        <f t="shared" ref="B305:B358" si="6">+B304+1</f>
        <v>2271</v>
      </c>
      <c r="C305" s="18" cm="1">
        <f t="array" ref="C305">INDEX(GMWQ!$A$2:$NE$60,MATCH(1,(GMWQ!$NE$2:$NE$60=C$3)*(GMWQ!$ND$2:$ND$60=C$4),0),$B305-1966)</f>
        <v>109443.7</v>
      </c>
      <c r="D305" s="18" cm="1">
        <f t="array" ref="D305">INDEX(GMWQ!$A$2:$NE$60,MATCH(1,(GMWQ!$NE$2:$NE$60=D$3)*(GMWQ!$ND$2:$ND$60=D$4),0),$B305-1966)</f>
        <v>365601.8</v>
      </c>
      <c r="E305" s="18" cm="1">
        <f t="array" ref="E305">INDEX(GMWQ!$A$2:$NE$60,MATCH(1,(GMWQ!$NE$2:$NE$60=E$3)*(GMWQ!$ND$2:$ND$60=E$4),0),$B305-1966)</f>
        <v>-13431.06</v>
      </c>
      <c r="F305" s="18" cm="1">
        <f t="array" ref="F305">INDEX(GMWQ!$A$2:$NE$60,MATCH(1,(GMWQ!$NE$2:$NE$60=F$3)*(GMWQ!$ND$2:$ND$60=F$4),0),$B305-1966)</f>
        <v>-16445.37</v>
      </c>
      <c r="G305" s="18" cm="1">
        <f t="array" ref="G305">INDEX(GMWQ!$A$2:$NE$60,MATCH(1,(GMWQ!$NE$2:$NE$60=G$3)*(GMWQ!$ND$2:$ND$60=G$4),0),$B305-1966)</f>
        <v>1657076</v>
      </c>
      <c r="H305" s="18" cm="1">
        <f t="array" ref="H305">INDEX(GMWQ!$A$2:$NE$60,MATCH(1,(GMWQ!$NE$2:$NE$60=H$3)*(GMWQ!$ND$2:$ND$60=H$4),0),$B305-1966)</f>
        <v>180962</v>
      </c>
      <c r="I305" s="18" cm="1">
        <f t="array" ref="I305">INDEX(GMWQ!$A$2:$NE$60,MATCH(1,(GMWQ!$NE$2:$NE$60=I$3)*(GMWQ!$ND$2:$ND$60=I$4),0),$B305-1966)</f>
        <v>23730.25</v>
      </c>
      <c r="J305" s="18" cm="1">
        <f t="array" ref="J305">INDEX(GMWQ!$A$2:$NE$60,MATCH(1,(GMWQ!$NE$2:$NE$60=J$3)*(GMWQ!$ND$2:$ND$60=J$4),0),$B305-1966)</f>
        <v>35406.959999999999</v>
      </c>
      <c r="K305" s="18" cm="1">
        <f t="array" ref="K305">INDEX(GMWQ!$A$2:$NE$60,MATCH(1,(GMWQ!$NE$2:$NE$60=K$3)*(GMWQ!$ND$2:$ND$60=K$4),0),$B305-1966)</f>
        <v>5115768</v>
      </c>
      <c r="L305" s="18" cm="1">
        <f t="array" ref="L305">INDEX(GMWQ!$A$2:$NE$60,MATCH(1,(GMWQ!$NE$2:$NE$60=L$3)*(GMWQ!$ND$2:$ND$60=L$4),0),$B305-1966)</f>
        <v>38347.949999999997</v>
      </c>
      <c r="M305" s="18" cm="1">
        <f t="array" ref="M305">INDEX(GMWQ!$A$2:$NE$60,MATCH(1,(GMWQ!$NE$2:$NE$60=M$3)*(GMWQ!$ND$2:$ND$60=M$4),0),$B305-1966)</f>
        <v>31.956420000000001</v>
      </c>
      <c r="N305" s="18" cm="1">
        <f t="array" ref="N305">INDEX(GMWQ!$A$2:$NE$60,MATCH(1,(GMWQ!$NE$2:$NE$60=N$3)*(GMWQ!$ND$2:$ND$60=N$4),0),$B305-1966)</f>
        <v>9.3676329999999997</v>
      </c>
      <c r="O305" s="18" cm="1">
        <f t="array" ref="O305">INDEX(GMWQ!$A$2:$NE$60,MATCH(1,(GMWQ!$NE$2:$NE$60=O$3)*(GMWQ!$ND$2:$ND$60=O$4),0),$B305-1966)</f>
        <v>3.8562470000000002</v>
      </c>
      <c r="P305" s="18" cm="1">
        <f t="array" ref="P305">INDEX(GMWQ!$A$2:$NE$60,MATCH(1,(GMWQ!$NE$2:$NE$60=P$3)*(GMWQ!$ND$2:$ND$60=P$4),0),$B305-1966)</f>
        <v>1570777</v>
      </c>
      <c r="Q305" s="18" cm="1">
        <f t="array" ref="Q305">INDEX(GMWQ!$A$2:$NE$60,MATCH(1,(GMWQ!$NE$2:$NE$60=Q$3)*(GMWQ!$ND$2:$ND$60=Q$4),0),$B305-1966)</f>
        <v>1719.5309999999999</v>
      </c>
      <c r="R305" s="18" cm="1">
        <f t="array" ref="R305">INDEX(GMWQ!$A$2:$NE$60,MATCH(1,(GMWQ!$NE$2:$NE$60=R$3)*(GMWQ!$ND$2:$ND$60=R$4),0),$B305-1966)</f>
        <v>25283.22</v>
      </c>
      <c r="S305" s="18" cm="1">
        <f t="array" ref="S305">INDEX(GMWQ!$A$2:$NE$60,MATCH(1,(GMWQ!$NE$2:$NE$60=S$3)*(GMWQ!$ND$2:$ND$60=S$4),0),$B305-1966)</f>
        <v>139.77959999999999</v>
      </c>
      <c r="T305" s="18" cm="1">
        <f t="array" ref="T305">INDEX(GMWQ!$A$2:$NE$60,MATCH(1,(GMWQ!$NE$2:$NE$60=T$3)*(GMWQ!$ND$2:$ND$60=T$4),0),$B305-1966)</f>
        <v>108.2086</v>
      </c>
      <c r="U305" s="18" cm="1">
        <f t="array" ref="U305">INDEX(GMWQ!$A$2:$NE$60,MATCH(1,(GMWQ!$NE$2:$NE$60=U$3)*(GMWQ!$ND$2:$ND$60=U$4),0),$B305-1966)</f>
        <v>66.439019999999999</v>
      </c>
      <c r="V305" s="18" cm="1">
        <f t="array" ref="V305">INDEX(GMWQ!$A$2:$NE$60,MATCH(1,(GMWQ!$NE$2:$NE$60=V$3)*(GMWQ!$ND$2:$ND$60=V$4),0),$B305-1966)</f>
        <v>115787.5</v>
      </c>
      <c r="W305" s="18" cm="1">
        <f t="array" ref="W305">INDEX(GMWQ!$A$2:$NF$60,MATCH(1,(GMWQ!$NE$2:$NE$60=W$3)*(GMWQ!$NF$2:$NF$60=W$1),0),$B305-1966)</f>
        <v>79984.240000000005</v>
      </c>
      <c r="X305" s="18" cm="1">
        <f t="array" ref="X305">INDEX(GMWQ!$A$2:$NF$60,MATCH(1,(GMWQ!$NE$2:$NE$60=X$3)*(GMWQ!$NF$2:$NF$60=X$1),0),$B305-1966)</f>
        <v>85248.43</v>
      </c>
      <c r="Y305" s="18" cm="1">
        <f t="array" ref="Y305">INDEX(GMWQ!$A$2:$NF$60,MATCH(1,(GMWQ!$NE$2:$NE$60=Y$3)*(GMWQ!$NF$2:$NF$60=Y$1),0),$B305-1966)</f>
        <v>86706.14</v>
      </c>
      <c r="Z305" s="18" cm="1">
        <f t="array" ref="Z305">INDEX(GMWQ!$A$2:$NF$60,MATCH(1,(GMWQ!$NE$2:$NE$60=Z$3)*(GMWQ!$NF$2:$NF$60=Z$1),0),$B305-1966)</f>
        <v>106024.5</v>
      </c>
    </row>
    <row r="306" spans="1:26" x14ac:dyDescent="0.25">
      <c r="B306" s="18">
        <f t="shared" si="6"/>
        <v>2272</v>
      </c>
      <c r="C306" s="18" cm="1">
        <f t="array" ref="C306">INDEX(GMWQ!$A$2:$NE$60,MATCH(1,(GMWQ!$NE$2:$NE$60=C$3)*(GMWQ!$ND$2:$ND$60=C$4),0),$B306-1966)</f>
        <v>110011.1</v>
      </c>
      <c r="D306" s="18" cm="1">
        <f t="array" ref="D306">INDEX(GMWQ!$A$2:$NE$60,MATCH(1,(GMWQ!$NE$2:$NE$60=D$3)*(GMWQ!$ND$2:$ND$60=D$4),0),$B306-1966)</f>
        <v>368359</v>
      </c>
      <c r="E306" s="18" cm="1">
        <f t="array" ref="E306">INDEX(GMWQ!$A$2:$NE$60,MATCH(1,(GMWQ!$NE$2:$NE$60=E$3)*(GMWQ!$ND$2:$ND$60=E$4),0),$B306-1966)</f>
        <v>5516.0119999999997</v>
      </c>
      <c r="F306" s="18" cm="1">
        <f t="array" ref="F306">INDEX(GMWQ!$A$2:$NE$60,MATCH(1,(GMWQ!$NE$2:$NE$60=F$3)*(GMWQ!$ND$2:$ND$60=F$4),0),$B306-1966)</f>
        <v>2474.1370000000002</v>
      </c>
      <c r="G306" s="18" cm="1">
        <f t="array" ref="G306">INDEX(GMWQ!$A$2:$NE$60,MATCH(1,(GMWQ!$NE$2:$NE$60=G$3)*(GMWQ!$ND$2:$ND$60=G$4),0),$B306-1966)</f>
        <v>1672227</v>
      </c>
      <c r="H306" s="18" cm="1">
        <f t="array" ref="H306">INDEX(GMWQ!$A$2:$NE$60,MATCH(1,(GMWQ!$NE$2:$NE$60=H$3)*(GMWQ!$ND$2:$ND$60=H$4),0),$B306-1966)</f>
        <v>181831.8</v>
      </c>
      <c r="I306" s="18" cm="1">
        <f t="array" ref="I306">INDEX(GMWQ!$A$2:$NE$60,MATCH(1,(GMWQ!$NE$2:$NE$60=I$3)*(GMWQ!$ND$2:$ND$60=I$4),0),$B306-1966)</f>
        <v>23842.58</v>
      </c>
      <c r="J306" s="18" cm="1">
        <f t="array" ref="J306">INDEX(GMWQ!$A$2:$NE$60,MATCH(1,(GMWQ!$NE$2:$NE$60=J$3)*(GMWQ!$ND$2:$ND$60=J$4),0),$B306-1966)</f>
        <v>35538.449999999997</v>
      </c>
      <c r="K306" s="18" cm="1">
        <f t="array" ref="K306">INDEX(GMWQ!$A$2:$NE$60,MATCH(1,(GMWQ!$NE$2:$NE$60=K$3)*(GMWQ!$ND$2:$ND$60=K$4),0),$B306-1966)</f>
        <v>5140135</v>
      </c>
      <c r="L306" s="18" cm="1">
        <f t="array" ref="L306">INDEX(GMWQ!$A$2:$NE$60,MATCH(1,(GMWQ!$NE$2:$NE$60=L$3)*(GMWQ!$ND$2:$ND$60=L$4),0),$B306-1966)</f>
        <v>38383.89</v>
      </c>
      <c r="M306" s="18" cm="1">
        <f t="array" ref="M306">INDEX(GMWQ!$A$2:$NE$60,MATCH(1,(GMWQ!$NE$2:$NE$60=M$3)*(GMWQ!$ND$2:$ND$60=M$4),0),$B306-1966)</f>
        <v>31.955670000000001</v>
      </c>
      <c r="N306" s="18" cm="1">
        <f t="array" ref="N306">INDEX(GMWQ!$A$2:$NE$60,MATCH(1,(GMWQ!$NE$2:$NE$60=N$3)*(GMWQ!$ND$2:$ND$60=N$4),0),$B306-1966)</f>
        <v>9.3786319999999996</v>
      </c>
      <c r="O306" s="18" cm="1">
        <f t="array" ref="O306">INDEX(GMWQ!$A$2:$NE$60,MATCH(1,(GMWQ!$NE$2:$NE$60=O$3)*(GMWQ!$ND$2:$ND$60=O$4),0),$B306-1966)</f>
        <v>3.8562470000000002</v>
      </c>
      <c r="P306" s="18" cm="1">
        <f t="array" ref="P306">INDEX(GMWQ!$A$2:$NE$60,MATCH(1,(GMWQ!$NE$2:$NE$60=P$3)*(GMWQ!$ND$2:$ND$60=P$4),0),$B306-1966)</f>
        <v>1590314</v>
      </c>
      <c r="Q306" s="18" cm="1">
        <f t="array" ref="Q306">INDEX(GMWQ!$A$2:$NE$60,MATCH(1,(GMWQ!$NE$2:$NE$60=Q$3)*(GMWQ!$ND$2:$ND$60=Q$4),0),$B306-1966)</f>
        <v>1729.451</v>
      </c>
      <c r="R306" s="18" cm="1">
        <f t="array" ref="R306">INDEX(GMWQ!$A$2:$NE$60,MATCH(1,(GMWQ!$NE$2:$NE$60=R$3)*(GMWQ!$ND$2:$ND$60=R$4),0),$B306-1966)</f>
        <v>25294.6</v>
      </c>
      <c r="S306" s="18" cm="1">
        <f t="array" ref="S306">INDEX(GMWQ!$A$2:$NE$60,MATCH(1,(GMWQ!$NE$2:$NE$60=S$3)*(GMWQ!$ND$2:$ND$60=S$4),0),$B306-1966)</f>
        <v>140.0977</v>
      </c>
      <c r="T306" s="18" cm="1">
        <f t="array" ref="T306">INDEX(GMWQ!$A$2:$NE$60,MATCH(1,(GMWQ!$NE$2:$NE$60=T$3)*(GMWQ!$ND$2:$ND$60=T$4),0),$B306-1966)</f>
        <v>108.3115</v>
      </c>
      <c r="U306" s="18" cm="1">
        <f t="array" ref="U306">INDEX(GMWQ!$A$2:$NE$60,MATCH(1,(GMWQ!$NE$2:$NE$60=U$3)*(GMWQ!$ND$2:$ND$60=U$4),0),$B306-1966)</f>
        <v>66.466610000000003</v>
      </c>
      <c r="V306" s="18" cm="1">
        <f t="array" ref="V306">INDEX(GMWQ!$A$2:$NE$60,MATCH(1,(GMWQ!$NE$2:$NE$60=V$3)*(GMWQ!$ND$2:$ND$60=V$4),0),$B306-1966)</f>
        <v>116325.1</v>
      </c>
      <c r="W306" s="18" cm="1">
        <f t="array" ref="W306">INDEX(GMWQ!$A$2:$NF$60,MATCH(1,(GMWQ!$NE$2:$NE$60=W$3)*(GMWQ!$NF$2:$NF$60=W$1),0),$B306-1966)</f>
        <v>80317.31</v>
      </c>
      <c r="X306" s="18" cm="1">
        <f t="array" ref="X306">INDEX(GMWQ!$A$2:$NF$60,MATCH(1,(GMWQ!$NE$2:$NE$60=X$3)*(GMWQ!$NF$2:$NF$60=X$1),0),$B306-1966)</f>
        <v>85642.27</v>
      </c>
      <c r="Y306" s="18" cm="1">
        <f t="array" ref="Y306">INDEX(GMWQ!$A$2:$NF$60,MATCH(1,(GMWQ!$NE$2:$NE$60=Y$3)*(GMWQ!$NF$2:$NF$60=Y$1),0),$B306-1966)</f>
        <v>87095.52</v>
      </c>
      <c r="Z306" s="18" cm="1">
        <f t="array" ref="Z306">INDEX(GMWQ!$A$2:$NF$60,MATCH(1,(GMWQ!$NE$2:$NE$60=Z$3)*(GMWQ!$NF$2:$NF$60=Z$1),0),$B306-1966)</f>
        <v>106576.3</v>
      </c>
    </row>
    <row r="307" spans="1:26" x14ac:dyDescent="0.25">
      <c r="A307" s="18">
        <v>2048</v>
      </c>
      <c r="B307" s="18">
        <f t="shared" si="6"/>
        <v>2273</v>
      </c>
      <c r="C307" s="18" cm="1">
        <f t="array" ref="C307">INDEX(GMWQ!$A$2:$NE$60,MATCH(1,(GMWQ!$NE$2:$NE$60=C$3)*(GMWQ!$ND$2:$ND$60=C$4),0),$B307-1966)</f>
        <v>110580.8</v>
      </c>
      <c r="D307" s="18" cm="1">
        <f t="array" ref="D307">INDEX(GMWQ!$A$2:$NE$60,MATCH(1,(GMWQ!$NE$2:$NE$60=D$3)*(GMWQ!$ND$2:$ND$60=D$4),0),$B307-1966)</f>
        <v>371764.5</v>
      </c>
      <c r="E307" s="18" cm="1">
        <f t="array" ref="E307">INDEX(GMWQ!$A$2:$NE$60,MATCH(1,(GMWQ!$NE$2:$NE$60=E$3)*(GMWQ!$ND$2:$ND$60=E$4),0),$B307-1966)</f>
        <v>-22006.13</v>
      </c>
      <c r="F307" s="18" cm="1">
        <f t="array" ref="F307">INDEX(GMWQ!$A$2:$NE$60,MATCH(1,(GMWQ!$NE$2:$NE$60=F$3)*(GMWQ!$ND$2:$ND$60=F$4),0),$B307-1966)</f>
        <v>-25075.81</v>
      </c>
      <c r="G307" s="18" cm="1">
        <f t="array" ref="G307">INDEX(GMWQ!$A$2:$NE$60,MATCH(1,(GMWQ!$NE$2:$NE$60=G$3)*(GMWQ!$ND$2:$ND$60=G$4),0),$B307-1966)</f>
        <v>1687511</v>
      </c>
      <c r="H307" s="18" cm="1">
        <f t="array" ref="H307">INDEX(GMWQ!$A$2:$NE$60,MATCH(1,(GMWQ!$NE$2:$NE$60=H$3)*(GMWQ!$ND$2:$ND$60=H$4),0),$B307-1966)</f>
        <v>182704.9</v>
      </c>
      <c r="I307" s="18" cm="1">
        <f t="array" ref="I307">INDEX(GMWQ!$A$2:$NE$60,MATCH(1,(GMWQ!$NE$2:$NE$60=I$3)*(GMWQ!$ND$2:$ND$60=I$4),0),$B307-1966)</f>
        <v>23955.34</v>
      </c>
      <c r="J307" s="18" cm="1">
        <f t="array" ref="J307">INDEX(GMWQ!$A$2:$NE$60,MATCH(1,(GMWQ!$NE$2:$NE$60=J$3)*(GMWQ!$ND$2:$ND$60=J$4),0),$B307-1966)</f>
        <v>35670.269999999997</v>
      </c>
      <c r="K307" s="18" cm="1">
        <f t="array" ref="K307">INDEX(GMWQ!$A$2:$NE$60,MATCH(1,(GMWQ!$NE$2:$NE$60=K$3)*(GMWQ!$ND$2:$ND$60=K$4),0),$B307-1966)</f>
        <v>5164592</v>
      </c>
      <c r="L307" s="18" cm="1">
        <f t="array" ref="L307">INDEX(GMWQ!$A$2:$NE$60,MATCH(1,(GMWQ!$NE$2:$NE$60=L$3)*(GMWQ!$ND$2:$ND$60=L$4),0),$B307-1966)</f>
        <v>38419.839999999997</v>
      </c>
      <c r="M307" s="18" cm="1">
        <f t="array" ref="M307">INDEX(GMWQ!$A$2:$NE$60,MATCH(1,(GMWQ!$NE$2:$NE$60=M$3)*(GMWQ!$ND$2:$ND$60=M$4),0),$B307-1966)</f>
        <v>31.954920000000001</v>
      </c>
      <c r="N307" s="18" cm="1">
        <f t="array" ref="N307">INDEX(GMWQ!$A$2:$NE$60,MATCH(1,(GMWQ!$NE$2:$NE$60=N$3)*(GMWQ!$ND$2:$ND$60=N$4),0),$B307-1966)</f>
        <v>9.3850020000000001</v>
      </c>
      <c r="O307" s="18" cm="1">
        <f t="array" ref="O307">INDEX(GMWQ!$A$2:$NE$60,MATCH(1,(GMWQ!$NE$2:$NE$60=O$3)*(GMWQ!$ND$2:$ND$60=O$4),0),$B307-1966)</f>
        <v>3.8562470000000002</v>
      </c>
      <c r="P307" s="18" cm="1">
        <f t="array" ref="P307">INDEX(GMWQ!$A$2:$NE$60,MATCH(1,(GMWQ!$NE$2:$NE$60=P$3)*(GMWQ!$ND$2:$ND$60=P$4),0),$B307-1966)</f>
        <v>1609513</v>
      </c>
      <c r="Q307" s="18" cm="1">
        <f t="array" ref="Q307">INDEX(GMWQ!$A$2:$NE$60,MATCH(1,(GMWQ!$NE$2:$NE$60=Q$3)*(GMWQ!$ND$2:$ND$60=Q$4),0),$B307-1966)</f>
        <v>1739.414</v>
      </c>
      <c r="R307" s="18" cm="1">
        <f t="array" ref="R307">INDEX(GMWQ!$A$2:$NE$60,MATCH(1,(GMWQ!$NE$2:$NE$60=R$3)*(GMWQ!$ND$2:$ND$60=R$4),0),$B307-1966)</f>
        <v>25306.79</v>
      </c>
      <c r="S307" s="18" cm="1">
        <f t="array" ref="S307">INDEX(GMWQ!$A$2:$NE$60,MATCH(1,(GMWQ!$NE$2:$NE$60=S$3)*(GMWQ!$ND$2:$ND$60=S$4),0),$B307-1966)</f>
        <v>140.41560000000001</v>
      </c>
      <c r="T307" s="18" cm="1">
        <f t="array" ref="T307">INDEX(GMWQ!$A$2:$NE$60,MATCH(1,(GMWQ!$NE$2:$NE$60=T$3)*(GMWQ!$ND$2:$ND$60=T$4),0),$B307-1966)</f>
        <v>108.51309999999999</v>
      </c>
      <c r="U307" s="18" cm="1">
        <f t="array" ref="U307">INDEX(GMWQ!$A$2:$NE$60,MATCH(1,(GMWQ!$NE$2:$NE$60=U$3)*(GMWQ!$ND$2:$ND$60=U$4),0),$B307-1966)</f>
        <v>66.493859999999998</v>
      </c>
      <c r="V307" s="18" cm="1">
        <f t="array" ref="V307">INDEX(GMWQ!$A$2:$NE$60,MATCH(1,(GMWQ!$NE$2:$NE$60=V$3)*(GMWQ!$ND$2:$ND$60=V$4),0),$B307-1966)</f>
        <v>116862.39999999999</v>
      </c>
      <c r="W307" s="18" cm="1">
        <f t="array" ref="W307">INDEX(GMWQ!$A$2:$NF$60,MATCH(1,(GMWQ!$NE$2:$NE$60=W$3)*(GMWQ!$NF$2:$NF$60=W$1),0),$B307-1966)</f>
        <v>80651.44</v>
      </c>
      <c r="X307" s="18" cm="1">
        <f t="array" ref="X307">INDEX(GMWQ!$A$2:$NF$60,MATCH(1,(GMWQ!$NE$2:$NE$60=X$3)*(GMWQ!$NF$2:$NF$60=X$1),0),$B307-1966)</f>
        <v>86037.59</v>
      </c>
      <c r="Y307" s="18" cm="1">
        <f t="array" ref="Y307">INDEX(GMWQ!$A$2:$NF$60,MATCH(1,(GMWQ!$NE$2:$NE$60=Y$3)*(GMWQ!$NF$2:$NF$60=Y$1),0),$B307-1966)</f>
        <v>87486.29</v>
      </c>
      <c r="Z307" s="18" cm="1">
        <f t="array" ref="Z307">INDEX(GMWQ!$A$2:$NF$60,MATCH(1,(GMWQ!$NE$2:$NE$60=Z$3)*(GMWQ!$NF$2:$NF$60=Z$1),0),$B307-1966)</f>
        <v>107130.4</v>
      </c>
    </row>
    <row r="308" spans="1:26" x14ac:dyDescent="0.25">
      <c r="B308" s="18">
        <f t="shared" si="6"/>
        <v>2274</v>
      </c>
      <c r="C308" s="18" cm="1">
        <f t="array" ref="C308">INDEX(GMWQ!$A$2:$NE$60,MATCH(1,(GMWQ!$NE$2:$NE$60=C$3)*(GMWQ!$ND$2:$ND$60=C$4),0),$B308-1966)</f>
        <v>111153.1</v>
      </c>
      <c r="D308" s="18" cm="1">
        <f t="array" ref="D308">INDEX(GMWQ!$A$2:$NE$60,MATCH(1,(GMWQ!$NE$2:$NE$60=D$3)*(GMWQ!$ND$2:$ND$60=D$4),0),$B308-1966)</f>
        <v>375409.7</v>
      </c>
      <c r="E308" s="18" cm="1">
        <f t="array" ref="E308">INDEX(GMWQ!$A$2:$NE$60,MATCH(1,(GMWQ!$NE$2:$NE$60=E$3)*(GMWQ!$ND$2:$ND$60=E$4),0),$B308-1966)</f>
        <v>-7973.518</v>
      </c>
      <c r="F308" s="18" cm="1">
        <f t="array" ref="F308">INDEX(GMWQ!$A$2:$NE$60,MATCH(1,(GMWQ!$NE$2:$NE$60=F$3)*(GMWQ!$ND$2:$ND$60=F$4),0),$B308-1966)</f>
        <v>-11071.23</v>
      </c>
      <c r="G308" s="18" cm="1">
        <f t="array" ref="G308">INDEX(GMWQ!$A$2:$NE$60,MATCH(1,(GMWQ!$NE$2:$NE$60=G$3)*(GMWQ!$ND$2:$ND$60=G$4),0),$B308-1966)</f>
        <v>1702926</v>
      </c>
      <c r="H308" s="18" cm="1">
        <f t="array" ref="H308">INDEX(GMWQ!$A$2:$NE$60,MATCH(1,(GMWQ!$NE$2:$NE$60=H$3)*(GMWQ!$ND$2:$ND$60=H$4),0),$B308-1966)</f>
        <v>183581.6</v>
      </c>
      <c r="I308" s="18" cm="1">
        <f t="array" ref="I308">INDEX(GMWQ!$A$2:$NE$60,MATCH(1,(GMWQ!$NE$2:$NE$60=I$3)*(GMWQ!$ND$2:$ND$60=I$4),0),$B308-1966)</f>
        <v>24068.53</v>
      </c>
      <c r="J308" s="18" cm="1">
        <f t="array" ref="J308">INDEX(GMWQ!$A$2:$NE$60,MATCH(1,(GMWQ!$NE$2:$NE$60=J$3)*(GMWQ!$ND$2:$ND$60=J$4),0),$B308-1966)</f>
        <v>35802.43</v>
      </c>
      <c r="K308" s="18" cm="1">
        <f t="array" ref="K308">INDEX(GMWQ!$A$2:$NE$60,MATCH(1,(GMWQ!$NE$2:$NE$60=K$3)*(GMWQ!$ND$2:$ND$60=K$4),0),$B308-1966)</f>
        <v>5189138</v>
      </c>
      <c r="L308" s="18" cm="1">
        <f t="array" ref="L308">INDEX(GMWQ!$A$2:$NE$60,MATCH(1,(GMWQ!$NE$2:$NE$60=L$3)*(GMWQ!$ND$2:$ND$60=L$4),0),$B308-1966)</f>
        <v>38455.78</v>
      </c>
      <c r="M308" s="18" cm="1">
        <f t="array" ref="M308">INDEX(GMWQ!$A$2:$NE$60,MATCH(1,(GMWQ!$NE$2:$NE$60=M$3)*(GMWQ!$ND$2:$ND$60=M$4),0),$B308-1966)</f>
        <v>31.954170000000001</v>
      </c>
      <c r="N308" s="18" cm="1">
        <f t="array" ref="N308">INDEX(GMWQ!$A$2:$NE$60,MATCH(1,(GMWQ!$NE$2:$NE$60=N$3)*(GMWQ!$ND$2:$ND$60=N$4),0),$B308-1966)</f>
        <v>9.3905560000000001</v>
      </c>
      <c r="O308" s="18" cm="1">
        <f t="array" ref="O308">INDEX(GMWQ!$A$2:$NE$60,MATCH(1,(GMWQ!$NE$2:$NE$60=O$3)*(GMWQ!$ND$2:$ND$60=O$4),0),$B308-1966)</f>
        <v>3.8562470000000002</v>
      </c>
      <c r="P308" s="18" cm="1">
        <f t="array" ref="P308">INDEX(GMWQ!$A$2:$NE$60,MATCH(1,(GMWQ!$NE$2:$NE$60=P$3)*(GMWQ!$ND$2:$ND$60=P$4),0),$B308-1966)</f>
        <v>1629253</v>
      </c>
      <c r="Q308" s="18" cm="1">
        <f t="array" ref="Q308">INDEX(GMWQ!$A$2:$NE$60,MATCH(1,(GMWQ!$NE$2:$NE$60=Q$3)*(GMWQ!$ND$2:$ND$60=Q$4),0),$B308-1966)</f>
        <v>1749.413</v>
      </c>
      <c r="R308" s="18" cm="1">
        <f t="array" ref="R308">INDEX(GMWQ!$A$2:$NE$60,MATCH(1,(GMWQ!$NE$2:$NE$60=R$3)*(GMWQ!$ND$2:$ND$60=R$4),0),$B308-1966)</f>
        <v>25318.83</v>
      </c>
      <c r="S308" s="18" cm="1">
        <f t="array" ref="S308">INDEX(GMWQ!$A$2:$NE$60,MATCH(1,(GMWQ!$NE$2:$NE$60=S$3)*(GMWQ!$ND$2:$ND$60=S$4),0),$B308-1966)</f>
        <v>140.7345</v>
      </c>
      <c r="T308" s="18" cm="1">
        <f t="array" ref="T308">INDEX(GMWQ!$A$2:$NE$60,MATCH(1,(GMWQ!$NE$2:$NE$60=T$3)*(GMWQ!$ND$2:$ND$60=T$4),0),$B308-1966)</f>
        <v>108.6045</v>
      </c>
      <c r="U308" s="18" cm="1">
        <f t="array" ref="U308">INDEX(GMWQ!$A$2:$NE$60,MATCH(1,(GMWQ!$NE$2:$NE$60=U$3)*(GMWQ!$ND$2:$ND$60=U$4),0),$B308-1966)</f>
        <v>66.523089999999996</v>
      </c>
      <c r="V308" s="18" cm="1">
        <f t="array" ref="V308">INDEX(GMWQ!$A$2:$NE$60,MATCH(1,(GMWQ!$NE$2:$NE$60=V$3)*(GMWQ!$ND$2:$ND$60=V$4),0),$B308-1966)</f>
        <v>117400.7</v>
      </c>
      <c r="W308" s="18" cm="1">
        <f t="array" ref="W308">INDEX(GMWQ!$A$2:$NF$60,MATCH(1,(GMWQ!$NE$2:$NE$60=W$3)*(GMWQ!$NF$2:$NF$60=W$1),0),$B308-1966)</f>
        <v>80986.63</v>
      </c>
      <c r="X308" s="18" cm="1">
        <f t="array" ref="X308">INDEX(GMWQ!$A$2:$NF$60,MATCH(1,(GMWQ!$NE$2:$NE$60=X$3)*(GMWQ!$NF$2:$NF$60=X$1),0),$B308-1966)</f>
        <v>86434.45</v>
      </c>
      <c r="Y308" s="18" cm="1">
        <f t="array" ref="Y308">INDEX(GMWQ!$A$2:$NF$60,MATCH(1,(GMWQ!$NE$2:$NE$60=Y$3)*(GMWQ!$NF$2:$NF$60=Y$1),0),$B308-1966)</f>
        <v>87878.41</v>
      </c>
      <c r="Z308" s="18" cm="1">
        <f t="array" ref="Z308">INDEX(GMWQ!$A$2:$NF$60,MATCH(1,(GMWQ!$NE$2:$NE$60=Z$3)*(GMWQ!$NF$2:$NF$60=Z$1),0),$B308-1966)</f>
        <v>107687</v>
      </c>
    </row>
    <row r="309" spans="1:26" x14ac:dyDescent="0.25">
      <c r="B309" s="18">
        <f t="shared" si="6"/>
        <v>2275</v>
      </c>
      <c r="C309" s="18" cm="1">
        <f t="array" ref="C309">INDEX(GMWQ!$A$2:$NE$60,MATCH(1,(GMWQ!$NE$2:$NE$60=C$3)*(GMWQ!$ND$2:$ND$60=C$4),0),$B309-1966)</f>
        <v>111727.8</v>
      </c>
      <c r="D309" s="18" cm="1">
        <f t="array" ref="D309">INDEX(GMWQ!$A$2:$NE$60,MATCH(1,(GMWQ!$NE$2:$NE$60=D$3)*(GMWQ!$ND$2:$ND$60=D$4),0),$B309-1966)</f>
        <v>379155.1</v>
      </c>
      <c r="E309" s="18" cm="1">
        <f t="array" ref="E309">INDEX(GMWQ!$A$2:$NE$60,MATCH(1,(GMWQ!$NE$2:$NE$60=E$3)*(GMWQ!$ND$2:$ND$60=E$4),0),$B309-1966)</f>
        <v>-13842.35</v>
      </c>
      <c r="F309" s="18" cm="1">
        <f t="array" ref="F309">INDEX(GMWQ!$A$2:$NE$60,MATCH(1,(GMWQ!$NE$2:$NE$60=F$3)*(GMWQ!$ND$2:$ND$60=F$4),0),$B309-1966)</f>
        <v>-16968.349999999999</v>
      </c>
      <c r="G309" s="18" cm="1">
        <f t="array" ref="G309">INDEX(GMWQ!$A$2:$NE$60,MATCH(1,(GMWQ!$NE$2:$NE$60=G$3)*(GMWQ!$ND$2:$ND$60=G$4),0),$B309-1966)</f>
        <v>1718475</v>
      </c>
      <c r="H309" s="18" cm="1">
        <f t="array" ref="H309">INDEX(GMWQ!$A$2:$NE$60,MATCH(1,(GMWQ!$NE$2:$NE$60=H$3)*(GMWQ!$ND$2:$ND$60=H$4),0),$B309-1966)</f>
        <v>184461.7</v>
      </c>
      <c r="I309" s="18" cm="1">
        <f t="array" ref="I309">INDEX(GMWQ!$A$2:$NE$60,MATCH(1,(GMWQ!$NE$2:$NE$60=I$3)*(GMWQ!$ND$2:$ND$60=I$4),0),$B309-1966)</f>
        <v>24182.14</v>
      </c>
      <c r="J309" s="18" cm="1">
        <f t="array" ref="J309">INDEX(GMWQ!$A$2:$NE$60,MATCH(1,(GMWQ!$NE$2:$NE$60=J$3)*(GMWQ!$ND$2:$ND$60=J$4),0),$B309-1966)</f>
        <v>35934.92</v>
      </c>
      <c r="K309" s="18" cm="1">
        <f t="array" ref="K309">INDEX(GMWQ!$A$2:$NE$60,MATCH(1,(GMWQ!$NE$2:$NE$60=K$3)*(GMWQ!$ND$2:$ND$60=K$4),0),$B309-1966)</f>
        <v>5213774</v>
      </c>
      <c r="L309" s="18" cm="1">
        <f t="array" ref="L309">INDEX(GMWQ!$A$2:$NE$60,MATCH(1,(GMWQ!$NE$2:$NE$60=L$3)*(GMWQ!$ND$2:$ND$60=L$4),0),$B309-1966)</f>
        <v>38491.730000000003</v>
      </c>
      <c r="M309" s="18" cm="1">
        <f t="array" ref="M309">INDEX(GMWQ!$A$2:$NE$60,MATCH(1,(GMWQ!$NE$2:$NE$60=M$3)*(GMWQ!$ND$2:$ND$60=M$4),0),$B309-1966)</f>
        <v>31.953420000000001</v>
      </c>
      <c r="N309" s="18" cm="1">
        <f t="array" ref="N309">INDEX(GMWQ!$A$2:$NE$60,MATCH(1,(GMWQ!$NE$2:$NE$60=N$3)*(GMWQ!$ND$2:$ND$60=N$4),0),$B309-1966)</f>
        <v>9.3961070000000007</v>
      </c>
      <c r="O309" s="18" cm="1">
        <f t="array" ref="O309">INDEX(GMWQ!$A$2:$NE$60,MATCH(1,(GMWQ!$NE$2:$NE$60=O$3)*(GMWQ!$ND$2:$ND$60=O$4),0),$B309-1966)</f>
        <v>3.8562470000000002</v>
      </c>
      <c r="P309" s="18" cm="1">
        <f t="array" ref="P309">INDEX(GMWQ!$A$2:$NE$60,MATCH(1,(GMWQ!$NE$2:$NE$60=P$3)*(GMWQ!$ND$2:$ND$60=P$4),0),$B309-1966)</f>
        <v>1649503</v>
      </c>
      <c r="Q309" s="18" cm="1">
        <f t="array" ref="Q309">INDEX(GMWQ!$A$2:$NE$60,MATCH(1,(GMWQ!$NE$2:$NE$60=Q$3)*(GMWQ!$ND$2:$ND$60=Q$4),0),$B309-1966)</f>
        <v>1759.454</v>
      </c>
      <c r="R309" s="18" cm="1">
        <f t="array" ref="R309">INDEX(GMWQ!$A$2:$NE$60,MATCH(1,(GMWQ!$NE$2:$NE$60=R$3)*(GMWQ!$ND$2:$ND$60=R$4),0),$B309-1966)</f>
        <v>25330.65</v>
      </c>
      <c r="S309" s="18" cm="1">
        <f t="array" ref="S309">INDEX(GMWQ!$A$2:$NE$60,MATCH(1,(GMWQ!$NE$2:$NE$60=S$3)*(GMWQ!$ND$2:$ND$60=S$4),0),$B309-1966)</f>
        <v>141.05459999999999</v>
      </c>
      <c r="T309" s="18" cm="1">
        <f t="array" ref="T309">INDEX(GMWQ!$A$2:$NE$60,MATCH(1,(GMWQ!$NE$2:$NE$60=T$3)*(GMWQ!$ND$2:$ND$60=T$4),0),$B309-1966)</f>
        <v>108.8069</v>
      </c>
      <c r="U309" s="18" cm="1">
        <f t="array" ref="U309">INDEX(GMWQ!$A$2:$NE$60,MATCH(1,(GMWQ!$NE$2:$NE$60=U$3)*(GMWQ!$ND$2:$ND$60=U$4),0),$B309-1966)</f>
        <v>66.552109999999999</v>
      </c>
      <c r="V309" s="18" cm="1">
        <f t="array" ref="V309">INDEX(GMWQ!$A$2:$NE$60,MATCH(1,(GMWQ!$NE$2:$NE$60=V$3)*(GMWQ!$ND$2:$ND$60=V$4),0),$B309-1966)</f>
        <v>117940.5</v>
      </c>
      <c r="W309" s="18" cm="1">
        <f t="array" ref="W309">INDEX(GMWQ!$A$2:$NF$60,MATCH(1,(GMWQ!$NE$2:$NE$60=W$3)*(GMWQ!$NF$2:$NF$60=W$1),0),$B309-1966)</f>
        <v>81322.87</v>
      </c>
      <c r="X309" s="18" cm="1">
        <f t="array" ref="X309">INDEX(GMWQ!$A$2:$NF$60,MATCH(1,(GMWQ!$NE$2:$NE$60=X$3)*(GMWQ!$NF$2:$NF$60=X$1),0),$B309-1966)</f>
        <v>86832.8</v>
      </c>
      <c r="Y309" s="18" cm="1">
        <f t="array" ref="Y309">INDEX(GMWQ!$A$2:$NF$60,MATCH(1,(GMWQ!$NE$2:$NE$60=Y$3)*(GMWQ!$NF$2:$NF$60=Y$1),0),$B309-1966)</f>
        <v>88271.89</v>
      </c>
      <c r="Z309" s="18" cm="1">
        <f t="array" ref="Z309">INDEX(GMWQ!$A$2:$NF$60,MATCH(1,(GMWQ!$NE$2:$NE$60=Z$3)*(GMWQ!$NF$2:$NF$60=Z$1),0),$B309-1966)</f>
        <v>108246</v>
      </c>
    </row>
    <row r="310" spans="1:26" x14ac:dyDescent="0.25">
      <c r="B310" s="18">
        <f t="shared" si="6"/>
        <v>2276</v>
      </c>
      <c r="C310" s="18" cm="1">
        <f t="array" ref="C310">INDEX(GMWQ!$A$2:$NE$60,MATCH(1,(GMWQ!$NE$2:$NE$60=C$3)*(GMWQ!$ND$2:$ND$60=C$4),0),$B310-1966)</f>
        <v>112305</v>
      </c>
      <c r="D310" s="18" cm="1">
        <f t="array" ref="D310">INDEX(GMWQ!$A$2:$NE$60,MATCH(1,(GMWQ!$NE$2:$NE$60=D$3)*(GMWQ!$ND$2:$ND$60=D$4),0),$B310-1966)</f>
        <v>382007.7</v>
      </c>
      <c r="E310" s="18" cm="1">
        <f t="array" ref="E310">INDEX(GMWQ!$A$2:$NE$60,MATCH(1,(GMWQ!$NE$2:$NE$60=E$3)*(GMWQ!$ND$2:$ND$60=E$4),0),$B310-1966)</f>
        <v>5801.6180000000004</v>
      </c>
      <c r="F310" s="18" cm="1">
        <f t="array" ref="F310">INDEX(GMWQ!$A$2:$NE$60,MATCH(1,(GMWQ!$NE$2:$NE$60=F$3)*(GMWQ!$ND$2:$ND$60=F$4),0),$B310-1966)</f>
        <v>2647.0880000000002</v>
      </c>
      <c r="G310" s="18" cm="1">
        <f t="array" ref="G310">INDEX(GMWQ!$A$2:$NE$60,MATCH(1,(GMWQ!$NE$2:$NE$60=G$3)*(GMWQ!$ND$2:$ND$60=G$4),0),$B310-1966)</f>
        <v>1734158</v>
      </c>
      <c r="H310" s="18" cm="1">
        <f t="array" ref="H310">INDEX(GMWQ!$A$2:$NE$60,MATCH(1,(GMWQ!$NE$2:$NE$60=H$3)*(GMWQ!$ND$2:$ND$60=H$4),0),$B310-1966)</f>
        <v>185345.2</v>
      </c>
      <c r="I310" s="18" cm="1">
        <f t="array" ref="I310">INDEX(GMWQ!$A$2:$NE$60,MATCH(1,(GMWQ!$NE$2:$NE$60=I$3)*(GMWQ!$ND$2:$ND$60=I$4),0),$B310-1966)</f>
        <v>24296.19</v>
      </c>
      <c r="J310" s="18" cm="1">
        <f t="array" ref="J310">INDEX(GMWQ!$A$2:$NE$60,MATCH(1,(GMWQ!$NE$2:$NE$60=J$3)*(GMWQ!$ND$2:$ND$60=J$4),0),$B310-1966)</f>
        <v>36067.74</v>
      </c>
      <c r="K310" s="18" cm="1">
        <f t="array" ref="K310">INDEX(GMWQ!$A$2:$NE$60,MATCH(1,(GMWQ!$NE$2:$NE$60=K$3)*(GMWQ!$ND$2:$ND$60=K$4),0),$B310-1966)</f>
        <v>5238500</v>
      </c>
      <c r="L310" s="18" cm="1">
        <f t="array" ref="L310">INDEX(GMWQ!$A$2:$NE$60,MATCH(1,(GMWQ!$NE$2:$NE$60=L$3)*(GMWQ!$ND$2:$ND$60=L$4),0),$B310-1966)</f>
        <v>38527.67</v>
      </c>
      <c r="M310" s="18" cm="1">
        <f t="array" ref="M310">INDEX(GMWQ!$A$2:$NE$60,MATCH(1,(GMWQ!$NE$2:$NE$60=M$3)*(GMWQ!$ND$2:$ND$60=M$4),0),$B310-1966)</f>
        <v>31.952670000000001</v>
      </c>
      <c r="N310" s="18" cm="1">
        <f t="array" ref="N310">INDEX(GMWQ!$A$2:$NE$60,MATCH(1,(GMWQ!$NE$2:$NE$60=N$3)*(GMWQ!$ND$2:$ND$60=N$4),0),$B310-1966)</f>
        <v>9.4072949999999995</v>
      </c>
      <c r="O310" s="18" cm="1">
        <f t="array" ref="O310">INDEX(GMWQ!$A$2:$NE$60,MATCH(1,(GMWQ!$NE$2:$NE$60=O$3)*(GMWQ!$ND$2:$ND$60=O$4),0),$B310-1966)</f>
        <v>3.8562470000000002</v>
      </c>
      <c r="P310" s="18" cm="1">
        <f t="array" ref="P310">INDEX(GMWQ!$A$2:$NE$60,MATCH(1,(GMWQ!$NE$2:$NE$60=P$3)*(GMWQ!$ND$2:$ND$60=P$4),0),$B310-1966)</f>
        <v>1670028</v>
      </c>
      <c r="Q310" s="18" cm="1">
        <f t="array" ref="Q310">INDEX(GMWQ!$A$2:$NE$60,MATCH(1,(GMWQ!$NE$2:$NE$60=Q$3)*(GMWQ!$ND$2:$ND$60=Q$4),0),$B310-1966)</f>
        <v>1769.5309999999999</v>
      </c>
      <c r="R310" s="18" cm="1">
        <f t="array" ref="R310">INDEX(GMWQ!$A$2:$NE$60,MATCH(1,(GMWQ!$NE$2:$NE$60=R$3)*(GMWQ!$ND$2:$ND$60=R$4),0),$B310-1966)</f>
        <v>25343.01</v>
      </c>
      <c r="S310" s="18" cm="1">
        <f t="array" ref="S310">INDEX(GMWQ!$A$2:$NE$60,MATCH(1,(GMWQ!$NE$2:$NE$60=S$3)*(GMWQ!$ND$2:$ND$60=S$4),0),$B310-1966)</f>
        <v>141.3759</v>
      </c>
      <c r="T310" s="18" cm="1">
        <f t="array" ref="T310">INDEX(GMWQ!$A$2:$NE$60,MATCH(1,(GMWQ!$NE$2:$NE$60=T$3)*(GMWQ!$ND$2:$ND$60=T$4),0),$B310-1966)</f>
        <v>108.90900000000001</v>
      </c>
      <c r="U310" s="18" cm="1">
        <f t="array" ref="U310">INDEX(GMWQ!$A$2:$NE$60,MATCH(1,(GMWQ!$NE$2:$NE$60=U$3)*(GMWQ!$ND$2:$ND$60=U$4),0),$B310-1966)</f>
        <v>66.580910000000003</v>
      </c>
      <c r="V310" s="18" cm="1">
        <f t="array" ref="V310">INDEX(GMWQ!$A$2:$NE$60,MATCH(1,(GMWQ!$NE$2:$NE$60=V$3)*(GMWQ!$ND$2:$ND$60=V$4),0),$B310-1966)</f>
        <v>118479.8</v>
      </c>
      <c r="W310" s="18" cm="1">
        <f t="array" ref="W310">INDEX(GMWQ!$A$2:$NF$60,MATCH(1,(GMWQ!$NE$2:$NE$60=W$3)*(GMWQ!$NF$2:$NF$60=W$1),0),$B310-1966)</f>
        <v>81660.19</v>
      </c>
      <c r="X310" s="18" cm="1">
        <f t="array" ref="X310">INDEX(GMWQ!$A$2:$NF$60,MATCH(1,(GMWQ!$NE$2:$NE$60=X$3)*(GMWQ!$NF$2:$NF$60=X$1),0),$B310-1966)</f>
        <v>87232.7</v>
      </c>
      <c r="Y310" s="18" cm="1">
        <f t="array" ref="Y310">INDEX(GMWQ!$A$2:$NF$60,MATCH(1,(GMWQ!$NE$2:$NE$60=Y$3)*(GMWQ!$NF$2:$NF$60=Y$1),0),$B310-1966)</f>
        <v>88666.76</v>
      </c>
      <c r="Z310" s="18" cm="1">
        <f t="array" ref="Z310">INDEX(GMWQ!$A$2:$NF$60,MATCH(1,(GMWQ!$NE$2:$NE$60=Z$3)*(GMWQ!$NF$2:$NF$60=Z$1),0),$B310-1966)</f>
        <v>108807.3</v>
      </c>
    </row>
    <row r="311" spans="1:26" x14ac:dyDescent="0.25">
      <c r="A311" s="18">
        <v>2049</v>
      </c>
      <c r="B311" s="18">
        <f t="shared" si="6"/>
        <v>2277</v>
      </c>
      <c r="C311" s="18" cm="1">
        <f t="array" ref="C311">INDEX(GMWQ!$A$2:$NE$60,MATCH(1,(GMWQ!$NE$2:$NE$60=C$3)*(GMWQ!$ND$2:$ND$60=C$4),0),$B311-1966)</f>
        <v>112884.7</v>
      </c>
      <c r="D311" s="18" cm="1">
        <f t="array" ref="D311">INDEX(GMWQ!$A$2:$NE$60,MATCH(1,(GMWQ!$NE$2:$NE$60=D$3)*(GMWQ!$ND$2:$ND$60=D$4),0),$B311-1966)</f>
        <v>385532.8</v>
      </c>
      <c r="E311" s="18" cm="1">
        <f t="array" ref="E311">INDEX(GMWQ!$A$2:$NE$60,MATCH(1,(GMWQ!$NE$2:$NE$60=E$3)*(GMWQ!$ND$2:$ND$60=E$4),0),$B311-1966)</f>
        <v>-22774.639999999999</v>
      </c>
      <c r="F311" s="18" cm="1">
        <f t="array" ref="F311">INDEX(GMWQ!$A$2:$NE$60,MATCH(1,(GMWQ!$NE$2:$NE$60=F$3)*(GMWQ!$ND$2:$ND$60=F$4),0),$B311-1966)</f>
        <v>-25957.95</v>
      </c>
      <c r="G311" s="18" cm="1">
        <f t="array" ref="G311">INDEX(GMWQ!$A$2:$NE$60,MATCH(1,(GMWQ!$NE$2:$NE$60=G$3)*(GMWQ!$ND$2:$ND$60=G$4),0),$B311-1966)</f>
        <v>1749977</v>
      </c>
      <c r="H311" s="18" cm="1">
        <f t="array" ref="H311">INDEX(GMWQ!$A$2:$NE$60,MATCH(1,(GMWQ!$NE$2:$NE$60=H$3)*(GMWQ!$ND$2:$ND$60=H$4),0),$B311-1966)</f>
        <v>186232.3</v>
      </c>
      <c r="I311" s="18" cm="1">
        <f t="array" ref="I311">INDEX(GMWQ!$A$2:$NE$60,MATCH(1,(GMWQ!$NE$2:$NE$60=I$3)*(GMWQ!$ND$2:$ND$60=I$4),0),$B311-1966)</f>
        <v>24410.67</v>
      </c>
      <c r="J311" s="18" cm="1">
        <f t="array" ref="J311">INDEX(GMWQ!$A$2:$NE$60,MATCH(1,(GMWQ!$NE$2:$NE$60=J$3)*(GMWQ!$ND$2:$ND$60=J$4),0),$B311-1966)</f>
        <v>36200.89</v>
      </c>
      <c r="K311" s="18" cm="1">
        <f t="array" ref="K311">INDEX(GMWQ!$A$2:$NE$60,MATCH(1,(GMWQ!$NE$2:$NE$60=K$3)*(GMWQ!$ND$2:$ND$60=K$4),0),$B311-1966)</f>
        <v>5263317</v>
      </c>
      <c r="L311" s="18" cm="1">
        <f t="array" ref="L311">INDEX(GMWQ!$A$2:$NE$60,MATCH(1,(GMWQ!$NE$2:$NE$60=L$3)*(GMWQ!$ND$2:$ND$60=L$4),0),$B311-1966)</f>
        <v>38563.61</v>
      </c>
      <c r="M311" s="18" cm="1">
        <f t="array" ref="M311">INDEX(GMWQ!$A$2:$NE$60,MATCH(1,(GMWQ!$NE$2:$NE$60=M$3)*(GMWQ!$ND$2:$ND$60=M$4),0),$B311-1966)</f>
        <v>31.951920000000001</v>
      </c>
      <c r="N311" s="18" cm="1">
        <f t="array" ref="N311">INDEX(GMWQ!$A$2:$NE$60,MATCH(1,(GMWQ!$NE$2:$NE$60=N$3)*(GMWQ!$ND$2:$ND$60=N$4),0),$B311-1966)</f>
        <v>9.4137760000000004</v>
      </c>
      <c r="O311" s="18" cm="1">
        <f t="array" ref="O311">INDEX(GMWQ!$A$2:$NE$60,MATCH(1,(GMWQ!$NE$2:$NE$60=O$3)*(GMWQ!$ND$2:$ND$60=O$4),0),$B311-1966)</f>
        <v>3.8562470000000002</v>
      </c>
      <c r="P311" s="18" cm="1">
        <f t="array" ref="P311">INDEX(GMWQ!$A$2:$NE$60,MATCH(1,(GMWQ!$NE$2:$NE$60=P$3)*(GMWQ!$ND$2:$ND$60=P$4),0),$B311-1966)</f>
        <v>1690182</v>
      </c>
      <c r="Q311" s="18" cm="1">
        <f t="array" ref="Q311">INDEX(GMWQ!$A$2:$NE$60,MATCH(1,(GMWQ!$NE$2:$NE$60=Q$3)*(GMWQ!$ND$2:$ND$60=Q$4),0),$B311-1966)</f>
        <v>1779.6420000000001</v>
      </c>
      <c r="R311" s="18" cm="1">
        <f t="array" ref="R311">INDEX(GMWQ!$A$2:$NE$60,MATCH(1,(GMWQ!$NE$2:$NE$60=R$3)*(GMWQ!$ND$2:$ND$60=R$4),0),$B311-1966)</f>
        <v>25355.97</v>
      </c>
      <c r="S311" s="18" cm="1">
        <f t="array" ref="S311">INDEX(GMWQ!$A$2:$NE$60,MATCH(1,(GMWQ!$NE$2:$NE$60=S$3)*(GMWQ!$ND$2:$ND$60=S$4),0),$B311-1966)</f>
        <v>141.69110000000001</v>
      </c>
      <c r="T311" s="18" cm="1">
        <f t="array" ref="T311">INDEX(GMWQ!$A$2:$NE$60,MATCH(1,(GMWQ!$NE$2:$NE$60=T$3)*(GMWQ!$ND$2:$ND$60=T$4),0),$B311-1966)</f>
        <v>109.1054</v>
      </c>
      <c r="U311" s="18" cm="1">
        <f t="array" ref="U311">INDEX(GMWQ!$A$2:$NE$60,MATCH(1,(GMWQ!$NE$2:$NE$60=U$3)*(GMWQ!$ND$2:$ND$60=U$4),0),$B311-1966)</f>
        <v>66.609449999999995</v>
      </c>
      <c r="V311" s="18" cm="1">
        <f t="array" ref="V311">INDEX(GMWQ!$A$2:$NE$60,MATCH(1,(GMWQ!$NE$2:$NE$60=V$3)*(GMWQ!$ND$2:$ND$60=V$4),0),$B311-1966)</f>
        <v>119019.5</v>
      </c>
      <c r="W311" s="18" cm="1">
        <f t="array" ref="W311">INDEX(GMWQ!$A$2:$NF$60,MATCH(1,(GMWQ!$NE$2:$NE$60=W$3)*(GMWQ!$NF$2:$NF$60=W$1),0),$B311-1966)</f>
        <v>81998.559999999998</v>
      </c>
      <c r="X311" s="18" cm="1">
        <f t="array" ref="X311">INDEX(GMWQ!$A$2:$NF$60,MATCH(1,(GMWQ!$NE$2:$NE$60=X$3)*(GMWQ!$NF$2:$NF$60=X$1),0),$B311-1966)</f>
        <v>87634.09</v>
      </c>
      <c r="Y311" s="18" cm="1">
        <f t="array" ref="Y311">INDEX(GMWQ!$A$2:$NF$60,MATCH(1,(GMWQ!$NE$2:$NE$60=Y$3)*(GMWQ!$NF$2:$NF$60=Y$1),0),$B311-1966)</f>
        <v>89062.97</v>
      </c>
      <c r="Z311" s="18" cm="1">
        <f t="array" ref="Z311">INDEX(GMWQ!$A$2:$NF$60,MATCH(1,(GMWQ!$NE$2:$NE$60=Z$3)*(GMWQ!$NF$2:$NF$60=Z$1),0),$B311-1966)</f>
        <v>109371.1</v>
      </c>
    </row>
    <row r="312" spans="1:26" x14ac:dyDescent="0.25">
      <c r="B312" s="18">
        <f t="shared" si="6"/>
        <v>2278</v>
      </c>
      <c r="C312" s="18" cm="1">
        <f t="array" ref="C312">INDEX(GMWQ!$A$2:$NE$60,MATCH(1,(GMWQ!$NE$2:$NE$60=C$3)*(GMWQ!$ND$2:$ND$60=C$4),0),$B312-1966)</f>
        <v>113466.9</v>
      </c>
      <c r="D312" s="18" cm="1">
        <f t="array" ref="D312">INDEX(GMWQ!$A$2:$NE$60,MATCH(1,(GMWQ!$NE$2:$NE$60=D$3)*(GMWQ!$ND$2:$ND$60=D$4),0),$B312-1966)</f>
        <v>389306.1</v>
      </c>
      <c r="E312" s="18" cm="1">
        <f t="array" ref="E312">INDEX(GMWQ!$A$2:$NE$60,MATCH(1,(GMWQ!$NE$2:$NE$60=E$3)*(GMWQ!$ND$2:$ND$60=E$4),0),$B312-1966)</f>
        <v>-8230.4150000000009</v>
      </c>
      <c r="F312" s="18" cm="1">
        <f t="array" ref="F312">INDEX(GMWQ!$A$2:$NE$60,MATCH(1,(GMWQ!$NE$2:$NE$60=F$3)*(GMWQ!$ND$2:$ND$60=F$4),0),$B312-1966)</f>
        <v>-11442.75</v>
      </c>
      <c r="G312" s="18" cm="1">
        <f t="array" ref="G312">INDEX(GMWQ!$A$2:$NE$60,MATCH(1,(GMWQ!$NE$2:$NE$60=G$3)*(GMWQ!$ND$2:$ND$60=G$4),0),$B312-1966)</f>
        <v>1765933</v>
      </c>
      <c r="H312" s="18" cm="1">
        <f t="array" ref="H312">INDEX(GMWQ!$A$2:$NE$60,MATCH(1,(GMWQ!$NE$2:$NE$60=H$3)*(GMWQ!$ND$2:$ND$60=H$4),0),$B312-1966)</f>
        <v>187122.9</v>
      </c>
      <c r="I312" s="18" cm="1">
        <f t="array" ref="I312">INDEX(GMWQ!$A$2:$NE$60,MATCH(1,(GMWQ!$NE$2:$NE$60=I$3)*(GMWQ!$ND$2:$ND$60=I$4),0),$B312-1966)</f>
        <v>24525.58</v>
      </c>
      <c r="J312" s="18" cm="1">
        <f t="array" ref="J312">INDEX(GMWQ!$A$2:$NE$60,MATCH(1,(GMWQ!$NE$2:$NE$60=J$3)*(GMWQ!$ND$2:$ND$60=J$4),0),$B312-1966)</f>
        <v>36334.39</v>
      </c>
      <c r="K312" s="18" cm="1">
        <f t="array" ref="K312">INDEX(GMWQ!$A$2:$NE$60,MATCH(1,(GMWQ!$NE$2:$NE$60=K$3)*(GMWQ!$ND$2:$ND$60=K$4),0),$B312-1966)</f>
        <v>5288225</v>
      </c>
      <c r="L312" s="18" cm="1">
        <f t="array" ref="L312">INDEX(GMWQ!$A$2:$NE$60,MATCH(1,(GMWQ!$NE$2:$NE$60=L$3)*(GMWQ!$ND$2:$ND$60=L$4),0),$B312-1966)</f>
        <v>38599.56</v>
      </c>
      <c r="M312" s="18" cm="1">
        <f t="array" ref="M312">INDEX(GMWQ!$A$2:$NE$60,MATCH(1,(GMWQ!$NE$2:$NE$60=M$3)*(GMWQ!$ND$2:$ND$60=M$4),0),$B312-1966)</f>
        <v>31.951170000000001</v>
      </c>
      <c r="N312" s="18" cm="1">
        <f t="array" ref="N312">INDEX(GMWQ!$A$2:$NE$60,MATCH(1,(GMWQ!$NE$2:$NE$60=N$3)*(GMWQ!$ND$2:$ND$60=N$4),0),$B312-1966)</f>
        <v>9.4194340000000008</v>
      </c>
      <c r="O312" s="18" cm="1">
        <f t="array" ref="O312">INDEX(GMWQ!$A$2:$NE$60,MATCH(1,(GMWQ!$NE$2:$NE$60=O$3)*(GMWQ!$ND$2:$ND$60=O$4),0),$B312-1966)</f>
        <v>3.8562470000000002</v>
      </c>
      <c r="P312" s="18" cm="1">
        <f t="array" ref="P312">INDEX(GMWQ!$A$2:$NE$60,MATCH(1,(GMWQ!$NE$2:$NE$60=P$3)*(GMWQ!$ND$2:$ND$60=P$4),0),$B312-1966)</f>
        <v>1710906</v>
      </c>
      <c r="Q312" s="18" cm="1">
        <f t="array" ref="Q312">INDEX(GMWQ!$A$2:$NE$60,MATCH(1,(GMWQ!$NE$2:$NE$60=Q$3)*(GMWQ!$ND$2:$ND$60=Q$4),0),$B312-1966)</f>
        <v>1789.7919999999999</v>
      </c>
      <c r="R312" s="18" cm="1">
        <f t="array" ref="R312">INDEX(GMWQ!$A$2:$NE$60,MATCH(1,(GMWQ!$NE$2:$NE$60=R$3)*(GMWQ!$ND$2:$ND$60=R$4),0),$B312-1966)</f>
        <v>25368.36</v>
      </c>
      <c r="S312" s="18" cm="1">
        <f t="array" ref="S312">INDEX(GMWQ!$A$2:$NE$60,MATCH(1,(GMWQ!$NE$2:$NE$60=S$3)*(GMWQ!$ND$2:$ND$60=S$4),0),$B312-1966)</f>
        <v>142.00739999999999</v>
      </c>
      <c r="T312" s="18" cm="1">
        <f t="array" ref="T312">INDEX(GMWQ!$A$2:$NE$60,MATCH(1,(GMWQ!$NE$2:$NE$60=T$3)*(GMWQ!$ND$2:$ND$60=T$4),0),$B312-1966)</f>
        <v>109.3013</v>
      </c>
      <c r="U312" s="18" cm="1">
        <f t="array" ref="U312">INDEX(GMWQ!$A$2:$NE$60,MATCH(1,(GMWQ!$NE$2:$NE$60=U$3)*(GMWQ!$ND$2:$ND$60=U$4),0),$B312-1966)</f>
        <v>66.648309999999995</v>
      </c>
      <c r="V312" s="18" cm="1">
        <f t="array" ref="V312">INDEX(GMWQ!$A$2:$NE$60,MATCH(1,(GMWQ!$NE$2:$NE$60=V$3)*(GMWQ!$ND$2:$ND$60=V$4),0),$B312-1966)</f>
        <v>119567.8</v>
      </c>
      <c r="W312" s="18" cm="1">
        <f t="array" ref="W312">INDEX(GMWQ!$A$2:$NF$60,MATCH(1,(GMWQ!$NE$2:$NE$60=W$3)*(GMWQ!$NF$2:$NF$60=W$1),0),$B312-1966)</f>
        <v>82338</v>
      </c>
      <c r="X312" s="18" cm="1">
        <f t="array" ref="X312">INDEX(GMWQ!$A$2:$NF$60,MATCH(1,(GMWQ!$NE$2:$NE$60=X$3)*(GMWQ!$NF$2:$NF$60=X$1),0),$B312-1966)</f>
        <v>88037.01</v>
      </c>
      <c r="Y312" s="18" cm="1">
        <f t="array" ref="Y312">INDEX(GMWQ!$A$2:$NF$60,MATCH(1,(GMWQ!$NE$2:$NE$60=Y$3)*(GMWQ!$NF$2:$NF$60=Y$1),0),$B312-1966)</f>
        <v>89460.55</v>
      </c>
      <c r="Z312" s="18" cm="1">
        <f t="array" ref="Z312">INDEX(GMWQ!$A$2:$NF$60,MATCH(1,(GMWQ!$NE$2:$NE$60=Z$3)*(GMWQ!$NF$2:$NF$60=Z$1),0),$B312-1966)</f>
        <v>109937.4</v>
      </c>
    </row>
    <row r="313" spans="1:26" x14ac:dyDescent="0.25">
      <c r="B313" s="18">
        <f t="shared" si="6"/>
        <v>2279</v>
      </c>
      <c r="C313" s="18" cm="1">
        <f t="array" ref="C313">INDEX(GMWQ!$A$2:$NE$60,MATCH(1,(GMWQ!$NE$2:$NE$60=C$3)*(GMWQ!$ND$2:$ND$60=C$4),0),$B313-1966)</f>
        <v>114051.6</v>
      </c>
      <c r="D313" s="18" cm="1">
        <f t="array" ref="D313">INDEX(GMWQ!$A$2:$NE$60,MATCH(1,(GMWQ!$NE$2:$NE$60=D$3)*(GMWQ!$ND$2:$ND$60=D$4),0),$B313-1966)</f>
        <v>393183.4</v>
      </c>
      <c r="E313" s="18" cm="1">
        <f t="array" ref="E313">INDEX(GMWQ!$A$2:$NE$60,MATCH(1,(GMWQ!$NE$2:$NE$60=E$3)*(GMWQ!$ND$2:$ND$60=E$4),0),$B313-1966)</f>
        <v>-14320.66</v>
      </c>
      <c r="F313" s="18" cm="1">
        <f t="array" ref="F313">INDEX(GMWQ!$A$2:$NE$60,MATCH(1,(GMWQ!$NE$2:$NE$60=F$3)*(GMWQ!$ND$2:$ND$60=F$4),0),$B313-1966)</f>
        <v>-17562.259999999998</v>
      </c>
      <c r="G313" s="18" cm="1">
        <f t="array" ref="G313">INDEX(GMWQ!$A$2:$NE$60,MATCH(1,(GMWQ!$NE$2:$NE$60=G$3)*(GMWQ!$ND$2:$ND$60=G$4),0),$B313-1966)</f>
        <v>1782024</v>
      </c>
      <c r="H313" s="18" cm="1">
        <f t="array" ref="H313">INDEX(GMWQ!$A$2:$NE$60,MATCH(1,(GMWQ!$NE$2:$NE$60=H$3)*(GMWQ!$ND$2:$ND$60=H$4),0),$B313-1966)</f>
        <v>188016.9</v>
      </c>
      <c r="I313" s="18" cm="1">
        <f t="array" ref="I313">INDEX(GMWQ!$A$2:$NE$60,MATCH(1,(GMWQ!$NE$2:$NE$60=I$3)*(GMWQ!$ND$2:$ND$60=I$4),0),$B313-1966)</f>
        <v>24640.92</v>
      </c>
      <c r="J313" s="18" cm="1">
        <f t="array" ref="J313">INDEX(GMWQ!$A$2:$NE$60,MATCH(1,(GMWQ!$NE$2:$NE$60=J$3)*(GMWQ!$ND$2:$ND$60=J$4),0),$B313-1966)</f>
        <v>36468.199999999997</v>
      </c>
      <c r="K313" s="18" cm="1">
        <f t="array" ref="K313">INDEX(GMWQ!$A$2:$NE$60,MATCH(1,(GMWQ!$NE$2:$NE$60=K$3)*(GMWQ!$ND$2:$ND$60=K$4),0),$B313-1966)</f>
        <v>5313223</v>
      </c>
      <c r="L313" s="18" cm="1">
        <f t="array" ref="L313">INDEX(GMWQ!$A$2:$NE$60,MATCH(1,(GMWQ!$NE$2:$NE$60=L$3)*(GMWQ!$ND$2:$ND$60=L$4),0),$B313-1966)</f>
        <v>38635.5</v>
      </c>
      <c r="M313" s="18" cm="1">
        <f t="array" ref="M313">INDEX(GMWQ!$A$2:$NE$60,MATCH(1,(GMWQ!$NE$2:$NE$60=M$3)*(GMWQ!$ND$2:$ND$60=M$4),0),$B313-1966)</f>
        <v>31.950420000000001</v>
      </c>
      <c r="N313" s="18" cm="1">
        <f t="array" ref="N313">INDEX(GMWQ!$A$2:$NE$60,MATCH(1,(GMWQ!$NE$2:$NE$60=N$3)*(GMWQ!$ND$2:$ND$60=N$4),0),$B313-1966)</f>
        <v>9.4250969999999992</v>
      </c>
      <c r="O313" s="18" cm="1">
        <f t="array" ref="O313">INDEX(GMWQ!$A$2:$NE$60,MATCH(1,(GMWQ!$NE$2:$NE$60=O$3)*(GMWQ!$ND$2:$ND$60=O$4),0),$B313-1966)</f>
        <v>3.8562470000000002</v>
      </c>
      <c r="P313" s="18" cm="1">
        <f t="array" ref="P313">INDEX(GMWQ!$A$2:$NE$60,MATCH(1,(GMWQ!$NE$2:$NE$60=P$3)*(GMWQ!$ND$2:$ND$60=P$4),0),$B313-1966)</f>
        <v>1732174</v>
      </c>
      <c r="Q313" s="18" cm="1">
        <f t="array" ref="Q313">INDEX(GMWQ!$A$2:$NE$60,MATCH(1,(GMWQ!$NE$2:$NE$60=Q$3)*(GMWQ!$ND$2:$ND$60=Q$4),0),$B313-1966)</f>
        <v>1799.973</v>
      </c>
      <c r="R313" s="18" cm="1">
        <f t="array" ref="R313">INDEX(GMWQ!$A$2:$NE$60,MATCH(1,(GMWQ!$NE$2:$NE$60=R$3)*(GMWQ!$ND$2:$ND$60=R$4),0),$B313-1966)</f>
        <v>25380.65</v>
      </c>
      <c r="S313" s="18" cm="1">
        <f t="array" ref="S313">INDEX(GMWQ!$A$2:$NE$60,MATCH(1,(GMWQ!$NE$2:$NE$60=S$3)*(GMWQ!$ND$2:$ND$60=S$4),0),$B313-1966)</f>
        <v>142.32480000000001</v>
      </c>
      <c r="T313" s="18" cm="1">
        <f t="array" ref="T313">INDEX(GMWQ!$A$2:$NE$60,MATCH(1,(GMWQ!$NE$2:$NE$60=T$3)*(GMWQ!$ND$2:$ND$60=T$4),0),$B313-1966)</f>
        <v>109.4038</v>
      </c>
      <c r="U313" s="18" cm="1">
        <f t="array" ref="U313">INDEX(GMWQ!$A$2:$NE$60,MATCH(1,(GMWQ!$NE$2:$NE$60=U$3)*(GMWQ!$ND$2:$ND$60=U$4),0),$B313-1966)</f>
        <v>66.687020000000004</v>
      </c>
      <c r="V313" s="18" cm="1">
        <f t="array" ref="V313">INDEX(GMWQ!$A$2:$NE$60,MATCH(1,(GMWQ!$NE$2:$NE$60=V$3)*(GMWQ!$ND$2:$ND$60=V$4),0),$B313-1966)</f>
        <v>120113.9</v>
      </c>
      <c r="W313" s="18" cm="1">
        <f t="array" ref="W313">INDEX(GMWQ!$A$2:$NF$60,MATCH(1,(GMWQ!$NE$2:$NE$60=W$3)*(GMWQ!$NF$2:$NF$60=W$1),0),$B313-1966)</f>
        <v>82678.509999999995</v>
      </c>
      <c r="X313" s="18" cm="1">
        <f t="array" ref="X313">INDEX(GMWQ!$A$2:$NF$60,MATCH(1,(GMWQ!$NE$2:$NE$60=X$3)*(GMWQ!$NF$2:$NF$60=X$1),0),$B313-1966)</f>
        <v>88441.42</v>
      </c>
      <c r="Y313" s="18" cm="1">
        <f t="array" ref="Y313">INDEX(GMWQ!$A$2:$NF$60,MATCH(1,(GMWQ!$NE$2:$NE$60=Y$3)*(GMWQ!$NF$2:$NF$60=Y$1),0),$B313-1966)</f>
        <v>89859.48</v>
      </c>
      <c r="Z313" s="18" cm="1">
        <f t="array" ref="Z313">INDEX(GMWQ!$A$2:$NF$60,MATCH(1,(GMWQ!$NE$2:$NE$60=Z$3)*(GMWQ!$NF$2:$NF$60=Z$1),0),$B313-1966)</f>
        <v>110506</v>
      </c>
    </row>
    <row r="314" spans="1:26" x14ac:dyDescent="0.25">
      <c r="B314" s="18">
        <f t="shared" si="6"/>
        <v>2280</v>
      </c>
      <c r="C314" s="18" cm="1">
        <f t="array" ref="C314">INDEX(GMWQ!$A$2:$NE$60,MATCH(1,(GMWQ!$NE$2:$NE$60=C$3)*(GMWQ!$ND$2:$ND$60=C$4),0),$B314-1966)</f>
        <v>114638.8</v>
      </c>
      <c r="D314" s="18" cm="1">
        <f t="array" ref="D314">INDEX(GMWQ!$A$2:$NE$60,MATCH(1,(GMWQ!$NE$2:$NE$60=D$3)*(GMWQ!$ND$2:$ND$60=D$4),0),$B314-1966)</f>
        <v>396134.40000000002</v>
      </c>
      <c r="E314" s="18" cm="1">
        <f t="array" ref="E314">INDEX(GMWQ!$A$2:$NE$60,MATCH(1,(GMWQ!$NE$2:$NE$60=E$3)*(GMWQ!$ND$2:$ND$60=E$4),0),$B314-1966)</f>
        <v>6045.0479999999998</v>
      </c>
      <c r="F314" s="18" cm="1">
        <f t="array" ref="F314">INDEX(GMWQ!$A$2:$NE$60,MATCH(1,(GMWQ!$NE$2:$NE$60=F$3)*(GMWQ!$ND$2:$ND$60=F$4),0),$B314-1966)</f>
        <v>2773.9209999999998</v>
      </c>
      <c r="G314" s="18" cm="1">
        <f t="array" ref="G314">INDEX(GMWQ!$A$2:$NE$60,MATCH(1,(GMWQ!$NE$2:$NE$60=G$3)*(GMWQ!$ND$2:$ND$60=G$4),0),$B314-1966)</f>
        <v>1798256</v>
      </c>
      <c r="H314" s="18" cm="1">
        <f t="array" ref="H314">INDEX(GMWQ!$A$2:$NE$60,MATCH(1,(GMWQ!$NE$2:$NE$60=H$3)*(GMWQ!$ND$2:$ND$60=H$4),0),$B314-1966)</f>
        <v>188914.4</v>
      </c>
      <c r="I314" s="18" cm="1">
        <f t="array" ref="I314">INDEX(GMWQ!$A$2:$NE$60,MATCH(1,(GMWQ!$NE$2:$NE$60=I$3)*(GMWQ!$ND$2:$ND$60=I$4),0),$B314-1966)</f>
        <v>24756.7</v>
      </c>
      <c r="J314" s="18" cm="1">
        <f t="array" ref="J314">INDEX(GMWQ!$A$2:$NE$60,MATCH(1,(GMWQ!$NE$2:$NE$60=J$3)*(GMWQ!$ND$2:$ND$60=J$4),0),$B314-1966)</f>
        <v>36602.35</v>
      </c>
      <c r="K314" s="18" cm="1">
        <f t="array" ref="K314">INDEX(GMWQ!$A$2:$NE$60,MATCH(1,(GMWQ!$NE$2:$NE$60=K$3)*(GMWQ!$ND$2:$ND$60=K$4),0),$B314-1966)</f>
        <v>5338313</v>
      </c>
      <c r="L314" s="18" cm="1">
        <f t="array" ref="L314">INDEX(GMWQ!$A$2:$NE$60,MATCH(1,(GMWQ!$NE$2:$NE$60=L$3)*(GMWQ!$ND$2:$ND$60=L$4),0),$B314-1966)</f>
        <v>38671.449999999997</v>
      </c>
      <c r="M314" s="18" cm="1">
        <f t="array" ref="M314">INDEX(GMWQ!$A$2:$NE$60,MATCH(1,(GMWQ!$NE$2:$NE$60=M$3)*(GMWQ!$ND$2:$ND$60=M$4),0),$B314-1966)</f>
        <v>31.949670000000001</v>
      </c>
      <c r="N314" s="18" cm="1">
        <f t="array" ref="N314">INDEX(GMWQ!$A$2:$NE$60,MATCH(1,(GMWQ!$NE$2:$NE$60=N$3)*(GMWQ!$ND$2:$ND$60=N$4),0),$B314-1966)</f>
        <v>9.4364860000000004</v>
      </c>
      <c r="O314" s="18" cm="1">
        <f t="array" ref="O314">INDEX(GMWQ!$A$2:$NE$60,MATCH(1,(GMWQ!$NE$2:$NE$60=O$3)*(GMWQ!$ND$2:$ND$60=O$4),0),$B314-1966)</f>
        <v>3.8562470000000002</v>
      </c>
      <c r="P314" s="18" cm="1">
        <f t="array" ref="P314">INDEX(GMWQ!$A$2:$NE$60,MATCH(1,(GMWQ!$NE$2:$NE$60=P$3)*(GMWQ!$ND$2:$ND$60=P$4),0),$B314-1966)</f>
        <v>1753739</v>
      </c>
      <c r="Q314" s="18" cm="1">
        <f t="array" ref="Q314">INDEX(GMWQ!$A$2:$NE$60,MATCH(1,(GMWQ!$NE$2:$NE$60=Q$3)*(GMWQ!$ND$2:$ND$60=Q$4),0),$B314-1966)</f>
        <v>1810.1969999999999</v>
      </c>
      <c r="R314" s="18" cm="1">
        <f t="array" ref="R314">INDEX(GMWQ!$A$2:$NE$60,MATCH(1,(GMWQ!$NE$2:$NE$60=R$3)*(GMWQ!$ND$2:$ND$60=R$4),0),$B314-1966)</f>
        <v>25394.49</v>
      </c>
      <c r="S314" s="18" cm="1">
        <f t="array" ref="S314">INDEX(GMWQ!$A$2:$NE$60,MATCH(1,(GMWQ!$NE$2:$NE$60=S$3)*(GMWQ!$ND$2:$ND$60=S$4),0),$B314-1966)</f>
        <v>142.6431</v>
      </c>
      <c r="T314" s="18" cm="1">
        <f t="array" ref="T314">INDEX(GMWQ!$A$2:$NE$60,MATCH(1,(GMWQ!$NE$2:$NE$60=T$3)*(GMWQ!$ND$2:$ND$60=T$4),0),$B314-1966)</f>
        <v>109.5051</v>
      </c>
      <c r="U314" s="18" cm="1">
        <f t="array" ref="U314">INDEX(GMWQ!$A$2:$NE$60,MATCH(1,(GMWQ!$NE$2:$NE$60=U$3)*(GMWQ!$ND$2:$ND$60=U$4),0),$B314-1966)</f>
        <v>66.725520000000003</v>
      </c>
      <c r="V314" s="18" cm="1">
        <f t="array" ref="V314">INDEX(GMWQ!$A$2:$NE$60,MATCH(1,(GMWQ!$NE$2:$NE$60=V$3)*(GMWQ!$ND$2:$ND$60=V$4),0),$B314-1966)</f>
        <v>120658.7</v>
      </c>
      <c r="W314" s="18" cm="1">
        <f t="array" ref="W314">INDEX(GMWQ!$A$2:$NF$60,MATCH(1,(GMWQ!$NE$2:$NE$60=W$3)*(GMWQ!$NF$2:$NF$60=W$1),0),$B314-1966)</f>
        <v>83020.09</v>
      </c>
      <c r="X314" s="18" cm="1">
        <f t="array" ref="X314">INDEX(GMWQ!$A$2:$NF$60,MATCH(1,(GMWQ!$NE$2:$NE$60=X$3)*(GMWQ!$NF$2:$NF$60=X$1),0),$B314-1966)</f>
        <v>88847.360000000001</v>
      </c>
      <c r="Y314" s="18" cm="1">
        <f t="array" ref="Y314">INDEX(GMWQ!$A$2:$NF$60,MATCH(1,(GMWQ!$NE$2:$NE$60=Y$3)*(GMWQ!$NF$2:$NF$60=Y$1),0),$B314-1966)</f>
        <v>90259.76</v>
      </c>
      <c r="Z314" s="18" cm="1">
        <f t="array" ref="Z314">INDEX(GMWQ!$A$2:$NF$60,MATCH(1,(GMWQ!$NE$2:$NE$60=Z$3)*(GMWQ!$NF$2:$NF$60=Z$1),0),$B314-1966)</f>
        <v>111077</v>
      </c>
    </row>
    <row r="315" spans="1:26" x14ac:dyDescent="0.25">
      <c r="A315" s="18">
        <v>2050</v>
      </c>
      <c r="B315" s="18">
        <f t="shared" si="6"/>
        <v>2281</v>
      </c>
      <c r="C315" s="18" cm="1">
        <f t="array" ref="C315">INDEX(GMWQ!$A$2:$NE$60,MATCH(1,(GMWQ!$NE$2:$NE$60=C$3)*(GMWQ!$ND$2:$ND$60=C$4),0),$B315-1966)</f>
        <v>115228.5</v>
      </c>
      <c r="D315" s="18" cm="1">
        <f t="array" ref="D315">INDEX(GMWQ!$A$2:$NE$60,MATCH(1,(GMWQ!$NE$2:$NE$60=D$3)*(GMWQ!$ND$2:$ND$60=D$4),0),$B315-1966)</f>
        <v>399782.8</v>
      </c>
      <c r="E315" s="18" cm="1">
        <f t="array" ref="E315">INDEX(GMWQ!$A$2:$NE$60,MATCH(1,(GMWQ!$NE$2:$NE$60=E$3)*(GMWQ!$ND$2:$ND$60=E$4),0),$B315-1966)</f>
        <v>-23592.33</v>
      </c>
      <c r="F315" s="18" cm="1">
        <f t="array" ref="F315">INDEX(GMWQ!$A$2:$NE$60,MATCH(1,(GMWQ!$NE$2:$NE$60=F$3)*(GMWQ!$ND$2:$ND$60=F$4),0),$B315-1966)</f>
        <v>-26893.27</v>
      </c>
      <c r="G315" s="18" cm="1">
        <f t="array" ref="G315">INDEX(GMWQ!$A$2:$NE$60,MATCH(1,(GMWQ!$NE$2:$NE$60=G$3)*(GMWQ!$ND$2:$ND$60=G$4),0),$B315-1966)</f>
        <v>1814645</v>
      </c>
      <c r="H315" s="18" cm="1">
        <f t="array" ref="H315">INDEX(GMWQ!$A$2:$NE$60,MATCH(1,(GMWQ!$NE$2:$NE$60=H$3)*(GMWQ!$ND$2:$ND$60=H$4),0),$B315-1966)</f>
        <v>189815.4</v>
      </c>
      <c r="I315" s="18" cm="1">
        <f t="array" ref="I315">INDEX(GMWQ!$A$2:$NE$60,MATCH(1,(GMWQ!$NE$2:$NE$60=I$3)*(GMWQ!$ND$2:$ND$60=I$4),0),$B315-1966)</f>
        <v>24872.9</v>
      </c>
      <c r="J315" s="18" cm="1">
        <f t="array" ref="J315">INDEX(GMWQ!$A$2:$NE$60,MATCH(1,(GMWQ!$NE$2:$NE$60=J$3)*(GMWQ!$ND$2:$ND$60=J$4),0),$B315-1966)</f>
        <v>36736.82</v>
      </c>
      <c r="K315" s="18" cm="1">
        <f t="array" ref="K315">INDEX(GMWQ!$A$2:$NE$60,MATCH(1,(GMWQ!$NE$2:$NE$60=K$3)*(GMWQ!$ND$2:$ND$60=K$4),0),$B315-1966)</f>
        <v>5363495</v>
      </c>
      <c r="L315" s="18" cm="1">
        <f t="array" ref="L315">INDEX(GMWQ!$A$2:$NE$60,MATCH(1,(GMWQ!$NE$2:$NE$60=L$3)*(GMWQ!$ND$2:$ND$60=L$4),0),$B315-1966)</f>
        <v>38707.39</v>
      </c>
      <c r="M315" s="18" cm="1">
        <f t="array" ref="M315">INDEX(GMWQ!$A$2:$NE$60,MATCH(1,(GMWQ!$NE$2:$NE$60=M$3)*(GMWQ!$ND$2:$ND$60=M$4),0),$B315-1966)</f>
        <v>31.948920000000001</v>
      </c>
      <c r="N315" s="18" cm="1">
        <f t="array" ref="N315">INDEX(GMWQ!$A$2:$NE$60,MATCH(1,(GMWQ!$NE$2:$NE$60=N$3)*(GMWQ!$ND$2:$ND$60=N$4),0),$B315-1966)</f>
        <v>9.4431189999999994</v>
      </c>
      <c r="O315" s="18" cm="1">
        <f t="array" ref="O315">INDEX(GMWQ!$A$2:$NE$60,MATCH(1,(GMWQ!$NE$2:$NE$60=O$3)*(GMWQ!$ND$2:$ND$60=O$4),0),$B315-1966)</f>
        <v>3.8562470000000002</v>
      </c>
      <c r="P315" s="18" cm="1">
        <f t="array" ref="P315">INDEX(GMWQ!$A$2:$NE$60,MATCH(1,(GMWQ!$NE$2:$NE$60=P$3)*(GMWQ!$ND$2:$ND$60=P$4),0),$B315-1966)</f>
        <v>1774925</v>
      </c>
      <c r="Q315" s="18" cm="1">
        <f t="array" ref="Q315">INDEX(GMWQ!$A$2:$NE$60,MATCH(1,(GMWQ!$NE$2:$NE$60=Q$3)*(GMWQ!$ND$2:$ND$60=Q$4),0),$B315-1966)</f>
        <v>1820.4570000000001</v>
      </c>
      <c r="R315" s="18" cm="1">
        <f t="array" ref="R315">INDEX(GMWQ!$A$2:$NE$60,MATCH(1,(GMWQ!$NE$2:$NE$60=R$3)*(GMWQ!$ND$2:$ND$60=R$4),0),$B315-1966)</f>
        <v>25410.05</v>
      </c>
      <c r="S315" s="18" cm="1">
        <f t="array" ref="S315">INDEX(GMWQ!$A$2:$NE$60,MATCH(1,(GMWQ!$NE$2:$NE$60=S$3)*(GMWQ!$ND$2:$ND$60=S$4),0),$B315-1966)</f>
        <v>142.96039999999999</v>
      </c>
      <c r="T315" s="18" cm="1">
        <f t="array" ref="T315">INDEX(GMWQ!$A$2:$NE$60,MATCH(1,(GMWQ!$NE$2:$NE$60=T$3)*(GMWQ!$ND$2:$ND$60=T$4),0),$B315-1966)</f>
        <v>109.693</v>
      </c>
      <c r="U315" s="18" cm="1">
        <f t="array" ref="U315">INDEX(GMWQ!$A$2:$NE$60,MATCH(1,(GMWQ!$NE$2:$NE$60=U$3)*(GMWQ!$ND$2:$ND$60=U$4),0),$B315-1966)</f>
        <v>66.76388</v>
      </c>
      <c r="V315" s="18" cm="1">
        <f t="array" ref="V315">INDEX(GMWQ!$A$2:$NE$60,MATCH(1,(GMWQ!$NE$2:$NE$60=V$3)*(GMWQ!$ND$2:$ND$60=V$4),0),$B315-1966)</f>
        <v>121201.7</v>
      </c>
      <c r="W315" s="18" cm="1">
        <f t="array" ref="W315">INDEX(GMWQ!$A$2:$NF$60,MATCH(1,(GMWQ!$NE$2:$NE$60=W$3)*(GMWQ!$NF$2:$NF$60=W$1),0),$B315-1966)</f>
        <v>83362.710000000006</v>
      </c>
      <c r="X315" s="18" cm="1">
        <f t="array" ref="X315">INDEX(GMWQ!$A$2:$NF$60,MATCH(1,(GMWQ!$NE$2:$NE$60=X$3)*(GMWQ!$NF$2:$NF$60=X$1),0),$B315-1966)</f>
        <v>89254.79</v>
      </c>
      <c r="Y315" s="18" cm="1">
        <f t="array" ref="Y315">INDEX(GMWQ!$A$2:$NF$60,MATCH(1,(GMWQ!$NE$2:$NE$60=Y$3)*(GMWQ!$NF$2:$NF$60=Y$1),0),$B315-1966)</f>
        <v>90661.41</v>
      </c>
      <c r="Z315" s="18" cm="1">
        <f t="array" ref="Z315">INDEX(GMWQ!$A$2:$NF$60,MATCH(1,(GMWQ!$NE$2:$NE$60=Z$3)*(GMWQ!$NF$2:$NF$60=Z$1),0),$B315-1966)</f>
        <v>111650.5</v>
      </c>
    </row>
    <row r="316" spans="1:26" x14ac:dyDescent="0.25">
      <c r="B316" s="18">
        <f t="shared" si="6"/>
        <v>2282</v>
      </c>
      <c r="C316" s="18" cm="1">
        <f t="array" ref="C316">INDEX(GMWQ!$A$2:$NE$60,MATCH(1,(GMWQ!$NE$2:$NE$60=C$3)*(GMWQ!$ND$2:$ND$60=C$4),0),$B316-1966)</f>
        <v>115820.7</v>
      </c>
      <c r="D316" s="18" cm="1">
        <f t="array" ref="D316">INDEX(GMWQ!$A$2:$NE$60,MATCH(1,(GMWQ!$NE$2:$NE$60=D$3)*(GMWQ!$ND$2:$ND$60=D$4),0),$B316-1966)</f>
        <v>403692.5</v>
      </c>
      <c r="E316" s="18" cm="1">
        <f t="array" ref="E316">INDEX(GMWQ!$A$2:$NE$60,MATCH(1,(GMWQ!$NE$2:$NE$60=E$3)*(GMWQ!$ND$2:$ND$60=E$4),0),$B316-1966)</f>
        <v>-8517.875</v>
      </c>
      <c r="F316" s="18" cm="1">
        <f t="array" ref="F316">INDEX(GMWQ!$A$2:$NE$60,MATCH(1,(GMWQ!$NE$2:$NE$60=F$3)*(GMWQ!$ND$2:$ND$60=F$4),0),$B316-1966)</f>
        <v>-11848.88</v>
      </c>
      <c r="G316" s="18" cm="1">
        <f t="array" ref="G316">INDEX(GMWQ!$A$2:$NE$60,MATCH(1,(GMWQ!$NE$2:$NE$60=G$3)*(GMWQ!$ND$2:$ND$60=G$4),0),$B316-1966)</f>
        <v>1831176</v>
      </c>
      <c r="H316" s="18" cm="1">
        <f t="array" ref="H316">INDEX(GMWQ!$A$2:$NE$60,MATCH(1,(GMWQ!$NE$2:$NE$60=H$3)*(GMWQ!$ND$2:$ND$60=H$4),0),$B316-1966)</f>
        <v>190719.9</v>
      </c>
      <c r="I316" s="18" cm="1">
        <f t="array" ref="I316">INDEX(GMWQ!$A$2:$NE$60,MATCH(1,(GMWQ!$NE$2:$NE$60=I$3)*(GMWQ!$ND$2:$ND$60=I$4),0),$B316-1966)</f>
        <v>24989.55</v>
      </c>
      <c r="J316" s="18" cm="1">
        <f t="array" ref="J316">INDEX(GMWQ!$A$2:$NE$60,MATCH(1,(GMWQ!$NE$2:$NE$60=J$3)*(GMWQ!$ND$2:$ND$60=J$4),0),$B316-1966)</f>
        <v>36871.629999999997</v>
      </c>
      <c r="K316" s="18" cm="1">
        <f t="array" ref="K316">INDEX(GMWQ!$A$2:$NE$60,MATCH(1,(GMWQ!$NE$2:$NE$60=K$3)*(GMWQ!$ND$2:$ND$60=K$4),0),$B316-1966)</f>
        <v>5388768</v>
      </c>
      <c r="L316" s="18" cm="1">
        <f t="array" ref="L316">INDEX(GMWQ!$A$2:$NE$60,MATCH(1,(GMWQ!$NE$2:$NE$60=L$3)*(GMWQ!$ND$2:$ND$60=L$4),0),$B316-1966)</f>
        <v>38743.339999999997</v>
      </c>
      <c r="M316" s="18" cm="1">
        <f t="array" ref="M316">INDEX(GMWQ!$A$2:$NE$60,MATCH(1,(GMWQ!$NE$2:$NE$60=M$3)*(GMWQ!$ND$2:$ND$60=M$4),0),$B316-1966)</f>
        <v>31.948170000000001</v>
      </c>
      <c r="N316" s="18" cm="1">
        <f t="array" ref="N316">INDEX(GMWQ!$A$2:$NE$60,MATCH(1,(GMWQ!$NE$2:$NE$60=N$3)*(GMWQ!$ND$2:$ND$60=N$4),0),$B316-1966)</f>
        <v>9.4488970000000005</v>
      </c>
      <c r="O316" s="18" cm="1">
        <f t="array" ref="O316">INDEX(GMWQ!$A$2:$NE$60,MATCH(1,(GMWQ!$NE$2:$NE$60=O$3)*(GMWQ!$ND$2:$ND$60=O$4),0),$B316-1966)</f>
        <v>3.8562470000000002</v>
      </c>
      <c r="P316" s="18" cm="1">
        <f t="array" ref="P316">INDEX(GMWQ!$A$2:$NE$60,MATCH(1,(GMWQ!$NE$2:$NE$60=P$3)*(GMWQ!$ND$2:$ND$60=P$4),0),$B316-1966)</f>
        <v>1796712</v>
      </c>
      <c r="Q316" s="18" cm="1">
        <f t="array" ref="Q316">INDEX(GMWQ!$A$2:$NE$60,MATCH(1,(GMWQ!$NE$2:$NE$60=Q$3)*(GMWQ!$ND$2:$ND$60=Q$4),0),$B316-1966)</f>
        <v>1830.76</v>
      </c>
      <c r="R316" s="18" cm="1">
        <f t="array" ref="R316">INDEX(GMWQ!$A$2:$NE$60,MATCH(1,(GMWQ!$NE$2:$NE$60=R$3)*(GMWQ!$ND$2:$ND$60=R$4),0),$B316-1966)</f>
        <v>25425.7</v>
      </c>
      <c r="S316" s="18" cm="1">
        <f t="array" ref="S316">INDEX(GMWQ!$A$2:$NE$60,MATCH(1,(GMWQ!$NE$2:$NE$60=S$3)*(GMWQ!$ND$2:$ND$60=S$4),0),$B316-1966)</f>
        <v>143.279</v>
      </c>
      <c r="T316" s="18" cm="1">
        <f t="array" ref="T316">INDEX(GMWQ!$A$2:$NE$60,MATCH(1,(GMWQ!$NE$2:$NE$60=T$3)*(GMWQ!$ND$2:$ND$60=T$4),0),$B316-1966)</f>
        <v>109.88</v>
      </c>
      <c r="U316" s="18" cm="1">
        <f t="array" ref="U316">INDEX(GMWQ!$A$2:$NE$60,MATCH(1,(GMWQ!$NE$2:$NE$60=U$3)*(GMWQ!$ND$2:$ND$60=U$4),0),$B316-1966)</f>
        <v>66.807460000000006</v>
      </c>
      <c r="V316" s="18" cm="1">
        <f t="array" ref="V316">INDEX(GMWQ!$A$2:$NE$60,MATCH(1,(GMWQ!$NE$2:$NE$60=V$3)*(GMWQ!$ND$2:$ND$60=V$4),0),$B316-1966)</f>
        <v>121739.1</v>
      </c>
      <c r="W316" s="18" cm="1">
        <f t="array" ref="W316">INDEX(GMWQ!$A$2:$NF$60,MATCH(1,(GMWQ!$NE$2:$NE$60=W$3)*(GMWQ!$NF$2:$NF$60=W$1),0),$B316-1966)</f>
        <v>83706.42</v>
      </c>
      <c r="X316" s="18" cm="1">
        <f t="array" ref="X316">INDEX(GMWQ!$A$2:$NF$60,MATCH(1,(GMWQ!$NE$2:$NE$60=X$3)*(GMWQ!$NF$2:$NF$60=X$1),0),$B316-1966)</f>
        <v>89663.73</v>
      </c>
      <c r="Y316" s="18" cm="1">
        <f t="array" ref="Y316">INDEX(GMWQ!$A$2:$NF$60,MATCH(1,(GMWQ!$NE$2:$NE$60=Y$3)*(GMWQ!$NF$2:$NF$60=Y$1),0),$B316-1966)</f>
        <v>91064.39</v>
      </c>
      <c r="Z316" s="18" cm="1">
        <f t="array" ref="Z316">INDEX(GMWQ!$A$2:$NF$60,MATCH(1,(GMWQ!$NE$2:$NE$60=Z$3)*(GMWQ!$NF$2:$NF$60=Z$1),0),$B316-1966)</f>
        <v>112226.4</v>
      </c>
    </row>
    <row r="317" spans="1:26" x14ac:dyDescent="0.25">
      <c r="B317" s="18">
        <f t="shared" si="6"/>
        <v>2283</v>
      </c>
      <c r="C317" s="18" cm="1">
        <f t="array" ref="C317">INDEX(GMWQ!$A$2:$NE$60,MATCH(1,(GMWQ!$NE$2:$NE$60=C$3)*(GMWQ!$ND$2:$ND$60=C$4),0),$B317-1966)</f>
        <v>116415.4</v>
      </c>
      <c r="D317" s="18" cm="1">
        <f t="array" ref="D317">INDEX(GMWQ!$A$2:$NE$60,MATCH(1,(GMWQ!$NE$2:$NE$60=D$3)*(GMWQ!$ND$2:$ND$60=D$4),0),$B317-1966)</f>
        <v>407709.7</v>
      </c>
      <c r="E317" s="18" cm="1">
        <f t="array" ref="E317">INDEX(GMWQ!$A$2:$NE$60,MATCH(1,(GMWQ!$NE$2:$NE$60=E$3)*(GMWQ!$ND$2:$ND$60=E$4),0),$B317-1966)</f>
        <v>-14837.19</v>
      </c>
      <c r="F317" s="18" cm="1">
        <f t="array" ref="F317">INDEX(GMWQ!$A$2:$NE$60,MATCH(1,(GMWQ!$NE$2:$NE$60=F$3)*(GMWQ!$ND$2:$ND$60=F$4),0),$B317-1966)</f>
        <v>-18198.53</v>
      </c>
      <c r="G317" s="18" cm="1">
        <f t="array" ref="G317">INDEX(GMWQ!$A$2:$NE$60,MATCH(1,(GMWQ!$NE$2:$NE$60=G$3)*(GMWQ!$ND$2:$ND$60=G$4),0),$B317-1966)</f>
        <v>1847848</v>
      </c>
      <c r="H317" s="18" cm="1">
        <f t="array" ref="H317">INDEX(GMWQ!$A$2:$NE$60,MATCH(1,(GMWQ!$NE$2:$NE$60=H$3)*(GMWQ!$ND$2:$ND$60=H$4),0),$B317-1966)</f>
        <v>191627.9</v>
      </c>
      <c r="I317" s="18" cm="1">
        <f t="array" ref="I317">INDEX(GMWQ!$A$2:$NE$60,MATCH(1,(GMWQ!$NE$2:$NE$60=I$3)*(GMWQ!$ND$2:$ND$60=I$4),0),$B317-1966)</f>
        <v>25106.62</v>
      </c>
      <c r="J317" s="18" cm="1">
        <f t="array" ref="J317">INDEX(GMWQ!$A$2:$NE$60,MATCH(1,(GMWQ!$NE$2:$NE$60=J$3)*(GMWQ!$ND$2:$ND$60=J$4),0),$B317-1966)</f>
        <v>37006.76</v>
      </c>
      <c r="K317" s="18" cm="1">
        <f t="array" ref="K317">INDEX(GMWQ!$A$2:$NE$60,MATCH(1,(GMWQ!$NE$2:$NE$60=K$3)*(GMWQ!$ND$2:$ND$60=K$4),0),$B317-1966)</f>
        <v>5414134</v>
      </c>
      <c r="L317" s="18" cm="1">
        <f t="array" ref="L317">INDEX(GMWQ!$A$2:$NE$60,MATCH(1,(GMWQ!$NE$2:$NE$60=L$3)*(GMWQ!$ND$2:$ND$60=L$4),0),$B317-1966)</f>
        <v>38779.279999999999</v>
      </c>
      <c r="M317" s="18" cm="1">
        <f t="array" ref="M317">INDEX(GMWQ!$A$2:$NE$60,MATCH(1,(GMWQ!$NE$2:$NE$60=M$3)*(GMWQ!$ND$2:$ND$60=M$4),0),$B317-1966)</f>
        <v>31.947420000000001</v>
      </c>
      <c r="N317" s="18" cm="1">
        <f t="array" ref="N317">INDEX(GMWQ!$A$2:$NE$60,MATCH(1,(GMWQ!$NE$2:$NE$60=N$3)*(GMWQ!$ND$2:$ND$60=N$4),0),$B317-1966)</f>
        <v>9.4546910000000004</v>
      </c>
      <c r="O317" s="18" cm="1">
        <f t="array" ref="O317">INDEX(GMWQ!$A$2:$NE$60,MATCH(1,(GMWQ!$NE$2:$NE$60=O$3)*(GMWQ!$ND$2:$ND$60=O$4),0),$B317-1966)</f>
        <v>3.8562470000000002</v>
      </c>
      <c r="P317" s="18" cm="1">
        <f t="array" ref="P317">INDEX(GMWQ!$A$2:$NE$60,MATCH(1,(GMWQ!$NE$2:$NE$60=P$3)*(GMWQ!$ND$2:$ND$60=P$4),0),$B317-1966)</f>
        <v>1819076</v>
      </c>
      <c r="Q317" s="18" cm="1">
        <f t="array" ref="Q317">INDEX(GMWQ!$A$2:$NE$60,MATCH(1,(GMWQ!$NE$2:$NE$60=Q$3)*(GMWQ!$ND$2:$ND$60=Q$4),0),$B317-1966)</f>
        <v>1841.107</v>
      </c>
      <c r="R317" s="18" cm="1">
        <f t="array" ref="R317">INDEX(GMWQ!$A$2:$NE$60,MATCH(1,(GMWQ!$NE$2:$NE$60=R$3)*(GMWQ!$ND$2:$ND$60=R$4),0),$B317-1966)</f>
        <v>25441.19</v>
      </c>
      <c r="S317" s="18" cm="1">
        <f t="array" ref="S317">INDEX(GMWQ!$A$2:$NE$60,MATCH(1,(GMWQ!$NE$2:$NE$60=S$3)*(GMWQ!$ND$2:$ND$60=S$4),0),$B317-1966)</f>
        <v>143.5985</v>
      </c>
      <c r="T317" s="18" cm="1">
        <f t="array" ref="T317">INDEX(GMWQ!$A$2:$NE$60,MATCH(1,(GMWQ!$NE$2:$NE$60=T$3)*(GMWQ!$ND$2:$ND$60=T$4),0),$B317-1966)</f>
        <v>110.0706</v>
      </c>
      <c r="U317" s="18" cm="1">
        <f t="array" ref="U317">INDEX(GMWQ!$A$2:$NE$60,MATCH(1,(GMWQ!$NE$2:$NE$60=U$3)*(GMWQ!$ND$2:$ND$60=U$4),0),$B317-1966)</f>
        <v>66.850930000000005</v>
      </c>
      <c r="V317" s="18" cm="1">
        <f t="array" ref="V317">INDEX(GMWQ!$A$2:$NE$60,MATCH(1,(GMWQ!$NE$2:$NE$60=V$3)*(GMWQ!$ND$2:$ND$60=V$4),0),$B317-1966)</f>
        <v>122284.1</v>
      </c>
      <c r="W317" s="18" cm="1">
        <f t="array" ref="W317">INDEX(GMWQ!$A$2:$NF$60,MATCH(1,(GMWQ!$NE$2:$NE$60=W$3)*(GMWQ!$NF$2:$NF$60=W$1),0),$B317-1966)</f>
        <v>84051.199999999997</v>
      </c>
      <c r="X317" s="18" cm="1">
        <f t="array" ref="X317">INDEX(GMWQ!$A$2:$NF$60,MATCH(1,(GMWQ!$NE$2:$NE$60=X$3)*(GMWQ!$NF$2:$NF$60=X$1),0),$B317-1966)</f>
        <v>90074.2</v>
      </c>
      <c r="Y317" s="18" cm="1">
        <f t="array" ref="Y317">INDEX(GMWQ!$A$2:$NF$60,MATCH(1,(GMWQ!$NE$2:$NE$60=Y$3)*(GMWQ!$NF$2:$NF$60=Y$1),0),$B317-1966)</f>
        <v>91468.73</v>
      </c>
      <c r="Z317" s="18" cm="1">
        <f t="array" ref="Z317">INDEX(GMWQ!$A$2:$NF$60,MATCH(1,(GMWQ!$NE$2:$NE$60=Z$3)*(GMWQ!$NF$2:$NF$60=Z$1),0),$B317-1966)</f>
        <v>112804.8</v>
      </c>
    </row>
    <row r="318" spans="1:26" x14ac:dyDescent="0.25">
      <c r="B318" s="18">
        <f t="shared" si="6"/>
        <v>2284</v>
      </c>
      <c r="C318" s="18" cm="1">
        <f t="array" ref="C318">INDEX(GMWQ!$A$2:$NE$60,MATCH(1,(GMWQ!$NE$2:$NE$60=C$3)*(GMWQ!$ND$2:$ND$60=C$4),0),$B318-1966)</f>
        <v>117012.7</v>
      </c>
      <c r="D318" s="18" cm="1">
        <f t="array" ref="D318">INDEX(GMWQ!$A$2:$NE$60,MATCH(1,(GMWQ!$NE$2:$NE$60=D$3)*(GMWQ!$ND$2:$ND$60=D$4),0),$B318-1966)</f>
        <v>410766.6</v>
      </c>
      <c r="E318" s="18" cm="1">
        <f t="array" ref="E318">INDEX(GMWQ!$A$2:$NE$60,MATCH(1,(GMWQ!$NE$2:$NE$60=E$3)*(GMWQ!$ND$2:$ND$60=E$4),0),$B318-1966)</f>
        <v>6274.299</v>
      </c>
      <c r="F318" s="18" cm="1">
        <f t="array" ref="F318">INDEX(GMWQ!$A$2:$NE$60,MATCH(1,(GMWQ!$NE$2:$NE$60=F$3)*(GMWQ!$ND$2:$ND$60=F$4),0),$B318-1966)</f>
        <v>2882.3690000000001</v>
      </c>
      <c r="G318" s="18" cm="1">
        <f t="array" ref="G318">INDEX(GMWQ!$A$2:$NE$60,MATCH(1,(GMWQ!$NE$2:$NE$60=G$3)*(GMWQ!$ND$2:$ND$60=G$4),0),$B318-1966)</f>
        <v>1864665</v>
      </c>
      <c r="H318" s="18" cm="1">
        <f t="array" ref="H318">INDEX(GMWQ!$A$2:$NE$60,MATCH(1,(GMWQ!$NE$2:$NE$60=H$3)*(GMWQ!$ND$2:$ND$60=H$4),0),$B318-1966)</f>
        <v>192539.5</v>
      </c>
      <c r="I318" s="18" cm="1">
        <f t="array" ref="I318">INDEX(GMWQ!$A$2:$NE$60,MATCH(1,(GMWQ!$NE$2:$NE$60=I$3)*(GMWQ!$ND$2:$ND$60=I$4),0),$B318-1966)</f>
        <v>25224.13</v>
      </c>
      <c r="J318" s="18" cm="1">
        <f t="array" ref="J318">INDEX(GMWQ!$A$2:$NE$60,MATCH(1,(GMWQ!$NE$2:$NE$60=J$3)*(GMWQ!$ND$2:$ND$60=J$4),0),$B318-1966)</f>
        <v>37142.22</v>
      </c>
      <c r="K318" s="18" cm="1">
        <f t="array" ref="K318">INDEX(GMWQ!$A$2:$NE$60,MATCH(1,(GMWQ!$NE$2:$NE$60=K$3)*(GMWQ!$ND$2:$ND$60=K$4),0),$B318-1966)</f>
        <v>5439592</v>
      </c>
      <c r="L318" s="18" cm="1">
        <f t="array" ref="L318">INDEX(GMWQ!$A$2:$NE$60,MATCH(1,(GMWQ!$NE$2:$NE$60=L$3)*(GMWQ!$ND$2:$ND$60=L$4),0),$B318-1966)</f>
        <v>38815.22</v>
      </c>
      <c r="M318" s="18" cm="1">
        <f t="array" ref="M318">INDEX(GMWQ!$A$2:$NE$60,MATCH(1,(GMWQ!$NE$2:$NE$60=M$3)*(GMWQ!$ND$2:$ND$60=M$4),0),$B318-1966)</f>
        <v>31.946670000000001</v>
      </c>
      <c r="N318" s="18" cm="1">
        <f t="array" ref="N318">INDEX(GMWQ!$A$2:$NE$60,MATCH(1,(GMWQ!$NE$2:$NE$60=N$3)*(GMWQ!$ND$2:$ND$60=N$4),0),$B318-1966)</f>
        <v>9.4662880000000005</v>
      </c>
      <c r="O318" s="18" cm="1">
        <f t="array" ref="O318">INDEX(GMWQ!$A$2:$NE$60,MATCH(1,(GMWQ!$NE$2:$NE$60=O$3)*(GMWQ!$ND$2:$ND$60=O$4),0),$B318-1966)</f>
        <v>3.8562470000000002</v>
      </c>
      <c r="P318" s="18" cm="1">
        <f t="array" ref="P318">INDEX(GMWQ!$A$2:$NE$60,MATCH(1,(GMWQ!$NE$2:$NE$60=P$3)*(GMWQ!$ND$2:$ND$60=P$4),0),$B318-1966)</f>
        <v>1841758</v>
      </c>
      <c r="Q318" s="18" cm="1">
        <f t="array" ref="Q318">INDEX(GMWQ!$A$2:$NE$60,MATCH(1,(GMWQ!$NE$2:$NE$60=Q$3)*(GMWQ!$ND$2:$ND$60=Q$4),0),$B318-1966)</f>
        <v>1851.5029999999999</v>
      </c>
      <c r="R318" s="18" cm="1">
        <f t="array" ref="R318">INDEX(GMWQ!$A$2:$NE$60,MATCH(1,(GMWQ!$NE$2:$NE$60=R$3)*(GMWQ!$ND$2:$ND$60=R$4),0),$B318-1966)</f>
        <v>25458.42</v>
      </c>
      <c r="S318" s="18" cm="1">
        <f t="array" ref="S318">INDEX(GMWQ!$A$2:$NE$60,MATCH(1,(GMWQ!$NE$2:$NE$60=S$3)*(GMWQ!$ND$2:$ND$60=S$4),0),$B318-1966)</f>
        <v>143.9194</v>
      </c>
      <c r="T318" s="18" cm="1">
        <f t="array" ref="T318">INDEX(GMWQ!$A$2:$NE$60,MATCH(1,(GMWQ!$NE$2:$NE$60=T$3)*(GMWQ!$ND$2:$ND$60=T$4),0),$B318-1966)</f>
        <v>110.262</v>
      </c>
      <c r="U318" s="18" cm="1">
        <f t="array" ref="U318">INDEX(GMWQ!$A$2:$NE$60,MATCH(1,(GMWQ!$NE$2:$NE$60=U$3)*(GMWQ!$ND$2:$ND$60=U$4),0),$B318-1966)</f>
        <v>66.894279999999995</v>
      </c>
      <c r="V318" s="18" cm="1">
        <f t="array" ref="V318">INDEX(GMWQ!$A$2:$NE$60,MATCH(1,(GMWQ!$NE$2:$NE$60=V$3)*(GMWQ!$ND$2:$ND$60=V$4),0),$B318-1966)</f>
        <v>122828.8</v>
      </c>
      <c r="W318" s="18" cm="1">
        <f t="array" ref="W318">INDEX(GMWQ!$A$2:$NF$60,MATCH(1,(GMWQ!$NE$2:$NE$60=W$3)*(GMWQ!$NF$2:$NF$60=W$1),0),$B318-1966)</f>
        <v>84397.04</v>
      </c>
      <c r="X318" s="18" cm="1">
        <f t="array" ref="X318">INDEX(GMWQ!$A$2:$NF$60,MATCH(1,(GMWQ!$NE$2:$NE$60=X$3)*(GMWQ!$NF$2:$NF$60=X$1),0),$B318-1966)</f>
        <v>90486.16</v>
      </c>
      <c r="Y318" s="18" cm="1">
        <f t="array" ref="Y318">INDEX(GMWQ!$A$2:$NF$60,MATCH(1,(GMWQ!$NE$2:$NE$60=Y$3)*(GMWQ!$NF$2:$NF$60=Y$1),0),$B318-1966)</f>
        <v>91874.43</v>
      </c>
      <c r="Z318" s="18" cm="1">
        <f t="array" ref="Z318">INDEX(GMWQ!$A$2:$NF$60,MATCH(1,(GMWQ!$NE$2:$NE$60=Z$3)*(GMWQ!$NF$2:$NF$60=Z$1),0),$B318-1966)</f>
        <v>113385.7</v>
      </c>
    </row>
    <row r="319" spans="1:26" x14ac:dyDescent="0.25">
      <c r="A319" s="18">
        <v>2051</v>
      </c>
      <c r="B319" s="18">
        <f t="shared" si="6"/>
        <v>2285</v>
      </c>
      <c r="C319" s="18" cm="1">
        <f t="array" ref="C319">INDEX(GMWQ!$A$2:$NE$60,MATCH(1,(GMWQ!$NE$2:$NE$60=C$3)*(GMWQ!$ND$2:$ND$60=C$4),0),$B319-1966)</f>
        <v>117582.5</v>
      </c>
      <c r="D319" s="18" cm="1">
        <f t="array" ref="D319">INDEX(GMWQ!$A$2:$NE$60,MATCH(1,(GMWQ!$NE$2:$NE$60=D$3)*(GMWQ!$ND$2:$ND$60=D$4),0),$B319-1966)</f>
        <v>414546.5</v>
      </c>
      <c r="E319" s="18" cm="1">
        <f t="array" ref="E319">INDEX(GMWQ!$A$2:$NE$60,MATCH(1,(GMWQ!$NE$2:$NE$60=E$3)*(GMWQ!$ND$2:$ND$60=E$4),0),$B319-1966)</f>
        <v>-24711.64</v>
      </c>
      <c r="F319" s="18" cm="1">
        <f t="array" ref="F319">INDEX(GMWQ!$A$2:$NE$60,MATCH(1,(GMWQ!$NE$2:$NE$60=F$3)*(GMWQ!$ND$2:$ND$60=F$4),0),$B319-1966)</f>
        <v>-28133.62</v>
      </c>
      <c r="G319" s="18" cm="1">
        <f t="array" ref="G319">INDEX(GMWQ!$A$2:$NE$60,MATCH(1,(GMWQ!$NE$2:$NE$60=G$3)*(GMWQ!$ND$2:$ND$60=G$4),0),$B319-1966)</f>
        <v>1881181</v>
      </c>
      <c r="H319" s="18" cm="1">
        <f t="array" ref="H319">INDEX(GMWQ!$A$2:$NE$60,MATCH(1,(GMWQ!$NE$2:$NE$60=H$3)*(GMWQ!$ND$2:$ND$60=H$4),0),$B319-1966)</f>
        <v>193405.2</v>
      </c>
      <c r="I319" s="18" cm="1">
        <f t="array" ref="I319">INDEX(GMWQ!$A$2:$NE$60,MATCH(1,(GMWQ!$NE$2:$NE$60=I$3)*(GMWQ!$ND$2:$ND$60=I$4),0),$B319-1966)</f>
        <v>25335.599999999999</v>
      </c>
      <c r="J319" s="18" cm="1">
        <f t="array" ref="J319">INDEX(GMWQ!$A$2:$NE$60,MATCH(1,(GMWQ!$NE$2:$NE$60=J$3)*(GMWQ!$ND$2:$ND$60=J$4),0),$B319-1966)</f>
        <v>37268.47</v>
      </c>
      <c r="K319" s="18" cm="1">
        <f t="array" ref="K319">INDEX(GMWQ!$A$2:$NE$60,MATCH(1,(GMWQ!$NE$2:$NE$60=K$3)*(GMWQ!$ND$2:$ND$60=K$4),0),$B319-1966)</f>
        <v>5465172</v>
      </c>
      <c r="L319" s="18" cm="1">
        <f t="array" ref="L319">INDEX(GMWQ!$A$2:$NE$60,MATCH(1,(GMWQ!$NE$2:$NE$60=L$3)*(GMWQ!$ND$2:$ND$60=L$4),0),$B319-1966)</f>
        <v>38835.79</v>
      </c>
      <c r="M319" s="18" cm="1">
        <f t="array" ref="M319">INDEX(GMWQ!$A$2:$NE$60,MATCH(1,(GMWQ!$NE$2:$NE$60=M$3)*(GMWQ!$ND$2:$ND$60=M$4),0),$B319-1966)</f>
        <v>31.945920000000001</v>
      </c>
      <c r="N319" s="18" cm="1">
        <f t="array" ref="N319">INDEX(GMWQ!$A$2:$NE$60,MATCH(1,(GMWQ!$NE$2:$NE$60=N$3)*(GMWQ!$ND$2:$ND$60=N$4),0),$B319-1966)</f>
        <v>9.4673189999999998</v>
      </c>
      <c r="O319" s="18" cm="1">
        <f t="array" ref="O319">INDEX(GMWQ!$A$2:$NE$60,MATCH(1,(GMWQ!$NE$2:$NE$60=O$3)*(GMWQ!$ND$2:$ND$60=O$4),0),$B319-1966)</f>
        <v>3.8562470000000002</v>
      </c>
      <c r="P319" s="18" cm="1">
        <f t="array" ref="P319">INDEX(GMWQ!$A$2:$NE$60,MATCH(1,(GMWQ!$NE$2:$NE$60=P$3)*(GMWQ!$ND$2:$ND$60=P$4),0),$B319-1966)</f>
        <v>1859519</v>
      </c>
      <c r="Q319" s="18" cm="1">
        <f t="array" ref="Q319">INDEX(GMWQ!$A$2:$NE$60,MATCH(1,(GMWQ!$NE$2:$NE$60=Q$3)*(GMWQ!$ND$2:$ND$60=Q$4),0),$B319-1966)</f>
        <v>1861.943</v>
      </c>
      <c r="R319" s="18" cm="1">
        <f t="array" ref="R319">INDEX(GMWQ!$A$2:$NE$60,MATCH(1,(GMWQ!$NE$2:$NE$60=R$3)*(GMWQ!$ND$2:$ND$60=R$4),0),$B319-1966)</f>
        <v>25477.41</v>
      </c>
      <c r="S319" s="18" cm="1">
        <f t="array" ref="S319">INDEX(GMWQ!$A$2:$NE$60,MATCH(1,(GMWQ!$NE$2:$NE$60=S$3)*(GMWQ!$ND$2:$ND$60=S$4),0),$B319-1966)</f>
        <v>144.23929999999999</v>
      </c>
      <c r="T319" s="18" cm="1">
        <f t="array" ref="T319">INDEX(GMWQ!$A$2:$NE$60,MATCH(1,(GMWQ!$NE$2:$NE$60=T$3)*(GMWQ!$ND$2:$ND$60=T$4),0),$B319-1966)</f>
        <v>110.35760000000001</v>
      </c>
      <c r="U319" s="18" cm="1">
        <f t="array" ref="U319">INDEX(GMWQ!$A$2:$NE$60,MATCH(1,(GMWQ!$NE$2:$NE$60=U$3)*(GMWQ!$ND$2:$ND$60=U$4),0),$B319-1966)</f>
        <v>66.937520000000006</v>
      </c>
      <c r="V319" s="18" cm="1">
        <f t="array" ref="V319">INDEX(GMWQ!$A$2:$NE$60,MATCH(1,(GMWQ!$NE$2:$NE$60=V$3)*(GMWQ!$ND$2:$ND$60=V$4),0),$B319-1966)</f>
        <v>123375.4</v>
      </c>
      <c r="W319" s="18" cm="1">
        <f t="array" ref="W319">INDEX(GMWQ!$A$2:$NF$60,MATCH(1,(GMWQ!$NE$2:$NE$60=W$3)*(GMWQ!$NF$2:$NF$60=W$1),0),$B319-1966)</f>
        <v>0</v>
      </c>
      <c r="X319" s="18" cm="1">
        <f t="array" ref="X319">INDEX(GMWQ!$A$2:$NF$60,MATCH(1,(GMWQ!$NE$2:$NE$60=X$3)*(GMWQ!$NF$2:$NF$60=X$1),0),$B319-1966)</f>
        <v>0</v>
      </c>
      <c r="Y319" s="18" cm="1">
        <f t="array" ref="Y319">INDEX(GMWQ!$A$2:$NF$60,MATCH(1,(GMWQ!$NE$2:$NE$60=Y$3)*(GMWQ!$NF$2:$NF$60=Y$1),0),$B319-1966)</f>
        <v>0</v>
      </c>
      <c r="Z319" s="18" cm="1">
        <f t="array" ref="Z319">INDEX(GMWQ!$A$2:$NF$60,MATCH(1,(GMWQ!$NE$2:$NE$60=Z$3)*(GMWQ!$NF$2:$NF$60=Z$1),0),$B319-1966)</f>
        <v>113939.8</v>
      </c>
    </row>
    <row r="320" spans="1:26" x14ac:dyDescent="0.25">
      <c r="B320" s="18">
        <f t="shared" si="6"/>
        <v>2286</v>
      </c>
      <c r="C320" s="18" cm="1">
        <f t="array" ref="C320">INDEX(GMWQ!$A$2:$NE$60,MATCH(1,(GMWQ!$NE$2:$NE$60=C$3)*(GMWQ!$ND$2:$ND$60=C$4),0),$B320-1966)</f>
        <v>118154.8</v>
      </c>
      <c r="D320" s="18" cm="1">
        <f t="array" ref="D320">INDEX(GMWQ!$A$2:$NE$60,MATCH(1,(GMWQ!$NE$2:$NE$60=D$3)*(GMWQ!$ND$2:$ND$60=D$4),0),$B320-1966)</f>
        <v>418494.2</v>
      </c>
      <c r="E320" s="18" cm="1">
        <f t="array" ref="E320">INDEX(GMWQ!$A$2:$NE$60,MATCH(1,(GMWQ!$NE$2:$NE$60=E$3)*(GMWQ!$ND$2:$ND$60=E$4),0),$B320-1966)</f>
        <v>-9058.82</v>
      </c>
      <c r="F320" s="18" cm="1">
        <f t="array" ref="F320">INDEX(GMWQ!$A$2:$NE$60,MATCH(1,(GMWQ!$NE$2:$NE$60=F$3)*(GMWQ!$ND$2:$ND$60=F$4),0),$B320-1966)</f>
        <v>-12511.1</v>
      </c>
      <c r="G320" s="18" cm="1">
        <f t="array" ref="G320">INDEX(GMWQ!$A$2:$NE$60,MATCH(1,(GMWQ!$NE$2:$NE$60=G$3)*(GMWQ!$ND$2:$ND$60=G$4),0),$B320-1966)</f>
        <v>1897841</v>
      </c>
      <c r="H320" s="18" cm="1">
        <f t="array" ref="H320">INDEX(GMWQ!$A$2:$NE$60,MATCH(1,(GMWQ!$NE$2:$NE$60=H$3)*(GMWQ!$ND$2:$ND$60=H$4),0),$B320-1966)</f>
        <v>194274.5</v>
      </c>
      <c r="I320" s="18" cm="1">
        <f t="array" ref="I320">INDEX(GMWQ!$A$2:$NE$60,MATCH(1,(GMWQ!$NE$2:$NE$60=I$3)*(GMWQ!$ND$2:$ND$60=I$4),0),$B320-1966)</f>
        <v>25447.53</v>
      </c>
      <c r="J320" s="18" cm="1">
        <f t="array" ref="J320">INDEX(GMWQ!$A$2:$NE$60,MATCH(1,(GMWQ!$NE$2:$NE$60=J$3)*(GMWQ!$ND$2:$ND$60=J$4),0),$B320-1966)</f>
        <v>37395.1</v>
      </c>
      <c r="K320" s="18" cm="1">
        <f t="array" ref="K320">INDEX(GMWQ!$A$2:$NE$60,MATCH(1,(GMWQ!$NE$2:$NE$60=K$3)*(GMWQ!$ND$2:$ND$60=K$4),0),$B320-1966)</f>
        <v>5490874</v>
      </c>
      <c r="L320" s="18" cm="1">
        <f t="array" ref="L320">INDEX(GMWQ!$A$2:$NE$60,MATCH(1,(GMWQ!$NE$2:$NE$60=L$3)*(GMWQ!$ND$2:$ND$60=L$4),0),$B320-1966)</f>
        <v>38856.36</v>
      </c>
      <c r="M320" s="18" cm="1">
        <f t="array" ref="M320">INDEX(GMWQ!$A$2:$NE$60,MATCH(1,(GMWQ!$NE$2:$NE$60=M$3)*(GMWQ!$ND$2:$ND$60=M$4),0),$B320-1966)</f>
        <v>31.945170000000001</v>
      </c>
      <c r="N320" s="18" cm="1">
        <f t="array" ref="N320">INDEX(GMWQ!$A$2:$NE$60,MATCH(1,(GMWQ!$NE$2:$NE$60=N$3)*(GMWQ!$ND$2:$ND$60=N$4),0),$B320-1966)</f>
        <v>9.4821609999999996</v>
      </c>
      <c r="O320" s="18" cm="1">
        <f t="array" ref="O320">INDEX(GMWQ!$A$2:$NE$60,MATCH(1,(GMWQ!$NE$2:$NE$60=O$3)*(GMWQ!$ND$2:$ND$60=O$4),0),$B320-1966)</f>
        <v>3.8562470000000002</v>
      </c>
      <c r="P320" s="18" cm="1">
        <f t="array" ref="P320">INDEX(GMWQ!$A$2:$NE$60,MATCH(1,(GMWQ!$NE$2:$NE$60=P$3)*(GMWQ!$ND$2:$ND$60=P$4),0),$B320-1966)</f>
        <v>1889018</v>
      </c>
      <c r="Q320" s="18" cm="1">
        <f t="array" ref="Q320">INDEX(GMWQ!$A$2:$NE$60,MATCH(1,(GMWQ!$NE$2:$NE$60=Q$3)*(GMWQ!$ND$2:$ND$60=Q$4),0),$B320-1966)</f>
        <v>1872.423</v>
      </c>
      <c r="R320" s="18" cm="1">
        <f t="array" ref="R320">INDEX(GMWQ!$A$2:$NE$60,MATCH(1,(GMWQ!$NE$2:$NE$60=R$3)*(GMWQ!$ND$2:$ND$60=R$4),0),$B320-1966)</f>
        <v>25496.42</v>
      </c>
      <c r="S320" s="18" cm="1">
        <f t="array" ref="S320">INDEX(GMWQ!$A$2:$NE$60,MATCH(1,(GMWQ!$NE$2:$NE$60=S$3)*(GMWQ!$ND$2:$ND$60=S$4),0),$B320-1966)</f>
        <v>144.56010000000001</v>
      </c>
      <c r="T320" s="18" cm="1">
        <f t="array" ref="T320">INDEX(GMWQ!$A$2:$NE$60,MATCH(1,(GMWQ!$NE$2:$NE$60=T$3)*(GMWQ!$ND$2:$ND$60=T$4),0),$B320-1966)</f>
        <v>110.55029999999999</v>
      </c>
      <c r="U320" s="18" cm="1">
        <f t="array" ref="U320">INDEX(GMWQ!$A$2:$NE$60,MATCH(1,(GMWQ!$NE$2:$NE$60=U$3)*(GMWQ!$ND$2:$ND$60=U$4),0),$B320-1966)</f>
        <v>66.985240000000005</v>
      </c>
      <c r="V320" s="18" cm="1">
        <f t="array" ref="V320">INDEX(GMWQ!$A$2:$NE$60,MATCH(1,(GMWQ!$NE$2:$NE$60=V$3)*(GMWQ!$ND$2:$ND$60=V$4),0),$B320-1966)</f>
        <v>123921.9</v>
      </c>
      <c r="W320" s="18" cm="1">
        <f t="array" ref="W320">INDEX(GMWQ!$A$2:$NF$60,MATCH(1,(GMWQ!$NE$2:$NE$60=W$3)*(GMWQ!$NF$2:$NF$60=W$1),0),$B320-1966)</f>
        <v>0</v>
      </c>
      <c r="X320" s="18" cm="1">
        <f t="array" ref="X320">INDEX(GMWQ!$A$2:$NF$60,MATCH(1,(GMWQ!$NE$2:$NE$60=X$3)*(GMWQ!$NF$2:$NF$60=X$1),0),$B320-1966)</f>
        <v>0</v>
      </c>
      <c r="Y320" s="18" cm="1">
        <f t="array" ref="Y320">INDEX(GMWQ!$A$2:$NF$60,MATCH(1,(GMWQ!$NE$2:$NE$60=Y$3)*(GMWQ!$NF$2:$NF$60=Y$1),0),$B320-1966)</f>
        <v>0</v>
      </c>
      <c r="Z320" s="18" cm="1">
        <f t="array" ref="Z320">INDEX(GMWQ!$A$2:$NF$60,MATCH(1,(GMWQ!$NE$2:$NE$60=Z$3)*(GMWQ!$NF$2:$NF$60=Z$1),0),$B320-1966)</f>
        <v>114496.7</v>
      </c>
    </row>
    <row r="321" spans="1:26" x14ac:dyDescent="0.25">
      <c r="B321" s="18">
        <f t="shared" si="6"/>
        <v>2287</v>
      </c>
      <c r="C321" s="18" cm="1">
        <f t="array" ref="C321">INDEX(GMWQ!$A$2:$NE$60,MATCH(1,(GMWQ!$NE$2:$NE$60=C$3)*(GMWQ!$ND$2:$ND$60=C$4),0),$B321-1966)</f>
        <v>118725</v>
      </c>
      <c r="D321" s="18" cm="1">
        <f t="array" ref="D321">INDEX(GMWQ!$A$2:$NE$60,MATCH(1,(GMWQ!$NE$2:$NE$60=D$3)*(GMWQ!$ND$2:$ND$60=D$4),0),$B321-1966)</f>
        <v>422552.7</v>
      </c>
      <c r="E321" s="18" cm="1">
        <f t="array" ref="E321">INDEX(GMWQ!$A$2:$NE$60,MATCH(1,(GMWQ!$NE$2:$NE$60=E$3)*(GMWQ!$ND$2:$ND$60=E$4),0),$B321-1966)</f>
        <v>-15602.71</v>
      </c>
      <c r="F321" s="18" cm="1">
        <f t="array" ref="F321">INDEX(GMWQ!$A$2:$NE$60,MATCH(1,(GMWQ!$NE$2:$NE$60=F$3)*(GMWQ!$ND$2:$ND$60=F$4),0),$B321-1966)</f>
        <v>-19085.419999999998</v>
      </c>
      <c r="G321" s="18" cm="1">
        <f t="array" ref="G321">INDEX(GMWQ!$A$2:$NE$60,MATCH(1,(GMWQ!$NE$2:$NE$60=G$3)*(GMWQ!$ND$2:$ND$60=G$4),0),$B321-1966)</f>
        <v>1914569</v>
      </c>
      <c r="H321" s="18" cm="1">
        <f t="array" ref="H321">INDEX(GMWQ!$A$2:$NE$60,MATCH(1,(GMWQ!$NE$2:$NE$60=H$3)*(GMWQ!$ND$2:$ND$60=H$4),0),$B321-1966)</f>
        <v>195139.6</v>
      </c>
      <c r="I321" s="18" cm="1">
        <f t="array" ref="I321">INDEX(GMWQ!$A$2:$NE$60,MATCH(1,(GMWQ!$NE$2:$NE$60=I$3)*(GMWQ!$ND$2:$ND$60=I$4),0),$B321-1966)</f>
        <v>25558.880000000001</v>
      </c>
      <c r="J321" s="18" cm="1">
        <f t="array" ref="J321">INDEX(GMWQ!$A$2:$NE$60,MATCH(1,(GMWQ!$NE$2:$NE$60=J$3)*(GMWQ!$ND$2:$ND$60=J$4),0),$B321-1966)</f>
        <v>37520.589999999997</v>
      </c>
      <c r="K321" s="18" cm="1">
        <f t="array" ref="K321">INDEX(GMWQ!$A$2:$NE$60,MATCH(1,(GMWQ!$NE$2:$NE$60=K$3)*(GMWQ!$ND$2:$ND$60=K$4),0),$B321-1966)</f>
        <v>5516691</v>
      </c>
      <c r="L321" s="18" cm="1">
        <f t="array" ref="L321">INDEX(GMWQ!$A$2:$NE$60,MATCH(1,(GMWQ!$NE$2:$NE$60=L$3)*(GMWQ!$ND$2:$ND$60=L$4),0),$B321-1966)</f>
        <v>38874.51</v>
      </c>
      <c r="M321" s="18" cm="1">
        <f t="array" ref="M321">INDEX(GMWQ!$A$2:$NE$60,MATCH(1,(GMWQ!$NE$2:$NE$60=M$3)*(GMWQ!$ND$2:$ND$60=M$4),0),$B321-1966)</f>
        <v>31.944420000000001</v>
      </c>
      <c r="N321" s="18" cm="1">
        <f t="array" ref="N321">INDEX(GMWQ!$A$2:$NE$60,MATCH(1,(GMWQ!$NE$2:$NE$60=N$3)*(GMWQ!$ND$2:$ND$60=N$4),0),$B321-1966)</f>
        <v>9.4889500000000009</v>
      </c>
      <c r="O321" s="18" cm="1">
        <f t="array" ref="O321">INDEX(GMWQ!$A$2:$NE$60,MATCH(1,(GMWQ!$NE$2:$NE$60=O$3)*(GMWQ!$ND$2:$ND$60=O$4),0),$B321-1966)</f>
        <v>3.8562470000000002</v>
      </c>
      <c r="P321" s="18" cm="1">
        <f t="array" ref="P321">INDEX(GMWQ!$A$2:$NE$60,MATCH(1,(GMWQ!$NE$2:$NE$60=P$3)*(GMWQ!$ND$2:$ND$60=P$4),0),$B321-1966)</f>
        <v>1912784</v>
      </c>
      <c r="Q321" s="18" cm="1">
        <f t="array" ref="Q321">INDEX(GMWQ!$A$2:$NE$60,MATCH(1,(GMWQ!$NE$2:$NE$60=Q$3)*(GMWQ!$ND$2:$ND$60=Q$4),0),$B321-1966)</f>
        <v>1882.9580000000001</v>
      </c>
      <c r="R321" s="18" cm="1">
        <f t="array" ref="R321">INDEX(GMWQ!$A$2:$NE$60,MATCH(1,(GMWQ!$NE$2:$NE$60=R$3)*(GMWQ!$ND$2:$ND$60=R$4),0),$B321-1966)</f>
        <v>25515.39</v>
      </c>
      <c r="S321" s="18" cm="1">
        <f t="array" ref="S321">INDEX(GMWQ!$A$2:$NE$60,MATCH(1,(GMWQ!$NE$2:$NE$60=S$3)*(GMWQ!$ND$2:$ND$60=S$4),0),$B321-1966)</f>
        <v>144.8819</v>
      </c>
      <c r="T321" s="18" cm="1">
        <f t="array" ref="T321">INDEX(GMWQ!$A$2:$NE$60,MATCH(1,(GMWQ!$NE$2:$NE$60=T$3)*(GMWQ!$ND$2:$ND$60=T$4),0),$B321-1966)</f>
        <v>110.7445</v>
      </c>
      <c r="U321" s="18" cm="1">
        <f t="array" ref="U321">INDEX(GMWQ!$A$2:$NE$60,MATCH(1,(GMWQ!$NE$2:$NE$60=U$3)*(GMWQ!$ND$2:$ND$60=U$4),0),$B321-1966)</f>
        <v>67.032870000000003</v>
      </c>
      <c r="V321" s="18" cm="1">
        <f t="array" ref="V321">INDEX(GMWQ!$A$2:$NE$60,MATCH(1,(GMWQ!$NE$2:$NE$60=V$3)*(GMWQ!$ND$2:$ND$60=V$4),0),$B321-1966)</f>
        <v>124463.1</v>
      </c>
      <c r="W321" s="18" cm="1">
        <f t="array" ref="W321">INDEX(GMWQ!$A$2:$NF$60,MATCH(1,(GMWQ!$NE$2:$NE$60=W$3)*(GMWQ!$NF$2:$NF$60=W$1),0),$B321-1966)</f>
        <v>0</v>
      </c>
      <c r="X321" s="18" cm="1">
        <f t="array" ref="X321">INDEX(GMWQ!$A$2:$NF$60,MATCH(1,(GMWQ!$NE$2:$NE$60=X$3)*(GMWQ!$NF$2:$NF$60=X$1),0),$B321-1966)</f>
        <v>0</v>
      </c>
      <c r="Y321" s="18" cm="1">
        <f t="array" ref="Y321">INDEX(GMWQ!$A$2:$NF$60,MATCH(1,(GMWQ!$NE$2:$NE$60=Y$3)*(GMWQ!$NF$2:$NF$60=Y$1),0),$B321-1966)</f>
        <v>0</v>
      </c>
      <c r="Z321" s="18" cm="1">
        <f t="array" ref="Z321">INDEX(GMWQ!$A$2:$NF$60,MATCH(1,(GMWQ!$NE$2:$NE$60=Z$3)*(GMWQ!$NF$2:$NF$60=Z$1),0),$B321-1966)</f>
        <v>115051.6</v>
      </c>
    </row>
    <row r="322" spans="1:26" x14ac:dyDescent="0.25">
      <c r="B322" s="18">
        <f t="shared" si="6"/>
        <v>2288</v>
      </c>
      <c r="C322" s="18" cm="1">
        <f t="array" ref="C322">INDEX(GMWQ!$A$2:$NE$60,MATCH(1,(GMWQ!$NE$2:$NE$60=C$3)*(GMWQ!$ND$2:$ND$60=C$4),0),$B322-1966)</f>
        <v>119297.7</v>
      </c>
      <c r="D322" s="18" cm="1">
        <f t="array" ref="D322">INDEX(GMWQ!$A$2:$NE$60,MATCH(1,(GMWQ!$NE$2:$NE$60=D$3)*(GMWQ!$ND$2:$ND$60=D$4),0),$B322-1966)</f>
        <v>425598.3</v>
      </c>
      <c r="E322" s="18" cm="1">
        <f t="array" ref="E322">INDEX(GMWQ!$A$2:$NE$60,MATCH(1,(GMWQ!$NE$2:$NE$60=E$3)*(GMWQ!$ND$2:$ND$60=E$4),0),$B322-1966)</f>
        <v>6319.4070000000002</v>
      </c>
      <c r="F322" s="18" cm="1">
        <f t="array" ref="F322">INDEX(GMWQ!$A$2:$NE$60,MATCH(1,(GMWQ!$NE$2:$NE$60=F$3)*(GMWQ!$ND$2:$ND$60=F$4),0),$B322-1966)</f>
        <v>2806.0129999999999</v>
      </c>
      <c r="G322" s="18" cm="1">
        <f t="array" ref="G322">INDEX(GMWQ!$A$2:$NE$60,MATCH(1,(GMWQ!$NE$2:$NE$60=G$3)*(GMWQ!$ND$2:$ND$60=G$4),0),$B322-1966)</f>
        <v>1931440</v>
      </c>
      <c r="H322" s="18" cm="1">
        <f t="array" ref="H322">INDEX(GMWQ!$A$2:$NE$60,MATCH(1,(GMWQ!$NE$2:$NE$60=H$3)*(GMWQ!$ND$2:$ND$60=H$4),0),$B322-1966)</f>
        <v>196008.3</v>
      </c>
      <c r="I322" s="18" cm="1">
        <f t="array" ref="I322">INDEX(GMWQ!$A$2:$NE$60,MATCH(1,(GMWQ!$NE$2:$NE$60=I$3)*(GMWQ!$ND$2:$ND$60=I$4),0),$B322-1966)</f>
        <v>25670.67</v>
      </c>
      <c r="J322" s="18" cm="1">
        <f t="array" ref="J322">INDEX(GMWQ!$A$2:$NE$60,MATCH(1,(GMWQ!$NE$2:$NE$60=J$3)*(GMWQ!$ND$2:$ND$60=J$4),0),$B322-1966)</f>
        <v>37646.43</v>
      </c>
      <c r="K322" s="18" cm="1">
        <f t="array" ref="K322">INDEX(GMWQ!$A$2:$NE$60,MATCH(1,(GMWQ!$NE$2:$NE$60=K$3)*(GMWQ!$ND$2:$ND$60=K$4),0),$B322-1966)</f>
        <v>5542625</v>
      </c>
      <c r="L322" s="18" cm="1">
        <f t="array" ref="L322">INDEX(GMWQ!$A$2:$NE$60,MATCH(1,(GMWQ!$NE$2:$NE$60=L$3)*(GMWQ!$ND$2:$ND$60=L$4),0),$B322-1966)</f>
        <v>38892.660000000003</v>
      </c>
      <c r="M322" s="18" cm="1">
        <f t="array" ref="M322">INDEX(GMWQ!$A$2:$NE$60,MATCH(1,(GMWQ!$NE$2:$NE$60=M$3)*(GMWQ!$ND$2:$ND$60=M$4),0),$B322-1966)</f>
        <v>31.943670000000001</v>
      </c>
      <c r="N322" s="18" cm="1">
        <f t="array" ref="N322">INDEX(GMWQ!$A$2:$NE$60,MATCH(1,(GMWQ!$NE$2:$NE$60=N$3)*(GMWQ!$ND$2:$ND$60=N$4),0),$B322-1966)</f>
        <v>9.5007409999999997</v>
      </c>
      <c r="O322" s="18" cm="1">
        <f t="array" ref="O322">INDEX(GMWQ!$A$2:$NE$60,MATCH(1,(GMWQ!$NE$2:$NE$60=O$3)*(GMWQ!$ND$2:$ND$60=O$4),0),$B322-1966)</f>
        <v>3.8562470000000002</v>
      </c>
      <c r="P322" s="18" cm="1">
        <f t="array" ref="P322">INDEX(GMWQ!$A$2:$NE$60,MATCH(1,(GMWQ!$NE$2:$NE$60=P$3)*(GMWQ!$ND$2:$ND$60=P$4),0),$B322-1966)</f>
        <v>1936097</v>
      </c>
      <c r="Q322" s="18" cm="1">
        <f t="array" ref="Q322">INDEX(GMWQ!$A$2:$NE$60,MATCH(1,(GMWQ!$NE$2:$NE$60=Q$3)*(GMWQ!$ND$2:$ND$60=Q$4),0),$B322-1966)</f>
        <v>1893.539</v>
      </c>
      <c r="R322" s="18" cm="1">
        <f t="array" ref="R322">INDEX(GMWQ!$A$2:$NE$60,MATCH(1,(GMWQ!$NE$2:$NE$60=R$3)*(GMWQ!$ND$2:$ND$60=R$4),0),$B322-1966)</f>
        <v>25536.04</v>
      </c>
      <c r="S322" s="18" cm="1">
        <f t="array" ref="S322">INDEX(GMWQ!$A$2:$NE$60,MATCH(1,(GMWQ!$NE$2:$NE$60=S$3)*(GMWQ!$ND$2:$ND$60=S$4),0),$B322-1966)</f>
        <v>145.2046</v>
      </c>
      <c r="T322" s="18" cm="1">
        <f t="array" ref="T322">INDEX(GMWQ!$A$2:$NE$60,MATCH(1,(GMWQ!$NE$2:$NE$60=T$3)*(GMWQ!$ND$2:$ND$60=T$4),0),$B322-1966)</f>
        <v>110.8383</v>
      </c>
      <c r="U322" s="18" cm="1">
        <f t="array" ref="U322">INDEX(GMWQ!$A$2:$NE$60,MATCH(1,(GMWQ!$NE$2:$NE$60=U$3)*(GMWQ!$ND$2:$ND$60=U$4),0),$B322-1966)</f>
        <v>67.080399999999997</v>
      </c>
      <c r="V322" s="18" cm="1">
        <f t="array" ref="V322">INDEX(GMWQ!$A$2:$NE$60,MATCH(1,(GMWQ!$NE$2:$NE$60=V$3)*(GMWQ!$ND$2:$ND$60=V$4),0),$B322-1966)</f>
        <v>125007.8</v>
      </c>
      <c r="W322" s="18" cm="1">
        <f t="array" ref="W322">INDEX(GMWQ!$A$2:$NF$60,MATCH(1,(GMWQ!$NE$2:$NE$60=W$3)*(GMWQ!$NF$2:$NF$60=W$1),0),$B322-1966)</f>
        <v>0</v>
      </c>
      <c r="X322" s="18" cm="1">
        <f t="array" ref="X322">INDEX(GMWQ!$A$2:$NF$60,MATCH(1,(GMWQ!$NE$2:$NE$60=X$3)*(GMWQ!$NF$2:$NF$60=X$1),0),$B322-1966)</f>
        <v>0</v>
      </c>
      <c r="Y322" s="18" cm="1">
        <f t="array" ref="Y322">INDEX(GMWQ!$A$2:$NF$60,MATCH(1,(GMWQ!$NE$2:$NE$60=Y$3)*(GMWQ!$NF$2:$NF$60=Y$1),0),$B322-1966)</f>
        <v>0</v>
      </c>
      <c r="Z322" s="18" cm="1">
        <f t="array" ref="Z322">INDEX(GMWQ!$A$2:$NF$60,MATCH(1,(GMWQ!$NE$2:$NE$60=Z$3)*(GMWQ!$NF$2:$NF$60=Z$1),0),$B322-1966)</f>
        <v>115609.2</v>
      </c>
    </row>
    <row r="323" spans="1:26" x14ac:dyDescent="0.25">
      <c r="A323" s="18">
        <v>2052</v>
      </c>
      <c r="B323" s="18">
        <f t="shared" si="6"/>
        <v>2289</v>
      </c>
      <c r="C323" s="18" cm="1">
        <f t="array" ref="C323">INDEX(GMWQ!$A$2:$NE$60,MATCH(1,(GMWQ!$NE$2:$NE$60=C$3)*(GMWQ!$ND$2:$ND$60=C$4),0),$B323-1966)</f>
        <v>119873</v>
      </c>
      <c r="D323" s="18" cm="1">
        <f t="array" ref="D323">INDEX(GMWQ!$A$2:$NE$60,MATCH(1,(GMWQ!$NE$2:$NE$60=D$3)*(GMWQ!$ND$2:$ND$60=D$4),0),$B323-1966)</f>
        <v>429391.8</v>
      </c>
      <c r="E323" s="18" cm="1">
        <f t="array" ref="E323">INDEX(GMWQ!$A$2:$NE$60,MATCH(1,(GMWQ!$NE$2:$NE$60=E$3)*(GMWQ!$ND$2:$ND$60=E$4),0),$B323-1966)</f>
        <v>-25457</v>
      </c>
      <c r="F323" s="18" cm="1">
        <f t="array" ref="F323">INDEX(GMWQ!$A$2:$NE$60,MATCH(1,(GMWQ!$NE$2:$NE$60=F$3)*(GMWQ!$ND$2:$ND$60=F$4),0),$B323-1966)</f>
        <v>-29001.35</v>
      </c>
      <c r="G323" s="18" cm="1">
        <f t="array" ref="G323">INDEX(GMWQ!$A$2:$NE$60,MATCH(1,(GMWQ!$NE$2:$NE$60=G$3)*(GMWQ!$ND$2:$ND$60=G$4),0),$B323-1966)</f>
        <v>1948457</v>
      </c>
      <c r="H323" s="18" cm="1">
        <f t="array" ref="H323">INDEX(GMWQ!$A$2:$NE$60,MATCH(1,(GMWQ!$NE$2:$NE$60=H$3)*(GMWQ!$ND$2:$ND$60=H$4),0),$B323-1966)</f>
        <v>196880.5</v>
      </c>
      <c r="I323" s="18" cm="1">
        <f t="array" ref="I323">INDEX(GMWQ!$A$2:$NE$60,MATCH(1,(GMWQ!$NE$2:$NE$60=I$3)*(GMWQ!$ND$2:$ND$60=I$4),0),$B323-1966)</f>
        <v>25782.91</v>
      </c>
      <c r="J323" s="18" cm="1">
        <f t="array" ref="J323">INDEX(GMWQ!$A$2:$NE$60,MATCH(1,(GMWQ!$NE$2:$NE$60=J$3)*(GMWQ!$ND$2:$ND$60=J$4),0),$B323-1966)</f>
        <v>37772.629999999997</v>
      </c>
      <c r="K323" s="18" cm="1">
        <f t="array" ref="K323">INDEX(GMWQ!$A$2:$NE$60,MATCH(1,(GMWQ!$NE$2:$NE$60=K$3)*(GMWQ!$ND$2:$ND$60=K$4),0),$B323-1966)</f>
        <v>5568676</v>
      </c>
      <c r="L323" s="18" cm="1">
        <f t="array" ref="L323">INDEX(GMWQ!$A$2:$NE$60,MATCH(1,(GMWQ!$NE$2:$NE$60=L$3)*(GMWQ!$ND$2:$ND$60=L$4),0),$B323-1966)</f>
        <v>38910.800000000003</v>
      </c>
      <c r="M323" s="18" cm="1">
        <f t="array" ref="M323">INDEX(GMWQ!$A$2:$NE$60,MATCH(1,(GMWQ!$NE$2:$NE$60=M$3)*(GMWQ!$ND$2:$ND$60=M$4),0),$B323-1966)</f>
        <v>31.942920000000001</v>
      </c>
      <c r="N323" s="18" cm="1">
        <f t="array" ref="N323">INDEX(GMWQ!$A$2:$NE$60,MATCH(1,(GMWQ!$NE$2:$NE$60=N$3)*(GMWQ!$ND$2:$ND$60=N$4),0),$B323-1966)</f>
        <v>9.5018309999999992</v>
      </c>
      <c r="O323" s="18" cm="1">
        <f t="array" ref="O323">INDEX(GMWQ!$A$2:$NE$60,MATCH(1,(GMWQ!$NE$2:$NE$60=O$3)*(GMWQ!$ND$2:$ND$60=O$4),0),$B323-1966)</f>
        <v>3.8562470000000002</v>
      </c>
      <c r="P323" s="18" cm="1">
        <f t="array" ref="P323">INDEX(GMWQ!$A$2:$NE$60,MATCH(1,(GMWQ!$NE$2:$NE$60=P$3)*(GMWQ!$ND$2:$ND$60=P$4),0),$B323-1966)</f>
        <v>1954243</v>
      </c>
      <c r="Q323" s="18" cm="1">
        <f t="array" ref="Q323">INDEX(GMWQ!$A$2:$NE$60,MATCH(1,(GMWQ!$NE$2:$NE$60=Q$3)*(GMWQ!$ND$2:$ND$60=Q$4),0),$B323-1966)</f>
        <v>1904.1679999999999</v>
      </c>
      <c r="R323" s="18" cm="1">
        <f t="array" ref="R323">INDEX(GMWQ!$A$2:$NE$60,MATCH(1,(GMWQ!$NE$2:$NE$60=R$3)*(GMWQ!$ND$2:$ND$60=R$4),0),$B323-1966)</f>
        <v>25558.17</v>
      </c>
      <c r="S323" s="18" cm="1">
        <f t="array" ref="S323">INDEX(GMWQ!$A$2:$NE$60,MATCH(1,(GMWQ!$NE$2:$NE$60=S$3)*(GMWQ!$ND$2:$ND$60=S$4),0),$B323-1966)</f>
        <v>145.52289999999999</v>
      </c>
      <c r="T323" s="18" cm="1">
        <f t="array" ref="T323">INDEX(GMWQ!$A$2:$NE$60,MATCH(1,(GMWQ!$NE$2:$NE$60=T$3)*(GMWQ!$ND$2:$ND$60=T$4),0),$B323-1966)</f>
        <v>111.0355</v>
      </c>
      <c r="U323" s="18" cm="1">
        <f t="array" ref="U323">INDEX(GMWQ!$A$2:$NE$60,MATCH(1,(GMWQ!$NE$2:$NE$60=U$3)*(GMWQ!$ND$2:$ND$60=U$4),0),$B323-1966)</f>
        <v>67.127870000000001</v>
      </c>
      <c r="V323" s="18" cm="1">
        <f t="array" ref="V323">INDEX(GMWQ!$A$2:$NE$60,MATCH(1,(GMWQ!$NE$2:$NE$60=V$3)*(GMWQ!$ND$2:$ND$60=V$4),0),$B323-1966)</f>
        <v>125554</v>
      </c>
      <c r="W323" s="18" cm="1">
        <f t="array" ref="W323">INDEX(GMWQ!$A$2:$NF$60,MATCH(1,(GMWQ!$NE$2:$NE$60=W$3)*(GMWQ!$NF$2:$NF$60=W$1),0),$B323-1966)</f>
        <v>0</v>
      </c>
      <c r="X323" s="18" cm="1">
        <f t="array" ref="X323">INDEX(GMWQ!$A$2:$NF$60,MATCH(1,(GMWQ!$NE$2:$NE$60=X$3)*(GMWQ!$NF$2:$NF$60=X$1),0),$B323-1966)</f>
        <v>0</v>
      </c>
      <c r="Y323" s="18" cm="1">
        <f t="array" ref="Y323">INDEX(GMWQ!$A$2:$NF$60,MATCH(1,(GMWQ!$NE$2:$NE$60=Y$3)*(GMWQ!$NF$2:$NF$60=Y$1),0),$B323-1966)</f>
        <v>0</v>
      </c>
      <c r="Z323" s="18" cm="1">
        <f t="array" ref="Z323">INDEX(GMWQ!$A$2:$NF$60,MATCH(1,(GMWQ!$NE$2:$NE$60=Z$3)*(GMWQ!$NF$2:$NF$60=Z$1),0),$B323-1966)</f>
        <v>116169.5</v>
      </c>
    </row>
    <row r="324" spans="1:26" x14ac:dyDescent="0.25">
      <c r="B324" s="18">
        <f t="shared" si="6"/>
        <v>2290</v>
      </c>
      <c r="C324" s="18" cm="1">
        <f t="array" ref="C324">INDEX(GMWQ!$A$2:$NE$60,MATCH(1,(GMWQ!$NE$2:$NE$60=C$3)*(GMWQ!$ND$2:$ND$60=C$4),0),$B324-1966)</f>
        <v>120450.8</v>
      </c>
      <c r="D324" s="18" cm="1">
        <f t="array" ref="D324">INDEX(GMWQ!$A$2:$NE$60,MATCH(1,(GMWQ!$NE$2:$NE$60=D$3)*(GMWQ!$ND$2:$ND$60=D$4),0),$B324-1966)</f>
        <v>433460.8</v>
      </c>
      <c r="E324" s="18" cm="1">
        <f t="array" ref="E324">INDEX(GMWQ!$A$2:$NE$60,MATCH(1,(GMWQ!$NE$2:$NE$60=E$3)*(GMWQ!$ND$2:$ND$60=E$4),0),$B324-1966)</f>
        <v>-9277.3950000000004</v>
      </c>
      <c r="F324" s="18" cm="1">
        <f t="array" ref="F324">INDEX(GMWQ!$A$2:$NE$60,MATCH(1,(GMWQ!$NE$2:$NE$60=F$3)*(GMWQ!$ND$2:$ND$60=F$4),0),$B324-1966)</f>
        <v>-12852.97</v>
      </c>
      <c r="G324" s="18" cm="1">
        <f t="array" ref="G324">INDEX(GMWQ!$A$2:$NE$60,MATCH(1,(GMWQ!$NE$2:$NE$60=G$3)*(GMWQ!$ND$2:$ND$60=G$4),0),$B324-1966)</f>
        <v>1965621</v>
      </c>
      <c r="H324" s="18" cm="1">
        <f t="array" ref="H324">INDEX(GMWQ!$A$2:$NE$60,MATCH(1,(GMWQ!$NE$2:$NE$60=H$3)*(GMWQ!$ND$2:$ND$60=H$4),0),$B324-1966)</f>
        <v>197756.3</v>
      </c>
      <c r="I324" s="18" cm="1">
        <f t="array" ref="I324">INDEX(GMWQ!$A$2:$NE$60,MATCH(1,(GMWQ!$NE$2:$NE$60=I$3)*(GMWQ!$ND$2:$ND$60=I$4),0),$B324-1966)</f>
        <v>25895.59</v>
      </c>
      <c r="J324" s="18" cm="1">
        <f t="array" ref="J324">INDEX(GMWQ!$A$2:$NE$60,MATCH(1,(GMWQ!$NE$2:$NE$60=J$3)*(GMWQ!$ND$2:$ND$60=J$4),0),$B324-1966)</f>
        <v>37899.18</v>
      </c>
      <c r="K324" s="18" cm="1">
        <f t="array" ref="K324">INDEX(GMWQ!$A$2:$NE$60,MATCH(1,(GMWQ!$NE$2:$NE$60=K$3)*(GMWQ!$ND$2:$ND$60=K$4),0),$B324-1966)</f>
        <v>5594843</v>
      </c>
      <c r="L324" s="18" cm="1">
        <f t="array" ref="L324">INDEX(GMWQ!$A$2:$NE$60,MATCH(1,(GMWQ!$NE$2:$NE$60=L$3)*(GMWQ!$ND$2:$ND$60=L$4),0),$B324-1966)</f>
        <v>38928.949999999997</v>
      </c>
      <c r="M324" s="18" cm="1">
        <f t="array" ref="M324">INDEX(GMWQ!$A$2:$NE$60,MATCH(1,(GMWQ!$NE$2:$NE$60=M$3)*(GMWQ!$ND$2:$ND$60=M$4),0),$B324-1966)</f>
        <v>31.942170000000001</v>
      </c>
      <c r="N324" s="18" cm="1">
        <f t="array" ref="N324">INDEX(GMWQ!$A$2:$NE$60,MATCH(1,(GMWQ!$NE$2:$NE$60=N$3)*(GMWQ!$ND$2:$ND$60=N$4),0),$B324-1966)</f>
        <v>9.5161859999999994</v>
      </c>
      <c r="O324" s="18" cm="1">
        <f t="array" ref="O324">INDEX(GMWQ!$A$2:$NE$60,MATCH(1,(GMWQ!$NE$2:$NE$60=O$3)*(GMWQ!$ND$2:$ND$60=O$4),0),$B324-1966)</f>
        <v>3.8562470000000002</v>
      </c>
      <c r="P324" s="18" cm="1">
        <f t="array" ref="P324">INDEX(GMWQ!$A$2:$NE$60,MATCH(1,(GMWQ!$NE$2:$NE$60=P$3)*(GMWQ!$ND$2:$ND$60=P$4),0),$B324-1966)</f>
        <v>1984575</v>
      </c>
      <c r="Q324" s="18" cm="1">
        <f t="array" ref="Q324">INDEX(GMWQ!$A$2:$NE$60,MATCH(1,(GMWQ!$NE$2:$NE$60=Q$3)*(GMWQ!$ND$2:$ND$60=Q$4),0),$B324-1966)</f>
        <v>1914.8489999999999</v>
      </c>
      <c r="R324" s="18" cm="1">
        <f t="array" ref="R324">INDEX(GMWQ!$A$2:$NE$60,MATCH(1,(GMWQ!$NE$2:$NE$60=R$3)*(GMWQ!$ND$2:$ND$60=R$4),0),$B324-1966)</f>
        <v>25579.94</v>
      </c>
      <c r="S324" s="18" cm="1">
        <f t="array" ref="S324">INDEX(GMWQ!$A$2:$NE$60,MATCH(1,(GMWQ!$NE$2:$NE$60=S$3)*(GMWQ!$ND$2:$ND$60=S$4),0),$B324-1966)</f>
        <v>145.84219999999999</v>
      </c>
      <c r="T324" s="18" cm="1">
        <f t="array" ref="T324">INDEX(GMWQ!$A$2:$NE$60,MATCH(1,(GMWQ!$NE$2:$NE$60=T$3)*(GMWQ!$ND$2:$ND$60=T$4),0),$B324-1966)</f>
        <v>111.2332</v>
      </c>
      <c r="U324" s="18" cm="1">
        <f t="array" ref="U324">INDEX(GMWQ!$A$2:$NE$60,MATCH(1,(GMWQ!$NE$2:$NE$60=U$3)*(GMWQ!$ND$2:$ND$60=U$4),0),$B324-1966)</f>
        <v>67.175709999999995</v>
      </c>
      <c r="V324" s="18" cm="1">
        <f t="array" ref="V324">INDEX(GMWQ!$A$2:$NE$60,MATCH(1,(GMWQ!$NE$2:$NE$60=V$3)*(GMWQ!$ND$2:$ND$60=V$4),0),$B324-1966)</f>
        <v>126104.9</v>
      </c>
      <c r="W324" s="18" cm="1">
        <f t="array" ref="W324">INDEX(GMWQ!$A$2:$NF$60,MATCH(1,(GMWQ!$NE$2:$NE$60=W$3)*(GMWQ!$NF$2:$NF$60=W$1),0),$B324-1966)</f>
        <v>0</v>
      </c>
      <c r="X324" s="18" cm="1">
        <f t="array" ref="X324">INDEX(GMWQ!$A$2:$NF$60,MATCH(1,(GMWQ!$NE$2:$NE$60=X$3)*(GMWQ!$NF$2:$NF$60=X$1),0),$B324-1966)</f>
        <v>0</v>
      </c>
      <c r="Y324" s="18" cm="1">
        <f t="array" ref="Y324">INDEX(GMWQ!$A$2:$NF$60,MATCH(1,(GMWQ!$NE$2:$NE$60=Y$3)*(GMWQ!$NF$2:$NF$60=Y$1),0),$B324-1966)</f>
        <v>0</v>
      </c>
      <c r="Z324" s="18" cm="1">
        <f t="array" ref="Z324">INDEX(GMWQ!$A$2:$NF$60,MATCH(1,(GMWQ!$NE$2:$NE$60=Z$3)*(GMWQ!$NF$2:$NF$60=Z$1),0),$B324-1966)</f>
        <v>116732.4</v>
      </c>
    </row>
    <row r="325" spans="1:26" x14ac:dyDescent="0.25">
      <c r="B325" s="18">
        <f t="shared" si="6"/>
        <v>2291</v>
      </c>
      <c r="C325" s="18" cm="1">
        <f t="array" ref="C325">INDEX(GMWQ!$A$2:$NE$60,MATCH(1,(GMWQ!$NE$2:$NE$60=C$3)*(GMWQ!$ND$2:$ND$60=C$4),0),$B325-1966)</f>
        <v>121022.7</v>
      </c>
      <c r="D325" s="18" cm="1">
        <f t="array" ref="D325">INDEX(GMWQ!$A$2:$NE$60,MATCH(1,(GMWQ!$NE$2:$NE$60=D$3)*(GMWQ!$ND$2:$ND$60=D$4),0),$B325-1966)</f>
        <v>437643.8</v>
      </c>
      <c r="E325" s="18" cm="1">
        <f t="array" ref="E325">INDEX(GMWQ!$A$2:$NE$60,MATCH(1,(GMWQ!$NE$2:$NE$60=E$3)*(GMWQ!$ND$2:$ND$60=E$4),0),$B325-1966)</f>
        <v>-16091.19</v>
      </c>
      <c r="F325" s="18" cm="1">
        <f t="array" ref="F325">INDEX(GMWQ!$A$2:$NE$60,MATCH(1,(GMWQ!$NE$2:$NE$60=F$3)*(GMWQ!$ND$2:$ND$60=F$4),0),$B325-1966)</f>
        <v>-19697.990000000002</v>
      </c>
      <c r="G325" s="18" cm="1">
        <f t="array" ref="G325">INDEX(GMWQ!$A$2:$NE$60,MATCH(1,(GMWQ!$NE$2:$NE$60=G$3)*(GMWQ!$ND$2:$ND$60=G$4),0),$B325-1966)</f>
        <v>1982792</v>
      </c>
      <c r="H325" s="18" cm="1">
        <f t="array" ref="H325">INDEX(GMWQ!$A$2:$NE$60,MATCH(1,(GMWQ!$NE$2:$NE$60=H$3)*(GMWQ!$ND$2:$ND$60=H$4),0),$B325-1966)</f>
        <v>198621.8</v>
      </c>
      <c r="I325" s="18" cm="1">
        <f t="array" ref="I325">INDEX(GMWQ!$A$2:$NE$60,MATCH(1,(GMWQ!$NE$2:$NE$60=I$3)*(GMWQ!$ND$2:$ND$60=I$4),0),$B325-1966)</f>
        <v>26006.880000000001</v>
      </c>
      <c r="J325" s="18" cm="1">
        <f t="array" ref="J325">INDEX(GMWQ!$A$2:$NE$60,MATCH(1,(GMWQ!$NE$2:$NE$60=J$3)*(GMWQ!$ND$2:$ND$60=J$4),0),$B325-1966)</f>
        <v>38023.4</v>
      </c>
      <c r="K325" s="18" cm="1">
        <f t="array" ref="K325">INDEX(GMWQ!$A$2:$NE$60,MATCH(1,(GMWQ!$NE$2:$NE$60=K$3)*(GMWQ!$ND$2:$ND$60=K$4),0),$B325-1966)</f>
        <v>5621116</v>
      </c>
      <c r="L325" s="18" cm="1">
        <f t="array" ref="L325">INDEX(GMWQ!$A$2:$NE$60,MATCH(1,(GMWQ!$NE$2:$NE$60=L$3)*(GMWQ!$ND$2:$ND$60=L$4),0),$B325-1966)</f>
        <v>38942.870000000003</v>
      </c>
      <c r="M325" s="18" cm="1">
        <f t="array" ref="M325">INDEX(GMWQ!$A$2:$NE$60,MATCH(1,(GMWQ!$NE$2:$NE$60=M$3)*(GMWQ!$ND$2:$ND$60=M$4),0),$B325-1966)</f>
        <v>31.941420000000001</v>
      </c>
      <c r="N325" s="18" cm="1">
        <f t="array" ref="N325">INDEX(GMWQ!$A$2:$NE$60,MATCH(1,(GMWQ!$NE$2:$NE$60=N$3)*(GMWQ!$ND$2:$ND$60=N$4),0),$B325-1966)</f>
        <v>9.5225000000000009</v>
      </c>
      <c r="O325" s="18" cm="1">
        <f t="array" ref="O325">INDEX(GMWQ!$A$2:$NE$60,MATCH(1,(GMWQ!$NE$2:$NE$60=O$3)*(GMWQ!$ND$2:$ND$60=O$4),0),$B325-1966)</f>
        <v>3.8562470000000002</v>
      </c>
      <c r="P325" s="18" cm="1">
        <f t="array" ref="P325">INDEX(GMWQ!$A$2:$NE$60,MATCH(1,(GMWQ!$NE$2:$NE$60=P$3)*(GMWQ!$ND$2:$ND$60=P$4),0),$B325-1966)</f>
        <v>2008972</v>
      </c>
      <c r="Q325" s="18" cm="1">
        <f t="array" ref="Q325">INDEX(GMWQ!$A$2:$NE$60,MATCH(1,(GMWQ!$NE$2:$NE$60=Q$3)*(GMWQ!$ND$2:$ND$60=Q$4),0),$B325-1966)</f>
        <v>1925.5840000000001</v>
      </c>
      <c r="R325" s="18" cm="1">
        <f t="array" ref="R325">INDEX(GMWQ!$A$2:$NE$60,MATCH(1,(GMWQ!$NE$2:$NE$60=R$3)*(GMWQ!$ND$2:$ND$60=R$4),0),$B325-1966)</f>
        <v>25601.51</v>
      </c>
      <c r="S325" s="18" cm="1">
        <f t="array" ref="S325">INDEX(GMWQ!$A$2:$NE$60,MATCH(1,(GMWQ!$NE$2:$NE$60=S$3)*(GMWQ!$ND$2:$ND$60=S$4),0),$B325-1966)</f>
        <v>146.16220000000001</v>
      </c>
      <c r="T325" s="18" cm="1">
        <f t="array" ref="T325">INDEX(GMWQ!$A$2:$NE$60,MATCH(1,(GMWQ!$NE$2:$NE$60=T$3)*(GMWQ!$ND$2:$ND$60=T$4),0),$B325-1966)</f>
        <v>111.3309</v>
      </c>
      <c r="U325" s="18" cm="1">
        <f t="array" ref="U325">INDEX(GMWQ!$A$2:$NE$60,MATCH(1,(GMWQ!$NE$2:$NE$60=U$3)*(GMWQ!$ND$2:$ND$60=U$4),0),$B325-1966)</f>
        <v>67.223460000000003</v>
      </c>
      <c r="V325" s="18" cm="1">
        <f t="array" ref="V325">INDEX(GMWQ!$A$2:$NE$60,MATCH(1,(GMWQ!$NE$2:$NE$60=V$3)*(GMWQ!$ND$2:$ND$60=V$4),0),$B325-1966)</f>
        <v>126656</v>
      </c>
      <c r="W325" s="18" cm="1">
        <f t="array" ref="W325">INDEX(GMWQ!$A$2:$NF$60,MATCH(1,(GMWQ!$NE$2:$NE$60=W$3)*(GMWQ!$NF$2:$NF$60=W$1),0),$B325-1966)</f>
        <v>0</v>
      </c>
      <c r="X325" s="18" cm="1">
        <f t="array" ref="X325">INDEX(GMWQ!$A$2:$NF$60,MATCH(1,(GMWQ!$NE$2:$NE$60=X$3)*(GMWQ!$NF$2:$NF$60=X$1),0),$B325-1966)</f>
        <v>0</v>
      </c>
      <c r="Y325" s="18" cm="1">
        <f t="array" ref="Y325">INDEX(GMWQ!$A$2:$NF$60,MATCH(1,(GMWQ!$NE$2:$NE$60=Y$3)*(GMWQ!$NF$2:$NF$60=Y$1),0),$B325-1966)</f>
        <v>0</v>
      </c>
      <c r="Z325" s="18" cm="1">
        <f t="array" ref="Z325">INDEX(GMWQ!$A$2:$NF$60,MATCH(1,(GMWQ!$NE$2:$NE$60=Z$3)*(GMWQ!$NF$2:$NF$60=Z$1),0),$B325-1966)</f>
        <v>117289.60000000001</v>
      </c>
    </row>
    <row r="326" spans="1:26" x14ac:dyDescent="0.25">
      <c r="B326" s="18">
        <f t="shared" si="6"/>
        <v>2292</v>
      </c>
      <c r="C326" s="18" cm="1">
        <f t="array" ref="C326">INDEX(GMWQ!$A$2:$NE$60,MATCH(1,(GMWQ!$NE$2:$NE$60=C$3)*(GMWQ!$ND$2:$ND$60=C$4),0),$B326-1966)</f>
        <v>121596.9</v>
      </c>
      <c r="D326" s="18" cm="1">
        <f t="array" ref="D326">INDEX(GMWQ!$A$2:$NE$60,MATCH(1,(GMWQ!$NE$2:$NE$60=D$3)*(GMWQ!$ND$2:$ND$60=D$4),0),$B326-1966)</f>
        <v>440764</v>
      </c>
      <c r="E326" s="18" cm="1">
        <f t="array" ref="E326">INDEX(GMWQ!$A$2:$NE$60,MATCH(1,(GMWQ!$NE$2:$NE$60=E$3)*(GMWQ!$ND$2:$ND$60=E$4),0),$B326-1966)</f>
        <v>6610.5640000000003</v>
      </c>
      <c r="F326" s="18" cm="1">
        <f t="array" ref="F326">INDEX(GMWQ!$A$2:$NE$60,MATCH(1,(GMWQ!$NE$2:$NE$60=F$3)*(GMWQ!$ND$2:$ND$60=F$4),0),$B326-1966)</f>
        <v>2972.26</v>
      </c>
      <c r="G326" s="18" cm="1">
        <f t="array" ref="G326">INDEX(GMWQ!$A$2:$NE$60,MATCH(1,(GMWQ!$NE$2:$NE$60=G$3)*(GMWQ!$ND$2:$ND$60=G$4),0),$B326-1966)</f>
        <v>2000106</v>
      </c>
      <c r="H326" s="18" cm="1">
        <f t="array" ref="H326">INDEX(GMWQ!$A$2:$NE$60,MATCH(1,(GMWQ!$NE$2:$NE$60=H$3)*(GMWQ!$ND$2:$ND$60=H$4),0),$B326-1966)</f>
        <v>199490.5</v>
      </c>
      <c r="I326" s="18" cm="1">
        <f t="array" ref="I326">INDEX(GMWQ!$A$2:$NE$60,MATCH(1,(GMWQ!$NE$2:$NE$60=I$3)*(GMWQ!$ND$2:$ND$60=I$4),0),$B326-1966)</f>
        <v>26118.57</v>
      </c>
      <c r="J326" s="18" cm="1">
        <f t="array" ref="J326">INDEX(GMWQ!$A$2:$NE$60,MATCH(1,(GMWQ!$NE$2:$NE$60=J$3)*(GMWQ!$ND$2:$ND$60=J$4),0),$B326-1966)</f>
        <v>38147.910000000003</v>
      </c>
      <c r="K326" s="18" cm="1">
        <f t="array" ref="K326">INDEX(GMWQ!$A$2:$NE$60,MATCH(1,(GMWQ!$NE$2:$NE$60=K$3)*(GMWQ!$ND$2:$ND$60=K$4),0),$B326-1966)</f>
        <v>5647496</v>
      </c>
      <c r="L326" s="18" cm="1">
        <f t="array" ref="L326">INDEX(GMWQ!$A$2:$NE$60,MATCH(1,(GMWQ!$NE$2:$NE$60=L$3)*(GMWQ!$ND$2:$ND$60=L$4),0),$B326-1966)</f>
        <v>38956.79</v>
      </c>
      <c r="M326" s="18" cm="1">
        <f t="array" ref="M326">INDEX(GMWQ!$A$2:$NE$60,MATCH(1,(GMWQ!$NE$2:$NE$60=M$3)*(GMWQ!$ND$2:$ND$60=M$4),0),$B326-1966)</f>
        <v>31.940670000000001</v>
      </c>
      <c r="N326" s="18" cm="1">
        <f t="array" ref="N326">INDEX(GMWQ!$A$2:$NE$60,MATCH(1,(GMWQ!$NE$2:$NE$60=N$3)*(GMWQ!$ND$2:$ND$60=N$4),0),$B326-1966)</f>
        <v>9.5341280000000008</v>
      </c>
      <c r="O326" s="18" cm="1">
        <f t="array" ref="O326">INDEX(GMWQ!$A$2:$NE$60,MATCH(1,(GMWQ!$NE$2:$NE$60=O$3)*(GMWQ!$ND$2:$ND$60=O$4),0),$B326-1966)</f>
        <v>3.8562470000000002</v>
      </c>
      <c r="P326" s="18" cm="1">
        <f t="array" ref="P326">INDEX(GMWQ!$A$2:$NE$60,MATCH(1,(GMWQ!$NE$2:$NE$60=P$3)*(GMWQ!$ND$2:$ND$60=P$4),0),$B326-1966)</f>
        <v>2033025</v>
      </c>
      <c r="Q326" s="18" cm="1">
        <f t="array" ref="Q326">INDEX(GMWQ!$A$2:$NE$60,MATCH(1,(GMWQ!$NE$2:$NE$60=Q$3)*(GMWQ!$ND$2:$ND$60=Q$4),0),$B326-1966)</f>
        <v>1936.367</v>
      </c>
      <c r="R326" s="18" cm="1">
        <f t="array" ref="R326">INDEX(GMWQ!$A$2:$NE$60,MATCH(1,(GMWQ!$NE$2:$NE$60=R$3)*(GMWQ!$ND$2:$ND$60=R$4),0),$B326-1966)</f>
        <v>25625.49</v>
      </c>
      <c r="S326" s="18" cm="1">
        <f t="array" ref="S326">INDEX(GMWQ!$A$2:$NE$60,MATCH(1,(GMWQ!$NE$2:$NE$60=S$3)*(GMWQ!$ND$2:$ND$60=S$4),0),$B326-1966)</f>
        <v>146.483</v>
      </c>
      <c r="T326" s="18" cm="1">
        <f t="array" ref="T326">INDEX(GMWQ!$A$2:$NE$60,MATCH(1,(GMWQ!$NE$2:$NE$60=T$3)*(GMWQ!$ND$2:$ND$60=T$4),0),$B326-1966)</f>
        <v>111.52800000000001</v>
      </c>
      <c r="U326" s="18" cm="1">
        <f t="array" ref="U326">INDEX(GMWQ!$A$2:$NE$60,MATCH(1,(GMWQ!$NE$2:$NE$60=U$3)*(GMWQ!$ND$2:$ND$60=U$4),0),$B326-1966)</f>
        <v>67.271140000000003</v>
      </c>
      <c r="V326" s="18" cm="1">
        <f t="array" ref="V326">INDEX(GMWQ!$A$2:$NE$60,MATCH(1,(GMWQ!$NE$2:$NE$60=V$3)*(GMWQ!$ND$2:$ND$60=V$4),0),$B326-1966)</f>
        <v>127208.7</v>
      </c>
      <c r="W326" s="18" cm="1">
        <f t="array" ref="W326">INDEX(GMWQ!$A$2:$NF$60,MATCH(1,(GMWQ!$NE$2:$NE$60=W$3)*(GMWQ!$NF$2:$NF$60=W$1),0),$B326-1966)</f>
        <v>0</v>
      </c>
      <c r="X326" s="18" cm="1">
        <f t="array" ref="X326">INDEX(GMWQ!$A$2:$NF$60,MATCH(1,(GMWQ!$NE$2:$NE$60=X$3)*(GMWQ!$NF$2:$NF$60=X$1),0),$B326-1966)</f>
        <v>0</v>
      </c>
      <c r="Y326" s="18" cm="1">
        <f t="array" ref="Y326">INDEX(GMWQ!$A$2:$NF$60,MATCH(1,(GMWQ!$NE$2:$NE$60=Y$3)*(GMWQ!$NF$2:$NF$60=Y$1),0),$B326-1966)</f>
        <v>0</v>
      </c>
      <c r="Z326" s="18" cm="1">
        <f t="array" ref="Z326">INDEX(GMWQ!$A$2:$NF$60,MATCH(1,(GMWQ!$NE$2:$NE$60=Z$3)*(GMWQ!$NF$2:$NF$60=Z$1),0),$B326-1966)</f>
        <v>117849.3</v>
      </c>
    </row>
    <row r="327" spans="1:26" x14ac:dyDescent="0.25">
      <c r="A327" s="18">
        <v>2053</v>
      </c>
      <c r="B327" s="18">
        <f t="shared" si="6"/>
        <v>2293</v>
      </c>
      <c r="C327" s="18" cm="1">
        <f t="array" ref="C327">INDEX(GMWQ!$A$2:$NE$60,MATCH(1,(GMWQ!$NE$2:$NE$60=C$3)*(GMWQ!$ND$2:$ND$60=C$4),0),$B327-1966)</f>
        <v>122173.4</v>
      </c>
      <c r="D327" s="18" cm="1">
        <f t="array" ref="D327">INDEX(GMWQ!$A$2:$NE$60,MATCH(1,(GMWQ!$NE$2:$NE$60=D$3)*(GMWQ!$ND$2:$ND$60=D$4),0),$B327-1966)</f>
        <v>444657.4</v>
      </c>
      <c r="E327" s="18" cm="1">
        <f t="array" ref="E327">INDEX(GMWQ!$A$2:$NE$60,MATCH(1,(GMWQ!$NE$2:$NE$60=E$3)*(GMWQ!$ND$2:$ND$60=E$4),0),$B327-1966)</f>
        <v>-26296.41</v>
      </c>
      <c r="F327" s="18" cm="1">
        <f t="array" ref="F327">INDEX(GMWQ!$A$2:$NE$60,MATCH(1,(GMWQ!$NE$2:$NE$60=F$3)*(GMWQ!$ND$2:$ND$60=F$4),0),$B327-1966)</f>
        <v>-29966.47</v>
      </c>
      <c r="G327" s="18" cm="1">
        <f t="array" ref="G327">INDEX(GMWQ!$A$2:$NE$60,MATCH(1,(GMWQ!$NE$2:$NE$60=G$3)*(GMWQ!$ND$2:$ND$60=G$4),0),$B327-1966)</f>
        <v>2017566</v>
      </c>
      <c r="H327" s="18" cm="1">
        <f t="array" ref="H327">INDEX(GMWQ!$A$2:$NE$60,MATCH(1,(GMWQ!$NE$2:$NE$60=H$3)*(GMWQ!$ND$2:$ND$60=H$4),0),$B327-1966)</f>
        <v>200362.4</v>
      </c>
      <c r="I327" s="18" cm="1">
        <f t="array" ref="I327">INDEX(GMWQ!$A$2:$NE$60,MATCH(1,(GMWQ!$NE$2:$NE$60=I$3)*(GMWQ!$ND$2:$ND$60=I$4),0),$B327-1966)</f>
        <v>26230.66</v>
      </c>
      <c r="J327" s="18" cm="1">
        <f t="array" ref="J327">INDEX(GMWQ!$A$2:$NE$60,MATCH(1,(GMWQ!$NE$2:$NE$60=J$3)*(GMWQ!$ND$2:$ND$60=J$4),0),$B327-1966)</f>
        <v>38272.71</v>
      </c>
      <c r="K327" s="18" cm="1">
        <f t="array" ref="K327">INDEX(GMWQ!$A$2:$NE$60,MATCH(1,(GMWQ!$NE$2:$NE$60=K$3)*(GMWQ!$ND$2:$ND$60=K$4),0),$B327-1966)</f>
        <v>5673982</v>
      </c>
      <c r="L327" s="18" cm="1">
        <f t="array" ref="L327">INDEX(GMWQ!$A$2:$NE$60,MATCH(1,(GMWQ!$NE$2:$NE$60=L$3)*(GMWQ!$ND$2:$ND$60=L$4),0),$B327-1966)</f>
        <v>38970.71</v>
      </c>
      <c r="M327" s="18" cm="1">
        <f t="array" ref="M327">INDEX(GMWQ!$A$2:$NE$60,MATCH(1,(GMWQ!$NE$2:$NE$60=M$3)*(GMWQ!$ND$2:$ND$60=M$4),0),$B327-1966)</f>
        <v>31.939920000000001</v>
      </c>
      <c r="N327" s="18" cm="1">
        <f t="array" ref="N327">INDEX(GMWQ!$A$2:$NE$60,MATCH(1,(GMWQ!$NE$2:$NE$60=N$3)*(GMWQ!$ND$2:$ND$60=N$4),0),$B327-1966)</f>
        <v>9.5350590000000004</v>
      </c>
      <c r="O327" s="18" cm="1">
        <f t="array" ref="O327">INDEX(GMWQ!$A$2:$NE$60,MATCH(1,(GMWQ!$NE$2:$NE$60=O$3)*(GMWQ!$ND$2:$ND$60=O$4),0),$B327-1966)</f>
        <v>3.8562470000000002</v>
      </c>
      <c r="P327" s="18" cm="1">
        <f t="array" ref="P327">INDEX(GMWQ!$A$2:$NE$60,MATCH(1,(GMWQ!$NE$2:$NE$60=P$3)*(GMWQ!$ND$2:$ND$60=P$4),0),$B327-1966)</f>
        <v>2051770</v>
      </c>
      <c r="Q327" s="18" cm="1">
        <f t="array" ref="Q327">INDEX(GMWQ!$A$2:$NE$60,MATCH(1,(GMWQ!$NE$2:$NE$60=Q$3)*(GMWQ!$ND$2:$ND$60=Q$4),0),$B327-1966)</f>
        <v>1947.1990000000001</v>
      </c>
      <c r="R327" s="18" cm="1">
        <f t="array" ref="R327">INDEX(GMWQ!$A$2:$NE$60,MATCH(1,(GMWQ!$NE$2:$NE$60=R$3)*(GMWQ!$ND$2:$ND$60=R$4),0),$B327-1966)</f>
        <v>25651.919999999998</v>
      </c>
      <c r="S327" s="18" cm="1">
        <f t="array" ref="S327">INDEX(GMWQ!$A$2:$NE$60,MATCH(1,(GMWQ!$NE$2:$NE$60=S$3)*(GMWQ!$ND$2:$ND$60=S$4),0),$B327-1966)</f>
        <v>146.78710000000001</v>
      </c>
      <c r="T327" s="18" cm="1">
        <f t="array" ref="T327">INDEX(GMWQ!$A$2:$NE$60,MATCH(1,(GMWQ!$NE$2:$NE$60=T$3)*(GMWQ!$ND$2:$ND$60=T$4),0),$B327-1966)</f>
        <v>111.628</v>
      </c>
      <c r="U327" s="18" cm="1">
        <f t="array" ref="U327">INDEX(GMWQ!$A$2:$NE$60,MATCH(1,(GMWQ!$NE$2:$NE$60=U$3)*(GMWQ!$ND$2:$ND$60=U$4),0),$B327-1966)</f>
        <v>67.318759999999997</v>
      </c>
      <c r="V327" s="18" cm="1">
        <f t="array" ref="V327">INDEX(GMWQ!$A$2:$NE$60,MATCH(1,(GMWQ!$NE$2:$NE$60=V$3)*(GMWQ!$ND$2:$ND$60=V$4),0),$B327-1966)</f>
        <v>127763.3</v>
      </c>
      <c r="W327" s="18" cm="1">
        <f t="array" ref="W327">INDEX(GMWQ!$A$2:$NF$60,MATCH(1,(GMWQ!$NE$2:$NE$60=W$3)*(GMWQ!$NF$2:$NF$60=W$1),0),$B327-1966)</f>
        <v>0</v>
      </c>
      <c r="X327" s="18" cm="1">
        <f t="array" ref="X327">INDEX(GMWQ!$A$2:$NF$60,MATCH(1,(GMWQ!$NE$2:$NE$60=X$3)*(GMWQ!$NF$2:$NF$60=X$1),0),$B327-1966)</f>
        <v>0</v>
      </c>
      <c r="Y327" s="18" cm="1">
        <f t="array" ref="Y327">INDEX(GMWQ!$A$2:$NF$60,MATCH(1,(GMWQ!$NE$2:$NE$60=Y$3)*(GMWQ!$NF$2:$NF$60=Y$1),0),$B327-1966)</f>
        <v>0</v>
      </c>
      <c r="Z327" s="18" cm="1">
        <f t="array" ref="Z327">INDEX(GMWQ!$A$2:$NF$60,MATCH(1,(GMWQ!$NE$2:$NE$60=Z$3)*(GMWQ!$NF$2:$NF$60=Z$1),0),$B327-1966)</f>
        <v>118411.5</v>
      </c>
    </row>
    <row r="328" spans="1:26" x14ac:dyDescent="0.25">
      <c r="B328" s="18">
        <f t="shared" si="6"/>
        <v>2294</v>
      </c>
      <c r="C328" s="18" cm="1">
        <f t="array" ref="C328">INDEX(GMWQ!$A$2:$NE$60,MATCH(1,(GMWQ!$NE$2:$NE$60=C$3)*(GMWQ!$ND$2:$ND$60=C$4),0),$B328-1966)</f>
        <v>122752.4</v>
      </c>
      <c r="D328" s="18" cm="1">
        <f t="array" ref="D328">INDEX(GMWQ!$A$2:$NE$60,MATCH(1,(GMWQ!$NE$2:$NE$60=D$3)*(GMWQ!$ND$2:$ND$60=D$4),0),$B328-1966)</f>
        <v>448834.9</v>
      </c>
      <c r="E328" s="18" cm="1">
        <f t="array" ref="E328">INDEX(GMWQ!$A$2:$NE$60,MATCH(1,(GMWQ!$NE$2:$NE$60=E$3)*(GMWQ!$ND$2:$ND$60=E$4),0),$B328-1966)</f>
        <v>-9558.4979999999996</v>
      </c>
      <c r="F328" s="18" cm="1">
        <f t="array" ref="F328">INDEX(GMWQ!$A$2:$NE$60,MATCH(1,(GMWQ!$NE$2:$NE$60=F$3)*(GMWQ!$ND$2:$ND$60=F$4),0),$B328-1966)</f>
        <v>-13260.59</v>
      </c>
      <c r="G328" s="18" cm="1">
        <f t="array" ref="G328">INDEX(GMWQ!$A$2:$NE$60,MATCH(1,(GMWQ!$NE$2:$NE$60=G$3)*(GMWQ!$ND$2:$ND$60=G$4),0),$B328-1966)</f>
        <v>2035172</v>
      </c>
      <c r="H328" s="18" cm="1">
        <f t="array" ref="H328">INDEX(GMWQ!$A$2:$NE$60,MATCH(1,(GMWQ!$NE$2:$NE$60=H$3)*(GMWQ!$ND$2:$ND$60=H$4),0),$B328-1966)</f>
        <v>201237.7</v>
      </c>
      <c r="I328" s="18" cm="1">
        <f t="array" ref="I328">INDEX(GMWQ!$A$2:$NE$60,MATCH(1,(GMWQ!$NE$2:$NE$60=I$3)*(GMWQ!$ND$2:$ND$60=I$4),0),$B328-1966)</f>
        <v>26343.16</v>
      </c>
      <c r="J328" s="18" cm="1">
        <f t="array" ref="J328">INDEX(GMWQ!$A$2:$NE$60,MATCH(1,(GMWQ!$NE$2:$NE$60=J$3)*(GMWQ!$ND$2:$ND$60=J$4),0),$B328-1966)</f>
        <v>38397.83</v>
      </c>
      <c r="K328" s="18" cm="1">
        <f t="array" ref="K328">INDEX(GMWQ!$A$2:$NE$60,MATCH(1,(GMWQ!$NE$2:$NE$60=K$3)*(GMWQ!$ND$2:$ND$60=K$4),0),$B328-1966)</f>
        <v>5700575</v>
      </c>
      <c r="L328" s="18" cm="1">
        <f t="array" ref="L328">INDEX(GMWQ!$A$2:$NE$60,MATCH(1,(GMWQ!$NE$2:$NE$60=L$3)*(GMWQ!$ND$2:$ND$60=L$4),0),$B328-1966)</f>
        <v>38984.639999999999</v>
      </c>
      <c r="M328" s="18" cm="1">
        <f t="array" ref="M328">INDEX(GMWQ!$A$2:$NE$60,MATCH(1,(GMWQ!$NE$2:$NE$60=M$3)*(GMWQ!$ND$2:$ND$60=M$4),0),$B328-1966)</f>
        <v>31.939170000000001</v>
      </c>
      <c r="N328" s="18" cm="1">
        <f t="array" ref="N328">INDEX(GMWQ!$A$2:$NE$60,MATCH(1,(GMWQ!$NE$2:$NE$60=N$3)*(GMWQ!$ND$2:$ND$60=N$4),0),$B328-1966)</f>
        <v>9.5495730000000005</v>
      </c>
      <c r="O328" s="18" cm="1">
        <f t="array" ref="O328">INDEX(GMWQ!$A$2:$NE$60,MATCH(1,(GMWQ!$NE$2:$NE$60=O$3)*(GMWQ!$ND$2:$ND$60=O$4),0),$B328-1966)</f>
        <v>3.8562470000000002</v>
      </c>
      <c r="P328" s="18" cm="1">
        <f t="array" ref="P328">INDEX(GMWQ!$A$2:$NE$60,MATCH(1,(GMWQ!$NE$2:$NE$60=P$3)*(GMWQ!$ND$2:$ND$60=P$4),0),$B328-1966)</f>
        <v>2083413</v>
      </c>
      <c r="Q328" s="18" cm="1">
        <f t="array" ref="Q328">INDEX(GMWQ!$A$2:$NE$60,MATCH(1,(GMWQ!$NE$2:$NE$60=Q$3)*(GMWQ!$ND$2:$ND$60=Q$4),0),$B328-1966)</f>
        <v>1958.0820000000001</v>
      </c>
      <c r="R328" s="18" cm="1">
        <f t="array" ref="R328">INDEX(GMWQ!$A$2:$NE$60,MATCH(1,(GMWQ!$NE$2:$NE$60=R$3)*(GMWQ!$ND$2:$ND$60=R$4),0),$B328-1966)</f>
        <v>25678.35</v>
      </c>
      <c r="S328" s="18" cm="1">
        <f t="array" ref="S328">INDEX(GMWQ!$A$2:$NE$60,MATCH(1,(GMWQ!$NE$2:$NE$60=S$3)*(GMWQ!$ND$2:$ND$60=S$4),0),$B328-1966)</f>
        <v>147.09180000000001</v>
      </c>
      <c r="T328" s="18" cm="1">
        <f t="array" ref="T328">INDEX(GMWQ!$A$2:$NE$60,MATCH(1,(GMWQ!$NE$2:$NE$60=T$3)*(GMWQ!$ND$2:$ND$60=T$4),0),$B328-1966)</f>
        <v>111.8284</v>
      </c>
      <c r="U328" s="18" cm="1">
        <f t="array" ref="U328">INDEX(GMWQ!$A$2:$NE$60,MATCH(1,(GMWQ!$NE$2:$NE$60=U$3)*(GMWQ!$ND$2:$ND$60=U$4),0),$B328-1966)</f>
        <v>67.372110000000006</v>
      </c>
      <c r="V328" s="18" cm="1">
        <f t="array" ref="V328">INDEX(GMWQ!$A$2:$NE$60,MATCH(1,(GMWQ!$NE$2:$NE$60=V$3)*(GMWQ!$ND$2:$ND$60=V$4),0),$B328-1966)</f>
        <v>128321.7</v>
      </c>
      <c r="W328" s="18" cm="1">
        <f t="array" ref="W328">INDEX(GMWQ!$A$2:$NF$60,MATCH(1,(GMWQ!$NE$2:$NE$60=W$3)*(GMWQ!$NF$2:$NF$60=W$1),0),$B328-1966)</f>
        <v>0</v>
      </c>
      <c r="X328" s="18" cm="1">
        <f t="array" ref="X328">INDEX(GMWQ!$A$2:$NF$60,MATCH(1,(GMWQ!$NE$2:$NE$60=X$3)*(GMWQ!$NF$2:$NF$60=X$1),0),$B328-1966)</f>
        <v>0</v>
      </c>
      <c r="Y328" s="18" cm="1">
        <f t="array" ref="Y328">INDEX(GMWQ!$A$2:$NF$60,MATCH(1,(GMWQ!$NE$2:$NE$60=Y$3)*(GMWQ!$NF$2:$NF$60=Y$1),0),$B328-1966)</f>
        <v>0</v>
      </c>
      <c r="Z328" s="18" cm="1">
        <f t="array" ref="Z328">INDEX(GMWQ!$A$2:$NF$60,MATCH(1,(GMWQ!$NE$2:$NE$60=Z$3)*(GMWQ!$NF$2:$NF$60=Z$1),0),$B328-1966)</f>
        <v>118976.2</v>
      </c>
    </row>
    <row r="329" spans="1:26" x14ac:dyDescent="0.25">
      <c r="B329" s="18">
        <f t="shared" si="6"/>
        <v>2295</v>
      </c>
      <c r="C329" s="18" cm="1">
        <f t="array" ref="C329">INDEX(GMWQ!$A$2:$NE$60,MATCH(1,(GMWQ!$NE$2:$NE$60=C$3)*(GMWQ!$ND$2:$ND$60=C$4),0),$B329-1966)</f>
        <v>123334</v>
      </c>
      <c r="D329" s="18" cm="1">
        <f t="array" ref="D329">INDEX(GMWQ!$A$2:$NE$60,MATCH(1,(GMWQ!$NE$2:$NE$60=D$3)*(GMWQ!$ND$2:$ND$60=D$4),0),$B329-1966)</f>
        <v>453129.3</v>
      </c>
      <c r="E329" s="18" cm="1">
        <f t="array" ref="E329">INDEX(GMWQ!$A$2:$NE$60,MATCH(1,(GMWQ!$NE$2:$NE$60=E$3)*(GMWQ!$ND$2:$ND$60=E$4),0),$B329-1966)</f>
        <v>-16524.54</v>
      </c>
      <c r="F329" s="18" cm="1">
        <f t="array" ref="F329">INDEX(GMWQ!$A$2:$NE$60,MATCH(1,(GMWQ!$NE$2:$NE$60=F$3)*(GMWQ!$ND$2:$ND$60=F$4),0),$B329-1966)</f>
        <v>-20258.939999999999</v>
      </c>
      <c r="G329" s="18" cm="1">
        <f t="array" ref="G329">INDEX(GMWQ!$A$2:$NE$60,MATCH(1,(GMWQ!$NE$2:$NE$60=G$3)*(GMWQ!$ND$2:$ND$60=G$4),0),$B329-1966)</f>
        <v>2052930</v>
      </c>
      <c r="H329" s="18" cm="1">
        <f t="array" ref="H329">INDEX(GMWQ!$A$2:$NE$60,MATCH(1,(GMWQ!$NE$2:$NE$60=H$3)*(GMWQ!$ND$2:$ND$60=H$4),0),$B329-1966)</f>
        <v>202116.6</v>
      </c>
      <c r="I329" s="18" cm="1">
        <f t="array" ref="I329">INDEX(GMWQ!$A$2:$NE$60,MATCH(1,(GMWQ!$NE$2:$NE$60=I$3)*(GMWQ!$ND$2:$ND$60=I$4),0),$B329-1966)</f>
        <v>26456.11</v>
      </c>
      <c r="J329" s="18" cm="1">
        <f t="array" ref="J329">INDEX(GMWQ!$A$2:$NE$60,MATCH(1,(GMWQ!$NE$2:$NE$60=J$3)*(GMWQ!$ND$2:$ND$60=J$4),0),$B329-1966)</f>
        <v>38523.300000000003</v>
      </c>
      <c r="K329" s="18" cm="1">
        <f t="array" ref="K329">INDEX(GMWQ!$A$2:$NE$60,MATCH(1,(GMWQ!$NE$2:$NE$60=K$3)*(GMWQ!$ND$2:$ND$60=K$4),0),$B329-1966)</f>
        <v>5727277</v>
      </c>
      <c r="L329" s="18" cm="1">
        <f t="array" ref="L329">INDEX(GMWQ!$A$2:$NE$60,MATCH(1,(GMWQ!$NE$2:$NE$60=L$3)*(GMWQ!$ND$2:$ND$60=L$4),0),$B329-1966)</f>
        <v>38998.65</v>
      </c>
      <c r="M329" s="18" cm="1">
        <f t="array" ref="M329">INDEX(GMWQ!$A$2:$NE$60,MATCH(1,(GMWQ!$NE$2:$NE$60=M$3)*(GMWQ!$ND$2:$ND$60=M$4),0),$B329-1966)</f>
        <v>31.938420000000001</v>
      </c>
      <c r="N329" s="18" cm="1">
        <f t="array" ref="N329">INDEX(GMWQ!$A$2:$NE$60,MATCH(1,(GMWQ!$NE$2:$NE$60=N$3)*(GMWQ!$ND$2:$ND$60=N$4),0),$B329-1966)</f>
        <v>9.5560729999999996</v>
      </c>
      <c r="O329" s="18" cm="1">
        <f t="array" ref="O329">INDEX(GMWQ!$A$2:$NE$60,MATCH(1,(GMWQ!$NE$2:$NE$60=O$3)*(GMWQ!$ND$2:$ND$60=O$4),0),$B329-1966)</f>
        <v>3.8562470000000002</v>
      </c>
      <c r="P329" s="18" cm="1">
        <f t="array" ref="P329">INDEX(GMWQ!$A$2:$NE$60,MATCH(1,(GMWQ!$NE$2:$NE$60=P$3)*(GMWQ!$ND$2:$ND$60=P$4),0),$B329-1966)</f>
        <v>2108938</v>
      </c>
      <c r="Q329" s="18" cm="1">
        <f t="array" ref="Q329">INDEX(GMWQ!$A$2:$NE$60,MATCH(1,(GMWQ!$NE$2:$NE$60=Q$3)*(GMWQ!$ND$2:$ND$60=Q$4),0),$B329-1966)</f>
        <v>1969.0160000000001</v>
      </c>
      <c r="R329" s="18" cm="1">
        <f t="array" ref="R329">INDEX(GMWQ!$A$2:$NE$60,MATCH(1,(GMWQ!$NE$2:$NE$60=R$3)*(GMWQ!$ND$2:$ND$60=R$4),0),$B329-1966)</f>
        <v>25704.25</v>
      </c>
      <c r="S329" s="18" cm="1">
        <f t="array" ref="S329">INDEX(GMWQ!$A$2:$NE$60,MATCH(1,(GMWQ!$NE$2:$NE$60=S$3)*(GMWQ!$ND$2:$ND$60=S$4),0),$B329-1966)</f>
        <v>147.39699999999999</v>
      </c>
      <c r="T329" s="18" cm="1">
        <f t="array" ref="T329">INDEX(GMWQ!$A$2:$NE$60,MATCH(1,(GMWQ!$NE$2:$NE$60=T$3)*(GMWQ!$ND$2:$ND$60=T$4),0),$B329-1966)</f>
        <v>111.9285</v>
      </c>
      <c r="U329" s="18" cm="1">
        <f t="array" ref="U329">INDEX(GMWQ!$A$2:$NE$60,MATCH(1,(GMWQ!$NE$2:$NE$60=U$3)*(GMWQ!$ND$2:$ND$60=U$4),0),$B329-1966)</f>
        <v>67.425399999999996</v>
      </c>
      <c r="V329" s="18" cm="1">
        <f t="array" ref="V329">INDEX(GMWQ!$A$2:$NE$60,MATCH(1,(GMWQ!$NE$2:$NE$60=V$3)*(GMWQ!$ND$2:$ND$60=V$4),0),$B329-1966)</f>
        <v>128878.9</v>
      </c>
      <c r="W329" s="18" cm="1">
        <f t="array" ref="W329">INDEX(GMWQ!$A$2:$NF$60,MATCH(1,(GMWQ!$NE$2:$NE$60=W$3)*(GMWQ!$NF$2:$NF$60=W$1),0),$B329-1966)</f>
        <v>0</v>
      </c>
      <c r="X329" s="18" cm="1">
        <f t="array" ref="X329">INDEX(GMWQ!$A$2:$NF$60,MATCH(1,(GMWQ!$NE$2:$NE$60=X$3)*(GMWQ!$NF$2:$NF$60=X$1),0),$B329-1966)</f>
        <v>0</v>
      </c>
      <c r="Y329" s="18" cm="1">
        <f t="array" ref="Y329">INDEX(GMWQ!$A$2:$NF$60,MATCH(1,(GMWQ!$NE$2:$NE$60=Y$3)*(GMWQ!$NF$2:$NF$60=Y$1),0),$B329-1966)</f>
        <v>0</v>
      </c>
      <c r="Z329" s="18" cm="1">
        <f t="array" ref="Z329">INDEX(GMWQ!$A$2:$NF$60,MATCH(1,(GMWQ!$NE$2:$NE$60=Z$3)*(GMWQ!$NF$2:$NF$60=Z$1),0),$B329-1966)</f>
        <v>119543.5</v>
      </c>
    </row>
    <row r="330" spans="1:26" x14ac:dyDescent="0.25">
      <c r="B330" s="18">
        <f t="shared" si="6"/>
        <v>2296</v>
      </c>
      <c r="C330" s="18" cm="1">
        <f t="array" ref="C330">INDEX(GMWQ!$A$2:$NE$60,MATCH(1,(GMWQ!$NE$2:$NE$60=C$3)*(GMWQ!$ND$2:$ND$60=C$4),0),$B330-1966)</f>
        <v>123917.9</v>
      </c>
      <c r="D330" s="18" cm="1">
        <f t="array" ref="D330">INDEX(GMWQ!$A$2:$NE$60,MATCH(1,(GMWQ!$NE$2:$NE$60=D$3)*(GMWQ!$ND$2:$ND$60=D$4),0),$B330-1966)</f>
        <v>456355.3</v>
      </c>
      <c r="E330" s="18" cm="1">
        <f t="array" ref="E330">INDEX(GMWQ!$A$2:$NE$60,MATCH(1,(GMWQ!$NE$2:$NE$60=E$3)*(GMWQ!$ND$2:$ND$60=E$4),0),$B330-1966)</f>
        <v>6978.2539999999999</v>
      </c>
      <c r="F330" s="18" cm="1">
        <f t="array" ref="F330">INDEX(GMWQ!$A$2:$NE$60,MATCH(1,(GMWQ!$NE$2:$NE$60=F$3)*(GMWQ!$ND$2:$ND$60=F$4),0),$B330-1966)</f>
        <v>3211.2849999999999</v>
      </c>
      <c r="G330" s="18" cm="1">
        <f t="array" ref="G330">INDEX(GMWQ!$A$2:$NE$60,MATCH(1,(GMWQ!$NE$2:$NE$60=G$3)*(GMWQ!$ND$2:$ND$60=G$4),0),$B330-1966)</f>
        <v>2070837</v>
      </c>
      <c r="H330" s="18" cm="1">
        <f t="array" ref="H330">INDEX(GMWQ!$A$2:$NE$60,MATCH(1,(GMWQ!$NE$2:$NE$60=H$3)*(GMWQ!$ND$2:$ND$60=H$4),0),$B330-1966)</f>
        <v>202998.8</v>
      </c>
      <c r="I330" s="18" cm="1">
        <f t="array" ref="I330">INDEX(GMWQ!$A$2:$NE$60,MATCH(1,(GMWQ!$NE$2:$NE$60=I$3)*(GMWQ!$ND$2:$ND$60=I$4),0),$B330-1966)</f>
        <v>26569.47</v>
      </c>
      <c r="J330" s="18" cm="1">
        <f t="array" ref="J330">INDEX(GMWQ!$A$2:$NE$60,MATCH(1,(GMWQ!$NE$2:$NE$60=J$3)*(GMWQ!$ND$2:$ND$60=J$4),0),$B330-1966)</f>
        <v>38649.07</v>
      </c>
      <c r="K330" s="18" cm="1">
        <f t="array" ref="K330">INDEX(GMWQ!$A$2:$NE$60,MATCH(1,(GMWQ!$NE$2:$NE$60=K$3)*(GMWQ!$ND$2:$ND$60=K$4),0),$B330-1966)</f>
        <v>5754086</v>
      </c>
      <c r="L330" s="18" cm="1">
        <f t="array" ref="L330">INDEX(GMWQ!$A$2:$NE$60,MATCH(1,(GMWQ!$NE$2:$NE$60=L$3)*(GMWQ!$ND$2:$ND$60=L$4),0),$B330-1966)</f>
        <v>39012.660000000003</v>
      </c>
      <c r="M330" s="18" cm="1">
        <f t="array" ref="M330">INDEX(GMWQ!$A$2:$NE$60,MATCH(1,(GMWQ!$NE$2:$NE$60=M$3)*(GMWQ!$ND$2:$ND$60=M$4),0),$B330-1966)</f>
        <v>31.937670000000001</v>
      </c>
      <c r="N330" s="18" cm="1">
        <f t="array" ref="N330">INDEX(GMWQ!$A$2:$NE$60,MATCH(1,(GMWQ!$NE$2:$NE$60=N$3)*(GMWQ!$ND$2:$ND$60=N$4),0),$B330-1966)</f>
        <v>9.5678330000000003</v>
      </c>
      <c r="O330" s="18" cm="1">
        <f t="array" ref="O330">INDEX(GMWQ!$A$2:$NE$60,MATCH(1,(GMWQ!$NE$2:$NE$60=O$3)*(GMWQ!$ND$2:$ND$60=O$4),0),$B330-1966)</f>
        <v>3.8562470000000002</v>
      </c>
      <c r="P330" s="18" cm="1">
        <f t="array" ref="P330">INDEX(GMWQ!$A$2:$NE$60,MATCH(1,(GMWQ!$NE$2:$NE$60=P$3)*(GMWQ!$ND$2:$ND$60=P$4),0),$B330-1966)</f>
        <v>2134141</v>
      </c>
      <c r="Q330" s="18" cm="1">
        <f t="array" ref="Q330">INDEX(GMWQ!$A$2:$NE$60,MATCH(1,(GMWQ!$NE$2:$NE$60=Q$3)*(GMWQ!$ND$2:$ND$60=Q$4),0),$B330-1966)</f>
        <v>1979.9960000000001</v>
      </c>
      <c r="R330" s="18" cm="1">
        <f t="array" ref="R330">INDEX(GMWQ!$A$2:$NE$60,MATCH(1,(GMWQ!$NE$2:$NE$60=R$3)*(GMWQ!$ND$2:$ND$60=R$4),0),$B330-1966)</f>
        <v>25731.47</v>
      </c>
      <c r="S330" s="18" cm="1">
        <f t="array" ref="S330">INDEX(GMWQ!$A$2:$NE$60,MATCH(1,(GMWQ!$NE$2:$NE$60=S$3)*(GMWQ!$ND$2:$ND$60=S$4),0),$B330-1966)</f>
        <v>147.7029</v>
      </c>
      <c r="T330" s="18" cm="1">
        <f t="array" ref="T330">INDEX(GMWQ!$A$2:$NE$60,MATCH(1,(GMWQ!$NE$2:$NE$60=T$3)*(GMWQ!$ND$2:$ND$60=T$4),0),$B330-1966)</f>
        <v>112.1293</v>
      </c>
      <c r="U330" s="18" cm="1">
        <f t="array" ref="U330">INDEX(GMWQ!$A$2:$NE$60,MATCH(1,(GMWQ!$NE$2:$NE$60=U$3)*(GMWQ!$ND$2:$ND$60=U$4),0),$B330-1966)</f>
        <v>67.478629999999995</v>
      </c>
      <c r="V330" s="18" cm="1">
        <f t="array" ref="V330">INDEX(GMWQ!$A$2:$NE$60,MATCH(1,(GMWQ!$NE$2:$NE$60=V$3)*(GMWQ!$ND$2:$ND$60=V$4),0),$B330-1966)</f>
        <v>129437.4</v>
      </c>
      <c r="W330" s="18" cm="1">
        <f t="array" ref="W330">INDEX(GMWQ!$A$2:$NF$60,MATCH(1,(GMWQ!$NE$2:$NE$60=W$3)*(GMWQ!$NF$2:$NF$60=W$1),0),$B330-1966)</f>
        <v>0</v>
      </c>
      <c r="X330" s="18" cm="1">
        <f t="array" ref="X330">INDEX(GMWQ!$A$2:$NF$60,MATCH(1,(GMWQ!$NE$2:$NE$60=X$3)*(GMWQ!$NF$2:$NF$60=X$1),0),$B330-1966)</f>
        <v>0</v>
      </c>
      <c r="Y330" s="18" cm="1">
        <f t="array" ref="Y330">INDEX(GMWQ!$A$2:$NF$60,MATCH(1,(GMWQ!$NE$2:$NE$60=Y$3)*(GMWQ!$NF$2:$NF$60=Y$1),0),$B330-1966)</f>
        <v>0</v>
      </c>
      <c r="Z330" s="18" cm="1">
        <f t="array" ref="Z330">INDEX(GMWQ!$A$2:$NF$60,MATCH(1,(GMWQ!$NE$2:$NE$60=Z$3)*(GMWQ!$NF$2:$NF$60=Z$1),0),$B330-1966)</f>
        <v>120113.4</v>
      </c>
    </row>
    <row r="331" spans="1:26" x14ac:dyDescent="0.25">
      <c r="A331" s="18">
        <v>2054</v>
      </c>
      <c r="B331" s="18">
        <f t="shared" si="6"/>
        <v>2297</v>
      </c>
      <c r="C331" s="18" cm="1">
        <f t="array" ref="C331">INDEX(GMWQ!$A$2:$NE$60,MATCH(1,(GMWQ!$NE$2:$NE$60=C$3)*(GMWQ!$ND$2:$ND$60=C$4),0),$B331-1966)</f>
        <v>124504.3</v>
      </c>
      <c r="D331" s="18" cm="1">
        <f t="array" ref="D331">INDEX(GMWQ!$A$2:$NE$60,MATCH(1,(GMWQ!$NE$2:$NE$60=D$3)*(GMWQ!$ND$2:$ND$60=D$4),0),$B331-1966)</f>
        <v>460382.2</v>
      </c>
      <c r="E331" s="18" cm="1">
        <f t="array" ref="E331">INDEX(GMWQ!$A$2:$NE$60,MATCH(1,(GMWQ!$NE$2:$NE$60=E$3)*(GMWQ!$ND$2:$ND$60=E$4),0),$B331-1966)</f>
        <v>-27094.16</v>
      </c>
      <c r="F331" s="18" cm="1">
        <f t="array" ref="F331">INDEX(GMWQ!$A$2:$NE$60,MATCH(1,(GMWQ!$NE$2:$NE$60=F$3)*(GMWQ!$ND$2:$ND$60=F$4),0),$B331-1966)</f>
        <v>-30893.97</v>
      </c>
      <c r="G331" s="18" cm="1">
        <f t="array" ref="G331">INDEX(GMWQ!$A$2:$NE$60,MATCH(1,(GMWQ!$NE$2:$NE$60=G$3)*(GMWQ!$ND$2:$ND$60=G$4),0),$B331-1966)</f>
        <v>2088896</v>
      </c>
      <c r="H331" s="18" cm="1">
        <f t="array" ref="H331">INDEX(GMWQ!$A$2:$NE$60,MATCH(1,(GMWQ!$NE$2:$NE$60=H$3)*(GMWQ!$ND$2:$ND$60=H$4),0),$B331-1966)</f>
        <v>203884.4</v>
      </c>
      <c r="I331" s="18" cm="1">
        <f t="array" ref="I331">INDEX(GMWQ!$A$2:$NE$60,MATCH(1,(GMWQ!$NE$2:$NE$60=I$3)*(GMWQ!$ND$2:$ND$60=I$4),0),$B331-1966)</f>
        <v>26683.24</v>
      </c>
      <c r="J331" s="18" cm="1">
        <f t="array" ref="J331">INDEX(GMWQ!$A$2:$NE$60,MATCH(1,(GMWQ!$NE$2:$NE$60=J$3)*(GMWQ!$ND$2:$ND$60=J$4),0),$B331-1966)</f>
        <v>38775.15</v>
      </c>
      <c r="K331" s="18" cm="1">
        <f t="array" ref="K331">INDEX(GMWQ!$A$2:$NE$60,MATCH(1,(GMWQ!$NE$2:$NE$60=K$3)*(GMWQ!$ND$2:$ND$60=K$4),0),$B331-1966)</f>
        <v>5781004</v>
      </c>
      <c r="L331" s="18" cm="1">
        <f t="array" ref="L331">INDEX(GMWQ!$A$2:$NE$60,MATCH(1,(GMWQ!$NE$2:$NE$60=L$3)*(GMWQ!$ND$2:$ND$60=L$4),0),$B331-1966)</f>
        <v>39026.68</v>
      </c>
      <c r="M331" s="18" cm="1">
        <f t="array" ref="M331">INDEX(GMWQ!$A$2:$NE$60,MATCH(1,(GMWQ!$NE$2:$NE$60=M$3)*(GMWQ!$ND$2:$ND$60=M$4),0),$B331-1966)</f>
        <v>31.936920000000001</v>
      </c>
      <c r="N331" s="18" cm="1">
        <f t="array" ref="N331">INDEX(GMWQ!$A$2:$NE$60,MATCH(1,(GMWQ!$NE$2:$NE$60=N$3)*(GMWQ!$ND$2:$ND$60=N$4),0),$B331-1966)</f>
        <v>9.5688309999999994</v>
      </c>
      <c r="O331" s="18" cm="1">
        <f t="array" ref="O331">INDEX(GMWQ!$A$2:$NE$60,MATCH(1,(GMWQ!$NE$2:$NE$60=O$3)*(GMWQ!$ND$2:$ND$60=O$4),0),$B331-1966)</f>
        <v>3.8562470000000002</v>
      </c>
      <c r="P331" s="18" cm="1">
        <f t="array" ref="P331">INDEX(GMWQ!$A$2:$NE$60,MATCH(1,(GMWQ!$NE$2:$NE$60=P$3)*(GMWQ!$ND$2:$ND$60=P$4),0),$B331-1966)</f>
        <v>2153845</v>
      </c>
      <c r="Q331" s="18" cm="1">
        <f t="array" ref="Q331">INDEX(GMWQ!$A$2:$NE$60,MATCH(1,(GMWQ!$NE$2:$NE$60=Q$3)*(GMWQ!$ND$2:$ND$60=Q$4),0),$B331-1966)</f>
        <v>1991.027</v>
      </c>
      <c r="R331" s="18" cm="1">
        <f t="array" ref="R331">INDEX(GMWQ!$A$2:$NE$60,MATCH(1,(GMWQ!$NE$2:$NE$60=R$3)*(GMWQ!$ND$2:$ND$60=R$4),0),$B331-1966)</f>
        <v>25760.080000000002</v>
      </c>
      <c r="S331" s="18" cm="1">
        <f t="array" ref="S331">INDEX(GMWQ!$A$2:$NE$60,MATCH(1,(GMWQ!$NE$2:$NE$60=S$3)*(GMWQ!$ND$2:$ND$60=S$4),0),$B331-1966)</f>
        <v>147.99860000000001</v>
      </c>
      <c r="T331" s="18" cm="1">
        <f t="array" ref="T331">INDEX(GMWQ!$A$2:$NE$60,MATCH(1,(GMWQ!$NE$2:$NE$60=T$3)*(GMWQ!$ND$2:$ND$60=T$4),0),$B331-1966)</f>
        <v>112.3272</v>
      </c>
      <c r="U331" s="18" cm="1">
        <f t="array" ref="U331">INDEX(GMWQ!$A$2:$NE$60,MATCH(1,(GMWQ!$NE$2:$NE$60=U$3)*(GMWQ!$ND$2:$ND$60=U$4),0),$B331-1966)</f>
        <v>67.531729999999996</v>
      </c>
      <c r="V331" s="18" cm="1">
        <f t="array" ref="V331">INDEX(GMWQ!$A$2:$NE$60,MATCH(1,(GMWQ!$NE$2:$NE$60=V$3)*(GMWQ!$ND$2:$ND$60=V$4),0),$B331-1966)</f>
        <v>129997.1</v>
      </c>
      <c r="W331" s="18" cm="1">
        <f t="array" ref="W331">INDEX(GMWQ!$A$2:$NF$60,MATCH(1,(GMWQ!$NE$2:$NE$60=W$3)*(GMWQ!$NF$2:$NF$60=W$1),0),$B331-1966)</f>
        <v>0</v>
      </c>
      <c r="X331" s="18" cm="1">
        <f t="array" ref="X331">INDEX(GMWQ!$A$2:$NF$60,MATCH(1,(GMWQ!$NE$2:$NE$60=X$3)*(GMWQ!$NF$2:$NF$60=X$1),0),$B331-1966)</f>
        <v>0</v>
      </c>
      <c r="Y331" s="18" cm="1">
        <f t="array" ref="Y331">INDEX(GMWQ!$A$2:$NF$60,MATCH(1,(GMWQ!$NE$2:$NE$60=Y$3)*(GMWQ!$NF$2:$NF$60=Y$1),0),$B331-1966)</f>
        <v>0</v>
      </c>
      <c r="Z331" s="18" cm="1">
        <f t="array" ref="Z331">INDEX(GMWQ!$A$2:$NF$60,MATCH(1,(GMWQ!$NE$2:$NE$60=Z$3)*(GMWQ!$NF$2:$NF$60=Z$1),0),$B331-1966)</f>
        <v>120685.7</v>
      </c>
    </row>
    <row r="332" spans="1:26" x14ac:dyDescent="0.25">
      <c r="B332" s="18">
        <f t="shared" si="6"/>
        <v>2298</v>
      </c>
      <c r="C332" s="18" cm="1">
        <f t="array" ref="C332">INDEX(GMWQ!$A$2:$NE$60,MATCH(1,(GMWQ!$NE$2:$NE$60=C$3)*(GMWQ!$ND$2:$ND$60=C$4),0),$B332-1966)</f>
        <v>125093.1</v>
      </c>
      <c r="D332" s="18" cm="1">
        <f t="array" ref="D332">INDEX(GMWQ!$A$2:$NE$60,MATCH(1,(GMWQ!$NE$2:$NE$60=D$3)*(GMWQ!$ND$2:$ND$60=D$4),0),$B332-1966)</f>
        <v>464703.3</v>
      </c>
      <c r="E332" s="18" cm="1">
        <f t="array" ref="E332">INDEX(GMWQ!$A$2:$NE$60,MATCH(1,(GMWQ!$NE$2:$NE$60=E$3)*(GMWQ!$ND$2:$ND$60=E$4),0),$B332-1966)</f>
        <v>-9770.7139999999999</v>
      </c>
      <c r="F332" s="18" cm="1">
        <f t="array" ref="F332">INDEX(GMWQ!$A$2:$NE$60,MATCH(1,(GMWQ!$NE$2:$NE$60=F$3)*(GMWQ!$ND$2:$ND$60=F$4),0),$B332-1966)</f>
        <v>-13603.65</v>
      </c>
      <c r="G332" s="18" cm="1">
        <f t="array" ref="G332">INDEX(GMWQ!$A$2:$NE$60,MATCH(1,(GMWQ!$NE$2:$NE$60=G$3)*(GMWQ!$ND$2:$ND$60=G$4),0),$B332-1966)</f>
        <v>2107104</v>
      </c>
      <c r="H332" s="18" cm="1">
        <f t="array" ref="H332">INDEX(GMWQ!$A$2:$NE$60,MATCH(1,(GMWQ!$NE$2:$NE$60=H$3)*(GMWQ!$ND$2:$ND$60=H$4),0),$B332-1966)</f>
        <v>204773.3</v>
      </c>
      <c r="I332" s="18" cm="1">
        <f t="array" ref="I332">INDEX(GMWQ!$A$2:$NE$60,MATCH(1,(GMWQ!$NE$2:$NE$60=I$3)*(GMWQ!$ND$2:$ND$60=I$4),0),$B332-1966)</f>
        <v>26797.42</v>
      </c>
      <c r="J332" s="18" cm="1">
        <f t="array" ref="J332">INDEX(GMWQ!$A$2:$NE$60,MATCH(1,(GMWQ!$NE$2:$NE$60=J$3)*(GMWQ!$ND$2:$ND$60=J$4),0),$B332-1966)</f>
        <v>38901.519999999997</v>
      </c>
      <c r="K332" s="18" cm="1">
        <f t="array" ref="K332">INDEX(GMWQ!$A$2:$NE$60,MATCH(1,(GMWQ!$NE$2:$NE$60=K$3)*(GMWQ!$ND$2:$ND$60=K$4),0),$B332-1966)</f>
        <v>5808031</v>
      </c>
      <c r="L332" s="18" cm="1">
        <f t="array" ref="L332">INDEX(GMWQ!$A$2:$NE$60,MATCH(1,(GMWQ!$NE$2:$NE$60=L$3)*(GMWQ!$ND$2:$ND$60=L$4),0),$B332-1966)</f>
        <v>39040.69</v>
      </c>
      <c r="M332" s="18" cm="1">
        <f t="array" ref="M332">INDEX(GMWQ!$A$2:$NE$60,MATCH(1,(GMWQ!$NE$2:$NE$60=M$3)*(GMWQ!$ND$2:$ND$60=M$4),0),$B332-1966)</f>
        <v>31.936170000000001</v>
      </c>
      <c r="N332" s="18" cm="1">
        <f t="array" ref="N332">INDEX(GMWQ!$A$2:$NE$60,MATCH(1,(GMWQ!$NE$2:$NE$60=N$3)*(GMWQ!$ND$2:$ND$60=N$4),0),$B332-1966)</f>
        <v>9.5836579999999998</v>
      </c>
      <c r="O332" s="18" cm="1">
        <f t="array" ref="O332">INDEX(GMWQ!$A$2:$NE$60,MATCH(1,(GMWQ!$NE$2:$NE$60=O$3)*(GMWQ!$ND$2:$ND$60=O$4),0),$B332-1966)</f>
        <v>3.8562470000000002</v>
      </c>
      <c r="P332" s="18" cm="1">
        <f t="array" ref="P332">INDEX(GMWQ!$A$2:$NE$60,MATCH(1,(GMWQ!$NE$2:$NE$60=P$3)*(GMWQ!$ND$2:$ND$60=P$4),0),$B332-1966)</f>
        <v>2187142</v>
      </c>
      <c r="Q332" s="18" cm="1">
        <f t="array" ref="Q332">INDEX(GMWQ!$A$2:$NE$60,MATCH(1,(GMWQ!$NE$2:$NE$60=Q$3)*(GMWQ!$ND$2:$ND$60=Q$4),0),$B332-1966)</f>
        <v>2002.104</v>
      </c>
      <c r="R332" s="18" cm="1">
        <f t="array" ref="R332">INDEX(GMWQ!$A$2:$NE$60,MATCH(1,(GMWQ!$NE$2:$NE$60=R$3)*(GMWQ!$ND$2:$ND$60=R$4),0),$B332-1966)</f>
        <v>25788.98</v>
      </c>
      <c r="S332" s="18" cm="1">
        <f t="array" ref="S332">INDEX(GMWQ!$A$2:$NE$60,MATCH(1,(GMWQ!$NE$2:$NE$60=S$3)*(GMWQ!$ND$2:$ND$60=S$4),0),$B332-1966)</f>
        <v>148.29480000000001</v>
      </c>
      <c r="T332" s="18" cm="1">
        <f t="array" ref="T332">INDEX(GMWQ!$A$2:$NE$60,MATCH(1,(GMWQ!$NE$2:$NE$60=T$3)*(GMWQ!$ND$2:$ND$60=T$4),0),$B332-1966)</f>
        <v>112.426</v>
      </c>
      <c r="U332" s="18" cm="1">
        <f t="array" ref="U332">INDEX(GMWQ!$A$2:$NE$60,MATCH(1,(GMWQ!$NE$2:$NE$60=U$3)*(GMWQ!$ND$2:$ND$60=U$4),0),$B332-1966)</f>
        <v>67.586870000000005</v>
      </c>
      <c r="V332" s="18" cm="1">
        <f t="array" ref="V332">INDEX(GMWQ!$A$2:$NE$60,MATCH(1,(GMWQ!$NE$2:$NE$60=V$3)*(GMWQ!$ND$2:$ND$60=V$4),0),$B332-1966)</f>
        <v>130561.8</v>
      </c>
      <c r="W332" s="18" cm="1">
        <f t="array" ref="W332">INDEX(GMWQ!$A$2:$NF$60,MATCH(1,(GMWQ!$NE$2:$NE$60=W$3)*(GMWQ!$NF$2:$NF$60=W$1),0),$B332-1966)</f>
        <v>0</v>
      </c>
      <c r="X332" s="18" cm="1">
        <f t="array" ref="X332">INDEX(GMWQ!$A$2:$NF$60,MATCH(1,(GMWQ!$NE$2:$NE$60=X$3)*(GMWQ!$NF$2:$NF$60=X$1),0),$B332-1966)</f>
        <v>0</v>
      </c>
      <c r="Y332" s="18" cm="1">
        <f t="array" ref="Y332">INDEX(GMWQ!$A$2:$NF$60,MATCH(1,(GMWQ!$NE$2:$NE$60=Y$3)*(GMWQ!$NF$2:$NF$60=Y$1),0),$B332-1966)</f>
        <v>0</v>
      </c>
      <c r="Z332" s="18" cm="1">
        <f t="array" ref="Z332">INDEX(GMWQ!$A$2:$NF$60,MATCH(1,(GMWQ!$NE$2:$NE$60=Z$3)*(GMWQ!$NF$2:$NF$60=Z$1),0),$B332-1966)</f>
        <v>121260.6</v>
      </c>
    </row>
    <row r="333" spans="1:26" x14ac:dyDescent="0.25">
      <c r="B333" s="18">
        <f t="shared" si="6"/>
        <v>2299</v>
      </c>
      <c r="C333" s="18" cm="1">
        <f t="array" ref="C333">INDEX(GMWQ!$A$2:$NE$60,MATCH(1,(GMWQ!$NE$2:$NE$60=C$3)*(GMWQ!$ND$2:$ND$60=C$4),0),$B333-1966)</f>
        <v>125680.2</v>
      </c>
      <c r="D333" s="18" cm="1">
        <f t="array" ref="D333">INDEX(GMWQ!$A$2:$NE$60,MATCH(1,(GMWQ!$NE$2:$NE$60=D$3)*(GMWQ!$ND$2:$ND$60=D$4),0),$B333-1966)</f>
        <v>469144.8</v>
      </c>
      <c r="E333" s="18" cm="1">
        <f t="array" ref="E333">INDEX(GMWQ!$A$2:$NE$60,MATCH(1,(GMWQ!$NE$2:$NE$60=E$3)*(GMWQ!$ND$2:$ND$60=E$4),0),$B333-1966)</f>
        <v>-17030.349999999999</v>
      </c>
      <c r="F333" s="18" cm="1">
        <f t="array" ref="F333">INDEX(GMWQ!$A$2:$NE$60,MATCH(1,(GMWQ!$NE$2:$NE$60=F$3)*(GMWQ!$ND$2:$ND$60=F$4),0),$B333-1966)</f>
        <v>-20896.560000000001</v>
      </c>
      <c r="G333" s="18" cm="1">
        <f t="array" ref="G333">INDEX(GMWQ!$A$2:$NE$60,MATCH(1,(GMWQ!$NE$2:$NE$60=G$3)*(GMWQ!$ND$2:$ND$60=G$4),0),$B333-1966)</f>
        <v>2125394</v>
      </c>
      <c r="H333" s="18" cm="1">
        <f t="array" ref="H333">INDEX(GMWQ!$A$2:$NE$60,MATCH(1,(GMWQ!$NE$2:$NE$60=H$3)*(GMWQ!$ND$2:$ND$60=H$4),0),$B333-1966)</f>
        <v>205658.8</v>
      </c>
      <c r="I333" s="18" cm="1">
        <f t="array" ref="I333">INDEX(GMWQ!$A$2:$NE$60,MATCH(1,(GMWQ!$NE$2:$NE$60=I$3)*(GMWQ!$ND$2:$ND$60=I$4),0),$B333-1966)</f>
        <v>26911.13</v>
      </c>
      <c r="J333" s="18" cm="1">
        <f t="array" ref="J333">INDEX(GMWQ!$A$2:$NE$60,MATCH(1,(GMWQ!$NE$2:$NE$60=J$3)*(GMWQ!$ND$2:$ND$60=J$4),0),$B333-1966)</f>
        <v>39026.9</v>
      </c>
      <c r="K333" s="18" cm="1">
        <f t="array" ref="K333">INDEX(GMWQ!$A$2:$NE$60,MATCH(1,(GMWQ!$NE$2:$NE$60=K$3)*(GMWQ!$ND$2:$ND$60=K$4),0),$B333-1966)</f>
        <v>5835161</v>
      </c>
      <c r="L333" s="18" cm="1">
        <f t="array" ref="L333">INDEX(GMWQ!$A$2:$NE$60,MATCH(1,(GMWQ!$NE$2:$NE$60=L$3)*(GMWQ!$ND$2:$ND$60=L$4),0),$B333-1966)</f>
        <v>39052.699999999997</v>
      </c>
      <c r="M333" s="18" cm="1">
        <f t="array" ref="M333">INDEX(GMWQ!$A$2:$NE$60,MATCH(1,(GMWQ!$NE$2:$NE$60=M$3)*(GMWQ!$ND$2:$ND$60=M$4),0),$B333-1966)</f>
        <v>31.935420000000001</v>
      </c>
      <c r="N333" s="18" cm="1">
        <f t="array" ref="N333">INDEX(GMWQ!$A$2:$NE$60,MATCH(1,(GMWQ!$NE$2:$NE$60=N$3)*(GMWQ!$ND$2:$ND$60=N$4),0),$B333-1966)</f>
        <v>9.5904140000000009</v>
      </c>
      <c r="O333" s="18" cm="1">
        <f t="array" ref="O333">INDEX(GMWQ!$A$2:$NE$60,MATCH(1,(GMWQ!$NE$2:$NE$60=O$3)*(GMWQ!$ND$2:$ND$60=O$4),0),$B333-1966)</f>
        <v>3.8562470000000002</v>
      </c>
      <c r="P333" s="18" cm="1">
        <f t="array" ref="P333">INDEX(GMWQ!$A$2:$NE$60,MATCH(1,(GMWQ!$NE$2:$NE$60=P$3)*(GMWQ!$ND$2:$ND$60=P$4),0),$B333-1966)</f>
        <v>2214062</v>
      </c>
      <c r="Q333" s="18" cm="1">
        <f t="array" ref="Q333">INDEX(GMWQ!$A$2:$NE$60,MATCH(1,(GMWQ!$NE$2:$NE$60=Q$3)*(GMWQ!$ND$2:$ND$60=Q$4),0),$B333-1966)</f>
        <v>2013.2429999999999</v>
      </c>
      <c r="R333" s="18" cm="1">
        <f t="array" ref="R333">INDEX(GMWQ!$A$2:$NE$60,MATCH(1,(GMWQ!$NE$2:$NE$60=R$3)*(GMWQ!$ND$2:$ND$60=R$4),0),$B333-1966)</f>
        <v>25817.72</v>
      </c>
      <c r="S333" s="18" cm="1">
        <f t="array" ref="S333">INDEX(GMWQ!$A$2:$NE$60,MATCH(1,(GMWQ!$NE$2:$NE$60=S$3)*(GMWQ!$ND$2:$ND$60=S$4),0),$B333-1966)</f>
        <v>148.5915</v>
      </c>
      <c r="T333" s="18" cm="1">
        <f t="array" ref="T333">INDEX(GMWQ!$A$2:$NE$60,MATCH(1,(GMWQ!$NE$2:$NE$60=T$3)*(GMWQ!$ND$2:$ND$60=T$4),0),$B333-1966)</f>
        <v>112.6253</v>
      </c>
      <c r="U333" s="18" cm="1">
        <f t="array" ref="U333">INDEX(GMWQ!$A$2:$NE$60,MATCH(1,(GMWQ!$NE$2:$NE$60=U$3)*(GMWQ!$ND$2:$ND$60=U$4),0),$B333-1966)</f>
        <v>67.641949999999994</v>
      </c>
      <c r="V333" s="18" cm="1">
        <f t="array" ref="V333">INDEX(GMWQ!$A$2:$NE$60,MATCH(1,(GMWQ!$NE$2:$NE$60=V$3)*(GMWQ!$ND$2:$ND$60=V$4),0),$B333-1966)</f>
        <v>131121.60000000001</v>
      </c>
      <c r="W333" s="18" cm="1">
        <f t="array" ref="W333">INDEX(GMWQ!$A$2:$NF$60,MATCH(1,(GMWQ!$NE$2:$NE$60=W$3)*(GMWQ!$NF$2:$NF$60=W$1),0),$B333-1966)</f>
        <v>0</v>
      </c>
      <c r="X333" s="18" cm="1">
        <f t="array" ref="X333">INDEX(GMWQ!$A$2:$NF$60,MATCH(1,(GMWQ!$NE$2:$NE$60=X$3)*(GMWQ!$NF$2:$NF$60=X$1),0),$B333-1966)</f>
        <v>0</v>
      </c>
      <c r="Y333" s="18" cm="1">
        <f t="array" ref="Y333">INDEX(GMWQ!$A$2:$NF$60,MATCH(1,(GMWQ!$NE$2:$NE$60=Y$3)*(GMWQ!$NF$2:$NF$60=Y$1),0),$B333-1966)</f>
        <v>0</v>
      </c>
      <c r="Z333" s="18" cm="1">
        <f t="array" ref="Z333">INDEX(GMWQ!$A$2:$NF$60,MATCH(1,(GMWQ!$NE$2:$NE$60=Z$3)*(GMWQ!$NF$2:$NF$60=Z$1),0),$B333-1966)</f>
        <v>121833.9</v>
      </c>
    </row>
    <row r="334" spans="1:26" x14ac:dyDescent="0.25">
      <c r="B334" s="18">
        <f t="shared" si="6"/>
        <v>2300</v>
      </c>
      <c r="C334" s="18" cm="1">
        <f t="array" ref="C334">INDEX(GMWQ!$A$2:$NE$60,MATCH(1,(GMWQ!$NE$2:$NE$60=C$3)*(GMWQ!$ND$2:$ND$60=C$4),0),$B334-1966)</f>
        <v>126269.6</v>
      </c>
      <c r="D334" s="18" cm="1">
        <f t="array" ref="D334">INDEX(GMWQ!$A$2:$NE$60,MATCH(1,(GMWQ!$NE$2:$NE$60=D$3)*(GMWQ!$ND$2:$ND$60=D$4),0),$B334-1966)</f>
        <v>472463.6</v>
      </c>
      <c r="E334" s="18" cm="1">
        <f t="array" ref="E334">INDEX(GMWQ!$A$2:$NE$60,MATCH(1,(GMWQ!$NE$2:$NE$60=E$3)*(GMWQ!$ND$2:$ND$60=E$4),0),$B334-1966)</f>
        <v>7299.55</v>
      </c>
      <c r="F334" s="18" cm="1">
        <f t="array" ref="F334">INDEX(GMWQ!$A$2:$NE$60,MATCH(1,(GMWQ!$NE$2:$NE$60=F$3)*(GMWQ!$ND$2:$ND$60=F$4),0),$B334-1966)</f>
        <v>3399.7950000000001</v>
      </c>
      <c r="G334" s="18" cm="1">
        <f t="array" ref="G334">INDEX(GMWQ!$A$2:$NE$60,MATCH(1,(GMWQ!$NE$2:$NE$60=G$3)*(GMWQ!$ND$2:$ND$60=G$4),0),$B334-1966)</f>
        <v>2143836</v>
      </c>
      <c r="H334" s="18" cm="1">
        <f t="array" ref="H334">INDEX(GMWQ!$A$2:$NE$60,MATCH(1,(GMWQ!$NE$2:$NE$60=H$3)*(GMWQ!$ND$2:$ND$60=H$4),0),$B334-1966)</f>
        <v>206547.5</v>
      </c>
      <c r="I334" s="18" cm="1">
        <f t="array" ref="I334">INDEX(GMWQ!$A$2:$NE$60,MATCH(1,(GMWQ!$NE$2:$NE$60=I$3)*(GMWQ!$ND$2:$ND$60=I$4),0),$B334-1966)</f>
        <v>27025.21</v>
      </c>
      <c r="J334" s="18" cm="1">
        <f t="array" ref="J334">INDEX(GMWQ!$A$2:$NE$60,MATCH(1,(GMWQ!$NE$2:$NE$60=J$3)*(GMWQ!$ND$2:$ND$60=J$4),0),$B334-1966)</f>
        <v>39152.54</v>
      </c>
      <c r="K334" s="18" cm="1">
        <f t="array" ref="K334">INDEX(GMWQ!$A$2:$NE$60,MATCH(1,(GMWQ!$NE$2:$NE$60=K$3)*(GMWQ!$ND$2:$ND$60=K$4),0),$B334-1966)</f>
        <v>5862396</v>
      </c>
      <c r="L334" s="18" cm="1">
        <f t="array" ref="L334">INDEX(GMWQ!$A$2:$NE$60,MATCH(1,(GMWQ!$NE$2:$NE$60=L$3)*(GMWQ!$ND$2:$ND$60=L$4),0),$B334-1966)</f>
        <v>39064.720000000001</v>
      </c>
      <c r="M334" s="18" cm="1">
        <f t="array" ref="M334">INDEX(GMWQ!$A$2:$NE$60,MATCH(1,(GMWQ!$NE$2:$NE$60=M$3)*(GMWQ!$ND$2:$ND$60=M$4),0),$B334-1966)</f>
        <v>31.934670000000001</v>
      </c>
      <c r="N334" s="18" cm="1">
        <f t="array" ref="N334">INDEX(GMWQ!$A$2:$NE$60,MATCH(1,(GMWQ!$NE$2:$NE$60=N$3)*(GMWQ!$ND$2:$ND$60=N$4),0),$B334-1966)</f>
        <v>9.6026620000000005</v>
      </c>
      <c r="O334" s="18" cm="1">
        <f t="array" ref="O334">INDEX(GMWQ!$A$2:$NE$60,MATCH(1,(GMWQ!$NE$2:$NE$60=O$3)*(GMWQ!$ND$2:$ND$60=O$4),0),$B334-1966)</f>
        <v>3.8562470000000002</v>
      </c>
      <c r="P334" s="18" cm="1">
        <f t="array" ref="P334">INDEX(GMWQ!$A$2:$NE$60,MATCH(1,(GMWQ!$NE$2:$NE$60=P$3)*(GMWQ!$ND$2:$ND$60=P$4),0),$B334-1966)</f>
        <v>2240711</v>
      </c>
      <c r="Q334" s="18" cm="1">
        <f t="array" ref="Q334">INDEX(GMWQ!$A$2:$NE$60,MATCH(1,(GMWQ!$NE$2:$NE$60=Q$3)*(GMWQ!$ND$2:$ND$60=Q$4),0),$B334-1966)</f>
        <v>2024.4269999999999</v>
      </c>
      <c r="R334" s="18" cm="1">
        <f t="array" ref="R334">INDEX(GMWQ!$A$2:$NE$60,MATCH(1,(GMWQ!$NE$2:$NE$60=R$3)*(GMWQ!$ND$2:$ND$60=R$4),0),$B334-1966)</f>
        <v>25847.29</v>
      </c>
      <c r="S334" s="18" cm="1">
        <f t="array" ref="S334">INDEX(GMWQ!$A$2:$NE$60,MATCH(1,(GMWQ!$NE$2:$NE$60=S$3)*(GMWQ!$ND$2:$ND$60=S$4),0),$B334-1966)</f>
        <v>148.8888</v>
      </c>
      <c r="T334" s="18" cm="1">
        <f t="array" ref="T334">INDEX(GMWQ!$A$2:$NE$60,MATCH(1,(GMWQ!$NE$2:$NE$60=T$3)*(GMWQ!$ND$2:$ND$60=T$4),0),$B334-1966)</f>
        <v>112.72369999999999</v>
      </c>
      <c r="U334" s="18" cm="1">
        <f t="array" ref="U334">INDEX(GMWQ!$A$2:$NE$60,MATCH(1,(GMWQ!$NE$2:$NE$60=U$3)*(GMWQ!$ND$2:$ND$60=U$4),0),$B334-1966)</f>
        <v>67.69699</v>
      </c>
      <c r="V334" s="18" cm="1">
        <f t="array" ref="V334">INDEX(GMWQ!$A$2:$NE$60,MATCH(1,(GMWQ!$NE$2:$NE$60=V$3)*(GMWQ!$ND$2:$ND$60=V$4),0),$B334-1966)</f>
        <v>131681.20000000001</v>
      </c>
      <c r="W334" s="18" cm="1">
        <f t="array" ref="W334">INDEX(GMWQ!$A$2:$NF$60,MATCH(1,(GMWQ!$NE$2:$NE$60=W$3)*(GMWQ!$NF$2:$NF$60=W$1),0),$B334-1966)</f>
        <v>0</v>
      </c>
      <c r="X334" s="18" cm="1">
        <f t="array" ref="X334">INDEX(GMWQ!$A$2:$NF$60,MATCH(1,(GMWQ!$NE$2:$NE$60=X$3)*(GMWQ!$NF$2:$NF$60=X$1),0),$B334-1966)</f>
        <v>0</v>
      </c>
      <c r="Y334" s="18" cm="1">
        <f t="array" ref="Y334">INDEX(GMWQ!$A$2:$NF$60,MATCH(1,(GMWQ!$NE$2:$NE$60=Y$3)*(GMWQ!$NF$2:$NF$60=Y$1),0),$B334-1966)</f>
        <v>0</v>
      </c>
      <c r="Z334" s="18" cm="1">
        <f t="array" ref="Z334">INDEX(GMWQ!$A$2:$NF$60,MATCH(1,(GMWQ!$NE$2:$NE$60=Z$3)*(GMWQ!$NF$2:$NF$60=Z$1),0),$B334-1966)</f>
        <v>122409.60000000001</v>
      </c>
    </row>
    <row r="335" spans="1:26" x14ac:dyDescent="0.25">
      <c r="A335" s="18">
        <v>2055</v>
      </c>
      <c r="B335" s="18">
        <f t="shared" si="6"/>
        <v>2301</v>
      </c>
      <c r="C335" s="18" cm="1">
        <f t="array" ref="C335">INDEX(GMWQ!$A$2:$NE$60,MATCH(1,(GMWQ!$NE$2:$NE$60=C$3)*(GMWQ!$ND$2:$ND$60=C$4),0),$B335-1966)</f>
        <v>126861.3</v>
      </c>
      <c r="D335" s="18" cm="1">
        <f t="array" ref="D335">INDEX(GMWQ!$A$2:$NE$60,MATCH(1,(GMWQ!$NE$2:$NE$60=D$3)*(GMWQ!$ND$2:$ND$60=D$4),0),$B335-1966)</f>
        <v>476611.1</v>
      </c>
      <c r="E335" s="18" cm="1">
        <f t="array" ref="E335">INDEX(GMWQ!$A$2:$NE$60,MATCH(1,(GMWQ!$NE$2:$NE$60=E$3)*(GMWQ!$ND$2:$ND$60=E$4),0),$B335-1966)</f>
        <v>-27974.93</v>
      </c>
      <c r="F335" s="18" cm="1">
        <f t="array" ref="F335">INDEX(GMWQ!$A$2:$NE$60,MATCH(1,(GMWQ!$NE$2:$NE$60=F$3)*(GMWQ!$ND$2:$ND$60=F$4),0),$B335-1966)</f>
        <v>-31908.55</v>
      </c>
      <c r="G335" s="18" cm="1">
        <f t="array" ref="G335">INDEX(GMWQ!$A$2:$NE$60,MATCH(1,(GMWQ!$NE$2:$NE$60=G$3)*(GMWQ!$ND$2:$ND$60=G$4),0),$B335-1966)</f>
        <v>2162454</v>
      </c>
      <c r="H335" s="18" cm="1">
        <f t="array" ref="H335">INDEX(GMWQ!$A$2:$NE$60,MATCH(1,(GMWQ!$NE$2:$NE$60=H$3)*(GMWQ!$ND$2:$ND$60=H$4),0),$B335-1966)</f>
        <v>207439.3</v>
      </c>
      <c r="I335" s="18" cm="1">
        <f t="array" ref="I335">INDEX(GMWQ!$A$2:$NE$60,MATCH(1,(GMWQ!$NE$2:$NE$60=I$3)*(GMWQ!$ND$2:$ND$60=I$4),0),$B335-1966)</f>
        <v>27139.7</v>
      </c>
      <c r="J335" s="18" cm="1">
        <f t="array" ref="J335">INDEX(GMWQ!$A$2:$NE$60,MATCH(1,(GMWQ!$NE$2:$NE$60=J$3)*(GMWQ!$ND$2:$ND$60=J$4),0),$B335-1966)</f>
        <v>39278.47</v>
      </c>
      <c r="K335" s="18" cm="1">
        <f t="array" ref="K335">INDEX(GMWQ!$A$2:$NE$60,MATCH(1,(GMWQ!$NE$2:$NE$60=K$3)*(GMWQ!$ND$2:$ND$60=K$4),0),$B335-1966)</f>
        <v>5889735</v>
      </c>
      <c r="L335" s="18" cm="1">
        <f t="array" ref="L335">INDEX(GMWQ!$A$2:$NE$60,MATCH(1,(GMWQ!$NE$2:$NE$60=L$3)*(GMWQ!$ND$2:$ND$60=L$4),0),$B335-1966)</f>
        <v>39076.730000000003</v>
      </c>
      <c r="M335" s="18" cm="1">
        <f t="array" ref="M335">INDEX(GMWQ!$A$2:$NE$60,MATCH(1,(GMWQ!$NE$2:$NE$60=M$3)*(GMWQ!$ND$2:$ND$60=M$4),0),$B335-1966)</f>
        <v>31.933920000000001</v>
      </c>
      <c r="N335" s="18" cm="1">
        <f t="array" ref="N335">INDEX(GMWQ!$A$2:$NE$60,MATCH(1,(GMWQ!$NE$2:$NE$60=N$3)*(GMWQ!$ND$2:$ND$60=N$4),0),$B335-1966)</f>
        <v>9.6040480000000006</v>
      </c>
      <c r="O335" s="18" cm="1">
        <f t="array" ref="O335">INDEX(GMWQ!$A$2:$NE$60,MATCH(1,(GMWQ!$NE$2:$NE$60=O$3)*(GMWQ!$ND$2:$ND$60=O$4),0),$B335-1966)</f>
        <v>3.8562470000000002</v>
      </c>
      <c r="P335" s="18" cm="1">
        <f t="array" ref="P335">INDEX(GMWQ!$A$2:$NE$60,MATCH(1,(GMWQ!$NE$2:$NE$60=P$3)*(GMWQ!$ND$2:$ND$60=P$4),0),$B335-1966)</f>
        <v>2261635</v>
      </c>
      <c r="Q335" s="18" cm="1">
        <f t="array" ref="Q335">INDEX(GMWQ!$A$2:$NE$60,MATCH(1,(GMWQ!$NE$2:$NE$60=Q$3)*(GMWQ!$ND$2:$ND$60=Q$4),0),$B335-1966)</f>
        <v>2035.664</v>
      </c>
      <c r="R335" s="18" cm="1">
        <f t="array" ref="R335">INDEX(GMWQ!$A$2:$NE$60,MATCH(1,(GMWQ!$NE$2:$NE$60=R$3)*(GMWQ!$ND$2:$ND$60=R$4),0),$B335-1966)</f>
        <v>25877.69</v>
      </c>
      <c r="S335" s="18" cm="1">
        <f t="array" ref="S335">INDEX(GMWQ!$A$2:$NE$60,MATCH(1,(GMWQ!$NE$2:$NE$60=S$3)*(GMWQ!$ND$2:$ND$60=S$4),0),$B335-1966)</f>
        <v>149.173</v>
      </c>
      <c r="T335" s="18" cm="1">
        <f t="array" ref="T335">INDEX(GMWQ!$A$2:$NE$60,MATCH(1,(GMWQ!$NE$2:$NE$60=T$3)*(GMWQ!$ND$2:$ND$60=T$4),0),$B335-1966)</f>
        <v>112.92619999999999</v>
      </c>
      <c r="U335" s="18" cm="1">
        <f t="array" ref="U335">INDEX(GMWQ!$A$2:$NE$60,MATCH(1,(GMWQ!$NE$2:$NE$60=U$3)*(GMWQ!$ND$2:$ND$60=U$4),0),$B335-1966)</f>
        <v>67.751940000000005</v>
      </c>
      <c r="V335" s="18" cm="1">
        <f t="array" ref="V335">INDEX(GMWQ!$A$2:$NE$60,MATCH(1,(GMWQ!$NE$2:$NE$60=V$3)*(GMWQ!$ND$2:$ND$60=V$4),0),$B335-1966)</f>
        <v>132240.1</v>
      </c>
      <c r="W335" s="18" cm="1">
        <f t="array" ref="W335">INDEX(GMWQ!$A$2:$NF$60,MATCH(1,(GMWQ!$NE$2:$NE$60=W$3)*(GMWQ!$NF$2:$NF$60=W$1),0),$B335-1966)</f>
        <v>0</v>
      </c>
      <c r="X335" s="18" cm="1">
        <f t="array" ref="X335">INDEX(GMWQ!$A$2:$NF$60,MATCH(1,(GMWQ!$NE$2:$NE$60=X$3)*(GMWQ!$NF$2:$NF$60=X$1),0),$B335-1966)</f>
        <v>0</v>
      </c>
      <c r="Y335" s="18" cm="1">
        <f t="array" ref="Y335">INDEX(GMWQ!$A$2:$NF$60,MATCH(1,(GMWQ!$NE$2:$NE$60=Y$3)*(GMWQ!$NF$2:$NF$60=Y$1),0),$B335-1966)</f>
        <v>0</v>
      </c>
      <c r="Z335" s="18" cm="1">
        <f t="array" ref="Z335">INDEX(GMWQ!$A$2:$NF$60,MATCH(1,(GMWQ!$NE$2:$NE$60=Z$3)*(GMWQ!$NF$2:$NF$60=Z$1),0),$B335-1966)</f>
        <v>122987.8</v>
      </c>
    </row>
    <row r="336" spans="1:26" x14ac:dyDescent="0.25">
      <c r="B336" s="18">
        <f t="shared" si="6"/>
        <v>2302</v>
      </c>
      <c r="C336" s="18" cm="1">
        <f t="array" ref="C336">INDEX(GMWQ!$A$2:$NE$60,MATCH(1,(GMWQ!$NE$2:$NE$60=C$3)*(GMWQ!$ND$2:$ND$60=C$4),0),$B336-1966)</f>
        <v>127455.4</v>
      </c>
      <c r="D336" s="18" cm="1">
        <f t="array" ref="D336">INDEX(GMWQ!$A$2:$NE$60,MATCH(1,(GMWQ!$NE$2:$NE$60=D$3)*(GMWQ!$ND$2:$ND$60=D$4),0),$B336-1966)</f>
        <v>481067.2</v>
      </c>
      <c r="E336" s="18" cm="1">
        <f t="array" ref="E336">INDEX(GMWQ!$A$2:$NE$60,MATCH(1,(GMWQ!$NE$2:$NE$60=E$3)*(GMWQ!$ND$2:$ND$60=E$4),0),$B336-1966)</f>
        <v>-10052.18</v>
      </c>
      <c r="F336" s="18" cm="1">
        <f t="array" ref="F336">INDEX(GMWQ!$A$2:$NE$60,MATCH(1,(GMWQ!$NE$2:$NE$60=F$3)*(GMWQ!$ND$2:$ND$60=F$4),0),$B336-1966)</f>
        <v>-14019.95</v>
      </c>
      <c r="G336" s="18" cm="1">
        <f t="array" ref="G336">INDEX(GMWQ!$A$2:$NE$60,MATCH(1,(GMWQ!$NE$2:$NE$60=G$3)*(GMWQ!$ND$2:$ND$60=G$4),0),$B336-1966)</f>
        <v>2181224</v>
      </c>
      <c r="H336" s="18" cm="1">
        <f t="array" ref="H336">INDEX(GMWQ!$A$2:$NE$60,MATCH(1,(GMWQ!$NE$2:$NE$60=H$3)*(GMWQ!$ND$2:$ND$60=H$4),0),$B336-1966)</f>
        <v>208334.5</v>
      </c>
      <c r="I336" s="18" cm="1">
        <f t="array" ref="I336">INDEX(GMWQ!$A$2:$NE$60,MATCH(1,(GMWQ!$NE$2:$NE$60=I$3)*(GMWQ!$ND$2:$ND$60=I$4),0),$B336-1966)</f>
        <v>27254.58</v>
      </c>
      <c r="J336" s="18" cm="1">
        <f t="array" ref="J336">INDEX(GMWQ!$A$2:$NE$60,MATCH(1,(GMWQ!$NE$2:$NE$60=J$3)*(GMWQ!$ND$2:$ND$60=J$4),0),$B336-1966)</f>
        <v>39404.67</v>
      </c>
      <c r="K336" s="18" cm="1">
        <f t="array" ref="K336">INDEX(GMWQ!$A$2:$NE$60,MATCH(1,(GMWQ!$NE$2:$NE$60=K$3)*(GMWQ!$ND$2:$ND$60=K$4),0),$B336-1966)</f>
        <v>5917178</v>
      </c>
      <c r="L336" s="18" cm="1">
        <f t="array" ref="L336">INDEX(GMWQ!$A$2:$NE$60,MATCH(1,(GMWQ!$NE$2:$NE$60=L$3)*(GMWQ!$ND$2:$ND$60=L$4),0),$B336-1966)</f>
        <v>39088.75</v>
      </c>
      <c r="M336" s="18" cm="1">
        <f t="array" ref="M336">INDEX(GMWQ!$A$2:$NE$60,MATCH(1,(GMWQ!$NE$2:$NE$60=M$3)*(GMWQ!$ND$2:$ND$60=M$4),0),$B336-1966)</f>
        <v>31.93317</v>
      </c>
      <c r="N336" s="18" cm="1">
        <f t="array" ref="N336">INDEX(GMWQ!$A$2:$NE$60,MATCH(1,(GMWQ!$NE$2:$NE$60=N$3)*(GMWQ!$ND$2:$ND$60=N$4),0),$B336-1966)</f>
        <v>9.6194679999999995</v>
      </c>
      <c r="O336" s="18" cm="1">
        <f t="array" ref="O336">INDEX(GMWQ!$A$2:$NE$60,MATCH(1,(GMWQ!$NE$2:$NE$60=O$3)*(GMWQ!$ND$2:$ND$60=O$4),0),$B336-1966)</f>
        <v>3.8562470000000002</v>
      </c>
      <c r="P336" s="18" cm="1">
        <f t="array" ref="P336">INDEX(GMWQ!$A$2:$NE$60,MATCH(1,(GMWQ!$NE$2:$NE$60=P$3)*(GMWQ!$ND$2:$ND$60=P$4),0),$B336-1966)</f>
        <v>2296863</v>
      </c>
      <c r="Q336" s="18" cm="1">
        <f t="array" ref="Q336">INDEX(GMWQ!$A$2:$NE$60,MATCH(1,(GMWQ!$NE$2:$NE$60=Q$3)*(GMWQ!$ND$2:$ND$60=Q$4),0),$B336-1966)</f>
        <v>2046.9559999999999</v>
      </c>
      <c r="R336" s="18" cm="1">
        <f t="array" ref="R336">INDEX(GMWQ!$A$2:$NE$60,MATCH(1,(GMWQ!$NE$2:$NE$60=R$3)*(GMWQ!$ND$2:$ND$60=R$4),0),$B336-1966)</f>
        <v>25908.29</v>
      </c>
      <c r="S336" s="18" cm="1">
        <f t="array" ref="S336">INDEX(GMWQ!$A$2:$NE$60,MATCH(1,(GMWQ!$NE$2:$NE$60=S$3)*(GMWQ!$ND$2:$ND$60=S$4),0),$B336-1966)</f>
        <v>149.45760000000001</v>
      </c>
      <c r="T336" s="18" cm="1">
        <f t="array" ref="T336">INDEX(GMWQ!$A$2:$NE$60,MATCH(1,(GMWQ!$NE$2:$NE$60=T$3)*(GMWQ!$ND$2:$ND$60=T$4),0),$B336-1966)</f>
        <v>113.02979999999999</v>
      </c>
      <c r="U336" s="18" cm="1">
        <f t="array" ref="U336">INDEX(GMWQ!$A$2:$NE$60,MATCH(1,(GMWQ!$NE$2:$NE$60=U$3)*(GMWQ!$ND$2:$ND$60=U$4),0),$B336-1966)</f>
        <v>67.809269999999998</v>
      </c>
      <c r="V336" s="18" cm="1">
        <f t="array" ref="V336">INDEX(GMWQ!$A$2:$NE$60,MATCH(1,(GMWQ!$NE$2:$NE$60=V$3)*(GMWQ!$ND$2:$ND$60=V$4),0),$B336-1966)</f>
        <v>132791.70000000001</v>
      </c>
      <c r="W336" s="18" cm="1">
        <f t="array" ref="W336">INDEX(GMWQ!$A$2:$NF$60,MATCH(1,(GMWQ!$NE$2:$NE$60=W$3)*(GMWQ!$NF$2:$NF$60=W$1),0),$B336-1966)</f>
        <v>0</v>
      </c>
      <c r="X336" s="18" cm="1">
        <f t="array" ref="X336">INDEX(GMWQ!$A$2:$NF$60,MATCH(1,(GMWQ!$NE$2:$NE$60=X$3)*(GMWQ!$NF$2:$NF$60=X$1),0),$B336-1966)</f>
        <v>0</v>
      </c>
      <c r="Y336" s="18" cm="1">
        <f t="array" ref="Y336">INDEX(GMWQ!$A$2:$NF$60,MATCH(1,(GMWQ!$NE$2:$NE$60=Y$3)*(GMWQ!$NF$2:$NF$60=Y$1),0),$B336-1966)</f>
        <v>0</v>
      </c>
      <c r="Z336" s="18" cm="1">
        <f t="array" ref="Z336">INDEX(GMWQ!$A$2:$NF$60,MATCH(1,(GMWQ!$NE$2:$NE$60=Z$3)*(GMWQ!$NF$2:$NF$60=Z$1),0),$B336-1966)</f>
        <v>123568.4</v>
      </c>
    </row>
    <row r="337" spans="1:26" x14ac:dyDescent="0.25">
      <c r="B337" s="18">
        <f t="shared" si="6"/>
        <v>2303</v>
      </c>
      <c r="C337" s="18" cm="1">
        <f t="array" ref="C337">INDEX(GMWQ!$A$2:$NE$60,MATCH(1,(GMWQ!$NE$2:$NE$60=C$3)*(GMWQ!$ND$2:$ND$60=C$4),0),$B337-1966)</f>
        <v>128048.4</v>
      </c>
      <c r="D337" s="18" cm="1">
        <f t="array" ref="D337">INDEX(GMWQ!$A$2:$NE$60,MATCH(1,(GMWQ!$NE$2:$NE$60=D$3)*(GMWQ!$ND$2:$ND$60=D$4),0),$B337-1966)</f>
        <v>485647.7</v>
      </c>
      <c r="E337" s="18" cm="1">
        <f t="array" ref="E337">INDEX(GMWQ!$A$2:$NE$60,MATCH(1,(GMWQ!$NE$2:$NE$60=E$3)*(GMWQ!$ND$2:$ND$60=E$4),0),$B337-1966)</f>
        <v>-17558.810000000001</v>
      </c>
      <c r="F337" s="18" cm="1">
        <f t="array" ref="F337">INDEX(GMWQ!$A$2:$NE$60,MATCH(1,(GMWQ!$NE$2:$NE$60=F$3)*(GMWQ!$ND$2:$ND$60=F$4),0),$B337-1966)</f>
        <v>-21560.9</v>
      </c>
      <c r="G337" s="18" cm="1">
        <f t="array" ref="G337">INDEX(GMWQ!$A$2:$NE$60,MATCH(1,(GMWQ!$NE$2:$NE$60=G$3)*(GMWQ!$ND$2:$ND$60=G$4),0),$B337-1966)</f>
        <v>2200092</v>
      </c>
      <c r="H337" s="18" cm="1">
        <f t="array" ref="H337">INDEX(GMWQ!$A$2:$NE$60,MATCH(1,(GMWQ!$NE$2:$NE$60=H$3)*(GMWQ!$ND$2:$ND$60=H$4),0),$B337-1966)</f>
        <v>209227.2</v>
      </c>
      <c r="I337" s="18" cm="1">
        <f t="array" ref="I337">INDEX(GMWQ!$A$2:$NE$60,MATCH(1,(GMWQ!$NE$2:$NE$60=I$3)*(GMWQ!$ND$2:$ND$60=I$4),0),$B337-1966)</f>
        <v>27369.119999999999</v>
      </c>
      <c r="J337" s="18" cm="1">
        <f t="array" ref="J337">INDEX(GMWQ!$A$2:$NE$60,MATCH(1,(GMWQ!$NE$2:$NE$60=J$3)*(GMWQ!$ND$2:$ND$60=J$4),0),$B337-1966)</f>
        <v>39530.080000000002</v>
      </c>
      <c r="K337" s="18" cm="1">
        <f t="array" ref="K337">INDEX(GMWQ!$A$2:$NE$60,MATCH(1,(GMWQ!$NE$2:$NE$60=K$3)*(GMWQ!$ND$2:$ND$60=K$4),0),$B337-1966)</f>
        <v>5944722</v>
      </c>
      <c r="L337" s="18" cm="1">
        <f t="array" ref="L337">INDEX(GMWQ!$A$2:$NE$60,MATCH(1,(GMWQ!$NE$2:$NE$60=L$3)*(GMWQ!$ND$2:$ND$60=L$4),0),$B337-1966)</f>
        <v>39099.18</v>
      </c>
      <c r="M337" s="18" cm="1">
        <f t="array" ref="M337">INDEX(GMWQ!$A$2:$NE$60,MATCH(1,(GMWQ!$NE$2:$NE$60=M$3)*(GMWQ!$ND$2:$ND$60=M$4),0),$B337-1966)</f>
        <v>31.93242</v>
      </c>
      <c r="N337" s="18" cm="1">
        <f t="array" ref="N337">INDEX(GMWQ!$A$2:$NE$60,MATCH(1,(GMWQ!$NE$2:$NE$60=N$3)*(GMWQ!$ND$2:$ND$60=N$4),0),$B337-1966)</f>
        <v>9.6267239999999994</v>
      </c>
      <c r="O337" s="18" cm="1">
        <f t="array" ref="O337">INDEX(GMWQ!$A$2:$NE$60,MATCH(1,(GMWQ!$NE$2:$NE$60=O$3)*(GMWQ!$ND$2:$ND$60=O$4),0),$B337-1966)</f>
        <v>3.8562470000000002</v>
      </c>
      <c r="P337" s="18" cm="1">
        <f t="array" ref="P337">INDEX(GMWQ!$A$2:$NE$60,MATCH(1,(GMWQ!$NE$2:$NE$60=P$3)*(GMWQ!$ND$2:$ND$60=P$4),0),$B337-1966)</f>
        <v>2325422</v>
      </c>
      <c r="Q337" s="18" cm="1">
        <f t="array" ref="Q337">INDEX(GMWQ!$A$2:$NE$60,MATCH(1,(GMWQ!$NE$2:$NE$60=Q$3)*(GMWQ!$ND$2:$ND$60=Q$4),0),$B337-1966)</f>
        <v>2058.2939999999999</v>
      </c>
      <c r="R337" s="18" cm="1">
        <f t="array" ref="R337">INDEX(GMWQ!$A$2:$NE$60,MATCH(1,(GMWQ!$NE$2:$NE$60=R$3)*(GMWQ!$ND$2:$ND$60=R$4),0),$B337-1966)</f>
        <v>25938.98</v>
      </c>
      <c r="S337" s="18" cm="1">
        <f t="array" ref="S337">INDEX(GMWQ!$A$2:$NE$60,MATCH(1,(GMWQ!$NE$2:$NE$60=S$3)*(GMWQ!$ND$2:$ND$60=S$4),0),$B337-1966)</f>
        <v>149.74250000000001</v>
      </c>
      <c r="T337" s="18" cm="1">
        <f t="array" ref="T337">INDEX(GMWQ!$A$2:$NE$60,MATCH(1,(GMWQ!$NE$2:$NE$60=T$3)*(GMWQ!$ND$2:$ND$60=T$4),0),$B337-1966)</f>
        <v>113.2321</v>
      </c>
      <c r="U337" s="18" cm="1">
        <f t="array" ref="U337">INDEX(GMWQ!$A$2:$NE$60,MATCH(1,(GMWQ!$NE$2:$NE$60=U$3)*(GMWQ!$ND$2:$ND$60=U$4),0),$B337-1966)</f>
        <v>67.866550000000004</v>
      </c>
      <c r="V337" s="18" cm="1">
        <f t="array" ref="V337">INDEX(GMWQ!$A$2:$NE$60,MATCH(1,(GMWQ!$NE$2:$NE$60=V$3)*(GMWQ!$ND$2:$ND$60=V$4),0),$B337-1966)</f>
        <v>133351</v>
      </c>
      <c r="W337" s="18" cm="1">
        <f t="array" ref="W337">INDEX(GMWQ!$A$2:$NF$60,MATCH(1,(GMWQ!$NE$2:$NE$60=W$3)*(GMWQ!$NF$2:$NF$60=W$1),0),$B337-1966)</f>
        <v>0</v>
      </c>
      <c r="X337" s="18" cm="1">
        <f t="array" ref="X337">INDEX(GMWQ!$A$2:$NF$60,MATCH(1,(GMWQ!$NE$2:$NE$60=X$3)*(GMWQ!$NF$2:$NF$60=X$1),0),$B337-1966)</f>
        <v>0</v>
      </c>
      <c r="Y337" s="18" cm="1">
        <f t="array" ref="Y337">INDEX(GMWQ!$A$2:$NF$60,MATCH(1,(GMWQ!$NE$2:$NE$60=Y$3)*(GMWQ!$NF$2:$NF$60=Y$1),0),$B337-1966)</f>
        <v>0</v>
      </c>
      <c r="Z337" s="18" cm="1">
        <f t="array" ref="Z337">INDEX(GMWQ!$A$2:$NF$60,MATCH(1,(GMWQ!$NE$2:$NE$60=Z$3)*(GMWQ!$NF$2:$NF$60=Z$1),0),$B337-1966)</f>
        <v>124148.2</v>
      </c>
    </row>
    <row r="338" spans="1:26" x14ac:dyDescent="0.25">
      <c r="B338" s="18">
        <f t="shared" si="6"/>
        <v>2304</v>
      </c>
      <c r="C338" s="18" cm="1">
        <f t="array" ref="C338">INDEX(GMWQ!$A$2:$NE$60,MATCH(1,(GMWQ!$NE$2:$NE$60=C$3)*(GMWQ!$ND$2:$ND$60=C$4),0),$B338-1966)</f>
        <v>128643.7</v>
      </c>
      <c r="D338" s="18" cm="1">
        <f t="array" ref="D338">INDEX(GMWQ!$A$2:$NE$60,MATCH(1,(GMWQ!$NE$2:$NE$60=D$3)*(GMWQ!$ND$2:$ND$60=D$4),0),$B338-1966)</f>
        <v>489068.6</v>
      </c>
      <c r="E338" s="18" cm="1">
        <f t="array" ref="E338">INDEX(GMWQ!$A$2:$NE$60,MATCH(1,(GMWQ!$NE$2:$NE$60=E$3)*(GMWQ!$ND$2:$ND$60=E$4),0),$B338-1966)</f>
        <v>7622.3249999999998</v>
      </c>
      <c r="F338" s="18" cm="1">
        <f t="array" ref="F338">INDEX(GMWQ!$A$2:$NE$60,MATCH(1,(GMWQ!$NE$2:$NE$60=F$3)*(GMWQ!$ND$2:$ND$60=F$4),0),$B338-1966)</f>
        <v>3585.63</v>
      </c>
      <c r="G338" s="18" cm="1">
        <f t="array" ref="G338">INDEX(GMWQ!$A$2:$NE$60,MATCH(1,(GMWQ!$NE$2:$NE$60=G$3)*(GMWQ!$ND$2:$ND$60=G$4),0),$B338-1966)</f>
        <v>2219115</v>
      </c>
      <c r="H338" s="18" cm="1">
        <f t="array" ref="H338">INDEX(GMWQ!$A$2:$NE$60,MATCH(1,(GMWQ!$NE$2:$NE$60=H$3)*(GMWQ!$ND$2:$ND$60=H$4),0),$B338-1966)</f>
        <v>210123</v>
      </c>
      <c r="I338" s="18" cm="1">
        <f t="array" ref="I338">INDEX(GMWQ!$A$2:$NE$60,MATCH(1,(GMWQ!$NE$2:$NE$60=I$3)*(GMWQ!$ND$2:$ND$60=I$4),0),$B338-1966)</f>
        <v>27484.05</v>
      </c>
      <c r="J338" s="18" cm="1">
        <f t="array" ref="J338">INDEX(GMWQ!$A$2:$NE$60,MATCH(1,(GMWQ!$NE$2:$NE$60=J$3)*(GMWQ!$ND$2:$ND$60=J$4),0),$B338-1966)</f>
        <v>39655.75</v>
      </c>
      <c r="K338" s="18" cm="1">
        <f t="array" ref="K338">INDEX(GMWQ!$A$2:$NE$60,MATCH(1,(GMWQ!$NE$2:$NE$60=K$3)*(GMWQ!$ND$2:$ND$60=K$4),0),$B338-1966)</f>
        <v>5972368</v>
      </c>
      <c r="L338" s="18" cm="1">
        <f t="array" ref="L338">INDEX(GMWQ!$A$2:$NE$60,MATCH(1,(GMWQ!$NE$2:$NE$60=L$3)*(GMWQ!$ND$2:$ND$60=L$4),0),$B338-1966)</f>
        <v>39109.61</v>
      </c>
      <c r="M338" s="18" cm="1">
        <f t="array" ref="M338">INDEX(GMWQ!$A$2:$NE$60,MATCH(1,(GMWQ!$NE$2:$NE$60=M$3)*(GMWQ!$ND$2:$ND$60=M$4),0),$B338-1966)</f>
        <v>31.93167</v>
      </c>
      <c r="N338" s="18" cm="1">
        <f t="array" ref="N338">INDEX(GMWQ!$A$2:$NE$60,MATCH(1,(GMWQ!$NE$2:$NE$60=N$3)*(GMWQ!$ND$2:$ND$60=N$4),0),$B338-1966)</f>
        <v>9.6395510000000009</v>
      </c>
      <c r="O338" s="18" cm="1">
        <f t="array" ref="O338">INDEX(GMWQ!$A$2:$NE$60,MATCH(1,(GMWQ!$NE$2:$NE$60=O$3)*(GMWQ!$ND$2:$ND$60=O$4),0),$B338-1966)</f>
        <v>3.8562470000000002</v>
      </c>
      <c r="P338" s="18" cm="1">
        <f t="array" ref="P338">INDEX(GMWQ!$A$2:$NE$60,MATCH(1,(GMWQ!$NE$2:$NE$60=P$3)*(GMWQ!$ND$2:$ND$60=P$4),0),$B338-1966)</f>
        <v>2353712</v>
      </c>
      <c r="Q338" s="18" cm="1">
        <f t="array" ref="Q338">INDEX(GMWQ!$A$2:$NE$60,MATCH(1,(GMWQ!$NE$2:$NE$60=Q$3)*(GMWQ!$ND$2:$ND$60=Q$4),0),$B338-1966)</f>
        <v>2069.6869999999999</v>
      </c>
      <c r="R338" s="18" cm="1">
        <f t="array" ref="R338">INDEX(GMWQ!$A$2:$NE$60,MATCH(1,(GMWQ!$NE$2:$NE$60=R$3)*(GMWQ!$ND$2:$ND$60=R$4),0),$B338-1966)</f>
        <v>25970.77</v>
      </c>
      <c r="S338" s="18" cm="1">
        <f t="array" ref="S338">INDEX(GMWQ!$A$2:$NE$60,MATCH(1,(GMWQ!$NE$2:$NE$60=S$3)*(GMWQ!$ND$2:$ND$60=S$4),0),$B338-1966)</f>
        <v>150.02789999999999</v>
      </c>
      <c r="T338" s="18" cm="1">
        <f t="array" ref="T338">INDEX(GMWQ!$A$2:$NE$60,MATCH(1,(GMWQ!$NE$2:$NE$60=T$3)*(GMWQ!$ND$2:$ND$60=T$4),0),$B338-1966)</f>
        <v>113.336</v>
      </c>
      <c r="U338" s="18" cm="1">
        <f t="array" ref="U338">INDEX(GMWQ!$A$2:$NE$60,MATCH(1,(GMWQ!$NE$2:$NE$60=U$3)*(GMWQ!$ND$2:$ND$60=U$4),0),$B338-1966)</f>
        <v>67.923789999999997</v>
      </c>
      <c r="V338" s="18" cm="1">
        <f t="array" ref="V338">INDEX(GMWQ!$A$2:$NE$60,MATCH(1,(GMWQ!$NE$2:$NE$60=V$3)*(GMWQ!$ND$2:$ND$60=V$4),0),$B338-1966)</f>
        <v>133912.4</v>
      </c>
      <c r="W338" s="18" cm="1">
        <f t="array" ref="W338">INDEX(GMWQ!$A$2:$NF$60,MATCH(1,(GMWQ!$NE$2:$NE$60=W$3)*(GMWQ!$NF$2:$NF$60=W$1),0),$B338-1966)</f>
        <v>0</v>
      </c>
      <c r="X338" s="18" cm="1">
        <f t="array" ref="X338">INDEX(GMWQ!$A$2:$NF$60,MATCH(1,(GMWQ!$NE$2:$NE$60=X$3)*(GMWQ!$NF$2:$NF$60=X$1),0),$B338-1966)</f>
        <v>0</v>
      </c>
      <c r="Y338" s="18" cm="1">
        <f t="array" ref="Y338">INDEX(GMWQ!$A$2:$NF$60,MATCH(1,(GMWQ!$NE$2:$NE$60=Y$3)*(GMWQ!$NF$2:$NF$60=Y$1),0),$B338-1966)</f>
        <v>0</v>
      </c>
      <c r="Z338" s="18" cm="1">
        <f t="array" ref="Z338">INDEX(GMWQ!$A$2:$NF$60,MATCH(1,(GMWQ!$NE$2:$NE$60=Z$3)*(GMWQ!$NF$2:$NF$60=Z$1),0),$B338-1966)</f>
        <v>124730.3</v>
      </c>
    </row>
    <row r="339" spans="1:26" x14ac:dyDescent="0.25">
      <c r="A339" s="18">
        <v>2056</v>
      </c>
      <c r="B339" s="18">
        <f t="shared" si="6"/>
        <v>2305</v>
      </c>
      <c r="C339" s="18" cm="1">
        <f t="array" ref="C339">INDEX(GMWQ!$A$2:$NE$60,MATCH(1,(GMWQ!$NE$2:$NE$60=C$3)*(GMWQ!$ND$2:$ND$60=C$4),0),$B339-1966)</f>
        <v>129241.3</v>
      </c>
      <c r="D339" s="18" cm="1">
        <f t="array" ref="D339">INDEX(GMWQ!$A$2:$NE$60,MATCH(1,(GMWQ!$NE$2:$NE$60=D$3)*(GMWQ!$ND$2:$ND$60=D$4),0),$B339-1966)</f>
        <v>493347</v>
      </c>
      <c r="E339" s="18" cm="1">
        <f t="array" ref="E339">INDEX(GMWQ!$A$2:$NE$60,MATCH(1,(GMWQ!$NE$2:$NE$60=E$3)*(GMWQ!$ND$2:$ND$60=E$4),0),$B339-1966)</f>
        <v>-28893.31</v>
      </c>
      <c r="F339" s="18" cm="1">
        <f t="array" ref="F339">INDEX(GMWQ!$A$2:$NE$60,MATCH(1,(GMWQ!$NE$2:$NE$60=F$3)*(GMWQ!$ND$2:$ND$60=F$4),0),$B339-1966)</f>
        <v>-32964.89</v>
      </c>
      <c r="G339" s="18" cm="1">
        <f t="array" ref="G339">INDEX(GMWQ!$A$2:$NE$60,MATCH(1,(GMWQ!$NE$2:$NE$60=G$3)*(GMWQ!$ND$2:$ND$60=G$4),0),$B339-1966)</f>
        <v>2238294</v>
      </c>
      <c r="H339" s="18" cm="1">
        <f t="array" ref="H339">INDEX(GMWQ!$A$2:$NE$60,MATCH(1,(GMWQ!$NE$2:$NE$60=H$3)*(GMWQ!$ND$2:$ND$60=H$4),0),$B339-1966)</f>
        <v>211022</v>
      </c>
      <c r="I339" s="18" cm="1">
        <f t="array" ref="I339">INDEX(GMWQ!$A$2:$NE$60,MATCH(1,(GMWQ!$NE$2:$NE$60=I$3)*(GMWQ!$ND$2:$ND$60=I$4),0),$B339-1966)</f>
        <v>27599.360000000001</v>
      </c>
      <c r="J339" s="18" cm="1">
        <f t="array" ref="J339">INDEX(GMWQ!$A$2:$NE$60,MATCH(1,(GMWQ!$NE$2:$NE$60=J$3)*(GMWQ!$ND$2:$ND$60=J$4),0),$B339-1966)</f>
        <v>39781.68</v>
      </c>
      <c r="K339" s="18" cm="1">
        <f t="array" ref="K339">INDEX(GMWQ!$A$2:$NE$60,MATCH(1,(GMWQ!$NE$2:$NE$60=K$3)*(GMWQ!$ND$2:$ND$60=K$4),0),$B339-1966)</f>
        <v>6000115</v>
      </c>
      <c r="L339" s="18" cm="1">
        <f t="array" ref="L339">INDEX(GMWQ!$A$2:$NE$60,MATCH(1,(GMWQ!$NE$2:$NE$60=L$3)*(GMWQ!$ND$2:$ND$60=L$4),0),$B339-1966)</f>
        <v>39120.03</v>
      </c>
      <c r="M339" s="18" cm="1">
        <f t="array" ref="M339">INDEX(GMWQ!$A$2:$NE$60,MATCH(1,(GMWQ!$NE$2:$NE$60=M$3)*(GMWQ!$ND$2:$ND$60=M$4),0),$B339-1966)</f>
        <v>31.93092</v>
      </c>
      <c r="N339" s="18" cm="1">
        <f t="array" ref="N339">INDEX(GMWQ!$A$2:$NE$60,MATCH(1,(GMWQ!$NE$2:$NE$60=N$3)*(GMWQ!$ND$2:$ND$60=N$4),0),$B339-1966)</f>
        <v>9.6413849999999996</v>
      </c>
      <c r="O339" s="18" cm="1">
        <f t="array" ref="O339">INDEX(GMWQ!$A$2:$NE$60,MATCH(1,(GMWQ!$NE$2:$NE$60=O$3)*(GMWQ!$ND$2:$ND$60=O$4),0),$B339-1966)</f>
        <v>3.8562470000000002</v>
      </c>
      <c r="P339" s="18" cm="1">
        <f t="array" ref="P339">INDEX(GMWQ!$A$2:$NE$60,MATCH(1,(GMWQ!$NE$2:$NE$60=P$3)*(GMWQ!$ND$2:$ND$60=P$4),0),$B339-1966)</f>
        <v>2376020</v>
      </c>
      <c r="Q339" s="18" cm="1">
        <f t="array" ref="Q339">INDEX(GMWQ!$A$2:$NE$60,MATCH(1,(GMWQ!$NE$2:$NE$60=Q$3)*(GMWQ!$ND$2:$ND$60=Q$4),0),$B339-1966)</f>
        <v>2081.1280000000002</v>
      </c>
      <c r="R339" s="18" cm="1">
        <f t="array" ref="R339">INDEX(GMWQ!$A$2:$NE$60,MATCH(1,(GMWQ!$NE$2:$NE$60=R$3)*(GMWQ!$ND$2:$ND$60=R$4),0),$B339-1966)</f>
        <v>26003.439999999999</v>
      </c>
      <c r="S339" s="18" cm="1">
        <f t="array" ref="S339">INDEX(GMWQ!$A$2:$NE$60,MATCH(1,(GMWQ!$NE$2:$NE$60=S$3)*(GMWQ!$ND$2:$ND$60=S$4),0),$B339-1966)</f>
        <v>150.3244</v>
      </c>
      <c r="T339" s="18" cm="1">
        <f t="array" ref="T339">INDEX(GMWQ!$A$2:$NE$60,MATCH(1,(GMWQ!$NE$2:$NE$60=T$3)*(GMWQ!$ND$2:$ND$60=T$4),0),$B339-1966)</f>
        <v>113.5354</v>
      </c>
      <c r="U339" s="18" cm="1">
        <f t="array" ref="U339">INDEX(GMWQ!$A$2:$NE$60,MATCH(1,(GMWQ!$NE$2:$NE$60=U$3)*(GMWQ!$ND$2:$ND$60=U$4),0),$B339-1966)</f>
        <v>67.980950000000007</v>
      </c>
      <c r="V339" s="18" cm="1">
        <f t="array" ref="V339">INDEX(GMWQ!$A$2:$NE$60,MATCH(1,(GMWQ!$NE$2:$NE$60=V$3)*(GMWQ!$ND$2:$ND$60=V$4),0),$B339-1966)</f>
        <v>134476.6</v>
      </c>
      <c r="W339" s="18" cm="1">
        <f t="array" ref="W339">INDEX(GMWQ!$A$2:$NF$60,MATCH(1,(GMWQ!$NE$2:$NE$60=W$3)*(GMWQ!$NF$2:$NF$60=W$1),0),$B339-1966)</f>
        <v>0</v>
      </c>
      <c r="X339" s="18" cm="1">
        <f t="array" ref="X339">INDEX(GMWQ!$A$2:$NF$60,MATCH(1,(GMWQ!$NE$2:$NE$60=X$3)*(GMWQ!$NF$2:$NF$60=X$1),0),$B339-1966)</f>
        <v>0</v>
      </c>
      <c r="Y339" s="18" cm="1">
        <f t="array" ref="Y339">INDEX(GMWQ!$A$2:$NF$60,MATCH(1,(GMWQ!$NE$2:$NE$60=Y$3)*(GMWQ!$NF$2:$NF$60=Y$1),0),$B339-1966)</f>
        <v>0</v>
      </c>
      <c r="Z339" s="18" cm="1">
        <f t="array" ref="Z339">INDEX(GMWQ!$A$2:$NF$60,MATCH(1,(GMWQ!$NE$2:$NE$60=Z$3)*(GMWQ!$NF$2:$NF$60=Z$1),0),$B339-1966)</f>
        <v>125314.8</v>
      </c>
    </row>
    <row r="340" spans="1:26" x14ac:dyDescent="0.25">
      <c r="B340" s="18">
        <f t="shared" si="6"/>
        <v>2306</v>
      </c>
      <c r="C340" s="18" cm="1">
        <f t="array" ref="C340">INDEX(GMWQ!$A$2:$NE$60,MATCH(1,(GMWQ!$NE$2:$NE$60=C$3)*(GMWQ!$ND$2:$ND$60=C$4),0),$B340-1966)</f>
        <v>129841.2</v>
      </c>
      <c r="D340" s="18" cm="1">
        <f t="array" ref="D340">INDEX(GMWQ!$A$2:$NE$60,MATCH(1,(GMWQ!$NE$2:$NE$60=D$3)*(GMWQ!$ND$2:$ND$60=D$4),0),$B340-1966)</f>
        <v>497938.8</v>
      </c>
      <c r="E340" s="18" cm="1">
        <f t="array" ref="E340">INDEX(GMWQ!$A$2:$NE$60,MATCH(1,(GMWQ!$NE$2:$NE$60=E$3)*(GMWQ!$ND$2:$ND$60=E$4),0),$B340-1966)</f>
        <v>-10350.09</v>
      </c>
      <c r="F340" s="18" cm="1">
        <f t="array" ref="F340">INDEX(GMWQ!$A$2:$NE$60,MATCH(1,(GMWQ!$NE$2:$NE$60=F$3)*(GMWQ!$ND$2:$ND$60=F$4),0),$B340-1966)</f>
        <v>-14456.84</v>
      </c>
      <c r="G340" s="18" cm="1">
        <f t="array" ref="G340">INDEX(GMWQ!$A$2:$NE$60,MATCH(1,(GMWQ!$NE$2:$NE$60=G$3)*(GMWQ!$ND$2:$ND$60=G$4),0),$B340-1966)</f>
        <v>2257631</v>
      </c>
      <c r="H340" s="18" cm="1">
        <f t="array" ref="H340">INDEX(GMWQ!$A$2:$NE$60,MATCH(1,(GMWQ!$NE$2:$NE$60=H$3)*(GMWQ!$ND$2:$ND$60=H$4),0),$B340-1966)</f>
        <v>211924.2</v>
      </c>
      <c r="I340" s="18" cm="1">
        <f t="array" ref="I340">INDEX(GMWQ!$A$2:$NE$60,MATCH(1,(GMWQ!$NE$2:$NE$60=I$3)*(GMWQ!$ND$2:$ND$60=I$4),0),$B340-1966)</f>
        <v>27715.040000000001</v>
      </c>
      <c r="J340" s="18" cm="1">
        <f t="array" ref="J340">INDEX(GMWQ!$A$2:$NE$60,MATCH(1,(GMWQ!$NE$2:$NE$60=J$3)*(GMWQ!$ND$2:$ND$60=J$4),0),$B340-1966)</f>
        <v>39907.839999999997</v>
      </c>
      <c r="K340" s="18" cm="1">
        <f t="array" ref="K340">INDEX(GMWQ!$A$2:$NE$60,MATCH(1,(GMWQ!$NE$2:$NE$60=K$3)*(GMWQ!$ND$2:$ND$60=K$4),0),$B340-1966)</f>
        <v>6027963</v>
      </c>
      <c r="L340" s="18" cm="1">
        <f t="array" ref="L340">INDEX(GMWQ!$A$2:$NE$60,MATCH(1,(GMWQ!$NE$2:$NE$60=L$3)*(GMWQ!$ND$2:$ND$60=L$4),0),$B340-1966)</f>
        <v>39130.46</v>
      </c>
      <c r="M340" s="18" cm="1">
        <f t="array" ref="M340">INDEX(GMWQ!$A$2:$NE$60,MATCH(1,(GMWQ!$NE$2:$NE$60=M$3)*(GMWQ!$ND$2:$ND$60=M$4),0),$B340-1966)</f>
        <v>31.93017</v>
      </c>
      <c r="N340" s="18" cm="1">
        <f t="array" ref="N340">INDEX(GMWQ!$A$2:$NE$60,MATCH(1,(GMWQ!$NE$2:$NE$60=N$3)*(GMWQ!$ND$2:$ND$60=N$4),0),$B340-1966)</f>
        <v>9.6574860000000005</v>
      </c>
      <c r="O340" s="18" cm="1">
        <f t="array" ref="O340">INDEX(GMWQ!$A$2:$NE$60,MATCH(1,(GMWQ!$NE$2:$NE$60=O$3)*(GMWQ!$ND$2:$ND$60=O$4),0),$B340-1966)</f>
        <v>3.8562470000000002</v>
      </c>
      <c r="P340" s="18" cm="1">
        <f t="array" ref="P340">INDEX(GMWQ!$A$2:$NE$60,MATCH(1,(GMWQ!$NE$2:$NE$60=P$3)*(GMWQ!$ND$2:$ND$60=P$4),0),$B340-1966)</f>
        <v>2413355</v>
      </c>
      <c r="Q340" s="18" cm="1">
        <f t="array" ref="Q340">INDEX(GMWQ!$A$2:$NE$60,MATCH(1,(GMWQ!$NE$2:$NE$60=Q$3)*(GMWQ!$ND$2:$ND$60=Q$4),0),$B340-1966)</f>
        <v>2092.625</v>
      </c>
      <c r="R340" s="18" cm="1">
        <f t="array" ref="R340">INDEX(GMWQ!$A$2:$NE$60,MATCH(1,(GMWQ!$NE$2:$NE$60=R$3)*(GMWQ!$ND$2:$ND$60=R$4),0),$B340-1966)</f>
        <v>26036.38</v>
      </c>
      <c r="S340" s="18" cm="1">
        <f t="array" ref="S340">INDEX(GMWQ!$A$2:$NE$60,MATCH(1,(GMWQ!$NE$2:$NE$60=S$3)*(GMWQ!$ND$2:$ND$60=S$4),0),$B340-1966)</f>
        <v>150.6217</v>
      </c>
      <c r="T340" s="18" cm="1">
        <f t="array" ref="T340">INDEX(GMWQ!$A$2:$NE$60,MATCH(1,(GMWQ!$NE$2:$NE$60=T$3)*(GMWQ!$ND$2:$ND$60=T$4),0),$B340-1966)</f>
        <v>113.63549999999999</v>
      </c>
      <c r="U340" s="18" cm="1">
        <f t="array" ref="U340">INDEX(GMWQ!$A$2:$NE$60,MATCH(1,(GMWQ!$NE$2:$NE$60=U$3)*(GMWQ!$ND$2:$ND$60=U$4),0),$B340-1966)</f>
        <v>68.042400000000001</v>
      </c>
      <c r="V340" s="18" cm="1">
        <f t="array" ref="V340">INDEX(GMWQ!$A$2:$NE$60,MATCH(1,(GMWQ!$NE$2:$NE$60=V$3)*(GMWQ!$ND$2:$ND$60=V$4),0),$B340-1966)</f>
        <v>135039.20000000001</v>
      </c>
      <c r="W340" s="18" cm="1">
        <f t="array" ref="W340">INDEX(GMWQ!$A$2:$NF$60,MATCH(1,(GMWQ!$NE$2:$NE$60=W$3)*(GMWQ!$NF$2:$NF$60=W$1),0),$B340-1966)</f>
        <v>0</v>
      </c>
      <c r="X340" s="18" cm="1">
        <f t="array" ref="X340">INDEX(GMWQ!$A$2:$NF$60,MATCH(1,(GMWQ!$NE$2:$NE$60=X$3)*(GMWQ!$NF$2:$NF$60=X$1),0),$B340-1966)</f>
        <v>0</v>
      </c>
      <c r="Y340" s="18" cm="1">
        <f t="array" ref="Y340">INDEX(GMWQ!$A$2:$NF$60,MATCH(1,(GMWQ!$NE$2:$NE$60=Y$3)*(GMWQ!$NF$2:$NF$60=Y$1),0),$B340-1966)</f>
        <v>0</v>
      </c>
      <c r="Z340" s="18" cm="1">
        <f t="array" ref="Z340">INDEX(GMWQ!$A$2:$NF$60,MATCH(1,(GMWQ!$NE$2:$NE$60=Z$3)*(GMWQ!$NF$2:$NF$60=Z$1),0),$B340-1966)</f>
        <v>125901.6</v>
      </c>
    </row>
    <row r="341" spans="1:26" x14ac:dyDescent="0.25">
      <c r="B341" s="18">
        <f t="shared" si="6"/>
        <v>2307</v>
      </c>
      <c r="C341" s="18" cm="1">
        <f t="array" ref="C341">INDEX(GMWQ!$A$2:$NE$60,MATCH(1,(GMWQ!$NE$2:$NE$60=C$3)*(GMWQ!$ND$2:$ND$60=C$4),0),$B341-1966)</f>
        <v>130443.6</v>
      </c>
      <c r="D341" s="18" cm="1">
        <f t="array" ref="D341">INDEX(GMWQ!$A$2:$NE$60,MATCH(1,(GMWQ!$NE$2:$NE$60=D$3)*(GMWQ!$ND$2:$ND$60=D$4),0),$B341-1966)</f>
        <v>502659.4</v>
      </c>
      <c r="E341" s="18" cm="1">
        <f t="array" ref="E341">INDEX(GMWQ!$A$2:$NE$60,MATCH(1,(GMWQ!$NE$2:$NE$60=E$3)*(GMWQ!$ND$2:$ND$60=E$4),0),$B341-1966)</f>
        <v>-18083.84</v>
      </c>
      <c r="F341" s="18" cm="1">
        <f t="array" ref="F341">INDEX(GMWQ!$A$2:$NE$60,MATCH(1,(GMWQ!$NE$2:$NE$60=F$3)*(GMWQ!$ND$2:$ND$60=F$4),0),$B341-1966)</f>
        <v>-22226.06</v>
      </c>
      <c r="G341" s="18" cm="1">
        <f t="array" ref="G341">INDEX(GMWQ!$A$2:$NE$60,MATCH(1,(GMWQ!$NE$2:$NE$60=G$3)*(GMWQ!$ND$2:$ND$60=G$4),0),$B341-1966)</f>
        <v>2277129</v>
      </c>
      <c r="H341" s="18" cm="1">
        <f t="array" ref="H341">INDEX(GMWQ!$A$2:$NE$60,MATCH(1,(GMWQ!$NE$2:$NE$60=H$3)*(GMWQ!$ND$2:$ND$60=H$4),0),$B341-1966)</f>
        <v>212829.7</v>
      </c>
      <c r="I341" s="18" cm="1">
        <f t="array" ref="I341">INDEX(GMWQ!$A$2:$NE$60,MATCH(1,(GMWQ!$NE$2:$NE$60=I$3)*(GMWQ!$ND$2:$ND$60=I$4),0),$B341-1966)</f>
        <v>27831.15</v>
      </c>
      <c r="J341" s="18" cm="1">
        <f t="array" ref="J341">INDEX(GMWQ!$A$2:$NE$60,MATCH(1,(GMWQ!$NE$2:$NE$60=J$3)*(GMWQ!$ND$2:$ND$60=J$4),0),$B341-1966)</f>
        <v>40034.33</v>
      </c>
      <c r="K341" s="18" cm="1">
        <f t="array" ref="K341">INDEX(GMWQ!$A$2:$NE$60,MATCH(1,(GMWQ!$NE$2:$NE$60=K$3)*(GMWQ!$ND$2:$ND$60=K$4),0),$B341-1966)</f>
        <v>6055914</v>
      </c>
      <c r="L341" s="18" cm="1">
        <f t="array" ref="L341">INDEX(GMWQ!$A$2:$NE$60,MATCH(1,(GMWQ!$NE$2:$NE$60=L$3)*(GMWQ!$ND$2:$ND$60=L$4),0),$B341-1966)</f>
        <v>39140.97</v>
      </c>
      <c r="M341" s="18" cm="1">
        <f t="array" ref="M341">INDEX(GMWQ!$A$2:$NE$60,MATCH(1,(GMWQ!$NE$2:$NE$60=M$3)*(GMWQ!$ND$2:$ND$60=M$4),0),$B341-1966)</f>
        <v>31.92942</v>
      </c>
      <c r="N341" s="18" cm="1">
        <f t="array" ref="N341">INDEX(GMWQ!$A$2:$NE$60,MATCH(1,(GMWQ!$NE$2:$NE$60=N$3)*(GMWQ!$ND$2:$ND$60=N$4),0),$B341-1966)</f>
        <v>9.6653090000000006</v>
      </c>
      <c r="O341" s="18" cm="1">
        <f t="array" ref="O341">INDEX(GMWQ!$A$2:$NE$60,MATCH(1,(GMWQ!$NE$2:$NE$60=O$3)*(GMWQ!$ND$2:$ND$60=O$4),0),$B341-1966)</f>
        <v>3.8562470000000002</v>
      </c>
      <c r="P341" s="18" cm="1">
        <f t="array" ref="P341">INDEX(GMWQ!$A$2:$NE$60,MATCH(1,(GMWQ!$NE$2:$NE$60=P$3)*(GMWQ!$ND$2:$ND$60=P$4),0),$B341-1966)</f>
        <v>2443700</v>
      </c>
      <c r="Q341" s="18" cm="1">
        <f t="array" ref="Q341">INDEX(GMWQ!$A$2:$NE$60,MATCH(1,(GMWQ!$NE$2:$NE$60=Q$3)*(GMWQ!$ND$2:$ND$60=Q$4),0),$B341-1966)</f>
        <v>2104.1729999999998</v>
      </c>
      <c r="R341" s="18" cm="1">
        <f t="array" ref="R341">INDEX(GMWQ!$A$2:$NE$60,MATCH(1,(GMWQ!$NE$2:$NE$60=R$3)*(GMWQ!$ND$2:$ND$60=R$4),0),$B341-1966)</f>
        <v>26069.33</v>
      </c>
      <c r="S341" s="18" cm="1">
        <f t="array" ref="S341">INDEX(GMWQ!$A$2:$NE$60,MATCH(1,(GMWQ!$NE$2:$NE$60=S$3)*(GMWQ!$ND$2:$ND$60=S$4),0),$B341-1966)</f>
        <v>150.9196</v>
      </c>
      <c r="T341" s="18" cm="1">
        <f t="array" ref="T341">INDEX(GMWQ!$A$2:$NE$60,MATCH(1,(GMWQ!$NE$2:$NE$60=T$3)*(GMWQ!$ND$2:$ND$60=T$4),0),$B341-1966)</f>
        <v>113.8347</v>
      </c>
      <c r="U341" s="18" cm="1">
        <f t="array" ref="U341">INDEX(GMWQ!$A$2:$NE$60,MATCH(1,(GMWQ!$NE$2:$NE$60=U$3)*(GMWQ!$ND$2:$ND$60=U$4),0),$B341-1966)</f>
        <v>68.103819999999999</v>
      </c>
      <c r="V341" s="18" cm="1">
        <f t="array" ref="V341">INDEX(GMWQ!$A$2:$NE$60,MATCH(1,(GMWQ!$NE$2:$NE$60=V$3)*(GMWQ!$ND$2:$ND$60=V$4),0),$B341-1966)</f>
        <v>135606.5</v>
      </c>
      <c r="W341" s="18" cm="1">
        <f t="array" ref="W341">INDEX(GMWQ!$A$2:$NF$60,MATCH(1,(GMWQ!$NE$2:$NE$60=W$3)*(GMWQ!$NF$2:$NF$60=W$1),0),$B341-1966)</f>
        <v>0</v>
      </c>
      <c r="X341" s="18" cm="1">
        <f t="array" ref="X341">INDEX(GMWQ!$A$2:$NF$60,MATCH(1,(GMWQ!$NE$2:$NE$60=X$3)*(GMWQ!$NF$2:$NF$60=X$1),0),$B341-1966)</f>
        <v>0</v>
      </c>
      <c r="Y341" s="18" cm="1">
        <f t="array" ref="Y341">INDEX(GMWQ!$A$2:$NF$60,MATCH(1,(GMWQ!$NE$2:$NE$60=Y$3)*(GMWQ!$NF$2:$NF$60=Y$1),0),$B341-1966)</f>
        <v>0</v>
      </c>
      <c r="Z341" s="18" cm="1">
        <f t="array" ref="Z341">INDEX(GMWQ!$A$2:$NF$60,MATCH(1,(GMWQ!$NE$2:$NE$60=Z$3)*(GMWQ!$NF$2:$NF$60=Z$1),0),$B341-1966)</f>
        <v>126491.1</v>
      </c>
    </row>
    <row r="342" spans="1:26" x14ac:dyDescent="0.25">
      <c r="B342" s="18">
        <f t="shared" si="6"/>
        <v>2308</v>
      </c>
      <c r="C342" s="18" cm="1">
        <f t="array" ref="C342">INDEX(GMWQ!$A$2:$NE$60,MATCH(1,(GMWQ!$NE$2:$NE$60=C$3)*(GMWQ!$ND$2:$ND$60=C$4),0),$B342-1966)</f>
        <v>131048.3</v>
      </c>
      <c r="D342" s="18" cm="1">
        <f t="array" ref="D342">INDEX(GMWQ!$A$2:$NE$60,MATCH(1,(GMWQ!$NE$2:$NE$60=D$3)*(GMWQ!$ND$2:$ND$60=D$4),0),$B342-1966)</f>
        <v>506193.5</v>
      </c>
      <c r="E342" s="18" cm="1">
        <f t="array" ref="E342">INDEX(GMWQ!$A$2:$NE$60,MATCH(1,(GMWQ!$NE$2:$NE$60=E$3)*(GMWQ!$ND$2:$ND$60=E$4),0),$B342-1966)</f>
        <v>7976.6379999999999</v>
      </c>
      <c r="F342" s="18" cm="1">
        <f t="array" ref="F342">INDEX(GMWQ!$A$2:$NE$60,MATCH(1,(GMWQ!$NE$2:$NE$60=F$3)*(GMWQ!$ND$2:$ND$60=F$4),0),$B342-1966)</f>
        <v>3798.6529999999998</v>
      </c>
      <c r="G342" s="18" cm="1">
        <f t="array" ref="G342">INDEX(GMWQ!$A$2:$NE$60,MATCH(1,(GMWQ!$NE$2:$NE$60=G$3)*(GMWQ!$ND$2:$ND$60=G$4),0),$B342-1966)</f>
        <v>2296787</v>
      </c>
      <c r="H342" s="18" cm="1">
        <f t="array" ref="H342">INDEX(GMWQ!$A$2:$NE$60,MATCH(1,(GMWQ!$NE$2:$NE$60=H$3)*(GMWQ!$ND$2:$ND$60=H$4),0),$B342-1966)</f>
        <v>213738.5</v>
      </c>
      <c r="I342" s="18" cm="1">
        <f t="array" ref="I342">INDEX(GMWQ!$A$2:$NE$60,MATCH(1,(GMWQ!$NE$2:$NE$60=I$3)*(GMWQ!$ND$2:$ND$60=I$4),0),$B342-1966)</f>
        <v>27947.65</v>
      </c>
      <c r="J342" s="18" cm="1">
        <f t="array" ref="J342">INDEX(GMWQ!$A$2:$NE$60,MATCH(1,(GMWQ!$NE$2:$NE$60=J$3)*(GMWQ!$ND$2:$ND$60=J$4),0),$B342-1966)</f>
        <v>40161.07</v>
      </c>
      <c r="K342" s="18" cm="1">
        <f t="array" ref="K342">INDEX(GMWQ!$A$2:$NE$60,MATCH(1,(GMWQ!$NE$2:$NE$60=K$3)*(GMWQ!$ND$2:$ND$60=K$4),0),$B342-1966)</f>
        <v>6083968</v>
      </c>
      <c r="L342" s="18" cm="1">
        <f t="array" ref="L342">INDEX(GMWQ!$A$2:$NE$60,MATCH(1,(GMWQ!$NE$2:$NE$60=L$3)*(GMWQ!$ND$2:$ND$60=L$4),0),$B342-1966)</f>
        <v>39151.480000000003</v>
      </c>
      <c r="M342" s="18" cm="1">
        <f t="array" ref="M342">INDEX(GMWQ!$A$2:$NE$60,MATCH(1,(GMWQ!$NE$2:$NE$60=M$3)*(GMWQ!$ND$2:$ND$60=M$4),0),$B342-1966)</f>
        <v>31.92867</v>
      </c>
      <c r="N342" s="18" cm="1">
        <f t="array" ref="N342">INDEX(GMWQ!$A$2:$NE$60,MATCH(1,(GMWQ!$NE$2:$NE$60=N$3)*(GMWQ!$ND$2:$ND$60=N$4),0),$B342-1966)</f>
        <v>9.6786940000000001</v>
      </c>
      <c r="O342" s="18" cm="1">
        <f t="array" ref="O342">INDEX(GMWQ!$A$2:$NE$60,MATCH(1,(GMWQ!$NE$2:$NE$60=O$3)*(GMWQ!$ND$2:$ND$60=O$4),0),$B342-1966)</f>
        <v>3.8562470000000002</v>
      </c>
      <c r="P342" s="18" cm="1">
        <f t="array" ref="P342">INDEX(GMWQ!$A$2:$NE$60,MATCH(1,(GMWQ!$NE$2:$NE$60=P$3)*(GMWQ!$ND$2:$ND$60=P$4),0),$B342-1966)</f>
        <v>2473744</v>
      </c>
      <c r="Q342" s="18" cm="1">
        <f t="array" ref="Q342">INDEX(GMWQ!$A$2:$NE$60,MATCH(1,(GMWQ!$NE$2:$NE$60=Q$3)*(GMWQ!$ND$2:$ND$60=Q$4),0),$B342-1966)</f>
        <v>2115.7779999999998</v>
      </c>
      <c r="R342" s="18" cm="1">
        <f t="array" ref="R342">INDEX(GMWQ!$A$2:$NE$60,MATCH(1,(GMWQ!$NE$2:$NE$60=R$3)*(GMWQ!$ND$2:$ND$60=R$4),0),$B342-1966)</f>
        <v>26102.97</v>
      </c>
      <c r="S342" s="18" cm="1">
        <f t="array" ref="S342">INDEX(GMWQ!$A$2:$NE$60,MATCH(1,(GMWQ!$NE$2:$NE$60=S$3)*(GMWQ!$ND$2:$ND$60=S$4),0),$B342-1966)</f>
        <v>151.21809999999999</v>
      </c>
      <c r="T342" s="18" cm="1">
        <f t="array" ref="T342">INDEX(GMWQ!$A$2:$NE$60,MATCH(1,(GMWQ!$NE$2:$NE$60=T$3)*(GMWQ!$ND$2:$ND$60=T$4),0),$B342-1966)</f>
        <v>113.9349</v>
      </c>
      <c r="U342" s="18" cm="1">
        <f t="array" ref="U342">INDEX(GMWQ!$A$2:$NE$60,MATCH(1,(GMWQ!$NE$2:$NE$60=U$3)*(GMWQ!$ND$2:$ND$60=U$4),0),$B342-1966)</f>
        <v>68.165270000000007</v>
      </c>
      <c r="V342" s="18" cm="1">
        <f t="array" ref="V342">INDEX(GMWQ!$A$2:$NE$60,MATCH(1,(GMWQ!$NE$2:$NE$60=V$3)*(GMWQ!$ND$2:$ND$60=V$4),0),$B342-1966)</f>
        <v>136176.79999999999</v>
      </c>
      <c r="W342" s="18" cm="1">
        <f t="array" ref="W342">INDEX(GMWQ!$A$2:$NF$60,MATCH(1,(GMWQ!$NE$2:$NE$60=W$3)*(GMWQ!$NF$2:$NF$60=W$1),0),$B342-1966)</f>
        <v>0</v>
      </c>
      <c r="X342" s="18" cm="1">
        <f t="array" ref="X342">INDEX(GMWQ!$A$2:$NF$60,MATCH(1,(GMWQ!$NE$2:$NE$60=X$3)*(GMWQ!$NF$2:$NF$60=X$1),0),$B342-1966)</f>
        <v>0</v>
      </c>
      <c r="Y342" s="18" cm="1">
        <f t="array" ref="Y342">INDEX(GMWQ!$A$2:$NF$60,MATCH(1,(GMWQ!$NE$2:$NE$60=Y$3)*(GMWQ!$NF$2:$NF$60=Y$1),0),$B342-1966)</f>
        <v>0</v>
      </c>
      <c r="Z342" s="18" cm="1">
        <f t="array" ref="Z342">INDEX(GMWQ!$A$2:$NF$60,MATCH(1,(GMWQ!$NE$2:$NE$60=Z$3)*(GMWQ!$NF$2:$NF$60=Z$1),0),$B342-1966)</f>
        <v>127082.9</v>
      </c>
    </row>
    <row r="343" spans="1:26" x14ac:dyDescent="0.25">
      <c r="A343" s="18">
        <v>2057</v>
      </c>
      <c r="B343" s="18">
        <f t="shared" si="6"/>
        <v>2309</v>
      </c>
      <c r="C343" s="18" cm="1">
        <f t="array" ref="C343">INDEX(GMWQ!$A$2:$NE$60,MATCH(1,(GMWQ!$NE$2:$NE$60=C$3)*(GMWQ!$ND$2:$ND$60=C$4),0),$B343-1966)</f>
        <v>131655.29999999999</v>
      </c>
      <c r="D343" s="18" cm="1">
        <f t="array" ref="D343">INDEX(GMWQ!$A$2:$NE$60,MATCH(1,(GMWQ!$NE$2:$NE$60=D$3)*(GMWQ!$ND$2:$ND$60=D$4),0),$B343-1966)</f>
        <v>510614.8</v>
      </c>
      <c r="E343" s="18" cm="1">
        <f t="array" ref="E343">INDEX(GMWQ!$A$2:$NE$60,MATCH(1,(GMWQ!$NE$2:$NE$60=E$3)*(GMWQ!$ND$2:$ND$60=E$4),0),$B343-1966)</f>
        <v>-29818.38</v>
      </c>
      <c r="F343" s="18" cm="1">
        <f t="array" ref="F343">INDEX(GMWQ!$A$2:$NE$60,MATCH(1,(GMWQ!$NE$2:$NE$60=F$3)*(GMWQ!$ND$2:$ND$60=F$4),0),$B343-1966)</f>
        <v>-34032.410000000003</v>
      </c>
      <c r="G343" s="18" cm="1">
        <f t="array" ref="G343">INDEX(GMWQ!$A$2:$NE$60,MATCH(1,(GMWQ!$NE$2:$NE$60=G$3)*(GMWQ!$ND$2:$ND$60=G$4),0),$B343-1966)</f>
        <v>2316608</v>
      </c>
      <c r="H343" s="18" cm="1">
        <f t="array" ref="H343">INDEX(GMWQ!$A$2:$NE$60,MATCH(1,(GMWQ!$NE$2:$NE$60=H$3)*(GMWQ!$ND$2:$ND$60=H$4),0),$B343-1966)</f>
        <v>214650.3</v>
      </c>
      <c r="I343" s="18" cm="1">
        <f t="array" ref="I343">INDEX(GMWQ!$A$2:$NE$60,MATCH(1,(GMWQ!$NE$2:$NE$60=I$3)*(GMWQ!$ND$2:$ND$60=I$4),0),$B343-1966)</f>
        <v>28064.54</v>
      </c>
      <c r="J343" s="18" cm="1">
        <f t="array" ref="J343">INDEX(GMWQ!$A$2:$NE$60,MATCH(1,(GMWQ!$NE$2:$NE$60=J$3)*(GMWQ!$ND$2:$ND$60=J$4),0),$B343-1966)</f>
        <v>40288.080000000002</v>
      </c>
      <c r="K343" s="18" cm="1">
        <f t="array" ref="K343">INDEX(GMWQ!$A$2:$NE$60,MATCH(1,(GMWQ!$NE$2:$NE$60=K$3)*(GMWQ!$ND$2:$ND$60=K$4),0),$B343-1966)</f>
        <v>6112125</v>
      </c>
      <c r="L343" s="18" cm="1">
        <f t="array" ref="L343">INDEX(GMWQ!$A$2:$NE$60,MATCH(1,(GMWQ!$NE$2:$NE$60=L$3)*(GMWQ!$ND$2:$ND$60=L$4),0),$B343-1966)</f>
        <v>39161.99</v>
      </c>
      <c r="M343" s="18" cm="1">
        <f t="array" ref="M343">INDEX(GMWQ!$A$2:$NE$60,MATCH(1,(GMWQ!$NE$2:$NE$60=M$3)*(GMWQ!$ND$2:$ND$60=M$4),0),$B343-1966)</f>
        <v>31.92792</v>
      </c>
      <c r="N343" s="18" cm="1">
        <f t="array" ref="N343">INDEX(GMWQ!$A$2:$NE$60,MATCH(1,(GMWQ!$NE$2:$NE$60=N$3)*(GMWQ!$ND$2:$ND$60=N$4),0),$B343-1966)</f>
        <v>9.6809180000000001</v>
      </c>
      <c r="O343" s="18" cm="1">
        <f t="array" ref="O343">INDEX(GMWQ!$A$2:$NE$60,MATCH(1,(GMWQ!$NE$2:$NE$60=O$3)*(GMWQ!$ND$2:$ND$60=O$4),0),$B343-1966)</f>
        <v>3.8562470000000002</v>
      </c>
      <c r="P343" s="18" cm="1">
        <f t="array" ref="P343">INDEX(GMWQ!$A$2:$NE$60,MATCH(1,(GMWQ!$NE$2:$NE$60=P$3)*(GMWQ!$ND$2:$ND$60=P$4),0),$B343-1966)</f>
        <v>2497506</v>
      </c>
      <c r="Q343" s="18" cm="1">
        <f t="array" ref="Q343">INDEX(GMWQ!$A$2:$NE$60,MATCH(1,(GMWQ!$NE$2:$NE$60=Q$3)*(GMWQ!$ND$2:$ND$60=Q$4),0),$B343-1966)</f>
        <v>2127.4349999999999</v>
      </c>
      <c r="R343" s="18" cm="1">
        <f t="array" ref="R343">INDEX(GMWQ!$A$2:$NE$60,MATCH(1,(GMWQ!$NE$2:$NE$60=R$3)*(GMWQ!$ND$2:$ND$60=R$4),0),$B343-1966)</f>
        <v>26137.23</v>
      </c>
      <c r="S343" s="18" cm="1">
        <f t="array" ref="S343">INDEX(GMWQ!$A$2:$NE$60,MATCH(1,(GMWQ!$NE$2:$NE$60=S$3)*(GMWQ!$ND$2:$ND$60=S$4),0),$B343-1966)</f>
        <v>151.50880000000001</v>
      </c>
      <c r="T343" s="18" cm="1">
        <f t="array" ref="T343">INDEX(GMWQ!$A$2:$NE$60,MATCH(1,(GMWQ!$NE$2:$NE$60=T$3)*(GMWQ!$ND$2:$ND$60=T$4),0),$B343-1966)</f>
        <v>114.1375</v>
      </c>
      <c r="U343" s="18" cm="1">
        <f t="array" ref="U343">INDEX(GMWQ!$A$2:$NE$60,MATCH(1,(GMWQ!$NE$2:$NE$60=U$3)*(GMWQ!$ND$2:$ND$60=U$4),0),$B343-1966)</f>
        <v>68.226680000000002</v>
      </c>
      <c r="V343" s="18" cm="1">
        <f t="array" ref="V343">INDEX(GMWQ!$A$2:$NE$60,MATCH(1,(GMWQ!$NE$2:$NE$60=V$3)*(GMWQ!$ND$2:$ND$60=V$4),0),$B343-1966)</f>
        <v>136751</v>
      </c>
      <c r="W343" s="18" cm="1">
        <f t="array" ref="W343">INDEX(GMWQ!$A$2:$NF$60,MATCH(1,(GMWQ!$NE$2:$NE$60=W$3)*(GMWQ!$NF$2:$NF$60=W$1),0),$B343-1966)</f>
        <v>0</v>
      </c>
      <c r="X343" s="18" cm="1">
        <f t="array" ref="X343">INDEX(GMWQ!$A$2:$NF$60,MATCH(1,(GMWQ!$NE$2:$NE$60=X$3)*(GMWQ!$NF$2:$NF$60=X$1),0),$B343-1966)</f>
        <v>0</v>
      </c>
      <c r="Y343" s="18" cm="1">
        <f t="array" ref="Y343">INDEX(GMWQ!$A$2:$NF$60,MATCH(1,(GMWQ!$NE$2:$NE$60=Y$3)*(GMWQ!$NF$2:$NF$60=Y$1),0),$B343-1966)</f>
        <v>0</v>
      </c>
      <c r="Z343" s="18" cm="1">
        <f t="array" ref="Z343">INDEX(GMWQ!$A$2:$NF$60,MATCH(1,(GMWQ!$NE$2:$NE$60=Z$3)*(GMWQ!$NF$2:$NF$60=Z$1),0),$B343-1966)</f>
        <v>127677.2</v>
      </c>
    </row>
    <row r="344" spans="1:26" x14ac:dyDescent="0.25">
      <c r="B344" s="18">
        <f t="shared" si="6"/>
        <v>2310</v>
      </c>
      <c r="C344" s="18" cm="1">
        <f t="array" ref="C344">INDEX(GMWQ!$A$2:$NE$60,MATCH(1,(GMWQ!$NE$2:$NE$60=C$3)*(GMWQ!$ND$2:$ND$60=C$4),0),$B344-1966)</f>
        <v>132264.79999999999</v>
      </c>
      <c r="D344" s="18" cm="1">
        <f t="array" ref="D344">INDEX(GMWQ!$A$2:$NE$60,MATCH(1,(GMWQ!$NE$2:$NE$60=D$3)*(GMWQ!$ND$2:$ND$60=D$4),0),$B344-1966)</f>
        <v>515360.9</v>
      </c>
      <c r="E344" s="18" cm="1">
        <f t="array" ref="E344">INDEX(GMWQ!$A$2:$NE$60,MATCH(1,(GMWQ!$NE$2:$NE$60=E$3)*(GMWQ!$ND$2:$ND$60=E$4),0),$B344-1966)</f>
        <v>-10632.32</v>
      </c>
      <c r="F344" s="18" cm="1">
        <f t="array" ref="F344">INDEX(GMWQ!$A$2:$NE$60,MATCH(1,(GMWQ!$NE$2:$NE$60=F$3)*(GMWQ!$ND$2:$ND$60=F$4),0),$B344-1966)</f>
        <v>-14882.71</v>
      </c>
      <c r="G344" s="18" cm="1">
        <f t="array" ref="G344">INDEX(GMWQ!$A$2:$NE$60,MATCH(1,(GMWQ!$NE$2:$NE$60=G$3)*(GMWQ!$ND$2:$ND$60=G$4),0),$B344-1966)</f>
        <v>2336592</v>
      </c>
      <c r="H344" s="18" cm="1">
        <f t="array" ref="H344">INDEX(GMWQ!$A$2:$NE$60,MATCH(1,(GMWQ!$NE$2:$NE$60=H$3)*(GMWQ!$ND$2:$ND$60=H$4),0),$B344-1966)</f>
        <v>215565.5</v>
      </c>
      <c r="I344" s="18" cm="1">
        <f t="array" ref="I344">INDEX(GMWQ!$A$2:$NE$60,MATCH(1,(GMWQ!$NE$2:$NE$60=I$3)*(GMWQ!$ND$2:$ND$60=I$4),0),$B344-1966)</f>
        <v>28181.81</v>
      </c>
      <c r="J344" s="18" cm="1">
        <f t="array" ref="J344">INDEX(GMWQ!$A$2:$NE$60,MATCH(1,(GMWQ!$NE$2:$NE$60=J$3)*(GMWQ!$ND$2:$ND$60=J$4),0),$B344-1966)</f>
        <v>40415.339999999997</v>
      </c>
      <c r="K344" s="18" cm="1">
        <f t="array" ref="K344">INDEX(GMWQ!$A$2:$NE$60,MATCH(1,(GMWQ!$NE$2:$NE$60=K$3)*(GMWQ!$ND$2:$ND$60=K$4),0),$B344-1966)</f>
        <v>6140386</v>
      </c>
      <c r="L344" s="18" cm="1">
        <f t="array" ref="L344">INDEX(GMWQ!$A$2:$NE$60,MATCH(1,(GMWQ!$NE$2:$NE$60=L$3)*(GMWQ!$ND$2:$ND$60=L$4),0),$B344-1966)</f>
        <v>39172.5</v>
      </c>
      <c r="M344" s="18" cm="1">
        <f t="array" ref="M344">INDEX(GMWQ!$A$2:$NE$60,MATCH(1,(GMWQ!$NE$2:$NE$60=M$3)*(GMWQ!$ND$2:$ND$60=M$4),0),$B344-1966)</f>
        <v>31.92717</v>
      </c>
      <c r="N344" s="18" cm="1">
        <f t="array" ref="N344">INDEX(GMWQ!$A$2:$NE$60,MATCH(1,(GMWQ!$NE$2:$NE$60=N$3)*(GMWQ!$ND$2:$ND$60=N$4),0),$B344-1966)</f>
        <v>9.6976209999999998</v>
      </c>
      <c r="O344" s="18" cm="1">
        <f t="array" ref="O344">INDEX(GMWQ!$A$2:$NE$60,MATCH(1,(GMWQ!$NE$2:$NE$60=O$3)*(GMWQ!$ND$2:$ND$60=O$4),0),$B344-1966)</f>
        <v>3.8562470000000002</v>
      </c>
      <c r="P344" s="18" cm="1">
        <f t="array" ref="P344">INDEX(GMWQ!$A$2:$NE$60,MATCH(1,(GMWQ!$NE$2:$NE$60=P$3)*(GMWQ!$ND$2:$ND$60=P$4),0),$B344-1966)</f>
        <v>2537063</v>
      </c>
      <c r="Q344" s="18" cm="1">
        <f t="array" ref="Q344">INDEX(GMWQ!$A$2:$NE$60,MATCH(1,(GMWQ!$NE$2:$NE$60=Q$3)*(GMWQ!$ND$2:$ND$60=Q$4),0),$B344-1966)</f>
        <v>2139.1489999999999</v>
      </c>
      <c r="R344" s="18" cm="1">
        <f t="array" ref="R344">INDEX(GMWQ!$A$2:$NE$60,MATCH(1,(GMWQ!$NE$2:$NE$60=R$3)*(GMWQ!$ND$2:$ND$60=R$4),0),$B344-1966)</f>
        <v>26171.24</v>
      </c>
      <c r="S344" s="18" cm="1">
        <f t="array" ref="S344">INDEX(GMWQ!$A$2:$NE$60,MATCH(1,(GMWQ!$NE$2:$NE$60=S$3)*(GMWQ!$ND$2:$ND$60=S$4),0),$B344-1966)</f>
        <v>151.80019999999999</v>
      </c>
      <c r="T344" s="18" cm="1">
        <f t="array" ref="T344">INDEX(GMWQ!$A$2:$NE$60,MATCH(1,(GMWQ!$NE$2:$NE$60=T$3)*(GMWQ!$ND$2:$ND$60=T$4),0),$B344-1966)</f>
        <v>114.23990000000001</v>
      </c>
      <c r="U344" s="18" cm="1">
        <f t="array" ref="U344">INDEX(GMWQ!$A$2:$NE$60,MATCH(1,(GMWQ!$NE$2:$NE$60=U$3)*(GMWQ!$ND$2:$ND$60=U$4),0),$B344-1966)</f>
        <v>68.287019999999998</v>
      </c>
      <c r="V344" s="18" cm="1">
        <f t="array" ref="V344">INDEX(GMWQ!$A$2:$NE$60,MATCH(1,(GMWQ!$NE$2:$NE$60=V$3)*(GMWQ!$ND$2:$ND$60=V$4),0),$B344-1966)</f>
        <v>137329.4</v>
      </c>
      <c r="W344" s="18" cm="1">
        <f t="array" ref="W344">INDEX(GMWQ!$A$2:$NF$60,MATCH(1,(GMWQ!$NE$2:$NE$60=W$3)*(GMWQ!$NF$2:$NF$60=W$1),0),$B344-1966)</f>
        <v>0</v>
      </c>
      <c r="X344" s="18" cm="1">
        <f t="array" ref="X344">INDEX(GMWQ!$A$2:$NF$60,MATCH(1,(GMWQ!$NE$2:$NE$60=X$3)*(GMWQ!$NF$2:$NF$60=X$1),0),$B344-1966)</f>
        <v>0</v>
      </c>
      <c r="Y344" s="18" cm="1">
        <f t="array" ref="Y344">INDEX(GMWQ!$A$2:$NF$60,MATCH(1,(GMWQ!$NE$2:$NE$60=Y$3)*(GMWQ!$NF$2:$NF$60=Y$1),0),$B344-1966)</f>
        <v>0</v>
      </c>
      <c r="Z344" s="18" cm="1">
        <f t="array" ref="Z344">INDEX(GMWQ!$A$2:$NF$60,MATCH(1,(GMWQ!$NE$2:$NE$60=Z$3)*(GMWQ!$NF$2:$NF$60=Z$1),0),$B344-1966)</f>
        <v>128273.9</v>
      </c>
    </row>
    <row r="345" spans="1:26" x14ac:dyDescent="0.25">
      <c r="B345" s="18">
        <f t="shared" si="6"/>
        <v>2311</v>
      </c>
      <c r="C345" s="18" cm="1">
        <f t="array" ref="C345">INDEX(GMWQ!$A$2:$NE$60,MATCH(1,(GMWQ!$NE$2:$NE$60=C$3)*(GMWQ!$ND$2:$ND$60=C$4),0),$B345-1966)</f>
        <v>132881</v>
      </c>
      <c r="D345" s="18" cm="1">
        <f t="array" ref="D345">INDEX(GMWQ!$A$2:$NE$60,MATCH(1,(GMWQ!$NE$2:$NE$60=D$3)*(GMWQ!$ND$2:$ND$60=D$4),0),$B345-1966)</f>
        <v>520240.1</v>
      </c>
      <c r="E345" s="18" cm="1">
        <f t="array" ref="E345">INDEX(GMWQ!$A$2:$NE$60,MATCH(1,(GMWQ!$NE$2:$NE$60=E$3)*(GMWQ!$ND$2:$ND$60=E$4),0),$B345-1966)</f>
        <v>-18593.3</v>
      </c>
      <c r="F345" s="18" cm="1">
        <f t="array" ref="F345">INDEX(GMWQ!$A$2:$NE$60,MATCH(1,(GMWQ!$NE$2:$NE$60=F$3)*(GMWQ!$ND$2:$ND$60=F$4),0),$B345-1966)</f>
        <v>-22880.48</v>
      </c>
      <c r="G345" s="18" cm="1">
        <f t="array" ref="G345">INDEX(GMWQ!$A$2:$NE$60,MATCH(1,(GMWQ!$NE$2:$NE$60=G$3)*(GMWQ!$ND$2:$ND$60=G$4),0),$B345-1966)</f>
        <v>2356819</v>
      </c>
      <c r="H345" s="18" cm="1">
        <f t="array" ref="H345">INDEX(GMWQ!$A$2:$NE$60,MATCH(1,(GMWQ!$NE$2:$NE$60=H$3)*(GMWQ!$ND$2:$ND$60=H$4),0),$B345-1966)</f>
        <v>216491.2</v>
      </c>
      <c r="I345" s="18" cm="1">
        <f t="array" ref="I345">INDEX(GMWQ!$A$2:$NE$60,MATCH(1,(GMWQ!$NE$2:$NE$60=I$3)*(GMWQ!$ND$2:$ND$60=I$4),0),$B345-1966)</f>
        <v>28300.43</v>
      </c>
      <c r="J345" s="18" cm="1">
        <f t="array" ref="J345">INDEX(GMWQ!$A$2:$NE$60,MATCH(1,(GMWQ!$NE$2:$NE$60=J$3)*(GMWQ!$ND$2:$ND$60=J$4),0),$B345-1966)</f>
        <v>40544.230000000003</v>
      </c>
      <c r="K345" s="18" cm="1">
        <f t="array" ref="K345">INDEX(GMWQ!$A$2:$NE$60,MATCH(1,(GMWQ!$NE$2:$NE$60=K$3)*(GMWQ!$ND$2:$ND$60=K$4),0),$B345-1966)</f>
        <v>6168756</v>
      </c>
      <c r="L345" s="18" cm="1">
        <f t="array" ref="L345">INDEX(GMWQ!$A$2:$NE$60,MATCH(1,(GMWQ!$NE$2:$NE$60=L$3)*(GMWQ!$ND$2:$ND$60=L$4),0),$B345-1966)</f>
        <v>39185.050000000003</v>
      </c>
      <c r="M345" s="18" cm="1">
        <f t="array" ref="M345">INDEX(GMWQ!$A$2:$NE$60,MATCH(1,(GMWQ!$NE$2:$NE$60=M$3)*(GMWQ!$ND$2:$ND$60=M$4),0),$B345-1966)</f>
        <v>31.92642</v>
      </c>
      <c r="N345" s="18" cm="1">
        <f t="array" ref="N345">INDEX(GMWQ!$A$2:$NE$60,MATCH(1,(GMWQ!$NE$2:$NE$60=N$3)*(GMWQ!$ND$2:$ND$60=N$4),0),$B345-1966)</f>
        <v>9.7059320000000007</v>
      </c>
      <c r="O345" s="18" cm="1">
        <f t="array" ref="O345">INDEX(GMWQ!$A$2:$NE$60,MATCH(1,(GMWQ!$NE$2:$NE$60=O$3)*(GMWQ!$ND$2:$ND$60=O$4),0),$B345-1966)</f>
        <v>3.8562470000000002</v>
      </c>
      <c r="P345" s="18" cm="1">
        <f t="array" ref="P345">INDEX(GMWQ!$A$2:$NE$60,MATCH(1,(GMWQ!$NE$2:$NE$60=P$3)*(GMWQ!$ND$2:$ND$60=P$4),0),$B345-1966)</f>
        <v>2569291</v>
      </c>
      <c r="Q345" s="18" cm="1">
        <f t="array" ref="Q345">INDEX(GMWQ!$A$2:$NE$60,MATCH(1,(GMWQ!$NE$2:$NE$60=Q$3)*(GMWQ!$ND$2:$ND$60=Q$4),0),$B345-1966)</f>
        <v>2150.9169999999999</v>
      </c>
      <c r="R345" s="18" cm="1">
        <f t="array" ref="R345">INDEX(GMWQ!$A$2:$NE$60,MATCH(1,(GMWQ!$NE$2:$NE$60=R$3)*(GMWQ!$ND$2:$ND$60=R$4),0),$B345-1966)</f>
        <v>26204.959999999999</v>
      </c>
      <c r="S345" s="18" cm="1">
        <f t="array" ref="S345">INDEX(GMWQ!$A$2:$NE$60,MATCH(1,(GMWQ!$NE$2:$NE$60=S$3)*(GMWQ!$ND$2:$ND$60=S$4),0),$B345-1966)</f>
        <v>152.09229999999999</v>
      </c>
      <c r="T345" s="18" cm="1">
        <f t="array" ref="T345">INDEX(GMWQ!$A$2:$NE$60,MATCH(1,(GMWQ!$NE$2:$NE$60=T$3)*(GMWQ!$ND$2:$ND$60=T$4),0),$B345-1966)</f>
        <v>114.44199999999999</v>
      </c>
      <c r="U345" s="18" cm="1">
        <f t="array" ref="U345">INDEX(GMWQ!$A$2:$NE$60,MATCH(1,(GMWQ!$NE$2:$NE$60=U$3)*(GMWQ!$ND$2:$ND$60=U$4),0),$B345-1966)</f>
        <v>68.347309999999993</v>
      </c>
      <c r="V345" s="18" cm="1">
        <f t="array" ref="V345">INDEX(GMWQ!$A$2:$NE$60,MATCH(1,(GMWQ!$NE$2:$NE$60=V$3)*(GMWQ!$ND$2:$ND$60=V$4),0),$B345-1966)</f>
        <v>137907.29999999999</v>
      </c>
      <c r="W345" s="18" cm="1">
        <f t="array" ref="W345">INDEX(GMWQ!$A$2:$NF$60,MATCH(1,(GMWQ!$NE$2:$NE$60=W$3)*(GMWQ!$NF$2:$NF$60=W$1),0),$B345-1966)</f>
        <v>0</v>
      </c>
      <c r="X345" s="18" cm="1">
        <f t="array" ref="X345">INDEX(GMWQ!$A$2:$NF$60,MATCH(1,(GMWQ!$NE$2:$NE$60=X$3)*(GMWQ!$NF$2:$NF$60=X$1),0),$B345-1966)</f>
        <v>0</v>
      </c>
      <c r="Y345" s="18" cm="1">
        <f t="array" ref="Y345">INDEX(GMWQ!$A$2:$NF$60,MATCH(1,(GMWQ!$NE$2:$NE$60=Y$3)*(GMWQ!$NF$2:$NF$60=Y$1),0),$B345-1966)</f>
        <v>0</v>
      </c>
      <c r="Z345" s="18" cm="1">
        <f t="array" ref="Z345">INDEX(GMWQ!$A$2:$NF$60,MATCH(1,(GMWQ!$NE$2:$NE$60=Z$3)*(GMWQ!$NF$2:$NF$60=Z$1),0),$B345-1966)</f>
        <v>128877.4</v>
      </c>
    </row>
    <row r="346" spans="1:26" x14ac:dyDescent="0.25">
      <c r="B346" s="18">
        <f t="shared" si="6"/>
        <v>2312</v>
      </c>
      <c r="C346" s="18" cm="1">
        <f t="array" ref="C346">INDEX(GMWQ!$A$2:$NE$60,MATCH(1,(GMWQ!$NE$2:$NE$60=C$3)*(GMWQ!$ND$2:$ND$60=C$4),0),$B346-1966)</f>
        <v>133499.70000000001</v>
      </c>
      <c r="D346" s="18" cm="1">
        <f t="array" ref="D346">INDEX(GMWQ!$A$2:$NE$60,MATCH(1,(GMWQ!$NE$2:$NE$60=D$3)*(GMWQ!$ND$2:$ND$60=D$4),0),$B346-1966)</f>
        <v>523908.2</v>
      </c>
      <c r="E346" s="18" cm="1">
        <f t="array" ref="E346">INDEX(GMWQ!$A$2:$NE$60,MATCH(1,(GMWQ!$NE$2:$NE$60=E$3)*(GMWQ!$ND$2:$ND$60=E$4),0),$B346-1966)</f>
        <v>8376.5879999999997</v>
      </c>
      <c r="F346" s="18" cm="1">
        <f t="array" ref="F346">INDEX(GMWQ!$A$2:$NE$60,MATCH(1,(GMWQ!$NE$2:$NE$60=F$3)*(GMWQ!$ND$2:$ND$60=F$4),0),$B346-1966)</f>
        <v>4052.3049999999998</v>
      </c>
      <c r="G346" s="18" cm="1">
        <f t="array" ref="G346">INDEX(GMWQ!$A$2:$NE$60,MATCH(1,(GMWQ!$NE$2:$NE$60=G$3)*(GMWQ!$ND$2:$ND$60=G$4),0),$B346-1966)</f>
        <v>2377214</v>
      </c>
      <c r="H346" s="18" cm="1">
        <f t="array" ref="H346">INDEX(GMWQ!$A$2:$NE$60,MATCH(1,(GMWQ!$NE$2:$NE$60=H$3)*(GMWQ!$ND$2:$ND$60=H$4),0),$B346-1966)</f>
        <v>217420.2</v>
      </c>
      <c r="I346" s="18" cm="1">
        <f t="array" ref="I346">INDEX(GMWQ!$A$2:$NE$60,MATCH(1,(GMWQ!$NE$2:$NE$60=I$3)*(GMWQ!$ND$2:$ND$60=I$4),0),$B346-1966)</f>
        <v>28419.47</v>
      </c>
      <c r="J346" s="18" cm="1">
        <f t="array" ref="J346">INDEX(GMWQ!$A$2:$NE$60,MATCH(1,(GMWQ!$NE$2:$NE$60=J$3)*(GMWQ!$ND$2:$ND$60=J$4),0),$B346-1966)</f>
        <v>40673.42</v>
      </c>
      <c r="K346" s="18" cm="1">
        <f t="array" ref="K346">INDEX(GMWQ!$A$2:$NE$60,MATCH(1,(GMWQ!$NE$2:$NE$60=K$3)*(GMWQ!$ND$2:$ND$60=K$4),0),$B346-1966)</f>
        <v>6197237</v>
      </c>
      <c r="L346" s="18" cm="1">
        <f t="array" ref="L346">INDEX(GMWQ!$A$2:$NE$60,MATCH(1,(GMWQ!$NE$2:$NE$60=L$3)*(GMWQ!$ND$2:$ND$60=L$4),0),$B346-1966)</f>
        <v>39197.589999999997</v>
      </c>
      <c r="M346" s="18" cm="1">
        <f t="array" ref="M346">INDEX(GMWQ!$A$2:$NE$60,MATCH(1,(GMWQ!$NE$2:$NE$60=M$3)*(GMWQ!$ND$2:$ND$60=M$4),0),$B346-1966)</f>
        <v>31.92567</v>
      </c>
      <c r="N346" s="18" cm="1">
        <f t="array" ref="N346">INDEX(GMWQ!$A$2:$NE$60,MATCH(1,(GMWQ!$NE$2:$NE$60=N$3)*(GMWQ!$ND$2:$ND$60=N$4),0),$B346-1966)</f>
        <v>9.7197870000000002</v>
      </c>
      <c r="O346" s="18" cm="1">
        <f t="array" ref="O346">INDEX(GMWQ!$A$2:$NE$60,MATCH(1,(GMWQ!$NE$2:$NE$60=O$3)*(GMWQ!$ND$2:$ND$60=O$4),0),$B346-1966)</f>
        <v>3.8562470000000002</v>
      </c>
      <c r="P346" s="18" cm="1">
        <f t="array" ref="P346">INDEX(GMWQ!$A$2:$NE$60,MATCH(1,(GMWQ!$NE$2:$NE$60=P$3)*(GMWQ!$ND$2:$ND$60=P$4),0),$B346-1966)</f>
        <v>2601187</v>
      </c>
      <c r="Q346" s="18" cm="1">
        <f t="array" ref="Q346">INDEX(GMWQ!$A$2:$NE$60,MATCH(1,(GMWQ!$NE$2:$NE$60=Q$3)*(GMWQ!$ND$2:$ND$60=Q$4),0),$B346-1966)</f>
        <v>2162.7449999999999</v>
      </c>
      <c r="R346" s="18" cm="1">
        <f t="array" ref="R346">INDEX(GMWQ!$A$2:$NE$60,MATCH(1,(GMWQ!$NE$2:$NE$60=R$3)*(GMWQ!$ND$2:$ND$60=R$4),0),$B346-1966)</f>
        <v>26239.95</v>
      </c>
      <c r="S346" s="18" cm="1">
        <f t="array" ref="S346">INDEX(GMWQ!$A$2:$NE$60,MATCH(1,(GMWQ!$NE$2:$NE$60=S$3)*(GMWQ!$ND$2:$ND$60=S$4),0),$B346-1966)</f>
        <v>152.38509999999999</v>
      </c>
      <c r="T346" s="18" cm="1">
        <f t="array" ref="T346">INDEX(GMWQ!$A$2:$NE$60,MATCH(1,(GMWQ!$NE$2:$NE$60=T$3)*(GMWQ!$ND$2:$ND$60=T$4),0),$B346-1966)</f>
        <v>114.5446</v>
      </c>
      <c r="U346" s="18" cm="1">
        <f t="array" ref="U346">INDEX(GMWQ!$A$2:$NE$60,MATCH(1,(GMWQ!$NE$2:$NE$60=U$3)*(GMWQ!$ND$2:$ND$60=U$4),0),$B346-1966)</f>
        <v>68.407619999999994</v>
      </c>
      <c r="V346" s="18" cm="1">
        <f t="array" ref="V346">INDEX(GMWQ!$A$2:$NE$60,MATCH(1,(GMWQ!$NE$2:$NE$60=V$3)*(GMWQ!$ND$2:$ND$60=V$4),0),$B346-1966)</f>
        <v>138487.1</v>
      </c>
      <c r="W346" s="18" cm="1">
        <f t="array" ref="W346">INDEX(GMWQ!$A$2:$NF$60,MATCH(1,(GMWQ!$NE$2:$NE$60=W$3)*(GMWQ!$NF$2:$NF$60=W$1),0),$B346-1966)</f>
        <v>0</v>
      </c>
      <c r="X346" s="18" cm="1">
        <f t="array" ref="X346">INDEX(GMWQ!$A$2:$NF$60,MATCH(1,(GMWQ!$NE$2:$NE$60=X$3)*(GMWQ!$NF$2:$NF$60=X$1),0),$B346-1966)</f>
        <v>0</v>
      </c>
      <c r="Y346" s="18" cm="1">
        <f t="array" ref="Y346">INDEX(GMWQ!$A$2:$NF$60,MATCH(1,(GMWQ!$NE$2:$NE$60=Y$3)*(GMWQ!$NF$2:$NF$60=Y$1),0),$B346-1966)</f>
        <v>0</v>
      </c>
      <c r="Z346" s="18" cm="1">
        <f t="array" ref="Z346">INDEX(GMWQ!$A$2:$NF$60,MATCH(1,(GMWQ!$NE$2:$NE$60=Z$3)*(GMWQ!$NF$2:$NF$60=Z$1),0),$B346-1966)</f>
        <v>129483.5</v>
      </c>
    </row>
    <row r="347" spans="1:26" x14ac:dyDescent="0.25">
      <c r="A347" s="18">
        <v>2058</v>
      </c>
      <c r="B347" s="18">
        <f t="shared" si="6"/>
        <v>2313</v>
      </c>
      <c r="C347" s="18" cm="1">
        <f t="array" ref="C347">INDEX(GMWQ!$A$2:$NE$60,MATCH(1,(GMWQ!$NE$2:$NE$60=C$3)*(GMWQ!$ND$2:$ND$60=C$4),0),$B347-1966)</f>
        <v>134120.9</v>
      </c>
      <c r="D347" s="18" cm="1">
        <f t="array" ref="D347">INDEX(GMWQ!$A$2:$NE$60,MATCH(1,(GMWQ!$NE$2:$NE$60=D$3)*(GMWQ!$ND$2:$ND$60=D$4),0),$B347-1966)</f>
        <v>528495</v>
      </c>
      <c r="E347" s="18" cm="1">
        <f t="array" ref="E347">INDEX(GMWQ!$A$2:$NE$60,MATCH(1,(GMWQ!$NE$2:$NE$60=E$3)*(GMWQ!$ND$2:$ND$60=E$4),0),$B347-1966)</f>
        <v>-30744.61</v>
      </c>
      <c r="F347" s="18" cm="1">
        <f t="array" ref="F347">INDEX(GMWQ!$A$2:$NE$60,MATCH(1,(GMWQ!$NE$2:$NE$60=F$3)*(GMWQ!$ND$2:$ND$60=F$4),0),$B347-1966)</f>
        <v>-35106.300000000003</v>
      </c>
      <c r="G347" s="18" cm="1">
        <f t="array" ref="G347">INDEX(GMWQ!$A$2:$NE$60,MATCH(1,(GMWQ!$NE$2:$NE$60=G$3)*(GMWQ!$ND$2:$ND$60=G$4),0),$B347-1966)</f>
        <v>2397779</v>
      </c>
      <c r="H347" s="18" cm="1">
        <f t="array" ref="H347">INDEX(GMWQ!$A$2:$NE$60,MATCH(1,(GMWQ!$NE$2:$NE$60=H$3)*(GMWQ!$ND$2:$ND$60=H$4),0),$B347-1966)</f>
        <v>218352.6</v>
      </c>
      <c r="I347" s="18" cm="1">
        <f t="array" ref="I347">INDEX(GMWQ!$A$2:$NE$60,MATCH(1,(GMWQ!$NE$2:$NE$60=I$3)*(GMWQ!$ND$2:$ND$60=I$4),0),$B347-1966)</f>
        <v>28538.92</v>
      </c>
      <c r="J347" s="18" cm="1">
        <f t="array" ref="J347">INDEX(GMWQ!$A$2:$NE$60,MATCH(1,(GMWQ!$NE$2:$NE$60=J$3)*(GMWQ!$ND$2:$ND$60=J$4),0),$B347-1966)</f>
        <v>40802.879999999997</v>
      </c>
      <c r="K347" s="18" cm="1">
        <f t="array" ref="K347">INDEX(GMWQ!$A$2:$NE$60,MATCH(1,(GMWQ!$NE$2:$NE$60=K$3)*(GMWQ!$ND$2:$ND$60=K$4),0),$B347-1966)</f>
        <v>6225829</v>
      </c>
      <c r="L347" s="18" cm="1">
        <f t="array" ref="L347">INDEX(GMWQ!$A$2:$NE$60,MATCH(1,(GMWQ!$NE$2:$NE$60=L$3)*(GMWQ!$ND$2:$ND$60=L$4),0),$B347-1966)</f>
        <v>39210.14</v>
      </c>
      <c r="M347" s="18" cm="1">
        <f t="array" ref="M347">INDEX(GMWQ!$A$2:$NE$60,MATCH(1,(GMWQ!$NE$2:$NE$60=M$3)*(GMWQ!$ND$2:$ND$60=M$4),0),$B347-1966)</f>
        <v>31.92492</v>
      </c>
      <c r="N347" s="18" cm="1">
        <f t="array" ref="N347">INDEX(GMWQ!$A$2:$NE$60,MATCH(1,(GMWQ!$NE$2:$NE$60=N$3)*(GMWQ!$ND$2:$ND$60=N$4),0),$B347-1966)</f>
        <v>9.7223109999999995</v>
      </c>
      <c r="O347" s="18" cm="1">
        <f t="array" ref="O347">INDEX(GMWQ!$A$2:$NE$60,MATCH(1,(GMWQ!$NE$2:$NE$60=O$3)*(GMWQ!$ND$2:$ND$60=O$4),0),$B347-1966)</f>
        <v>3.8562470000000002</v>
      </c>
      <c r="P347" s="18" cm="1">
        <f t="array" ref="P347">INDEX(GMWQ!$A$2:$NE$60,MATCH(1,(GMWQ!$NE$2:$NE$60=P$3)*(GMWQ!$ND$2:$ND$60=P$4),0),$B347-1966)</f>
        <v>2626493</v>
      </c>
      <c r="Q347" s="18" cm="1">
        <f t="array" ref="Q347">INDEX(GMWQ!$A$2:$NE$60,MATCH(1,(GMWQ!$NE$2:$NE$60=Q$3)*(GMWQ!$ND$2:$ND$60=Q$4),0),$B347-1966)</f>
        <v>2174.6239999999998</v>
      </c>
      <c r="R347" s="18" cm="1">
        <f t="array" ref="R347">INDEX(GMWQ!$A$2:$NE$60,MATCH(1,(GMWQ!$NE$2:$NE$60=R$3)*(GMWQ!$ND$2:$ND$60=R$4),0),$B347-1966)</f>
        <v>26276.06</v>
      </c>
      <c r="S347" s="18" cm="1">
        <f t="array" ref="S347">INDEX(GMWQ!$A$2:$NE$60,MATCH(1,(GMWQ!$NE$2:$NE$60=S$3)*(GMWQ!$ND$2:$ND$60=S$4),0),$B347-1966)</f>
        <v>152.71960000000001</v>
      </c>
      <c r="T347" s="18" cm="1">
        <f t="array" ref="T347">INDEX(GMWQ!$A$2:$NE$60,MATCH(1,(GMWQ!$NE$2:$NE$60=T$3)*(GMWQ!$ND$2:$ND$60=T$4),0),$B347-1966)</f>
        <v>114.7406</v>
      </c>
      <c r="U347" s="18" cm="1">
        <f t="array" ref="U347">INDEX(GMWQ!$A$2:$NE$60,MATCH(1,(GMWQ!$NE$2:$NE$60=U$3)*(GMWQ!$ND$2:$ND$60=U$4),0),$B347-1966)</f>
        <v>68.467929999999996</v>
      </c>
      <c r="V347" s="18" cm="1">
        <f t="array" ref="V347">INDEX(GMWQ!$A$2:$NE$60,MATCH(1,(GMWQ!$NE$2:$NE$60=V$3)*(GMWQ!$ND$2:$ND$60=V$4),0),$B347-1966)</f>
        <v>139070.29999999999</v>
      </c>
      <c r="W347" s="18" cm="1">
        <f t="array" ref="W347">INDEX(GMWQ!$A$2:$NF$60,MATCH(1,(GMWQ!$NE$2:$NE$60=W$3)*(GMWQ!$NF$2:$NF$60=W$1),0),$B347-1966)</f>
        <v>0</v>
      </c>
      <c r="X347" s="18" cm="1">
        <f t="array" ref="X347">INDEX(GMWQ!$A$2:$NF$60,MATCH(1,(GMWQ!$NE$2:$NE$60=X$3)*(GMWQ!$NF$2:$NF$60=X$1),0),$B347-1966)</f>
        <v>0</v>
      </c>
      <c r="Y347" s="18" cm="1">
        <f t="array" ref="Y347">INDEX(GMWQ!$A$2:$NF$60,MATCH(1,(GMWQ!$NE$2:$NE$60=Y$3)*(GMWQ!$NF$2:$NF$60=Y$1),0),$B347-1966)</f>
        <v>0</v>
      </c>
      <c r="Z347" s="18" cm="1">
        <f t="array" ref="Z347">INDEX(GMWQ!$A$2:$NF$60,MATCH(1,(GMWQ!$NE$2:$NE$60=Z$3)*(GMWQ!$NF$2:$NF$60=Z$1),0),$B347-1966)</f>
        <v>130092.1</v>
      </c>
    </row>
    <row r="348" spans="1:26" x14ac:dyDescent="0.25">
      <c r="B348" s="18">
        <f t="shared" si="6"/>
        <v>2314</v>
      </c>
      <c r="C348" s="18" cm="1">
        <f t="array" ref="C348">INDEX(GMWQ!$A$2:$NE$60,MATCH(1,(GMWQ!$NE$2:$NE$60=C$3)*(GMWQ!$ND$2:$ND$60=C$4),0),$B348-1966)</f>
        <v>134744.6</v>
      </c>
      <c r="D348" s="18" cm="1">
        <f t="array" ref="D348">INDEX(GMWQ!$A$2:$NE$60,MATCH(1,(GMWQ!$NE$2:$NE$60=D$3)*(GMWQ!$ND$2:$ND$60=D$4),0),$B348-1966)</f>
        <v>533418.4</v>
      </c>
      <c r="E348" s="18" cm="1">
        <f t="array" ref="E348">INDEX(GMWQ!$A$2:$NE$60,MATCH(1,(GMWQ!$NE$2:$NE$60=E$3)*(GMWQ!$ND$2:$ND$60=E$4),0),$B348-1966)</f>
        <v>-10884.47</v>
      </c>
      <c r="F348" s="18" cm="1">
        <f t="array" ref="F348">INDEX(GMWQ!$A$2:$NE$60,MATCH(1,(GMWQ!$NE$2:$NE$60=F$3)*(GMWQ!$ND$2:$ND$60=F$4),0),$B348-1966)</f>
        <v>-15283.89</v>
      </c>
      <c r="G348" s="18" cm="1">
        <f t="array" ref="G348">INDEX(GMWQ!$A$2:$NE$60,MATCH(1,(GMWQ!$NE$2:$NE$60=G$3)*(GMWQ!$ND$2:$ND$60=G$4),0),$B348-1966)</f>
        <v>2418514</v>
      </c>
      <c r="H348" s="18" cm="1">
        <f t="array" ref="H348">INDEX(GMWQ!$A$2:$NE$60,MATCH(1,(GMWQ!$NE$2:$NE$60=H$3)*(GMWQ!$ND$2:$ND$60=H$4),0),$B348-1966)</f>
        <v>219288.5</v>
      </c>
      <c r="I348" s="18" cm="1">
        <f t="array" ref="I348">INDEX(GMWQ!$A$2:$NE$60,MATCH(1,(GMWQ!$NE$2:$NE$60=I$3)*(GMWQ!$ND$2:$ND$60=I$4),0),$B348-1966)</f>
        <v>28658.79</v>
      </c>
      <c r="J348" s="18" cm="1">
        <f t="array" ref="J348">INDEX(GMWQ!$A$2:$NE$60,MATCH(1,(GMWQ!$NE$2:$NE$60=J$3)*(GMWQ!$ND$2:$ND$60=J$4),0),$B348-1966)</f>
        <v>40932.639999999999</v>
      </c>
      <c r="K348" s="18" cm="1">
        <f t="array" ref="K348">INDEX(GMWQ!$A$2:$NE$60,MATCH(1,(GMWQ!$NE$2:$NE$60=K$3)*(GMWQ!$ND$2:$ND$60=K$4),0),$B348-1966)</f>
        <v>6254532</v>
      </c>
      <c r="L348" s="18" cm="1">
        <f t="array" ref="L348">INDEX(GMWQ!$A$2:$NE$60,MATCH(1,(GMWQ!$NE$2:$NE$60=L$3)*(GMWQ!$ND$2:$ND$60=L$4),0),$B348-1966)</f>
        <v>39222.68</v>
      </c>
      <c r="M348" s="18" cm="1">
        <f t="array" ref="M348">INDEX(GMWQ!$A$2:$NE$60,MATCH(1,(GMWQ!$NE$2:$NE$60=M$3)*(GMWQ!$ND$2:$ND$60=M$4),0),$B348-1966)</f>
        <v>31.92417</v>
      </c>
      <c r="N348" s="18" cm="1">
        <f t="array" ref="N348">INDEX(GMWQ!$A$2:$NE$60,MATCH(1,(GMWQ!$NE$2:$NE$60=N$3)*(GMWQ!$ND$2:$ND$60=N$4),0),$B348-1966)</f>
        <v>9.7395399999999999</v>
      </c>
      <c r="O348" s="18" cm="1">
        <f t="array" ref="O348">INDEX(GMWQ!$A$2:$NE$60,MATCH(1,(GMWQ!$NE$2:$NE$60=O$3)*(GMWQ!$ND$2:$ND$60=O$4),0),$B348-1966)</f>
        <v>3.8562470000000002</v>
      </c>
      <c r="P348" s="18" cm="1">
        <f t="array" ref="P348">INDEX(GMWQ!$A$2:$NE$60,MATCH(1,(GMWQ!$NE$2:$NE$60=P$3)*(GMWQ!$ND$2:$ND$60=P$4),0),$B348-1966)</f>
        <v>2668410</v>
      </c>
      <c r="Q348" s="18" cm="1">
        <f t="array" ref="Q348">INDEX(GMWQ!$A$2:$NE$60,MATCH(1,(GMWQ!$NE$2:$NE$60=Q$3)*(GMWQ!$ND$2:$ND$60=Q$4),0),$B348-1966)</f>
        <v>2186.5650000000001</v>
      </c>
      <c r="R348" s="18" cm="1">
        <f t="array" ref="R348">INDEX(GMWQ!$A$2:$NE$60,MATCH(1,(GMWQ!$NE$2:$NE$60=R$3)*(GMWQ!$ND$2:$ND$60=R$4),0),$B348-1966)</f>
        <v>26311.9</v>
      </c>
      <c r="S348" s="18" cm="1">
        <f t="array" ref="S348">INDEX(GMWQ!$A$2:$NE$60,MATCH(1,(GMWQ!$NE$2:$NE$60=S$3)*(GMWQ!$ND$2:$ND$60=S$4),0),$B348-1966)</f>
        <v>153.0549</v>
      </c>
      <c r="T348" s="18" cm="1">
        <f t="array" ref="T348">INDEX(GMWQ!$A$2:$NE$60,MATCH(1,(GMWQ!$NE$2:$NE$60=T$3)*(GMWQ!$ND$2:$ND$60=T$4),0),$B348-1966)</f>
        <v>114.8366</v>
      </c>
      <c r="U348" s="18" cm="1">
        <f t="array" ref="U348">INDEX(GMWQ!$A$2:$NE$60,MATCH(1,(GMWQ!$NE$2:$NE$60=U$3)*(GMWQ!$ND$2:$ND$60=U$4),0),$B348-1966)</f>
        <v>68.522189999999995</v>
      </c>
      <c r="V348" s="18" cm="1">
        <f t="array" ref="V348">INDEX(GMWQ!$A$2:$NE$60,MATCH(1,(GMWQ!$NE$2:$NE$60=V$3)*(GMWQ!$ND$2:$ND$60=V$4),0),$B348-1966)</f>
        <v>139655.1</v>
      </c>
      <c r="W348" s="18" cm="1">
        <f t="array" ref="W348">INDEX(GMWQ!$A$2:$NF$60,MATCH(1,(GMWQ!$NE$2:$NE$60=W$3)*(GMWQ!$NF$2:$NF$60=W$1),0),$B348-1966)</f>
        <v>0</v>
      </c>
      <c r="X348" s="18" cm="1">
        <f t="array" ref="X348">INDEX(GMWQ!$A$2:$NF$60,MATCH(1,(GMWQ!$NE$2:$NE$60=X$3)*(GMWQ!$NF$2:$NF$60=X$1),0),$B348-1966)</f>
        <v>0</v>
      </c>
      <c r="Y348" s="18" cm="1">
        <f t="array" ref="Y348">INDEX(GMWQ!$A$2:$NF$60,MATCH(1,(GMWQ!$NE$2:$NE$60=Y$3)*(GMWQ!$NF$2:$NF$60=Y$1),0),$B348-1966)</f>
        <v>0</v>
      </c>
      <c r="Z348" s="18" cm="1">
        <f t="array" ref="Z348">INDEX(GMWQ!$A$2:$NF$60,MATCH(1,(GMWQ!$NE$2:$NE$60=Z$3)*(GMWQ!$NF$2:$NF$60=Z$1),0),$B348-1966)</f>
        <v>130703.2</v>
      </c>
    </row>
    <row r="349" spans="1:26" x14ac:dyDescent="0.25">
      <c r="B349" s="18">
        <f t="shared" si="6"/>
        <v>2315</v>
      </c>
      <c r="C349" s="18" cm="1">
        <f t="array" ref="C349">INDEX(GMWQ!$A$2:$NE$60,MATCH(1,(GMWQ!$NE$2:$NE$60=C$3)*(GMWQ!$ND$2:$ND$60=C$4),0),$B349-1966)</f>
        <v>135369.4</v>
      </c>
      <c r="D349" s="18" cm="1">
        <f t="array" ref="D349">INDEX(GMWQ!$A$2:$NE$60,MATCH(1,(GMWQ!$NE$2:$NE$60=D$3)*(GMWQ!$ND$2:$ND$60=D$4),0),$B349-1966)</f>
        <v>538479.9</v>
      </c>
      <c r="E349" s="18" cm="1">
        <f t="array" ref="E349">INDEX(GMWQ!$A$2:$NE$60,MATCH(1,(GMWQ!$NE$2:$NE$60=E$3)*(GMWQ!$ND$2:$ND$60=E$4),0),$B349-1966)</f>
        <v>-19191.939999999999</v>
      </c>
      <c r="F349" s="18" cm="1">
        <f t="array" ref="F349">INDEX(GMWQ!$A$2:$NE$60,MATCH(1,(GMWQ!$NE$2:$NE$60=F$3)*(GMWQ!$ND$2:$ND$60=F$4),0),$B349-1966)</f>
        <v>-23629.33</v>
      </c>
      <c r="G349" s="18" cm="1">
        <f t="array" ref="G349">INDEX(GMWQ!$A$2:$NE$60,MATCH(1,(GMWQ!$NE$2:$NE$60=G$3)*(GMWQ!$ND$2:$ND$60=G$4),0),$B349-1966)</f>
        <v>2439394</v>
      </c>
      <c r="H349" s="18" cm="1">
        <f t="array" ref="H349">INDEX(GMWQ!$A$2:$NE$60,MATCH(1,(GMWQ!$NE$2:$NE$60=H$3)*(GMWQ!$ND$2:$ND$60=H$4),0),$B349-1966)</f>
        <v>220225.5</v>
      </c>
      <c r="I349" s="18" cm="1">
        <f t="array" ref="I349">INDEX(GMWQ!$A$2:$NE$60,MATCH(1,(GMWQ!$NE$2:$NE$60=I$3)*(GMWQ!$ND$2:$ND$60=I$4),0),$B349-1966)</f>
        <v>28778.77</v>
      </c>
      <c r="J349" s="18" cm="1">
        <f t="array" ref="J349">INDEX(GMWQ!$A$2:$NE$60,MATCH(1,(GMWQ!$NE$2:$NE$60=J$3)*(GMWQ!$ND$2:$ND$60=J$4),0),$B349-1966)</f>
        <v>41062.26</v>
      </c>
      <c r="K349" s="18" cm="1">
        <f t="array" ref="K349">INDEX(GMWQ!$A$2:$NE$60,MATCH(1,(GMWQ!$NE$2:$NE$60=K$3)*(GMWQ!$ND$2:$ND$60=K$4),0),$B349-1966)</f>
        <v>6283344</v>
      </c>
      <c r="L349" s="18" cm="1">
        <f t="array" ref="L349">INDEX(GMWQ!$A$2:$NE$60,MATCH(1,(GMWQ!$NE$2:$NE$60=L$3)*(GMWQ!$ND$2:$ND$60=L$4),0),$B349-1966)</f>
        <v>39234.620000000003</v>
      </c>
      <c r="M349" s="18" cm="1">
        <f t="array" ref="M349">INDEX(GMWQ!$A$2:$NE$60,MATCH(1,(GMWQ!$NE$2:$NE$60=M$3)*(GMWQ!$ND$2:$ND$60=M$4),0),$B349-1966)</f>
        <v>31.92342</v>
      </c>
      <c r="N349" s="18" cm="1">
        <f t="array" ref="N349">INDEX(GMWQ!$A$2:$NE$60,MATCH(1,(GMWQ!$NE$2:$NE$60=N$3)*(GMWQ!$ND$2:$ND$60=N$4),0),$B349-1966)</f>
        <v>9.7482190000000006</v>
      </c>
      <c r="O349" s="18" cm="1">
        <f t="array" ref="O349">INDEX(GMWQ!$A$2:$NE$60,MATCH(1,(GMWQ!$NE$2:$NE$60=O$3)*(GMWQ!$ND$2:$ND$60=O$4),0),$B349-1966)</f>
        <v>3.8562470000000002</v>
      </c>
      <c r="P349" s="18" cm="1">
        <f t="array" ref="P349">INDEX(GMWQ!$A$2:$NE$60,MATCH(1,(GMWQ!$NE$2:$NE$60=P$3)*(GMWQ!$ND$2:$ND$60=P$4),0),$B349-1966)</f>
        <v>2702602</v>
      </c>
      <c r="Q349" s="18" cm="1">
        <f t="array" ref="Q349">INDEX(GMWQ!$A$2:$NE$60,MATCH(1,(GMWQ!$NE$2:$NE$60=Q$3)*(GMWQ!$ND$2:$ND$60=Q$4),0),$B349-1966)</f>
        <v>2198.5630000000001</v>
      </c>
      <c r="R349" s="18" cm="1">
        <f t="array" ref="R349">INDEX(GMWQ!$A$2:$NE$60,MATCH(1,(GMWQ!$NE$2:$NE$60=R$3)*(GMWQ!$ND$2:$ND$60=R$4),0),$B349-1966)</f>
        <v>26347.3</v>
      </c>
      <c r="S349" s="18" cm="1">
        <f t="array" ref="S349">INDEX(GMWQ!$A$2:$NE$60,MATCH(1,(GMWQ!$NE$2:$NE$60=S$3)*(GMWQ!$ND$2:$ND$60=S$4),0),$B349-1966)</f>
        <v>153.39109999999999</v>
      </c>
      <c r="T349" s="18" cm="1">
        <f t="array" ref="T349">INDEX(GMWQ!$A$2:$NE$60,MATCH(1,(GMWQ!$NE$2:$NE$60=T$3)*(GMWQ!$ND$2:$ND$60=T$4),0),$B349-1966)</f>
        <v>115.03319999999999</v>
      </c>
      <c r="U349" s="18" cm="1">
        <f t="array" ref="U349">INDEX(GMWQ!$A$2:$NE$60,MATCH(1,(GMWQ!$NE$2:$NE$60=U$3)*(GMWQ!$ND$2:$ND$60=U$4),0),$B349-1966)</f>
        <v>68.576480000000004</v>
      </c>
      <c r="V349" s="18" cm="1">
        <f t="array" ref="V349">INDEX(GMWQ!$A$2:$NE$60,MATCH(1,(GMWQ!$NE$2:$NE$60=V$3)*(GMWQ!$ND$2:$ND$60=V$4),0),$B349-1966)</f>
        <v>140240.1</v>
      </c>
      <c r="W349" s="18" cm="1">
        <f t="array" ref="W349">INDEX(GMWQ!$A$2:$NF$60,MATCH(1,(GMWQ!$NE$2:$NE$60=W$3)*(GMWQ!$NF$2:$NF$60=W$1),0),$B349-1966)</f>
        <v>0</v>
      </c>
      <c r="X349" s="18" cm="1">
        <f t="array" ref="X349">INDEX(GMWQ!$A$2:$NF$60,MATCH(1,(GMWQ!$NE$2:$NE$60=X$3)*(GMWQ!$NF$2:$NF$60=X$1),0),$B349-1966)</f>
        <v>0</v>
      </c>
      <c r="Y349" s="18" cm="1">
        <f t="array" ref="Y349">INDEX(GMWQ!$A$2:$NF$60,MATCH(1,(GMWQ!$NE$2:$NE$60=Y$3)*(GMWQ!$NF$2:$NF$60=Y$1),0),$B349-1966)</f>
        <v>0</v>
      </c>
      <c r="Z349" s="18" cm="1">
        <f t="array" ref="Z349">INDEX(GMWQ!$A$2:$NF$60,MATCH(1,(GMWQ!$NE$2:$NE$60=Z$3)*(GMWQ!$NF$2:$NF$60=Z$1),0),$B349-1966)</f>
        <v>131315.6</v>
      </c>
    </row>
    <row r="350" spans="1:26" x14ac:dyDescent="0.25">
      <c r="B350" s="18">
        <f t="shared" si="6"/>
        <v>2316</v>
      </c>
      <c r="C350" s="18" cm="1">
        <f t="array" ref="C350">INDEX(GMWQ!$A$2:$NE$60,MATCH(1,(GMWQ!$NE$2:$NE$60=C$3)*(GMWQ!$ND$2:$ND$60=C$4),0),$B350-1966)</f>
        <v>135996.6</v>
      </c>
      <c r="D350" s="18" cm="1">
        <f t="array" ref="D350">INDEX(GMWQ!$A$2:$NE$60,MATCH(1,(GMWQ!$NE$2:$NE$60=D$3)*(GMWQ!$ND$2:$ND$60=D$4),0),$B350-1966)</f>
        <v>542264.1</v>
      </c>
      <c r="E350" s="18" cm="1">
        <f t="array" ref="E350">INDEX(GMWQ!$A$2:$NE$60,MATCH(1,(GMWQ!$NE$2:$NE$60=E$3)*(GMWQ!$ND$2:$ND$60=E$4),0),$B350-1966)</f>
        <v>8721.93</v>
      </c>
      <c r="F350" s="18" cm="1">
        <f t="array" ref="F350">INDEX(GMWQ!$A$2:$NE$60,MATCH(1,(GMWQ!$NE$2:$NE$60=F$3)*(GMWQ!$ND$2:$ND$60=F$4),0),$B350-1966)</f>
        <v>4246.2389999999996</v>
      </c>
      <c r="G350" s="18" cm="1">
        <f t="array" ref="G350">INDEX(GMWQ!$A$2:$NE$60,MATCH(1,(GMWQ!$NE$2:$NE$60=G$3)*(GMWQ!$ND$2:$ND$60=G$4),0),$B350-1966)</f>
        <v>2460448</v>
      </c>
      <c r="H350" s="18" cm="1">
        <f t="array" ref="H350">INDEX(GMWQ!$A$2:$NE$60,MATCH(1,(GMWQ!$NE$2:$NE$60=H$3)*(GMWQ!$ND$2:$ND$60=H$4),0),$B350-1966)</f>
        <v>221165.8</v>
      </c>
      <c r="I350" s="18" cm="1">
        <f t="array" ref="I350">INDEX(GMWQ!$A$2:$NE$60,MATCH(1,(GMWQ!$NE$2:$NE$60=I$3)*(GMWQ!$ND$2:$ND$60=I$4),0),$B350-1966)</f>
        <v>28899.17</v>
      </c>
      <c r="J350" s="18" cm="1">
        <f t="array" ref="J350">INDEX(GMWQ!$A$2:$NE$60,MATCH(1,(GMWQ!$NE$2:$NE$60=J$3)*(GMWQ!$ND$2:$ND$60=J$4),0),$B350-1966)</f>
        <v>41192.17</v>
      </c>
      <c r="K350" s="18" cm="1">
        <f t="array" ref="K350">INDEX(GMWQ!$A$2:$NE$60,MATCH(1,(GMWQ!$NE$2:$NE$60=K$3)*(GMWQ!$ND$2:$ND$60=K$4),0),$B350-1966)</f>
        <v>6312266</v>
      </c>
      <c r="L350" s="18" cm="1">
        <f t="array" ref="L350">INDEX(GMWQ!$A$2:$NE$60,MATCH(1,(GMWQ!$NE$2:$NE$60=L$3)*(GMWQ!$ND$2:$ND$60=L$4),0),$B350-1966)</f>
        <v>39246.550000000003</v>
      </c>
      <c r="M350" s="18" cm="1">
        <f t="array" ref="M350">INDEX(GMWQ!$A$2:$NE$60,MATCH(1,(GMWQ!$NE$2:$NE$60=M$3)*(GMWQ!$ND$2:$ND$60=M$4),0),$B350-1966)</f>
        <v>31.92267</v>
      </c>
      <c r="N350" s="18" cm="1">
        <f t="array" ref="N350">INDEX(GMWQ!$A$2:$NE$60,MATCH(1,(GMWQ!$NE$2:$NE$60=N$3)*(GMWQ!$ND$2:$ND$60=N$4),0),$B350-1966)</f>
        <v>9.7626849999999994</v>
      </c>
      <c r="O350" s="18" cm="1">
        <f t="array" ref="O350">INDEX(GMWQ!$A$2:$NE$60,MATCH(1,(GMWQ!$NE$2:$NE$60=O$3)*(GMWQ!$ND$2:$ND$60=O$4),0),$B350-1966)</f>
        <v>3.8562470000000002</v>
      </c>
      <c r="P350" s="18" cm="1">
        <f t="array" ref="P350">INDEX(GMWQ!$A$2:$NE$60,MATCH(1,(GMWQ!$NE$2:$NE$60=P$3)*(GMWQ!$ND$2:$ND$60=P$4),0),$B350-1966)</f>
        <v>2736486</v>
      </c>
      <c r="Q350" s="18" cm="1">
        <f t="array" ref="Q350">INDEX(GMWQ!$A$2:$NE$60,MATCH(1,(GMWQ!$NE$2:$NE$60=Q$3)*(GMWQ!$ND$2:$ND$60=Q$4),0),$B350-1966)</f>
        <v>2210.614</v>
      </c>
      <c r="R350" s="18" cm="1">
        <f t="array" ref="R350">INDEX(GMWQ!$A$2:$NE$60,MATCH(1,(GMWQ!$NE$2:$NE$60=R$3)*(GMWQ!$ND$2:$ND$60=R$4),0),$B350-1966)</f>
        <v>26383.51</v>
      </c>
      <c r="S350" s="18" cm="1">
        <f t="array" ref="S350">INDEX(GMWQ!$A$2:$NE$60,MATCH(1,(GMWQ!$NE$2:$NE$60=S$3)*(GMWQ!$ND$2:$ND$60=S$4),0),$B350-1966)</f>
        <v>153.72810000000001</v>
      </c>
      <c r="T350" s="18" cm="1">
        <f t="array" ref="T350">INDEX(GMWQ!$A$2:$NE$60,MATCH(1,(GMWQ!$NE$2:$NE$60=T$3)*(GMWQ!$ND$2:$ND$60=T$4),0),$B350-1966)</f>
        <v>115.22969999999999</v>
      </c>
      <c r="U350" s="18" cm="1">
        <f t="array" ref="U350">INDEX(GMWQ!$A$2:$NE$60,MATCH(1,(GMWQ!$NE$2:$NE$60=U$3)*(GMWQ!$ND$2:$ND$60=U$4),0),$B350-1966)</f>
        <v>68.630790000000005</v>
      </c>
      <c r="V350" s="18" cm="1">
        <f t="array" ref="V350">INDEX(GMWQ!$A$2:$NE$60,MATCH(1,(GMWQ!$NE$2:$NE$60=V$3)*(GMWQ!$ND$2:$ND$60=V$4),0),$B350-1966)</f>
        <v>140827.70000000001</v>
      </c>
      <c r="W350" s="18" cm="1">
        <f t="array" ref="W350">INDEX(GMWQ!$A$2:$NF$60,MATCH(1,(GMWQ!$NE$2:$NE$60=W$3)*(GMWQ!$NF$2:$NF$60=W$1),0),$B350-1966)</f>
        <v>0</v>
      </c>
      <c r="X350" s="18" cm="1">
        <f t="array" ref="X350">INDEX(GMWQ!$A$2:$NF$60,MATCH(1,(GMWQ!$NE$2:$NE$60=X$3)*(GMWQ!$NF$2:$NF$60=X$1),0),$B350-1966)</f>
        <v>0</v>
      </c>
      <c r="Y350" s="18" cm="1">
        <f t="array" ref="Y350">INDEX(GMWQ!$A$2:$NF$60,MATCH(1,(GMWQ!$NE$2:$NE$60=Y$3)*(GMWQ!$NF$2:$NF$60=Y$1),0),$B350-1966)</f>
        <v>0</v>
      </c>
      <c r="Z350" s="18" cm="1">
        <f t="array" ref="Z350">INDEX(GMWQ!$A$2:$NF$60,MATCH(1,(GMWQ!$NE$2:$NE$60=Z$3)*(GMWQ!$NF$2:$NF$60=Z$1),0),$B350-1966)</f>
        <v>131930.5</v>
      </c>
    </row>
    <row r="351" spans="1:26" x14ac:dyDescent="0.25">
      <c r="A351" s="18">
        <v>2059</v>
      </c>
      <c r="B351" s="18">
        <f t="shared" si="6"/>
        <v>2317</v>
      </c>
      <c r="C351" s="18" cm="1">
        <f t="array" ref="C351">INDEX(GMWQ!$A$2:$NE$60,MATCH(1,(GMWQ!$NE$2:$NE$60=C$3)*(GMWQ!$ND$2:$ND$60=C$4),0),$B351-1966)</f>
        <v>136626.29999999999</v>
      </c>
      <c r="D351" s="18" cm="1">
        <f t="array" ref="D351">INDEX(GMWQ!$A$2:$NE$60,MATCH(1,(GMWQ!$NE$2:$NE$60=D$3)*(GMWQ!$ND$2:$ND$60=D$4),0),$B351-1966)</f>
        <v>546999.4</v>
      </c>
      <c r="E351" s="18" cm="1">
        <f t="array" ref="E351">INDEX(GMWQ!$A$2:$NE$60,MATCH(1,(GMWQ!$NE$2:$NE$60=E$3)*(GMWQ!$ND$2:$ND$60=E$4),0),$B351-1966)</f>
        <v>-31772.28</v>
      </c>
      <c r="F351" s="18" cm="1">
        <f t="array" ref="F351">INDEX(GMWQ!$A$2:$NE$60,MATCH(1,(GMWQ!$NE$2:$NE$60=F$3)*(GMWQ!$ND$2:$ND$60=F$4),0),$B351-1966)</f>
        <v>-36286.58</v>
      </c>
      <c r="G351" s="18" cm="1">
        <f t="array" ref="G351">INDEX(GMWQ!$A$2:$NE$60,MATCH(1,(GMWQ!$NE$2:$NE$60=G$3)*(GMWQ!$ND$2:$ND$60=G$4),0),$B351-1966)</f>
        <v>2481675</v>
      </c>
      <c r="H351" s="18" cm="1">
        <f t="array" ref="H351">INDEX(GMWQ!$A$2:$NE$60,MATCH(1,(GMWQ!$NE$2:$NE$60=H$3)*(GMWQ!$ND$2:$ND$60=H$4),0),$B351-1966)</f>
        <v>222109.5</v>
      </c>
      <c r="I351" s="18" cm="1">
        <f t="array" ref="I351">INDEX(GMWQ!$A$2:$NE$60,MATCH(1,(GMWQ!$NE$2:$NE$60=I$3)*(GMWQ!$ND$2:$ND$60=I$4),0),$B351-1966)</f>
        <v>29019.98</v>
      </c>
      <c r="J351" s="18" cm="1">
        <f t="array" ref="J351">INDEX(GMWQ!$A$2:$NE$60,MATCH(1,(GMWQ!$NE$2:$NE$60=J$3)*(GMWQ!$ND$2:$ND$60=J$4),0),$B351-1966)</f>
        <v>41322.35</v>
      </c>
      <c r="K351" s="18" cm="1">
        <f t="array" ref="K351">INDEX(GMWQ!$A$2:$NE$60,MATCH(1,(GMWQ!$NE$2:$NE$60=K$3)*(GMWQ!$ND$2:$ND$60=K$4),0),$B351-1966)</f>
        <v>6341299</v>
      </c>
      <c r="L351" s="18" cm="1">
        <f t="array" ref="L351">INDEX(GMWQ!$A$2:$NE$60,MATCH(1,(GMWQ!$NE$2:$NE$60=L$3)*(GMWQ!$ND$2:$ND$60=L$4),0),$B351-1966)</f>
        <v>39258.480000000003</v>
      </c>
      <c r="M351" s="18" cm="1">
        <f t="array" ref="M351">INDEX(GMWQ!$A$2:$NE$60,MATCH(1,(GMWQ!$NE$2:$NE$60=M$3)*(GMWQ!$ND$2:$ND$60=M$4),0),$B351-1966)</f>
        <v>31.92192</v>
      </c>
      <c r="N351" s="18" cm="1">
        <f t="array" ref="N351">INDEX(GMWQ!$A$2:$NE$60,MATCH(1,(GMWQ!$NE$2:$NE$60=N$3)*(GMWQ!$ND$2:$ND$60=N$4),0),$B351-1966)</f>
        <v>9.7656419999999997</v>
      </c>
      <c r="O351" s="18" cm="1">
        <f t="array" ref="O351">INDEX(GMWQ!$A$2:$NE$60,MATCH(1,(GMWQ!$NE$2:$NE$60=O$3)*(GMWQ!$ND$2:$ND$60=O$4),0),$B351-1966)</f>
        <v>3.8562470000000002</v>
      </c>
      <c r="P351" s="18" cm="1">
        <f t="array" ref="P351">INDEX(GMWQ!$A$2:$NE$60,MATCH(1,(GMWQ!$NE$2:$NE$60=P$3)*(GMWQ!$ND$2:$ND$60=P$4),0),$B351-1966)</f>
        <v>2763454</v>
      </c>
      <c r="Q351" s="18" cm="1">
        <f t="array" ref="Q351">INDEX(GMWQ!$A$2:$NE$60,MATCH(1,(GMWQ!$NE$2:$NE$60=Q$3)*(GMWQ!$ND$2:$ND$60=Q$4),0),$B351-1966)</f>
        <v>2222.721</v>
      </c>
      <c r="R351" s="18" cm="1">
        <f t="array" ref="R351">INDEX(GMWQ!$A$2:$NE$60,MATCH(1,(GMWQ!$NE$2:$NE$60=R$3)*(GMWQ!$ND$2:$ND$60=R$4),0),$B351-1966)</f>
        <v>26420.639999999999</v>
      </c>
      <c r="S351" s="18" cm="1">
        <f t="array" ref="S351">INDEX(GMWQ!$A$2:$NE$60,MATCH(1,(GMWQ!$NE$2:$NE$60=S$3)*(GMWQ!$ND$2:$ND$60=S$4),0),$B351-1966)</f>
        <v>154.0797</v>
      </c>
      <c r="T351" s="18" cm="1">
        <f t="array" ref="T351">INDEX(GMWQ!$A$2:$NE$60,MATCH(1,(GMWQ!$NE$2:$NE$60=T$3)*(GMWQ!$ND$2:$ND$60=T$4),0),$B351-1966)</f>
        <v>115.32729999999999</v>
      </c>
      <c r="U351" s="18" cm="1">
        <f t="array" ref="U351">INDEX(GMWQ!$A$2:$NE$60,MATCH(1,(GMWQ!$NE$2:$NE$60=U$3)*(GMWQ!$ND$2:$ND$60=U$4),0),$B351-1966)</f>
        <v>68.685169999999999</v>
      </c>
      <c r="V351" s="18" cm="1">
        <f t="array" ref="V351">INDEX(GMWQ!$A$2:$NE$60,MATCH(1,(GMWQ!$NE$2:$NE$60=V$3)*(GMWQ!$ND$2:$ND$60=V$4),0),$B351-1966)</f>
        <v>141418.29999999999</v>
      </c>
      <c r="W351" s="18" cm="1">
        <f t="array" ref="W351">INDEX(GMWQ!$A$2:$NF$60,MATCH(1,(GMWQ!$NE$2:$NE$60=W$3)*(GMWQ!$NF$2:$NF$60=W$1),0),$B351-1966)</f>
        <v>0</v>
      </c>
      <c r="X351" s="18" cm="1">
        <f t="array" ref="X351">INDEX(GMWQ!$A$2:$NF$60,MATCH(1,(GMWQ!$NE$2:$NE$60=X$3)*(GMWQ!$NF$2:$NF$60=X$1),0),$B351-1966)</f>
        <v>0</v>
      </c>
      <c r="Y351" s="18" cm="1">
        <f t="array" ref="Y351">INDEX(GMWQ!$A$2:$NF$60,MATCH(1,(GMWQ!$NE$2:$NE$60=Y$3)*(GMWQ!$NF$2:$NF$60=Y$1),0),$B351-1966)</f>
        <v>0</v>
      </c>
      <c r="Z351" s="18" cm="1">
        <f t="array" ref="Z351">INDEX(GMWQ!$A$2:$NF$60,MATCH(1,(GMWQ!$NE$2:$NE$60=Z$3)*(GMWQ!$NF$2:$NF$60=Z$1),0),$B351-1966)</f>
        <v>132548</v>
      </c>
    </row>
    <row r="352" spans="1:26" x14ac:dyDescent="0.25">
      <c r="B352" s="18">
        <f t="shared" si="6"/>
        <v>2318</v>
      </c>
      <c r="C352" s="18" cm="1">
        <f t="array" ref="C352">INDEX(GMWQ!$A$2:$NE$60,MATCH(1,(GMWQ!$NE$2:$NE$60=C$3)*(GMWQ!$ND$2:$ND$60=C$4),0),$B352-1966)</f>
        <v>137258.5</v>
      </c>
      <c r="D352" s="18" cm="1">
        <f t="array" ref="D352">INDEX(GMWQ!$A$2:$NE$60,MATCH(1,(GMWQ!$NE$2:$NE$60=D$3)*(GMWQ!$ND$2:$ND$60=D$4),0),$B352-1966)</f>
        <v>552082.4</v>
      </c>
      <c r="E352" s="18" cm="1">
        <f t="array" ref="E352">INDEX(GMWQ!$A$2:$NE$60,MATCH(1,(GMWQ!$NE$2:$NE$60=E$3)*(GMWQ!$ND$2:$ND$60=E$4),0),$B352-1966)</f>
        <v>-11223.05</v>
      </c>
      <c r="F352" s="18" cm="1">
        <f t="array" ref="F352">INDEX(GMWQ!$A$2:$NE$60,MATCH(1,(GMWQ!$NE$2:$NE$60=F$3)*(GMWQ!$ND$2:$ND$60=F$4),0),$B352-1966)</f>
        <v>-15776.29</v>
      </c>
      <c r="G352" s="18" cm="1">
        <f t="array" ref="G352">INDEX(GMWQ!$A$2:$NE$60,MATCH(1,(GMWQ!$NE$2:$NE$60=G$3)*(GMWQ!$ND$2:$ND$60=G$4),0),$B352-1966)</f>
        <v>2503079</v>
      </c>
      <c r="H352" s="18" cm="1">
        <f t="array" ref="H352">INDEX(GMWQ!$A$2:$NE$60,MATCH(1,(GMWQ!$NE$2:$NE$60=H$3)*(GMWQ!$ND$2:$ND$60=H$4),0),$B352-1966)</f>
        <v>223056.7</v>
      </c>
      <c r="I352" s="18" cm="1">
        <f t="array" ref="I352">INDEX(GMWQ!$A$2:$NE$60,MATCH(1,(GMWQ!$NE$2:$NE$60=I$3)*(GMWQ!$ND$2:$ND$60=I$4),0),$B352-1966)</f>
        <v>29141.200000000001</v>
      </c>
      <c r="J352" s="18" cm="1">
        <f t="array" ref="J352">INDEX(GMWQ!$A$2:$NE$60,MATCH(1,(GMWQ!$NE$2:$NE$60=J$3)*(GMWQ!$ND$2:$ND$60=J$4),0),$B352-1966)</f>
        <v>41452.81</v>
      </c>
      <c r="K352" s="18" cm="1">
        <f t="array" ref="K352">INDEX(GMWQ!$A$2:$NE$60,MATCH(1,(GMWQ!$NE$2:$NE$60=K$3)*(GMWQ!$ND$2:$ND$60=K$4),0),$B352-1966)</f>
        <v>6370442</v>
      </c>
      <c r="L352" s="18" cm="1">
        <f t="array" ref="L352">INDEX(GMWQ!$A$2:$NE$60,MATCH(1,(GMWQ!$NE$2:$NE$60=L$3)*(GMWQ!$ND$2:$ND$60=L$4),0),$B352-1966)</f>
        <v>39270.42</v>
      </c>
      <c r="M352" s="18" cm="1">
        <f t="array" ref="M352">INDEX(GMWQ!$A$2:$NE$60,MATCH(1,(GMWQ!$NE$2:$NE$60=M$3)*(GMWQ!$ND$2:$ND$60=M$4),0),$B352-1966)</f>
        <v>31.92117</v>
      </c>
      <c r="N352" s="18" cm="1">
        <f t="array" ref="N352">INDEX(GMWQ!$A$2:$NE$60,MATCH(1,(GMWQ!$NE$2:$NE$60=N$3)*(GMWQ!$ND$2:$ND$60=N$4),0),$B352-1966)</f>
        <v>9.7835359999999998</v>
      </c>
      <c r="O352" s="18" cm="1">
        <f t="array" ref="O352">INDEX(GMWQ!$A$2:$NE$60,MATCH(1,(GMWQ!$NE$2:$NE$60=O$3)*(GMWQ!$ND$2:$ND$60=O$4),0),$B352-1966)</f>
        <v>3.8562470000000002</v>
      </c>
      <c r="P352" s="18" cm="1">
        <f t="array" ref="P352">INDEX(GMWQ!$A$2:$NE$60,MATCH(1,(GMWQ!$NE$2:$NE$60=P$3)*(GMWQ!$ND$2:$ND$60=P$4),0),$B352-1966)</f>
        <v>2807888</v>
      </c>
      <c r="Q352" s="18" cm="1">
        <f t="array" ref="Q352">INDEX(GMWQ!$A$2:$NE$60,MATCH(1,(GMWQ!$NE$2:$NE$60=Q$3)*(GMWQ!$ND$2:$ND$60=Q$4),0),$B352-1966)</f>
        <v>2234.8879999999999</v>
      </c>
      <c r="R352" s="18" cm="1">
        <f t="array" ref="R352">INDEX(GMWQ!$A$2:$NE$60,MATCH(1,(GMWQ!$NE$2:$NE$60=R$3)*(GMWQ!$ND$2:$ND$60=R$4),0),$B352-1966)</f>
        <v>26457.46</v>
      </c>
      <c r="S352" s="18" cm="1">
        <f t="array" ref="S352">INDEX(GMWQ!$A$2:$NE$60,MATCH(1,(GMWQ!$NE$2:$NE$60=S$3)*(GMWQ!$ND$2:$ND$60=S$4),0),$B352-1966)</f>
        <v>154.4324</v>
      </c>
      <c r="T352" s="18" cm="1">
        <f t="array" ref="T352">INDEX(GMWQ!$A$2:$NE$60,MATCH(1,(GMWQ!$NE$2:$NE$60=T$3)*(GMWQ!$ND$2:$ND$60=T$4),0),$B352-1966)</f>
        <v>115.5243</v>
      </c>
      <c r="U352" s="18" cm="1">
        <f t="array" ref="U352">INDEX(GMWQ!$A$2:$NE$60,MATCH(1,(GMWQ!$NE$2:$NE$60=U$3)*(GMWQ!$ND$2:$ND$60=U$4),0),$B352-1966)</f>
        <v>68.724159999999998</v>
      </c>
      <c r="V352" s="18" cm="1">
        <f t="array" ref="V352">INDEX(GMWQ!$A$2:$NE$60,MATCH(1,(GMWQ!$NE$2:$NE$60=V$3)*(GMWQ!$ND$2:$ND$60=V$4),0),$B352-1966)</f>
        <v>142011.9</v>
      </c>
      <c r="W352" s="18" cm="1">
        <f t="array" ref="W352">INDEX(GMWQ!$A$2:$NF$60,MATCH(1,(GMWQ!$NE$2:$NE$60=W$3)*(GMWQ!$NF$2:$NF$60=W$1),0),$B352-1966)</f>
        <v>0</v>
      </c>
      <c r="X352" s="18" cm="1">
        <f t="array" ref="X352">INDEX(GMWQ!$A$2:$NF$60,MATCH(1,(GMWQ!$NE$2:$NE$60=X$3)*(GMWQ!$NF$2:$NF$60=X$1),0),$B352-1966)</f>
        <v>0</v>
      </c>
      <c r="Y352" s="18" cm="1">
        <f t="array" ref="Y352">INDEX(GMWQ!$A$2:$NF$60,MATCH(1,(GMWQ!$NE$2:$NE$60=Y$3)*(GMWQ!$NF$2:$NF$60=Y$1),0),$B352-1966)</f>
        <v>0</v>
      </c>
      <c r="Z352" s="18" cm="1">
        <f t="array" ref="Z352">INDEX(GMWQ!$A$2:$NF$60,MATCH(1,(GMWQ!$NE$2:$NE$60=Z$3)*(GMWQ!$NF$2:$NF$60=Z$1),0),$B352-1966)</f>
        <v>133168</v>
      </c>
    </row>
    <row r="353" spans="1:26" x14ac:dyDescent="0.25">
      <c r="B353" s="18">
        <f t="shared" si="6"/>
        <v>2319</v>
      </c>
      <c r="C353" s="18" cm="1">
        <f t="array" ref="C353">INDEX(GMWQ!$A$2:$NE$60,MATCH(1,(GMWQ!$NE$2:$NE$60=C$3)*(GMWQ!$ND$2:$ND$60=C$4),0),$B353-1966)</f>
        <v>137897.9</v>
      </c>
      <c r="D353" s="18" cm="1">
        <f t="array" ref="D353">INDEX(GMWQ!$A$2:$NE$60,MATCH(1,(GMWQ!$NE$2:$NE$60=D$3)*(GMWQ!$ND$2:$ND$60=D$4),0),$B353-1966)</f>
        <v>557308.4</v>
      </c>
      <c r="E353" s="18" cm="1">
        <f t="array" ref="E353">INDEX(GMWQ!$A$2:$NE$60,MATCH(1,(GMWQ!$NE$2:$NE$60=E$3)*(GMWQ!$ND$2:$ND$60=E$4),0),$B353-1966)</f>
        <v>-19754.22</v>
      </c>
      <c r="F353" s="18" cm="1">
        <f t="array" ref="F353">INDEX(GMWQ!$A$2:$NE$60,MATCH(1,(GMWQ!$NE$2:$NE$60=F$3)*(GMWQ!$ND$2:$ND$60=F$4),0),$B353-1966)</f>
        <v>-24346.87</v>
      </c>
      <c r="G353" s="18" cm="1">
        <f t="array" ref="G353">INDEX(GMWQ!$A$2:$NE$60,MATCH(1,(GMWQ!$NE$2:$NE$60=G$3)*(GMWQ!$ND$2:$ND$60=G$4),0),$B353-1966)</f>
        <v>2524744</v>
      </c>
      <c r="H353" s="18" cm="1">
        <f t="array" ref="H353">INDEX(GMWQ!$A$2:$NE$60,MATCH(1,(GMWQ!$NE$2:$NE$60=H$3)*(GMWQ!$ND$2:$ND$60=H$4),0),$B353-1966)</f>
        <v>224014.8</v>
      </c>
      <c r="I353" s="18" cm="1">
        <f t="array" ref="I353">INDEX(GMWQ!$A$2:$NE$60,MATCH(1,(GMWQ!$NE$2:$NE$60=I$3)*(GMWQ!$ND$2:$ND$60=I$4),0),$B353-1966)</f>
        <v>29263.83</v>
      </c>
      <c r="J353" s="18" cm="1">
        <f t="array" ref="J353">INDEX(GMWQ!$A$2:$NE$60,MATCH(1,(GMWQ!$NE$2:$NE$60=J$3)*(GMWQ!$ND$2:$ND$60=J$4),0),$B353-1966)</f>
        <v>41584.959999999999</v>
      </c>
      <c r="K353" s="18" cm="1">
        <f t="array" ref="K353">INDEX(GMWQ!$A$2:$NE$60,MATCH(1,(GMWQ!$NE$2:$NE$60=K$3)*(GMWQ!$ND$2:$ND$60=K$4),0),$B353-1966)</f>
        <v>6399703</v>
      </c>
      <c r="L353" s="18" cm="1">
        <f t="array" ref="L353">INDEX(GMWQ!$A$2:$NE$60,MATCH(1,(GMWQ!$NE$2:$NE$60=L$3)*(GMWQ!$ND$2:$ND$60=L$4),0),$B353-1966)</f>
        <v>39284.400000000001</v>
      </c>
      <c r="M353" s="18" cm="1">
        <f t="array" ref="M353">INDEX(GMWQ!$A$2:$NE$60,MATCH(1,(GMWQ!$NE$2:$NE$60=M$3)*(GMWQ!$ND$2:$ND$60=M$4),0),$B353-1966)</f>
        <v>31.92042</v>
      </c>
      <c r="N353" s="18" cm="1">
        <f t="array" ref="N353">INDEX(GMWQ!$A$2:$NE$60,MATCH(1,(GMWQ!$NE$2:$NE$60=N$3)*(GMWQ!$ND$2:$ND$60=N$4),0),$B353-1966)</f>
        <v>9.7927529999999994</v>
      </c>
      <c r="O353" s="18" cm="1">
        <f t="array" ref="O353">INDEX(GMWQ!$A$2:$NE$60,MATCH(1,(GMWQ!$NE$2:$NE$60=O$3)*(GMWQ!$ND$2:$ND$60=O$4),0),$B353-1966)</f>
        <v>3.8562470000000002</v>
      </c>
      <c r="P353" s="18" cm="1">
        <f t="array" ref="P353">INDEX(GMWQ!$A$2:$NE$60,MATCH(1,(GMWQ!$NE$2:$NE$60=P$3)*(GMWQ!$ND$2:$ND$60=P$4),0),$B353-1966)</f>
        <v>2844219</v>
      </c>
      <c r="Q353" s="18" cm="1">
        <f t="array" ref="Q353">INDEX(GMWQ!$A$2:$NE$60,MATCH(1,(GMWQ!$NE$2:$NE$60=Q$3)*(GMWQ!$ND$2:$ND$60=Q$4),0),$B353-1966)</f>
        <v>2247.114</v>
      </c>
      <c r="R353" s="18" cm="1">
        <f t="array" ref="R353">INDEX(GMWQ!$A$2:$NE$60,MATCH(1,(GMWQ!$NE$2:$NE$60=R$3)*(GMWQ!$ND$2:$ND$60=R$4),0),$B353-1966)</f>
        <v>26493.63</v>
      </c>
      <c r="S353" s="18" cm="1">
        <f t="array" ref="S353">INDEX(GMWQ!$A$2:$NE$60,MATCH(1,(GMWQ!$NE$2:$NE$60=S$3)*(GMWQ!$ND$2:$ND$60=S$4),0),$B353-1966)</f>
        <v>154.7859</v>
      </c>
      <c r="T353" s="18" cm="1">
        <f t="array" ref="T353">INDEX(GMWQ!$A$2:$NE$60,MATCH(1,(GMWQ!$NE$2:$NE$60=T$3)*(GMWQ!$ND$2:$ND$60=T$4),0),$B353-1966)</f>
        <v>115.6215</v>
      </c>
      <c r="U353" s="18" cm="1">
        <f t="array" ref="U353">INDEX(GMWQ!$A$2:$NE$60,MATCH(1,(GMWQ!$NE$2:$NE$60=U$3)*(GMWQ!$ND$2:$ND$60=U$4),0),$B353-1966)</f>
        <v>68.763339999999999</v>
      </c>
      <c r="V353" s="18" cm="1">
        <f t="array" ref="V353">INDEX(GMWQ!$A$2:$NE$60,MATCH(1,(GMWQ!$NE$2:$NE$60=V$3)*(GMWQ!$ND$2:$ND$60=V$4),0),$B353-1966)</f>
        <v>142603.20000000001</v>
      </c>
      <c r="W353" s="18" cm="1">
        <f t="array" ref="W353">INDEX(GMWQ!$A$2:$NF$60,MATCH(1,(GMWQ!$NE$2:$NE$60=W$3)*(GMWQ!$NF$2:$NF$60=W$1),0),$B353-1966)</f>
        <v>0</v>
      </c>
      <c r="X353" s="18" cm="1">
        <f t="array" ref="X353">INDEX(GMWQ!$A$2:$NF$60,MATCH(1,(GMWQ!$NE$2:$NE$60=X$3)*(GMWQ!$NF$2:$NF$60=X$1),0),$B353-1966)</f>
        <v>0</v>
      </c>
      <c r="Y353" s="18" cm="1">
        <f t="array" ref="Y353">INDEX(GMWQ!$A$2:$NF$60,MATCH(1,(GMWQ!$NE$2:$NE$60=Y$3)*(GMWQ!$NF$2:$NF$60=Y$1),0),$B353-1966)</f>
        <v>0</v>
      </c>
      <c r="Z353" s="18" cm="1">
        <f t="array" ref="Z353">INDEX(GMWQ!$A$2:$NF$60,MATCH(1,(GMWQ!$NE$2:$NE$60=Z$3)*(GMWQ!$NF$2:$NF$60=Z$1),0),$B353-1966)</f>
        <v>133795.20000000001</v>
      </c>
    </row>
    <row r="354" spans="1:26" x14ac:dyDescent="0.25">
      <c r="B354" s="18">
        <f t="shared" si="6"/>
        <v>2320</v>
      </c>
      <c r="C354" s="18" cm="1">
        <f t="array" ref="C354">INDEX(GMWQ!$A$2:$NE$60,MATCH(1,(GMWQ!$NE$2:$NE$60=C$3)*(GMWQ!$ND$2:$ND$60=C$4),0),$B354-1966)</f>
        <v>138539.79999999999</v>
      </c>
      <c r="D354" s="18" cm="1">
        <f t="array" ref="D354">INDEX(GMWQ!$A$2:$NE$60,MATCH(1,(GMWQ!$NE$2:$NE$60=D$3)*(GMWQ!$ND$2:$ND$60=D$4),0),$B354-1966)</f>
        <v>561236.9</v>
      </c>
      <c r="E354" s="18" cm="1">
        <f t="array" ref="E354">INDEX(GMWQ!$A$2:$NE$60,MATCH(1,(GMWQ!$NE$2:$NE$60=E$3)*(GMWQ!$ND$2:$ND$60=E$4),0),$B354-1966)</f>
        <v>9137.2659999999996</v>
      </c>
      <c r="F354" s="18" cm="1">
        <f t="array" ref="F354">INDEX(GMWQ!$A$2:$NE$60,MATCH(1,(GMWQ!$NE$2:$NE$60=F$3)*(GMWQ!$ND$2:$ND$60=F$4),0),$B354-1966)</f>
        <v>4504.8760000000002</v>
      </c>
      <c r="G354" s="18" cm="1">
        <f t="array" ref="G354">INDEX(GMWQ!$A$2:$NE$60,MATCH(1,(GMWQ!$NE$2:$NE$60=G$3)*(GMWQ!$ND$2:$ND$60=G$4),0),$B354-1966)</f>
        <v>2546591</v>
      </c>
      <c r="H354" s="18" cm="1">
        <f t="array" ref="H354">INDEX(GMWQ!$A$2:$NE$60,MATCH(1,(GMWQ!$NE$2:$NE$60=H$3)*(GMWQ!$ND$2:$ND$60=H$4),0),$B354-1966)</f>
        <v>224976.4</v>
      </c>
      <c r="I354" s="18" cm="1">
        <f t="array" ref="I354">INDEX(GMWQ!$A$2:$NE$60,MATCH(1,(GMWQ!$NE$2:$NE$60=I$3)*(GMWQ!$ND$2:$ND$60=I$4),0),$B354-1966)</f>
        <v>29386.89</v>
      </c>
      <c r="J354" s="18" cm="1">
        <f t="array" ref="J354">INDEX(GMWQ!$A$2:$NE$60,MATCH(1,(GMWQ!$NE$2:$NE$60=J$3)*(GMWQ!$ND$2:$ND$60=J$4),0),$B354-1966)</f>
        <v>41717.42</v>
      </c>
      <c r="K354" s="18" cm="1">
        <f t="array" ref="K354">INDEX(GMWQ!$A$2:$NE$60,MATCH(1,(GMWQ!$NE$2:$NE$60=K$3)*(GMWQ!$ND$2:$ND$60=K$4),0),$B354-1966)</f>
        <v>6429081</v>
      </c>
      <c r="L354" s="18" cm="1">
        <f t="array" ref="L354">INDEX(GMWQ!$A$2:$NE$60,MATCH(1,(GMWQ!$NE$2:$NE$60=L$3)*(GMWQ!$ND$2:$ND$60=L$4),0),$B354-1966)</f>
        <v>39298.379999999997</v>
      </c>
      <c r="M354" s="18" cm="1">
        <f t="array" ref="M354">INDEX(GMWQ!$A$2:$NE$60,MATCH(1,(GMWQ!$NE$2:$NE$60=M$3)*(GMWQ!$ND$2:$ND$60=M$4),0),$B354-1966)</f>
        <v>31.91967</v>
      </c>
      <c r="N354" s="18" cm="1">
        <f t="array" ref="N354">INDEX(GMWQ!$A$2:$NE$60,MATCH(1,(GMWQ!$NE$2:$NE$60=N$3)*(GMWQ!$ND$2:$ND$60=N$4),0),$B354-1966)</f>
        <v>9.8076910000000002</v>
      </c>
      <c r="O354" s="18" cm="1">
        <f t="array" ref="O354">INDEX(GMWQ!$A$2:$NE$60,MATCH(1,(GMWQ!$NE$2:$NE$60=O$3)*(GMWQ!$ND$2:$ND$60=O$4),0),$B354-1966)</f>
        <v>3.8562470000000002</v>
      </c>
      <c r="P354" s="18" cm="1">
        <f t="array" ref="P354">INDEX(GMWQ!$A$2:$NE$60,MATCH(1,(GMWQ!$NE$2:$NE$60=P$3)*(GMWQ!$ND$2:$ND$60=P$4),0),$B354-1966)</f>
        <v>2880184</v>
      </c>
      <c r="Q354" s="18" cm="1">
        <f t="array" ref="Q354">INDEX(GMWQ!$A$2:$NE$60,MATCH(1,(GMWQ!$NE$2:$NE$60=Q$3)*(GMWQ!$ND$2:$ND$60=Q$4),0),$B354-1966)</f>
        <v>2259.3960000000002</v>
      </c>
      <c r="R354" s="18" cm="1">
        <f t="array" ref="R354">INDEX(GMWQ!$A$2:$NE$60,MATCH(1,(GMWQ!$NE$2:$NE$60=R$3)*(GMWQ!$ND$2:$ND$60=R$4),0),$B354-1966)</f>
        <v>26530.15</v>
      </c>
      <c r="S354" s="18" cm="1">
        <f t="array" ref="S354">INDEX(GMWQ!$A$2:$NE$60,MATCH(1,(GMWQ!$NE$2:$NE$60=S$3)*(GMWQ!$ND$2:$ND$60=S$4),0),$B354-1966)</f>
        <v>155.1404</v>
      </c>
      <c r="T354" s="18" cm="1">
        <f t="array" ref="T354">INDEX(GMWQ!$A$2:$NE$60,MATCH(1,(GMWQ!$NE$2:$NE$60=T$3)*(GMWQ!$ND$2:$ND$60=T$4),0),$B354-1966)</f>
        <v>115.8199</v>
      </c>
      <c r="U354" s="18" cm="1">
        <f t="array" ref="U354">INDEX(GMWQ!$A$2:$NE$60,MATCH(1,(GMWQ!$NE$2:$NE$60=U$3)*(GMWQ!$ND$2:$ND$60=U$4),0),$B354-1966)</f>
        <v>68.802430000000001</v>
      </c>
      <c r="V354" s="18" cm="1">
        <f t="array" ref="V354">INDEX(GMWQ!$A$2:$NE$60,MATCH(1,(GMWQ!$NE$2:$NE$60=V$3)*(GMWQ!$ND$2:$ND$60=V$4),0),$B354-1966)</f>
        <v>143194.70000000001</v>
      </c>
      <c r="W354" s="18" cm="1">
        <f t="array" ref="W354">INDEX(GMWQ!$A$2:$NF$60,MATCH(1,(GMWQ!$NE$2:$NE$60=W$3)*(GMWQ!$NF$2:$NF$60=W$1),0),$B354-1966)</f>
        <v>0</v>
      </c>
      <c r="X354" s="18" cm="1">
        <f t="array" ref="X354">INDEX(GMWQ!$A$2:$NF$60,MATCH(1,(GMWQ!$NE$2:$NE$60=X$3)*(GMWQ!$NF$2:$NF$60=X$1),0),$B354-1966)</f>
        <v>0</v>
      </c>
      <c r="Y354" s="18" cm="1">
        <f t="array" ref="Y354">INDEX(GMWQ!$A$2:$NF$60,MATCH(1,(GMWQ!$NE$2:$NE$60=Y$3)*(GMWQ!$NF$2:$NF$60=Y$1),0),$B354-1966)</f>
        <v>0</v>
      </c>
      <c r="Z354" s="18" cm="1">
        <f t="array" ref="Z354">INDEX(GMWQ!$A$2:$NF$60,MATCH(1,(GMWQ!$NE$2:$NE$60=Z$3)*(GMWQ!$NF$2:$NF$60=Z$1),0),$B354-1966)</f>
        <v>134425</v>
      </c>
    </row>
    <row r="355" spans="1:26" x14ac:dyDescent="0.25">
      <c r="A355" s="18">
        <v>2060</v>
      </c>
      <c r="B355" s="18">
        <f t="shared" si="6"/>
        <v>2321</v>
      </c>
      <c r="C355" s="18" cm="1">
        <f t="array" ref="C355">INDEX(GMWQ!$A$2:$NE$60,MATCH(1,(GMWQ!$NE$2:$NE$60=C$3)*(GMWQ!$ND$2:$ND$60=C$4),0),$B355-1966)</f>
        <v>139184.29999999999</v>
      </c>
      <c r="D355" s="18" cm="1">
        <f t="array" ref="D355">INDEX(GMWQ!$A$2:$NE$60,MATCH(1,(GMWQ!$NE$2:$NE$60=D$3)*(GMWQ!$ND$2:$ND$60=D$4),0),$B355-1966)</f>
        <v>566150.30000000005</v>
      </c>
      <c r="E355" s="18" cm="1">
        <f t="array" ref="E355">INDEX(GMWQ!$A$2:$NE$60,MATCH(1,(GMWQ!$NE$2:$NE$60=E$3)*(GMWQ!$ND$2:$ND$60=E$4),0),$B355-1966)</f>
        <v>-32772.019999999997</v>
      </c>
      <c r="F355" s="18" cm="1">
        <f t="array" ref="F355">INDEX(GMWQ!$A$2:$NE$60,MATCH(1,(GMWQ!$NE$2:$NE$60=F$3)*(GMWQ!$ND$2:$ND$60=F$4),0),$B355-1966)</f>
        <v>-37444.519999999997</v>
      </c>
      <c r="G355" s="18" cm="1">
        <f t="array" ref="G355">INDEX(GMWQ!$A$2:$NE$60,MATCH(1,(GMWQ!$NE$2:$NE$60=G$3)*(GMWQ!$ND$2:$ND$60=G$4),0),$B355-1966)</f>
        <v>2568642</v>
      </c>
      <c r="H355" s="18" cm="1">
        <f t="array" ref="H355">INDEX(GMWQ!$A$2:$NE$60,MATCH(1,(GMWQ!$NE$2:$NE$60=H$3)*(GMWQ!$ND$2:$ND$60=H$4),0),$B355-1966)</f>
        <v>225941.6</v>
      </c>
      <c r="I355" s="18" cm="1">
        <f t="array" ref="I355">INDEX(GMWQ!$A$2:$NE$60,MATCH(1,(GMWQ!$NE$2:$NE$60=I$3)*(GMWQ!$ND$2:$ND$60=I$4),0),$B355-1966)</f>
        <v>29510.38</v>
      </c>
      <c r="J355" s="18" cm="1">
        <f t="array" ref="J355">INDEX(GMWQ!$A$2:$NE$60,MATCH(1,(GMWQ!$NE$2:$NE$60=J$3)*(GMWQ!$ND$2:$ND$60=J$4),0),$B355-1966)</f>
        <v>41850.18</v>
      </c>
      <c r="K355" s="18" cm="1">
        <f t="array" ref="K355">INDEX(GMWQ!$A$2:$NE$60,MATCH(1,(GMWQ!$NE$2:$NE$60=K$3)*(GMWQ!$ND$2:$ND$60=K$4),0),$B355-1966)</f>
        <v>6458578</v>
      </c>
      <c r="L355" s="18" cm="1">
        <f t="array" ref="L355">INDEX(GMWQ!$A$2:$NE$60,MATCH(1,(GMWQ!$NE$2:$NE$60=L$3)*(GMWQ!$ND$2:$ND$60=L$4),0),$B355-1966)</f>
        <v>39312.36</v>
      </c>
      <c r="M355" s="18" cm="1">
        <f t="array" ref="M355">INDEX(GMWQ!$A$2:$NE$60,MATCH(1,(GMWQ!$NE$2:$NE$60=M$3)*(GMWQ!$ND$2:$ND$60=M$4),0),$B355-1966)</f>
        <v>31.91892</v>
      </c>
      <c r="N355" s="18" cm="1">
        <f t="array" ref="N355">INDEX(GMWQ!$A$2:$NE$60,MATCH(1,(GMWQ!$NE$2:$NE$60=N$3)*(GMWQ!$ND$2:$ND$60=N$4),0),$B355-1966)</f>
        <v>9.8109339999999996</v>
      </c>
      <c r="O355" s="18" cm="1">
        <f t="array" ref="O355">INDEX(GMWQ!$A$2:$NE$60,MATCH(1,(GMWQ!$NE$2:$NE$60=O$3)*(GMWQ!$ND$2:$ND$60=O$4),0),$B355-1966)</f>
        <v>3.8562470000000002</v>
      </c>
      <c r="P355" s="18" cm="1">
        <f t="array" ref="P355">INDEX(GMWQ!$A$2:$NE$60,MATCH(1,(GMWQ!$NE$2:$NE$60=P$3)*(GMWQ!$ND$2:$ND$60=P$4),0),$B355-1966)</f>
        <v>2908885</v>
      </c>
      <c r="Q355" s="18" cm="1">
        <f t="array" ref="Q355">INDEX(GMWQ!$A$2:$NE$60,MATCH(1,(GMWQ!$NE$2:$NE$60=Q$3)*(GMWQ!$ND$2:$ND$60=Q$4),0),$B355-1966)</f>
        <v>2271.7330000000002</v>
      </c>
      <c r="R355" s="18" cm="1">
        <f t="array" ref="R355">INDEX(GMWQ!$A$2:$NE$60,MATCH(1,(GMWQ!$NE$2:$NE$60=R$3)*(GMWQ!$ND$2:$ND$60=R$4),0),$B355-1966)</f>
        <v>26567.13</v>
      </c>
      <c r="S355" s="18" cm="1">
        <f t="array" ref="S355">INDEX(GMWQ!$A$2:$NE$60,MATCH(1,(GMWQ!$NE$2:$NE$60=S$3)*(GMWQ!$ND$2:$ND$60=S$4),0),$B355-1966)</f>
        <v>155.5009</v>
      </c>
      <c r="T355" s="18" cm="1">
        <f t="array" ref="T355">INDEX(GMWQ!$A$2:$NE$60,MATCH(1,(GMWQ!$NE$2:$NE$60=T$3)*(GMWQ!$ND$2:$ND$60=T$4),0),$B355-1966)</f>
        <v>116.01300000000001</v>
      </c>
      <c r="U355" s="18" cm="1">
        <f t="array" ref="U355">INDEX(GMWQ!$A$2:$NE$60,MATCH(1,(GMWQ!$NE$2:$NE$60=U$3)*(GMWQ!$ND$2:$ND$60=U$4),0),$B355-1966)</f>
        <v>68.841459999999998</v>
      </c>
      <c r="V355" s="18" cm="1">
        <f t="array" ref="V355">INDEX(GMWQ!$A$2:$NE$60,MATCH(1,(GMWQ!$NE$2:$NE$60=V$3)*(GMWQ!$ND$2:$ND$60=V$4),0),$B355-1966)</f>
        <v>143786.79999999999</v>
      </c>
      <c r="W355" s="18" cm="1">
        <f t="array" ref="W355">INDEX(GMWQ!$A$2:$NF$60,MATCH(1,(GMWQ!$NE$2:$NE$60=W$3)*(GMWQ!$NF$2:$NF$60=W$1),0),$B355-1966)</f>
        <v>0</v>
      </c>
      <c r="X355" s="18" cm="1">
        <f t="array" ref="X355">INDEX(GMWQ!$A$2:$NF$60,MATCH(1,(GMWQ!$NE$2:$NE$60=X$3)*(GMWQ!$NF$2:$NF$60=X$1),0),$B355-1966)</f>
        <v>0</v>
      </c>
      <c r="Y355" s="18" cm="1">
        <f t="array" ref="Y355">INDEX(GMWQ!$A$2:$NF$60,MATCH(1,(GMWQ!$NE$2:$NE$60=Y$3)*(GMWQ!$NF$2:$NF$60=Y$1),0),$B355-1966)</f>
        <v>0</v>
      </c>
      <c r="Z355" s="18" cm="1">
        <f t="array" ref="Z355">INDEX(GMWQ!$A$2:$NF$60,MATCH(1,(GMWQ!$NE$2:$NE$60=Z$3)*(GMWQ!$NF$2:$NF$60=Z$1),0),$B355-1966)</f>
        <v>135057.4</v>
      </c>
    </row>
    <row r="356" spans="1:26" x14ac:dyDescent="0.25">
      <c r="B356" s="18">
        <f t="shared" si="6"/>
        <v>2322</v>
      </c>
      <c r="C356" s="18" cm="1">
        <f t="array" ref="C356">INDEX(GMWQ!$A$2:$NE$60,MATCH(1,(GMWQ!$NE$2:$NE$60=C$3)*(GMWQ!$ND$2:$ND$60=C$4),0),$B356-1966)</f>
        <v>139831.5</v>
      </c>
      <c r="D356" s="18" cm="1">
        <f t="array" ref="D356">INDEX(GMWQ!$A$2:$NE$60,MATCH(1,(GMWQ!$NE$2:$NE$60=D$3)*(GMWQ!$ND$2:$ND$60=D$4),0),$B356-1966)</f>
        <v>571429.4</v>
      </c>
      <c r="E356" s="18" cm="1">
        <f t="array" ref="E356">INDEX(GMWQ!$A$2:$NE$60,MATCH(1,(GMWQ!$NE$2:$NE$60=E$3)*(GMWQ!$ND$2:$ND$60=E$4),0),$B356-1966)</f>
        <v>-11490.42</v>
      </c>
      <c r="F356" s="18" cm="1">
        <f t="array" ref="F356">INDEX(GMWQ!$A$2:$NE$60,MATCH(1,(GMWQ!$NE$2:$NE$60=F$3)*(GMWQ!$ND$2:$ND$60=F$4),0),$B356-1966)</f>
        <v>-16203.37</v>
      </c>
      <c r="G356" s="18" cm="1">
        <f t="array" ref="G356">INDEX(GMWQ!$A$2:$NE$60,MATCH(1,(GMWQ!$NE$2:$NE$60=G$3)*(GMWQ!$ND$2:$ND$60=G$4),0),$B356-1966)</f>
        <v>2590880</v>
      </c>
      <c r="H356" s="18" cm="1">
        <f t="array" ref="H356">INDEX(GMWQ!$A$2:$NE$60,MATCH(1,(GMWQ!$NE$2:$NE$60=H$3)*(GMWQ!$ND$2:$ND$60=H$4),0),$B356-1966)</f>
        <v>226910.5</v>
      </c>
      <c r="I356" s="18" cm="1">
        <f t="array" ref="I356">INDEX(GMWQ!$A$2:$NE$60,MATCH(1,(GMWQ!$NE$2:$NE$60=I$3)*(GMWQ!$ND$2:$ND$60=I$4),0),$B356-1966)</f>
        <v>29634.31</v>
      </c>
      <c r="J356" s="18" cm="1">
        <f t="array" ref="J356">INDEX(GMWQ!$A$2:$NE$60,MATCH(1,(GMWQ!$NE$2:$NE$60=J$3)*(GMWQ!$ND$2:$ND$60=J$4),0),$B356-1966)</f>
        <v>41983.23</v>
      </c>
      <c r="K356" s="18" cm="1">
        <f t="array" ref="K356">INDEX(GMWQ!$A$2:$NE$60,MATCH(1,(GMWQ!$NE$2:$NE$60=K$3)*(GMWQ!$ND$2:$ND$60=K$4),0),$B356-1966)</f>
        <v>6488192</v>
      </c>
      <c r="L356" s="18" cm="1">
        <f t="array" ref="L356">INDEX(GMWQ!$A$2:$NE$60,MATCH(1,(GMWQ!$NE$2:$NE$60=L$3)*(GMWQ!$ND$2:$ND$60=L$4),0),$B356-1966)</f>
        <v>39326.339999999997</v>
      </c>
      <c r="M356" s="18" cm="1">
        <f t="array" ref="M356">INDEX(GMWQ!$A$2:$NE$60,MATCH(1,(GMWQ!$NE$2:$NE$60=M$3)*(GMWQ!$ND$2:$ND$60=M$4),0),$B356-1966)</f>
        <v>31.91817</v>
      </c>
      <c r="N356" s="18" cm="1">
        <f t="array" ref="N356">INDEX(GMWQ!$A$2:$NE$60,MATCH(1,(GMWQ!$NE$2:$NE$60=N$3)*(GMWQ!$ND$2:$ND$60=N$4),0),$B356-1966)</f>
        <v>9.8293330000000001</v>
      </c>
      <c r="O356" s="18" cm="1">
        <f t="array" ref="O356">INDEX(GMWQ!$A$2:$NE$60,MATCH(1,(GMWQ!$NE$2:$NE$60=O$3)*(GMWQ!$ND$2:$ND$60=O$4),0),$B356-1966)</f>
        <v>3.8562470000000002</v>
      </c>
      <c r="P356" s="18" cm="1">
        <f t="array" ref="P356">INDEX(GMWQ!$A$2:$NE$60,MATCH(1,(GMWQ!$NE$2:$NE$60=P$3)*(GMWQ!$ND$2:$ND$60=P$4),0),$B356-1966)</f>
        <v>2955969</v>
      </c>
      <c r="Q356" s="18" cm="1">
        <f t="array" ref="Q356">INDEX(GMWQ!$A$2:$NE$60,MATCH(1,(GMWQ!$NE$2:$NE$60=Q$3)*(GMWQ!$ND$2:$ND$60=Q$4),0),$B356-1966)</f>
        <v>2284.1260000000002</v>
      </c>
      <c r="R356" s="18" cm="1">
        <f t="array" ref="R356">INDEX(GMWQ!$A$2:$NE$60,MATCH(1,(GMWQ!$NE$2:$NE$60=R$3)*(GMWQ!$ND$2:$ND$60=R$4),0),$B356-1966)</f>
        <v>26603.56</v>
      </c>
      <c r="S356" s="18" cm="1">
        <f t="array" ref="S356">INDEX(GMWQ!$A$2:$NE$60,MATCH(1,(GMWQ!$NE$2:$NE$60=S$3)*(GMWQ!$ND$2:$ND$60=S$4),0),$B356-1966)</f>
        <v>155.86250000000001</v>
      </c>
      <c r="T356" s="18" cm="1">
        <f t="array" ref="T356">INDEX(GMWQ!$A$2:$NE$60,MATCH(1,(GMWQ!$NE$2:$NE$60=T$3)*(GMWQ!$ND$2:$ND$60=T$4),0),$B356-1966)</f>
        <v>116.10680000000001</v>
      </c>
      <c r="U356" s="18" cm="1">
        <f t="array" ref="U356">INDEX(GMWQ!$A$2:$NE$60,MATCH(1,(GMWQ!$NE$2:$NE$60=U$3)*(GMWQ!$ND$2:$ND$60=U$4),0),$B356-1966)</f>
        <v>68.876999999999995</v>
      </c>
      <c r="V356" s="18" cm="1">
        <f t="array" ref="V356">INDEX(GMWQ!$A$2:$NE$60,MATCH(1,(GMWQ!$NE$2:$NE$60=V$3)*(GMWQ!$ND$2:$ND$60=V$4),0),$B356-1966)</f>
        <v>144378.5</v>
      </c>
      <c r="W356" s="18" cm="1">
        <f t="array" ref="W356">INDEX(GMWQ!$A$2:$NF$60,MATCH(1,(GMWQ!$NE$2:$NE$60=W$3)*(GMWQ!$NF$2:$NF$60=W$1),0),$B356-1966)</f>
        <v>0</v>
      </c>
      <c r="X356" s="18" cm="1">
        <f t="array" ref="X356">INDEX(GMWQ!$A$2:$NF$60,MATCH(1,(GMWQ!$NE$2:$NE$60=X$3)*(GMWQ!$NF$2:$NF$60=X$1),0),$B356-1966)</f>
        <v>0</v>
      </c>
      <c r="Y356" s="18" cm="1">
        <f t="array" ref="Y356">INDEX(GMWQ!$A$2:$NF$60,MATCH(1,(GMWQ!$NE$2:$NE$60=Y$3)*(GMWQ!$NF$2:$NF$60=Y$1),0),$B356-1966)</f>
        <v>0</v>
      </c>
      <c r="Z356" s="18" cm="1">
        <f t="array" ref="Z356">INDEX(GMWQ!$A$2:$NF$60,MATCH(1,(GMWQ!$NE$2:$NE$60=Z$3)*(GMWQ!$NF$2:$NF$60=Z$1),0),$B356-1966)</f>
        <v>135692.5</v>
      </c>
    </row>
    <row r="357" spans="1:26" x14ac:dyDescent="0.25">
      <c r="B357" s="18">
        <f t="shared" si="6"/>
        <v>2323</v>
      </c>
      <c r="C357" s="18" cm="1">
        <f t="array" ref="C357">INDEX(GMWQ!$A$2:$NE$60,MATCH(1,(GMWQ!$NE$2:$NE$60=C$3)*(GMWQ!$ND$2:$ND$60=C$4),0),$B357-1966)</f>
        <v>140481.20000000001</v>
      </c>
      <c r="D357" s="18" cm="1">
        <f t="array" ref="D357">INDEX(GMWQ!$A$2:$NE$60,MATCH(1,(GMWQ!$NE$2:$NE$60=D$3)*(GMWQ!$ND$2:$ND$60=D$4),0),$B357-1966)</f>
        <v>576857.19999999995</v>
      </c>
      <c r="E357" s="18" cm="1">
        <f t="array" ref="E357">INDEX(GMWQ!$A$2:$NE$60,MATCH(1,(GMWQ!$NE$2:$NE$60=E$3)*(GMWQ!$ND$2:$ND$60=E$4),0),$B357-1966)</f>
        <v>-20368.71</v>
      </c>
      <c r="F357" s="18" cm="1">
        <f t="array" ref="F357">INDEX(GMWQ!$A$2:$NE$60,MATCH(1,(GMWQ!$NE$2:$NE$60=F$3)*(GMWQ!$ND$2:$ND$60=F$4),0),$B357-1966)</f>
        <v>-25122.45</v>
      </c>
      <c r="G357" s="18" cm="1">
        <f t="array" ref="G357">INDEX(GMWQ!$A$2:$NE$60,MATCH(1,(GMWQ!$NE$2:$NE$60=G$3)*(GMWQ!$ND$2:$ND$60=G$4),0),$B357-1966)</f>
        <v>2613300</v>
      </c>
      <c r="H357" s="18" cm="1">
        <f t="array" ref="H357">INDEX(GMWQ!$A$2:$NE$60,MATCH(1,(GMWQ!$NE$2:$NE$60=H$3)*(GMWQ!$ND$2:$ND$60=H$4),0),$B357-1966)</f>
        <v>227882.8</v>
      </c>
      <c r="I357" s="18" cm="1">
        <f t="array" ref="I357">INDEX(GMWQ!$A$2:$NE$60,MATCH(1,(GMWQ!$NE$2:$NE$60=I$3)*(GMWQ!$ND$2:$ND$60=I$4),0),$B357-1966)</f>
        <v>29758.67</v>
      </c>
      <c r="J357" s="18" cm="1">
        <f t="array" ref="J357">INDEX(GMWQ!$A$2:$NE$60,MATCH(1,(GMWQ!$NE$2:$NE$60=J$3)*(GMWQ!$ND$2:$ND$60=J$4),0),$B357-1966)</f>
        <v>42116.6</v>
      </c>
      <c r="K357" s="18" cm="1">
        <f t="array" ref="K357">INDEX(GMWQ!$A$2:$NE$60,MATCH(1,(GMWQ!$NE$2:$NE$60=K$3)*(GMWQ!$ND$2:$ND$60=K$4),0),$B357-1966)</f>
        <v>6517925</v>
      </c>
      <c r="L357" s="18" cm="1">
        <f t="array" ref="L357">INDEX(GMWQ!$A$2:$NE$60,MATCH(1,(GMWQ!$NE$2:$NE$60=L$3)*(GMWQ!$ND$2:$ND$60=L$4),0),$B357-1966)</f>
        <v>39340.33</v>
      </c>
      <c r="M357" s="18" cm="1">
        <f t="array" ref="M357">INDEX(GMWQ!$A$2:$NE$60,MATCH(1,(GMWQ!$NE$2:$NE$60=M$3)*(GMWQ!$ND$2:$ND$60=M$4),0),$B357-1966)</f>
        <v>31.91742</v>
      </c>
      <c r="N357" s="18" cm="1">
        <f t="array" ref="N357">INDEX(GMWQ!$A$2:$NE$60,MATCH(1,(GMWQ!$NE$2:$NE$60=N$3)*(GMWQ!$ND$2:$ND$60=N$4),0),$B357-1966)</f>
        <v>9.8388880000000007</v>
      </c>
      <c r="O357" s="18" cm="1">
        <f t="array" ref="O357">INDEX(GMWQ!$A$2:$NE$60,MATCH(1,(GMWQ!$NE$2:$NE$60=O$3)*(GMWQ!$ND$2:$ND$60=O$4),0),$B357-1966)</f>
        <v>3.8562470000000002</v>
      </c>
      <c r="P357" s="18" cm="1">
        <f t="array" ref="P357">INDEX(GMWQ!$A$2:$NE$60,MATCH(1,(GMWQ!$NE$2:$NE$60=P$3)*(GMWQ!$ND$2:$ND$60=P$4),0),$B357-1966)</f>
        <v>2994511</v>
      </c>
      <c r="Q357" s="18" cm="1">
        <f t="array" ref="Q357">INDEX(GMWQ!$A$2:$NE$60,MATCH(1,(GMWQ!$NE$2:$NE$60=Q$3)*(GMWQ!$ND$2:$ND$60=Q$4),0),$B357-1966)</f>
        <v>2296.5720000000001</v>
      </c>
      <c r="R357" s="18" cm="1">
        <f t="array" ref="R357">INDEX(GMWQ!$A$2:$NE$60,MATCH(1,(GMWQ!$NE$2:$NE$60=R$3)*(GMWQ!$ND$2:$ND$60=R$4),0),$B357-1966)</f>
        <v>26639.56</v>
      </c>
      <c r="S357" s="18" cm="1">
        <f t="array" ref="S357">INDEX(GMWQ!$A$2:$NE$60,MATCH(1,(GMWQ!$NE$2:$NE$60=S$3)*(GMWQ!$ND$2:$ND$60=S$4),0),$B357-1966)</f>
        <v>156.22489999999999</v>
      </c>
      <c r="T357" s="18" cm="1">
        <f t="array" ref="T357">INDEX(GMWQ!$A$2:$NE$60,MATCH(1,(GMWQ!$NE$2:$NE$60=T$3)*(GMWQ!$ND$2:$ND$60=T$4),0),$B357-1966)</f>
        <v>116.30119999999999</v>
      </c>
      <c r="U357" s="18" cm="1">
        <f t="array" ref="U357">INDEX(GMWQ!$A$2:$NE$60,MATCH(1,(GMWQ!$NE$2:$NE$60=U$3)*(GMWQ!$ND$2:$ND$60=U$4),0),$B357-1966)</f>
        <v>68.912570000000002</v>
      </c>
      <c r="V357" s="18" cm="1">
        <f t="array" ref="V357">INDEX(GMWQ!$A$2:$NE$60,MATCH(1,(GMWQ!$NE$2:$NE$60=V$3)*(GMWQ!$ND$2:$ND$60=V$4),0),$B357-1966)</f>
        <v>144969.60000000001</v>
      </c>
      <c r="W357" s="18" cm="1">
        <f t="array" ref="W357">INDEX(GMWQ!$A$2:$NF$60,MATCH(1,(GMWQ!$NE$2:$NE$60=W$3)*(GMWQ!$NF$2:$NF$60=W$1),0),$B357-1966)</f>
        <v>0</v>
      </c>
      <c r="X357" s="18" cm="1">
        <f t="array" ref="X357">INDEX(GMWQ!$A$2:$NF$60,MATCH(1,(GMWQ!$NE$2:$NE$60=X$3)*(GMWQ!$NF$2:$NF$60=X$1),0),$B357-1966)</f>
        <v>0</v>
      </c>
      <c r="Y357" s="18" cm="1">
        <f t="array" ref="Y357">INDEX(GMWQ!$A$2:$NF$60,MATCH(1,(GMWQ!$NE$2:$NE$60=Y$3)*(GMWQ!$NF$2:$NF$60=Y$1),0),$B357-1966)</f>
        <v>0</v>
      </c>
      <c r="Z357" s="18" cm="1">
        <f t="array" ref="Z357">INDEX(GMWQ!$A$2:$NF$60,MATCH(1,(GMWQ!$NE$2:$NE$60=Z$3)*(GMWQ!$NF$2:$NF$60=Z$1),0),$B357-1966)</f>
        <v>136330.4</v>
      </c>
    </row>
    <row r="358" spans="1:26" x14ac:dyDescent="0.25">
      <c r="B358" s="18">
        <f t="shared" si="6"/>
        <v>2324</v>
      </c>
      <c r="C358" s="18" cm="1">
        <f t="array" ref="C358">INDEX(GMWQ!$A$2:$NE$60,MATCH(1,(GMWQ!$NE$2:$NE$60=C$3)*(GMWQ!$ND$2:$ND$60=C$4),0),$B358-1966)</f>
        <v>141133.6</v>
      </c>
      <c r="D358" s="18" cm="1">
        <f t="array" ref="D358">INDEX(GMWQ!$A$2:$NE$60,MATCH(1,(GMWQ!$NE$2:$NE$60=D$3)*(GMWQ!$ND$2:$ND$60=D$4),0),$B358-1966)</f>
        <v>580922.6</v>
      </c>
      <c r="E358" s="18" cm="1">
        <f t="array" ref="E358">INDEX(GMWQ!$A$2:$NE$60,MATCH(1,(GMWQ!$NE$2:$NE$60=E$3)*(GMWQ!$ND$2:$ND$60=E$4),0),$B358-1966)</f>
        <v>9541.5220000000008</v>
      </c>
      <c r="F358" s="18" cm="1">
        <f t="array" ref="F358">INDEX(GMWQ!$A$2:$NE$60,MATCH(1,(GMWQ!$NE$2:$NE$60=F$3)*(GMWQ!$ND$2:$ND$60=F$4),0),$B358-1966)</f>
        <v>4746.6580000000004</v>
      </c>
      <c r="G358" s="18" cm="1">
        <f t="array" ref="G358">INDEX(GMWQ!$A$2:$NE$60,MATCH(1,(GMWQ!$NE$2:$NE$60=G$3)*(GMWQ!$ND$2:$ND$60=G$4),0),$B358-1966)</f>
        <v>2635908</v>
      </c>
      <c r="H358" s="18" cm="1">
        <f t="array" ref="H358">INDEX(GMWQ!$A$2:$NE$60,MATCH(1,(GMWQ!$NE$2:$NE$60=H$3)*(GMWQ!$ND$2:$ND$60=H$4),0),$B358-1966)</f>
        <v>228858.8</v>
      </c>
      <c r="I358" s="18" cm="1">
        <f t="array" ref="I358">INDEX(GMWQ!$A$2:$NE$60,MATCH(1,(GMWQ!$NE$2:$NE$60=I$3)*(GMWQ!$ND$2:$ND$60=I$4),0),$B358-1966)</f>
        <v>29883.48</v>
      </c>
      <c r="J358" s="18" cm="1">
        <f t="array" ref="J358">INDEX(GMWQ!$A$2:$NE$60,MATCH(1,(GMWQ!$NE$2:$NE$60=J$3)*(GMWQ!$ND$2:$ND$60=J$4),0),$B358-1966)</f>
        <v>42250.27</v>
      </c>
      <c r="K358" s="18" cm="1">
        <f t="array" ref="K358">INDEX(GMWQ!$A$2:$NE$60,MATCH(1,(GMWQ!$NE$2:$NE$60=K$3)*(GMWQ!$ND$2:$ND$60=K$4),0),$B358-1966)</f>
        <v>6547778</v>
      </c>
      <c r="L358" s="18" cm="1">
        <f t="array" ref="L358">INDEX(GMWQ!$A$2:$NE$60,MATCH(1,(GMWQ!$NE$2:$NE$60=L$3)*(GMWQ!$ND$2:$ND$60=L$4),0),$B358-1966)</f>
        <v>39354.32</v>
      </c>
      <c r="M358" s="18" cm="1">
        <f t="array" ref="M358">INDEX(GMWQ!$A$2:$NE$60,MATCH(1,(GMWQ!$NE$2:$NE$60=M$3)*(GMWQ!$ND$2:$ND$60=M$4),0),$B358-1966)</f>
        <v>31.91667</v>
      </c>
      <c r="N358" s="18" cm="1">
        <f t="array" ref="N358">INDEX(GMWQ!$A$2:$NE$60,MATCH(1,(GMWQ!$NE$2:$NE$60=N$3)*(GMWQ!$ND$2:$ND$60=N$4),0),$B358-1966)</f>
        <v>9.8543800000000008</v>
      </c>
      <c r="O358" s="18" cm="1">
        <f t="array" ref="O358">INDEX(GMWQ!$A$2:$NE$60,MATCH(1,(GMWQ!$NE$2:$NE$60=O$3)*(GMWQ!$ND$2:$ND$60=O$4),0),$B358-1966)</f>
        <v>3.8562470000000002</v>
      </c>
      <c r="P358" s="18" cm="1">
        <f t="array" ref="P358">INDEX(GMWQ!$A$2:$NE$60,MATCH(1,(GMWQ!$NE$2:$NE$60=P$3)*(GMWQ!$ND$2:$ND$60=P$4),0),$B358-1966)</f>
        <v>3032700</v>
      </c>
      <c r="Q358" s="18" cm="1">
        <f t="array" ref="Q358">INDEX(GMWQ!$A$2:$NE$60,MATCH(1,(GMWQ!$NE$2:$NE$60=Q$3)*(GMWQ!$ND$2:$ND$60=Q$4),0),$B358-1966)</f>
        <v>2309.0770000000002</v>
      </c>
      <c r="R358" s="18" cm="1">
        <f t="array" ref="R358">INDEX(GMWQ!$A$2:$NE$60,MATCH(1,(GMWQ!$NE$2:$NE$60=R$3)*(GMWQ!$ND$2:$ND$60=R$4),0),$B358-1966)</f>
        <v>26676.39</v>
      </c>
      <c r="S358" s="18" cm="1">
        <f t="array" ref="S358">INDEX(GMWQ!$A$2:$NE$60,MATCH(1,(GMWQ!$NE$2:$NE$60=S$3)*(GMWQ!$ND$2:$ND$60=S$4),0),$B358-1966)</f>
        <v>156.5883</v>
      </c>
      <c r="T358" s="18" cm="1">
        <f t="array" ref="T358">INDEX(GMWQ!$A$2:$NE$60,MATCH(1,(GMWQ!$NE$2:$NE$60=T$3)*(GMWQ!$ND$2:$ND$60=T$4),0),$B358-1966)</f>
        <v>116.4961</v>
      </c>
      <c r="U358" s="18" cm="1">
        <f t="array" ref="U358">INDEX(GMWQ!$A$2:$NE$60,MATCH(1,(GMWQ!$NE$2:$NE$60=U$3)*(GMWQ!$ND$2:$ND$60=U$4),0),$B358-1966)</f>
        <v>68.948030000000003</v>
      </c>
      <c r="V358" s="18" cm="1">
        <f t="array" ref="V358">INDEX(GMWQ!$A$2:$NE$60,MATCH(1,(GMWQ!$NE$2:$NE$60=V$3)*(GMWQ!$ND$2:$ND$60=V$4),0),$B358-1966)</f>
        <v>145563</v>
      </c>
      <c r="W358" s="18" cm="1">
        <f t="array" ref="W358">INDEX(GMWQ!$A$2:$NF$60,MATCH(1,(GMWQ!$NE$2:$NE$60=W$3)*(GMWQ!$NF$2:$NF$60=W$1),0),$B358-1966)</f>
        <v>0</v>
      </c>
      <c r="X358" s="18" cm="1">
        <f t="array" ref="X358">INDEX(GMWQ!$A$2:$NF$60,MATCH(1,(GMWQ!$NE$2:$NE$60=X$3)*(GMWQ!$NF$2:$NF$60=X$1),0),$B358-1966)</f>
        <v>0</v>
      </c>
      <c r="Y358" s="18" cm="1">
        <f t="array" ref="Y358">INDEX(GMWQ!$A$2:$NF$60,MATCH(1,(GMWQ!$NE$2:$NE$60=Y$3)*(GMWQ!$NF$2:$NF$60=Y$1),0),$B358-1966)</f>
        <v>0</v>
      </c>
      <c r="Z358" s="18" cm="1">
        <f t="array" ref="Z358">INDEX(GMWQ!$A$2:$NF$60,MATCH(1,(GMWQ!$NE$2:$NE$60=Z$3)*(GMWQ!$NF$2:$NF$60=Z$1),0),$B358-1966)</f>
        <v>136970.9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78E1-D9F0-488B-97E2-32980B9B53E4}">
  <sheetPr codeName="Sheet14"/>
  <dimension ref="A1:L94"/>
  <sheetViews>
    <sheetView workbookViewId="0">
      <pane xSplit="1" ySplit="6" topLeftCell="B67" activePane="bottomRight" state="frozen"/>
      <selection pane="topRight" activeCell="C1" sqref="C1"/>
      <selection pane="bottomLeft" activeCell="A7" sqref="A7"/>
      <selection pane="bottomRight" activeCell="G73" sqref="G73"/>
    </sheetView>
  </sheetViews>
  <sheetFormatPr defaultColWidth="9.140625" defaultRowHeight="15" x14ac:dyDescent="0.25"/>
  <cols>
    <col min="1" max="1" width="9.140625" style="18"/>
    <col min="2" max="12" width="17.5703125" style="18" bestFit="1" customWidth="1"/>
    <col min="13" max="16384" width="9.140625" style="18"/>
  </cols>
  <sheetData>
    <row r="1" spans="1:12" x14ac:dyDescent="0.25">
      <c r="B1" s="19" t="str">
        <f>GMWA!DB2</f>
        <v>OCT003L.db</v>
      </c>
      <c r="C1" s="18" t="str">
        <f t="shared" ref="C1:L1" si="0">$B$1</f>
        <v>OCT003L.db</v>
      </c>
      <c r="D1" s="18" t="str">
        <f t="shared" si="0"/>
        <v>OCT003L.db</v>
      </c>
      <c r="E1" s="18" t="str">
        <f t="shared" si="0"/>
        <v>OCT003L.db</v>
      </c>
      <c r="F1" s="18" t="str">
        <f t="shared" si="0"/>
        <v>OCT003L.db</v>
      </c>
      <c r="G1" s="18" t="str">
        <f t="shared" si="0"/>
        <v>OCT003L.db</v>
      </c>
      <c r="H1" s="18" t="str">
        <f t="shared" si="0"/>
        <v>OCT003L.db</v>
      </c>
      <c r="I1" s="18" t="str">
        <f t="shared" si="0"/>
        <v>OCT003L.db</v>
      </c>
      <c r="J1" s="18" t="str">
        <f t="shared" si="0"/>
        <v>OCT003L.db</v>
      </c>
      <c r="K1" s="18" t="str">
        <f t="shared" si="0"/>
        <v>OCT003L.db</v>
      </c>
      <c r="L1" s="18" t="str">
        <f t="shared" si="0"/>
        <v>OCT003L.db</v>
      </c>
    </row>
    <row r="2" spans="1:12" x14ac:dyDescent="0.25">
      <c r="B2" s="18" t="s">
        <v>511</v>
      </c>
      <c r="C2" s="18" t="s">
        <v>511</v>
      </c>
      <c r="D2" s="18" t="s">
        <v>511</v>
      </c>
      <c r="E2" s="18" t="s">
        <v>511</v>
      </c>
      <c r="F2" s="18" t="s">
        <v>511</v>
      </c>
      <c r="G2" s="18" t="s">
        <v>511</v>
      </c>
      <c r="H2" s="18" t="s">
        <v>511</v>
      </c>
      <c r="I2" s="18" t="s">
        <v>511</v>
      </c>
      <c r="J2" s="18" t="s">
        <v>511</v>
      </c>
      <c r="K2" s="18" t="s">
        <v>511</v>
      </c>
      <c r="L2" s="18" t="s">
        <v>511</v>
      </c>
    </row>
    <row r="3" spans="1:12" x14ac:dyDescent="0.25">
      <c r="B3" s="18" t="s">
        <v>484</v>
      </c>
      <c r="C3" s="18" t="s">
        <v>502</v>
      </c>
      <c r="D3" s="18" t="s">
        <v>505</v>
      </c>
      <c r="E3" s="18" t="s">
        <v>506</v>
      </c>
      <c r="F3" s="18" t="s">
        <v>510</v>
      </c>
      <c r="G3" s="19" t="s">
        <v>488</v>
      </c>
      <c r="H3" s="19" t="s">
        <v>492</v>
      </c>
      <c r="I3" s="19" t="s">
        <v>496</v>
      </c>
      <c r="J3" s="19" t="s">
        <v>1091</v>
      </c>
      <c r="K3" s="19" t="s">
        <v>1087</v>
      </c>
      <c r="L3" s="19" t="s">
        <v>1083</v>
      </c>
    </row>
    <row r="4" spans="1:12" x14ac:dyDescent="0.25">
      <c r="B4" s="18" t="s">
        <v>483</v>
      </c>
      <c r="C4" s="18" t="s">
        <v>483</v>
      </c>
      <c r="D4" s="18" t="s">
        <v>483</v>
      </c>
      <c r="E4" s="18" t="s">
        <v>483</v>
      </c>
      <c r="F4" s="18" t="s">
        <v>483</v>
      </c>
      <c r="G4" s="18" t="s">
        <v>483</v>
      </c>
      <c r="H4" s="18" t="s">
        <v>483</v>
      </c>
      <c r="I4" s="18" t="s">
        <v>483</v>
      </c>
      <c r="J4" s="18" t="s">
        <v>483</v>
      </c>
      <c r="K4" s="18" t="s">
        <v>483</v>
      </c>
      <c r="L4" s="18" t="s">
        <v>483</v>
      </c>
    </row>
    <row r="5" spans="1:12" x14ac:dyDescent="0.25">
      <c r="B5" s="18" t="s">
        <v>512</v>
      </c>
      <c r="C5" s="18" t="s">
        <v>512</v>
      </c>
      <c r="D5" s="18" t="s">
        <v>512</v>
      </c>
      <c r="E5" s="18" t="s">
        <v>512</v>
      </c>
      <c r="F5" s="18" t="s">
        <v>512</v>
      </c>
      <c r="G5" s="18" t="s">
        <v>512</v>
      </c>
      <c r="H5" s="18" t="s">
        <v>512</v>
      </c>
      <c r="I5" s="18" t="s">
        <v>512</v>
      </c>
      <c r="J5" s="18" t="s">
        <v>512</v>
      </c>
      <c r="K5" s="18" t="s">
        <v>512</v>
      </c>
      <c r="L5" s="18" t="s">
        <v>512</v>
      </c>
    </row>
    <row r="6" spans="1:12" x14ac:dyDescent="0.25">
      <c r="A6" s="18">
        <f>A94+5</f>
        <v>2065</v>
      </c>
      <c r="B6" s="20" t="str" cm="1">
        <f t="array" ref="B6">_xlfn.CONCAT(INDEX(GMWA!$A$2:$DA$60,MATCH(1,(GMWA!$DA$2:$DA$60=B$3)*(GMWA!$CZ$2:$CZ$60=B$4),0),$A6-1966),"0",(INDEX(GMWA!$A$2:$DA$60,MATCH(1,(GMWA!$DA$2:$DA$60=B$3)*(GMWA!$CZ$2:$CZ$60=B$4),0),$A6-1965)))</f>
        <v>202402</v>
      </c>
      <c r="C6" s="20" t="str" cm="1">
        <f t="array" ref="C6">_xlfn.CONCAT(INDEX(GMWA!$A$2:$DA$60,MATCH(1,(GMWA!$DA$2:$DA$60=C$3)*(GMWA!$CZ$2:$CZ$60=C$4),0),$A6-1966),"0",(INDEX(GMWA!$A$2:$DA$60,MATCH(1,(GMWA!$DA$2:$DA$60=C$3)*(GMWA!$CZ$2:$CZ$60=C$4),0),$A6-1965)))</f>
        <v>202402</v>
      </c>
      <c r="D6" s="20" t="str" cm="1">
        <f t="array" ref="D6">_xlfn.CONCAT(INDEX(GMWA!$A$2:$DA$60,MATCH(1,(GMWA!$DA$2:$DA$60=D$3)*(GMWA!$CZ$2:$CZ$60=D$4),0),$A6-1966),"0",(INDEX(GMWA!$A$2:$DA$60,MATCH(1,(GMWA!$DA$2:$DA$60=D$3)*(GMWA!$CZ$2:$CZ$60=D$4),0),$A6-1965)))</f>
        <v>202402</v>
      </c>
      <c r="E6" s="20" t="str" cm="1">
        <f t="array" ref="E6">_xlfn.CONCAT(INDEX(GMWA!$A$2:$DA$60,MATCH(1,(GMWA!$DA$2:$DA$60=E$3)*(GMWA!$CZ$2:$CZ$60=E$4),0),$A6-1966),"0",(INDEX(GMWA!$A$2:$DA$60,MATCH(1,(GMWA!$DA$2:$DA$60=E$3)*(GMWA!$CZ$2:$CZ$60=E$4),0),$A6-1965)))</f>
        <v>202402</v>
      </c>
      <c r="F6" s="20" t="str" cm="1">
        <f t="array" ref="F6">_xlfn.CONCAT(INDEX(GMWA!$A$2:$DA$60,MATCH(1,(GMWA!$DA$2:$DA$60=F$3)*(GMWA!$CZ$2:$CZ$60=F$4),0),$A6-1966),"0",(INDEX(GMWA!$A$2:$DA$60,MATCH(1,(GMWA!$DA$2:$DA$60=F$3)*(GMWA!$CZ$2:$CZ$60=F$4),0),$A6-1965)))</f>
        <v>202402</v>
      </c>
      <c r="G6" s="20" t="str" cm="1">
        <f t="array" ref="G6">_xlfn.CONCAT(INDEX(GMWA!$A$2:$DA$60,MATCH(1,(GMWA!$DA$2:$DA$60=G$3)*(GMWA!$CZ$2:$CZ$60=G$4),0),$A6-1966),"0",(INDEX(GMWA!$A$2:$DA$60,MATCH(1,(GMWA!$DA$2:$DA$60=G$3)*(GMWA!$CZ$2:$CZ$60=G$4),0),$A6-1965)))</f>
        <v>202402</v>
      </c>
      <c r="H6" s="20" t="str" cm="1">
        <f t="array" ref="H6">_xlfn.CONCAT(INDEX(GMWA!$A$2:$DA$60,MATCH(1,(GMWA!$DA$2:$DA$60=H$3)*(GMWA!$CZ$2:$CZ$60=H$4),0),$A6-1966),"0",(INDEX(GMWA!$A$2:$DA$60,MATCH(1,(GMWA!$DA$2:$DA$60=H$3)*(GMWA!$CZ$2:$CZ$60=H$4),0),$A6-1965)))</f>
        <v>202402</v>
      </c>
      <c r="I6" s="20" t="str" cm="1">
        <f t="array" ref="I6">_xlfn.CONCAT(INDEX(GMWA!$A$2:$DA$60,MATCH(1,(GMWA!$DA$2:$DA$60=I$3)*(GMWA!$CZ$2:$CZ$60=I$4),0),$A6-1966),"0",(INDEX(GMWA!$A$2:$DA$60,MATCH(1,(GMWA!$DA$2:$DA$60=I$3)*(GMWA!$CZ$2:$CZ$60=I$4),0),$A6-1965)))</f>
        <v>202402</v>
      </c>
      <c r="J6" s="20" t="str" cm="1">
        <f t="array" ref="J6">_xlfn.CONCAT(INDEX(GMWA!$A$2:$DA$60,MATCH(1,(GMWA!$DA$2:$DA$60=J$3)*(GMWA!$CZ$2:$CZ$60=J$4),0),$A6-1966),"0",(INDEX(GMWA!$A$2:$DA$60,MATCH(1,(GMWA!$DA$2:$DA$60=J$3)*(GMWA!$CZ$2:$CZ$60=J$4),0),$A6-1965)))</f>
        <v>202304</v>
      </c>
      <c r="K6" s="20" t="str" cm="1">
        <f t="array" ref="K6">_xlfn.CONCAT(INDEX(GMWA!$A$2:$DA$60,MATCH(1,(GMWA!$DA$2:$DA$60=K$3)*(GMWA!$CZ$2:$CZ$60=K$4),0),$A6-1966),"0",(INDEX(GMWA!$A$2:$DA$60,MATCH(1,(GMWA!$DA$2:$DA$60=K$3)*(GMWA!$CZ$2:$CZ$60=K$4),0),$A6-1965)))</f>
        <v>202402</v>
      </c>
      <c r="L6" s="20" t="str" cm="1">
        <f t="array" ref="L6">_xlfn.CONCAT(INDEX(GMWA!$A$2:$DA$60,MATCH(1,(GMWA!$DA$2:$DA$60=L$3)*(GMWA!$CZ$2:$CZ$60=L$4),0),$A6-1966),"0",(INDEX(GMWA!$A$2:$DA$60,MATCH(1,(GMWA!$DA$2:$DA$60=L$3)*(GMWA!$CZ$2:$CZ$60=L$4),0),$A6-1965)))</f>
        <v>202402</v>
      </c>
    </row>
    <row r="7" spans="1:12" x14ac:dyDescent="0.25">
      <c r="A7" s="18">
        <v>1973</v>
      </c>
      <c r="B7" s="18" cm="1">
        <f t="array" ref="B7">INDEX(GMWA!$A$2:$DA$60,MATCH(1,(GMWA!$DA$2:$DA$60=B$3)*(GMWA!$CZ$2:$CZ$60=B$4),0),$A7-1966)</f>
        <v>64130.86</v>
      </c>
      <c r="C7" s="18" cm="1">
        <f t="array" ref="C7">INDEX(GMWA!$A$2:$DA$60,MATCH(1,(GMWA!$DA$2:$DA$60=C$3)*(GMWA!$CZ$2:$CZ$60=C$4),0),$A7-1966)</f>
        <v>17908</v>
      </c>
      <c r="D7" s="18" cm="1">
        <f t="array" ref="D7">INDEX(GMWA!$A$2:$DA$60,MATCH(1,(GMWA!$DA$2:$DA$60=D$3)*(GMWA!$CZ$2:$CZ$60=D$4),0),$A7-1966)</f>
        <v>480.78190000000001</v>
      </c>
      <c r="E7" s="18" cm="1">
        <f t="array" ref="E7">INDEX(GMWA!$A$2:$DA$60,MATCH(1,(GMWA!$DA$2:$DA$60=E$3)*(GMWA!$CZ$2:$CZ$60=E$4),0),$A7-1966)</f>
        <v>2402.58</v>
      </c>
      <c r="F7" s="18" cm="1">
        <f t="array" ref="F7">INDEX(GMWA!$A$2:$DA$60,MATCH(1,(GMWA!$DA$2:$DA$60=F$3)*(GMWA!$CZ$2:$CZ$60=F$4),0),$A7-1966)</f>
        <v>81793</v>
      </c>
      <c r="G7" s="18" cm="1">
        <f t="array" ref="G7">INDEX(GMWA!$A$2:$DA$60,MATCH(1,(GMWA!$DA$2:$DA$60=G$3)*(GMWA!$CZ$2:$CZ$60=G$4),0),$A7-1966)</f>
        <v>193673</v>
      </c>
      <c r="H7" s="18" cm="1">
        <f t="array" ref="H7">INDEX(GMWA!$A$2:$DA$60,MATCH(1,(GMWA!$DA$2:$DA$60=H$3)*(GMWA!$CZ$2:$CZ$60=H$4),0),$A7-1966)</f>
        <v>33073.769999999997</v>
      </c>
      <c r="I7" s="18" cm="1">
        <f t="array" ref="I7">INDEX(GMWA!$A$2:$DA$60,MATCH(1,(GMWA!$DA$2:$DA$60=I$3)*(GMWA!$CZ$2:$CZ$60=I$4),0),$A7-1966)</f>
        <v>57561.120000000003</v>
      </c>
      <c r="J7" s="18" cm="1">
        <f t="array" ref="J7">INDEX(GMWA!$A$2:$DA$60,MATCH(1,(GMWA!$DA$2:$DA$60=J$3)*(GMWA!$CZ$2:$CZ$60=J$4),0),$A7-1966)</f>
        <v>1097022</v>
      </c>
      <c r="K7" s="18" cm="1">
        <f t="array" ref="K7">INDEX(GMWA!$A$2:$DA$60,MATCH(1,(GMWA!$DA$2:$DA$60=K$3)*(GMWA!$CZ$2:$CZ$60=K$4),0),$A7-1966)</f>
        <v>24965</v>
      </c>
      <c r="L7" s="18" cm="1">
        <f t="array" ref="L7">INDEX(GMWA!$A$2:$DA$60,MATCH(1,(GMWA!$DA$2:$DA$60=L$3)*(GMWA!$CZ$2:$CZ$60=L$4),0),$A7-1966)</f>
        <v>1E-3</v>
      </c>
    </row>
    <row r="8" spans="1:12" x14ac:dyDescent="0.25">
      <c r="A8" s="18">
        <f>+A7+1</f>
        <v>1974</v>
      </c>
      <c r="B8" s="18" cm="1">
        <f t="array" ref="B8">INDEX(GMWA!$A$2:$DA$60,MATCH(1,(GMWA!$DA$2:$DA$60=B$3)*(GMWA!$CZ$2:$CZ$60=B$4),0),$A8-1966)</f>
        <v>67920.03</v>
      </c>
      <c r="C8" s="18" cm="1">
        <f t="array" ref="C8">INDEX(GMWA!$A$2:$DA$60,MATCH(1,(GMWA!$DA$2:$DA$60=C$3)*(GMWA!$CZ$2:$CZ$60=C$4),0),$A8-1966)</f>
        <v>16624</v>
      </c>
      <c r="D8" s="18" cm="1">
        <f t="array" ref="D8">INDEX(GMWA!$A$2:$DA$60,MATCH(1,(GMWA!$DA$2:$DA$60=D$3)*(GMWA!$CZ$2:$CZ$60=D$4),0),$A8-1966)</f>
        <v>-4794.2479999999996</v>
      </c>
      <c r="E8" s="18" cm="1">
        <f t="array" ref="E8">INDEX(GMWA!$A$2:$DA$60,MATCH(1,(GMWA!$DA$2:$DA$60=E$3)*(GMWA!$CZ$2:$CZ$60=E$4),0),$A8-1966)</f>
        <v>342.45420000000001</v>
      </c>
      <c r="F8" s="18" cm="1">
        <f t="array" ref="F8">INDEX(GMWA!$A$2:$DA$60,MATCH(1,(GMWA!$DA$2:$DA$60=F$3)*(GMWA!$CZ$2:$CZ$60=F$4),0),$A8-1966)</f>
        <v>92673</v>
      </c>
      <c r="G8" s="18" cm="1">
        <f t="array" ref="G8">INDEX(GMWA!$A$2:$DA$60,MATCH(1,(GMWA!$DA$2:$DA$60=G$3)*(GMWA!$CZ$2:$CZ$60=G$4),0),$A8-1966)</f>
        <v>179218</v>
      </c>
      <c r="H8" s="18" cm="1">
        <f t="array" ref="H8">INDEX(GMWA!$A$2:$DA$60,MATCH(1,(GMWA!$DA$2:$DA$60=H$3)*(GMWA!$CZ$2:$CZ$60=H$4),0),$A8-1966)</f>
        <v>30898.82</v>
      </c>
      <c r="I8" s="18" cm="1">
        <f t="array" ref="I8">INDEX(GMWA!$A$2:$DA$60,MATCH(1,(GMWA!$DA$2:$DA$60=I$3)*(GMWA!$CZ$2:$CZ$60=I$4),0),$A8-1966)</f>
        <v>50306.44</v>
      </c>
      <c r="J8" s="18" cm="1">
        <f t="array" ref="J8">INDEX(GMWA!$A$2:$DA$60,MATCH(1,(GMWA!$DA$2:$DA$60=J$3)*(GMWA!$CZ$2:$CZ$60=J$4),0),$A8-1966)</f>
        <v>1127181</v>
      </c>
      <c r="K8" s="18" cm="1">
        <f t="array" ref="K8">INDEX(GMWA!$A$2:$DA$60,MATCH(1,(GMWA!$DA$2:$DA$60=K$3)*(GMWA!$CZ$2:$CZ$60=K$4),0),$A8-1966)</f>
        <v>25029.25</v>
      </c>
      <c r="L8" s="18" cm="1">
        <f t="array" ref="L8">INDEX(GMWA!$A$2:$DA$60,MATCH(1,(GMWA!$DA$2:$DA$60=L$3)*(GMWA!$CZ$2:$CZ$60=L$4),0),$A8-1966)</f>
        <v>1E-3</v>
      </c>
    </row>
    <row r="9" spans="1:12" x14ac:dyDescent="0.25">
      <c r="A9" s="18">
        <f t="shared" ref="A9:A47" si="1">+A8+1</f>
        <v>1975</v>
      </c>
      <c r="B9" s="18" cm="1">
        <f t="array" ref="B9">INDEX(GMWA!$A$2:$DA$60,MATCH(1,(GMWA!$DA$2:$DA$60=B$3)*(GMWA!$CZ$2:$CZ$60=B$4),0),$A9-1966)</f>
        <v>67112.320000000007</v>
      </c>
      <c r="C9" s="18" cm="1">
        <f t="array" ref="C9">INDEX(GMWA!$A$2:$DA$60,MATCH(1,(GMWA!$DA$2:$DA$60=C$3)*(GMWA!$CZ$2:$CZ$60=C$4),0),$A9-1966)</f>
        <v>17697</v>
      </c>
      <c r="D9" s="18" cm="1">
        <f t="array" ref="D9">INDEX(GMWA!$A$2:$DA$60,MATCH(1,(GMWA!$DA$2:$DA$60=D$3)*(GMWA!$CZ$2:$CZ$60=D$4),0),$A9-1966)</f>
        <v>443.94779999999997</v>
      </c>
      <c r="E9" s="18" cm="1">
        <f t="array" ref="E9">INDEX(GMWA!$A$2:$DA$60,MATCH(1,(GMWA!$DA$2:$DA$60=E$3)*(GMWA!$CZ$2:$CZ$60=E$4),0),$A9-1966)</f>
        <v>3766.0160000000001</v>
      </c>
      <c r="F9" s="18" cm="1">
        <f t="array" ref="F9">INDEX(GMWA!$A$2:$DA$60,MATCH(1,(GMWA!$DA$2:$DA$60=F$3)*(GMWA!$CZ$2:$CZ$60=F$4),0),$A9-1966)</f>
        <v>115093</v>
      </c>
      <c r="G9" s="18" cm="1">
        <f t="array" ref="G9">INDEX(GMWA!$A$2:$DA$60,MATCH(1,(GMWA!$DA$2:$DA$60=G$3)*(GMWA!$CZ$2:$CZ$60=G$4),0),$A9-1966)</f>
        <v>168504</v>
      </c>
      <c r="H9" s="18" cm="1">
        <f t="array" ref="H9">INDEX(GMWA!$A$2:$DA$60,MATCH(1,(GMWA!$DA$2:$DA$60=H$3)*(GMWA!$CZ$2:$CZ$60=H$4),0),$A9-1966)</f>
        <v>28444.21</v>
      </c>
      <c r="I9" s="18" cm="1">
        <f t="array" ref="I9">INDEX(GMWA!$A$2:$DA$60,MATCH(1,(GMWA!$DA$2:$DA$60=I$3)*(GMWA!$CZ$2:$CZ$60=I$4),0),$A9-1966)</f>
        <v>49676.33</v>
      </c>
      <c r="J9" s="18" cm="1">
        <f t="array" ref="J9">INDEX(GMWA!$A$2:$DA$60,MATCH(1,(GMWA!$DA$2:$DA$60=J$3)*(GMWA!$CZ$2:$CZ$60=J$4),0),$A9-1966)</f>
        <v>1156554</v>
      </c>
      <c r="K9" s="18" cm="1">
        <f t="array" ref="K9">INDEX(GMWA!$A$2:$DA$60,MATCH(1,(GMWA!$DA$2:$DA$60=K$3)*(GMWA!$CZ$2:$CZ$60=K$4),0),$A9-1966)</f>
        <v>24933.25</v>
      </c>
      <c r="L9" s="18" cm="1">
        <f t="array" ref="L9">INDEX(GMWA!$A$2:$DA$60,MATCH(1,(GMWA!$DA$2:$DA$60=L$3)*(GMWA!$CZ$2:$CZ$60=L$4),0),$A9-1966)</f>
        <v>1E-3</v>
      </c>
    </row>
    <row r="10" spans="1:12" x14ac:dyDescent="0.25">
      <c r="A10" s="18">
        <f t="shared" si="1"/>
        <v>1976</v>
      </c>
      <c r="B10" s="18" cm="1">
        <f t="array" ref="B10">INDEX(GMWA!$A$2:$DA$60,MATCH(1,(GMWA!$DA$2:$DA$60=B$3)*(GMWA!$CZ$2:$CZ$60=B$4),0),$A10-1966)</f>
        <v>68650.5</v>
      </c>
      <c r="C10" s="18" cm="1">
        <f t="array" ref="C10">INDEX(GMWA!$A$2:$DA$60,MATCH(1,(GMWA!$DA$2:$DA$60=C$3)*(GMWA!$CZ$2:$CZ$60=C$4),0),$A10-1966)</f>
        <v>22080</v>
      </c>
      <c r="D10" s="18" cm="1">
        <f t="array" ref="D10">INDEX(GMWA!$A$2:$DA$60,MATCH(1,(GMWA!$DA$2:$DA$60=D$3)*(GMWA!$CZ$2:$CZ$60=D$4),0),$A10-1966)</f>
        <v>-930.54570000000001</v>
      </c>
      <c r="E10" s="18" cm="1">
        <f t="array" ref="E10">INDEX(GMWA!$A$2:$DA$60,MATCH(1,(GMWA!$DA$2:$DA$60=E$3)*(GMWA!$CZ$2:$CZ$60=E$4),0),$A10-1966)</f>
        <v>1091.2719999999999</v>
      </c>
      <c r="F10" s="18" cm="1">
        <f t="array" ref="F10">INDEX(GMWA!$A$2:$DA$60,MATCH(1,(GMWA!$DA$2:$DA$60=F$3)*(GMWA!$CZ$2:$CZ$60=F$4),0),$A10-1966)</f>
        <v>136999</v>
      </c>
      <c r="G10" s="18" cm="1">
        <f t="array" ref="G10">INDEX(GMWA!$A$2:$DA$60,MATCH(1,(GMWA!$DA$2:$DA$60=G$3)*(GMWA!$CZ$2:$CZ$60=G$4),0),$A10-1966)</f>
        <v>169648</v>
      </c>
      <c r="H10" s="18" cm="1">
        <f t="array" ref="H10">INDEX(GMWA!$A$2:$DA$60,MATCH(1,(GMWA!$DA$2:$DA$60=H$3)*(GMWA!$CZ$2:$CZ$60=H$4),0),$A10-1966)</f>
        <v>27564.34</v>
      </c>
      <c r="I10" s="18" cm="1">
        <f t="array" ref="I10">INDEX(GMWA!$A$2:$DA$60,MATCH(1,(GMWA!$DA$2:$DA$60=I$3)*(GMWA!$CZ$2:$CZ$60=I$4),0),$A10-1966)</f>
        <v>50265.66</v>
      </c>
      <c r="J10" s="18" cm="1">
        <f t="array" ref="J10">INDEX(GMWA!$A$2:$DA$60,MATCH(1,(GMWA!$DA$2:$DA$60=J$3)*(GMWA!$CZ$2:$CZ$60=J$4),0),$A10-1966)</f>
        <v>1183728</v>
      </c>
      <c r="K10" s="18" cm="1">
        <f t="array" ref="K10">INDEX(GMWA!$A$2:$DA$60,MATCH(1,(GMWA!$DA$2:$DA$60=K$3)*(GMWA!$CZ$2:$CZ$60=K$4),0),$A10-1966)</f>
        <v>24786</v>
      </c>
      <c r="L10" s="18" cm="1">
        <f t="array" ref="L10">INDEX(GMWA!$A$2:$DA$60,MATCH(1,(GMWA!$DA$2:$DA$60=L$3)*(GMWA!$CZ$2:$CZ$60=L$4),0),$A10-1966)</f>
        <v>1E-3</v>
      </c>
    </row>
    <row r="11" spans="1:12" x14ac:dyDescent="0.25">
      <c r="A11" s="18">
        <f t="shared" si="1"/>
        <v>1977</v>
      </c>
      <c r="B11" s="18" cm="1">
        <f t="array" ref="B11">INDEX(GMWA!$A$2:$DA$60,MATCH(1,(GMWA!$DA$2:$DA$60=B$3)*(GMWA!$CZ$2:$CZ$60=B$4),0),$A11-1966)</f>
        <v>69620.72</v>
      </c>
      <c r="C11" s="18" cm="1">
        <f t="array" ref="C11">INDEX(GMWA!$A$2:$DA$60,MATCH(1,(GMWA!$DA$2:$DA$60=C$3)*(GMWA!$CZ$2:$CZ$60=C$4),0),$A11-1966)</f>
        <v>31652</v>
      </c>
      <c r="D11" s="18" cm="1">
        <f t="array" ref="D11">INDEX(GMWA!$A$2:$DA$60,MATCH(1,(GMWA!$DA$2:$DA$60=D$3)*(GMWA!$CZ$2:$CZ$60=D$4),0),$A11-1966)</f>
        <v>1597.4359999999999</v>
      </c>
      <c r="E11" s="18" cm="1">
        <f t="array" ref="E11">INDEX(GMWA!$A$2:$DA$60,MATCH(1,(GMWA!$DA$2:$DA$60=E$3)*(GMWA!$CZ$2:$CZ$60=E$4),0),$A11-1966)</f>
        <v>-4875.2370000000001</v>
      </c>
      <c r="F11" s="18" cm="1">
        <f t="array" ref="F11">INDEX(GMWA!$A$2:$DA$60,MATCH(1,(GMWA!$DA$2:$DA$60=F$3)*(GMWA!$CZ$2:$CZ$60=F$4),0),$A11-1966)</f>
        <v>159786</v>
      </c>
      <c r="G11" s="18" cm="1">
        <f t="array" ref="G11">INDEX(GMWA!$A$2:$DA$60,MATCH(1,(GMWA!$DA$2:$DA$60=G$3)*(GMWA!$CZ$2:$CZ$60=G$4),0),$A11-1966)</f>
        <v>172276</v>
      </c>
      <c r="H11" s="18" cm="1">
        <f t="array" ref="H11">INDEX(GMWA!$A$2:$DA$60,MATCH(1,(GMWA!$DA$2:$DA$60=H$3)*(GMWA!$CZ$2:$CZ$60=H$4),0),$A11-1966)</f>
        <v>22837.98</v>
      </c>
      <c r="I11" s="18" cm="1">
        <f t="array" ref="I11">INDEX(GMWA!$A$2:$DA$60,MATCH(1,(GMWA!$DA$2:$DA$60=I$3)*(GMWA!$CZ$2:$CZ$60=I$4),0),$A11-1966)</f>
        <v>49952.3</v>
      </c>
      <c r="J11" s="18" cm="1">
        <f t="array" ref="J11">INDEX(GMWA!$A$2:$DA$60,MATCH(1,(GMWA!$DA$2:$DA$60=J$3)*(GMWA!$CZ$2:$CZ$60=J$4),0),$A11-1966)</f>
        <v>1208546</v>
      </c>
      <c r="K11" s="18" cm="1">
        <f t="array" ref="K11">INDEX(GMWA!$A$2:$DA$60,MATCH(1,(GMWA!$DA$2:$DA$60=K$3)*(GMWA!$CZ$2:$CZ$60=K$4),0),$A11-1966)</f>
        <v>24809</v>
      </c>
      <c r="L11" s="18" cm="1">
        <f t="array" ref="L11">INDEX(GMWA!$A$2:$DA$60,MATCH(1,(GMWA!$DA$2:$DA$60=L$3)*(GMWA!$CZ$2:$CZ$60=L$4),0),$A11-1966)</f>
        <v>1E-3</v>
      </c>
    </row>
    <row r="12" spans="1:12" x14ac:dyDescent="0.25">
      <c r="A12" s="18">
        <f t="shared" si="1"/>
        <v>1978</v>
      </c>
      <c r="B12" s="18" cm="1">
        <f t="array" ref="B12">INDEX(GMWA!$A$2:$DA$60,MATCH(1,(GMWA!$DA$2:$DA$60=B$3)*(GMWA!$CZ$2:$CZ$60=B$4),0),$A12-1966)</f>
        <v>72055.13</v>
      </c>
      <c r="C12" s="18" cm="1">
        <f t="array" ref="C12">INDEX(GMWA!$A$2:$DA$60,MATCH(1,(GMWA!$DA$2:$DA$60=C$3)*(GMWA!$CZ$2:$CZ$60=C$4),0),$A12-1966)</f>
        <v>38107</v>
      </c>
      <c r="D12" s="18" cm="1">
        <f t="array" ref="D12">INDEX(GMWA!$A$2:$DA$60,MATCH(1,(GMWA!$DA$2:$DA$60=D$3)*(GMWA!$CZ$2:$CZ$60=D$4),0),$A12-1966)</f>
        <v>2062.71</v>
      </c>
      <c r="E12" s="18" cm="1">
        <f t="array" ref="E12">INDEX(GMWA!$A$2:$DA$60,MATCH(1,(GMWA!$DA$2:$DA$60=E$3)*(GMWA!$CZ$2:$CZ$60=E$4),0),$A12-1966)</f>
        <v>1905.5360000000001</v>
      </c>
      <c r="F12" s="18" cm="1">
        <f t="array" ref="F12">INDEX(GMWA!$A$2:$DA$60,MATCH(1,(GMWA!$DA$2:$DA$60=F$3)*(GMWA!$CZ$2:$CZ$60=F$4),0),$A12-1966)</f>
        <v>186158</v>
      </c>
      <c r="G12" s="18" cm="1">
        <f t="array" ref="G12">INDEX(GMWA!$A$2:$DA$60,MATCH(1,(GMWA!$DA$2:$DA$60=G$3)*(GMWA!$CZ$2:$CZ$60=G$4),0),$A12-1966)</f>
        <v>184970</v>
      </c>
      <c r="H12" s="18" cm="1">
        <f t="array" ref="H12">INDEX(GMWA!$A$2:$DA$60,MATCH(1,(GMWA!$DA$2:$DA$60=H$3)*(GMWA!$CZ$2:$CZ$60=H$4),0),$A12-1966)</f>
        <v>20454.36</v>
      </c>
      <c r="I12" s="18" cm="1">
        <f t="array" ref="I12">INDEX(GMWA!$A$2:$DA$60,MATCH(1,(GMWA!$DA$2:$DA$60=I$3)*(GMWA!$CZ$2:$CZ$60=I$4),0),$A12-1966)</f>
        <v>53246.92</v>
      </c>
      <c r="J12" s="18" cm="1">
        <f t="array" ref="J12">INDEX(GMWA!$A$2:$DA$60,MATCH(1,(GMWA!$DA$2:$DA$60=J$3)*(GMWA!$CZ$2:$CZ$60=J$4),0),$A12-1966)</f>
        <v>1239333</v>
      </c>
      <c r="K12" s="18" cm="1">
        <f t="array" ref="K12">INDEX(GMWA!$A$2:$DA$60,MATCH(1,(GMWA!$DA$2:$DA$60=K$3)*(GMWA!$CZ$2:$CZ$60=K$4),0),$A12-1966)</f>
        <v>24939.75</v>
      </c>
      <c r="L12" s="18" cm="1">
        <f t="array" ref="L12">INDEX(GMWA!$A$2:$DA$60,MATCH(1,(GMWA!$DA$2:$DA$60=L$3)*(GMWA!$CZ$2:$CZ$60=L$4),0),$A12-1966)</f>
        <v>1E-3</v>
      </c>
    </row>
    <row r="13" spans="1:12" x14ac:dyDescent="0.25">
      <c r="A13" s="18">
        <f t="shared" si="1"/>
        <v>1979</v>
      </c>
      <c r="B13" s="18" cm="1">
        <f t="array" ref="B13">INDEX(GMWA!$A$2:$DA$60,MATCH(1,(GMWA!$DA$2:$DA$60=B$3)*(GMWA!$CZ$2:$CZ$60=B$4),0),$A13-1966)</f>
        <v>74494.34</v>
      </c>
      <c r="C13" s="18" cm="1">
        <f t="array" ref="C13">INDEX(GMWA!$A$2:$DA$60,MATCH(1,(GMWA!$DA$2:$DA$60=C$3)*(GMWA!$CZ$2:$CZ$60=C$4),0),$A13-1966)</f>
        <v>44855</v>
      </c>
      <c r="D13" s="18" cm="1">
        <f t="array" ref="D13">INDEX(GMWA!$A$2:$DA$60,MATCH(1,(GMWA!$DA$2:$DA$60=D$3)*(GMWA!$CZ$2:$CZ$60=D$4),0),$A13-1966)</f>
        <v>-2791.636</v>
      </c>
      <c r="E13" s="18" cm="1">
        <f t="array" ref="E13">INDEX(GMWA!$A$2:$DA$60,MATCH(1,(GMWA!$DA$2:$DA$60=E$3)*(GMWA!$CZ$2:$CZ$60=E$4),0),$A13-1966)</f>
        <v>-8535.5990000000002</v>
      </c>
      <c r="F13" s="18" cm="1">
        <f t="array" ref="F13">INDEX(GMWA!$A$2:$DA$60,MATCH(1,(GMWA!$DA$2:$DA$60=F$3)*(GMWA!$CZ$2:$CZ$60=F$4),0),$A13-1966)</f>
        <v>220981</v>
      </c>
      <c r="G13" s="18" cm="1">
        <f t="array" ref="G13">INDEX(GMWA!$A$2:$DA$60,MATCH(1,(GMWA!$DA$2:$DA$60=G$3)*(GMWA!$CZ$2:$CZ$60=G$4),0),$A13-1966)</f>
        <v>200887</v>
      </c>
      <c r="H13" s="18" cm="1">
        <f t="array" ref="H13">INDEX(GMWA!$A$2:$DA$60,MATCH(1,(GMWA!$DA$2:$DA$60=H$3)*(GMWA!$CZ$2:$CZ$60=H$4),0),$A13-1966)</f>
        <v>19677.75</v>
      </c>
      <c r="I13" s="18" cm="1">
        <f t="array" ref="I13">INDEX(GMWA!$A$2:$DA$60,MATCH(1,(GMWA!$DA$2:$DA$60=I$3)*(GMWA!$CZ$2:$CZ$60=I$4),0),$A13-1966)</f>
        <v>58604.01</v>
      </c>
      <c r="J13" s="18" cm="1">
        <f t="array" ref="J13">INDEX(GMWA!$A$2:$DA$60,MATCH(1,(GMWA!$DA$2:$DA$60=J$3)*(GMWA!$CZ$2:$CZ$60=J$4),0),$A13-1966)</f>
        <v>1263209</v>
      </c>
      <c r="K13" s="18" cm="1">
        <f t="array" ref="K13">INDEX(GMWA!$A$2:$DA$60,MATCH(1,(GMWA!$DA$2:$DA$60=K$3)*(GMWA!$CZ$2:$CZ$60=K$4),0),$A13-1966)</f>
        <v>25195.25</v>
      </c>
      <c r="L13" s="18" cm="1">
        <f t="array" ref="L13">INDEX(GMWA!$A$2:$DA$60,MATCH(1,(GMWA!$DA$2:$DA$60=L$3)*(GMWA!$CZ$2:$CZ$60=L$4),0),$A13-1966)</f>
        <v>1E-3</v>
      </c>
    </row>
    <row r="14" spans="1:12" x14ac:dyDescent="0.25">
      <c r="A14" s="18">
        <f t="shared" si="1"/>
        <v>1980</v>
      </c>
      <c r="B14" s="18" cm="1">
        <f t="array" ref="B14">INDEX(GMWA!$A$2:$DA$60,MATCH(1,(GMWA!$DA$2:$DA$60=B$3)*(GMWA!$CZ$2:$CZ$60=B$4),0),$A14-1966)</f>
        <v>71284.42</v>
      </c>
      <c r="C14" s="18" cm="1">
        <f t="array" ref="C14">INDEX(GMWA!$A$2:$DA$60,MATCH(1,(GMWA!$DA$2:$DA$60=C$3)*(GMWA!$CZ$2:$CZ$60=C$4),0),$A14-1966)</f>
        <v>49635</v>
      </c>
      <c r="D14" s="18" cm="1">
        <f t="array" ref="D14">INDEX(GMWA!$A$2:$DA$60,MATCH(1,(GMWA!$DA$2:$DA$60=D$3)*(GMWA!$CZ$2:$CZ$60=D$4),0),$A14-1966)</f>
        <v>-205.49549999999999</v>
      </c>
      <c r="E14" s="18" cm="1">
        <f t="array" ref="E14">INDEX(GMWA!$A$2:$DA$60,MATCH(1,(GMWA!$DA$2:$DA$60=E$3)*(GMWA!$CZ$2:$CZ$60=E$4),0),$A14-1966)</f>
        <v>-484.12060000000002</v>
      </c>
      <c r="F14" s="18" cm="1">
        <f t="array" ref="F14">INDEX(GMWA!$A$2:$DA$60,MATCH(1,(GMWA!$DA$2:$DA$60=F$3)*(GMWA!$CZ$2:$CZ$60=F$4),0),$A14-1966)</f>
        <v>259970</v>
      </c>
      <c r="G14" s="18" cm="1">
        <f t="array" ref="G14">INDEX(GMWA!$A$2:$DA$60,MATCH(1,(GMWA!$DA$2:$DA$60=G$3)*(GMWA!$CZ$2:$CZ$60=G$4),0),$A14-1966)</f>
        <v>187961</v>
      </c>
      <c r="H14" s="18" cm="1">
        <f t="array" ref="H14">INDEX(GMWA!$A$2:$DA$60,MATCH(1,(GMWA!$DA$2:$DA$60=H$3)*(GMWA!$CZ$2:$CZ$60=H$4),0),$A14-1966)</f>
        <v>17083.310000000001</v>
      </c>
      <c r="I14" s="18" cm="1">
        <f t="array" ref="I14">INDEX(GMWA!$A$2:$DA$60,MATCH(1,(GMWA!$DA$2:$DA$60=I$3)*(GMWA!$CZ$2:$CZ$60=I$4),0),$A14-1966)</f>
        <v>55219.37</v>
      </c>
      <c r="J14" s="18" cm="1">
        <f t="array" ref="J14">INDEX(GMWA!$A$2:$DA$60,MATCH(1,(GMWA!$DA$2:$DA$60=J$3)*(GMWA!$CZ$2:$CZ$60=J$4),0),$A14-1966)</f>
        <v>1281901</v>
      </c>
      <c r="K14" s="18" cm="1">
        <f t="array" ref="K14">INDEX(GMWA!$A$2:$DA$60,MATCH(1,(GMWA!$DA$2:$DA$60=K$3)*(GMWA!$CZ$2:$CZ$60=K$4),0),$A14-1966)</f>
        <v>25086.25</v>
      </c>
      <c r="L14" s="18" cm="1">
        <f t="array" ref="L14">INDEX(GMWA!$A$2:$DA$60,MATCH(1,(GMWA!$DA$2:$DA$60=L$3)*(GMWA!$CZ$2:$CZ$60=L$4),0),$A14-1966)</f>
        <v>1E-3</v>
      </c>
    </row>
    <row r="15" spans="1:12" x14ac:dyDescent="0.25">
      <c r="A15" s="18">
        <f t="shared" si="1"/>
        <v>1981</v>
      </c>
      <c r="B15" s="18" cm="1">
        <f t="array" ref="B15">INDEX(GMWA!$A$2:$DA$60,MATCH(1,(GMWA!$DA$2:$DA$60=B$3)*(GMWA!$CZ$2:$CZ$60=B$4),0),$A15-1966)</f>
        <v>66146.92</v>
      </c>
      <c r="C15" s="18" cm="1">
        <f t="array" ref="C15">INDEX(GMWA!$A$2:$DA$60,MATCH(1,(GMWA!$DA$2:$DA$60=C$3)*(GMWA!$CZ$2:$CZ$60=C$4),0),$A15-1966)</f>
        <v>55572</v>
      </c>
      <c r="D15" s="18" cm="1">
        <f t="array" ref="D15">INDEX(GMWA!$A$2:$DA$60,MATCH(1,(GMWA!$DA$2:$DA$60=D$3)*(GMWA!$CZ$2:$CZ$60=D$4),0),$A15-1966)</f>
        <v>3088.248</v>
      </c>
      <c r="E15" s="18" cm="1">
        <f t="array" ref="E15">INDEX(GMWA!$A$2:$DA$60,MATCH(1,(GMWA!$DA$2:$DA$60=E$3)*(GMWA!$CZ$2:$CZ$60=E$4),0),$A15-1966)</f>
        <v>12840.12</v>
      </c>
      <c r="F15" s="18" cm="1">
        <f t="array" ref="F15">INDEX(GMWA!$A$2:$DA$60,MATCH(1,(GMWA!$DA$2:$DA$60=F$3)*(GMWA!$CZ$2:$CZ$60=F$4),0),$A15-1966)</f>
        <v>290180</v>
      </c>
      <c r="G15" s="18" cm="1">
        <f t="array" ref="G15">INDEX(GMWA!$A$2:$DA$60,MATCH(1,(GMWA!$DA$2:$DA$60=G$3)*(GMWA!$CZ$2:$CZ$60=G$4),0),$A15-1966)</f>
        <v>175495</v>
      </c>
      <c r="H15" s="18" cm="1">
        <f t="array" ref="H15">INDEX(GMWA!$A$2:$DA$60,MATCH(1,(GMWA!$DA$2:$DA$60=H$3)*(GMWA!$CZ$2:$CZ$60=H$4),0),$A15-1966)</f>
        <v>12496.78</v>
      </c>
      <c r="I15" s="18" cm="1">
        <f t="array" ref="I15">INDEX(GMWA!$A$2:$DA$60,MATCH(1,(GMWA!$DA$2:$DA$60=I$3)*(GMWA!$CZ$2:$CZ$60=I$4),0),$A15-1966)</f>
        <v>49330.78</v>
      </c>
      <c r="J15" s="18" cm="1">
        <f t="array" ref="J15">INDEX(GMWA!$A$2:$DA$60,MATCH(1,(GMWA!$DA$2:$DA$60=J$3)*(GMWA!$CZ$2:$CZ$60=J$4),0),$A15-1966)</f>
        <v>1290697</v>
      </c>
      <c r="K15" s="18" cm="1">
        <f t="array" ref="K15">INDEX(GMWA!$A$2:$DA$60,MATCH(1,(GMWA!$DA$2:$DA$60=K$3)*(GMWA!$CZ$2:$CZ$60=K$4),0),$A15-1966)</f>
        <v>24430</v>
      </c>
      <c r="L15" s="18" cm="1">
        <f t="array" ref="L15">INDEX(GMWA!$A$2:$DA$60,MATCH(1,(GMWA!$DA$2:$DA$60=L$3)*(GMWA!$CZ$2:$CZ$60=L$4),0),$A15-1966)</f>
        <v>1E-3</v>
      </c>
    </row>
    <row r="16" spans="1:12" x14ac:dyDescent="0.25">
      <c r="A16" s="18">
        <f t="shared" si="1"/>
        <v>1982</v>
      </c>
      <c r="B16" s="18" cm="1">
        <f t="array" ref="B16">INDEX(GMWA!$A$2:$DA$60,MATCH(1,(GMWA!$DA$2:$DA$60=B$3)*(GMWA!$CZ$2:$CZ$60=B$4),0),$A16-1966)</f>
        <v>68777.61</v>
      </c>
      <c r="C16" s="18" cm="1">
        <f t="array" ref="C16">INDEX(GMWA!$A$2:$DA$60,MATCH(1,(GMWA!$DA$2:$DA$60=C$3)*(GMWA!$CZ$2:$CZ$60=C$4),0),$A16-1966)</f>
        <v>65451</v>
      </c>
      <c r="D16" s="18" cm="1">
        <f t="array" ref="D16">INDEX(GMWA!$A$2:$DA$60,MATCH(1,(GMWA!$DA$2:$DA$60=D$3)*(GMWA!$CZ$2:$CZ$60=D$4),0),$A16-1966)</f>
        <v>5959.3689999999997</v>
      </c>
      <c r="E16" s="18" cm="1">
        <f t="array" ref="E16">INDEX(GMWA!$A$2:$DA$60,MATCH(1,(GMWA!$DA$2:$DA$60=E$3)*(GMWA!$CZ$2:$CZ$60=E$4),0),$A16-1966)</f>
        <v>15775.54</v>
      </c>
      <c r="F16" s="18" cm="1">
        <f t="array" ref="F16">INDEX(GMWA!$A$2:$DA$60,MATCH(1,(GMWA!$DA$2:$DA$60=F$3)*(GMWA!$CZ$2:$CZ$60=F$4),0),$A16-1966)</f>
        <v>319558</v>
      </c>
      <c r="G16" s="18" cm="1">
        <f t="array" ref="G16">INDEX(GMWA!$A$2:$DA$60,MATCH(1,(GMWA!$DA$2:$DA$60=G$3)*(GMWA!$CZ$2:$CZ$60=G$4),0),$A16-1966)</f>
        <v>184492</v>
      </c>
      <c r="H16" s="18" cm="1">
        <f t="array" ref="H16">INDEX(GMWA!$A$2:$DA$60,MATCH(1,(GMWA!$DA$2:$DA$60=H$3)*(GMWA!$CZ$2:$CZ$60=H$4),0),$A16-1966)</f>
        <v>11730.93</v>
      </c>
      <c r="I16" s="18" cm="1">
        <f t="array" ref="I16">INDEX(GMWA!$A$2:$DA$60,MATCH(1,(GMWA!$DA$2:$DA$60=I$3)*(GMWA!$CZ$2:$CZ$60=I$4),0),$A16-1966)</f>
        <v>52643.24</v>
      </c>
      <c r="J16" s="18" cm="1">
        <f t="array" ref="J16">INDEX(GMWA!$A$2:$DA$60,MATCH(1,(GMWA!$DA$2:$DA$60=J$3)*(GMWA!$CZ$2:$CZ$60=J$4),0),$A16-1966)</f>
        <v>1302321</v>
      </c>
      <c r="K16" s="18" cm="1">
        <f t="array" ref="K16">INDEX(GMWA!$A$2:$DA$60,MATCH(1,(GMWA!$DA$2:$DA$60=K$3)*(GMWA!$CZ$2:$CZ$60=K$4),0),$A16-1966)</f>
        <v>23950.75</v>
      </c>
      <c r="L16" s="18" cm="1">
        <f t="array" ref="L16">INDEX(GMWA!$A$2:$DA$60,MATCH(1,(GMWA!$DA$2:$DA$60=L$3)*(GMWA!$CZ$2:$CZ$60=L$4),0),$A16-1966)</f>
        <v>1E-3</v>
      </c>
    </row>
    <row r="17" spans="1:12" x14ac:dyDescent="0.25">
      <c r="A17" s="18">
        <f t="shared" si="1"/>
        <v>1983</v>
      </c>
      <c r="B17" s="18" cm="1">
        <f t="array" ref="B17">INDEX(GMWA!$A$2:$DA$60,MATCH(1,(GMWA!$DA$2:$DA$60=B$3)*(GMWA!$CZ$2:$CZ$60=B$4),0),$A17-1966)</f>
        <v>69744.62</v>
      </c>
      <c r="C17" s="18" cm="1">
        <f t="array" ref="C17">INDEX(GMWA!$A$2:$DA$60,MATCH(1,(GMWA!$DA$2:$DA$60=C$3)*(GMWA!$CZ$2:$CZ$60=C$4),0),$A17-1966)</f>
        <v>77853</v>
      </c>
      <c r="D17" s="18" cm="1">
        <f t="array" ref="D17">INDEX(GMWA!$A$2:$DA$60,MATCH(1,(GMWA!$DA$2:$DA$60=D$3)*(GMWA!$CZ$2:$CZ$60=D$4),0),$A17-1966)</f>
        <v>9745.5249999999996</v>
      </c>
      <c r="E17" s="18" cm="1">
        <f t="array" ref="E17">INDEX(GMWA!$A$2:$DA$60,MATCH(1,(GMWA!$DA$2:$DA$60=E$3)*(GMWA!$CZ$2:$CZ$60=E$4),0),$A17-1966)</f>
        <v>-4821.5609999999997</v>
      </c>
      <c r="F17" s="18" cm="1">
        <f t="array" ref="F17">INDEX(GMWA!$A$2:$DA$60,MATCH(1,(GMWA!$DA$2:$DA$60=F$3)*(GMWA!$CZ$2:$CZ$60=F$4),0),$A17-1966)</f>
        <v>351347</v>
      </c>
      <c r="G17" s="18" cm="1">
        <f t="array" ref="G17">INDEX(GMWA!$A$2:$DA$60,MATCH(1,(GMWA!$DA$2:$DA$60=G$3)*(GMWA!$CZ$2:$CZ$60=G$4),0),$A17-1966)</f>
        <v>197849</v>
      </c>
      <c r="H17" s="18" cm="1">
        <f t="array" ref="H17">INDEX(GMWA!$A$2:$DA$60,MATCH(1,(GMWA!$DA$2:$DA$60=H$3)*(GMWA!$CZ$2:$CZ$60=H$4),0),$A17-1966)</f>
        <v>16035.64</v>
      </c>
      <c r="I17" s="18" cm="1">
        <f t="array" ref="I17">INDEX(GMWA!$A$2:$DA$60,MATCH(1,(GMWA!$DA$2:$DA$60=I$3)*(GMWA!$CZ$2:$CZ$60=I$4),0),$A17-1966)</f>
        <v>56478.11</v>
      </c>
      <c r="J17" s="18" cm="1">
        <f t="array" ref="J17">INDEX(GMWA!$A$2:$DA$60,MATCH(1,(GMWA!$DA$2:$DA$60=J$3)*(GMWA!$CZ$2:$CZ$60=J$4),0),$A17-1966)</f>
        <v>1316144</v>
      </c>
      <c r="K17" s="18" cm="1">
        <f t="array" ref="K17">INDEX(GMWA!$A$2:$DA$60,MATCH(1,(GMWA!$DA$2:$DA$60=K$3)*(GMWA!$CZ$2:$CZ$60=K$4),0),$A17-1966)</f>
        <v>23775.25</v>
      </c>
      <c r="L17" s="18" cm="1">
        <f t="array" ref="L17">INDEX(GMWA!$A$2:$DA$60,MATCH(1,(GMWA!$DA$2:$DA$60=L$3)*(GMWA!$CZ$2:$CZ$60=L$4),0),$A17-1966)</f>
        <v>1E-3</v>
      </c>
    </row>
    <row r="18" spans="1:12" x14ac:dyDescent="0.25">
      <c r="A18" s="18">
        <f t="shared" si="1"/>
        <v>1984</v>
      </c>
      <c r="B18" s="18" cm="1">
        <f t="array" ref="B18">INDEX(GMWA!$A$2:$DA$60,MATCH(1,(GMWA!$DA$2:$DA$60=B$3)*(GMWA!$CZ$2:$CZ$60=B$4),0),$A18-1966)</f>
        <v>77615.759999999995</v>
      </c>
      <c r="C18" s="18" cm="1">
        <f t="array" ref="C18">INDEX(GMWA!$A$2:$DA$60,MATCH(1,(GMWA!$DA$2:$DA$60=C$3)*(GMWA!$CZ$2:$CZ$60=C$4),0),$A18-1966)</f>
        <v>84738</v>
      </c>
      <c r="D18" s="18" cm="1">
        <f t="array" ref="D18">INDEX(GMWA!$A$2:$DA$60,MATCH(1,(GMWA!$DA$2:$DA$60=D$3)*(GMWA!$CZ$2:$CZ$60=D$4),0),$A18-1966)</f>
        <v>9092.2039999999997</v>
      </c>
      <c r="E18" s="18" cm="1">
        <f t="array" ref="E18">INDEX(GMWA!$A$2:$DA$60,MATCH(1,(GMWA!$DA$2:$DA$60=E$3)*(GMWA!$CZ$2:$CZ$60=E$4),0),$A18-1966)</f>
        <v>20801.599999999999</v>
      </c>
      <c r="F18" s="18" cm="1">
        <f t="array" ref="F18">INDEX(GMWA!$A$2:$DA$60,MATCH(1,(GMWA!$DA$2:$DA$60=F$3)*(GMWA!$CZ$2:$CZ$60=F$4),0),$A18-1966)</f>
        <v>377920</v>
      </c>
      <c r="G18" s="18" cm="1">
        <f t="array" ref="G18">INDEX(GMWA!$A$2:$DA$60,MATCH(1,(GMWA!$DA$2:$DA$60=G$3)*(GMWA!$CZ$2:$CZ$60=G$4),0),$A18-1966)</f>
        <v>210577</v>
      </c>
      <c r="H18" s="18" cm="1">
        <f t="array" ref="H18">INDEX(GMWA!$A$2:$DA$60,MATCH(1,(GMWA!$DA$2:$DA$60=H$3)*(GMWA!$CZ$2:$CZ$60=H$4),0),$A18-1966)</f>
        <v>18081.5</v>
      </c>
      <c r="I18" s="18" cm="1">
        <f t="array" ref="I18">INDEX(GMWA!$A$2:$DA$60,MATCH(1,(GMWA!$DA$2:$DA$60=I$3)*(GMWA!$CZ$2:$CZ$60=I$4),0),$A18-1966)</f>
        <v>60187.07</v>
      </c>
      <c r="J18" s="18" cm="1">
        <f t="array" ref="J18">INDEX(GMWA!$A$2:$DA$60,MATCH(1,(GMWA!$DA$2:$DA$60=J$3)*(GMWA!$CZ$2:$CZ$60=J$4),0),$A18-1966)</f>
        <v>1341276</v>
      </c>
      <c r="K18" s="18" cm="1">
        <f t="array" ref="K18">INDEX(GMWA!$A$2:$DA$60,MATCH(1,(GMWA!$DA$2:$DA$60=K$3)*(GMWA!$CZ$2:$CZ$60=K$4),0),$A18-1966)</f>
        <v>24285</v>
      </c>
      <c r="L18" s="18" cm="1">
        <f t="array" ref="L18">INDEX(GMWA!$A$2:$DA$60,MATCH(1,(GMWA!$DA$2:$DA$60=L$3)*(GMWA!$CZ$2:$CZ$60=L$4),0),$A18-1966)</f>
        <v>1E-3</v>
      </c>
    </row>
    <row r="19" spans="1:12" x14ac:dyDescent="0.25">
      <c r="A19" s="18">
        <f t="shared" si="1"/>
        <v>1985</v>
      </c>
      <c r="B19" s="18" cm="1">
        <f t="array" ref="B19">INDEX(GMWA!$A$2:$DA$60,MATCH(1,(GMWA!$DA$2:$DA$60=B$3)*(GMWA!$CZ$2:$CZ$60=B$4),0),$A19-1966)</f>
        <v>83848.960000000006</v>
      </c>
      <c r="C19" s="18" cm="1">
        <f t="array" ref="C19">INDEX(GMWA!$A$2:$DA$60,MATCH(1,(GMWA!$DA$2:$DA$60=C$3)*(GMWA!$CZ$2:$CZ$60=C$4),0),$A19-1966)</f>
        <v>98707</v>
      </c>
      <c r="D19" s="18" cm="1">
        <f t="array" ref="D19">INDEX(GMWA!$A$2:$DA$60,MATCH(1,(GMWA!$DA$2:$DA$60=D$3)*(GMWA!$CZ$2:$CZ$60=D$4),0),$A19-1966)</f>
        <v>8646.3179999999993</v>
      </c>
      <c r="E19" s="18" cm="1">
        <f t="array" ref="E19">INDEX(GMWA!$A$2:$DA$60,MATCH(1,(GMWA!$DA$2:$DA$60=E$3)*(GMWA!$CZ$2:$CZ$60=E$4),0),$A19-1966)</f>
        <v>21848.86</v>
      </c>
      <c r="F19" s="18" cm="1">
        <f t="array" ref="F19">INDEX(GMWA!$A$2:$DA$60,MATCH(1,(GMWA!$DA$2:$DA$60=F$3)*(GMWA!$CZ$2:$CZ$60=F$4),0),$A19-1966)</f>
        <v>414630</v>
      </c>
      <c r="G19" s="18" cm="1">
        <f t="array" ref="G19">INDEX(GMWA!$A$2:$DA$60,MATCH(1,(GMWA!$DA$2:$DA$60=G$3)*(GMWA!$CZ$2:$CZ$60=G$4),0),$A19-1966)</f>
        <v>214788</v>
      </c>
      <c r="H19" s="18" cm="1">
        <f t="array" ref="H19">INDEX(GMWA!$A$2:$DA$60,MATCH(1,(GMWA!$DA$2:$DA$60=H$3)*(GMWA!$CZ$2:$CZ$60=H$4),0),$A19-1966)</f>
        <v>18158.95</v>
      </c>
      <c r="I19" s="18" cm="1">
        <f t="array" ref="I19">INDEX(GMWA!$A$2:$DA$60,MATCH(1,(GMWA!$DA$2:$DA$60=I$3)*(GMWA!$CZ$2:$CZ$60=I$4),0),$A19-1966)</f>
        <v>58635.34</v>
      </c>
      <c r="J19" s="18" cm="1">
        <f t="array" ref="J19">INDEX(GMWA!$A$2:$DA$60,MATCH(1,(GMWA!$DA$2:$DA$60=J$3)*(GMWA!$CZ$2:$CZ$60=J$4),0),$A19-1966)</f>
        <v>1368293</v>
      </c>
      <c r="K19" s="18" cm="1">
        <f t="array" ref="K19">INDEX(GMWA!$A$2:$DA$60,MATCH(1,(GMWA!$DA$2:$DA$60=K$3)*(GMWA!$CZ$2:$CZ$60=K$4),0),$A19-1966)</f>
        <v>24592.5</v>
      </c>
      <c r="L19" s="18" cm="1">
        <f t="array" ref="L19">INDEX(GMWA!$A$2:$DA$60,MATCH(1,(GMWA!$DA$2:$DA$60=L$3)*(GMWA!$CZ$2:$CZ$60=L$4),0),$A19-1966)</f>
        <v>1E-3</v>
      </c>
    </row>
    <row r="20" spans="1:12" x14ac:dyDescent="0.25">
      <c r="A20" s="18">
        <f t="shared" si="1"/>
        <v>1986</v>
      </c>
      <c r="B20" s="18" cm="1">
        <f t="array" ref="B20">INDEX(GMWA!$A$2:$DA$60,MATCH(1,(GMWA!$DA$2:$DA$60=B$3)*(GMWA!$CZ$2:$CZ$60=B$4),0),$A20-1966)</f>
        <v>82748.42</v>
      </c>
      <c r="C20" s="18" cm="1">
        <f t="array" ref="C20">INDEX(GMWA!$A$2:$DA$60,MATCH(1,(GMWA!$DA$2:$DA$60=C$3)*(GMWA!$CZ$2:$CZ$60=C$4),0),$A20-1966)</f>
        <v>102934</v>
      </c>
      <c r="D20" s="18" cm="1">
        <f t="array" ref="D20">INDEX(GMWA!$A$2:$DA$60,MATCH(1,(GMWA!$DA$2:$DA$60=D$3)*(GMWA!$CZ$2:$CZ$60=D$4),0),$A20-1966)</f>
        <v>5453.384</v>
      </c>
      <c r="E20" s="18" cm="1">
        <f t="array" ref="E20">INDEX(GMWA!$A$2:$DA$60,MATCH(1,(GMWA!$DA$2:$DA$60=E$3)*(GMWA!$CZ$2:$CZ$60=E$4),0),$A20-1966)</f>
        <v>-1933.75</v>
      </c>
      <c r="F20" s="18" cm="1">
        <f t="array" ref="F20">INDEX(GMWA!$A$2:$DA$60,MATCH(1,(GMWA!$DA$2:$DA$60=F$3)*(GMWA!$CZ$2:$CZ$60=F$4),0),$A20-1966)</f>
        <v>446600</v>
      </c>
      <c r="G20" s="18" cm="1">
        <f t="array" ref="G20">INDEX(GMWA!$A$2:$DA$60,MATCH(1,(GMWA!$DA$2:$DA$60=G$3)*(GMWA!$CZ$2:$CZ$60=G$4),0),$A20-1966)</f>
        <v>212084</v>
      </c>
      <c r="H20" s="18" cm="1">
        <f t="array" ref="H20">INDEX(GMWA!$A$2:$DA$60,MATCH(1,(GMWA!$DA$2:$DA$60=H$3)*(GMWA!$CZ$2:$CZ$60=H$4),0),$A20-1966)</f>
        <v>21323.93</v>
      </c>
      <c r="I20" s="18" cm="1">
        <f t="array" ref="I20">INDEX(GMWA!$A$2:$DA$60,MATCH(1,(GMWA!$DA$2:$DA$60=I$3)*(GMWA!$CZ$2:$CZ$60=I$4),0),$A20-1966)</f>
        <v>65714.38</v>
      </c>
      <c r="J20" s="18" cm="1">
        <f t="array" ref="J20">INDEX(GMWA!$A$2:$DA$60,MATCH(1,(GMWA!$DA$2:$DA$60=J$3)*(GMWA!$CZ$2:$CZ$60=J$4),0),$A20-1966)</f>
        <v>1390127</v>
      </c>
      <c r="K20" s="18" cm="1">
        <f t="array" ref="K20">INDEX(GMWA!$A$2:$DA$60,MATCH(1,(GMWA!$DA$2:$DA$60=K$3)*(GMWA!$CZ$2:$CZ$60=K$4),0),$A20-1966)</f>
        <v>24746.25</v>
      </c>
      <c r="L20" s="18" cm="1">
        <f t="array" ref="L20">INDEX(GMWA!$A$2:$DA$60,MATCH(1,(GMWA!$DA$2:$DA$60=L$3)*(GMWA!$CZ$2:$CZ$60=L$4),0),$A20-1966)</f>
        <v>33.524140000000003</v>
      </c>
    </row>
    <row r="21" spans="1:12" x14ac:dyDescent="0.25">
      <c r="A21" s="18">
        <f t="shared" si="1"/>
        <v>1987</v>
      </c>
      <c r="B21" s="18" cm="1">
        <f t="array" ref="B21">INDEX(GMWA!$A$2:$DA$60,MATCH(1,(GMWA!$DA$2:$DA$60=B$3)*(GMWA!$CZ$2:$CZ$60=B$4),0),$A21-1966)</f>
        <v>87160.27</v>
      </c>
      <c r="C21" s="18" cm="1">
        <f t="array" ref="C21">INDEX(GMWA!$A$2:$DA$60,MATCH(1,(GMWA!$DA$2:$DA$60=C$3)*(GMWA!$CZ$2:$CZ$60=C$4),0),$A21-1966)</f>
        <v>123213</v>
      </c>
      <c r="D21" s="18" cm="1">
        <f t="array" ref="D21">INDEX(GMWA!$A$2:$DA$60,MATCH(1,(GMWA!$DA$2:$DA$60=D$3)*(GMWA!$CZ$2:$CZ$60=D$4),0),$A21-1966)</f>
        <v>8065</v>
      </c>
      <c r="E21" s="18" cm="1">
        <f t="array" ref="E21">INDEX(GMWA!$A$2:$DA$60,MATCH(1,(GMWA!$DA$2:$DA$60=E$3)*(GMWA!$CZ$2:$CZ$60=E$4),0),$A21-1966)</f>
        <v>-6901</v>
      </c>
      <c r="F21" s="18" cm="1">
        <f t="array" ref="F21">INDEX(GMWA!$A$2:$DA$60,MATCH(1,(GMWA!$DA$2:$DA$60=F$3)*(GMWA!$CZ$2:$CZ$60=F$4),0),$A21-1966)</f>
        <v>496809</v>
      </c>
      <c r="G21" s="18" cm="1">
        <f t="array" ref="G21">INDEX(GMWA!$A$2:$DA$60,MATCH(1,(GMWA!$DA$2:$DA$60=G$3)*(GMWA!$CZ$2:$CZ$60=G$4),0),$A21-1966)</f>
        <v>238398</v>
      </c>
      <c r="H21" s="18" cm="1">
        <f t="array" ref="H21">INDEX(GMWA!$A$2:$DA$60,MATCH(1,(GMWA!$DA$2:$DA$60=H$3)*(GMWA!$CZ$2:$CZ$60=H$4),0),$A21-1966)</f>
        <v>20773.29</v>
      </c>
      <c r="I21" s="18" cm="1">
        <f t="array" ref="I21">INDEX(GMWA!$A$2:$DA$60,MATCH(1,(GMWA!$DA$2:$DA$60=I$3)*(GMWA!$CZ$2:$CZ$60=I$4),0),$A21-1966)</f>
        <v>71921.14</v>
      </c>
      <c r="J21" s="18" cm="1">
        <f t="array" ref="J21">INDEX(GMWA!$A$2:$DA$60,MATCH(1,(GMWA!$DA$2:$DA$60=J$3)*(GMWA!$CZ$2:$CZ$60=J$4),0),$A21-1966)</f>
        <v>1421385</v>
      </c>
      <c r="K21" s="18" cm="1">
        <f t="array" ref="K21">INDEX(GMWA!$A$2:$DA$60,MATCH(1,(GMWA!$DA$2:$DA$60=K$3)*(GMWA!$CZ$2:$CZ$60=K$4),0),$A21-1966)</f>
        <v>25238.75</v>
      </c>
      <c r="L21" s="18" cm="1">
        <f t="array" ref="L21">INDEX(GMWA!$A$2:$DA$60,MATCH(1,(GMWA!$DA$2:$DA$60=L$3)*(GMWA!$CZ$2:$CZ$60=L$4),0),$A21-1966)</f>
        <v>33.524140000000003</v>
      </c>
    </row>
    <row r="22" spans="1:12" x14ac:dyDescent="0.25">
      <c r="A22" s="18">
        <f t="shared" si="1"/>
        <v>1988</v>
      </c>
      <c r="B22" s="18" cm="1">
        <f t="array" ref="B22">INDEX(GMWA!$A$2:$DA$60,MATCH(1,(GMWA!$DA$2:$DA$60=B$3)*(GMWA!$CZ$2:$CZ$60=B$4),0),$A22-1966)</f>
        <v>107163.1</v>
      </c>
      <c r="C22" s="18" cm="1">
        <f t="array" ref="C22">INDEX(GMWA!$A$2:$DA$60,MATCH(1,(GMWA!$DA$2:$DA$60=C$3)*(GMWA!$CZ$2:$CZ$60=C$4),0),$A22-1966)</f>
        <v>140892</v>
      </c>
      <c r="D22" s="18" cm="1">
        <f t="array" ref="D22">INDEX(GMWA!$A$2:$DA$60,MATCH(1,(GMWA!$DA$2:$DA$60=D$3)*(GMWA!$CZ$2:$CZ$60=D$4),0),$A22-1966)</f>
        <v>1174</v>
      </c>
      <c r="E22" s="18" cm="1">
        <f t="array" ref="E22">INDEX(GMWA!$A$2:$DA$60,MATCH(1,(GMWA!$DA$2:$DA$60=E$3)*(GMWA!$CZ$2:$CZ$60=E$4),0),$A22-1966)</f>
        <v>-17198</v>
      </c>
      <c r="F22" s="18" cm="1">
        <f t="array" ref="F22">INDEX(GMWA!$A$2:$DA$60,MATCH(1,(GMWA!$DA$2:$DA$60=F$3)*(GMWA!$CZ$2:$CZ$60=F$4),0),$A22-1966)</f>
        <v>555683</v>
      </c>
      <c r="G22" s="18" cm="1">
        <f t="array" ref="G22">INDEX(GMWA!$A$2:$DA$60,MATCH(1,(GMWA!$DA$2:$DA$60=G$3)*(GMWA!$CZ$2:$CZ$60=G$4),0),$A22-1966)</f>
        <v>275330</v>
      </c>
      <c r="H22" s="18" cm="1">
        <f t="array" ref="H22">INDEX(GMWA!$A$2:$DA$60,MATCH(1,(GMWA!$DA$2:$DA$60=H$3)*(GMWA!$CZ$2:$CZ$60=H$4),0),$A22-1966)</f>
        <v>19119.29</v>
      </c>
      <c r="I22" s="18" cm="1">
        <f t="array" ref="I22">INDEX(GMWA!$A$2:$DA$60,MATCH(1,(GMWA!$DA$2:$DA$60=I$3)*(GMWA!$CZ$2:$CZ$60=I$4),0),$A22-1966)</f>
        <v>86474.41</v>
      </c>
      <c r="J22" s="18" cm="1">
        <f t="array" ref="J22">INDEX(GMWA!$A$2:$DA$60,MATCH(1,(GMWA!$DA$2:$DA$60=J$3)*(GMWA!$CZ$2:$CZ$60=J$4),0),$A22-1966)</f>
        <v>1466309</v>
      </c>
      <c r="K22" s="18" cm="1">
        <f t="array" ref="K22">INDEX(GMWA!$A$2:$DA$60,MATCH(1,(GMWA!$DA$2:$DA$60=K$3)*(GMWA!$CZ$2:$CZ$60=K$4),0),$A22-1966)</f>
        <v>26070</v>
      </c>
      <c r="L22" s="18" cm="1">
        <f t="array" ref="L22">INDEX(GMWA!$A$2:$DA$60,MATCH(1,(GMWA!$DA$2:$DA$60=L$3)*(GMWA!$CZ$2:$CZ$60=L$4),0),$A22-1966)</f>
        <v>33.690100000000001</v>
      </c>
    </row>
    <row r="23" spans="1:12" x14ac:dyDescent="0.25">
      <c r="A23" s="18">
        <f t="shared" si="1"/>
        <v>1989</v>
      </c>
      <c r="B23" s="18" cm="1">
        <f t="array" ref="B23">INDEX(GMWA!$A$2:$DA$60,MATCH(1,(GMWA!$DA$2:$DA$60=B$3)*(GMWA!$CZ$2:$CZ$60=B$4),0),$A23-1966)</f>
        <v>120195.9</v>
      </c>
      <c r="C23" s="18" cm="1">
        <f t="array" ref="C23">INDEX(GMWA!$A$2:$DA$60,MATCH(1,(GMWA!$DA$2:$DA$60=C$3)*(GMWA!$CZ$2:$CZ$60=C$4),0),$A23-1966)</f>
        <v>157363</v>
      </c>
      <c r="D23" s="18" cm="1">
        <f t="array" ref="D23">INDEX(GMWA!$A$2:$DA$60,MATCH(1,(GMWA!$DA$2:$DA$60=D$3)*(GMWA!$CZ$2:$CZ$60=D$4),0),$A23-1966)</f>
        <v>-13174</v>
      </c>
      <c r="E23" s="18" cm="1">
        <f t="array" ref="E23">INDEX(GMWA!$A$2:$DA$60,MATCH(1,(GMWA!$DA$2:$DA$60=E$3)*(GMWA!$CZ$2:$CZ$60=E$4),0),$A23-1966)</f>
        <v>-32194</v>
      </c>
      <c r="F23" s="18" cm="1">
        <f t="array" ref="F23">INDEX(GMWA!$A$2:$DA$60,MATCH(1,(GMWA!$DA$2:$DA$60=F$3)*(GMWA!$CZ$2:$CZ$60=F$4),0),$A23-1966)</f>
        <v>614631</v>
      </c>
      <c r="G23" s="18" cm="1">
        <f t="array" ref="G23">INDEX(GMWA!$A$2:$DA$60,MATCH(1,(GMWA!$DA$2:$DA$60=G$3)*(GMWA!$CZ$2:$CZ$60=G$4),0),$A23-1966)</f>
        <v>288769</v>
      </c>
      <c r="H23" s="18" cm="1">
        <f t="array" ref="H23">INDEX(GMWA!$A$2:$DA$60,MATCH(1,(GMWA!$DA$2:$DA$60=H$3)*(GMWA!$CZ$2:$CZ$60=H$4),0),$A23-1966)</f>
        <v>23251.17</v>
      </c>
      <c r="I23" s="18" cm="1">
        <f t="array" ref="I23">INDEX(GMWA!$A$2:$DA$60,MATCH(1,(GMWA!$DA$2:$DA$60=I$3)*(GMWA!$CZ$2:$CZ$60=I$4),0),$A23-1966)</f>
        <v>80491.11</v>
      </c>
      <c r="J23" s="18" cm="1">
        <f t="array" ref="J23">INDEX(GMWA!$A$2:$DA$60,MATCH(1,(GMWA!$DA$2:$DA$60=J$3)*(GMWA!$CZ$2:$CZ$60=J$4),0),$A23-1966)</f>
        <v>1519872</v>
      </c>
      <c r="K23" s="18" cm="1">
        <f t="array" ref="K23">INDEX(GMWA!$A$2:$DA$60,MATCH(1,(GMWA!$DA$2:$DA$60=K$3)*(GMWA!$CZ$2:$CZ$60=K$4),0),$A23-1966)</f>
        <v>26748.75</v>
      </c>
      <c r="L23" s="18" cm="1">
        <f t="array" ref="L23">INDEX(GMWA!$A$2:$DA$60,MATCH(1,(GMWA!$DA$2:$DA$60=L$3)*(GMWA!$CZ$2:$CZ$60=L$4),0),$A23-1966)</f>
        <v>33.77308</v>
      </c>
    </row>
    <row r="24" spans="1:12" x14ac:dyDescent="0.25">
      <c r="A24" s="18">
        <f t="shared" si="1"/>
        <v>1990</v>
      </c>
      <c r="B24" s="18" cm="1">
        <f t="array" ref="B24">INDEX(GMWA!$A$2:$DA$60,MATCH(1,(GMWA!$DA$2:$DA$60=B$3)*(GMWA!$CZ$2:$CZ$60=B$4),0),$A24-1966)</f>
        <v>120112.2</v>
      </c>
      <c r="C24" s="18" cm="1">
        <f t="array" ref="C24">INDEX(GMWA!$A$2:$DA$60,MATCH(1,(GMWA!$DA$2:$DA$60=C$3)*(GMWA!$CZ$2:$CZ$60=C$4),0),$A24-1966)</f>
        <v>166685</v>
      </c>
      <c r="D24" s="18" cm="1">
        <f t="array" ref="D24">INDEX(GMWA!$A$2:$DA$60,MATCH(1,(GMWA!$DA$2:$DA$60=D$3)*(GMWA!$CZ$2:$CZ$60=D$4),0),$A24-1966)</f>
        <v>-10439</v>
      </c>
      <c r="E24" s="18" cm="1">
        <f t="array" ref="E24">INDEX(GMWA!$A$2:$DA$60,MATCH(1,(GMWA!$DA$2:$DA$60=E$3)*(GMWA!$CZ$2:$CZ$60=E$4),0),$A24-1966)</f>
        <v>-28560</v>
      </c>
      <c r="F24" s="18" cm="1">
        <f t="array" ref="F24">INDEX(GMWA!$A$2:$DA$60,MATCH(1,(GMWA!$DA$2:$DA$60=F$3)*(GMWA!$CZ$2:$CZ$60=F$4),0),$A24-1966)</f>
        <v>670797</v>
      </c>
      <c r="G24" s="18" cm="1">
        <f t="array" ref="G24">INDEX(GMWA!$A$2:$DA$60,MATCH(1,(GMWA!$DA$2:$DA$60=G$3)*(GMWA!$CZ$2:$CZ$60=G$4),0),$A24-1966)</f>
        <v>281334</v>
      </c>
      <c r="H24" s="18" cm="1">
        <f t="array" ref="H24">INDEX(GMWA!$A$2:$DA$60,MATCH(1,(GMWA!$DA$2:$DA$60=H$3)*(GMWA!$CZ$2:$CZ$60=H$4),0),$A24-1966)</f>
        <v>27761.88</v>
      </c>
      <c r="I24" s="18" cm="1">
        <f t="array" ref="I24">INDEX(GMWA!$A$2:$DA$60,MATCH(1,(GMWA!$DA$2:$DA$60=I$3)*(GMWA!$CZ$2:$CZ$60=I$4),0),$A24-1966)</f>
        <v>66415.66</v>
      </c>
      <c r="J24" s="18" cm="1">
        <f t="array" ref="J24">INDEX(GMWA!$A$2:$DA$60,MATCH(1,(GMWA!$DA$2:$DA$60=J$3)*(GMWA!$CZ$2:$CZ$60=J$4),0),$A24-1966)</f>
        <v>1579875</v>
      </c>
      <c r="K24" s="18" cm="1">
        <f t="array" ref="K24">INDEX(GMWA!$A$2:$DA$60,MATCH(1,(GMWA!$DA$2:$DA$60=K$3)*(GMWA!$CZ$2:$CZ$60=K$4),0),$A24-1966)</f>
        <v>26871.25</v>
      </c>
      <c r="L24" s="18" cm="1">
        <f t="array" ref="L24">INDEX(GMWA!$A$2:$DA$60,MATCH(1,(GMWA!$DA$2:$DA$60=L$3)*(GMWA!$CZ$2:$CZ$60=L$4),0),$A24-1966)</f>
        <v>33.607120000000002</v>
      </c>
    </row>
    <row r="25" spans="1:12" x14ac:dyDescent="0.25">
      <c r="A25" s="18">
        <f t="shared" si="1"/>
        <v>1991</v>
      </c>
      <c r="B25" s="18" cm="1">
        <f t="array" ref="B25">INDEX(GMWA!$A$2:$DA$60,MATCH(1,(GMWA!$DA$2:$DA$60=B$3)*(GMWA!$CZ$2:$CZ$60=B$4),0),$A25-1966)</f>
        <v>110492.1</v>
      </c>
      <c r="C25" s="18" cm="1">
        <f t="array" ref="C25">INDEX(GMWA!$A$2:$DA$60,MATCH(1,(GMWA!$DA$2:$DA$60=C$3)*(GMWA!$CZ$2:$CZ$60=C$4),0),$A25-1966)</f>
        <v>163324</v>
      </c>
      <c r="D25" s="18" cm="1">
        <f t="array" ref="D25">INDEX(GMWA!$A$2:$DA$60,MATCH(1,(GMWA!$DA$2:$DA$60=D$3)*(GMWA!$CZ$2:$CZ$60=D$4),0),$A25-1966)</f>
        <v>-5642</v>
      </c>
      <c r="E25" s="18" cm="1">
        <f t="array" ref="E25">INDEX(GMWA!$A$2:$DA$60,MATCH(1,(GMWA!$DA$2:$DA$60=E$3)*(GMWA!$CZ$2:$CZ$60=E$4),0),$A25-1966)</f>
        <v>-29252</v>
      </c>
      <c r="F25" s="18" cm="1">
        <f t="array" ref="F25">INDEX(GMWA!$A$2:$DA$60,MATCH(1,(GMWA!$DA$2:$DA$60=F$3)*(GMWA!$CZ$2:$CZ$60=F$4),0),$A25-1966)</f>
        <v>705884</v>
      </c>
      <c r="G25" s="18" cm="1">
        <f t="array" ref="G25">INDEX(GMWA!$A$2:$DA$60,MATCH(1,(GMWA!$DA$2:$DA$60=G$3)*(GMWA!$CZ$2:$CZ$60=G$4),0),$A25-1966)</f>
        <v>258993</v>
      </c>
      <c r="H25" s="18" cm="1">
        <f t="array" ref="H25">INDEX(GMWA!$A$2:$DA$60,MATCH(1,(GMWA!$DA$2:$DA$60=H$3)*(GMWA!$CZ$2:$CZ$60=H$4),0),$A25-1966)</f>
        <v>28182.11</v>
      </c>
      <c r="I25" s="18" cm="1">
        <f t="array" ref="I25">INDEX(GMWA!$A$2:$DA$60,MATCH(1,(GMWA!$DA$2:$DA$60=I$3)*(GMWA!$CZ$2:$CZ$60=I$4),0),$A25-1966)</f>
        <v>58799.76</v>
      </c>
      <c r="J25" s="18" cm="1">
        <f t="array" ref="J25">INDEX(GMWA!$A$2:$DA$60,MATCH(1,(GMWA!$DA$2:$DA$60=J$3)*(GMWA!$CZ$2:$CZ$60=J$4),0),$A25-1966)</f>
        <v>1631082</v>
      </c>
      <c r="K25" s="18" cm="1">
        <f t="array" ref="K25">INDEX(GMWA!$A$2:$DA$60,MATCH(1,(GMWA!$DA$2:$DA$60=K$3)*(GMWA!$CZ$2:$CZ$60=K$4),0),$A25-1966)</f>
        <v>26162.5</v>
      </c>
      <c r="L25" s="18" cm="1">
        <f t="array" ref="L25">INDEX(GMWA!$A$2:$DA$60,MATCH(1,(GMWA!$DA$2:$DA$60=L$3)*(GMWA!$CZ$2:$CZ$60=L$4),0),$A25-1966)</f>
        <v>33.192219999999999</v>
      </c>
    </row>
    <row r="26" spans="1:12" x14ac:dyDescent="0.25">
      <c r="A26" s="18">
        <f t="shared" si="1"/>
        <v>1992</v>
      </c>
      <c r="B26" s="18" cm="1">
        <f t="array" ref="B26">INDEX(GMWA!$A$2:$DA$60,MATCH(1,(GMWA!$DA$2:$DA$60=B$3)*(GMWA!$CZ$2:$CZ$60=B$4),0),$A26-1966)</f>
        <v>106318.39999999999</v>
      </c>
      <c r="C26" s="18" cm="1">
        <f t="array" ref="C26">INDEX(GMWA!$A$2:$DA$60,MATCH(1,(GMWA!$DA$2:$DA$60=C$3)*(GMWA!$CZ$2:$CZ$60=C$4),0),$A26-1966)</f>
        <v>163556</v>
      </c>
      <c r="D26" s="18" cm="1">
        <f t="array" ref="D26">INDEX(GMWA!$A$2:$DA$60,MATCH(1,(GMWA!$DA$2:$DA$60=D$3)*(GMWA!$CZ$2:$CZ$60=D$4),0),$A26-1966)</f>
        <v>-5561</v>
      </c>
      <c r="E26" s="18" cm="1">
        <f t="array" ref="E26">INDEX(GMWA!$A$2:$DA$60,MATCH(1,(GMWA!$DA$2:$DA$60=E$3)*(GMWA!$CZ$2:$CZ$60=E$4),0),$A26-1966)</f>
        <v>-23873</v>
      </c>
      <c r="F26" s="18" cm="1">
        <f t="array" ref="F26">INDEX(GMWA!$A$2:$DA$60,MATCH(1,(GMWA!$DA$2:$DA$60=F$3)*(GMWA!$CZ$2:$CZ$60=F$4),0),$A26-1966)</f>
        <v>730874</v>
      </c>
      <c r="G26" s="18" cm="1">
        <f t="array" ref="G26">INDEX(GMWA!$A$2:$DA$60,MATCH(1,(GMWA!$DA$2:$DA$60=G$3)*(GMWA!$CZ$2:$CZ$60=G$4),0),$A26-1966)</f>
        <v>254824</v>
      </c>
      <c r="H26" s="18" cm="1">
        <f t="array" ref="H26">INDEX(GMWA!$A$2:$DA$60,MATCH(1,(GMWA!$DA$2:$DA$60=H$3)*(GMWA!$CZ$2:$CZ$60=H$4),0),$A26-1966)</f>
        <v>31490.1</v>
      </c>
      <c r="I26" s="18" cm="1">
        <f t="array" ref="I26">INDEX(GMWA!$A$2:$DA$60,MATCH(1,(GMWA!$DA$2:$DA$60=I$3)*(GMWA!$CZ$2:$CZ$60=I$4),0),$A26-1966)</f>
        <v>61348.89</v>
      </c>
      <c r="J26" s="18" cm="1">
        <f t="array" ref="J26">INDEX(GMWA!$A$2:$DA$60,MATCH(1,(GMWA!$DA$2:$DA$60=J$3)*(GMWA!$CZ$2:$CZ$60=J$4),0),$A26-1966)</f>
        <v>1661869</v>
      </c>
      <c r="K26" s="18" cm="1">
        <f t="array" ref="K26">INDEX(GMWA!$A$2:$DA$60,MATCH(1,(GMWA!$DA$2:$DA$60=K$3)*(GMWA!$CZ$2:$CZ$60=K$4),0),$A26-1966)</f>
        <v>25540</v>
      </c>
      <c r="L26" s="18" cm="1">
        <f t="array" ref="L26">INDEX(GMWA!$A$2:$DA$60,MATCH(1,(GMWA!$DA$2:$DA$60=L$3)*(GMWA!$CZ$2:$CZ$60=L$4),0),$A26-1966)</f>
        <v>33.07629</v>
      </c>
    </row>
    <row r="27" spans="1:12" x14ac:dyDescent="0.25">
      <c r="A27" s="18">
        <f t="shared" si="1"/>
        <v>1993</v>
      </c>
      <c r="B27" s="18" cm="1">
        <f t="array" ref="B27">INDEX(GMWA!$A$2:$DA$60,MATCH(1,(GMWA!$DA$2:$DA$60=B$3)*(GMWA!$CZ$2:$CZ$60=B$4),0),$A27-1966)</f>
        <v>102456.9</v>
      </c>
      <c r="C27" s="18" cm="1">
        <f t="array" ref="C27">INDEX(GMWA!$A$2:$DA$60,MATCH(1,(GMWA!$DA$2:$DA$60=C$3)*(GMWA!$CZ$2:$CZ$60=C$4),0),$A27-1966)</f>
        <v>182607</v>
      </c>
      <c r="D27" s="18" cm="1">
        <f t="array" ref="D27">INDEX(GMWA!$A$2:$DA$60,MATCH(1,(GMWA!$DA$2:$DA$60=D$3)*(GMWA!$CZ$2:$CZ$60=D$4),0),$A27-1966)</f>
        <v>4813</v>
      </c>
      <c r="E27" s="18" cm="1">
        <f t="array" ref="E27">INDEX(GMWA!$A$2:$DA$60,MATCH(1,(GMWA!$DA$2:$DA$60=E$3)*(GMWA!$CZ$2:$CZ$60=E$4),0),$A27-1966)</f>
        <v>-12136</v>
      </c>
      <c r="F27" s="18" cm="1">
        <f t="array" ref="F27">INDEX(GMWA!$A$2:$DA$60,MATCH(1,(GMWA!$DA$2:$DA$60=F$3)*(GMWA!$CZ$2:$CZ$60=F$4),0),$A27-1966)</f>
        <v>769855</v>
      </c>
      <c r="G27" s="18" cm="1">
        <f t="array" ref="G27">INDEX(GMWA!$A$2:$DA$60,MATCH(1,(GMWA!$DA$2:$DA$60=G$3)*(GMWA!$CZ$2:$CZ$60=G$4),0),$A27-1966)</f>
        <v>256774</v>
      </c>
      <c r="H27" s="18" cm="1">
        <f t="array" ref="H27">INDEX(GMWA!$A$2:$DA$60,MATCH(1,(GMWA!$DA$2:$DA$60=H$3)*(GMWA!$CZ$2:$CZ$60=H$4),0),$A27-1966)</f>
        <v>33740.29</v>
      </c>
      <c r="I27" s="18" cm="1">
        <f t="array" ref="I27">INDEX(GMWA!$A$2:$DA$60,MATCH(1,(GMWA!$DA$2:$DA$60=I$3)*(GMWA!$CZ$2:$CZ$60=I$4),0),$A27-1966)</f>
        <v>64746.54</v>
      </c>
      <c r="J27" s="18" cm="1">
        <f t="array" ref="J27">INDEX(GMWA!$A$2:$DA$60,MATCH(1,(GMWA!$DA$2:$DA$60=J$3)*(GMWA!$CZ$2:$CZ$60=J$4),0),$A27-1966)</f>
        <v>1693127</v>
      </c>
      <c r="K27" s="18" cm="1">
        <f t="array" ref="K27">INDEX(GMWA!$A$2:$DA$60,MATCH(1,(GMWA!$DA$2:$DA$60=K$3)*(GMWA!$CZ$2:$CZ$60=K$4),0),$A27-1966)</f>
        <v>25302.75</v>
      </c>
      <c r="L27" s="18" cm="1">
        <f t="array" ref="L27">INDEX(GMWA!$A$2:$DA$60,MATCH(1,(GMWA!$DA$2:$DA$60=L$3)*(GMWA!$CZ$2:$CZ$60=L$4),0),$A27-1966)</f>
        <v>33</v>
      </c>
    </row>
    <row r="28" spans="1:12" x14ac:dyDescent="0.25">
      <c r="A28" s="18">
        <f t="shared" si="1"/>
        <v>1994</v>
      </c>
      <c r="B28" s="18" cm="1">
        <f t="array" ref="B28">INDEX(GMWA!$A$2:$DA$60,MATCH(1,(GMWA!$DA$2:$DA$60=B$3)*(GMWA!$CZ$2:$CZ$60=B$4),0),$A28-1966)</f>
        <v>107467.2</v>
      </c>
      <c r="C28" s="18" cm="1">
        <f t="array" ref="C28">INDEX(GMWA!$A$2:$DA$60,MATCH(1,(GMWA!$DA$2:$DA$60=C$3)*(GMWA!$CZ$2:$CZ$60=C$4),0),$A28-1966)</f>
        <v>199397</v>
      </c>
      <c r="D28" s="18" cm="1">
        <f t="array" ref="D28">INDEX(GMWA!$A$2:$DA$60,MATCH(1,(GMWA!$DA$2:$DA$60=D$3)*(GMWA!$CZ$2:$CZ$60=D$4),0),$A28-1966)</f>
        <v>15450</v>
      </c>
      <c r="E28" s="18" cm="1">
        <f t="array" ref="E28">INDEX(GMWA!$A$2:$DA$60,MATCH(1,(GMWA!$DA$2:$DA$60=E$3)*(GMWA!$CZ$2:$CZ$60=E$4),0),$A28-1966)</f>
        <v>3734</v>
      </c>
      <c r="F28" s="18" cm="1">
        <f t="array" ref="F28">INDEX(GMWA!$A$2:$DA$60,MATCH(1,(GMWA!$DA$2:$DA$60=F$3)*(GMWA!$CZ$2:$CZ$60=F$4),0),$A28-1966)</f>
        <v>810794</v>
      </c>
      <c r="G28" s="18" cm="1">
        <f t="array" ref="G28">INDEX(GMWA!$A$2:$DA$60,MATCH(1,(GMWA!$DA$2:$DA$60=G$3)*(GMWA!$CZ$2:$CZ$60=G$4),0),$A28-1966)</f>
        <v>260971</v>
      </c>
      <c r="H28" s="18" cm="1">
        <f t="array" ref="H28">INDEX(GMWA!$A$2:$DA$60,MATCH(1,(GMWA!$DA$2:$DA$60=H$3)*(GMWA!$CZ$2:$CZ$60=H$4),0),$A28-1966)</f>
        <v>36456.230000000003</v>
      </c>
      <c r="I28" s="18" cm="1">
        <f t="array" ref="I28">INDEX(GMWA!$A$2:$DA$60,MATCH(1,(GMWA!$DA$2:$DA$60=I$3)*(GMWA!$CZ$2:$CZ$60=I$4),0),$A28-1966)</f>
        <v>67286.44</v>
      </c>
      <c r="J28" s="18" cm="1">
        <f t="array" ref="J28">INDEX(GMWA!$A$2:$DA$60,MATCH(1,(GMWA!$DA$2:$DA$60=J$3)*(GMWA!$CZ$2:$CZ$60=J$4),0),$A28-1966)</f>
        <v>1730354</v>
      </c>
      <c r="K28" s="18" cm="1">
        <f t="array" ref="K28">INDEX(GMWA!$A$2:$DA$60,MATCH(1,(GMWA!$DA$2:$DA$60=K$3)*(GMWA!$CZ$2:$CZ$60=K$4),0),$A28-1966)</f>
        <v>25504.5</v>
      </c>
      <c r="L28" s="18" cm="1">
        <f t="array" ref="L28">INDEX(GMWA!$A$2:$DA$60,MATCH(1,(GMWA!$DA$2:$DA$60=L$3)*(GMWA!$CZ$2:$CZ$60=L$4),0),$A28-1966)</f>
        <v>33.225000000000001</v>
      </c>
    </row>
    <row r="29" spans="1:12" x14ac:dyDescent="0.25">
      <c r="A29" s="18">
        <f t="shared" si="1"/>
        <v>1995</v>
      </c>
      <c r="B29" s="18" cm="1">
        <f t="array" ref="B29">INDEX(GMWA!$A$2:$DA$60,MATCH(1,(GMWA!$DA$2:$DA$60=B$3)*(GMWA!$CZ$2:$CZ$60=B$4),0),$A29-1966)</f>
        <v>115800.2</v>
      </c>
      <c r="C29" s="18" cm="1">
        <f t="array" ref="C29">INDEX(GMWA!$A$2:$DA$60,MATCH(1,(GMWA!$DA$2:$DA$60=C$3)*(GMWA!$CZ$2:$CZ$60=C$4),0),$A29-1966)</f>
        <v>206306</v>
      </c>
      <c r="D29" s="18" cm="1">
        <f t="array" ref="D29">INDEX(GMWA!$A$2:$DA$60,MATCH(1,(GMWA!$DA$2:$DA$60=D$3)*(GMWA!$CZ$2:$CZ$60=D$4),0),$A29-1966)</f>
        <v>6974</v>
      </c>
      <c r="E29" s="18" cm="1">
        <f t="array" ref="E29">INDEX(GMWA!$A$2:$DA$60,MATCH(1,(GMWA!$DA$2:$DA$60=E$3)*(GMWA!$CZ$2:$CZ$60=E$4),0),$A29-1966)</f>
        <v>-12284</v>
      </c>
      <c r="F29" s="18" cm="1">
        <f t="array" ref="F29">INDEX(GMWA!$A$2:$DA$60,MATCH(1,(GMWA!$DA$2:$DA$60=F$3)*(GMWA!$CZ$2:$CZ$60=F$4),0),$A29-1966)</f>
        <v>851845</v>
      </c>
      <c r="G29" s="18" cm="1">
        <f t="array" ref="G29">INDEX(GMWA!$A$2:$DA$60,MATCH(1,(GMWA!$DA$2:$DA$60=G$3)*(GMWA!$CZ$2:$CZ$60=G$4),0),$A29-1966)</f>
        <v>259687</v>
      </c>
      <c r="H29" s="18" cm="1">
        <f t="array" ref="H29">INDEX(GMWA!$A$2:$DA$60,MATCH(1,(GMWA!$DA$2:$DA$60=H$3)*(GMWA!$CZ$2:$CZ$60=H$4),0),$A29-1966)</f>
        <v>34061.15</v>
      </c>
      <c r="I29" s="18" cm="1">
        <f t="array" ref="I29">INDEX(GMWA!$A$2:$DA$60,MATCH(1,(GMWA!$DA$2:$DA$60=I$3)*(GMWA!$CZ$2:$CZ$60=I$4),0),$A29-1966)</f>
        <v>69601.460000000006</v>
      </c>
      <c r="J29" s="18" cm="1">
        <f t="array" ref="J29">INDEX(GMWA!$A$2:$DA$60,MATCH(1,(GMWA!$DA$2:$DA$60=J$3)*(GMWA!$CZ$2:$CZ$60=J$4),0),$A29-1966)</f>
        <v>1772765</v>
      </c>
      <c r="K29" s="18" cm="1">
        <f t="array" ref="K29">INDEX(GMWA!$A$2:$DA$60,MATCH(1,(GMWA!$DA$2:$DA$60=K$3)*(GMWA!$CZ$2:$CZ$60=K$4),0),$A29-1966)</f>
        <v>25818.5</v>
      </c>
      <c r="L29" s="18" cm="1">
        <f t="array" ref="L29">INDEX(GMWA!$A$2:$DA$60,MATCH(1,(GMWA!$DA$2:$DA$60=L$3)*(GMWA!$CZ$2:$CZ$60=L$4),0),$A29-1966)</f>
        <v>33.25</v>
      </c>
    </row>
    <row r="30" spans="1:12" x14ac:dyDescent="0.25">
      <c r="A30" s="18">
        <f t="shared" si="1"/>
        <v>1996</v>
      </c>
      <c r="B30" s="18" cm="1">
        <f t="array" ref="B30">INDEX(GMWA!$A$2:$DA$60,MATCH(1,(GMWA!$DA$2:$DA$60=B$3)*(GMWA!$CZ$2:$CZ$60=B$4),0),$A30-1966)</f>
        <v>127894.9</v>
      </c>
      <c r="C30" s="18" cm="1">
        <f t="array" ref="C30">INDEX(GMWA!$A$2:$DA$60,MATCH(1,(GMWA!$DA$2:$DA$60=C$3)*(GMWA!$CZ$2:$CZ$60=C$4),0),$A30-1966)</f>
        <v>230809</v>
      </c>
      <c r="D30" s="18" cm="1">
        <f t="array" ref="D30">INDEX(GMWA!$A$2:$DA$60,MATCH(1,(GMWA!$DA$2:$DA$60=D$3)*(GMWA!$CZ$2:$CZ$60=D$4),0),$A30-1966)</f>
        <v>6710</v>
      </c>
      <c r="E30" s="18" cm="1">
        <f t="array" ref="E30">INDEX(GMWA!$A$2:$DA$60,MATCH(1,(GMWA!$DA$2:$DA$60=E$3)*(GMWA!$CZ$2:$CZ$60=E$4),0),$A30-1966)</f>
        <v>-14123</v>
      </c>
      <c r="F30" s="18" cm="1">
        <f t="array" ref="F30">INDEX(GMWA!$A$2:$DA$60,MATCH(1,(GMWA!$DA$2:$DA$60=F$3)*(GMWA!$CZ$2:$CZ$60=F$4),0),$A30-1966)</f>
        <v>909993</v>
      </c>
      <c r="G30" s="18" cm="1">
        <f t="array" ref="G30">INDEX(GMWA!$A$2:$DA$60,MATCH(1,(GMWA!$DA$2:$DA$60=G$3)*(GMWA!$CZ$2:$CZ$60=G$4),0),$A30-1966)</f>
        <v>271805</v>
      </c>
      <c r="H30" s="18" cm="1">
        <f t="array" ref="H30">INDEX(GMWA!$A$2:$DA$60,MATCH(1,(GMWA!$DA$2:$DA$60=H$3)*(GMWA!$CZ$2:$CZ$60=H$4),0),$A30-1966)</f>
        <v>28171.759999999998</v>
      </c>
      <c r="I30" s="18" cm="1">
        <f t="array" ref="I30">INDEX(GMWA!$A$2:$DA$60,MATCH(1,(GMWA!$DA$2:$DA$60=I$3)*(GMWA!$CZ$2:$CZ$60=I$4),0),$A30-1966)</f>
        <v>69798.28</v>
      </c>
      <c r="J30" s="18" cm="1">
        <f t="array" ref="J30">INDEX(GMWA!$A$2:$DA$60,MATCH(1,(GMWA!$DA$2:$DA$60=J$3)*(GMWA!$CZ$2:$CZ$60=J$4),0),$A30-1966)</f>
        <v>1816275</v>
      </c>
      <c r="K30" s="18" cm="1">
        <f t="array" ref="K30">INDEX(GMWA!$A$2:$DA$60,MATCH(1,(GMWA!$DA$2:$DA$60=K$3)*(GMWA!$CZ$2:$CZ$60=K$4),0),$A30-1966)</f>
        <v>26059.75</v>
      </c>
      <c r="L30" s="18" cm="1">
        <f t="array" ref="L30">INDEX(GMWA!$A$2:$DA$60,MATCH(1,(GMWA!$DA$2:$DA$60=L$3)*(GMWA!$CZ$2:$CZ$60=L$4),0),$A30-1966)</f>
        <v>33.225000000000001</v>
      </c>
    </row>
    <row r="31" spans="1:12" x14ac:dyDescent="0.25">
      <c r="A31" s="18">
        <f t="shared" si="1"/>
        <v>1997</v>
      </c>
      <c r="B31" s="18" cm="1">
        <f t="array" ref="B31">INDEX(GMWA!$A$2:$DA$60,MATCH(1,(GMWA!$DA$2:$DA$60=B$3)*(GMWA!$CZ$2:$CZ$60=B$4),0),$A31-1966)</f>
        <v>152062</v>
      </c>
      <c r="C31" s="18" cm="1">
        <f t="array" ref="C31">INDEX(GMWA!$A$2:$DA$60,MATCH(1,(GMWA!$DA$2:$DA$60=C$3)*(GMWA!$CZ$2:$CZ$60=C$4),0),$A31-1966)</f>
        <v>234547</v>
      </c>
      <c r="D31" s="18" cm="1">
        <f t="array" ref="D31">INDEX(GMWA!$A$2:$DA$60,MATCH(1,(GMWA!$DA$2:$DA$60=D$3)*(GMWA!$CZ$2:$CZ$60=D$4),0),$A31-1966)</f>
        <v>1148</v>
      </c>
      <c r="E31" s="18" cm="1">
        <f t="array" ref="E31">INDEX(GMWA!$A$2:$DA$60,MATCH(1,(GMWA!$DA$2:$DA$60=E$3)*(GMWA!$CZ$2:$CZ$60=E$4),0),$A31-1966)</f>
        <v>-17215</v>
      </c>
      <c r="F31" s="18" cm="1">
        <f t="array" ref="F31">INDEX(GMWA!$A$2:$DA$60,MATCH(1,(GMWA!$DA$2:$DA$60=F$3)*(GMWA!$CZ$2:$CZ$60=F$4),0),$A31-1966)</f>
        <v>953405</v>
      </c>
      <c r="G31" s="18" cm="1">
        <f t="array" ref="G31">INDEX(GMWA!$A$2:$DA$60,MATCH(1,(GMWA!$DA$2:$DA$60=G$3)*(GMWA!$CZ$2:$CZ$60=G$4),0),$A31-1966)</f>
        <v>267797</v>
      </c>
      <c r="H31" s="18" cm="1">
        <f t="array" ref="H31">INDEX(GMWA!$A$2:$DA$60,MATCH(1,(GMWA!$DA$2:$DA$60=H$3)*(GMWA!$CZ$2:$CZ$60=H$4),0),$A31-1966)</f>
        <v>28575</v>
      </c>
      <c r="I31" s="18" cm="1">
        <f t="array" ref="I31">INDEX(GMWA!$A$2:$DA$60,MATCH(1,(GMWA!$DA$2:$DA$60=I$3)*(GMWA!$CZ$2:$CZ$60=I$4),0),$A31-1966)</f>
        <v>73834</v>
      </c>
      <c r="J31" s="18" cm="1">
        <f t="array" ref="J31">INDEX(GMWA!$A$2:$DA$60,MATCH(1,(GMWA!$DA$2:$DA$60=J$3)*(GMWA!$CZ$2:$CZ$60=J$4),0),$A31-1966)</f>
        <v>1872351</v>
      </c>
      <c r="K31" s="18" cm="1">
        <f t="array" ref="K31">INDEX(GMWA!$A$2:$DA$60,MATCH(1,(GMWA!$DA$2:$DA$60=K$3)*(GMWA!$CZ$2:$CZ$60=K$4),0),$A31-1966)</f>
        <v>26525.75</v>
      </c>
      <c r="L31" s="18" cm="1">
        <f t="array" ref="L31">INDEX(GMWA!$A$2:$DA$60,MATCH(1,(GMWA!$DA$2:$DA$60=L$3)*(GMWA!$CZ$2:$CZ$60=L$4),0),$A31-1966)</f>
        <v>33.174999999999997</v>
      </c>
    </row>
    <row r="32" spans="1:12" x14ac:dyDescent="0.25">
      <c r="A32" s="18">
        <f t="shared" si="1"/>
        <v>1998</v>
      </c>
      <c r="B32" s="18" cm="1">
        <f t="array" ref="B32">INDEX(GMWA!$A$2:$DA$60,MATCH(1,(GMWA!$DA$2:$DA$60=B$3)*(GMWA!$CZ$2:$CZ$60=B$4),0),$A32-1966)</f>
        <v>163565</v>
      </c>
      <c r="C32" s="18" cm="1">
        <f t="array" ref="C32">INDEX(GMWA!$A$2:$DA$60,MATCH(1,(GMWA!$DA$2:$DA$60=C$3)*(GMWA!$CZ$2:$CZ$60=C$4),0),$A32-1966)</f>
        <v>241995</v>
      </c>
      <c r="D32" s="18" cm="1">
        <f t="array" ref="D32">INDEX(GMWA!$A$2:$DA$60,MATCH(1,(GMWA!$DA$2:$DA$60=D$3)*(GMWA!$CZ$2:$CZ$60=D$4),0),$A32-1966)</f>
        <v>2683</v>
      </c>
      <c r="E32" s="18" cm="1">
        <f t="array" ref="E32">INDEX(GMWA!$A$2:$DA$60,MATCH(1,(GMWA!$DA$2:$DA$60=E$3)*(GMWA!$CZ$2:$CZ$60=E$4),0),$A32-1966)</f>
        <v>-15229</v>
      </c>
      <c r="F32" s="18" cm="1">
        <f t="array" ref="F32">INDEX(GMWA!$A$2:$DA$60,MATCH(1,(GMWA!$DA$2:$DA$60=F$3)*(GMWA!$CZ$2:$CZ$60=F$4),0),$A32-1966)</f>
        <v>998501</v>
      </c>
      <c r="G32" s="18" cm="1">
        <f t="array" ref="G32">INDEX(GMWA!$A$2:$DA$60,MATCH(1,(GMWA!$DA$2:$DA$60=G$3)*(GMWA!$CZ$2:$CZ$60=G$4),0),$A32-1966)</f>
        <v>283211</v>
      </c>
      <c r="H32" s="18" cm="1">
        <f t="array" ref="H32">INDEX(GMWA!$A$2:$DA$60,MATCH(1,(GMWA!$DA$2:$DA$60=H$3)*(GMWA!$CZ$2:$CZ$60=H$4),0),$A32-1966)</f>
        <v>30608</v>
      </c>
      <c r="I32" s="18" cm="1">
        <f t="array" ref="I32">INDEX(GMWA!$A$2:$DA$60,MATCH(1,(GMWA!$DA$2:$DA$60=I$3)*(GMWA!$CZ$2:$CZ$60=I$4),0),$A32-1966)</f>
        <v>72242</v>
      </c>
      <c r="J32" s="18" cm="1">
        <f t="array" ref="J32">INDEX(GMWA!$A$2:$DA$60,MATCH(1,(GMWA!$DA$2:$DA$60=J$3)*(GMWA!$CZ$2:$CZ$60=J$4),0),$A32-1966)</f>
        <v>1951679</v>
      </c>
      <c r="K32" s="18" cm="1">
        <f t="array" ref="K32">INDEX(GMWA!$A$2:$DA$60,MATCH(1,(GMWA!$DA$2:$DA$60=K$3)*(GMWA!$CZ$2:$CZ$60=K$4),0),$A32-1966)</f>
        <v>26795</v>
      </c>
      <c r="L32" s="18" cm="1">
        <f t="array" ref="L32">INDEX(GMWA!$A$2:$DA$60,MATCH(1,(GMWA!$DA$2:$DA$60=L$3)*(GMWA!$CZ$2:$CZ$60=L$4),0),$A32-1966)</f>
        <v>33.075000000000003</v>
      </c>
    </row>
    <row r="33" spans="1:12" x14ac:dyDescent="0.25">
      <c r="A33" s="18">
        <f t="shared" si="1"/>
        <v>1999</v>
      </c>
      <c r="B33" s="18" cm="1">
        <f t="array" ref="B33">INDEX(GMWA!$A$2:$DA$60,MATCH(1,(GMWA!$DA$2:$DA$60=B$3)*(GMWA!$CZ$2:$CZ$60=B$4),0),$A33-1966)</f>
        <v>166624</v>
      </c>
      <c r="C33" s="18" cm="1">
        <f t="array" ref="C33">INDEX(GMWA!$A$2:$DA$60,MATCH(1,(GMWA!$DA$2:$DA$60=C$3)*(GMWA!$CZ$2:$CZ$60=C$4),0),$A33-1966)</f>
        <v>229626</v>
      </c>
      <c r="D33" s="18" cm="1">
        <f t="array" ref="D33">INDEX(GMWA!$A$2:$DA$60,MATCH(1,(GMWA!$DA$2:$DA$60=D$3)*(GMWA!$CZ$2:$CZ$60=D$4),0),$A33-1966)</f>
        <v>-10852</v>
      </c>
      <c r="E33" s="18" cm="1">
        <f t="array" ref="E33">INDEX(GMWA!$A$2:$DA$60,MATCH(1,(GMWA!$DA$2:$DA$60=E$3)*(GMWA!$CZ$2:$CZ$60=E$4),0),$A33-1966)</f>
        <v>-35564</v>
      </c>
      <c r="F33" s="18" cm="1">
        <f t="array" ref="F33">INDEX(GMWA!$A$2:$DA$60,MATCH(1,(GMWA!$DA$2:$DA$60=F$3)*(GMWA!$CZ$2:$CZ$60=F$4),0),$A33-1966)</f>
        <v>1043248</v>
      </c>
      <c r="G33" s="18" cm="1">
        <f t="array" ref="G33">INDEX(GMWA!$A$2:$DA$60,MATCH(1,(GMWA!$DA$2:$DA$60=G$3)*(GMWA!$CZ$2:$CZ$60=G$4),0),$A33-1966)</f>
        <v>288091</v>
      </c>
      <c r="H33" s="18" cm="1">
        <f t="array" ref="H33">INDEX(GMWA!$A$2:$DA$60,MATCH(1,(GMWA!$DA$2:$DA$60=H$3)*(GMWA!$CZ$2:$CZ$60=H$4),0),$A33-1966)</f>
        <v>29732</v>
      </c>
      <c r="I33" s="18" cm="1">
        <f t="array" ref="I33">INDEX(GMWA!$A$2:$DA$60,MATCH(1,(GMWA!$DA$2:$DA$60=I$3)*(GMWA!$CZ$2:$CZ$60=I$4),0),$A33-1966)</f>
        <v>75476</v>
      </c>
      <c r="J33" s="18" cm="1">
        <f t="array" ref="J33">INDEX(GMWA!$A$2:$DA$60,MATCH(1,(GMWA!$DA$2:$DA$60=J$3)*(GMWA!$CZ$2:$CZ$60=J$4),0),$A33-1966)</f>
        <v>2026660</v>
      </c>
      <c r="K33" s="18" cm="1">
        <f t="array" ref="K33">INDEX(GMWA!$A$2:$DA$60,MATCH(1,(GMWA!$DA$2:$DA$60=K$3)*(GMWA!$CZ$2:$CZ$60=K$4),0),$A33-1966)</f>
        <v>27167.75</v>
      </c>
      <c r="L33" s="18" cm="1">
        <f t="array" ref="L33">INDEX(GMWA!$A$2:$DA$60,MATCH(1,(GMWA!$DA$2:$DA$60=L$3)*(GMWA!$CZ$2:$CZ$60=L$4),0),$A33-1966)</f>
        <v>32.9</v>
      </c>
    </row>
    <row r="34" spans="1:12" x14ac:dyDescent="0.25">
      <c r="A34" s="18">
        <f t="shared" si="1"/>
        <v>2000</v>
      </c>
      <c r="B34" s="18" cm="1">
        <f t="array" ref="B34">INDEX(GMWA!$A$2:$DA$60,MATCH(1,(GMWA!$DA$2:$DA$60=B$3)*(GMWA!$CZ$2:$CZ$60=B$4),0),$A34-1966)</f>
        <v>177449</v>
      </c>
      <c r="C34" s="18" cm="1">
        <f t="array" ref="C34">INDEX(GMWA!$A$2:$DA$60,MATCH(1,(GMWA!$DA$2:$DA$60=C$3)*(GMWA!$CZ$2:$CZ$60=C$4),0),$A34-1966)</f>
        <v>233989</v>
      </c>
      <c r="D34" s="18" cm="1">
        <f t="array" ref="D34">INDEX(GMWA!$A$2:$DA$60,MATCH(1,(GMWA!$DA$2:$DA$60=D$3)*(GMWA!$CZ$2:$CZ$60=D$4),0),$A34-1966)</f>
        <v>-12882</v>
      </c>
      <c r="E34" s="18" cm="1">
        <f t="array" ref="E34">INDEX(GMWA!$A$2:$DA$60,MATCH(1,(GMWA!$DA$2:$DA$60=E$3)*(GMWA!$CZ$2:$CZ$60=E$4),0),$A34-1966)</f>
        <v>-55649</v>
      </c>
      <c r="F34" s="18" cm="1">
        <f t="array" ref="F34">INDEX(GMWA!$A$2:$DA$60,MATCH(1,(GMWA!$DA$2:$DA$60=F$3)*(GMWA!$CZ$2:$CZ$60=F$4),0),$A34-1966)</f>
        <v>1100752</v>
      </c>
      <c r="G34" s="18" cm="1">
        <f t="array" ref="G34">INDEX(GMWA!$A$2:$DA$60,MATCH(1,(GMWA!$DA$2:$DA$60=G$3)*(GMWA!$CZ$2:$CZ$60=G$4),0),$A34-1966)</f>
        <v>304586</v>
      </c>
      <c r="H34" s="18" cm="1">
        <f t="array" ref="H34">INDEX(GMWA!$A$2:$DA$60,MATCH(1,(GMWA!$DA$2:$DA$60=H$3)*(GMWA!$CZ$2:$CZ$60=H$4),0),$A34-1966)</f>
        <v>29635</v>
      </c>
      <c r="I34" s="18" cm="1">
        <f t="array" ref="I34">INDEX(GMWA!$A$2:$DA$60,MATCH(1,(GMWA!$DA$2:$DA$60=I$3)*(GMWA!$CZ$2:$CZ$60=I$4),0),$A34-1966)</f>
        <v>80310</v>
      </c>
      <c r="J34" s="18" cm="1">
        <f t="array" ref="J34">INDEX(GMWA!$A$2:$DA$60,MATCH(1,(GMWA!$DA$2:$DA$60=J$3)*(GMWA!$CZ$2:$CZ$60=J$4),0),$A34-1966)</f>
        <v>2112508</v>
      </c>
      <c r="K34" s="18" cm="1">
        <f t="array" ref="K34">INDEX(GMWA!$A$2:$DA$60,MATCH(1,(GMWA!$DA$2:$DA$60=K$3)*(GMWA!$CZ$2:$CZ$60=K$4),0),$A34-1966)</f>
        <v>27483.5</v>
      </c>
      <c r="L34" s="18" cm="1">
        <f t="array" ref="L34">INDEX(GMWA!$A$2:$DA$60,MATCH(1,(GMWA!$DA$2:$DA$60=L$3)*(GMWA!$CZ$2:$CZ$60=L$4),0),$A34-1966)</f>
        <v>32.6</v>
      </c>
    </row>
    <row r="35" spans="1:12" x14ac:dyDescent="0.25">
      <c r="A35" s="18">
        <f t="shared" si="1"/>
        <v>2001</v>
      </c>
      <c r="B35" s="18" cm="1">
        <f t="array" ref="B35">INDEX(GMWA!$A$2:$DA$60,MATCH(1,(GMWA!$DA$2:$DA$60=B$3)*(GMWA!$CZ$2:$CZ$60=B$4),0),$A35-1966)</f>
        <v>176690</v>
      </c>
      <c r="C35" s="18" cm="1">
        <f t="array" ref="C35">INDEX(GMWA!$A$2:$DA$60,MATCH(1,(GMWA!$DA$2:$DA$60=C$3)*(GMWA!$CZ$2:$CZ$60=C$4),0),$A35-1966)</f>
        <v>235052</v>
      </c>
      <c r="D35" s="18" cm="1">
        <f t="array" ref="D35">INDEX(GMWA!$A$2:$DA$60,MATCH(1,(GMWA!$DA$2:$DA$60=D$3)*(GMWA!$CZ$2:$CZ$60=D$4),0),$A35-1966)</f>
        <v>-14839</v>
      </c>
      <c r="E35" s="18" cm="1">
        <f t="array" ref="E35">INDEX(GMWA!$A$2:$DA$60,MATCH(1,(GMWA!$DA$2:$DA$60=E$3)*(GMWA!$CZ$2:$CZ$60=E$4),0),$A35-1966)</f>
        <v>-44073</v>
      </c>
      <c r="F35" s="18" cm="1">
        <f t="array" ref="F35">INDEX(GMWA!$A$2:$DA$60,MATCH(1,(GMWA!$DA$2:$DA$60=F$3)*(GMWA!$CZ$2:$CZ$60=F$4),0),$A35-1966)</f>
        <v>1146135</v>
      </c>
      <c r="G35" s="18" cm="1">
        <f t="array" ref="G35">INDEX(GMWA!$A$2:$DA$60,MATCH(1,(GMWA!$DA$2:$DA$60=G$3)*(GMWA!$CZ$2:$CZ$60=G$4),0),$A35-1966)</f>
        <v>310637</v>
      </c>
      <c r="H35" s="18" cm="1">
        <f t="array" ref="H35">INDEX(GMWA!$A$2:$DA$60,MATCH(1,(GMWA!$DA$2:$DA$60=H$3)*(GMWA!$CZ$2:$CZ$60=H$4),0),$A35-1966)</f>
        <v>34634</v>
      </c>
      <c r="I35" s="18" cm="1">
        <f t="array" ref="I35">INDEX(GMWA!$A$2:$DA$60,MATCH(1,(GMWA!$DA$2:$DA$60=I$3)*(GMWA!$CZ$2:$CZ$60=I$4),0),$A35-1966)</f>
        <v>79449</v>
      </c>
      <c r="J35" s="18" cm="1">
        <f t="array" ref="J35">INDEX(GMWA!$A$2:$DA$60,MATCH(1,(GMWA!$DA$2:$DA$60=J$3)*(GMWA!$CZ$2:$CZ$60=J$4),0),$A35-1966)</f>
        <v>2187489</v>
      </c>
      <c r="K35" s="18" cm="1">
        <f t="array" ref="K35">INDEX(GMWA!$A$2:$DA$60,MATCH(1,(GMWA!$DA$2:$DA$60=K$3)*(GMWA!$CZ$2:$CZ$60=K$4),0),$A35-1966)</f>
        <v>27712</v>
      </c>
      <c r="L35" s="18" cm="1">
        <f t="array" ref="L35">INDEX(GMWA!$A$2:$DA$60,MATCH(1,(GMWA!$DA$2:$DA$60=L$3)*(GMWA!$CZ$2:$CZ$60=L$4),0),$A35-1966)</f>
        <v>32.674999999999997</v>
      </c>
    </row>
    <row r="36" spans="1:12" x14ac:dyDescent="0.25">
      <c r="A36" s="18">
        <f t="shared" si="1"/>
        <v>2002</v>
      </c>
      <c r="B36" s="18" cm="1">
        <f t="array" ref="B36">INDEX(GMWA!$A$2:$DA$60,MATCH(1,(GMWA!$DA$2:$DA$60=B$3)*(GMWA!$CZ$2:$CZ$60=B$4),0),$A36-1966)</f>
        <v>173443</v>
      </c>
      <c r="C36" s="18" cm="1">
        <f t="array" ref="C36">INDEX(GMWA!$A$2:$DA$60,MATCH(1,(GMWA!$DA$2:$DA$60=C$3)*(GMWA!$CZ$2:$CZ$60=C$4),0),$A36-1966)</f>
        <v>254657</v>
      </c>
      <c r="D36" s="18" cm="1">
        <f t="array" ref="D36">INDEX(GMWA!$A$2:$DA$60,MATCH(1,(GMWA!$DA$2:$DA$60=D$3)*(GMWA!$CZ$2:$CZ$60=D$4),0),$A36-1966)</f>
        <v>8773</v>
      </c>
      <c r="E36" s="18" cm="1">
        <f t="array" ref="E36">INDEX(GMWA!$A$2:$DA$60,MATCH(1,(GMWA!$DA$2:$DA$60=E$3)*(GMWA!$CZ$2:$CZ$60=E$4),0),$A36-1966)</f>
        <v>-18269</v>
      </c>
      <c r="F36" s="18" cm="1">
        <f t="array" ref="F36">INDEX(GMWA!$A$2:$DA$60,MATCH(1,(GMWA!$DA$2:$DA$60=F$3)*(GMWA!$CZ$2:$CZ$60=F$4),0),$A36-1966)</f>
        <v>1191439</v>
      </c>
      <c r="G36" s="18" cm="1">
        <f t="array" ref="G36">INDEX(GMWA!$A$2:$DA$60,MATCH(1,(GMWA!$DA$2:$DA$60=G$3)*(GMWA!$CZ$2:$CZ$60=G$4),0),$A36-1966)</f>
        <v>316935</v>
      </c>
      <c r="H36" s="18" cm="1">
        <f t="array" ref="H36">INDEX(GMWA!$A$2:$DA$60,MATCH(1,(GMWA!$DA$2:$DA$60=H$3)*(GMWA!$CZ$2:$CZ$60=H$4),0),$A36-1966)</f>
        <v>37945</v>
      </c>
      <c r="I36" s="18" cm="1">
        <f t="array" ref="I36">INDEX(GMWA!$A$2:$DA$60,MATCH(1,(GMWA!$DA$2:$DA$60=I$3)*(GMWA!$CZ$2:$CZ$60=I$4),0),$A36-1966)</f>
        <v>88335</v>
      </c>
      <c r="J36" s="18" cm="1">
        <f t="array" ref="J36">INDEX(GMWA!$A$2:$DA$60,MATCH(1,(GMWA!$DA$2:$DA$60=J$3)*(GMWA!$CZ$2:$CZ$60=J$4),0),$A36-1966)</f>
        <v>2248343</v>
      </c>
      <c r="K36" s="18" cm="1">
        <f t="array" ref="K36">INDEX(GMWA!$A$2:$DA$60,MATCH(1,(GMWA!$DA$2:$DA$60=K$3)*(GMWA!$CZ$2:$CZ$60=K$4),0),$A36-1966)</f>
        <v>27943.75</v>
      </c>
      <c r="L36" s="18" cm="1">
        <f t="array" ref="L36">INDEX(GMWA!$A$2:$DA$60,MATCH(1,(GMWA!$DA$2:$DA$60=L$3)*(GMWA!$CZ$2:$CZ$60=L$4),0),$A36-1966)</f>
        <v>32.325000000000003</v>
      </c>
    </row>
    <row r="37" spans="1:12" x14ac:dyDescent="0.25">
      <c r="A37" s="18">
        <f t="shared" si="1"/>
        <v>2003</v>
      </c>
      <c r="B37" s="18" cm="1">
        <f t="array" ref="B37">INDEX(GMWA!$A$2:$DA$60,MATCH(1,(GMWA!$DA$2:$DA$60=B$3)*(GMWA!$CZ$2:$CZ$60=B$4),0),$A37-1966)</f>
        <v>171490</v>
      </c>
      <c r="C37" s="18" cm="1">
        <f t="array" ref="C37">INDEX(GMWA!$A$2:$DA$60,MATCH(1,(GMWA!$DA$2:$DA$60=C$3)*(GMWA!$CZ$2:$CZ$60=C$4),0),$A37-1966)</f>
        <v>277633</v>
      </c>
      <c r="D37" s="18" cm="1">
        <f t="array" ref="D37">INDEX(GMWA!$A$2:$DA$60,MATCH(1,(GMWA!$DA$2:$DA$60=D$3)*(GMWA!$CZ$2:$CZ$60=D$4),0),$A37-1966)</f>
        <v>23616</v>
      </c>
      <c r="E37" s="18" cm="1">
        <f t="array" ref="E37">INDEX(GMWA!$A$2:$DA$60,MATCH(1,(GMWA!$DA$2:$DA$60=E$3)*(GMWA!$CZ$2:$CZ$60=E$4),0),$A37-1966)</f>
        <v>11465</v>
      </c>
      <c r="F37" s="18" cm="1">
        <f t="array" ref="F37">INDEX(GMWA!$A$2:$DA$60,MATCH(1,(GMWA!$DA$2:$DA$60=F$3)*(GMWA!$CZ$2:$CZ$60=F$4),0),$A37-1966)</f>
        <v>1258334</v>
      </c>
      <c r="G37" s="18" cm="1">
        <f t="array" ref="G37">INDEX(GMWA!$A$2:$DA$60,MATCH(1,(GMWA!$DA$2:$DA$60=G$3)*(GMWA!$CZ$2:$CZ$60=G$4),0),$A37-1966)</f>
        <v>324805</v>
      </c>
      <c r="H37" s="18" cm="1">
        <f t="array" ref="H37">INDEX(GMWA!$A$2:$DA$60,MATCH(1,(GMWA!$DA$2:$DA$60=H$3)*(GMWA!$CZ$2:$CZ$60=H$4),0),$A37-1966)</f>
        <v>42570</v>
      </c>
      <c r="I37" s="18" cm="1">
        <f t="array" ref="I37">INDEX(GMWA!$A$2:$DA$60,MATCH(1,(GMWA!$DA$2:$DA$60=I$3)*(GMWA!$CZ$2:$CZ$60=I$4),0),$A37-1966)</f>
        <v>93022</v>
      </c>
      <c r="J37" s="18" cm="1">
        <f t="array" ref="J37">INDEX(GMWA!$A$2:$DA$60,MATCH(1,(GMWA!$DA$2:$DA$60=J$3)*(GMWA!$CZ$2:$CZ$60=J$4),0),$A37-1966)</f>
        <v>2301590</v>
      </c>
      <c r="K37" s="18" cm="1">
        <f t="array" ref="K37">INDEX(GMWA!$A$2:$DA$60,MATCH(1,(GMWA!$DA$2:$DA$60=K$3)*(GMWA!$CZ$2:$CZ$60=K$4),0),$A37-1966)</f>
        <v>28221.25</v>
      </c>
      <c r="L37" s="18" cm="1">
        <f t="array" ref="L37">INDEX(GMWA!$A$2:$DA$60,MATCH(1,(GMWA!$DA$2:$DA$60=L$3)*(GMWA!$CZ$2:$CZ$60=L$4),0),$A37-1966)</f>
        <v>32.15</v>
      </c>
    </row>
    <row r="38" spans="1:12" x14ac:dyDescent="0.25">
      <c r="A38" s="18">
        <f t="shared" si="1"/>
        <v>2004</v>
      </c>
      <c r="B38" s="18" cm="1">
        <f t="array" ref="B38">INDEX(GMWA!$A$2:$DA$60,MATCH(1,(GMWA!$DA$2:$DA$60=B$3)*(GMWA!$CZ$2:$CZ$60=B$4),0),$A38-1966)</f>
        <v>165133</v>
      </c>
      <c r="C38" s="18" cm="1">
        <f t="array" ref="C38">INDEX(GMWA!$A$2:$DA$60,MATCH(1,(GMWA!$DA$2:$DA$60=C$3)*(GMWA!$CZ$2:$CZ$60=C$4),0),$A38-1966)</f>
        <v>284786</v>
      </c>
      <c r="D38" s="18" cm="1">
        <f t="array" ref="D38">INDEX(GMWA!$A$2:$DA$60,MATCH(1,(GMWA!$DA$2:$DA$60=D$3)*(GMWA!$CZ$2:$CZ$60=D$4),0),$A38-1966)</f>
        <v>17258</v>
      </c>
      <c r="E38" s="18" cm="1">
        <f t="array" ref="E38">INDEX(GMWA!$A$2:$DA$60,MATCH(1,(GMWA!$DA$2:$DA$60=E$3)*(GMWA!$CZ$2:$CZ$60=E$4),0),$A38-1966)</f>
        <v>6140</v>
      </c>
      <c r="F38" s="18" cm="1">
        <f t="array" ref="F38">INDEX(GMWA!$A$2:$DA$60,MATCH(1,(GMWA!$DA$2:$DA$60=F$3)*(GMWA!$CZ$2:$CZ$60=F$4),0),$A38-1966)</f>
        <v>1322637</v>
      </c>
      <c r="G38" s="18" cm="1">
        <f t="array" ref="G38">INDEX(GMWA!$A$2:$DA$60,MATCH(1,(GMWA!$DA$2:$DA$60=G$3)*(GMWA!$CZ$2:$CZ$60=G$4),0),$A38-1966)</f>
        <v>333596</v>
      </c>
      <c r="H38" s="18" cm="1">
        <f t="array" ref="H38">INDEX(GMWA!$A$2:$DA$60,MATCH(1,(GMWA!$DA$2:$DA$60=H$3)*(GMWA!$CZ$2:$CZ$60=H$4),0),$A38-1966)</f>
        <v>49183</v>
      </c>
      <c r="I38" s="18" cm="1">
        <f t="array" ref="I38">INDEX(GMWA!$A$2:$DA$60,MATCH(1,(GMWA!$DA$2:$DA$60=I$3)*(GMWA!$CZ$2:$CZ$60=I$4),0),$A38-1966)</f>
        <v>100433</v>
      </c>
      <c r="J38" s="18" cm="1">
        <f t="array" ref="J38">INDEX(GMWA!$A$2:$DA$60,MATCH(1,(GMWA!$DA$2:$DA$60=J$3)*(GMWA!$CZ$2:$CZ$60=J$4),0),$A38-1966)</f>
        <v>2359184</v>
      </c>
      <c r="K38" s="18" cm="1">
        <f t="array" ref="K38">INDEX(GMWA!$A$2:$DA$60,MATCH(1,(GMWA!$DA$2:$DA$60=K$3)*(GMWA!$CZ$2:$CZ$60=K$4),0),$A38-1966)</f>
        <v>28530</v>
      </c>
      <c r="L38" s="18" cm="1">
        <f t="array" ref="L38">INDEX(GMWA!$A$2:$DA$60,MATCH(1,(GMWA!$DA$2:$DA$60=L$3)*(GMWA!$CZ$2:$CZ$60=L$4),0),$A38-1966)</f>
        <v>32.075000000000003</v>
      </c>
    </row>
    <row r="39" spans="1:12" x14ac:dyDescent="0.25">
      <c r="A39" s="18">
        <f t="shared" si="1"/>
        <v>2005</v>
      </c>
      <c r="B39" s="18" cm="1">
        <f t="array" ref="B39">INDEX(GMWA!$A$2:$DA$60,MATCH(1,(GMWA!$DA$2:$DA$60=B$3)*(GMWA!$CZ$2:$CZ$60=B$4),0),$A39-1966)</f>
        <v>173788.5</v>
      </c>
      <c r="C39" s="18" cm="1">
        <f t="array" ref="C39">INDEX(GMWA!$A$2:$DA$60,MATCH(1,(GMWA!$DA$2:$DA$60=C$3)*(GMWA!$CZ$2:$CZ$60=C$4),0),$A39-1966)</f>
        <v>309416</v>
      </c>
      <c r="D39" s="18" cm="1">
        <f t="array" ref="D39">INDEX(GMWA!$A$2:$DA$60,MATCH(1,(GMWA!$DA$2:$DA$60=D$3)*(GMWA!$CZ$2:$CZ$60=D$4),0),$A39-1966)</f>
        <v>16221</v>
      </c>
      <c r="E39" s="18" cm="1">
        <f t="array" ref="E39">INDEX(GMWA!$A$2:$DA$60,MATCH(1,(GMWA!$DA$2:$DA$60=E$3)*(GMWA!$CZ$2:$CZ$60=E$4),0),$A39-1966)</f>
        <v>7161</v>
      </c>
      <c r="F39" s="18" cm="1">
        <f t="array" ref="F39">INDEX(GMWA!$A$2:$DA$60,MATCH(1,(GMWA!$DA$2:$DA$60=F$3)*(GMWA!$CZ$2:$CZ$60=F$4),0),$A39-1966)</f>
        <v>1398749</v>
      </c>
      <c r="G39" s="18" cm="1">
        <f t="array" ref="G39">INDEX(GMWA!$A$2:$DA$60,MATCH(1,(GMWA!$DA$2:$DA$60=G$3)*(GMWA!$CZ$2:$CZ$60=G$4),0),$A39-1966)</f>
        <v>347467</v>
      </c>
      <c r="H39" s="18" cm="1">
        <f t="array" ref="H39">INDEX(GMWA!$A$2:$DA$60,MATCH(1,(GMWA!$DA$2:$DA$60=H$3)*(GMWA!$CZ$2:$CZ$60=H$4),0),$A39-1966)</f>
        <v>52978</v>
      </c>
      <c r="I39" s="18" cm="1">
        <f t="array" ref="I39">INDEX(GMWA!$A$2:$DA$60,MATCH(1,(GMWA!$DA$2:$DA$60=I$3)*(GMWA!$CZ$2:$CZ$60=I$4),0),$A39-1966)</f>
        <v>98504</v>
      </c>
      <c r="J39" s="18" cm="1">
        <f t="array" ref="J39">INDEX(GMWA!$A$2:$DA$60,MATCH(1,(GMWA!$DA$2:$DA$60=J$3)*(GMWA!$CZ$2:$CZ$60=J$4),0),$A39-1966)</f>
        <v>2420039</v>
      </c>
      <c r="K39" s="18" cm="1">
        <f t="array" ref="K39">INDEX(GMWA!$A$2:$DA$60,MATCH(1,(GMWA!$DA$2:$DA$60=K$3)*(GMWA!$CZ$2:$CZ$60=K$4),0),$A39-1966)</f>
        <v>28849.75</v>
      </c>
      <c r="L39" s="18" cm="1">
        <f t="array" ref="L39">INDEX(GMWA!$A$2:$DA$60,MATCH(1,(GMWA!$DA$2:$DA$60=L$3)*(GMWA!$CZ$2:$CZ$60=L$4),0),$A39-1966)</f>
        <v>32.174999999999997</v>
      </c>
    </row>
    <row r="40" spans="1:12" x14ac:dyDescent="0.25">
      <c r="A40" s="18">
        <f t="shared" si="1"/>
        <v>2006</v>
      </c>
      <c r="B40" s="18" cm="1">
        <f t="array" ref="B40">INDEX(GMWA!$A$2:$DA$60,MATCH(1,(GMWA!$DA$2:$DA$60=B$3)*(GMWA!$CZ$2:$CZ$60=B$4),0),$A40-1966)</f>
        <v>187132</v>
      </c>
      <c r="C40" s="18" cm="1">
        <f t="array" ref="C40">INDEX(GMWA!$A$2:$DA$60,MATCH(1,(GMWA!$DA$2:$DA$60=C$3)*(GMWA!$CZ$2:$CZ$60=C$4),0),$A40-1966)</f>
        <v>320607</v>
      </c>
      <c r="D40" s="18" cm="1">
        <f t="array" ref="D40">INDEX(GMWA!$A$2:$DA$60,MATCH(1,(GMWA!$DA$2:$DA$60=D$3)*(GMWA!$CZ$2:$CZ$60=D$4),0),$A40-1966)</f>
        <v>-2217</v>
      </c>
      <c r="E40" s="18" cm="1">
        <f t="array" ref="E40">INDEX(GMWA!$A$2:$DA$60,MATCH(1,(GMWA!$DA$2:$DA$60=E$3)*(GMWA!$CZ$2:$CZ$60=E$4),0),$A40-1966)</f>
        <v>-13373</v>
      </c>
      <c r="F40" s="18" cm="1">
        <f t="array" ref="F40">INDEX(GMWA!$A$2:$DA$60,MATCH(1,(GMWA!$DA$2:$DA$60=F$3)*(GMWA!$CZ$2:$CZ$60=F$4),0),$A40-1966)</f>
        <v>1472038</v>
      </c>
      <c r="G40" s="18" cm="1">
        <f t="array" ref="G40">INDEX(GMWA!$A$2:$DA$60,MATCH(1,(GMWA!$DA$2:$DA$60=G$3)*(GMWA!$CZ$2:$CZ$60=G$4),0),$A40-1966)</f>
        <v>357310</v>
      </c>
      <c r="H40" s="18" cm="1">
        <f t="array" ref="H40">INDEX(GMWA!$A$2:$DA$60,MATCH(1,(GMWA!$DA$2:$DA$60=H$3)*(GMWA!$CZ$2:$CZ$60=H$4),0),$A40-1966)</f>
        <v>48978</v>
      </c>
      <c r="I40" s="18" cm="1">
        <f t="array" ref="I40">INDEX(GMWA!$A$2:$DA$60,MATCH(1,(GMWA!$DA$2:$DA$60=I$3)*(GMWA!$CZ$2:$CZ$60=I$4),0),$A40-1966)</f>
        <v>95421</v>
      </c>
      <c r="J40" s="18" cm="1">
        <f t="array" ref="J40">INDEX(GMWA!$A$2:$DA$60,MATCH(1,(GMWA!$DA$2:$DA$60=J$3)*(GMWA!$CZ$2:$CZ$60=J$4),0),$A40-1966)</f>
        <v>2489586</v>
      </c>
      <c r="K40" s="18" cm="1">
        <f t="array" ref="K40">INDEX(GMWA!$A$2:$DA$60,MATCH(1,(GMWA!$DA$2:$DA$60=K$3)*(GMWA!$CZ$2:$CZ$60=K$4),0),$A40-1966)</f>
        <v>29137.75</v>
      </c>
      <c r="L40" s="18" cm="1">
        <f t="array" ref="L40">INDEX(GMWA!$A$2:$DA$60,MATCH(1,(GMWA!$DA$2:$DA$60=L$3)*(GMWA!$CZ$2:$CZ$60=L$4),0),$A40-1966)</f>
        <v>32.049999999999997</v>
      </c>
    </row>
    <row r="41" spans="1:12" x14ac:dyDescent="0.25">
      <c r="A41" s="18">
        <f t="shared" si="1"/>
        <v>2007</v>
      </c>
      <c r="B41" s="18" cm="1">
        <f t="array" ref="B41">INDEX(GMWA!$A$2:$DA$60,MATCH(1,(GMWA!$DA$2:$DA$60=B$3)*(GMWA!$CZ$2:$CZ$60=B$4),0),$A41-1966)</f>
        <v>203440</v>
      </c>
      <c r="C41" s="18" cm="1">
        <f t="array" ref="C41">INDEX(GMWA!$A$2:$DA$60,MATCH(1,(GMWA!$DA$2:$DA$60=C$3)*(GMWA!$CZ$2:$CZ$60=C$4),0),$A41-1966)</f>
        <v>329551</v>
      </c>
      <c r="D41" s="18" cm="1">
        <f t="array" ref="D41">INDEX(GMWA!$A$2:$DA$60,MATCH(1,(GMWA!$DA$2:$DA$60=D$3)*(GMWA!$CZ$2:$CZ$60=D$4),0),$A41-1966)</f>
        <v>-16822</v>
      </c>
      <c r="E41" s="18" cm="1">
        <f t="array" ref="E41">INDEX(GMWA!$A$2:$DA$60,MATCH(1,(GMWA!$DA$2:$DA$60=E$3)*(GMWA!$CZ$2:$CZ$60=E$4),0),$A41-1966)</f>
        <v>-42178</v>
      </c>
      <c r="F41" s="18" cm="1">
        <f t="array" ref="F41">INDEX(GMWA!$A$2:$DA$60,MATCH(1,(GMWA!$DA$2:$DA$60=F$3)*(GMWA!$CZ$2:$CZ$60=F$4),0),$A41-1966)</f>
        <v>1544637</v>
      </c>
      <c r="G41" s="18" cm="1">
        <f t="array" ref="G41">INDEX(GMWA!$A$2:$DA$60,MATCH(1,(GMWA!$DA$2:$DA$60=G$3)*(GMWA!$CZ$2:$CZ$60=G$4),0),$A41-1966)</f>
        <v>373032</v>
      </c>
      <c r="H41" s="18" cm="1">
        <f t="array" ref="H41">INDEX(GMWA!$A$2:$DA$60,MATCH(1,(GMWA!$DA$2:$DA$60=H$3)*(GMWA!$CZ$2:$CZ$60=H$4),0),$A41-1966)</f>
        <v>49933</v>
      </c>
      <c r="I41" s="18" cm="1">
        <f t="array" ref="I41">INDEX(GMWA!$A$2:$DA$60,MATCH(1,(GMWA!$DA$2:$DA$60=I$3)*(GMWA!$CZ$2:$CZ$60=I$4),0),$A41-1966)</f>
        <v>89790</v>
      </c>
      <c r="J41" s="18" cm="1">
        <f t="array" ref="J41">INDEX(GMWA!$A$2:$DA$60,MATCH(1,(GMWA!$DA$2:$DA$60=J$3)*(GMWA!$CZ$2:$CZ$60=J$4),0),$A41-1966)</f>
        <v>2574348</v>
      </c>
      <c r="K41" s="18" cm="1">
        <f t="array" ref="K41">INDEX(GMWA!$A$2:$DA$60,MATCH(1,(GMWA!$DA$2:$DA$60=K$3)*(GMWA!$CZ$2:$CZ$60=K$4),0),$A41-1966)</f>
        <v>29378</v>
      </c>
      <c r="L41" s="18" cm="1">
        <f t="array" ref="L41">INDEX(GMWA!$A$2:$DA$60,MATCH(1,(GMWA!$DA$2:$DA$60=L$3)*(GMWA!$CZ$2:$CZ$60=L$4),0),$A41-1966)</f>
        <v>32.075000000000003</v>
      </c>
    </row>
    <row r="42" spans="1:12" x14ac:dyDescent="0.25">
      <c r="A42" s="18">
        <f t="shared" si="1"/>
        <v>2008</v>
      </c>
      <c r="B42" s="18" cm="1">
        <f t="array" ref="B42">INDEX(GMWA!$A$2:$DA$60,MATCH(1,(GMWA!$DA$2:$DA$60=B$3)*(GMWA!$CZ$2:$CZ$60=B$4),0),$A42-1966)</f>
        <v>196550</v>
      </c>
      <c r="C42" s="18" cm="1">
        <f t="array" ref="C42">INDEX(GMWA!$A$2:$DA$60,MATCH(1,(GMWA!$DA$2:$DA$60=C$3)*(GMWA!$CZ$2:$CZ$60=C$4),0),$A42-1966)</f>
        <v>350899</v>
      </c>
      <c r="D42" s="18" cm="1">
        <f t="array" ref="D42">INDEX(GMWA!$A$2:$DA$60,MATCH(1,(GMWA!$DA$2:$DA$60=D$3)*(GMWA!$CZ$2:$CZ$60=D$4),0),$A42-1966)</f>
        <v>13609</v>
      </c>
      <c r="E42" s="18" cm="1">
        <f t="array" ref="E42">INDEX(GMWA!$A$2:$DA$60,MATCH(1,(GMWA!$DA$2:$DA$60=E$3)*(GMWA!$CZ$2:$CZ$60=E$4),0),$A42-1966)</f>
        <v>-7617</v>
      </c>
      <c r="F42" s="18" cm="1">
        <f t="array" ref="F42">INDEX(GMWA!$A$2:$DA$60,MATCH(1,(GMWA!$DA$2:$DA$60=F$3)*(GMWA!$CZ$2:$CZ$60=F$4),0),$A42-1966)</f>
        <v>1593600</v>
      </c>
      <c r="G42" s="18" cm="1">
        <f t="array" ref="G42">INDEX(GMWA!$A$2:$DA$60,MATCH(1,(GMWA!$DA$2:$DA$60=G$3)*(GMWA!$CZ$2:$CZ$60=G$4),0),$A42-1966)</f>
        <v>360889</v>
      </c>
      <c r="H42" s="18" cm="1">
        <f t="array" ref="H42">INDEX(GMWA!$A$2:$DA$60,MATCH(1,(GMWA!$DA$2:$DA$60=H$3)*(GMWA!$CZ$2:$CZ$60=H$4),0),$A42-1966)</f>
        <v>58535</v>
      </c>
      <c r="I42" s="18" cm="1">
        <f t="array" ref="I42">INDEX(GMWA!$A$2:$DA$60,MATCH(1,(GMWA!$DA$2:$DA$60=I$3)*(GMWA!$CZ$2:$CZ$60=I$4),0),$A42-1966)</f>
        <v>75286</v>
      </c>
      <c r="J42" s="18" cm="1">
        <f t="array" ref="J42">INDEX(GMWA!$A$2:$DA$60,MATCH(1,(GMWA!$DA$2:$DA$60=J$3)*(GMWA!$CZ$2:$CZ$60=J$4),0),$A42-1966)</f>
        <v>2642808</v>
      </c>
      <c r="K42" s="18" cm="1">
        <f t="array" ref="K42">INDEX(GMWA!$A$2:$DA$60,MATCH(1,(GMWA!$DA$2:$DA$60=K$3)*(GMWA!$CZ$2:$CZ$60=K$4),0),$A42-1966)</f>
        <v>29628.5</v>
      </c>
      <c r="L42" s="18" cm="1">
        <f t="array" ref="L42">INDEX(GMWA!$A$2:$DA$60,MATCH(1,(GMWA!$DA$2:$DA$60=L$3)*(GMWA!$CZ$2:$CZ$60=L$4),0),$A42-1966)</f>
        <v>31.975000000000001</v>
      </c>
    </row>
    <row r="43" spans="1:12" x14ac:dyDescent="0.25">
      <c r="A43" s="18">
        <f t="shared" si="1"/>
        <v>2009</v>
      </c>
      <c r="B43" s="18" cm="1">
        <f t="array" ref="B43">INDEX(GMWA!$A$2:$DA$60,MATCH(1,(GMWA!$DA$2:$DA$60=B$3)*(GMWA!$CZ$2:$CZ$60=B$4),0),$A43-1966)</f>
        <v>163592</v>
      </c>
      <c r="C43" s="18" cm="1">
        <f t="array" ref="C43">INDEX(GMWA!$A$2:$DA$60,MATCH(1,(GMWA!$DA$2:$DA$60=C$3)*(GMWA!$CZ$2:$CZ$60=C$4),0),$A43-1966)</f>
        <v>340017</v>
      </c>
      <c r="D43" s="18" cm="1">
        <f t="array" ref="D43">INDEX(GMWA!$A$2:$DA$60,MATCH(1,(GMWA!$DA$2:$DA$60=D$3)*(GMWA!$CZ$2:$CZ$60=D$4),0),$A43-1966)</f>
        <v>26670</v>
      </c>
      <c r="E43" s="18" cm="1">
        <f t="array" ref="E43">INDEX(GMWA!$A$2:$DA$60,MATCH(1,(GMWA!$DA$2:$DA$60=E$3)*(GMWA!$CZ$2:$CZ$60=E$4),0),$A43-1966)</f>
        <v>34630</v>
      </c>
      <c r="F43" s="18" cm="1">
        <f t="array" ref="F43">INDEX(GMWA!$A$2:$DA$60,MATCH(1,(GMWA!$DA$2:$DA$60=F$3)*(GMWA!$CZ$2:$CZ$60=F$4),0),$A43-1966)</f>
        <v>1548802</v>
      </c>
      <c r="G43" s="18" cm="1">
        <f t="array" ref="G43">INDEX(GMWA!$A$2:$DA$60,MATCH(1,(GMWA!$DA$2:$DA$60=G$3)*(GMWA!$CZ$2:$CZ$60=G$4),0),$A43-1966)</f>
        <v>316526</v>
      </c>
      <c r="H43" s="18" cm="1">
        <f t="array" ref="H43">INDEX(GMWA!$A$2:$DA$60,MATCH(1,(GMWA!$DA$2:$DA$60=H$3)*(GMWA!$CZ$2:$CZ$60=H$4),0),$A43-1966)</f>
        <v>63702</v>
      </c>
      <c r="I43" s="18" cm="1">
        <f t="array" ref="I43">INDEX(GMWA!$A$2:$DA$60,MATCH(1,(GMWA!$DA$2:$DA$60=I$3)*(GMWA!$CZ$2:$CZ$60=I$4),0),$A43-1966)</f>
        <v>55962</v>
      </c>
      <c r="J43" s="18" cm="1">
        <f t="array" ref="J43">INDEX(GMWA!$A$2:$DA$60,MATCH(1,(GMWA!$DA$2:$DA$60=J$3)*(GMWA!$CZ$2:$CZ$60=J$4),0),$A43-1966)</f>
        <v>2668889</v>
      </c>
      <c r="K43" s="18" cm="1">
        <f t="array" ref="K43">INDEX(GMWA!$A$2:$DA$60,MATCH(1,(GMWA!$DA$2:$DA$60=K$3)*(GMWA!$CZ$2:$CZ$60=K$4),0),$A43-1966)</f>
        <v>29156</v>
      </c>
      <c r="L43" s="18" cm="1">
        <f t="array" ref="L43">INDEX(GMWA!$A$2:$DA$60,MATCH(1,(GMWA!$DA$2:$DA$60=L$3)*(GMWA!$CZ$2:$CZ$60=L$4),0),$A43-1966)</f>
        <v>31.55</v>
      </c>
    </row>
    <row r="44" spans="1:12" x14ac:dyDescent="0.25">
      <c r="A44" s="18">
        <f t="shared" si="1"/>
        <v>2010</v>
      </c>
      <c r="B44" s="18" cm="1">
        <f t="array" ref="B44">INDEX(GMWA!$A$2:$DA$60,MATCH(1,(GMWA!$DA$2:$DA$60=B$3)*(GMWA!$CZ$2:$CZ$60=B$4),0),$A44-1966)</f>
        <v>170549</v>
      </c>
      <c r="C44" s="18" cm="1">
        <f t="array" ref="C44">INDEX(GMWA!$A$2:$DA$60,MATCH(1,(GMWA!$DA$2:$DA$60=C$3)*(GMWA!$CZ$2:$CZ$60=C$4),0),$A44-1966)</f>
        <v>353181</v>
      </c>
      <c r="D44" s="18" cm="1">
        <f t="array" ref="D44">INDEX(GMWA!$A$2:$DA$60,MATCH(1,(GMWA!$DA$2:$DA$60=D$3)*(GMWA!$CZ$2:$CZ$60=D$4),0),$A44-1966)</f>
        <v>38051</v>
      </c>
      <c r="E44" s="18" cm="1">
        <f t="array" ref="E44">INDEX(GMWA!$A$2:$DA$60,MATCH(1,(GMWA!$DA$2:$DA$60=E$3)*(GMWA!$CZ$2:$CZ$60=E$4),0),$A44-1966)</f>
        <v>18254</v>
      </c>
      <c r="F44" s="18" cm="1">
        <f t="array" ref="F44">INDEX(GMWA!$A$2:$DA$60,MATCH(1,(GMWA!$DA$2:$DA$60=F$3)*(GMWA!$CZ$2:$CZ$60=F$4),0),$A44-1966)</f>
        <v>1608553</v>
      </c>
      <c r="G44" s="18" cm="1">
        <f t="array" ref="G44">INDEX(GMWA!$A$2:$DA$60,MATCH(1,(GMWA!$DA$2:$DA$60=G$3)*(GMWA!$CZ$2:$CZ$60=G$4),0),$A44-1966)</f>
        <v>331443</v>
      </c>
      <c r="H44" s="18" cm="1">
        <f t="array" ref="H44">INDEX(GMWA!$A$2:$DA$60,MATCH(1,(GMWA!$DA$2:$DA$60=H$3)*(GMWA!$CZ$2:$CZ$60=H$4),0),$A44-1966)</f>
        <v>64763</v>
      </c>
      <c r="I44" s="18" cm="1">
        <f t="array" ref="I44">INDEX(GMWA!$A$2:$DA$60,MATCH(1,(GMWA!$DA$2:$DA$60=I$3)*(GMWA!$CZ$2:$CZ$60=I$4),0),$A44-1966)</f>
        <v>61684</v>
      </c>
      <c r="J44" s="18" cm="1">
        <f t="array" ref="J44">INDEX(GMWA!$A$2:$DA$60,MATCH(1,(GMWA!$DA$2:$DA$60=J$3)*(GMWA!$CZ$2:$CZ$60=J$4),0),$A44-1966)</f>
        <v>2701489</v>
      </c>
      <c r="K44" s="18" cm="1">
        <f t="array" ref="K44">INDEX(GMWA!$A$2:$DA$60,MATCH(1,(GMWA!$DA$2:$DA$60=K$3)*(GMWA!$CZ$2:$CZ$60=K$4),0),$A44-1966)</f>
        <v>29228.5</v>
      </c>
      <c r="L44" s="18" cm="1">
        <f t="array" ref="L44">INDEX(GMWA!$A$2:$DA$60,MATCH(1,(GMWA!$DA$2:$DA$60=L$3)*(GMWA!$CZ$2:$CZ$60=L$4),0),$A44-1966)</f>
        <v>31.65</v>
      </c>
    </row>
    <row r="45" spans="1:12" x14ac:dyDescent="0.25">
      <c r="A45" s="18">
        <f t="shared" si="1"/>
        <v>2011</v>
      </c>
      <c r="B45" s="18" cm="1">
        <f t="array" ref="B45">INDEX(GMWA!$A$2:$DA$60,MATCH(1,(GMWA!$DA$2:$DA$60=B$3)*(GMWA!$CZ$2:$CZ$60=B$4),0),$A45-1966)</f>
        <v>180663</v>
      </c>
      <c r="C45" s="18" cm="1">
        <f t="array" ref="C45">INDEX(GMWA!$A$2:$DA$60,MATCH(1,(GMWA!$DA$2:$DA$60=C$3)*(GMWA!$CZ$2:$CZ$60=C$4),0),$A45-1966)</f>
        <v>366700</v>
      </c>
      <c r="D45" s="18" cm="1">
        <f t="array" ref="D45">INDEX(GMWA!$A$2:$DA$60,MATCH(1,(GMWA!$DA$2:$DA$60=D$3)*(GMWA!$CZ$2:$CZ$60=D$4),0),$A45-1966)</f>
        <v>41541</v>
      </c>
      <c r="E45" s="18" cm="1">
        <f t="array" ref="E45">INDEX(GMWA!$A$2:$DA$60,MATCH(1,(GMWA!$DA$2:$DA$60=E$3)*(GMWA!$CZ$2:$CZ$60=E$4),0),$A45-1966)</f>
        <v>39390</v>
      </c>
      <c r="F45" s="18" cm="1">
        <f t="array" ref="F45">INDEX(GMWA!$A$2:$DA$60,MATCH(1,(GMWA!$DA$2:$DA$60=F$3)*(GMWA!$CZ$2:$CZ$60=F$4),0),$A45-1966)</f>
        <v>1662590</v>
      </c>
      <c r="G45" s="18" cm="1">
        <f t="array" ref="G45">INDEX(GMWA!$A$2:$DA$60,MATCH(1,(GMWA!$DA$2:$DA$60=G$3)*(GMWA!$CZ$2:$CZ$60=G$4),0),$A45-1966)</f>
        <v>331794</v>
      </c>
      <c r="H45" s="18" cm="1">
        <f t="array" ref="H45">INDEX(GMWA!$A$2:$DA$60,MATCH(1,(GMWA!$DA$2:$DA$60=H$3)*(GMWA!$CZ$2:$CZ$60=H$4),0),$A45-1966)</f>
        <v>59324</v>
      </c>
      <c r="I45" s="18" cm="1">
        <f t="array" ref="I45">INDEX(GMWA!$A$2:$DA$60,MATCH(1,(GMWA!$DA$2:$DA$60=I$3)*(GMWA!$CZ$2:$CZ$60=I$4),0),$A45-1966)</f>
        <v>60898</v>
      </c>
      <c r="J45" s="18" cm="1">
        <f t="array" ref="J45">INDEX(GMWA!$A$2:$DA$60,MATCH(1,(GMWA!$DA$2:$DA$60=J$3)*(GMWA!$CZ$2:$CZ$60=J$4),0),$A45-1966)</f>
        <v>2731916</v>
      </c>
      <c r="K45" s="18" cm="1">
        <f t="array" ref="K45">INDEX(GMWA!$A$2:$DA$60,MATCH(1,(GMWA!$DA$2:$DA$60=K$3)*(GMWA!$CZ$2:$CZ$60=K$4),0),$A45-1966)</f>
        <v>29380</v>
      </c>
      <c r="L45" s="18" cm="1">
        <f t="array" ref="L45">INDEX(GMWA!$A$2:$DA$60,MATCH(1,(GMWA!$DA$2:$DA$60=L$3)*(GMWA!$CZ$2:$CZ$60=L$4),0),$A45-1966)</f>
        <v>31.574999999999999</v>
      </c>
    </row>
    <row r="46" spans="1:12" x14ac:dyDescent="0.25">
      <c r="A46" s="18">
        <f t="shared" si="1"/>
        <v>2012</v>
      </c>
      <c r="B46" s="18" cm="1">
        <f t="array" ref="B46">INDEX(GMWA!$A$2:$DA$60,MATCH(1,(GMWA!$DA$2:$DA$60=B$3)*(GMWA!$CZ$2:$CZ$60=B$4),0),$A46-1966)</f>
        <v>193379</v>
      </c>
      <c r="C46" s="18" cm="1">
        <f t="array" ref="C46">INDEX(GMWA!$A$2:$DA$60,MATCH(1,(GMWA!$DA$2:$DA$60=C$3)*(GMWA!$CZ$2:$CZ$60=C$4),0),$A46-1966)</f>
        <v>382532</v>
      </c>
      <c r="D46" s="18" cm="1">
        <f t="array" ref="D46">INDEX(GMWA!$A$2:$DA$60,MATCH(1,(GMWA!$DA$2:$DA$60=D$3)*(GMWA!$CZ$2:$CZ$60=D$4),0),$A46-1966)</f>
        <v>11285</v>
      </c>
      <c r="E46" s="18" cm="1">
        <f t="array" ref="E46">INDEX(GMWA!$A$2:$DA$60,MATCH(1,(GMWA!$DA$2:$DA$60=E$3)*(GMWA!$CZ$2:$CZ$60=E$4),0),$A46-1966)</f>
        <v>31522</v>
      </c>
      <c r="F46" s="18" cm="1">
        <f t="array" ref="F46">INDEX(GMWA!$A$2:$DA$60,MATCH(1,(GMWA!$DA$2:$DA$60=F$3)*(GMWA!$CZ$2:$CZ$60=F$4),0),$A46-1966)</f>
        <v>1713715</v>
      </c>
      <c r="G46" s="18" cm="1">
        <f t="array" ref="G46">INDEX(GMWA!$A$2:$DA$60,MATCH(1,(GMWA!$DA$2:$DA$60=G$3)*(GMWA!$CZ$2:$CZ$60=G$4),0),$A46-1966)</f>
        <v>337186</v>
      </c>
      <c r="H46" s="18" cm="1">
        <f t="array" ref="H46">INDEX(GMWA!$A$2:$DA$60,MATCH(1,(GMWA!$DA$2:$DA$60=H$3)*(GMWA!$CZ$2:$CZ$60=H$4),0),$A46-1966)</f>
        <v>54289</v>
      </c>
      <c r="I46" s="18" cm="1">
        <f t="array" ref="I46">INDEX(GMWA!$A$2:$DA$60,MATCH(1,(GMWA!$DA$2:$DA$60=I$3)*(GMWA!$CZ$2:$CZ$60=I$4),0),$A46-1966)</f>
        <v>58159</v>
      </c>
      <c r="J46" s="18" cm="1">
        <f t="array" ref="J46">INDEX(GMWA!$A$2:$DA$60,MATCH(1,(GMWA!$DA$2:$DA$60=J$3)*(GMWA!$CZ$2:$CZ$60=J$4),0),$A46-1966)</f>
        <v>2765603</v>
      </c>
      <c r="K46" s="18" cm="1">
        <f t="array" ref="K46">INDEX(GMWA!$A$2:$DA$60,MATCH(1,(GMWA!$DA$2:$DA$60=K$3)*(GMWA!$CZ$2:$CZ$60=K$4),0),$A46-1966)</f>
        <v>29713.75</v>
      </c>
      <c r="L46" s="18" cm="1">
        <f t="array" ref="L46">INDEX(GMWA!$A$2:$DA$60,MATCH(1,(GMWA!$DA$2:$DA$60=L$3)*(GMWA!$CZ$2:$CZ$60=L$4),0),$A46-1966)</f>
        <v>31.824999999999999</v>
      </c>
    </row>
    <row r="47" spans="1:12" x14ac:dyDescent="0.25">
      <c r="A47" s="18">
        <f t="shared" si="1"/>
        <v>2013</v>
      </c>
      <c r="B47" s="18" cm="1">
        <f t="array" ref="B47">INDEX(GMWA!$A$2:$DA$60,MATCH(1,(GMWA!$DA$2:$DA$60=B$3)*(GMWA!$CZ$2:$CZ$60=B$4),0),$A47-1966)</f>
        <v>200330</v>
      </c>
      <c r="C47" s="18" cm="1">
        <f t="array" ref="C47">INDEX(GMWA!$A$2:$DA$60,MATCH(1,(GMWA!$DA$2:$DA$60=C$3)*(GMWA!$CZ$2:$CZ$60=C$4),0),$A47-1966)</f>
        <v>396588</v>
      </c>
      <c r="D47" s="18" cm="1">
        <f t="array" ref="D47">INDEX(GMWA!$A$2:$DA$60,MATCH(1,(GMWA!$DA$2:$DA$60=D$3)*(GMWA!$CZ$2:$CZ$60=D$4),0),$A47-1966)</f>
        <v>-10625</v>
      </c>
      <c r="E47" s="18" cm="1">
        <f t="array" ref="E47">INDEX(GMWA!$A$2:$DA$60,MATCH(1,(GMWA!$DA$2:$DA$60=E$3)*(GMWA!$CZ$2:$CZ$60=E$4),0),$A47-1966)</f>
        <v>-29999</v>
      </c>
      <c r="F47" s="18" cm="1">
        <f t="array" ref="F47">INDEX(GMWA!$A$2:$DA$60,MATCH(1,(GMWA!$DA$2:$DA$60=F$3)*(GMWA!$CZ$2:$CZ$60=F$4),0),$A47-1966)</f>
        <v>1781361</v>
      </c>
      <c r="G47" s="18" cm="1">
        <f t="array" ref="G47">INDEX(GMWA!$A$2:$DA$60,MATCH(1,(GMWA!$DA$2:$DA$60=G$3)*(GMWA!$CZ$2:$CZ$60=G$4),0),$A47-1966)</f>
        <v>348041</v>
      </c>
      <c r="H47" s="18" cm="1">
        <f t="array" ref="H47">INDEX(GMWA!$A$2:$DA$60,MATCH(1,(GMWA!$DA$2:$DA$60=H$3)*(GMWA!$CZ$2:$CZ$60=H$4),0),$A47-1966)</f>
        <v>50821</v>
      </c>
      <c r="I47" s="18" cm="1">
        <f t="array" ref="I47">INDEX(GMWA!$A$2:$DA$60,MATCH(1,(GMWA!$DA$2:$DA$60=I$3)*(GMWA!$CZ$2:$CZ$60=I$4),0),$A47-1966)</f>
        <v>64070</v>
      </c>
      <c r="J47" s="18" cm="1">
        <f t="array" ref="J47">INDEX(GMWA!$A$2:$DA$60,MATCH(1,(GMWA!$DA$2:$DA$60=J$3)*(GMWA!$CZ$2:$CZ$60=J$4),0),$A47-1966)</f>
        <v>2803637</v>
      </c>
      <c r="K47" s="18" cm="1">
        <f t="array" ref="K47">INDEX(GMWA!$A$2:$DA$60,MATCH(1,(GMWA!$DA$2:$DA$60=K$3)*(GMWA!$CZ$2:$CZ$60=K$4),0),$A47-1966)</f>
        <v>30079.25</v>
      </c>
      <c r="L47" s="18" cm="1">
        <f t="array" ref="L47">INDEX(GMWA!$A$2:$DA$60,MATCH(1,(GMWA!$DA$2:$DA$60=L$3)*(GMWA!$CZ$2:$CZ$60=L$4),0),$A47-1966)</f>
        <v>32.049999999999997</v>
      </c>
    </row>
    <row r="48" spans="1:12" x14ac:dyDescent="0.25">
      <c r="A48" s="18">
        <f>+A47+1</f>
        <v>2014</v>
      </c>
      <c r="B48" s="18" cm="1">
        <f t="array" ref="B48">INDEX(GMWA!$A$2:$DA$60,MATCH(1,(GMWA!$DA$2:$DA$60=B$3)*(GMWA!$CZ$2:$CZ$60=B$4),0),$A48-1966)</f>
        <v>211329</v>
      </c>
      <c r="C48" s="18" cm="1">
        <f t="array" ref="C48">INDEX(GMWA!$A$2:$DA$60,MATCH(1,(GMWA!$DA$2:$DA$60=C$3)*(GMWA!$CZ$2:$CZ$60=C$4),0),$A48-1966)</f>
        <v>425352</v>
      </c>
      <c r="D48" s="18" cm="1">
        <f t="array" ref="D48">INDEX(GMWA!$A$2:$DA$60,MATCH(1,(GMWA!$DA$2:$DA$60=D$3)*(GMWA!$CZ$2:$CZ$60=D$4),0),$A48-1966)</f>
        <v>-12626</v>
      </c>
      <c r="E48" s="18" cm="1">
        <f t="array" ref="E48">INDEX(GMWA!$A$2:$DA$60,MATCH(1,(GMWA!$DA$2:$DA$60=E$3)*(GMWA!$CZ$2:$CZ$60=E$4),0),$A48-1966)</f>
        <v>-20091</v>
      </c>
      <c r="F48" s="18" cm="1">
        <f t="array" ref="F48">INDEX(GMWA!$A$2:$DA$60,MATCH(1,(GMWA!$DA$2:$DA$60=F$3)*(GMWA!$CZ$2:$CZ$60=F$4),0),$A48-1966)</f>
        <v>1862514</v>
      </c>
      <c r="G48" s="18" cm="1">
        <f t="array" ref="G48">INDEX(GMWA!$A$2:$DA$60,MATCH(1,(GMWA!$DA$2:$DA$60=G$3)*(GMWA!$CZ$2:$CZ$60=G$4),0),$A48-1966)</f>
        <v>372530</v>
      </c>
      <c r="H48" s="18" cm="1">
        <f t="array" ref="H48">INDEX(GMWA!$A$2:$DA$60,MATCH(1,(GMWA!$DA$2:$DA$60=H$3)*(GMWA!$CZ$2:$CZ$60=H$4),0),$A48-1966)</f>
        <v>56941</v>
      </c>
      <c r="I48" s="18" cm="1">
        <f t="array" ref="I48">INDEX(GMWA!$A$2:$DA$60,MATCH(1,(GMWA!$DA$2:$DA$60=I$3)*(GMWA!$CZ$2:$CZ$60=I$4),0),$A48-1966)</f>
        <v>67238</v>
      </c>
      <c r="J48" s="18" cm="1">
        <f t="array" ref="J48">INDEX(GMWA!$A$2:$DA$60,MATCH(1,(GMWA!$DA$2:$DA$60=J$3)*(GMWA!$CZ$2:$CZ$60=J$4),0),$A48-1966)</f>
        <v>2855798</v>
      </c>
      <c r="K48" s="18" cm="1">
        <f t="array" ref="K48">INDEX(GMWA!$A$2:$DA$60,MATCH(1,(GMWA!$DA$2:$DA$60=K$3)*(GMWA!$CZ$2:$CZ$60=K$4),0),$A48-1966)</f>
        <v>30793.5</v>
      </c>
      <c r="L48" s="18" cm="1">
        <f t="array" ref="L48">INDEX(GMWA!$A$2:$DA$60,MATCH(1,(GMWA!$DA$2:$DA$60=L$3)*(GMWA!$CZ$2:$CZ$60=L$4),0),$A48-1966)</f>
        <v>32.174999999999997</v>
      </c>
    </row>
    <row r="49" spans="1:12" x14ac:dyDescent="0.25">
      <c r="A49" s="18">
        <f t="shared" ref="A49:A94" si="2">+A48+1</f>
        <v>2015</v>
      </c>
      <c r="B49" s="18" cm="1">
        <f t="array" ref="B49">INDEX(GMWA!$A$2:$DA$60,MATCH(1,(GMWA!$DA$2:$DA$60=B$3)*(GMWA!$CZ$2:$CZ$60=B$4),0),$A49-1966)</f>
        <v>231101</v>
      </c>
      <c r="C49" s="18" cm="1">
        <f t="array" ref="C49">INDEX(GMWA!$A$2:$DA$60,MATCH(1,(GMWA!$DA$2:$DA$60=C$3)*(GMWA!$CZ$2:$CZ$60=C$4),0),$A49-1966)</f>
        <v>425845</v>
      </c>
      <c r="D49" s="18" cm="1">
        <f t="array" ref="D49">INDEX(GMWA!$A$2:$DA$60,MATCH(1,(GMWA!$DA$2:$DA$60=D$3)*(GMWA!$CZ$2:$CZ$60=D$4),0),$A49-1966)</f>
        <v>-50810</v>
      </c>
      <c r="E49" s="18" cm="1">
        <f t="array" ref="E49">INDEX(GMWA!$A$2:$DA$60,MATCH(1,(GMWA!$DA$2:$DA$60=E$3)*(GMWA!$CZ$2:$CZ$60=E$4),0),$A49-1966)</f>
        <v>-71212</v>
      </c>
      <c r="F49" s="18" cm="1">
        <f t="array" ref="F49">INDEX(GMWA!$A$2:$DA$60,MATCH(1,(GMWA!$DA$2:$DA$60=F$3)*(GMWA!$CZ$2:$CZ$60=F$4),0),$A49-1966)</f>
        <v>1916451</v>
      </c>
      <c r="G49" s="18" cm="1">
        <f t="array" ref="G49">INDEX(GMWA!$A$2:$DA$60,MATCH(1,(GMWA!$DA$2:$DA$60=G$3)*(GMWA!$CZ$2:$CZ$60=G$4),0),$A49-1966)</f>
        <v>399154</v>
      </c>
      <c r="H49" s="18" cm="1">
        <f t="array" ref="H49">INDEX(GMWA!$A$2:$DA$60,MATCH(1,(GMWA!$DA$2:$DA$60=H$3)*(GMWA!$CZ$2:$CZ$60=H$4),0),$A49-1966)</f>
        <v>57919</v>
      </c>
      <c r="I49" s="18" cm="1">
        <f t="array" ref="I49">INDEX(GMWA!$A$2:$DA$60,MATCH(1,(GMWA!$DA$2:$DA$60=I$3)*(GMWA!$CZ$2:$CZ$60=I$4),0),$A49-1966)</f>
        <v>72908</v>
      </c>
      <c r="J49" s="18" cm="1">
        <f t="array" ref="J49">INDEX(GMWA!$A$2:$DA$60,MATCH(1,(GMWA!$DA$2:$DA$60=J$3)*(GMWA!$CZ$2:$CZ$60=J$4),0),$A49-1966)</f>
        <v>2922085</v>
      </c>
      <c r="K49" s="18" cm="1">
        <f t="array" ref="K49">INDEX(GMWA!$A$2:$DA$60,MATCH(1,(GMWA!$DA$2:$DA$60=K$3)*(GMWA!$CZ$2:$CZ$60=K$4),0),$A49-1966)</f>
        <v>31314.5</v>
      </c>
      <c r="L49" s="18" cm="1">
        <f t="array" ref="L49">INDEX(GMWA!$A$2:$DA$60,MATCH(1,(GMWA!$DA$2:$DA$60=L$3)*(GMWA!$CZ$2:$CZ$60=L$4),0),$A49-1966)</f>
        <v>32.1</v>
      </c>
    </row>
    <row r="50" spans="1:12" x14ac:dyDescent="0.25">
      <c r="A50" s="18">
        <f t="shared" si="2"/>
        <v>2016</v>
      </c>
      <c r="B50" s="18" cm="1">
        <f t="array" ref="B50">INDEX(GMWA!$A$2:$DA$60,MATCH(1,(GMWA!$DA$2:$DA$60=B$3)*(GMWA!$CZ$2:$CZ$60=B$4),0),$A50-1966)</f>
        <v>246803</v>
      </c>
      <c r="C50" s="18" cm="1">
        <f t="array" ref="C50">INDEX(GMWA!$A$2:$DA$60,MATCH(1,(GMWA!$DA$2:$DA$60=C$3)*(GMWA!$CZ$2:$CZ$60=C$4),0),$A50-1966)</f>
        <v>439483</v>
      </c>
      <c r="D50" s="18" cm="1">
        <f t="array" ref="D50">INDEX(GMWA!$A$2:$DA$60,MATCH(1,(GMWA!$DA$2:$DA$60=D$3)*(GMWA!$CZ$2:$CZ$60=D$4),0),$A50-1966)</f>
        <v>-45657</v>
      </c>
      <c r="E50" s="18" cm="1">
        <f t="array" ref="E50">INDEX(GMWA!$A$2:$DA$60,MATCH(1,(GMWA!$DA$2:$DA$60=E$3)*(GMWA!$CZ$2:$CZ$60=E$4),0),$A50-1966)</f>
        <v>-56208</v>
      </c>
      <c r="F50" s="18" cm="1">
        <f t="array" ref="F50">INDEX(GMWA!$A$2:$DA$60,MATCH(1,(GMWA!$DA$2:$DA$60=F$3)*(GMWA!$CZ$2:$CZ$60=F$4),0),$A50-1966)</f>
        <v>1991645</v>
      </c>
      <c r="G50" s="18" cm="1">
        <f t="array" ref="G50">INDEX(GMWA!$A$2:$DA$60,MATCH(1,(GMWA!$DA$2:$DA$60=G$3)*(GMWA!$CZ$2:$CZ$60=G$4),0),$A50-1966)</f>
        <v>419678</v>
      </c>
      <c r="H50" s="18" cm="1">
        <f t="array" ref="H50">INDEX(GMWA!$A$2:$DA$60,MATCH(1,(GMWA!$DA$2:$DA$60=H$3)*(GMWA!$CZ$2:$CZ$60=H$4),0),$A50-1966)</f>
        <v>55892</v>
      </c>
      <c r="I50" s="18" cm="1">
        <f t="array" ref="I50">INDEX(GMWA!$A$2:$DA$60,MATCH(1,(GMWA!$DA$2:$DA$60=I$3)*(GMWA!$CZ$2:$CZ$60=I$4),0),$A50-1966)</f>
        <v>77884</v>
      </c>
      <c r="J50" s="18" cm="1">
        <f t="array" ref="J50">INDEX(GMWA!$A$2:$DA$60,MATCH(1,(GMWA!$DA$2:$DA$60=J$3)*(GMWA!$CZ$2:$CZ$60=J$4),0),$A50-1966)</f>
        <v>2998153</v>
      </c>
      <c r="K50" s="18" cm="1">
        <f t="array" ref="K50">INDEX(GMWA!$A$2:$DA$60,MATCH(1,(GMWA!$DA$2:$DA$60=K$3)*(GMWA!$CZ$2:$CZ$60=K$4),0),$A50-1966)</f>
        <v>31775.25</v>
      </c>
      <c r="L50" s="18" cm="1">
        <f t="array" ref="L50">INDEX(GMWA!$A$2:$DA$60,MATCH(1,(GMWA!$DA$2:$DA$60=L$3)*(GMWA!$CZ$2:$CZ$60=L$4),0),$A50-1966)</f>
        <v>32.049999999999997</v>
      </c>
    </row>
    <row r="51" spans="1:12" x14ac:dyDescent="0.25">
      <c r="A51" s="18">
        <f t="shared" si="2"/>
        <v>2017</v>
      </c>
      <c r="B51" s="18" cm="1">
        <f t="array" ref="B51">INDEX(GMWA!$A$2:$DA$60,MATCH(1,(GMWA!$DA$2:$DA$60=B$3)*(GMWA!$CZ$2:$CZ$60=B$4),0),$A51-1966)</f>
        <v>246164</v>
      </c>
      <c r="C51" s="18" cm="1">
        <f t="array" ref="C51">INDEX(GMWA!$A$2:$DA$60,MATCH(1,(GMWA!$DA$2:$DA$60=C$3)*(GMWA!$CZ$2:$CZ$60=C$4),0),$A51-1966)</f>
        <v>466988</v>
      </c>
      <c r="D51" s="18" cm="1">
        <f t="array" ref="D51">INDEX(GMWA!$A$2:$DA$60,MATCH(1,(GMWA!$DA$2:$DA$60=D$3)*(GMWA!$CZ$2:$CZ$60=D$4),0),$A51-1966)</f>
        <v>-18625</v>
      </c>
      <c r="E51" s="18" cm="1">
        <f t="array" ref="E51">INDEX(GMWA!$A$2:$DA$60,MATCH(1,(GMWA!$DA$2:$DA$60=E$3)*(GMWA!$CZ$2:$CZ$60=E$4),0),$A51-1966)</f>
        <v>-20240</v>
      </c>
      <c r="F51" s="18" cm="1">
        <f t="array" ref="F51">INDEX(GMWA!$A$2:$DA$60,MATCH(1,(GMWA!$DA$2:$DA$60=F$3)*(GMWA!$CZ$2:$CZ$60=F$4),0),$A51-1966)</f>
        <v>2082482</v>
      </c>
      <c r="G51" s="18" cm="1">
        <f t="array" ref="G51">INDEX(GMWA!$A$2:$DA$60,MATCH(1,(GMWA!$DA$2:$DA$60=G$3)*(GMWA!$CZ$2:$CZ$60=G$4),0),$A51-1966)</f>
        <v>434377</v>
      </c>
      <c r="H51" s="18" cm="1">
        <f t="array" ref="H51">INDEX(GMWA!$A$2:$DA$60,MATCH(1,(GMWA!$DA$2:$DA$60=H$3)*(GMWA!$CZ$2:$CZ$60=H$4),0),$A51-1966)</f>
        <v>61970</v>
      </c>
      <c r="I51" s="18" cm="1">
        <f t="array" ref="I51">INDEX(GMWA!$A$2:$DA$60,MATCH(1,(GMWA!$DA$2:$DA$60=I$3)*(GMWA!$CZ$2:$CZ$60=I$4),0),$A51-1966)</f>
        <v>86521</v>
      </c>
      <c r="J51" s="18" cm="1">
        <f t="array" ref="J51">INDEX(GMWA!$A$2:$DA$60,MATCH(1,(GMWA!$DA$2:$DA$60=J$3)*(GMWA!$CZ$2:$CZ$60=J$4),0),$A51-1966)</f>
        <v>3070960</v>
      </c>
      <c r="K51" s="18" cm="1">
        <f t="array" ref="K51">INDEX(GMWA!$A$2:$DA$60,MATCH(1,(GMWA!$DA$2:$DA$60=K$3)*(GMWA!$CZ$2:$CZ$60=K$4),0),$A51-1966)</f>
        <v>32087</v>
      </c>
      <c r="L51" s="18" cm="1">
        <f t="array" ref="L51">INDEX(GMWA!$A$2:$DA$60,MATCH(1,(GMWA!$DA$2:$DA$60=L$3)*(GMWA!$CZ$2:$CZ$60=L$4),0),$A51-1966)</f>
        <v>32.1</v>
      </c>
    </row>
    <row r="52" spans="1:12" x14ac:dyDescent="0.25">
      <c r="A52" s="18">
        <f t="shared" si="2"/>
        <v>2018</v>
      </c>
      <c r="B52" s="18" cm="1">
        <f t="array" ref="B52">INDEX(GMWA!$A$2:$DA$60,MATCH(1,(GMWA!$DA$2:$DA$60=B$3)*(GMWA!$CZ$2:$CZ$60=B$4),0),$A52-1966)</f>
        <v>242048</v>
      </c>
      <c r="C52" s="18" cm="1">
        <f t="array" ref="C52">INDEX(GMWA!$A$2:$DA$60,MATCH(1,(GMWA!$DA$2:$DA$60=C$3)*(GMWA!$CZ$2:$CZ$60=C$4),0),$A52-1966)</f>
        <v>468601</v>
      </c>
      <c r="D52" s="18" cm="1">
        <f t="array" ref="D52">INDEX(GMWA!$A$2:$DA$60,MATCH(1,(GMWA!$DA$2:$DA$60=D$3)*(GMWA!$CZ$2:$CZ$60=D$4),0),$A52-1966)</f>
        <v>-32216</v>
      </c>
      <c r="E52" s="18" cm="1">
        <f t="array" ref="E52">INDEX(GMWA!$A$2:$DA$60,MATCH(1,(GMWA!$DA$2:$DA$60=E$3)*(GMWA!$CZ$2:$CZ$60=E$4),0),$A52-1966)</f>
        <v>-26041</v>
      </c>
      <c r="F52" s="18" cm="1">
        <f t="array" ref="F52">INDEX(GMWA!$A$2:$DA$60,MATCH(1,(GMWA!$DA$2:$DA$60=F$3)*(GMWA!$CZ$2:$CZ$60=F$4),0),$A52-1966)</f>
        <v>2152304</v>
      </c>
      <c r="G52" s="18" cm="1">
        <f t="array" ref="G52">INDEX(GMWA!$A$2:$DA$60,MATCH(1,(GMWA!$DA$2:$DA$60=G$3)*(GMWA!$CZ$2:$CZ$60=G$4),0),$A52-1966)</f>
        <v>432395</v>
      </c>
      <c r="H52" s="18" cm="1">
        <f t="array" ref="H52">INDEX(GMWA!$A$2:$DA$60,MATCH(1,(GMWA!$DA$2:$DA$60=H$3)*(GMWA!$CZ$2:$CZ$60=H$4),0),$A52-1966)</f>
        <v>61957</v>
      </c>
      <c r="I52" s="18" cm="1">
        <f t="array" ref="I52">INDEX(GMWA!$A$2:$DA$60,MATCH(1,(GMWA!$DA$2:$DA$60=I$3)*(GMWA!$CZ$2:$CZ$60=I$4),0),$A52-1966)</f>
        <v>94462</v>
      </c>
      <c r="J52" s="18" cm="1">
        <f t="array" ref="J52">INDEX(GMWA!$A$2:$DA$60,MATCH(1,(GMWA!$DA$2:$DA$60=J$3)*(GMWA!$CZ$2:$CZ$60=J$4),0),$A52-1966)</f>
        <v>3130728</v>
      </c>
      <c r="K52" s="18" cm="1">
        <f t="array" ref="K52">INDEX(GMWA!$A$2:$DA$60,MATCH(1,(GMWA!$DA$2:$DA$60=K$3)*(GMWA!$CZ$2:$CZ$60=K$4),0),$A52-1966)</f>
        <v>32458.25</v>
      </c>
      <c r="L52" s="18" cm="1">
        <f t="array" ref="L52">INDEX(GMWA!$A$2:$DA$60,MATCH(1,(GMWA!$DA$2:$DA$60=L$3)*(GMWA!$CZ$2:$CZ$60=L$4),0),$A52-1966)</f>
        <v>32</v>
      </c>
    </row>
    <row r="53" spans="1:12" x14ac:dyDescent="0.25">
      <c r="A53" s="18">
        <f t="shared" si="2"/>
        <v>2019</v>
      </c>
      <c r="B53" s="18" cm="1">
        <f t="array" ref="B53">INDEX(GMWA!$A$2:$DA$60,MATCH(1,(GMWA!$DA$2:$DA$60=B$3)*(GMWA!$CZ$2:$CZ$60=B$4),0),$A53-1966)</f>
        <v>247308</v>
      </c>
      <c r="C53" s="18" cm="1">
        <f t="array" ref="C53">INDEX(GMWA!$A$2:$DA$60,MATCH(1,(GMWA!$DA$2:$DA$60=C$3)*(GMWA!$CZ$2:$CZ$60=C$4),0),$A53-1966)</f>
        <v>485008</v>
      </c>
      <c r="D53" s="18" cm="1">
        <f t="array" ref="D53">INDEX(GMWA!$A$2:$DA$60,MATCH(1,(GMWA!$DA$2:$DA$60=D$3)*(GMWA!$CZ$2:$CZ$60=D$4),0),$A53-1966)</f>
        <v>-9916</v>
      </c>
      <c r="E53" s="18" cm="1">
        <f t="array" ref="E53">INDEX(GMWA!$A$2:$DA$60,MATCH(1,(GMWA!$DA$2:$DA$60=E$3)*(GMWA!$CZ$2:$CZ$60=E$4),0),$A53-1966)</f>
        <v>-369.00200000000001</v>
      </c>
      <c r="F53" s="18" cm="1">
        <f t="array" ref="F53">INDEX(GMWA!$A$2:$DA$60,MATCH(1,(GMWA!$DA$2:$DA$60=F$3)*(GMWA!$CZ$2:$CZ$60=F$4),0),$A53-1966)</f>
        <v>2233921</v>
      </c>
      <c r="G53" s="18" cm="1">
        <f t="array" ref="G53">INDEX(GMWA!$A$2:$DA$60,MATCH(1,(GMWA!$DA$2:$DA$60=G$3)*(GMWA!$CZ$2:$CZ$60=G$4),0),$A53-1966)</f>
        <v>441621</v>
      </c>
      <c r="H53" s="18" cm="1">
        <f t="array" ref="H53">INDEX(GMWA!$A$2:$DA$60,MATCH(1,(GMWA!$DA$2:$DA$60=H$3)*(GMWA!$CZ$2:$CZ$60=H$4),0),$A53-1966)</f>
        <v>63652</v>
      </c>
      <c r="I53" s="18" cm="1">
        <f t="array" ref="I53">INDEX(GMWA!$A$2:$DA$60,MATCH(1,(GMWA!$DA$2:$DA$60=I$3)*(GMWA!$CZ$2:$CZ$60=I$4),0),$A53-1966)</f>
        <v>97375</v>
      </c>
      <c r="J53" s="18" cm="1">
        <f t="array" ref="J53">INDEX(GMWA!$A$2:$DA$60,MATCH(1,(GMWA!$DA$2:$DA$60=J$3)*(GMWA!$CZ$2:$CZ$60=J$4),0),$A53-1966)</f>
        <v>3190496</v>
      </c>
      <c r="K53" s="18" cm="1">
        <f t="array" ref="K53">INDEX(GMWA!$A$2:$DA$60,MATCH(1,(GMWA!$DA$2:$DA$60=K$3)*(GMWA!$CZ$2:$CZ$60=K$4),0),$A53-1966)</f>
        <v>32823.25</v>
      </c>
      <c r="L53" s="18" cm="1">
        <f t="array" ref="L53">INDEX(GMWA!$A$2:$DA$60,MATCH(1,(GMWA!$DA$2:$DA$60=L$3)*(GMWA!$CZ$2:$CZ$60=L$4),0),$A53-1966)</f>
        <v>32.075000000000003</v>
      </c>
    </row>
    <row r="54" spans="1:12" x14ac:dyDescent="0.25">
      <c r="A54" s="18">
        <f t="shared" si="2"/>
        <v>2020</v>
      </c>
      <c r="B54" s="18" cm="1">
        <f t="array" ref="B54">INDEX(GMWA!$A$2:$DA$60,MATCH(1,(GMWA!$DA$2:$DA$60=B$3)*(GMWA!$CZ$2:$CZ$60=B$4),0),$A54-1966)</f>
        <v>222035</v>
      </c>
      <c r="C54" s="18" cm="1">
        <f t="array" ref="C54">INDEX(GMWA!$A$2:$DA$60,MATCH(1,(GMWA!$DA$2:$DA$60=C$3)*(GMWA!$CZ$2:$CZ$60=C$4),0),$A54-1966)</f>
        <v>478728</v>
      </c>
      <c r="D54" s="18" cm="1">
        <f t="array" ref="D54">INDEX(GMWA!$A$2:$DA$60,MATCH(1,(GMWA!$DA$2:$DA$60=D$3)*(GMWA!$CZ$2:$CZ$60=D$4),0),$A54-1966)</f>
        <v>-19793</v>
      </c>
      <c r="E54" s="18" cm="1">
        <f t="array" ref="E54">INDEX(GMWA!$A$2:$DA$60,MATCH(1,(GMWA!$DA$2:$DA$60=E$3)*(GMWA!$CZ$2:$CZ$60=E$4),0),$A54-1966)</f>
        <v>27793</v>
      </c>
      <c r="F54" s="18" cm="1">
        <f t="array" ref="F54">INDEX(GMWA!$A$2:$DA$60,MATCH(1,(GMWA!$DA$2:$DA$60=F$3)*(GMWA!$CZ$2:$CZ$60=F$4),0),$A54-1966)</f>
        <v>2103486</v>
      </c>
      <c r="G54" s="18" cm="1">
        <f t="array" ref="G54">INDEX(GMWA!$A$2:$DA$60,MATCH(1,(GMWA!$DA$2:$DA$60=G$3)*(GMWA!$CZ$2:$CZ$60=G$4),0),$A54-1966)</f>
        <v>398878</v>
      </c>
      <c r="H54" s="18" cm="1">
        <f t="array" ref="H54">INDEX(GMWA!$A$2:$DA$60,MATCH(1,(GMWA!$DA$2:$DA$60=H$3)*(GMWA!$CZ$2:$CZ$60=H$4),0),$A54-1966)</f>
        <v>70566</v>
      </c>
      <c r="I54" s="18" cm="1">
        <f t="array" ref="I54">INDEX(GMWA!$A$2:$DA$60,MATCH(1,(GMWA!$DA$2:$DA$60=I$3)*(GMWA!$CZ$2:$CZ$60=I$4),0),$A54-1966)</f>
        <v>81188</v>
      </c>
      <c r="J54" s="18" cm="1">
        <f t="array" ref="J54">INDEX(GMWA!$A$2:$DA$60,MATCH(1,(GMWA!$DA$2:$DA$60=J$3)*(GMWA!$CZ$2:$CZ$60=J$4),0),$A54-1966)</f>
        <v>3212229</v>
      </c>
      <c r="K54" s="18" cm="1">
        <f t="array" ref="K54">INDEX(GMWA!$A$2:$DA$60,MATCH(1,(GMWA!$DA$2:$DA$60=K$3)*(GMWA!$CZ$2:$CZ$60=K$4),0),$A54-1966)</f>
        <v>32530.75</v>
      </c>
      <c r="L54" s="18" cm="1">
        <f t="array" ref="L54">INDEX(GMWA!$A$2:$DA$60,MATCH(1,(GMWA!$DA$2:$DA$60=L$3)*(GMWA!$CZ$2:$CZ$60=L$4),0),$A54-1966)</f>
        <v>28.95</v>
      </c>
    </row>
    <row r="55" spans="1:12" x14ac:dyDescent="0.25">
      <c r="A55" s="18">
        <f t="shared" si="2"/>
        <v>2021</v>
      </c>
      <c r="B55" s="18" cm="1">
        <f t="array" ref="B55">INDEX(GMWA!$A$2:$DA$60,MATCH(1,(GMWA!$DA$2:$DA$60=B$3)*(GMWA!$CZ$2:$CZ$60=B$4),0),$A55-1966)</f>
        <v>225991</v>
      </c>
      <c r="C55" s="18" cm="1">
        <f t="array" ref="C55">INDEX(GMWA!$A$2:$DA$60,MATCH(1,(GMWA!$DA$2:$DA$60=C$3)*(GMWA!$CZ$2:$CZ$60=C$4),0),$A55-1966)</f>
        <v>501715</v>
      </c>
      <c r="D55" s="18" cm="1">
        <f t="array" ref="D55">INDEX(GMWA!$A$2:$DA$60,MATCH(1,(GMWA!$DA$2:$DA$60=D$3)*(GMWA!$CZ$2:$CZ$60=D$4),0),$A55-1966)</f>
        <v>23558</v>
      </c>
      <c r="E55" s="18" cm="1">
        <f t="array" ref="E55">INDEX(GMWA!$A$2:$DA$60,MATCH(1,(GMWA!$DA$2:$DA$60=E$3)*(GMWA!$CZ$2:$CZ$60=E$4),0),$A55-1966)</f>
        <v>50421</v>
      </c>
      <c r="F55" s="18" cm="1">
        <f t="array" ref="F55">INDEX(GMWA!$A$2:$DA$60,MATCH(1,(GMWA!$DA$2:$DA$60=F$3)*(GMWA!$CZ$2:$CZ$60=F$4),0),$A55-1966)</f>
        <v>2285400</v>
      </c>
      <c r="G55" s="18" cm="1">
        <f t="array" ref="G55">INDEX(GMWA!$A$2:$DA$60,MATCH(1,(GMWA!$DA$2:$DA$60=G$3)*(GMWA!$CZ$2:$CZ$60=G$4),0),$A55-1966)</f>
        <v>429120</v>
      </c>
      <c r="H55" s="18" cm="1">
        <f t="array" ref="H55">INDEX(GMWA!$A$2:$DA$60,MATCH(1,(GMWA!$DA$2:$DA$60=H$3)*(GMWA!$CZ$2:$CZ$60=H$4),0),$A55-1966)</f>
        <v>77623</v>
      </c>
      <c r="I55" s="18" cm="1">
        <f t="array" ref="I55">INDEX(GMWA!$A$2:$DA$60,MATCH(1,(GMWA!$DA$2:$DA$60=I$3)*(GMWA!$CZ$2:$CZ$60=I$4),0),$A55-1966)</f>
        <v>97799</v>
      </c>
      <c r="J55" s="18" cm="1">
        <f t="array" ref="J55">INDEX(GMWA!$A$2:$DA$60,MATCH(1,(GMWA!$DA$2:$DA$60=J$3)*(GMWA!$CZ$2:$CZ$60=J$4),0),$A55-1966)</f>
        <v>3240483</v>
      </c>
      <c r="K55" s="18" cm="1">
        <f t="array" ref="K55">INDEX(GMWA!$A$2:$DA$60,MATCH(1,(GMWA!$DA$2:$DA$60=K$3)*(GMWA!$CZ$2:$CZ$60=K$4),0),$A55-1966)</f>
        <v>32492.75</v>
      </c>
      <c r="L55" s="18" cm="1">
        <f t="array" ref="L55">INDEX(GMWA!$A$2:$DA$60,MATCH(1,(GMWA!$DA$2:$DA$60=L$3)*(GMWA!$CZ$2:$CZ$60=L$4),0),$A55-1966)</f>
        <v>30.975000000000001</v>
      </c>
    </row>
    <row r="56" spans="1:12" x14ac:dyDescent="0.25">
      <c r="A56" s="18">
        <f t="shared" si="2"/>
        <v>2022</v>
      </c>
      <c r="B56" s="18" cm="1">
        <f t="array" ref="B56">INDEX(GMWA!$A$2:$DA$60,MATCH(1,(GMWA!$DA$2:$DA$60=B$3)*(GMWA!$CZ$2:$CZ$60=B$4),0),$A56-1966)</f>
        <v>239370</v>
      </c>
      <c r="C56" s="18" cm="1">
        <f t="array" ref="C56">INDEX(GMWA!$A$2:$DA$60,MATCH(1,(GMWA!$DA$2:$DA$60=C$3)*(GMWA!$CZ$2:$CZ$60=C$4),0),$A56-1966)</f>
        <v>545252</v>
      </c>
      <c r="D56" s="18" cm="1">
        <f t="array" ref="D56">INDEX(GMWA!$A$2:$DA$60,MATCH(1,(GMWA!$DA$2:$DA$60=D$3)*(GMWA!$CZ$2:$CZ$60=D$4),0),$A56-1966)</f>
        <v>11453</v>
      </c>
      <c r="E56" s="18" cm="1">
        <f t="array" ref="E56">INDEX(GMWA!$A$2:$DA$60,MATCH(1,(GMWA!$DA$2:$DA$60=E$3)*(GMWA!$CZ$2:$CZ$60=E$4),0),$A56-1966)</f>
        <v>69354</v>
      </c>
      <c r="F56" s="18" cm="1">
        <f t="array" ref="F56">INDEX(GMWA!$A$2:$DA$60,MATCH(1,(GMWA!$DA$2:$DA$60=F$3)*(GMWA!$CZ$2:$CZ$60=F$4),0),$A56-1966)</f>
        <v>2526428</v>
      </c>
      <c r="G56" s="18" cm="1">
        <f t="array" ref="G56">INDEX(GMWA!$A$2:$DA$60,MATCH(1,(GMWA!$DA$2:$DA$60=G$3)*(GMWA!$CZ$2:$CZ$60=G$4),0),$A56-1966)</f>
        <v>451091</v>
      </c>
      <c r="H56" s="18" cm="1">
        <f t="array" ref="H56">INDEX(GMWA!$A$2:$DA$60,MATCH(1,(GMWA!$DA$2:$DA$60=H$3)*(GMWA!$CZ$2:$CZ$60=H$4),0),$A56-1966)</f>
        <v>77537</v>
      </c>
      <c r="I56" s="18" cm="1">
        <f t="array" ref="I56">INDEX(GMWA!$A$2:$DA$60,MATCH(1,(GMWA!$DA$2:$DA$60=I$3)*(GMWA!$CZ$2:$CZ$60=I$4),0),$A56-1966)</f>
        <v>101901</v>
      </c>
      <c r="J56" s="18" cm="1">
        <f t="array" ref="J56">INDEX(GMWA!$A$2:$DA$60,MATCH(1,(GMWA!$DA$2:$DA$60=J$3)*(GMWA!$CZ$2:$CZ$60=J$4),0),$A56-1966)</f>
        <v>3290470</v>
      </c>
      <c r="K56" s="18" cm="1">
        <f t="array" ref="K56">INDEX(GMWA!$A$2:$DA$60,MATCH(1,(GMWA!$DA$2:$DA$60=K$3)*(GMWA!$CZ$2:$CZ$60=K$4),0),$A56-1966)</f>
        <v>32929</v>
      </c>
      <c r="L56" s="18" cm="1">
        <f t="array" ref="L56">INDEX(GMWA!$A$2:$DA$60,MATCH(1,(GMWA!$DA$2:$DA$60=L$3)*(GMWA!$CZ$2:$CZ$60=L$4),0),$A56-1966)</f>
        <v>31.8</v>
      </c>
    </row>
    <row r="57" spans="1:12" x14ac:dyDescent="0.25">
      <c r="A57" s="18">
        <f t="shared" si="2"/>
        <v>2023</v>
      </c>
      <c r="B57" s="18" cm="1">
        <f t="array" ref="B57">INDEX(GMWA!$A$2:$DA$60,MATCH(1,(GMWA!$DA$2:$DA$60=B$3)*(GMWA!$CZ$2:$CZ$60=B$4),0),$A57-1966)</f>
        <v>245951</v>
      </c>
      <c r="C57" s="18" cm="1">
        <f t="array" ref="C57">INDEX(GMWA!$A$2:$DA$60,MATCH(1,(GMWA!$DA$2:$DA$60=C$3)*(GMWA!$CZ$2:$CZ$60=C$4),0),$A57-1966)</f>
        <v>588095</v>
      </c>
      <c r="D57" s="18" cm="1">
        <f t="array" ref="D57">INDEX(GMWA!$A$2:$DA$60,MATCH(1,(GMWA!$DA$2:$DA$60=D$3)*(GMWA!$CZ$2:$CZ$60=D$4),0),$A57-1966)</f>
        <v>-8925.0010000000002</v>
      </c>
      <c r="E57" s="18" cm="1">
        <f t="array" ref="E57">INDEX(GMWA!$A$2:$DA$60,MATCH(1,(GMWA!$DA$2:$DA$60=E$3)*(GMWA!$CZ$2:$CZ$60=E$4),0),$A57-1966)</f>
        <v>60369</v>
      </c>
      <c r="F57" s="18" cm="1">
        <f t="array" ref="F57">INDEX(GMWA!$A$2:$DA$60,MATCH(1,(GMWA!$DA$2:$DA$60=F$3)*(GMWA!$CZ$2:$CZ$60=F$4),0),$A57-1966)</f>
        <v>2720029</v>
      </c>
      <c r="G57" s="18" cm="1">
        <f t="array" ref="G57">INDEX(GMWA!$A$2:$DA$60,MATCH(1,(GMWA!$DA$2:$DA$60=G$3)*(GMWA!$CZ$2:$CZ$60=G$4),0),$A57-1966)</f>
        <v>450779</v>
      </c>
      <c r="H57" s="18" cm="1">
        <f t="array" ref="H57">INDEX(GMWA!$A$2:$DA$60,MATCH(1,(GMWA!$DA$2:$DA$60=H$3)*(GMWA!$CZ$2:$CZ$60=H$4),0),$A57-1966)</f>
        <v>80011</v>
      </c>
      <c r="I57" s="18" cm="1">
        <f t="array" ref="I57">INDEX(GMWA!$A$2:$DA$60,MATCH(1,(GMWA!$DA$2:$DA$60=I$3)*(GMWA!$CZ$2:$CZ$60=I$4),0),$A57-1966)</f>
        <v>95331</v>
      </c>
      <c r="J57" s="18" cm="1">
        <f t="array" ref="J57">INDEX(GMWA!$A$2:$DA$60,MATCH(1,(GMWA!$DA$2:$DA$60=J$3)*(GMWA!$CZ$2:$CZ$60=J$4),0),$A57-1966)</f>
        <v>3345891</v>
      </c>
      <c r="K57" s="18" cm="1">
        <f t="array" ref="K57">INDEX(GMWA!$A$2:$DA$60,MATCH(1,(GMWA!$DA$2:$DA$60=K$3)*(GMWA!$CZ$2:$CZ$60=K$4),0),$A57-1966)</f>
        <v>33160</v>
      </c>
      <c r="L57" s="18" cm="1">
        <f t="array" ref="L57">INDEX(GMWA!$A$2:$DA$60,MATCH(1,(GMWA!$DA$2:$DA$60=L$3)*(GMWA!$CZ$2:$CZ$60=L$4),0),$A57-1966)</f>
        <v>31.574999999999999</v>
      </c>
    </row>
    <row r="58" spans="1:12" x14ac:dyDescent="0.25">
      <c r="A58" s="18">
        <f t="shared" si="2"/>
        <v>2024</v>
      </c>
      <c r="B58" s="18" cm="1">
        <f t="array" ref="B58">INDEX(GMWA!$A$2:$DA$60,MATCH(1,(GMWA!$DA$2:$DA$60=B$3)*(GMWA!$CZ$2:$CZ$60=B$4),0),$A58-1966)</f>
        <v>249336.3</v>
      </c>
      <c r="C58" s="18" cm="1">
        <f t="array" ref="C58">INDEX(GMWA!$A$2:$DA$60,MATCH(1,(GMWA!$DA$2:$DA$60=C$3)*(GMWA!$CZ$2:$CZ$60=C$4),0),$A58-1966)</f>
        <v>597130.6</v>
      </c>
      <c r="D58" s="18" cm="1">
        <f t="array" ref="D58">INDEX(GMWA!$A$2:$DA$60,MATCH(1,(GMWA!$DA$2:$DA$60=D$3)*(GMWA!$CZ$2:$CZ$60=D$4),0),$A58-1966)</f>
        <v>-64458.55</v>
      </c>
      <c r="E58" s="18" cm="1">
        <f t="array" ref="E58">INDEX(GMWA!$A$2:$DA$60,MATCH(1,(GMWA!$DA$2:$DA$60=E$3)*(GMWA!$CZ$2:$CZ$60=E$4),0),$A58-1966)</f>
        <v>-22081.360000000001</v>
      </c>
      <c r="F58" s="18" cm="1">
        <f t="array" ref="F58">INDEX(GMWA!$A$2:$DA$60,MATCH(1,(GMWA!$DA$2:$DA$60=F$3)*(GMWA!$CZ$2:$CZ$60=F$4),0),$A58-1966)</f>
        <v>2825213</v>
      </c>
      <c r="G58" s="18" cm="1">
        <f t="array" ref="G58">INDEX(GMWA!$A$2:$DA$60,MATCH(1,(GMWA!$DA$2:$DA$60=G$3)*(GMWA!$CZ$2:$CZ$60=G$4),0),$A58-1966)</f>
        <v>453684.8</v>
      </c>
      <c r="H58" s="18" cm="1">
        <f t="array" ref="H58">INDEX(GMWA!$A$2:$DA$60,MATCH(1,(GMWA!$DA$2:$DA$60=H$3)*(GMWA!$CZ$2:$CZ$60=H$4),0),$A58-1966)</f>
        <v>79045.789999999994</v>
      </c>
      <c r="I58" s="18" cm="1">
        <f t="array" ref="I58">INDEX(GMWA!$A$2:$DA$60,MATCH(1,(GMWA!$DA$2:$DA$60=I$3)*(GMWA!$CZ$2:$CZ$60=I$4),0),$A58-1966)</f>
        <v>94972.09</v>
      </c>
      <c r="J58" s="18" cm="1">
        <f t="array" ref="J58">INDEX(GMWA!$A$2:$DA$60,MATCH(1,(GMWA!$DA$2:$DA$60=J$3)*(GMWA!$CZ$2:$CZ$60=J$4),0),$A58-1966)</f>
        <v>3401300</v>
      </c>
      <c r="K58" s="18" cm="1">
        <f t="array" ref="K58">INDEX(GMWA!$A$2:$DA$60,MATCH(1,(GMWA!$DA$2:$DA$60=K$3)*(GMWA!$CZ$2:$CZ$60=K$4),0),$A58-1966)</f>
        <v>33086.35</v>
      </c>
      <c r="L58" s="18" cm="1">
        <f t="array" ref="L58">INDEX(GMWA!$A$2:$DA$60,MATCH(1,(GMWA!$DA$2:$DA$60=L$3)*(GMWA!$CZ$2:$CZ$60=L$4),0),$A58-1966)</f>
        <v>32</v>
      </c>
    </row>
    <row r="59" spans="1:12" x14ac:dyDescent="0.25">
      <c r="A59" s="18">
        <f t="shared" si="2"/>
        <v>2025</v>
      </c>
      <c r="B59" s="18" cm="1">
        <f t="array" ref="B59">INDEX(GMWA!$A$2:$DA$60,MATCH(1,(GMWA!$DA$2:$DA$60=B$3)*(GMWA!$CZ$2:$CZ$60=B$4),0),$A59-1966)</f>
        <v>257048</v>
      </c>
      <c r="C59" s="18" cm="1">
        <f t="array" ref="C59">INDEX(GMWA!$A$2:$DA$60,MATCH(1,(GMWA!$DA$2:$DA$60=C$3)*(GMWA!$CZ$2:$CZ$60=C$4),0),$A59-1966)</f>
        <v>639092.80000000005</v>
      </c>
      <c r="D59" s="18" cm="1">
        <f t="array" ref="D59">INDEX(GMWA!$A$2:$DA$60,MATCH(1,(GMWA!$DA$2:$DA$60=D$3)*(GMWA!$CZ$2:$CZ$60=D$4),0),$A59-1966)</f>
        <v>-61707.54</v>
      </c>
      <c r="E59" s="18" cm="1">
        <f t="array" ref="E59">INDEX(GMWA!$A$2:$DA$60,MATCH(1,(GMWA!$DA$2:$DA$60=E$3)*(GMWA!$CZ$2:$CZ$60=E$4),0),$A59-1966)</f>
        <v>-42166.29</v>
      </c>
      <c r="F59" s="18" cm="1">
        <f t="array" ref="F59">INDEX(GMWA!$A$2:$DA$60,MATCH(1,(GMWA!$DA$2:$DA$60=F$3)*(GMWA!$CZ$2:$CZ$60=F$4),0),$A59-1966)</f>
        <v>2937377</v>
      </c>
      <c r="G59" s="18" cm="1">
        <f t="array" ref="G59">INDEX(GMWA!$A$2:$DA$60,MATCH(1,(GMWA!$DA$2:$DA$60=G$3)*(GMWA!$CZ$2:$CZ$60=G$4),0),$A59-1966)</f>
        <v>459511.3</v>
      </c>
      <c r="H59" s="18" cm="1">
        <f t="array" ref="H59">INDEX(GMWA!$A$2:$DA$60,MATCH(1,(GMWA!$DA$2:$DA$60=H$3)*(GMWA!$CZ$2:$CZ$60=H$4),0),$A59-1966)</f>
        <v>75083.55</v>
      </c>
      <c r="I59" s="18" cm="1">
        <f t="array" ref="I59">INDEX(GMWA!$A$2:$DA$60,MATCH(1,(GMWA!$DA$2:$DA$60=I$3)*(GMWA!$CZ$2:$CZ$60=I$4),0),$A59-1966)</f>
        <v>95632.52</v>
      </c>
      <c r="J59" s="18" cm="1">
        <f t="array" ref="J59">INDEX(GMWA!$A$2:$DA$60,MATCH(1,(GMWA!$DA$2:$DA$60=J$3)*(GMWA!$CZ$2:$CZ$60=J$4),0),$A59-1966)</f>
        <v>3456145</v>
      </c>
      <c r="K59" s="18" cm="1">
        <f t="array" ref="K59">INDEX(GMWA!$A$2:$DA$60,MATCH(1,(GMWA!$DA$2:$DA$60=K$3)*(GMWA!$CZ$2:$CZ$60=K$4),0),$A59-1966)</f>
        <v>33428.959999999999</v>
      </c>
      <c r="L59" s="18" cm="1">
        <f t="array" ref="L59">INDEX(GMWA!$A$2:$DA$60,MATCH(1,(GMWA!$DA$2:$DA$60=L$3)*(GMWA!$CZ$2:$CZ$60=L$4),0),$A59-1966)</f>
        <v>32</v>
      </c>
    </row>
    <row r="60" spans="1:12" x14ac:dyDescent="0.25">
      <c r="A60" s="18">
        <f t="shared" si="2"/>
        <v>2026</v>
      </c>
      <c r="B60" s="18" cm="1">
        <f t="array" ref="B60">INDEX(GMWA!$A$2:$DA$60,MATCH(1,(GMWA!$DA$2:$DA$60=B$3)*(GMWA!$CZ$2:$CZ$60=B$4),0),$A60-1966)</f>
        <v>266363.90000000002</v>
      </c>
      <c r="C60" s="18" cm="1">
        <f t="array" ref="C60">INDEX(GMWA!$A$2:$DA$60,MATCH(1,(GMWA!$DA$2:$DA$60=C$3)*(GMWA!$CZ$2:$CZ$60=C$4),0),$A60-1966)</f>
        <v>663620.9</v>
      </c>
      <c r="D60" s="18" cm="1">
        <f t="array" ref="D60">INDEX(GMWA!$A$2:$DA$60,MATCH(1,(GMWA!$DA$2:$DA$60=D$3)*(GMWA!$CZ$2:$CZ$60=D$4),0),$A60-1966)</f>
        <v>-61209.77</v>
      </c>
      <c r="E60" s="18" cm="1">
        <f t="array" ref="E60">INDEX(GMWA!$A$2:$DA$60,MATCH(1,(GMWA!$DA$2:$DA$60=E$3)*(GMWA!$CZ$2:$CZ$60=E$4),0),$A60-1966)</f>
        <v>-56176.82</v>
      </c>
      <c r="F60" s="18" cm="1">
        <f t="array" ref="F60">INDEX(GMWA!$A$2:$DA$60,MATCH(1,(GMWA!$DA$2:$DA$60=F$3)*(GMWA!$CZ$2:$CZ$60=F$4),0),$A60-1966)</f>
        <v>3048965</v>
      </c>
      <c r="G60" s="18" cm="1">
        <f t="array" ref="G60">INDEX(GMWA!$A$2:$DA$60,MATCH(1,(GMWA!$DA$2:$DA$60=G$3)*(GMWA!$CZ$2:$CZ$60=G$4),0),$A60-1966)</f>
        <v>471065.3</v>
      </c>
      <c r="H60" s="18" cm="1">
        <f t="array" ref="H60">INDEX(GMWA!$A$2:$DA$60,MATCH(1,(GMWA!$DA$2:$DA$60=H$3)*(GMWA!$CZ$2:$CZ$60=H$4),0),$A60-1966)</f>
        <v>72688.19</v>
      </c>
      <c r="I60" s="18" cm="1">
        <f t="array" ref="I60">INDEX(GMWA!$A$2:$DA$60,MATCH(1,(GMWA!$DA$2:$DA$60=I$3)*(GMWA!$CZ$2:$CZ$60=I$4),0),$A60-1966)</f>
        <v>99068.65</v>
      </c>
      <c r="J60" s="18" cm="1">
        <f t="array" ref="J60">INDEX(GMWA!$A$2:$DA$60,MATCH(1,(GMWA!$DA$2:$DA$60=J$3)*(GMWA!$CZ$2:$CZ$60=J$4),0),$A60-1966)</f>
        <v>3513286</v>
      </c>
      <c r="K60" s="18" cm="1">
        <f t="array" ref="K60">INDEX(GMWA!$A$2:$DA$60,MATCH(1,(GMWA!$DA$2:$DA$60=K$3)*(GMWA!$CZ$2:$CZ$60=K$4),0),$A60-1966)</f>
        <v>33872.67</v>
      </c>
      <c r="L60" s="18" cm="1">
        <f t="array" ref="L60">INDEX(GMWA!$A$2:$DA$60,MATCH(1,(GMWA!$DA$2:$DA$60=L$3)*(GMWA!$CZ$2:$CZ$60=L$4),0),$A60-1966)</f>
        <v>32</v>
      </c>
    </row>
    <row r="61" spans="1:12" x14ac:dyDescent="0.25">
      <c r="A61" s="18">
        <f t="shared" si="2"/>
        <v>2027</v>
      </c>
      <c r="B61" s="18" cm="1">
        <f t="array" ref="B61">INDEX(GMWA!$A$2:$DA$60,MATCH(1,(GMWA!$DA$2:$DA$60=B$3)*(GMWA!$CZ$2:$CZ$60=B$4),0),$A61-1966)</f>
        <v>273556.40000000002</v>
      </c>
      <c r="C61" s="18" cm="1">
        <f t="array" ref="C61">INDEX(GMWA!$A$2:$DA$60,MATCH(1,(GMWA!$DA$2:$DA$60=C$3)*(GMWA!$CZ$2:$CZ$60=C$4),0),$A61-1966)</f>
        <v>690782.6</v>
      </c>
      <c r="D61" s="18" cm="1">
        <f t="array" ref="D61">INDEX(GMWA!$A$2:$DA$60,MATCH(1,(GMWA!$DA$2:$DA$60=D$3)*(GMWA!$CZ$2:$CZ$60=D$4),0),$A61-1966)</f>
        <v>-66250.880000000005</v>
      </c>
      <c r="E61" s="18" cm="1">
        <f t="array" ref="E61">INDEX(GMWA!$A$2:$DA$60,MATCH(1,(GMWA!$DA$2:$DA$60=E$3)*(GMWA!$CZ$2:$CZ$60=E$4),0),$A61-1966)</f>
        <v>-67509.240000000005</v>
      </c>
      <c r="F61" s="18" cm="1">
        <f t="array" ref="F61">INDEX(GMWA!$A$2:$DA$60,MATCH(1,(GMWA!$DA$2:$DA$60=F$3)*(GMWA!$CZ$2:$CZ$60=F$4),0),$A61-1966)</f>
        <v>3163474</v>
      </c>
      <c r="G61" s="18" cm="1">
        <f t="array" ref="G61">INDEX(GMWA!$A$2:$DA$60,MATCH(1,(GMWA!$DA$2:$DA$60=G$3)*(GMWA!$CZ$2:$CZ$60=G$4),0),$A61-1966)</f>
        <v>481084</v>
      </c>
      <c r="H61" s="18" cm="1">
        <f t="array" ref="H61">INDEX(GMWA!$A$2:$DA$60,MATCH(1,(GMWA!$DA$2:$DA$60=H$3)*(GMWA!$CZ$2:$CZ$60=H$4),0),$A61-1966)</f>
        <v>71210.350000000006</v>
      </c>
      <c r="I61" s="18" cm="1">
        <f t="array" ref="I61">INDEX(GMWA!$A$2:$DA$60,MATCH(1,(GMWA!$DA$2:$DA$60=I$3)*(GMWA!$CZ$2:$CZ$60=I$4),0),$A61-1966)</f>
        <v>102616.6</v>
      </c>
      <c r="J61" s="18" cm="1">
        <f t="array" ref="J61">INDEX(GMWA!$A$2:$DA$60,MATCH(1,(GMWA!$DA$2:$DA$60=J$3)*(GMWA!$CZ$2:$CZ$60=J$4),0),$A61-1966)</f>
        <v>3570882</v>
      </c>
      <c r="K61" s="18" cm="1">
        <f t="array" ref="K61">INDEX(GMWA!$A$2:$DA$60,MATCH(1,(GMWA!$DA$2:$DA$60=K$3)*(GMWA!$CZ$2:$CZ$60=K$4),0),$A61-1966)</f>
        <v>34273.699999999997</v>
      </c>
      <c r="L61" s="18" cm="1">
        <f t="array" ref="L61">INDEX(GMWA!$A$2:$DA$60,MATCH(1,(GMWA!$DA$2:$DA$60=L$3)*(GMWA!$CZ$2:$CZ$60=L$4),0),$A61-1966)</f>
        <v>31.999479999999998</v>
      </c>
    </row>
    <row r="62" spans="1:12" x14ac:dyDescent="0.25">
      <c r="A62" s="18">
        <f t="shared" si="2"/>
        <v>2028</v>
      </c>
      <c r="B62" s="18" cm="1">
        <f t="array" ref="B62">INDEX(GMWA!$A$2:$DA$60,MATCH(1,(GMWA!$DA$2:$DA$60=B$3)*(GMWA!$CZ$2:$CZ$60=B$4),0),$A62-1966)</f>
        <v>280181.09999999998</v>
      </c>
      <c r="C62" s="18" cm="1">
        <f t="array" ref="C62">INDEX(GMWA!$A$2:$DA$60,MATCH(1,(GMWA!$DA$2:$DA$60=C$3)*(GMWA!$CZ$2:$CZ$60=C$4),0),$A62-1966)</f>
        <v>719233.3</v>
      </c>
      <c r="D62" s="18" cm="1">
        <f t="array" ref="D62">INDEX(GMWA!$A$2:$DA$60,MATCH(1,(GMWA!$DA$2:$DA$60=D$3)*(GMWA!$CZ$2:$CZ$60=D$4),0),$A62-1966)</f>
        <v>-78324.89</v>
      </c>
      <c r="E62" s="18" cm="1">
        <f t="array" ref="E62">INDEX(GMWA!$A$2:$DA$60,MATCH(1,(GMWA!$DA$2:$DA$60=E$3)*(GMWA!$CZ$2:$CZ$60=E$4),0),$A62-1966)</f>
        <v>-82383.45</v>
      </c>
      <c r="F62" s="18" cm="1">
        <f t="array" ref="F62">INDEX(GMWA!$A$2:$DA$60,MATCH(1,(GMWA!$DA$2:$DA$60=F$3)*(GMWA!$CZ$2:$CZ$60=F$4),0),$A62-1966)</f>
        <v>3281284</v>
      </c>
      <c r="G62" s="18" cm="1">
        <f t="array" ref="G62">INDEX(GMWA!$A$2:$DA$60,MATCH(1,(GMWA!$DA$2:$DA$60=G$3)*(GMWA!$CZ$2:$CZ$60=G$4),0),$A62-1966)</f>
        <v>489301.6</v>
      </c>
      <c r="H62" s="18" cm="1">
        <f t="array" ref="H62">INDEX(GMWA!$A$2:$DA$60,MATCH(1,(GMWA!$DA$2:$DA$60=H$3)*(GMWA!$CZ$2:$CZ$60=H$4),0),$A62-1966)</f>
        <v>69077.440000000002</v>
      </c>
      <c r="I62" s="18" cm="1">
        <f t="array" ref="I62">INDEX(GMWA!$A$2:$DA$60,MATCH(1,(GMWA!$DA$2:$DA$60=I$3)*(GMWA!$CZ$2:$CZ$60=I$4),0),$A62-1966)</f>
        <v>105701.7</v>
      </c>
      <c r="J62" s="18" cm="1">
        <f t="array" ref="J62">INDEX(GMWA!$A$2:$DA$60,MATCH(1,(GMWA!$DA$2:$DA$60=J$3)*(GMWA!$CZ$2:$CZ$60=J$4),0),$A62-1966)</f>
        <v>3627589</v>
      </c>
      <c r="K62" s="18" cm="1">
        <f t="array" ref="K62">INDEX(GMWA!$A$2:$DA$60,MATCH(1,(GMWA!$DA$2:$DA$60=K$3)*(GMWA!$CZ$2:$CZ$60=K$4),0),$A62-1966)</f>
        <v>34668.400000000001</v>
      </c>
      <c r="L62" s="18" cm="1">
        <f t="array" ref="L62">INDEX(GMWA!$A$2:$DA$60,MATCH(1,(GMWA!$DA$2:$DA$60=L$3)*(GMWA!$CZ$2:$CZ$60=L$4),0),$A62-1966)</f>
        <v>31.998650000000001</v>
      </c>
    </row>
    <row r="63" spans="1:12" x14ac:dyDescent="0.25">
      <c r="A63" s="18">
        <f t="shared" si="2"/>
        <v>2029</v>
      </c>
      <c r="B63" s="18" cm="1">
        <f t="array" ref="B63">INDEX(GMWA!$A$2:$DA$60,MATCH(1,(GMWA!$DA$2:$DA$60=B$3)*(GMWA!$CZ$2:$CZ$60=B$4),0),$A63-1966)</f>
        <v>286966.3</v>
      </c>
      <c r="C63" s="18" cm="1">
        <f t="array" ref="C63">INDEX(GMWA!$A$2:$DA$60,MATCH(1,(GMWA!$DA$2:$DA$60=C$3)*(GMWA!$CZ$2:$CZ$60=C$4),0),$A63-1966)</f>
        <v>749839.2</v>
      </c>
      <c r="D63" s="18" cm="1">
        <f t="array" ref="D63">INDEX(GMWA!$A$2:$DA$60,MATCH(1,(GMWA!$DA$2:$DA$60=D$3)*(GMWA!$CZ$2:$CZ$60=D$4),0),$A63-1966)</f>
        <v>-76342.94</v>
      </c>
      <c r="E63" s="18" cm="1">
        <f t="array" ref="E63">INDEX(GMWA!$A$2:$DA$60,MATCH(1,(GMWA!$DA$2:$DA$60=E$3)*(GMWA!$CZ$2:$CZ$60=E$4),0),$A63-1966)</f>
        <v>-81719.63</v>
      </c>
      <c r="F63" s="18" cm="1">
        <f t="array" ref="F63">INDEX(GMWA!$A$2:$DA$60,MATCH(1,(GMWA!$DA$2:$DA$60=F$3)*(GMWA!$CZ$2:$CZ$60=F$4),0),$A63-1966)</f>
        <v>3401685</v>
      </c>
      <c r="G63" s="18" cm="1">
        <f t="array" ref="G63">INDEX(GMWA!$A$2:$DA$60,MATCH(1,(GMWA!$DA$2:$DA$60=G$3)*(GMWA!$CZ$2:$CZ$60=G$4),0),$A63-1966)</f>
        <v>497393.4</v>
      </c>
      <c r="H63" s="18" cm="1">
        <f t="array" ref="H63">INDEX(GMWA!$A$2:$DA$60,MATCH(1,(GMWA!$DA$2:$DA$60=H$3)*(GMWA!$CZ$2:$CZ$60=H$4),0),$A63-1966)</f>
        <v>67592.87</v>
      </c>
      <c r="I63" s="18" cm="1">
        <f t="array" ref="I63">INDEX(GMWA!$A$2:$DA$60,MATCH(1,(GMWA!$DA$2:$DA$60=I$3)*(GMWA!$CZ$2:$CZ$60=I$4),0),$A63-1966)</f>
        <v>107842.9</v>
      </c>
      <c r="J63" s="18" cm="1">
        <f t="array" ref="J63">INDEX(GMWA!$A$2:$DA$60,MATCH(1,(GMWA!$DA$2:$DA$60=J$3)*(GMWA!$CZ$2:$CZ$60=J$4),0),$A63-1966)</f>
        <v>3684270</v>
      </c>
      <c r="K63" s="18" cm="1">
        <f t="array" ref="K63">INDEX(GMWA!$A$2:$DA$60,MATCH(1,(GMWA!$DA$2:$DA$60=K$3)*(GMWA!$CZ$2:$CZ$60=K$4),0),$A63-1966)</f>
        <v>35017.82</v>
      </c>
      <c r="L63" s="18" cm="1">
        <f t="array" ref="L63">INDEX(GMWA!$A$2:$DA$60,MATCH(1,(GMWA!$DA$2:$DA$60=L$3)*(GMWA!$CZ$2:$CZ$60=L$4),0),$A63-1966)</f>
        <v>31.997810000000001</v>
      </c>
    </row>
    <row r="64" spans="1:12" x14ac:dyDescent="0.25">
      <c r="A64" s="18">
        <f t="shared" si="2"/>
        <v>2030</v>
      </c>
      <c r="B64" s="18" cm="1">
        <f t="array" ref="B64">INDEX(GMWA!$A$2:$DA$60,MATCH(1,(GMWA!$DA$2:$DA$60=B$3)*(GMWA!$CZ$2:$CZ$60=B$4),0),$A64-1966)</f>
        <v>293988.90000000002</v>
      </c>
      <c r="C64" s="18" cm="1">
        <f t="array" ref="C64">INDEX(GMWA!$A$2:$DA$60,MATCH(1,(GMWA!$DA$2:$DA$60=C$3)*(GMWA!$CZ$2:$CZ$60=C$4),0),$A64-1966)</f>
        <v>777825.6</v>
      </c>
      <c r="D64" s="18" cm="1">
        <f t="array" ref="D64">INDEX(GMWA!$A$2:$DA$60,MATCH(1,(GMWA!$DA$2:$DA$60=D$3)*(GMWA!$CZ$2:$CZ$60=D$4),0),$A64-1966)</f>
        <v>-69689.98</v>
      </c>
      <c r="E64" s="18" cm="1">
        <f t="array" ref="E64">INDEX(GMWA!$A$2:$DA$60,MATCH(1,(GMWA!$DA$2:$DA$60=E$3)*(GMWA!$CZ$2:$CZ$60=E$4),0),$A64-1966)</f>
        <v>-75765.97</v>
      </c>
      <c r="F64" s="18" cm="1">
        <f t="array" ref="F64">INDEX(GMWA!$A$2:$DA$60,MATCH(1,(GMWA!$DA$2:$DA$60=F$3)*(GMWA!$CZ$2:$CZ$60=F$4),0),$A64-1966)</f>
        <v>3529698</v>
      </c>
      <c r="G64" s="18" cm="1">
        <f t="array" ref="G64">INDEX(GMWA!$A$2:$DA$60,MATCH(1,(GMWA!$DA$2:$DA$60=G$3)*(GMWA!$CZ$2:$CZ$60=G$4),0),$A64-1966)</f>
        <v>507421.2</v>
      </c>
      <c r="H64" s="18" cm="1">
        <f t="array" ref="H64">INDEX(GMWA!$A$2:$DA$60,MATCH(1,(GMWA!$DA$2:$DA$60=H$3)*(GMWA!$CZ$2:$CZ$60=H$4),0),$A64-1966)</f>
        <v>68396.009999999995</v>
      </c>
      <c r="I64" s="18" cm="1">
        <f t="array" ref="I64">INDEX(GMWA!$A$2:$DA$60,MATCH(1,(GMWA!$DA$2:$DA$60=I$3)*(GMWA!$CZ$2:$CZ$60=I$4),0),$A64-1966)</f>
        <v>109382.39999999999</v>
      </c>
      <c r="J64" s="18" cm="1">
        <f t="array" ref="J64">INDEX(GMWA!$A$2:$DA$60,MATCH(1,(GMWA!$DA$2:$DA$60=J$3)*(GMWA!$CZ$2:$CZ$60=J$4),0),$A64-1966)</f>
        <v>3743350</v>
      </c>
      <c r="K64" s="18" cm="1">
        <f t="array" ref="K64">INDEX(GMWA!$A$2:$DA$60,MATCH(1,(GMWA!$DA$2:$DA$60=K$3)*(GMWA!$CZ$2:$CZ$60=K$4),0),$A64-1966)</f>
        <v>35336.69</v>
      </c>
      <c r="L64" s="18" cm="1">
        <f t="array" ref="L64">INDEX(GMWA!$A$2:$DA$60,MATCH(1,(GMWA!$DA$2:$DA$60=L$3)*(GMWA!$CZ$2:$CZ$60=L$4),0),$A64-1966)</f>
        <v>31.996980000000001</v>
      </c>
    </row>
    <row r="65" spans="1:12" x14ac:dyDescent="0.25">
      <c r="A65" s="18">
        <f t="shared" si="2"/>
        <v>2031</v>
      </c>
      <c r="B65" s="18" cm="1">
        <f t="array" ref="B65">INDEX(GMWA!$A$2:$DA$60,MATCH(1,(GMWA!$DA$2:$DA$60=B$3)*(GMWA!$CZ$2:$CZ$60=B$4),0),$A65-1966)</f>
        <v>301228.09999999998</v>
      </c>
      <c r="C65" s="18" cm="1">
        <f t="array" ref="C65">INDEX(GMWA!$A$2:$DA$60,MATCH(1,(GMWA!$DA$2:$DA$60=C$3)*(GMWA!$CZ$2:$CZ$60=C$4),0),$A65-1966)</f>
        <v>807263.5</v>
      </c>
      <c r="D65" s="18" cm="1">
        <f t="array" ref="D65">INDEX(GMWA!$A$2:$DA$60,MATCH(1,(GMWA!$DA$2:$DA$60=D$3)*(GMWA!$CZ$2:$CZ$60=D$4),0),$A65-1966)</f>
        <v>-61473.09</v>
      </c>
      <c r="E65" s="18" cm="1">
        <f t="array" ref="E65">INDEX(GMWA!$A$2:$DA$60,MATCH(1,(GMWA!$DA$2:$DA$60=E$3)*(GMWA!$CZ$2:$CZ$60=E$4),0),$A65-1966)</f>
        <v>-67989.440000000002</v>
      </c>
      <c r="F65" s="18" cm="1">
        <f t="array" ref="F65">INDEX(GMWA!$A$2:$DA$60,MATCH(1,(GMWA!$DA$2:$DA$60=F$3)*(GMWA!$CZ$2:$CZ$60=F$4),0),$A65-1966)</f>
        <v>3662827</v>
      </c>
      <c r="G65" s="18" cm="1">
        <f t="array" ref="G65">INDEX(GMWA!$A$2:$DA$60,MATCH(1,(GMWA!$DA$2:$DA$60=G$3)*(GMWA!$CZ$2:$CZ$60=G$4),0),$A65-1966)</f>
        <v>518181.9</v>
      </c>
      <c r="H65" s="18" cm="1">
        <f t="array" ref="H65">INDEX(GMWA!$A$2:$DA$60,MATCH(1,(GMWA!$DA$2:$DA$60=H$3)*(GMWA!$CZ$2:$CZ$60=H$4),0),$A65-1966)</f>
        <v>69661.48</v>
      </c>
      <c r="I65" s="18" cm="1">
        <f t="array" ref="I65">INDEX(GMWA!$A$2:$DA$60,MATCH(1,(GMWA!$DA$2:$DA$60=I$3)*(GMWA!$CZ$2:$CZ$60=I$4),0),$A65-1966)</f>
        <v>110963.3</v>
      </c>
      <c r="J65" s="18" cm="1">
        <f t="array" ref="J65">INDEX(GMWA!$A$2:$DA$60,MATCH(1,(GMWA!$DA$2:$DA$60=J$3)*(GMWA!$CZ$2:$CZ$60=J$4),0),$A65-1966)</f>
        <v>3805247</v>
      </c>
      <c r="K65" s="18" cm="1">
        <f t="array" ref="K65">INDEX(GMWA!$A$2:$DA$60,MATCH(1,(GMWA!$DA$2:$DA$60=K$3)*(GMWA!$CZ$2:$CZ$60=K$4),0),$A65-1966)</f>
        <v>35633.089999999997</v>
      </c>
      <c r="L65" s="18" cm="1">
        <f t="array" ref="L65">INDEX(GMWA!$A$2:$DA$60,MATCH(1,(GMWA!$DA$2:$DA$60=L$3)*(GMWA!$CZ$2:$CZ$60=L$4),0),$A65-1966)</f>
        <v>31.99615</v>
      </c>
    </row>
    <row r="66" spans="1:12" x14ac:dyDescent="0.25">
      <c r="A66" s="18">
        <f t="shared" si="2"/>
        <v>2032</v>
      </c>
      <c r="B66" s="18" cm="1">
        <f t="array" ref="B66">INDEX(GMWA!$A$2:$DA$60,MATCH(1,(GMWA!$DA$2:$DA$60=B$3)*(GMWA!$CZ$2:$CZ$60=B$4),0),$A66-1966)</f>
        <v>308645.7</v>
      </c>
      <c r="C66" s="18" cm="1">
        <f t="array" ref="C66">INDEX(GMWA!$A$2:$DA$60,MATCH(1,(GMWA!$DA$2:$DA$60=C$3)*(GMWA!$CZ$2:$CZ$60=C$4),0),$A66-1966)</f>
        <v>837424.8</v>
      </c>
      <c r="D66" s="18" cm="1">
        <f t="array" ref="D66">INDEX(GMWA!$A$2:$DA$60,MATCH(1,(GMWA!$DA$2:$DA$60=D$3)*(GMWA!$CZ$2:$CZ$60=D$4),0),$A66-1966)</f>
        <v>-60256.7</v>
      </c>
      <c r="E66" s="18" cm="1">
        <f t="array" ref="E66">INDEX(GMWA!$A$2:$DA$60,MATCH(1,(GMWA!$DA$2:$DA$60=E$3)*(GMWA!$CZ$2:$CZ$60=E$4),0),$A66-1966)</f>
        <v>-67105.59</v>
      </c>
      <c r="F66" s="18" cm="1">
        <f t="array" ref="F66">INDEX(GMWA!$A$2:$DA$60,MATCH(1,(GMWA!$DA$2:$DA$60=F$3)*(GMWA!$CZ$2:$CZ$60=F$4),0),$A66-1966)</f>
        <v>3799301</v>
      </c>
      <c r="G66" s="18" cm="1">
        <f t="array" ref="G66">INDEX(GMWA!$A$2:$DA$60,MATCH(1,(GMWA!$DA$2:$DA$60=G$3)*(GMWA!$CZ$2:$CZ$60=G$4),0),$A66-1966)</f>
        <v>529183.4</v>
      </c>
      <c r="H66" s="18" cm="1">
        <f t="array" ref="H66">INDEX(GMWA!$A$2:$DA$60,MATCH(1,(GMWA!$DA$2:$DA$60=H$3)*(GMWA!$CZ$2:$CZ$60=H$4),0),$A66-1966)</f>
        <v>70952.13</v>
      </c>
      <c r="I66" s="18" cm="1">
        <f t="array" ref="I66">INDEX(GMWA!$A$2:$DA$60,MATCH(1,(GMWA!$DA$2:$DA$60=I$3)*(GMWA!$CZ$2:$CZ$60=I$4),0),$A66-1966)</f>
        <v>112569.8</v>
      </c>
      <c r="J66" s="18" cm="1">
        <f t="array" ref="J66">INDEX(GMWA!$A$2:$DA$60,MATCH(1,(GMWA!$DA$2:$DA$60=J$3)*(GMWA!$CZ$2:$CZ$60=J$4),0),$A66-1966)</f>
        <v>3869894</v>
      </c>
      <c r="K66" s="18" cm="1">
        <f t="array" ref="K66">INDEX(GMWA!$A$2:$DA$60,MATCH(1,(GMWA!$DA$2:$DA$60=K$3)*(GMWA!$CZ$2:$CZ$60=K$4),0),$A66-1966)</f>
        <v>35894.129999999997</v>
      </c>
      <c r="L66" s="18" cm="1">
        <f t="array" ref="L66">INDEX(GMWA!$A$2:$DA$60,MATCH(1,(GMWA!$DA$2:$DA$60=L$3)*(GMWA!$CZ$2:$CZ$60=L$4),0),$A66-1966)</f>
        <v>31.99531</v>
      </c>
    </row>
    <row r="67" spans="1:12" x14ac:dyDescent="0.25">
      <c r="A67" s="18">
        <f t="shared" si="2"/>
        <v>2033</v>
      </c>
      <c r="B67" s="18" cm="1">
        <f t="array" ref="B67">INDEX(GMWA!$A$2:$DA$60,MATCH(1,(GMWA!$DA$2:$DA$60=B$3)*(GMWA!$CZ$2:$CZ$60=B$4),0),$A67-1966)</f>
        <v>316440.09999999998</v>
      </c>
      <c r="C67" s="18" cm="1">
        <f t="array" ref="C67">INDEX(GMWA!$A$2:$DA$60,MATCH(1,(GMWA!$DA$2:$DA$60=C$3)*(GMWA!$CZ$2:$CZ$60=C$4),0),$A67-1966)</f>
        <v>868596.3</v>
      </c>
      <c r="D67" s="18" cm="1">
        <f t="array" ref="D67">INDEX(GMWA!$A$2:$DA$60,MATCH(1,(GMWA!$DA$2:$DA$60=D$3)*(GMWA!$CZ$2:$CZ$60=D$4),0),$A67-1966)</f>
        <v>-57680.2</v>
      </c>
      <c r="E67" s="18" cm="1">
        <f t="array" ref="E67">INDEX(GMWA!$A$2:$DA$60,MATCH(1,(GMWA!$DA$2:$DA$60=E$3)*(GMWA!$CZ$2:$CZ$60=E$4),0),$A67-1966)</f>
        <v>-64822.6</v>
      </c>
      <c r="F67" s="18" cm="1">
        <f t="array" ref="F67">INDEX(GMWA!$A$2:$DA$60,MATCH(1,(GMWA!$DA$2:$DA$60=F$3)*(GMWA!$CZ$2:$CZ$60=F$4),0),$A67-1966)</f>
        <v>3940978</v>
      </c>
      <c r="G67" s="18" cm="1">
        <f t="array" ref="G67">INDEX(GMWA!$A$2:$DA$60,MATCH(1,(GMWA!$DA$2:$DA$60=G$3)*(GMWA!$CZ$2:$CZ$60=G$4),0),$A67-1966)</f>
        <v>540742.9</v>
      </c>
      <c r="H67" s="18" cm="1">
        <f t="array" ref="H67">INDEX(GMWA!$A$2:$DA$60,MATCH(1,(GMWA!$DA$2:$DA$60=H$3)*(GMWA!$CZ$2:$CZ$60=H$4),0),$A67-1966)</f>
        <v>72311.13</v>
      </c>
      <c r="I67" s="18" cm="1">
        <f t="array" ref="I67">INDEX(GMWA!$A$2:$DA$60,MATCH(1,(GMWA!$DA$2:$DA$60=I$3)*(GMWA!$CZ$2:$CZ$60=I$4),0),$A67-1966)</f>
        <v>114264.1</v>
      </c>
      <c r="J67" s="18" cm="1">
        <f t="array" ref="J67">INDEX(GMWA!$A$2:$DA$60,MATCH(1,(GMWA!$DA$2:$DA$60=J$3)*(GMWA!$CZ$2:$CZ$60=J$4),0),$A67-1966)</f>
        <v>3937490</v>
      </c>
      <c r="K67" s="18" cm="1">
        <f t="array" ref="K67">INDEX(GMWA!$A$2:$DA$60,MATCH(1,(GMWA!$DA$2:$DA$60=K$3)*(GMWA!$CZ$2:$CZ$60=K$4),0),$A67-1966)</f>
        <v>36127.910000000003</v>
      </c>
      <c r="L67" s="18" cm="1">
        <f t="array" ref="L67">INDEX(GMWA!$A$2:$DA$60,MATCH(1,(GMWA!$DA$2:$DA$60=L$3)*(GMWA!$CZ$2:$CZ$60=L$4),0),$A67-1966)</f>
        <v>31.993569999999998</v>
      </c>
    </row>
    <row r="68" spans="1:12" x14ac:dyDescent="0.25">
      <c r="A68" s="18">
        <f t="shared" si="2"/>
        <v>2034</v>
      </c>
      <c r="B68" s="18" cm="1">
        <f t="array" ref="B68">INDEX(GMWA!$A$2:$DA$60,MATCH(1,(GMWA!$DA$2:$DA$60=B$3)*(GMWA!$CZ$2:$CZ$60=B$4),0),$A68-1966)</f>
        <v>324438.09999999998</v>
      </c>
      <c r="C68" s="18" cm="1">
        <f t="array" ref="C68">INDEX(GMWA!$A$2:$DA$60,MATCH(1,(GMWA!$DA$2:$DA$60=C$3)*(GMWA!$CZ$2:$CZ$60=C$4),0),$A68-1966)</f>
        <v>900928.1</v>
      </c>
      <c r="D68" s="18" cm="1">
        <f t="array" ref="D68">INDEX(GMWA!$A$2:$DA$60,MATCH(1,(GMWA!$DA$2:$DA$60=D$3)*(GMWA!$CZ$2:$CZ$60=D$4),0),$A68-1966)</f>
        <v>-54542.84</v>
      </c>
      <c r="E68" s="18" cm="1">
        <f t="array" ref="E68">INDEX(GMWA!$A$2:$DA$60,MATCH(1,(GMWA!$DA$2:$DA$60=E$3)*(GMWA!$CZ$2:$CZ$60=E$4),0),$A68-1966)</f>
        <v>-61966.66</v>
      </c>
      <c r="F68" s="18" cm="1">
        <f t="array" ref="F68">INDEX(GMWA!$A$2:$DA$60,MATCH(1,(GMWA!$DA$2:$DA$60=F$3)*(GMWA!$CZ$2:$CZ$60=F$4),0),$A68-1966)</f>
        <v>4087314</v>
      </c>
      <c r="G68" s="18" cm="1">
        <f t="array" ref="G68">INDEX(GMWA!$A$2:$DA$60,MATCH(1,(GMWA!$DA$2:$DA$60=G$3)*(GMWA!$CZ$2:$CZ$60=G$4),0),$A68-1966)</f>
        <v>552569.9</v>
      </c>
      <c r="H68" s="18" cm="1">
        <f t="array" ref="H68">INDEX(GMWA!$A$2:$DA$60,MATCH(1,(GMWA!$DA$2:$DA$60=H$3)*(GMWA!$CZ$2:$CZ$60=H$4),0),$A68-1966)</f>
        <v>73697.72</v>
      </c>
      <c r="I68" s="18" cm="1">
        <f t="array" ref="I68">INDEX(GMWA!$A$2:$DA$60,MATCH(1,(GMWA!$DA$2:$DA$60=I$3)*(GMWA!$CZ$2:$CZ$60=I$4),0),$A68-1966)</f>
        <v>115983</v>
      </c>
      <c r="J68" s="18" cm="1">
        <f t="array" ref="J68">INDEX(GMWA!$A$2:$DA$60,MATCH(1,(GMWA!$DA$2:$DA$60=J$3)*(GMWA!$CZ$2:$CZ$60=J$4),0),$A68-1966)</f>
        <v>4007983</v>
      </c>
      <c r="K68" s="18" cm="1">
        <f t="array" ref="K68">INDEX(GMWA!$A$2:$DA$60,MATCH(1,(GMWA!$DA$2:$DA$60=K$3)*(GMWA!$CZ$2:$CZ$60=K$4),0),$A68-1966)</f>
        <v>36327.83</v>
      </c>
      <c r="L68" s="18" cm="1">
        <f t="array" ref="L68">INDEX(GMWA!$A$2:$DA$60,MATCH(1,(GMWA!$DA$2:$DA$60=L$3)*(GMWA!$CZ$2:$CZ$60=L$4),0),$A68-1966)</f>
        <v>31.99128</v>
      </c>
    </row>
    <row r="69" spans="1:12" x14ac:dyDescent="0.25">
      <c r="A69" s="18">
        <f t="shared" si="2"/>
        <v>2035</v>
      </c>
      <c r="B69" s="18" cm="1">
        <f t="array" ref="B69">INDEX(GMWA!$A$2:$DA$60,MATCH(1,(GMWA!$DA$2:$DA$60=B$3)*(GMWA!$CZ$2:$CZ$60=B$4),0),$A69-1966)</f>
        <v>332575</v>
      </c>
      <c r="C69" s="18" cm="1">
        <f t="array" ref="C69">INDEX(GMWA!$A$2:$DA$60,MATCH(1,(GMWA!$DA$2:$DA$60=C$3)*(GMWA!$CZ$2:$CZ$60=C$4),0),$A69-1966)</f>
        <v>934235.8</v>
      </c>
      <c r="D69" s="18" cm="1">
        <f t="array" ref="D69">INDEX(GMWA!$A$2:$DA$60,MATCH(1,(GMWA!$DA$2:$DA$60=D$3)*(GMWA!$CZ$2:$CZ$60=D$4),0),$A69-1966)</f>
        <v>-50430.39</v>
      </c>
      <c r="E69" s="18" cm="1">
        <f t="array" ref="E69">INDEX(GMWA!$A$2:$DA$60,MATCH(1,(GMWA!$DA$2:$DA$60=E$3)*(GMWA!$CZ$2:$CZ$60=E$4),0),$A69-1966)</f>
        <v>-58135.86</v>
      </c>
      <c r="F69" s="18" cm="1">
        <f t="array" ref="F69">INDEX(GMWA!$A$2:$DA$60,MATCH(1,(GMWA!$DA$2:$DA$60=F$3)*(GMWA!$CZ$2:$CZ$60=F$4),0),$A69-1966)</f>
        <v>4238593</v>
      </c>
      <c r="G69" s="18" cm="1">
        <f t="array" ref="G69">INDEX(GMWA!$A$2:$DA$60,MATCH(1,(GMWA!$DA$2:$DA$60=G$3)*(GMWA!$CZ$2:$CZ$60=G$4),0),$A69-1966)</f>
        <v>564557.80000000005</v>
      </c>
      <c r="H69" s="18" cm="1">
        <f t="array" ref="H69">INDEX(GMWA!$A$2:$DA$60,MATCH(1,(GMWA!$DA$2:$DA$60=H$3)*(GMWA!$CZ$2:$CZ$60=H$4),0),$A69-1966)</f>
        <v>75096.58</v>
      </c>
      <c r="I69" s="18" cm="1">
        <f t="array" ref="I69">INDEX(GMWA!$A$2:$DA$60,MATCH(1,(GMWA!$DA$2:$DA$60=I$3)*(GMWA!$CZ$2:$CZ$60=I$4),0),$A69-1966)</f>
        <v>117705.3</v>
      </c>
      <c r="J69" s="18" cm="1">
        <f t="array" ref="J69">INDEX(GMWA!$A$2:$DA$60,MATCH(1,(GMWA!$DA$2:$DA$60=J$3)*(GMWA!$CZ$2:$CZ$60=J$4),0),$A69-1966)</f>
        <v>4081239</v>
      </c>
      <c r="K69" s="18" cm="1">
        <f t="array" ref="K69">INDEX(GMWA!$A$2:$DA$60,MATCH(1,(GMWA!$DA$2:$DA$60=K$3)*(GMWA!$CZ$2:$CZ$60=K$4),0),$A69-1966)</f>
        <v>36492.959999999999</v>
      </c>
      <c r="L69" s="18" cm="1">
        <f t="array" ref="L69">INDEX(GMWA!$A$2:$DA$60,MATCH(1,(GMWA!$DA$2:$DA$60=L$3)*(GMWA!$CZ$2:$CZ$60=L$4),0),$A69-1966)</f>
        <v>31.988980000000002</v>
      </c>
    </row>
    <row r="70" spans="1:12" x14ac:dyDescent="0.25">
      <c r="A70" s="18">
        <f t="shared" si="2"/>
        <v>2036</v>
      </c>
      <c r="B70" s="18" cm="1">
        <f t="array" ref="B70">INDEX(GMWA!$A$2:$DA$60,MATCH(1,(GMWA!$DA$2:$DA$60=B$3)*(GMWA!$CZ$2:$CZ$60=B$4),0),$A70-1966)</f>
        <v>341032.4</v>
      </c>
      <c r="C70" s="18" cm="1">
        <f t="array" ref="C70">INDEX(GMWA!$A$2:$DA$60,MATCH(1,(GMWA!$DA$2:$DA$60=C$3)*(GMWA!$CZ$2:$CZ$60=C$4),0),$A70-1966)</f>
        <v>969075.9</v>
      </c>
      <c r="D70" s="18" cm="1">
        <f t="array" ref="D70">INDEX(GMWA!$A$2:$DA$60,MATCH(1,(GMWA!$DA$2:$DA$60=D$3)*(GMWA!$CZ$2:$CZ$60=D$4),0),$A70-1966)</f>
        <v>-47188.98</v>
      </c>
      <c r="E70" s="18" cm="1">
        <f t="array" ref="E70">INDEX(GMWA!$A$2:$DA$60,MATCH(1,(GMWA!$DA$2:$DA$60=E$3)*(GMWA!$CZ$2:$CZ$60=E$4),0),$A70-1966)</f>
        <v>-55185.46</v>
      </c>
      <c r="F70" s="18" cm="1">
        <f t="array" ref="F70">INDEX(GMWA!$A$2:$DA$60,MATCH(1,(GMWA!$DA$2:$DA$60=F$3)*(GMWA!$CZ$2:$CZ$60=F$4),0),$A70-1966)</f>
        <v>4397070</v>
      </c>
      <c r="G70" s="18" cm="1">
        <f t="array" ref="G70">INDEX(GMWA!$A$2:$DA$60,MATCH(1,(GMWA!$DA$2:$DA$60=G$3)*(GMWA!$CZ$2:$CZ$60=G$4),0),$A70-1966)</f>
        <v>577012.80000000005</v>
      </c>
      <c r="H70" s="18" cm="1">
        <f t="array" ref="H70">INDEX(GMWA!$A$2:$DA$60,MATCH(1,(GMWA!$DA$2:$DA$60=H$3)*(GMWA!$CZ$2:$CZ$60=H$4),0),$A70-1966)</f>
        <v>76548.149999999994</v>
      </c>
      <c r="I70" s="18" cm="1">
        <f t="array" ref="I70">INDEX(GMWA!$A$2:$DA$60,MATCH(1,(GMWA!$DA$2:$DA$60=I$3)*(GMWA!$CZ$2:$CZ$60=I$4),0),$A70-1966)</f>
        <v>119494</v>
      </c>
      <c r="J70" s="18" cm="1">
        <f t="array" ref="J70">INDEX(GMWA!$A$2:$DA$60,MATCH(1,(GMWA!$DA$2:$DA$60=J$3)*(GMWA!$CZ$2:$CZ$60=J$4),0),$A70-1966)</f>
        <v>4157367</v>
      </c>
      <c r="K70" s="18" cm="1">
        <f t="array" ref="K70">INDEX(GMWA!$A$2:$DA$60,MATCH(1,(GMWA!$DA$2:$DA$60=K$3)*(GMWA!$CZ$2:$CZ$60=K$4),0),$A70-1966)</f>
        <v>36657.519999999997</v>
      </c>
      <c r="L70" s="18" cm="1">
        <f t="array" ref="L70">INDEX(GMWA!$A$2:$DA$60,MATCH(1,(GMWA!$DA$2:$DA$60=L$3)*(GMWA!$CZ$2:$CZ$60=L$4),0),$A70-1966)</f>
        <v>31.986689999999999</v>
      </c>
    </row>
    <row r="71" spans="1:12" x14ac:dyDescent="0.25">
      <c r="A71" s="18">
        <f t="shared" si="2"/>
        <v>2037</v>
      </c>
      <c r="B71" s="18" cm="1">
        <f t="array" ref="B71">INDEX(GMWA!$A$2:$DA$60,MATCH(1,(GMWA!$DA$2:$DA$60=B$3)*(GMWA!$CZ$2:$CZ$60=B$4),0),$A71-1966)</f>
        <v>349763.9</v>
      </c>
      <c r="C71" s="18" cm="1">
        <f t="array" ref="C71">INDEX(GMWA!$A$2:$DA$60,MATCH(1,(GMWA!$DA$2:$DA$60=C$3)*(GMWA!$CZ$2:$CZ$60=C$4),0),$A71-1966)</f>
        <v>1005489</v>
      </c>
      <c r="D71" s="18" cm="1">
        <f t="array" ref="D71">INDEX(GMWA!$A$2:$DA$60,MATCH(1,(GMWA!$DA$2:$DA$60=D$3)*(GMWA!$CZ$2:$CZ$60=D$4),0),$A71-1966)</f>
        <v>-44127.83</v>
      </c>
      <c r="E71" s="18" cm="1">
        <f t="array" ref="E71">INDEX(GMWA!$A$2:$DA$60,MATCH(1,(GMWA!$DA$2:$DA$60=E$3)*(GMWA!$CZ$2:$CZ$60=E$4),0),$A71-1966)</f>
        <v>-52426.19</v>
      </c>
      <c r="F71" s="18" cm="1">
        <f t="array" ref="F71">INDEX(GMWA!$A$2:$DA$60,MATCH(1,(GMWA!$DA$2:$DA$60=F$3)*(GMWA!$CZ$2:$CZ$60=F$4),0),$A71-1966)</f>
        <v>4562381</v>
      </c>
      <c r="G71" s="18" cm="1">
        <f t="array" ref="G71">INDEX(GMWA!$A$2:$DA$60,MATCH(1,(GMWA!$DA$2:$DA$60=G$3)*(GMWA!$CZ$2:$CZ$60=G$4),0),$A71-1966)</f>
        <v>589852.6</v>
      </c>
      <c r="H71" s="18" cm="1">
        <f t="array" ref="H71">INDEX(GMWA!$A$2:$DA$60,MATCH(1,(GMWA!$DA$2:$DA$60=H$3)*(GMWA!$CZ$2:$CZ$60=H$4),0),$A71-1966)</f>
        <v>78041</v>
      </c>
      <c r="I71" s="18" cm="1">
        <f t="array" ref="I71">INDEX(GMWA!$A$2:$DA$60,MATCH(1,(GMWA!$DA$2:$DA$60=I$3)*(GMWA!$CZ$2:$CZ$60=I$4),0),$A71-1966)</f>
        <v>121330.5</v>
      </c>
      <c r="J71" s="18" cm="1">
        <f t="array" ref="J71">INDEX(GMWA!$A$2:$DA$60,MATCH(1,(GMWA!$DA$2:$DA$60=J$3)*(GMWA!$CZ$2:$CZ$60=J$4),0),$A71-1966)</f>
        <v>4236401</v>
      </c>
      <c r="K71" s="18" cm="1">
        <f t="array" ref="K71">INDEX(GMWA!$A$2:$DA$60,MATCH(1,(GMWA!$DA$2:$DA$60=K$3)*(GMWA!$CZ$2:$CZ$60=K$4),0),$A71-1966)</f>
        <v>36822.080000000002</v>
      </c>
      <c r="L71" s="18" cm="1">
        <f t="array" ref="L71">INDEX(GMWA!$A$2:$DA$60,MATCH(1,(GMWA!$DA$2:$DA$60=L$3)*(GMWA!$CZ$2:$CZ$60=L$4),0),$A71-1966)</f>
        <v>31.984400000000001</v>
      </c>
    </row>
    <row r="72" spans="1:12" x14ac:dyDescent="0.25">
      <c r="A72" s="18">
        <f t="shared" si="2"/>
        <v>2038</v>
      </c>
      <c r="B72" s="18" cm="1">
        <f t="array" ref="B72">INDEX(GMWA!$A$2:$DA$60,MATCH(1,(GMWA!$DA$2:$DA$60=B$3)*(GMWA!$CZ$2:$CZ$60=B$4),0),$A72-1966)</f>
        <v>358811</v>
      </c>
      <c r="C72" s="18" cm="1">
        <f t="array" ref="C72">INDEX(GMWA!$A$2:$DA$60,MATCH(1,(GMWA!$DA$2:$DA$60=C$3)*(GMWA!$CZ$2:$CZ$60=C$4),0),$A72-1966)</f>
        <v>1043467</v>
      </c>
      <c r="D72" s="18" cm="1">
        <f t="array" ref="D72">INDEX(GMWA!$A$2:$DA$60,MATCH(1,(GMWA!$DA$2:$DA$60=D$3)*(GMWA!$CZ$2:$CZ$60=D$4),0),$A72-1966)</f>
        <v>-40598.480000000003</v>
      </c>
      <c r="E72" s="18" cm="1">
        <f t="array" ref="E72">INDEX(GMWA!$A$2:$DA$60,MATCH(1,(GMWA!$DA$2:$DA$60=E$3)*(GMWA!$CZ$2:$CZ$60=E$4),0),$A72-1966)</f>
        <v>-49211.63</v>
      </c>
      <c r="F72" s="18" cm="1">
        <f t="array" ref="F72">INDEX(GMWA!$A$2:$DA$60,MATCH(1,(GMWA!$DA$2:$DA$60=F$3)*(GMWA!$CZ$2:$CZ$60=F$4),0),$A72-1966)</f>
        <v>4735159</v>
      </c>
      <c r="G72" s="18" cm="1">
        <f t="array" ref="G72">INDEX(GMWA!$A$2:$DA$60,MATCH(1,(GMWA!$DA$2:$DA$60=G$3)*(GMWA!$CZ$2:$CZ$60=G$4),0),$A72-1966)</f>
        <v>603143</v>
      </c>
      <c r="H72" s="18" cm="1">
        <f t="array" ref="H72">INDEX(GMWA!$A$2:$DA$60,MATCH(1,(GMWA!$DA$2:$DA$60=H$3)*(GMWA!$CZ$2:$CZ$60=H$4),0),$A72-1966)</f>
        <v>79583.360000000001</v>
      </c>
      <c r="I72" s="18" cm="1">
        <f t="array" ref="I72">INDEX(GMWA!$A$2:$DA$60,MATCH(1,(GMWA!$DA$2:$DA$60=I$3)*(GMWA!$CZ$2:$CZ$60=I$4),0),$A72-1966)</f>
        <v>123226.8</v>
      </c>
      <c r="J72" s="18" cm="1">
        <f t="array" ref="J72">INDEX(GMWA!$A$2:$DA$60,MATCH(1,(GMWA!$DA$2:$DA$60=J$3)*(GMWA!$CZ$2:$CZ$60=J$4),0),$A72-1966)</f>
        <v>4318426</v>
      </c>
      <c r="K72" s="18" cm="1">
        <f t="array" ref="K72">INDEX(GMWA!$A$2:$DA$60,MATCH(1,(GMWA!$DA$2:$DA$60=K$3)*(GMWA!$CZ$2:$CZ$60=K$4),0),$A72-1966)</f>
        <v>36986.629999999997</v>
      </c>
      <c r="L72" s="18" cm="1">
        <f t="array" ref="L72">INDEX(GMWA!$A$2:$DA$60,MATCH(1,(GMWA!$DA$2:$DA$60=L$3)*(GMWA!$CZ$2:$CZ$60=L$4),0),$A72-1966)</f>
        <v>31.982109999999999</v>
      </c>
    </row>
    <row r="73" spans="1:12" x14ac:dyDescent="0.25">
      <c r="A73" s="18">
        <f t="shared" si="2"/>
        <v>2039</v>
      </c>
      <c r="B73" s="18" cm="1">
        <f t="array" ref="B73">INDEX(GMWA!$A$2:$DA$60,MATCH(1,(GMWA!$DA$2:$DA$60=B$3)*(GMWA!$CZ$2:$CZ$60=B$4),0),$A73-1966)</f>
        <v>368159.6</v>
      </c>
      <c r="C73" s="18" cm="1">
        <f t="array" ref="C73">INDEX(GMWA!$A$2:$DA$60,MATCH(1,(GMWA!$DA$2:$DA$60=C$3)*(GMWA!$CZ$2:$CZ$60=C$4),0),$A73-1966)</f>
        <v>1083165</v>
      </c>
      <c r="D73" s="18" cm="1">
        <f t="array" ref="D73">INDEX(GMWA!$A$2:$DA$60,MATCH(1,(GMWA!$DA$2:$DA$60=D$3)*(GMWA!$CZ$2:$CZ$60=D$4),0),$A73-1966)</f>
        <v>-36974.300000000003</v>
      </c>
      <c r="E73" s="18" cm="1">
        <f t="array" ref="E73">INDEX(GMWA!$A$2:$DA$60,MATCH(1,(GMWA!$DA$2:$DA$60=E$3)*(GMWA!$CZ$2:$CZ$60=E$4),0),$A73-1966)</f>
        <v>-45915.5</v>
      </c>
      <c r="F73" s="18" cm="1">
        <f t="array" ref="F73">INDEX(GMWA!$A$2:$DA$60,MATCH(1,(GMWA!$DA$2:$DA$60=F$3)*(GMWA!$CZ$2:$CZ$60=F$4),0),$A73-1966)</f>
        <v>4915381</v>
      </c>
      <c r="G73" s="18" cm="1">
        <f t="array" ref="G73">INDEX(GMWA!$A$2:$DA$60,MATCH(1,(GMWA!$DA$2:$DA$60=G$3)*(GMWA!$CZ$2:$CZ$60=G$4),0),$A73-1966)</f>
        <v>616856.9</v>
      </c>
      <c r="H73" s="18" cm="1">
        <f t="array" ref="H73">INDEX(GMWA!$A$2:$DA$60,MATCH(1,(GMWA!$DA$2:$DA$60=H$3)*(GMWA!$CZ$2:$CZ$60=H$4),0),$A73-1966)</f>
        <v>81171.149999999994</v>
      </c>
      <c r="I73" s="18" cm="1">
        <f t="array" ref="I73">INDEX(GMWA!$A$2:$DA$60,MATCH(1,(GMWA!$DA$2:$DA$60=I$3)*(GMWA!$CZ$2:$CZ$60=I$4),0),$A73-1966)</f>
        <v>125175.9</v>
      </c>
      <c r="J73" s="18" cm="1">
        <f t="array" ref="J73">INDEX(GMWA!$A$2:$DA$60,MATCH(1,(GMWA!$DA$2:$DA$60=J$3)*(GMWA!$CZ$2:$CZ$60=J$4),0),$A73-1966)</f>
        <v>4403494</v>
      </c>
      <c r="K73" s="18" cm="1">
        <f t="array" ref="K73">INDEX(GMWA!$A$2:$DA$60,MATCH(1,(GMWA!$DA$2:$DA$60=K$3)*(GMWA!$CZ$2:$CZ$60=K$4),0),$A73-1966)</f>
        <v>37151.19</v>
      </c>
      <c r="L73" s="18" cm="1">
        <f t="array" ref="L73">INDEX(GMWA!$A$2:$DA$60,MATCH(1,(GMWA!$DA$2:$DA$60=L$3)*(GMWA!$CZ$2:$CZ$60=L$4),0),$A73-1966)</f>
        <v>31.97982</v>
      </c>
    </row>
    <row r="74" spans="1:12" x14ac:dyDescent="0.25">
      <c r="A74" s="18">
        <f t="shared" si="2"/>
        <v>2040</v>
      </c>
      <c r="B74" s="18" cm="1">
        <f t="array" ref="B74">INDEX(GMWA!$A$2:$DA$60,MATCH(1,(GMWA!$DA$2:$DA$60=B$3)*(GMWA!$CZ$2:$CZ$60=B$4),0),$A74-1966)</f>
        <v>376828.3</v>
      </c>
      <c r="C74" s="18" cm="1">
        <f t="array" ref="C74">INDEX(GMWA!$A$2:$DA$60,MATCH(1,(GMWA!$DA$2:$DA$60=C$3)*(GMWA!$CZ$2:$CZ$60=C$4),0),$A74-1966)</f>
        <v>1124436</v>
      </c>
      <c r="D74" s="18" cm="1">
        <f t="array" ref="D74">INDEX(GMWA!$A$2:$DA$60,MATCH(1,(GMWA!$DA$2:$DA$60=D$3)*(GMWA!$CZ$2:$CZ$60=D$4),0),$A74-1966)</f>
        <v>-32526.04</v>
      </c>
      <c r="E74" s="18" cm="1">
        <f t="array" ref="E74">INDEX(GMWA!$A$2:$DA$60,MATCH(1,(GMWA!$DA$2:$DA$60=E$3)*(GMWA!$CZ$2:$CZ$60=E$4),0),$A74-1966)</f>
        <v>-41808.06</v>
      </c>
      <c r="F74" s="18" cm="1">
        <f t="array" ref="F74">INDEX(GMWA!$A$2:$DA$60,MATCH(1,(GMWA!$DA$2:$DA$60=F$3)*(GMWA!$CZ$2:$CZ$60=F$4),0),$A74-1966)</f>
        <v>5102693</v>
      </c>
      <c r="G74" s="18" cm="1">
        <f t="array" ref="G74">INDEX(GMWA!$A$2:$DA$60,MATCH(1,(GMWA!$DA$2:$DA$60=G$3)*(GMWA!$CZ$2:$CZ$60=G$4),0),$A74-1966)</f>
        <v>629981.19999999995</v>
      </c>
      <c r="H74" s="18" cm="1">
        <f t="array" ref="H74">INDEX(GMWA!$A$2:$DA$60,MATCH(1,(GMWA!$DA$2:$DA$60=H$3)*(GMWA!$CZ$2:$CZ$60=H$4),0),$A74-1966)</f>
        <v>82794.33</v>
      </c>
      <c r="I74" s="18" cm="1">
        <f t="array" ref="I74">INDEX(GMWA!$A$2:$DA$60,MATCH(1,(GMWA!$DA$2:$DA$60=I$3)*(GMWA!$CZ$2:$CZ$60=I$4),0),$A74-1966)</f>
        <v>127161.4</v>
      </c>
      <c r="J74" s="18" cm="1">
        <f t="array" ref="J74">INDEX(GMWA!$A$2:$DA$60,MATCH(1,(GMWA!$DA$2:$DA$60=J$3)*(GMWA!$CZ$2:$CZ$60=J$4),0),$A74-1966)</f>
        <v>4490678</v>
      </c>
      <c r="K74" s="18" cm="1">
        <f t="array" ref="K74">INDEX(GMWA!$A$2:$DA$60,MATCH(1,(GMWA!$DA$2:$DA$60=K$3)*(GMWA!$CZ$2:$CZ$60=K$4),0),$A74-1966)</f>
        <v>37315.75</v>
      </c>
      <c r="L74" s="18" cm="1">
        <f t="array" ref="L74">INDEX(GMWA!$A$2:$DA$60,MATCH(1,(GMWA!$DA$2:$DA$60=L$3)*(GMWA!$CZ$2:$CZ$60=L$4),0),$A74-1966)</f>
        <v>31.977530000000002</v>
      </c>
    </row>
    <row r="75" spans="1:12" x14ac:dyDescent="0.25">
      <c r="A75" s="18">
        <f t="shared" si="2"/>
        <v>2041</v>
      </c>
      <c r="B75" s="18" cm="1">
        <f t="array" ref="B75">INDEX(GMWA!$A$2:$DA$60,MATCH(1,(GMWA!$DA$2:$DA$60=B$3)*(GMWA!$CZ$2:$CZ$60=B$4),0),$A75-1966)</f>
        <v>385023.7</v>
      </c>
      <c r="C75" s="18" cm="1">
        <f t="array" ref="C75">INDEX(GMWA!$A$2:$DA$60,MATCH(1,(GMWA!$DA$2:$DA$60=C$3)*(GMWA!$CZ$2:$CZ$60=C$4),0),$A75-1966)</f>
        <v>1167074</v>
      </c>
      <c r="D75" s="18" cm="1">
        <f t="array" ref="D75">INDEX(GMWA!$A$2:$DA$60,MATCH(1,(GMWA!$DA$2:$DA$60=D$3)*(GMWA!$CZ$2:$CZ$60=D$4),0),$A75-1966)</f>
        <v>-32977.83</v>
      </c>
      <c r="E75" s="18" cm="1">
        <f t="array" ref="E75">INDEX(GMWA!$A$2:$DA$60,MATCH(1,(GMWA!$DA$2:$DA$60=E$3)*(GMWA!$CZ$2:$CZ$60=E$4),0),$A75-1966)</f>
        <v>-42610.71</v>
      </c>
      <c r="F75" s="18" cm="1">
        <f t="array" ref="F75">INDEX(GMWA!$A$2:$DA$60,MATCH(1,(GMWA!$DA$2:$DA$60=F$3)*(GMWA!$CZ$2:$CZ$60=F$4),0),$A75-1966)</f>
        <v>5295556</v>
      </c>
      <c r="G75" s="18" cm="1">
        <f t="array" ref="G75">INDEX(GMWA!$A$2:$DA$60,MATCH(1,(GMWA!$DA$2:$DA$60=G$3)*(GMWA!$CZ$2:$CZ$60=G$4),0),$A75-1966)</f>
        <v>642642.5</v>
      </c>
      <c r="H75" s="18" cm="1">
        <f t="array" ref="H75">INDEX(GMWA!$A$2:$DA$60,MATCH(1,(GMWA!$DA$2:$DA$60=H$3)*(GMWA!$CZ$2:$CZ$60=H$4),0),$A75-1966)</f>
        <v>84426.82</v>
      </c>
      <c r="I75" s="18" cm="1">
        <f t="array" ref="I75">INDEX(GMWA!$A$2:$DA$60,MATCH(1,(GMWA!$DA$2:$DA$60=I$3)*(GMWA!$CZ$2:$CZ$60=I$4),0),$A75-1966)</f>
        <v>129143.1</v>
      </c>
      <c r="J75" s="18" cm="1">
        <f t="array" ref="J75">INDEX(GMWA!$A$2:$DA$60,MATCH(1,(GMWA!$DA$2:$DA$60=J$3)*(GMWA!$CZ$2:$CZ$60=J$4),0),$A75-1966)</f>
        <v>4579316</v>
      </c>
      <c r="K75" s="18" cm="1">
        <f t="array" ref="K75">INDEX(GMWA!$A$2:$DA$60,MATCH(1,(GMWA!$DA$2:$DA$60=K$3)*(GMWA!$CZ$2:$CZ$60=K$4),0),$A75-1966)</f>
        <v>37467.31</v>
      </c>
      <c r="L75" s="18" cm="1">
        <f t="array" ref="L75">INDEX(GMWA!$A$2:$DA$60,MATCH(1,(GMWA!$DA$2:$DA$60=L$3)*(GMWA!$CZ$2:$CZ$60=L$4),0),$A75-1966)</f>
        <v>31.974789999999999</v>
      </c>
    </row>
    <row r="76" spans="1:12" x14ac:dyDescent="0.25">
      <c r="A76" s="18">
        <f t="shared" si="2"/>
        <v>2042</v>
      </c>
      <c r="B76" s="18" cm="1">
        <f t="array" ref="B76">INDEX(GMWA!$A$2:$DA$60,MATCH(1,(GMWA!$DA$2:$DA$60=B$3)*(GMWA!$CZ$2:$CZ$60=B$4),0),$A76-1966)</f>
        <v>393316.9</v>
      </c>
      <c r="C76" s="18" cm="1">
        <f t="array" ref="C76">INDEX(GMWA!$A$2:$DA$60,MATCH(1,(GMWA!$DA$2:$DA$60=C$3)*(GMWA!$CZ$2:$CZ$60=C$4),0),$A76-1966)</f>
        <v>1210940</v>
      </c>
      <c r="D76" s="18" cm="1">
        <f t="array" ref="D76">INDEX(GMWA!$A$2:$DA$60,MATCH(1,(GMWA!$DA$2:$DA$60=D$3)*(GMWA!$CZ$2:$CZ$60=D$4),0),$A76-1966)</f>
        <v>-33351.769999999997</v>
      </c>
      <c r="E76" s="18" cm="1">
        <f t="array" ref="E76">INDEX(GMWA!$A$2:$DA$60,MATCH(1,(GMWA!$DA$2:$DA$60=E$3)*(GMWA!$CZ$2:$CZ$60=E$4),0),$A76-1966)</f>
        <v>-43346.559999999998</v>
      </c>
      <c r="F76" s="18" cm="1">
        <f t="array" ref="F76">INDEX(GMWA!$A$2:$DA$60,MATCH(1,(GMWA!$DA$2:$DA$60=F$3)*(GMWA!$CZ$2:$CZ$60=F$4),0),$A76-1966)</f>
        <v>5494501</v>
      </c>
      <c r="G76" s="18" cm="1">
        <f t="array" ref="G76">INDEX(GMWA!$A$2:$DA$60,MATCH(1,(GMWA!$DA$2:$DA$60=G$3)*(GMWA!$CZ$2:$CZ$60=G$4),0),$A76-1966)</f>
        <v>655427.80000000005</v>
      </c>
      <c r="H76" s="18" cm="1">
        <f t="array" ref="H76">INDEX(GMWA!$A$2:$DA$60,MATCH(1,(GMWA!$DA$2:$DA$60=H$3)*(GMWA!$CZ$2:$CZ$60=H$4),0),$A76-1966)</f>
        <v>86073.9</v>
      </c>
      <c r="I76" s="18" cm="1">
        <f t="array" ref="I76">INDEX(GMWA!$A$2:$DA$60,MATCH(1,(GMWA!$DA$2:$DA$60=I$3)*(GMWA!$CZ$2:$CZ$60=I$4),0),$A76-1966)</f>
        <v>131128.79999999999</v>
      </c>
      <c r="J76" s="18" cm="1">
        <f t="array" ref="J76">INDEX(GMWA!$A$2:$DA$60,MATCH(1,(GMWA!$DA$2:$DA$60=J$3)*(GMWA!$CZ$2:$CZ$60=J$4),0),$A76-1966)</f>
        <v>4669354</v>
      </c>
      <c r="K76" s="18" cm="1">
        <f t="array" ref="K76">INDEX(GMWA!$A$2:$DA$60,MATCH(1,(GMWA!$DA$2:$DA$60=K$3)*(GMWA!$CZ$2:$CZ$60=K$4),0),$A76-1966)</f>
        <v>37611.089999999997</v>
      </c>
      <c r="L76" s="18" cm="1">
        <f t="array" ref="L76">INDEX(GMWA!$A$2:$DA$60,MATCH(1,(GMWA!$DA$2:$DA$60=L$3)*(GMWA!$CZ$2:$CZ$60=L$4),0),$A76-1966)</f>
        <v>31.971800000000002</v>
      </c>
    </row>
    <row r="77" spans="1:12" x14ac:dyDescent="0.25">
      <c r="A77" s="18">
        <f t="shared" si="2"/>
        <v>2043</v>
      </c>
      <c r="B77" s="18" cm="1">
        <f t="array" ref="B77">INDEX(GMWA!$A$2:$DA$60,MATCH(1,(GMWA!$DA$2:$DA$60=B$3)*(GMWA!$CZ$2:$CZ$60=B$4),0),$A77-1966)</f>
        <v>401711.5</v>
      </c>
      <c r="C77" s="18" cm="1">
        <f t="array" ref="C77">INDEX(GMWA!$A$2:$DA$60,MATCH(1,(GMWA!$DA$2:$DA$60=C$3)*(GMWA!$CZ$2:$CZ$60=C$4),0),$A77-1966)</f>
        <v>1256351</v>
      </c>
      <c r="D77" s="18" cm="1">
        <f t="array" ref="D77">INDEX(GMWA!$A$2:$DA$60,MATCH(1,(GMWA!$DA$2:$DA$60=D$3)*(GMWA!$CZ$2:$CZ$60=D$4),0),$A77-1966)</f>
        <v>-33847.32</v>
      </c>
      <c r="E77" s="18" cm="1">
        <f t="array" ref="E77">INDEX(GMWA!$A$2:$DA$60,MATCH(1,(GMWA!$DA$2:$DA$60=E$3)*(GMWA!$CZ$2:$CZ$60=E$4),0),$A77-1966)</f>
        <v>-44216.65</v>
      </c>
      <c r="F77" s="18" cm="1">
        <f t="array" ref="F77">INDEX(GMWA!$A$2:$DA$60,MATCH(1,(GMWA!$DA$2:$DA$60=F$3)*(GMWA!$CZ$2:$CZ$60=F$4),0),$A77-1966)</f>
        <v>5700393</v>
      </c>
      <c r="G77" s="18" cm="1">
        <f t="array" ref="G77">INDEX(GMWA!$A$2:$DA$60,MATCH(1,(GMWA!$DA$2:$DA$60=G$3)*(GMWA!$CZ$2:$CZ$60=G$4),0),$A77-1966)</f>
        <v>668375.80000000005</v>
      </c>
      <c r="H77" s="18" cm="1">
        <f t="array" ref="H77">INDEX(GMWA!$A$2:$DA$60,MATCH(1,(GMWA!$DA$2:$DA$60=H$3)*(GMWA!$CZ$2:$CZ$60=H$4),0),$A77-1966)</f>
        <v>87747.16</v>
      </c>
      <c r="I77" s="18" cm="1">
        <f t="array" ref="I77">INDEX(GMWA!$A$2:$DA$60,MATCH(1,(GMWA!$DA$2:$DA$60=I$3)*(GMWA!$CZ$2:$CZ$60=I$4),0),$A77-1966)</f>
        <v>133135.9</v>
      </c>
      <c r="J77" s="18" cm="1">
        <f t="array" ref="J77">INDEX(GMWA!$A$2:$DA$60,MATCH(1,(GMWA!$DA$2:$DA$60=J$3)*(GMWA!$CZ$2:$CZ$60=J$4),0),$A77-1966)</f>
        <v>4760761</v>
      </c>
      <c r="K77" s="18" cm="1">
        <f t="array" ref="K77">INDEX(GMWA!$A$2:$DA$60,MATCH(1,(GMWA!$DA$2:$DA$60=K$3)*(GMWA!$CZ$2:$CZ$60=K$4),0),$A77-1966)</f>
        <v>37754.870000000003</v>
      </c>
      <c r="L77" s="18" cm="1">
        <f t="array" ref="L77">INDEX(GMWA!$A$2:$DA$60,MATCH(1,(GMWA!$DA$2:$DA$60=L$3)*(GMWA!$CZ$2:$CZ$60=L$4),0),$A77-1966)</f>
        <v>31.968800000000002</v>
      </c>
    </row>
    <row r="78" spans="1:12" x14ac:dyDescent="0.25">
      <c r="A78" s="18">
        <f t="shared" si="2"/>
        <v>2044</v>
      </c>
      <c r="B78" s="18" cm="1">
        <f t="array" ref="B78">INDEX(GMWA!$A$2:$DA$60,MATCH(1,(GMWA!$DA$2:$DA$60=B$3)*(GMWA!$CZ$2:$CZ$60=B$4),0),$A78-1966)</f>
        <v>410223.1</v>
      </c>
      <c r="C78" s="18" cm="1">
        <f t="array" ref="C78">INDEX(GMWA!$A$2:$DA$60,MATCH(1,(GMWA!$DA$2:$DA$60=C$3)*(GMWA!$CZ$2:$CZ$60=C$4),0),$A78-1966)</f>
        <v>1303335</v>
      </c>
      <c r="D78" s="18" cm="1">
        <f t="array" ref="D78">INDEX(GMWA!$A$2:$DA$60,MATCH(1,(GMWA!$DA$2:$DA$60=D$3)*(GMWA!$CZ$2:$CZ$60=D$4),0),$A78-1966)</f>
        <v>-34466.32</v>
      </c>
      <c r="E78" s="18" cm="1">
        <f t="array" ref="E78">INDEX(GMWA!$A$2:$DA$60,MATCH(1,(GMWA!$DA$2:$DA$60=E$3)*(GMWA!$CZ$2:$CZ$60=E$4),0),$A78-1966)</f>
        <v>-45223.22</v>
      </c>
      <c r="F78" s="18" cm="1">
        <f t="array" ref="F78">INDEX(GMWA!$A$2:$DA$60,MATCH(1,(GMWA!$DA$2:$DA$60=F$3)*(GMWA!$CZ$2:$CZ$60=F$4),0),$A78-1966)</f>
        <v>5913455</v>
      </c>
      <c r="G78" s="18" cm="1">
        <f t="array" ref="G78">INDEX(GMWA!$A$2:$DA$60,MATCH(1,(GMWA!$DA$2:$DA$60=G$3)*(GMWA!$CZ$2:$CZ$60=G$4),0),$A78-1966)</f>
        <v>681500.1</v>
      </c>
      <c r="H78" s="18" cm="1">
        <f t="array" ref="H78">INDEX(GMWA!$A$2:$DA$60,MATCH(1,(GMWA!$DA$2:$DA$60=H$3)*(GMWA!$CZ$2:$CZ$60=H$4),0),$A78-1966)</f>
        <v>89446.03</v>
      </c>
      <c r="I78" s="18" cm="1">
        <f t="array" ref="I78">INDEX(GMWA!$A$2:$DA$60,MATCH(1,(GMWA!$DA$2:$DA$60=I$3)*(GMWA!$CZ$2:$CZ$60=I$4),0),$A78-1966)</f>
        <v>135163.29999999999</v>
      </c>
      <c r="J78" s="18" cm="1">
        <f t="array" ref="J78">INDEX(GMWA!$A$2:$DA$60,MATCH(1,(GMWA!$DA$2:$DA$60=J$3)*(GMWA!$CZ$2:$CZ$60=J$4),0),$A78-1966)</f>
        <v>4853527</v>
      </c>
      <c r="K78" s="18" cm="1">
        <f t="array" ref="K78">INDEX(GMWA!$A$2:$DA$60,MATCH(1,(GMWA!$DA$2:$DA$60=K$3)*(GMWA!$CZ$2:$CZ$60=K$4),0),$A78-1966)</f>
        <v>37898.65</v>
      </c>
      <c r="L78" s="18" cm="1">
        <f t="array" ref="L78">INDEX(GMWA!$A$2:$DA$60,MATCH(1,(GMWA!$DA$2:$DA$60=L$3)*(GMWA!$CZ$2:$CZ$60=L$4),0),$A78-1966)</f>
        <v>31.965800000000002</v>
      </c>
    </row>
    <row r="79" spans="1:12" x14ac:dyDescent="0.25">
      <c r="A79" s="18">
        <f t="shared" si="2"/>
        <v>2045</v>
      </c>
      <c r="B79" s="18" cm="1">
        <f t="array" ref="B79">INDEX(GMWA!$A$2:$DA$60,MATCH(1,(GMWA!$DA$2:$DA$60=B$3)*(GMWA!$CZ$2:$CZ$60=B$4),0),$A79-1966)</f>
        <v>418881.7</v>
      </c>
      <c r="C79" s="18" cm="1">
        <f t="array" ref="C79">INDEX(GMWA!$A$2:$DA$60,MATCH(1,(GMWA!$DA$2:$DA$60=C$3)*(GMWA!$CZ$2:$CZ$60=C$4),0),$A79-1966)</f>
        <v>1351969</v>
      </c>
      <c r="D79" s="18" cm="1">
        <f t="array" ref="D79">INDEX(GMWA!$A$2:$DA$60,MATCH(1,(GMWA!$DA$2:$DA$60=D$3)*(GMWA!$CZ$2:$CZ$60=D$4),0),$A79-1966)</f>
        <v>-35192.400000000001</v>
      </c>
      <c r="E79" s="18" cm="1">
        <f t="array" ref="E79">INDEX(GMWA!$A$2:$DA$60,MATCH(1,(GMWA!$DA$2:$DA$60=E$3)*(GMWA!$CZ$2:$CZ$60=E$4),0),$A79-1966)</f>
        <v>-46350.47</v>
      </c>
      <c r="F79" s="18" cm="1">
        <f t="array" ref="F79">INDEX(GMWA!$A$2:$DA$60,MATCH(1,(GMWA!$DA$2:$DA$60=F$3)*(GMWA!$CZ$2:$CZ$60=F$4),0),$A79-1966)</f>
        <v>6133991</v>
      </c>
      <c r="G79" s="18" cm="1">
        <f t="array" ref="G79">INDEX(GMWA!$A$2:$DA$60,MATCH(1,(GMWA!$DA$2:$DA$60=G$3)*(GMWA!$CZ$2:$CZ$60=G$4),0),$A79-1966)</f>
        <v>694830.3</v>
      </c>
      <c r="H79" s="18" cm="1">
        <f t="array" ref="H79">INDEX(GMWA!$A$2:$DA$60,MATCH(1,(GMWA!$DA$2:$DA$60=H$3)*(GMWA!$CZ$2:$CZ$60=H$4),0),$A79-1966)</f>
        <v>91170.52</v>
      </c>
      <c r="I79" s="18" cm="1">
        <f t="array" ref="I79">INDEX(GMWA!$A$2:$DA$60,MATCH(1,(GMWA!$DA$2:$DA$60=I$3)*(GMWA!$CZ$2:$CZ$60=I$4),0),$A79-1966)</f>
        <v>137210.70000000001</v>
      </c>
      <c r="J79" s="18" cm="1">
        <f t="array" ref="J79">INDEX(GMWA!$A$2:$DA$60,MATCH(1,(GMWA!$DA$2:$DA$60=J$3)*(GMWA!$CZ$2:$CZ$60=J$4),0),$A79-1966)</f>
        <v>4947667</v>
      </c>
      <c r="K79" s="18" cm="1">
        <f t="array" ref="K79">INDEX(GMWA!$A$2:$DA$60,MATCH(1,(GMWA!$DA$2:$DA$60=K$3)*(GMWA!$CZ$2:$CZ$60=K$4),0),$A79-1966)</f>
        <v>38042.42</v>
      </c>
      <c r="L79" s="18" cm="1">
        <f t="array" ref="L79">INDEX(GMWA!$A$2:$DA$60,MATCH(1,(GMWA!$DA$2:$DA$60=L$3)*(GMWA!$CZ$2:$CZ$60=L$4),0),$A79-1966)</f>
        <v>31.962800000000001</v>
      </c>
    </row>
    <row r="80" spans="1:12" x14ac:dyDescent="0.25">
      <c r="A80" s="18">
        <f t="shared" si="2"/>
        <v>2046</v>
      </c>
      <c r="B80" s="18" cm="1">
        <f t="array" ref="B80">INDEX(GMWA!$A$2:$DA$60,MATCH(1,(GMWA!$DA$2:$DA$60=B$3)*(GMWA!$CZ$2:$CZ$60=B$4),0),$A80-1966)</f>
        <v>427689.6</v>
      </c>
      <c r="C80" s="18" cm="1">
        <f t="array" ref="C80">INDEX(GMWA!$A$2:$DA$60,MATCH(1,(GMWA!$DA$2:$DA$60=C$3)*(GMWA!$CZ$2:$CZ$60=C$4),0),$A80-1966)</f>
        <v>1402306</v>
      </c>
      <c r="D80" s="18" cm="1">
        <f t="array" ref="D80">INDEX(GMWA!$A$2:$DA$60,MATCH(1,(GMWA!$DA$2:$DA$60=D$3)*(GMWA!$CZ$2:$CZ$60=D$4),0),$A80-1966)</f>
        <v>-36035.879999999997</v>
      </c>
      <c r="E80" s="18" cm="1">
        <f t="array" ref="E80">INDEX(GMWA!$A$2:$DA$60,MATCH(1,(GMWA!$DA$2:$DA$60=E$3)*(GMWA!$CZ$2:$CZ$60=E$4),0),$A80-1966)</f>
        <v>-47609.18</v>
      </c>
      <c r="F80" s="18" cm="1">
        <f t="array" ref="F80">INDEX(GMWA!$A$2:$DA$60,MATCH(1,(GMWA!$DA$2:$DA$60=F$3)*(GMWA!$CZ$2:$CZ$60=F$4),0),$A80-1966)</f>
        <v>6362254</v>
      </c>
      <c r="G80" s="18" cm="1">
        <f t="array" ref="G80">INDEX(GMWA!$A$2:$DA$60,MATCH(1,(GMWA!$DA$2:$DA$60=G$3)*(GMWA!$CZ$2:$CZ$60=G$4),0),$A80-1966)</f>
        <v>708369.4</v>
      </c>
      <c r="H80" s="18" cm="1">
        <f t="array" ref="H80">INDEX(GMWA!$A$2:$DA$60,MATCH(1,(GMWA!$DA$2:$DA$60=H$3)*(GMWA!$CZ$2:$CZ$60=H$4),0),$A80-1966)</f>
        <v>92921.03</v>
      </c>
      <c r="I80" s="18" cm="1">
        <f t="array" ref="I80">INDEX(GMWA!$A$2:$DA$60,MATCH(1,(GMWA!$DA$2:$DA$60=I$3)*(GMWA!$CZ$2:$CZ$60=I$4),0),$A80-1966)</f>
        <v>139278.20000000001</v>
      </c>
      <c r="J80" s="18" cm="1">
        <f t="array" ref="J80">INDEX(GMWA!$A$2:$DA$60,MATCH(1,(GMWA!$DA$2:$DA$60=J$3)*(GMWA!$CZ$2:$CZ$60=J$4),0),$A80-1966)</f>
        <v>5043197</v>
      </c>
      <c r="K80" s="18" cm="1">
        <f t="array" ref="K80">INDEX(GMWA!$A$2:$DA$60,MATCH(1,(GMWA!$DA$2:$DA$60=K$3)*(GMWA!$CZ$2:$CZ$60=K$4),0),$A80-1966)</f>
        <v>38186.199999999997</v>
      </c>
      <c r="L80" s="18" cm="1">
        <f t="array" ref="L80">INDEX(GMWA!$A$2:$DA$60,MATCH(1,(GMWA!$DA$2:$DA$60=L$3)*(GMWA!$CZ$2:$CZ$60=L$4),0),$A80-1966)</f>
        <v>31.959790000000002</v>
      </c>
    </row>
    <row r="81" spans="1:12" x14ac:dyDescent="0.25">
      <c r="A81" s="18">
        <f t="shared" si="2"/>
        <v>2047</v>
      </c>
      <c r="B81" s="18" cm="1">
        <f t="array" ref="B81">INDEX(GMWA!$A$2:$DA$60,MATCH(1,(GMWA!$DA$2:$DA$60=B$3)*(GMWA!$CZ$2:$CZ$60=B$4),0),$A81-1966)</f>
        <v>436650.2</v>
      </c>
      <c r="C81" s="18" cm="1">
        <f t="array" ref="C81">INDEX(GMWA!$A$2:$DA$60,MATCH(1,(GMWA!$DA$2:$DA$60=C$3)*(GMWA!$CZ$2:$CZ$60=C$4),0),$A81-1966)</f>
        <v>1454408</v>
      </c>
      <c r="D81" s="18" cm="1">
        <f t="array" ref="D81">INDEX(GMWA!$A$2:$DA$60,MATCH(1,(GMWA!$DA$2:$DA$60=D$3)*(GMWA!$CZ$2:$CZ$60=D$4),0),$A81-1966)</f>
        <v>-37012.49</v>
      </c>
      <c r="E81" s="18" cm="1">
        <f t="array" ref="E81">INDEX(GMWA!$A$2:$DA$60,MATCH(1,(GMWA!$DA$2:$DA$60=E$3)*(GMWA!$CZ$2:$CZ$60=E$4),0),$A81-1966)</f>
        <v>-49015.57</v>
      </c>
      <c r="F81" s="18" cm="1">
        <f t="array" ref="F81">INDEX(GMWA!$A$2:$DA$60,MATCH(1,(GMWA!$DA$2:$DA$60=F$3)*(GMWA!$CZ$2:$CZ$60=F$4),0),$A81-1966)</f>
        <v>6598518</v>
      </c>
      <c r="G81" s="18" cm="1">
        <f t="array" ref="G81">INDEX(GMWA!$A$2:$DA$60,MATCH(1,(GMWA!$DA$2:$DA$60=G$3)*(GMWA!$CZ$2:$CZ$60=G$4),0),$A81-1966)</f>
        <v>722122.3</v>
      </c>
      <c r="H81" s="18" cm="1">
        <f t="array" ref="H81">INDEX(GMWA!$A$2:$DA$60,MATCH(1,(GMWA!$DA$2:$DA$60=H$3)*(GMWA!$CZ$2:$CZ$60=H$4),0),$A81-1966)</f>
        <v>94698.05</v>
      </c>
      <c r="I81" s="18" cm="1">
        <f t="array" ref="I81">INDEX(GMWA!$A$2:$DA$60,MATCH(1,(GMWA!$DA$2:$DA$60=I$3)*(GMWA!$CZ$2:$CZ$60=I$4),0),$A81-1966)</f>
        <v>141366.20000000001</v>
      </c>
      <c r="J81" s="18" cm="1">
        <f t="array" ref="J81">INDEX(GMWA!$A$2:$DA$60,MATCH(1,(GMWA!$DA$2:$DA$60=J$3)*(GMWA!$CZ$2:$CZ$60=J$4),0),$A81-1966)</f>
        <v>5140135</v>
      </c>
      <c r="K81" s="18" cm="1">
        <f t="array" ref="K81">INDEX(GMWA!$A$2:$DA$60,MATCH(1,(GMWA!$DA$2:$DA$60=K$3)*(GMWA!$CZ$2:$CZ$60=K$4),0),$A81-1966)</f>
        <v>38329.980000000003</v>
      </c>
      <c r="L81" s="18" cm="1">
        <f t="array" ref="L81">INDEX(GMWA!$A$2:$DA$60,MATCH(1,(GMWA!$DA$2:$DA$60=L$3)*(GMWA!$CZ$2:$CZ$60=L$4),0),$A81-1966)</f>
        <v>31.956790000000002</v>
      </c>
    </row>
    <row r="82" spans="1:12" x14ac:dyDescent="0.25">
      <c r="A82" s="18">
        <f t="shared" si="2"/>
        <v>2048</v>
      </c>
      <c r="B82" s="18" cm="1">
        <f t="array" ref="B82">INDEX(GMWA!$A$2:$DA$60,MATCH(1,(GMWA!$DA$2:$DA$60=B$3)*(GMWA!$CZ$2:$CZ$60=B$4),0),$A82-1966)</f>
        <v>445766.7</v>
      </c>
      <c r="C82" s="18" cm="1">
        <f t="array" ref="C82">INDEX(GMWA!$A$2:$DA$60,MATCH(1,(GMWA!$DA$2:$DA$60=C$3)*(GMWA!$CZ$2:$CZ$60=C$4),0),$A82-1966)</f>
        <v>1508337</v>
      </c>
      <c r="D82" s="18" cm="1">
        <f t="array" ref="D82">INDEX(GMWA!$A$2:$DA$60,MATCH(1,(GMWA!$DA$2:$DA$60=D$3)*(GMWA!$CZ$2:$CZ$60=D$4),0),$A82-1966)</f>
        <v>-38020.379999999997</v>
      </c>
      <c r="E82" s="18" cm="1">
        <f t="array" ref="E82">INDEX(GMWA!$A$2:$DA$60,MATCH(1,(GMWA!$DA$2:$DA$60=E$3)*(GMWA!$CZ$2:$CZ$60=E$4),0),$A82-1966)</f>
        <v>-50468.31</v>
      </c>
      <c r="F82" s="18" cm="1">
        <f t="array" ref="F82">INDEX(GMWA!$A$2:$DA$60,MATCH(1,(GMWA!$DA$2:$DA$60=F$3)*(GMWA!$CZ$2:$CZ$60=F$4),0),$A82-1966)</f>
        <v>6843070</v>
      </c>
      <c r="G82" s="18" cm="1">
        <f t="array" ref="G82">INDEX(GMWA!$A$2:$DA$60,MATCH(1,(GMWA!$DA$2:$DA$60=G$3)*(GMWA!$CZ$2:$CZ$60=G$4),0),$A82-1966)</f>
        <v>736093.4</v>
      </c>
      <c r="H82" s="18" cm="1">
        <f t="array" ref="H82">INDEX(GMWA!$A$2:$DA$60,MATCH(1,(GMWA!$DA$2:$DA$60=H$3)*(GMWA!$CZ$2:$CZ$60=H$4),0),$A82-1966)</f>
        <v>96502.2</v>
      </c>
      <c r="I82" s="18" cm="1">
        <f t="array" ref="I82">INDEX(GMWA!$A$2:$DA$60,MATCH(1,(GMWA!$DA$2:$DA$60=I$3)*(GMWA!$CZ$2:$CZ$60=I$4),0),$A82-1966)</f>
        <v>143475.4</v>
      </c>
      <c r="J82" s="18" cm="1">
        <f t="array" ref="J82">INDEX(GMWA!$A$2:$DA$60,MATCH(1,(GMWA!$DA$2:$DA$60=J$3)*(GMWA!$CZ$2:$CZ$60=J$4),0),$A82-1966)</f>
        <v>5238500</v>
      </c>
      <c r="K82" s="18" cm="1">
        <f t="array" ref="K82">INDEX(GMWA!$A$2:$DA$60,MATCH(1,(GMWA!$DA$2:$DA$60=K$3)*(GMWA!$CZ$2:$CZ$60=K$4),0),$A82-1966)</f>
        <v>38473.760000000002</v>
      </c>
      <c r="L82" s="18" cm="1">
        <f t="array" ref="L82">INDEX(GMWA!$A$2:$DA$60,MATCH(1,(GMWA!$DA$2:$DA$60=L$3)*(GMWA!$CZ$2:$CZ$60=L$4),0),$A82-1966)</f>
        <v>31.953790000000001</v>
      </c>
    </row>
    <row r="83" spans="1:12" x14ac:dyDescent="0.25">
      <c r="A83" s="18">
        <f t="shared" si="2"/>
        <v>2049</v>
      </c>
      <c r="B83" s="18" cm="1">
        <f t="array" ref="B83">INDEX(GMWA!$A$2:$DA$60,MATCH(1,(GMWA!$DA$2:$DA$60=B$3)*(GMWA!$CZ$2:$CZ$60=B$4),0),$A83-1966)</f>
        <v>455042</v>
      </c>
      <c r="C83" s="18" cm="1">
        <f t="array" ref="C83">INDEX(GMWA!$A$2:$DA$60,MATCH(1,(GMWA!$DA$2:$DA$60=C$3)*(GMWA!$CZ$2:$CZ$60=C$4),0),$A83-1966)</f>
        <v>1564157</v>
      </c>
      <c r="D83" s="18" cm="1">
        <f t="array" ref="D83">INDEX(GMWA!$A$2:$DA$60,MATCH(1,(GMWA!$DA$2:$DA$60=D$3)*(GMWA!$CZ$2:$CZ$60=D$4),0),$A83-1966)</f>
        <v>-39280.660000000003</v>
      </c>
      <c r="E83" s="18" cm="1">
        <f t="array" ref="E83">INDEX(GMWA!$A$2:$DA$60,MATCH(1,(GMWA!$DA$2:$DA$60=E$3)*(GMWA!$CZ$2:$CZ$60=E$4),0),$A83-1966)</f>
        <v>-52189.02</v>
      </c>
      <c r="F83" s="18" cm="1">
        <f t="array" ref="F83">INDEX(GMWA!$A$2:$DA$60,MATCH(1,(GMWA!$DA$2:$DA$60=F$3)*(GMWA!$CZ$2:$CZ$60=F$4),0),$A83-1966)</f>
        <v>7096190</v>
      </c>
      <c r="G83" s="18" cm="1">
        <f t="array" ref="G83">INDEX(GMWA!$A$2:$DA$60,MATCH(1,(GMWA!$DA$2:$DA$60=G$3)*(GMWA!$CZ$2:$CZ$60=G$4),0),$A83-1966)</f>
        <v>750286.5</v>
      </c>
      <c r="H83" s="18" cm="1">
        <f t="array" ref="H83">INDEX(GMWA!$A$2:$DA$60,MATCH(1,(GMWA!$DA$2:$DA$60=H$3)*(GMWA!$CZ$2:$CZ$60=H$4),0),$A83-1966)</f>
        <v>98333.88</v>
      </c>
      <c r="I83" s="18" cm="1">
        <f t="array" ref="I83">INDEX(GMWA!$A$2:$DA$60,MATCH(1,(GMWA!$DA$2:$DA$60=I$3)*(GMWA!$CZ$2:$CZ$60=I$4),0),$A83-1966)</f>
        <v>145605.79999999999</v>
      </c>
      <c r="J83" s="18" cm="1">
        <f t="array" ref="J83">INDEX(GMWA!$A$2:$DA$60,MATCH(1,(GMWA!$DA$2:$DA$60=J$3)*(GMWA!$CZ$2:$CZ$60=J$4),0),$A83-1966)</f>
        <v>5338313</v>
      </c>
      <c r="K83" s="18" cm="1">
        <f t="array" ref="K83">INDEX(GMWA!$A$2:$DA$60,MATCH(1,(GMWA!$DA$2:$DA$60=K$3)*(GMWA!$CZ$2:$CZ$60=K$4),0),$A83-1966)</f>
        <v>38617.53</v>
      </c>
      <c r="L83" s="18" cm="1">
        <f t="array" ref="L83">INDEX(GMWA!$A$2:$DA$60,MATCH(1,(GMWA!$DA$2:$DA$60=L$3)*(GMWA!$CZ$2:$CZ$60=L$4),0),$A83-1966)</f>
        <v>31.950800000000001</v>
      </c>
    </row>
    <row r="84" spans="1:12" x14ac:dyDescent="0.25">
      <c r="A84" s="18">
        <f t="shared" si="2"/>
        <v>2050</v>
      </c>
      <c r="B84" s="18" cm="1">
        <f t="array" ref="B84">INDEX(GMWA!$A$2:$DA$60,MATCH(1,(GMWA!$DA$2:$DA$60=B$3)*(GMWA!$CZ$2:$CZ$60=B$4),0),$A84-1966)</f>
        <v>464477.3</v>
      </c>
      <c r="C84" s="18" cm="1">
        <f t="array" ref="C84">INDEX(GMWA!$A$2:$DA$60,MATCH(1,(GMWA!$DA$2:$DA$60=C$3)*(GMWA!$CZ$2:$CZ$60=C$4),0),$A84-1966)</f>
        <v>1621952</v>
      </c>
      <c r="D84" s="18" cm="1">
        <f t="array" ref="D84">INDEX(GMWA!$A$2:$DA$60,MATCH(1,(GMWA!$DA$2:$DA$60=D$3)*(GMWA!$CZ$2:$CZ$60=D$4),0),$A84-1966)</f>
        <v>-40673.1</v>
      </c>
      <c r="E84" s="18" cm="1">
        <f t="array" ref="E84">INDEX(GMWA!$A$2:$DA$60,MATCH(1,(GMWA!$DA$2:$DA$60=E$3)*(GMWA!$CZ$2:$CZ$60=E$4),0),$A84-1966)</f>
        <v>-54058.32</v>
      </c>
      <c r="F84" s="18" cm="1">
        <f t="array" ref="F84">INDEX(GMWA!$A$2:$DA$60,MATCH(1,(GMWA!$DA$2:$DA$60=F$3)*(GMWA!$CZ$2:$CZ$60=F$4),0),$A84-1966)</f>
        <v>7358334</v>
      </c>
      <c r="G84" s="18" cm="1">
        <f t="array" ref="G84">INDEX(GMWA!$A$2:$DA$60,MATCH(1,(GMWA!$DA$2:$DA$60=G$3)*(GMWA!$CZ$2:$CZ$60=G$4),0),$A84-1966)</f>
        <v>764702.8</v>
      </c>
      <c r="H84" s="18" cm="1">
        <f t="array" ref="H84">INDEX(GMWA!$A$2:$DA$60,MATCH(1,(GMWA!$DA$2:$DA$60=H$3)*(GMWA!$CZ$2:$CZ$60=H$4),0),$A84-1966)</f>
        <v>100193.2</v>
      </c>
      <c r="I84" s="18" cm="1">
        <f t="array" ref="I84">INDEX(GMWA!$A$2:$DA$60,MATCH(1,(GMWA!$DA$2:$DA$60=I$3)*(GMWA!$CZ$2:$CZ$60=I$4),0),$A84-1966)</f>
        <v>147757.4</v>
      </c>
      <c r="J84" s="18" cm="1">
        <f t="array" ref="J84">INDEX(GMWA!$A$2:$DA$60,MATCH(1,(GMWA!$DA$2:$DA$60=J$3)*(GMWA!$CZ$2:$CZ$60=J$4),0),$A84-1966)</f>
        <v>5439592</v>
      </c>
      <c r="K84" s="18" cm="1">
        <f t="array" ref="K84">INDEX(GMWA!$A$2:$DA$60,MATCH(1,(GMWA!$DA$2:$DA$60=K$3)*(GMWA!$CZ$2:$CZ$60=K$4),0),$A84-1966)</f>
        <v>38761.31</v>
      </c>
      <c r="L84" s="18" cm="1">
        <f t="array" ref="L84">INDEX(GMWA!$A$2:$DA$60,MATCH(1,(GMWA!$DA$2:$DA$60=L$3)*(GMWA!$CZ$2:$CZ$60=L$4),0),$A84-1966)</f>
        <v>31.947790000000001</v>
      </c>
    </row>
    <row r="85" spans="1:12" x14ac:dyDescent="0.25">
      <c r="A85" s="18">
        <f t="shared" si="2"/>
        <v>2051</v>
      </c>
      <c r="B85" s="18" cm="1">
        <f t="array" ref="B85">INDEX(GMWA!$A$2:$DA$60,MATCH(1,(GMWA!$DA$2:$DA$60=B$3)*(GMWA!$CZ$2:$CZ$60=B$4),0),$A85-1966)</f>
        <v>473760</v>
      </c>
      <c r="C85" s="18" cm="1">
        <f t="array" ref="C85">INDEX(GMWA!$A$2:$DA$60,MATCH(1,(GMWA!$DA$2:$DA$60=C$3)*(GMWA!$CZ$2:$CZ$60=C$4),0),$A85-1966)</f>
        <v>1681192</v>
      </c>
      <c r="D85" s="18" cm="1">
        <f t="array" ref="D85">INDEX(GMWA!$A$2:$DA$60,MATCH(1,(GMWA!$DA$2:$DA$60=D$3)*(GMWA!$CZ$2:$CZ$60=D$4),0),$A85-1966)</f>
        <v>-43053.77</v>
      </c>
      <c r="E85" s="18" cm="1">
        <f t="array" ref="E85">INDEX(GMWA!$A$2:$DA$60,MATCH(1,(GMWA!$DA$2:$DA$60=E$3)*(GMWA!$CZ$2:$CZ$60=E$4),0),$A85-1966)</f>
        <v>-56924.12</v>
      </c>
      <c r="F85" s="18" cm="1">
        <f t="array" ref="F85">INDEX(GMWA!$A$2:$DA$60,MATCH(1,(GMWA!$DA$2:$DA$60=F$3)*(GMWA!$CZ$2:$CZ$60=F$4),0),$A85-1966)</f>
        <v>7625030</v>
      </c>
      <c r="G85" s="18" cm="1">
        <f t="array" ref="G85">INDEX(GMWA!$A$2:$DA$60,MATCH(1,(GMWA!$DA$2:$DA$60=G$3)*(GMWA!$CZ$2:$CZ$60=G$4),0),$A85-1966)</f>
        <v>778827.4</v>
      </c>
      <c r="H85" s="18" cm="1">
        <f t="array" ref="H85">INDEX(GMWA!$A$2:$DA$60,MATCH(1,(GMWA!$DA$2:$DA$60=H$3)*(GMWA!$CZ$2:$CZ$60=H$4),0),$A85-1966)</f>
        <v>102012.7</v>
      </c>
      <c r="I85" s="18" cm="1">
        <f t="array" ref="I85">INDEX(GMWA!$A$2:$DA$60,MATCH(1,(GMWA!$DA$2:$DA$60=I$3)*(GMWA!$CZ$2:$CZ$60=I$4),0),$A85-1966)</f>
        <v>149830.6</v>
      </c>
      <c r="J85" s="18" cm="1">
        <f t="array" ref="J85">INDEX(GMWA!$A$2:$DA$60,MATCH(1,(GMWA!$DA$2:$DA$60=J$3)*(GMWA!$CZ$2:$CZ$60=J$4),0),$A85-1966)</f>
        <v>5542625</v>
      </c>
      <c r="K85" s="18" cm="1">
        <f t="array" ref="K85">INDEX(GMWA!$A$2:$DA$60,MATCH(1,(GMWA!$DA$2:$DA$60=K$3)*(GMWA!$CZ$2:$CZ$60=K$4),0),$A85-1966)</f>
        <v>38864.83</v>
      </c>
      <c r="L85" s="18" cm="1">
        <f t="array" ref="L85">INDEX(GMWA!$A$2:$DA$60,MATCH(1,(GMWA!$DA$2:$DA$60=L$3)*(GMWA!$CZ$2:$CZ$60=L$4),0),$A85-1966)</f>
        <v>31.944800000000001</v>
      </c>
    </row>
    <row r="86" spans="1:12" x14ac:dyDescent="0.25">
      <c r="A86" s="18">
        <f t="shared" si="2"/>
        <v>2052</v>
      </c>
      <c r="B86" s="18" cm="1">
        <f t="array" ref="B86">INDEX(GMWA!$A$2:$DA$60,MATCH(1,(GMWA!$DA$2:$DA$60=B$3)*(GMWA!$CZ$2:$CZ$60=B$4),0),$A86-1966)</f>
        <v>482943.4</v>
      </c>
      <c r="C86" s="18" cm="1">
        <f t="array" ref="C86">INDEX(GMWA!$A$2:$DA$60,MATCH(1,(GMWA!$DA$2:$DA$60=C$3)*(GMWA!$CZ$2:$CZ$60=C$4),0),$A86-1966)</f>
        <v>1741260</v>
      </c>
      <c r="D86" s="18" cm="1">
        <f t="array" ref="D86">INDEX(GMWA!$A$2:$DA$60,MATCH(1,(GMWA!$DA$2:$DA$60=D$3)*(GMWA!$CZ$2:$CZ$60=D$4),0),$A86-1966)</f>
        <v>-44215.02</v>
      </c>
      <c r="E86" s="18" cm="1">
        <f t="array" ref="E86">INDEX(GMWA!$A$2:$DA$60,MATCH(1,(GMWA!$DA$2:$DA$60=E$3)*(GMWA!$CZ$2:$CZ$60=E$4),0),$A86-1966)</f>
        <v>-58580.05</v>
      </c>
      <c r="F86" s="18" cm="1">
        <f t="array" ref="F86">INDEX(GMWA!$A$2:$DA$60,MATCH(1,(GMWA!$DA$2:$DA$60=F$3)*(GMWA!$CZ$2:$CZ$60=F$4),0),$A86-1966)</f>
        <v>7896976</v>
      </c>
      <c r="G86" s="18" cm="1">
        <f t="array" ref="G86">INDEX(GMWA!$A$2:$DA$60,MATCH(1,(GMWA!$DA$2:$DA$60=G$3)*(GMWA!$CZ$2:$CZ$60=G$4),0),$A86-1966)</f>
        <v>792749.2</v>
      </c>
      <c r="H86" s="18" cm="1">
        <f t="array" ref="H86">INDEX(GMWA!$A$2:$DA$60,MATCH(1,(GMWA!$DA$2:$DA$60=H$3)*(GMWA!$CZ$2:$CZ$60=H$4),0),$A86-1966)</f>
        <v>103804</v>
      </c>
      <c r="I86" s="18" cm="1">
        <f t="array" ref="I86">INDEX(GMWA!$A$2:$DA$60,MATCH(1,(GMWA!$DA$2:$DA$60=I$3)*(GMWA!$CZ$2:$CZ$60=I$4),0),$A86-1966)</f>
        <v>151843.1</v>
      </c>
      <c r="J86" s="18" cm="1">
        <f t="array" ref="J86">INDEX(GMWA!$A$2:$DA$60,MATCH(1,(GMWA!$DA$2:$DA$60=J$3)*(GMWA!$CZ$2:$CZ$60=J$4),0),$A86-1966)</f>
        <v>5647496</v>
      </c>
      <c r="K86" s="18" cm="1">
        <f t="array" ref="K86">INDEX(GMWA!$A$2:$DA$60,MATCH(1,(GMWA!$DA$2:$DA$60=K$3)*(GMWA!$CZ$2:$CZ$60=K$4),0),$A86-1966)</f>
        <v>38934.85</v>
      </c>
      <c r="L86" s="18" cm="1">
        <f t="array" ref="L86">INDEX(GMWA!$A$2:$DA$60,MATCH(1,(GMWA!$DA$2:$DA$60=L$3)*(GMWA!$CZ$2:$CZ$60=L$4),0),$A86-1966)</f>
        <v>31.941800000000001</v>
      </c>
    </row>
    <row r="87" spans="1:12" x14ac:dyDescent="0.25">
      <c r="A87" s="18">
        <f t="shared" si="2"/>
        <v>2053</v>
      </c>
      <c r="B87" s="18" cm="1">
        <f t="array" ref="B87">INDEX(GMWA!$A$2:$DA$60,MATCH(1,(GMWA!$DA$2:$DA$60=B$3)*(GMWA!$CZ$2:$CZ$60=B$4),0),$A87-1966)</f>
        <v>492177.7</v>
      </c>
      <c r="C87" s="18" cm="1">
        <f t="array" ref="C87">INDEX(GMWA!$A$2:$DA$60,MATCH(1,(GMWA!$DA$2:$DA$60=C$3)*(GMWA!$CZ$2:$CZ$60=C$4),0),$A87-1966)</f>
        <v>1802977</v>
      </c>
      <c r="D87" s="18" cm="1">
        <f t="array" ref="D87">INDEX(GMWA!$A$2:$DA$60,MATCH(1,(GMWA!$DA$2:$DA$60=D$3)*(GMWA!$CZ$2:$CZ$60=D$4),0),$A87-1966)</f>
        <v>-45401.2</v>
      </c>
      <c r="E87" s="18" cm="1">
        <f t="array" ref="E87">INDEX(GMWA!$A$2:$DA$60,MATCH(1,(GMWA!$DA$2:$DA$60=E$3)*(GMWA!$CZ$2:$CZ$60=E$4),0),$A87-1966)</f>
        <v>-60274.71</v>
      </c>
      <c r="F87" s="18" cm="1">
        <f t="array" ref="F87">INDEX(GMWA!$A$2:$DA$60,MATCH(1,(GMWA!$DA$2:$DA$60=F$3)*(GMWA!$CZ$2:$CZ$60=F$4),0),$A87-1966)</f>
        <v>8176504</v>
      </c>
      <c r="G87" s="18" cm="1">
        <f t="array" ref="G87">INDEX(GMWA!$A$2:$DA$60,MATCH(1,(GMWA!$DA$2:$DA$60=G$3)*(GMWA!$CZ$2:$CZ$60=G$4),0),$A87-1966)</f>
        <v>806715.5</v>
      </c>
      <c r="H87" s="18" cm="1">
        <f t="array" ref="H87">INDEX(GMWA!$A$2:$DA$60,MATCH(1,(GMWA!$DA$2:$DA$60=H$3)*(GMWA!$CZ$2:$CZ$60=H$4),0),$A87-1966)</f>
        <v>105599.4</v>
      </c>
      <c r="I87" s="18" cm="1">
        <f t="array" ref="I87">INDEX(GMWA!$A$2:$DA$60,MATCH(1,(GMWA!$DA$2:$DA$60=I$3)*(GMWA!$CZ$2:$CZ$60=I$4),0),$A87-1966)</f>
        <v>153842.9</v>
      </c>
      <c r="J87" s="18" cm="1">
        <f t="array" ref="J87">INDEX(GMWA!$A$2:$DA$60,MATCH(1,(GMWA!$DA$2:$DA$60=J$3)*(GMWA!$CZ$2:$CZ$60=J$4),0),$A87-1966)</f>
        <v>5754086</v>
      </c>
      <c r="K87" s="18" cm="1">
        <f t="array" ref="K87">INDEX(GMWA!$A$2:$DA$60,MATCH(1,(GMWA!$DA$2:$DA$60=K$3)*(GMWA!$CZ$2:$CZ$60=K$4),0),$A87-1966)</f>
        <v>38991.660000000003</v>
      </c>
      <c r="L87" s="18" cm="1">
        <f t="array" ref="L87">INDEX(GMWA!$A$2:$DA$60,MATCH(1,(GMWA!$DA$2:$DA$60=L$3)*(GMWA!$CZ$2:$CZ$60=L$4),0),$A87-1966)</f>
        <v>31.938790000000001</v>
      </c>
    </row>
    <row r="88" spans="1:12" x14ac:dyDescent="0.25">
      <c r="A88" s="18">
        <f t="shared" si="2"/>
        <v>2054</v>
      </c>
      <c r="B88" s="18" cm="1">
        <f t="array" ref="B88">INDEX(GMWA!$A$2:$DA$60,MATCH(1,(GMWA!$DA$2:$DA$60=B$3)*(GMWA!$CZ$2:$CZ$60=B$4),0),$A88-1966)</f>
        <v>501547.2</v>
      </c>
      <c r="C88" s="18" cm="1">
        <f t="array" ref="C88">INDEX(GMWA!$A$2:$DA$60,MATCH(1,(GMWA!$DA$2:$DA$60=C$3)*(GMWA!$CZ$2:$CZ$60=C$4),0),$A88-1966)</f>
        <v>1866694</v>
      </c>
      <c r="D88" s="18" cm="1">
        <f t="array" ref="D88">INDEX(GMWA!$A$2:$DA$60,MATCH(1,(GMWA!$DA$2:$DA$60=D$3)*(GMWA!$CZ$2:$CZ$60=D$4),0),$A88-1966)</f>
        <v>-46595.67</v>
      </c>
      <c r="E88" s="18" cm="1">
        <f t="array" ref="E88">INDEX(GMWA!$A$2:$DA$60,MATCH(1,(GMWA!$DA$2:$DA$60=E$3)*(GMWA!$CZ$2:$CZ$60=E$4),0),$A88-1966)</f>
        <v>-61994.39</v>
      </c>
      <c r="F88" s="18" cm="1">
        <f t="array" ref="F88">INDEX(GMWA!$A$2:$DA$60,MATCH(1,(GMWA!$DA$2:$DA$60=F$3)*(GMWA!$CZ$2:$CZ$60=F$4),0),$A88-1966)</f>
        <v>8465230</v>
      </c>
      <c r="G88" s="18" cm="1">
        <f t="array" ref="G88">INDEX(GMWA!$A$2:$DA$60,MATCH(1,(GMWA!$DA$2:$DA$60=G$3)*(GMWA!$CZ$2:$CZ$60=G$4),0),$A88-1966)</f>
        <v>820864.1</v>
      </c>
      <c r="H88" s="18" cm="1">
        <f t="array" ref="H88">INDEX(GMWA!$A$2:$DA$60,MATCH(1,(GMWA!$DA$2:$DA$60=H$3)*(GMWA!$CZ$2:$CZ$60=H$4),0),$A88-1966)</f>
        <v>107417</v>
      </c>
      <c r="I88" s="18" cm="1">
        <f t="array" ref="I88">INDEX(GMWA!$A$2:$DA$60,MATCH(1,(GMWA!$DA$2:$DA$60=I$3)*(GMWA!$CZ$2:$CZ$60=I$4),0),$A88-1966)</f>
        <v>155856.1</v>
      </c>
      <c r="J88" s="18" cm="1">
        <f t="array" ref="J88">INDEX(GMWA!$A$2:$DA$60,MATCH(1,(GMWA!$DA$2:$DA$60=J$3)*(GMWA!$CZ$2:$CZ$60=J$4),0),$A88-1966)</f>
        <v>5862396</v>
      </c>
      <c r="K88" s="18" cm="1">
        <f t="array" ref="K88">INDEX(GMWA!$A$2:$DA$60,MATCH(1,(GMWA!$DA$2:$DA$60=K$3)*(GMWA!$CZ$2:$CZ$60=K$4),0),$A88-1966)</f>
        <v>39046.199999999997</v>
      </c>
      <c r="L88" s="18" cm="1">
        <f t="array" ref="L88">INDEX(GMWA!$A$2:$DA$60,MATCH(1,(GMWA!$DA$2:$DA$60=L$3)*(GMWA!$CZ$2:$CZ$60=L$4),0),$A88-1966)</f>
        <v>31.935790000000001</v>
      </c>
    </row>
    <row r="89" spans="1:12" x14ac:dyDescent="0.25">
      <c r="A89" s="18">
        <f t="shared" si="2"/>
        <v>2055</v>
      </c>
      <c r="B89" s="18" cm="1">
        <f t="array" ref="B89">INDEX(GMWA!$A$2:$DA$60,MATCH(1,(GMWA!$DA$2:$DA$60=B$3)*(GMWA!$CZ$2:$CZ$60=B$4),0),$A89-1966)</f>
        <v>511008.8</v>
      </c>
      <c r="C89" s="18" cm="1">
        <f t="array" ref="C89">INDEX(GMWA!$A$2:$DA$60,MATCH(1,(GMWA!$DA$2:$DA$60=C$3)*(GMWA!$CZ$2:$CZ$60=C$4),0),$A89-1966)</f>
        <v>1932395</v>
      </c>
      <c r="D89" s="18" cm="1">
        <f t="array" ref="D89">INDEX(GMWA!$A$2:$DA$60,MATCH(1,(GMWA!$DA$2:$DA$60=D$3)*(GMWA!$CZ$2:$CZ$60=D$4),0),$A89-1966)</f>
        <v>-47963.59</v>
      </c>
      <c r="E89" s="18" cm="1">
        <f t="array" ref="E89">INDEX(GMWA!$A$2:$DA$60,MATCH(1,(GMWA!$DA$2:$DA$60=E$3)*(GMWA!$CZ$2:$CZ$60=E$4),0),$A89-1966)</f>
        <v>-63903.77</v>
      </c>
      <c r="F89" s="18" cm="1">
        <f t="array" ref="F89">INDEX(GMWA!$A$2:$DA$60,MATCH(1,(GMWA!$DA$2:$DA$60=F$3)*(GMWA!$CZ$2:$CZ$60=F$4),0),$A89-1966)</f>
        <v>8762885</v>
      </c>
      <c r="G89" s="18" cm="1">
        <f t="array" ref="G89">INDEX(GMWA!$A$2:$DA$60,MATCH(1,(GMWA!$DA$2:$DA$60=G$3)*(GMWA!$CZ$2:$CZ$60=G$4),0),$A89-1966)</f>
        <v>835124.1</v>
      </c>
      <c r="H89" s="18" cm="1">
        <f t="array" ref="H89">INDEX(GMWA!$A$2:$DA$60,MATCH(1,(GMWA!$DA$2:$DA$60=H$3)*(GMWA!$CZ$2:$CZ$60=H$4),0),$A89-1966)</f>
        <v>109247.5</v>
      </c>
      <c r="I89" s="18" cm="1">
        <f t="array" ref="I89">INDEX(GMWA!$A$2:$DA$60,MATCH(1,(GMWA!$DA$2:$DA$60=I$3)*(GMWA!$CZ$2:$CZ$60=I$4),0),$A89-1966)</f>
        <v>157869</v>
      </c>
      <c r="J89" s="18" cm="1">
        <f t="array" ref="J89">INDEX(GMWA!$A$2:$DA$60,MATCH(1,(GMWA!$DA$2:$DA$60=J$3)*(GMWA!$CZ$2:$CZ$60=J$4),0),$A89-1966)</f>
        <v>5972368</v>
      </c>
      <c r="K89" s="18" cm="1">
        <f t="array" ref="K89">INDEX(GMWA!$A$2:$DA$60,MATCH(1,(GMWA!$DA$2:$DA$60=K$3)*(GMWA!$CZ$2:$CZ$60=K$4),0),$A89-1966)</f>
        <v>39093.57</v>
      </c>
      <c r="L89" s="18" cm="1">
        <f t="array" ref="L89">INDEX(GMWA!$A$2:$DA$60,MATCH(1,(GMWA!$DA$2:$DA$60=L$3)*(GMWA!$CZ$2:$CZ$60=L$4),0),$A89-1966)</f>
        <v>31.932790000000001</v>
      </c>
    </row>
    <row r="90" spans="1:12" x14ac:dyDescent="0.25">
      <c r="A90" s="18">
        <f t="shared" si="2"/>
        <v>2056</v>
      </c>
      <c r="B90" s="18" cm="1">
        <f t="array" ref="B90">INDEX(GMWA!$A$2:$DA$60,MATCH(1,(GMWA!$DA$2:$DA$60=B$3)*(GMWA!$CZ$2:$CZ$60=B$4),0),$A90-1966)</f>
        <v>520574.4</v>
      </c>
      <c r="C90" s="18" cm="1">
        <f t="array" ref="C90">INDEX(GMWA!$A$2:$DA$60,MATCH(1,(GMWA!$DA$2:$DA$60=C$3)*(GMWA!$CZ$2:$CZ$60=C$4),0),$A90-1966)</f>
        <v>2000139</v>
      </c>
      <c r="D90" s="18" cm="1">
        <f t="array" ref="D90">INDEX(GMWA!$A$2:$DA$60,MATCH(1,(GMWA!$DA$2:$DA$60=D$3)*(GMWA!$CZ$2:$CZ$60=D$4),0),$A90-1966)</f>
        <v>-49350.61</v>
      </c>
      <c r="E90" s="18" cm="1">
        <f t="array" ref="E90">INDEX(GMWA!$A$2:$DA$60,MATCH(1,(GMWA!$DA$2:$DA$60=E$3)*(GMWA!$CZ$2:$CZ$60=E$4),0),$A90-1966)</f>
        <v>-65849.14</v>
      </c>
      <c r="F90" s="18" cm="1">
        <f t="array" ref="F90">INDEX(GMWA!$A$2:$DA$60,MATCH(1,(GMWA!$DA$2:$DA$60=F$3)*(GMWA!$CZ$2:$CZ$60=F$4),0),$A90-1966)</f>
        <v>9069840</v>
      </c>
      <c r="G90" s="18" cm="1">
        <f t="array" ref="G90">INDEX(GMWA!$A$2:$DA$60,MATCH(1,(GMWA!$DA$2:$DA$60=G$3)*(GMWA!$CZ$2:$CZ$60=G$4),0),$A90-1966)</f>
        <v>849514.3</v>
      </c>
      <c r="H90" s="18" cm="1">
        <f t="array" ref="H90">INDEX(GMWA!$A$2:$DA$60,MATCH(1,(GMWA!$DA$2:$DA$60=H$3)*(GMWA!$CZ$2:$CZ$60=H$4),0),$A90-1966)</f>
        <v>111093.2</v>
      </c>
      <c r="I90" s="18" cm="1">
        <f t="array" ref="I90">INDEX(GMWA!$A$2:$DA$60,MATCH(1,(GMWA!$DA$2:$DA$60=I$3)*(GMWA!$CZ$2:$CZ$60=I$4),0),$A90-1966)</f>
        <v>159884.9</v>
      </c>
      <c r="J90" s="18" cm="1">
        <f t="array" ref="J90">INDEX(GMWA!$A$2:$DA$60,MATCH(1,(GMWA!$DA$2:$DA$60=J$3)*(GMWA!$CZ$2:$CZ$60=J$4),0),$A90-1966)</f>
        <v>6083968</v>
      </c>
      <c r="K90" s="18" cm="1">
        <f t="array" ref="K90">INDEX(GMWA!$A$2:$DA$60,MATCH(1,(GMWA!$DA$2:$DA$60=K$3)*(GMWA!$CZ$2:$CZ$60=K$4),0),$A90-1966)</f>
        <v>39135.730000000003</v>
      </c>
      <c r="L90" s="18" cm="1">
        <f t="array" ref="L90">INDEX(GMWA!$A$2:$DA$60,MATCH(1,(GMWA!$DA$2:$DA$60=L$3)*(GMWA!$CZ$2:$CZ$60=L$4),0),$A90-1966)</f>
        <v>31.9298</v>
      </c>
    </row>
    <row r="91" spans="1:12" x14ac:dyDescent="0.25">
      <c r="A91" s="18">
        <f t="shared" si="2"/>
        <v>2057</v>
      </c>
      <c r="B91" s="18" cm="1">
        <f t="array" ref="B91">INDEX(GMWA!$A$2:$DA$60,MATCH(1,(GMWA!$DA$2:$DA$60=B$3)*(GMWA!$CZ$2:$CZ$60=B$4),0),$A91-1966)</f>
        <v>530300.80000000005</v>
      </c>
      <c r="C91" s="18" cm="1">
        <f t="array" ref="C91">INDEX(GMWA!$A$2:$DA$60,MATCH(1,(GMWA!$DA$2:$DA$60=C$3)*(GMWA!$CZ$2:$CZ$60=C$4),0),$A91-1966)</f>
        <v>2070124</v>
      </c>
      <c r="D91" s="18" cm="1">
        <f t="array" ref="D91">INDEX(GMWA!$A$2:$DA$60,MATCH(1,(GMWA!$DA$2:$DA$60=D$3)*(GMWA!$CZ$2:$CZ$60=D$4),0),$A91-1966)</f>
        <v>-50667.41</v>
      </c>
      <c r="E91" s="18" cm="1">
        <f t="array" ref="E91">INDEX(GMWA!$A$2:$DA$60,MATCH(1,(GMWA!$DA$2:$DA$60=E$3)*(GMWA!$CZ$2:$CZ$60=E$4),0),$A91-1966)</f>
        <v>-67743.3</v>
      </c>
      <c r="F91" s="18" cm="1">
        <f t="array" ref="F91">INDEX(GMWA!$A$2:$DA$60,MATCH(1,(GMWA!$DA$2:$DA$60=F$3)*(GMWA!$CZ$2:$CZ$60=F$4),0),$A91-1966)</f>
        <v>9387233</v>
      </c>
      <c r="G91" s="18" cm="1">
        <f t="array" ref="G91">INDEX(GMWA!$A$2:$DA$60,MATCH(1,(GMWA!$DA$2:$DA$60=G$3)*(GMWA!$CZ$2:$CZ$60=G$4),0),$A91-1966)</f>
        <v>864127.2</v>
      </c>
      <c r="H91" s="18" cm="1">
        <f t="array" ref="H91">INDEX(GMWA!$A$2:$DA$60,MATCH(1,(GMWA!$DA$2:$DA$60=H$3)*(GMWA!$CZ$2:$CZ$60=H$4),0),$A91-1966)</f>
        <v>112966.3</v>
      </c>
      <c r="I91" s="18" cm="1">
        <f t="array" ref="I91">INDEX(GMWA!$A$2:$DA$60,MATCH(1,(GMWA!$DA$2:$DA$60=I$3)*(GMWA!$CZ$2:$CZ$60=I$4),0),$A91-1966)</f>
        <v>161921.1</v>
      </c>
      <c r="J91" s="18" cm="1">
        <f t="array" ref="J91">INDEX(GMWA!$A$2:$DA$60,MATCH(1,(GMWA!$DA$2:$DA$60=J$3)*(GMWA!$CZ$2:$CZ$60=J$4),0),$A91-1966)</f>
        <v>6197237</v>
      </c>
      <c r="K91" s="18" cm="1">
        <f t="array" ref="K91">INDEX(GMWA!$A$2:$DA$60,MATCH(1,(GMWA!$DA$2:$DA$60=K$3)*(GMWA!$CZ$2:$CZ$60=K$4),0),$A91-1966)</f>
        <v>39179.279999999999</v>
      </c>
      <c r="L91" s="18" cm="1">
        <f t="array" ref="L91">INDEX(GMWA!$A$2:$DA$60,MATCH(1,(GMWA!$DA$2:$DA$60=L$3)*(GMWA!$CZ$2:$CZ$60=L$4),0),$A91-1966)</f>
        <v>31.9268</v>
      </c>
    </row>
    <row r="92" spans="1:12" x14ac:dyDescent="0.25">
      <c r="A92" s="18">
        <f t="shared" si="2"/>
        <v>2058</v>
      </c>
      <c r="B92" s="18" cm="1">
        <f t="array" ref="B92">INDEX(GMWA!$A$2:$DA$60,MATCH(1,(GMWA!$DA$2:$DA$60=B$3)*(GMWA!$CZ$2:$CZ$60=B$4),0),$A92-1966)</f>
        <v>540231.5</v>
      </c>
      <c r="C92" s="18" cm="1">
        <f t="array" ref="C92">INDEX(GMWA!$A$2:$DA$60,MATCH(1,(GMWA!$DA$2:$DA$60=C$3)*(GMWA!$CZ$2:$CZ$60=C$4),0),$A92-1966)</f>
        <v>2142658</v>
      </c>
      <c r="D92" s="18" cm="1">
        <f t="array" ref="D92">INDEX(GMWA!$A$2:$DA$60,MATCH(1,(GMWA!$DA$2:$DA$60=D$3)*(GMWA!$CZ$2:$CZ$60=D$4),0),$A92-1966)</f>
        <v>-52099.09</v>
      </c>
      <c r="E92" s="18" cm="1">
        <f t="array" ref="E92">INDEX(GMWA!$A$2:$DA$60,MATCH(1,(GMWA!$DA$2:$DA$60=E$3)*(GMWA!$CZ$2:$CZ$60=E$4),0),$A92-1966)</f>
        <v>-69773.27</v>
      </c>
      <c r="F92" s="18" cm="1">
        <f t="array" ref="F92">INDEX(GMWA!$A$2:$DA$60,MATCH(1,(GMWA!$DA$2:$DA$60=F$3)*(GMWA!$CZ$2:$CZ$60=F$4),0),$A92-1966)</f>
        <v>9716134</v>
      </c>
      <c r="G92" s="18" cm="1">
        <f t="array" ref="G92">INDEX(GMWA!$A$2:$DA$60,MATCH(1,(GMWA!$DA$2:$DA$60=G$3)*(GMWA!$CZ$2:$CZ$60=G$4),0),$A92-1966)</f>
        <v>879032.4</v>
      </c>
      <c r="H92" s="18" cm="1">
        <f t="array" ref="H92">INDEX(GMWA!$A$2:$DA$60,MATCH(1,(GMWA!$DA$2:$DA$60=H$3)*(GMWA!$CZ$2:$CZ$60=H$4),0),$A92-1966)</f>
        <v>114875.7</v>
      </c>
      <c r="I92" s="18" cm="1">
        <f t="array" ref="I92">INDEX(GMWA!$A$2:$DA$60,MATCH(1,(GMWA!$DA$2:$DA$60=I$3)*(GMWA!$CZ$2:$CZ$60=I$4),0),$A92-1966)</f>
        <v>163990</v>
      </c>
      <c r="J92" s="18" cm="1">
        <f t="array" ref="J92">INDEX(GMWA!$A$2:$DA$60,MATCH(1,(GMWA!$DA$2:$DA$60=J$3)*(GMWA!$CZ$2:$CZ$60=J$4),0),$A92-1966)</f>
        <v>6312266</v>
      </c>
      <c r="K92" s="18" cm="1">
        <f t="array" ref="K92">INDEX(GMWA!$A$2:$DA$60,MATCH(1,(GMWA!$DA$2:$DA$60=K$3)*(GMWA!$CZ$2:$CZ$60=K$4),0),$A92-1966)</f>
        <v>39228.5</v>
      </c>
      <c r="L92" s="18" cm="1">
        <f t="array" ref="L92">INDEX(GMWA!$A$2:$DA$60,MATCH(1,(GMWA!$DA$2:$DA$60=L$3)*(GMWA!$CZ$2:$CZ$60=L$4),0),$A92-1966)</f>
        <v>31.92379</v>
      </c>
    </row>
    <row r="93" spans="1:12" x14ac:dyDescent="0.25">
      <c r="A93" s="18">
        <f t="shared" si="2"/>
        <v>2059</v>
      </c>
      <c r="B93" s="18" cm="1">
        <f t="array" ref="B93">INDEX(GMWA!$A$2:$DA$60,MATCH(1,(GMWA!$DA$2:$DA$60=B$3)*(GMWA!$CZ$2:$CZ$60=B$4),0),$A93-1966)</f>
        <v>550322.5</v>
      </c>
      <c r="C93" s="18" cm="1">
        <f t="array" ref="C93">INDEX(GMWA!$A$2:$DA$60,MATCH(1,(GMWA!$DA$2:$DA$60=C$3)*(GMWA!$CZ$2:$CZ$60=C$4),0),$A93-1966)</f>
        <v>2217627</v>
      </c>
      <c r="D93" s="18" cm="1">
        <f t="array" ref="D93">INDEX(GMWA!$A$2:$DA$60,MATCH(1,(GMWA!$DA$2:$DA$60=D$3)*(GMWA!$CZ$2:$CZ$60=D$4),0),$A93-1966)</f>
        <v>-53612.29</v>
      </c>
      <c r="E93" s="18" cm="1">
        <f t="array" ref="E93">INDEX(GMWA!$A$2:$DA$60,MATCH(1,(GMWA!$DA$2:$DA$60=E$3)*(GMWA!$CZ$2:$CZ$60=E$4),0),$A93-1966)</f>
        <v>-71904.88</v>
      </c>
      <c r="F93" s="18" cm="1">
        <f t="array" ref="F93">INDEX(GMWA!$A$2:$DA$60,MATCH(1,(GMWA!$DA$2:$DA$60=F$3)*(GMWA!$CZ$2:$CZ$60=F$4),0),$A93-1966)</f>
        <v>10056090</v>
      </c>
      <c r="G93" s="18" cm="1">
        <f t="array" ref="G93">INDEX(GMWA!$A$2:$DA$60,MATCH(1,(GMWA!$DA$2:$DA$60=G$3)*(GMWA!$CZ$2:$CZ$60=G$4),0),$A93-1966)</f>
        <v>894157.4</v>
      </c>
      <c r="H93" s="18" cm="1">
        <f t="array" ref="H93">INDEX(GMWA!$A$2:$DA$60,MATCH(1,(GMWA!$DA$2:$DA$60=H$3)*(GMWA!$CZ$2:$CZ$60=H$4),0),$A93-1966)</f>
        <v>116811.9</v>
      </c>
      <c r="I93" s="18" cm="1">
        <f t="array" ref="I93">INDEX(GMWA!$A$2:$DA$60,MATCH(1,(GMWA!$DA$2:$DA$60=I$3)*(GMWA!$CZ$2:$CZ$60=I$4),0),$A93-1966)</f>
        <v>166077.5</v>
      </c>
      <c r="J93" s="18" cm="1">
        <f t="array" ref="J93">INDEX(GMWA!$A$2:$DA$60,MATCH(1,(GMWA!$DA$2:$DA$60=J$3)*(GMWA!$CZ$2:$CZ$60=J$4),0),$A93-1966)</f>
        <v>6429081</v>
      </c>
      <c r="K93" s="18" cm="1">
        <f t="array" ref="K93">INDEX(GMWA!$A$2:$DA$60,MATCH(1,(GMWA!$DA$2:$DA$60=K$3)*(GMWA!$CZ$2:$CZ$60=K$4),0),$A93-1966)</f>
        <v>39277.919999999998</v>
      </c>
      <c r="L93" s="18" cm="1">
        <f t="array" ref="L93">INDEX(GMWA!$A$2:$DA$60,MATCH(1,(GMWA!$DA$2:$DA$60=L$3)*(GMWA!$CZ$2:$CZ$60=L$4),0),$A93-1966)</f>
        <v>31.9208</v>
      </c>
    </row>
    <row r="94" spans="1:12" x14ac:dyDescent="0.25">
      <c r="A94" s="18">
        <f t="shared" si="2"/>
        <v>2060</v>
      </c>
      <c r="B94" s="18" cm="1">
        <f t="array" ref="B94">INDEX(GMWA!$A$2:$DA$60,MATCH(1,(GMWA!$DA$2:$DA$60=B$3)*(GMWA!$CZ$2:$CZ$60=B$4),0),$A94-1966)</f>
        <v>560630.6</v>
      </c>
      <c r="C94" s="18" cm="1">
        <f t="array" ref="C94">INDEX(GMWA!$A$2:$DA$60,MATCH(1,(GMWA!$DA$2:$DA$60=C$3)*(GMWA!$CZ$2:$CZ$60=C$4),0),$A94-1966)</f>
        <v>2295360</v>
      </c>
      <c r="D94" s="18" cm="1">
        <f t="array" ref="D94">INDEX(GMWA!$A$2:$DA$60,MATCH(1,(GMWA!$DA$2:$DA$60=D$3)*(GMWA!$CZ$2:$CZ$60=D$4),0),$A94-1966)</f>
        <v>-55089.63</v>
      </c>
      <c r="E94" s="18" cm="1">
        <f t="array" ref="E94">INDEX(GMWA!$A$2:$DA$60,MATCH(1,(GMWA!$DA$2:$DA$60=E$3)*(GMWA!$CZ$2:$CZ$60=E$4),0),$A94-1966)</f>
        <v>-74023.69</v>
      </c>
      <c r="F94" s="18" cm="1">
        <f t="array" ref="F94">INDEX(GMWA!$A$2:$DA$60,MATCH(1,(GMWA!$DA$2:$DA$60=F$3)*(GMWA!$CZ$2:$CZ$60=F$4),0),$A94-1966)</f>
        <v>10408730</v>
      </c>
      <c r="G94" s="18" cm="1">
        <f t="array" ref="G94">INDEX(GMWA!$A$2:$DA$60,MATCH(1,(GMWA!$DA$2:$DA$60=G$3)*(GMWA!$CZ$2:$CZ$60=G$4),0),$A94-1966)</f>
        <v>909593.59999999998</v>
      </c>
      <c r="H94" s="18" cm="1">
        <f t="array" ref="H94">INDEX(GMWA!$A$2:$DA$60,MATCH(1,(GMWA!$DA$2:$DA$60=H$3)*(GMWA!$CZ$2:$CZ$60=H$4),0),$A94-1966)</f>
        <v>118786.8</v>
      </c>
      <c r="I94" s="18" cm="1">
        <f t="array" ref="I94">INDEX(GMWA!$A$2:$DA$60,MATCH(1,(GMWA!$DA$2:$DA$60=I$3)*(GMWA!$CZ$2:$CZ$60=I$4),0),$A94-1966)</f>
        <v>168200.3</v>
      </c>
      <c r="J94" s="18" cm="1">
        <f t="array" ref="J94">INDEX(GMWA!$A$2:$DA$60,MATCH(1,(GMWA!$DA$2:$DA$60=J$3)*(GMWA!$CZ$2:$CZ$60=J$4),0),$A94-1966)</f>
        <v>6547778</v>
      </c>
      <c r="K94" s="18" cm="1">
        <f t="array" ref="K94">INDEX(GMWA!$A$2:$DA$60,MATCH(1,(GMWA!$DA$2:$DA$60=K$3)*(GMWA!$CZ$2:$CZ$60=K$4),0),$A94-1966)</f>
        <v>39333.339999999997</v>
      </c>
      <c r="L94" s="18" cm="1">
        <f t="array" ref="L94">INDEX(GMWA!$A$2:$DA$60,MATCH(1,(GMWA!$DA$2:$DA$60=L$3)*(GMWA!$CZ$2:$CZ$60=L$4),0),$A94-1966)</f>
        <v>31.9178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481D-7DF8-4520-811C-A91AE6E6E602}">
  <sheetPr codeName="Sheet15"/>
  <dimension ref="A1:NF42"/>
  <sheetViews>
    <sheetView workbookViewId="0">
      <pane xSplit="6" ySplit="1" topLeftCell="MW2" activePane="bottomRight" state="frozen"/>
      <selection pane="topRight" activeCell="G1" sqref="G1"/>
      <selection pane="bottomLeft" activeCell="A2" sqref="A2"/>
      <selection pane="bottomRight" activeCell="MX19" sqref="MX19"/>
    </sheetView>
  </sheetViews>
  <sheetFormatPr defaultColWidth="9.140625" defaultRowHeight="15" x14ac:dyDescent="0.25"/>
  <cols>
    <col min="1" max="1" width="15.7109375" style="12" customWidth="1"/>
    <col min="2" max="3" width="20.7109375" style="12" customWidth="1"/>
    <col min="4" max="5" width="10.7109375" style="12" customWidth="1"/>
    <col min="6" max="6" width="15.7109375" style="12" customWidth="1"/>
    <col min="7" max="359" width="10.7109375" style="12" customWidth="1"/>
    <col min="360" max="360" width="20.7109375" style="12" customWidth="1"/>
    <col min="361" max="362" width="15.7109375" style="12" customWidth="1"/>
    <col min="363" max="364" width="20.7109375" style="12" customWidth="1"/>
    <col min="365" max="365" width="18.7109375" style="12" customWidth="1"/>
    <col min="366" max="367" width="22.7109375" style="12" customWidth="1"/>
    <col min="368" max="368" width="13.7109375" style="12" customWidth="1"/>
    <col min="369" max="369" width="14.7109375" style="12" customWidth="1"/>
    <col min="370" max="370" width="10.7109375" style="12" customWidth="1"/>
    <col min="371" max="16384" width="9.140625" style="12"/>
  </cols>
  <sheetData>
    <row r="1" spans="1:370" ht="30" x14ac:dyDescent="0.25">
      <c r="A1" s="14" t="s">
        <v>243</v>
      </c>
      <c r="B1" s="14" t="s">
        <v>244</v>
      </c>
      <c r="C1" s="14" t="s">
        <v>245</v>
      </c>
      <c r="D1" s="14" t="s">
        <v>246</v>
      </c>
      <c r="E1" s="14" t="s">
        <v>247</v>
      </c>
      <c r="F1" s="14" t="s">
        <v>248</v>
      </c>
      <c r="G1" s="14" t="s">
        <v>249</v>
      </c>
      <c r="H1" s="14" t="s">
        <v>250</v>
      </c>
      <c r="I1" s="14" t="s">
        <v>251</v>
      </c>
      <c r="J1" s="14" t="s">
        <v>252</v>
      </c>
      <c r="K1" s="14" t="s">
        <v>253</v>
      </c>
      <c r="L1" s="14" t="s">
        <v>254</v>
      </c>
      <c r="M1" s="14" t="s">
        <v>255</v>
      </c>
      <c r="N1" s="14" t="s">
        <v>256</v>
      </c>
      <c r="O1" s="14" t="s">
        <v>257</v>
      </c>
      <c r="P1" s="14" t="s">
        <v>258</v>
      </c>
      <c r="Q1" s="14" t="s">
        <v>259</v>
      </c>
      <c r="R1" s="14" t="s">
        <v>260</v>
      </c>
      <c r="S1" s="14" t="s">
        <v>261</v>
      </c>
      <c r="T1" s="14" t="s">
        <v>262</v>
      </c>
      <c r="U1" s="14" t="s">
        <v>263</v>
      </c>
      <c r="V1" s="14" t="s">
        <v>264</v>
      </c>
      <c r="W1" s="14" t="s">
        <v>265</v>
      </c>
      <c r="X1" s="14" t="s">
        <v>266</v>
      </c>
      <c r="Y1" s="14" t="s">
        <v>267</v>
      </c>
      <c r="Z1" s="14" t="s">
        <v>268</v>
      </c>
      <c r="AA1" s="14" t="s">
        <v>269</v>
      </c>
      <c r="AB1" s="14" t="s">
        <v>270</v>
      </c>
      <c r="AC1" s="14" t="s">
        <v>271</v>
      </c>
      <c r="AD1" s="14" t="s">
        <v>272</v>
      </c>
      <c r="AE1" s="14" t="s">
        <v>273</v>
      </c>
      <c r="AF1" s="14" t="s">
        <v>274</v>
      </c>
      <c r="AG1" s="14" t="s">
        <v>275</v>
      </c>
      <c r="AH1" s="14" t="s">
        <v>276</v>
      </c>
      <c r="AI1" s="14" t="s">
        <v>277</v>
      </c>
      <c r="AJ1" s="14" t="s">
        <v>278</v>
      </c>
      <c r="AK1" s="14" t="s">
        <v>279</v>
      </c>
      <c r="AL1" s="14" t="s">
        <v>280</v>
      </c>
      <c r="AM1" s="14" t="s">
        <v>281</v>
      </c>
      <c r="AN1" s="14" t="s">
        <v>282</v>
      </c>
      <c r="AO1" s="14" t="s">
        <v>283</v>
      </c>
      <c r="AP1" s="14" t="s">
        <v>284</v>
      </c>
      <c r="AQ1" s="14" t="s">
        <v>285</v>
      </c>
      <c r="AR1" s="14" t="s">
        <v>286</v>
      </c>
      <c r="AS1" s="14" t="s">
        <v>287</v>
      </c>
      <c r="AT1" s="14" t="s">
        <v>288</v>
      </c>
      <c r="AU1" s="14" t="s">
        <v>289</v>
      </c>
      <c r="AV1" s="14" t="s">
        <v>290</v>
      </c>
      <c r="AW1" s="14" t="s">
        <v>291</v>
      </c>
      <c r="AX1" s="14" t="s">
        <v>292</v>
      </c>
      <c r="AY1" s="14" t="s">
        <v>293</v>
      </c>
      <c r="AZ1" s="14" t="s">
        <v>294</v>
      </c>
      <c r="BA1" s="14" t="s">
        <v>295</v>
      </c>
      <c r="BB1" s="14" t="s">
        <v>296</v>
      </c>
      <c r="BC1" s="14" t="s">
        <v>297</v>
      </c>
      <c r="BD1" s="14" t="s">
        <v>298</v>
      </c>
      <c r="BE1" s="14" t="s">
        <v>299</v>
      </c>
      <c r="BF1" s="14" t="s">
        <v>300</v>
      </c>
      <c r="BG1" s="14" t="s">
        <v>301</v>
      </c>
      <c r="BH1" s="14" t="s">
        <v>302</v>
      </c>
      <c r="BI1" s="14" t="s">
        <v>303</v>
      </c>
      <c r="BJ1" s="14" t="s">
        <v>304</v>
      </c>
      <c r="BK1" s="14" t="s">
        <v>305</v>
      </c>
      <c r="BL1" s="14" t="s">
        <v>306</v>
      </c>
      <c r="BM1" s="14" t="s">
        <v>307</v>
      </c>
      <c r="BN1" s="14" t="s">
        <v>308</v>
      </c>
      <c r="BO1" s="14" t="s">
        <v>309</v>
      </c>
      <c r="BP1" s="14" t="s">
        <v>310</v>
      </c>
      <c r="BQ1" s="14" t="s">
        <v>311</v>
      </c>
      <c r="BR1" s="14" t="s">
        <v>312</v>
      </c>
      <c r="BS1" s="14" t="s">
        <v>313</v>
      </c>
      <c r="BT1" s="14" t="s">
        <v>314</v>
      </c>
      <c r="BU1" s="14" t="s">
        <v>315</v>
      </c>
      <c r="BV1" s="14" t="s">
        <v>316</v>
      </c>
      <c r="BW1" s="14" t="s">
        <v>317</v>
      </c>
      <c r="BX1" s="14" t="s">
        <v>318</v>
      </c>
      <c r="BY1" s="14" t="s">
        <v>319</v>
      </c>
      <c r="BZ1" s="14" t="s">
        <v>320</v>
      </c>
      <c r="CA1" s="14" t="s">
        <v>321</v>
      </c>
      <c r="CB1" s="14" t="s">
        <v>322</v>
      </c>
      <c r="CC1" s="14" t="s">
        <v>323</v>
      </c>
      <c r="CD1" s="14" t="s">
        <v>324</v>
      </c>
      <c r="CE1" s="14" t="s">
        <v>325</v>
      </c>
      <c r="CF1" s="14" t="s">
        <v>326</v>
      </c>
      <c r="CG1" s="14" t="s">
        <v>327</v>
      </c>
      <c r="CH1" s="14" t="s">
        <v>328</v>
      </c>
      <c r="CI1" s="14" t="s">
        <v>329</v>
      </c>
      <c r="CJ1" s="14" t="s">
        <v>330</v>
      </c>
      <c r="CK1" s="14" t="s">
        <v>331</v>
      </c>
      <c r="CL1" s="14" t="s">
        <v>332</v>
      </c>
      <c r="CM1" s="14" t="s">
        <v>333</v>
      </c>
      <c r="CN1" s="14" t="s">
        <v>334</v>
      </c>
      <c r="CO1" s="14" t="s">
        <v>335</v>
      </c>
      <c r="CP1" s="14" t="s">
        <v>336</v>
      </c>
      <c r="CQ1" s="14" t="s">
        <v>337</v>
      </c>
      <c r="CR1" s="14" t="s">
        <v>338</v>
      </c>
      <c r="CS1" s="14" t="s">
        <v>339</v>
      </c>
      <c r="CT1" s="14" t="s">
        <v>340</v>
      </c>
      <c r="CU1" s="14" t="s">
        <v>341</v>
      </c>
      <c r="CV1" s="14" t="s">
        <v>342</v>
      </c>
      <c r="CW1" s="14" t="s">
        <v>343</v>
      </c>
      <c r="CX1" s="14" t="s">
        <v>344</v>
      </c>
      <c r="CY1" s="14" t="s">
        <v>116</v>
      </c>
      <c r="CZ1" s="14" t="s">
        <v>117</v>
      </c>
      <c r="DA1" s="14" t="s">
        <v>118</v>
      </c>
      <c r="DB1" s="14" t="s">
        <v>119</v>
      </c>
      <c r="DC1" s="14" t="s">
        <v>120</v>
      </c>
      <c r="DD1" s="14" t="s">
        <v>121</v>
      </c>
      <c r="DE1" s="14" t="s">
        <v>122</v>
      </c>
      <c r="DF1" s="14" t="s">
        <v>123</v>
      </c>
      <c r="DG1" s="14" t="s">
        <v>124</v>
      </c>
      <c r="DH1" s="14" t="s">
        <v>125</v>
      </c>
      <c r="DI1" s="14" t="s">
        <v>126</v>
      </c>
      <c r="DJ1" s="14" t="s">
        <v>127</v>
      </c>
      <c r="DK1" s="14" t="s">
        <v>128</v>
      </c>
      <c r="DL1" s="14" t="s">
        <v>129</v>
      </c>
      <c r="DM1" s="14" t="s">
        <v>130</v>
      </c>
      <c r="DN1" s="14" t="s">
        <v>131</v>
      </c>
      <c r="DO1" s="14" t="s">
        <v>132</v>
      </c>
      <c r="DP1" s="14" t="s">
        <v>133</v>
      </c>
      <c r="DQ1" s="14" t="s">
        <v>134</v>
      </c>
      <c r="DR1" s="14" t="s">
        <v>135</v>
      </c>
      <c r="DS1" s="14" t="s">
        <v>136</v>
      </c>
      <c r="DT1" s="14" t="s">
        <v>137</v>
      </c>
      <c r="DU1" s="14" t="s">
        <v>138</v>
      </c>
      <c r="DV1" s="14" t="s">
        <v>139</v>
      </c>
      <c r="DW1" s="14" t="s">
        <v>140</v>
      </c>
      <c r="DX1" s="14" t="s">
        <v>141</v>
      </c>
      <c r="DY1" s="14" t="s">
        <v>142</v>
      </c>
      <c r="DZ1" s="14" t="s">
        <v>143</v>
      </c>
      <c r="EA1" s="14" t="s">
        <v>144</v>
      </c>
      <c r="EB1" s="14" t="s">
        <v>145</v>
      </c>
      <c r="EC1" s="14" t="s">
        <v>146</v>
      </c>
      <c r="ED1" s="14" t="s">
        <v>147</v>
      </c>
      <c r="EE1" s="14" t="s">
        <v>148</v>
      </c>
      <c r="EF1" s="14" t="s">
        <v>149</v>
      </c>
      <c r="EG1" s="14" t="s">
        <v>150</v>
      </c>
      <c r="EH1" s="14" t="s">
        <v>151</v>
      </c>
      <c r="EI1" s="14" t="s">
        <v>152</v>
      </c>
      <c r="EJ1" s="14" t="s">
        <v>153</v>
      </c>
      <c r="EK1" s="14" t="s">
        <v>154</v>
      </c>
      <c r="EL1" s="14" t="s">
        <v>155</v>
      </c>
      <c r="EM1" s="14" t="s">
        <v>156</v>
      </c>
      <c r="EN1" s="14" t="s">
        <v>157</v>
      </c>
      <c r="EO1" s="14" t="s">
        <v>158</v>
      </c>
      <c r="EP1" s="14" t="s">
        <v>159</v>
      </c>
      <c r="EQ1" s="14" t="s">
        <v>160</v>
      </c>
      <c r="ER1" s="14" t="s">
        <v>161</v>
      </c>
      <c r="ES1" s="14" t="s">
        <v>162</v>
      </c>
      <c r="ET1" s="14" t="s">
        <v>163</v>
      </c>
      <c r="EU1" s="14" t="s">
        <v>164</v>
      </c>
      <c r="EV1" s="14" t="s">
        <v>165</v>
      </c>
      <c r="EW1" s="14" t="s">
        <v>166</v>
      </c>
      <c r="EX1" s="14" t="s">
        <v>167</v>
      </c>
      <c r="EY1" s="14" t="s">
        <v>168</v>
      </c>
      <c r="EZ1" s="14" t="s">
        <v>169</v>
      </c>
      <c r="FA1" s="14" t="s">
        <v>170</v>
      </c>
      <c r="FB1" s="14" t="s">
        <v>171</v>
      </c>
      <c r="FC1" s="14" t="s">
        <v>172</v>
      </c>
      <c r="FD1" s="14" t="s">
        <v>173</v>
      </c>
      <c r="FE1" s="14" t="s">
        <v>174</v>
      </c>
      <c r="FF1" s="14" t="s">
        <v>175</v>
      </c>
      <c r="FG1" s="14" t="s">
        <v>176</v>
      </c>
      <c r="FH1" s="14" t="s">
        <v>177</v>
      </c>
      <c r="FI1" s="14" t="s">
        <v>178</v>
      </c>
      <c r="FJ1" s="14" t="s">
        <v>179</v>
      </c>
      <c r="FK1" s="14" t="s">
        <v>180</v>
      </c>
      <c r="FL1" s="14" t="s">
        <v>181</v>
      </c>
      <c r="FM1" s="14" t="s">
        <v>182</v>
      </c>
      <c r="FN1" s="14" t="s">
        <v>183</v>
      </c>
      <c r="FO1" s="14" t="s">
        <v>184</v>
      </c>
      <c r="FP1" s="14" t="s">
        <v>185</v>
      </c>
      <c r="FQ1" s="14" t="s">
        <v>186</v>
      </c>
      <c r="FR1" s="14" t="s">
        <v>187</v>
      </c>
      <c r="FS1" s="14" t="s">
        <v>188</v>
      </c>
      <c r="FT1" s="14" t="s">
        <v>189</v>
      </c>
      <c r="FU1" s="14" t="s">
        <v>190</v>
      </c>
      <c r="FV1" s="14" t="s">
        <v>191</v>
      </c>
      <c r="FW1" s="14" t="s">
        <v>192</v>
      </c>
      <c r="FX1" s="14" t="s">
        <v>193</v>
      </c>
      <c r="FY1" s="14" t="s">
        <v>194</v>
      </c>
      <c r="FZ1" s="14" t="s">
        <v>195</v>
      </c>
      <c r="GA1" s="14" t="s">
        <v>196</v>
      </c>
      <c r="GB1" s="14" t="s">
        <v>197</v>
      </c>
      <c r="GC1" s="14" t="s">
        <v>198</v>
      </c>
      <c r="GD1" s="14" t="s">
        <v>199</v>
      </c>
      <c r="GE1" s="14" t="s">
        <v>200</v>
      </c>
      <c r="GF1" s="14" t="s">
        <v>201</v>
      </c>
      <c r="GG1" s="14" t="s">
        <v>202</v>
      </c>
      <c r="GH1" s="14" t="s">
        <v>203</v>
      </c>
      <c r="GI1" s="14" t="s">
        <v>204</v>
      </c>
      <c r="GJ1" s="14" t="s">
        <v>205</v>
      </c>
      <c r="GK1" s="14" t="s">
        <v>206</v>
      </c>
      <c r="GL1" s="14" t="s">
        <v>207</v>
      </c>
      <c r="GM1" s="14" t="s">
        <v>208</v>
      </c>
      <c r="GN1" s="14" t="s">
        <v>209</v>
      </c>
      <c r="GO1" s="14" t="s">
        <v>210</v>
      </c>
      <c r="GP1" s="14" t="s">
        <v>211</v>
      </c>
      <c r="GQ1" s="14" t="s">
        <v>212</v>
      </c>
      <c r="GR1" s="14" t="s">
        <v>213</v>
      </c>
      <c r="GS1" s="14" t="s">
        <v>214</v>
      </c>
      <c r="GT1" s="14" t="s">
        <v>215</v>
      </c>
      <c r="GU1" s="14" t="s">
        <v>345</v>
      </c>
      <c r="GV1" s="14" t="s">
        <v>346</v>
      </c>
      <c r="GW1" s="14" t="s">
        <v>347</v>
      </c>
      <c r="GX1" s="14" t="s">
        <v>348</v>
      </c>
      <c r="GY1" s="14" t="s">
        <v>349</v>
      </c>
      <c r="GZ1" s="14" t="s">
        <v>350</v>
      </c>
      <c r="HA1" s="14" t="s">
        <v>351</v>
      </c>
      <c r="HB1" s="14" t="s">
        <v>352</v>
      </c>
      <c r="HC1" s="14" t="s">
        <v>353</v>
      </c>
      <c r="HD1" s="14" t="s">
        <v>354</v>
      </c>
      <c r="HE1" s="14" t="s">
        <v>355</v>
      </c>
      <c r="HF1" s="14" t="s">
        <v>356</v>
      </c>
      <c r="HG1" s="14" t="s">
        <v>357</v>
      </c>
      <c r="HH1" s="14" t="s">
        <v>358</v>
      </c>
      <c r="HI1" s="14" t="s">
        <v>359</v>
      </c>
      <c r="HJ1" s="14" t="s">
        <v>360</v>
      </c>
      <c r="HK1" s="14" t="s">
        <v>361</v>
      </c>
      <c r="HL1" s="14" t="s">
        <v>362</v>
      </c>
      <c r="HM1" s="14" t="s">
        <v>363</v>
      </c>
      <c r="HN1" s="14" t="s">
        <v>364</v>
      </c>
      <c r="HO1" s="14" t="s">
        <v>365</v>
      </c>
      <c r="HP1" s="14" t="s">
        <v>366</v>
      </c>
      <c r="HQ1" s="14" t="s">
        <v>367</v>
      </c>
      <c r="HR1" s="14" t="s">
        <v>368</v>
      </c>
      <c r="HS1" s="14" t="s">
        <v>369</v>
      </c>
      <c r="HT1" s="14" t="s">
        <v>370</v>
      </c>
      <c r="HU1" s="14" t="s">
        <v>371</v>
      </c>
      <c r="HV1" s="14" t="s">
        <v>372</v>
      </c>
      <c r="HW1" s="14" t="s">
        <v>373</v>
      </c>
      <c r="HX1" s="14" t="s">
        <v>374</v>
      </c>
      <c r="HY1" s="14" t="s">
        <v>375</v>
      </c>
      <c r="HZ1" s="14" t="s">
        <v>376</v>
      </c>
      <c r="IA1" s="14" t="s">
        <v>377</v>
      </c>
      <c r="IB1" s="14" t="s">
        <v>378</v>
      </c>
      <c r="IC1" s="14" t="s">
        <v>379</v>
      </c>
      <c r="ID1" s="14" t="s">
        <v>380</v>
      </c>
      <c r="IE1" s="14" t="s">
        <v>381</v>
      </c>
      <c r="IF1" s="14" t="s">
        <v>382</v>
      </c>
      <c r="IG1" s="14" t="s">
        <v>383</v>
      </c>
      <c r="IH1" s="14" t="s">
        <v>384</v>
      </c>
      <c r="II1" s="14" t="s">
        <v>385</v>
      </c>
      <c r="IJ1" s="14" t="s">
        <v>386</v>
      </c>
      <c r="IK1" s="14" t="s">
        <v>387</v>
      </c>
      <c r="IL1" s="14" t="s">
        <v>388</v>
      </c>
      <c r="IM1" s="14" t="s">
        <v>389</v>
      </c>
      <c r="IN1" s="14" t="s">
        <v>390</v>
      </c>
      <c r="IO1" s="14" t="s">
        <v>391</v>
      </c>
      <c r="IP1" s="14" t="s">
        <v>392</v>
      </c>
      <c r="IQ1" s="14" t="s">
        <v>393</v>
      </c>
      <c r="IR1" s="14" t="s">
        <v>394</v>
      </c>
      <c r="IS1" s="14" t="s">
        <v>395</v>
      </c>
      <c r="IT1" s="14" t="s">
        <v>396</v>
      </c>
      <c r="IU1" s="14" t="s">
        <v>397</v>
      </c>
      <c r="IV1" s="14" t="s">
        <v>398</v>
      </c>
      <c r="IW1" s="14" t="s">
        <v>399</v>
      </c>
      <c r="IX1" s="14" t="s">
        <v>400</v>
      </c>
      <c r="IY1" s="14" t="s">
        <v>401</v>
      </c>
      <c r="IZ1" s="14" t="s">
        <v>402</v>
      </c>
      <c r="JA1" s="14" t="s">
        <v>403</v>
      </c>
      <c r="JB1" s="14" t="s">
        <v>404</v>
      </c>
      <c r="JC1" s="14" t="s">
        <v>405</v>
      </c>
      <c r="JD1" s="14" t="s">
        <v>406</v>
      </c>
      <c r="JE1" s="14" t="s">
        <v>407</v>
      </c>
      <c r="JF1" s="14" t="s">
        <v>408</v>
      </c>
      <c r="JG1" s="14" t="s">
        <v>409</v>
      </c>
      <c r="JH1" s="14" t="s">
        <v>410</v>
      </c>
      <c r="JI1" s="14" t="s">
        <v>411</v>
      </c>
      <c r="JJ1" s="14" t="s">
        <v>412</v>
      </c>
      <c r="JK1" s="14" t="s">
        <v>413</v>
      </c>
      <c r="JL1" s="14" t="s">
        <v>414</v>
      </c>
      <c r="JM1" s="14" t="s">
        <v>415</v>
      </c>
      <c r="JN1" s="14" t="s">
        <v>416</v>
      </c>
      <c r="JO1" s="14" t="s">
        <v>417</v>
      </c>
      <c r="JP1" s="14" t="s">
        <v>418</v>
      </c>
      <c r="JQ1" s="14" t="s">
        <v>419</v>
      </c>
      <c r="JR1" s="14" t="s">
        <v>420</v>
      </c>
      <c r="JS1" s="14" t="s">
        <v>421</v>
      </c>
      <c r="JT1" s="14" t="s">
        <v>422</v>
      </c>
      <c r="JU1" s="14" t="s">
        <v>423</v>
      </c>
      <c r="JV1" s="14" t="s">
        <v>424</v>
      </c>
      <c r="JW1" s="14" t="s">
        <v>425</v>
      </c>
      <c r="JX1" s="14" t="s">
        <v>426</v>
      </c>
      <c r="JY1" s="14" t="s">
        <v>427</v>
      </c>
      <c r="JZ1" s="14" t="s">
        <v>428</v>
      </c>
      <c r="KA1" s="14" t="s">
        <v>429</v>
      </c>
      <c r="KB1" s="14" t="s">
        <v>430</v>
      </c>
      <c r="KC1" s="14" t="s">
        <v>431</v>
      </c>
      <c r="KD1" s="14" t="s">
        <v>432</v>
      </c>
      <c r="KE1" s="14" t="s">
        <v>433</v>
      </c>
      <c r="KF1" s="14" t="s">
        <v>434</v>
      </c>
      <c r="KG1" s="14" t="s">
        <v>435</v>
      </c>
      <c r="KH1" s="14" t="s">
        <v>436</v>
      </c>
      <c r="KI1" s="14" t="s">
        <v>437</v>
      </c>
      <c r="KJ1" s="14" t="s">
        <v>438</v>
      </c>
      <c r="KK1" s="14" t="s">
        <v>439</v>
      </c>
      <c r="KL1" s="14" t="s">
        <v>440</v>
      </c>
      <c r="KM1" s="14" t="s">
        <v>441</v>
      </c>
      <c r="KN1" s="14" t="s">
        <v>442</v>
      </c>
      <c r="KO1" s="14" t="s">
        <v>443</v>
      </c>
      <c r="KP1" s="14" t="s">
        <v>444</v>
      </c>
      <c r="KQ1" s="14" t="s">
        <v>445</v>
      </c>
      <c r="KR1" s="14" t="s">
        <v>446</v>
      </c>
      <c r="KS1" s="14" t="s">
        <v>447</v>
      </c>
      <c r="KT1" s="14" t="s">
        <v>448</v>
      </c>
      <c r="KU1" s="14" t="s">
        <v>449</v>
      </c>
      <c r="KV1" s="14" t="s">
        <v>450</v>
      </c>
      <c r="KW1" s="14" t="s">
        <v>451</v>
      </c>
      <c r="KX1" s="14" t="s">
        <v>452</v>
      </c>
      <c r="KY1" s="14" t="s">
        <v>453</v>
      </c>
      <c r="KZ1" s="14" t="s">
        <v>454</v>
      </c>
      <c r="LA1" s="14" t="s">
        <v>455</v>
      </c>
      <c r="LB1" s="14" t="s">
        <v>456</v>
      </c>
      <c r="LC1" s="14" t="s">
        <v>457</v>
      </c>
      <c r="LD1" s="14" t="s">
        <v>458</v>
      </c>
      <c r="LE1" s="14" t="s">
        <v>459</v>
      </c>
      <c r="LF1" s="14" t="s">
        <v>460</v>
      </c>
      <c r="LG1" s="14" t="s">
        <v>1185</v>
      </c>
      <c r="LH1" s="14" t="s">
        <v>1186</v>
      </c>
      <c r="LI1" s="14" t="s">
        <v>1187</v>
      </c>
      <c r="LJ1" s="14" t="s">
        <v>1188</v>
      </c>
      <c r="LK1" s="14" t="s">
        <v>1189</v>
      </c>
      <c r="LL1" s="14" t="s">
        <v>1190</v>
      </c>
      <c r="LM1" s="14" t="s">
        <v>1191</v>
      </c>
      <c r="LN1" s="14" t="s">
        <v>1192</v>
      </c>
      <c r="LO1" s="14" t="s">
        <v>1193</v>
      </c>
      <c r="LP1" s="14" t="s">
        <v>1194</v>
      </c>
      <c r="LQ1" s="14" t="s">
        <v>1195</v>
      </c>
      <c r="LR1" s="14" t="s">
        <v>1196</v>
      </c>
      <c r="LS1" s="14" t="s">
        <v>1197</v>
      </c>
      <c r="LT1" s="14" t="s">
        <v>1198</v>
      </c>
      <c r="LU1" s="14" t="s">
        <v>1199</v>
      </c>
      <c r="LV1" s="14" t="s">
        <v>1200</v>
      </c>
      <c r="LW1" s="14" t="s">
        <v>1201</v>
      </c>
      <c r="LX1" s="14" t="s">
        <v>1202</v>
      </c>
      <c r="LY1" s="14" t="s">
        <v>1203</v>
      </c>
      <c r="LZ1" s="14" t="s">
        <v>1204</v>
      </c>
      <c r="MA1" s="14" t="s">
        <v>1205</v>
      </c>
      <c r="MB1" s="14" t="s">
        <v>1206</v>
      </c>
      <c r="MC1" s="14" t="s">
        <v>1207</v>
      </c>
      <c r="MD1" s="14" t="s">
        <v>1208</v>
      </c>
      <c r="ME1" s="14" t="s">
        <v>1209</v>
      </c>
      <c r="MF1" s="14" t="s">
        <v>1210</v>
      </c>
      <c r="MG1" s="14" t="s">
        <v>1211</v>
      </c>
      <c r="MH1" s="14" t="s">
        <v>1212</v>
      </c>
      <c r="MI1" s="14" t="s">
        <v>1213</v>
      </c>
      <c r="MJ1" s="14" t="s">
        <v>1214</v>
      </c>
      <c r="MK1" s="14" t="s">
        <v>1215</v>
      </c>
      <c r="ML1" s="14" t="s">
        <v>1216</v>
      </c>
      <c r="MM1" s="14" t="s">
        <v>1217</v>
      </c>
      <c r="MN1" s="14" t="s">
        <v>1218</v>
      </c>
      <c r="MO1" s="14" t="s">
        <v>1219</v>
      </c>
      <c r="MP1" s="14" t="s">
        <v>1220</v>
      </c>
      <c r="MQ1" s="14" t="s">
        <v>1221</v>
      </c>
      <c r="MR1" s="14" t="s">
        <v>1222</v>
      </c>
      <c r="MS1" s="14" t="s">
        <v>1223</v>
      </c>
      <c r="MT1" s="14" t="s">
        <v>1224</v>
      </c>
      <c r="MU1" s="14" t="s">
        <v>461</v>
      </c>
      <c r="MV1" s="14" t="s">
        <v>462</v>
      </c>
      <c r="MW1" s="14" t="s">
        <v>463</v>
      </c>
      <c r="MX1" s="14" t="s">
        <v>464</v>
      </c>
      <c r="MY1" s="14" t="s">
        <v>465</v>
      </c>
      <c r="MZ1" s="14" t="s">
        <v>466</v>
      </c>
      <c r="NA1" s="14" t="s">
        <v>467</v>
      </c>
      <c r="NB1" s="14" t="s">
        <v>468</v>
      </c>
      <c r="NC1" s="14" t="s">
        <v>469</v>
      </c>
      <c r="ND1" s="14" t="s">
        <v>470</v>
      </c>
      <c r="NE1" s="14" t="s">
        <v>471</v>
      </c>
      <c r="NF1" s="14" t="s">
        <v>472</v>
      </c>
    </row>
    <row r="2" spans="1:370" x14ac:dyDescent="0.25">
      <c r="A2" s="13" t="s">
        <v>473</v>
      </c>
      <c r="B2" s="13" t="s">
        <v>474</v>
      </c>
      <c r="C2" s="15" t="s">
        <v>1267</v>
      </c>
      <c r="D2" s="13" t="s">
        <v>475</v>
      </c>
      <c r="E2" s="13" t="s">
        <v>476</v>
      </c>
      <c r="F2" s="13" t="s">
        <v>477</v>
      </c>
      <c r="G2" s="16">
        <v>16141.32</v>
      </c>
      <c r="H2" s="16">
        <v>15761.6</v>
      </c>
      <c r="I2" s="16">
        <v>15887.1</v>
      </c>
      <c r="J2" s="16">
        <v>16340.84</v>
      </c>
      <c r="K2" s="16">
        <v>16527.48</v>
      </c>
      <c r="L2" s="16">
        <v>17109.93</v>
      </c>
      <c r="M2" s="16">
        <v>16784.919999999998</v>
      </c>
      <c r="N2" s="16">
        <v>17497.7</v>
      </c>
      <c r="O2" s="16">
        <v>16895.939999999999</v>
      </c>
      <c r="P2" s="16">
        <v>16410.02</v>
      </c>
      <c r="Q2" s="16">
        <v>17291.75</v>
      </c>
      <c r="R2" s="16">
        <v>16514.61</v>
      </c>
      <c r="S2" s="16">
        <v>16797.79</v>
      </c>
      <c r="T2" s="16">
        <v>17249.91</v>
      </c>
      <c r="U2" s="16">
        <v>17314.27</v>
      </c>
      <c r="V2" s="16">
        <v>17288.53</v>
      </c>
      <c r="W2" s="16">
        <v>16509.78</v>
      </c>
      <c r="X2" s="16">
        <v>17850.060000000001</v>
      </c>
      <c r="Y2" s="16">
        <v>17277.27</v>
      </c>
      <c r="Z2" s="16">
        <v>17983.61</v>
      </c>
      <c r="AA2" s="16">
        <v>18171.86</v>
      </c>
      <c r="AB2" s="16">
        <v>18430.91</v>
      </c>
      <c r="AC2" s="16">
        <v>17861.330000000002</v>
      </c>
      <c r="AD2" s="16">
        <v>17591.02</v>
      </c>
      <c r="AE2" s="16">
        <v>18372.98</v>
      </c>
      <c r="AF2" s="16">
        <v>18646.509999999998</v>
      </c>
      <c r="AG2" s="16">
        <v>18905.560000000001</v>
      </c>
      <c r="AH2" s="16">
        <v>18569.28</v>
      </c>
      <c r="AI2" s="16">
        <v>18319.89</v>
      </c>
      <c r="AJ2" s="16">
        <v>18007.75</v>
      </c>
      <c r="AK2" s="16">
        <v>17697.21</v>
      </c>
      <c r="AL2" s="16">
        <v>17259.57</v>
      </c>
      <c r="AM2" s="16">
        <v>16474.38</v>
      </c>
      <c r="AN2" s="16">
        <v>16442.2</v>
      </c>
      <c r="AO2" s="16">
        <v>16635.28</v>
      </c>
      <c r="AP2" s="16">
        <v>16595.060000000001</v>
      </c>
      <c r="AQ2" s="16">
        <v>16825.14</v>
      </c>
      <c r="AR2" s="16">
        <v>16926.509999999998</v>
      </c>
      <c r="AS2" s="16">
        <v>17586.189999999999</v>
      </c>
      <c r="AT2" s="16">
        <v>17439.77</v>
      </c>
      <c r="AU2" s="16">
        <v>17069.71</v>
      </c>
      <c r="AV2" s="16">
        <v>17183.95</v>
      </c>
      <c r="AW2" s="16">
        <v>17130.849999999999</v>
      </c>
      <c r="AX2" s="16">
        <v>18360.11</v>
      </c>
      <c r="AY2" s="16">
        <v>18355.29</v>
      </c>
      <c r="AZ2" s="16">
        <v>19235.400000000001</v>
      </c>
      <c r="BA2" s="16">
        <v>19655.34</v>
      </c>
      <c r="BB2" s="16">
        <v>20369.73</v>
      </c>
      <c r="BC2" s="16">
        <v>22601.39</v>
      </c>
      <c r="BD2" s="16">
        <v>20033.46</v>
      </c>
      <c r="BE2" s="16">
        <v>20541.89</v>
      </c>
      <c r="BF2" s="16">
        <v>20672.22</v>
      </c>
      <c r="BG2" s="16">
        <v>20701.18</v>
      </c>
      <c r="BH2" s="16">
        <v>19684.310000000001</v>
      </c>
      <c r="BI2" s="16">
        <v>20858.86</v>
      </c>
      <c r="BJ2" s="16">
        <v>21504.07</v>
      </c>
      <c r="BK2" s="16">
        <v>20059.2</v>
      </c>
      <c r="BL2" s="16">
        <v>20730.150000000001</v>
      </c>
      <c r="BM2" s="16">
        <v>22463.02</v>
      </c>
      <c r="BN2" s="16">
        <v>23907.89</v>
      </c>
      <c r="BO2" s="16">
        <v>24942.46</v>
      </c>
      <c r="BP2" s="16">
        <v>26202.3</v>
      </c>
      <c r="BQ2" s="16">
        <v>27618.21</v>
      </c>
      <c r="BR2" s="16">
        <v>28400.17</v>
      </c>
      <c r="BS2" s="16">
        <v>29542.55</v>
      </c>
      <c r="BT2" s="16">
        <v>29964.1</v>
      </c>
      <c r="BU2" s="16">
        <v>30734.81</v>
      </c>
      <c r="BV2" s="16">
        <v>29954.45</v>
      </c>
      <c r="BW2" s="16">
        <v>30036.51</v>
      </c>
      <c r="BX2" s="16">
        <v>30549.77</v>
      </c>
      <c r="BY2" s="16">
        <v>29954.45</v>
      </c>
      <c r="BZ2" s="16">
        <v>29571.51</v>
      </c>
      <c r="CA2" s="16">
        <v>29000.32</v>
      </c>
      <c r="CB2" s="16">
        <v>27787.15</v>
      </c>
      <c r="CC2" s="16">
        <v>26511.22</v>
      </c>
      <c r="CD2" s="16">
        <v>27193.43</v>
      </c>
      <c r="CE2" s="16">
        <v>27336.63</v>
      </c>
      <c r="CF2" s="16">
        <v>26749.35</v>
      </c>
      <c r="CG2" s="16">
        <v>26705.91</v>
      </c>
      <c r="CH2" s="16">
        <v>25526.53</v>
      </c>
      <c r="CI2" s="16">
        <v>26155.64</v>
      </c>
      <c r="CJ2" s="16">
        <v>25249.78</v>
      </c>
      <c r="CK2" s="16">
        <v>25272.31</v>
      </c>
      <c r="CL2" s="16">
        <v>25779.14</v>
      </c>
      <c r="CM2" s="16">
        <v>26289.18</v>
      </c>
      <c r="CN2" s="16">
        <v>26165.29</v>
      </c>
      <c r="CO2" s="16">
        <v>27072.76</v>
      </c>
      <c r="CP2" s="16">
        <v>27940</v>
      </c>
      <c r="CQ2" s="16">
        <v>27405.82</v>
      </c>
      <c r="CR2" s="16">
        <v>28374.43</v>
      </c>
      <c r="CS2" s="16">
        <v>29775.85</v>
      </c>
      <c r="CT2" s="16">
        <v>30244.07</v>
      </c>
      <c r="CU2" s="16">
        <v>31153.14</v>
      </c>
      <c r="CV2" s="16">
        <v>32063.83</v>
      </c>
      <c r="CW2" s="16">
        <v>32398.49</v>
      </c>
      <c r="CX2" s="16">
        <v>32279.43</v>
      </c>
      <c r="CY2" s="16">
        <v>35462</v>
      </c>
      <c r="CZ2" s="16">
        <v>37021</v>
      </c>
      <c r="DA2" s="16">
        <v>39279</v>
      </c>
      <c r="DB2" s="16">
        <v>40300</v>
      </c>
      <c r="DC2" s="16">
        <v>40946</v>
      </c>
      <c r="DD2" s="16">
        <v>40781</v>
      </c>
      <c r="DE2" s="16">
        <v>40414</v>
      </c>
      <c r="DF2" s="16">
        <v>41424</v>
      </c>
      <c r="DG2" s="16">
        <v>41135</v>
      </c>
      <c r="DH2" s="16">
        <v>41175</v>
      </c>
      <c r="DI2" s="16">
        <v>42369</v>
      </c>
      <c r="DJ2" s="16">
        <v>41945</v>
      </c>
      <c r="DK2" s="16">
        <v>43624</v>
      </c>
      <c r="DL2" s="16">
        <v>46153</v>
      </c>
      <c r="DM2" s="16">
        <v>43061</v>
      </c>
      <c r="DN2" s="16">
        <v>44611</v>
      </c>
      <c r="DO2" s="16">
        <v>44343</v>
      </c>
      <c r="DP2" s="16">
        <v>44742</v>
      </c>
      <c r="DQ2" s="16">
        <v>44742</v>
      </c>
      <c r="DR2" s="16">
        <v>42863</v>
      </c>
      <c r="DS2" s="16">
        <v>42091</v>
      </c>
      <c r="DT2" s="16">
        <v>41670</v>
      </c>
      <c r="DU2" s="16">
        <v>43962</v>
      </c>
      <c r="DV2" s="16">
        <v>45720</v>
      </c>
      <c r="DW2" s="16">
        <v>45673</v>
      </c>
      <c r="DX2" s="16">
        <v>41335</v>
      </c>
      <c r="DY2" s="16">
        <v>42368</v>
      </c>
      <c r="DZ2" s="16">
        <v>42114</v>
      </c>
      <c r="EA2" s="16">
        <v>42450</v>
      </c>
      <c r="EB2" s="16">
        <v>39055</v>
      </c>
      <c r="EC2" s="16">
        <v>41359</v>
      </c>
      <c r="ED2" s="16">
        <v>42269</v>
      </c>
      <c r="EE2" s="16">
        <v>42057</v>
      </c>
      <c r="EF2" s="16">
        <v>43213.5</v>
      </c>
      <c r="EG2" s="16">
        <v>44370</v>
      </c>
      <c r="EH2" s="16">
        <v>44148</v>
      </c>
      <c r="EI2" s="16">
        <v>46400</v>
      </c>
      <c r="EJ2" s="16">
        <v>44590</v>
      </c>
      <c r="EK2" s="16">
        <v>48023</v>
      </c>
      <c r="EL2" s="16">
        <v>48119</v>
      </c>
      <c r="EM2" s="16">
        <v>50429</v>
      </c>
      <c r="EN2" s="16">
        <v>51135</v>
      </c>
      <c r="EO2" s="16">
        <v>48885</v>
      </c>
      <c r="EP2" s="16">
        <v>52991</v>
      </c>
      <c r="EQ2" s="16">
        <v>49124</v>
      </c>
      <c r="ER2" s="16">
        <v>50990</v>
      </c>
      <c r="ES2" s="16">
        <v>49052</v>
      </c>
      <c r="ET2" s="16">
        <v>47384</v>
      </c>
      <c r="EU2" s="16">
        <v>43119</v>
      </c>
      <c r="EV2" s="16">
        <v>40877</v>
      </c>
      <c r="EW2" s="16">
        <v>39978</v>
      </c>
      <c r="EX2" s="16">
        <v>39618</v>
      </c>
      <c r="EY2" s="16">
        <v>41479</v>
      </c>
      <c r="EZ2" s="16">
        <v>40858</v>
      </c>
      <c r="FA2" s="16">
        <v>42697</v>
      </c>
      <c r="FB2" s="16">
        <v>45515</v>
      </c>
      <c r="FC2" s="16">
        <v>42330</v>
      </c>
      <c r="FD2" s="16">
        <v>44742</v>
      </c>
      <c r="FE2" s="16">
        <v>46218</v>
      </c>
      <c r="FF2" s="16">
        <v>47373</v>
      </c>
      <c r="FG2" s="16">
        <v>49127</v>
      </c>
      <c r="FH2" s="16">
        <v>47014</v>
      </c>
      <c r="FI2" s="16">
        <v>47249</v>
      </c>
      <c r="FJ2" s="16">
        <v>49989</v>
      </c>
      <c r="FK2" s="16">
        <v>48539</v>
      </c>
      <c r="FL2" s="16">
        <v>49510</v>
      </c>
      <c r="FM2" s="16">
        <v>51243</v>
      </c>
      <c r="FN2" s="16">
        <v>51038</v>
      </c>
      <c r="FO2" s="16">
        <v>52059</v>
      </c>
      <c r="FP2" s="16">
        <v>52215</v>
      </c>
      <c r="FQ2" s="16">
        <v>52581</v>
      </c>
      <c r="FR2" s="16">
        <v>54474</v>
      </c>
      <c r="FS2" s="16">
        <v>57960</v>
      </c>
      <c r="FT2" s="16">
        <v>56395</v>
      </c>
      <c r="FU2" s="16">
        <v>56508</v>
      </c>
      <c r="FV2" s="16">
        <v>60238</v>
      </c>
      <c r="FW2" s="16">
        <v>61684</v>
      </c>
      <c r="FX2" s="16">
        <v>61499</v>
      </c>
      <c r="FY2" s="16">
        <v>62975</v>
      </c>
      <c r="FZ2" s="16">
        <v>60645</v>
      </c>
      <c r="GA2" s="16">
        <v>62040</v>
      </c>
      <c r="GB2" s="16">
        <v>61730</v>
      </c>
      <c r="GC2" s="16">
        <v>60681</v>
      </c>
      <c r="GD2" s="16">
        <v>61713</v>
      </c>
      <c r="GE2" s="16">
        <v>61342</v>
      </c>
      <c r="GF2" s="16">
        <v>60055</v>
      </c>
      <c r="GG2" s="16">
        <v>60115</v>
      </c>
      <c r="GH2" s="16">
        <v>60536</v>
      </c>
      <c r="GI2" s="16">
        <v>61201</v>
      </c>
      <c r="GJ2" s="16">
        <v>62181</v>
      </c>
      <c r="GK2" s="16">
        <v>61932</v>
      </c>
      <c r="GL2" s="16">
        <v>61994</v>
      </c>
      <c r="GM2" s="16">
        <v>60599</v>
      </c>
      <c r="GN2" s="16">
        <v>48951</v>
      </c>
      <c r="GO2" s="16">
        <v>54710</v>
      </c>
      <c r="GP2" s="16">
        <v>57775</v>
      </c>
      <c r="GQ2" s="16">
        <v>53828</v>
      </c>
      <c r="GR2" s="16">
        <v>57987</v>
      </c>
      <c r="GS2" s="16">
        <v>56998</v>
      </c>
      <c r="GT2" s="16">
        <v>57178</v>
      </c>
      <c r="GU2" s="16">
        <v>58903</v>
      </c>
      <c r="GV2" s="16">
        <v>60332</v>
      </c>
      <c r="GW2" s="16">
        <v>60887</v>
      </c>
      <c r="GX2" s="16">
        <v>59248</v>
      </c>
      <c r="GY2" s="16">
        <v>62482</v>
      </c>
      <c r="GZ2" s="16">
        <v>62152</v>
      </c>
      <c r="HA2" s="16">
        <v>60296</v>
      </c>
      <c r="HB2" s="16">
        <v>61021</v>
      </c>
      <c r="HC2" s="16">
        <v>61370</v>
      </c>
      <c r="HD2" s="16">
        <v>62250</v>
      </c>
      <c r="HE2" s="17">
        <v>62685.75</v>
      </c>
      <c r="HF2" s="17">
        <v>63030.5</v>
      </c>
      <c r="HG2" s="17">
        <v>63408.71</v>
      </c>
      <c r="HH2" s="17">
        <v>63941.34</v>
      </c>
      <c r="HI2" s="17">
        <v>64542.39</v>
      </c>
      <c r="HJ2" s="17">
        <v>65155.55</v>
      </c>
      <c r="HK2" s="17">
        <v>65781.009999999995</v>
      </c>
      <c r="HL2" s="17">
        <v>66373.05</v>
      </c>
      <c r="HM2" s="17">
        <v>66870.86</v>
      </c>
      <c r="HN2" s="17">
        <v>67338.97</v>
      </c>
      <c r="HO2" s="17">
        <v>67776.67</v>
      </c>
      <c r="HP2" s="17">
        <v>68183.31</v>
      </c>
      <c r="HQ2" s="17">
        <v>68592.41</v>
      </c>
      <c r="HR2" s="17">
        <v>69003.990000000005</v>
      </c>
      <c r="HS2" s="17">
        <v>69418.02</v>
      </c>
      <c r="HT2" s="17">
        <v>69834.52</v>
      </c>
      <c r="HU2" s="17">
        <v>70253.53</v>
      </c>
      <c r="HV2" s="17">
        <v>70675.05</v>
      </c>
      <c r="HW2" s="17">
        <v>71099.100000000006</v>
      </c>
      <c r="HX2" s="17">
        <v>71525.7</v>
      </c>
      <c r="HY2" s="17">
        <v>71954.850000000006</v>
      </c>
      <c r="HZ2" s="17">
        <v>72386.59</v>
      </c>
      <c r="IA2" s="17">
        <v>72828.14</v>
      </c>
      <c r="IB2" s="17">
        <v>73272.39</v>
      </c>
      <c r="IC2" s="17">
        <v>73719.350000000006</v>
      </c>
      <c r="ID2" s="17">
        <v>74169.039999999994</v>
      </c>
      <c r="IE2" s="17">
        <v>74621.48</v>
      </c>
      <c r="IF2" s="17">
        <v>75076.66</v>
      </c>
      <c r="IG2" s="17">
        <v>75534.63</v>
      </c>
      <c r="IH2" s="17">
        <v>75995.39</v>
      </c>
      <c r="II2" s="17">
        <v>76458.97</v>
      </c>
      <c r="IJ2" s="17">
        <v>76925.37</v>
      </c>
      <c r="IK2" s="17">
        <v>77394.61</v>
      </c>
      <c r="IL2" s="17">
        <v>77866.720000000001</v>
      </c>
      <c r="IM2" s="17">
        <v>78365.570000000007</v>
      </c>
      <c r="IN2" s="17">
        <v>78864.850000000006</v>
      </c>
      <c r="IO2" s="17">
        <v>79357.100000000006</v>
      </c>
      <c r="IP2" s="17">
        <v>79852.53</v>
      </c>
      <c r="IQ2" s="17">
        <v>80356.479999999996</v>
      </c>
      <c r="IR2" s="17">
        <v>80863.98</v>
      </c>
      <c r="IS2" s="17">
        <v>81359.34</v>
      </c>
      <c r="IT2" s="17">
        <v>81858.3</v>
      </c>
      <c r="IU2" s="17">
        <v>82369.289999999994</v>
      </c>
      <c r="IV2" s="17">
        <v>82883.47</v>
      </c>
      <c r="IW2" s="17">
        <v>83400.84</v>
      </c>
      <c r="IX2" s="17">
        <v>83921.38</v>
      </c>
      <c r="IY2" s="17">
        <v>84452.42</v>
      </c>
      <c r="IZ2" s="17">
        <v>84987.09</v>
      </c>
      <c r="JA2" s="17">
        <v>85525.42</v>
      </c>
      <c r="JB2" s="17">
        <v>86067.42</v>
      </c>
      <c r="JC2" s="17">
        <v>86613.13</v>
      </c>
      <c r="JD2" s="17">
        <v>87162.52</v>
      </c>
      <c r="JE2" s="17">
        <v>87715.66</v>
      </c>
      <c r="JF2" s="17">
        <v>88272.59</v>
      </c>
      <c r="JG2" s="17">
        <v>88840.65</v>
      </c>
      <c r="JH2" s="17">
        <v>89412.67</v>
      </c>
      <c r="JI2" s="17">
        <v>89988.74</v>
      </c>
      <c r="JJ2" s="17">
        <v>90568.9</v>
      </c>
      <c r="JK2" s="17">
        <v>91153.15</v>
      </c>
      <c r="JL2" s="17">
        <v>91741.53</v>
      </c>
      <c r="JM2" s="17">
        <v>92334.09</v>
      </c>
      <c r="JN2" s="17">
        <v>92930.83</v>
      </c>
      <c r="JO2" s="17">
        <v>93438.87</v>
      </c>
      <c r="JP2" s="17">
        <v>93949.35</v>
      </c>
      <c r="JQ2" s="17">
        <v>94462.31</v>
      </c>
      <c r="JR2" s="17">
        <v>94977.73</v>
      </c>
      <c r="JS2" s="17">
        <v>95486.67</v>
      </c>
      <c r="JT2" s="17">
        <v>95997.95</v>
      </c>
      <c r="JU2" s="17">
        <v>96511.55</v>
      </c>
      <c r="JV2" s="17">
        <v>97027.520000000004</v>
      </c>
      <c r="JW2" s="17">
        <v>97545.84</v>
      </c>
      <c r="JX2" s="17">
        <v>98066.52</v>
      </c>
      <c r="JY2" s="17">
        <v>98589.58</v>
      </c>
      <c r="JZ2" s="17">
        <v>99115.01</v>
      </c>
      <c r="KA2" s="17">
        <v>99637.86</v>
      </c>
      <c r="KB2" s="17">
        <v>100163</v>
      </c>
      <c r="KC2" s="17">
        <v>100690.5</v>
      </c>
      <c r="KD2" s="17">
        <v>101220.1</v>
      </c>
      <c r="KE2" s="17">
        <v>101752.1</v>
      </c>
      <c r="KF2" s="17">
        <v>102286.39999999999</v>
      </c>
      <c r="KG2" s="17">
        <v>102822.9</v>
      </c>
      <c r="KH2" s="17">
        <v>103361.7</v>
      </c>
      <c r="KI2" s="17">
        <v>103902.9</v>
      </c>
      <c r="KJ2" s="17">
        <v>104446.39999999999</v>
      </c>
      <c r="KK2" s="17">
        <v>104992.1</v>
      </c>
      <c r="KL2" s="17">
        <v>105540.3</v>
      </c>
      <c r="KM2" s="17">
        <v>106090.8</v>
      </c>
      <c r="KN2" s="17">
        <v>106643.6</v>
      </c>
      <c r="KO2" s="17">
        <v>107198.8</v>
      </c>
      <c r="KP2" s="17">
        <v>107756.4</v>
      </c>
      <c r="KQ2" s="17">
        <v>108316.5</v>
      </c>
      <c r="KR2" s="17">
        <v>108878.9</v>
      </c>
      <c r="KS2" s="17">
        <v>109443.7</v>
      </c>
      <c r="KT2" s="17">
        <v>110011.1</v>
      </c>
      <c r="KU2" s="17">
        <v>110580.8</v>
      </c>
      <c r="KV2" s="17">
        <v>111153.1</v>
      </c>
      <c r="KW2" s="17">
        <v>111727.8</v>
      </c>
      <c r="KX2" s="17">
        <v>112305</v>
      </c>
      <c r="KY2" s="17">
        <v>112884.7</v>
      </c>
      <c r="KZ2" s="17">
        <v>113466.9</v>
      </c>
      <c r="LA2" s="17">
        <v>114051.6</v>
      </c>
      <c r="LB2" s="17">
        <v>114638.8</v>
      </c>
      <c r="LC2" s="17">
        <v>115228.5</v>
      </c>
      <c r="LD2" s="17">
        <v>115820.7</v>
      </c>
      <c r="LE2" s="17">
        <v>116415.4</v>
      </c>
      <c r="LF2" s="17">
        <v>117012.7</v>
      </c>
      <c r="LG2" s="17">
        <v>117582.5</v>
      </c>
      <c r="LH2" s="17">
        <v>118154.8</v>
      </c>
      <c r="LI2" s="17">
        <v>118725</v>
      </c>
      <c r="LJ2" s="17">
        <v>119297.7</v>
      </c>
      <c r="LK2" s="17">
        <v>119873</v>
      </c>
      <c r="LL2" s="17">
        <v>120450.8</v>
      </c>
      <c r="LM2" s="17">
        <v>121022.7</v>
      </c>
      <c r="LN2" s="17">
        <v>121596.9</v>
      </c>
      <c r="LO2" s="17">
        <v>122173.4</v>
      </c>
      <c r="LP2" s="17">
        <v>122752.4</v>
      </c>
      <c r="LQ2" s="17">
        <v>123334</v>
      </c>
      <c r="LR2" s="17">
        <v>123917.9</v>
      </c>
      <c r="LS2" s="17">
        <v>124504.3</v>
      </c>
      <c r="LT2" s="17">
        <v>125093.1</v>
      </c>
      <c r="LU2" s="17">
        <v>125680.2</v>
      </c>
      <c r="LV2" s="17">
        <v>126269.6</v>
      </c>
      <c r="LW2" s="17">
        <v>126861.3</v>
      </c>
      <c r="LX2" s="17">
        <v>127455.4</v>
      </c>
      <c r="LY2" s="17">
        <v>128048.4</v>
      </c>
      <c r="LZ2" s="17">
        <v>128643.7</v>
      </c>
      <c r="MA2" s="17">
        <v>129241.3</v>
      </c>
      <c r="MB2" s="17">
        <v>129841.2</v>
      </c>
      <c r="MC2" s="17">
        <v>130443.6</v>
      </c>
      <c r="MD2" s="17">
        <v>131048.3</v>
      </c>
      <c r="ME2" s="17">
        <v>131655.29999999999</v>
      </c>
      <c r="MF2" s="17">
        <v>132264.79999999999</v>
      </c>
      <c r="MG2" s="17">
        <v>132881</v>
      </c>
      <c r="MH2" s="17">
        <v>133499.70000000001</v>
      </c>
      <c r="MI2" s="17">
        <v>134120.9</v>
      </c>
      <c r="MJ2" s="17">
        <v>134744.6</v>
      </c>
      <c r="MK2" s="17">
        <v>135369.4</v>
      </c>
      <c r="ML2" s="17">
        <v>135996.6</v>
      </c>
      <c r="MM2" s="17">
        <v>136626.29999999999</v>
      </c>
      <c r="MN2" s="17">
        <v>137258.5</v>
      </c>
      <c r="MO2" s="17">
        <v>137897.9</v>
      </c>
      <c r="MP2" s="17">
        <v>138539.79999999999</v>
      </c>
      <c r="MQ2" s="17">
        <v>139184.29999999999</v>
      </c>
      <c r="MR2" s="17">
        <v>139831.5</v>
      </c>
      <c r="MS2" s="17">
        <v>140481.20000000001</v>
      </c>
      <c r="MT2" s="17">
        <v>141133.6</v>
      </c>
      <c r="MU2" s="13" t="s">
        <v>478</v>
      </c>
      <c r="MV2" s="13" t="b">
        <v>1</v>
      </c>
      <c r="MW2" s="15" t="s">
        <v>479</v>
      </c>
      <c r="MX2" s="13" t="s">
        <v>480</v>
      </c>
      <c r="MY2" s="13">
        <v>2024</v>
      </c>
      <c r="MZ2" s="13">
        <v>2</v>
      </c>
      <c r="NA2" s="13" t="s">
        <v>480</v>
      </c>
      <c r="NB2" s="13" t="s">
        <v>0</v>
      </c>
      <c r="NC2" s="15" t="s">
        <v>482</v>
      </c>
      <c r="ND2" s="13" t="s">
        <v>483</v>
      </c>
      <c r="NE2" s="13" t="s">
        <v>484</v>
      </c>
      <c r="NF2" s="15" t="s">
        <v>1268</v>
      </c>
    </row>
    <row r="3" spans="1:370" x14ac:dyDescent="0.25">
      <c r="A3" s="13" t="s">
        <v>473</v>
      </c>
      <c r="B3" s="13" t="s">
        <v>485</v>
      </c>
      <c r="C3" s="15" t="s">
        <v>1267</v>
      </c>
      <c r="D3" s="13" t="s">
        <v>475</v>
      </c>
      <c r="E3" s="13" t="s">
        <v>476</v>
      </c>
      <c r="F3" s="13" t="s">
        <v>477</v>
      </c>
      <c r="G3" s="16">
        <v>50184</v>
      </c>
      <c r="H3" s="16">
        <v>48537</v>
      </c>
      <c r="I3" s="16">
        <v>47578</v>
      </c>
      <c r="J3" s="16">
        <v>47374</v>
      </c>
      <c r="K3" s="16">
        <v>46939</v>
      </c>
      <c r="L3" s="16">
        <v>44355</v>
      </c>
      <c r="M3" s="16">
        <v>43865</v>
      </c>
      <c r="N3" s="16">
        <v>44059</v>
      </c>
      <c r="O3" s="16">
        <v>42893</v>
      </c>
      <c r="P3" s="16">
        <v>42698</v>
      </c>
      <c r="Q3" s="16">
        <v>42064</v>
      </c>
      <c r="R3" s="16">
        <v>40849</v>
      </c>
      <c r="S3" s="16">
        <v>42896</v>
      </c>
      <c r="T3" s="16">
        <v>42498</v>
      </c>
      <c r="U3" s="16">
        <v>41983</v>
      </c>
      <c r="V3" s="16">
        <v>42271</v>
      </c>
      <c r="W3" s="16">
        <v>41191</v>
      </c>
      <c r="X3" s="16">
        <v>43482</v>
      </c>
      <c r="Y3" s="16">
        <v>43006</v>
      </c>
      <c r="Z3" s="16">
        <v>44597</v>
      </c>
      <c r="AA3" s="16">
        <v>46164</v>
      </c>
      <c r="AB3" s="16">
        <v>46246</v>
      </c>
      <c r="AC3" s="16">
        <v>46206</v>
      </c>
      <c r="AD3" s="16">
        <v>46354</v>
      </c>
      <c r="AE3" s="16">
        <v>48743</v>
      </c>
      <c r="AF3" s="16">
        <v>49861</v>
      </c>
      <c r="AG3" s="16">
        <v>50787</v>
      </c>
      <c r="AH3" s="16">
        <v>51496</v>
      </c>
      <c r="AI3" s="16">
        <v>49012</v>
      </c>
      <c r="AJ3" s="16">
        <v>47095</v>
      </c>
      <c r="AK3" s="16">
        <v>46257</v>
      </c>
      <c r="AL3" s="16">
        <v>45597</v>
      </c>
      <c r="AM3" s="16">
        <v>43073</v>
      </c>
      <c r="AN3" s="16">
        <v>44079</v>
      </c>
      <c r="AO3" s="16">
        <v>44442</v>
      </c>
      <c r="AP3" s="16">
        <v>43901</v>
      </c>
      <c r="AQ3" s="16">
        <v>43821</v>
      </c>
      <c r="AR3" s="16">
        <v>45825</v>
      </c>
      <c r="AS3" s="16">
        <v>47163</v>
      </c>
      <c r="AT3" s="16">
        <v>47683</v>
      </c>
      <c r="AU3" s="16">
        <v>49100</v>
      </c>
      <c r="AV3" s="16">
        <v>48513</v>
      </c>
      <c r="AW3" s="16">
        <v>48978</v>
      </c>
      <c r="AX3" s="16">
        <v>51258</v>
      </c>
      <c r="AY3" s="16">
        <v>52357</v>
      </c>
      <c r="AZ3" s="16">
        <v>52558</v>
      </c>
      <c r="BA3" s="16">
        <v>52636</v>
      </c>
      <c r="BB3" s="16">
        <v>53026</v>
      </c>
      <c r="BC3" s="16">
        <v>57010</v>
      </c>
      <c r="BD3" s="16">
        <v>52362</v>
      </c>
      <c r="BE3" s="16">
        <v>52813</v>
      </c>
      <c r="BF3" s="16">
        <v>52603</v>
      </c>
      <c r="BG3" s="16">
        <v>52036</v>
      </c>
      <c r="BH3" s="16">
        <v>50598</v>
      </c>
      <c r="BI3" s="16">
        <v>53431</v>
      </c>
      <c r="BJ3" s="16">
        <v>56019</v>
      </c>
      <c r="BK3" s="16">
        <v>54611</v>
      </c>
      <c r="BL3" s="16">
        <v>57244</v>
      </c>
      <c r="BM3" s="16">
        <v>62518</v>
      </c>
      <c r="BN3" s="16">
        <v>64025</v>
      </c>
      <c r="BO3" s="16">
        <v>67204</v>
      </c>
      <c r="BP3" s="16">
        <v>68999</v>
      </c>
      <c r="BQ3" s="16">
        <v>69601</v>
      </c>
      <c r="BR3" s="16">
        <v>69526</v>
      </c>
      <c r="BS3" s="16">
        <v>73235</v>
      </c>
      <c r="BT3" s="16">
        <v>71794</v>
      </c>
      <c r="BU3" s="16">
        <v>72584</v>
      </c>
      <c r="BV3" s="16">
        <v>71156</v>
      </c>
      <c r="BW3" s="16">
        <v>71617</v>
      </c>
      <c r="BX3" s="16">
        <v>70596</v>
      </c>
      <c r="BY3" s="16">
        <v>69949</v>
      </c>
      <c r="BZ3" s="16">
        <v>69172</v>
      </c>
      <c r="CA3" s="16">
        <v>66021</v>
      </c>
      <c r="CB3" s="16">
        <v>65035</v>
      </c>
      <c r="CC3" s="16">
        <v>63852</v>
      </c>
      <c r="CD3" s="16">
        <v>64085</v>
      </c>
      <c r="CE3" s="16">
        <v>64254</v>
      </c>
      <c r="CF3" s="16">
        <v>63871</v>
      </c>
      <c r="CG3" s="16">
        <v>64122</v>
      </c>
      <c r="CH3" s="16">
        <v>62577</v>
      </c>
      <c r="CI3" s="16">
        <v>64089</v>
      </c>
      <c r="CJ3" s="16">
        <v>63733</v>
      </c>
      <c r="CK3" s="16">
        <v>63810</v>
      </c>
      <c r="CL3" s="16">
        <v>65142</v>
      </c>
      <c r="CM3" s="16">
        <v>65927</v>
      </c>
      <c r="CN3" s="16">
        <v>64605</v>
      </c>
      <c r="CO3" s="16">
        <v>65040</v>
      </c>
      <c r="CP3" s="16">
        <v>65399</v>
      </c>
      <c r="CQ3" s="16">
        <v>64532</v>
      </c>
      <c r="CR3" s="16">
        <v>64647</v>
      </c>
      <c r="CS3" s="16">
        <v>65098</v>
      </c>
      <c r="CT3" s="16">
        <v>65410</v>
      </c>
      <c r="CU3" s="16">
        <v>67091</v>
      </c>
      <c r="CV3" s="16">
        <v>69362</v>
      </c>
      <c r="CW3" s="16">
        <v>68834</v>
      </c>
      <c r="CX3" s="16">
        <v>66518</v>
      </c>
      <c r="CY3" s="16">
        <v>64163</v>
      </c>
      <c r="CZ3" s="16">
        <v>64841</v>
      </c>
      <c r="DA3" s="16">
        <v>68586</v>
      </c>
      <c r="DB3" s="16">
        <v>70207</v>
      </c>
      <c r="DC3" s="16">
        <v>70769</v>
      </c>
      <c r="DD3" s="16">
        <v>70728</v>
      </c>
      <c r="DE3" s="16">
        <v>70125</v>
      </c>
      <c r="DF3" s="16">
        <v>71589</v>
      </c>
      <c r="DG3" s="16">
        <v>71553</v>
      </c>
      <c r="DH3" s="16">
        <v>71631</v>
      </c>
      <c r="DI3" s="16">
        <v>72785</v>
      </c>
      <c r="DJ3" s="16">
        <v>72122</v>
      </c>
      <c r="DK3" s="16">
        <v>75099</v>
      </c>
      <c r="DL3" s="16">
        <v>79401</v>
      </c>
      <c r="DM3" s="16">
        <v>73900</v>
      </c>
      <c r="DN3" s="16">
        <v>76186</v>
      </c>
      <c r="DO3" s="16">
        <v>76262</v>
      </c>
      <c r="DP3" s="16">
        <v>79060</v>
      </c>
      <c r="DQ3" s="16">
        <v>78994</v>
      </c>
      <c r="DR3" s="16">
        <v>76321</v>
      </c>
      <c r="DS3" s="16">
        <v>76228</v>
      </c>
      <c r="DT3" s="16">
        <v>76226</v>
      </c>
      <c r="DU3" s="16">
        <v>80253</v>
      </c>
      <c r="DV3" s="16">
        <v>84228</v>
      </c>
      <c r="DW3" s="16">
        <v>84514</v>
      </c>
      <c r="DX3" s="16">
        <v>79269</v>
      </c>
      <c r="DY3" s="16">
        <v>80422</v>
      </c>
      <c r="DZ3" s="16">
        <v>80600</v>
      </c>
      <c r="EA3" s="16">
        <v>82986</v>
      </c>
      <c r="EB3" s="16">
        <v>82454</v>
      </c>
      <c r="EC3" s="16">
        <v>83913</v>
      </c>
      <c r="ED3" s="16">
        <v>84243</v>
      </c>
      <c r="EE3" s="16">
        <v>85883</v>
      </c>
      <c r="EF3" s="16">
        <v>87907</v>
      </c>
      <c r="EG3" s="16">
        <v>87059</v>
      </c>
      <c r="EH3" s="16">
        <v>86618</v>
      </c>
      <c r="EI3" s="16">
        <v>87611</v>
      </c>
      <c r="EJ3" s="16">
        <v>87987</v>
      </c>
      <c r="EK3" s="16">
        <v>91024</v>
      </c>
      <c r="EL3" s="16">
        <v>90688</v>
      </c>
      <c r="EM3" s="16">
        <v>91825</v>
      </c>
      <c r="EN3" s="16">
        <v>94089</v>
      </c>
      <c r="EO3" s="16">
        <v>90344</v>
      </c>
      <c r="EP3" s="16">
        <v>96774</v>
      </c>
      <c r="EQ3" s="16">
        <v>92244</v>
      </c>
      <c r="ER3" s="16">
        <v>93278</v>
      </c>
      <c r="ES3" s="16">
        <v>88414</v>
      </c>
      <c r="ET3" s="16">
        <v>86953</v>
      </c>
      <c r="EU3" s="16">
        <v>81803</v>
      </c>
      <c r="EV3" s="16">
        <v>78328</v>
      </c>
      <c r="EW3" s="16">
        <v>78858</v>
      </c>
      <c r="EX3" s="16">
        <v>77537</v>
      </c>
      <c r="EY3" s="16">
        <v>81644</v>
      </c>
      <c r="EZ3" s="16">
        <v>80431</v>
      </c>
      <c r="FA3" s="16">
        <v>83557</v>
      </c>
      <c r="FB3" s="16">
        <v>85811</v>
      </c>
      <c r="FC3" s="16">
        <v>82496</v>
      </c>
      <c r="FD3" s="16">
        <v>81610</v>
      </c>
      <c r="FE3" s="16">
        <v>83476</v>
      </c>
      <c r="FF3" s="16">
        <v>84212</v>
      </c>
      <c r="FG3" s="16">
        <v>85491</v>
      </c>
      <c r="FH3" s="16">
        <v>83307</v>
      </c>
      <c r="FI3" s="16">
        <v>82537</v>
      </c>
      <c r="FJ3" s="16">
        <v>85851</v>
      </c>
      <c r="FK3" s="16">
        <v>83337</v>
      </c>
      <c r="FL3" s="16">
        <v>86815</v>
      </c>
      <c r="FM3" s="16">
        <v>88951</v>
      </c>
      <c r="FN3" s="16">
        <v>88938</v>
      </c>
      <c r="FO3" s="16">
        <v>91937</v>
      </c>
      <c r="FP3" s="16">
        <v>91645</v>
      </c>
      <c r="FQ3" s="16">
        <v>93278</v>
      </c>
      <c r="FR3" s="16">
        <v>95670</v>
      </c>
      <c r="FS3" s="16">
        <v>99019</v>
      </c>
      <c r="FT3" s="16">
        <v>99456</v>
      </c>
      <c r="FU3" s="16">
        <v>98717</v>
      </c>
      <c r="FV3" s="16">
        <v>101962</v>
      </c>
      <c r="FW3" s="16">
        <v>103052</v>
      </c>
      <c r="FX3" s="16">
        <v>103914</v>
      </c>
      <c r="FY3" s="16">
        <v>106846</v>
      </c>
      <c r="FZ3" s="16">
        <v>105866</v>
      </c>
      <c r="GA3" s="16">
        <v>107659</v>
      </c>
      <c r="GB3" s="16">
        <v>108992</v>
      </c>
      <c r="GC3" s="16">
        <v>108030</v>
      </c>
      <c r="GD3" s="16">
        <v>109696</v>
      </c>
      <c r="GE3" s="16">
        <v>109097</v>
      </c>
      <c r="GF3" s="16">
        <v>107829</v>
      </c>
      <c r="GG3" s="16">
        <v>107807</v>
      </c>
      <c r="GH3" s="16">
        <v>107662</v>
      </c>
      <c r="GI3" s="16">
        <v>110948</v>
      </c>
      <c r="GJ3" s="16">
        <v>110046</v>
      </c>
      <c r="GK3" s="16">
        <v>110942</v>
      </c>
      <c r="GL3" s="16">
        <v>109685</v>
      </c>
      <c r="GM3" s="16">
        <v>106217</v>
      </c>
      <c r="GN3" s="16">
        <v>86237</v>
      </c>
      <c r="GO3" s="16">
        <v>100076</v>
      </c>
      <c r="GP3" s="16">
        <v>106348</v>
      </c>
      <c r="GQ3" s="16">
        <v>103493</v>
      </c>
      <c r="GR3" s="16">
        <v>108600</v>
      </c>
      <c r="GS3" s="16">
        <v>108182</v>
      </c>
      <c r="GT3" s="16">
        <v>108845</v>
      </c>
      <c r="GU3" s="16">
        <v>113041</v>
      </c>
      <c r="GV3" s="16">
        <v>112982</v>
      </c>
      <c r="GW3" s="16">
        <v>113281</v>
      </c>
      <c r="GX3" s="16">
        <v>111787</v>
      </c>
      <c r="GY3" s="16">
        <v>114830</v>
      </c>
      <c r="GZ3" s="16">
        <v>113009</v>
      </c>
      <c r="HA3" s="16">
        <v>111099</v>
      </c>
      <c r="HB3" s="16">
        <v>111841</v>
      </c>
      <c r="HC3" s="16">
        <v>113179</v>
      </c>
      <c r="HD3" s="16">
        <v>113833</v>
      </c>
      <c r="HE3" s="17">
        <v>113175.3</v>
      </c>
      <c r="HF3" s="17">
        <v>113497.60000000001</v>
      </c>
      <c r="HG3" s="17">
        <v>113937.3</v>
      </c>
      <c r="HH3" s="17">
        <v>114522</v>
      </c>
      <c r="HI3" s="17">
        <v>115181.3</v>
      </c>
      <c r="HJ3" s="17">
        <v>115870.8</v>
      </c>
      <c r="HK3" s="17">
        <v>116630.5</v>
      </c>
      <c r="HL3" s="17">
        <v>117449.7</v>
      </c>
      <c r="HM3" s="17">
        <v>118156.9</v>
      </c>
      <c r="HN3" s="17">
        <v>118828.1</v>
      </c>
      <c r="HO3" s="17">
        <v>119431.8</v>
      </c>
      <c r="HP3" s="17">
        <v>120006.9</v>
      </c>
      <c r="HQ3" s="17">
        <v>120555.5</v>
      </c>
      <c r="HR3" s="17">
        <v>121089.8</v>
      </c>
      <c r="HS3" s="17">
        <v>121597.3</v>
      </c>
      <c r="HT3" s="17">
        <v>122088</v>
      </c>
      <c r="HU3" s="17">
        <v>122570.8</v>
      </c>
      <c r="HV3" s="17">
        <v>123045.4</v>
      </c>
      <c r="HW3" s="17">
        <v>123510.2</v>
      </c>
      <c r="HX3" s="17">
        <v>124051.1</v>
      </c>
      <c r="HY3" s="17">
        <v>124615.4</v>
      </c>
      <c r="HZ3" s="17">
        <v>125216.7</v>
      </c>
      <c r="IA3" s="17">
        <v>125862.2</v>
      </c>
      <c r="IB3" s="17">
        <v>126519.6</v>
      </c>
      <c r="IC3" s="17">
        <v>127185.1</v>
      </c>
      <c r="ID3" s="17">
        <v>127854.3</v>
      </c>
      <c r="IE3" s="17">
        <v>128527.1</v>
      </c>
      <c r="IF3" s="17">
        <v>129203.5</v>
      </c>
      <c r="IG3" s="17">
        <v>129883.7</v>
      </c>
      <c r="IH3" s="17">
        <v>130567.6</v>
      </c>
      <c r="II3" s="17">
        <v>131255.20000000001</v>
      </c>
      <c r="IJ3" s="17">
        <v>131946.6</v>
      </c>
      <c r="IK3" s="17">
        <v>132641.79999999999</v>
      </c>
      <c r="IL3" s="17">
        <v>133339.79999999999</v>
      </c>
      <c r="IM3" s="17">
        <v>134082</v>
      </c>
      <c r="IN3" s="17">
        <v>134823.70000000001</v>
      </c>
      <c r="IO3" s="17">
        <v>135552.20000000001</v>
      </c>
      <c r="IP3" s="17">
        <v>136285</v>
      </c>
      <c r="IQ3" s="17">
        <v>137031.1</v>
      </c>
      <c r="IR3" s="17">
        <v>137782.20000000001</v>
      </c>
      <c r="IS3" s="17">
        <v>138511.29999999999</v>
      </c>
      <c r="IT3" s="17">
        <v>139245.4</v>
      </c>
      <c r="IU3" s="17">
        <v>139998.79999999999</v>
      </c>
      <c r="IV3" s="17">
        <v>140756.4</v>
      </c>
      <c r="IW3" s="17">
        <v>141518.29999999999</v>
      </c>
      <c r="IX3" s="17">
        <v>142284.29999999999</v>
      </c>
      <c r="IY3" s="17">
        <v>143066.9</v>
      </c>
      <c r="IZ3" s="17">
        <v>143854.5</v>
      </c>
      <c r="JA3" s="17">
        <v>144647</v>
      </c>
      <c r="JB3" s="17">
        <v>145444.4</v>
      </c>
      <c r="JC3" s="17">
        <v>146246.9</v>
      </c>
      <c r="JD3" s="17">
        <v>147054.29999999999</v>
      </c>
      <c r="JE3" s="17">
        <v>147866.79999999999</v>
      </c>
      <c r="JF3" s="17">
        <v>148684.5</v>
      </c>
      <c r="JG3" s="17">
        <v>149519.5</v>
      </c>
      <c r="JH3" s="17">
        <v>150360</v>
      </c>
      <c r="JI3" s="17">
        <v>151206</v>
      </c>
      <c r="JJ3" s="17">
        <v>152057.5</v>
      </c>
      <c r="JK3" s="17">
        <v>152914.5</v>
      </c>
      <c r="JL3" s="17">
        <v>153777.20000000001</v>
      </c>
      <c r="JM3" s="17">
        <v>154645.6</v>
      </c>
      <c r="JN3" s="17">
        <v>155519.6</v>
      </c>
      <c r="JO3" s="17">
        <v>156306.4</v>
      </c>
      <c r="JP3" s="17">
        <v>157096.6</v>
      </c>
      <c r="JQ3" s="17">
        <v>157890.4</v>
      </c>
      <c r="JR3" s="17">
        <v>158687.70000000001</v>
      </c>
      <c r="JS3" s="17">
        <v>159473.60000000001</v>
      </c>
      <c r="JT3" s="17">
        <v>160262.79999999999</v>
      </c>
      <c r="JU3" s="17">
        <v>161055.20000000001</v>
      </c>
      <c r="JV3" s="17">
        <v>161851</v>
      </c>
      <c r="JW3" s="17">
        <v>162650</v>
      </c>
      <c r="JX3" s="17">
        <v>163452.4</v>
      </c>
      <c r="JY3" s="17">
        <v>164258.20000000001</v>
      </c>
      <c r="JZ3" s="17">
        <v>165067.20000000001</v>
      </c>
      <c r="KA3" s="17">
        <v>165874.70000000001</v>
      </c>
      <c r="KB3" s="17">
        <v>166685.4</v>
      </c>
      <c r="KC3" s="17">
        <v>167499.29999999999</v>
      </c>
      <c r="KD3" s="17">
        <v>168316.3</v>
      </c>
      <c r="KE3" s="17">
        <v>169136.6</v>
      </c>
      <c r="KF3" s="17">
        <v>169960.1</v>
      </c>
      <c r="KG3" s="17">
        <v>170786.8</v>
      </c>
      <c r="KH3" s="17">
        <v>171616.6</v>
      </c>
      <c r="KI3" s="17">
        <v>172449.8</v>
      </c>
      <c r="KJ3" s="17">
        <v>173286.2</v>
      </c>
      <c r="KK3" s="17">
        <v>174125.7</v>
      </c>
      <c r="KL3" s="17">
        <v>174968.7</v>
      </c>
      <c r="KM3" s="17">
        <v>175814.9</v>
      </c>
      <c r="KN3" s="17">
        <v>176664.3</v>
      </c>
      <c r="KO3" s="17">
        <v>177517.1</v>
      </c>
      <c r="KP3" s="17">
        <v>178373.2</v>
      </c>
      <c r="KQ3" s="17">
        <v>179232.8</v>
      </c>
      <c r="KR3" s="17">
        <v>180095.7</v>
      </c>
      <c r="KS3" s="17">
        <v>180962</v>
      </c>
      <c r="KT3" s="17">
        <v>181831.8</v>
      </c>
      <c r="KU3" s="17">
        <v>182704.9</v>
      </c>
      <c r="KV3" s="17">
        <v>183581.6</v>
      </c>
      <c r="KW3" s="17">
        <v>184461.7</v>
      </c>
      <c r="KX3" s="17">
        <v>185345.2</v>
      </c>
      <c r="KY3" s="17">
        <v>186232.3</v>
      </c>
      <c r="KZ3" s="17">
        <v>187122.9</v>
      </c>
      <c r="LA3" s="17">
        <v>188016.9</v>
      </c>
      <c r="LB3" s="17">
        <v>188914.4</v>
      </c>
      <c r="LC3" s="17">
        <v>189815.4</v>
      </c>
      <c r="LD3" s="17">
        <v>190719.9</v>
      </c>
      <c r="LE3" s="17">
        <v>191627.9</v>
      </c>
      <c r="LF3" s="17">
        <v>192539.5</v>
      </c>
      <c r="LG3" s="17">
        <v>193405.2</v>
      </c>
      <c r="LH3" s="17">
        <v>194274.5</v>
      </c>
      <c r="LI3" s="17">
        <v>195139.6</v>
      </c>
      <c r="LJ3" s="17">
        <v>196008.3</v>
      </c>
      <c r="LK3" s="17">
        <v>196880.5</v>
      </c>
      <c r="LL3" s="17">
        <v>197756.3</v>
      </c>
      <c r="LM3" s="17">
        <v>198621.8</v>
      </c>
      <c r="LN3" s="17">
        <v>199490.5</v>
      </c>
      <c r="LO3" s="17">
        <v>200362.4</v>
      </c>
      <c r="LP3" s="17">
        <v>201237.7</v>
      </c>
      <c r="LQ3" s="17">
        <v>202116.6</v>
      </c>
      <c r="LR3" s="17">
        <v>202998.8</v>
      </c>
      <c r="LS3" s="17">
        <v>203884.4</v>
      </c>
      <c r="LT3" s="17">
        <v>204773.3</v>
      </c>
      <c r="LU3" s="17">
        <v>205658.8</v>
      </c>
      <c r="LV3" s="17">
        <v>206547.5</v>
      </c>
      <c r="LW3" s="17">
        <v>207439.3</v>
      </c>
      <c r="LX3" s="17">
        <v>208334.5</v>
      </c>
      <c r="LY3" s="17">
        <v>209227.2</v>
      </c>
      <c r="LZ3" s="17">
        <v>210123</v>
      </c>
      <c r="MA3" s="17">
        <v>211022</v>
      </c>
      <c r="MB3" s="17">
        <v>211924.2</v>
      </c>
      <c r="MC3" s="17">
        <v>212829.7</v>
      </c>
      <c r="MD3" s="17">
        <v>213738.5</v>
      </c>
      <c r="ME3" s="17">
        <v>214650.3</v>
      </c>
      <c r="MF3" s="17">
        <v>215565.5</v>
      </c>
      <c r="MG3" s="17">
        <v>216491.2</v>
      </c>
      <c r="MH3" s="17">
        <v>217420.2</v>
      </c>
      <c r="MI3" s="17">
        <v>218352.6</v>
      </c>
      <c r="MJ3" s="17">
        <v>219288.5</v>
      </c>
      <c r="MK3" s="17">
        <v>220225.5</v>
      </c>
      <c r="ML3" s="17">
        <v>221165.8</v>
      </c>
      <c r="MM3" s="17">
        <v>222109.5</v>
      </c>
      <c r="MN3" s="17">
        <v>223056.7</v>
      </c>
      <c r="MO3" s="17">
        <v>224014.8</v>
      </c>
      <c r="MP3" s="17">
        <v>224976.4</v>
      </c>
      <c r="MQ3" s="17">
        <v>225941.6</v>
      </c>
      <c r="MR3" s="17">
        <v>226910.5</v>
      </c>
      <c r="MS3" s="17">
        <v>227882.8</v>
      </c>
      <c r="MT3" s="17">
        <v>228858.8</v>
      </c>
      <c r="MU3" s="13" t="s">
        <v>478</v>
      </c>
      <c r="MV3" s="13" t="b">
        <v>1</v>
      </c>
      <c r="MW3" s="15" t="s">
        <v>479</v>
      </c>
      <c r="MX3" s="13" t="s">
        <v>480</v>
      </c>
      <c r="MY3" s="13">
        <v>2024</v>
      </c>
      <c r="MZ3" s="13">
        <v>2</v>
      </c>
      <c r="NA3" s="13" t="s">
        <v>480</v>
      </c>
      <c r="NB3" s="13" t="s">
        <v>486</v>
      </c>
      <c r="NC3" s="15" t="s">
        <v>487</v>
      </c>
      <c r="ND3" s="13" t="s">
        <v>483</v>
      </c>
      <c r="NE3" s="13" t="s">
        <v>488</v>
      </c>
      <c r="NF3" s="15" t="s">
        <v>1268</v>
      </c>
    </row>
    <row r="4" spans="1:370" x14ac:dyDescent="0.25">
      <c r="A4" s="13" t="s">
        <v>473</v>
      </c>
      <c r="B4" s="13" t="s">
        <v>489</v>
      </c>
      <c r="C4" s="15" t="s">
        <v>1267</v>
      </c>
      <c r="D4" s="13" t="s">
        <v>475</v>
      </c>
      <c r="E4" s="13" t="s">
        <v>476</v>
      </c>
      <c r="F4" s="13" t="s">
        <v>477</v>
      </c>
      <c r="G4" s="16">
        <v>8441.6200000000008</v>
      </c>
      <c r="H4" s="16">
        <v>8067.2969999999996</v>
      </c>
      <c r="I4" s="16">
        <v>8430.8629999999994</v>
      </c>
      <c r="J4" s="16">
        <v>8133.9870000000001</v>
      </c>
      <c r="K4" s="16">
        <v>8785.8240000000005</v>
      </c>
      <c r="L4" s="16">
        <v>6787.2860000000001</v>
      </c>
      <c r="M4" s="16">
        <v>8069.4480000000003</v>
      </c>
      <c r="N4" s="16">
        <v>7256.2650000000003</v>
      </c>
      <c r="O4" s="16">
        <v>7060.4989999999998</v>
      </c>
      <c r="P4" s="16">
        <v>7464.9390000000003</v>
      </c>
      <c r="Q4" s="16">
        <v>6696.9319999999998</v>
      </c>
      <c r="R4" s="16">
        <v>7221.8440000000001</v>
      </c>
      <c r="S4" s="16">
        <v>7342.3159999999998</v>
      </c>
      <c r="T4" s="16">
        <v>7079.86</v>
      </c>
      <c r="U4" s="16">
        <v>6671.1170000000002</v>
      </c>
      <c r="V4" s="16">
        <v>6471.0479999999998</v>
      </c>
      <c r="W4" s="16">
        <v>6174.1710000000003</v>
      </c>
      <c r="X4" s="16">
        <v>5754.6719999999996</v>
      </c>
      <c r="Y4" s="16">
        <v>5502.9719999999998</v>
      </c>
      <c r="Z4" s="16">
        <v>5406.165</v>
      </c>
      <c r="AA4" s="16">
        <v>5305.0550000000003</v>
      </c>
      <c r="AB4" s="16">
        <v>5169.5240000000003</v>
      </c>
      <c r="AC4" s="16">
        <v>5137.2550000000001</v>
      </c>
      <c r="AD4" s="16">
        <v>4842.53</v>
      </c>
      <c r="AE4" s="16">
        <v>4855.4380000000001</v>
      </c>
      <c r="AF4" s="16">
        <v>4861.8909999999996</v>
      </c>
      <c r="AG4" s="16">
        <v>5152.3140000000003</v>
      </c>
      <c r="AH4" s="16">
        <v>4808.1090000000004</v>
      </c>
      <c r="AI4" s="16">
        <v>4311.1639999999998</v>
      </c>
      <c r="AJ4" s="16">
        <v>4457.451</v>
      </c>
      <c r="AK4" s="16">
        <v>4272.4399999999996</v>
      </c>
      <c r="AL4" s="16">
        <v>4042.2539999999999</v>
      </c>
      <c r="AM4" s="16">
        <v>3521.6439999999998</v>
      </c>
      <c r="AN4" s="16">
        <v>3407.6260000000002</v>
      </c>
      <c r="AO4" s="16">
        <v>2732.125</v>
      </c>
      <c r="AP4" s="16">
        <v>2835.386</v>
      </c>
      <c r="AQ4" s="16">
        <v>2551.4169999999999</v>
      </c>
      <c r="AR4" s="16">
        <v>2800.9659999999999</v>
      </c>
      <c r="AS4" s="16">
        <v>3026.85</v>
      </c>
      <c r="AT4" s="16">
        <v>3351.6930000000002</v>
      </c>
      <c r="AU4" s="16">
        <v>4207.902</v>
      </c>
      <c r="AV4" s="16">
        <v>3532.4009999999998</v>
      </c>
      <c r="AW4" s="16">
        <v>4014.2869999999998</v>
      </c>
      <c r="AX4" s="16">
        <v>4281.0460000000003</v>
      </c>
      <c r="AY4" s="16">
        <v>4358.4920000000002</v>
      </c>
      <c r="AZ4" s="16">
        <v>4483.2659999999996</v>
      </c>
      <c r="BA4" s="16">
        <v>4679.0320000000002</v>
      </c>
      <c r="BB4" s="16">
        <v>4560.7120000000004</v>
      </c>
      <c r="BC4" s="16">
        <v>4147.6670000000004</v>
      </c>
      <c r="BD4" s="16">
        <v>4571.4679999999998</v>
      </c>
      <c r="BE4" s="16">
        <v>4743.5709999999999</v>
      </c>
      <c r="BF4" s="16">
        <v>4696.2430000000004</v>
      </c>
      <c r="BG4" s="16">
        <v>5320.1139999999996</v>
      </c>
      <c r="BH4" s="16">
        <v>5177.2780000000002</v>
      </c>
      <c r="BI4" s="16">
        <v>5618.2060000000001</v>
      </c>
      <c r="BJ4" s="16">
        <v>5208.3289999999997</v>
      </c>
      <c r="BK4" s="16">
        <v>4769.4719999999998</v>
      </c>
      <c r="BL4" s="16">
        <v>4794.3130000000001</v>
      </c>
      <c r="BM4" s="16">
        <v>5481.58</v>
      </c>
      <c r="BN4" s="16">
        <v>5727.92</v>
      </c>
      <c r="BO4" s="16">
        <v>5156.5770000000002</v>
      </c>
      <c r="BP4" s="16">
        <v>5303.5529999999999</v>
      </c>
      <c r="BQ4" s="16">
        <v>4471.3789999999999</v>
      </c>
      <c r="BR4" s="16">
        <v>4187.7780000000002</v>
      </c>
      <c r="BS4" s="16">
        <v>4645.2669999999998</v>
      </c>
      <c r="BT4" s="16">
        <v>5475.37</v>
      </c>
      <c r="BU4" s="16">
        <v>6197.8289999999997</v>
      </c>
      <c r="BV4" s="16">
        <v>6932.7079999999996</v>
      </c>
      <c r="BW4" s="16">
        <v>6914.0780000000004</v>
      </c>
      <c r="BX4" s="16">
        <v>6587.0039999999999</v>
      </c>
      <c r="BY4" s="16">
        <v>7087.9639999999999</v>
      </c>
      <c r="BZ4" s="16">
        <v>7172.8379999999997</v>
      </c>
      <c r="CA4" s="16">
        <v>6280.6319999999996</v>
      </c>
      <c r="CB4" s="16">
        <v>7023.7920000000004</v>
      </c>
      <c r="CC4" s="16">
        <v>7688.2889999999998</v>
      </c>
      <c r="CD4" s="16">
        <v>7189.3980000000001</v>
      </c>
      <c r="CE4" s="16">
        <v>7781.442</v>
      </c>
      <c r="CF4" s="16">
        <v>7839.4049999999997</v>
      </c>
      <c r="CG4" s="16">
        <v>7667.5879999999997</v>
      </c>
      <c r="CH4" s="16">
        <v>8201.6689999999999</v>
      </c>
      <c r="CI4" s="16">
        <v>8969.67</v>
      </c>
      <c r="CJ4" s="16">
        <v>8481.1309999999994</v>
      </c>
      <c r="CK4" s="16">
        <v>8508.0419999999995</v>
      </c>
      <c r="CL4" s="16">
        <v>7781.442</v>
      </c>
      <c r="CM4" s="16">
        <v>9423.0190000000002</v>
      </c>
      <c r="CN4" s="16">
        <v>9503.7520000000004</v>
      </c>
      <c r="CO4" s="16">
        <v>8766.8019999999997</v>
      </c>
      <c r="CP4" s="16">
        <v>8762.6620000000003</v>
      </c>
      <c r="CQ4" s="16">
        <v>8808.2029999999995</v>
      </c>
      <c r="CR4" s="16">
        <v>8922.0589999999993</v>
      </c>
      <c r="CS4" s="16">
        <v>8112.6559999999999</v>
      </c>
      <c r="CT4" s="16">
        <v>8218.2289999999994</v>
      </c>
      <c r="CU4" s="16">
        <v>8058.8329999999996</v>
      </c>
      <c r="CV4" s="16">
        <v>7998.8010000000004</v>
      </c>
      <c r="CW4" s="16">
        <v>7261.8519999999999</v>
      </c>
      <c r="CX4" s="16">
        <v>4852.2749999999996</v>
      </c>
      <c r="CY4" s="16">
        <v>7473</v>
      </c>
      <c r="CZ4" s="16">
        <v>6524</v>
      </c>
      <c r="DA4" s="16">
        <v>7561</v>
      </c>
      <c r="DB4" s="16">
        <v>7017</v>
      </c>
      <c r="DC4" s="16">
        <v>7859</v>
      </c>
      <c r="DD4" s="16">
        <v>7576</v>
      </c>
      <c r="DE4" s="16">
        <v>7644</v>
      </c>
      <c r="DF4" s="16">
        <v>7529</v>
      </c>
      <c r="DG4" s="16">
        <v>8207</v>
      </c>
      <c r="DH4" s="16">
        <v>7616</v>
      </c>
      <c r="DI4" s="16">
        <v>7144</v>
      </c>
      <c r="DJ4" s="16">
        <v>6765</v>
      </c>
      <c r="DK4" s="16">
        <v>7144</v>
      </c>
      <c r="DL4" s="16">
        <v>8166</v>
      </c>
      <c r="DM4" s="16">
        <v>7088</v>
      </c>
      <c r="DN4" s="16">
        <v>7237</v>
      </c>
      <c r="DO4" s="16">
        <v>7194</v>
      </c>
      <c r="DP4" s="16">
        <v>9546</v>
      </c>
      <c r="DQ4" s="16">
        <v>8916</v>
      </c>
      <c r="DR4" s="16">
        <v>8978</v>
      </c>
      <c r="DS4" s="16">
        <v>8736</v>
      </c>
      <c r="DT4" s="16">
        <v>9758</v>
      </c>
      <c r="DU4" s="16">
        <v>9582</v>
      </c>
      <c r="DV4" s="16">
        <v>9869</v>
      </c>
      <c r="DW4" s="16">
        <v>11182</v>
      </c>
      <c r="DX4" s="16">
        <v>10981</v>
      </c>
      <c r="DY4" s="16">
        <v>10322</v>
      </c>
      <c r="DZ4" s="16">
        <v>10085</v>
      </c>
      <c r="EA4" s="16">
        <v>11527</v>
      </c>
      <c r="EB4" s="16">
        <v>13049</v>
      </c>
      <c r="EC4" s="16">
        <v>12279</v>
      </c>
      <c r="ED4" s="16">
        <v>12328</v>
      </c>
      <c r="EE4" s="16">
        <v>14559</v>
      </c>
      <c r="EF4" s="16">
        <v>13671</v>
      </c>
      <c r="EG4" s="16">
        <v>12783</v>
      </c>
      <c r="EH4" s="16">
        <v>11965</v>
      </c>
      <c r="EI4" s="16">
        <v>11415</v>
      </c>
      <c r="EJ4" s="16">
        <v>13253</v>
      </c>
      <c r="EK4" s="16">
        <v>12378</v>
      </c>
      <c r="EL4" s="16">
        <v>11932</v>
      </c>
      <c r="EM4" s="16">
        <v>11085</v>
      </c>
      <c r="EN4" s="16">
        <v>13158</v>
      </c>
      <c r="EO4" s="16">
        <v>11790</v>
      </c>
      <c r="EP4" s="16">
        <v>13900</v>
      </c>
      <c r="EQ4" s="16">
        <v>14053</v>
      </c>
      <c r="ER4" s="16">
        <v>14461</v>
      </c>
      <c r="ES4" s="16">
        <v>14475</v>
      </c>
      <c r="ET4" s="16">
        <v>15546</v>
      </c>
      <c r="EU4" s="16">
        <v>15857</v>
      </c>
      <c r="EV4" s="16">
        <v>15175</v>
      </c>
      <c r="EW4" s="16">
        <v>16450</v>
      </c>
      <c r="EX4" s="16">
        <v>16220</v>
      </c>
      <c r="EY4" s="16">
        <v>17177</v>
      </c>
      <c r="EZ4" s="16">
        <v>15700</v>
      </c>
      <c r="FA4" s="16">
        <v>15983</v>
      </c>
      <c r="FB4" s="16">
        <v>15903</v>
      </c>
      <c r="FC4" s="16">
        <v>16841</v>
      </c>
      <c r="FD4" s="16">
        <v>14079</v>
      </c>
      <c r="FE4" s="16">
        <v>14389</v>
      </c>
      <c r="FF4" s="16">
        <v>14015</v>
      </c>
      <c r="FG4" s="16">
        <v>14435</v>
      </c>
      <c r="FH4" s="16">
        <v>14117</v>
      </c>
      <c r="FI4" s="16">
        <v>12875</v>
      </c>
      <c r="FJ4" s="16">
        <v>12862</v>
      </c>
      <c r="FK4" s="16">
        <v>12103</v>
      </c>
      <c r="FL4" s="16">
        <v>12502</v>
      </c>
      <c r="FM4" s="16">
        <v>12927</v>
      </c>
      <c r="FN4" s="16">
        <v>13289</v>
      </c>
      <c r="FO4" s="16">
        <v>14458</v>
      </c>
      <c r="FP4" s="16">
        <v>13576</v>
      </c>
      <c r="FQ4" s="16">
        <v>14268</v>
      </c>
      <c r="FR4" s="16">
        <v>14639</v>
      </c>
      <c r="FS4" s="16">
        <v>14961</v>
      </c>
      <c r="FT4" s="16">
        <v>14946</v>
      </c>
      <c r="FU4" s="16">
        <v>14169</v>
      </c>
      <c r="FV4" s="16">
        <v>13843</v>
      </c>
      <c r="FW4" s="16">
        <v>13483</v>
      </c>
      <c r="FX4" s="16">
        <v>13914</v>
      </c>
      <c r="FY4" s="16">
        <v>14276</v>
      </c>
      <c r="FZ4" s="16">
        <v>14219</v>
      </c>
      <c r="GA4" s="16">
        <v>14304</v>
      </c>
      <c r="GB4" s="16">
        <v>16121</v>
      </c>
      <c r="GC4" s="16">
        <v>15702</v>
      </c>
      <c r="GD4" s="16">
        <v>15843</v>
      </c>
      <c r="GE4" s="16">
        <v>16065</v>
      </c>
      <c r="GF4" s="16">
        <v>14892</v>
      </c>
      <c r="GG4" s="16">
        <v>15562</v>
      </c>
      <c r="GH4" s="16">
        <v>15438</v>
      </c>
      <c r="GI4" s="16">
        <v>16750</v>
      </c>
      <c r="GJ4" s="16">
        <v>15561</v>
      </c>
      <c r="GK4" s="16">
        <v>15639</v>
      </c>
      <c r="GL4" s="16">
        <v>15702</v>
      </c>
      <c r="GM4" s="16">
        <v>15772</v>
      </c>
      <c r="GN4" s="16">
        <v>17944</v>
      </c>
      <c r="GO4" s="16">
        <v>18096</v>
      </c>
      <c r="GP4" s="16">
        <v>18754</v>
      </c>
      <c r="GQ4" s="16">
        <v>18171</v>
      </c>
      <c r="GR4" s="16">
        <v>19642</v>
      </c>
      <c r="GS4" s="16">
        <v>19918</v>
      </c>
      <c r="GT4" s="16">
        <v>19892</v>
      </c>
      <c r="GU4" s="16">
        <v>20140</v>
      </c>
      <c r="GV4" s="16">
        <v>18894</v>
      </c>
      <c r="GW4" s="16">
        <v>18801</v>
      </c>
      <c r="GX4" s="16">
        <v>19702</v>
      </c>
      <c r="GY4" s="16">
        <v>20023</v>
      </c>
      <c r="GZ4" s="16">
        <v>19563</v>
      </c>
      <c r="HA4" s="16">
        <v>19997</v>
      </c>
      <c r="HB4" s="16">
        <v>20428</v>
      </c>
      <c r="HC4" s="16">
        <v>20010</v>
      </c>
      <c r="HD4" s="16">
        <v>20427</v>
      </c>
      <c r="HE4" s="17">
        <v>19357.03</v>
      </c>
      <c r="HF4" s="17">
        <v>19251.759999999998</v>
      </c>
      <c r="HG4" s="17">
        <v>19127.580000000002</v>
      </c>
      <c r="HH4" s="17">
        <v>18866.810000000001</v>
      </c>
      <c r="HI4" s="17">
        <v>18650.759999999998</v>
      </c>
      <c r="HJ4" s="17">
        <v>18438.400000000001</v>
      </c>
      <c r="HK4" s="17">
        <v>18270.54</v>
      </c>
      <c r="HL4" s="17">
        <v>18212.63</v>
      </c>
      <c r="HM4" s="17">
        <v>18137.73</v>
      </c>
      <c r="HN4" s="17">
        <v>18067.29</v>
      </c>
      <c r="HO4" s="17">
        <v>17961.57</v>
      </c>
      <c r="HP4" s="17">
        <v>17860.27</v>
      </c>
      <c r="HQ4" s="17">
        <v>17755.759999999998</v>
      </c>
      <c r="HR4" s="17">
        <v>17632.75</v>
      </c>
      <c r="HS4" s="17">
        <v>17491.59</v>
      </c>
      <c r="HT4" s="17">
        <v>17342.59</v>
      </c>
      <c r="HU4" s="17">
        <v>17194.86</v>
      </c>
      <c r="HV4" s="17">
        <v>17048.400000000001</v>
      </c>
      <c r="HW4" s="17">
        <v>16915.150000000001</v>
      </c>
      <c r="HX4" s="17">
        <v>16881.32</v>
      </c>
      <c r="HY4" s="17">
        <v>16881.32</v>
      </c>
      <c r="HZ4" s="17">
        <v>16915.080000000002</v>
      </c>
      <c r="IA4" s="17">
        <v>16982.740000000002</v>
      </c>
      <c r="IB4" s="17">
        <v>17059.16</v>
      </c>
      <c r="IC4" s="17">
        <v>17137.64</v>
      </c>
      <c r="ID4" s="17">
        <v>17216.47</v>
      </c>
      <c r="IE4" s="17">
        <v>17295.66</v>
      </c>
      <c r="IF4" s="17">
        <v>17375.22</v>
      </c>
      <c r="IG4" s="17">
        <v>17455.150000000001</v>
      </c>
      <c r="IH4" s="17">
        <v>17535.45</v>
      </c>
      <c r="II4" s="17">
        <v>17616.11</v>
      </c>
      <c r="IJ4" s="17">
        <v>17697.14</v>
      </c>
      <c r="IK4" s="17">
        <v>17778.55</v>
      </c>
      <c r="IL4" s="17">
        <v>17860.330000000002</v>
      </c>
      <c r="IM4" s="17">
        <v>17947.96</v>
      </c>
      <c r="IN4" s="17">
        <v>18035.39</v>
      </c>
      <c r="IO4" s="17">
        <v>18120.91</v>
      </c>
      <c r="IP4" s="17">
        <v>18206.86</v>
      </c>
      <c r="IQ4" s="17">
        <v>18294.45</v>
      </c>
      <c r="IR4" s="17">
        <v>18382.55</v>
      </c>
      <c r="IS4" s="17">
        <v>18467.580000000002</v>
      </c>
      <c r="IT4" s="17">
        <v>18553.14</v>
      </c>
      <c r="IU4" s="17">
        <v>18641.13</v>
      </c>
      <c r="IV4" s="17">
        <v>18729.53</v>
      </c>
      <c r="IW4" s="17">
        <v>18818.349999999999</v>
      </c>
      <c r="IX4" s="17">
        <v>18907.57</v>
      </c>
      <c r="IY4" s="17">
        <v>18998.86</v>
      </c>
      <c r="IZ4" s="17">
        <v>19090.64</v>
      </c>
      <c r="JA4" s="17">
        <v>19182.93</v>
      </c>
      <c r="JB4" s="17">
        <v>19275.72</v>
      </c>
      <c r="JC4" s="17">
        <v>19369.03</v>
      </c>
      <c r="JD4" s="17">
        <v>19462.830000000002</v>
      </c>
      <c r="JE4" s="17">
        <v>19557.150000000001</v>
      </c>
      <c r="JF4" s="17">
        <v>19651.990000000002</v>
      </c>
      <c r="JG4" s="17">
        <v>19748.97</v>
      </c>
      <c r="JH4" s="17">
        <v>19846.509999999998</v>
      </c>
      <c r="JI4" s="17">
        <v>19944.61</v>
      </c>
      <c r="JJ4" s="17">
        <v>20043.27</v>
      </c>
      <c r="JK4" s="17">
        <v>20142.5</v>
      </c>
      <c r="JL4" s="17">
        <v>20242.310000000001</v>
      </c>
      <c r="JM4" s="17">
        <v>20342.689999999999</v>
      </c>
      <c r="JN4" s="17">
        <v>20443.650000000001</v>
      </c>
      <c r="JO4" s="17">
        <v>20545.189999999999</v>
      </c>
      <c r="JP4" s="17">
        <v>20647.16</v>
      </c>
      <c r="JQ4" s="17">
        <v>20749.57</v>
      </c>
      <c r="JR4" s="17">
        <v>20852.41</v>
      </c>
      <c r="JS4" s="17">
        <v>20953.72</v>
      </c>
      <c r="JT4" s="17">
        <v>21055.439999999999</v>
      </c>
      <c r="JU4" s="17">
        <v>21157.56</v>
      </c>
      <c r="JV4" s="17">
        <v>21260.1</v>
      </c>
      <c r="JW4" s="17">
        <v>21363.040000000001</v>
      </c>
      <c r="JX4" s="17">
        <v>21466.39</v>
      </c>
      <c r="JY4" s="17">
        <v>21570.15</v>
      </c>
      <c r="JZ4" s="17">
        <v>21674.32</v>
      </c>
      <c r="KA4" s="17">
        <v>21778.91</v>
      </c>
      <c r="KB4" s="17">
        <v>21883.9</v>
      </c>
      <c r="KC4" s="17">
        <v>21989.279999999999</v>
      </c>
      <c r="KD4" s="17">
        <v>22095.07</v>
      </c>
      <c r="KE4" s="17">
        <v>22201.24</v>
      </c>
      <c r="KF4" s="17">
        <v>22307.82</v>
      </c>
      <c r="KG4" s="17">
        <v>22414.799999999999</v>
      </c>
      <c r="KH4" s="17">
        <v>22522.17</v>
      </c>
      <c r="KI4" s="17">
        <v>22629.95</v>
      </c>
      <c r="KJ4" s="17">
        <v>22738.13</v>
      </c>
      <c r="KK4" s="17">
        <v>22846.720000000001</v>
      </c>
      <c r="KL4" s="17">
        <v>22955.72</v>
      </c>
      <c r="KM4" s="17">
        <v>23065.119999999999</v>
      </c>
      <c r="KN4" s="17">
        <v>23174.94</v>
      </c>
      <c r="KO4" s="17">
        <v>23285.16</v>
      </c>
      <c r="KP4" s="17">
        <v>23395.81</v>
      </c>
      <c r="KQ4" s="17">
        <v>23506.87</v>
      </c>
      <c r="KR4" s="17">
        <v>23618.35</v>
      </c>
      <c r="KS4" s="17">
        <v>23730.25</v>
      </c>
      <c r="KT4" s="17">
        <v>23842.58</v>
      </c>
      <c r="KU4" s="17">
        <v>23955.34</v>
      </c>
      <c r="KV4" s="17">
        <v>24068.53</v>
      </c>
      <c r="KW4" s="17">
        <v>24182.14</v>
      </c>
      <c r="KX4" s="17">
        <v>24296.19</v>
      </c>
      <c r="KY4" s="17">
        <v>24410.67</v>
      </c>
      <c r="KZ4" s="17">
        <v>24525.58</v>
      </c>
      <c r="LA4" s="17">
        <v>24640.92</v>
      </c>
      <c r="LB4" s="17">
        <v>24756.7</v>
      </c>
      <c r="LC4" s="17">
        <v>24872.9</v>
      </c>
      <c r="LD4" s="17">
        <v>24989.55</v>
      </c>
      <c r="LE4" s="17">
        <v>25106.62</v>
      </c>
      <c r="LF4" s="17">
        <v>25224.13</v>
      </c>
      <c r="LG4" s="17">
        <v>25335.599999999999</v>
      </c>
      <c r="LH4" s="17">
        <v>25447.53</v>
      </c>
      <c r="LI4" s="17">
        <v>25558.880000000001</v>
      </c>
      <c r="LJ4" s="17">
        <v>25670.67</v>
      </c>
      <c r="LK4" s="17">
        <v>25782.91</v>
      </c>
      <c r="LL4" s="17">
        <v>25895.59</v>
      </c>
      <c r="LM4" s="17">
        <v>26006.880000000001</v>
      </c>
      <c r="LN4" s="17">
        <v>26118.57</v>
      </c>
      <c r="LO4" s="17">
        <v>26230.66</v>
      </c>
      <c r="LP4" s="17">
        <v>26343.16</v>
      </c>
      <c r="LQ4" s="17">
        <v>26456.11</v>
      </c>
      <c r="LR4" s="17">
        <v>26569.47</v>
      </c>
      <c r="LS4" s="17">
        <v>26683.24</v>
      </c>
      <c r="LT4" s="17">
        <v>26797.42</v>
      </c>
      <c r="LU4" s="17">
        <v>26911.13</v>
      </c>
      <c r="LV4" s="17">
        <v>27025.21</v>
      </c>
      <c r="LW4" s="17">
        <v>27139.7</v>
      </c>
      <c r="LX4" s="17">
        <v>27254.58</v>
      </c>
      <c r="LY4" s="17">
        <v>27369.119999999999</v>
      </c>
      <c r="LZ4" s="17">
        <v>27484.05</v>
      </c>
      <c r="MA4" s="17">
        <v>27599.360000000001</v>
      </c>
      <c r="MB4" s="17">
        <v>27715.040000000001</v>
      </c>
      <c r="MC4" s="17">
        <v>27831.15</v>
      </c>
      <c r="MD4" s="17">
        <v>27947.65</v>
      </c>
      <c r="ME4" s="17">
        <v>28064.54</v>
      </c>
      <c r="MF4" s="17">
        <v>28181.81</v>
      </c>
      <c r="MG4" s="17">
        <v>28300.43</v>
      </c>
      <c r="MH4" s="17">
        <v>28419.47</v>
      </c>
      <c r="MI4" s="17">
        <v>28538.92</v>
      </c>
      <c r="MJ4" s="17">
        <v>28658.79</v>
      </c>
      <c r="MK4" s="17">
        <v>28778.77</v>
      </c>
      <c r="ML4" s="17">
        <v>28899.17</v>
      </c>
      <c r="MM4" s="17">
        <v>29019.98</v>
      </c>
      <c r="MN4" s="17">
        <v>29141.200000000001</v>
      </c>
      <c r="MO4" s="17">
        <v>29263.83</v>
      </c>
      <c r="MP4" s="17">
        <v>29386.89</v>
      </c>
      <c r="MQ4" s="17">
        <v>29510.38</v>
      </c>
      <c r="MR4" s="17">
        <v>29634.31</v>
      </c>
      <c r="MS4" s="17">
        <v>29758.67</v>
      </c>
      <c r="MT4" s="17">
        <v>29883.48</v>
      </c>
      <c r="MU4" s="13" t="s">
        <v>478</v>
      </c>
      <c r="MV4" s="13" t="b">
        <v>1</v>
      </c>
      <c r="MW4" s="15" t="s">
        <v>479</v>
      </c>
      <c r="MX4" s="13" t="s">
        <v>480</v>
      </c>
      <c r="MY4" s="13">
        <v>2024</v>
      </c>
      <c r="MZ4" s="13">
        <v>2</v>
      </c>
      <c r="NA4" s="13" t="s">
        <v>480</v>
      </c>
      <c r="NB4" s="13" t="s">
        <v>490</v>
      </c>
      <c r="NC4" s="15" t="s">
        <v>491</v>
      </c>
      <c r="ND4" s="13" t="s">
        <v>483</v>
      </c>
      <c r="NE4" s="13" t="s">
        <v>492</v>
      </c>
      <c r="NF4" s="15" t="s">
        <v>1268</v>
      </c>
    </row>
    <row r="5" spans="1:370" x14ac:dyDescent="0.25">
      <c r="A5" s="13" t="s">
        <v>473</v>
      </c>
      <c r="B5" s="13" t="s">
        <v>493</v>
      </c>
      <c r="C5" s="15" t="s">
        <v>1267</v>
      </c>
      <c r="D5" s="13" t="s">
        <v>475</v>
      </c>
      <c r="E5" s="13" t="s">
        <v>476</v>
      </c>
      <c r="F5" s="13" t="s">
        <v>477</v>
      </c>
      <c r="G5" s="16">
        <v>13450.47</v>
      </c>
      <c r="H5" s="16">
        <v>15792.05</v>
      </c>
      <c r="I5" s="16">
        <v>13611.14</v>
      </c>
      <c r="J5" s="16">
        <v>14707.46</v>
      </c>
      <c r="K5" s="16">
        <v>12809.24</v>
      </c>
      <c r="L5" s="16">
        <v>13449.96</v>
      </c>
      <c r="M5" s="16">
        <v>11216.25</v>
      </c>
      <c r="N5" s="16">
        <v>12830.99</v>
      </c>
      <c r="O5" s="16">
        <v>13062.66</v>
      </c>
      <c r="P5" s="16">
        <v>14088.71</v>
      </c>
      <c r="Q5" s="16">
        <v>11615.07</v>
      </c>
      <c r="R5" s="16">
        <v>10909.89</v>
      </c>
      <c r="S5" s="16">
        <v>13963.07</v>
      </c>
      <c r="T5" s="16">
        <v>12481.79</v>
      </c>
      <c r="U5" s="16">
        <v>11557.82</v>
      </c>
      <c r="V5" s="16">
        <v>12262.98</v>
      </c>
      <c r="W5" s="16">
        <v>12148.81</v>
      </c>
      <c r="X5" s="16">
        <v>12361.27</v>
      </c>
      <c r="Y5" s="16">
        <v>12422.58</v>
      </c>
      <c r="Z5" s="16">
        <v>13019.65</v>
      </c>
      <c r="AA5" s="16">
        <v>14370.08</v>
      </c>
      <c r="AB5" s="16">
        <v>12568.16</v>
      </c>
      <c r="AC5" s="16">
        <v>12635.81</v>
      </c>
      <c r="AD5" s="16">
        <v>13672.87</v>
      </c>
      <c r="AE5" s="16">
        <v>13675.09</v>
      </c>
      <c r="AF5" s="16">
        <v>13978.23</v>
      </c>
      <c r="AG5" s="16">
        <v>13575.6</v>
      </c>
      <c r="AH5" s="16">
        <v>17375.09</v>
      </c>
      <c r="AI5" s="16">
        <v>15754.29</v>
      </c>
      <c r="AJ5" s="16">
        <v>12819.24</v>
      </c>
      <c r="AK5" s="16">
        <v>13137.29</v>
      </c>
      <c r="AL5" s="16">
        <v>13508.55</v>
      </c>
      <c r="AM5" s="16">
        <v>11987.54</v>
      </c>
      <c r="AN5" s="16">
        <v>13267.17</v>
      </c>
      <c r="AO5" s="16">
        <v>12898.4</v>
      </c>
      <c r="AP5" s="16">
        <v>11177.67</v>
      </c>
      <c r="AQ5" s="16">
        <v>11223.44</v>
      </c>
      <c r="AR5" s="16">
        <v>14181.11</v>
      </c>
      <c r="AS5" s="16">
        <v>13488.73</v>
      </c>
      <c r="AT5" s="16">
        <v>13749.96</v>
      </c>
      <c r="AU5" s="16">
        <v>13561.82</v>
      </c>
      <c r="AV5" s="16">
        <v>13978.23</v>
      </c>
      <c r="AW5" s="16">
        <v>13879.65</v>
      </c>
      <c r="AX5" s="16">
        <v>15058.41</v>
      </c>
      <c r="AY5" s="16">
        <v>15911.72</v>
      </c>
      <c r="AZ5" s="16">
        <v>15348.14</v>
      </c>
      <c r="BA5" s="16">
        <v>14495.64</v>
      </c>
      <c r="BB5" s="16">
        <v>14431.57</v>
      </c>
      <c r="BC5" s="16">
        <v>14297.12</v>
      </c>
      <c r="BD5" s="16">
        <v>14645.11</v>
      </c>
      <c r="BE5" s="16">
        <v>14529.21</v>
      </c>
      <c r="BF5" s="16">
        <v>15163.9</v>
      </c>
      <c r="BG5" s="16">
        <v>15049.71</v>
      </c>
      <c r="BH5" s="16">
        <v>14719.43</v>
      </c>
      <c r="BI5" s="16">
        <v>16450.240000000002</v>
      </c>
      <c r="BJ5" s="16">
        <v>19495</v>
      </c>
      <c r="BK5" s="16">
        <v>16017.31</v>
      </c>
      <c r="BL5" s="16">
        <v>17380.900000000001</v>
      </c>
      <c r="BM5" s="16">
        <v>19869.810000000001</v>
      </c>
      <c r="BN5" s="16">
        <v>18653.12</v>
      </c>
      <c r="BO5" s="16">
        <v>21239.3</v>
      </c>
      <c r="BP5" s="16">
        <v>22900.68</v>
      </c>
      <c r="BQ5" s="16">
        <v>21060.34</v>
      </c>
      <c r="BR5" s="16">
        <v>21274.09</v>
      </c>
      <c r="BS5" s="16">
        <v>23278.18</v>
      </c>
      <c r="BT5" s="16">
        <v>20438.07</v>
      </c>
      <c r="BU5" s="16">
        <v>19257.759999999998</v>
      </c>
      <c r="BV5" s="16">
        <v>17517.099999999999</v>
      </c>
      <c r="BW5" s="16">
        <v>15733.17</v>
      </c>
      <c r="BX5" s="16">
        <v>16720.05</v>
      </c>
      <c r="BY5" s="16">
        <v>16776.009999999998</v>
      </c>
      <c r="BZ5" s="16">
        <v>17186.43</v>
      </c>
      <c r="CA5" s="16">
        <v>14180.01</v>
      </c>
      <c r="CB5" s="16">
        <v>14813.83</v>
      </c>
      <c r="CC5" s="16">
        <v>14853</v>
      </c>
      <c r="CD5" s="16">
        <v>14952.92</v>
      </c>
      <c r="CE5" s="16">
        <v>13888.2</v>
      </c>
      <c r="CF5" s="16">
        <v>15165.35</v>
      </c>
      <c r="CG5" s="16">
        <v>15948.76</v>
      </c>
      <c r="CH5" s="16">
        <v>16346.58</v>
      </c>
      <c r="CI5" s="16">
        <v>13834.44</v>
      </c>
      <c r="CJ5" s="16">
        <v>16870.7</v>
      </c>
      <c r="CK5" s="16">
        <v>17003.060000000001</v>
      </c>
      <c r="CL5" s="16">
        <v>17038.34</v>
      </c>
      <c r="CM5" s="16">
        <v>16831.330000000002</v>
      </c>
      <c r="CN5" s="16">
        <v>16374.56</v>
      </c>
      <c r="CO5" s="16">
        <v>16612.14</v>
      </c>
      <c r="CP5" s="16">
        <v>17468.41</v>
      </c>
      <c r="CQ5" s="16">
        <v>17735.580000000002</v>
      </c>
      <c r="CR5" s="16">
        <v>18015.63</v>
      </c>
      <c r="CS5" s="16">
        <v>16945.8</v>
      </c>
      <c r="CT5" s="16">
        <v>16904.45</v>
      </c>
      <c r="CU5" s="16">
        <v>15230.17</v>
      </c>
      <c r="CV5" s="16">
        <v>17599.84</v>
      </c>
      <c r="CW5" s="16">
        <v>17830.310000000001</v>
      </c>
      <c r="CX5" s="16">
        <v>19137.96</v>
      </c>
      <c r="CY5" s="16">
        <v>17941</v>
      </c>
      <c r="CZ5" s="16">
        <v>17869</v>
      </c>
      <c r="DA5" s="16">
        <v>18316</v>
      </c>
      <c r="DB5" s="16">
        <v>19708</v>
      </c>
      <c r="DC5" s="16">
        <v>17934</v>
      </c>
      <c r="DD5" s="16">
        <v>18418</v>
      </c>
      <c r="DE5" s="16">
        <v>17829</v>
      </c>
      <c r="DF5" s="16">
        <v>18061</v>
      </c>
      <c r="DG5" s="16">
        <v>17844</v>
      </c>
      <c r="DH5" s="16">
        <v>19040</v>
      </c>
      <c r="DI5" s="16">
        <v>19383</v>
      </c>
      <c r="DJ5" s="16">
        <v>19209</v>
      </c>
      <c r="DK5" s="16">
        <v>20285</v>
      </c>
      <c r="DL5" s="16">
        <v>20082</v>
      </c>
      <c r="DM5" s="16">
        <v>20082</v>
      </c>
      <c r="DN5" s="16">
        <v>19861</v>
      </c>
      <c r="DO5" s="16">
        <v>19583</v>
      </c>
      <c r="DP5" s="16">
        <v>19309</v>
      </c>
      <c r="DQ5" s="16">
        <v>20525</v>
      </c>
      <c r="DR5" s="16">
        <v>20032</v>
      </c>
      <c r="DS5" s="16">
        <v>20773</v>
      </c>
      <c r="DT5" s="16">
        <v>20835</v>
      </c>
      <c r="DU5" s="16">
        <v>22606</v>
      </c>
      <c r="DV5" s="16">
        <v>24121</v>
      </c>
      <c r="DW5" s="16">
        <v>21926</v>
      </c>
      <c r="DX5" s="16">
        <v>22628</v>
      </c>
      <c r="DY5" s="16">
        <v>23759</v>
      </c>
      <c r="DZ5" s="16">
        <v>24709</v>
      </c>
      <c r="EA5" s="16">
        <v>25154</v>
      </c>
      <c r="EB5" s="16">
        <v>24324</v>
      </c>
      <c r="EC5" s="16">
        <v>25516</v>
      </c>
      <c r="ED5" s="16">
        <v>25439</v>
      </c>
      <c r="EE5" s="16">
        <v>24930</v>
      </c>
      <c r="EF5" s="16">
        <v>24755</v>
      </c>
      <c r="EG5" s="16">
        <v>24681</v>
      </c>
      <c r="EH5" s="16">
        <v>24138</v>
      </c>
      <c r="EI5" s="16">
        <v>24645</v>
      </c>
      <c r="EJ5" s="16">
        <v>23782</v>
      </c>
      <c r="EK5" s="16">
        <v>23544</v>
      </c>
      <c r="EL5" s="16">
        <v>23450</v>
      </c>
      <c r="EM5" s="16">
        <v>23309</v>
      </c>
      <c r="EN5" s="16">
        <v>22586</v>
      </c>
      <c r="EO5" s="16">
        <v>21795</v>
      </c>
      <c r="EP5" s="16">
        <v>22100</v>
      </c>
      <c r="EQ5" s="16">
        <v>21172</v>
      </c>
      <c r="ER5" s="16">
        <v>20494</v>
      </c>
      <c r="ES5" s="16">
        <v>17153</v>
      </c>
      <c r="ET5" s="16">
        <v>16467</v>
      </c>
      <c r="EU5" s="16">
        <v>14985</v>
      </c>
      <c r="EV5" s="16">
        <v>13801</v>
      </c>
      <c r="EW5" s="16">
        <v>14008</v>
      </c>
      <c r="EX5" s="16">
        <v>13168</v>
      </c>
      <c r="EY5" s="16">
        <v>14142</v>
      </c>
      <c r="EZ5" s="16">
        <v>15485</v>
      </c>
      <c r="FA5" s="16">
        <v>16182</v>
      </c>
      <c r="FB5" s="16">
        <v>15875</v>
      </c>
      <c r="FC5" s="16">
        <v>15335</v>
      </c>
      <c r="FD5" s="16">
        <v>15320</v>
      </c>
      <c r="FE5" s="16">
        <v>15259</v>
      </c>
      <c r="FF5" s="16">
        <v>14984</v>
      </c>
      <c r="FG5" s="16">
        <v>14100</v>
      </c>
      <c r="FH5" s="16">
        <v>14523</v>
      </c>
      <c r="FI5" s="16">
        <v>14857</v>
      </c>
      <c r="FJ5" s="16">
        <v>14679</v>
      </c>
      <c r="FK5" s="16">
        <v>14767</v>
      </c>
      <c r="FL5" s="16">
        <v>16347</v>
      </c>
      <c r="FM5" s="16">
        <v>16478</v>
      </c>
      <c r="FN5" s="16">
        <v>16478</v>
      </c>
      <c r="FO5" s="16">
        <v>16841</v>
      </c>
      <c r="FP5" s="16">
        <v>16319</v>
      </c>
      <c r="FQ5" s="16">
        <v>17168</v>
      </c>
      <c r="FR5" s="16">
        <v>16910</v>
      </c>
      <c r="FS5" s="16">
        <v>16893</v>
      </c>
      <c r="FT5" s="16">
        <v>18717</v>
      </c>
      <c r="FU5" s="16">
        <v>18492</v>
      </c>
      <c r="FV5" s="16">
        <v>18806</v>
      </c>
      <c r="FW5" s="16">
        <v>18674</v>
      </c>
      <c r="FX5" s="16">
        <v>18805</v>
      </c>
      <c r="FY5" s="16">
        <v>19614</v>
      </c>
      <c r="FZ5" s="16">
        <v>20791</v>
      </c>
      <c r="GA5" s="16">
        <v>21186</v>
      </c>
      <c r="GB5" s="16">
        <v>21250</v>
      </c>
      <c r="GC5" s="16">
        <v>21505</v>
      </c>
      <c r="GD5" s="16">
        <v>22580</v>
      </c>
      <c r="GE5" s="16">
        <v>23054</v>
      </c>
      <c r="GF5" s="16">
        <v>24068</v>
      </c>
      <c r="GG5" s="16">
        <v>23611</v>
      </c>
      <c r="GH5" s="16">
        <v>23729</v>
      </c>
      <c r="GI5" s="16">
        <v>24298</v>
      </c>
      <c r="GJ5" s="16">
        <v>24371</v>
      </c>
      <c r="GK5" s="16">
        <v>25029</v>
      </c>
      <c r="GL5" s="16">
        <v>23677</v>
      </c>
      <c r="GM5" s="16">
        <v>23159</v>
      </c>
      <c r="GN5" s="16">
        <v>13072</v>
      </c>
      <c r="GO5" s="16">
        <v>21781</v>
      </c>
      <c r="GP5" s="16">
        <v>23176</v>
      </c>
      <c r="GQ5" s="16">
        <v>24762</v>
      </c>
      <c r="GR5" s="16">
        <v>24236</v>
      </c>
      <c r="GS5" s="16">
        <v>24316</v>
      </c>
      <c r="GT5" s="16">
        <v>24485</v>
      </c>
      <c r="GU5" s="16">
        <v>25499</v>
      </c>
      <c r="GV5" s="16">
        <v>25451</v>
      </c>
      <c r="GW5" s="16">
        <v>25632</v>
      </c>
      <c r="GX5" s="16">
        <v>25319</v>
      </c>
      <c r="GY5" s="16">
        <v>24843</v>
      </c>
      <c r="GZ5" s="16">
        <v>23934</v>
      </c>
      <c r="HA5" s="16">
        <v>23418</v>
      </c>
      <c r="HB5" s="16">
        <v>23136</v>
      </c>
      <c r="HC5" s="16">
        <v>24194</v>
      </c>
      <c r="HD5" s="16">
        <v>23666</v>
      </c>
      <c r="HE5" s="17">
        <v>23571.34</v>
      </c>
      <c r="HF5" s="17">
        <v>23540.74</v>
      </c>
      <c r="HG5" s="17">
        <v>23611.37</v>
      </c>
      <c r="HH5" s="17">
        <v>23807.279999999999</v>
      </c>
      <c r="HI5" s="17">
        <v>24002.5</v>
      </c>
      <c r="HJ5" s="17">
        <v>24211.37</v>
      </c>
      <c r="HK5" s="17">
        <v>24432.85</v>
      </c>
      <c r="HL5" s="17">
        <v>24652.75</v>
      </c>
      <c r="HM5" s="17">
        <v>24879.59</v>
      </c>
      <c r="HN5" s="17">
        <v>25103.46</v>
      </c>
      <c r="HO5" s="17">
        <v>25329.41</v>
      </c>
      <c r="HP5" s="17">
        <v>25557.37</v>
      </c>
      <c r="HQ5" s="17">
        <v>25761.86</v>
      </c>
      <c r="HR5" s="17">
        <v>25967.919999999998</v>
      </c>
      <c r="HS5" s="17">
        <v>26162.68</v>
      </c>
      <c r="HT5" s="17">
        <v>26345.82</v>
      </c>
      <c r="HU5" s="17">
        <v>26517.07</v>
      </c>
      <c r="HV5" s="17">
        <v>26676.17</v>
      </c>
      <c r="HW5" s="17">
        <v>26809.55</v>
      </c>
      <c r="HX5" s="17">
        <v>26916.79</v>
      </c>
      <c r="HY5" s="17">
        <v>27011</v>
      </c>
      <c r="HZ5" s="17">
        <v>27105.54</v>
      </c>
      <c r="IA5" s="17">
        <v>27200.400000000001</v>
      </c>
      <c r="IB5" s="17">
        <v>27295.61</v>
      </c>
      <c r="IC5" s="17">
        <v>27393.87</v>
      </c>
      <c r="ID5" s="17">
        <v>27492.49</v>
      </c>
      <c r="IE5" s="17">
        <v>27591.46</v>
      </c>
      <c r="IF5" s="17">
        <v>27690.79</v>
      </c>
      <c r="IG5" s="17">
        <v>27790.48</v>
      </c>
      <c r="IH5" s="17">
        <v>27890.52</v>
      </c>
      <c r="II5" s="17">
        <v>27990.93</v>
      </c>
      <c r="IJ5" s="17">
        <v>28091.7</v>
      </c>
      <c r="IK5" s="17">
        <v>28192.83</v>
      </c>
      <c r="IL5" s="17">
        <v>28294.32</v>
      </c>
      <c r="IM5" s="17">
        <v>28404.29</v>
      </c>
      <c r="IN5" s="17">
        <v>28513.68</v>
      </c>
      <c r="IO5" s="17">
        <v>28619.79</v>
      </c>
      <c r="IP5" s="17">
        <v>28726.35</v>
      </c>
      <c r="IQ5" s="17">
        <v>28835.25</v>
      </c>
      <c r="IR5" s="17">
        <v>28944.7</v>
      </c>
      <c r="IS5" s="17">
        <v>29049.07</v>
      </c>
      <c r="IT5" s="17">
        <v>29154.02</v>
      </c>
      <c r="IU5" s="17">
        <v>29262.54</v>
      </c>
      <c r="IV5" s="17">
        <v>29371.46</v>
      </c>
      <c r="IW5" s="17">
        <v>29480.79</v>
      </c>
      <c r="IX5" s="17">
        <v>29590.5</v>
      </c>
      <c r="IY5" s="17">
        <v>29703.18</v>
      </c>
      <c r="IZ5" s="17">
        <v>29816.37</v>
      </c>
      <c r="JA5" s="17">
        <v>29930.1</v>
      </c>
      <c r="JB5" s="17">
        <v>30044.35</v>
      </c>
      <c r="JC5" s="17">
        <v>30159.14</v>
      </c>
      <c r="JD5" s="17">
        <v>30274.44</v>
      </c>
      <c r="JE5" s="17">
        <v>30390.27</v>
      </c>
      <c r="JF5" s="17">
        <v>30506.639999999999</v>
      </c>
      <c r="JG5" s="17">
        <v>30626.080000000002</v>
      </c>
      <c r="JH5" s="17">
        <v>30746.1</v>
      </c>
      <c r="JI5" s="17">
        <v>30866.71</v>
      </c>
      <c r="JJ5" s="17">
        <v>30987.93</v>
      </c>
      <c r="JK5" s="17">
        <v>31109.73</v>
      </c>
      <c r="JL5" s="17">
        <v>31232.15</v>
      </c>
      <c r="JM5" s="17">
        <v>31355.17</v>
      </c>
      <c r="JN5" s="17">
        <v>31478.799999999999</v>
      </c>
      <c r="JO5" s="17">
        <v>31603.040000000001</v>
      </c>
      <c r="JP5" s="17">
        <v>31727.66</v>
      </c>
      <c r="JQ5" s="17">
        <v>31852.67</v>
      </c>
      <c r="JR5" s="17">
        <v>31978.05</v>
      </c>
      <c r="JS5" s="17">
        <v>32100.799999999999</v>
      </c>
      <c r="JT5" s="17">
        <v>32223.89</v>
      </c>
      <c r="JU5" s="17">
        <v>32347.31</v>
      </c>
      <c r="JV5" s="17">
        <v>32471.08</v>
      </c>
      <c r="JW5" s="17">
        <v>32595.18</v>
      </c>
      <c r="JX5" s="17">
        <v>32719.63</v>
      </c>
      <c r="JY5" s="17">
        <v>32844.410000000003</v>
      </c>
      <c r="JZ5" s="17">
        <v>32969.53</v>
      </c>
      <c r="KA5" s="17">
        <v>33094.980000000003</v>
      </c>
      <c r="KB5" s="17">
        <v>33220.769999999997</v>
      </c>
      <c r="KC5" s="17">
        <v>33346.86</v>
      </c>
      <c r="KD5" s="17">
        <v>33473.269999999997</v>
      </c>
      <c r="KE5" s="17">
        <v>33599.980000000003</v>
      </c>
      <c r="KF5" s="17">
        <v>33727</v>
      </c>
      <c r="KG5" s="17">
        <v>33854.339999999997</v>
      </c>
      <c r="KH5" s="17">
        <v>33981.99</v>
      </c>
      <c r="KI5" s="17">
        <v>34109.949999999997</v>
      </c>
      <c r="KJ5" s="17">
        <v>34238.21</v>
      </c>
      <c r="KK5" s="17">
        <v>34366.800000000003</v>
      </c>
      <c r="KL5" s="17">
        <v>34495.699999999997</v>
      </c>
      <c r="KM5" s="17">
        <v>34624.92</v>
      </c>
      <c r="KN5" s="17">
        <v>34754.449999999997</v>
      </c>
      <c r="KO5" s="17">
        <v>34884.300000000003</v>
      </c>
      <c r="KP5" s="17">
        <v>35014.480000000003</v>
      </c>
      <c r="KQ5" s="17">
        <v>35144.980000000003</v>
      </c>
      <c r="KR5" s="17">
        <v>35275.800000000003</v>
      </c>
      <c r="KS5" s="17">
        <v>35406.959999999999</v>
      </c>
      <c r="KT5" s="17">
        <v>35538.449999999997</v>
      </c>
      <c r="KU5" s="17">
        <v>35670.269999999997</v>
      </c>
      <c r="KV5" s="17">
        <v>35802.43</v>
      </c>
      <c r="KW5" s="17">
        <v>35934.92</v>
      </c>
      <c r="KX5" s="17">
        <v>36067.74</v>
      </c>
      <c r="KY5" s="17">
        <v>36200.89</v>
      </c>
      <c r="KZ5" s="17">
        <v>36334.39</v>
      </c>
      <c r="LA5" s="17">
        <v>36468.199999999997</v>
      </c>
      <c r="LB5" s="17">
        <v>36602.35</v>
      </c>
      <c r="LC5" s="17">
        <v>36736.82</v>
      </c>
      <c r="LD5" s="17">
        <v>36871.629999999997</v>
      </c>
      <c r="LE5" s="17">
        <v>37006.76</v>
      </c>
      <c r="LF5" s="17">
        <v>37142.22</v>
      </c>
      <c r="LG5" s="17">
        <v>37268.47</v>
      </c>
      <c r="LH5" s="17">
        <v>37395.1</v>
      </c>
      <c r="LI5" s="17">
        <v>37520.589999999997</v>
      </c>
      <c r="LJ5" s="17">
        <v>37646.43</v>
      </c>
      <c r="LK5" s="17">
        <v>37772.629999999997</v>
      </c>
      <c r="LL5" s="17">
        <v>37899.18</v>
      </c>
      <c r="LM5" s="17">
        <v>38023.4</v>
      </c>
      <c r="LN5" s="17">
        <v>38147.910000000003</v>
      </c>
      <c r="LO5" s="17">
        <v>38272.71</v>
      </c>
      <c r="LP5" s="17">
        <v>38397.83</v>
      </c>
      <c r="LQ5" s="17">
        <v>38523.300000000003</v>
      </c>
      <c r="LR5" s="17">
        <v>38649.07</v>
      </c>
      <c r="LS5" s="17">
        <v>38775.15</v>
      </c>
      <c r="LT5" s="17">
        <v>38901.519999999997</v>
      </c>
      <c r="LU5" s="17">
        <v>39026.9</v>
      </c>
      <c r="LV5" s="17">
        <v>39152.54</v>
      </c>
      <c r="LW5" s="17">
        <v>39278.47</v>
      </c>
      <c r="LX5" s="17">
        <v>39404.67</v>
      </c>
      <c r="LY5" s="17">
        <v>39530.080000000002</v>
      </c>
      <c r="LZ5" s="17">
        <v>39655.75</v>
      </c>
      <c r="MA5" s="17">
        <v>39781.68</v>
      </c>
      <c r="MB5" s="17">
        <v>39907.839999999997</v>
      </c>
      <c r="MC5" s="17">
        <v>40034.33</v>
      </c>
      <c r="MD5" s="17">
        <v>40161.07</v>
      </c>
      <c r="ME5" s="17">
        <v>40288.080000000002</v>
      </c>
      <c r="MF5" s="17">
        <v>40415.339999999997</v>
      </c>
      <c r="MG5" s="17">
        <v>40544.230000000003</v>
      </c>
      <c r="MH5" s="17">
        <v>40673.42</v>
      </c>
      <c r="MI5" s="17">
        <v>40802.879999999997</v>
      </c>
      <c r="MJ5" s="17">
        <v>40932.639999999999</v>
      </c>
      <c r="MK5" s="17">
        <v>41062.26</v>
      </c>
      <c r="ML5" s="17">
        <v>41192.17</v>
      </c>
      <c r="MM5" s="17">
        <v>41322.35</v>
      </c>
      <c r="MN5" s="17">
        <v>41452.81</v>
      </c>
      <c r="MO5" s="17">
        <v>41584.959999999999</v>
      </c>
      <c r="MP5" s="17">
        <v>41717.42</v>
      </c>
      <c r="MQ5" s="17">
        <v>41850.18</v>
      </c>
      <c r="MR5" s="17">
        <v>41983.23</v>
      </c>
      <c r="MS5" s="17">
        <v>42116.6</v>
      </c>
      <c r="MT5" s="17">
        <v>42250.27</v>
      </c>
      <c r="MU5" s="13" t="s">
        <v>478</v>
      </c>
      <c r="MV5" s="13" t="b">
        <v>1</v>
      </c>
      <c r="MW5" s="15" t="s">
        <v>479</v>
      </c>
      <c r="MX5" s="13" t="s">
        <v>480</v>
      </c>
      <c r="MY5" s="13">
        <v>2024</v>
      </c>
      <c r="MZ5" s="13">
        <v>2</v>
      </c>
      <c r="NA5" s="13" t="s">
        <v>480</v>
      </c>
      <c r="NB5" s="15" t="s">
        <v>494</v>
      </c>
      <c r="NC5" s="15" t="s">
        <v>495</v>
      </c>
      <c r="ND5" s="13" t="s">
        <v>483</v>
      </c>
      <c r="NE5" s="13" t="s">
        <v>496</v>
      </c>
      <c r="NF5" s="15" t="s">
        <v>1268</v>
      </c>
    </row>
    <row r="6" spans="1:370" x14ac:dyDescent="0.25">
      <c r="A6" s="13" t="s">
        <v>473</v>
      </c>
      <c r="B6" s="13" t="s">
        <v>1225</v>
      </c>
      <c r="C6" s="15" t="s">
        <v>1267</v>
      </c>
      <c r="D6" s="13" t="s">
        <v>475</v>
      </c>
      <c r="E6" s="13" t="s">
        <v>476</v>
      </c>
      <c r="F6" s="13" t="s">
        <v>477</v>
      </c>
      <c r="G6" s="16">
        <v>12150.59</v>
      </c>
      <c r="H6" s="16">
        <v>8916.0490000000009</v>
      </c>
      <c r="I6" s="16">
        <v>9648.8960000000006</v>
      </c>
      <c r="J6" s="16">
        <v>8191.7120000000004</v>
      </c>
      <c r="K6" s="16">
        <v>8816.4549999999999</v>
      </c>
      <c r="L6" s="16">
        <v>7007.8239999999996</v>
      </c>
      <c r="M6" s="16">
        <v>7794.3789999999999</v>
      </c>
      <c r="N6" s="16">
        <v>6474.0439999999999</v>
      </c>
      <c r="O6" s="16">
        <v>5873.9030000000002</v>
      </c>
      <c r="P6" s="16">
        <v>4734.326</v>
      </c>
      <c r="Q6" s="16">
        <v>6460.2479999999996</v>
      </c>
      <c r="R6" s="16">
        <v>6202.6530000000002</v>
      </c>
      <c r="S6" s="16">
        <v>4792.8239999999996</v>
      </c>
      <c r="T6" s="16">
        <v>5686.44</v>
      </c>
      <c r="U6" s="16">
        <v>6439.7929999999997</v>
      </c>
      <c r="V6" s="16">
        <v>6248.4409999999998</v>
      </c>
      <c r="W6" s="16">
        <v>6358.2349999999997</v>
      </c>
      <c r="X6" s="16">
        <v>7515.9970000000003</v>
      </c>
      <c r="Y6" s="16">
        <v>7803.1809999999996</v>
      </c>
      <c r="Z6" s="16">
        <v>8187.57</v>
      </c>
      <c r="AA6" s="16">
        <v>8317.0049999999992</v>
      </c>
      <c r="AB6" s="16">
        <v>10077.41</v>
      </c>
      <c r="AC6" s="16">
        <v>10571.61</v>
      </c>
      <c r="AD6" s="16">
        <v>10247.58</v>
      </c>
      <c r="AE6" s="16">
        <v>11839.49</v>
      </c>
      <c r="AF6" s="16">
        <v>12374.36</v>
      </c>
      <c r="AG6" s="16">
        <v>13153.53</v>
      </c>
      <c r="AH6" s="16">
        <v>10743.52</v>
      </c>
      <c r="AI6" s="16">
        <v>10626.66</v>
      </c>
      <c r="AJ6" s="16">
        <v>11810.56</v>
      </c>
      <c r="AK6" s="16">
        <v>11150.06</v>
      </c>
      <c r="AL6" s="16">
        <v>10786.63</v>
      </c>
      <c r="AM6" s="16">
        <v>11089.43</v>
      </c>
      <c r="AN6" s="16">
        <v>10962</v>
      </c>
      <c r="AO6" s="16">
        <v>12176.2</v>
      </c>
      <c r="AP6" s="16">
        <v>13292.88</v>
      </c>
      <c r="AQ6" s="16">
        <v>13221</v>
      </c>
      <c r="AR6" s="16">
        <v>11916.42</v>
      </c>
      <c r="AS6" s="16">
        <v>13061.23</v>
      </c>
      <c r="AT6" s="16">
        <v>13141.58</v>
      </c>
      <c r="AU6" s="16">
        <v>14260.57</v>
      </c>
      <c r="AV6" s="16">
        <v>13818.42</v>
      </c>
      <c r="AW6" s="16">
        <v>13953.22</v>
      </c>
      <c r="AX6" s="16">
        <v>13558.43</v>
      </c>
      <c r="AY6" s="16">
        <v>13731.5</v>
      </c>
      <c r="AZ6" s="16">
        <v>13491.2</v>
      </c>
      <c r="BA6" s="16">
        <v>13805.98</v>
      </c>
      <c r="BB6" s="16">
        <v>13663.98</v>
      </c>
      <c r="BC6" s="16">
        <v>15963.82</v>
      </c>
      <c r="BD6" s="16">
        <v>13111.97</v>
      </c>
      <c r="BE6" s="16">
        <v>12998.33</v>
      </c>
      <c r="BF6" s="16">
        <v>12070.63</v>
      </c>
      <c r="BG6" s="16">
        <v>10965</v>
      </c>
      <c r="BH6" s="16">
        <v>11016.99</v>
      </c>
      <c r="BI6" s="16">
        <v>10503.69</v>
      </c>
      <c r="BJ6" s="16">
        <v>9811.6080000000002</v>
      </c>
      <c r="BK6" s="16">
        <v>13765.02</v>
      </c>
      <c r="BL6" s="16">
        <v>14338.65</v>
      </c>
      <c r="BM6" s="16">
        <v>14703.59</v>
      </c>
      <c r="BN6" s="16">
        <v>15736.07</v>
      </c>
      <c r="BO6" s="16">
        <v>15865.66</v>
      </c>
      <c r="BP6" s="16">
        <v>14592.47</v>
      </c>
      <c r="BQ6" s="16">
        <v>16451.080000000002</v>
      </c>
      <c r="BR6" s="16">
        <v>15663.96</v>
      </c>
      <c r="BS6" s="16">
        <v>15769</v>
      </c>
      <c r="BT6" s="16">
        <v>15916.46</v>
      </c>
      <c r="BU6" s="16">
        <v>16393.599999999999</v>
      </c>
      <c r="BV6" s="16">
        <v>16751.75</v>
      </c>
      <c r="BW6" s="16">
        <v>18933.240000000002</v>
      </c>
      <c r="BX6" s="16">
        <v>16739.169999999998</v>
      </c>
      <c r="BY6" s="16">
        <v>16130.58</v>
      </c>
      <c r="BZ6" s="16">
        <v>15241.22</v>
      </c>
      <c r="CA6" s="16">
        <v>16560.03</v>
      </c>
      <c r="CB6" s="16">
        <v>15410.23</v>
      </c>
      <c r="CC6" s="16">
        <v>14799.49</v>
      </c>
      <c r="CD6" s="16">
        <v>14749.24</v>
      </c>
      <c r="CE6" s="16">
        <v>15247.73</v>
      </c>
      <c r="CF6" s="16">
        <v>14116.89</v>
      </c>
      <c r="CG6" s="16">
        <v>13799.74</v>
      </c>
      <c r="CH6" s="16">
        <v>12502.22</v>
      </c>
      <c r="CI6" s="16">
        <v>15129.25</v>
      </c>
      <c r="CJ6" s="16">
        <v>13131.39</v>
      </c>
      <c r="CK6" s="16">
        <v>13026.59</v>
      </c>
      <c r="CL6" s="16">
        <v>14543.08</v>
      </c>
      <c r="CM6" s="16">
        <v>13383.47</v>
      </c>
      <c r="CN6" s="16">
        <v>12561.4</v>
      </c>
      <c r="CO6" s="16">
        <v>12588.3</v>
      </c>
      <c r="CP6" s="16">
        <v>11227.93</v>
      </c>
      <c r="CQ6" s="16">
        <v>10582.4</v>
      </c>
      <c r="CR6" s="16">
        <v>9334.8829999999998</v>
      </c>
      <c r="CS6" s="16">
        <v>10263.69</v>
      </c>
      <c r="CT6" s="16">
        <v>10043.25</v>
      </c>
      <c r="CU6" s="16">
        <v>12648.85</v>
      </c>
      <c r="CV6" s="16">
        <v>11699.53</v>
      </c>
      <c r="CW6" s="16">
        <v>11343.34</v>
      </c>
      <c r="CX6" s="16">
        <v>10248.34</v>
      </c>
      <c r="CY6" s="16">
        <v>3287</v>
      </c>
      <c r="CZ6" s="16">
        <v>3427</v>
      </c>
      <c r="DA6" s="16">
        <v>3430</v>
      </c>
      <c r="DB6" s="16">
        <v>3182</v>
      </c>
      <c r="DC6" s="16">
        <v>4030</v>
      </c>
      <c r="DD6" s="16">
        <v>3953</v>
      </c>
      <c r="DE6" s="16">
        <v>4238</v>
      </c>
      <c r="DF6" s="16">
        <v>4575</v>
      </c>
      <c r="DG6" s="16">
        <v>4367</v>
      </c>
      <c r="DH6" s="16">
        <v>3800</v>
      </c>
      <c r="DI6" s="16">
        <v>3889</v>
      </c>
      <c r="DJ6" s="16">
        <v>4203</v>
      </c>
      <c r="DK6" s="16">
        <v>4046</v>
      </c>
      <c r="DL6" s="16">
        <v>5000</v>
      </c>
      <c r="DM6" s="16">
        <v>3669</v>
      </c>
      <c r="DN6" s="16">
        <v>4477</v>
      </c>
      <c r="DO6" s="16">
        <v>5142</v>
      </c>
      <c r="DP6" s="16">
        <v>5463</v>
      </c>
      <c r="DQ6" s="16">
        <v>4811</v>
      </c>
      <c r="DR6" s="16">
        <v>4448</v>
      </c>
      <c r="DS6" s="16">
        <v>4628</v>
      </c>
      <c r="DT6" s="16">
        <v>3963</v>
      </c>
      <c r="DU6" s="16">
        <v>4103</v>
      </c>
      <c r="DV6" s="16">
        <v>4518</v>
      </c>
      <c r="DW6" s="16">
        <v>5733</v>
      </c>
      <c r="DX6" s="16">
        <v>4325</v>
      </c>
      <c r="DY6" s="16">
        <v>3973</v>
      </c>
      <c r="DZ6" s="16">
        <v>3692</v>
      </c>
      <c r="EA6" s="16">
        <v>3855</v>
      </c>
      <c r="EB6" s="16">
        <v>6026</v>
      </c>
      <c r="EC6" s="16">
        <v>4759</v>
      </c>
      <c r="ED6" s="16">
        <v>4207</v>
      </c>
      <c r="EE6" s="16">
        <v>4337</v>
      </c>
      <c r="EF6" s="16">
        <v>6267.5</v>
      </c>
      <c r="EG6" s="16">
        <v>5225</v>
      </c>
      <c r="EH6" s="16">
        <v>6367</v>
      </c>
      <c r="EI6" s="16">
        <v>5151</v>
      </c>
      <c r="EJ6" s="16">
        <v>6362</v>
      </c>
      <c r="EK6" s="16">
        <v>7079</v>
      </c>
      <c r="EL6" s="16">
        <v>7187</v>
      </c>
      <c r="EM6" s="16">
        <v>7002</v>
      </c>
      <c r="EN6" s="16">
        <v>7210</v>
      </c>
      <c r="EO6" s="16">
        <v>7874</v>
      </c>
      <c r="EP6" s="16">
        <v>7783</v>
      </c>
      <c r="EQ6" s="16">
        <v>7895</v>
      </c>
      <c r="ER6" s="16">
        <v>7333</v>
      </c>
      <c r="ES6" s="16">
        <v>7734</v>
      </c>
      <c r="ET6" s="16">
        <v>7556</v>
      </c>
      <c r="EU6" s="16">
        <v>7842</v>
      </c>
      <c r="EV6" s="16">
        <v>8475</v>
      </c>
      <c r="EW6" s="16">
        <v>8422</v>
      </c>
      <c r="EX6" s="16">
        <v>8531</v>
      </c>
      <c r="EY6" s="16">
        <v>8846</v>
      </c>
      <c r="EZ6" s="16">
        <v>8388</v>
      </c>
      <c r="FA6" s="16">
        <v>8695</v>
      </c>
      <c r="FB6" s="16">
        <v>8518</v>
      </c>
      <c r="FC6" s="16">
        <v>7990</v>
      </c>
      <c r="FD6" s="16">
        <v>7469</v>
      </c>
      <c r="FE6" s="16">
        <v>7610</v>
      </c>
      <c r="FF6" s="16">
        <v>7840</v>
      </c>
      <c r="FG6" s="16">
        <v>7829</v>
      </c>
      <c r="FH6" s="16">
        <v>7653</v>
      </c>
      <c r="FI6" s="16">
        <v>7556</v>
      </c>
      <c r="FJ6" s="16">
        <v>8321</v>
      </c>
      <c r="FK6" s="16">
        <v>7928</v>
      </c>
      <c r="FL6" s="16">
        <v>8456</v>
      </c>
      <c r="FM6" s="16">
        <v>8303</v>
      </c>
      <c r="FN6" s="16">
        <v>8133</v>
      </c>
      <c r="FO6" s="16">
        <v>8579</v>
      </c>
      <c r="FP6" s="16">
        <v>9535</v>
      </c>
      <c r="FQ6" s="16">
        <v>9261</v>
      </c>
      <c r="FR6" s="16">
        <v>9647</v>
      </c>
      <c r="FS6" s="16">
        <v>9205</v>
      </c>
      <c r="FT6" s="16">
        <v>9398</v>
      </c>
      <c r="FU6" s="16">
        <v>9548</v>
      </c>
      <c r="FV6" s="16">
        <v>9075</v>
      </c>
      <c r="FW6" s="16">
        <v>9211</v>
      </c>
      <c r="FX6" s="16">
        <v>9696</v>
      </c>
      <c r="FY6" s="16">
        <v>9981</v>
      </c>
      <c r="FZ6" s="16">
        <v>10211</v>
      </c>
      <c r="GA6" s="16">
        <v>10129</v>
      </c>
      <c r="GB6" s="16">
        <v>9891</v>
      </c>
      <c r="GC6" s="16">
        <v>10142</v>
      </c>
      <c r="GD6" s="16">
        <v>9560</v>
      </c>
      <c r="GE6" s="16">
        <v>8636</v>
      </c>
      <c r="GF6" s="16">
        <v>8814</v>
      </c>
      <c r="GG6" s="16">
        <v>8519</v>
      </c>
      <c r="GH6" s="16">
        <v>7959</v>
      </c>
      <c r="GI6" s="16">
        <v>8699</v>
      </c>
      <c r="GJ6" s="16">
        <v>7933</v>
      </c>
      <c r="GK6" s="16">
        <v>8342</v>
      </c>
      <c r="GL6" s="16">
        <v>8312</v>
      </c>
      <c r="GM6" s="16">
        <v>6687</v>
      </c>
      <c r="GN6" s="16">
        <v>6270</v>
      </c>
      <c r="GO6" s="16">
        <v>5489</v>
      </c>
      <c r="GP6" s="16">
        <v>6643</v>
      </c>
      <c r="GQ6" s="16">
        <v>6732</v>
      </c>
      <c r="GR6" s="16">
        <v>6735</v>
      </c>
      <c r="GS6" s="16">
        <v>6950</v>
      </c>
      <c r="GT6" s="16">
        <v>7290</v>
      </c>
      <c r="GU6" s="16">
        <v>8499</v>
      </c>
      <c r="GV6" s="16">
        <v>8305</v>
      </c>
      <c r="GW6" s="16">
        <v>7961</v>
      </c>
      <c r="GX6" s="16">
        <v>7518</v>
      </c>
      <c r="GY6" s="16">
        <v>7482</v>
      </c>
      <c r="GZ6" s="16">
        <v>7360</v>
      </c>
      <c r="HA6" s="16">
        <v>7388</v>
      </c>
      <c r="HB6" s="16">
        <v>7256</v>
      </c>
      <c r="HC6" s="16">
        <v>7605</v>
      </c>
      <c r="HD6" s="16">
        <v>7490</v>
      </c>
      <c r="HE6" s="17">
        <v>7561.1549999999997</v>
      </c>
      <c r="HF6" s="17">
        <v>7674.5720000000001</v>
      </c>
      <c r="HG6" s="17">
        <v>7789.6909999999998</v>
      </c>
      <c r="HH6" s="17">
        <v>7906.5360000000001</v>
      </c>
      <c r="HI6" s="17">
        <v>7985.6019999999999</v>
      </c>
      <c r="HJ6" s="17">
        <v>8065.4579999999996</v>
      </c>
      <c r="HK6" s="17">
        <v>8146.1120000000001</v>
      </c>
      <c r="HL6" s="17">
        <v>8211.2810000000009</v>
      </c>
      <c r="HM6" s="17">
        <v>8268.76</v>
      </c>
      <c r="HN6" s="17">
        <v>8318.3729999999996</v>
      </c>
      <c r="HO6" s="17">
        <v>8364.1239999999998</v>
      </c>
      <c r="HP6" s="17">
        <v>8405.9439999999995</v>
      </c>
      <c r="HQ6" s="17">
        <v>8445.4519999999993</v>
      </c>
      <c r="HR6" s="17">
        <v>8485.1460000000006</v>
      </c>
      <c r="HS6" s="17">
        <v>8525.0259999999998</v>
      </c>
      <c r="HT6" s="17">
        <v>8565.0939999999991</v>
      </c>
      <c r="HU6" s="17">
        <v>8605.35</v>
      </c>
      <c r="HV6" s="17">
        <v>8645.7950000000001</v>
      </c>
      <c r="HW6" s="17">
        <v>8686.43</v>
      </c>
      <c r="HX6" s="17">
        <v>8727.2559999999994</v>
      </c>
      <c r="HY6" s="17">
        <v>8768.2739999999994</v>
      </c>
      <c r="HZ6" s="17">
        <v>8809.4850000000006</v>
      </c>
      <c r="IA6" s="17">
        <v>8850.89</v>
      </c>
      <c r="IB6" s="17">
        <v>8892.4889999999996</v>
      </c>
      <c r="IC6" s="17">
        <v>8934.2829999999994</v>
      </c>
      <c r="ID6" s="17">
        <v>8976.2739999999994</v>
      </c>
      <c r="IE6" s="17">
        <v>9018.4629999999997</v>
      </c>
      <c r="IF6" s="17">
        <v>9060.85</v>
      </c>
      <c r="IG6" s="17">
        <v>9103.4369999999999</v>
      </c>
      <c r="IH6" s="17">
        <v>9146.223</v>
      </c>
      <c r="II6" s="17">
        <v>9189.2099999999991</v>
      </c>
      <c r="IJ6" s="17">
        <v>9232.3979999999992</v>
      </c>
      <c r="IK6" s="17">
        <v>9275.7909999999993</v>
      </c>
      <c r="IL6" s="17">
        <v>9318.4599999999991</v>
      </c>
      <c r="IM6" s="17">
        <v>9364.1810000000005</v>
      </c>
      <c r="IN6" s="17">
        <v>9409.7960000000003</v>
      </c>
      <c r="IO6" s="17">
        <v>9454.4130000000005</v>
      </c>
      <c r="IP6" s="17">
        <v>9499.2559999999994</v>
      </c>
      <c r="IQ6" s="17">
        <v>9544.9570000000003</v>
      </c>
      <c r="IR6" s="17">
        <v>9590.9230000000007</v>
      </c>
      <c r="IS6" s="17">
        <v>9635.2880000000005</v>
      </c>
      <c r="IT6" s="17">
        <v>9679.9279999999999</v>
      </c>
      <c r="IU6" s="17">
        <v>9725.8320000000003</v>
      </c>
      <c r="IV6" s="17">
        <v>9771.9549999999999</v>
      </c>
      <c r="IW6" s="17">
        <v>9818.2960000000003</v>
      </c>
      <c r="IX6" s="17">
        <v>9864.8490000000002</v>
      </c>
      <c r="IY6" s="17">
        <v>9912.4750000000004</v>
      </c>
      <c r="IZ6" s="17">
        <v>9960.3610000000008</v>
      </c>
      <c r="JA6" s="17">
        <v>10008.51</v>
      </c>
      <c r="JB6" s="17">
        <v>10056.93</v>
      </c>
      <c r="JC6" s="17">
        <v>10105.61</v>
      </c>
      <c r="JD6" s="17">
        <v>10154.549999999999</v>
      </c>
      <c r="JE6" s="17">
        <v>10203.76</v>
      </c>
      <c r="JF6" s="17">
        <v>10253.24</v>
      </c>
      <c r="JG6" s="17">
        <v>10303.84</v>
      </c>
      <c r="JH6" s="17">
        <v>10354.73</v>
      </c>
      <c r="JI6" s="17">
        <v>10405.91</v>
      </c>
      <c r="JJ6" s="17">
        <v>10457.39</v>
      </c>
      <c r="JK6" s="17">
        <v>10509.16</v>
      </c>
      <c r="JL6" s="17">
        <v>10561.23</v>
      </c>
      <c r="JM6" s="17">
        <v>10613.61</v>
      </c>
      <c r="JN6" s="17">
        <v>10666.28</v>
      </c>
      <c r="JO6" s="17">
        <v>10719.26</v>
      </c>
      <c r="JP6" s="17">
        <v>10772.46</v>
      </c>
      <c r="JQ6" s="17">
        <v>10825.89</v>
      </c>
      <c r="JR6" s="17">
        <v>10879.55</v>
      </c>
      <c r="JS6" s="17">
        <v>10932.41</v>
      </c>
      <c r="JT6" s="17">
        <v>10985.48</v>
      </c>
      <c r="JU6" s="17">
        <v>11038.76</v>
      </c>
      <c r="JV6" s="17">
        <v>11092.26</v>
      </c>
      <c r="JW6" s="17">
        <v>11145.96</v>
      </c>
      <c r="JX6" s="17">
        <v>11199.89</v>
      </c>
      <c r="JY6" s="17">
        <v>11254.02</v>
      </c>
      <c r="JZ6" s="17">
        <v>11308.38</v>
      </c>
      <c r="KA6" s="17">
        <v>11362.94</v>
      </c>
      <c r="KB6" s="17">
        <v>11417.72</v>
      </c>
      <c r="KC6" s="17">
        <v>11472.7</v>
      </c>
      <c r="KD6" s="17">
        <v>11527.89</v>
      </c>
      <c r="KE6" s="17">
        <v>11583.29</v>
      </c>
      <c r="KF6" s="17">
        <v>11638.89</v>
      </c>
      <c r="KG6" s="17">
        <v>11694.71</v>
      </c>
      <c r="KH6" s="17">
        <v>11750.73</v>
      </c>
      <c r="KI6" s="17">
        <v>11806.97</v>
      </c>
      <c r="KJ6" s="17">
        <v>11863.41</v>
      </c>
      <c r="KK6" s="17">
        <v>11920.06</v>
      </c>
      <c r="KL6" s="17">
        <v>11976.93</v>
      </c>
      <c r="KM6" s="17">
        <v>12034.01</v>
      </c>
      <c r="KN6" s="17">
        <v>12091.3</v>
      </c>
      <c r="KO6" s="17">
        <v>12148.82</v>
      </c>
      <c r="KP6" s="17">
        <v>12206.54</v>
      </c>
      <c r="KQ6" s="17">
        <v>12264.49</v>
      </c>
      <c r="KR6" s="17">
        <v>12322.65</v>
      </c>
      <c r="KS6" s="17">
        <v>12381.04</v>
      </c>
      <c r="KT6" s="17">
        <v>12439.64</v>
      </c>
      <c r="KU6" s="17">
        <v>12498.47</v>
      </c>
      <c r="KV6" s="17">
        <v>12557.53</v>
      </c>
      <c r="KW6" s="17">
        <v>12616.81</v>
      </c>
      <c r="KX6" s="17">
        <v>12676.31</v>
      </c>
      <c r="KY6" s="17">
        <v>12736.04</v>
      </c>
      <c r="KZ6" s="17">
        <v>12795.99</v>
      </c>
      <c r="LA6" s="17">
        <v>12856.17</v>
      </c>
      <c r="LB6" s="17">
        <v>12916.58</v>
      </c>
      <c r="LC6" s="17">
        <v>12977.2</v>
      </c>
      <c r="LD6" s="17">
        <v>13038.06</v>
      </c>
      <c r="LE6" s="17">
        <v>13099.14</v>
      </c>
      <c r="LF6" s="17">
        <v>13160.46</v>
      </c>
      <c r="LG6" s="17">
        <v>13218.61</v>
      </c>
      <c r="LH6" s="17">
        <v>13277.01</v>
      </c>
      <c r="LI6" s="17">
        <v>13335.1</v>
      </c>
      <c r="LJ6" s="17">
        <v>13393.43</v>
      </c>
      <c r="LK6" s="17">
        <v>13451.99</v>
      </c>
      <c r="LL6" s="17">
        <v>13510.78</v>
      </c>
      <c r="LM6" s="17">
        <v>13568.84</v>
      </c>
      <c r="LN6" s="17">
        <v>13627.12</v>
      </c>
      <c r="LO6" s="17">
        <v>13685.6</v>
      </c>
      <c r="LP6" s="17">
        <v>13744.3</v>
      </c>
      <c r="LQ6" s="17">
        <v>13803.23</v>
      </c>
      <c r="LR6" s="17">
        <v>13862.37</v>
      </c>
      <c r="LS6" s="17">
        <v>13921.73</v>
      </c>
      <c r="LT6" s="17">
        <v>13981.3</v>
      </c>
      <c r="LU6" s="17">
        <v>14040.63</v>
      </c>
      <c r="LV6" s="17">
        <v>14100.15</v>
      </c>
      <c r="LW6" s="17">
        <v>14159.88</v>
      </c>
      <c r="LX6" s="17">
        <v>14219.82</v>
      </c>
      <c r="LY6" s="17">
        <v>14279.58</v>
      </c>
      <c r="LZ6" s="17">
        <v>14339.55</v>
      </c>
      <c r="MA6" s="17">
        <v>14399.71</v>
      </c>
      <c r="MB6" s="17">
        <v>14460.06</v>
      </c>
      <c r="MC6" s="17">
        <v>14520.64</v>
      </c>
      <c r="MD6" s="17">
        <v>14581.42</v>
      </c>
      <c r="ME6" s="17">
        <v>14642.41</v>
      </c>
      <c r="MF6" s="17">
        <v>14703.59</v>
      </c>
      <c r="MG6" s="17">
        <v>14765.49</v>
      </c>
      <c r="MH6" s="17">
        <v>14827.59</v>
      </c>
      <c r="MI6" s="17">
        <v>14889.92</v>
      </c>
      <c r="MJ6" s="17">
        <v>14952.45</v>
      </c>
      <c r="MK6" s="17">
        <v>15015.06</v>
      </c>
      <c r="ML6" s="17">
        <v>15077.87</v>
      </c>
      <c r="MM6" s="17">
        <v>15140.9</v>
      </c>
      <c r="MN6" s="17">
        <v>15204.15</v>
      </c>
      <c r="MO6" s="17">
        <v>15268.13</v>
      </c>
      <c r="MP6" s="17">
        <v>15332.33</v>
      </c>
      <c r="MQ6" s="17">
        <v>15396.77</v>
      </c>
      <c r="MR6" s="17">
        <v>15461.42</v>
      </c>
      <c r="MS6" s="17">
        <v>15526.31</v>
      </c>
      <c r="MT6" s="17">
        <v>15591.42</v>
      </c>
      <c r="MU6" s="13" t="s">
        <v>497</v>
      </c>
      <c r="MV6" s="13" t="b">
        <v>1</v>
      </c>
      <c r="MW6" s="15" t="s">
        <v>479</v>
      </c>
      <c r="MX6" s="13" t="s">
        <v>480</v>
      </c>
      <c r="MY6" s="13">
        <v>2024</v>
      </c>
      <c r="MZ6" s="13">
        <v>2</v>
      </c>
      <c r="NA6" s="13" t="s">
        <v>480</v>
      </c>
      <c r="NB6" s="13" t="s">
        <v>497</v>
      </c>
      <c r="NC6" s="13" t="s">
        <v>480</v>
      </c>
      <c r="ND6" s="13" t="s">
        <v>483</v>
      </c>
      <c r="NE6" s="13" t="s">
        <v>498</v>
      </c>
      <c r="NF6" s="15" t="s">
        <v>1268</v>
      </c>
    </row>
    <row r="7" spans="1:370" x14ac:dyDescent="0.25">
      <c r="A7" s="13" t="s">
        <v>473</v>
      </c>
      <c r="B7" s="13" t="s">
        <v>499</v>
      </c>
      <c r="C7" s="15" t="s">
        <v>1267</v>
      </c>
      <c r="D7" s="13" t="s">
        <v>475</v>
      </c>
      <c r="E7" s="13" t="s">
        <v>476</v>
      </c>
      <c r="F7" s="13" t="s">
        <v>477</v>
      </c>
      <c r="G7" s="16">
        <v>4698</v>
      </c>
      <c r="H7" s="16">
        <v>4424</v>
      </c>
      <c r="I7" s="16">
        <v>4297</v>
      </c>
      <c r="J7" s="16">
        <v>4489</v>
      </c>
      <c r="K7" s="16">
        <v>3797</v>
      </c>
      <c r="L7" s="16">
        <v>4283</v>
      </c>
      <c r="M7" s="16">
        <v>4318</v>
      </c>
      <c r="N7" s="16">
        <v>4226</v>
      </c>
      <c r="O7" s="16">
        <v>4199</v>
      </c>
      <c r="P7" s="16">
        <v>4286</v>
      </c>
      <c r="Q7" s="16">
        <v>4257</v>
      </c>
      <c r="R7" s="16">
        <v>4955</v>
      </c>
      <c r="S7" s="16">
        <v>5071</v>
      </c>
      <c r="T7" s="16">
        <v>5072</v>
      </c>
      <c r="U7" s="16">
        <v>5440</v>
      </c>
      <c r="V7" s="16">
        <v>6497</v>
      </c>
      <c r="W7" s="16">
        <v>7199</v>
      </c>
      <c r="X7" s="16">
        <v>7734</v>
      </c>
      <c r="Y7" s="16">
        <v>8119</v>
      </c>
      <c r="Z7" s="16">
        <v>8600</v>
      </c>
      <c r="AA7" s="16">
        <v>9233</v>
      </c>
      <c r="AB7" s="16">
        <v>9234</v>
      </c>
      <c r="AC7" s="16">
        <v>9737</v>
      </c>
      <c r="AD7" s="16">
        <v>9903</v>
      </c>
      <c r="AE7" s="16">
        <v>10109</v>
      </c>
      <c r="AF7" s="16">
        <v>11219</v>
      </c>
      <c r="AG7" s="16">
        <v>11435</v>
      </c>
      <c r="AH7" s="16">
        <v>12092</v>
      </c>
      <c r="AI7" s="16">
        <v>12467</v>
      </c>
      <c r="AJ7" s="16">
        <v>12391</v>
      </c>
      <c r="AK7" s="16">
        <v>11886</v>
      </c>
      <c r="AL7" s="16">
        <v>12891</v>
      </c>
      <c r="AM7" s="16">
        <v>12538</v>
      </c>
      <c r="AN7" s="16">
        <v>13239</v>
      </c>
      <c r="AO7" s="16">
        <v>14561</v>
      </c>
      <c r="AP7" s="16">
        <v>15234</v>
      </c>
      <c r="AQ7" s="16">
        <v>14539</v>
      </c>
      <c r="AR7" s="16">
        <v>16436</v>
      </c>
      <c r="AS7" s="16">
        <v>16844</v>
      </c>
      <c r="AT7" s="16">
        <v>17632</v>
      </c>
      <c r="AU7" s="16">
        <v>18610</v>
      </c>
      <c r="AV7" s="16">
        <v>18587</v>
      </c>
      <c r="AW7" s="16">
        <v>19902</v>
      </c>
      <c r="AX7" s="16">
        <v>20754</v>
      </c>
      <c r="AY7" s="16">
        <v>20091</v>
      </c>
      <c r="AZ7" s="16">
        <v>21011</v>
      </c>
      <c r="BA7" s="16">
        <v>20871</v>
      </c>
      <c r="BB7" s="16">
        <v>22765</v>
      </c>
      <c r="BC7" s="16">
        <v>22241</v>
      </c>
      <c r="BD7" s="16">
        <v>25638</v>
      </c>
      <c r="BE7" s="16">
        <v>25043</v>
      </c>
      <c r="BF7" s="16">
        <v>25785</v>
      </c>
      <c r="BG7" s="16">
        <v>25399</v>
      </c>
      <c r="BH7" s="16">
        <v>24729</v>
      </c>
      <c r="BI7" s="16">
        <v>25297</v>
      </c>
      <c r="BJ7" s="16">
        <v>27509</v>
      </c>
      <c r="BK7" s="16">
        <v>27991</v>
      </c>
      <c r="BL7" s="16">
        <v>29936</v>
      </c>
      <c r="BM7" s="16">
        <v>32609</v>
      </c>
      <c r="BN7" s="16">
        <v>32677</v>
      </c>
      <c r="BO7" s="16">
        <v>33698</v>
      </c>
      <c r="BP7" s="16">
        <v>34292</v>
      </c>
      <c r="BQ7" s="16">
        <v>35863</v>
      </c>
      <c r="BR7" s="16">
        <v>37039</v>
      </c>
      <c r="BS7" s="16">
        <v>38606</v>
      </c>
      <c r="BT7" s="16">
        <v>38243</v>
      </c>
      <c r="BU7" s="16">
        <v>39834</v>
      </c>
      <c r="BV7" s="16">
        <v>40680</v>
      </c>
      <c r="BW7" s="16">
        <v>40800</v>
      </c>
      <c r="BX7" s="16">
        <v>41606</v>
      </c>
      <c r="BY7" s="16">
        <v>42072</v>
      </c>
      <c r="BZ7" s="16">
        <v>42207</v>
      </c>
      <c r="CA7" s="16">
        <v>41614</v>
      </c>
      <c r="CB7" s="16">
        <v>41313</v>
      </c>
      <c r="CC7" s="16">
        <v>40056</v>
      </c>
      <c r="CD7" s="16">
        <v>40341</v>
      </c>
      <c r="CE7" s="16">
        <v>40279</v>
      </c>
      <c r="CF7" s="16">
        <v>41056</v>
      </c>
      <c r="CG7" s="16">
        <v>40289</v>
      </c>
      <c r="CH7" s="16">
        <v>41932</v>
      </c>
      <c r="CI7" s="16">
        <v>45549</v>
      </c>
      <c r="CJ7" s="16">
        <v>44417</v>
      </c>
      <c r="CK7" s="16">
        <v>45845</v>
      </c>
      <c r="CL7" s="16">
        <v>46796</v>
      </c>
      <c r="CM7" s="16">
        <v>49533</v>
      </c>
      <c r="CN7" s="16">
        <v>49608</v>
      </c>
      <c r="CO7" s="16">
        <v>49092</v>
      </c>
      <c r="CP7" s="16">
        <v>51164</v>
      </c>
      <c r="CQ7" s="16">
        <v>50799</v>
      </c>
      <c r="CR7" s="16">
        <v>49847</v>
      </c>
      <c r="CS7" s="16">
        <v>52286</v>
      </c>
      <c r="CT7" s="16">
        <v>53374</v>
      </c>
      <c r="CU7" s="16">
        <v>54595</v>
      </c>
      <c r="CV7" s="16">
        <v>57114</v>
      </c>
      <c r="CW7" s="16">
        <v>58848</v>
      </c>
      <c r="CX7" s="16">
        <v>60252</v>
      </c>
      <c r="CY7" s="16">
        <v>58562</v>
      </c>
      <c r="CZ7" s="16">
        <v>56887</v>
      </c>
      <c r="DA7" s="16">
        <v>61702</v>
      </c>
      <c r="DB7" s="16">
        <v>57396</v>
      </c>
      <c r="DC7" s="16">
        <v>61415</v>
      </c>
      <c r="DD7" s="16">
        <v>60315</v>
      </c>
      <c r="DE7" s="16">
        <v>59247</v>
      </c>
      <c r="DF7" s="16">
        <v>61018</v>
      </c>
      <c r="DG7" s="16">
        <v>58057</v>
      </c>
      <c r="DH7" s="16">
        <v>56566</v>
      </c>
      <c r="DI7" s="16">
        <v>55975</v>
      </c>
      <c r="DJ7" s="16">
        <v>59028</v>
      </c>
      <c r="DK7" s="16">
        <v>61022</v>
      </c>
      <c r="DL7" s="16">
        <v>58869</v>
      </c>
      <c r="DM7" s="16">
        <v>57825</v>
      </c>
      <c r="DN7" s="16">
        <v>56273</v>
      </c>
      <c r="DO7" s="16">
        <v>56614</v>
      </c>
      <c r="DP7" s="16">
        <v>59422</v>
      </c>
      <c r="DQ7" s="16">
        <v>59828</v>
      </c>
      <c r="DR7" s="16">
        <v>59188</v>
      </c>
      <c r="DS7" s="16">
        <v>60667</v>
      </c>
      <c r="DT7" s="16">
        <v>62293</v>
      </c>
      <c r="DU7" s="16">
        <v>64473</v>
      </c>
      <c r="DV7" s="16">
        <v>67224</v>
      </c>
      <c r="DW7" s="16">
        <v>67091</v>
      </c>
      <c r="DX7" s="16">
        <v>70002</v>
      </c>
      <c r="DY7" s="16">
        <v>71030</v>
      </c>
      <c r="DZ7" s="16">
        <v>69510</v>
      </c>
      <c r="EA7" s="16">
        <v>66971</v>
      </c>
      <c r="EB7" s="16">
        <v>72939</v>
      </c>
      <c r="EC7" s="16">
        <v>71100</v>
      </c>
      <c r="ED7" s="16">
        <v>73776</v>
      </c>
      <c r="EE7" s="16">
        <v>72678</v>
      </c>
      <c r="EF7" s="16">
        <v>78380</v>
      </c>
      <c r="EG7" s="16">
        <v>77251</v>
      </c>
      <c r="EH7" s="16">
        <v>81107</v>
      </c>
      <c r="EI7" s="16">
        <v>76934</v>
      </c>
      <c r="EJ7" s="16">
        <v>83060</v>
      </c>
      <c r="EK7" s="16">
        <v>82467</v>
      </c>
      <c r="EL7" s="16">
        <v>78146</v>
      </c>
      <c r="EM7" s="16">
        <v>76454</v>
      </c>
      <c r="EN7" s="16">
        <v>84643</v>
      </c>
      <c r="EO7" s="16">
        <v>82980</v>
      </c>
      <c r="EP7" s="16">
        <v>85474</v>
      </c>
      <c r="EQ7" s="16">
        <v>84691</v>
      </c>
      <c r="ER7" s="16">
        <v>87843</v>
      </c>
      <c r="ES7" s="16">
        <v>90586</v>
      </c>
      <c r="ET7" s="16">
        <v>87779</v>
      </c>
      <c r="EU7" s="16">
        <v>87453</v>
      </c>
      <c r="EV7" s="16">
        <v>84343</v>
      </c>
      <c r="EW7" s="16">
        <v>86567</v>
      </c>
      <c r="EX7" s="16">
        <v>81654</v>
      </c>
      <c r="EY7" s="16">
        <v>86382</v>
      </c>
      <c r="EZ7" s="16">
        <v>85496</v>
      </c>
      <c r="FA7" s="16">
        <v>90085</v>
      </c>
      <c r="FB7" s="16">
        <v>91218</v>
      </c>
      <c r="FC7" s="16">
        <v>89806</v>
      </c>
      <c r="FD7" s="16">
        <v>90019</v>
      </c>
      <c r="FE7" s="16">
        <v>91757</v>
      </c>
      <c r="FF7" s="16">
        <v>95118</v>
      </c>
      <c r="FG7" s="16">
        <v>93359</v>
      </c>
      <c r="FH7" s="16">
        <v>92968</v>
      </c>
      <c r="FI7" s="16">
        <v>98031</v>
      </c>
      <c r="FJ7" s="16">
        <v>98174</v>
      </c>
      <c r="FK7" s="16">
        <v>100765</v>
      </c>
      <c r="FL7" s="16">
        <v>96733</v>
      </c>
      <c r="FM7" s="16">
        <v>99537</v>
      </c>
      <c r="FN7" s="16">
        <v>99553</v>
      </c>
      <c r="FO7" s="16">
        <v>99297</v>
      </c>
      <c r="FP7" s="16">
        <v>103492</v>
      </c>
      <c r="FQ7" s="16">
        <v>111995</v>
      </c>
      <c r="FR7" s="16">
        <v>110568</v>
      </c>
      <c r="FS7" s="16">
        <v>108361</v>
      </c>
      <c r="FT7" s="16">
        <v>106717</v>
      </c>
      <c r="FU7" s="16">
        <v>103717</v>
      </c>
      <c r="FV7" s="16">
        <v>107050</v>
      </c>
      <c r="FW7" s="16">
        <v>107542</v>
      </c>
      <c r="FX7" s="16">
        <v>106640</v>
      </c>
      <c r="FY7" s="16">
        <v>110732</v>
      </c>
      <c r="FZ7" s="16">
        <v>114569</v>
      </c>
      <c r="GA7" s="16">
        <v>115888</v>
      </c>
      <c r="GB7" s="16">
        <v>114975</v>
      </c>
      <c r="GC7" s="16">
        <v>115131</v>
      </c>
      <c r="GD7" s="16">
        <v>120994</v>
      </c>
      <c r="GE7" s="16">
        <v>116160</v>
      </c>
      <c r="GF7" s="16">
        <v>117940</v>
      </c>
      <c r="GG7" s="16">
        <v>117461</v>
      </c>
      <c r="GH7" s="16">
        <v>117040</v>
      </c>
      <c r="GI7" s="16">
        <v>116521</v>
      </c>
      <c r="GJ7" s="16">
        <v>118367</v>
      </c>
      <c r="GK7" s="16">
        <v>124088</v>
      </c>
      <c r="GL7" s="16">
        <v>126032</v>
      </c>
      <c r="GM7" s="16">
        <v>120061</v>
      </c>
      <c r="GN7" s="16">
        <v>115664</v>
      </c>
      <c r="GO7" s="16">
        <v>125991</v>
      </c>
      <c r="GP7" s="16">
        <v>117012</v>
      </c>
      <c r="GQ7" s="16">
        <v>118117</v>
      </c>
      <c r="GR7" s="16">
        <v>128410</v>
      </c>
      <c r="GS7" s="16">
        <v>126311</v>
      </c>
      <c r="GT7" s="16">
        <v>128877</v>
      </c>
      <c r="GU7" s="16">
        <v>128748</v>
      </c>
      <c r="GV7" s="16">
        <v>133727</v>
      </c>
      <c r="GW7" s="16">
        <v>134606</v>
      </c>
      <c r="GX7" s="16">
        <v>148171</v>
      </c>
      <c r="GY7" s="16">
        <v>155912</v>
      </c>
      <c r="GZ7" s="16">
        <v>146415</v>
      </c>
      <c r="HA7" s="16">
        <v>144032</v>
      </c>
      <c r="HB7" s="16">
        <v>141736</v>
      </c>
      <c r="HC7" s="16">
        <v>143278</v>
      </c>
      <c r="HD7" s="16">
        <v>145287</v>
      </c>
      <c r="HE7" s="17">
        <v>152948.9</v>
      </c>
      <c r="HF7" s="17">
        <v>155616.79999999999</v>
      </c>
      <c r="HG7" s="17">
        <v>156998.20000000001</v>
      </c>
      <c r="HH7" s="17">
        <v>158869</v>
      </c>
      <c r="HI7" s="17">
        <v>160719.20000000001</v>
      </c>
      <c r="HJ7" s="17">
        <v>162506.4</v>
      </c>
      <c r="HK7" s="17">
        <v>163452.70000000001</v>
      </c>
      <c r="HL7" s="17">
        <v>165029.5</v>
      </c>
      <c r="HM7" s="17">
        <v>166874.70000000001</v>
      </c>
      <c r="HN7" s="17">
        <v>168263.9</v>
      </c>
      <c r="HO7" s="17">
        <v>170157.9</v>
      </c>
      <c r="HP7" s="17">
        <v>171382</v>
      </c>
      <c r="HQ7" s="17">
        <v>173727.8</v>
      </c>
      <c r="HR7" s="17">
        <v>175515</v>
      </c>
      <c r="HS7" s="17">
        <v>177121.8</v>
      </c>
      <c r="HT7" s="17">
        <v>178775.8</v>
      </c>
      <c r="HU7" s="17">
        <v>180580.2</v>
      </c>
      <c r="HV7" s="17">
        <v>182755.4</v>
      </c>
      <c r="HW7" s="17">
        <v>184847.5</v>
      </c>
      <c r="HX7" s="17">
        <v>186637.8</v>
      </c>
      <c r="HY7" s="17">
        <v>188478.4</v>
      </c>
      <c r="HZ7" s="17">
        <v>189875.6</v>
      </c>
      <c r="IA7" s="17">
        <v>191645.6</v>
      </c>
      <c r="IB7" s="17">
        <v>193569.2</v>
      </c>
      <c r="IC7" s="17">
        <v>195546.2</v>
      </c>
      <c r="ID7" s="17">
        <v>197064.5</v>
      </c>
      <c r="IE7" s="17">
        <v>198931.3</v>
      </c>
      <c r="IF7" s="17">
        <v>200907.9</v>
      </c>
      <c r="IG7" s="17">
        <v>202939.6</v>
      </c>
      <c r="IH7" s="17">
        <v>204484.8</v>
      </c>
      <c r="II7" s="17">
        <v>206390.9</v>
      </c>
      <c r="IJ7" s="17">
        <v>208421</v>
      </c>
      <c r="IK7" s="17">
        <v>210512.9</v>
      </c>
      <c r="IL7" s="17">
        <v>212099.9</v>
      </c>
      <c r="IM7" s="17">
        <v>214045.2</v>
      </c>
      <c r="IN7" s="17">
        <v>216178.7</v>
      </c>
      <c r="IO7" s="17">
        <v>218364.1</v>
      </c>
      <c r="IP7" s="17">
        <v>220008.3</v>
      </c>
      <c r="IQ7" s="17">
        <v>222041.2</v>
      </c>
      <c r="IR7" s="17">
        <v>224233.1</v>
      </c>
      <c r="IS7" s="17">
        <v>226487.4</v>
      </c>
      <c r="IT7" s="17">
        <v>228166.39999999999</v>
      </c>
      <c r="IU7" s="17">
        <v>230255.1</v>
      </c>
      <c r="IV7" s="17">
        <v>232518</v>
      </c>
      <c r="IW7" s="17">
        <v>234844.2</v>
      </c>
      <c r="IX7" s="17">
        <v>236618.6</v>
      </c>
      <c r="IY7" s="17">
        <v>238810.3</v>
      </c>
      <c r="IZ7" s="17">
        <v>241178</v>
      </c>
      <c r="JA7" s="17">
        <v>243612.2</v>
      </c>
      <c r="JB7" s="17">
        <v>245475.4</v>
      </c>
      <c r="JC7" s="17">
        <v>247775.4</v>
      </c>
      <c r="JD7" s="17">
        <v>250237.5</v>
      </c>
      <c r="JE7" s="17">
        <v>252768.8</v>
      </c>
      <c r="JF7" s="17">
        <v>254707.5</v>
      </c>
      <c r="JG7" s="17">
        <v>257097.1</v>
      </c>
      <c r="JH7" s="17">
        <v>259676.3</v>
      </c>
      <c r="JI7" s="17">
        <v>262328.3</v>
      </c>
      <c r="JJ7" s="17">
        <v>264365.7</v>
      </c>
      <c r="JK7" s="17">
        <v>266871.8</v>
      </c>
      <c r="JL7" s="17">
        <v>269553.2</v>
      </c>
      <c r="JM7" s="17">
        <v>272310.3</v>
      </c>
      <c r="JN7" s="17">
        <v>274429.7</v>
      </c>
      <c r="JO7" s="17">
        <v>277035.7</v>
      </c>
      <c r="JP7" s="17">
        <v>279823.7</v>
      </c>
      <c r="JQ7" s="17">
        <v>282688.3</v>
      </c>
      <c r="JR7" s="17">
        <v>284888.8</v>
      </c>
      <c r="JS7" s="17">
        <v>287592.09999999998</v>
      </c>
      <c r="JT7" s="17">
        <v>290452.3</v>
      </c>
      <c r="JU7" s="17">
        <v>293390.8</v>
      </c>
      <c r="JV7" s="17">
        <v>295639.3</v>
      </c>
      <c r="JW7" s="17">
        <v>298409</v>
      </c>
      <c r="JX7" s="17">
        <v>301371.7</v>
      </c>
      <c r="JY7" s="17">
        <v>304415.59999999998</v>
      </c>
      <c r="JZ7" s="17">
        <v>306743.59999999998</v>
      </c>
      <c r="KA7" s="17">
        <v>309612</v>
      </c>
      <c r="KB7" s="17">
        <v>312677.8</v>
      </c>
      <c r="KC7" s="17">
        <v>315827.3</v>
      </c>
      <c r="KD7" s="17">
        <v>318233.8</v>
      </c>
      <c r="KE7" s="17">
        <v>321200.59999999998</v>
      </c>
      <c r="KF7" s="17">
        <v>324374.40000000002</v>
      </c>
      <c r="KG7" s="17">
        <v>327635.3</v>
      </c>
      <c r="KH7" s="17">
        <v>330125</v>
      </c>
      <c r="KI7" s="17">
        <v>333196</v>
      </c>
      <c r="KJ7" s="17">
        <v>336481.7</v>
      </c>
      <c r="KK7" s="17">
        <v>339857.6</v>
      </c>
      <c r="KL7" s="17">
        <v>342433.3</v>
      </c>
      <c r="KM7" s="17">
        <v>345612</v>
      </c>
      <c r="KN7" s="17">
        <v>349013.4</v>
      </c>
      <c r="KO7" s="17">
        <v>352508.1</v>
      </c>
      <c r="KP7" s="17">
        <v>355172.9</v>
      </c>
      <c r="KQ7" s="17">
        <v>358462.9</v>
      </c>
      <c r="KR7" s="17">
        <v>361984.2</v>
      </c>
      <c r="KS7" s="17">
        <v>365601.8</v>
      </c>
      <c r="KT7" s="17">
        <v>368359</v>
      </c>
      <c r="KU7" s="17">
        <v>371764.5</v>
      </c>
      <c r="KV7" s="17">
        <v>375409.7</v>
      </c>
      <c r="KW7" s="17">
        <v>379155.1</v>
      </c>
      <c r="KX7" s="17">
        <v>382007.7</v>
      </c>
      <c r="KY7" s="17">
        <v>385532.8</v>
      </c>
      <c r="KZ7" s="17">
        <v>389306.1</v>
      </c>
      <c r="LA7" s="17">
        <v>393183.4</v>
      </c>
      <c r="LB7" s="17">
        <v>396134.40000000002</v>
      </c>
      <c r="LC7" s="17">
        <v>399782.8</v>
      </c>
      <c r="LD7" s="17">
        <v>403692.5</v>
      </c>
      <c r="LE7" s="17">
        <v>407709.7</v>
      </c>
      <c r="LF7" s="17">
        <v>410766.6</v>
      </c>
      <c r="LG7" s="17">
        <v>414546.5</v>
      </c>
      <c r="LH7" s="17">
        <v>418494.2</v>
      </c>
      <c r="LI7" s="17">
        <v>422552.7</v>
      </c>
      <c r="LJ7" s="17">
        <v>425598.3</v>
      </c>
      <c r="LK7" s="17">
        <v>429391.8</v>
      </c>
      <c r="LL7" s="17">
        <v>433460.8</v>
      </c>
      <c r="LM7" s="17">
        <v>437643.8</v>
      </c>
      <c r="LN7" s="17">
        <v>440764</v>
      </c>
      <c r="LO7" s="17">
        <v>444657.4</v>
      </c>
      <c r="LP7" s="17">
        <v>448834.9</v>
      </c>
      <c r="LQ7" s="17">
        <v>453129.3</v>
      </c>
      <c r="LR7" s="17">
        <v>456355.3</v>
      </c>
      <c r="LS7" s="17">
        <v>460382.2</v>
      </c>
      <c r="LT7" s="17">
        <v>464703.3</v>
      </c>
      <c r="LU7" s="17">
        <v>469144.8</v>
      </c>
      <c r="LV7" s="17">
        <v>472463.6</v>
      </c>
      <c r="LW7" s="17">
        <v>476611.1</v>
      </c>
      <c r="LX7" s="17">
        <v>481067.2</v>
      </c>
      <c r="LY7" s="17">
        <v>485647.7</v>
      </c>
      <c r="LZ7" s="17">
        <v>489068.6</v>
      </c>
      <c r="MA7" s="17">
        <v>493347</v>
      </c>
      <c r="MB7" s="17">
        <v>497938.8</v>
      </c>
      <c r="MC7" s="17">
        <v>502659.4</v>
      </c>
      <c r="MD7" s="17">
        <v>506193.5</v>
      </c>
      <c r="ME7" s="17">
        <v>510614.8</v>
      </c>
      <c r="MF7" s="17">
        <v>515360.9</v>
      </c>
      <c r="MG7" s="17">
        <v>520240.1</v>
      </c>
      <c r="MH7" s="17">
        <v>523908.2</v>
      </c>
      <c r="MI7" s="17">
        <v>528495</v>
      </c>
      <c r="MJ7" s="17">
        <v>533418.4</v>
      </c>
      <c r="MK7" s="17">
        <v>538479.9</v>
      </c>
      <c r="ML7" s="17">
        <v>542264.1</v>
      </c>
      <c r="MM7" s="17">
        <v>546999.4</v>
      </c>
      <c r="MN7" s="17">
        <v>552082.4</v>
      </c>
      <c r="MO7" s="17">
        <v>557308.4</v>
      </c>
      <c r="MP7" s="17">
        <v>561236.9</v>
      </c>
      <c r="MQ7" s="17">
        <v>566150.30000000005</v>
      </c>
      <c r="MR7" s="17">
        <v>571429.4</v>
      </c>
      <c r="MS7" s="17">
        <v>576857.19999999995</v>
      </c>
      <c r="MT7" s="17">
        <v>580922.6</v>
      </c>
      <c r="MU7" s="13" t="s">
        <v>478</v>
      </c>
      <c r="MV7" s="13" t="b">
        <v>1</v>
      </c>
      <c r="MW7" s="13" t="s">
        <v>480</v>
      </c>
      <c r="MX7" s="13" t="s">
        <v>480</v>
      </c>
      <c r="MY7" s="13">
        <v>2024</v>
      </c>
      <c r="MZ7" s="13">
        <v>2</v>
      </c>
      <c r="NA7" s="13" t="s">
        <v>480</v>
      </c>
      <c r="NB7" s="13" t="s">
        <v>500</v>
      </c>
      <c r="NC7" s="13" t="s">
        <v>501</v>
      </c>
      <c r="ND7" s="13" t="s">
        <v>483</v>
      </c>
      <c r="NE7" s="13" t="s">
        <v>502</v>
      </c>
      <c r="NF7" s="15" t="s">
        <v>1268</v>
      </c>
    </row>
    <row r="8" spans="1:370" x14ac:dyDescent="0.25">
      <c r="A8" s="13" t="s">
        <v>473</v>
      </c>
      <c r="B8" s="15" t="s">
        <v>1226</v>
      </c>
      <c r="C8" s="15" t="s">
        <v>1267</v>
      </c>
      <c r="D8" s="13" t="s">
        <v>475</v>
      </c>
      <c r="E8" s="13" t="s">
        <v>476</v>
      </c>
      <c r="F8" s="13" t="s">
        <v>477</v>
      </c>
      <c r="G8" s="16">
        <v>211.31139999999999</v>
      </c>
      <c r="H8" s="16">
        <v>519.55460000000005</v>
      </c>
      <c r="I8" s="16">
        <v>-124.0727</v>
      </c>
      <c r="J8" s="16">
        <v>-126.01139999999999</v>
      </c>
      <c r="K8" s="16">
        <v>-763.82280000000003</v>
      </c>
      <c r="L8" s="16">
        <v>-1548.97</v>
      </c>
      <c r="M8" s="16">
        <v>-1713.7550000000001</v>
      </c>
      <c r="N8" s="16">
        <v>-767.7</v>
      </c>
      <c r="O8" s="16">
        <v>91.11591</v>
      </c>
      <c r="P8" s="16">
        <v>38.772730000000003</v>
      </c>
      <c r="Q8" s="16">
        <v>-174.47730000000001</v>
      </c>
      <c r="R8" s="16">
        <v>488.53640000000001</v>
      </c>
      <c r="S8" s="16">
        <v>614.54769999999996</v>
      </c>
      <c r="T8" s="16">
        <v>-3.8772730000000002</v>
      </c>
      <c r="U8" s="16">
        <v>-1056.557</v>
      </c>
      <c r="V8" s="16">
        <v>-484.65910000000002</v>
      </c>
      <c r="W8" s="16">
        <v>168.66139999999999</v>
      </c>
      <c r="X8" s="16">
        <v>-329.56819999999999</v>
      </c>
      <c r="Y8" s="16">
        <v>988.70450000000005</v>
      </c>
      <c r="Z8" s="16">
        <v>769.6386</v>
      </c>
      <c r="AA8" s="16">
        <v>1163.182</v>
      </c>
      <c r="AB8" s="16">
        <v>-153.1523</v>
      </c>
      <c r="AC8" s="16">
        <v>1174.8140000000001</v>
      </c>
      <c r="AD8" s="16">
        <v>-122.1341</v>
      </c>
      <c r="AE8" s="16">
        <v>-953.80909999999994</v>
      </c>
      <c r="AF8" s="16">
        <v>339.26139999999998</v>
      </c>
      <c r="AG8" s="16">
        <v>-717.29549999999995</v>
      </c>
      <c r="AH8" s="16">
        <v>-1459.7929999999999</v>
      </c>
      <c r="AI8" s="16">
        <v>253.9614</v>
      </c>
      <c r="AJ8" s="16">
        <v>-62.036369999999998</v>
      </c>
      <c r="AK8" s="16">
        <v>-591.28409999999997</v>
      </c>
      <c r="AL8" s="16">
        <v>193.86359999999999</v>
      </c>
      <c r="AM8" s="16">
        <v>230.6977</v>
      </c>
      <c r="AN8" s="16">
        <v>2132.5</v>
      </c>
      <c r="AO8" s="16">
        <v>451.70229999999998</v>
      </c>
      <c r="AP8" s="16">
        <v>273.34769999999997</v>
      </c>
      <c r="AQ8" s="16">
        <v>-2270.143</v>
      </c>
      <c r="AR8" s="16">
        <v>860.75450000000001</v>
      </c>
      <c r="AS8" s="16">
        <v>2244.9409999999998</v>
      </c>
      <c r="AT8" s="16">
        <v>5123.8159999999998</v>
      </c>
      <c r="AU8" s="16">
        <v>3028.15</v>
      </c>
      <c r="AV8" s="16">
        <v>936.3614</v>
      </c>
      <c r="AW8" s="16">
        <v>5637.5550000000003</v>
      </c>
      <c r="AX8" s="16">
        <v>143.45910000000001</v>
      </c>
      <c r="AY8" s="16">
        <v>3072.739</v>
      </c>
      <c r="AZ8" s="16">
        <v>2082.0949999999998</v>
      </c>
      <c r="BA8" s="16">
        <v>1620.7</v>
      </c>
      <c r="BB8" s="16">
        <v>2316.67</v>
      </c>
      <c r="BC8" s="16">
        <v>399.35910000000001</v>
      </c>
      <c r="BD8" s="16">
        <v>3949.002</v>
      </c>
      <c r="BE8" s="16">
        <v>3022.3339999999998</v>
      </c>
      <c r="BF8" s="16">
        <v>1275.623</v>
      </c>
      <c r="BG8" s="16">
        <v>1690.491</v>
      </c>
      <c r="BH8" s="16">
        <v>711.4796</v>
      </c>
      <c r="BI8" s="16">
        <v>3491.4839999999999</v>
      </c>
      <c r="BJ8" s="16">
        <v>-440.07049999999998</v>
      </c>
      <c r="BK8" s="16">
        <v>2559</v>
      </c>
      <c r="BL8" s="16">
        <v>2066</v>
      </c>
      <c r="BM8" s="16">
        <v>2608</v>
      </c>
      <c r="BN8" s="16">
        <v>832</v>
      </c>
      <c r="BO8" s="16">
        <v>1280</v>
      </c>
      <c r="BP8" s="16">
        <v>246</v>
      </c>
      <c r="BQ8" s="16">
        <v>915</v>
      </c>
      <c r="BR8" s="16">
        <v>-1267</v>
      </c>
      <c r="BS8" s="16">
        <v>-953.00009999999997</v>
      </c>
      <c r="BT8" s="16">
        <v>-3819</v>
      </c>
      <c r="BU8" s="16">
        <v>-5639</v>
      </c>
      <c r="BV8" s="16">
        <v>-2763</v>
      </c>
      <c r="BW8" s="16">
        <v>-3158</v>
      </c>
      <c r="BX8" s="16">
        <v>-4620</v>
      </c>
      <c r="BY8" s="16">
        <v>-2410</v>
      </c>
      <c r="BZ8" s="16">
        <v>-251</v>
      </c>
      <c r="CA8" s="16">
        <v>-2198</v>
      </c>
      <c r="CB8" s="16">
        <v>-182</v>
      </c>
      <c r="CC8" s="16">
        <v>-2557</v>
      </c>
      <c r="CD8" s="16">
        <v>-705</v>
      </c>
      <c r="CE8" s="16">
        <v>-4637</v>
      </c>
      <c r="CF8" s="16">
        <v>-630</v>
      </c>
      <c r="CG8" s="16">
        <v>463</v>
      </c>
      <c r="CH8" s="16">
        <v>-757</v>
      </c>
      <c r="CI8" s="16">
        <v>2002</v>
      </c>
      <c r="CJ8" s="16">
        <v>-979</v>
      </c>
      <c r="CK8" s="16">
        <v>1409</v>
      </c>
      <c r="CL8" s="16">
        <v>2381</v>
      </c>
      <c r="CM8" s="16">
        <v>6120</v>
      </c>
      <c r="CN8" s="16">
        <v>3895</v>
      </c>
      <c r="CO8" s="16">
        <v>1812</v>
      </c>
      <c r="CP8" s="16">
        <v>3623</v>
      </c>
      <c r="CQ8" s="16">
        <v>6461</v>
      </c>
      <c r="CR8" s="16">
        <v>-315</v>
      </c>
      <c r="CS8" s="16">
        <v>133</v>
      </c>
      <c r="CT8" s="16">
        <v>695</v>
      </c>
      <c r="CU8" s="16">
        <v>-580</v>
      </c>
      <c r="CV8" s="16">
        <v>3925</v>
      </c>
      <c r="CW8" s="16">
        <v>1782</v>
      </c>
      <c r="CX8" s="16">
        <v>1583</v>
      </c>
      <c r="CY8" s="16">
        <v>3868</v>
      </c>
      <c r="CZ8" s="16">
        <v>-2543</v>
      </c>
      <c r="DA8" s="16">
        <v>2179</v>
      </c>
      <c r="DB8" s="16">
        <v>-2356</v>
      </c>
      <c r="DC8" s="16">
        <v>459</v>
      </c>
      <c r="DD8" s="16">
        <v>-1007</v>
      </c>
      <c r="DE8" s="16">
        <v>784</v>
      </c>
      <c r="DF8" s="16">
        <v>2447</v>
      </c>
      <c r="DG8" s="16">
        <v>2363</v>
      </c>
      <c r="DH8" s="16">
        <v>-7757</v>
      </c>
      <c r="DI8" s="16">
        <v>-4124</v>
      </c>
      <c r="DJ8" s="16">
        <v>-1334</v>
      </c>
      <c r="DK8" s="16">
        <v>-2595</v>
      </c>
      <c r="DL8" s="16">
        <v>-507</v>
      </c>
      <c r="DM8" s="16">
        <v>-5105</v>
      </c>
      <c r="DN8" s="16">
        <v>-4675</v>
      </c>
      <c r="DO8" s="16">
        <v>-6016</v>
      </c>
      <c r="DP8" s="16">
        <v>-4338</v>
      </c>
      <c r="DQ8" s="16">
        <v>-5499</v>
      </c>
      <c r="DR8" s="16">
        <v>1014</v>
      </c>
      <c r="DS8" s="16">
        <v>-1102</v>
      </c>
      <c r="DT8" s="16">
        <v>1518</v>
      </c>
      <c r="DU8" s="16">
        <v>3485</v>
      </c>
      <c r="DV8" s="16">
        <v>4872</v>
      </c>
      <c r="DW8" s="16">
        <v>7664</v>
      </c>
      <c r="DX8" s="16">
        <v>5524</v>
      </c>
      <c r="DY8" s="16">
        <v>3386</v>
      </c>
      <c r="DZ8" s="16">
        <v>7042</v>
      </c>
      <c r="EA8" s="16">
        <v>2548</v>
      </c>
      <c r="EB8" s="16">
        <v>6969</v>
      </c>
      <c r="EC8" s="16">
        <v>1680</v>
      </c>
      <c r="ED8" s="16">
        <v>6061</v>
      </c>
      <c r="EE8" s="16">
        <v>4699</v>
      </c>
      <c r="EF8" s="16">
        <v>3281</v>
      </c>
      <c r="EG8" s="16">
        <v>1877</v>
      </c>
      <c r="EH8" s="16">
        <v>6364</v>
      </c>
      <c r="EI8" s="16">
        <v>-2270</v>
      </c>
      <c r="EJ8" s="16">
        <v>1811</v>
      </c>
      <c r="EK8" s="16">
        <v>200</v>
      </c>
      <c r="EL8" s="16">
        <v>-1958</v>
      </c>
      <c r="EM8" s="16">
        <v>-8760.0010000000002</v>
      </c>
      <c r="EN8" s="16">
        <v>-1952</v>
      </c>
      <c r="EO8" s="16">
        <v>-3485</v>
      </c>
      <c r="EP8" s="16">
        <v>-2625</v>
      </c>
      <c r="EQ8" s="16">
        <v>8992</v>
      </c>
      <c r="ER8" s="16">
        <v>5634</v>
      </c>
      <c r="ES8" s="16">
        <v>4023</v>
      </c>
      <c r="ET8" s="16">
        <v>-5040</v>
      </c>
      <c r="EU8" s="16">
        <v>10307</v>
      </c>
      <c r="EV8" s="16">
        <v>1662</v>
      </c>
      <c r="EW8" s="16">
        <v>8279</v>
      </c>
      <c r="EX8" s="16">
        <v>6422</v>
      </c>
      <c r="EY8" s="16">
        <v>6663</v>
      </c>
      <c r="EZ8" s="16">
        <v>5349</v>
      </c>
      <c r="FA8" s="16">
        <v>9678</v>
      </c>
      <c r="FB8" s="16">
        <v>16361</v>
      </c>
      <c r="FC8" s="16">
        <v>16014</v>
      </c>
      <c r="FD8" s="16">
        <v>5290</v>
      </c>
      <c r="FE8" s="16">
        <v>6387</v>
      </c>
      <c r="FF8" s="16">
        <v>13850</v>
      </c>
      <c r="FG8" s="16">
        <v>3457</v>
      </c>
      <c r="FH8" s="16">
        <v>-3363</v>
      </c>
      <c r="FI8" s="16">
        <v>5270</v>
      </c>
      <c r="FJ8" s="16">
        <v>5921</v>
      </c>
      <c r="FK8" s="16">
        <v>-186</v>
      </c>
      <c r="FL8" s="16">
        <v>3327</v>
      </c>
      <c r="FM8" s="16">
        <v>-8242</v>
      </c>
      <c r="FN8" s="16">
        <v>-5524</v>
      </c>
      <c r="FO8" s="16">
        <v>-5394</v>
      </c>
      <c r="FP8" s="16">
        <v>-2735</v>
      </c>
      <c r="FQ8" s="16">
        <v>411</v>
      </c>
      <c r="FR8" s="16">
        <v>-4908</v>
      </c>
      <c r="FS8" s="16">
        <v>-6491</v>
      </c>
      <c r="FT8" s="16">
        <v>-3369</v>
      </c>
      <c r="FU8" s="16">
        <v>-19921</v>
      </c>
      <c r="FV8" s="16">
        <v>-21029</v>
      </c>
      <c r="FW8" s="16">
        <v>-15019</v>
      </c>
      <c r="FX8" s="16">
        <v>-9332</v>
      </c>
      <c r="FY8" s="16">
        <v>-15037</v>
      </c>
      <c r="FZ8" s="16">
        <v>-6269</v>
      </c>
      <c r="GA8" s="16">
        <v>-6148</v>
      </c>
      <c r="GB8" s="16">
        <v>-6533</v>
      </c>
      <c r="GC8" s="16">
        <v>-5205</v>
      </c>
      <c r="GD8" s="16">
        <v>-739</v>
      </c>
      <c r="GE8" s="16">
        <v>-10965</v>
      </c>
      <c r="GF8" s="16">
        <v>-6187</v>
      </c>
      <c r="GG8" s="16">
        <v>-6230</v>
      </c>
      <c r="GH8" s="16">
        <v>-8834</v>
      </c>
      <c r="GI8" s="16">
        <v>-11149</v>
      </c>
      <c r="GJ8" s="16">
        <v>562</v>
      </c>
      <c r="GK8" s="16">
        <v>2471</v>
      </c>
      <c r="GL8" s="16">
        <v>-1800</v>
      </c>
      <c r="GM8" s="16">
        <v>-9316</v>
      </c>
      <c r="GN8" s="16">
        <v>-1969</v>
      </c>
      <c r="GO8" s="16">
        <v>9211</v>
      </c>
      <c r="GP8" s="16">
        <v>-17719</v>
      </c>
      <c r="GQ8" s="16">
        <v>-4400</v>
      </c>
      <c r="GR8" s="16">
        <v>15403</v>
      </c>
      <c r="GS8" s="16">
        <v>1879</v>
      </c>
      <c r="GT8" s="16">
        <v>10676</v>
      </c>
      <c r="GU8" s="16">
        <v>-13145</v>
      </c>
      <c r="GV8" s="16">
        <v>6375</v>
      </c>
      <c r="GW8" s="16">
        <v>-1850</v>
      </c>
      <c r="GX8" s="16">
        <v>20073</v>
      </c>
      <c r="GY8" s="16">
        <v>15392</v>
      </c>
      <c r="GZ8" s="16">
        <v>-4386</v>
      </c>
      <c r="HA8" s="16">
        <v>-5728</v>
      </c>
      <c r="HB8" s="16">
        <v>-14203</v>
      </c>
      <c r="HC8" s="16">
        <v>1785</v>
      </c>
      <c r="HD8" s="16">
        <v>-23765</v>
      </c>
      <c r="HE8" s="17">
        <v>-26459.29</v>
      </c>
      <c r="HF8" s="17">
        <v>-16019.26</v>
      </c>
      <c r="HG8" s="17">
        <v>-14492.25</v>
      </c>
      <c r="HH8" s="17">
        <v>-19469.78</v>
      </c>
      <c r="HI8" s="17">
        <v>-17927.34</v>
      </c>
      <c r="HJ8" s="17">
        <v>-9818.1589999999997</v>
      </c>
      <c r="HK8" s="17">
        <v>-10563.81</v>
      </c>
      <c r="HL8" s="17">
        <v>-20321.87</v>
      </c>
      <c r="HM8" s="17">
        <v>-19721.95</v>
      </c>
      <c r="HN8" s="17">
        <v>-10602.15</v>
      </c>
      <c r="HO8" s="17">
        <v>-12764.53</v>
      </c>
      <c r="HP8" s="17">
        <v>-20515.61</v>
      </c>
      <c r="HQ8" s="17">
        <v>-20934.39</v>
      </c>
      <c r="HR8" s="17">
        <v>-12036.36</v>
      </c>
      <c r="HS8" s="17">
        <v>-17289.7</v>
      </c>
      <c r="HT8" s="17">
        <v>-21982.71</v>
      </c>
      <c r="HU8" s="17">
        <v>-23760.02</v>
      </c>
      <c r="HV8" s="17">
        <v>-15292.47</v>
      </c>
      <c r="HW8" s="17">
        <v>-22747.25</v>
      </c>
      <c r="HX8" s="17">
        <v>-19129.509999999998</v>
      </c>
      <c r="HY8" s="17">
        <v>-21899.75</v>
      </c>
      <c r="HZ8" s="17">
        <v>-12566.43</v>
      </c>
      <c r="IA8" s="17">
        <v>-22501.13</v>
      </c>
      <c r="IB8" s="17">
        <v>-17290.93</v>
      </c>
      <c r="IC8" s="17">
        <v>-19988.84</v>
      </c>
      <c r="ID8" s="17">
        <v>-9909.0939999999991</v>
      </c>
      <c r="IE8" s="17">
        <v>-21164.720000000001</v>
      </c>
      <c r="IF8" s="17">
        <v>-14777.77</v>
      </c>
      <c r="IG8" s="17">
        <v>-18030.64</v>
      </c>
      <c r="IH8" s="17">
        <v>-7499.9560000000001</v>
      </c>
      <c r="II8" s="17">
        <v>-21824.62</v>
      </c>
      <c r="IJ8" s="17">
        <v>-14213.16</v>
      </c>
      <c r="IK8" s="17">
        <v>-17568.28</v>
      </c>
      <c r="IL8" s="17">
        <v>-6650.6360000000004</v>
      </c>
      <c r="IM8" s="17">
        <v>-21430.86</v>
      </c>
      <c r="IN8" s="17">
        <v>-13537.29</v>
      </c>
      <c r="IO8" s="17">
        <v>-17013.169999999998</v>
      </c>
      <c r="IP8" s="17">
        <v>-5698.8739999999998</v>
      </c>
      <c r="IQ8" s="17">
        <v>-20970.96</v>
      </c>
      <c r="IR8" s="17">
        <v>-12769.48</v>
      </c>
      <c r="IS8" s="17">
        <v>-16307</v>
      </c>
      <c r="IT8" s="17">
        <v>-4495.4080000000004</v>
      </c>
      <c r="IU8" s="17">
        <v>-20225.22</v>
      </c>
      <c r="IV8" s="17">
        <v>-11684.76</v>
      </c>
      <c r="IW8" s="17">
        <v>-15360.58</v>
      </c>
      <c r="IX8" s="17">
        <v>-3159.8319999999999</v>
      </c>
      <c r="IY8" s="17">
        <v>-19883.27</v>
      </c>
      <c r="IZ8" s="17">
        <v>-10732.35</v>
      </c>
      <c r="JA8" s="17">
        <v>-14568.87</v>
      </c>
      <c r="JB8" s="17">
        <v>-2004.4839999999999</v>
      </c>
      <c r="JC8" s="17">
        <v>-19407.650000000001</v>
      </c>
      <c r="JD8" s="17">
        <v>-9934.0490000000009</v>
      </c>
      <c r="JE8" s="17">
        <v>-13913.36</v>
      </c>
      <c r="JF8" s="17">
        <v>-872.76390000000004</v>
      </c>
      <c r="JG8" s="17">
        <v>-18847.169999999998</v>
      </c>
      <c r="JH8" s="17">
        <v>-9023.1759999999995</v>
      </c>
      <c r="JI8" s="17">
        <v>-13138.73</v>
      </c>
      <c r="JJ8" s="17">
        <v>410.60059999999999</v>
      </c>
      <c r="JK8" s="17">
        <v>-18281.55</v>
      </c>
      <c r="JL8" s="17">
        <v>-8090.3339999999998</v>
      </c>
      <c r="JM8" s="17">
        <v>-12348.17</v>
      </c>
      <c r="JN8" s="17">
        <v>1745.7529999999999</v>
      </c>
      <c r="JO8" s="17">
        <v>-17620.53</v>
      </c>
      <c r="JP8" s="17">
        <v>-6977.7719999999999</v>
      </c>
      <c r="JQ8" s="17">
        <v>-11312.58</v>
      </c>
      <c r="JR8" s="17">
        <v>3384.8310000000001</v>
      </c>
      <c r="JS8" s="17">
        <v>-17973.259999999998</v>
      </c>
      <c r="JT8" s="17">
        <v>-7076.5219999999999</v>
      </c>
      <c r="JU8" s="17">
        <v>-11583.22</v>
      </c>
      <c r="JV8" s="17">
        <v>3655.172</v>
      </c>
      <c r="JW8" s="17">
        <v>-18430.509999999998</v>
      </c>
      <c r="JX8" s="17">
        <v>-7119.7309999999998</v>
      </c>
      <c r="JY8" s="17">
        <v>-11802.39</v>
      </c>
      <c r="JZ8" s="17">
        <v>4000.857</v>
      </c>
      <c r="KA8" s="17">
        <v>-18919.919999999998</v>
      </c>
      <c r="KB8" s="17">
        <v>-7195.43</v>
      </c>
      <c r="KC8" s="17">
        <v>-12060.23</v>
      </c>
      <c r="KD8" s="17">
        <v>4328.2449999999999</v>
      </c>
      <c r="KE8" s="17">
        <v>-19456.68</v>
      </c>
      <c r="KF8" s="17">
        <v>-7301.5529999999999</v>
      </c>
      <c r="KG8" s="17">
        <v>-12352.33</v>
      </c>
      <c r="KH8" s="17">
        <v>4644.2510000000002</v>
      </c>
      <c r="KI8" s="17">
        <v>-20033.5</v>
      </c>
      <c r="KJ8" s="17">
        <v>-7431.8310000000001</v>
      </c>
      <c r="KK8" s="17">
        <v>-12676.25</v>
      </c>
      <c r="KL8" s="17">
        <v>4949.18</v>
      </c>
      <c r="KM8" s="17">
        <v>-20652.400000000001</v>
      </c>
      <c r="KN8" s="17">
        <v>-7589.8490000000002</v>
      </c>
      <c r="KO8" s="17">
        <v>-13034.65</v>
      </c>
      <c r="KP8" s="17">
        <v>5241.0159999999996</v>
      </c>
      <c r="KQ8" s="17">
        <v>-21318</v>
      </c>
      <c r="KR8" s="17">
        <v>-7779.4489999999996</v>
      </c>
      <c r="KS8" s="17">
        <v>-13431.06</v>
      </c>
      <c r="KT8" s="17">
        <v>5516.0119999999997</v>
      </c>
      <c r="KU8" s="17">
        <v>-22006.13</v>
      </c>
      <c r="KV8" s="17">
        <v>-7973.518</v>
      </c>
      <c r="KW8" s="17">
        <v>-13842.35</v>
      </c>
      <c r="KX8" s="17">
        <v>5801.6180000000004</v>
      </c>
      <c r="KY8" s="17">
        <v>-22774.639999999999</v>
      </c>
      <c r="KZ8" s="17">
        <v>-8230.4150000000009</v>
      </c>
      <c r="LA8" s="17">
        <v>-14320.66</v>
      </c>
      <c r="LB8" s="17">
        <v>6045.0479999999998</v>
      </c>
      <c r="LC8" s="17">
        <v>-23592.33</v>
      </c>
      <c r="LD8" s="17">
        <v>-8517.875</v>
      </c>
      <c r="LE8" s="17">
        <v>-14837.19</v>
      </c>
      <c r="LF8" s="17">
        <v>6274.299</v>
      </c>
      <c r="LG8" s="17">
        <v>-24711.64</v>
      </c>
      <c r="LH8" s="17">
        <v>-9058.82</v>
      </c>
      <c r="LI8" s="17">
        <v>-15602.71</v>
      </c>
      <c r="LJ8" s="17">
        <v>6319.4070000000002</v>
      </c>
      <c r="LK8" s="17">
        <v>-25457</v>
      </c>
      <c r="LL8" s="17">
        <v>-9277.3950000000004</v>
      </c>
      <c r="LM8" s="17">
        <v>-16091.19</v>
      </c>
      <c r="LN8" s="17">
        <v>6610.5640000000003</v>
      </c>
      <c r="LO8" s="17">
        <v>-26296.41</v>
      </c>
      <c r="LP8" s="17">
        <v>-9558.4979999999996</v>
      </c>
      <c r="LQ8" s="17">
        <v>-16524.54</v>
      </c>
      <c r="LR8" s="17">
        <v>6978.2539999999999</v>
      </c>
      <c r="LS8" s="17">
        <v>-27094.16</v>
      </c>
      <c r="LT8" s="17">
        <v>-9770.7139999999999</v>
      </c>
      <c r="LU8" s="17">
        <v>-17030.349999999999</v>
      </c>
      <c r="LV8" s="17">
        <v>7299.55</v>
      </c>
      <c r="LW8" s="17">
        <v>-27974.93</v>
      </c>
      <c r="LX8" s="17">
        <v>-10052.18</v>
      </c>
      <c r="LY8" s="17">
        <v>-17558.810000000001</v>
      </c>
      <c r="LZ8" s="17">
        <v>7622.3249999999998</v>
      </c>
      <c r="MA8" s="17">
        <v>-28893.31</v>
      </c>
      <c r="MB8" s="17">
        <v>-10350.09</v>
      </c>
      <c r="MC8" s="17">
        <v>-18083.84</v>
      </c>
      <c r="MD8" s="17">
        <v>7976.6379999999999</v>
      </c>
      <c r="ME8" s="17">
        <v>-29818.38</v>
      </c>
      <c r="MF8" s="17">
        <v>-10632.32</v>
      </c>
      <c r="MG8" s="17">
        <v>-18593.3</v>
      </c>
      <c r="MH8" s="17">
        <v>8376.5879999999997</v>
      </c>
      <c r="MI8" s="17">
        <v>-30744.61</v>
      </c>
      <c r="MJ8" s="17">
        <v>-10884.47</v>
      </c>
      <c r="MK8" s="17">
        <v>-19191.939999999999</v>
      </c>
      <c r="ML8" s="17">
        <v>8721.93</v>
      </c>
      <c r="MM8" s="17">
        <v>-31772.28</v>
      </c>
      <c r="MN8" s="17">
        <v>-11223.05</v>
      </c>
      <c r="MO8" s="17">
        <v>-19754.22</v>
      </c>
      <c r="MP8" s="17">
        <v>9137.2659999999996</v>
      </c>
      <c r="MQ8" s="17">
        <v>-32772.019999999997</v>
      </c>
      <c r="MR8" s="17">
        <v>-11490.42</v>
      </c>
      <c r="MS8" s="17">
        <v>-20368.71</v>
      </c>
      <c r="MT8" s="17">
        <v>9541.5220000000008</v>
      </c>
      <c r="MU8" s="13" t="s">
        <v>478</v>
      </c>
      <c r="MV8" s="13" t="b">
        <v>1</v>
      </c>
      <c r="MW8" s="13" t="s">
        <v>480</v>
      </c>
      <c r="MX8" s="13" t="s">
        <v>480</v>
      </c>
      <c r="MY8" s="13">
        <v>2024</v>
      </c>
      <c r="MZ8" s="13">
        <v>2</v>
      </c>
      <c r="NA8" s="13" t="s">
        <v>480</v>
      </c>
      <c r="NB8" s="13" t="s">
        <v>503</v>
      </c>
      <c r="NC8" s="15" t="s">
        <v>504</v>
      </c>
      <c r="ND8" s="13" t="s">
        <v>483</v>
      </c>
      <c r="NE8" s="13" t="s">
        <v>505</v>
      </c>
      <c r="NF8" s="15" t="s">
        <v>1268</v>
      </c>
    </row>
    <row r="9" spans="1:370" x14ac:dyDescent="0.25">
      <c r="A9" s="13" t="s">
        <v>473</v>
      </c>
      <c r="B9" s="15" t="s">
        <v>1227</v>
      </c>
      <c r="C9" s="15" t="s">
        <v>1267</v>
      </c>
      <c r="D9" s="13" t="s">
        <v>475</v>
      </c>
      <c r="E9" s="13" t="s">
        <v>476</v>
      </c>
      <c r="F9" s="13" t="s">
        <v>477</v>
      </c>
      <c r="G9" s="16">
        <v>532.80179999999996</v>
      </c>
      <c r="H9" s="16">
        <v>1091.0930000000001</v>
      </c>
      <c r="I9" s="16">
        <v>468.89839999999998</v>
      </c>
      <c r="J9" s="16">
        <v>309.7867</v>
      </c>
      <c r="K9" s="16">
        <v>422.11959999999999</v>
      </c>
      <c r="L9" s="16">
        <v>-91.547380000000004</v>
      </c>
      <c r="M9" s="16">
        <v>-177.7449</v>
      </c>
      <c r="N9" s="16">
        <v>189.62690000000001</v>
      </c>
      <c r="O9" s="16">
        <v>212.56780000000001</v>
      </c>
      <c r="P9" s="16">
        <v>760.34</v>
      </c>
      <c r="Q9" s="16">
        <v>1490.1289999999999</v>
      </c>
      <c r="R9" s="16">
        <v>1302.979</v>
      </c>
      <c r="S9" s="16">
        <v>1793.346</v>
      </c>
      <c r="T9" s="16">
        <v>1053.4690000000001</v>
      </c>
      <c r="U9" s="16">
        <v>-506.45100000000002</v>
      </c>
      <c r="V9" s="16">
        <v>-1249.0920000000001</v>
      </c>
      <c r="W9" s="16">
        <v>-3174.8389999999999</v>
      </c>
      <c r="X9" s="16">
        <v>-2237.078</v>
      </c>
      <c r="Y9" s="16">
        <v>-97.218530000000001</v>
      </c>
      <c r="Z9" s="16">
        <v>633.89829999999995</v>
      </c>
      <c r="AA9" s="16">
        <v>1027.441</v>
      </c>
      <c r="AB9" s="16">
        <v>711.29960000000005</v>
      </c>
      <c r="AC9" s="16">
        <v>1432.0060000000001</v>
      </c>
      <c r="AD9" s="16">
        <v>-1265.211</v>
      </c>
      <c r="AE9" s="16">
        <v>-3118.511</v>
      </c>
      <c r="AF9" s="16">
        <v>-868.11360000000002</v>
      </c>
      <c r="AG9" s="16">
        <v>-3289.2190000000001</v>
      </c>
      <c r="AH9" s="16">
        <v>-1259.7550000000001</v>
      </c>
      <c r="AI9" s="16">
        <v>-767.66359999999997</v>
      </c>
      <c r="AJ9" s="16">
        <v>-204.92099999999999</v>
      </c>
      <c r="AK9" s="16">
        <v>-869.90909999999997</v>
      </c>
      <c r="AL9" s="16">
        <v>1358.373</v>
      </c>
      <c r="AM9" s="16">
        <v>1552.38</v>
      </c>
      <c r="AN9" s="16">
        <v>5261.6729999999998</v>
      </c>
      <c r="AO9" s="16">
        <v>2630.6930000000002</v>
      </c>
      <c r="AP9" s="16">
        <v>3395.3760000000002</v>
      </c>
      <c r="AQ9" s="16">
        <v>30.299130000000002</v>
      </c>
      <c r="AR9" s="16">
        <v>4697.2070000000003</v>
      </c>
      <c r="AS9" s="16">
        <v>5788.4790000000003</v>
      </c>
      <c r="AT9" s="16">
        <v>5259.5559999999996</v>
      </c>
      <c r="AU9" s="16">
        <v>1763.6210000000001</v>
      </c>
      <c r="AV9" s="16">
        <v>-3314.4560000000001</v>
      </c>
      <c r="AW9" s="16">
        <v>686.60260000000005</v>
      </c>
      <c r="AX9" s="16">
        <v>-3957.3290000000002</v>
      </c>
      <c r="AY9" s="16">
        <v>4594.46</v>
      </c>
      <c r="AZ9" s="16">
        <v>6497.23</v>
      </c>
      <c r="BA9" s="16">
        <v>5728.6329999999998</v>
      </c>
      <c r="BB9" s="16">
        <v>3981.2759999999998</v>
      </c>
      <c r="BC9" s="16">
        <v>-1443.8520000000001</v>
      </c>
      <c r="BD9" s="16">
        <v>12129.15</v>
      </c>
      <c r="BE9" s="16">
        <v>9052.0640000000003</v>
      </c>
      <c r="BF9" s="16">
        <v>2111.498</v>
      </c>
      <c r="BG9" s="16">
        <v>654.57749999999999</v>
      </c>
      <c r="BH9" s="16">
        <v>4476.4889999999996</v>
      </c>
      <c r="BI9" s="16">
        <v>1591.1189999999999</v>
      </c>
      <c r="BJ9" s="16">
        <v>-8655.9359999999997</v>
      </c>
      <c r="BK9" s="16">
        <v>-1899</v>
      </c>
      <c r="BL9" s="16">
        <v>-1972</v>
      </c>
      <c r="BM9" s="16">
        <v>-1603</v>
      </c>
      <c r="BN9" s="16">
        <v>-1427</v>
      </c>
      <c r="BO9" s="16">
        <v>-3111</v>
      </c>
      <c r="BP9" s="16">
        <v>-4620</v>
      </c>
      <c r="BQ9" s="16">
        <v>-4219</v>
      </c>
      <c r="BR9" s="16">
        <v>-5248</v>
      </c>
      <c r="BS9" s="16">
        <v>-6179</v>
      </c>
      <c r="BT9" s="16">
        <v>-7532</v>
      </c>
      <c r="BU9" s="16">
        <v>-10499</v>
      </c>
      <c r="BV9" s="16">
        <v>-7984</v>
      </c>
      <c r="BW9" s="16">
        <v>-7863</v>
      </c>
      <c r="BX9" s="16">
        <v>-8364</v>
      </c>
      <c r="BY9" s="16">
        <v>-6298</v>
      </c>
      <c r="BZ9" s="16">
        <v>-6035</v>
      </c>
      <c r="CA9" s="16">
        <v>-8812</v>
      </c>
      <c r="CB9" s="16">
        <v>-5450</v>
      </c>
      <c r="CC9" s="16">
        <v>-8267</v>
      </c>
      <c r="CD9" s="16">
        <v>-6723</v>
      </c>
      <c r="CE9" s="16">
        <v>-8349</v>
      </c>
      <c r="CF9" s="16">
        <v>-4994</v>
      </c>
      <c r="CG9" s="16">
        <v>-6006</v>
      </c>
      <c r="CH9" s="16">
        <v>-4524</v>
      </c>
      <c r="CI9" s="16">
        <v>-2118</v>
      </c>
      <c r="CJ9" s="16">
        <v>-3704</v>
      </c>
      <c r="CK9" s="16">
        <v>-2770</v>
      </c>
      <c r="CL9" s="16">
        <v>-3544</v>
      </c>
      <c r="CM9" s="16">
        <v>2801</v>
      </c>
      <c r="CN9" s="16">
        <v>151</v>
      </c>
      <c r="CO9" s="16">
        <v>-31</v>
      </c>
      <c r="CP9" s="16">
        <v>813</v>
      </c>
      <c r="CQ9" s="16">
        <v>1526</v>
      </c>
      <c r="CR9" s="16">
        <v>-4906</v>
      </c>
      <c r="CS9" s="16">
        <v>-4542</v>
      </c>
      <c r="CT9" s="16">
        <v>-4362</v>
      </c>
      <c r="CU9" s="16">
        <v>-4839</v>
      </c>
      <c r="CV9" s="16">
        <v>-1973</v>
      </c>
      <c r="CW9" s="16">
        <v>-3977</v>
      </c>
      <c r="CX9" s="16">
        <v>-3334</v>
      </c>
      <c r="CY9" s="16">
        <v>-705</v>
      </c>
      <c r="CZ9" s="16">
        <v>-6868</v>
      </c>
      <c r="DA9" s="16">
        <v>-4523</v>
      </c>
      <c r="DB9" s="16">
        <v>-5119</v>
      </c>
      <c r="DC9" s="16">
        <v>-6341</v>
      </c>
      <c r="DD9" s="16">
        <v>-5809</v>
      </c>
      <c r="DE9" s="16">
        <v>-1322</v>
      </c>
      <c r="DF9" s="16">
        <v>-1757</v>
      </c>
      <c r="DG9" s="16">
        <v>-4488</v>
      </c>
      <c r="DH9" s="16">
        <v>-9824</v>
      </c>
      <c r="DI9" s="16">
        <v>-11364</v>
      </c>
      <c r="DJ9" s="16">
        <v>-9888</v>
      </c>
      <c r="DK9" s="16">
        <v>-10436</v>
      </c>
      <c r="DL9" s="16">
        <v>-13556</v>
      </c>
      <c r="DM9" s="16">
        <v>-16016</v>
      </c>
      <c r="DN9" s="16">
        <v>-15641</v>
      </c>
      <c r="DO9" s="16">
        <v>-14019</v>
      </c>
      <c r="DP9" s="16">
        <v>-12854</v>
      </c>
      <c r="DQ9" s="16">
        <v>-11518</v>
      </c>
      <c r="DR9" s="16">
        <v>-5682</v>
      </c>
      <c r="DS9" s="16">
        <v>-7124</v>
      </c>
      <c r="DT9" s="16">
        <v>-8223</v>
      </c>
      <c r="DU9" s="16">
        <v>-3712</v>
      </c>
      <c r="DV9" s="16">
        <v>790</v>
      </c>
      <c r="DW9" s="16">
        <v>4022</v>
      </c>
      <c r="DX9" s="16">
        <v>3730</v>
      </c>
      <c r="DY9" s="16">
        <v>1612</v>
      </c>
      <c r="DZ9" s="16">
        <v>2101</v>
      </c>
      <c r="EA9" s="16">
        <v>-166</v>
      </c>
      <c r="EB9" s="16">
        <v>3705</v>
      </c>
      <c r="EC9" s="16">
        <v>-1538</v>
      </c>
      <c r="ED9" s="16">
        <v>4139</v>
      </c>
      <c r="EE9" s="16">
        <v>2192</v>
      </c>
      <c r="EF9" s="16">
        <v>1736</v>
      </c>
      <c r="EG9" s="16">
        <v>275</v>
      </c>
      <c r="EH9" s="16">
        <v>2958</v>
      </c>
      <c r="EI9" s="16">
        <v>-4610</v>
      </c>
      <c r="EJ9" s="16">
        <v>-880</v>
      </c>
      <c r="EK9" s="16">
        <v>-3199</v>
      </c>
      <c r="EL9" s="16">
        <v>-4684</v>
      </c>
      <c r="EM9" s="16">
        <v>-16674</v>
      </c>
      <c r="EN9" s="16">
        <v>-8446</v>
      </c>
      <c r="EO9" s="16">
        <v>-11577</v>
      </c>
      <c r="EP9" s="16">
        <v>-5481</v>
      </c>
      <c r="EQ9" s="16">
        <v>-448</v>
      </c>
      <c r="ER9" s="16">
        <v>-5530</v>
      </c>
      <c r="ES9" s="16">
        <v>2025</v>
      </c>
      <c r="ET9" s="16">
        <v>-3664</v>
      </c>
      <c r="EU9" s="16">
        <v>12079</v>
      </c>
      <c r="EV9" s="16">
        <v>1355</v>
      </c>
      <c r="EW9" s="16">
        <v>7621</v>
      </c>
      <c r="EX9" s="16">
        <v>13575</v>
      </c>
      <c r="EY9" s="16">
        <v>1299</v>
      </c>
      <c r="EZ9" s="16">
        <v>2770</v>
      </c>
      <c r="FA9" s="16">
        <v>6300</v>
      </c>
      <c r="FB9" s="16">
        <v>7885</v>
      </c>
      <c r="FC9" s="16">
        <v>15199</v>
      </c>
      <c r="FD9" s="16">
        <v>6424</v>
      </c>
      <c r="FE9" s="16">
        <v>5118</v>
      </c>
      <c r="FF9" s="16">
        <v>12649</v>
      </c>
      <c r="FG9" s="16">
        <v>9369</v>
      </c>
      <c r="FH9" s="16">
        <v>6319</v>
      </c>
      <c r="FI9" s="16">
        <v>5648</v>
      </c>
      <c r="FJ9" s="16">
        <v>10186</v>
      </c>
      <c r="FK9" s="16">
        <v>-3155</v>
      </c>
      <c r="FL9" s="16">
        <v>-13395</v>
      </c>
      <c r="FM9" s="16">
        <v>-4125</v>
      </c>
      <c r="FN9" s="16">
        <v>-9324</v>
      </c>
      <c r="FO9" s="16">
        <v>-2296</v>
      </c>
      <c r="FP9" s="16">
        <v>-4326</v>
      </c>
      <c r="FQ9" s="16">
        <v>-2</v>
      </c>
      <c r="FR9" s="16">
        <v>-13467</v>
      </c>
      <c r="FS9" s="16">
        <v>-15770</v>
      </c>
      <c r="FT9" s="16">
        <v>-11617</v>
      </c>
      <c r="FU9" s="16">
        <v>-13569</v>
      </c>
      <c r="FV9" s="16">
        <v>-30256</v>
      </c>
      <c r="FW9" s="16">
        <v>-18730</v>
      </c>
      <c r="FX9" s="16">
        <v>-17510</v>
      </c>
      <c r="FY9" s="16">
        <v>-13628</v>
      </c>
      <c r="FZ9" s="16">
        <v>-6340</v>
      </c>
      <c r="GA9" s="16">
        <v>-1391</v>
      </c>
      <c r="GB9" s="16">
        <v>-9871</v>
      </c>
      <c r="GC9" s="16">
        <v>-8195.9989999999998</v>
      </c>
      <c r="GD9" s="16">
        <v>-782</v>
      </c>
      <c r="GE9" s="16">
        <v>-5067</v>
      </c>
      <c r="GF9" s="16">
        <v>-8192.9989999999998</v>
      </c>
      <c r="GG9" s="16">
        <v>-5080</v>
      </c>
      <c r="GH9" s="16">
        <v>-7701</v>
      </c>
      <c r="GI9" s="16">
        <v>-21087</v>
      </c>
      <c r="GJ9" s="16">
        <v>-189</v>
      </c>
      <c r="GK9" s="16">
        <v>3505</v>
      </c>
      <c r="GL9" s="16">
        <v>17402</v>
      </c>
      <c r="GM9" s="16">
        <v>1493</v>
      </c>
      <c r="GN9" s="16">
        <v>21516</v>
      </c>
      <c r="GO9" s="16">
        <v>20618</v>
      </c>
      <c r="GP9" s="16">
        <v>-15834</v>
      </c>
      <c r="GQ9" s="16">
        <v>-2263</v>
      </c>
      <c r="GR9" s="16">
        <v>25535</v>
      </c>
      <c r="GS9" s="16">
        <v>6358</v>
      </c>
      <c r="GT9" s="16">
        <v>20791</v>
      </c>
      <c r="GU9" s="16">
        <v>-16196</v>
      </c>
      <c r="GV9" s="16">
        <v>15077</v>
      </c>
      <c r="GW9" s="16">
        <v>15865</v>
      </c>
      <c r="GX9" s="16">
        <v>54608</v>
      </c>
      <c r="GY9" s="16">
        <v>26842</v>
      </c>
      <c r="GZ9" s="16">
        <v>11506</v>
      </c>
      <c r="HA9" s="16">
        <v>11049</v>
      </c>
      <c r="HB9" s="16">
        <v>10972</v>
      </c>
      <c r="HC9" s="16">
        <v>9161</v>
      </c>
      <c r="HD9" s="16">
        <v>-9245</v>
      </c>
      <c r="HE9" s="17">
        <v>-14989.12</v>
      </c>
      <c r="HF9" s="17">
        <v>-7008.2330000000002</v>
      </c>
      <c r="HG9" s="17">
        <v>-7474.433</v>
      </c>
      <c r="HH9" s="17">
        <v>-14068.98</v>
      </c>
      <c r="HI9" s="17">
        <v>-13836.56</v>
      </c>
      <c r="HJ9" s="17">
        <v>-6786.3109999999997</v>
      </c>
      <c r="HK9" s="17">
        <v>-8388.4079999999994</v>
      </c>
      <c r="HL9" s="17">
        <v>-18840.84</v>
      </c>
      <c r="HM9" s="17">
        <v>-18804.79</v>
      </c>
      <c r="HN9" s="17">
        <v>-10142.780000000001</v>
      </c>
      <c r="HO9" s="17">
        <v>-12677.43</v>
      </c>
      <c r="HP9" s="17">
        <v>-20731.68</v>
      </c>
      <c r="HQ9" s="17">
        <v>-21397.85</v>
      </c>
      <c r="HR9" s="17">
        <v>-12702.28</v>
      </c>
      <c r="HS9" s="17">
        <v>-18121.72</v>
      </c>
      <c r="HT9" s="17">
        <v>-22951.55</v>
      </c>
      <c r="HU9" s="17">
        <v>-24841.9</v>
      </c>
      <c r="HV9" s="17">
        <v>-16468.28</v>
      </c>
      <c r="HW9" s="17">
        <v>-24001.61</v>
      </c>
      <c r="HX9" s="17">
        <v>-20450.02</v>
      </c>
      <c r="HY9" s="17">
        <v>-23276.44</v>
      </c>
      <c r="HZ9" s="17">
        <v>-13991.56</v>
      </c>
      <c r="IA9" s="17">
        <v>-23968.47</v>
      </c>
      <c r="IB9" s="17">
        <v>-18795.330000000002</v>
      </c>
      <c r="IC9" s="17">
        <v>-21526.16</v>
      </c>
      <c r="ID9" s="17">
        <v>-11476.02</v>
      </c>
      <c r="IE9" s="17">
        <v>-22758.44</v>
      </c>
      <c r="IF9" s="17">
        <v>-16396.169999999998</v>
      </c>
      <c r="IG9" s="17">
        <v>-19671.96</v>
      </c>
      <c r="IH9" s="17">
        <v>-9162.8690000000006</v>
      </c>
      <c r="II9" s="17">
        <v>-23508</v>
      </c>
      <c r="IJ9" s="17">
        <v>-15916.23</v>
      </c>
      <c r="IK9" s="17">
        <v>-19290.32</v>
      </c>
      <c r="IL9" s="17">
        <v>-8391.0370000000003</v>
      </c>
      <c r="IM9" s="17">
        <v>-23189.66</v>
      </c>
      <c r="IN9" s="17">
        <v>-15314.19</v>
      </c>
      <c r="IO9" s="17">
        <v>-18807.740000000002</v>
      </c>
      <c r="IP9" s="17">
        <v>-7511.0110000000004</v>
      </c>
      <c r="IQ9" s="17">
        <v>-22800.720000000001</v>
      </c>
      <c r="IR9" s="17">
        <v>-14616.86</v>
      </c>
      <c r="IS9" s="17">
        <v>-18171.650000000001</v>
      </c>
      <c r="IT9" s="17">
        <v>-6377.4350000000004</v>
      </c>
      <c r="IU9" s="17">
        <v>-22124.89</v>
      </c>
      <c r="IV9" s="17">
        <v>-13602.16</v>
      </c>
      <c r="IW9" s="17">
        <v>-17295.810000000001</v>
      </c>
      <c r="IX9" s="17">
        <v>-5112.9989999999998</v>
      </c>
      <c r="IY9" s="17">
        <v>-21854.67</v>
      </c>
      <c r="IZ9" s="17">
        <v>-12722.13</v>
      </c>
      <c r="JA9" s="17">
        <v>-16577.169999999998</v>
      </c>
      <c r="JB9" s="17">
        <v>-4031.49</v>
      </c>
      <c r="JC9" s="17">
        <v>-21453.52</v>
      </c>
      <c r="JD9" s="17">
        <v>-11998.95</v>
      </c>
      <c r="JE9" s="17">
        <v>-15997.46</v>
      </c>
      <c r="JF9" s="17">
        <v>-2976.248</v>
      </c>
      <c r="JG9" s="17">
        <v>-20970.39</v>
      </c>
      <c r="JH9" s="17">
        <v>-11166.31</v>
      </c>
      <c r="JI9" s="17">
        <v>-15301.98</v>
      </c>
      <c r="JJ9" s="17">
        <v>-1772.95</v>
      </c>
      <c r="JK9" s="17">
        <v>-20485.599999999999</v>
      </c>
      <c r="JL9" s="17">
        <v>-10315.08</v>
      </c>
      <c r="JM9" s="17">
        <v>-14593.82</v>
      </c>
      <c r="JN9" s="17">
        <v>-520.99900000000002</v>
      </c>
      <c r="JO9" s="17">
        <v>-19908.580000000002</v>
      </c>
      <c r="JP9" s="17">
        <v>-9287.3340000000007</v>
      </c>
      <c r="JQ9" s="17">
        <v>-13643.83</v>
      </c>
      <c r="JR9" s="17">
        <v>1031.6880000000001</v>
      </c>
      <c r="JS9" s="17">
        <v>-20348.240000000002</v>
      </c>
      <c r="JT9" s="17">
        <v>-9473.5339999999997</v>
      </c>
      <c r="JU9" s="17">
        <v>-14002.46</v>
      </c>
      <c r="JV9" s="17">
        <v>1213.518</v>
      </c>
      <c r="JW9" s="17">
        <v>-20894.78</v>
      </c>
      <c r="JX9" s="17">
        <v>-9606.82</v>
      </c>
      <c r="JY9" s="17">
        <v>-14312.5</v>
      </c>
      <c r="JZ9" s="17">
        <v>1467.5319999999999</v>
      </c>
      <c r="KA9" s="17">
        <v>-21476.639999999999</v>
      </c>
      <c r="KB9" s="17">
        <v>-9775.7540000000008</v>
      </c>
      <c r="KC9" s="17">
        <v>-14664.36</v>
      </c>
      <c r="KD9" s="17">
        <v>1700.1</v>
      </c>
      <c r="KE9" s="17">
        <v>-22109.05</v>
      </c>
      <c r="KF9" s="17">
        <v>-9978.3520000000008</v>
      </c>
      <c r="KG9" s="17">
        <v>-15053.78</v>
      </c>
      <c r="KH9" s="17">
        <v>1917.953</v>
      </c>
      <c r="KI9" s="17">
        <v>-22784.87</v>
      </c>
      <c r="KJ9" s="17">
        <v>-10208.48</v>
      </c>
      <c r="KK9" s="17">
        <v>-15478.41</v>
      </c>
      <c r="KL9" s="17">
        <v>2121.2919999999999</v>
      </c>
      <c r="KM9" s="17">
        <v>-23506.240000000002</v>
      </c>
      <c r="KN9" s="17">
        <v>-10469.86</v>
      </c>
      <c r="KO9" s="17">
        <v>-15941.06</v>
      </c>
      <c r="KP9" s="17">
        <v>2307.9769999999999</v>
      </c>
      <c r="KQ9" s="17">
        <v>-24277.89</v>
      </c>
      <c r="KR9" s="17">
        <v>-10766.44</v>
      </c>
      <c r="KS9" s="17">
        <v>-16445.37</v>
      </c>
      <c r="KT9" s="17">
        <v>2474.1370000000002</v>
      </c>
      <c r="KU9" s="17">
        <v>-25075.81</v>
      </c>
      <c r="KV9" s="17">
        <v>-11071.23</v>
      </c>
      <c r="KW9" s="17">
        <v>-16968.349999999999</v>
      </c>
      <c r="KX9" s="17">
        <v>2647.0880000000002</v>
      </c>
      <c r="KY9" s="17">
        <v>-25957.95</v>
      </c>
      <c r="KZ9" s="17">
        <v>-11442.75</v>
      </c>
      <c r="LA9" s="17">
        <v>-17562.259999999998</v>
      </c>
      <c r="LB9" s="17">
        <v>2773.9209999999998</v>
      </c>
      <c r="LC9" s="17">
        <v>-26893.27</v>
      </c>
      <c r="LD9" s="17">
        <v>-11848.88</v>
      </c>
      <c r="LE9" s="17">
        <v>-18198.53</v>
      </c>
      <c r="LF9" s="17">
        <v>2882.3690000000001</v>
      </c>
      <c r="LG9" s="17">
        <v>-28133.62</v>
      </c>
      <c r="LH9" s="17">
        <v>-12511.1</v>
      </c>
      <c r="LI9" s="17">
        <v>-19085.419999999998</v>
      </c>
      <c r="LJ9" s="17">
        <v>2806.0129999999999</v>
      </c>
      <c r="LK9" s="17">
        <v>-29001.35</v>
      </c>
      <c r="LL9" s="17">
        <v>-12852.97</v>
      </c>
      <c r="LM9" s="17">
        <v>-19697.990000000002</v>
      </c>
      <c r="LN9" s="17">
        <v>2972.26</v>
      </c>
      <c r="LO9" s="17">
        <v>-29966.47</v>
      </c>
      <c r="LP9" s="17">
        <v>-13260.59</v>
      </c>
      <c r="LQ9" s="17">
        <v>-20258.939999999999</v>
      </c>
      <c r="LR9" s="17">
        <v>3211.2849999999999</v>
      </c>
      <c r="LS9" s="17">
        <v>-30893.97</v>
      </c>
      <c r="LT9" s="17">
        <v>-13603.65</v>
      </c>
      <c r="LU9" s="17">
        <v>-20896.560000000001</v>
      </c>
      <c r="LV9" s="17">
        <v>3399.7950000000001</v>
      </c>
      <c r="LW9" s="17">
        <v>-31908.55</v>
      </c>
      <c r="LX9" s="17">
        <v>-14019.95</v>
      </c>
      <c r="LY9" s="17">
        <v>-21560.9</v>
      </c>
      <c r="LZ9" s="17">
        <v>3585.63</v>
      </c>
      <c r="MA9" s="17">
        <v>-32964.89</v>
      </c>
      <c r="MB9" s="17">
        <v>-14456.84</v>
      </c>
      <c r="MC9" s="17">
        <v>-22226.06</v>
      </c>
      <c r="MD9" s="17">
        <v>3798.6529999999998</v>
      </c>
      <c r="ME9" s="17">
        <v>-34032.410000000003</v>
      </c>
      <c r="MF9" s="17">
        <v>-14882.71</v>
      </c>
      <c r="MG9" s="17">
        <v>-22880.48</v>
      </c>
      <c r="MH9" s="17">
        <v>4052.3049999999998</v>
      </c>
      <c r="MI9" s="17">
        <v>-35106.300000000003</v>
      </c>
      <c r="MJ9" s="17">
        <v>-15283.89</v>
      </c>
      <c r="MK9" s="17">
        <v>-23629.33</v>
      </c>
      <c r="ML9" s="17">
        <v>4246.2389999999996</v>
      </c>
      <c r="MM9" s="17">
        <v>-36286.58</v>
      </c>
      <c r="MN9" s="17">
        <v>-15776.29</v>
      </c>
      <c r="MO9" s="17">
        <v>-24346.87</v>
      </c>
      <c r="MP9" s="17">
        <v>4504.8760000000002</v>
      </c>
      <c r="MQ9" s="17">
        <v>-37444.519999999997</v>
      </c>
      <c r="MR9" s="17">
        <v>-16203.37</v>
      </c>
      <c r="MS9" s="17">
        <v>-25122.45</v>
      </c>
      <c r="MT9" s="17">
        <v>4746.6580000000004</v>
      </c>
      <c r="MU9" s="13" t="s">
        <v>497</v>
      </c>
      <c r="MV9" s="13" t="b">
        <v>0</v>
      </c>
      <c r="MW9" s="13" t="s">
        <v>480</v>
      </c>
      <c r="MX9" s="13" t="s">
        <v>480</v>
      </c>
      <c r="MY9" s="13">
        <v>2024</v>
      </c>
      <c r="MZ9" s="13">
        <v>2</v>
      </c>
      <c r="NA9" s="13" t="s">
        <v>480</v>
      </c>
      <c r="NB9" s="13" t="s">
        <v>497</v>
      </c>
      <c r="NC9" s="13" t="s">
        <v>480</v>
      </c>
      <c r="ND9" s="13" t="s">
        <v>483</v>
      </c>
      <c r="NE9" s="13" t="s">
        <v>506</v>
      </c>
      <c r="NF9" s="15" t="s">
        <v>1268</v>
      </c>
    </row>
    <row r="10" spans="1:370" x14ac:dyDescent="0.25">
      <c r="A10" s="13" t="s">
        <v>473</v>
      </c>
      <c r="B10" s="13" t="s">
        <v>507</v>
      </c>
      <c r="C10" s="15" t="s">
        <v>1267</v>
      </c>
      <c r="D10" s="13" t="s">
        <v>475</v>
      </c>
      <c r="E10" s="13" t="s">
        <v>476</v>
      </c>
      <c r="F10" s="13" t="s">
        <v>477</v>
      </c>
      <c r="G10" s="16">
        <v>20046</v>
      </c>
      <c r="H10" s="16">
        <v>19874</v>
      </c>
      <c r="I10" s="16">
        <v>20558</v>
      </c>
      <c r="J10" s="16">
        <v>21315</v>
      </c>
      <c r="K10" s="16">
        <v>21132</v>
      </c>
      <c r="L10" s="16">
        <v>22651</v>
      </c>
      <c r="M10" s="16">
        <v>23896</v>
      </c>
      <c r="N10" s="16">
        <v>24994</v>
      </c>
      <c r="O10" s="16">
        <v>26814</v>
      </c>
      <c r="P10" s="16">
        <v>28129</v>
      </c>
      <c r="Q10" s="16">
        <v>29260</v>
      </c>
      <c r="R10" s="16">
        <v>30890</v>
      </c>
      <c r="S10" s="16">
        <v>32449</v>
      </c>
      <c r="T10" s="16">
        <v>33322</v>
      </c>
      <c r="U10" s="16">
        <v>34550</v>
      </c>
      <c r="V10" s="16">
        <v>36678</v>
      </c>
      <c r="W10" s="16">
        <v>38038</v>
      </c>
      <c r="X10" s="16">
        <v>39244</v>
      </c>
      <c r="Y10" s="16">
        <v>40339</v>
      </c>
      <c r="Z10" s="16">
        <v>42165</v>
      </c>
      <c r="AA10" s="16">
        <v>44140</v>
      </c>
      <c r="AB10" s="16">
        <v>45905</v>
      </c>
      <c r="AC10" s="16">
        <v>47207</v>
      </c>
      <c r="AD10" s="16">
        <v>48906</v>
      </c>
      <c r="AE10" s="16">
        <v>50459</v>
      </c>
      <c r="AF10" s="16">
        <v>53966</v>
      </c>
      <c r="AG10" s="16">
        <v>56767</v>
      </c>
      <c r="AH10" s="16">
        <v>59789</v>
      </c>
      <c r="AI10" s="16">
        <v>62107</v>
      </c>
      <c r="AJ10" s="16">
        <v>63704</v>
      </c>
      <c r="AK10" s="16">
        <v>66021</v>
      </c>
      <c r="AL10" s="16">
        <v>68138</v>
      </c>
      <c r="AM10" s="16">
        <v>69940</v>
      </c>
      <c r="AN10" s="16">
        <v>71334</v>
      </c>
      <c r="AO10" s="16">
        <v>73310</v>
      </c>
      <c r="AP10" s="16">
        <v>75596</v>
      </c>
      <c r="AQ10" s="16">
        <v>77468</v>
      </c>
      <c r="AR10" s="16">
        <v>78993</v>
      </c>
      <c r="AS10" s="16">
        <v>80430</v>
      </c>
      <c r="AT10" s="16">
        <v>82667</v>
      </c>
      <c r="AU10" s="16">
        <v>85727</v>
      </c>
      <c r="AV10" s="16">
        <v>86288</v>
      </c>
      <c r="AW10" s="16">
        <v>88637</v>
      </c>
      <c r="AX10" s="16">
        <v>90695</v>
      </c>
      <c r="AY10" s="16">
        <v>91663</v>
      </c>
      <c r="AZ10" s="16">
        <v>93433</v>
      </c>
      <c r="BA10" s="16">
        <v>94862</v>
      </c>
      <c r="BB10" s="16">
        <v>97962</v>
      </c>
      <c r="BC10" s="16">
        <v>99412</v>
      </c>
      <c r="BD10" s="16">
        <v>103208</v>
      </c>
      <c r="BE10" s="16">
        <v>105169</v>
      </c>
      <c r="BF10" s="16">
        <v>106841</v>
      </c>
      <c r="BG10" s="16">
        <v>108753</v>
      </c>
      <c r="BH10" s="16">
        <v>110079</v>
      </c>
      <c r="BI10" s="16">
        <v>111989</v>
      </c>
      <c r="BJ10" s="16">
        <v>115779</v>
      </c>
      <c r="BK10" s="16">
        <v>118136</v>
      </c>
      <c r="BL10" s="16">
        <v>121739</v>
      </c>
      <c r="BM10" s="16">
        <v>127119</v>
      </c>
      <c r="BN10" s="16">
        <v>129815</v>
      </c>
      <c r="BO10" s="16">
        <v>133283</v>
      </c>
      <c r="BP10" s="16">
        <v>136630</v>
      </c>
      <c r="BQ10" s="16">
        <v>140801</v>
      </c>
      <c r="BR10" s="16">
        <v>144969</v>
      </c>
      <c r="BS10" s="16">
        <v>148623</v>
      </c>
      <c r="BT10" s="16">
        <v>151262</v>
      </c>
      <c r="BU10" s="16">
        <v>155370</v>
      </c>
      <c r="BV10" s="16">
        <v>159376</v>
      </c>
      <c r="BW10" s="16">
        <v>163056</v>
      </c>
      <c r="BX10" s="16">
        <v>166719</v>
      </c>
      <c r="BY10" s="16">
        <v>170068</v>
      </c>
      <c r="BZ10" s="16">
        <v>170954</v>
      </c>
      <c r="CA10" s="16">
        <v>173192</v>
      </c>
      <c r="CB10" s="16">
        <v>175822</v>
      </c>
      <c r="CC10" s="16">
        <v>177280</v>
      </c>
      <c r="CD10" s="16">
        <v>179590</v>
      </c>
      <c r="CE10" s="16">
        <v>181438</v>
      </c>
      <c r="CF10" s="16">
        <v>181889</v>
      </c>
      <c r="CG10" s="16">
        <v>182558</v>
      </c>
      <c r="CH10" s="16">
        <v>184989</v>
      </c>
      <c r="CI10" s="16">
        <v>189580</v>
      </c>
      <c r="CJ10" s="16">
        <v>189802</v>
      </c>
      <c r="CK10" s="16">
        <v>193552</v>
      </c>
      <c r="CL10" s="16">
        <v>196921</v>
      </c>
      <c r="CM10" s="16">
        <v>199796</v>
      </c>
      <c r="CN10" s="16">
        <v>200691</v>
      </c>
      <c r="CO10" s="16">
        <v>203292</v>
      </c>
      <c r="CP10" s="16">
        <v>207015</v>
      </c>
      <c r="CQ10" s="16">
        <v>208657</v>
      </c>
      <c r="CR10" s="16">
        <v>210748</v>
      </c>
      <c r="CS10" s="16">
        <v>214616</v>
      </c>
      <c r="CT10" s="16">
        <v>217824</v>
      </c>
      <c r="CU10" s="16">
        <v>221433</v>
      </c>
      <c r="CV10" s="16">
        <v>226187</v>
      </c>
      <c r="CW10" s="16">
        <v>229912</v>
      </c>
      <c r="CX10" s="16">
        <v>232461</v>
      </c>
      <c r="CY10" s="16">
        <v>232749</v>
      </c>
      <c r="CZ10" s="16">
        <v>235998</v>
      </c>
      <c r="DA10" s="16">
        <v>243388</v>
      </c>
      <c r="DB10" s="16">
        <v>241270</v>
      </c>
      <c r="DC10" s="16">
        <v>245958</v>
      </c>
      <c r="DD10" s="16">
        <v>248081</v>
      </c>
      <c r="DE10" s="16">
        <v>250560</v>
      </c>
      <c r="DF10" s="16">
        <v>253902</v>
      </c>
      <c r="DG10" s="16">
        <v>255903</v>
      </c>
      <c r="DH10" s="16">
        <v>258404</v>
      </c>
      <c r="DI10" s="16">
        <v>261604</v>
      </c>
      <c r="DJ10" s="16">
        <v>267337</v>
      </c>
      <c r="DK10" s="16">
        <v>272305</v>
      </c>
      <c r="DL10" s="16">
        <v>273916</v>
      </c>
      <c r="DM10" s="16">
        <v>276174</v>
      </c>
      <c r="DN10" s="16">
        <v>278357</v>
      </c>
      <c r="DO10" s="16">
        <v>282889</v>
      </c>
      <c r="DP10" s="16">
        <v>286728</v>
      </c>
      <c r="DQ10" s="16">
        <v>288166</v>
      </c>
      <c r="DR10" s="16">
        <v>288352</v>
      </c>
      <c r="DS10" s="16">
        <v>292486</v>
      </c>
      <c r="DT10" s="16">
        <v>295516</v>
      </c>
      <c r="DU10" s="16">
        <v>299230</v>
      </c>
      <c r="DV10" s="16">
        <v>304207</v>
      </c>
      <c r="DW10" s="16">
        <v>307485</v>
      </c>
      <c r="DX10" s="16">
        <v>312948</v>
      </c>
      <c r="DY10" s="16">
        <v>317463</v>
      </c>
      <c r="DZ10" s="16">
        <v>320438</v>
      </c>
      <c r="EA10" s="16">
        <v>322778</v>
      </c>
      <c r="EB10" s="16">
        <v>329732</v>
      </c>
      <c r="EC10" s="16">
        <v>331592</v>
      </c>
      <c r="ED10" s="16">
        <v>338535</v>
      </c>
      <c r="EE10" s="16">
        <v>341254</v>
      </c>
      <c r="EF10" s="16">
        <v>348491</v>
      </c>
      <c r="EG10" s="16">
        <v>352001</v>
      </c>
      <c r="EH10" s="16">
        <v>357003</v>
      </c>
      <c r="EI10" s="16">
        <v>361213</v>
      </c>
      <c r="EJ10" s="16">
        <v>367042</v>
      </c>
      <c r="EK10" s="16">
        <v>370883</v>
      </c>
      <c r="EL10" s="16">
        <v>372900</v>
      </c>
      <c r="EM10" s="16">
        <v>376958</v>
      </c>
      <c r="EN10" s="16">
        <v>386144</v>
      </c>
      <c r="EO10" s="16">
        <v>389291</v>
      </c>
      <c r="EP10" s="16">
        <v>392244</v>
      </c>
      <c r="EQ10" s="16">
        <v>397800</v>
      </c>
      <c r="ER10" s="16">
        <v>400685</v>
      </c>
      <c r="ES10" s="16">
        <v>399994</v>
      </c>
      <c r="ET10" s="16">
        <v>395121</v>
      </c>
      <c r="EU10" s="16">
        <v>386874</v>
      </c>
      <c r="EV10" s="16">
        <v>386553</v>
      </c>
      <c r="EW10" s="16">
        <v>388596</v>
      </c>
      <c r="EX10" s="16">
        <v>386779</v>
      </c>
      <c r="EY10" s="16">
        <v>396176</v>
      </c>
      <c r="EZ10" s="16">
        <v>401223</v>
      </c>
      <c r="FA10" s="16">
        <v>404365</v>
      </c>
      <c r="FB10" s="16">
        <v>406789</v>
      </c>
      <c r="FC10" s="16">
        <v>414806</v>
      </c>
      <c r="FD10" s="16">
        <v>412364</v>
      </c>
      <c r="FE10" s="16">
        <v>416115</v>
      </c>
      <c r="FF10" s="16">
        <v>419305</v>
      </c>
      <c r="FG10" s="16">
        <v>424540</v>
      </c>
      <c r="FH10" s="16">
        <v>424939</v>
      </c>
      <c r="FI10" s="16">
        <v>430964</v>
      </c>
      <c r="FJ10" s="16">
        <v>433272</v>
      </c>
      <c r="FK10" s="16">
        <v>438283</v>
      </c>
      <c r="FL10" s="16">
        <v>442095</v>
      </c>
      <c r="FM10" s="16">
        <v>448800</v>
      </c>
      <c r="FN10" s="16">
        <v>452183</v>
      </c>
      <c r="FO10" s="16">
        <v>457683</v>
      </c>
      <c r="FP10" s="16">
        <v>461549</v>
      </c>
      <c r="FQ10" s="16">
        <v>470624</v>
      </c>
      <c r="FR10" s="16">
        <v>472658</v>
      </c>
      <c r="FS10" s="16">
        <v>474680</v>
      </c>
      <c r="FT10" s="16">
        <v>476591</v>
      </c>
      <c r="FU10" s="16">
        <v>479924</v>
      </c>
      <c r="FV10" s="16">
        <v>485256</v>
      </c>
      <c r="FW10" s="16">
        <v>489683</v>
      </c>
      <c r="FX10" s="16">
        <v>493710</v>
      </c>
      <c r="FY10" s="16">
        <v>500801</v>
      </c>
      <c r="FZ10" s="16">
        <v>507451</v>
      </c>
      <c r="GA10" s="16">
        <v>513814</v>
      </c>
      <c r="GB10" s="16">
        <v>517656</v>
      </c>
      <c r="GC10" s="16">
        <v>521257</v>
      </c>
      <c r="GD10" s="16">
        <v>529755</v>
      </c>
      <c r="GE10" s="16">
        <v>531131</v>
      </c>
      <c r="GF10" s="16">
        <v>535707</v>
      </c>
      <c r="GG10" s="16">
        <v>540205</v>
      </c>
      <c r="GH10" s="16">
        <v>545261</v>
      </c>
      <c r="GI10" s="16">
        <v>549060</v>
      </c>
      <c r="GJ10" s="16">
        <v>556104</v>
      </c>
      <c r="GK10" s="16">
        <v>562999</v>
      </c>
      <c r="GL10" s="16">
        <v>565758</v>
      </c>
      <c r="GM10" s="16">
        <v>555891</v>
      </c>
      <c r="GN10" s="16">
        <v>476160</v>
      </c>
      <c r="GO10" s="16">
        <v>533806</v>
      </c>
      <c r="GP10" s="16">
        <v>537629</v>
      </c>
      <c r="GQ10" s="16">
        <v>537992</v>
      </c>
      <c r="GR10" s="16">
        <v>568521</v>
      </c>
      <c r="GS10" s="16">
        <v>581805</v>
      </c>
      <c r="GT10" s="16">
        <v>597082</v>
      </c>
      <c r="GU10" s="16">
        <v>610346</v>
      </c>
      <c r="GV10" s="16">
        <v>625467</v>
      </c>
      <c r="GW10" s="16">
        <v>636553</v>
      </c>
      <c r="GX10" s="16">
        <v>654062</v>
      </c>
      <c r="GY10" s="16">
        <v>667939</v>
      </c>
      <c r="GZ10" s="16">
        <v>680492</v>
      </c>
      <c r="HA10" s="16">
        <v>685669</v>
      </c>
      <c r="HB10" s="16">
        <v>685929</v>
      </c>
      <c r="HC10" s="16">
        <v>695527</v>
      </c>
      <c r="HD10" s="16">
        <v>702893</v>
      </c>
      <c r="HE10" s="17">
        <v>709692.4</v>
      </c>
      <c r="HF10" s="17">
        <v>717100.5</v>
      </c>
      <c r="HG10" s="17">
        <v>724313.4</v>
      </c>
      <c r="HH10" s="17">
        <v>731088.9</v>
      </c>
      <c r="HI10" s="17">
        <v>737603.2</v>
      </c>
      <c r="HJ10" s="17">
        <v>744370.9</v>
      </c>
      <c r="HK10" s="17">
        <v>751533.9</v>
      </c>
      <c r="HL10" s="17">
        <v>758767</v>
      </c>
      <c r="HM10" s="17">
        <v>765763.3</v>
      </c>
      <c r="HN10" s="17">
        <v>772900.8</v>
      </c>
      <c r="HO10" s="17">
        <v>780027.7</v>
      </c>
      <c r="HP10" s="17">
        <v>787220.5</v>
      </c>
      <c r="HQ10" s="17">
        <v>794420.2</v>
      </c>
      <c r="HR10" s="17">
        <v>801805.3</v>
      </c>
      <c r="HS10" s="17">
        <v>809178.4</v>
      </c>
      <c r="HT10" s="17">
        <v>816619.4</v>
      </c>
      <c r="HU10" s="17">
        <v>824026.6</v>
      </c>
      <c r="HV10" s="17">
        <v>831459.4</v>
      </c>
      <c r="HW10" s="17">
        <v>838959</v>
      </c>
      <c r="HX10" s="17">
        <v>846526.6</v>
      </c>
      <c r="HY10" s="17">
        <v>854161.9</v>
      </c>
      <c r="HZ10" s="17">
        <v>862037.8</v>
      </c>
      <c r="IA10" s="17">
        <v>870116.6</v>
      </c>
      <c r="IB10" s="17">
        <v>878270.9</v>
      </c>
      <c r="IC10" s="17">
        <v>886501.6</v>
      </c>
      <c r="ID10" s="17">
        <v>894809.3</v>
      </c>
      <c r="IE10" s="17">
        <v>903104.7</v>
      </c>
      <c r="IF10" s="17">
        <v>911477.3</v>
      </c>
      <c r="IG10" s="17">
        <v>919881.8</v>
      </c>
      <c r="IH10" s="17">
        <v>928363.4</v>
      </c>
      <c r="II10" s="17">
        <v>936877.1</v>
      </c>
      <c r="IJ10" s="17">
        <v>945491.8</v>
      </c>
      <c r="IK10" s="17">
        <v>954138.8</v>
      </c>
      <c r="IL10" s="17">
        <v>962792.7</v>
      </c>
      <c r="IM10" s="17">
        <v>971748.9</v>
      </c>
      <c r="IN10" s="17">
        <v>980754.4</v>
      </c>
      <c r="IO10" s="17">
        <v>989715.1</v>
      </c>
      <c r="IP10" s="17">
        <v>998759.3</v>
      </c>
      <c r="IQ10" s="17">
        <v>1007955</v>
      </c>
      <c r="IR10" s="17">
        <v>1017239</v>
      </c>
      <c r="IS10" s="17">
        <v>1026415</v>
      </c>
      <c r="IT10" s="17">
        <v>1035706</v>
      </c>
      <c r="IU10" s="17">
        <v>1045196</v>
      </c>
      <c r="IV10" s="17">
        <v>1054772</v>
      </c>
      <c r="IW10" s="17">
        <v>1064437</v>
      </c>
      <c r="IX10" s="17">
        <v>1074188</v>
      </c>
      <c r="IY10" s="17">
        <v>1084124</v>
      </c>
      <c r="IZ10" s="17">
        <v>1094153</v>
      </c>
      <c r="JA10" s="17">
        <v>1104279</v>
      </c>
      <c r="JB10" s="17">
        <v>1114514</v>
      </c>
      <c r="JC10" s="17">
        <v>1124847</v>
      </c>
      <c r="JD10" s="17">
        <v>1135279</v>
      </c>
      <c r="JE10" s="17">
        <v>1145811</v>
      </c>
      <c r="JF10" s="17">
        <v>1156444</v>
      </c>
      <c r="JG10" s="17">
        <v>1167276</v>
      </c>
      <c r="JH10" s="17">
        <v>1178214</v>
      </c>
      <c r="JI10" s="17">
        <v>1189258</v>
      </c>
      <c r="JJ10" s="17">
        <v>1200411</v>
      </c>
      <c r="JK10" s="17">
        <v>1211673</v>
      </c>
      <c r="JL10" s="17">
        <v>1223047</v>
      </c>
      <c r="JM10" s="17">
        <v>1234531</v>
      </c>
      <c r="JN10" s="17">
        <v>1246129</v>
      </c>
      <c r="JO10" s="17">
        <v>1257840</v>
      </c>
      <c r="JP10" s="17">
        <v>1269658</v>
      </c>
      <c r="JQ10" s="17">
        <v>1281582</v>
      </c>
      <c r="JR10" s="17">
        <v>1293613</v>
      </c>
      <c r="JS10" s="17">
        <v>1305617</v>
      </c>
      <c r="JT10" s="17">
        <v>1317727</v>
      </c>
      <c r="JU10" s="17">
        <v>1329944</v>
      </c>
      <c r="JV10" s="17">
        <v>1342268</v>
      </c>
      <c r="JW10" s="17">
        <v>1354701</v>
      </c>
      <c r="JX10" s="17">
        <v>1367243</v>
      </c>
      <c r="JY10" s="17">
        <v>1379897</v>
      </c>
      <c r="JZ10" s="17">
        <v>1392660</v>
      </c>
      <c r="KA10" s="17">
        <v>1405523</v>
      </c>
      <c r="KB10" s="17">
        <v>1418498</v>
      </c>
      <c r="KC10" s="17">
        <v>1431586</v>
      </c>
      <c r="KD10" s="17">
        <v>1444786</v>
      </c>
      <c r="KE10" s="17">
        <v>1458101</v>
      </c>
      <c r="KF10" s="17">
        <v>1471532</v>
      </c>
      <c r="KG10" s="17">
        <v>1485079</v>
      </c>
      <c r="KH10" s="17">
        <v>1498743</v>
      </c>
      <c r="KI10" s="17">
        <v>1512525</v>
      </c>
      <c r="KJ10" s="17">
        <v>1526427</v>
      </c>
      <c r="KK10" s="17">
        <v>1540448</v>
      </c>
      <c r="KL10" s="17">
        <v>1554591</v>
      </c>
      <c r="KM10" s="17">
        <v>1568856</v>
      </c>
      <c r="KN10" s="17">
        <v>1583245</v>
      </c>
      <c r="KO10" s="17">
        <v>1597758</v>
      </c>
      <c r="KP10" s="17">
        <v>1612396</v>
      </c>
      <c r="KQ10" s="17">
        <v>1627161</v>
      </c>
      <c r="KR10" s="17">
        <v>1642054</v>
      </c>
      <c r="KS10" s="17">
        <v>1657076</v>
      </c>
      <c r="KT10" s="17">
        <v>1672227</v>
      </c>
      <c r="KU10" s="17">
        <v>1687511</v>
      </c>
      <c r="KV10" s="17">
        <v>1702926</v>
      </c>
      <c r="KW10" s="17">
        <v>1718475</v>
      </c>
      <c r="KX10" s="17">
        <v>1734158</v>
      </c>
      <c r="KY10" s="17">
        <v>1749977</v>
      </c>
      <c r="KZ10" s="17">
        <v>1765933</v>
      </c>
      <c r="LA10" s="17">
        <v>1782024</v>
      </c>
      <c r="LB10" s="17">
        <v>1798256</v>
      </c>
      <c r="LC10" s="17">
        <v>1814645</v>
      </c>
      <c r="LD10" s="17">
        <v>1831176</v>
      </c>
      <c r="LE10" s="17">
        <v>1847848</v>
      </c>
      <c r="LF10" s="17">
        <v>1864665</v>
      </c>
      <c r="LG10" s="17">
        <v>1881181</v>
      </c>
      <c r="LH10" s="17">
        <v>1897841</v>
      </c>
      <c r="LI10" s="17">
        <v>1914569</v>
      </c>
      <c r="LJ10" s="17">
        <v>1931440</v>
      </c>
      <c r="LK10" s="17">
        <v>1948457</v>
      </c>
      <c r="LL10" s="17">
        <v>1965621</v>
      </c>
      <c r="LM10" s="17">
        <v>1982792</v>
      </c>
      <c r="LN10" s="17">
        <v>2000106</v>
      </c>
      <c r="LO10" s="17">
        <v>2017566</v>
      </c>
      <c r="LP10" s="17">
        <v>2035172</v>
      </c>
      <c r="LQ10" s="17">
        <v>2052930</v>
      </c>
      <c r="LR10" s="17">
        <v>2070837</v>
      </c>
      <c r="LS10" s="17">
        <v>2088896</v>
      </c>
      <c r="LT10" s="17">
        <v>2107104</v>
      </c>
      <c r="LU10" s="17">
        <v>2125394</v>
      </c>
      <c r="LV10" s="17">
        <v>2143836</v>
      </c>
      <c r="LW10" s="17">
        <v>2162454</v>
      </c>
      <c r="LX10" s="17">
        <v>2181224</v>
      </c>
      <c r="LY10" s="17">
        <v>2200092</v>
      </c>
      <c r="LZ10" s="17">
        <v>2219115</v>
      </c>
      <c r="MA10" s="17">
        <v>2238294</v>
      </c>
      <c r="MB10" s="17">
        <v>2257631</v>
      </c>
      <c r="MC10" s="17">
        <v>2277129</v>
      </c>
      <c r="MD10" s="17">
        <v>2296787</v>
      </c>
      <c r="ME10" s="17">
        <v>2316608</v>
      </c>
      <c r="MF10" s="17">
        <v>2336592</v>
      </c>
      <c r="MG10" s="17">
        <v>2356819</v>
      </c>
      <c r="MH10" s="17">
        <v>2377214</v>
      </c>
      <c r="MI10" s="17">
        <v>2397779</v>
      </c>
      <c r="MJ10" s="17">
        <v>2418514</v>
      </c>
      <c r="MK10" s="17">
        <v>2439394</v>
      </c>
      <c r="ML10" s="17">
        <v>2460448</v>
      </c>
      <c r="MM10" s="17">
        <v>2481675</v>
      </c>
      <c r="MN10" s="17">
        <v>2503079</v>
      </c>
      <c r="MO10" s="17">
        <v>2524744</v>
      </c>
      <c r="MP10" s="17">
        <v>2546591</v>
      </c>
      <c r="MQ10" s="17">
        <v>2568642</v>
      </c>
      <c r="MR10" s="17">
        <v>2590880</v>
      </c>
      <c r="MS10" s="17">
        <v>2613300</v>
      </c>
      <c r="MT10" s="17">
        <v>2635908</v>
      </c>
      <c r="MU10" s="13" t="s">
        <v>478</v>
      </c>
      <c r="MV10" s="13" t="b">
        <v>1</v>
      </c>
      <c r="MW10" s="13" t="s">
        <v>480</v>
      </c>
      <c r="MX10" s="13" t="s">
        <v>480</v>
      </c>
      <c r="MY10" s="13">
        <v>2024</v>
      </c>
      <c r="MZ10" s="13">
        <v>2</v>
      </c>
      <c r="NA10" s="13" t="s">
        <v>480</v>
      </c>
      <c r="NB10" s="13" t="s">
        <v>508</v>
      </c>
      <c r="NC10" s="13" t="s">
        <v>509</v>
      </c>
      <c r="ND10" s="13" t="s">
        <v>483</v>
      </c>
      <c r="NE10" s="13" t="s">
        <v>510</v>
      </c>
      <c r="NF10" s="15" t="s">
        <v>1268</v>
      </c>
    </row>
    <row r="11" spans="1:370" x14ac:dyDescent="0.25">
      <c r="A11" s="13" t="s">
        <v>473</v>
      </c>
      <c r="B11" s="13" t="s">
        <v>1078</v>
      </c>
      <c r="C11" s="15" t="s">
        <v>1267</v>
      </c>
      <c r="D11" s="13" t="s">
        <v>1079</v>
      </c>
      <c r="E11" s="13" t="s">
        <v>480</v>
      </c>
      <c r="F11" s="13" t="s">
        <v>477</v>
      </c>
      <c r="G11" s="16">
        <v>1E-3</v>
      </c>
      <c r="H11" s="16">
        <v>1E-3</v>
      </c>
      <c r="I11" s="16">
        <v>1E-3</v>
      </c>
      <c r="J11" s="16">
        <v>1E-3</v>
      </c>
      <c r="K11" s="16">
        <v>1E-3</v>
      </c>
      <c r="L11" s="16">
        <v>1E-3</v>
      </c>
      <c r="M11" s="16">
        <v>1E-3</v>
      </c>
      <c r="N11" s="16">
        <v>1E-3</v>
      </c>
      <c r="O11" s="16">
        <v>1E-3</v>
      </c>
      <c r="P11" s="16">
        <v>1E-3</v>
      </c>
      <c r="Q11" s="16">
        <v>1E-3</v>
      </c>
      <c r="R11" s="16">
        <v>1E-3</v>
      </c>
      <c r="S11" s="16">
        <v>1E-3</v>
      </c>
      <c r="T11" s="16">
        <v>1E-3</v>
      </c>
      <c r="U11" s="16">
        <v>1E-3</v>
      </c>
      <c r="V11" s="16">
        <v>1E-3</v>
      </c>
      <c r="W11" s="16">
        <v>1E-3</v>
      </c>
      <c r="X11" s="16">
        <v>1E-3</v>
      </c>
      <c r="Y11" s="16">
        <v>1E-3</v>
      </c>
      <c r="Z11" s="16">
        <v>1E-3</v>
      </c>
      <c r="AA11" s="16">
        <v>1E-3</v>
      </c>
      <c r="AB11" s="16">
        <v>1E-3</v>
      </c>
      <c r="AC11" s="16">
        <v>1E-3</v>
      </c>
      <c r="AD11" s="16">
        <v>1E-3</v>
      </c>
      <c r="AE11" s="16">
        <v>1E-3</v>
      </c>
      <c r="AF11" s="16">
        <v>1E-3</v>
      </c>
      <c r="AG11" s="16">
        <v>1E-3</v>
      </c>
      <c r="AH11" s="16">
        <v>1E-3</v>
      </c>
      <c r="AI11" s="16">
        <v>1E-3</v>
      </c>
      <c r="AJ11" s="16">
        <v>1E-3</v>
      </c>
      <c r="AK11" s="16">
        <v>1E-3</v>
      </c>
      <c r="AL11" s="16">
        <v>1E-3</v>
      </c>
      <c r="AM11" s="16">
        <v>1E-3</v>
      </c>
      <c r="AN11" s="16">
        <v>1E-3</v>
      </c>
      <c r="AO11" s="16">
        <v>1E-3</v>
      </c>
      <c r="AP11" s="16">
        <v>1E-3</v>
      </c>
      <c r="AQ11" s="16">
        <v>1E-3</v>
      </c>
      <c r="AR11" s="16">
        <v>1E-3</v>
      </c>
      <c r="AS11" s="16">
        <v>1E-3</v>
      </c>
      <c r="AT11" s="16">
        <v>1E-3</v>
      </c>
      <c r="AU11" s="16">
        <v>1E-3</v>
      </c>
      <c r="AV11" s="16">
        <v>1E-3</v>
      </c>
      <c r="AW11" s="16">
        <v>1E-3</v>
      </c>
      <c r="AX11" s="16">
        <v>1E-3</v>
      </c>
      <c r="AY11" s="16">
        <v>1E-3</v>
      </c>
      <c r="AZ11" s="16">
        <v>1E-3</v>
      </c>
      <c r="BA11" s="16">
        <v>1E-3</v>
      </c>
      <c r="BB11" s="16">
        <v>1E-3</v>
      </c>
      <c r="BC11" s="16">
        <v>1E-3</v>
      </c>
      <c r="BD11" s="16">
        <v>1E-3</v>
      </c>
      <c r="BE11" s="16">
        <v>1E-3</v>
      </c>
      <c r="BF11" s="16">
        <v>1E-3</v>
      </c>
      <c r="BG11" s="16">
        <v>33.56044</v>
      </c>
      <c r="BH11" s="16">
        <v>33.529319999999998</v>
      </c>
      <c r="BI11" s="16">
        <v>33.508580000000002</v>
      </c>
      <c r="BJ11" s="16">
        <v>33.49821</v>
      </c>
      <c r="BK11" s="16">
        <v>33.49821</v>
      </c>
      <c r="BL11" s="16">
        <v>33.508580000000002</v>
      </c>
      <c r="BM11" s="16">
        <v>33.529319999999998</v>
      </c>
      <c r="BN11" s="16">
        <v>33.56044</v>
      </c>
      <c r="BO11" s="16">
        <v>33.640830000000001</v>
      </c>
      <c r="BP11" s="16">
        <v>33.677129999999998</v>
      </c>
      <c r="BQ11" s="16">
        <v>33.708260000000003</v>
      </c>
      <c r="BR11" s="16">
        <v>33.734189999999998</v>
      </c>
      <c r="BS11" s="16">
        <v>33.780859999999997</v>
      </c>
      <c r="BT11" s="16">
        <v>33.786050000000003</v>
      </c>
      <c r="BU11" s="16">
        <v>33.775669999999998</v>
      </c>
      <c r="BV11" s="16">
        <v>33.749740000000003</v>
      </c>
      <c r="BW11" s="16">
        <v>33.708260000000003</v>
      </c>
      <c r="BX11" s="16">
        <v>33.651200000000003</v>
      </c>
      <c r="BY11" s="16">
        <v>33.578600000000002</v>
      </c>
      <c r="BZ11" s="16">
        <v>33.490430000000003</v>
      </c>
      <c r="CA11" s="16">
        <v>33.282980000000002</v>
      </c>
      <c r="CB11" s="16">
        <v>33.205179999999999</v>
      </c>
      <c r="CC11" s="16">
        <v>33.153320000000001</v>
      </c>
      <c r="CD11" s="16">
        <v>33.127389999999998</v>
      </c>
      <c r="CE11" s="16">
        <v>33.205179999999999</v>
      </c>
      <c r="CF11" s="16">
        <v>33.200000000000003</v>
      </c>
      <c r="CG11" s="16">
        <v>33</v>
      </c>
      <c r="CH11" s="16">
        <v>32.9</v>
      </c>
      <c r="CI11" s="16">
        <v>33</v>
      </c>
      <c r="CJ11" s="16">
        <v>33</v>
      </c>
      <c r="CK11" s="16">
        <v>33</v>
      </c>
      <c r="CL11" s="16">
        <v>33</v>
      </c>
      <c r="CM11" s="16">
        <v>33.1</v>
      </c>
      <c r="CN11" s="16">
        <v>33.1</v>
      </c>
      <c r="CO11" s="16">
        <v>33.200000000000003</v>
      </c>
      <c r="CP11" s="16">
        <v>33.5</v>
      </c>
      <c r="CQ11" s="16">
        <v>33.299999999999997</v>
      </c>
      <c r="CR11" s="16">
        <v>33.299999999999997</v>
      </c>
      <c r="CS11" s="16">
        <v>33.200000000000003</v>
      </c>
      <c r="CT11" s="16">
        <v>33.200000000000003</v>
      </c>
      <c r="CU11" s="16">
        <v>33.200000000000003</v>
      </c>
      <c r="CV11" s="16">
        <v>33.299999999999997</v>
      </c>
      <c r="CW11" s="16">
        <v>33.200000000000003</v>
      </c>
      <c r="CX11" s="16">
        <v>33.200000000000003</v>
      </c>
      <c r="CY11" s="16">
        <v>33.200000000000003</v>
      </c>
      <c r="CZ11" s="16">
        <v>33.200000000000003</v>
      </c>
      <c r="DA11" s="16">
        <v>33.200000000000003</v>
      </c>
      <c r="DB11" s="16">
        <v>33.1</v>
      </c>
      <c r="DC11" s="16">
        <v>33.200000000000003</v>
      </c>
      <c r="DD11" s="16">
        <v>33.200000000000003</v>
      </c>
      <c r="DE11" s="16">
        <v>33.1</v>
      </c>
      <c r="DF11" s="16">
        <v>32.799999999999997</v>
      </c>
      <c r="DG11" s="16">
        <v>32.9</v>
      </c>
      <c r="DH11" s="16">
        <v>32.9</v>
      </c>
      <c r="DI11" s="16">
        <v>32.9</v>
      </c>
      <c r="DJ11" s="16">
        <v>32.9</v>
      </c>
      <c r="DK11" s="16">
        <v>32.4</v>
      </c>
      <c r="DL11" s="16">
        <v>32.6</v>
      </c>
      <c r="DM11" s="16">
        <v>32.6</v>
      </c>
      <c r="DN11" s="16">
        <v>32.799999999999997</v>
      </c>
      <c r="DO11" s="16">
        <v>32.700000000000003</v>
      </c>
      <c r="DP11" s="16">
        <v>32.799999999999997</v>
      </c>
      <c r="DQ11" s="16">
        <v>32.700000000000003</v>
      </c>
      <c r="DR11" s="16">
        <v>32.5</v>
      </c>
      <c r="DS11" s="16">
        <v>32.5</v>
      </c>
      <c r="DT11" s="16">
        <v>32.200000000000003</v>
      </c>
      <c r="DU11" s="16">
        <v>32.4</v>
      </c>
      <c r="DV11" s="16">
        <v>32.200000000000003</v>
      </c>
      <c r="DW11" s="16">
        <v>32.200000000000003</v>
      </c>
      <c r="DX11" s="16">
        <v>32.200000000000003</v>
      </c>
      <c r="DY11" s="16">
        <v>32.200000000000003</v>
      </c>
      <c r="DZ11" s="16">
        <v>32</v>
      </c>
      <c r="EA11" s="16">
        <v>32.1</v>
      </c>
      <c r="EB11" s="16">
        <v>32</v>
      </c>
      <c r="EC11" s="16">
        <v>32</v>
      </c>
      <c r="ED11" s="16">
        <v>32.200000000000003</v>
      </c>
      <c r="EE11" s="16">
        <v>32.200000000000003</v>
      </c>
      <c r="EF11" s="16">
        <v>32.1</v>
      </c>
      <c r="EG11" s="16">
        <v>32.200000000000003</v>
      </c>
      <c r="EH11" s="16">
        <v>32.200000000000003</v>
      </c>
      <c r="EI11" s="16">
        <v>32.1</v>
      </c>
      <c r="EJ11" s="16">
        <v>32</v>
      </c>
      <c r="EK11" s="16">
        <v>32</v>
      </c>
      <c r="EL11" s="16">
        <v>32.1</v>
      </c>
      <c r="EM11" s="16">
        <v>32.1</v>
      </c>
      <c r="EN11" s="16">
        <v>32.200000000000003</v>
      </c>
      <c r="EO11" s="16">
        <v>32.1</v>
      </c>
      <c r="EP11" s="16">
        <v>31.9</v>
      </c>
      <c r="EQ11" s="16">
        <v>32.200000000000003</v>
      </c>
      <c r="ER11" s="16">
        <v>31.8</v>
      </c>
      <c r="ES11" s="16">
        <v>32</v>
      </c>
      <c r="ET11" s="16">
        <v>31.9</v>
      </c>
      <c r="EU11" s="16">
        <v>31.5</v>
      </c>
      <c r="EV11" s="16">
        <v>31.7</v>
      </c>
      <c r="EW11" s="16">
        <v>31.5</v>
      </c>
      <c r="EX11" s="16">
        <v>31.5</v>
      </c>
      <c r="EY11" s="16">
        <v>31.6</v>
      </c>
      <c r="EZ11" s="16">
        <v>31.6</v>
      </c>
      <c r="FA11" s="16">
        <v>31.6</v>
      </c>
      <c r="FB11" s="16">
        <v>31.8</v>
      </c>
      <c r="FC11" s="16">
        <v>31.7</v>
      </c>
      <c r="FD11" s="16">
        <v>31.3</v>
      </c>
      <c r="FE11" s="16">
        <v>31.7</v>
      </c>
      <c r="FF11" s="16">
        <v>31.6</v>
      </c>
      <c r="FG11" s="16">
        <v>31.7</v>
      </c>
      <c r="FH11" s="16">
        <v>31.7</v>
      </c>
      <c r="FI11" s="16">
        <v>32</v>
      </c>
      <c r="FJ11" s="16">
        <v>31.9</v>
      </c>
      <c r="FK11" s="16">
        <v>32</v>
      </c>
      <c r="FL11" s="16">
        <v>32</v>
      </c>
      <c r="FM11" s="16">
        <v>32.200000000000003</v>
      </c>
      <c r="FN11" s="16">
        <v>32</v>
      </c>
      <c r="FO11" s="16">
        <v>32.1</v>
      </c>
      <c r="FP11" s="16">
        <v>32.200000000000003</v>
      </c>
      <c r="FQ11" s="16">
        <v>32.200000000000003</v>
      </c>
      <c r="FR11" s="16">
        <v>32.200000000000003</v>
      </c>
      <c r="FS11" s="16">
        <v>32.1</v>
      </c>
      <c r="FT11" s="16">
        <v>32.1</v>
      </c>
      <c r="FU11" s="16">
        <v>31.9</v>
      </c>
      <c r="FV11" s="16">
        <v>32.299999999999997</v>
      </c>
      <c r="FW11" s="16">
        <v>32.1</v>
      </c>
      <c r="FX11" s="16">
        <v>32</v>
      </c>
      <c r="FY11" s="16">
        <v>32</v>
      </c>
      <c r="FZ11" s="16">
        <v>32.1</v>
      </c>
      <c r="GA11" s="16">
        <v>32.200000000000003</v>
      </c>
      <c r="GB11" s="16">
        <v>32.299999999999997</v>
      </c>
      <c r="GC11" s="16">
        <v>32</v>
      </c>
      <c r="GD11" s="16">
        <v>31.9</v>
      </c>
      <c r="GE11" s="16">
        <v>31.9</v>
      </c>
      <c r="GF11" s="16">
        <v>31.9</v>
      </c>
      <c r="GG11" s="16">
        <v>32.200000000000003</v>
      </c>
      <c r="GH11" s="16">
        <v>32</v>
      </c>
      <c r="GI11" s="16">
        <v>32.200000000000003</v>
      </c>
      <c r="GJ11" s="16">
        <v>32.1</v>
      </c>
      <c r="GK11" s="16">
        <v>32.1</v>
      </c>
      <c r="GL11" s="16">
        <v>31.9</v>
      </c>
      <c r="GM11" s="16">
        <v>31.3</v>
      </c>
      <c r="GN11" s="16">
        <v>26.1</v>
      </c>
      <c r="GO11" s="16">
        <v>28.3</v>
      </c>
      <c r="GP11" s="16">
        <v>30.1</v>
      </c>
      <c r="GQ11" s="16">
        <v>29.6</v>
      </c>
      <c r="GR11" s="16">
        <v>31.1</v>
      </c>
      <c r="GS11" s="16">
        <v>31.6</v>
      </c>
      <c r="GT11" s="16">
        <v>31.6</v>
      </c>
      <c r="GU11" s="16">
        <v>32</v>
      </c>
      <c r="GV11" s="16">
        <v>31.8</v>
      </c>
      <c r="GW11" s="16">
        <v>31.7</v>
      </c>
      <c r="GX11" s="16">
        <v>31.7</v>
      </c>
      <c r="GY11" s="16">
        <v>31.8</v>
      </c>
      <c r="GZ11" s="16">
        <v>31.6</v>
      </c>
      <c r="HA11" s="16">
        <v>31.4</v>
      </c>
      <c r="HB11" s="16">
        <v>31.5</v>
      </c>
      <c r="HC11" s="16">
        <v>32</v>
      </c>
      <c r="HD11" s="16">
        <v>32</v>
      </c>
      <c r="HE11" s="17">
        <v>32</v>
      </c>
      <c r="HF11" s="17">
        <v>32</v>
      </c>
      <c r="HG11" s="17">
        <v>32</v>
      </c>
      <c r="HH11" s="17">
        <v>32</v>
      </c>
      <c r="HI11" s="17">
        <v>32</v>
      </c>
      <c r="HJ11" s="17">
        <v>32</v>
      </c>
      <c r="HK11" s="17">
        <v>32</v>
      </c>
      <c r="HL11" s="17">
        <v>32</v>
      </c>
      <c r="HM11" s="17">
        <v>32</v>
      </c>
      <c r="HN11" s="17">
        <v>32</v>
      </c>
      <c r="HO11" s="17">
        <v>31.999790000000001</v>
      </c>
      <c r="HP11" s="17">
        <v>31.999580000000002</v>
      </c>
      <c r="HQ11" s="17">
        <v>31.999369999999999</v>
      </c>
      <c r="HR11" s="17">
        <v>31.999169999999999</v>
      </c>
      <c r="HS11" s="17">
        <v>31.99896</v>
      </c>
      <c r="HT11" s="17">
        <v>31.998750000000001</v>
      </c>
      <c r="HU11" s="17">
        <v>31.998539999999998</v>
      </c>
      <c r="HV11" s="17">
        <v>31.998329999999999</v>
      </c>
      <c r="HW11" s="17">
        <v>31.99813</v>
      </c>
      <c r="HX11" s="17">
        <v>31.997920000000001</v>
      </c>
      <c r="HY11" s="17">
        <v>31.997710000000001</v>
      </c>
      <c r="HZ11" s="17">
        <v>31.997499999999999</v>
      </c>
      <c r="IA11" s="17">
        <v>31.99729</v>
      </c>
      <c r="IB11" s="17">
        <v>31.99708</v>
      </c>
      <c r="IC11" s="17">
        <v>31.996880000000001</v>
      </c>
      <c r="ID11" s="17">
        <v>31.996670000000002</v>
      </c>
      <c r="IE11" s="17">
        <v>31.996459999999999</v>
      </c>
      <c r="IF11" s="17">
        <v>31.99625</v>
      </c>
      <c r="IG11" s="17">
        <v>31.996040000000001</v>
      </c>
      <c r="IH11" s="17">
        <v>31.995830000000002</v>
      </c>
      <c r="II11" s="17">
        <v>31.995619999999999</v>
      </c>
      <c r="IJ11" s="17">
        <v>31.995419999999999</v>
      </c>
      <c r="IK11" s="17">
        <v>31.99521</v>
      </c>
      <c r="IL11" s="17">
        <v>31.995000000000001</v>
      </c>
      <c r="IM11" s="17">
        <v>31.994430000000001</v>
      </c>
      <c r="IN11" s="17">
        <v>31.993849999999998</v>
      </c>
      <c r="IO11" s="17">
        <v>31.993279999999999</v>
      </c>
      <c r="IP11" s="17">
        <v>31.992709999999999</v>
      </c>
      <c r="IQ11" s="17">
        <v>31.992139999999999</v>
      </c>
      <c r="IR11" s="17">
        <v>31.99156</v>
      </c>
      <c r="IS11" s="17">
        <v>31.99099</v>
      </c>
      <c r="IT11" s="17">
        <v>31.99042</v>
      </c>
      <c r="IU11" s="17">
        <v>31.989840000000001</v>
      </c>
      <c r="IV11" s="17">
        <v>31.989270000000001</v>
      </c>
      <c r="IW11" s="17">
        <v>31.988700000000001</v>
      </c>
      <c r="IX11" s="17">
        <v>31.988119999999999</v>
      </c>
      <c r="IY11" s="17">
        <v>31.987549999999999</v>
      </c>
      <c r="IZ11" s="17">
        <v>31.986979999999999</v>
      </c>
      <c r="JA11" s="17">
        <v>31.986409999999999</v>
      </c>
      <c r="JB11" s="17">
        <v>31.98583</v>
      </c>
      <c r="JC11" s="17">
        <v>31.98526</v>
      </c>
      <c r="JD11" s="17">
        <v>31.984690000000001</v>
      </c>
      <c r="JE11" s="17">
        <v>31.984110000000001</v>
      </c>
      <c r="JF11" s="17">
        <v>31.983540000000001</v>
      </c>
      <c r="JG11" s="17">
        <v>31.982970000000002</v>
      </c>
      <c r="JH11" s="17">
        <v>31.982399999999998</v>
      </c>
      <c r="JI11" s="17">
        <v>31.981819999999999</v>
      </c>
      <c r="JJ11" s="17">
        <v>31.981249999999999</v>
      </c>
      <c r="JK11" s="17">
        <v>31.98068</v>
      </c>
      <c r="JL11" s="17">
        <v>31.9801</v>
      </c>
      <c r="JM11" s="17">
        <v>31.97953</v>
      </c>
      <c r="JN11" s="17">
        <v>31.978960000000001</v>
      </c>
      <c r="JO11" s="17">
        <v>31.978390000000001</v>
      </c>
      <c r="JP11" s="17">
        <v>31.977810000000002</v>
      </c>
      <c r="JQ11" s="17">
        <v>31.977239999999998</v>
      </c>
      <c r="JR11" s="17">
        <v>31.976669999999999</v>
      </c>
      <c r="JS11" s="17">
        <v>31.975919999999999</v>
      </c>
      <c r="JT11" s="17">
        <v>31.975169999999999</v>
      </c>
      <c r="JU11" s="17">
        <v>31.974419999999999</v>
      </c>
      <c r="JV11" s="17">
        <v>31.973669999999998</v>
      </c>
      <c r="JW11" s="17">
        <v>31.972919999999998</v>
      </c>
      <c r="JX11" s="17">
        <v>31.972169999999998</v>
      </c>
      <c r="JY11" s="17">
        <v>31.971419999999998</v>
      </c>
      <c r="JZ11" s="17">
        <v>31.970669999999998</v>
      </c>
      <c r="KA11" s="17">
        <v>31.969919999999998</v>
      </c>
      <c r="KB11" s="17">
        <v>31.969169999999998</v>
      </c>
      <c r="KC11" s="17">
        <v>31.968419999999998</v>
      </c>
      <c r="KD11" s="17">
        <v>31.967669999999998</v>
      </c>
      <c r="KE11" s="17">
        <v>31.966920000000002</v>
      </c>
      <c r="KF11" s="17">
        <v>31.966170000000002</v>
      </c>
      <c r="KG11" s="17">
        <v>31.965420000000002</v>
      </c>
      <c r="KH11" s="17">
        <v>31.964670000000002</v>
      </c>
      <c r="KI11" s="17">
        <v>31.963920000000002</v>
      </c>
      <c r="KJ11" s="17">
        <v>31.963170000000002</v>
      </c>
      <c r="KK11" s="17">
        <v>31.962420000000002</v>
      </c>
      <c r="KL11" s="17">
        <v>31.961670000000002</v>
      </c>
      <c r="KM11" s="17">
        <v>31.960920000000002</v>
      </c>
      <c r="KN11" s="17">
        <v>31.960170000000002</v>
      </c>
      <c r="KO11" s="17">
        <v>31.959420000000001</v>
      </c>
      <c r="KP11" s="17">
        <v>31.958670000000001</v>
      </c>
      <c r="KQ11" s="17">
        <v>31.957920000000001</v>
      </c>
      <c r="KR11" s="17">
        <v>31.957170000000001</v>
      </c>
      <c r="KS11" s="17">
        <v>31.956420000000001</v>
      </c>
      <c r="KT11" s="17">
        <v>31.955670000000001</v>
      </c>
      <c r="KU11" s="17">
        <v>31.954920000000001</v>
      </c>
      <c r="KV11" s="17">
        <v>31.954170000000001</v>
      </c>
      <c r="KW11" s="17">
        <v>31.953420000000001</v>
      </c>
      <c r="KX11" s="17">
        <v>31.952670000000001</v>
      </c>
      <c r="KY11" s="17">
        <v>31.951920000000001</v>
      </c>
      <c r="KZ11" s="17">
        <v>31.951170000000001</v>
      </c>
      <c r="LA11" s="17">
        <v>31.950420000000001</v>
      </c>
      <c r="LB11" s="17">
        <v>31.949670000000001</v>
      </c>
      <c r="LC11" s="17">
        <v>31.948920000000001</v>
      </c>
      <c r="LD11" s="17">
        <v>31.948170000000001</v>
      </c>
      <c r="LE11" s="17">
        <v>31.947420000000001</v>
      </c>
      <c r="LF11" s="17">
        <v>31.946670000000001</v>
      </c>
      <c r="LG11" s="17">
        <v>31.945920000000001</v>
      </c>
      <c r="LH11" s="17">
        <v>31.945170000000001</v>
      </c>
      <c r="LI11" s="17">
        <v>31.944420000000001</v>
      </c>
      <c r="LJ11" s="17">
        <v>31.943670000000001</v>
      </c>
      <c r="LK11" s="17">
        <v>31.942920000000001</v>
      </c>
      <c r="LL11" s="17">
        <v>31.942170000000001</v>
      </c>
      <c r="LM11" s="17">
        <v>31.941420000000001</v>
      </c>
      <c r="LN11" s="17">
        <v>31.940670000000001</v>
      </c>
      <c r="LO11" s="17">
        <v>31.939920000000001</v>
      </c>
      <c r="LP11" s="17">
        <v>31.939170000000001</v>
      </c>
      <c r="LQ11" s="17">
        <v>31.938420000000001</v>
      </c>
      <c r="LR11" s="17">
        <v>31.937670000000001</v>
      </c>
      <c r="LS11" s="17">
        <v>31.936920000000001</v>
      </c>
      <c r="LT11" s="17">
        <v>31.936170000000001</v>
      </c>
      <c r="LU11" s="17">
        <v>31.935420000000001</v>
      </c>
      <c r="LV11" s="17">
        <v>31.934670000000001</v>
      </c>
      <c r="LW11" s="17">
        <v>31.933920000000001</v>
      </c>
      <c r="LX11" s="17">
        <v>31.93317</v>
      </c>
      <c r="LY11" s="17">
        <v>31.93242</v>
      </c>
      <c r="LZ11" s="17">
        <v>31.93167</v>
      </c>
      <c r="MA11" s="17">
        <v>31.93092</v>
      </c>
      <c r="MB11" s="17">
        <v>31.93017</v>
      </c>
      <c r="MC11" s="17">
        <v>31.92942</v>
      </c>
      <c r="MD11" s="17">
        <v>31.92867</v>
      </c>
      <c r="ME11" s="17">
        <v>31.92792</v>
      </c>
      <c r="MF11" s="17">
        <v>31.92717</v>
      </c>
      <c r="MG11" s="17">
        <v>31.92642</v>
      </c>
      <c r="MH11" s="17">
        <v>31.92567</v>
      </c>
      <c r="MI11" s="17">
        <v>31.92492</v>
      </c>
      <c r="MJ11" s="17">
        <v>31.92417</v>
      </c>
      <c r="MK11" s="17">
        <v>31.92342</v>
      </c>
      <c r="ML11" s="17">
        <v>31.92267</v>
      </c>
      <c r="MM11" s="17">
        <v>31.92192</v>
      </c>
      <c r="MN11" s="17">
        <v>31.92117</v>
      </c>
      <c r="MO11" s="17">
        <v>31.92042</v>
      </c>
      <c r="MP11" s="17">
        <v>31.91967</v>
      </c>
      <c r="MQ11" s="17">
        <v>31.91892</v>
      </c>
      <c r="MR11" s="17">
        <v>31.91817</v>
      </c>
      <c r="MS11" s="17">
        <v>31.91742</v>
      </c>
      <c r="MT11" s="17">
        <v>31.91667</v>
      </c>
      <c r="MU11" s="13" t="s">
        <v>1080</v>
      </c>
      <c r="MV11" s="13" t="b">
        <v>0</v>
      </c>
      <c r="MW11" s="13" t="s">
        <v>480</v>
      </c>
      <c r="MX11" s="13" t="s">
        <v>480</v>
      </c>
      <c r="MY11" s="13">
        <v>2024</v>
      </c>
      <c r="MZ11" s="13">
        <v>2</v>
      </c>
      <c r="NA11" s="13" t="s">
        <v>480</v>
      </c>
      <c r="NB11" s="13" t="s">
        <v>1081</v>
      </c>
      <c r="NC11" s="13" t="s">
        <v>1082</v>
      </c>
      <c r="ND11" s="13" t="s">
        <v>483</v>
      </c>
      <c r="NE11" s="13" t="s">
        <v>1083</v>
      </c>
      <c r="NF11" s="15" t="s">
        <v>1268</v>
      </c>
    </row>
    <row r="12" spans="1:370" x14ac:dyDescent="0.25">
      <c r="A12" s="13" t="s">
        <v>473</v>
      </c>
      <c r="B12" s="15" t="s">
        <v>1228</v>
      </c>
      <c r="C12" s="15" t="s">
        <v>1267</v>
      </c>
      <c r="D12" s="13" t="s">
        <v>1229</v>
      </c>
      <c r="E12" s="13" t="s">
        <v>1084</v>
      </c>
      <c r="F12" s="13" t="s">
        <v>477</v>
      </c>
      <c r="G12" s="16">
        <v>24903</v>
      </c>
      <c r="H12" s="16">
        <v>24986</v>
      </c>
      <c r="I12" s="16">
        <v>24972</v>
      </c>
      <c r="J12" s="16">
        <v>24999</v>
      </c>
      <c r="K12" s="16">
        <v>24984</v>
      </c>
      <c r="L12" s="16">
        <v>25002</v>
      </c>
      <c r="M12" s="16">
        <v>25066</v>
      </c>
      <c r="N12" s="16">
        <v>25065</v>
      </c>
      <c r="O12" s="16">
        <v>24996</v>
      </c>
      <c r="P12" s="16">
        <v>24955</v>
      </c>
      <c r="Q12" s="16">
        <v>24918</v>
      </c>
      <c r="R12" s="16">
        <v>24864</v>
      </c>
      <c r="S12" s="16">
        <v>24809</v>
      </c>
      <c r="T12" s="16">
        <v>24779</v>
      </c>
      <c r="U12" s="16">
        <v>24768</v>
      </c>
      <c r="V12" s="16">
        <v>24788</v>
      </c>
      <c r="W12" s="16">
        <v>24803</v>
      </c>
      <c r="X12" s="16">
        <v>24802</v>
      </c>
      <c r="Y12" s="16">
        <v>24809</v>
      </c>
      <c r="Z12" s="16">
        <v>24822</v>
      </c>
      <c r="AA12" s="16">
        <v>24862</v>
      </c>
      <c r="AB12" s="16">
        <v>24897</v>
      </c>
      <c r="AC12" s="16">
        <v>24941</v>
      </c>
      <c r="AD12" s="16">
        <v>25059</v>
      </c>
      <c r="AE12" s="16">
        <v>25113</v>
      </c>
      <c r="AF12" s="16">
        <v>25159</v>
      </c>
      <c r="AG12" s="16">
        <v>25229</v>
      </c>
      <c r="AH12" s="16">
        <v>25280</v>
      </c>
      <c r="AI12" s="16">
        <v>25250</v>
      </c>
      <c r="AJ12" s="16">
        <v>25190</v>
      </c>
      <c r="AK12" s="16">
        <v>25050</v>
      </c>
      <c r="AL12" s="16">
        <v>24855</v>
      </c>
      <c r="AM12" s="16">
        <v>24661</v>
      </c>
      <c r="AN12" s="16">
        <v>24495</v>
      </c>
      <c r="AO12" s="16">
        <v>24355</v>
      </c>
      <c r="AP12" s="16">
        <v>24209</v>
      </c>
      <c r="AQ12" s="16">
        <v>24120</v>
      </c>
      <c r="AR12" s="16">
        <v>24027</v>
      </c>
      <c r="AS12" s="16">
        <v>23901</v>
      </c>
      <c r="AT12" s="16">
        <v>23755</v>
      </c>
      <c r="AU12" s="16">
        <v>23651</v>
      </c>
      <c r="AV12" s="16">
        <v>23647</v>
      </c>
      <c r="AW12" s="16">
        <v>23809</v>
      </c>
      <c r="AX12" s="16">
        <v>23994</v>
      </c>
      <c r="AY12" s="16">
        <v>24125</v>
      </c>
      <c r="AZ12" s="16">
        <v>24245</v>
      </c>
      <c r="BA12" s="16">
        <v>24335</v>
      </c>
      <c r="BB12" s="16">
        <v>24435</v>
      </c>
      <c r="BC12" s="16">
        <v>24515</v>
      </c>
      <c r="BD12" s="16">
        <v>24570</v>
      </c>
      <c r="BE12" s="16">
        <v>24625</v>
      </c>
      <c r="BF12" s="16">
        <v>24660</v>
      </c>
      <c r="BG12" s="16">
        <v>24670</v>
      </c>
      <c r="BH12" s="16">
        <v>24695</v>
      </c>
      <c r="BI12" s="16">
        <v>24770</v>
      </c>
      <c r="BJ12" s="16">
        <v>24850</v>
      </c>
      <c r="BK12" s="16">
        <v>24925</v>
      </c>
      <c r="BL12" s="16">
        <v>25110</v>
      </c>
      <c r="BM12" s="16">
        <v>25345</v>
      </c>
      <c r="BN12" s="16">
        <v>25575</v>
      </c>
      <c r="BO12" s="16">
        <v>25795</v>
      </c>
      <c r="BP12" s="16">
        <v>25970</v>
      </c>
      <c r="BQ12" s="16">
        <v>26160</v>
      </c>
      <c r="BR12" s="16">
        <v>26355</v>
      </c>
      <c r="BS12" s="16">
        <v>26590</v>
      </c>
      <c r="BT12" s="16">
        <v>26730</v>
      </c>
      <c r="BU12" s="16">
        <v>26795</v>
      </c>
      <c r="BV12" s="16">
        <v>26880</v>
      </c>
      <c r="BW12" s="16">
        <v>26900</v>
      </c>
      <c r="BX12" s="16">
        <v>26935</v>
      </c>
      <c r="BY12" s="16">
        <v>26900</v>
      </c>
      <c r="BZ12" s="16">
        <v>26750</v>
      </c>
      <c r="CA12" s="16">
        <v>26530</v>
      </c>
      <c r="CB12" s="16">
        <v>26275</v>
      </c>
      <c r="CC12" s="16">
        <v>26025</v>
      </c>
      <c r="CD12" s="16">
        <v>25820</v>
      </c>
      <c r="CE12" s="16">
        <v>25710</v>
      </c>
      <c r="CF12" s="16">
        <v>25605</v>
      </c>
      <c r="CG12" s="16">
        <v>25509</v>
      </c>
      <c r="CH12" s="16">
        <v>25336</v>
      </c>
      <c r="CI12" s="16">
        <v>25282</v>
      </c>
      <c r="CJ12" s="16">
        <v>25293</v>
      </c>
      <c r="CK12" s="16">
        <v>25316</v>
      </c>
      <c r="CL12" s="16">
        <v>25320</v>
      </c>
      <c r="CM12" s="16">
        <v>25408</v>
      </c>
      <c r="CN12" s="16">
        <v>25451</v>
      </c>
      <c r="CO12" s="16">
        <v>25559</v>
      </c>
      <c r="CP12" s="16">
        <v>25600</v>
      </c>
      <c r="CQ12" s="16">
        <v>25670</v>
      </c>
      <c r="CR12" s="16">
        <v>25770</v>
      </c>
      <c r="CS12" s="16">
        <v>25852</v>
      </c>
      <c r="CT12" s="16">
        <v>25982</v>
      </c>
      <c r="CU12" s="16">
        <v>25970</v>
      </c>
      <c r="CV12" s="16">
        <v>26009</v>
      </c>
      <c r="CW12" s="16">
        <v>26062</v>
      </c>
      <c r="CX12" s="16">
        <v>26198</v>
      </c>
      <c r="CY12" s="16">
        <v>26381</v>
      </c>
      <c r="CZ12" s="16">
        <v>26514</v>
      </c>
      <c r="DA12" s="16">
        <v>26572</v>
      </c>
      <c r="DB12" s="16">
        <v>26636</v>
      </c>
      <c r="DC12" s="16">
        <v>26677</v>
      </c>
      <c r="DD12" s="16">
        <v>26714</v>
      </c>
      <c r="DE12" s="16">
        <v>26834</v>
      </c>
      <c r="DF12" s="16">
        <v>26955</v>
      </c>
      <c r="DG12" s="16">
        <v>27036</v>
      </c>
      <c r="DH12" s="16">
        <v>27095</v>
      </c>
      <c r="DI12" s="16">
        <v>27218</v>
      </c>
      <c r="DJ12" s="16">
        <v>27322</v>
      </c>
      <c r="DK12" s="16">
        <v>27362</v>
      </c>
      <c r="DL12" s="16">
        <v>27468</v>
      </c>
      <c r="DM12" s="16">
        <v>27555</v>
      </c>
      <c r="DN12" s="16">
        <v>27549</v>
      </c>
      <c r="DO12" s="16">
        <v>27623</v>
      </c>
      <c r="DP12" s="16">
        <v>27707</v>
      </c>
      <c r="DQ12" s="16">
        <v>27715</v>
      </c>
      <c r="DR12" s="16">
        <v>27803</v>
      </c>
      <c r="DS12" s="16">
        <v>27797</v>
      </c>
      <c r="DT12" s="16">
        <v>27933</v>
      </c>
      <c r="DU12" s="16">
        <v>27935</v>
      </c>
      <c r="DV12" s="16">
        <v>28110</v>
      </c>
      <c r="DW12" s="16">
        <v>28099</v>
      </c>
      <c r="DX12" s="16">
        <v>28226</v>
      </c>
      <c r="DY12" s="16">
        <v>28256</v>
      </c>
      <c r="DZ12" s="16">
        <v>28304</v>
      </c>
      <c r="EA12" s="16">
        <v>28459</v>
      </c>
      <c r="EB12" s="16">
        <v>28470</v>
      </c>
      <c r="EC12" s="16">
        <v>28518</v>
      </c>
      <c r="ED12" s="16">
        <v>28673</v>
      </c>
      <c r="EE12" s="16">
        <v>28789</v>
      </c>
      <c r="EF12" s="16">
        <v>28802</v>
      </c>
      <c r="EG12" s="16">
        <v>28928</v>
      </c>
      <c r="EH12" s="16">
        <v>28880</v>
      </c>
      <c r="EI12" s="16">
        <v>29048</v>
      </c>
      <c r="EJ12" s="16">
        <v>29106</v>
      </c>
      <c r="EK12" s="16">
        <v>29183</v>
      </c>
      <c r="EL12" s="16">
        <v>29214</v>
      </c>
      <c r="EM12" s="16">
        <v>29194</v>
      </c>
      <c r="EN12" s="16">
        <v>29322</v>
      </c>
      <c r="EO12" s="16">
        <v>29420</v>
      </c>
      <c r="EP12" s="16">
        <v>29576</v>
      </c>
      <c r="EQ12" s="16">
        <v>29684</v>
      </c>
      <c r="ER12" s="16">
        <v>29722</v>
      </c>
      <c r="ES12" s="16">
        <v>29580</v>
      </c>
      <c r="ET12" s="16">
        <v>29528</v>
      </c>
      <c r="EU12" s="16">
        <v>29366</v>
      </c>
      <c r="EV12" s="16">
        <v>29087</v>
      </c>
      <c r="EW12" s="16">
        <v>29069</v>
      </c>
      <c r="EX12" s="16">
        <v>29102</v>
      </c>
      <c r="EY12" s="16">
        <v>29013</v>
      </c>
      <c r="EZ12" s="16">
        <v>29192</v>
      </c>
      <c r="FA12" s="16">
        <v>29385</v>
      </c>
      <c r="FB12" s="16">
        <v>29324</v>
      </c>
      <c r="FC12" s="16">
        <v>29441</v>
      </c>
      <c r="FD12" s="16">
        <v>29447</v>
      </c>
      <c r="FE12" s="16">
        <v>29283</v>
      </c>
      <c r="FF12" s="16">
        <v>29349</v>
      </c>
      <c r="FG12" s="16">
        <v>29464</v>
      </c>
      <c r="FH12" s="16">
        <v>29681</v>
      </c>
      <c r="FI12" s="16">
        <v>29778</v>
      </c>
      <c r="FJ12" s="16">
        <v>29932</v>
      </c>
      <c r="FK12" s="16">
        <v>29869</v>
      </c>
      <c r="FL12" s="16">
        <v>29974</v>
      </c>
      <c r="FM12" s="16">
        <v>30144</v>
      </c>
      <c r="FN12" s="16">
        <v>30330</v>
      </c>
      <c r="FO12" s="16">
        <v>30573</v>
      </c>
      <c r="FP12" s="16">
        <v>30747</v>
      </c>
      <c r="FQ12" s="16">
        <v>30873</v>
      </c>
      <c r="FR12" s="16">
        <v>30981</v>
      </c>
      <c r="FS12" s="16">
        <v>31188</v>
      </c>
      <c r="FT12" s="16">
        <v>31140</v>
      </c>
      <c r="FU12" s="16">
        <v>31361</v>
      </c>
      <c r="FV12" s="16">
        <v>31569</v>
      </c>
      <c r="FW12" s="16">
        <v>31603</v>
      </c>
      <c r="FX12" s="16">
        <v>31778</v>
      </c>
      <c r="FY12" s="16">
        <v>31843</v>
      </c>
      <c r="FZ12" s="16">
        <v>31877</v>
      </c>
      <c r="GA12" s="16">
        <v>31978</v>
      </c>
      <c r="GB12" s="16">
        <v>32098</v>
      </c>
      <c r="GC12" s="16">
        <v>32093</v>
      </c>
      <c r="GD12" s="16">
        <v>32179</v>
      </c>
      <c r="GE12" s="16">
        <v>32364</v>
      </c>
      <c r="GF12" s="16">
        <v>32403</v>
      </c>
      <c r="GG12" s="16">
        <v>32448</v>
      </c>
      <c r="GH12" s="16">
        <v>32618</v>
      </c>
      <c r="GI12" s="16">
        <v>32721</v>
      </c>
      <c r="GJ12" s="16">
        <v>32839</v>
      </c>
      <c r="GK12" s="16">
        <v>32779</v>
      </c>
      <c r="GL12" s="16">
        <v>32954</v>
      </c>
      <c r="GM12" s="16">
        <v>33000</v>
      </c>
      <c r="GN12" s="16">
        <v>32571</v>
      </c>
      <c r="GO12" s="16">
        <v>32354</v>
      </c>
      <c r="GP12" s="16">
        <v>32198</v>
      </c>
      <c r="GQ12" s="16">
        <v>32221</v>
      </c>
      <c r="GR12" s="16">
        <v>32377</v>
      </c>
      <c r="GS12" s="16">
        <v>32687</v>
      </c>
      <c r="GT12" s="16">
        <v>32686</v>
      </c>
      <c r="GU12" s="16">
        <v>32775</v>
      </c>
      <c r="GV12" s="16">
        <v>32958</v>
      </c>
      <c r="GW12" s="16">
        <v>32916</v>
      </c>
      <c r="GX12" s="16">
        <v>33067</v>
      </c>
      <c r="GY12" s="16">
        <v>33201</v>
      </c>
      <c r="GZ12" s="16">
        <v>33163</v>
      </c>
      <c r="HA12" s="16">
        <v>33102</v>
      </c>
      <c r="HB12" s="16">
        <v>33174</v>
      </c>
      <c r="HC12" s="16">
        <v>32997</v>
      </c>
      <c r="HD12" s="16">
        <v>33094</v>
      </c>
      <c r="HE12" s="17">
        <v>33098.85</v>
      </c>
      <c r="HF12" s="17">
        <v>33155.550000000003</v>
      </c>
      <c r="HG12" s="17">
        <v>33259.480000000003</v>
      </c>
      <c r="HH12" s="17">
        <v>33373.68</v>
      </c>
      <c r="HI12" s="17">
        <v>33483.519999999997</v>
      </c>
      <c r="HJ12" s="17">
        <v>33599.18</v>
      </c>
      <c r="HK12" s="17">
        <v>33713.43</v>
      </c>
      <c r="HL12" s="17">
        <v>33824.74</v>
      </c>
      <c r="HM12" s="17">
        <v>33926.22</v>
      </c>
      <c r="HN12" s="17">
        <v>34026.28</v>
      </c>
      <c r="HO12" s="17">
        <v>34124.959999999999</v>
      </c>
      <c r="HP12" s="17">
        <v>34223.93</v>
      </c>
      <c r="HQ12" s="17">
        <v>34321.480000000003</v>
      </c>
      <c r="HR12" s="17">
        <v>34424.43</v>
      </c>
      <c r="HS12" s="17">
        <v>34524.26</v>
      </c>
      <c r="HT12" s="17">
        <v>34624.379999999997</v>
      </c>
      <c r="HU12" s="17">
        <v>34717.379999999997</v>
      </c>
      <c r="HV12" s="17">
        <v>34807.58</v>
      </c>
      <c r="HW12" s="17">
        <v>34894.629999999997</v>
      </c>
      <c r="HX12" s="17">
        <v>34978.379999999997</v>
      </c>
      <c r="HY12" s="17">
        <v>35058.83</v>
      </c>
      <c r="HZ12" s="17">
        <v>35139.46</v>
      </c>
      <c r="IA12" s="17">
        <v>35220.29</v>
      </c>
      <c r="IB12" s="17">
        <v>35297.769999999997</v>
      </c>
      <c r="IC12" s="17">
        <v>35375.43</v>
      </c>
      <c r="ID12" s="17">
        <v>35453.25</v>
      </c>
      <c r="IE12" s="17">
        <v>35527.699999999997</v>
      </c>
      <c r="IF12" s="17">
        <v>35598.76</v>
      </c>
      <c r="IG12" s="17">
        <v>35668.18</v>
      </c>
      <c r="IH12" s="17">
        <v>35737.730000000003</v>
      </c>
      <c r="II12" s="17">
        <v>35802.06</v>
      </c>
      <c r="IJ12" s="17">
        <v>35866.5</v>
      </c>
      <c r="IK12" s="17">
        <v>35925.68</v>
      </c>
      <c r="IL12" s="17">
        <v>35982.269999999997</v>
      </c>
      <c r="IM12" s="17">
        <v>36043.67</v>
      </c>
      <c r="IN12" s="17">
        <v>36103.910000000003</v>
      </c>
      <c r="IO12" s="17">
        <v>36155.949999999997</v>
      </c>
      <c r="IP12" s="17">
        <v>36208.129999999997</v>
      </c>
      <c r="IQ12" s="17">
        <v>36259.22</v>
      </c>
      <c r="IR12" s="17">
        <v>36310.550000000003</v>
      </c>
      <c r="IS12" s="17">
        <v>36351.43</v>
      </c>
      <c r="IT12" s="17">
        <v>36390.11</v>
      </c>
      <c r="IU12" s="17">
        <v>36431.25</v>
      </c>
      <c r="IV12" s="17">
        <v>36472.39</v>
      </c>
      <c r="IW12" s="17">
        <v>36513.53</v>
      </c>
      <c r="IX12" s="17">
        <v>36554.67</v>
      </c>
      <c r="IY12" s="17">
        <v>36595.81</v>
      </c>
      <c r="IZ12" s="17">
        <v>36636.949999999997</v>
      </c>
      <c r="JA12" s="17">
        <v>36678.089999999997</v>
      </c>
      <c r="JB12" s="17">
        <v>36719.230000000003</v>
      </c>
      <c r="JC12" s="17">
        <v>36760.370000000003</v>
      </c>
      <c r="JD12" s="17">
        <v>36801.5</v>
      </c>
      <c r="JE12" s="17">
        <v>36842.639999999999</v>
      </c>
      <c r="JF12" s="17">
        <v>36883.79</v>
      </c>
      <c r="JG12" s="17">
        <v>36924.92</v>
      </c>
      <c r="JH12" s="17">
        <v>36966.06</v>
      </c>
      <c r="JI12" s="17">
        <v>37007.199999999997</v>
      </c>
      <c r="JJ12" s="17">
        <v>37048.339999999997</v>
      </c>
      <c r="JK12" s="17">
        <v>37089.480000000003</v>
      </c>
      <c r="JL12" s="17">
        <v>37130.620000000003</v>
      </c>
      <c r="JM12" s="17">
        <v>37171.760000000002</v>
      </c>
      <c r="JN12" s="17">
        <v>37212.9</v>
      </c>
      <c r="JO12" s="17">
        <v>37254.04</v>
      </c>
      <c r="JP12" s="17">
        <v>37295.18</v>
      </c>
      <c r="JQ12" s="17">
        <v>37336.32</v>
      </c>
      <c r="JR12" s="17">
        <v>37377.46</v>
      </c>
      <c r="JS12" s="17">
        <v>37413.4</v>
      </c>
      <c r="JT12" s="17">
        <v>37449.339999999997</v>
      </c>
      <c r="JU12" s="17">
        <v>37485.29</v>
      </c>
      <c r="JV12" s="17">
        <v>37521.230000000003</v>
      </c>
      <c r="JW12" s="17">
        <v>37557.18</v>
      </c>
      <c r="JX12" s="17">
        <v>37593.120000000003</v>
      </c>
      <c r="JY12" s="17">
        <v>37629.07</v>
      </c>
      <c r="JZ12" s="17">
        <v>37665.01</v>
      </c>
      <c r="KA12" s="17">
        <v>37700.949999999997</v>
      </c>
      <c r="KB12" s="17">
        <v>37736.9</v>
      </c>
      <c r="KC12" s="17">
        <v>37772.839999999997</v>
      </c>
      <c r="KD12" s="17">
        <v>37808.79</v>
      </c>
      <c r="KE12" s="17">
        <v>37844.730000000003</v>
      </c>
      <c r="KF12" s="17">
        <v>37880.68</v>
      </c>
      <c r="KG12" s="17">
        <v>37916.620000000003</v>
      </c>
      <c r="KH12" s="17">
        <v>37952.559999999998</v>
      </c>
      <c r="KI12" s="17">
        <v>37988.51</v>
      </c>
      <c r="KJ12" s="17">
        <v>38024.449999999997</v>
      </c>
      <c r="KK12" s="17">
        <v>38060.39</v>
      </c>
      <c r="KL12" s="17">
        <v>38096.339999999997</v>
      </c>
      <c r="KM12" s="17">
        <v>38132.29</v>
      </c>
      <c r="KN12" s="17">
        <v>38168.230000000003</v>
      </c>
      <c r="KO12" s="17">
        <v>38204.17</v>
      </c>
      <c r="KP12" s="17">
        <v>38240.120000000003</v>
      </c>
      <c r="KQ12" s="17">
        <v>38276.06</v>
      </c>
      <c r="KR12" s="17">
        <v>38312</v>
      </c>
      <c r="KS12" s="17">
        <v>38347.949999999997</v>
      </c>
      <c r="KT12" s="17">
        <v>38383.89</v>
      </c>
      <c r="KU12" s="17">
        <v>38419.839999999997</v>
      </c>
      <c r="KV12" s="17">
        <v>38455.78</v>
      </c>
      <c r="KW12" s="17">
        <v>38491.730000000003</v>
      </c>
      <c r="KX12" s="17">
        <v>38527.67</v>
      </c>
      <c r="KY12" s="17">
        <v>38563.61</v>
      </c>
      <c r="KZ12" s="17">
        <v>38599.56</v>
      </c>
      <c r="LA12" s="17">
        <v>38635.5</v>
      </c>
      <c r="LB12" s="17">
        <v>38671.449999999997</v>
      </c>
      <c r="LC12" s="17">
        <v>38707.39</v>
      </c>
      <c r="LD12" s="17">
        <v>38743.339999999997</v>
      </c>
      <c r="LE12" s="17">
        <v>38779.279999999999</v>
      </c>
      <c r="LF12" s="17">
        <v>38815.22</v>
      </c>
      <c r="LG12" s="17">
        <v>38835.79</v>
      </c>
      <c r="LH12" s="17">
        <v>38856.36</v>
      </c>
      <c r="LI12" s="17">
        <v>38874.51</v>
      </c>
      <c r="LJ12" s="17">
        <v>38892.660000000003</v>
      </c>
      <c r="LK12" s="17">
        <v>38910.800000000003</v>
      </c>
      <c r="LL12" s="17">
        <v>38928.949999999997</v>
      </c>
      <c r="LM12" s="17">
        <v>38942.870000000003</v>
      </c>
      <c r="LN12" s="17">
        <v>38956.79</v>
      </c>
      <c r="LO12" s="17">
        <v>38970.71</v>
      </c>
      <c r="LP12" s="17">
        <v>38984.639999999999</v>
      </c>
      <c r="LQ12" s="17">
        <v>38998.65</v>
      </c>
      <c r="LR12" s="17">
        <v>39012.660000000003</v>
      </c>
      <c r="LS12" s="17">
        <v>39026.68</v>
      </c>
      <c r="LT12" s="17">
        <v>39040.69</v>
      </c>
      <c r="LU12" s="17">
        <v>39052.699999999997</v>
      </c>
      <c r="LV12" s="17">
        <v>39064.720000000001</v>
      </c>
      <c r="LW12" s="17">
        <v>39076.730000000003</v>
      </c>
      <c r="LX12" s="17">
        <v>39088.75</v>
      </c>
      <c r="LY12" s="17">
        <v>39099.18</v>
      </c>
      <c r="LZ12" s="17">
        <v>39109.61</v>
      </c>
      <c r="MA12" s="17">
        <v>39120.03</v>
      </c>
      <c r="MB12" s="17">
        <v>39130.46</v>
      </c>
      <c r="MC12" s="17">
        <v>39140.97</v>
      </c>
      <c r="MD12" s="17">
        <v>39151.480000000003</v>
      </c>
      <c r="ME12" s="17">
        <v>39161.99</v>
      </c>
      <c r="MF12" s="17">
        <v>39172.5</v>
      </c>
      <c r="MG12" s="17">
        <v>39185.050000000003</v>
      </c>
      <c r="MH12" s="17">
        <v>39197.589999999997</v>
      </c>
      <c r="MI12" s="17">
        <v>39210.14</v>
      </c>
      <c r="MJ12" s="17">
        <v>39222.68</v>
      </c>
      <c r="MK12" s="17">
        <v>39234.620000000003</v>
      </c>
      <c r="ML12" s="17">
        <v>39246.550000000003</v>
      </c>
      <c r="MM12" s="17">
        <v>39258.480000000003</v>
      </c>
      <c r="MN12" s="17">
        <v>39270.42</v>
      </c>
      <c r="MO12" s="17">
        <v>39284.400000000001</v>
      </c>
      <c r="MP12" s="17">
        <v>39298.379999999997</v>
      </c>
      <c r="MQ12" s="17">
        <v>39312.36</v>
      </c>
      <c r="MR12" s="17">
        <v>39326.339999999997</v>
      </c>
      <c r="MS12" s="17">
        <v>39340.33</v>
      </c>
      <c r="MT12" s="17">
        <v>39354.32</v>
      </c>
      <c r="MU12" s="13" t="s">
        <v>478</v>
      </c>
      <c r="MV12" s="13" t="b">
        <v>1</v>
      </c>
      <c r="MW12" s="13" t="s">
        <v>480</v>
      </c>
      <c r="MX12" s="13" t="s">
        <v>480</v>
      </c>
      <c r="MY12" s="13">
        <v>2024</v>
      </c>
      <c r="MZ12" s="13">
        <v>2</v>
      </c>
      <c r="NA12" s="13" t="s">
        <v>480</v>
      </c>
      <c r="NB12" s="13" t="s">
        <v>1085</v>
      </c>
      <c r="NC12" s="15" t="s">
        <v>1086</v>
      </c>
      <c r="ND12" s="13" t="s">
        <v>483</v>
      </c>
      <c r="NE12" s="13" t="s">
        <v>1087</v>
      </c>
      <c r="NF12" s="15" t="s">
        <v>1268</v>
      </c>
    </row>
    <row r="13" spans="1:370" x14ac:dyDescent="0.25">
      <c r="A13" s="13" t="s">
        <v>473</v>
      </c>
      <c r="B13" s="13" t="s">
        <v>1088</v>
      </c>
      <c r="C13" s="15" t="s">
        <v>1267</v>
      </c>
      <c r="D13" s="13" t="s">
        <v>475</v>
      </c>
      <c r="E13" s="13" t="s">
        <v>476</v>
      </c>
      <c r="F13" s="13" t="s">
        <v>477</v>
      </c>
      <c r="G13" s="16">
        <v>1067334</v>
      </c>
      <c r="H13" s="16">
        <v>1077230</v>
      </c>
      <c r="I13" s="16">
        <v>1087126</v>
      </c>
      <c r="J13" s="16">
        <v>1097022</v>
      </c>
      <c r="K13" s="16">
        <v>1104562</v>
      </c>
      <c r="L13" s="16">
        <v>1112101</v>
      </c>
      <c r="M13" s="16">
        <v>1119641</v>
      </c>
      <c r="N13" s="16">
        <v>1127181</v>
      </c>
      <c r="O13" s="16">
        <v>1134524</v>
      </c>
      <c r="P13" s="16">
        <v>1141867</v>
      </c>
      <c r="Q13" s="16">
        <v>1149211</v>
      </c>
      <c r="R13" s="16">
        <v>1156554</v>
      </c>
      <c r="S13" s="16">
        <v>1163348</v>
      </c>
      <c r="T13" s="16">
        <v>1170141</v>
      </c>
      <c r="U13" s="16">
        <v>1176935</v>
      </c>
      <c r="V13" s="16">
        <v>1183728</v>
      </c>
      <c r="W13" s="16">
        <v>1189933</v>
      </c>
      <c r="X13" s="16">
        <v>1196137</v>
      </c>
      <c r="Y13" s="16">
        <v>1202342</v>
      </c>
      <c r="Z13" s="16">
        <v>1208546</v>
      </c>
      <c r="AA13" s="16">
        <v>1216243</v>
      </c>
      <c r="AB13" s="16">
        <v>1223940</v>
      </c>
      <c r="AC13" s="16">
        <v>1231636</v>
      </c>
      <c r="AD13" s="16">
        <v>1239333</v>
      </c>
      <c r="AE13" s="16">
        <v>1245302</v>
      </c>
      <c r="AF13" s="16">
        <v>1251271</v>
      </c>
      <c r="AG13" s="16">
        <v>1257240</v>
      </c>
      <c r="AH13" s="16">
        <v>1263209</v>
      </c>
      <c r="AI13" s="16">
        <v>1267882</v>
      </c>
      <c r="AJ13" s="16">
        <v>1272555</v>
      </c>
      <c r="AK13" s="16">
        <v>1277228</v>
      </c>
      <c r="AL13" s="16">
        <v>1281901</v>
      </c>
      <c r="AM13" s="16">
        <v>1284100</v>
      </c>
      <c r="AN13" s="16">
        <v>1286299</v>
      </c>
      <c r="AO13" s="16">
        <v>1288498</v>
      </c>
      <c r="AP13" s="16">
        <v>1290697</v>
      </c>
      <c r="AQ13" s="16">
        <v>1293603</v>
      </c>
      <c r="AR13" s="16">
        <v>1296509</v>
      </c>
      <c r="AS13" s="16">
        <v>1299415</v>
      </c>
      <c r="AT13" s="16">
        <v>1302321</v>
      </c>
      <c r="AU13" s="16">
        <v>1305777</v>
      </c>
      <c r="AV13" s="16">
        <v>1309232</v>
      </c>
      <c r="AW13" s="16">
        <v>1312688</v>
      </c>
      <c r="AX13" s="16">
        <v>1316144</v>
      </c>
      <c r="AY13" s="16">
        <v>1322427</v>
      </c>
      <c r="AZ13" s="16">
        <v>1328710</v>
      </c>
      <c r="BA13" s="16">
        <v>1334993</v>
      </c>
      <c r="BB13" s="16">
        <v>1341276</v>
      </c>
      <c r="BC13" s="16">
        <v>1348030</v>
      </c>
      <c r="BD13" s="16">
        <v>1354784</v>
      </c>
      <c r="BE13" s="16">
        <v>1361539</v>
      </c>
      <c r="BF13" s="16">
        <v>1368293</v>
      </c>
      <c r="BG13" s="16">
        <v>1373752</v>
      </c>
      <c r="BH13" s="16">
        <v>1379210</v>
      </c>
      <c r="BI13" s="16">
        <v>1384668</v>
      </c>
      <c r="BJ13" s="16">
        <v>1390127</v>
      </c>
      <c r="BK13" s="16">
        <v>1397941</v>
      </c>
      <c r="BL13" s="16">
        <v>1405756</v>
      </c>
      <c r="BM13" s="16">
        <v>1413570</v>
      </c>
      <c r="BN13" s="16">
        <v>1421385</v>
      </c>
      <c r="BO13" s="16">
        <v>1432616</v>
      </c>
      <c r="BP13" s="16">
        <v>1443847</v>
      </c>
      <c r="BQ13" s="16">
        <v>1455078</v>
      </c>
      <c r="BR13" s="16">
        <v>1466309</v>
      </c>
      <c r="BS13" s="16">
        <v>1479700</v>
      </c>
      <c r="BT13" s="16">
        <v>1493090</v>
      </c>
      <c r="BU13" s="16">
        <v>1506481</v>
      </c>
      <c r="BV13" s="16">
        <v>1519872</v>
      </c>
      <c r="BW13" s="16">
        <v>1534873</v>
      </c>
      <c r="BX13" s="16">
        <v>1549874</v>
      </c>
      <c r="BY13" s="16">
        <v>1564874</v>
      </c>
      <c r="BZ13" s="16">
        <v>1579875</v>
      </c>
      <c r="CA13" s="16">
        <v>1592677</v>
      </c>
      <c r="CB13" s="16">
        <v>1605478</v>
      </c>
      <c r="CC13" s="16">
        <v>1618280</v>
      </c>
      <c r="CD13" s="16">
        <v>1631082</v>
      </c>
      <c r="CE13" s="16">
        <v>1638779</v>
      </c>
      <c r="CF13" s="16">
        <v>1646476</v>
      </c>
      <c r="CG13" s="16">
        <v>1654172</v>
      </c>
      <c r="CH13" s="16">
        <v>1661869</v>
      </c>
      <c r="CI13" s="16">
        <v>1669684</v>
      </c>
      <c r="CJ13" s="16">
        <v>1677498</v>
      </c>
      <c r="CK13" s="16">
        <v>1685313</v>
      </c>
      <c r="CL13" s="16">
        <v>1693127</v>
      </c>
      <c r="CM13" s="16">
        <v>1702434</v>
      </c>
      <c r="CN13" s="16">
        <v>1711741</v>
      </c>
      <c r="CO13" s="16">
        <v>1721048</v>
      </c>
      <c r="CP13" s="16">
        <v>1730354</v>
      </c>
      <c r="CQ13" s="16">
        <v>1740957</v>
      </c>
      <c r="CR13" s="16">
        <v>1751560</v>
      </c>
      <c r="CS13" s="16">
        <v>1762162</v>
      </c>
      <c r="CT13" s="16">
        <v>1772765</v>
      </c>
      <c r="CU13" s="16">
        <v>1783642</v>
      </c>
      <c r="CV13" s="16">
        <v>1794520</v>
      </c>
      <c r="CW13" s="16">
        <v>1805398</v>
      </c>
      <c r="CX13" s="16">
        <v>1816275</v>
      </c>
      <c r="CY13" s="16">
        <v>1830294</v>
      </c>
      <c r="CZ13" s="16">
        <v>1844313</v>
      </c>
      <c r="DA13" s="16">
        <v>1858332</v>
      </c>
      <c r="DB13" s="16">
        <v>1872351</v>
      </c>
      <c r="DC13" s="16">
        <v>1892183</v>
      </c>
      <c r="DD13" s="16">
        <v>1912015</v>
      </c>
      <c r="DE13" s="16">
        <v>1931847</v>
      </c>
      <c r="DF13" s="16">
        <v>1951679</v>
      </c>
      <c r="DG13" s="16">
        <v>1970424</v>
      </c>
      <c r="DH13" s="16">
        <v>1989170</v>
      </c>
      <c r="DI13" s="16">
        <v>2007915</v>
      </c>
      <c r="DJ13" s="16">
        <v>2026660</v>
      </c>
      <c r="DK13" s="16">
        <v>2048122</v>
      </c>
      <c r="DL13" s="16">
        <v>2069584</v>
      </c>
      <c r="DM13" s="16">
        <v>2091046</v>
      </c>
      <c r="DN13" s="16">
        <v>2112508</v>
      </c>
      <c r="DO13" s="16">
        <v>2131253</v>
      </c>
      <c r="DP13" s="16">
        <v>2149998</v>
      </c>
      <c r="DQ13" s="16">
        <v>2168744</v>
      </c>
      <c r="DR13" s="16">
        <v>2187489</v>
      </c>
      <c r="DS13" s="16">
        <v>2202702</v>
      </c>
      <c r="DT13" s="16">
        <v>2217916</v>
      </c>
      <c r="DU13" s="16">
        <v>2233130</v>
      </c>
      <c r="DV13" s="16">
        <v>2248343</v>
      </c>
      <c r="DW13" s="16">
        <v>2261655</v>
      </c>
      <c r="DX13" s="16">
        <v>2274967</v>
      </c>
      <c r="DY13" s="16">
        <v>2288278</v>
      </c>
      <c r="DZ13" s="16">
        <v>2301590</v>
      </c>
      <c r="EA13" s="16">
        <v>2315989</v>
      </c>
      <c r="EB13" s="16">
        <v>2330388</v>
      </c>
      <c r="EC13" s="16">
        <v>2344786</v>
      </c>
      <c r="ED13" s="16">
        <v>2359184</v>
      </c>
      <c r="EE13" s="16">
        <v>2374398</v>
      </c>
      <c r="EF13" s="16">
        <v>2389612</v>
      </c>
      <c r="EG13" s="16">
        <v>2404825</v>
      </c>
      <c r="EH13" s="16">
        <v>2420039</v>
      </c>
      <c r="EI13" s="16">
        <v>2437426</v>
      </c>
      <c r="EJ13" s="16">
        <v>2454812</v>
      </c>
      <c r="EK13" s="16">
        <v>2472199</v>
      </c>
      <c r="EL13" s="16">
        <v>2489586</v>
      </c>
      <c r="EM13" s="16">
        <v>2510776</v>
      </c>
      <c r="EN13" s="16">
        <v>2531967</v>
      </c>
      <c r="EO13" s="16">
        <v>2553157</v>
      </c>
      <c r="EP13" s="16">
        <v>2574348</v>
      </c>
      <c r="EQ13" s="16">
        <v>2591462</v>
      </c>
      <c r="ER13" s="16">
        <v>2608578</v>
      </c>
      <c r="ES13" s="16">
        <v>2625693</v>
      </c>
      <c r="ET13" s="16">
        <v>2642808</v>
      </c>
      <c r="EU13" s="16">
        <v>2649328</v>
      </c>
      <c r="EV13" s="16">
        <v>2655848</v>
      </c>
      <c r="EW13" s="16">
        <v>2662368</v>
      </c>
      <c r="EX13" s="16">
        <v>2668889</v>
      </c>
      <c r="EY13" s="16">
        <v>2677039</v>
      </c>
      <c r="EZ13" s="16">
        <v>2685189</v>
      </c>
      <c r="FA13" s="16">
        <v>2693339</v>
      </c>
      <c r="FB13" s="16">
        <v>2701489</v>
      </c>
      <c r="FC13" s="16">
        <v>2709096</v>
      </c>
      <c r="FD13" s="16">
        <v>2716702</v>
      </c>
      <c r="FE13" s="16">
        <v>2724309</v>
      </c>
      <c r="FF13" s="16">
        <v>2731916</v>
      </c>
      <c r="FG13" s="16">
        <v>2740338</v>
      </c>
      <c r="FH13" s="16">
        <v>2748760</v>
      </c>
      <c r="FI13" s="16">
        <v>2757182</v>
      </c>
      <c r="FJ13" s="16">
        <v>2765603</v>
      </c>
      <c r="FK13" s="16">
        <v>2775112</v>
      </c>
      <c r="FL13" s="16">
        <v>2784620</v>
      </c>
      <c r="FM13" s="16">
        <v>2794128</v>
      </c>
      <c r="FN13" s="16">
        <v>2803637</v>
      </c>
      <c r="FO13" s="16">
        <v>2816677</v>
      </c>
      <c r="FP13" s="16">
        <v>2829718</v>
      </c>
      <c r="FQ13" s="16">
        <v>2842758</v>
      </c>
      <c r="FR13" s="16">
        <v>2855798</v>
      </c>
      <c r="FS13" s="16">
        <v>2872370</v>
      </c>
      <c r="FT13" s="16">
        <v>2888942</v>
      </c>
      <c r="FU13" s="16">
        <v>2905514</v>
      </c>
      <c r="FV13" s="16">
        <v>2922085</v>
      </c>
      <c r="FW13" s="16">
        <v>2941102</v>
      </c>
      <c r="FX13" s="16">
        <v>2960119</v>
      </c>
      <c r="FY13" s="16">
        <v>2979136</v>
      </c>
      <c r="FZ13" s="16">
        <v>2998153</v>
      </c>
      <c r="GA13" s="16">
        <v>3016355</v>
      </c>
      <c r="GB13" s="16">
        <v>3034557</v>
      </c>
      <c r="GC13" s="16">
        <v>3052759</v>
      </c>
      <c r="GD13" s="16">
        <v>3070960</v>
      </c>
      <c r="GE13" s="16">
        <v>3085902</v>
      </c>
      <c r="GF13" s="16">
        <v>3100844</v>
      </c>
      <c r="GG13" s="16">
        <v>3115786</v>
      </c>
      <c r="GH13" s="16">
        <v>3130728</v>
      </c>
      <c r="GI13" s="16">
        <v>3145670</v>
      </c>
      <c r="GJ13" s="16">
        <v>3160612</v>
      </c>
      <c r="GK13" s="16">
        <v>3175554</v>
      </c>
      <c r="GL13" s="16">
        <v>3190496</v>
      </c>
      <c r="GM13" s="16">
        <v>3195929</v>
      </c>
      <c r="GN13" s="16">
        <v>3201362</v>
      </c>
      <c r="GO13" s="16">
        <v>3206796</v>
      </c>
      <c r="GP13" s="16">
        <v>3212229</v>
      </c>
      <c r="GQ13" s="16">
        <v>3219292</v>
      </c>
      <c r="GR13" s="16">
        <v>3226356</v>
      </c>
      <c r="GS13" s="16">
        <v>3233420</v>
      </c>
      <c r="GT13" s="16">
        <v>3240483</v>
      </c>
      <c r="GU13" s="16">
        <v>3252980</v>
      </c>
      <c r="GV13" s="16">
        <v>3265476</v>
      </c>
      <c r="GW13" s="16">
        <v>3277973</v>
      </c>
      <c r="GX13" s="16">
        <v>3290470</v>
      </c>
      <c r="GY13" s="16">
        <v>3304325</v>
      </c>
      <c r="GZ13" s="16">
        <v>3318180</v>
      </c>
      <c r="HA13" s="16">
        <v>3332036</v>
      </c>
      <c r="HB13" s="16">
        <v>3345891</v>
      </c>
      <c r="HC13" s="17">
        <v>3359594</v>
      </c>
      <c r="HD13" s="17">
        <v>3374122</v>
      </c>
      <c r="HE13" s="17">
        <v>3387712</v>
      </c>
      <c r="HF13" s="17">
        <v>3401300</v>
      </c>
      <c r="HG13" s="17">
        <v>3414902</v>
      </c>
      <c r="HH13" s="17">
        <v>3428538</v>
      </c>
      <c r="HI13" s="17">
        <v>3442281</v>
      </c>
      <c r="HJ13" s="17">
        <v>3456145</v>
      </c>
      <c r="HK13" s="17">
        <v>3470184</v>
      </c>
      <c r="HL13" s="17">
        <v>3484456</v>
      </c>
      <c r="HM13" s="17">
        <v>3498835</v>
      </c>
      <c r="HN13" s="17">
        <v>3513286</v>
      </c>
      <c r="HO13" s="17">
        <v>3527738</v>
      </c>
      <c r="HP13" s="17">
        <v>3542158</v>
      </c>
      <c r="HQ13" s="17">
        <v>3556544</v>
      </c>
      <c r="HR13" s="17">
        <v>3570882</v>
      </c>
      <c r="HS13" s="17">
        <v>3585156</v>
      </c>
      <c r="HT13" s="17">
        <v>3599361</v>
      </c>
      <c r="HU13" s="17">
        <v>3613504</v>
      </c>
      <c r="HV13" s="17">
        <v>3627589</v>
      </c>
      <c r="HW13" s="17">
        <v>3641632</v>
      </c>
      <c r="HX13" s="17">
        <v>3655737</v>
      </c>
      <c r="HY13" s="17">
        <v>3669939</v>
      </c>
      <c r="HZ13" s="17">
        <v>3684270</v>
      </c>
      <c r="IA13" s="17">
        <v>3698773</v>
      </c>
      <c r="IB13" s="17">
        <v>3713454</v>
      </c>
      <c r="IC13" s="17">
        <v>3728313</v>
      </c>
      <c r="ID13" s="17">
        <v>3743350</v>
      </c>
      <c r="IE13" s="17">
        <v>3758562</v>
      </c>
      <c r="IF13" s="17">
        <v>3773950</v>
      </c>
      <c r="IG13" s="17">
        <v>3789512</v>
      </c>
      <c r="IH13" s="17">
        <v>3805247</v>
      </c>
      <c r="II13" s="17">
        <v>3821154</v>
      </c>
      <c r="IJ13" s="17">
        <v>3837231</v>
      </c>
      <c r="IK13" s="17">
        <v>3853479</v>
      </c>
      <c r="IL13" s="17">
        <v>3869894</v>
      </c>
      <c r="IM13" s="17">
        <v>3886511</v>
      </c>
      <c r="IN13" s="17">
        <v>3903323</v>
      </c>
      <c r="IO13" s="17">
        <v>3920316</v>
      </c>
      <c r="IP13" s="17">
        <v>3937490</v>
      </c>
      <c r="IQ13" s="17">
        <v>3954850</v>
      </c>
      <c r="IR13" s="17">
        <v>3972397</v>
      </c>
      <c r="IS13" s="17">
        <v>3990108</v>
      </c>
      <c r="IT13" s="17">
        <v>4007983</v>
      </c>
      <c r="IU13" s="17">
        <v>4026035</v>
      </c>
      <c r="IV13" s="17">
        <v>4044262</v>
      </c>
      <c r="IW13" s="17">
        <v>4062664</v>
      </c>
      <c r="IX13" s="17">
        <v>4081239</v>
      </c>
      <c r="IY13" s="17">
        <v>4099998</v>
      </c>
      <c r="IZ13" s="17">
        <v>4118939</v>
      </c>
      <c r="JA13" s="17">
        <v>4138062</v>
      </c>
      <c r="JB13" s="17">
        <v>4157367</v>
      </c>
      <c r="JC13" s="17">
        <v>4176853</v>
      </c>
      <c r="JD13" s="17">
        <v>4196522</v>
      </c>
      <c r="JE13" s="17">
        <v>4216371</v>
      </c>
      <c r="JF13" s="17">
        <v>4236401</v>
      </c>
      <c r="JG13" s="17">
        <v>4256622</v>
      </c>
      <c r="JH13" s="17">
        <v>4277033</v>
      </c>
      <c r="JI13" s="17">
        <v>4297634</v>
      </c>
      <c r="JJ13" s="17">
        <v>4318426</v>
      </c>
      <c r="JK13" s="17">
        <v>4339408</v>
      </c>
      <c r="JL13" s="17">
        <v>4360579</v>
      </c>
      <c r="JM13" s="17">
        <v>4381941</v>
      </c>
      <c r="JN13" s="17">
        <v>4403494</v>
      </c>
      <c r="JO13" s="17">
        <v>4425143</v>
      </c>
      <c r="JP13" s="17">
        <v>4446890</v>
      </c>
      <c r="JQ13" s="17">
        <v>4468735</v>
      </c>
      <c r="JR13" s="17">
        <v>4490678</v>
      </c>
      <c r="JS13" s="17">
        <v>4512707</v>
      </c>
      <c r="JT13" s="17">
        <v>4534823</v>
      </c>
      <c r="JU13" s="17">
        <v>4557026</v>
      </c>
      <c r="JV13" s="17">
        <v>4579316</v>
      </c>
      <c r="JW13" s="17">
        <v>4601693</v>
      </c>
      <c r="JX13" s="17">
        <v>4624159</v>
      </c>
      <c r="JY13" s="17">
        <v>4646712</v>
      </c>
      <c r="JZ13" s="17">
        <v>4669354</v>
      </c>
      <c r="KA13" s="17">
        <v>4692079</v>
      </c>
      <c r="KB13" s="17">
        <v>4714889</v>
      </c>
      <c r="KC13" s="17">
        <v>4737783</v>
      </c>
      <c r="KD13" s="17">
        <v>4760761</v>
      </c>
      <c r="KE13" s="17">
        <v>4783825</v>
      </c>
      <c r="KF13" s="17">
        <v>4806973</v>
      </c>
      <c r="KG13" s="17">
        <v>4830207</v>
      </c>
      <c r="KH13" s="17">
        <v>4853527</v>
      </c>
      <c r="KI13" s="17">
        <v>4876932</v>
      </c>
      <c r="KJ13" s="17">
        <v>4900424</v>
      </c>
      <c r="KK13" s="17">
        <v>4924002</v>
      </c>
      <c r="KL13" s="17">
        <v>4947667</v>
      </c>
      <c r="KM13" s="17">
        <v>4971418</v>
      </c>
      <c r="KN13" s="17">
        <v>4995257</v>
      </c>
      <c r="KO13" s="17">
        <v>5019183</v>
      </c>
      <c r="KP13" s="17">
        <v>5043197</v>
      </c>
      <c r="KQ13" s="17">
        <v>5067299</v>
      </c>
      <c r="KR13" s="17">
        <v>5091489</v>
      </c>
      <c r="KS13" s="17">
        <v>5115768</v>
      </c>
      <c r="KT13" s="17">
        <v>5140135</v>
      </c>
      <c r="KU13" s="17">
        <v>5164592</v>
      </c>
      <c r="KV13" s="17">
        <v>5189138</v>
      </c>
      <c r="KW13" s="17">
        <v>5213774</v>
      </c>
      <c r="KX13" s="17">
        <v>5238500</v>
      </c>
      <c r="KY13" s="17">
        <v>5263317</v>
      </c>
      <c r="KZ13" s="17">
        <v>5288225</v>
      </c>
      <c r="LA13" s="17">
        <v>5313223</v>
      </c>
      <c r="LB13" s="17">
        <v>5338313</v>
      </c>
      <c r="LC13" s="17">
        <v>5363495</v>
      </c>
      <c r="LD13" s="17">
        <v>5388768</v>
      </c>
      <c r="LE13" s="17">
        <v>5414134</v>
      </c>
      <c r="LF13" s="17">
        <v>5439592</v>
      </c>
      <c r="LG13" s="17">
        <v>5465172</v>
      </c>
      <c r="LH13" s="17">
        <v>5490874</v>
      </c>
      <c r="LI13" s="17">
        <v>5516691</v>
      </c>
      <c r="LJ13" s="17">
        <v>5542625</v>
      </c>
      <c r="LK13" s="17">
        <v>5568676</v>
      </c>
      <c r="LL13" s="17">
        <v>5594843</v>
      </c>
      <c r="LM13" s="17">
        <v>5621116</v>
      </c>
      <c r="LN13" s="17">
        <v>5647496</v>
      </c>
      <c r="LO13" s="17">
        <v>5673982</v>
      </c>
      <c r="LP13" s="17">
        <v>5700575</v>
      </c>
      <c r="LQ13" s="17">
        <v>5727277</v>
      </c>
      <c r="LR13" s="17">
        <v>5754086</v>
      </c>
      <c r="LS13" s="17">
        <v>5781004</v>
      </c>
      <c r="LT13" s="17">
        <v>5808031</v>
      </c>
      <c r="LU13" s="17">
        <v>5835161</v>
      </c>
      <c r="LV13" s="17">
        <v>5862396</v>
      </c>
      <c r="LW13" s="17">
        <v>5889735</v>
      </c>
      <c r="LX13" s="17">
        <v>5917178</v>
      </c>
      <c r="LY13" s="17">
        <v>5944722</v>
      </c>
      <c r="LZ13" s="17">
        <v>5972368</v>
      </c>
      <c r="MA13" s="17">
        <v>6000115</v>
      </c>
      <c r="MB13" s="17">
        <v>6027963</v>
      </c>
      <c r="MC13" s="17">
        <v>6055914</v>
      </c>
      <c r="MD13" s="17">
        <v>6083968</v>
      </c>
      <c r="ME13" s="17">
        <v>6112125</v>
      </c>
      <c r="MF13" s="17">
        <v>6140386</v>
      </c>
      <c r="MG13" s="17">
        <v>6168756</v>
      </c>
      <c r="MH13" s="17">
        <v>6197237</v>
      </c>
      <c r="MI13" s="17">
        <v>6225829</v>
      </c>
      <c r="MJ13" s="17">
        <v>6254532</v>
      </c>
      <c r="MK13" s="17">
        <v>6283344</v>
      </c>
      <c r="ML13" s="17">
        <v>6312266</v>
      </c>
      <c r="MM13" s="17">
        <v>6341299</v>
      </c>
      <c r="MN13" s="17">
        <v>6370442</v>
      </c>
      <c r="MO13" s="17">
        <v>6399703</v>
      </c>
      <c r="MP13" s="17">
        <v>6429081</v>
      </c>
      <c r="MQ13" s="17">
        <v>6458578</v>
      </c>
      <c r="MR13" s="17">
        <v>6488192</v>
      </c>
      <c r="MS13" s="17">
        <v>6517925</v>
      </c>
      <c r="MT13" s="17">
        <v>6547778</v>
      </c>
      <c r="MU13" s="13" t="s">
        <v>478</v>
      </c>
      <c r="MV13" s="13" t="b">
        <v>0</v>
      </c>
      <c r="MW13" s="15" t="s">
        <v>479</v>
      </c>
      <c r="MX13" s="13" t="s">
        <v>480</v>
      </c>
      <c r="MY13" s="13">
        <v>2023</v>
      </c>
      <c r="MZ13" s="13">
        <v>4</v>
      </c>
      <c r="NA13" s="13" t="s">
        <v>480</v>
      </c>
      <c r="NB13" s="15" t="s">
        <v>1089</v>
      </c>
      <c r="NC13" s="15" t="s">
        <v>1090</v>
      </c>
      <c r="ND13" s="13" t="s">
        <v>483</v>
      </c>
      <c r="NE13" s="13" t="s">
        <v>1091</v>
      </c>
      <c r="NF13" s="15" t="s">
        <v>1268</v>
      </c>
    </row>
    <row r="14" spans="1:370" x14ac:dyDescent="0.25">
      <c r="A14" s="13" t="s">
        <v>473</v>
      </c>
      <c r="B14" s="13" t="s">
        <v>1230</v>
      </c>
      <c r="C14" s="15" t="s">
        <v>1267</v>
      </c>
      <c r="D14" s="13" t="s">
        <v>1231</v>
      </c>
      <c r="E14" s="13" t="s">
        <v>480</v>
      </c>
      <c r="F14" s="13" t="s">
        <v>477</v>
      </c>
      <c r="G14" s="16">
        <v>6.1169979999999997</v>
      </c>
      <c r="H14" s="16">
        <v>6.1190639999999998</v>
      </c>
      <c r="I14" s="16">
        <v>9.2245159999999995</v>
      </c>
      <c r="J14" s="16">
        <v>11.81353</v>
      </c>
      <c r="K14" s="16">
        <v>16.048850000000002</v>
      </c>
      <c r="L14" s="16">
        <v>12.85718</v>
      </c>
      <c r="M14" s="16">
        <v>13.06794</v>
      </c>
      <c r="N14" s="16">
        <v>13.025090000000001</v>
      </c>
      <c r="O14" s="16">
        <v>12.40734</v>
      </c>
      <c r="P14" s="16">
        <v>9.3632639999999991</v>
      </c>
      <c r="Q14" s="16">
        <v>9.7154430000000005</v>
      </c>
      <c r="R14" s="16">
        <v>9.1201939999999997</v>
      </c>
      <c r="S14" s="16">
        <v>7.3021149999999997</v>
      </c>
      <c r="T14" s="16">
        <v>8.475994</v>
      </c>
      <c r="U14" s="16">
        <v>9.3130590000000009</v>
      </c>
      <c r="V14" s="16">
        <v>10.359690000000001</v>
      </c>
      <c r="W14" s="16">
        <v>7.6417809999999999</v>
      </c>
      <c r="X14" s="16">
        <v>4.9681990000000003</v>
      </c>
      <c r="Y14" s="16">
        <v>4.2187539999999997</v>
      </c>
      <c r="Z14" s="16">
        <v>3.3463959999999999</v>
      </c>
      <c r="AA14" s="16">
        <v>3.6544479999999999</v>
      </c>
      <c r="AB14" s="16">
        <v>5.1189629999999999</v>
      </c>
      <c r="AC14" s="16">
        <v>5.3099350000000003</v>
      </c>
      <c r="AD14" s="16">
        <v>6.4699989999999996</v>
      </c>
      <c r="AE14" s="16">
        <v>7.2590170000000001</v>
      </c>
      <c r="AF14" s="16">
        <v>6.6247119999999997</v>
      </c>
      <c r="AG14" s="16">
        <v>7.6913289999999996</v>
      </c>
      <c r="AH14" s="16">
        <v>8.2681730000000009</v>
      </c>
      <c r="AI14" s="16">
        <v>9.5941939999999999</v>
      </c>
      <c r="AJ14" s="16">
        <v>9.8790370000000003</v>
      </c>
      <c r="AK14" s="16">
        <v>10.175280000000001</v>
      </c>
      <c r="AL14" s="16">
        <v>9.2949099999999998</v>
      </c>
      <c r="AM14" s="16">
        <v>8.2459089999999993</v>
      </c>
      <c r="AN14" s="16">
        <v>7.1851700000000003</v>
      </c>
      <c r="AO14" s="16">
        <v>7.7312479999999999</v>
      </c>
      <c r="AP14" s="16">
        <v>9.2399730000000009</v>
      </c>
      <c r="AQ14" s="16">
        <v>9.5001599999999993</v>
      </c>
      <c r="AR14" s="16">
        <v>8.1415480000000002</v>
      </c>
      <c r="AS14" s="16">
        <v>7.2186570000000003</v>
      </c>
      <c r="AT14" s="16">
        <v>5.9809229999999998</v>
      </c>
      <c r="AU14" s="16">
        <v>6.3284349999999998</v>
      </c>
      <c r="AV14" s="16">
        <v>5.8344240000000003</v>
      </c>
      <c r="AW14" s="16">
        <v>5.3487650000000002</v>
      </c>
      <c r="AX14" s="16">
        <v>5.0325340000000001</v>
      </c>
      <c r="AY14" s="16">
        <v>5.3480819999999998</v>
      </c>
      <c r="AZ14" s="16">
        <v>5.2703930000000003</v>
      </c>
      <c r="BA14" s="16">
        <v>6.604641</v>
      </c>
      <c r="BB14" s="16">
        <v>5.7642350000000002</v>
      </c>
      <c r="BC14" s="16">
        <v>7.8576329999999999</v>
      </c>
      <c r="BD14" s="16">
        <v>6.7879149999999999</v>
      </c>
      <c r="BE14" s="16">
        <v>6.5390420000000002</v>
      </c>
      <c r="BF14" s="16">
        <v>6.3566089999999997</v>
      </c>
      <c r="BG14" s="16">
        <v>7.1555869999999997</v>
      </c>
      <c r="BH14" s="16">
        <v>6.1142529999999997</v>
      </c>
      <c r="BI14" s="16">
        <v>6.2408010000000003</v>
      </c>
      <c r="BJ14" s="16">
        <v>6.9198820000000003</v>
      </c>
      <c r="BK14" s="16">
        <v>8.4434889999999996</v>
      </c>
      <c r="BL14" s="16">
        <v>7.5696870000000001</v>
      </c>
      <c r="BM14" s="16">
        <v>8.1797369999999994</v>
      </c>
      <c r="BN14" s="16">
        <v>12.610060000000001</v>
      </c>
      <c r="BO14" s="16">
        <v>8.43079</v>
      </c>
      <c r="BP14" s="16">
        <v>9.6200189999999992</v>
      </c>
      <c r="BQ14" s="16">
        <v>11.284269999999999</v>
      </c>
      <c r="BR14" s="16">
        <v>12.579459999999999</v>
      </c>
      <c r="BS14" s="16">
        <v>12.94354</v>
      </c>
      <c r="BT14" s="16">
        <v>15.43281</v>
      </c>
      <c r="BU14" s="16">
        <v>16.336469999999998</v>
      </c>
      <c r="BV14" s="16">
        <v>17.63449</v>
      </c>
      <c r="BW14" s="16">
        <v>18.593070000000001</v>
      </c>
      <c r="BX14" s="16">
        <v>20.025770000000001</v>
      </c>
      <c r="BY14" s="16">
        <v>20.106919999999999</v>
      </c>
      <c r="BZ14" s="16">
        <v>18.468170000000001</v>
      </c>
      <c r="CA14" s="16">
        <v>21.139530000000001</v>
      </c>
      <c r="CB14" s="16">
        <v>21.655650000000001</v>
      </c>
      <c r="CC14" s="16">
        <v>21.63138</v>
      </c>
      <c r="CD14" s="16">
        <v>20.342780000000001</v>
      </c>
      <c r="CE14" s="16">
        <v>27.600519999999999</v>
      </c>
      <c r="CF14" s="16">
        <v>18.392289999999999</v>
      </c>
      <c r="CG14" s="16">
        <v>14.79189</v>
      </c>
      <c r="CH14" s="16">
        <v>13.787559999999999</v>
      </c>
      <c r="CI14" s="16">
        <v>12.715619999999999</v>
      </c>
      <c r="CJ14" s="16">
        <v>12.803699999999999</v>
      </c>
      <c r="CK14" s="16">
        <v>12.96149</v>
      </c>
      <c r="CL14" s="16">
        <v>12.126480000000001</v>
      </c>
      <c r="CM14" s="16">
        <v>11.065530000000001</v>
      </c>
      <c r="CN14" s="16">
        <v>11.06311</v>
      </c>
      <c r="CO14" s="16">
        <v>11.47864</v>
      </c>
      <c r="CP14" s="16">
        <v>11.418329999999999</v>
      </c>
      <c r="CQ14" s="16">
        <v>12.31757</v>
      </c>
      <c r="CR14" s="16">
        <v>13.644729999999999</v>
      </c>
      <c r="CS14" s="16">
        <v>12.81485</v>
      </c>
      <c r="CT14" s="16">
        <v>13.047840000000001</v>
      </c>
      <c r="CU14" s="16">
        <v>11.515140000000001</v>
      </c>
      <c r="CV14" s="16">
        <v>11.161099999999999</v>
      </c>
      <c r="CW14" s="16">
        <v>10.89209</v>
      </c>
      <c r="CX14" s="16">
        <v>10.22739</v>
      </c>
      <c r="CY14" s="16">
        <v>12.277850000000001</v>
      </c>
      <c r="CZ14" s="16">
        <v>13.97296</v>
      </c>
      <c r="DA14" s="16">
        <v>13.216340000000001</v>
      </c>
      <c r="DB14" s="16">
        <v>15.677670000000001</v>
      </c>
      <c r="DC14" s="16">
        <v>15.19774</v>
      </c>
      <c r="DD14" s="16">
        <v>15.33624</v>
      </c>
      <c r="DE14" s="16">
        <v>16.189689999999999</v>
      </c>
      <c r="DF14" s="16">
        <v>14.886559999999999</v>
      </c>
      <c r="DG14" s="16">
        <v>16.504270000000002</v>
      </c>
      <c r="DH14" s="16">
        <v>17.070229999999999</v>
      </c>
      <c r="DI14" s="16">
        <v>16.620049999999999</v>
      </c>
      <c r="DJ14" s="16">
        <v>17.460290000000001</v>
      </c>
      <c r="DK14" s="16">
        <v>17.360690000000002</v>
      </c>
      <c r="DL14" s="16">
        <v>19.715350000000001</v>
      </c>
      <c r="DM14" s="16">
        <v>21.035440000000001</v>
      </c>
      <c r="DN14" s="16">
        <v>21.627980000000001</v>
      </c>
      <c r="DO14" s="16">
        <v>22.748640000000002</v>
      </c>
      <c r="DP14" s="16">
        <v>19.97015</v>
      </c>
      <c r="DQ14" s="16">
        <v>20.09273</v>
      </c>
      <c r="DR14" s="16">
        <v>17.87726</v>
      </c>
      <c r="DS14" s="16">
        <v>18.851800000000001</v>
      </c>
      <c r="DT14" s="16">
        <v>17.95496</v>
      </c>
      <c r="DU14" s="16">
        <v>17.508690000000001</v>
      </c>
      <c r="DV14" s="16">
        <v>16.811199999999999</v>
      </c>
      <c r="DW14" s="16">
        <v>16.524470000000001</v>
      </c>
      <c r="DX14" s="16">
        <v>15.30988</v>
      </c>
      <c r="DY14" s="16">
        <v>15.23471</v>
      </c>
      <c r="DZ14" s="16">
        <v>16.300149999999999</v>
      </c>
      <c r="EA14" s="16">
        <v>18.37229</v>
      </c>
      <c r="EB14" s="16">
        <v>17.188289999999999</v>
      </c>
      <c r="EC14" s="16">
        <v>18.080819999999999</v>
      </c>
      <c r="ED14" s="16">
        <v>18.015879999999999</v>
      </c>
      <c r="EE14" s="16">
        <v>18.623740000000002</v>
      </c>
      <c r="EF14" s="16">
        <v>18.94378</v>
      </c>
      <c r="EG14" s="16">
        <v>18.815570000000001</v>
      </c>
      <c r="EH14" s="16">
        <v>18.96284</v>
      </c>
      <c r="EI14" s="16">
        <v>20.33109</v>
      </c>
      <c r="EJ14" s="16">
        <v>19.269580000000001</v>
      </c>
      <c r="EK14" s="16">
        <v>21.084489999999999</v>
      </c>
      <c r="EL14" s="16">
        <v>23.836970000000001</v>
      </c>
      <c r="EM14" s="16">
        <v>24.465340000000001</v>
      </c>
      <c r="EN14" s="16">
        <v>22.297879999999999</v>
      </c>
      <c r="EO14" s="16">
        <v>24.643599999999999</v>
      </c>
      <c r="EP14" s="16">
        <v>24.6554</v>
      </c>
      <c r="EQ14" s="16">
        <v>24.50901</v>
      </c>
      <c r="ER14" s="16">
        <v>23.62959</v>
      </c>
      <c r="ES14" s="16">
        <v>22.33568</v>
      </c>
      <c r="ET14" s="16">
        <v>24.138590000000001</v>
      </c>
      <c r="EU14" s="16">
        <v>15.63899</v>
      </c>
      <c r="EV14" s="16">
        <v>14.253539999999999</v>
      </c>
      <c r="EW14" s="16">
        <v>12.548360000000001</v>
      </c>
      <c r="EX14" s="16">
        <v>13.083909999999999</v>
      </c>
      <c r="EY14" s="16">
        <v>10.314360000000001</v>
      </c>
      <c r="EZ14" s="16">
        <v>10.544230000000001</v>
      </c>
      <c r="FA14" s="16">
        <v>9.109076</v>
      </c>
      <c r="FB14" s="16">
        <v>10.435969999999999</v>
      </c>
      <c r="FC14" s="16">
        <v>8.5299940000000003</v>
      </c>
      <c r="FD14" s="16">
        <v>9.9548159999999992</v>
      </c>
      <c r="FE14" s="16">
        <v>9.7435539999999996</v>
      </c>
      <c r="FF14" s="16">
        <v>9.0813710000000007</v>
      </c>
      <c r="FG14" s="16">
        <v>10.24574</v>
      </c>
      <c r="FH14" s="16">
        <v>10.18899</v>
      </c>
      <c r="FI14" s="16">
        <v>9.6282859999999992</v>
      </c>
      <c r="FJ14" s="16">
        <v>8.9791380000000007</v>
      </c>
      <c r="FK14" s="16">
        <v>9.7472429999999992</v>
      </c>
      <c r="FL14" s="16">
        <v>9.477271</v>
      </c>
      <c r="FM14" s="16">
        <v>8.8702579999999998</v>
      </c>
      <c r="FN14" s="16">
        <v>9.042802</v>
      </c>
      <c r="FO14" s="16">
        <v>8.8533480000000004</v>
      </c>
      <c r="FP14" s="16">
        <v>8.6675579999999997</v>
      </c>
      <c r="FQ14" s="16">
        <v>8.0897640000000006</v>
      </c>
      <c r="FR14" s="16">
        <v>9.0708839999999995</v>
      </c>
      <c r="FS14" s="16">
        <v>7.2153580000000002</v>
      </c>
      <c r="FT14" s="16">
        <v>7.2421230000000003</v>
      </c>
      <c r="FU14" s="16">
        <v>7.5025399999999998</v>
      </c>
      <c r="FV14" s="16">
        <v>7.5250719999999998</v>
      </c>
      <c r="FW14" s="16">
        <v>7.5212849999999998</v>
      </c>
      <c r="FX14" s="16">
        <v>7.5344319999999998</v>
      </c>
      <c r="FY14" s="16">
        <v>6.9274019999999998</v>
      </c>
      <c r="FZ14" s="16">
        <v>7.9506690000000004</v>
      </c>
      <c r="GA14" s="16">
        <v>6.2195640000000001</v>
      </c>
      <c r="GB14" s="16">
        <v>6.4953729999999998</v>
      </c>
      <c r="GC14" s="16">
        <v>6.6747880000000004</v>
      </c>
      <c r="GD14" s="16">
        <v>6.3887359999999997</v>
      </c>
      <c r="GE14" s="16">
        <v>8.127224</v>
      </c>
      <c r="GF14" s="16">
        <v>7.3489079999999998</v>
      </c>
      <c r="GG14" s="16">
        <v>7.7747989999999998</v>
      </c>
      <c r="GH14" s="16">
        <v>8.2578809999999994</v>
      </c>
      <c r="GI14" s="16">
        <v>7.996696</v>
      </c>
      <c r="GJ14" s="16">
        <v>7.8105099999999998</v>
      </c>
      <c r="GK14" s="16">
        <v>7.6590879999999997</v>
      </c>
      <c r="GL14" s="16">
        <v>6.7628760000000003</v>
      </c>
      <c r="GM14" s="16">
        <v>7.3461990000000004</v>
      </c>
      <c r="GN14" s="16">
        <v>6.8716720000000002</v>
      </c>
      <c r="GO14" s="16">
        <v>6.0945739999999997</v>
      </c>
      <c r="GP14" s="16">
        <v>6.4964459999999997</v>
      </c>
      <c r="GQ14" s="16">
        <v>6.6471559999999998</v>
      </c>
      <c r="GR14" s="16">
        <v>5.9191549999999999</v>
      </c>
      <c r="GS14" s="16">
        <v>5.7786520000000001</v>
      </c>
      <c r="GT14" s="16">
        <v>5.6529910000000001</v>
      </c>
      <c r="GU14" s="16">
        <v>5.4906009999999998</v>
      </c>
      <c r="GV14" s="16">
        <v>5.5896569999999999</v>
      </c>
      <c r="GW14" s="16">
        <v>6.3093320000000004</v>
      </c>
      <c r="GX14" s="16">
        <v>7.1077170000000001</v>
      </c>
      <c r="GY14" s="16">
        <v>8.4596300000000006</v>
      </c>
      <c r="GZ14" s="16">
        <v>9.5397390000000009</v>
      </c>
      <c r="HA14" s="16">
        <v>11.1264</v>
      </c>
      <c r="HB14" s="16">
        <v>11.51923</v>
      </c>
      <c r="HC14" s="16">
        <v>11.61557</v>
      </c>
      <c r="HD14" s="16">
        <v>11.222950000000001</v>
      </c>
      <c r="HE14" s="17">
        <v>10.85272</v>
      </c>
      <c r="HF14" s="17">
        <v>10.60759</v>
      </c>
      <c r="HG14" s="17">
        <v>10.437670000000001</v>
      </c>
      <c r="HH14" s="17">
        <v>10.26009</v>
      </c>
      <c r="HI14" s="17">
        <v>10.08376</v>
      </c>
      <c r="HJ14" s="17">
        <v>9.9067260000000008</v>
      </c>
      <c r="HK14" s="17">
        <v>9.7463960000000007</v>
      </c>
      <c r="HL14" s="17">
        <v>9.5783240000000003</v>
      </c>
      <c r="HM14" s="17">
        <v>9.4050510000000003</v>
      </c>
      <c r="HN14" s="17">
        <v>9.2358930000000008</v>
      </c>
      <c r="HO14" s="17">
        <v>9.0654839999999997</v>
      </c>
      <c r="HP14" s="17">
        <v>8.9069939999999992</v>
      </c>
      <c r="HQ14" s="17">
        <v>8.7522249999999993</v>
      </c>
      <c r="HR14" s="17">
        <v>8.7058160000000004</v>
      </c>
      <c r="HS14" s="17">
        <v>8.7162629999999996</v>
      </c>
      <c r="HT14" s="17">
        <v>8.7267480000000006</v>
      </c>
      <c r="HU14" s="17">
        <v>8.7362690000000001</v>
      </c>
      <c r="HV14" s="17">
        <v>8.7424579999999992</v>
      </c>
      <c r="HW14" s="17">
        <v>8.7500859999999996</v>
      </c>
      <c r="HX14" s="17">
        <v>8.7602759999999993</v>
      </c>
      <c r="HY14" s="17">
        <v>8.7697350000000007</v>
      </c>
      <c r="HZ14" s="17">
        <v>8.7832779999999993</v>
      </c>
      <c r="IA14" s="17">
        <v>8.7936219999999992</v>
      </c>
      <c r="IB14" s="17">
        <v>8.8029980000000005</v>
      </c>
      <c r="IC14" s="17">
        <v>8.8121620000000007</v>
      </c>
      <c r="ID14" s="17">
        <v>8.8253970000000006</v>
      </c>
      <c r="IE14" s="17">
        <v>8.8354809999999997</v>
      </c>
      <c r="IF14" s="17">
        <v>8.8447549999999993</v>
      </c>
      <c r="IG14" s="17">
        <v>8.8532410000000006</v>
      </c>
      <c r="IH14" s="17">
        <v>8.8657430000000002</v>
      </c>
      <c r="II14" s="17">
        <v>8.8761010000000002</v>
      </c>
      <c r="IJ14" s="17">
        <v>8.8853969999999993</v>
      </c>
      <c r="IK14" s="17">
        <v>8.8942759999999996</v>
      </c>
      <c r="IL14" s="17">
        <v>8.9076520000000006</v>
      </c>
      <c r="IM14" s="17">
        <v>8.9178289999999993</v>
      </c>
      <c r="IN14" s="17">
        <v>8.9258769999999998</v>
      </c>
      <c r="IO14" s="17">
        <v>8.9334249999999997</v>
      </c>
      <c r="IP14" s="17">
        <v>8.9458219999999997</v>
      </c>
      <c r="IQ14" s="17">
        <v>8.9545659999999998</v>
      </c>
      <c r="IR14" s="17">
        <v>8.9624869999999994</v>
      </c>
      <c r="IS14" s="17">
        <v>8.9702289999999998</v>
      </c>
      <c r="IT14" s="17">
        <v>8.9829670000000004</v>
      </c>
      <c r="IU14" s="17">
        <v>8.9914769999999997</v>
      </c>
      <c r="IV14" s="17">
        <v>8.9991090000000007</v>
      </c>
      <c r="IW14" s="17">
        <v>9.0066469999999992</v>
      </c>
      <c r="IX14" s="17">
        <v>9.0188140000000008</v>
      </c>
      <c r="IY14" s="17">
        <v>9.0272690000000004</v>
      </c>
      <c r="IZ14" s="17">
        <v>9.0349599999999999</v>
      </c>
      <c r="JA14" s="17">
        <v>9.0425330000000006</v>
      </c>
      <c r="JB14" s="17">
        <v>9.0547889999999995</v>
      </c>
      <c r="JC14" s="17">
        <v>9.0640719999999995</v>
      </c>
      <c r="JD14" s="17">
        <v>9.0727779999999996</v>
      </c>
      <c r="JE14" s="17">
        <v>9.0813100000000002</v>
      </c>
      <c r="JF14" s="17">
        <v>9.0945680000000007</v>
      </c>
      <c r="JG14" s="17">
        <v>9.1033030000000004</v>
      </c>
      <c r="JH14" s="17">
        <v>9.1108209999999996</v>
      </c>
      <c r="JI14" s="17">
        <v>9.1181830000000001</v>
      </c>
      <c r="JJ14" s="17">
        <v>9.1304040000000004</v>
      </c>
      <c r="JK14" s="17">
        <v>9.1383369999999999</v>
      </c>
      <c r="JL14" s="17">
        <v>9.1453290000000003</v>
      </c>
      <c r="JM14" s="17">
        <v>9.1522100000000002</v>
      </c>
      <c r="JN14" s="17">
        <v>9.1640630000000005</v>
      </c>
      <c r="JO14" s="17">
        <v>9.170973</v>
      </c>
      <c r="JP14" s="17">
        <v>9.1770420000000001</v>
      </c>
      <c r="JQ14" s="17">
        <v>9.1830189999999998</v>
      </c>
      <c r="JR14" s="17">
        <v>9.1940489999999997</v>
      </c>
      <c r="JS14" s="17">
        <v>9.2001279999999994</v>
      </c>
      <c r="JT14" s="17">
        <v>9.2056050000000003</v>
      </c>
      <c r="JU14" s="17">
        <v>9.2110249999999994</v>
      </c>
      <c r="JV14" s="17">
        <v>9.2215959999999999</v>
      </c>
      <c r="JW14" s="17">
        <v>9.2272110000000005</v>
      </c>
      <c r="JX14" s="17">
        <v>9.2319890000000004</v>
      </c>
      <c r="JY14" s="17">
        <v>9.2367340000000002</v>
      </c>
      <c r="JZ14" s="17">
        <v>9.2467140000000008</v>
      </c>
      <c r="KA14" s="17">
        <v>9.252262</v>
      </c>
      <c r="KB14" s="17">
        <v>9.257028</v>
      </c>
      <c r="KC14" s="17">
        <v>9.2617910000000006</v>
      </c>
      <c r="KD14" s="17">
        <v>9.2718749999999996</v>
      </c>
      <c r="KE14" s="17">
        <v>9.2775060000000007</v>
      </c>
      <c r="KF14" s="17">
        <v>9.2823580000000003</v>
      </c>
      <c r="KG14" s="17">
        <v>9.2872199999999996</v>
      </c>
      <c r="KH14" s="17">
        <v>9.2974739999999994</v>
      </c>
      <c r="KI14" s="17">
        <v>9.3032360000000001</v>
      </c>
      <c r="KJ14" s="17">
        <v>9.3082259999999994</v>
      </c>
      <c r="KK14" s="17">
        <v>9.3132339999999996</v>
      </c>
      <c r="KL14" s="17">
        <v>9.3237039999999993</v>
      </c>
      <c r="KM14" s="17">
        <v>9.3296390000000002</v>
      </c>
      <c r="KN14" s="17">
        <v>9.3348069999999996</v>
      </c>
      <c r="KO14" s="17">
        <v>9.3400029999999994</v>
      </c>
      <c r="KP14" s="17">
        <v>9.3507239999999996</v>
      </c>
      <c r="KQ14" s="17">
        <v>9.3568680000000004</v>
      </c>
      <c r="KR14" s="17">
        <v>9.3622350000000001</v>
      </c>
      <c r="KS14" s="17">
        <v>9.3676329999999997</v>
      </c>
      <c r="KT14" s="17">
        <v>9.3786319999999996</v>
      </c>
      <c r="KU14" s="17">
        <v>9.3850020000000001</v>
      </c>
      <c r="KV14" s="17">
        <v>9.3905560000000001</v>
      </c>
      <c r="KW14" s="17">
        <v>9.3961070000000007</v>
      </c>
      <c r="KX14" s="17">
        <v>9.4072949999999995</v>
      </c>
      <c r="KY14" s="17">
        <v>9.4137760000000004</v>
      </c>
      <c r="KZ14" s="17">
        <v>9.4194340000000008</v>
      </c>
      <c r="LA14" s="17">
        <v>9.4250969999999992</v>
      </c>
      <c r="LB14" s="17">
        <v>9.4364860000000004</v>
      </c>
      <c r="LC14" s="17">
        <v>9.4431189999999994</v>
      </c>
      <c r="LD14" s="17">
        <v>9.4488970000000005</v>
      </c>
      <c r="LE14" s="17">
        <v>9.4546910000000004</v>
      </c>
      <c r="LF14" s="17">
        <v>9.4662880000000005</v>
      </c>
      <c r="LG14" s="17">
        <v>9.4673189999999998</v>
      </c>
      <c r="LH14" s="17">
        <v>9.4821609999999996</v>
      </c>
      <c r="LI14" s="17">
        <v>9.4889500000000009</v>
      </c>
      <c r="LJ14" s="17">
        <v>9.5007409999999997</v>
      </c>
      <c r="LK14" s="17">
        <v>9.5018309999999992</v>
      </c>
      <c r="LL14" s="17">
        <v>9.5161859999999994</v>
      </c>
      <c r="LM14" s="17">
        <v>9.5225000000000009</v>
      </c>
      <c r="LN14" s="17">
        <v>9.5341280000000008</v>
      </c>
      <c r="LO14" s="17">
        <v>9.5350590000000004</v>
      </c>
      <c r="LP14" s="17">
        <v>9.5495730000000005</v>
      </c>
      <c r="LQ14" s="17">
        <v>9.5560729999999996</v>
      </c>
      <c r="LR14" s="17">
        <v>9.5678330000000003</v>
      </c>
      <c r="LS14" s="17">
        <v>9.5688309999999994</v>
      </c>
      <c r="LT14" s="17">
        <v>9.5836579999999998</v>
      </c>
      <c r="LU14" s="17">
        <v>9.5904140000000009</v>
      </c>
      <c r="LV14" s="17">
        <v>9.6026620000000005</v>
      </c>
      <c r="LW14" s="17">
        <v>9.6040480000000006</v>
      </c>
      <c r="LX14" s="17">
        <v>9.6194679999999995</v>
      </c>
      <c r="LY14" s="17">
        <v>9.6267239999999994</v>
      </c>
      <c r="LZ14" s="17">
        <v>9.6395510000000009</v>
      </c>
      <c r="MA14" s="17">
        <v>9.6413849999999996</v>
      </c>
      <c r="MB14" s="17">
        <v>9.6574860000000005</v>
      </c>
      <c r="MC14" s="17">
        <v>9.6653090000000006</v>
      </c>
      <c r="MD14" s="17">
        <v>9.6786940000000001</v>
      </c>
      <c r="ME14" s="17">
        <v>9.6809180000000001</v>
      </c>
      <c r="MF14" s="17">
        <v>9.6976209999999998</v>
      </c>
      <c r="MG14" s="17">
        <v>9.7059320000000007</v>
      </c>
      <c r="MH14" s="17">
        <v>9.7197870000000002</v>
      </c>
      <c r="MI14" s="17">
        <v>9.7223109999999995</v>
      </c>
      <c r="MJ14" s="17">
        <v>9.7395399999999999</v>
      </c>
      <c r="MK14" s="17">
        <v>9.7482190000000006</v>
      </c>
      <c r="ML14" s="17">
        <v>9.7626849999999994</v>
      </c>
      <c r="MM14" s="17">
        <v>9.7656419999999997</v>
      </c>
      <c r="MN14" s="17">
        <v>9.7835359999999998</v>
      </c>
      <c r="MO14" s="17">
        <v>9.7927529999999994</v>
      </c>
      <c r="MP14" s="17">
        <v>9.8076910000000002</v>
      </c>
      <c r="MQ14" s="17">
        <v>9.8109339999999996</v>
      </c>
      <c r="MR14" s="17">
        <v>9.8293330000000001</v>
      </c>
      <c r="MS14" s="17">
        <v>9.8388880000000007</v>
      </c>
      <c r="MT14" s="17">
        <v>9.8543800000000008</v>
      </c>
      <c r="MU14" s="13" t="s">
        <v>478</v>
      </c>
      <c r="MV14" s="13" t="b">
        <v>1</v>
      </c>
      <c r="MW14" s="13" t="s">
        <v>480</v>
      </c>
      <c r="MX14" s="13" t="s">
        <v>480</v>
      </c>
      <c r="MY14" s="13">
        <v>2024</v>
      </c>
      <c r="MZ14" s="13">
        <v>2</v>
      </c>
      <c r="NA14" s="13" t="s">
        <v>480</v>
      </c>
      <c r="NB14" s="15" t="s">
        <v>1232</v>
      </c>
      <c r="NC14" s="15" t="s">
        <v>1233</v>
      </c>
      <c r="ND14" s="13" t="s">
        <v>483</v>
      </c>
      <c r="NE14" s="13" t="s">
        <v>1234</v>
      </c>
      <c r="NF14" s="15" t="s">
        <v>1268</v>
      </c>
    </row>
    <row r="15" spans="1:370" x14ac:dyDescent="0.25">
      <c r="A15" s="13" t="s">
        <v>473</v>
      </c>
      <c r="B15" s="15" t="s">
        <v>1235</v>
      </c>
      <c r="C15" s="15" t="s">
        <v>1267</v>
      </c>
      <c r="D15" s="13" t="s">
        <v>475</v>
      </c>
      <c r="E15" s="13" t="s">
        <v>476</v>
      </c>
      <c r="F15" s="13" t="s">
        <v>477</v>
      </c>
      <c r="G15" s="16">
        <v>11012.3</v>
      </c>
      <c r="H15" s="16">
        <v>11559.46</v>
      </c>
      <c r="I15" s="16">
        <v>12760.18</v>
      </c>
      <c r="J15" s="16">
        <v>14478.94</v>
      </c>
      <c r="K15" s="16">
        <v>15263.02</v>
      </c>
      <c r="L15" s="16">
        <v>16175.61</v>
      </c>
      <c r="M15" s="16">
        <v>17298.02</v>
      </c>
      <c r="N15" s="16">
        <v>17537.97</v>
      </c>
      <c r="O15" s="16">
        <v>18056</v>
      </c>
      <c r="P15" s="16">
        <v>15858.36</v>
      </c>
      <c r="Q15" s="16">
        <v>15479.87</v>
      </c>
      <c r="R15" s="16">
        <v>15496.94</v>
      </c>
      <c r="S15" s="16">
        <v>15438.71</v>
      </c>
      <c r="T15" s="16">
        <v>16264.96</v>
      </c>
      <c r="U15" s="16">
        <v>17090.21</v>
      </c>
      <c r="V15" s="16">
        <v>17991.75</v>
      </c>
      <c r="W15" s="16">
        <v>18005.810000000001</v>
      </c>
      <c r="X15" s="16">
        <v>18614.2</v>
      </c>
      <c r="Y15" s="16">
        <v>19213.560000000001</v>
      </c>
      <c r="Z15" s="16">
        <v>19651.28</v>
      </c>
      <c r="AA15" s="16">
        <v>19864.12</v>
      </c>
      <c r="AB15" s="16">
        <v>20471.5</v>
      </c>
      <c r="AC15" s="16">
        <v>20914.240000000002</v>
      </c>
      <c r="AD15" s="16">
        <v>21531.67</v>
      </c>
      <c r="AE15" s="16">
        <v>22671.15</v>
      </c>
      <c r="AF15" s="16">
        <v>23798.59</v>
      </c>
      <c r="AG15" s="16">
        <v>24418.02</v>
      </c>
      <c r="AH15" s="16">
        <v>24952.12</v>
      </c>
      <c r="AI15" s="16">
        <v>26585.54</v>
      </c>
      <c r="AJ15" s="16">
        <v>28005.13</v>
      </c>
      <c r="AK15" s="16">
        <v>29469.89</v>
      </c>
      <c r="AL15" s="16">
        <v>30119.439999999999</v>
      </c>
      <c r="AM15" s="16">
        <v>30283.09</v>
      </c>
      <c r="AN15" s="16">
        <v>29704.81</v>
      </c>
      <c r="AO15" s="16">
        <v>30849.31</v>
      </c>
      <c r="AP15" s="16">
        <v>35248.61</v>
      </c>
      <c r="AQ15" s="16">
        <v>37685.199999999997</v>
      </c>
      <c r="AR15" s="16">
        <v>39136.9</v>
      </c>
      <c r="AS15" s="16">
        <v>41277.32</v>
      </c>
      <c r="AT15" s="16">
        <v>41153.839999999997</v>
      </c>
      <c r="AU15" s="16">
        <v>40956.06</v>
      </c>
      <c r="AV15" s="16">
        <v>41469.07</v>
      </c>
      <c r="AW15" s="16">
        <v>41912.82</v>
      </c>
      <c r="AX15" s="16">
        <v>43087.44</v>
      </c>
      <c r="AY15" s="16">
        <v>44902.58</v>
      </c>
      <c r="AZ15" s="16">
        <v>46269.95</v>
      </c>
      <c r="BA15" s="16">
        <v>47883.3</v>
      </c>
      <c r="BB15" s="16">
        <v>50148.2</v>
      </c>
      <c r="BC15" s="16">
        <v>52219.35</v>
      </c>
      <c r="BD15" s="16">
        <v>53727.28</v>
      </c>
      <c r="BE15" s="16">
        <v>54427.03</v>
      </c>
      <c r="BF15" s="16">
        <v>54955.11</v>
      </c>
      <c r="BG15" s="16">
        <v>57112.59</v>
      </c>
      <c r="BH15" s="16">
        <v>57833.43</v>
      </c>
      <c r="BI15" s="16">
        <v>61531.97</v>
      </c>
      <c r="BJ15" s="16">
        <v>66253.539999999994</v>
      </c>
      <c r="BK15" s="16">
        <v>65786.7</v>
      </c>
      <c r="BL15" s="16">
        <v>68565.63</v>
      </c>
      <c r="BM15" s="16">
        <v>72246.100000000006</v>
      </c>
      <c r="BN15" s="16">
        <v>76252.86</v>
      </c>
      <c r="BO15" s="16">
        <v>82223.34</v>
      </c>
      <c r="BP15" s="16">
        <v>88773.09</v>
      </c>
      <c r="BQ15" s="16">
        <v>94146.23</v>
      </c>
      <c r="BR15" s="16">
        <v>100151.8</v>
      </c>
      <c r="BS15" s="16">
        <v>105802.1</v>
      </c>
      <c r="BT15" s="16">
        <v>113626.8</v>
      </c>
      <c r="BU15" s="16">
        <v>123828.9</v>
      </c>
      <c r="BV15" s="16">
        <v>128849.7</v>
      </c>
      <c r="BW15" s="16">
        <v>134149.5</v>
      </c>
      <c r="BX15" s="16">
        <v>139290.79999999999</v>
      </c>
      <c r="BY15" s="16">
        <v>142309.6</v>
      </c>
      <c r="BZ15" s="16">
        <v>145202</v>
      </c>
      <c r="CA15" s="16">
        <v>147383.6</v>
      </c>
      <c r="CB15" s="16">
        <v>145096.6</v>
      </c>
      <c r="CC15" s="16">
        <v>144847.6</v>
      </c>
      <c r="CD15" s="16">
        <v>143710.1</v>
      </c>
      <c r="CE15" s="16">
        <v>143578.6</v>
      </c>
      <c r="CF15" s="16">
        <v>144249.29999999999</v>
      </c>
      <c r="CG15" s="16">
        <v>143419</v>
      </c>
      <c r="CH15" s="16">
        <v>142383.9</v>
      </c>
      <c r="CI15" s="16">
        <v>139485.5</v>
      </c>
      <c r="CJ15" s="16">
        <v>138312.9</v>
      </c>
      <c r="CK15" s="16">
        <v>136703.6</v>
      </c>
      <c r="CL15" s="16">
        <v>135310.1</v>
      </c>
      <c r="CM15" s="16">
        <v>131976</v>
      </c>
      <c r="CN15" s="16">
        <v>128453.1</v>
      </c>
      <c r="CO15" s="16">
        <v>128328.6</v>
      </c>
      <c r="CP15" s="16">
        <v>129083.6</v>
      </c>
      <c r="CQ15" s="16">
        <v>133388.5</v>
      </c>
      <c r="CR15" s="16">
        <v>135503.9</v>
      </c>
      <c r="CS15" s="16">
        <v>139038.79999999999</v>
      </c>
      <c r="CT15" s="16">
        <v>143643.9</v>
      </c>
      <c r="CU15" s="16">
        <v>148575.29999999999</v>
      </c>
      <c r="CV15" s="16">
        <v>153659.29999999999</v>
      </c>
      <c r="CW15" s="16">
        <v>156970.29999999999</v>
      </c>
      <c r="CX15" s="16">
        <v>163345.29999999999</v>
      </c>
      <c r="CY15" s="16">
        <v>161276.20000000001</v>
      </c>
      <c r="CZ15" s="16">
        <v>163745.9</v>
      </c>
      <c r="DA15" s="16">
        <v>179787</v>
      </c>
      <c r="DB15" s="16">
        <v>181857</v>
      </c>
      <c r="DC15" s="16">
        <v>184424</v>
      </c>
      <c r="DD15" s="16">
        <v>188934</v>
      </c>
      <c r="DE15" s="16">
        <v>190508</v>
      </c>
      <c r="DF15" s="16">
        <v>192030</v>
      </c>
      <c r="DG15" s="16">
        <v>194215</v>
      </c>
      <c r="DH15" s="16">
        <v>195294</v>
      </c>
      <c r="DI15" s="16">
        <v>195886</v>
      </c>
      <c r="DJ15" s="16">
        <v>203584</v>
      </c>
      <c r="DK15" s="16">
        <v>212005</v>
      </c>
      <c r="DL15" s="16">
        <v>218927</v>
      </c>
      <c r="DM15" s="16">
        <v>227740</v>
      </c>
      <c r="DN15" s="16">
        <v>227660</v>
      </c>
      <c r="DO15" s="16">
        <v>235910</v>
      </c>
      <c r="DP15" s="16">
        <v>240877</v>
      </c>
      <c r="DQ15" s="16">
        <v>242591</v>
      </c>
      <c r="DR15" s="16">
        <v>246337</v>
      </c>
      <c r="DS15" s="16">
        <v>246154</v>
      </c>
      <c r="DT15" s="16">
        <v>246340</v>
      </c>
      <c r="DU15" s="16">
        <v>250286</v>
      </c>
      <c r="DV15" s="16">
        <v>263998</v>
      </c>
      <c r="DW15" s="16">
        <v>265596</v>
      </c>
      <c r="DX15" s="16">
        <v>271175</v>
      </c>
      <c r="DY15" s="16">
        <v>269759</v>
      </c>
      <c r="DZ15" s="16">
        <v>277784</v>
      </c>
      <c r="EA15" s="16">
        <v>279900</v>
      </c>
      <c r="EB15" s="16">
        <v>282202</v>
      </c>
      <c r="EC15" s="16">
        <v>288690</v>
      </c>
      <c r="ED15" s="16">
        <v>294979</v>
      </c>
      <c r="EE15" s="16">
        <v>307230</v>
      </c>
      <c r="EF15" s="16">
        <v>320006</v>
      </c>
      <c r="EG15" s="16">
        <v>352539</v>
      </c>
      <c r="EH15" s="16">
        <v>363974</v>
      </c>
      <c r="EI15" s="16">
        <v>377186</v>
      </c>
      <c r="EJ15" s="16">
        <v>393494</v>
      </c>
      <c r="EK15" s="16">
        <v>412601</v>
      </c>
      <c r="EL15" s="16">
        <v>428644</v>
      </c>
      <c r="EM15" s="16">
        <v>444565</v>
      </c>
      <c r="EN15" s="16">
        <v>459609</v>
      </c>
      <c r="EO15" s="16">
        <v>477932</v>
      </c>
      <c r="EP15" s="16">
        <v>495009</v>
      </c>
      <c r="EQ15" s="16">
        <v>500663</v>
      </c>
      <c r="ER15" s="16">
        <v>514734</v>
      </c>
      <c r="ES15" s="16">
        <v>515714</v>
      </c>
      <c r="ET15" s="16">
        <v>506250</v>
      </c>
      <c r="EU15" s="16">
        <v>508598</v>
      </c>
      <c r="EV15" s="16">
        <v>503896</v>
      </c>
      <c r="EW15" s="16">
        <v>492437</v>
      </c>
      <c r="EX15" s="16">
        <v>492117</v>
      </c>
      <c r="EY15" s="16">
        <v>481387</v>
      </c>
      <c r="EZ15" s="16">
        <v>475423</v>
      </c>
      <c r="FA15" s="16">
        <v>469079</v>
      </c>
      <c r="FB15" s="16">
        <v>448009</v>
      </c>
      <c r="FC15" s="16">
        <v>443540</v>
      </c>
      <c r="FD15" s="16">
        <v>440266</v>
      </c>
      <c r="FE15" s="16">
        <v>433992</v>
      </c>
      <c r="FF15" s="16">
        <v>422991</v>
      </c>
      <c r="FG15" s="16">
        <v>424064</v>
      </c>
      <c r="FH15" s="16">
        <v>421969</v>
      </c>
      <c r="FI15" s="16">
        <v>415288</v>
      </c>
      <c r="FJ15" s="16">
        <v>406951</v>
      </c>
      <c r="FK15" s="16">
        <v>406536</v>
      </c>
      <c r="FL15" s="16">
        <v>394086</v>
      </c>
      <c r="FM15" s="16">
        <v>389871</v>
      </c>
      <c r="FN15" s="16">
        <v>394897</v>
      </c>
      <c r="FO15" s="16">
        <v>381866</v>
      </c>
      <c r="FP15" s="16">
        <v>384674</v>
      </c>
      <c r="FQ15" s="16">
        <v>379822</v>
      </c>
      <c r="FR15" s="16">
        <v>372679</v>
      </c>
      <c r="FS15" s="16">
        <v>374047</v>
      </c>
      <c r="FT15" s="16">
        <v>369278</v>
      </c>
      <c r="FU15" s="16">
        <v>362603</v>
      </c>
      <c r="FV15" s="16">
        <v>369279</v>
      </c>
      <c r="FW15" s="16">
        <v>368741</v>
      </c>
      <c r="FX15" s="16">
        <v>371482</v>
      </c>
      <c r="FY15" s="16">
        <v>377693</v>
      </c>
      <c r="FZ15" s="16">
        <v>376082</v>
      </c>
      <c r="GA15" s="16">
        <v>386763</v>
      </c>
      <c r="GB15" s="16">
        <v>396076</v>
      </c>
      <c r="GC15" s="16">
        <v>366696</v>
      </c>
      <c r="GD15" s="16">
        <v>363882</v>
      </c>
      <c r="GE15" s="16">
        <v>359057</v>
      </c>
      <c r="GF15" s="16">
        <v>404556</v>
      </c>
      <c r="GG15" s="16">
        <v>405266</v>
      </c>
      <c r="GH15" s="16">
        <v>405051</v>
      </c>
      <c r="GI15" s="16">
        <v>408833</v>
      </c>
      <c r="GJ15" s="16">
        <v>412087</v>
      </c>
      <c r="GK15" s="16">
        <v>418580</v>
      </c>
      <c r="GL15" s="16">
        <v>416439</v>
      </c>
      <c r="GM15" s="16">
        <v>436603</v>
      </c>
      <c r="GN15" s="16">
        <v>454166</v>
      </c>
      <c r="GO15" s="16">
        <v>451380</v>
      </c>
      <c r="GP15" s="16">
        <v>457320</v>
      </c>
      <c r="GQ15" s="16">
        <v>461579</v>
      </c>
      <c r="GR15" s="16">
        <v>459366</v>
      </c>
      <c r="GS15" s="16">
        <v>450387</v>
      </c>
      <c r="GT15" s="16">
        <v>454064</v>
      </c>
      <c r="GU15" s="16">
        <v>460283</v>
      </c>
      <c r="GV15" s="16">
        <v>455393</v>
      </c>
      <c r="GW15" s="16">
        <v>454499</v>
      </c>
      <c r="GX15" s="16">
        <v>452019</v>
      </c>
      <c r="GY15" s="16">
        <v>454811</v>
      </c>
      <c r="GZ15" s="16">
        <v>444760</v>
      </c>
      <c r="HA15" s="16">
        <v>442720</v>
      </c>
      <c r="HB15" s="16">
        <v>444406</v>
      </c>
      <c r="HC15" s="16">
        <v>450507</v>
      </c>
      <c r="HD15" s="16">
        <v>453455</v>
      </c>
      <c r="HE15" s="17">
        <v>453095.7</v>
      </c>
      <c r="HF15" s="17">
        <v>456647.3</v>
      </c>
      <c r="HG15" s="17">
        <v>461617.5</v>
      </c>
      <c r="HH15" s="17">
        <v>466707.4</v>
      </c>
      <c r="HI15" s="17">
        <v>472306.8</v>
      </c>
      <c r="HJ15" s="17">
        <v>477893.4</v>
      </c>
      <c r="HK15" s="17">
        <v>483734.5</v>
      </c>
      <c r="HL15" s="17">
        <v>489952.2</v>
      </c>
      <c r="HM15" s="17">
        <v>496712.6</v>
      </c>
      <c r="HN15" s="17">
        <v>503717.1</v>
      </c>
      <c r="HO15" s="17">
        <v>510744</v>
      </c>
      <c r="HP15" s="17">
        <v>517993.7</v>
      </c>
      <c r="HQ15" s="17">
        <v>525485</v>
      </c>
      <c r="HR15" s="17">
        <v>533561.80000000005</v>
      </c>
      <c r="HS15" s="17">
        <v>541959.4</v>
      </c>
      <c r="HT15" s="17">
        <v>550578.5</v>
      </c>
      <c r="HU15" s="17">
        <v>559399.80000000005</v>
      </c>
      <c r="HV15" s="17">
        <v>568285.6</v>
      </c>
      <c r="HW15" s="17">
        <v>577467.9</v>
      </c>
      <c r="HX15" s="17">
        <v>586671.30000000005</v>
      </c>
      <c r="HY15" s="17">
        <v>595841.9</v>
      </c>
      <c r="HZ15" s="17">
        <v>605140.4</v>
      </c>
      <c r="IA15" s="17">
        <v>614545.30000000005</v>
      </c>
      <c r="IB15" s="17">
        <v>624158.9</v>
      </c>
      <c r="IC15" s="17">
        <v>633936.30000000005</v>
      </c>
      <c r="ID15" s="17">
        <v>643810</v>
      </c>
      <c r="IE15" s="17">
        <v>653716.69999999995</v>
      </c>
      <c r="IF15" s="17">
        <v>663749.6</v>
      </c>
      <c r="IG15" s="17">
        <v>673731.3</v>
      </c>
      <c r="IH15" s="17">
        <v>683714.1</v>
      </c>
      <c r="II15" s="17">
        <v>694145.8</v>
      </c>
      <c r="IJ15" s="17">
        <v>704651.6</v>
      </c>
      <c r="IK15" s="17">
        <v>715272.8</v>
      </c>
      <c r="IL15" s="17">
        <v>726051.3</v>
      </c>
      <c r="IM15" s="17">
        <v>736845.3</v>
      </c>
      <c r="IN15" s="17">
        <v>747493.3</v>
      </c>
      <c r="IO15" s="17">
        <v>758178.8</v>
      </c>
      <c r="IP15" s="17">
        <v>769065.8</v>
      </c>
      <c r="IQ15" s="17">
        <v>779857.8</v>
      </c>
      <c r="IR15" s="17">
        <v>790928.3</v>
      </c>
      <c r="IS15" s="17">
        <v>802208.9</v>
      </c>
      <c r="IT15" s="17">
        <v>813673.8</v>
      </c>
      <c r="IU15" s="17">
        <v>824842.3</v>
      </c>
      <c r="IV15" s="17">
        <v>836317.5</v>
      </c>
      <c r="IW15" s="17">
        <v>848045</v>
      </c>
      <c r="IX15" s="17">
        <v>859918.3</v>
      </c>
      <c r="IY15" s="17">
        <v>871716.8</v>
      </c>
      <c r="IZ15" s="17">
        <v>883880.5</v>
      </c>
      <c r="JA15" s="17">
        <v>896304</v>
      </c>
      <c r="JB15" s="17">
        <v>908870.4</v>
      </c>
      <c r="JC15" s="17">
        <v>921753.3</v>
      </c>
      <c r="JD15" s="17">
        <v>935048.3</v>
      </c>
      <c r="JE15" s="17">
        <v>948601.5</v>
      </c>
      <c r="JF15" s="17">
        <v>962288.3</v>
      </c>
      <c r="JG15" s="17">
        <v>975579.5</v>
      </c>
      <c r="JH15" s="17">
        <v>989072.4</v>
      </c>
      <c r="JI15" s="17">
        <v>1002839</v>
      </c>
      <c r="JJ15" s="17">
        <v>1016762</v>
      </c>
      <c r="JK15" s="17">
        <v>1030420</v>
      </c>
      <c r="JL15" s="17">
        <v>1044351</v>
      </c>
      <c r="JM15" s="17">
        <v>1058590</v>
      </c>
      <c r="JN15" s="17">
        <v>1073004</v>
      </c>
      <c r="JO15" s="17">
        <v>1086828</v>
      </c>
      <c r="JP15" s="17">
        <v>1100990</v>
      </c>
      <c r="JQ15" s="17">
        <v>1115468</v>
      </c>
      <c r="JR15" s="17">
        <v>1130117</v>
      </c>
      <c r="JS15" s="17">
        <v>1144160</v>
      </c>
      <c r="JT15" s="17">
        <v>1158559</v>
      </c>
      <c r="JU15" s="17">
        <v>1173299</v>
      </c>
      <c r="JV15" s="17">
        <v>1188224</v>
      </c>
      <c r="JW15" s="17">
        <v>1202537</v>
      </c>
      <c r="JX15" s="17">
        <v>1217210</v>
      </c>
      <c r="JY15" s="17">
        <v>1232246</v>
      </c>
      <c r="JZ15" s="17">
        <v>1247481</v>
      </c>
      <c r="KA15" s="17">
        <v>1262408</v>
      </c>
      <c r="KB15" s="17">
        <v>1277737</v>
      </c>
      <c r="KC15" s="17">
        <v>1293464</v>
      </c>
      <c r="KD15" s="17">
        <v>1309412</v>
      </c>
      <c r="KE15" s="17">
        <v>1325052</v>
      </c>
      <c r="KF15" s="17">
        <v>1341134</v>
      </c>
      <c r="KG15" s="17">
        <v>1357640</v>
      </c>
      <c r="KH15" s="17">
        <v>1374383</v>
      </c>
      <c r="KI15" s="17">
        <v>1390813</v>
      </c>
      <c r="KJ15" s="17">
        <v>1407716</v>
      </c>
      <c r="KK15" s="17">
        <v>1425071</v>
      </c>
      <c r="KL15" s="17">
        <v>1442678</v>
      </c>
      <c r="KM15" s="17">
        <v>1459963</v>
      </c>
      <c r="KN15" s="17">
        <v>1477757</v>
      </c>
      <c r="KO15" s="17">
        <v>1496030</v>
      </c>
      <c r="KP15" s="17">
        <v>1514569</v>
      </c>
      <c r="KQ15" s="17">
        <v>1532779</v>
      </c>
      <c r="KR15" s="17">
        <v>1551525</v>
      </c>
      <c r="KS15" s="17">
        <v>1570777</v>
      </c>
      <c r="KT15" s="17">
        <v>1590314</v>
      </c>
      <c r="KU15" s="17">
        <v>1609513</v>
      </c>
      <c r="KV15" s="17">
        <v>1629253</v>
      </c>
      <c r="KW15" s="17">
        <v>1649503</v>
      </c>
      <c r="KX15" s="17">
        <v>1670028</v>
      </c>
      <c r="KY15" s="17">
        <v>1690182</v>
      </c>
      <c r="KZ15" s="17">
        <v>1710906</v>
      </c>
      <c r="LA15" s="17">
        <v>1732174</v>
      </c>
      <c r="LB15" s="17">
        <v>1753739</v>
      </c>
      <c r="LC15" s="17">
        <v>1774925</v>
      </c>
      <c r="LD15" s="17">
        <v>1796712</v>
      </c>
      <c r="LE15" s="17">
        <v>1819076</v>
      </c>
      <c r="LF15" s="17">
        <v>1841758</v>
      </c>
      <c r="LG15" s="17">
        <v>1859519</v>
      </c>
      <c r="LH15" s="17">
        <v>1889018</v>
      </c>
      <c r="LI15" s="17">
        <v>1912784</v>
      </c>
      <c r="LJ15" s="17">
        <v>1936097</v>
      </c>
      <c r="LK15" s="17">
        <v>1954243</v>
      </c>
      <c r="LL15" s="17">
        <v>1984575</v>
      </c>
      <c r="LM15" s="17">
        <v>2008972</v>
      </c>
      <c r="LN15" s="17">
        <v>2033025</v>
      </c>
      <c r="LO15" s="17">
        <v>2051770</v>
      </c>
      <c r="LP15" s="17">
        <v>2083413</v>
      </c>
      <c r="LQ15" s="17">
        <v>2108938</v>
      </c>
      <c r="LR15" s="17">
        <v>2134141</v>
      </c>
      <c r="LS15" s="17">
        <v>2153845</v>
      </c>
      <c r="LT15" s="17">
        <v>2187142</v>
      </c>
      <c r="LU15" s="17">
        <v>2214062</v>
      </c>
      <c r="LV15" s="17">
        <v>2240711</v>
      </c>
      <c r="LW15" s="17">
        <v>2261635</v>
      </c>
      <c r="LX15" s="17">
        <v>2296863</v>
      </c>
      <c r="LY15" s="17">
        <v>2325422</v>
      </c>
      <c r="LZ15" s="17">
        <v>2353712</v>
      </c>
      <c r="MA15" s="17">
        <v>2376020</v>
      </c>
      <c r="MB15" s="17">
        <v>2413355</v>
      </c>
      <c r="MC15" s="17">
        <v>2443700</v>
      </c>
      <c r="MD15" s="17">
        <v>2473744</v>
      </c>
      <c r="ME15" s="17">
        <v>2497506</v>
      </c>
      <c r="MF15" s="17">
        <v>2537063</v>
      </c>
      <c r="MG15" s="17">
        <v>2569291</v>
      </c>
      <c r="MH15" s="17">
        <v>2601187</v>
      </c>
      <c r="MI15" s="17">
        <v>2626493</v>
      </c>
      <c r="MJ15" s="17">
        <v>2668410</v>
      </c>
      <c r="MK15" s="17">
        <v>2702602</v>
      </c>
      <c r="ML15" s="17">
        <v>2736486</v>
      </c>
      <c r="MM15" s="17">
        <v>2763454</v>
      </c>
      <c r="MN15" s="17">
        <v>2807888</v>
      </c>
      <c r="MO15" s="17">
        <v>2844219</v>
      </c>
      <c r="MP15" s="17">
        <v>2880184</v>
      </c>
      <c r="MQ15" s="17">
        <v>2908885</v>
      </c>
      <c r="MR15" s="17">
        <v>2955969</v>
      </c>
      <c r="MS15" s="17">
        <v>2994511</v>
      </c>
      <c r="MT15" s="17">
        <v>3032700</v>
      </c>
      <c r="MU15" s="13" t="s">
        <v>1236</v>
      </c>
      <c r="MV15" s="13" t="b">
        <v>0</v>
      </c>
      <c r="MW15" s="13" t="s">
        <v>480</v>
      </c>
      <c r="MX15" s="13" t="s">
        <v>480</v>
      </c>
      <c r="MY15" s="13">
        <v>2024</v>
      </c>
      <c r="MZ15" s="13">
        <v>2</v>
      </c>
      <c r="NA15" s="13" t="s">
        <v>480</v>
      </c>
      <c r="NB15" s="15" t="s">
        <v>1237</v>
      </c>
      <c r="NC15" s="15" t="s">
        <v>1238</v>
      </c>
      <c r="ND15" s="13" t="s">
        <v>483</v>
      </c>
      <c r="NE15" s="13" t="s">
        <v>1239</v>
      </c>
      <c r="NF15" s="15" t="s">
        <v>1268</v>
      </c>
    </row>
    <row r="16" spans="1:370" x14ac:dyDescent="0.25">
      <c r="A16" s="13" t="s">
        <v>473</v>
      </c>
      <c r="B16" s="13" t="s">
        <v>1240</v>
      </c>
      <c r="C16" s="15" t="s">
        <v>1267</v>
      </c>
      <c r="D16" s="13" t="s">
        <v>1231</v>
      </c>
      <c r="E16" s="13" t="s">
        <v>480</v>
      </c>
      <c r="F16" s="13" t="s">
        <v>477</v>
      </c>
      <c r="G16" s="16">
        <v>1E-3</v>
      </c>
      <c r="H16" s="16">
        <v>1E-3</v>
      </c>
      <c r="I16" s="16">
        <v>1E-3</v>
      </c>
      <c r="J16" s="16">
        <v>1E-3</v>
      </c>
      <c r="K16" s="16">
        <v>1E-3</v>
      </c>
      <c r="L16" s="16">
        <v>1E-3</v>
      </c>
      <c r="M16" s="16">
        <v>1E-3</v>
      </c>
      <c r="N16" s="16">
        <v>1E-3</v>
      </c>
      <c r="O16" s="16">
        <v>1E-3</v>
      </c>
      <c r="P16" s="16">
        <v>1E-3</v>
      </c>
      <c r="Q16" s="16">
        <v>1E-3</v>
      </c>
      <c r="R16" s="16">
        <v>1E-3</v>
      </c>
      <c r="S16" s="16">
        <v>1E-3</v>
      </c>
      <c r="T16" s="16">
        <v>1E-3</v>
      </c>
      <c r="U16" s="16">
        <v>1E-3</v>
      </c>
      <c r="V16" s="16">
        <v>1E-3</v>
      </c>
      <c r="W16" s="16">
        <v>1E-3</v>
      </c>
      <c r="X16" s="16">
        <v>1E-3</v>
      </c>
      <c r="Y16" s="16">
        <v>1E-3</v>
      </c>
      <c r="Z16" s="16">
        <v>1E-3</v>
      </c>
      <c r="AA16" s="16">
        <v>1E-3</v>
      </c>
      <c r="AB16" s="16">
        <v>1E-3</v>
      </c>
      <c r="AC16" s="16">
        <v>1E-3</v>
      </c>
      <c r="AD16" s="16">
        <v>1E-3</v>
      </c>
      <c r="AE16" s="16">
        <v>1E-3</v>
      </c>
      <c r="AF16" s="16">
        <v>1E-3</v>
      </c>
      <c r="AG16" s="16">
        <v>1E-3</v>
      </c>
      <c r="AH16" s="16">
        <v>1E-3</v>
      </c>
      <c r="AI16" s="16">
        <v>1E-3</v>
      </c>
      <c r="AJ16" s="16">
        <v>1E-3</v>
      </c>
      <c r="AK16" s="16">
        <v>1E-3</v>
      </c>
      <c r="AL16" s="16">
        <v>1E-3</v>
      </c>
      <c r="AM16" s="16">
        <v>1E-3</v>
      </c>
      <c r="AN16" s="16">
        <v>1E-3</v>
      </c>
      <c r="AO16" s="16">
        <v>1E-3</v>
      </c>
      <c r="AP16" s="16">
        <v>1E-3</v>
      </c>
      <c r="AQ16" s="16">
        <v>1E-3</v>
      </c>
      <c r="AR16" s="16">
        <v>1E-3</v>
      </c>
      <c r="AS16" s="16">
        <v>1E-3</v>
      </c>
      <c r="AT16" s="16">
        <v>1E-3</v>
      </c>
      <c r="AU16" s="16">
        <v>1E-3</v>
      </c>
      <c r="AV16" s="16">
        <v>1E-3</v>
      </c>
      <c r="AW16" s="16">
        <v>1E-3</v>
      </c>
      <c r="AX16" s="16">
        <v>1E-3</v>
      </c>
      <c r="AY16" s="16">
        <v>1E-3</v>
      </c>
      <c r="AZ16" s="16">
        <v>1E-3</v>
      </c>
      <c r="BA16" s="16">
        <v>1E-3</v>
      </c>
      <c r="BB16" s="16">
        <v>1E-3</v>
      </c>
      <c r="BC16" s="16">
        <v>1E-3</v>
      </c>
      <c r="BD16" s="16">
        <v>1E-3</v>
      </c>
      <c r="BE16" s="16">
        <v>1E-3</v>
      </c>
      <c r="BF16" s="16">
        <v>1E-3</v>
      </c>
      <c r="BG16" s="16">
        <v>1E-3</v>
      </c>
      <c r="BH16" s="16">
        <v>1E-3</v>
      </c>
      <c r="BI16" s="16">
        <v>1E-3</v>
      </c>
      <c r="BJ16" s="16">
        <v>1E-3</v>
      </c>
      <c r="BK16" s="16">
        <v>1E-3</v>
      </c>
      <c r="BL16" s="16">
        <v>1E-3</v>
      </c>
      <c r="BM16" s="16">
        <v>1E-3</v>
      </c>
      <c r="BN16" s="16">
        <v>1E-3</v>
      </c>
      <c r="BO16" s="16">
        <v>1E-3</v>
      </c>
      <c r="BP16" s="16">
        <v>1E-3</v>
      </c>
      <c r="BQ16" s="16">
        <v>1E-3</v>
      </c>
      <c r="BR16" s="16">
        <v>1E-3</v>
      </c>
      <c r="BS16" s="16">
        <v>1E-3</v>
      </c>
      <c r="BT16" s="16">
        <v>1E-3</v>
      </c>
      <c r="BU16" s="16">
        <v>1E-3</v>
      </c>
      <c r="BV16" s="16">
        <v>1E-3</v>
      </c>
      <c r="BW16" s="16">
        <v>1E-3</v>
      </c>
      <c r="BX16" s="16">
        <v>1E-3</v>
      </c>
      <c r="BY16" s="16">
        <v>1E-3</v>
      </c>
      <c r="BZ16" s="16">
        <v>1E-3</v>
      </c>
      <c r="CA16" s="16">
        <v>1E-3</v>
      </c>
      <c r="CB16" s="16">
        <v>1E-3</v>
      </c>
      <c r="CC16" s="16">
        <v>1E-3</v>
      </c>
      <c r="CD16" s="16">
        <v>1E-3</v>
      </c>
      <c r="CE16" s="16">
        <v>1E-3</v>
      </c>
      <c r="CF16" s="16">
        <v>1E-3</v>
      </c>
      <c r="CG16" s="16">
        <v>1E-3</v>
      </c>
      <c r="CH16" s="16">
        <v>1E-3</v>
      </c>
      <c r="CI16" s="16">
        <v>1E-3</v>
      </c>
      <c r="CJ16" s="16">
        <v>1E-3</v>
      </c>
      <c r="CK16" s="16">
        <v>1E-3</v>
      </c>
      <c r="CL16" s="16">
        <v>1E-3</v>
      </c>
      <c r="CM16" s="16">
        <v>1E-3</v>
      </c>
      <c r="CN16" s="16">
        <v>1E-3</v>
      </c>
      <c r="CO16" s="16">
        <v>1E-3</v>
      </c>
      <c r="CP16" s="16">
        <v>1E-3</v>
      </c>
      <c r="CQ16" s="16">
        <v>1E-3</v>
      </c>
      <c r="CR16" s="16">
        <v>1E-3</v>
      </c>
      <c r="CS16" s="16">
        <v>1E-3</v>
      </c>
      <c r="CT16" s="16">
        <v>1E-3</v>
      </c>
      <c r="CU16" s="16">
        <v>1E-3</v>
      </c>
      <c r="CV16" s="16">
        <v>1E-3</v>
      </c>
      <c r="CW16" s="16">
        <v>1E-3</v>
      </c>
      <c r="CX16" s="16">
        <v>1E-3</v>
      </c>
      <c r="CY16" s="16">
        <v>1E-3</v>
      </c>
      <c r="CZ16" s="16">
        <v>1E-3</v>
      </c>
      <c r="DA16" s="16">
        <v>1E-3</v>
      </c>
      <c r="DB16" s="16">
        <v>1E-3</v>
      </c>
      <c r="DC16" s="16">
        <v>1E-3</v>
      </c>
      <c r="DD16" s="16">
        <v>1E-3</v>
      </c>
      <c r="DE16" s="16">
        <v>1E-3</v>
      </c>
      <c r="DF16" s="16">
        <v>1E-3</v>
      </c>
      <c r="DG16" s="16">
        <v>1E-3</v>
      </c>
      <c r="DH16" s="16">
        <v>1E-3</v>
      </c>
      <c r="DI16" s="16">
        <v>1E-3</v>
      </c>
      <c r="DJ16" s="16">
        <v>1E-3</v>
      </c>
      <c r="DK16" s="16">
        <v>1E-3</v>
      </c>
      <c r="DL16" s="16">
        <v>1E-3</v>
      </c>
      <c r="DM16" s="16">
        <v>1E-3</v>
      </c>
      <c r="DN16" s="16">
        <v>1E-3</v>
      </c>
      <c r="DO16" s="16">
        <v>6.8426229999999997</v>
      </c>
      <c r="DP16" s="16">
        <v>6.7367790000000003</v>
      </c>
      <c r="DQ16" s="16">
        <v>6.5434789999999996</v>
      </c>
      <c r="DR16" s="16">
        <v>6.1108140000000004</v>
      </c>
      <c r="DS16" s="16">
        <v>6.0513579999999996</v>
      </c>
      <c r="DT16" s="16">
        <v>6.0971729999999997</v>
      </c>
      <c r="DU16" s="16">
        <v>5.8656790000000001</v>
      </c>
      <c r="DV16" s="16">
        <v>5.7086560000000004</v>
      </c>
      <c r="DW16" s="16">
        <v>5.3022410000000004</v>
      </c>
      <c r="DX16" s="16">
        <v>5.1053870000000003</v>
      </c>
      <c r="DY16" s="16">
        <v>5.162147</v>
      </c>
      <c r="DZ16" s="16">
        <v>5.5074329999999998</v>
      </c>
      <c r="EA16" s="16">
        <v>5.4258100000000002</v>
      </c>
      <c r="EB16" s="16">
        <v>5.7981210000000001</v>
      </c>
      <c r="EC16" s="16">
        <v>5.9686149999999998</v>
      </c>
      <c r="ED16" s="16">
        <v>5.6649330000000004</v>
      </c>
      <c r="EE16" s="16">
        <v>5.6269830000000001</v>
      </c>
      <c r="EF16" s="16">
        <v>5.5813459999999999</v>
      </c>
      <c r="EG16" s="16">
        <v>5.3401610000000002</v>
      </c>
      <c r="EH16" s="16">
        <v>5.4054320000000002</v>
      </c>
      <c r="EI16" s="16">
        <v>5.4350579999999997</v>
      </c>
      <c r="EJ16" s="16">
        <v>5.6832029999999998</v>
      </c>
      <c r="EK16" s="16">
        <v>5.8217489999999996</v>
      </c>
      <c r="EL16" s="16">
        <v>5.9661460000000002</v>
      </c>
      <c r="EM16" s="16">
        <v>6.2084020000000004</v>
      </c>
      <c r="EN16" s="16">
        <v>6.4464249999999996</v>
      </c>
      <c r="EO16" s="16">
        <v>6.6847820000000002</v>
      </c>
      <c r="EP16" s="16">
        <v>6.6735429999999996</v>
      </c>
      <c r="EQ16" s="16">
        <v>6.684895</v>
      </c>
      <c r="ER16" s="16">
        <v>7.0225569999999999</v>
      </c>
      <c r="ES16" s="16">
        <v>7.2127780000000001</v>
      </c>
      <c r="ET16" s="16">
        <v>7.6889859999999999</v>
      </c>
      <c r="EU16" s="16">
        <v>6.5454800000000004</v>
      </c>
      <c r="EV16" s="16">
        <v>5.63096</v>
      </c>
      <c r="EW16" s="16">
        <v>4.6143080000000003</v>
      </c>
      <c r="EX16" s="16">
        <v>4.0910919999999997</v>
      </c>
      <c r="EY16" s="16">
        <v>4.0557359999999996</v>
      </c>
      <c r="EZ16" s="16">
        <v>4.0073489999999996</v>
      </c>
      <c r="FA16" s="16">
        <v>3.7050869999999998</v>
      </c>
      <c r="FB16" s="16">
        <v>3.5836440000000001</v>
      </c>
      <c r="FC16" s="16">
        <v>3.913888</v>
      </c>
      <c r="FD16" s="16">
        <v>3.626255</v>
      </c>
      <c r="FE16" s="16">
        <v>3.692094</v>
      </c>
      <c r="FF16" s="16">
        <v>3.8413590000000002</v>
      </c>
      <c r="FG16" s="16">
        <v>3.5567669999999998</v>
      </c>
      <c r="FH16" s="16">
        <v>3.381526</v>
      </c>
      <c r="FI16" s="16">
        <v>2.94991</v>
      </c>
      <c r="FJ16" s="16">
        <v>2.7627570000000001</v>
      </c>
      <c r="FK16" s="16">
        <v>2.7347009999999998</v>
      </c>
      <c r="FL16" s="16">
        <v>2.7079399999999998</v>
      </c>
      <c r="FM16" s="16">
        <v>3.0656110000000001</v>
      </c>
      <c r="FN16" s="16">
        <v>3.0202119999999999</v>
      </c>
      <c r="FO16" s="16">
        <v>3.0789499999999999</v>
      </c>
      <c r="FP16" s="16">
        <v>3.1513149999999999</v>
      </c>
      <c r="FQ16" s="16">
        <v>3.1181890000000001</v>
      </c>
      <c r="FR16" s="16">
        <v>2.8931879999999999</v>
      </c>
      <c r="FS16" s="16">
        <v>2.6851600000000002</v>
      </c>
      <c r="FT16" s="16">
        <v>2.8485369999999999</v>
      </c>
      <c r="FU16" s="16">
        <v>3.009312</v>
      </c>
      <c r="FV16" s="16">
        <v>2.9615860000000001</v>
      </c>
      <c r="FW16" s="16">
        <v>2.9578340000000001</v>
      </c>
      <c r="FX16" s="16">
        <v>2.747817</v>
      </c>
      <c r="FY16" s="16">
        <v>2.2810830000000002</v>
      </c>
      <c r="FZ16" s="16">
        <v>2.3552590000000002</v>
      </c>
      <c r="GA16" s="16">
        <v>2.308961</v>
      </c>
      <c r="GB16" s="16">
        <v>2.2097600000000002</v>
      </c>
      <c r="GC16" s="16">
        <v>2.1484760000000001</v>
      </c>
      <c r="GD16" s="16">
        <v>2.25766</v>
      </c>
      <c r="GE16" s="16">
        <v>2.469964</v>
      </c>
      <c r="GF16" s="16">
        <v>2.6848489999999998</v>
      </c>
      <c r="GG16" s="16">
        <v>2.7213750000000001</v>
      </c>
      <c r="GH16" s="16">
        <v>2.8603900000000002</v>
      </c>
      <c r="GI16" s="16">
        <v>2.8313519999999999</v>
      </c>
      <c r="GJ16" s="16">
        <v>2.6274060000000001</v>
      </c>
      <c r="GK16" s="16">
        <v>2.3754080000000002</v>
      </c>
      <c r="GL16" s="16">
        <v>2.3350930000000001</v>
      </c>
      <c r="GM16" s="16">
        <v>2.4473470000000002</v>
      </c>
      <c r="GN16" s="16">
        <v>2.4249200000000002</v>
      </c>
      <c r="GO16" s="16">
        <v>1.8709389999999999</v>
      </c>
      <c r="GP16" s="16">
        <v>1.7167429999999999</v>
      </c>
      <c r="GQ16" s="16">
        <v>1.678196</v>
      </c>
      <c r="GR16" s="16">
        <v>1.806934</v>
      </c>
      <c r="GS16" s="16">
        <v>1.830992</v>
      </c>
      <c r="GT16" s="16">
        <v>2.1216409999999999</v>
      </c>
      <c r="GU16" s="16">
        <v>2.6620789999999999</v>
      </c>
      <c r="GV16" s="16">
        <v>3.319016</v>
      </c>
      <c r="GW16" s="16">
        <v>4.1385310000000004</v>
      </c>
      <c r="GX16" s="16">
        <v>5.2966839999999999</v>
      </c>
      <c r="GY16" s="16">
        <v>5.224634</v>
      </c>
      <c r="GZ16" s="16">
        <v>5.8034480000000004</v>
      </c>
      <c r="HA16" s="16">
        <v>6.3550089999999999</v>
      </c>
      <c r="HB16" s="16">
        <v>6.1587019999999999</v>
      </c>
      <c r="HC16" s="16">
        <v>5.8400509999999999</v>
      </c>
      <c r="HD16" s="16">
        <v>5.8827699999999998</v>
      </c>
      <c r="HE16" s="17">
        <v>5.7002139999999999</v>
      </c>
      <c r="HF16" s="17">
        <v>5.6348539999999998</v>
      </c>
      <c r="HG16" s="17">
        <v>5.5009680000000003</v>
      </c>
      <c r="HH16" s="17">
        <v>5.3787719999999997</v>
      </c>
      <c r="HI16" s="17">
        <v>5.2457799999999999</v>
      </c>
      <c r="HJ16" s="17">
        <v>5.1048369999999998</v>
      </c>
      <c r="HK16" s="17">
        <v>4.9764799999999996</v>
      </c>
      <c r="HL16" s="17">
        <v>4.8383200000000004</v>
      </c>
      <c r="HM16" s="17">
        <v>4.6612629999999999</v>
      </c>
      <c r="HN16" s="17">
        <v>4.4827089999999998</v>
      </c>
      <c r="HO16" s="17">
        <v>4.2932110000000003</v>
      </c>
      <c r="HP16" s="17">
        <v>4.1081529999999997</v>
      </c>
      <c r="HQ16" s="17">
        <v>3.9363049999999999</v>
      </c>
      <c r="HR16" s="17">
        <v>3.8568210000000001</v>
      </c>
      <c r="HS16" s="17">
        <v>3.8562470000000002</v>
      </c>
      <c r="HT16" s="17">
        <v>3.8562470000000002</v>
      </c>
      <c r="HU16" s="17">
        <v>3.8562470000000002</v>
      </c>
      <c r="HV16" s="17">
        <v>3.8562470000000002</v>
      </c>
      <c r="HW16" s="17">
        <v>3.8562470000000002</v>
      </c>
      <c r="HX16" s="17">
        <v>3.8562470000000002</v>
      </c>
      <c r="HY16" s="17">
        <v>3.8562470000000002</v>
      </c>
      <c r="HZ16" s="17">
        <v>3.8562470000000002</v>
      </c>
      <c r="IA16" s="17">
        <v>3.8562470000000002</v>
      </c>
      <c r="IB16" s="17">
        <v>3.8562470000000002</v>
      </c>
      <c r="IC16" s="17">
        <v>3.8562470000000002</v>
      </c>
      <c r="ID16" s="17">
        <v>3.8562470000000002</v>
      </c>
      <c r="IE16" s="17">
        <v>3.8562470000000002</v>
      </c>
      <c r="IF16" s="17">
        <v>3.8562470000000002</v>
      </c>
      <c r="IG16" s="17">
        <v>3.8562470000000002</v>
      </c>
      <c r="IH16" s="17">
        <v>3.8562470000000002</v>
      </c>
      <c r="II16" s="17">
        <v>3.8562470000000002</v>
      </c>
      <c r="IJ16" s="17">
        <v>3.8562470000000002</v>
      </c>
      <c r="IK16" s="17">
        <v>3.8562470000000002</v>
      </c>
      <c r="IL16" s="17">
        <v>3.8562470000000002</v>
      </c>
      <c r="IM16" s="17">
        <v>3.8562470000000002</v>
      </c>
      <c r="IN16" s="17">
        <v>3.8562470000000002</v>
      </c>
      <c r="IO16" s="17">
        <v>3.8562470000000002</v>
      </c>
      <c r="IP16" s="17">
        <v>3.8562470000000002</v>
      </c>
      <c r="IQ16" s="17">
        <v>3.8562470000000002</v>
      </c>
      <c r="IR16" s="17">
        <v>3.8562470000000002</v>
      </c>
      <c r="IS16" s="17">
        <v>3.8562470000000002</v>
      </c>
      <c r="IT16" s="17">
        <v>3.8562470000000002</v>
      </c>
      <c r="IU16" s="17">
        <v>3.8562470000000002</v>
      </c>
      <c r="IV16" s="17">
        <v>3.8562470000000002</v>
      </c>
      <c r="IW16" s="17">
        <v>3.8562470000000002</v>
      </c>
      <c r="IX16" s="17">
        <v>3.8562470000000002</v>
      </c>
      <c r="IY16" s="17">
        <v>3.8562470000000002</v>
      </c>
      <c r="IZ16" s="17">
        <v>3.8562470000000002</v>
      </c>
      <c r="JA16" s="17">
        <v>3.8562470000000002</v>
      </c>
      <c r="JB16" s="17">
        <v>3.8562470000000002</v>
      </c>
      <c r="JC16" s="17">
        <v>3.8562470000000002</v>
      </c>
      <c r="JD16" s="17">
        <v>3.8562470000000002</v>
      </c>
      <c r="JE16" s="17">
        <v>3.8562470000000002</v>
      </c>
      <c r="JF16" s="17">
        <v>3.8562470000000002</v>
      </c>
      <c r="JG16" s="17">
        <v>3.8562470000000002</v>
      </c>
      <c r="JH16" s="17">
        <v>3.8562470000000002</v>
      </c>
      <c r="JI16" s="17">
        <v>3.8562470000000002</v>
      </c>
      <c r="JJ16" s="17">
        <v>3.8562470000000002</v>
      </c>
      <c r="JK16" s="17">
        <v>3.8562470000000002</v>
      </c>
      <c r="JL16" s="17">
        <v>3.8562470000000002</v>
      </c>
      <c r="JM16" s="17">
        <v>3.8562470000000002</v>
      </c>
      <c r="JN16" s="17">
        <v>3.8562470000000002</v>
      </c>
      <c r="JO16" s="17">
        <v>3.8562470000000002</v>
      </c>
      <c r="JP16" s="17">
        <v>3.8562470000000002</v>
      </c>
      <c r="JQ16" s="17">
        <v>3.8562470000000002</v>
      </c>
      <c r="JR16" s="17">
        <v>3.8562470000000002</v>
      </c>
      <c r="JS16" s="17">
        <v>3.8562470000000002</v>
      </c>
      <c r="JT16" s="17">
        <v>3.8562470000000002</v>
      </c>
      <c r="JU16" s="17">
        <v>3.8562470000000002</v>
      </c>
      <c r="JV16" s="17">
        <v>3.8562470000000002</v>
      </c>
      <c r="JW16" s="17">
        <v>3.8562470000000002</v>
      </c>
      <c r="JX16" s="17">
        <v>3.8562470000000002</v>
      </c>
      <c r="JY16" s="17">
        <v>3.8562470000000002</v>
      </c>
      <c r="JZ16" s="17">
        <v>3.8562470000000002</v>
      </c>
      <c r="KA16" s="17">
        <v>3.8562470000000002</v>
      </c>
      <c r="KB16" s="17">
        <v>3.8562470000000002</v>
      </c>
      <c r="KC16" s="17">
        <v>3.8562470000000002</v>
      </c>
      <c r="KD16" s="17">
        <v>3.8562470000000002</v>
      </c>
      <c r="KE16" s="17">
        <v>3.8562470000000002</v>
      </c>
      <c r="KF16" s="17">
        <v>3.8562470000000002</v>
      </c>
      <c r="KG16" s="17">
        <v>3.8562470000000002</v>
      </c>
      <c r="KH16" s="17">
        <v>3.8562470000000002</v>
      </c>
      <c r="KI16" s="17">
        <v>3.8562470000000002</v>
      </c>
      <c r="KJ16" s="17">
        <v>3.8562470000000002</v>
      </c>
      <c r="KK16" s="17">
        <v>3.8562470000000002</v>
      </c>
      <c r="KL16" s="17">
        <v>3.8562470000000002</v>
      </c>
      <c r="KM16" s="17">
        <v>3.8562470000000002</v>
      </c>
      <c r="KN16" s="17">
        <v>3.8562470000000002</v>
      </c>
      <c r="KO16" s="17">
        <v>3.8562470000000002</v>
      </c>
      <c r="KP16" s="17">
        <v>3.8562470000000002</v>
      </c>
      <c r="KQ16" s="17">
        <v>3.8562470000000002</v>
      </c>
      <c r="KR16" s="17">
        <v>3.8562470000000002</v>
      </c>
      <c r="KS16" s="17">
        <v>3.8562470000000002</v>
      </c>
      <c r="KT16" s="17">
        <v>3.8562470000000002</v>
      </c>
      <c r="KU16" s="17">
        <v>3.8562470000000002</v>
      </c>
      <c r="KV16" s="17">
        <v>3.8562470000000002</v>
      </c>
      <c r="KW16" s="17">
        <v>3.8562470000000002</v>
      </c>
      <c r="KX16" s="17">
        <v>3.8562470000000002</v>
      </c>
      <c r="KY16" s="17">
        <v>3.8562470000000002</v>
      </c>
      <c r="KZ16" s="17">
        <v>3.8562470000000002</v>
      </c>
      <c r="LA16" s="17">
        <v>3.8562470000000002</v>
      </c>
      <c r="LB16" s="17">
        <v>3.8562470000000002</v>
      </c>
      <c r="LC16" s="17">
        <v>3.8562470000000002</v>
      </c>
      <c r="LD16" s="17">
        <v>3.8562470000000002</v>
      </c>
      <c r="LE16" s="17">
        <v>3.8562470000000002</v>
      </c>
      <c r="LF16" s="17">
        <v>3.8562470000000002</v>
      </c>
      <c r="LG16" s="17">
        <v>3.8562470000000002</v>
      </c>
      <c r="LH16" s="17">
        <v>3.8562470000000002</v>
      </c>
      <c r="LI16" s="17">
        <v>3.8562470000000002</v>
      </c>
      <c r="LJ16" s="17">
        <v>3.8562470000000002</v>
      </c>
      <c r="LK16" s="17">
        <v>3.8562470000000002</v>
      </c>
      <c r="LL16" s="17">
        <v>3.8562470000000002</v>
      </c>
      <c r="LM16" s="17">
        <v>3.8562470000000002</v>
      </c>
      <c r="LN16" s="17">
        <v>3.8562470000000002</v>
      </c>
      <c r="LO16" s="17">
        <v>3.8562470000000002</v>
      </c>
      <c r="LP16" s="17">
        <v>3.8562470000000002</v>
      </c>
      <c r="LQ16" s="17">
        <v>3.8562470000000002</v>
      </c>
      <c r="LR16" s="17">
        <v>3.8562470000000002</v>
      </c>
      <c r="LS16" s="17">
        <v>3.8562470000000002</v>
      </c>
      <c r="LT16" s="17">
        <v>3.8562470000000002</v>
      </c>
      <c r="LU16" s="17">
        <v>3.8562470000000002</v>
      </c>
      <c r="LV16" s="17">
        <v>3.8562470000000002</v>
      </c>
      <c r="LW16" s="17">
        <v>3.8562470000000002</v>
      </c>
      <c r="LX16" s="17">
        <v>3.8562470000000002</v>
      </c>
      <c r="LY16" s="17">
        <v>3.8562470000000002</v>
      </c>
      <c r="LZ16" s="17">
        <v>3.8562470000000002</v>
      </c>
      <c r="MA16" s="17">
        <v>3.8562470000000002</v>
      </c>
      <c r="MB16" s="17">
        <v>3.8562470000000002</v>
      </c>
      <c r="MC16" s="17">
        <v>3.8562470000000002</v>
      </c>
      <c r="MD16" s="17">
        <v>3.8562470000000002</v>
      </c>
      <c r="ME16" s="17">
        <v>3.8562470000000002</v>
      </c>
      <c r="MF16" s="17">
        <v>3.8562470000000002</v>
      </c>
      <c r="MG16" s="17">
        <v>3.8562470000000002</v>
      </c>
      <c r="MH16" s="17">
        <v>3.8562470000000002</v>
      </c>
      <c r="MI16" s="17">
        <v>3.8562470000000002</v>
      </c>
      <c r="MJ16" s="17">
        <v>3.8562470000000002</v>
      </c>
      <c r="MK16" s="17">
        <v>3.8562470000000002</v>
      </c>
      <c r="ML16" s="17">
        <v>3.8562470000000002</v>
      </c>
      <c r="MM16" s="17">
        <v>3.8562470000000002</v>
      </c>
      <c r="MN16" s="17">
        <v>3.8562470000000002</v>
      </c>
      <c r="MO16" s="17">
        <v>3.8562470000000002</v>
      </c>
      <c r="MP16" s="17">
        <v>3.8562470000000002</v>
      </c>
      <c r="MQ16" s="17">
        <v>3.8562470000000002</v>
      </c>
      <c r="MR16" s="17">
        <v>3.8562470000000002</v>
      </c>
      <c r="MS16" s="17">
        <v>3.8562470000000002</v>
      </c>
      <c r="MT16" s="17">
        <v>3.8562470000000002</v>
      </c>
      <c r="MU16" s="13" t="s">
        <v>1241</v>
      </c>
      <c r="MV16" s="13" t="b">
        <v>0</v>
      </c>
      <c r="MW16" s="13" t="s">
        <v>480</v>
      </c>
      <c r="MX16" s="13" t="s">
        <v>480</v>
      </c>
      <c r="MY16" s="13">
        <v>2024</v>
      </c>
      <c r="MZ16" s="13">
        <v>2</v>
      </c>
      <c r="NA16" s="13" t="s">
        <v>480</v>
      </c>
      <c r="NB16" s="13" t="s">
        <v>1242</v>
      </c>
      <c r="NC16" s="13" t="s">
        <v>480</v>
      </c>
      <c r="ND16" s="13" t="s">
        <v>483</v>
      </c>
      <c r="NE16" s="13" t="s">
        <v>1243</v>
      </c>
      <c r="NF16" s="15" t="s">
        <v>1268</v>
      </c>
    </row>
    <row r="17" spans="1:370" x14ac:dyDescent="0.25">
      <c r="A17" s="13" t="s">
        <v>473</v>
      </c>
      <c r="B17" s="13" t="s">
        <v>474</v>
      </c>
      <c r="C17" s="15" t="s">
        <v>1267</v>
      </c>
      <c r="D17" s="13" t="s">
        <v>475</v>
      </c>
      <c r="E17" s="13" t="s">
        <v>476</v>
      </c>
      <c r="F17" s="13" t="s">
        <v>477</v>
      </c>
      <c r="G17" s="16">
        <v>16141.32</v>
      </c>
      <c r="H17" s="16">
        <v>15761.6</v>
      </c>
      <c r="I17" s="16">
        <v>15887.1</v>
      </c>
      <c r="J17" s="16">
        <v>16340.84</v>
      </c>
      <c r="K17" s="16">
        <v>16527.48</v>
      </c>
      <c r="L17" s="16">
        <v>17109.93</v>
      </c>
      <c r="M17" s="16">
        <v>16784.919999999998</v>
      </c>
      <c r="N17" s="16">
        <v>17497.7</v>
      </c>
      <c r="O17" s="16">
        <v>16895.939999999999</v>
      </c>
      <c r="P17" s="16">
        <v>16410.02</v>
      </c>
      <c r="Q17" s="16">
        <v>17291.75</v>
      </c>
      <c r="R17" s="16">
        <v>16514.61</v>
      </c>
      <c r="S17" s="16">
        <v>16797.79</v>
      </c>
      <c r="T17" s="16">
        <v>17249.91</v>
      </c>
      <c r="U17" s="16">
        <v>17314.27</v>
      </c>
      <c r="V17" s="16">
        <v>17288.53</v>
      </c>
      <c r="W17" s="16">
        <v>16509.78</v>
      </c>
      <c r="X17" s="16">
        <v>17850.060000000001</v>
      </c>
      <c r="Y17" s="16">
        <v>17277.27</v>
      </c>
      <c r="Z17" s="16">
        <v>17983.61</v>
      </c>
      <c r="AA17" s="16">
        <v>18171.86</v>
      </c>
      <c r="AB17" s="16">
        <v>18430.91</v>
      </c>
      <c r="AC17" s="16">
        <v>17861.330000000002</v>
      </c>
      <c r="AD17" s="16">
        <v>17591.02</v>
      </c>
      <c r="AE17" s="16">
        <v>18372.98</v>
      </c>
      <c r="AF17" s="16">
        <v>18646.509999999998</v>
      </c>
      <c r="AG17" s="16">
        <v>18905.560000000001</v>
      </c>
      <c r="AH17" s="16">
        <v>18569.28</v>
      </c>
      <c r="AI17" s="16">
        <v>18319.89</v>
      </c>
      <c r="AJ17" s="16">
        <v>18007.75</v>
      </c>
      <c r="AK17" s="16">
        <v>17697.21</v>
      </c>
      <c r="AL17" s="16">
        <v>17259.57</v>
      </c>
      <c r="AM17" s="16">
        <v>16474.38</v>
      </c>
      <c r="AN17" s="16">
        <v>16442.2</v>
      </c>
      <c r="AO17" s="16">
        <v>16635.28</v>
      </c>
      <c r="AP17" s="16">
        <v>16595.060000000001</v>
      </c>
      <c r="AQ17" s="16">
        <v>16825.14</v>
      </c>
      <c r="AR17" s="16">
        <v>16926.509999999998</v>
      </c>
      <c r="AS17" s="16">
        <v>17586.189999999999</v>
      </c>
      <c r="AT17" s="16">
        <v>17439.77</v>
      </c>
      <c r="AU17" s="16">
        <v>17069.71</v>
      </c>
      <c r="AV17" s="16">
        <v>17183.95</v>
      </c>
      <c r="AW17" s="16">
        <v>17130.849999999999</v>
      </c>
      <c r="AX17" s="16">
        <v>18360.11</v>
      </c>
      <c r="AY17" s="16">
        <v>18355.29</v>
      </c>
      <c r="AZ17" s="16">
        <v>19235.400000000001</v>
      </c>
      <c r="BA17" s="16">
        <v>19655.34</v>
      </c>
      <c r="BB17" s="16">
        <v>20369.73</v>
      </c>
      <c r="BC17" s="16">
        <v>22601.39</v>
      </c>
      <c r="BD17" s="16">
        <v>20033.46</v>
      </c>
      <c r="BE17" s="16">
        <v>20541.89</v>
      </c>
      <c r="BF17" s="16">
        <v>20672.22</v>
      </c>
      <c r="BG17" s="16">
        <v>20701.18</v>
      </c>
      <c r="BH17" s="16">
        <v>19684.310000000001</v>
      </c>
      <c r="BI17" s="16">
        <v>20858.86</v>
      </c>
      <c r="BJ17" s="16">
        <v>21504.07</v>
      </c>
      <c r="BK17" s="16">
        <v>20059.2</v>
      </c>
      <c r="BL17" s="16">
        <v>20730.150000000001</v>
      </c>
      <c r="BM17" s="16">
        <v>22463.02</v>
      </c>
      <c r="BN17" s="16">
        <v>23907.89</v>
      </c>
      <c r="BO17" s="16">
        <v>24942.46</v>
      </c>
      <c r="BP17" s="16">
        <v>26202.3</v>
      </c>
      <c r="BQ17" s="16">
        <v>27618.21</v>
      </c>
      <c r="BR17" s="16">
        <v>28400.17</v>
      </c>
      <c r="BS17" s="16">
        <v>29542.55</v>
      </c>
      <c r="BT17" s="16">
        <v>29964.1</v>
      </c>
      <c r="BU17" s="16">
        <v>30734.81</v>
      </c>
      <c r="BV17" s="16">
        <v>29954.45</v>
      </c>
      <c r="BW17" s="16">
        <v>30036.51</v>
      </c>
      <c r="BX17" s="16">
        <v>30549.77</v>
      </c>
      <c r="BY17" s="16">
        <v>29954.45</v>
      </c>
      <c r="BZ17" s="16">
        <v>29571.51</v>
      </c>
      <c r="CA17" s="16">
        <v>29000.32</v>
      </c>
      <c r="CB17" s="16">
        <v>27787.15</v>
      </c>
      <c r="CC17" s="16">
        <v>26511.22</v>
      </c>
      <c r="CD17" s="16">
        <v>27193.43</v>
      </c>
      <c r="CE17" s="16">
        <v>27336.63</v>
      </c>
      <c r="CF17" s="16">
        <v>26749.35</v>
      </c>
      <c r="CG17" s="16">
        <v>26705.91</v>
      </c>
      <c r="CH17" s="16">
        <v>25526.53</v>
      </c>
      <c r="CI17" s="16">
        <v>26155.64</v>
      </c>
      <c r="CJ17" s="16">
        <v>25249.78</v>
      </c>
      <c r="CK17" s="16">
        <v>25272.31</v>
      </c>
      <c r="CL17" s="16">
        <v>25779.14</v>
      </c>
      <c r="CM17" s="16">
        <v>26289.18</v>
      </c>
      <c r="CN17" s="16">
        <v>26165.29</v>
      </c>
      <c r="CO17" s="16">
        <v>27072.76</v>
      </c>
      <c r="CP17" s="16">
        <v>27940</v>
      </c>
      <c r="CQ17" s="16">
        <v>27405.82</v>
      </c>
      <c r="CR17" s="16">
        <v>28374.43</v>
      </c>
      <c r="CS17" s="16">
        <v>29775.85</v>
      </c>
      <c r="CT17" s="16">
        <v>30244.07</v>
      </c>
      <c r="CU17" s="16">
        <v>31153.14</v>
      </c>
      <c r="CV17" s="16">
        <v>32063.83</v>
      </c>
      <c r="CW17" s="16">
        <v>32398.49</v>
      </c>
      <c r="CX17" s="16">
        <v>32279.43</v>
      </c>
      <c r="CY17" s="16">
        <v>35462</v>
      </c>
      <c r="CZ17" s="16">
        <v>37021</v>
      </c>
      <c r="DA17" s="16">
        <v>39279</v>
      </c>
      <c r="DB17" s="16">
        <v>40300</v>
      </c>
      <c r="DC17" s="16">
        <v>40946</v>
      </c>
      <c r="DD17" s="16">
        <v>40781</v>
      </c>
      <c r="DE17" s="16">
        <v>40414</v>
      </c>
      <c r="DF17" s="16">
        <v>41424</v>
      </c>
      <c r="DG17" s="16">
        <v>41135</v>
      </c>
      <c r="DH17" s="16">
        <v>41175</v>
      </c>
      <c r="DI17" s="16">
        <v>42369</v>
      </c>
      <c r="DJ17" s="16">
        <v>41945</v>
      </c>
      <c r="DK17" s="16">
        <v>43624</v>
      </c>
      <c r="DL17" s="16">
        <v>46153</v>
      </c>
      <c r="DM17" s="16">
        <v>43061</v>
      </c>
      <c r="DN17" s="16">
        <v>44611</v>
      </c>
      <c r="DO17" s="16">
        <v>44343</v>
      </c>
      <c r="DP17" s="16">
        <v>44742</v>
      </c>
      <c r="DQ17" s="16">
        <v>44742</v>
      </c>
      <c r="DR17" s="16">
        <v>42863</v>
      </c>
      <c r="DS17" s="16">
        <v>42091</v>
      </c>
      <c r="DT17" s="16">
        <v>41670</v>
      </c>
      <c r="DU17" s="16">
        <v>43962</v>
      </c>
      <c r="DV17" s="16">
        <v>45720</v>
      </c>
      <c r="DW17" s="16">
        <v>45673</v>
      </c>
      <c r="DX17" s="16">
        <v>41335</v>
      </c>
      <c r="DY17" s="16">
        <v>42368</v>
      </c>
      <c r="DZ17" s="16">
        <v>42114</v>
      </c>
      <c r="EA17" s="16">
        <v>42450</v>
      </c>
      <c r="EB17" s="16">
        <v>39055</v>
      </c>
      <c r="EC17" s="16">
        <v>41359</v>
      </c>
      <c r="ED17" s="16">
        <v>42269</v>
      </c>
      <c r="EE17" s="16">
        <v>42057</v>
      </c>
      <c r="EF17" s="16">
        <v>43213.5</v>
      </c>
      <c r="EG17" s="16">
        <v>44370</v>
      </c>
      <c r="EH17" s="16">
        <v>44148</v>
      </c>
      <c r="EI17" s="16">
        <v>46400</v>
      </c>
      <c r="EJ17" s="16">
        <v>44590</v>
      </c>
      <c r="EK17" s="16">
        <v>48023</v>
      </c>
      <c r="EL17" s="16">
        <v>48119</v>
      </c>
      <c r="EM17" s="16">
        <v>50429</v>
      </c>
      <c r="EN17" s="16">
        <v>51135</v>
      </c>
      <c r="EO17" s="16">
        <v>48885</v>
      </c>
      <c r="EP17" s="16">
        <v>52991</v>
      </c>
      <c r="EQ17" s="16">
        <v>49124</v>
      </c>
      <c r="ER17" s="16">
        <v>50990</v>
      </c>
      <c r="ES17" s="16">
        <v>49052</v>
      </c>
      <c r="ET17" s="16">
        <v>47384</v>
      </c>
      <c r="EU17" s="16">
        <v>43119</v>
      </c>
      <c r="EV17" s="16">
        <v>40877</v>
      </c>
      <c r="EW17" s="16">
        <v>39978</v>
      </c>
      <c r="EX17" s="16">
        <v>39618</v>
      </c>
      <c r="EY17" s="16">
        <v>41479</v>
      </c>
      <c r="EZ17" s="16">
        <v>40858</v>
      </c>
      <c r="FA17" s="16">
        <v>42697</v>
      </c>
      <c r="FB17" s="16">
        <v>45515</v>
      </c>
      <c r="FC17" s="16">
        <v>42330</v>
      </c>
      <c r="FD17" s="16">
        <v>44742</v>
      </c>
      <c r="FE17" s="16">
        <v>46218</v>
      </c>
      <c r="FF17" s="16">
        <v>47373</v>
      </c>
      <c r="FG17" s="16">
        <v>49127</v>
      </c>
      <c r="FH17" s="16">
        <v>47014</v>
      </c>
      <c r="FI17" s="16">
        <v>47249</v>
      </c>
      <c r="FJ17" s="16">
        <v>49989</v>
      </c>
      <c r="FK17" s="16">
        <v>48539</v>
      </c>
      <c r="FL17" s="16">
        <v>49510</v>
      </c>
      <c r="FM17" s="16">
        <v>51243</v>
      </c>
      <c r="FN17" s="16">
        <v>51038</v>
      </c>
      <c r="FO17" s="16">
        <v>52059</v>
      </c>
      <c r="FP17" s="16">
        <v>52215</v>
      </c>
      <c r="FQ17" s="16">
        <v>52581</v>
      </c>
      <c r="FR17" s="16">
        <v>54474</v>
      </c>
      <c r="FS17" s="16">
        <v>57960</v>
      </c>
      <c r="FT17" s="16">
        <v>56395</v>
      </c>
      <c r="FU17" s="16">
        <v>56508</v>
      </c>
      <c r="FV17" s="16">
        <v>60238</v>
      </c>
      <c r="FW17" s="16">
        <v>61684</v>
      </c>
      <c r="FX17" s="16">
        <v>61499</v>
      </c>
      <c r="FY17" s="16">
        <v>62975</v>
      </c>
      <c r="FZ17" s="16">
        <v>60645</v>
      </c>
      <c r="GA17" s="16">
        <v>62040</v>
      </c>
      <c r="GB17" s="16">
        <v>61730</v>
      </c>
      <c r="GC17" s="16">
        <v>60681</v>
      </c>
      <c r="GD17" s="16">
        <v>61713</v>
      </c>
      <c r="GE17" s="16">
        <v>61342</v>
      </c>
      <c r="GF17" s="16">
        <v>60055</v>
      </c>
      <c r="GG17" s="16">
        <v>60115</v>
      </c>
      <c r="GH17" s="16">
        <v>60536</v>
      </c>
      <c r="GI17" s="16">
        <v>61201</v>
      </c>
      <c r="GJ17" s="16">
        <v>62181</v>
      </c>
      <c r="GK17" s="16">
        <v>61932</v>
      </c>
      <c r="GL17" s="16">
        <v>61994</v>
      </c>
      <c r="GM17" s="16">
        <v>60599</v>
      </c>
      <c r="GN17" s="16">
        <v>48951</v>
      </c>
      <c r="GO17" s="16">
        <v>54710</v>
      </c>
      <c r="GP17" s="16">
        <v>57775</v>
      </c>
      <c r="GQ17" s="16">
        <v>53828</v>
      </c>
      <c r="GR17" s="16">
        <v>57987</v>
      </c>
      <c r="GS17" s="16">
        <v>56998</v>
      </c>
      <c r="GT17" s="16">
        <v>57178</v>
      </c>
      <c r="GU17" s="16">
        <v>58903</v>
      </c>
      <c r="GV17" s="16">
        <v>60332</v>
      </c>
      <c r="GW17" s="16">
        <v>60887</v>
      </c>
      <c r="GX17" s="16">
        <v>59248</v>
      </c>
      <c r="GY17" s="16">
        <v>62482</v>
      </c>
      <c r="GZ17" s="16">
        <v>62152</v>
      </c>
      <c r="HA17" s="16">
        <v>60296</v>
      </c>
      <c r="HB17" s="16">
        <v>61021</v>
      </c>
      <c r="HC17" s="16">
        <v>61370</v>
      </c>
      <c r="HD17" s="16">
        <v>62250</v>
      </c>
      <c r="HE17" s="17">
        <v>62685.75</v>
      </c>
      <c r="HF17" s="17">
        <v>63030.5</v>
      </c>
      <c r="HG17" s="17">
        <v>63408.71</v>
      </c>
      <c r="HH17" s="17">
        <v>63941.34</v>
      </c>
      <c r="HI17" s="17">
        <v>64542.39</v>
      </c>
      <c r="HJ17" s="17">
        <v>65155.55</v>
      </c>
      <c r="HK17" s="17">
        <v>65781.009999999995</v>
      </c>
      <c r="HL17" s="17">
        <v>66373.05</v>
      </c>
      <c r="HM17" s="17">
        <v>66870.86</v>
      </c>
      <c r="HN17" s="17">
        <v>67338.97</v>
      </c>
      <c r="HO17" s="17">
        <v>67776.67</v>
      </c>
      <c r="HP17" s="17">
        <v>68183.31</v>
      </c>
      <c r="HQ17" s="17">
        <v>68592.41</v>
      </c>
      <c r="HR17" s="17">
        <v>69003.990000000005</v>
      </c>
      <c r="HS17" s="17">
        <v>69418.02</v>
      </c>
      <c r="HT17" s="17">
        <v>69834.52</v>
      </c>
      <c r="HU17" s="17">
        <v>70253.53</v>
      </c>
      <c r="HV17" s="17">
        <v>70675.05</v>
      </c>
      <c r="HW17" s="17">
        <v>71099.100000000006</v>
      </c>
      <c r="HX17" s="17">
        <v>71525.7</v>
      </c>
      <c r="HY17" s="17">
        <v>71954.850000000006</v>
      </c>
      <c r="HZ17" s="17">
        <v>72386.59</v>
      </c>
      <c r="IA17" s="17">
        <v>72828.14</v>
      </c>
      <c r="IB17" s="17">
        <v>73272.39</v>
      </c>
      <c r="IC17" s="17">
        <v>73719.350000000006</v>
      </c>
      <c r="ID17" s="17">
        <v>74169.039999999994</v>
      </c>
      <c r="IE17" s="17">
        <v>74621.48</v>
      </c>
      <c r="IF17" s="17">
        <v>75076.66</v>
      </c>
      <c r="IG17" s="17">
        <v>75534.63</v>
      </c>
      <c r="IH17" s="17">
        <v>75995.39</v>
      </c>
      <c r="II17" s="17">
        <v>76458.97</v>
      </c>
      <c r="IJ17" s="17">
        <v>76925.37</v>
      </c>
      <c r="IK17" s="17">
        <v>77394.61</v>
      </c>
      <c r="IL17" s="17">
        <v>77866.720000000001</v>
      </c>
      <c r="IM17" s="17">
        <v>78365.570000000007</v>
      </c>
      <c r="IN17" s="17">
        <v>78864.850000000006</v>
      </c>
      <c r="IO17" s="17">
        <v>79357.100000000006</v>
      </c>
      <c r="IP17" s="17">
        <v>79852.53</v>
      </c>
      <c r="IQ17" s="17">
        <v>80356.479999999996</v>
      </c>
      <c r="IR17" s="17">
        <v>80863.98</v>
      </c>
      <c r="IS17" s="17">
        <v>81359.34</v>
      </c>
      <c r="IT17" s="17">
        <v>81858.3</v>
      </c>
      <c r="IU17" s="17">
        <v>82369.289999999994</v>
      </c>
      <c r="IV17" s="17">
        <v>82883.47</v>
      </c>
      <c r="IW17" s="17">
        <v>83400.84</v>
      </c>
      <c r="IX17" s="17">
        <v>83921.38</v>
      </c>
      <c r="IY17" s="17">
        <v>84452.42</v>
      </c>
      <c r="IZ17" s="17">
        <v>84987.09</v>
      </c>
      <c r="JA17" s="17">
        <v>85525.42</v>
      </c>
      <c r="JB17" s="17">
        <v>86067.42</v>
      </c>
      <c r="JC17" s="17">
        <v>86613.13</v>
      </c>
      <c r="JD17" s="17">
        <v>87162.52</v>
      </c>
      <c r="JE17" s="17">
        <v>87715.66</v>
      </c>
      <c r="JF17" s="17">
        <v>88272.59</v>
      </c>
      <c r="JG17" s="17">
        <v>88840.65</v>
      </c>
      <c r="JH17" s="17">
        <v>89412.67</v>
      </c>
      <c r="JI17" s="17">
        <v>89988.74</v>
      </c>
      <c r="JJ17" s="17">
        <v>90568.9</v>
      </c>
      <c r="JK17" s="17">
        <v>91153.15</v>
      </c>
      <c r="JL17" s="17">
        <v>91741.53</v>
      </c>
      <c r="JM17" s="17">
        <v>92334.09</v>
      </c>
      <c r="JN17" s="17">
        <v>92930.83</v>
      </c>
      <c r="JO17" s="17">
        <v>93438.87</v>
      </c>
      <c r="JP17" s="17">
        <v>93949.35</v>
      </c>
      <c r="JQ17" s="17">
        <v>94462.31</v>
      </c>
      <c r="JR17" s="17">
        <v>94977.73</v>
      </c>
      <c r="JS17" s="17">
        <v>95486.67</v>
      </c>
      <c r="JT17" s="17">
        <v>95997.95</v>
      </c>
      <c r="JU17" s="17">
        <v>96511.55</v>
      </c>
      <c r="JV17" s="17">
        <v>97027.520000000004</v>
      </c>
      <c r="JW17" s="17">
        <v>97545.84</v>
      </c>
      <c r="JX17" s="17">
        <v>98066.52</v>
      </c>
      <c r="JY17" s="17">
        <v>98589.58</v>
      </c>
      <c r="JZ17" s="17">
        <v>99115.01</v>
      </c>
      <c r="KA17" s="17">
        <v>99637.86</v>
      </c>
      <c r="KB17" s="17">
        <v>100163</v>
      </c>
      <c r="KC17" s="17">
        <v>100690.5</v>
      </c>
      <c r="KD17" s="17">
        <v>101220.1</v>
      </c>
      <c r="KE17" s="17">
        <v>101752.1</v>
      </c>
      <c r="KF17" s="17">
        <v>102286.39999999999</v>
      </c>
      <c r="KG17" s="17">
        <v>102822.9</v>
      </c>
      <c r="KH17" s="17">
        <v>103361.7</v>
      </c>
      <c r="KI17" s="17">
        <v>103902.9</v>
      </c>
      <c r="KJ17" s="17">
        <v>104446.39999999999</v>
      </c>
      <c r="KK17" s="17">
        <v>104992.1</v>
      </c>
      <c r="KL17" s="17">
        <v>105540.3</v>
      </c>
      <c r="KM17" s="17">
        <v>106090.8</v>
      </c>
      <c r="KN17" s="17">
        <v>106643.6</v>
      </c>
      <c r="KO17" s="17">
        <v>107198.8</v>
      </c>
      <c r="KP17" s="17">
        <v>107756.4</v>
      </c>
      <c r="KQ17" s="17">
        <v>108316.5</v>
      </c>
      <c r="KR17" s="17">
        <v>108878.9</v>
      </c>
      <c r="KS17" s="17">
        <v>109443.7</v>
      </c>
      <c r="KT17" s="17">
        <v>110011.1</v>
      </c>
      <c r="KU17" s="17">
        <v>110580.8</v>
      </c>
      <c r="KV17" s="17">
        <v>111153.1</v>
      </c>
      <c r="KW17" s="17">
        <v>111727.8</v>
      </c>
      <c r="KX17" s="17">
        <v>112305</v>
      </c>
      <c r="KY17" s="17">
        <v>112884.7</v>
      </c>
      <c r="KZ17" s="17">
        <v>113466.9</v>
      </c>
      <c r="LA17" s="17">
        <v>114051.6</v>
      </c>
      <c r="LB17" s="17">
        <v>114638.8</v>
      </c>
      <c r="LC17" s="17">
        <v>115228.5</v>
      </c>
      <c r="LD17" s="17">
        <v>115820.7</v>
      </c>
      <c r="LE17" s="17">
        <v>116415.4</v>
      </c>
      <c r="LF17" s="17">
        <v>117012.7</v>
      </c>
      <c r="LG17" s="17">
        <v>117582.5</v>
      </c>
      <c r="LH17" s="17">
        <v>118154.8</v>
      </c>
      <c r="LI17" s="17">
        <v>118725</v>
      </c>
      <c r="LJ17" s="17">
        <v>119297.7</v>
      </c>
      <c r="LK17" s="17">
        <v>119873</v>
      </c>
      <c r="LL17" s="17">
        <v>120450.8</v>
      </c>
      <c r="LM17" s="17">
        <v>121022.7</v>
      </c>
      <c r="LN17" s="17">
        <v>121596.9</v>
      </c>
      <c r="LO17" s="17">
        <v>122173.4</v>
      </c>
      <c r="LP17" s="17">
        <v>122752.4</v>
      </c>
      <c r="LQ17" s="17">
        <v>123334</v>
      </c>
      <c r="LR17" s="17">
        <v>123917.9</v>
      </c>
      <c r="LS17" s="17">
        <v>124504.3</v>
      </c>
      <c r="LT17" s="17">
        <v>125093.1</v>
      </c>
      <c r="LU17" s="17">
        <v>125680.2</v>
      </c>
      <c r="LV17" s="17">
        <v>126269.6</v>
      </c>
      <c r="LW17" s="17">
        <v>126861.3</v>
      </c>
      <c r="LX17" s="17">
        <v>127455.4</v>
      </c>
      <c r="LY17" s="17">
        <v>128048.4</v>
      </c>
      <c r="LZ17" s="17">
        <v>128643.7</v>
      </c>
      <c r="MA17" s="17">
        <v>129241.3</v>
      </c>
      <c r="MB17" s="17">
        <v>129841.2</v>
      </c>
      <c r="MC17" s="17">
        <v>130443.6</v>
      </c>
      <c r="MD17" s="17">
        <v>131048.3</v>
      </c>
      <c r="ME17" s="17">
        <v>131655.29999999999</v>
      </c>
      <c r="MF17" s="17">
        <v>132264.79999999999</v>
      </c>
      <c r="MG17" s="17">
        <v>132881</v>
      </c>
      <c r="MH17" s="17">
        <v>133499.70000000001</v>
      </c>
      <c r="MI17" s="17">
        <v>134120.9</v>
      </c>
      <c r="MJ17" s="17">
        <v>134744.6</v>
      </c>
      <c r="MK17" s="17">
        <v>135369.4</v>
      </c>
      <c r="ML17" s="17">
        <v>135996.6</v>
      </c>
      <c r="MM17" s="17">
        <v>136626.29999999999</v>
      </c>
      <c r="MN17" s="17">
        <v>137258.5</v>
      </c>
      <c r="MO17" s="17">
        <v>137897.9</v>
      </c>
      <c r="MP17" s="17">
        <v>138539.79999999999</v>
      </c>
      <c r="MQ17" s="17">
        <v>139184.29999999999</v>
      </c>
      <c r="MR17" s="17">
        <v>139831.5</v>
      </c>
      <c r="MS17" s="17">
        <v>140481.20000000001</v>
      </c>
      <c r="MT17" s="17">
        <v>141133.6</v>
      </c>
      <c r="MU17" s="13" t="s">
        <v>478</v>
      </c>
      <c r="MV17" s="13" t="b">
        <v>1</v>
      </c>
      <c r="MW17" s="15" t="s">
        <v>479</v>
      </c>
      <c r="MX17" s="13" t="s">
        <v>480</v>
      </c>
      <c r="MY17" s="13">
        <v>2024</v>
      </c>
      <c r="MZ17" s="13">
        <v>2</v>
      </c>
      <c r="NA17" s="13" t="s">
        <v>480</v>
      </c>
      <c r="NB17" s="13" t="s">
        <v>0</v>
      </c>
      <c r="NC17" s="15" t="s">
        <v>482</v>
      </c>
      <c r="ND17" s="13" t="s">
        <v>483</v>
      </c>
      <c r="NE17" s="13" t="s">
        <v>484</v>
      </c>
      <c r="NF17" s="15" t="s">
        <v>1268</v>
      </c>
    </row>
    <row r="18" spans="1:370" x14ac:dyDescent="0.25">
      <c r="A18" s="13" t="s">
        <v>970</v>
      </c>
      <c r="B18" s="13" t="s">
        <v>474</v>
      </c>
      <c r="C18" s="15" t="s">
        <v>1267</v>
      </c>
      <c r="D18" s="13" t="s">
        <v>971</v>
      </c>
      <c r="E18" s="13" t="s">
        <v>972</v>
      </c>
      <c r="F18" s="13" t="s">
        <v>477</v>
      </c>
      <c r="G18" s="16">
        <v>102.5</v>
      </c>
      <c r="H18" s="16">
        <v>106.3</v>
      </c>
      <c r="I18" s="16">
        <v>107.95</v>
      </c>
      <c r="J18" s="16">
        <v>108.75</v>
      </c>
      <c r="K18" s="16">
        <v>108.65</v>
      </c>
      <c r="L18" s="16">
        <v>108.45</v>
      </c>
      <c r="M18" s="16">
        <v>107.35</v>
      </c>
      <c r="N18" s="16">
        <v>104.52500000000001</v>
      </c>
      <c r="O18" s="16">
        <v>98.55</v>
      </c>
      <c r="P18" s="16">
        <v>96.2</v>
      </c>
      <c r="Q18" s="16">
        <v>97.224999999999994</v>
      </c>
      <c r="R18" s="16">
        <v>98.375</v>
      </c>
      <c r="S18" s="16">
        <v>100.47499999999999</v>
      </c>
      <c r="T18" s="16">
        <v>101.825</v>
      </c>
      <c r="U18" s="16">
        <v>104.05</v>
      </c>
      <c r="V18" s="16">
        <v>106.05</v>
      </c>
      <c r="W18" s="16">
        <v>109.925</v>
      </c>
      <c r="X18" s="16">
        <v>112.95</v>
      </c>
      <c r="Y18" s="16">
        <v>115.2</v>
      </c>
      <c r="Z18" s="16">
        <v>118.72499999999999</v>
      </c>
      <c r="AA18" s="16">
        <v>119.75</v>
      </c>
      <c r="AB18" s="16">
        <v>129.02500000000001</v>
      </c>
      <c r="AC18" s="16">
        <v>133.42500000000001</v>
      </c>
      <c r="AD18" s="16">
        <v>137.72499999999999</v>
      </c>
      <c r="AE18" s="16">
        <v>140.9</v>
      </c>
      <c r="AF18" s="16">
        <v>140.75</v>
      </c>
      <c r="AG18" s="16">
        <v>144.92500000000001</v>
      </c>
      <c r="AH18" s="16">
        <v>145.32499999999999</v>
      </c>
      <c r="AI18" s="16">
        <v>146.9</v>
      </c>
      <c r="AJ18" s="16">
        <v>140.1</v>
      </c>
      <c r="AK18" s="16">
        <v>141.02500000000001</v>
      </c>
      <c r="AL18" s="16">
        <v>143.97499999999999</v>
      </c>
      <c r="AM18" s="16">
        <v>146.9</v>
      </c>
      <c r="AN18" s="16">
        <v>149.875</v>
      </c>
      <c r="AO18" s="16">
        <v>153.375</v>
      </c>
      <c r="AP18" s="16">
        <v>156.94999999999999</v>
      </c>
      <c r="AQ18" s="16">
        <v>153.65</v>
      </c>
      <c r="AR18" s="16">
        <v>148.875</v>
      </c>
      <c r="AS18" s="16">
        <v>144.6</v>
      </c>
      <c r="AT18" s="16">
        <v>142.1</v>
      </c>
      <c r="AU18" s="16">
        <v>139.97499999999999</v>
      </c>
      <c r="AV18" s="16">
        <v>141.92500000000001</v>
      </c>
      <c r="AW18" s="16">
        <v>147.9</v>
      </c>
      <c r="AX18" s="16">
        <v>156.82499999999999</v>
      </c>
      <c r="AY18" s="16">
        <v>161.82499999999999</v>
      </c>
      <c r="AZ18" s="16">
        <v>169.375</v>
      </c>
      <c r="BA18" s="16">
        <v>174.55</v>
      </c>
      <c r="BB18" s="16">
        <v>178.67500000000001</v>
      </c>
      <c r="BC18" s="16">
        <v>180.67500000000001</v>
      </c>
      <c r="BD18" s="16">
        <v>183.25</v>
      </c>
      <c r="BE18" s="16">
        <v>181.17500000000001</v>
      </c>
      <c r="BF18" s="16">
        <v>184.45</v>
      </c>
      <c r="BG18" s="16">
        <v>182.625</v>
      </c>
      <c r="BH18" s="16">
        <v>178.92500000000001</v>
      </c>
      <c r="BI18" s="16">
        <v>176.875</v>
      </c>
      <c r="BJ18" s="16">
        <v>178.57499999999999</v>
      </c>
      <c r="BK18" s="16">
        <v>174.35</v>
      </c>
      <c r="BL18" s="16">
        <v>177.875</v>
      </c>
      <c r="BM18" s="16">
        <v>182.8</v>
      </c>
      <c r="BN18" s="16">
        <v>182.57499999999999</v>
      </c>
      <c r="BO18" s="16">
        <v>184.05</v>
      </c>
      <c r="BP18" s="16">
        <v>188.15</v>
      </c>
      <c r="BQ18" s="16">
        <v>189.32499999999999</v>
      </c>
      <c r="BR18" s="16">
        <v>191.97499999999999</v>
      </c>
      <c r="BS18" s="16">
        <v>195.05</v>
      </c>
      <c r="BT18" s="16">
        <v>197.67500000000001</v>
      </c>
      <c r="BU18" s="16">
        <v>202.7</v>
      </c>
      <c r="BV18" s="16">
        <v>200.67500000000001</v>
      </c>
      <c r="BW18" s="16">
        <v>203.25</v>
      </c>
      <c r="BX18" s="16">
        <v>200.6</v>
      </c>
      <c r="BY18" s="16">
        <v>202</v>
      </c>
      <c r="BZ18" s="16">
        <v>198.82499999999999</v>
      </c>
      <c r="CA18" s="16">
        <v>194.85</v>
      </c>
      <c r="CB18" s="16">
        <v>193.875</v>
      </c>
      <c r="CC18" s="16">
        <v>192.2</v>
      </c>
      <c r="CD18" s="16">
        <v>192.1</v>
      </c>
      <c r="CE18" s="16">
        <v>191.35</v>
      </c>
      <c r="CF18" s="16">
        <v>197.52500000000001</v>
      </c>
      <c r="CG18" s="16">
        <v>200.55</v>
      </c>
      <c r="CH18" s="16">
        <v>205.8</v>
      </c>
      <c r="CI18" s="16">
        <v>207.85</v>
      </c>
      <c r="CJ18" s="16">
        <v>211.92500000000001</v>
      </c>
      <c r="CK18" s="16">
        <v>213.65</v>
      </c>
      <c r="CL18" s="16">
        <v>221.35</v>
      </c>
      <c r="CM18" s="16">
        <v>223.67500000000001</v>
      </c>
      <c r="CN18" s="16">
        <v>227.17500000000001</v>
      </c>
      <c r="CO18" s="16">
        <v>231.05</v>
      </c>
      <c r="CP18" s="16">
        <v>240.07499999999999</v>
      </c>
      <c r="CQ18" s="16">
        <v>248.95</v>
      </c>
      <c r="CR18" s="16">
        <v>251.32499999999999</v>
      </c>
      <c r="CS18" s="16">
        <v>252.92500000000001</v>
      </c>
      <c r="CT18" s="16">
        <v>257.82499999999999</v>
      </c>
      <c r="CU18" s="16">
        <v>264.35000000000002</v>
      </c>
      <c r="CV18" s="16">
        <v>271.39999999999998</v>
      </c>
      <c r="CW18" s="16">
        <v>279.95</v>
      </c>
      <c r="CX18" s="16">
        <v>287.05</v>
      </c>
      <c r="CY18" s="16">
        <v>293.7</v>
      </c>
      <c r="CZ18" s="16">
        <v>299.82499999999999</v>
      </c>
      <c r="DA18" s="16">
        <v>313</v>
      </c>
      <c r="DB18" s="16">
        <v>315</v>
      </c>
      <c r="DC18" s="16">
        <v>325.22500000000002</v>
      </c>
      <c r="DD18" s="16">
        <v>336.22500000000002</v>
      </c>
      <c r="DE18" s="16">
        <v>341.52499999999998</v>
      </c>
      <c r="DF18" s="16">
        <v>351.5</v>
      </c>
      <c r="DG18" s="16">
        <v>359.27499999999998</v>
      </c>
      <c r="DH18" s="16">
        <v>368.82499999999999</v>
      </c>
      <c r="DI18" s="16">
        <v>379.375</v>
      </c>
      <c r="DJ18" s="16">
        <v>381.07499999999999</v>
      </c>
      <c r="DK18" s="16">
        <v>395.02499999999998</v>
      </c>
      <c r="DL18" s="16">
        <v>407.35</v>
      </c>
      <c r="DM18" s="16">
        <v>411.8</v>
      </c>
      <c r="DN18" s="16">
        <v>413.35</v>
      </c>
      <c r="DO18" s="16">
        <v>409.65</v>
      </c>
      <c r="DP18" s="16">
        <v>401.17500000000001</v>
      </c>
      <c r="DQ18" s="16">
        <v>396.42500000000001</v>
      </c>
      <c r="DR18" s="16">
        <v>385.02499999999998</v>
      </c>
      <c r="DS18" s="16">
        <v>375.8</v>
      </c>
      <c r="DT18" s="16">
        <v>371.57499999999999</v>
      </c>
      <c r="DU18" s="16">
        <v>370.35</v>
      </c>
      <c r="DV18" s="16">
        <v>365.375</v>
      </c>
      <c r="DW18" s="16">
        <v>367.17500000000001</v>
      </c>
      <c r="DX18" s="16">
        <v>377.32499999999999</v>
      </c>
      <c r="DY18" s="16">
        <v>385.32499999999999</v>
      </c>
      <c r="DZ18" s="16">
        <v>390.17500000000001</v>
      </c>
      <c r="EA18" s="16">
        <v>386.32499999999999</v>
      </c>
      <c r="EB18" s="16">
        <v>395.97500000000002</v>
      </c>
      <c r="EC18" s="16">
        <v>407.3</v>
      </c>
      <c r="ED18" s="16">
        <v>415.67500000000001</v>
      </c>
      <c r="EE18" s="16">
        <v>421.7</v>
      </c>
      <c r="EF18" s="16">
        <v>428.52499999999998</v>
      </c>
      <c r="EG18" s="16">
        <v>437.45</v>
      </c>
      <c r="EH18" s="16">
        <v>440.82499999999999</v>
      </c>
      <c r="EI18" s="16">
        <v>455.625</v>
      </c>
      <c r="EJ18" s="16">
        <v>463.57499999999999</v>
      </c>
      <c r="EK18" s="16">
        <v>471.52499999999998</v>
      </c>
      <c r="EL18" s="16">
        <v>476.52499999999998</v>
      </c>
      <c r="EM18" s="16">
        <v>485.1</v>
      </c>
      <c r="EN18" s="16">
        <v>495.875</v>
      </c>
      <c r="EO18" s="16">
        <v>503.65</v>
      </c>
      <c r="EP18" s="16">
        <v>511.42500000000001</v>
      </c>
      <c r="EQ18" s="16">
        <v>513.45000000000005</v>
      </c>
      <c r="ER18" s="16">
        <v>514.5</v>
      </c>
      <c r="ES18" s="16">
        <v>504.9</v>
      </c>
      <c r="ET18" s="16">
        <v>475.47500000000002</v>
      </c>
      <c r="EU18" s="16">
        <v>439.65</v>
      </c>
      <c r="EV18" s="16">
        <v>426.27499999999998</v>
      </c>
      <c r="EW18" s="16">
        <v>423.8</v>
      </c>
      <c r="EX18" s="16">
        <v>426.65</v>
      </c>
      <c r="EY18" s="16">
        <v>429.67500000000001</v>
      </c>
      <c r="EZ18" s="16">
        <v>443.82499999999999</v>
      </c>
      <c r="FA18" s="16">
        <v>455.92500000000001</v>
      </c>
      <c r="FB18" s="16">
        <v>464.85</v>
      </c>
      <c r="FC18" s="16">
        <v>464.32499999999999</v>
      </c>
      <c r="FD18" s="16">
        <v>476.42500000000001</v>
      </c>
      <c r="FE18" s="16">
        <v>498.85</v>
      </c>
      <c r="FF18" s="16">
        <v>511.65</v>
      </c>
      <c r="FG18" s="16">
        <v>524.82500000000005</v>
      </c>
      <c r="FH18" s="16">
        <v>536.67499999999995</v>
      </c>
      <c r="FI18" s="16">
        <v>534.9</v>
      </c>
      <c r="FJ18" s="16">
        <v>540.72500000000002</v>
      </c>
      <c r="FK18" s="16">
        <v>549.07500000000005</v>
      </c>
      <c r="FL18" s="16">
        <v>551.9</v>
      </c>
      <c r="FM18" s="16">
        <v>562.04999999999995</v>
      </c>
      <c r="FN18" s="16">
        <v>575.54999999999995</v>
      </c>
      <c r="FO18" s="16">
        <v>584.85</v>
      </c>
      <c r="FP18" s="16">
        <v>601.6</v>
      </c>
      <c r="FQ18" s="16">
        <v>614.625</v>
      </c>
      <c r="FR18" s="16">
        <v>619.97500000000002</v>
      </c>
      <c r="FS18" s="16">
        <v>620.27499999999998</v>
      </c>
      <c r="FT18" s="16">
        <v>624.6</v>
      </c>
      <c r="FU18" s="16">
        <v>628.4</v>
      </c>
      <c r="FV18" s="16">
        <v>625.625</v>
      </c>
      <c r="FW18" s="16">
        <v>626.15</v>
      </c>
      <c r="FX18" s="16">
        <v>631.47500000000002</v>
      </c>
      <c r="FY18" s="16">
        <v>641</v>
      </c>
      <c r="FZ18" s="16">
        <v>646.15</v>
      </c>
      <c r="GA18" s="16">
        <v>652.6</v>
      </c>
      <c r="GB18" s="16">
        <v>659.95</v>
      </c>
      <c r="GC18" s="16">
        <v>666.3</v>
      </c>
      <c r="GD18" s="16">
        <v>682.22500000000002</v>
      </c>
      <c r="GE18" s="16">
        <v>701.32500000000005</v>
      </c>
      <c r="GF18" s="16">
        <v>709.27499999999998</v>
      </c>
      <c r="GG18" s="16">
        <v>713.65</v>
      </c>
      <c r="GH18" s="16">
        <v>720.1</v>
      </c>
      <c r="GI18" s="16">
        <v>724.95</v>
      </c>
      <c r="GJ18" s="16">
        <v>738.75</v>
      </c>
      <c r="GK18" s="16">
        <v>745.875</v>
      </c>
      <c r="GL18" s="16">
        <v>742.57500000000005</v>
      </c>
      <c r="GM18" s="16">
        <v>728.47500000000002</v>
      </c>
      <c r="GN18" s="16">
        <v>669.9</v>
      </c>
      <c r="GO18" s="16">
        <v>699.2</v>
      </c>
      <c r="GP18" s="16">
        <v>717.9</v>
      </c>
      <c r="GQ18" s="16">
        <v>734.47500000000002</v>
      </c>
      <c r="GR18" s="16">
        <v>750.35</v>
      </c>
      <c r="GS18" s="16">
        <v>747.05</v>
      </c>
      <c r="GT18" s="16">
        <v>753.32500000000005</v>
      </c>
      <c r="GU18" s="16">
        <v>777.67499999999995</v>
      </c>
      <c r="GV18" s="16">
        <v>791.47500000000002</v>
      </c>
      <c r="GW18" s="16">
        <v>806.27499999999998</v>
      </c>
      <c r="GX18" s="16">
        <v>817.5</v>
      </c>
      <c r="GY18" s="16">
        <v>828.2</v>
      </c>
      <c r="GZ18" s="16">
        <v>847.9</v>
      </c>
      <c r="HA18" s="16">
        <v>850.22500000000002</v>
      </c>
      <c r="HB18" s="16">
        <v>858.22500000000002</v>
      </c>
      <c r="HC18" s="16">
        <v>867.75</v>
      </c>
      <c r="HD18" s="16">
        <v>876.02499999999998</v>
      </c>
      <c r="HE18" s="17">
        <v>886.7758</v>
      </c>
      <c r="HF18" s="17">
        <v>891.85310000000004</v>
      </c>
      <c r="HG18" s="17">
        <v>899.88220000000001</v>
      </c>
      <c r="HH18" s="17">
        <v>910.27440000000001</v>
      </c>
      <c r="HI18" s="17">
        <v>922.13369999999998</v>
      </c>
      <c r="HJ18" s="17">
        <v>934.71900000000005</v>
      </c>
      <c r="HK18" s="17">
        <v>947.67790000000002</v>
      </c>
      <c r="HL18" s="17">
        <v>960.47080000000005</v>
      </c>
      <c r="HM18" s="17">
        <v>972.7876</v>
      </c>
      <c r="HN18" s="17">
        <v>984.5453</v>
      </c>
      <c r="HO18" s="17">
        <v>995.39170000000001</v>
      </c>
      <c r="HP18" s="17">
        <v>1005.731</v>
      </c>
      <c r="HQ18" s="17">
        <v>1015.567</v>
      </c>
      <c r="HR18" s="17">
        <v>1025.0809999999999</v>
      </c>
      <c r="HS18" s="17">
        <v>1034.2840000000001</v>
      </c>
      <c r="HT18" s="17">
        <v>1043.1679999999999</v>
      </c>
      <c r="HU18" s="17">
        <v>1051.8219999999999</v>
      </c>
      <c r="HV18" s="17">
        <v>1060.2139999999999</v>
      </c>
      <c r="HW18" s="17">
        <v>1068.615</v>
      </c>
      <c r="HX18" s="17">
        <v>1077.0250000000001</v>
      </c>
      <c r="HY18" s="17">
        <v>1085.44</v>
      </c>
      <c r="HZ18" s="17">
        <v>1093.8620000000001</v>
      </c>
      <c r="IA18" s="17">
        <v>1102.29</v>
      </c>
      <c r="IB18" s="17">
        <v>1110.721</v>
      </c>
      <c r="IC18" s="17">
        <v>1119.1559999999999</v>
      </c>
      <c r="ID18" s="17">
        <v>1127.5930000000001</v>
      </c>
      <c r="IE18" s="17">
        <v>1136.0319999999999</v>
      </c>
      <c r="IF18" s="17">
        <v>1144.471</v>
      </c>
      <c r="IG18" s="17">
        <v>1152.9110000000001</v>
      </c>
      <c r="IH18" s="17">
        <v>1161.3489999999999</v>
      </c>
      <c r="II18" s="17">
        <v>1169.7840000000001</v>
      </c>
      <c r="IJ18" s="17">
        <v>1178.2170000000001</v>
      </c>
      <c r="IK18" s="17">
        <v>1186.645</v>
      </c>
      <c r="IL18" s="17">
        <v>1195.068</v>
      </c>
      <c r="IM18" s="17">
        <v>1203.4849999999999</v>
      </c>
      <c r="IN18" s="17">
        <v>1211.896</v>
      </c>
      <c r="IO18" s="17">
        <v>1220.298</v>
      </c>
      <c r="IP18" s="17">
        <v>1228.691</v>
      </c>
      <c r="IQ18" s="17">
        <v>1237.0740000000001</v>
      </c>
      <c r="IR18" s="17">
        <v>1245.4459999999999</v>
      </c>
      <c r="IS18" s="17">
        <v>1253.806</v>
      </c>
      <c r="IT18" s="17">
        <v>1262.153</v>
      </c>
      <c r="IU18" s="17">
        <v>1270.4849999999999</v>
      </c>
      <c r="IV18" s="17">
        <v>1278.8030000000001</v>
      </c>
      <c r="IW18" s="17">
        <v>1287.105</v>
      </c>
      <c r="IX18" s="17">
        <v>1295.3889999999999</v>
      </c>
      <c r="IY18" s="17">
        <v>1303.6289999999999</v>
      </c>
      <c r="IZ18" s="17">
        <v>1311.91</v>
      </c>
      <c r="JA18" s="17">
        <v>1320.2149999999999</v>
      </c>
      <c r="JB18" s="17">
        <v>1328.548</v>
      </c>
      <c r="JC18" s="17">
        <v>1336.9079999999999</v>
      </c>
      <c r="JD18" s="17">
        <v>1345.308</v>
      </c>
      <c r="JE18" s="17">
        <v>1353.729</v>
      </c>
      <c r="JF18" s="17">
        <v>1362.1759999999999</v>
      </c>
      <c r="JG18" s="17">
        <v>1370.6559999999999</v>
      </c>
      <c r="JH18" s="17">
        <v>1379.1690000000001</v>
      </c>
      <c r="JI18" s="17">
        <v>1387.7180000000001</v>
      </c>
      <c r="JJ18" s="17">
        <v>1396.3030000000001</v>
      </c>
      <c r="JK18" s="17">
        <v>1404.9190000000001</v>
      </c>
      <c r="JL18" s="17">
        <v>1413.5630000000001</v>
      </c>
      <c r="JM18" s="17">
        <v>1422.241</v>
      </c>
      <c r="JN18" s="17">
        <v>1430.9449999999999</v>
      </c>
      <c r="JO18" s="17">
        <v>1439.682</v>
      </c>
      <c r="JP18" s="17">
        <v>1448.45</v>
      </c>
      <c r="JQ18" s="17">
        <v>1457.248</v>
      </c>
      <c r="JR18" s="17">
        <v>1466.085</v>
      </c>
      <c r="JS18" s="17">
        <v>1474.9559999999999</v>
      </c>
      <c r="JT18" s="17">
        <v>1483.87</v>
      </c>
      <c r="JU18" s="17">
        <v>1492.8209999999999</v>
      </c>
      <c r="JV18" s="17">
        <v>1501.8050000000001</v>
      </c>
      <c r="JW18" s="17">
        <v>1510.8340000000001</v>
      </c>
      <c r="JX18" s="17">
        <v>1519.9059999999999</v>
      </c>
      <c r="JY18" s="17">
        <v>1529.0129999999999</v>
      </c>
      <c r="JZ18" s="17">
        <v>1538.1690000000001</v>
      </c>
      <c r="KA18" s="17">
        <v>1547.365</v>
      </c>
      <c r="KB18" s="17">
        <v>1556.6089999999999</v>
      </c>
      <c r="KC18" s="17">
        <v>1565.8910000000001</v>
      </c>
      <c r="KD18" s="17">
        <v>1575.2159999999999</v>
      </c>
      <c r="KE18" s="17">
        <v>1584.5820000000001</v>
      </c>
      <c r="KF18" s="17">
        <v>1593.9839999999999</v>
      </c>
      <c r="KG18" s="17">
        <v>1603.423</v>
      </c>
      <c r="KH18" s="17">
        <v>1612.902</v>
      </c>
      <c r="KI18" s="17">
        <v>1622.4079999999999</v>
      </c>
      <c r="KJ18" s="17">
        <v>1631.9490000000001</v>
      </c>
      <c r="KK18" s="17">
        <v>1641.5309999999999</v>
      </c>
      <c r="KL18" s="17">
        <v>1651.1479999999999</v>
      </c>
      <c r="KM18" s="17">
        <v>1660.8050000000001</v>
      </c>
      <c r="KN18" s="17">
        <v>1670.4960000000001</v>
      </c>
      <c r="KO18" s="17">
        <v>1680.223</v>
      </c>
      <c r="KP18" s="17">
        <v>1689.992</v>
      </c>
      <c r="KQ18" s="17">
        <v>1699.798</v>
      </c>
      <c r="KR18" s="17">
        <v>1709.644</v>
      </c>
      <c r="KS18" s="17">
        <v>1719.5309999999999</v>
      </c>
      <c r="KT18" s="17">
        <v>1729.451</v>
      </c>
      <c r="KU18" s="17">
        <v>1739.414</v>
      </c>
      <c r="KV18" s="17">
        <v>1749.413</v>
      </c>
      <c r="KW18" s="17">
        <v>1759.454</v>
      </c>
      <c r="KX18" s="17">
        <v>1769.5309999999999</v>
      </c>
      <c r="KY18" s="17">
        <v>1779.6420000000001</v>
      </c>
      <c r="KZ18" s="17">
        <v>1789.7919999999999</v>
      </c>
      <c r="LA18" s="17">
        <v>1799.973</v>
      </c>
      <c r="LB18" s="17">
        <v>1810.1969999999999</v>
      </c>
      <c r="LC18" s="17">
        <v>1820.4570000000001</v>
      </c>
      <c r="LD18" s="17">
        <v>1830.76</v>
      </c>
      <c r="LE18" s="17">
        <v>1841.107</v>
      </c>
      <c r="LF18" s="17">
        <v>1851.5029999999999</v>
      </c>
      <c r="LG18" s="17">
        <v>1861.943</v>
      </c>
      <c r="LH18" s="17">
        <v>1872.423</v>
      </c>
      <c r="LI18" s="17">
        <v>1882.9580000000001</v>
      </c>
      <c r="LJ18" s="17">
        <v>1893.539</v>
      </c>
      <c r="LK18" s="17">
        <v>1904.1679999999999</v>
      </c>
      <c r="LL18" s="17">
        <v>1914.8489999999999</v>
      </c>
      <c r="LM18" s="17">
        <v>1925.5840000000001</v>
      </c>
      <c r="LN18" s="17">
        <v>1936.367</v>
      </c>
      <c r="LO18" s="17">
        <v>1947.1990000000001</v>
      </c>
      <c r="LP18" s="17">
        <v>1958.0820000000001</v>
      </c>
      <c r="LQ18" s="17">
        <v>1969.0160000000001</v>
      </c>
      <c r="LR18" s="17">
        <v>1979.9960000000001</v>
      </c>
      <c r="LS18" s="17">
        <v>1991.027</v>
      </c>
      <c r="LT18" s="17">
        <v>2002.104</v>
      </c>
      <c r="LU18" s="17">
        <v>2013.2429999999999</v>
      </c>
      <c r="LV18" s="17">
        <v>2024.4269999999999</v>
      </c>
      <c r="LW18" s="17">
        <v>2035.664</v>
      </c>
      <c r="LX18" s="17">
        <v>2046.9559999999999</v>
      </c>
      <c r="LY18" s="17">
        <v>2058.2939999999999</v>
      </c>
      <c r="LZ18" s="17">
        <v>2069.6869999999999</v>
      </c>
      <c r="MA18" s="17">
        <v>2081.1280000000002</v>
      </c>
      <c r="MB18" s="17">
        <v>2092.625</v>
      </c>
      <c r="MC18" s="17">
        <v>2104.1729999999998</v>
      </c>
      <c r="MD18" s="17">
        <v>2115.7779999999998</v>
      </c>
      <c r="ME18" s="17">
        <v>2127.4349999999999</v>
      </c>
      <c r="MF18" s="17">
        <v>2139.1489999999999</v>
      </c>
      <c r="MG18" s="17">
        <v>2150.9169999999999</v>
      </c>
      <c r="MH18" s="17">
        <v>2162.7449999999999</v>
      </c>
      <c r="MI18" s="17">
        <v>2174.6239999999998</v>
      </c>
      <c r="MJ18" s="17">
        <v>2186.5650000000001</v>
      </c>
      <c r="MK18" s="17">
        <v>2198.5630000000001</v>
      </c>
      <c r="ML18" s="17">
        <v>2210.614</v>
      </c>
      <c r="MM18" s="17">
        <v>2222.721</v>
      </c>
      <c r="MN18" s="17">
        <v>2234.8879999999999</v>
      </c>
      <c r="MO18" s="17">
        <v>2247.114</v>
      </c>
      <c r="MP18" s="17">
        <v>2259.3960000000002</v>
      </c>
      <c r="MQ18" s="17">
        <v>2271.7330000000002</v>
      </c>
      <c r="MR18" s="17">
        <v>2284.1260000000002</v>
      </c>
      <c r="MS18" s="17">
        <v>2296.5720000000001</v>
      </c>
      <c r="MT18" s="17">
        <v>2309.0770000000002</v>
      </c>
      <c r="MU18" s="13" t="s">
        <v>973</v>
      </c>
      <c r="MV18" s="13" t="b">
        <v>1</v>
      </c>
      <c r="MW18" s="15" t="s">
        <v>1056</v>
      </c>
      <c r="MX18" s="13" t="s">
        <v>480</v>
      </c>
      <c r="MY18" s="13">
        <v>2024</v>
      </c>
      <c r="MZ18" s="13">
        <v>2</v>
      </c>
      <c r="NA18" s="13" t="s">
        <v>480</v>
      </c>
      <c r="NB18" s="15" t="s">
        <v>974</v>
      </c>
      <c r="NC18" s="15" t="s">
        <v>1057</v>
      </c>
      <c r="ND18" s="13" t="s">
        <v>975</v>
      </c>
      <c r="NE18" s="13" t="s">
        <v>484</v>
      </c>
      <c r="NF18" s="15" t="s">
        <v>1268</v>
      </c>
    </row>
    <row r="19" spans="1:370" x14ac:dyDescent="0.25">
      <c r="A19" s="13" t="s">
        <v>976</v>
      </c>
      <c r="B19" s="13" t="s">
        <v>474</v>
      </c>
      <c r="C19" s="15" t="s">
        <v>1267</v>
      </c>
      <c r="D19" s="13" t="s">
        <v>977</v>
      </c>
      <c r="E19" s="13" t="s">
        <v>972</v>
      </c>
      <c r="F19" s="13" t="s">
        <v>477</v>
      </c>
      <c r="G19" s="16">
        <v>7538.9369999999999</v>
      </c>
      <c r="H19" s="16">
        <v>7785.1509999999998</v>
      </c>
      <c r="I19" s="16">
        <v>8273.7720000000008</v>
      </c>
      <c r="J19" s="16">
        <v>8534.0010000000002</v>
      </c>
      <c r="K19" s="16">
        <v>8148.8869999999997</v>
      </c>
      <c r="L19" s="16">
        <v>7817.4870000000001</v>
      </c>
      <c r="M19" s="16">
        <v>7520.0209999999997</v>
      </c>
      <c r="N19" s="16">
        <v>7397.2730000000001</v>
      </c>
      <c r="O19" s="16">
        <v>7307.3609999999999</v>
      </c>
      <c r="P19" s="16">
        <v>7279.2960000000003</v>
      </c>
      <c r="Q19" s="16">
        <v>7263.1210000000001</v>
      </c>
      <c r="R19" s="16">
        <v>7170.4610000000002</v>
      </c>
      <c r="S19" s="16">
        <v>7167.9709999999995</v>
      </c>
      <c r="T19" s="16">
        <v>7232.4719999999998</v>
      </c>
      <c r="U19" s="16">
        <v>7323.7629999999999</v>
      </c>
      <c r="V19" s="16">
        <v>7263.9759999999997</v>
      </c>
      <c r="W19" s="16">
        <v>7232.6289999999999</v>
      </c>
      <c r="X19" s="16">
        <v>7209.5209999999997</v>
      </c>
      <c r="Y19" s="16">
        <v>7185.7780000000002</v>
      </c>
      <c r="Z19" s="16">
        <v>7234.7640000000001</v>
      </c>
      <c r="AA19" s="16">
        <v>7206.4269999999997</v>
      </c>
      <c r="AB19" s="16">
        <v>7358.9359999999997</v>
      </c>
      <c r="AC19" s="16">
        <v>7538.268</v>
      </c>
      <c r="AD19" s="16">
        <v>8021.7269999999999</v>
      </c>
      <c r="AE19" s="16">
        <v>8321.4240000000009</v>
      </c>
      <c r="AF19" s="16">
        <v>8423.9500000000007</v>
      </c>
      <c r="AG19" s="16">
        <v>8586.6859999999997</v>
      </c>
      <c r="AH19" s="16">
        <v>8691.4740000000002</v>
      </c>
      <c r="AI19" s="16">
        <v>9524.375</v>
      </c>
      <c r="AJ19" s="16">
        <v>9600.9</v>
      </c>
      <c r="AK19" s="16">
        <v>9555.85</v>
      </c>
      <c r="AL19" s="16">
        <v>9806.9249999999993</v>
      </c>
      <c r="AM19" s="16">
        <v>9885.5</v>
      </c>
      <c r="AN19" s="16">
        <v>9903.4249999999993</v>
      </c>
      <c r="AO19" s="16">
        <v>10016.469999999999</v>
      </c>
      <c r="AP19" s="16">
        <v>10200.549999999999</v>
      </c>
      <c r="AQ19" s="16">
        <v>9972.4500000000007</v>
      </c>
      <c r="AR19" s="16">
        <v>10226.719999999999</v>
      </c>
      <c r="AS19" s="16">
        <v>10214.780000000001</v>
      </c>
      <c r="AT19" s="16">
        <v>10081.42</v>
      </c>
      <c r="AU19" s="16">
        <v>10174.450000000001</v>
      </c>
      <c r="AV19" s="16">
        <v>10476.42</v>
      </c>
      <c r="AW19" s="16">
        <v>10463.35</v>
      </c>
      <c r="AX19" s="16">
        <v>10506.9</v>
      </c>
      <c r="AY19" s="16">
        <v>10852.88</v>
      </c>
      <c r="AZ19" s="16">
        <v>10983.83</v>
      </c>
      <c r="BA19" s="16">
        <v>11419.08</v>
      </c>
      <c r="BB19" s="16">
        <v>11817.88</v>
      </c>
      <c r="BC19" s="16">
        <v>12040.58</v>
      </c>
      <c r="BD19" s="16">
        <v>11917.72</v>
      </c>
      <c r="BE19" s="16">
        <v>12507.83</v>
      </c>
      <c r="BF19" s="16">
        <v>12702.38</v>
      </c>
      <c r="BG19" s="16">
        <v>12631.65</v>
      </c>
      <c r="BH19" s="16">
        <v>13073.17</v>
      </c>
      <c r="BI19" s="16">
        <v>13119.95</v>
      </c>
      <c r="BJ19" s="16">
        <v>13331.2</v>
      </c>
      <c r="BK19" s="16">
        <v>13349.8</v>
      </c>
      <c r="BL19" s="16">
        <v>13774.95</v>
      </c>
      <c r="BM19" s="16">
        <v>14146.75</v>
      </c>
      <c r="BN19" s="16">
        <v>14423.92</v>
      </c>
      <c r="BO19" s="16">
        <v>15110.53</v>
      </c>
      <c r="BP19" s="16">
        <v>15844.42</v>
      </c>
      <c r="BQ19" s="16">
        <v>16842.150000000001</v>
      </c>
      <c r="BR19" s="16">
        <v>17364.8</v>
      </c>
      <c r="BS19" s="16">
        <v>18119.28</v>
      </c>
      <c r="BT19" s="16">
        <v>17615.95</v>
      </c>
      <c r="BU19" s="16">
        <v>18047.099999999999</v>
      </c>
      <c r="BV19" s="16">
        <v>18880.05</v>
      </c>
      <c r="BW19" s="16">
        <v>18973.099999999999</v>
      </c>
      <c r="BX19" s="16">
        <v>19822.07</v>
      </c>
      <c r="BY19" s="16">
        <v>20223.22</v>
      </c>
      <c r="BZ19" s="16">
        <v>20514.8</v>
      </c>
      <c r="CA19" s="16">
        <v>21389.95</v>
      </c>
      <c r="CB19" s="16">
        <v>21149</v>
      </c>
      <c r="CC19" s="16">
        <v>21093.35</v>
      </c>
      <c r="CD19" s="16">
        <v>21057.38</v>
      </c>
      <c r="CE19" s="16">
        <v>19985.43</v>
      </c>
      <c r="CF19" s="16">
        <v>20077.400000000001</v>
      </c>
      <c r="CG19" s="16">
        <v>19615.53</v>
      </c>
      <c r="CH19" s="16">
        <v>19011.5</v>
      </c>
      <c r="CI19" s="16">
        <v>18777.8</v>
      </c>
      <c r="CJ19" s="16">
        <v>17781.78</v>
      </c>
      <c r="CK19" s="16">
        <v>16828.099999999999</v>
      </c>
      <c r="CL19" s="16">
        <v>16054.28</v>
      </c>
      <c r="CM19" s="16">
        <v>16564.8</v>
      </c>
      <c r="CN19" s="16">
        <v>16516.25</v>
      </c>
      <c r="CO19" s="16">
        <v>16499.8</v>
      </c>
      <c r="CP19" s="16">
        <v>16757.22</v>
      </c>
      <c r="CQ19" s="16">
        <v>17161.93</v>
      </c>
      <c r="CR19" s="16">
        <v>17772</v>
      </c>
      <c r="CS19" s="16">
        <v>18083.63</v>
      </c>
      <c r="CT19" s="16">
        <v>18381.28</v>
      </c>
      <c r="CU19" s="16">
        <v>18321.25</v>
      </c>
      <c r="CV19" s="16">
        <v>18951</v>
      </c>
      <c r="CW19" s="16">
        <v>19213.75</v>
      </c>
      <c r="CX19" s="16">
        <v>19225.18</v>
      </c>
      <c r="CY19" s="16">
        <v>19415.13</v>
      </c>
      <c r="CZ19" s="16">
        <v>19450.95</v>
      </c>
      <c r="DA19" s="16">
        <v>19557.5</v>
      </c>
      <c r="DB19" s="16">
        <v>19977.95</v>
      </c>
      <c r="DC19" s="16">
        <v>19669.8</v>
      </c>
      <c r="DD19" s="16">
        <v>19484.47</v>
      </c>
      <c r="DE19" s="16">
        <v>19350.63</v>
      </c>
      <c r="DF19" s="16">
        <v>18838.650000000001</v>
      </c>
      <c r="DG19" s="16">
        <v>18308.13</v>
      </c>
      <c r="DH19" s="16">
        <v>18454.25</v>
      </c>
      <c r="DI19" s="16">
        <v>18347.95</v>
      </c>
      <c r="DJ19" s="16">
        <v>18545.95</v>
      </c>
      <c r="DK19" s="16">
        <v>19242.43</v>
      </c>
      <c r="DL19" s="16">
        <v>18969.72</v>
      </c>
      <c r="DM19" s="16">
        <v>19619.22</v>
      </c>
      <c r="DN19" s="16">
        <v>20209.78</v>
      </c>
      <c r="DO19" s="16">
        <v>20316.45</v>
      </c>
      <c r="DP19" s="16">
        <v>19774.68</v>
      </c>
      <c r="DQ19" s="16">
        <v>19411.03</v>
      </c>
      <c r="DR19" s="16">
        <v>18648.68</v>
      </c>
      <c r="DS19" s="16">
        <v>18489.18</v>
      </c>
      <c r="DT19" s="16">
        <v>18231.78</v>
      </c>
      <c r="DU19" s="16">
        <v>18530.97</v>
      </c>
      <c r="DV19" s="16">
        <v>18545.05</v>
      </c>
      <c r="DW19" s="16">
        <v>18617.3</v>
      </c>
      <c r="DX19" s="16">
        <v>18902.95</v>
      </c>
      <c r="DY19" s="16">
        <v>18608.349999999999</v>
      </c>
      <c r="DZ19" s="16">
        <v>19356.75</v>
      </c>
      <c r="EA19" s="16">
        <v>19339.849999999999</v>
      </c>
      <c r="EB19" s="16">
        <v>19271.22</v>
      </c>
      <c r="EC19" s="16">
        <v>19516.53</v>
      </c>
      <c r="ED19" s="16">
        <v>19946.3</v>
      </c>
      <c r="EE19" s="16">
        <v>20448.82</v>
      </c>
      <c r="EF19" s="16">
        <v>21158.57</v>
      </c>
      <c r="EG19" s="16">
        <v>21629.32</v>
      </c>
      <c r="EH19" s="16">
        <v>21278.3</v>
      </c>
      <c r="EI19" s="16">
        <v>21189.15</v>
      </c>
      <c r="EJ19" s="16">
        <v>21536.57</v>
      </c>
      <c r="EK19" s="16">
        <v>21575.5</v>
      </c>
      <c r="EL19" s="16">
        <v>21969.8</v>
      </c>
      <c r="EM19" s="16">
        <v>22051.03</v>
      </c>
      <c r="EN19" s="16">
        <v>21805.38</v>
      </c>
      <c r="EO19" s="16">
        <v>21538.03</v>
      </c>
      <c r="EP19" s="16">
        <v>21516.6</v>
      </c>
      <c r="EQ19" s="16">
        <v>21691</v>
      </c>
      <c r="ER19" s="16">
        <v>21342.78</v>
      </c>
      <c r="ES19" s="16">
        <v>21000.22</v>
      </c>
      <c r="ET19" s="16">
        <v>20316.25</v>
      </c>
      <c r="EU19" s="16">
        <v>19083.28</v>
      </c>
      <c r="EV19" s="16">
        <v>18491.75</v>
      </c>
      <c r="EW19" s="16">
        <v>17990.47</v>
      </c>
      <c r="EX19" s="16">
        <v>17820.8</v>
      </c>
      <c r="EY19" s="16">
        <v>17934.88</v>
      </c>
      <c r="EZ19" s="16">
        <v>18140.53</v>
      </c>
      <c r="FA19" s="16">
        <v>18358.3</v>
      </c>
      <c r="FB19" s="16">
        <v>18333.47</v>
      </c>
      <c r="FC19" s="16">
        <v>18758.07</v>
      </c>
      <c r="FD19" s="16">
        <v>18417.650000000001</v>
      </c>
      <c r="FE19" s="16">
        <v>18851.650000000001</v>
      </c>
      <c r="FF19" s="16">
        <v>19591.68</v>
      </c>
      <c r="FG19" s="16">
        <v>19615.55</v>
      </c>
      <c r="FH19" s="16">
        <v>19577.150000000001</v>
      </c>
      <c r="FI19" s="16">
        <v>19428.78</v>
      </c>
      <c r="FJ19" s="16">
        <v>19382.93</v>
      </c>
      <c r="FK19" s="16">
        <v>19370.93</v>
      </c>
      <c r="FL19" s="16">
        <v>20032.22</v>
      </c>
      <c r="FM19" s="16">
        <v>20317.75</v>
      </c>
      <c r="FN19" s="16">
        <v>20464.900000000001</v>
      </c>
      <c r="FO19" s="16">
        <v>20993.43</v>
      </c>
      <c r="FP19" s="16">
        <v>20571.18</v>
      </c>
      <c r="FQ19" s="16">
        <v>20694.150000000001</v>
      </c>
      <c r="FR19" s="16">
        <v>20851.55</v>
      </c>
      <c r="FS19" s="16">
        <v>21901.88</v>
      </c>
      <c r="FT19" s="16">
        <v>21604</v>
      </c>
      <c r="FU19" s="16">
        <v>21899.18</v>
      </c>
      <c r="FV19" s="16">
        <v>21859.97</v>
      </c>
      <c r="FW19" s="16">
        <v>21731.38</v>
      </c>
      <c r="FX19" s="16">
        <v>21775.82</v>
      </c>
      <c r="FY19" s="16">
        <v>21863.3</v>
      </c>
      <c r="FZ19" s="16">
        <v>22029.57</v>
      </c>
      <c r="GA19" s="16">
        <v>22107.25</v>
      </c>
      <c r="GB19" s="16">
        <v>22290.75</v>
      </c>
      <c r="GC19" s="16">
        <v>22477.63</v>
      </c>
      <c r="GD19" s="16">
        <v>22614.2</v>
      </c>
      <c r="GE19" s="16">
        <v>22847.15</v>
      </c>
      <c r="GF19" s="16">
        <v>23181</v>
      </c>
      <c r="GG19" s="16">
        <v>22514.75</v>
      </c>
      <c r="GH19" s="16">
        <v>22989.15</v>
      </c>
      <c r="GI19" s="16">
        <v>23004.07</v>
      </c>
      <c r="GJ19" s="16">
        <v>22866.32</v>
      </c>
      <c r="GK19" s="16">
        <v>23354.57</v>
      </c>
      <c r="GL19" s="16">
        <v>21676.38</v>
      </c>
      <c r="GM19" s="16">
        <v>22634.47</v>
      </c>
      <c r="GN19" s="16">
        <v>21041.03</v>
      </c>
      <c r="GO19" s="16">
        <v>21047.63</v>
      </c>
      <c r="GP19" s="16">
        <v>21431.03</v>
      </c>
      <c r="GQ19" s="16">
        <v>21749.57</v>
      </c>
      <c r="GR19" s="16">
        <v>22204.22</v>
      </c>
      <c r="GS19" s="16">
        <v>21890.55</v>
      </c>
      <c r="GT19" s="16">
        <v>21957.32</v>
      </c>
      <c r="GU19" s="16">
        <v>22038.2</v>
      </c>
      <c r="GV19" s="16">
        <v>22538.75</v>
      </c>
      <c r="GW19" s="16">
        <v>23017.32</v>
      </c>
      <c r="GX19" s="16">
        <v>22742.63</v>
      </c>
      <c r="GY19" s="16">
        <v>23271.8</v>
      </c>
      <c r="GZ19" s="16">
        <v>22796.75</v>
      </c>
      <c r="HA19" s="16">
        <v>22760.2</v>
      </c>
      <c r="HB19" s="16">
        <v>23236.47</v>
      </c>
      <c r="HC19" s="16">
        <v>23125.9</v>
      </c>
      <c r="HD19" s="16">
        <v>23305.22</v>
      </c>
      <c r="HE19" s="17">
        <v>23474.01</v>
      </c>
      <c r="HF19" s="17">
        <v>23535.15</v>
      </c>
      <c r="HG19" s="17">
        <v>23568.41</v>
      </c>
      <c r="HH19" s="17">
        <v>23593.040000000001</v>
      </c>
      <c r="HI19" s="17">
        <v>23633.85</v>
      </c>
      <c r="HJ19" s="17">
        <v>23686.79</v>
      </c>
      <c r="HK19" s="17">
        <v>23771.599999999999</v>
      </c>
      <c r="HL19" s="17">
        <v>23877.03</v>
      </c>
      <c r="HM19" s="17">
        <v>23982.53</v>
      </c>
      <c r="HN19" s="17">
        <v>24093.13</v>
      </c>
      <c r="HO19" s="17">
        <v>24205.08</v>
      </c>
      <c r="HP19" s="17">
        <v>24283.279999999999</v>
      </c>
      <c r="HQ19" s="17">
        <v>24367.48</v>
      </c>
      <c r="HR19" s="17">
        <v>24471.06</v>
      </c>
      <c r="HS19" s="17">
        <v>24547.07</v>
      </c>
      <c r="HT19" s="17">
        <v>24630.46</v>
      </c>
      <c r="HU19" s="17">
        <v>24700.15</v>
      </c>
      <c r="HV19" s="17">
        <v>24765.66</v>
      </c>
      <c r="HW19" s="17">
        <v>24822.01</v>
      </c>
      <c r="HX19" s="17">
        <v>24876.959999999999</v>
      </c>
      <c r="HY19" s="17">
        <v>24924.87</v>
      </c>
      <c r="HZ19" s="17">
        <v>24956.27</v>
      </c>
      <c r="IA19" s="17">
        <v>24988.51</v>
      </c>
      <c r="IB19" s="17">
        <v>25022.04</v>
      </c>
      <c r="IC19" s="17">
        <v>25054.12</v>
      </c>
      <c r="ID19" s="17">
        <v>25086.46</v>
      </c>
      <c r="IE19" s="17">
        <v>25118.02</v>
      </c>
      <c r="IF19" s="17">
        <v>25149.78</v>
      </c>
      <c r="IG19" s="17">
        <v>25183.22</v>
      </c>
      <c r="IH19" s="17">
        <v>25212.31</v>
      </c>
      <c r="II19" s="17">
        <v>25240.48</v>
      </c>
      <c r="IJ19" s="17">
        <v>25269.15</v>
      </c>
      <c r="IK19" s="17">
        <v>25299.88</v>
      </c>
      <c r="IL19" s="17">
        <v>25329.24</v>
      </c>
      <c r="IM19" s="17">
        <v>25353.18</v>
      </c>
      <c r="IN19" s="17">
        <v>25370.799999999999</v>
      </c>
      <c r="IO19" s="17">
        <v>25386.52</v>
      </c>
      <c r="IP19" s="17">
        <v>25400.76</v>
      </c>
      <c r="IQ19" s="17">
        <v>25416.720000000001</v>
      </c>
      <c r="IR19" s="17">
        <v>25429.66</v>
      </c>
      <c r="IS19" s="17">
        <v>25433.87</v>
      </c>
      <c r="IT19" s="17">
        <v>25428.23</v>
      </c>
      <c r="IU19" s="17">
        <v>25426.91</v>
      </c>
      <c r="IV19" s="17">
        <v>25421.23</v>
      </c>
      <c r="IW19" s="17">
        <v>25413.93</v>
      </c>
      <c r="IX19" s="17">
        <v>25404.46</v>
      </c>
      <c r="IY19" s="17">
        <v>25398.37</v>
      </c>
      <c r="IZ19" s="17">
        <v>25392.23</v>
      </c>
      <c r="JA19" s="17">
        <v>25386.74</v>
      </c>
      <c r="JB19" s="17">
        <v>25380.67</v>
      </c>
      <c r="JC19" s="17">
        <v>25374.16</v>
      </c>
      <c r="JD19" s="17">
        <v>25367.599999999999</v>
      </c>
      <c r="JE19" s="17">
        <v>25360.9</v>
      </c>
      <c r="JF19" s="17">
        <v>25353.759999999998</v>
      </c>
      <c r="JG19" s="17">
        <v>25346.080000000002</v>
      </c>
      <c r="JH19" s="17">
        <v>25338.47</v>
      </c>
      <c r="JI19" s="17">
        <v>25330.65</v>
      </c>
      <c r="JJ19" s="17">
        <v>25322.19</v>
      </c>
      <c r="JK19" s="17">
        <v>25312.98</v>
      </c>
      <c r="JL19" s="17">
        <v>25303.35</v>
      </c>
      <c r="JM19" s="17">
        <v>25293.61</v>
      </c>
      <c r="JN19" s="17">
        <v>25284.560000000001</v>
      </c>
      <c r="JO19" s="17">
        <v>25276.28</v>
      </c>
      <c r="JP19" s="17">
        <v>25268.22</v>
      </c>
      <c r="JQ19" s="17">
        <v>25260.01</v>
      </c>
      <c r="JR19" s="17">
        <v>25252.61</v>
      </c>
      <c r="JS19" s="17">
        <v>25246</v>
      </c>
      <c r="JT19" s="17">
        <v>25239.71</v>
      </c>
      <c r="JU19" s="17">
        <v>25233.360000000001</v>
      </c>
      <c r="JV19" s="17">
        <v>25227.71</v>
      </c>
      <c r="JW19" s="17">
        <v>25222.71</v>
      </c>
      <c r="JX19" s="17">
        <v>25218.14</v>
      </c>
      <c r="JY19" s="17">
        <v>25213.72</v>
      </c>
      <c r="JZ19" s="17">
        <v>25210.12</v>
      </c>
      <c r="KA19" s="17">
        <v>25207.23</v>
      </c>
      <c r="KB19" s="17">
        <v>25204.82</v>
      </c>
      <c r="KC19" s="17">
        <v>25202.639999999999</v>
      </c>
      <c r="KD19" s="17">
        <v>25201.02</v>
      </c>
      <c r="KE19" s="17">
        <v>25199.97</v>
      </c>
      <c r="KF19" s="17">
        <v>25199.65</v>
      </c>
      <c r="KG19" s="17">
        <v>25200.18</v>
      </c>
      <c r="KH19" s="17">
        <v>25202.01</v>
      </c>
      <c r="KI19" s="17">
        <v>25205.1</v>
      </c>
      <c r="KJ19" s="17">
        <v>25209.16</v>
      </c>
      <c r="KK19" s="17">
        <v>25213.96</v>
      </c>
      <c r="KL19" s="17">
        <v>25219.82</v>
      </c>
      <c r="KM19" s="17">
        <v>25226.71</v>
      </c>
      <c r="KN19" s="17">
        <v>25234.47</v>
      </c>
      <c r="KO19" s="17">
        <v>25242.95</v>
      </c>
      <c r="KP19" s="17">
        <v>25252.32</v>
      </c>
      <c r="KQ19" s="17">
        <v>25262.45</v>
      </c>
      <c r="KR19" s="17">
        <v>25272.76</v>
      </c>
      <c r="KS19" s="17">
        <v>25283.22</v>
      </c>
      <c r="KT19" s="17">
        <v>25294.6</v>
      </c>
      <c r="KU19" s="17">
        <v>25306.79</v>
      </c>
      <c r="KV19" s="17">
        <v>25318.83</v>
      </c>
      <c r="KW19" s="17">
        <v>25330.65</v>
      </c>
      <c r="KX19" s="17">
        <v>25343.01</v>
      </c>
      <c r="KY19" s="17">
        <v>25355.97</v>
      </c>
      <c r="KZ19" s="17">
        <v>25368.36</v>
      </c>
      <c r="LA19" s="17">
        <v>25380.65</v>
      </c>
      <c r="LB19" s="17">
        <v>25394.49</v>
      </c>
      <c r="LC19" s="17">
        <v>25410.05</v>
      </c>
      <c r="LD19" s="17">
        <v>25425.7</v>
      </c>
      <c r="LE19" s="17">
        <v>25441.19</v>
      </c>
      <c r="LF19" s="17">
        <v>25458.42</v>
      </c>
      <c r="LG19" s="17">
        <v>25477.41</v>
      </c>
      <c r="LH19" s="17">
        <v>25496.42</v>
      </c>
      <c r="LI19" s="17">
        <v>25515.39</v>
      </c>
      <c r="LJ19" s="17">
        <v>25536.04</v>
      </c>
      <c r="LK19" s="17">
        <v>25558.17</v>
      </c>
      <c r="LL19" s="17">
        <v>25579.94</v>
      </c>
      <c r="LM19" s="17">
        <v>25601.51</v>
      </c>
      <c r="LN19" s="17">
        <v>25625.49</v>
      </c>
      <c r="LO19" s="17">
        <v>25651.919999999998</v>
      </c>
      <c r="LP19" s="17">
        <v>25678.35</v>
      </c>
      <c r="LQ19" s="17">
        <v>25704.25</v>
      </c>
      <c r="LR19" s="17">
        <v>25731.47</v>
      </c>
      <c r="LS19" s="17">
        <v>25760.080000000002</v>
      </c>
      <c r="LT19" s="17">
        <v>25788.98</v>
      </c>
      <c r="LU19" s="17">
        <v>25817.72</v>
      </c>
      <c r="LV19" s="17">
        <v>25847.29</v>
      </c>
      <c r="LW19" s="17">
        <v>25877.69</v>
      </c>
      <c r="LX19" s="17">
        <v>25908.29</v>
      </c>
      <c r="LY19" s="17">
        <v>25938.98</v>
      </c>
      <c r="LZ19" s="17">
        <v>25970.77</v>
      </c>
      <c r="MA19" s="17">
        <v>26003.439999999999</v>
      </c>
      <c r="MB19" s="17">
        <v>26036.38</v>
      </c>
      <c r="MC19" s="17">
        <v>26069.33</v>
      </c>
      <c r="MD19" s="17">
        <v>26102.97</v>
      </c>
      <c r="ME19" s="17">
        <v>26137.23</v>
      </c>
      <c r="MF19" s="17">
        <v>26171.24</v>
      </c>
      <c r="MG19" s="17">
        <v>26204.959999999999</v>
      </c>
      <c r="MH19" s="17">
        <v>26239.95</v>
      </c>
      <c r="MI19" s="17">
        <v>26276.06</v>
      </c>
      <c r="MJ19" s="17">
        <v>26311.9</v>
      </c>
      <c r="MK19" s="17">
        <v>26347.3</v>
      </c>
      <c r="ML19" s="17">
        <v>26383.51</v>
      </c>
      <c r="MM19" s="17">
        <v>26420.639999999999</v>
      </c>
      <c r="MN19" s="17">
        <v>26457.46</v>
      </c>
      <c r="MO19" s="17">
        <v>26493.63</v>
      </c>
      <c r="MP19" s="17">
        <v>26530.15</v>
      </c>
      <c r="MQ19" s="17">
        <v>26567.13</v>
      </c>
      <c r="MR19" s="17">
        <v>26603.56</v>
      </c>
      <c r="MS19" s="17">
        <v>26639.56</v>
      </c>
      <c r="MT19" s="17">
        <v>26676.39</v>
      </c>
      <c r="MU19" s="13" t="s">
        <v>1244</v>
      </c>
      <c r="MV19" s="13" t="b">
        <v>1</v>
      </c>
      <c r="MW19" s="13">
        <v>2015</v>
      </c>
      <c r="MX19" s="13" t="s">
        <v>480</v>
      </c>
      <c r="MY19" s="13">
        <v>2024</v>
      </c>
      <c r="MZ19" s="13">
        <v>2</v>
      </c>
      <c r="NA19" s="13" t="s">
        <v>480</v>
      </c>
      <c r="NB19" s="15" t="s">
        <v>979</v>
      </c>
      <c r="NC19" s="15" t="s">
        <v>980</v>
      </c>
      <c r="ND19" s="13" t="s">
        <v>981</v>
      </c>
      <c r="NE19" s="13" t="s">
        <v>484</v>
      </c>
      <c r="NF19" s="15" t="s">
        <v>1268</v>
      </c>
    </row>
    <row r="20" spans="1:370" x14ac:dyDescent="0.25">
      <c r="A20" s="13" t="s">
        <v>982</v>
      </c>
      <c r="B20" s="13" t="s">
        <v>474</v>
      </c>
      <c r="C20" s="15" t="s">
        <v>1267</v>
      </c>
      <c r="D20" s="13" t="s">
        <v>983</v>
      </c>
      <c r="E20" s="13" t="s">
        <v>972</v>
      </c>
      <c r="F20" s="13" t="s">
        <v>477</v>
      </c>
      <c r="G20" s="16">
        <v>40.269599999999997</v>
      </c>
      <c r="H20" s="16">
        <v>38.847670000000001</v>
      </c>
      <c r="I20" s="16">
        <v>38.708660000000002</v>
      </c>
      <c r="J20" s="16">
        <v>38.832450000000001</v>
      </c>
      <c r="K20" s="16">
        <v>35.134369999999997</v>
      </c>
      <c r="L20" s="16">
        <v>34.130409999999998</v>
      </c>
      <c r="M20" s="16">
        <v>33.998570000000001</v>
      </c>
      <c r="N20" s="16">
        <v>32.611609999999999</v>
      </c>
      <c r="O20" s="16">
        <v>34.379559999999998</v>
      </c>
      <c r="P20" s="16">
        <v>31.640360000000001</v>
      </c>
      <c r="Q20" s="16">
        <v>33.127319999999997</v>
      </c>
      <c r="R20" s="16">
        <v>34.987299999999998</v>
      </c>
      <c r="S20" s="16">
        <v>36.176079999999999</v>
      </c>
      <c r="T20" s="16">
        <v>36.009439999999998</v>
      </c>
      <c r="U20" s="16">
        <v>34.374969999999998</v>
      </c>
      <c r="V20" s="16">
        <v>36.99926</v>
      </c>
      <c r="W20" s="16">
        <v>39.336030000000001</v>
      </c>
      <c r="X20" s="16">
        <v>39.045059999999999</v>
      </c>
      <c r="Y20" s="16">
        <v>39.586730000000003</v>
      </c>
      <c r="Z20" s="16">
        <v>40.188589999999998</v>
      </c>
      <c r="AA20" s="16">
        <v>41.486049999999999</v>
      </c>
      <c r="AB20" s="16">
        <v>40.388179999999998</v>
      </c>
      <c r="AC20" s="16">
        <v>44.956510000000002</v>
      </c>
      <c r="AD20" s="16">
        <v>45.094250000000002</v>
      </c>
      <c r="AE20" s="16">
        <v>44.981270000000002</v>
      </c>
      <c r="AF20" s="16">
        <v>45.945590000000003</v>
      </c>
      <c r="AG20" s="16">
        <v>48.1265</v>
      </c>
      <c r="AH20" s="16">
        <v>47.61533</v>
      </c>
      <c r="AI20" s="16">
        <v>47.807470000000002</v>
      </c>
      <c r="AJ20" s="16">
        <v>49.572119999999998</v>
      </c>
      <c r="AK20" s="16">
        <v>49.101900000000001</v>
      </c>
      <c r="AL20" s="16">
        <v>48.751420000000003</v>
      </c>
      <c r="AM20" s="16">
        <v>47.801430000000003</v>
      </c>
      <c r="AN20" s="16">
        <v>48.372909999999997</v>
      </c>
      <c r="AO20" s="16">
        <v>47.025210000000001</v>
      </c>
      <c r="AP20" s="16">
        <v>45.112580000000001</v>
      </c>
      <c r="AQ20" s="16">
        <v>45.834919999999997</v>
      </c>
      <c r="AR20" s="16">
        <v>46.068150000000003</v>
      </c>
      <c r="AS20" s="16">
        <v>45.189019999999999</v>
      </c>
      <c r="AT20" s="16">
        <v>45.304969999999997</v>
      </c>
      <c r="AU20" s="16">
        <v>44.889949999999999</v>
      </c>
      <c r="AV20" s="16">
        <v>47.794370000000001</v>
      </c>
      <c r="AW20" s="16">
        <v>47.410499999999999</v>
      </c>
      <c r="AX20" s="16">
        <v>49.660679999999999</v>
      </c>
      <c r="AY20" s="16">
        <v>45.153770000000002</v>
      </c>
      <c r="AZ20" s="16">
        <v>44.010350000000003</v>
      </c>
      <c r="BA20" s="16">
        <v>49.825279999999999</v>
      </c>
      <c r="BB20" s="16">
        <v>51.065890000000003</v>
      </c>
      <c r="BC20" s="16">
        <v>49.443629999999999</v>
      </c>
      <c r="BD20" s="16">
        <v>51.11589</v>
      </c>
      <c r="BE20" s="16">
        <v>51.019750000000002</v>
      </c>
      <c r="BF20" s="16">
        <v>54.566009999999999</v>
      </c>
      <c r="BG20" s="16">
        <v>53.924379999999999</v>
      </c>
      <c r="BH20" s="16">
        <v>53.120919999999998</v>
      </c>
      <c r="BI20" s="16">
        <v>52.555259999999997</v>
      </c>
      <c r="BJ20" s="16">
        <v>54.736060000000002</v>
      </c>
      <c r="BK20" s="16">
        <v>53.785850000000003</v>
      </c>
      <c r="BL20" s="16">
        <v>56.672699999999999</v>
      </c>
      <c r="BM20" s="16">
        <v>56.158569999999997</v>
      </c>
      <c r="BN20" s="16">
        <v>56.522959999999998</v>
      </c>
      <c r="BO20" s="16">
        <v>56.293300000000002</v>
      </c>
      <c r="BP20" s="16">
        <v>58.879980000000003</v>
      </c>
      <c r="BQ20" s="16">
        <v>60.736840000000001</v>
      </c>
      <c r="BR20" s="16">
        <v>61.506419999999999</v>
      </c>
      <c r="BS20" s="16">
        <v>62.109949999999998</v>
      </c>
      <c r="BT20" s="16">
        <v>62.663939999999997</v>
      </c>
      <c r="BU20" s="16">
        <v>66.643109999999993</v>
      </c>
      <c r="BV20" s="16">
        <v>67.556790000000007</v>
      </c>
      <c r="BW20" s="16">
        <v>68.764560000000003</v>
      </c>
      <c r="BX20" s="16">
        <v>70.59599</v>
      </c>
      <c r="BY20" s="16">
        <v>72.427390000000003</v>
      </c>
      <c r="BZ20" s="16">
        <v>74.333439999999996</v>
      </c>
      <c r="CA20" s="16">
        <v>74.72</v>
      </c>
      <c r="CB20" s="16">
        <v>76.91</v>
      </c>
      <c r="CC20" s="16">
        <v>77.06</v>
      </c>
      <c r="CD20" s="16">
        <v>77.28</v>
      </c>
      <c r="CE20" s="16">
        <v>77.7</v>
      </c>
      <c r="CF20" s="16">
        <v>77.209999999999994</v>
      </c>
      <c r="CG20" s="16">
        <v>75.11</v>
      </c>
      <c r="CH20" s="16">
        <v>71.7</v>
      </c>
      <c r="CI20" s="16">
        <v>69.11</v>
      </c>
      <c r="CJ20" s="16">
        <v>68.489999999999995</v>
      </c>
      <c r="CK20" s="16">
        <v>68.790000000000006</v>
      </c>
      <c r="CL20" s="16">
        <v>65.58</v>
      </c>
      <c r="CM20" s="16">
        <v>66.44</v>
      </c>
      <c r="CN20" s="16">
        <v>66.81</v>
      </c>
      <c r="CO20" s="16">
        <v>68.48</v>
      </c>
      <c r="CP20" s="16">
        <v>68.45</v>
      </c>
      <c r="CQ20" s="16">
        <v>67.92</v>
      </c>
      <c r="CR20" s="16">
        <v>67.7</v>
      </c>
      <c r="CS20" s="16">
        <v>69.459999999999994</v>
      </c>
      <c r="CT20" s="16">
        <v>69.3</v>
      </c>
      <c r="CU20" s="16">
        <v>66.13</v>
      </c>
      <c r="CV20" s="16">
        <v>69.52</v>
      </c>
      <c r="CW20" s="16">
        <v>68.83</v>
      </c>
      <c r="CX20" s="16">
        <v>69.319999999999993</v>
      </c>
      <c r="CY20" s="16">
        <v>67.989999999999995</v>
      </c>
      <c r="CZ20" s="16">
        <v>68.81</v>
      </c>
      <c r="DA20" s="16">
        <v>69.88</v>
      </c>
      <c r="DB20" s="16">
        <v>72.58</v>
      </c>
      <c r="DC20" s="16">
        <v>73.930000000000007</v>
      </c>
      <c r="DD20" s="16">
        <v>73.84</v>
      </c>
      <c r="DE20" s="16">
        <v>74.8</v>
      </c>
      <c r="DF20" s="16">
        <v>75.290000000000006</v>
      </c>
      <c r="DG20" s="16">
        <v>76.02</v>
      </c>
      <c r="DH20" s="16">
        <v>75.91</v>
      </c>
      <c r="DI20" s="16">
        <v>77.77</v>
      </c>
      <c r="DJ20" s="16">
        <v>77.58</v>
      </c>
      <c r="DK20" s="16">
        <v>81.17</v>
      </c>
      <c r="DL20" s="16">
        <v>81.97</v>
      </c>
      <c r="DM20" s="16">
        <v>84.16</v>
      </c>
      <c r="DN20" s="16">
        <v>83.39</v>
      </c>
      <c r="DO20" s="16">
        <v>85.45</v>
      </c>
      <c r="DP20" s="16">
        <v>82.93</v>
      </c>
      <c r="DQ20" s="16">
        <v>81.13</v>
      </c>
      <c r="DR20" s="16">
        <v>78.73</v>
      </c>
      <c r="DS20" s="16">
        <v>75.180000000000007</v>
      </c>
      <c r="DT20" s="16">
        <v>75.61</v>
      </c>
      <c r="DU20" s="16">
        <v>74.72</v>
      </c>
      <c r="DV20" s="16">
        <v>74.58</v>
      </c>
      <c r="DW20" s="16">
        <v>75.28</v>
      </c>
      <c r="DX20" s="16">
        <v>73.52</v>
      </c>
      <c r="DY20" s="16">
        <v>73.59</v>
      </c>
      <c r="DZ20" s="16">
        <v>74.22</v>
      </c>
      <c r="EA20" s="16">
        <v>73.02</v>
      </c>
      <c r="EB20" s="16">
        <v>76.25</v>
      </c>
      <c r="EC20" s="16">
        <v>76.89</v>
      </c>
      <c r="ED20" s="16">
        <v>77.31</v>
      </c>
      <c r="EE20" s="16">
        <v>76.45</v>
      </c>
      <c r="EF20" s="16">
        <v>78.08</v>
      </c>
      <c r="EG20" s="16">
        <v>78.83</v>
      </c>
      <c r="EH20" s="16">
        <v>83.88</v>
      </c>
      <c r="EI20" s="16">
        <v>81.739999999999995</v>
      </c>
      <c r="EJ20" s="16">
        <v>87.2</v>
      </c>
      <c r="EK20" s="16">
        <v>86.58</v>
      </c>
      <c r="EL20" s="16">
        <v>89.58</v>
      </c>
      <c r="EM20" s="16">
        <v>91.06</v>
      </c>
      <c r="EN20" s="16">
        <v>92.76</v>
      </c>
      <c r="EO20" s="16">
        <v>92.67</v>
      </c>
      <c r="EP20" s="16">
        <v>95.67</v>
      </c>
      <c r="EQ20" s="16">
        <v>95.7</v>
      </c>
      <c r="ER20" s="16">
        <v>95.92</v>
      </c>
      <c r="ES20" s="16">
        <v>96.39</v>
      </c>
      <c r="ET20" s="16">
        <v>93.44</v>
      </c>
      <c r="EU20" s="16">
        <v>81.430000000000007</v>
      </c>
      <c r="EV20" s="16">
        <v>81.23</v>
      </c>
      <c r="EW20" s="16">
        <v>80.36</v>
      </c>
      <c r="EX20" s="16">
        <v>78.650000000000006</v>
      </c>
      <c r="EY20" s="16">
        <v>80.86</v>
      </c>
      <c r="EZ20" s="16">
        <v>86.23</v>
      </c>
      <c r="FA20" s="16">
        <v>87.68</v>
      </c>
      <c r="FB20" s="16">
        <v>88.23</v>
      </c>
      <c r="FC20" s="16">
        <v>91.08</v>
      </c>
      <c r="FD20" s="16">
        <v>92.05</v>
      </c>
      <c r="FE20" s="16">
        <v>93.93</v>
      </c>
      <c r="FF20" s="16">
        <v>93.31</v>
      </c>
      <c r="FG20" s="16">
        <v>92</v>
      </c>
      <c r="FH20" s="16">
        <v>92.95</v>
      </c>
      <c r="FI20" s="16">
        <v>91.59</v>
      </c>
      <c r="FJ20" s="16">
        <v>91.19</v>
      </c>
      <c r="FK20" s="16">
        <v>88.54</v>
      </c>
      <c r="FL20" s="16">
        <v>91.14</v>
      </c>
      <c r="FM20" s="16">
        <v>90.02</v>
      </c>
      <c r="FN20" s="16">
        <v>93.22</v>
      </c>
      <c r="FO20" s="16">
        <v>94.62</v>
      </c>
      <c r="FP20" s="16">
        <v>95.1</v>
      </c>
      <c r="FQ20" s="16">
        <v>94.85</v>
      </c>
      <c r="FR20" s="16">
        <v>96</v>
      </c>
      <c r="FS20" s="16">
        <v>95.89</v>
      </c>
      <c r="FT20" s="16">
        <v>96.56</v>
      </c>
      <c r="FU20" s="16">
        <v>97.13</v>
      </c>
      <c r="FV20" s="16">
        <v>98.72</v>
      </c>
      <c r="FW20" s="16">
        <v>99.66</v>
      </c>
      <c r="FX20" s="16">
        <v>98.91</v>
      </c>
      <c r="FY20" s="16">
        <v>100.3</v>
      </c>
      <c r="FZ20" s="16">
        <v>100.37</v>
      </c>
      <c r="GA20" s="16">
        <v>101.68</v>
      </c>
      <c r="GB20" s="16">
        <v>103.27</v>
      </c>
      <c r="GC20" s="16">
        <v>104.65</v>
      </c>
      <c r="GD20" s="16">
        <v>106.15</v>
      </c>
      <c r="GE20" s="16">
        <v>105.33</v>
      </c>
      <c r="GF20" s="16">
        <v>107.22</v>
      </c>
      <c r="GG20" s="16">
        <v>108.01</v>
      </c>
      <c r="GH20" s="16">
        <v>109.23</v>
      </c>
      <c r="GI20" s="16">
        <v>110.82</v>
      </c>
      <c r="GJ20" s="16">
        <v>110.29</v>
      </c>
      <c r="GK20" s="16">
        <v>109.82</v>
      </c>
      <c r="GL20" s="16">
        <v>109.42</v>
      </c>
      <c r="GM20" s="16">
        <v>101.53</v>
      </c>
      <c r="GN20" s="16">
        <v>90.34</v>
      </c>
      <c r="GO20" s="16">
        <v>99.8</v>
      </c>
      <c r="GP20" s="16">
        <v>102.79</v>
      </c>
      <c r="GQ20" s="16">
        <v>101.54</v>
      </c>
      <c r="GR20" s="16">
        <v>103.68</v>
      </c>
      <c r="GS20" s="16">
        <v>100.62</v>
      </c>
      <c r="GT20" s="16">
        <v>101.45</v>
      </c>
      <c r="GU20" s="16">
        <v>103.75</v>
      </c>
      <c r="GV20" s="16">
        <v>105.74</v>
      </c>
      <c r="GW20" s="16">
        <v>105.99</v>
      </c>
      <c r="GX20" s="16">
        <v>105.99</v>
      </c>
      <c r="GY20" s="16">
        <v>106.51</v>
      </c>
      <c r="GZ20" s="16">
        <v>106.48</v>
      </c>
      <c r="HA20" s="16">
        <v>106.14</v>
      </c>
      <c r="HB20" s="16">
        <v>104.67</v>
      </c>
      <c r="HC20" s="16">
        <v>104.07</v>
      </c>
      <c r="HD20" s="16">
        <v>101.19</v>
      </c>
      <c r="HE20" s="17">
        <v>101.4041</v>
      </c>
      <c r="HF20" s="17">
        <v>101.7086</v>
      </c>
      <c r="HG20" s="17">
        <v>101.95059999999999</v>
      </c>
      <c r="HH20" s="17">
        <v>102.19289999999999</v>
      </c>
      <c r="HI20" s="17">
        <v>102.5213</v>
      </c>
      <c r="HJ20" s="17">
        <v>103.05419999999999</v>
      </c>
      <c r="HK20" s="17">
        <v>103.7968</v>
      </c>
      <c r="HL20" s="17">
        <v>104.51690000000001</v>
      </c>
      <c r="HM20" s="17">
        <v>105.241</v>
      </c>
      <c r="HN20" s="17">
        <v>105.9691</v>
      </c>
      <c r="HO20" s="17">
        <v>106.8184</v>
      </c>
      <c r="HP20" s="17">
        <v>107.6614</v>
      </c>
      <c r="HQ20" s="17">
        <v>108.5403</v>
      </c>
      <c r="HR20" s="17">
        <v>109.4415</v>
      </c>
      <c r="HS20" s="17">
        <v>110.36579999999999</v>
      </c>
      <c r="HT20" s="17">
        <v>111.3566</v>
      </c>
      <c r="HU20" s="17">
        <v>112.35760000000001</v>
      </c>
      <c r="HV20" s="17">
        <v>113.36879999999999</v>
      </c>
      <c r="HW20" s="17">
        <v>114.36109999999999</v>
      </c>
      <c r="HX20" s="17">
        <v>115.2757</v>
      </c>
      <c r="HY20" s="17">
        <v>116.1396</v>
      </c>
      <c r="HZ20" s="17">
        <v>116.94199999999999</v>
      </c>
      <c r="IA20" s="17">
        <v>117.6786</v>
      </c>
      <c r="IB20" s="17">
        <v>118.34869999999999</v>
      </c>
      <c r="IC20" s="17">
        <v>118.95140000000001</v>
      </c>
      <c r="ID20" s="17">
        <v>119.4825</v>
      </c>
      <c r="IE20" s="17">
        <v>119.908</v>
      </c>
      <c r="IF20" s="17">
        <v>120.27509999999999</v>
      </c>
      <c r="IG20" s="17">
        <v>120.58329999999999</v>
      </c>
      <c r="IH20" s="17">
        <v>120.831</v>
      </c>
      <c r="II20" s="17">
        <v>121.0793</v>
      </c>
      <c r="IJ20" s="17">
        <v>121.32810000000001</v>
      </c>
      <c r="IK20" s="17">
        <v>121.5775</v>
      </c>
      <c r="IL20" s="17">
        <v>121.8275</v>
      </c>
      <c r="IM20" s="17">
        <v>122.07810000000001</v>
      </c>
      <c r="IN20" s="17">
        <v>122.3291</v>
      </c>
      <c r="IO20" s="17">
        <v>122.5808</v>
      </c>
      <c r="IP20" s="17">
        <v>122.833</v>
      </c>
      <c r="IQ20" s="17">
        <v>123.0859</v>
      </c>
      <c r="IR20" s="17">
        <v>123.33920000000001</v>
      </c>
      <c r="IS20" s="17">
        <v>123.59310000000001</v>
      </c>
      <c r="IT20" s="17">
        <v>123.8476</v>
      </c>
      <c r="IU20" s="17">
        <v>124.1026</v>
      </c>
      <c r="IV20" s="17">
        <v>124.3582</v>
      </c>
      <c r="IW20" s="17">
        <v>124.6144</v>
      </c>
      <c r="IX20" s="17">
        <v>124.8711</v>
      </c>
      <c r="IY20" s="17">
        <v>125.1247</v>
      </c>
      <c r="IZ20" s="17">
        <v>125.3789</v>
      </c>
      <c r="JA20" s="17">
        <v>125.6331</v>
      </c>
      <c r="JB20" s="17">
        <v>125.8875</v>
      </c>
      <c r="JC20" s="17">
        <v>126.1446</v>
      </c>
      <c r="JD20" s="17">
        <v>126.402</v>
      </c>
      <c r="JE20" s="17">
        <v>126.6597</v>
      </c>
      <c r="JF20" s="17">
        <v>126.9177</v>
      </c>
      <c r="JG20" s="17">
        <v>127.1741</v>
      </c>
      <c r="JH20" s="17">
        <v>127.4308</v>
      </c>
      <c r="JI20" s="17">
        <v>127.68810000000001</v>
      </c>
      <c r="JJ20" s="17">
        <v>127.946</v>
      </c>
      <c r="JK20" s="17">
        <v>128.24010000000001</v>
      </c>
      <c r="JL20" s="17">
        <v>128.53530000000001</v>
      </c>
      <c r="JM20" s="17">
        <v>128.8313</v>
      </c>
      <c r="JN20" s="17">
        <v>129.1283</v>
      </c>
      <c r="JO20" s="17">
        <v>129.4605</v>
      </c>
      <c r="JP20" s="17">
        <v>129.79419999999999</v>
      </c>
      <c r="JQ20" s="17">
        <v>130.1292</v>
      </c>
      <c r="JR20" s="17">
        <v>130.46559999999999</v>
      </c>
      <c r="JS20" s="17">
        <v>130.81039999999999</v>
      </c>
      <c r="JT20" s="17">
        <v>131.1566</v>
      </c>
      <c r="JU20" s="17">
        <v>131.5042</v>
      </c>
      <c r="JV20" s="17">
        <v>131.85329999999999</v>
      </c>
      <c r="JW20" s="17">
        <v>132.21039999999999</v>
      </c>
      <c r="JX20" s="17">
        <v>132.56909999999999</v>
      </c>
      <c r="JY20" s="17">
        <v>132.92920000000001</v>
      </c>
      <c r="JZ20" s="17">
        <v>133.29089999999999</v>
      </c>
      <c r="KA20" s="17">
        <v>133.64609999999999</v>
      </c>
      <c r="KB20" s="17">
        <v>134.0027</v>
      </c>
      <c r="KC20" s="17">
        <v>134.36060000000001</v>
      </c>
      <c r="KD20" s="17">
        <v>134.7201</v>
      </c>
      <c r="KE20" s="17">
        <v>135.07320000000001</v>
      </c>
      <c r="KF20" s="17">
        <v>135.4247</v>
      </c>
      <c r="KG20" s="17">
        <v>135.77510000000001</v>
      </c>
      <c r="KH20" s="17">
        <v>136.12389999999999</v>
      </c>
      <c r="KI20" s="17">
        <v>136.4648</v>
      </c>
      <c r="KJ20" s="17">
        <v>136.80420000000001</v>
      </c>
      <c r="KK20" s="17">
        <v>137.1448</v>
      </c>
      <c r="KL20" s="17">
        <v>137.4864</v>
      </c>
      <c r="KM20" s="17">
        <v>137.82089999999999</v>
      </c>
      <c r="KN20" s="17">
        <v>138.1566</v>
      </c>
      <c r="KO20" s="17">
        <v>138.49369999999999</v>
      </c>
      <c r="KP20" s="17">
        <v>138.83179999999999</v>
      </c>
      <c r="KQ20" s="17">
        <v>139.14670000000001</v>
      </c>
      <c r="KR20" s="17">
        <v>139.46270000000001</v>
      </c>
      <c r="KS20" s="17">
        <v>139.77959999999999</v>
      </c>
      <c r="KT20" s="17">
        <v>140.0977</v>
      </c>
      <c r="KU20" s="17">
        <v>140.41560000000001</v>
      </c>
      <c r="KV20" s="17">
        <v>140.7345</v>
      </c>
      <c r="KW20" s="17">
        <v>141.05459999999999</v>
      </c>
      <c r="KX20" s="17">
        <v>141.3759</v>
      </c>
      <c r="KY20" s="17">
        <v>141.69110000000001</v>
      </c>
      <c r="KZ20" s="17">
        <v>142.00739999999999</v>
      </c>
      <c r="LA20" s="17">
        <v>142.32480000000001</v>
      </c>
      <c r="LB20" s="17">
        <v>142.6431</v>
      </c>
      <c r="LC20" s="17">
        <v>142.96039999999999</v>
      </c>
      <c r="LD20" s="17">
        <v>143.279</v>
      </c>
      <c r="LE20" s="17">
        <v>143.5985</v>
      </c>
      <c r="LF20" s="17">
        <v>143.9194</v>
      </c>
      <c r="LG20" s="17">
        <v>144.23929999999999</v>
      </c>
      <c r="LH20" s="17">
        <v>144.56010000000001</v>
      </c>
      <c r="LI20" s="17">
        <v>144.8819</v>
      </c>
      <c r="LJ20" s="17">
        <v>145.2046</v>
      </c>
      <c r="LK20" s="17">
        <v>145.52289999999999</v>
      </c>
      <c r="LL20" s="17">
        <v>145.84219999999999</v>
      </c>
      <c r="LM20" s="17">
        <v>146.16220000000001</v>
      </c>
      <c r="LN20" s="17">
        <v>146.483</v>
      </c>
      <c r="LO20" s="17">
        <v>146.78710000000001</v>
      </c>
      <c r="LP20" s="17">
        <v>147.09180000000001</v>
      </c>
      <c r="LQ20" s="17">
        <v>147.39699999999999</v>
      </c>
      <c r="LR20" s="17">
        <v>147.7029</v>
      </c>
      <c r="LS20" s="17">
        <v>147.99860000000001</v>
      </c>
      <c r="LT20" s="17">
        <v>148.29480000000001</v>
      </c>
      <c r="LU20" s="17">
        <v>148.5915</v>
      </c>
      <c r="LV20" s="17">
        <v>148.8888</v>
      </c>
      <c r="LW20" s="17">
        <v>149.173</v>
      </c>
      <c r="LX20" s="17">
        <v>149.45760000000001</v>
      </c>
      <c r="LY20" s="17">
        <v>149.74250000000001</v>
      </c>
      <c r="LZ20" s="17">
        <v>150.02789999999999</v>
      </c>
      <c r="MA20" s="17">
        <v>150.3244</v>
      </c>
      <c r="MB20" s="17">
        <v>150.6217</v>
      </c>
      <c r="MC20" s="17">
        <v>150.9196</v>
      </c>
      <c r="MD20" s="17">
        <v>151.21809999999999</v>
      </c>
      <c r="ME20" s="17">
        <v>151.50880000000001</v>
      </c>
      <c r="MF20" s="17">
        <v>151.80019999999999</v>
      </c>
      <c r="MG20" s="17">
        <v>152.09229999999999</v>
      </c>
      <c r="MH20" s="17">
        <v>152.38509999999999</v>
      </c>
      <c r="MI20" s="17">
        <v>152.71960000000001</v>
      </c>
      <c r="MJ20" s="17">
        <v>153.0549</v>
      </c>
      <c r="MK20" s="17">
        <v>153.39109999999999</v>
      </c>
      <c r="ML20" s="17">
        <v>153.72810000000001</v>
      </c>
      <c r="MM20" s="17">
        <v>154.0797</v>
      </c>
      <c r="MN20" s="17">
        <v>154.4324</v>
      </c>
      <c r="MO20" s="17">
        <v>154.7859</v>
      </c>
      <c r="MP20" s="17">
        <v>155.1404</v>
      </c>
      <c r="MQ20" s="17">
        <v>155.5009</v>
      </c>
      <c r="MR20" s="17">
        <v>155.86250000000001</v>
      </c>
      <c r="MS20" s="17">
        <v>156.22489999999999</v>
      </c>
      <c r="MT20" s="17">
        <v>156.5883</v>
      </c>
      <c r="MU20" s="13" t="s">
        <v>984</v>
      </c>
      <c r="MV20" s="13" t="b">
        <v>0</v>
      </c>
      <c r="MW20" s="15" t="s">
        <v>1245</v>
      </c>
      <c r="MX20" s="13" t="s">
        <v>480</v>
      </c>
      <c r="MY20" s="13">
        <v>2024</v>
      </c>
      <c r="MZ20" s="13">
        <v>2</v>
      </c>
      <c r="NA20" s="13" t="s">
        <v>480</v>
      </c>
      <c r="NB20" s="15" t="s">
        <v>985</v>
      </c>
      <c r="NC20" s="13" t="s">
        <v>480</v>
      </c>
      <c r="ND20" s="13" t="s">
        <v>986</v>
      </c>
      <c r="NE20" s="13" t="s">
        <v>484</v>
      </c>
      <c r="NF20" s="15" t="s">
        <v>1268</v>
      </c>
    </row>
    <row r="21" spans="1:370" x14ac:dyDescent="0.25">
      <c r="A21" s="13" t="s">
        <v>987</v>
      </c>
      <c r="B21" s="13" t="s">
        <v>474</v>
      </c>
      <c r="C21" s="15" t="s">
        <v>1267</v>
      </c>
      <c r="D21" s="13" t="s">
        <v>983</v>
      </c>
      <c r="E21" s="13" t="s">
        <v>972</v>
      </c>
      <c r="F21" s="13" t="s">
        <v>477</v>
      </c>
      <c r="G21" s="16">
        <v>24.138999999999999</v>
      </c>
      <c r="H21" s="16">
        <v>24.573</v>
      </c>
      <c r="I21" s="16">
        <v>25.372</v>
      </c>
      <c r="J21" s="16">
        <v>25.533999999999999</v>
      </c>
      <c r="K21" s="16">
        <v>25.13</v>
      </c>
      <c r="L21" s="16">
        <v>25.617999999999999</v>
      </c>
      <c r="M21" s="16">
        <v>24.962</v>
      </c>
      <c r="N21" s="16">
        <v>23.645</v>
      </c>
      <c r="O21" s="16">
        <v>22.91</v>
      </c>
      <c r="P21" s="16">
        <v>22.872</v>
      </c>
      <c r="Q21" s="16">
        <v>22.123999999999999</v>
      </c>
      <c r="R21" s="16">
        <v>23.196999999999999</v>
      </c>
      <c r="S21" s="16">
        <v>24.405999999999999</v>
      </c>
      <c r="T21" s="16">
        <v>24.018999999999998</v>
      </c>
      <c r="U21" s="16">
        <v>23.773</v>
      </c>
      <c r="V21" s="16">
        <v>23.475989999999999</v>
      </c>
      <c r="W21" s="16">
        <v>24.338000000000001</v>
      </c>
      <c r="X21" s="16">
        <v>24.702000000000002</v>
      </c>
      <c r="Y21" s="16">
        <v>24.725000000000001</v>
      </c>
      <c r="Z21" s="16">
        <v>24.358000000000001</v>
      </c>
      <c r="AA21" s="16">
        <v>24.507999999999999</v>
      </c>
      <c r="AB21" s="16">
        <v>24.923999999999999</v>
      </c>
      <c r="AC21" s="16">
        <v>24.696999999999999</v>
      </c>
      <c r="AD21" s="16">
        <v>25.059000000000001</v>
      </c>
      <c r="AE21" s="16">
        <v>24.712009999999999</v>
      </c>
      <c r="AF21" s="16">
        <v>25.109000000000002</v>
      </c>
      <c r="AG21" s="16">
        <v>26.195</v>
      </c>
      <c r="AH21" s="16">
        <v>26.913</v>
      </c>
      <c r="AI21" s="16">
        <v>28.285</v>
      </c>
      <c r="AJ21" s="16">
        <v>28.571000000000002</v>
      </c>
      <c r="AK21" s="16">
        <v>28.94699</v>
      </c>
      <c r="AL21" s="16">
        <v>28.591999999999999</v>
      </c>
      <c r="AM21" s="16">
        <v>28.433</v>
      </c>
      <c r="AN21" s="16">
        <v>28.367000000000001</v>
      </c>
      <c r="AO21" s="16">
        <v>28.292000000000002</v>
      </c>
      <c r="AP21" s="16">
        <v>28.738</v>
      </c>
      <c r="AQ21" s="16">
        <v>29.04</v>
      </c>
      <c r="AR21" s="16">
        <v>29.623000000000001</v>
      </c>
      <c r="AS21" s="16">
        <v>28.974</v>
      </c>
      <c r="AT21" s="16">
        <v>29.074999999999999</v>
      </c>
      <c r="AU21" s="16">
        <v>28.606010000000001</v>
      </c>
      <c r="AV21" s="16">
        <v>28.228999999999999</v>
      </c>
      <c r="AW21" s="16">
        <v>28.151</v>
      </c>
      <c r="AX21" s="16">
        <v>28.204000000000001</v>
      </c>
      <c r="AY21" s="16">
        <v>28.558</v>
      </c>
      <c r="AZ21" s="16">
        <v>28.192</v>
      </c>
      <c r="BA21" s="16">
        <v>28.54</v>
      </c>
      <c r="BB21" s="16">
        <v>29.143999999999998</v>
      </c>
      <c r="BC21" s="16">
        <v>29.117000000000001</v>
      </c>
      <c r="BD21" s="16">
        <v>30.10801</v>
      </c>
      <c r="BE21" s="16">
        <v>30.532</v>
      </c>
      <c r="BF21" s="16">
        <v>30.710999999999999</v>
      </c>
      <c r="BG21" s="16">
        <v>31.411999999999999</v>
      </c>
      <c r="BH21" s="16">
        <v>31.962</v>
      </c>
      <c r="BI21" s="16">
        <v>32.472000000000001</v>
      </c>
      <c r="BJ21" s="16">
        <v>32.798999999999999</v>
      </c>
      <c r="BK21" s="16">
        <v>32.819000000000003</v>
      </c>
      <c r="BL21" s="16">
        <v>33.972009999999997</v>
      </c>
      <c r="BM21" s="16">
        <v>34.747</v>
      </c>
      <c r="BN21" s="16">
        <v>35.770000000000003</v>
      </c>
      <c r="BO21" s="16">
        <v>36.619999999999997</v>
      </c>
      <c r="BP21" s="16">
        <v>37.387</v>
      </c>
      <c r="BQ21" s="16">
        <v>38.259</v>
      </c>
      <c r="BR21" s="16">
        <v>38.444000000000003</v>
      </c>
      <c r="BS21" s="16">
        <v>39.936</v>
      </c>
      <c r="BT21" s="16">
        <v>40.298999999999999</v>
      </c>
      <c r="BU21" s="16">
        <v>40.906999999999996</v>
      </c>
      <c r="BV21" s="16">
        <v>42.059989999999999</v>
      </c>
      <c r="BW21" s="16">
        <v>42.970999999999997</v>
      </c>
      <c r="BX21" s="16">
        <v>43.308999999999997</v>
      </c>
      <c r="BY21" s="16">
        <v>44.110999999999997</v>
      </c>
      <c r="BZ21" s="16">
        <v>44.168999999999997</v>
      </c>
      <c r="CA21" s="16">
        <v>44.052999999999997</v>
      </c>
      <c r="CB21" s="16">
        <v>44.5</v>
      </c>
      <c r="CC21" s="16">
        <v>44.420999999999999</v>
      </c>
      <c r="CD21" s="16">
        <v>44.365009999999998</v>
      </c>
      <c r="CE21" s="16">
        <v>44.366</v>
      </c>
      <c r="CF21" s="16">
        <v>43.813000000000002</v>
      </c>
      <c r="CG21" s="16">
        <v>43.003</v>
      </c>
      <c r="CH21" s="16">
        <v>42.234000000000002</v>
      </c>
      <c r="CI21" s="16">
        <v>41.177</v>
      </c>
      <c r="CJ21" s="16">
        <v>40.460990000000002</v>
      </c>
      <c r="CK21" s="16">
        <v>39.798999999999999</v>
      </c>
      <c r="CL21" s="16">
        <v>39.503999999999998</v>
      </c>
      <c r="CM21" s="16">
        <v>39.898009999999999</v>
      </c>
      <c r="CN21" s="16">
        <v>40.326999999999998</v>
      </c>
      <c r="CO21" s="16">
        <v>40.999000000000002</v>
      </c>
      <c r="CP21" s="16">
        <v>41.219000000000001</v>
      </c>
      <c r="CQ21" s="16">
        <v>42.15</v>
      </c>
      <c r="CR21" s="16">
        <v>41.841999999999999</v>
      </c>
      <c r="CS21" s="16">
        <v>41.981000000000002</v>
      </c>
      <c r="CT21" s="16">
        <v>41.886000000000003</v>
      </c>
      <c r="CU21" s="16">
        <v>42.378999999999998</v>
      </c>
      <c r="CV21" s="16">
        <v>41.848999999999997</v>
      </c>
      <c r="CW21" s="16">
        <v>42.003</v>
      </c>
      <c r="CX21" s="16">
        <v>41.805</v>
      </c>
      <c r="CY21" s="16">
        <v>41.298999999999999</v>
      </c>
      <c r="CZ21" s="16">
        <v>42.262990000000002</v>
      </c>
      <c r="DA21" s="16">
        <v>42.731000000000002</v>
      </c>
      <c r="DB21" s="16">
        <v>43.838999999999999</v>
      </c>
      <c r="DC21" s="16">
        <v>45.095999999999997</v>
      </c>
      <c r="DD21" s="16">
        <v>46.357010000000002</v>
      </c>
      <c r="DE21" s="16">
        <v>47.192999999999998</v>
      </c>
      <c r="DF21" s="16">
        <v>47.933</v>
      </c>
      <c r="DG21" s="16">
        <v>49.042990000000003</v>
      </c>
      <c r="DH21" s="16">
        <v>50.082999999999998</v>
      </c>
      <c r="DI21" s="16">
        <v>51.484999999999999</v>
      </c>
      <c r="DJ21" s="16">
        <v>52.119</v>
      </c>
      <c r="DK21" s="16">
        <v>53.307000000000002</v>
      </c>
      <c r="DL21" s="16">
        <v>53.491999999999997</v>
      </c>
      <c r="DM21" s="16">
        <v>55.779000000000003</v>
      </c>
      <c r="DN21" s="16">
        <v>56.152000000000001</v>
      </c>
      <c r="DO21" s="16">
        <v>56.512999999999998</v>
      </c>
      <c r="DP21" s="16">
        <v>56.468000000000004</v>
      </c>
      <c r="DQ21" s="16">
        <v>56.540999999999997</v>
      </c>
      <c r="DR21" s="16">
        <v>56.119</v>
      </c>
      <c r="DS21" s="16">
        <v>55.058</v>
      </c>
      <c r="DT21" s="16">
        <v>54.320999999999998</v>
      </c>
      <c r="DU21" s="16">
        <v>54.572000000000003</v>
      </c>
      <c r="DV21" s="16">
        <v>55.219990000000003</v>
      </c>
      <c r="DW21" s="16">
        <v>54.96499</v>
      </c>
      <c r="DX21" s="16">
        <v>54.584000000000003</v>
      </c>
      <c r="DY21" s="16">
        <v>56.145000000000003</v>
      </c>
      <c r="DZ21" s="16">
        <v>55.87</v>
      </c>
      <c r="EA21" s="16">
        <v>56.262</v>
      </c>
      <c r="EB21" s="16">
        <v>56.300989999999999</v>
      </c>
      <c r="EC21" s="16">
        <v>56.438000000000002</v>
      </c>
      <c r="ED21" s="16">
        <v>57.215000000000003</v>
      </c>
      <c r="EE21" s="16">
        <v>57.440989999999999</v>
      </c>
      <c r="EF21" s="16">
        <v>57.393000000000001</v>
      </c>
      <c r="EG21" s="16">
        <v>58.124000000000002</v>
      </c>
      <c r="EH21" s="16">
        <v>58.457000000000001</v>
      </c>
      <c r="EI21" s="16">
        <v>59.05</v>
      </c>
      <c r="EJ21" s="16">
        <v>60.861989999999999</v>
      </c>
      <c r="EK21" s="16">
        <v>61.353999999999999</v>
      </c>
      <c r="EL21" s="16">
        <v>62.779000000000003</v>
      </c>
      <c r="EM21" s="16">
        <v>64.516999999999996</v>
      </c>
      <c r="EN21" s="16">
        <v>65.518010000000004</v>
      </c>
      <c r="EO21" s="16">
        <v>66.856989999999996</v>
      </c>
      <c r="EP21" s="16">
        <v>67.42801</v>
      </c>
      <c r="EQ21" s="16">
        <v>69.584999999999994</v>
      </c>
      <c r="ER21" s="16">
        <v>68.852010000000007</v>
      </c>
      <c r="ES21" s="16">
        <v>68.712999999999994</v>
      </c>
      <c r="ET21" s="16">
        <v>65.957999999999998</v>
      </c>
      <c r="EU21" s="16">
        <v>61.668990000000001</v>
      </c>
      <c r="EV21" s="16">
        <v>59.497999999999998</v>
      </c>
      <c r="EW21" s="16">
        <v>58.969000000000001</v>
      </c>
      <c r="EX21" s="16">
        <v>59.280009999999997</v>
      </c>
      <c r="EY21" s="16">
        <v>59.741</v>
      </c>
      <c r="EZ21" s="16">
        <v>60.490009999999998</v>
      </c>
      <c r="FA21" s="16">
        <v>61.77</v>
      </c>
      <c r="FB21" s="16">
        <v>62.689</v>
      </c>
      <c r="FC21" s="16">
        <v>63.64</v>
      </c>
      <c r="FD21" s="16">
        <v>64.341999999999999</v>
      </c>
      <c r="FE21" s="16">
        <v>65.052000000000007</v>
      </c>
      <c r="FF21" s="16">
        <v>66.244</v>
      </c>
      <c r="FG21" s="16">
        <v>65.197000000000003</v>
      </c>
      <c r="FH21" s="16">
        <v>64.73</v>
      </c>
      <c r="FI21" s="16">
        <v>65.074010000000001</v>
      </c>
      <c r="FJ21" s="16">
        <v>64.427999999999997</v>
      </c>
      <c r="FK21" s="16">
        <v>63.366999999999997</v>
      </c>
      <c r="FL21" s="16">
        <v>63.624000000000002</v>
      </c>
      <c r="FM21" s="16">
        <v>64.352010000000007</v>
      </c>
      <c r="FN21" s="16">
        <v>65.662999999999997</v>
      </c>
      <c r="FO21" s="16">
        <v>65.013999999999996</v>
      </c>
      <c r="FP21" s="16">
        <v>65.619</v>
      </c>
      <c r="FQ21" s="16">
        <v>66.924999999999997</v>
      </c>
      <c r="FR21" s="16">
        <v>66.332999999999998</v>
      </c>
      <c r="FS21" s="16">
        <v>67.14</v>
      </c>
      <c r="FT21" s="16">
        <v>67.48</v>
      </c>
      <c r="FU21" s="16">
        <v>68.22</v>
      </c>
      <c r="FV21" s="16">
        <v>69.311999999999998</v>
      </c>
      <c r="FW21" s="16">
        <v>70.5</v>
      </c>
      <c r="FX21" s="16">
        <v>69.793000000000006</v>
      </c>
      <c r="FY21" s="16">
        <v>70.132000000000005</v>
      </c>
      <c r="FZ21" s="16">
        <v>70.448999999999998</v>
      </c>
      <c r="GA21" s="16">
        <v>72.129009999999994</v>
      </c>
      <c r="GB21" s="16">
        <v>72.861009999999993</v>
      </c>
      <c r="GC21" s="16">
        <v>74.266000000000005</v>
      </c>
      <c r="GD21" s="16">
        <v>75.387990000000002</v>
      </c>
      <c r="GE21" s="16">
        <v>75.570009999999996</v>
      </c>
      <c r="GF21" s="16">
        <v>76.501999999999995</v>
      </c>
      <c r="GG21" s="16">
        <v>77.351010000000002</v>
      </c>
      <c r="GH21" s="16">
        <v>78.023989999999998</v>
      </c>
      <c r="GI21" s="16">
        <v>78.352000000000004</v>
      </c>
      <c r="GJ21" s="16">
        <v>79.566010000000006</v>
      </c>
      <c r="GK21" s="16">
        <v>80.292000000000002</v>
      </c>
      <c r="GL21" s="16">
        <v>80.650000000000006</v>
      </c>
      <c r="GM21" s="16">
        <v>74.806989999999999</v>
      </c>
      <c r="GN21" s="16">
        <v>66.373990000000006</v>
      </c>
      <c r="GO21" s="16">
        <v>78.377009999999999</v>
      </c>
      <c r="GP21" s="16">
        <v>80.977990000000005</v>
      </c>
      <c r="GQ21" s="16">
        <v>81.826989999999995</v>
      </c>
      <c r="GR21" s="16">
        <v>83.177989999999994</v>
      </c>
      <c r="GS21" s="16">
        <v>82.679000000000002</v>
      </c>
      <c r="GT21" s="16">
        <v>82.21799</v>
      </c>
      <c r="GU21" s="16">
        <v>82.526989999999998</v>
      </c>
      <c r="GV21" s="16">
        <v>82.569000000000003</v>
      </c>
      <c r="GW21" s="16">
        <v>84.721990000000005</v>
      </c>
      <c r="GX21" s="16">
        <v>85.22</v>
      </c>
      <c r="GY21" s="16">
        <v>85.296999999999997</v>
      </c>
      <c r="GZ21" s="16">
        <v>85.943989999999999</v>
      </c>
      <c r="HA21" s="16">
        <v>86.435000000000002</v>
      </c>
      <c r="HB21" s="16">
        <v>85.619</v>
      </c>
      <c r="HC21" s="16">
        <v>85.362989999999996</v>
      </c>
      <c r="HD21" s="17">
        <v>85.022009999999995</v>
      </c>
      <c r="HE21" s="17">
        <v>84.84254</v>
      </c>
      <c r="HF21" s="17">
        <v>84.847759999999994</v>
      </c>
      <c r="HG21" s="17">
        <v>84.918549999999996</v>
      </c>
      <c r="HH21" s="17">
        <v>85.141509999999997</v>
      </c>
      <c r="HI21" s="17">
        <v>85.435230000000004</v>
      </c>
      <c r="HJ21" s="17">
        <v>85.707470000000001</v>
      </c>
      <c r="HK21" s="17">
        <v>86.025000000000006</v>
      </c>
      <c r="HL21" s="17">
        <v>86.48939</v>
      </c>
      <c r="HM21" s="17">
        <v>86.923190000000005</v>
      </c>
      <c r="HN21" s="17">
        <v>87.358149999999995</v>
      </c>
      <c r="HO21" s="17">
        <v>87.791480000000007</v>
      </c>
      <c r="HP21" s="17">
        <v>88.222729999999999</v>
      </c>
      <c r="HQ21" s="17">
        <v>88.729969999999994</v>
      </c>
      <c r="HR21" s="17">
        <v>89.140140000000002</v>
      </c>
      <c r="HS21" s="17">
        <v>89.614760000000004</v>
      </c>
      <c r="HT21" s="17">
        <v>90.003709999999998</v>
      </c>
      <c r="HU21" s="17">
        <v>90.382779999999997</v>
      </c>
      <c r="HV21" s="17">
        <v>90.878860000000003</v>
      </c>
      <c r="HW21" s="17">
        <v>91.18929</v>
      </c>
      <c r="HX21" s="17">
        <v>91.518870000000007</v>
      </c>
      <c r="HY21" s="17">
        <v>91.855009999999993</v>
      </c>
      <c r="HZ21" s="17">
        <v>92.089470000000006</v>
      </c>
      <c r="IA21" s="17">
        <v>92.415199999999999</v>
      </c>
      <c r="IB21" s="17">
        <v>92.697400000000002</v>
      </c>
      <c r="IC21" s="17">
        <v>92.884730000000005</v>
      </c>
      <c r="ID21" s="17">
        <v>93.167810000000003</v>
      </c>
      <c r="IE21" s="17">
        <v>93.469160000000002</v>
      </c>
      <c r="IF21" s="17">
        <v>93.751589999999993</v>
      </c>
      <c r="IG21" s="17">
        <v>93.939220000000006</v>
      </c>
      <c r="IH21" s="17">
        <v>94.228620000000006</v>
      </c>
      <c r="II21" s="17">
        <v>94.450509999999994</v>
      </c>
      <c r="IJ21" s="17">
        <v>94.770330000000001</v>
      </c>
      <c r="IK21" s="17">
        <v>95.088459999999998</v>
      </c>
      <c r="IL21" s="17">
        <v>95.310680000000005</v>
      </c>
      <c r="IM21" s="17">
        <v>95.627690000000001</v>
      </c>
      <c r="IN21" s="17">
        <v>95.944969999999998</v>
      </c>
      <c r="IO21" s="17">
        <v>96.165210000000002</v>
      </c>
      <c r="IP21" s="17">
        <v>96.490260000000006</v>
      </c>
      <c r="IQ21" s="17">
        <v>96.816339999999997</v>
      </c>
      <c r="IR21" s="17">
        <v>97.04401</v>
      </c>
      <c r="IS21" s="17">
        <v>97.369209999999995</v>
      </c>
      <c r="IT21" s="17">
        <v>97.602419999999995</v>
      </c>
      <c r="IU21" s="17">
        <v>97.837289999999996</v>
      </c>
      <c r="IV21" s="17">
        <v>98.078040000000001</v>
      </c>
      <c r="IW21" s="17">
        <v>98.318780000000004</v>
      </c>
      <c r="IX21" s="17">
        <v>98.557590000000005</v>
      </c>
      <c r="IY21" s="17">
        <v>98.79759</v>
      </c>
      <c r="IZ21" s="17">
        <v>99.039919999999995</v>
      </c>
      <c r="JA21" s="17">
        <v>99.281019999999998</v>
      </c>
      <c r="JB21" s="17">
        <v>99.537379999999999</v>
      </c>
      <c r="JC21" s="17">
        <v>99.792310000000001</v>
      </c>
      <c r="JD21" s="17">
        <v>99.943619999999996</v>
      </c>
      <c r="JE21" s="17">
        <v>100.1991</v>
      </c>
      <c r="JF21" s="17">
        <v>100.45610000000001</v>
      </c>
      <c r="JG21" s="17">
        <v>100.60680000000001</v>
      </c>
      <c r="JH21" s="17">
        <v>100.8582</v>
      </c>
      <c r="JI21" s="17">
        <v>101.125</v>
      </c>
      <c r="JJ21" s="17">
        <v>101.29510000000001</v>
      </c>
      <c r="JK21" s="17">
        <v>101.4576</v>
      </c>
      <c r="JL21" s="17">
        <v>101.72190000000001</v>
      </c>
      <c r="JM21" s="17">
        <v>101.8897</v>
      </c>
      <c r="JN21" s="17">
        <v>102.157</v>
      </c>
      <c r="JO21" s="17">
        <v>102.3236</v>
      </c>
      <c r="JP21" s="17">
        <v>102.49379999999999</v>
      </c>
      <c r="JQ21" s="17">
        <v>102.67100000000001</v>
      </c>
      <c r="JR21" s="17">
        <v>102.93989999999999</v>
      </c>
      <c r="JS21" s="17">
        <v>103.111</v>
      </c>
      <c r="JT21" s="17">
        <v>103.2782</v>
      </c>
      <c r="JU21" s="17">
        <v>103.4551</v>
      </c>
      <c r="JV21" s="17">
        <v>103.718</v>
      </c>
      <c r="JW21" s="17">
        <v>103.887</v>
      </c>
      <c r="JX21" s="17">
        <v>104.1433</v>
      </c>
      <c r="JY21" s="17">
        <v>104.31489999999999</v>
      </c>
      <c r="JZ21" s="17">
        <v>104.572</v>
      </c>
      <c r="KA21" s="17">
        <v>104.7367</v>
      </c>
      <c r="KB21" s="17">
        <v>104.99379999999999</v>
      </c>
      <c r="KC21" s="17">
        <v>105.1627</v>
      </c>
      <c r="KD21" s="17">
        <v>105.4258</v>
      </c>
      <c r="KE21" s="17">
        <v>105.5852</v>
      </c>
      <c r="KF21" s="17">
        <v>105.75530000000001</v>
      </c>
      <c r="KG21" s="17">
        <v>106.0307</v>
      </c>
      <c r="KH21" s="17">
        <v>106.2029</v>
      </c>
      <c r="KI21" s="17">
        <v>106.3723</v>
      </c>
      <c r="KJ21" s="17">
        <v>106.54040000000001</v>
      </c>
      <c r="KK21" s="17">
        <v>106.723</v>
      </c>
      <c r="KL21" s="17">
        <v>106.90219999999999</v>
      </c>
      <c r="KM21" s="17">
        <v>107.1772</v>
      </c>
      <c r="KN21" s="17">
        <v>107.3533</v>
      </c>
      <c r="KO21" s="17">
        <v>107.5394</v>
      </c>
      <c r="KP21" s="17">
        <v>107.62860000000001</v>
      </c>
      <c r="KQ21" s="17">
        <v>107.8137</v>
      </c>
      <c r="KR21" s="17">
        <v>108.0069</v>
      </c>
      <c r="KS21" s="17">
        <v>108.2086</v>
      </c>
      <c r="KT21" s="17">
        <v>108.3115</v>
      </c>
      <c r="KU21" s="17">
        <v>108.51309999999999</v>
      </c>
      <c r="KV21" s="17">
        <v>108.6045</v>
      </c>
      <c r="KW21" s="17">
        <v>108.8069</v>
      </c>
      <c r="KX21" s="17">
        <v>108.90900000000001</v>
      </c>
      <c r="KY21" s="17">
        <v>109.1054</v>
      </c>
      <c r="KZ21" s="17">
        <v>109.3013</v>
      </c>
      <c r="LA21" s="17">
        <v>109.4038</v>
      </c>
      <c r="LB21" s="17">
        <v>109.5051</v>
      </c>
      <c r="LC21" s="17">
        <v>109.693</v>
      </c>
      <c r="LD21" s="17">
        <v>109.88</v>
      </c>
      <c r="LE21" s="17">
        <v>110.0706</v>
      </c>
      <c r="LF21" s="17">
        <v>110.262</v>
      </c>
      <c r="LG21" s="17">
        <v>110.35760000000001</v>
      </c>
      <c r="LH21" s="17">
        <v>110.55029999999999</v>
      </c>
      <c r="LI21" s="17">
        <v>110.7445</v>
      </c>
      <c r="LJ21" s="17">
        <v>110.8383</v>
      </c>
      <c r="LK21" s="17">
        <v>111.0355</v>
      </c>
      <c r="LL21" s="17">
        <v>111.2332</v>
      </c>
      <c r="LM21" s="17">
        <v>111.3309</v>
      </c>
      <c r="LN21" s="17">
        <v>111.52800000000001</v>
      </c>
      <c r="LO21" s="17">
        <v>111.628</v>
      </c>
      <c r="LP21" s="17">
        <v>111.8284</v>
      </c>
      <c r="LQ21" s="17">
        <v>111.9285</v>
      </c>
      <c r="LR21" s="17">
        <v>112.1293</v>
      </c>
      <c r="LS21" s="17">
        <v>112.3272</v>
      </c>
      <c r="LT21" s="17">
        <v>112.426</v>
      </c>
      <c r="LU21" s="17">
        <v>112.6253</v>
      </c>
      <c r="LV21" s="17">
        <v>112.72369999999999</v>
      </c>
      <c r="LW21" s="17">
        <v>112.92619999999999</v>
      </c>
      <c r="LX21" s="17">
        <v>113.02979999999999</v>
      </c>
      <c r="LY21" s="17">
        <v>113.2321</v>
      </c>
      <c r="LZ21" s="17">
        <v>113.336</v>
      </c>
      <c r="MA21" s="17">
        <v>113.5354</v>
      </c>
      <c r="MB21" s="17">
        <v>113.63549999999999</v>
      </c>
      <c r="MC21" s="17">
        <v>113.8347</v>
      </c>
      <c r="MD21" s="17">
        <v>113.9349</v>
      </c>
      <c r="ME21" s="17">
        <v>114.1375</v>
      </c>
      <c r="MF21" s="17">
        <v>114.23990000000001</v>
      </c>
      <c r="MG21" s="17">
        <v>114.44199999999999</v>
      </c>
      <c r="MH21" s="17">
        <v>114.5446</v>
      </c>
      <c r="MI21" s="17">
        <v>114.7406</v>
      </c>
      <c r="MJ21" s="17">
        <v>114.8366</v>
      </c>
      <c r="MK21" s="17">
        <v>115.03319999999999</v>
      </c>
      <c r="ML21" s="17">
        <v>115.22969999999999</v>
      </c>
      <c r="MM21" s="17">
        <v>115.32729999999999</v>
      </c>
      <c r="MN21" s="17">
        <v>115.5243</v>
      </c>
      <c r="MO21" s="17">
        <v>115.6215</v>
      </c>
      <c r="MP21" s="17">
        <v>115.8199</v>
      </c>
      <c r="MQ21" s="17">
        <v>116.01300000000001</v>
      </c>
      <c r="MR21" s="17">
        <v>116.10680000000001</v>
      </c>
      <c r="MS21" s="17">
        <v>116.30119999999999</v>
      </c>
      <c r="MT21" s="17">
        <v>116.4961</v>
      </c>
      <c r="MU21" s="13" t="s">
        <v>988</v>
      </c>
      <c r="MV21" s="13" t="b">
        <v>1</v>
      </c>
      <c r="MW21" s="15" t="s">
        <v>1245</v>
      </c>
      <c r="MX21" s="13" t="s">
        <v>480</v>
      </c>
      <c r="MY21" s="13">
        <v>2024</v>
      </c>
      <c r="MZ21" s="13">
        <v>1</v>
      </c>
      <c r="NA21" s="13" t="s">
        <v>480</v>
      </c>
      <c r="NB21" s="15" t="s">
        <v>985</v>
      </c>
      <c r="NC21" s="15" t="s">
        <v>989</v>
      </c>
      <c r="ND21" s="13" t="s">
        <v>990</v>
      </c>
      <c r="NE21" s="13" t="s">
        <v>484</v>
      </c>
      <c r="NF21" s="15" t="s">
        <v>1268</v>
      </c>
    </row>
    <row r="22" spans="1:370" x14ac:dyDescent="0.25">
      <c r="A22" s="13" t="s">
        <v>991</v>
      </c>
      <c r="B22" s="13" t="s">
        <v>474</v>
      </c>
      <c r="C22" s="15" t="s">
        <v>1267</v>
      </c>
      <c r="D22" s="13" t="s">
        <v>983</v>
      </c>
      <c r="E22" s="13" t="s">
        <v>972</v>
      </c>
      <c r="F22" s="13" t="s">
        <v>477</v>
      </c>
      <c r="G22" s="17">
        <v>23.730399999999999</v>
      </c>
      <c r="H22" s="17">
        <v>24.511310000000002</v>
      </c>
      <c r="I22" s="17">
        <v>26.43225</v>
      </c>
      <c r="J22" s="17">
        <v>27.117550000000001</v>
      </c>
      <c r="K22" s="17">
        <v>26.5228</v>
      </c>
      <c r="L22" s="17">
        <v>25.786840000000002</v>
      </c>
      <c r="M22" s="17">
        <v>27.686669999999999</v>
      </c>
      <c r="N22" s="17">
        <v>25.438330000000001</v>
      </c>
      <c r="O22" s="17">
        <v>24.221959999999999</v>
      </c>
      <c r="P22" s="17">
        <v>23.686440000000001</v>
      </c>
      <c r="Q22" s="17">
        <v>23.870979999999999</v>
      </c>
      <c r="R22" s="17">
        <v>23.928080000000001</v>
      </c>
      <c r="S22" s="17">
        <v>24.49324</v>
      </c>
      <c r="T22" s="17">
        <v>24.295339999999999</v>
      </c>
      <c r="U22" s="17">
        <v>25.40699</v>
      </c>
      <c r="V22" s="17">
        <v>26.616040000000002</v>
      </c>
      <c r="W22" s="17">
        <v>26.819420000000001</v>
      </c>
      <c r="X22" s="17">
        <v>26.835830000000001</v>
      </c>
      <c r="Y22" s="17">
        <v>26.094750000000001</v>
      </c>
      <c r="Z22" s="17">
        <v>26.285530000000001</v>
      </c>
      <c r="AA22" s="17">
        <v>25.97504</v>
      </c>
      <c r="AB22" s="17">
        <v>26.74783</v>
      </c>
      <c r="AC22" s="17">
        <v>27.631430000000002</v>
      </c>
      <c r="AD22" s="17">
        <v>28.570679999999999</v>
      </c>
      <c r="AE22" s="17">
        <v>28.16347</v>
      </c>
      <c r="AF22" s="17">
        <v>28.80829</v>
      </c>
      <c r="AG22" s="17">
        <v>30.07525</v>
      </c>
      <c r="AH22" s="17">
        <v>31.37012</v>
      </c>
      <c r="AI22" s="17">
        <v>32.5989</v>
      </c>
      <c r="AJ22" s="17">
        <v>32.378970000000002</v>
      </c>
      <c r="AK22" s="17">
        <v>32.116909999999997</v>
      </c>
      <c r="AL22" s="17">
        <v>32.347839999999998</v>
      </c>
      <c r="AM22" s="17">
        <v>31.068829999999998</v>
      </c>
      <c r="AN22" s="17">
        <v>30.738800000000001</v>
      </c>
      <c r="AO22" s="17">
        <v>30.717490000000002</v>
      </c>
      <c r="AP22" s="17">
        <v>30.072289999999999</v>
      </c>
      <c r="AQ22" s="17">
        <v>30.47542</v>
      </c>
      <c r="AR22" s="17">
        <v>29.308129999999998</v>
      </c>
      <c r="AS22" s="17">
        <v>29.072659999999999</v>
      </c>
      <c r="AT22" s="17">
        <v>28.873370000000001</v>
      </c>
      <c r="AU22" s="17">
        <v>27.978940000000001</v>
      </c>
      <c r="AV22" s="17">
        <v>27.585129999999999</v>
      </c>
      <c r="AW22" s="17">
        <v>27.39442</v>
      </c>
      <c r="AX22" s="17">
        <v>27.623840000000001</v>
      </c>
      <c r="AY22" s="17">
        <v>28.309609999999999</v>
      </c>
      <c r="AZ22" s="17">
        <v>29.268650000000001</v>
      </c>
      <c r="BA22" s="17">
        <v>30.475449999999999</v>
      </c>
      <c r="BB22" s="17">
        <v>30.065110000000001</v>
      </c>
      <c r="BC22" s="17">
        <v>29.810510000000001</v>
      </c>
      <c r="BD22" s="17">
        <v>30.24494</v>
      </c>
      <c r="BE22" s="17">
        <v>30.428450000000002</v>
      </c>
      <c r="BF22" s="17">
        <v>30.83079</v>
      </c>
      <c r="BG22" s="17">
        <v>32.019959999999998</v>
      </c>
      <c r="BH22" s="17">
        <v>32.281390000000002</v>
      </c>
      <c r="BI22" s="17">
        <v>32.587910000000001</v>
      </c>
      <c r="BJ22" s="17">
        <v>32.861260000000001</v>
      </c>
      <c r="BK22" s="17">
        <v>33.828960000000002</v>
      </c>
      <c r="BL22" s="17">
        <v>35.587940000000003</v>
      </c>
      <c r="BM22" s="17">
        <v>35.096789999999999</v>
      </c>
      <c r="BN22" s="17">
        <v>36.016680000000001</v>
      </c>
      <c r="BO22" s="17">
        <v>38.37283</v>
      </c>
      <c r="BP22" s="17">
        <v>39.023809999999997</v>
      </c>
      <c r="BQ22" s="17">
        <v>39.62236</v>
      </c>
      <c r="BR22" s="17">
        <v>39.400239999999997</v>
      </c>
      <c r="BS22" s="17">
        <v>40.862479999999998</v>
      </c>
      <c r="BT22" s="17">
        <v>40.936500000000002</v>
      </c>
      <c r="BU22" s="17">
        <v>41.211300000000001</v>
      </c>
      <c r="BV22" s="17">
        <v>42.860770000000002</v>
      </c>
      <c r="BW22" s="17">
        <v>43.5184</v>
      </c>
      <c r="BX22" s="17">
        <v>43.55894</v>
      </c>
      <c r="BY22" s="17">
        <v>42.745190000000001</v>
      </c>
      <c r="BZ22" s="17">
        <v>42.22683</v>
      </c>
      <c r="CA22" s="17">
        <v>43.224690000000002</v>
      </c>
      <c r="CB22" s="17">
        <v>43.373399999999997</v>
      </c>
      <c r="CC22" s="17">
        <v>43.859949999999998</v>
      </c>
      <c r="CD22" s="17">
        <v>43.459530000000001</v>
      </c>
      <c r="CE22" s="17">
        <v>43.22343</v>
      </c>
      <c r="CF22" s="17">
        <v>43.29504</v>
      </c>
      <c r="CG22" s="17">
        <v>41.19556</v>
      </c>
      <c r="CH22" s="17">
        <v>40.550539999999998</v>
      </c>
      <c r="CI22" s="17">
        <v>37.47831</v>
      </c>
      <c r="CJ22" s="17">
        <v>35.511600000000001</v>
      </c>
      <c r="CK22" s="17">
        <v>34.49823</v>
      </c>
      <c r="CL22" s="17">
        <v>34.333030000000001</v>
      </c>
      <c r="CM22" s="17">
        <v>35.581519999999998</v>
      </c>
      <c r="CN22" s="17">
        <v>37.876869999999997</v>
      </c>
      <c r="CO22" s="17">
        <v>38.046019999999999</v>
      </c>
      <c r="CP22" s="17">
        <v>38.455590000000001</v>
      </c>
      <c r="CQ22" s="17">
        <v>38.180230000000002</v>
      </c>
      <c r="CR22" s="17">
        <v>38.862949999999998</v>
      </c>
      <c r="CS22" s="17">
        <v>40.142670000000003</v>
      </c>
      <c r="CT22" s="17">
        <v>42.454590000000003</v>
      </c>
      <c r="CU22" s="17">
        <v>41.260730000000002</v>
      </c>
      <c r="CV22" s="17">
        <v>41.251489999999997</v>
      </c>
      <c r="CW22" s="17">
        <v>41.226770000000002</v>
      </c>
      <c r="CX22" s="17">
        <v>40.483719999999998</v>
      </c>
      <c r="CY22" s="17">
        <v>41.338209999999997</v>
      </c>
      <c r="CZ22" s="17">
        <v>42.040300000000002</v>
      </c>
      <c r="DA22" s="17">
        <v>42.74532</v>
      </c>
      <c r="DB22" s="17">
        <v>44.34892</v>
      </c>
      <c r="DC22" s="17">
        <v>44.160060000000001</v>
      </c>
      <c r="DD22" s="17">
        <v>44.731009999999998</v>
      </c>
      <c r="DE22" s="17">
        <v>45.178600000000003</v>
      </c>
      <c r="DF22" s="17">
        <v>45.839889999999997</v>
      </c>
      <c r="DG22" s="17">
        <v>46.09769</v>
      </c>
      <c r="DH22" s="17">
        <v>46.594279999999998</v>
      </c>
      <c r="DI22" s="17">
        <v>47.63879</v>
      </c>
      <c r="DJ22" s="17">
        <v>48.489319999999999</v>
      </c>
      <c r="DK22" s="17">
        <v>50.717120000000001</v>
      </c>
      <c r="DL22" s="17">
        <v>51.906640000000003</v>
      </c>
      <c r="DM22" s="17">
        <v>52.449129999999997</v>
      </c>
      <c r="DN22" s="17">
        <v>52.0794</v>
      </c>
      <c r="DO22" s="17">
        <v>52.339750000000002</v>
      </c>
      <c r="DP22" s="17">
        <v>52.686050000000002</v>
      </c>
      <c r="DQ22" s="17">
        <v>52.339970000000001</v>
      </c>
      <c r="DR22" s="17">
        <v>53.159030000000001</v>
      </c>
      <c r="DS22" s="17">
        <v>56.700609999999998</v>
      </c>
      <c r="DT22" s="17">
        <v>56.94894</v>
      </c>
      <c r="DU22" s="17">
        <v>57.963520000000003</v>
      </c>
      <c r="DV22" s="17">
        <v>58.942070000000001</v>
      </c>
      <c r="DW22" s="17">
        <v>54.734499999999997</v>
      </c>
      <c r="DX22" s="17">
        <v>53.79027</v>
      </c>
      <c r="DY22" s="17">
        <v>52.364330000000002</v>
      </c>
      <c r="DZ22" s="17">
        <v>53.327759999999998</v>
      </c>
      <c r="EA22" s="17">
        <v>54.027119999999996</v>
      </c>
      <c r="EB22" s="17">
        <v>54.106639999999999</v>
      </c>
      <c r="EC22" s="17">
        <v>53.055619999999998</v>
      </c>
      <c r="ED22" s="17">
        <v>53.349119999999999</v>
      </c>
      <c r="EE22" s="17">
        <v>53.510199999999998</v>
      </c>
      <c r="EF22" s="17">
        <v>53.643250000000002</v>
      </c>
      <c r="EG22" s="17">
        <v>53.826709999999999</v>
      </c>
      <c r="EH22" s="17">
        <v>53.639249999999997</v>
      </c>
      <c r="EI22" s="17">
        <v>54.066670000000002</v>
      </c>
      <c r="EJ22" s="17">
        <v>54.380409999999998</v>
      </c>
      <c r="EK22" s="17">
        <v>54.630870000000002</v>
      </c>
      <c r="EL22" s="17">
        <v>56.457270000000001</v>
      </c>
      <c r="EM22" s="17">
        <v>56.456600000000002</v>
      </c>
      <c r="EN22" s="17">
        <v>55.924759999999999</v>
      </c>
      <c r="EO22" s="17">
        <v>56.075099999999999</v>
      </c>
      <c r="EP22" s="17">
        <v>54.939900000000002</v>
      </c>
      <c r="EQ22" s="17">
        <v>55.583359999999999</v>
      </c>
      <c r="ER22" s="17">
        <v>55.078119999999998</v>
      </c>
      <c r="ES22" s="17">
        <v>53.549320000000002</v>
      </c>
      <c r="ET22" s="17">
        <v>49.951630000000002</v>
      </c>
      <c r="EU22" s="17">
        <v>46.663559999999997</v>
      </c>
      <c r="EV22" s="17">
        <v>44.834420000000001</v>
      </c>
      <c r="EW22" s="17">
        <v>43.821010000000001</v>
      </c>
      <c r="EX22" s="17">
        <v>46.420630000000003</v>
      </c>
      <c r="EY22" s="17">
        <v>46.040030000000002</v>
      </c>
      <c r="EZ22" s="17">
        <v>47.654269999999997</v>
      </c>
      <c r="FA22" s="17">
        <v>48.065089999999998</v>
      </c>
      <c r="FB22" s="17">
        <v>48.453919999999997</v>
      </c>
      <c r="FC22" s="17">
        <v>49.076799999999999</v>
      </c>
      <c r="FD22" s="17">
        <v>49.126130000000003</v>
      </c>
      <c r="FE22" s="17">
        <v>49.077950000000001</v>
      </c>
      <c r="FF22" s="17">
        <v>48.104379999999999</v>
      </c>
      <c r="FG22" s="17">
        <v>45.719619999999999</v>
      </c>
      <c r="FH22" s="17">
        <v>44.689369999999997</v>
      </c>
      <c r="FI22" s="17">
        <v>43.7866</v>
      </c>
      <c r="FJ22" s="17">
        <v>42.526890000000002</v>
      </c>
      <c r="FK22" s="17">
        <v>41.056919999999998</v>
      </c>
      <c r="FL22" s="17">
        <v>41.146000000000001</v>
      </c>
      <c r="FM22" s="17">
        <v>41.068359999999998</v>
      </c>
      <c r="FN22" s="17">
        <v>40.60275</v>
      </c>
      <c r="FO22" s="17">
        <v>41.312449999999998</v>
      </c>
      <c r="FP22" s="17">
        <v>41.474200000000003</v>
      </c>
      <c r="FQ22" s="17">
        <v>41.796250000000001</v>
      </c>
      <c r="FR22" s="17">
        <v>42.125030000000002</v>
      </c>
      <c r="FS22" s="17">
        <v>42.273699999999998</v>
      </c>
      <c r="FT22" s="17">
        <v>42.822119999999998</v>
      </c>
      <c r="FU22" s="17">
        <v>42.948279999999997</v>
      </c>
      <c r="FV22" s="17">
        <v>43.101939999999999</v>
      </c>
      <c r="FW22" s="17">
        <v>44.984070000000003</v>
      </c>
      <c r="FX22" s="17">
        <v>45.093170000000001</v>
      </c>
      <c r="FY22" s="17">
        <v>46.175229999999999</v>
      </c>
      <c r="FZ22" s="17">
        <v>47.020040000000002</v>
      </c>
      <c r="GA22" s="17">
        <v>46.812739999999998</v>
      </c>
      <c r="GB22" s="17">
        <v>47.671430000000001</v>
      </c>
      <c r="GC22" s="17">
        <v>48.880830000000003</v>
      </c>
      <c r="GD22" s="17">
        <v>49.907130000000002</v>
      </c>
      <c r="GE22" s="17">
        <v>50.243740000000003</v>
      </c>
      <c r="GF22" s="17">
        <v>51.25197</v>
      </c>
      <c r="GG22" s="17">
        <v>50.525410000000001</v>
      </c>
      <c r="GH22" s="17">
        <v>50.282490000000003</v>
      </c>
      <c r="GI22" s="17">
        <v>50.507739999999998</v>
      </c>
      <c r="GJ22" s="17">
        <v>51.374130000000001</v>
      </c>
      <c r="GK22" s="17">
        <v>51.344209999999997</v>
      </c>
      <c r="GL22" s="17">
        <v>50.835360000000001</v>
      </c>
      <c r="GM22" s="17">
        <v>46.138129999999997</v>
      </c>
      <c r="GN22" s="17">
        <v>38.821109999999997</v>
      </c>
      <c r="GO22" s="17">
        <v>48.989339999999999</v>
      </c>
      <c r="GP22" s="17">
        <v>48.584800000000001</v>
      </c>
      <c r="GQ22" s="17">
        <v>49.507750000000001</v>
      </c>
      <c r="GR22" s="17">
        <v>49.986660000000001</v>
      </c>
      <c r="GS22" s="17">
        <v>50.999549999999999</v>
      </c>
      <c r="GT22" s="17">
        <v>52.074300000000001</v>
      </c>
      <c r="GU22" s="17">
        <v>54.178190000000001</v>
      </c>
      <c r="GV22" s="17">
        <v>55.65634</v>
      </c>
      <c r="GW22" s="17">
        <v>56.222659999999998</v>
      </c>
      <c r="GX22" s="17">
        <v>56.10669</v>
      </c>
      <c r="GY22" s="17">
        <v>56.391210000000001</v>
      </c>
      <c r="GZ22" s="17">
        <v>55.770150000000001</v>
      </c>
      <c r="HA22" s="17">
        <v>55.128010000000003</v>
      </c>
      <c r="HB22" s="17">
        <v>54.8264</v>
      </c>
      <c r="HC22" s="17">
        <v>56.13899</v>
      </c>
      <c r="HD22" s="17">
        <v>56.23039</v>
      </c>
      <c r="HE22" s="17">
        <v>56.638330000000003</v>
      </c>
      <c r="HF22" s="17">
        <v>57.141500000000001</v>
      </c>
      <c r="HG22" s="17">
        <v>57.801839999999999</v>
      </c>
      <c r="HH22" s="17">
        <v>59.109400000000001</v>
      </c>
      <c r="HI22" s="17">
        <v>59.632599999999996</v>
      </c>
      <c r="HJ22" s="17">
        <v>60.118899999999996</v>
      </c>
      <c r="HK22" s="17">
        <v>60.749400000000001</v>
      </c>
      <c r="HL22" s="17">
        <v>61.3872</v>
      </c>
      <c r="HM22" s="17">
        <v>61.849800000000002</v>
      </c>
      <c r="HN22" s="17">
        <v>62.186419999999998</v>
      </c>
      <c r="HO22" s="17">
        <v>62.307549999999999</v>
      </c>
      <c r="HP22" s="17">
        <v>62.429220000000001</v>
      </c>
      <c r="HQ22" s="17">
        <v>62.568620000000003</v>
      </c>
      <c r="HR22" s="17">
        <v>62.637250000000002</v>
      </c>
      <c r="HS22" s="17">
        <v>62.705590000000001</v>
      </c>
      <c r="HT22" s="17">
        <v>62.887889999999999</v>
      </c>
      <c r="HU22" s="17">
        <v>63.070010000000003</v>
      </c>
      <c r="HV22" s="17">
        <v>63.252949999999998</v>
      </c>
      <c r="HW22" s="17">
        <v>63.435420000000001</v>
      </c>
      <c r="HX22" s="17">
        <v>63.622880000000002</v>
      </c>
      <c r="HY22" s="17">
        <v>63.804789999999997</v>
      </c>
      <c r="HZ22" s="17">
        <v>63.978180000000002</v>
      </c>
      <c r="IA22" s="17">
        <v>64.087639999999993</v>
      </c>
      <c r="IB22" s="17">
        <v>64.184950000000001</v>
      </c>
      <c r="IC22" s="17">
        <v>64.270229999999998</v>
      </c>
      <c r="ID22" s="17">
        <v>64.354699999999994</v>
      </c>
      <c r="IE22" s="17">
        <v>64.43365</v>
      </c>
      <c r="IF22" s="17">
        <v>64.495900000000006</v>
      </c>
      <c r="IG22" s="17">
        <v>64.56335</v>
      </c>
      <c r="IH22" s="17">
        <v>64.639579999999995</v>
      </c>
      <c r="II22" s="17">
        <v>64.715379999999996</v>
      </c>
      <c r="IJ22" s="17">
        <v>64.791799999999995</v>
      </c>
      <c r="IK22" s="17">
        <v>64.868309999999994</v>
      </c>
      <c r="IL22" s="17">
        <v>64.927269999999993</v>
      </c>
      <c r="IM22" s="17">
        <v>64.986660000000001</v>
      </c>
      <c r="IN22" s="17">
        <v>65.045770000000005</v>
      </c>
      <c r="IO22" s="17">
        <v>65.105900000000005</v>
      </c>
      <c r="IP22" s="17">
        <v>65.154380000000003</v>
      </c>
      <c r="IQ22" s="17">
        <v>65.201390000000004</v>
      </c>
      <c r="IR22" s="17">
        <v>65.244829999999993</v>
      </c>
      <c r="IS22" s="17">
        <v>65.283379999999994</v>
      </c>
      <c r="IT22" s="17">
        <v>65.320499999999996</v>
      </c>
      <c r="IU22" s="17">
        <v>65.359160000000003</v>
      </c>
      <c r="IV22" s="17">
        <v>65.396879999999996</v>
      </c>
      <c r="IW22" s="17">
        <v>65.434520000000006</v>
      </c>
      <c r="IX22" s="17">
        <v>65.473370000000003</v>
      </c>
      <c r="IY22" s="17">
        <v>65.516490000000005</v>
      </c>
      <c r="IZ22" s="17">
        <v>65.559610000000006</v>
      </c>
      <c r="JA22" s="17">
        <v>65.589089999999999</v>
      </c>
      <c r="JB22" s="17">
        <v>65.622739999999993</v>
      </c>
      <c r="JC22" s="17">
        <v>65.65607</v>
      </c>
      <c r="JD22" s="17">
        <v>65.686400000000006</v>
      </c>
      <c r="JE22" s="17">
        <v>65.716380000000001</v>
      </c>
      <c r="JF22" s="17">
        <v>65.74597</v>
      </c>
      <c r="JG22" s="17">
        <v>65.775220000000004</v>
      </c>
      <c r="JH22" s="17">
        <v>65.797489999999996</v>
      </c>
      <c r="JI22" s="17">
        <v>65.81935</v>
      </c>
      <c r="JJ22" s="17">
        <v>65.84075</v>
      </c>
      <c r="JK22" s="17">
        <v>65.861660000000001</v>
      </c>
      <c r="JL22" s="17">
        <v>65.880359999999996</v>
      </c>
      <c r="JM22" s="17">
        <v>65.898480000000006</v>
      </c>
      <c r="JN22" s="17">
        <v>65.916030000000006</v>
      </c>
      <c r="JO22" s="17">
        <v>65.933059999999998</v>
      </c>
      <c r="JP22" s="17">
        <v>65.953130000000002</v>
      </c>
      <c r="JQ22" s="17">
        <v>65.972629999999995</v>
      </c>
      <c r="JR22" s="17">
        <v>65.991609999999994</v>
      </c>
      <c r="JS22" s="17">
        <v>66.009990000000002</v>
      </c>
      <c r="JT22" s="17">
        <v>66.027069999999995</v>
      </c>
      <c r="JU22" s="17">
        <v>66.043580000000006</v>
      </c>
      <c r="JV22" s="17">
        <v>66.059489999999997</v>
      </c>
      <c r="JW22" s="17">
        <v>66.074839999999995</v>
      </c>
      <c r="JX22" s="17">
        <v>66.090869999999995</v>
      </c>
      <c r="JY22" s="17">
        <v>66.106340000000003</v>
      </c>
      <c r="JZ22" s="17">
        <v>66.121290000000002</v>
      </c>
      <c r="KA22" s="17">
        <v>66.135710000000003</v>
      </c>
      <c r="KB22" s="17">
        <v>66.151219999999995</v>
      </c>
      <c r="KC22" s="17">
        <v>66.166210000000007</v>
      </c>
      <c r="KD22" s="17">
        <v>66.180729999999997</v>
      </c>
      <c r="KE22" s="17">
        <v>66.194670000000002</v>
      </c>
      <c r="KF22" s="17">
        <v>66.20514</v>
      </c>
      <c r="KG22" s="17">
        <v>66.215130000000002</v>
      </c>
      <c r="KH22" s="17">
        <v>66.224649999999997</v>
      </c>
      <c r="KI22" s="17">
        <v>66.233649999999997</v>
      </c>
      <c r="KJ22" s="17">
        <v>66.250579999999999</v>
      </c>
      <c r="KK22" s="17">
        <v>66.267070000000004</v>
      </c>
      <c r="KL22" s="17">
        <v>66.283140000000003</v>
      </c>
      <c r="KM22" s="17">
        <v>66.298770000000005</v>
      </c>
      <c r="KN22" s="17">
        <v>66.32038</v>
      </c>
      <c r="KO22" s="17">
        <v>66.341629999999995</v>
      </c>
      <c r="KP22" s="17">
        <v>66.362499999999997</v>
      </c>
      <c r="KQ22" s="17">
        <v>66.382999999999996</v>
      </c>
      <c r="KR22" s="17">
        <v>66.411199999999994</v>
      </c>
      <c r="KS22" s="17">
        <v>66.439019999999999</v>
      </c>
      <c r="KT22" s="17">
        <v>66.466610000000003</v>
      </c>
      <c r="KU22" s="17">
        <v>66.493859999999998</v>
      </c>
      <c r="KV22" s="17">
        <v>66.523089999999996</v>
      </c>
      <c r="KW22" s="17">
        <v>66.552109999999999</v>
      </c>
      <c r="KX22" s="17">
        <v>66.580910000000003</v>
      </c>
      <c r="KY22" s="17">
        <v>66.609449999999995</v>
      </c>
      <c r="KZ22" s="17">
        <v>66.648309999999995</v>
      </c>
      <c r="LA22" s="17">
        <v>66.687020000000004</v>
      </c>
      <c r="LB22" s="17">
        <v>66.725520000000003</v>
      </c>
      <c r="LC22" s="17">
        <v>66.76388</v>
      </c>
      <c r="LD22" s="17">
        <v>66.807460000000006</v>
      </c>
      <c r="LE22" s="17">
        <v>66.850930000000005</v>
      </c>
      <c r="LF22" s="17">
        <v>66.894279999999995</v>
      </c>
      <c r="LG22" s="17">
        <v>66.937520000000006</v>
      </c>
      <c r="LH22" s="17">
        <v>66.985240000000005</v>
      </c>
      <c r="LI22" s="17">
        <v>67.032870000000003</v>
      </c>
      <c r="LJ22" s="17">
        <v>67.080399999999997</v>
      </c>
      <c r="LK22" s="17">
        <v>67.127870000000001</v>
      </c>
      <c r="LL22" s="17">
        <v>67.175709999999995</v>
      </c>
      <c r="LM22" s="17">
        <v>67.223460000000003</v>
      </c>
      <c r="LN22" s="17">
        <v>67.271140000000003</v>
      </c>
      <c r="LO22" s="17">
        <v>67.318759999999997</v>
      </c>
      <c r="LP22" s="17">
        <v>67.372110000000006</v>
      </c>
      <c r="LQ22" s="17">
        <v>67.425399999999996</v>
      </c>
      <c r="LR22" s="17">
        <v>67.478629999999995</v>
      </c>
      <c r="LS22" s="17">
        <v>67.531729999999996</v>
      </c>
      <c r="LT22" s="17">
        <v>67.586870000000005</v>
      </c>
      <c r="LU22" s="17">
        <v>67.641949999999994</v>
      </c>
      <c r="LV22" s="17">
        <v>67.69699</v>
      </c>
      <c r="LW22" s="17">
        <v>67.751940000000005</v>
      </c>
      <c r="LX22" s="17">
        <v>67.809269999999998</v>
      </c>
      <c r="LY22" s="17">
        <v>67.866550000000004</v>
      </c>
      <c r="LZ22" s="17">
        <v>67.923789999999997</v>
      </c>
      <c r="MA22" s="17">
        <v>67.980950000000007</v>
      </c>
      <c r="MB22" s="17">
        <v>68.042400000000001</v>
      </c>
      <c r="MC22" s="17">
        <v>68.103819999999999</v>
      </c>
      <c r="MD22" s="17">
        <v>68.165270000000007</v>
      </c>
      <c r="ME22" s="17">
        <v>68.226680000000002</v>
      </c>
      <c r="MF22" s="17">
        <v>68.287019999999998</v>
      </c>
      <c r="MG22" s="17">
        <v>68.347309999999993</v>
      </c>
      <c r="MH22" s="17">
        <v>68.407619999999994</v>
      </c>
      <c r="MI22" s="17">
        <v>68.467929999999996</v>
      </c>
      <c r="MJ22" s="17">
        <v>68.522189999999995</v>
      </c>
      <c r="MK22" s="17">
        <v>68.576480000000004</v>
      </c>
      <c r="ML22" s="17">
        <v>68.630790000000005</v>
      </c>
      <c r="MM22" s="17">
        <v>68.685169999999999</v>
      </c>
      <c r="MN22" s="17">
        <v>68.724159999999998</v>
      </c>
      <c r="MO22" s="17">
        <v>68.763339999999999</v>
      </c>
      <c r="MP22" s="17">
        <v>68.802430000000001</v>
      </c>
      <c r="MQ22" s="17">
        <v>68.841459999999998</v>
      </c>
      <c r="MR22" s="17">
        <v>68.876999999999995</v>
      </c>
      <c r="MS22" s="17">
        <v>68.912570000000002</v>
      </c>
      <c r="MT22" s="17">
        <v>68.948030000000003</v>
      </c>
      <c r="MU22" s="13" t="s">
        <v>992</v>
      </c>
      <c r="MV22" s="13" t="b">
        <v>1</v>
      </c>
      <c r="MW22" s="13">
        <v>2010</v>
      </c>
      <c r="MX22" s="13" t="s">
        <v>480</v>
      </c>
      <c r="MY22" s="13" t="s">
        <v>480</v>
      </c>
      <c r="MZ22" s="13" t="s">
        <v>480</v>
      </c>
      <c r="NA22" s="13" t="s">
        <v>480</v>
      </c>
      <c r="NB22" s="15" t="s">
        <v>994</v>
      </c>
      <c r="NC22" s="13" t="s">
        <v>480</v>
      </c>
      <c r="ND22" s="13" t="s">
        <v>995</v>
      </c>
      <c r="NE22" s="13" t="s">
        <v>484</v>
      </c>
      <c r="NF22" s="15" t="s">
        <v>1268</v>
      </c>
    </row>
    <row r="23" spans="1:370" x14ac:dyDescent="0.25">
      <c r="A23" s="13" t="s">
        <v>996</v>
      </c>
      <c r="B23" s="13" t="s">
        <v>474</v>
      </c>
      <c r="C23" s="15" t="s">
        <v>1267</v>
      </c>
      <c r="D23" s="13" t="s">
        <v>997</v>
      </c>
      <c r="E23" s="13" t="s">
        <v>476</v>
      </c>
      <c r="F23" s="13" t="s">
        <v>477</v>
      </c>
      <c r="G23" s="16">
        <v>14798</v>
      </c>
      <c r="H23" s="16">
        <v>15139</v>
      </c>
      <c r="I23" s="16">
        <v>15705</v>
      </c>
      <c r="J23" s="16">
        <v>16414.25</v>
      </c>
      <c r="K23" s="16">
        <v>16822.25</v>
      </c>
      <c r="L23" s="16">
        <v>16395.5</v>
      </c>
      <c r="M23" s="16">
        <v>16614</v>
      </c>
      <c r="N23" s="16">
        <v>17004.25</v>
      </c>
      <c r="O23" s="16">
        <v>17623.75</v>
      </c>
      <c r="P23" s="16">
        <v>18298</v>
      </c>
      <c r="Q23" s="16">
        <v>18780.5</v>
      </c>
      <c r="R23" s="16">
        <v>19265.75</v>
      </c>
      <c r="S23" s="16">
        <v>18916.5</v>
      </c>
      <c r="T23" s="16">
        <v>19031.5</v>
      </c>
      <c r="U23" s="16">
        <v>17962</v>
      </c>
      <c r="V23" s="16">
        <v>18229.75</v>
      </c>
      <c r="W23" s="16">
        <v>18821.25</v>
      </c>
      <c r="X23" s="16">
        <v>19407.75</v>
      </c>
      <c r="Y23" s="16">
        <v>19604.5</v>
      </c>
      <c r="Z23" s="16">
        <v>19615.5</v>
      </c>
      <c r="AA23" s="16">
        <v>19430.75</v>
      </c>
      <c r="AB23" s="16">
        <v>19948.5</v>
      </c>
      <c r="AC23" s="16">
        <v>19940.5</v>
      </c>
      <c r="AD23" s="16">
        <v>20165.75</v>
      </c>
      <c r="AE23" s="16">
        <v>20748.5</v>
      </c>
      <c r="AF23" s="16">
        <v>21667.5</v>
      </c>
      <c r="AG23" s="16">
        <v>23347</v>
      </c>
      <c r="AH23" s="16">
        <v>23545.25</v>
      </c>
      <c r="AI23" s="16">
        <v>24342</v>
      </c>
      <c r="AJ23" s="16">
        <v>24107.75</v>
      </c>
      <c r="AK23" s="16">
        <v>24814.75</v>
      </c>
      <c r="AL23" s="16">
        <v>25389.75</v>
      </c>
      <c r="AM23" s="16">
        <v>26777.25</v>
      </c>
      <c r="AN23" s="16">
        <v>27158.25</v>
      </c>
      <c r="AO23" s="16">
        <v>27044.75</v>
      </c>
      <c r="AP23" s="16">
        <v>27488.25</v>
      </c>
      <c r="AQ23" s="16">
        <v>26610.75</v>
      </c>
      <c r="AR23" s="16">
        <v>24802</v>
      </c>
      <c r="AS23" s="16">
        <v>22895.5</v>
      </c>
      <c r="AT23" s="16">
        <v>23037.5</v>
      </c>
      <c r="AU23" s="16">
        <v>22473.5</v>
      </c>
      <c r="AV23" s="16">
        <v>22198</v>
      </c>
      <c r="AW23" s="16">
        <v>22279.75</v>
      </c>
      <c r="AX23" s="16">
        <v>22902.25</v>
      </c>
      <c r="AY23" s="16">
        <v>22754.5</v>
      </c>
      <c r="AZ23" s="16">
        <v>22614</v>
      </c>
      <c r="BA23" s="16">
        <v>22698.5</v>
      </c>
      <c r="BB23" s="16">
        <v>22213.25</v>
      </c>
      <c r="BC23" s="16">
        <v>22958.25</v>
      </c>
      <c r="BD23" s="16">
        <v>24485</v>
      </c>
      <c r="BE23" s="16">
        <v>24628.25</v>
      </c>
      <c r="BF23" s="16">
        <v>24202</v>
      </c>
      <c r="BG23" s="16">
        <v>25135.5</v>
      </c>
      <c r="BH23" s="16">
        <v>23971</v>
      </c>
      <c r="BI23" s="16">
        <v>23190.5</v>
      </c>
      <c r="BJ23" s="16">
        <v>23091.25</v>
      </c>
      <c r="BK23" s="16">
        <v>23245.5</v>
      </c>
      <c r="BL23" s="16">
        <v>24887.25</v>
      </c>
      <c r="BM23" s="16">
        <v>26333.75</v>
      </c>
      <c r="BN23" s="16">
        <v>27182</v>
      </c>
      <c r="BO23" s="16">
        <v>27625.25</v>
      </c>
      <c r="BP23" s="16">
        <v>28121</v>
      </c>
      <c r="BQ23" s="16">
        <v>29607.25</v>
      </c>
      <c r="BR23" s="16">
        <v>29213.25</v>
      </c>
      <c r="BS23" s="16">
        <v>30203</v>
      </c>
      <c r="BT23" s="16">
        <v>29943.75</v>
      </c>
      <c r="BU23" s="16">
        <v>29765.25</v>
      </c>
      <c r="BV23" s="16">
        <v>30625.75</v>
      </c>
      <c r="BW23" s="16">
        <v>30296.5</v>
      </c>
      <c r="BX23" s="16">
        <v>30183.5</v>
      </c>
      <c r="BY23" s="16">
        <v>29752.75</v>
      </c>
      <c r="BZ23" s="16">
        <v>28937</v>
      </c>
      <c r="CA23" s="16">
        <v>29861.75</v>
      </c>
      <c r="CB23" s="16">
        <v>29042.25</v>
      </c>
      <c r="CC23" s="16">
        <v>28747.25</v>
      </c>
      <c r="CD23" s="16">
        <v>28818.75</v>
      </c>
      <c r="CE23" s="16">
        <v>27723.75</v>
      </c>
      <c r="CF23" s="16">
        <v>25772.5</v>
      </c>
      <c r="CG23" s="16">
        <v>26296.75</v>
      </c>
      <c r="CH23" s="16">
        <v>24647.5</v>
      </c>
      <c r="CI23" s="16">
        <v>24734</v>
      </c>
      <c r="CJ23" s="16">
        <v>25925.75</v>
      </c>
      <c r="CK23" s="16">
        <v>26716.25</v>
      </c>
      <c r="CL23" s="16">
        <v>27568.5</v>
      </c>
      <c r="CM23" s="16">
        <v>27452.25</v>
      </c>
      <c r="CN23" s="16">
        <v>28573.5</v>
      </c>
      <c r="CO23" s="16">
        <v>28870.75</v>
      </c>
      <c r="CP23" s="16">
        <v>29643.75</v>
      </c>
      <c r="CQ23" s="16">
        <v>29761.25</v>
      </c>
      <c r="CR23" s="16">
        <v>29780.5</v>
      </c>
      <c r="CS23" s="16">
        <v>29743.25</v>
      </c>
      <c r="CT23" s="16">
        <v>29650.5</v>
      </c>
      <c r="CU23" s="16">
        <v>30367.5</v>
      </c>
      <c r="CV23" s="16">
        <v>30228.5</v>
      </c>
      <c r="CW23" s="16">
        <v>31386.5</v>
      </c>
      <c r="CX23" s="16">
        <v>33387.5</v>
      </c>
      <c r="CY23" s="16">
        <v>34970.75</v>
      </c>
      <c r="CZ23" s="16">
        <v>36309.75</v>
      </c>
      <c r="DA23" s="16">
        <v>37845.25</v>
      </c>
      <c r="DB23" s="16">
        <v>38153.5</v>
      </c>
      <c r="DC23" s="16">
        <v>38248.5</v>
      </c>
      <c r="DD23" s="16">
        <v>38461.5</v>
      </c>
      <c r="DE23" s="16">
        <v>38571.75</v>
      </c>
      <c r="DF23" s="16">
        <v>39120.25</v>
      </c>
      <c r="DG23" s="16">
        <v>39165.75</v>
      </c>
      <c r="DH23" s="16">
        <v>39754.5</v>
      </c>
      <c r="DI23" s="16">
        <v>40140.5</v>
      </c>
      <c r="DJ23" s="16">
        <v>41222</v>
      </c>
      <c r="DK23" s="16">
        <v>41832.75</v>
      </c>
      <c r="DL23" s="16">
        <v>42105</v>
      </c>
      <c r="DM23" s="16">
        <v>41976</v>
      </c>
      <c r="DN23" s="16">
        <v>42122.5</v>
      </c>
      <c r="DO23" s="16">
        <v>43287</v>
      </c>
      <c r="DP23" s="16">
        <v>43761.25</v>
      </c>
      <c r="DQ23" s="16">
        <v>43812.25</v>
      </c>
      <c r="DR23" s="16">
        <v>41155.75</v>
      </c>
      <c r="DS23" s="16">
        <v>40291.75</v>
      </c>
      <c r="DT23" s="16">
        <v>40538.75</v>
      </c>
      <c r="DU23" s="16">
        <v>41081.5</v>
      </c>
      <c r="DV23" s="16">
        <v>40979.25</v>
      </c>
      <c r="DW23" s="16">
        <v>41833.25</v>
      </c>
      <c r="DX23" s="16">
        <v>42642.75</v>
      </c>
      <c r="DY23" s="16">
        <v>43867.5</v>
      </c>
      <c r="DZ23" s="16">
        <v>45102</v>
      </c>
      <c r="EA23" s="16">
        <v>45977.75</v>
      </c>
      <c r="EB23" s="16">
        <v>46712.25</v>
      </c>
      <c r="EC23" s="16">
        <v>47590.25</v>
      </c>
      <c r="ED23" s="16">
        <v>48189</v>
      </c>
      <c r="EE23" s="16">
        <v>49991.5</v>
      </c>
      <c r="EF23" s="16">
        <v>51086.5</v>
      </c>
      <c r="EG23" s="16">
        <v>53150.5</v>
      </c>
      <c r="EH23" s="16">
        <v>54745.5</v>
      </c>
      <c r="EI23" s="16">
        <v>55492.25</v>
      </c>
      <c r="EJ23" s="16">
        <v>56632.75</v>
      </c>
      <c r="EK23" s="16">
        <v>57451.75</v>
      </c>
      <c r="EL23" s="16">
        <v>57770.25</v>
      </c>
      <c r="EM23" s="16">
        <v>57606</v>
      </c>
      <c r="EN23" s="16">
        <v>57889.75</v>
      </c>
      <c r="EO23" s="16">
        <v>58194.75</v>
      </c>
      <c r="EP23" s="16">
        <v>59252</v>
      </c>
      <c r="EQ23" s="16">
        <v>61412.75</v>
      </c>
      <c r="ER23" s="16">
        <v>61542.25</v>
      </c>
      <c r="ES23" s="16">
        <v>61346.5</v>
      </c>
      <c r="ET23" s="16">
        <v>58360.25</v>
      </c>
      <c r="EU23" s="16">
        <v>49815</v>
      </c>
      <c r="EV23" s="16">
        <v>47699.25</v>
      </c>
      <c r="EW23" s="16">
        <v>48017</v>
      </c>
      <c r="EX23" s="16">
        <v>49292.75</v>
      </c>
      <c r="EY23" s="16">
        <v>51979</v>
      </c>
      <c r="EZ23" s="16">
        <v>54417.25</v>
      </c>
      <c r="FA23" s="16">
        <v>56295.5</v>
      </c>
      <c r="FB23" s="16">
        <v>58629.75</v>
      </c>
      <c r="FC23" s="16">
        <v>59759.75</v>
      </c>
      <c r="FD23" s="16">
        <v>61564.25</v>
      </c>
      <c r="FE23" s="16">
        <v>62039.5</v>
      </c>
      <c r="FF23" s="16">
        <v>63538.75</v>
      </c>
      <c r="FG23" s="16">
        <v>64829.5</v>
      </c>
      <c r="FH23" s="16">
        <v>66015.5</v>
      </c>
      <c r="FI23" s="16">
        <v>66262.75</v>
      </c>
      <c r="FJ23" s="16">
        <v>67343.25</v>
      </c>
      <c r="FK23" s="16">
        <v>68513.75</v>
      </c>
      <c r="FL23" s="16">
        <v>68861.25</v>
      </c>
      <c r="FM23" s="16">
        <v>69269</v>
      </c>
      <c r="FN23" s="16">
        <v>70143</v>
      </c>
      <c r="FO23" s="16">
        <v>70911.25</v>
      </c>
      <c r="FP23" s="16">
        <v>71339.75</v>
      </c>
      <c r="FQ23" s="16">
        <v>72150</v>
      </c>
      <c r="FR23" s="16">
        <v>73677.5</v>
      </c>
      <c r="FS23" s="16">
        <v>67519.25</v>
      </c>
      <c r="FT23" s="16">
        <v>64540.5</v>
      </c>
      <c r="FU23" s="16">
        <v>62281.75</v>
      </c>
      <c r="FV23" s="16">
        <v>61039</v>
      </c>
      <c r="FW23" s="16">
        <v>57954.25</v>
      </c>
      <c r="FX23" s="16">
        <v>57227.5</v>
      </c>
      <c r="FY23" s="16">
        <v>57672.5</v>
      </c>
      <c r="FZ23" s="16">
        <v>55146</v>
      </c>
      <c r="GA23" s="16">
        <v>57367.5</v>
      </c>
      <c r="GB23" s="16">
        <v>58309.5</v>
      </c>
      <c r="GC23" s="16">
        <v>58773.75</v>
      </c>
      <c r="GD23" s="16">
        <v>60460.75</v>
      </c>
      <c r="GE23" s="16">
        <v>61444.5</v>
      </c>
      <c r="GF23" s="16">
        <v>62421.75</v>
      </c>
      <c r="GG23" s="16">
        <v>61161.5</v>
      </c>
      <c r="GH23" s="16">
        <v>61342.75</v>
      </c>
      <c r="GI23" s="16">
        <v>64305.5</v>
      </c>
      <c r="GJ23" s="16">
        <v>62872.5</v>
      </c>
      <c r="GK23" s="16">
        <v>64147.5</v>
      </c>
      <c r="GL23" s="16">
        <v>63054.5</v>
      </c>
      <c r="GM23" s="16">
        <v>62743.25</v>
      </c>
      <c r="GN23" s="16">
        <v>52201.75</v>
      </c>
      <c r="GO23" s="16">
        <v>55949.5</v>
      </c>
      <c r="GP23" s="16">
        <v>57600</v>
      </c>
      <c r="GQ23" s="16">
        <v>59121.25</v>
      </c>
      <c r="GR23" s="16">
        <v>62572.5</v>
      </c>
      <c r="GS23" s="16">
        <v>62938.75</v>
      </c>
      <c r="GT23" s="16">
        <v>64570.75</v>
      </c>
      <c r="GU23" s="16">
        <v>64330.25</v>
      </c>
      <c r="GV23" s="16">
        <v>65588.25</v>
      </c>
      <c r="GW23" s="16">
        <v>65552.75</v>
      </c>
      <c r="GX23" s="16">
        <v>64412.25</v>
      </c>
      <c r="GY23" s="16">
        <v>64932.75</v>
      </c>
      <c r="GZ23" s="16">
        <v>66627.5</v>
      </c>
      <c r="HA23" s="16">
        <v>64161.5</v>
      </c>
      <c r="HB23" s="16">
        <v>62431.25</v>
      </c>
      <c r="HC23" s="16">
        <v>62964.5</v>
      </c>
      <c r="HD23" s="16">
        <v>64330.75</v>
      </c>
      <c r="HE23" s="17">
        <v>64091.35</v>
      </c>
      <c r="HF23" s="17">
        <v>64382.96</v>
      </c>
      <c r="HG23" s="17">
        <v>65096.32</v>
      </c>
      <c r="HH23" s="17">
        <v>65971.87</v>
      </c>
      <c r="HI23" s="17">
        <v>66907.350000000006</v>
      </c>
      <c r="HJ23" s="17">
        <v>67906.95</v>
      </c>
      <c r="HK23" s="17">
        <v>69000.25</v>
      </c>
      <c r="HL23" s="17">
        <v>70166.350000000006</v>
      </c>
      <c r="HM23" s="17">
        <v>71397.86</v>
      </c>
      <c r="HN23" s="17">
        <v>72623.97</v>
      </c>
      <c r="HO23" s="17">
        <v>73751.199999999997</v>
      </c>
      <c r="HP23" s="17">
        <v>74797.72</v>
      </c>
      <c r="HQ23" s="17">
        <v>75763.350000000006</v>
      </c>
      <c r="HR23" s="17">
        <v>76657.66</v>
      </c>
      <c r="HS23" s="17">
        <v>77468.7</v>
      </c>
      <c r="HT23" s="17">
        <v>78219.789999999994</v>
      </c>
      <c r="HU23" s="17">
        <v>78899.83</v>
      </c>
      <c r="HV23" s="17">
        <v>79553.539999999994</v>
      </c>
      <c r="HW23" s="17">
        <v>80177.62</v>
      </c>
      <c r="HX23" s="17">
        <v>80769.8</v>
      </c>
      <c r="HY23" s="17">
        <v>81334.59</v>
      </c>
      <c r="HZ23" s="17">
        <v>81875.45</v>
      </c>
      <c r="IA23" s="17">
        <v>82394.66</v>
      </c>
      <c r="IB23" s="17">
        <v>82891.73</v>
      </c>
      <c r="IC23" s="17">
        <v>83373.69</v>
      </c>
      <c r="ID23" s="17">
        <v>83840.41</v>
      </c>
      <c r="IE23" s="17">
        <v>84293.58</v>
      </c>
      <c r="IF23" s="17">
        <v>84734.9</v>
      </c>
      <c r="IG23" s="17">
        <v>85166.48</v>
      </c>
      <c r="IH23" s="17">
        <v>85590.42</v>
      </c>
      <c r="II23" s="17">
        <v>86007.95</v>
      </c>
      <c r="IJ23" s="17">
        <v>86426.77</v>
      </c>
      <c r="IK23" s="17">
        <v>86844.5</v>
      </c>
      <c r="IL23" s="17">
        <v>87260.479999999996</v>
      </c>
      <c r="IM23" s="17">
        <v>87675.55</v>
      </c>
      <c r="IN23" s="17">
        <v>88091.7</v>
      </c>
      <c r="IO23" s="17">
        <v>88507.73</v>
      </c>
      <c r="IP23" s="17">
        <v>88922.69</v>
      </c>
      <c r="IQ23" s="17">
        <v>89336.31</v>
      </c>
      <c r="IR23" s="17">
        <v>89751.39</v>
      </c>
      <c r="IS23" s="17">
        <v>90168.3</v>
      </c>
      <c r="IT23" s="17">
        <v>90586.34</v>
      </c>
      <c r="IU23" s="17">
        <v>91005.53</v>
      </c>
      <c r="IV23" s="17">
        <v>91426.06</v>
      </c>
      <c r="IW23" s="17">
        <v>91848.4</v>
      </c>
      <c r="IX23" s="17">
        <v>92272.19</v>
      </c>
      <c r="IY23" s="17">
        <v>92737.54</v>
      </c>
      <c r="IZ23" s="17">
        <v>93191.41</v>
      </c>
      <c r="JA23" s="17">
        <v>93646.09</v>
      </c>
      <c r="JB23" s="17">
        <v>94103.76</v>
      </c>
      <c r="JC23" s="17">
        <v>94565.57</v>
      </c>
      <c r="JD23" s="17">
        <v>95029.98</v>
      </c>
      <c r="JE23" s="17">
        <v>95495.83</v>
      </c>
      <c r="JF23" s="17">
        <v>95961.66</v>
      </c>
      <c r="JG23" s="17">
        <v>96427.6</v>
      </c>
      <c r="JH23" s="17">
        <v>96892.4</v>
      </c>
      <c r="JI23" s="17">
        <v>97359.98</v>
      </c>
      <c r="JJ23" s="17">
        <v>97832.73</v>
      </c>
      <c r="JK23" s="17">
        <v>98310.59</v>
      </c>
      <c r="JL23" s="17">
        <v>98789.2</v>
      </c>
      <c r="JM23" s="17">
        <v>99270.11</v>
      </c>
      <c r="JN23" s="17">
        <v>99755.23</v>
      </c>
      <c r="JO23" s="17">
        <v>100244.4</v>
      </c>
      <c r="JP23" s="17">
        <v>100731.4</v>
      </c>
      <c r="JQ23" s="17">
        <v>101220.8</v>
      </c>
      <c r="JR23" s="17">
        <v>101716.6</v>
      </c>
      <c r="JS23" s="17">
        <v>102219</v>
      </c>
      <c r="JT23" s="17">
        <v>102721.9</v>
      </c>
      <c r="JU23" s="17">
        <v>103226.3</v>
      </c>
      <c r="JV23" s="17">
        <v>103734.1</v>
      </c>
      <c r="JW23" s="17">
        <v>104245.1</v>
      </c>
      <c r="JX23" s="17">
        <v>104760.5</v>
      </c>
      <c r="JY23" s="17">
        <v>105275</v>
      </c>
      <c r="JZ23" s="17">
        <v>105791.6</v>
      </c>
      <c r="KA23" s="17">
        <v>106311</v>
      </c>
      <c r="KB23" s="17">
        <v>106833.8</v>
      </c>
      <c r="KC23" s="17">
        <v>107355.9</v>
      </c>
      <c r="KD23" s="17">
        <v>107877.6</v>
      </c>
      <c r="KE23" s="17">
        <v>108398.2</v>
      </c>
      <c r="KF23" s="17">
        <v>108924.3</v>
      </c>
      <c r="KG23" s="17">
        <v>109447.7</v>
      </c>
      <c r="KH23" s="17">
        <v>109970.8</v>
      </c>
      <c r="KI23" s="17">
        <v>110493.8</v>
      </c>
      <c r="KJ23" s="17">
        <v>111011</v>
      </c>
      <c r="KK23" s="17">
        <v>111533.5</v>
      </c>
      <c r="KL23" s="17">
        <v>112059.1</v>
      </c>
      <c r="KM23" s="17">
        <v>112587.1</v>
      </c>
      <c r="KN23" s="17">
        <v>113115.1</v>
      </c>
      <c r="KO23" s="17">
        <v>113646.2</v>
      </c>
      <c r="KP23" s="17">
        <v>114178.6</v>
      </c>
      <c r="KQ23" s="17">
        <v>114712.5</v>
      </c>
      <c r="KR23" s="17">
        <v>115250.6</v>
      </c>
      <c r="KS23" s="17">
        <v>115787.5</v>
      </c>
      <c r="KT23" s="17">
        <v>116325.1</v>
      </c>
      <c r="KU23" s="17">
        <v>116862.39999999999</v>
      </c>
      <c r="KV23" s="17">
        <v>117400.7</v>
      </c>
      <c r="KW23" s="17">
        <v>117940.5</v>
      </c>
      <c r="KX23" s="17">
        <v>118479.8</v>
      </c>
      <c r="KY23" s="17">
        <v>119019.5</v>
      </c>
      <c r="KZ23" s="17">
        <v>119567.8</v>
      </c>
      <c r="LA23" s="17">
        <v>120113.9</v>
      </c>
      <c r="LB23" s="17">
        <v>120658.7</v>
      </c>
      <c r="LC23" s="17">
        <v>121201.7</v>
      </c>
      <c r="LD23" s="17">
        <v>121739.1</v>
      </c>
      <c r="LE23" s="17">
        <v>122284.1</v>
      </c>
      <c r="LF23" s="17">
        <v>122828.8</v>
      </c>
      <c r="LG23" s="17">
        <v>123375.4</v>
      </c>
      <c r="LH23" s="17">
        <v>123921.9</v>
      </c>
      <c r="LI23" s="17">
        <v>124463.1</v>
      </c>
      <c r="LJ23" s="17">
        <v>125007.8</v>
      </c>
      <c r="LK23" s="17">
        <v>125554</v>
      </c>
      <c r="LL23" s="17">
        <v>126104.9</v>
      </c>
      <c r="LM23" s="17">
        <v>126656</v>
      </c>
      <c r="LN23" s="17">
        <v>127208.7</v>
      </c>
      <c r="LO23" s="17">
        <v>127763.3</v>
      </c>
      <c r="LP23" s="17">
        <v>128321.7</v>
      </c>
      <c r="LQ23" s="17">
        <v>128878.9</v>
      </c>
      <c r="LR23" s="17">
        <v>129437.4</v>
      </c>
      <c r="LS23" s="17">
        <v>129997.1</v>
      </c>
      <c r="LT23" s="17">
        <v>130561.8</v>
      </c>
      <c r="LU23" s="17">
        <v>131121.60000000001</v>
      </c>
      <c r="LV23" s="17">
        <v>131681.20000000001</v>
      </c>
      <c r="LW23" s="17">
        <v>132240.1</v>
      </c>
      <c r="LX23" s="17">
        <v>132791.70000000001</v>
      </c>
      <c r="LY23" s="17">
        <v>133351</v>
      </c>
      <c r="LZ23" s="17">
        <v>133912.4</v>
      </c>
      <c r="MA23" s="17">
        <v>134476.6</v>
      </c>
      <c r="MB23" s="17">
        <v>135039.20000000001</v>
      </c>
      <c r="MC23" s="17">
        <v>135606.5</v>
      </c>
      <c r="MD23" s="17">
        <v>136176.79999999999</v>
      </c>
      <c r="ME23" s="17">
        <v>136751</v>
      </c>
      <c r="MF23" s="17">
        <v>137329.4</v>
      </c>
      <c r="MG23" s="17">
        <v>137907.29999999999</v>
      </c>
      <c r="MH23" s="17">
        <v>138487.1</v>
      </c>
      <c r="MI23" s="17">
        <v>139070.29999999999</v>
      </c>
      <c r="MJ23" s="17">
        <v>139655.1</v>
      </c>
      <c r="MK23" s="17">
        <v>140240.1</v>
      </c>
      <c r="ML23" s="17">
        <v>140827.70000000001</v>
      </c>
      <c r="MM23" s="17">
        <v>141418.29999999999</v>
      </c>
      <c r="MN23" s="17">
        <v>142011.9</v>
      </c>
      <c r="MO23" s="17">
        <v>142603.20000000001</v>
      </c>
      <c r="MP23" s="17">
        <v>143194.70000000001</v>
      </c>
      <c r="MQ23" s="17">
        <v>143786.79999999999</v>
      </c>
      <c r="MR23" s="17">
        <v>144378.5</v>
      </c>
      <c r="MS23" s="17">
        <v>144969.60000000001</v>
      </c>
      <c r="MT23" s="17">
        <v>145563</v>
      </c>
      <c r="MU23" s="13" t="s">
        <v>998</v>
      </c>
      <c r="MV23" s="13" t="b">
        <v>1</v>
      </c>
      <c r="MW23" s="15" t="s">
        <v>1056</v>
      </c>
      <c r="MX23" s="13" t="s">
        <v>480</v>
      </c>
      <c r="MY23" s="13">
        <v>2024</v>
      </c>
      <c r="MZ23" s="13">
        <v>2</v>
      </c>
      <c r="NA23" s="13" t="s">
        <v>480</v>
      </c>
      <c r="NB23" s="15" t="s">
        <v>999</v>
      </c>
      <c r="NC23" s="15" t="s">
        <v>1058</v>
      </c>
      <c r="ND23" s="13" t="s">
        <v>1000</v>
      </c>
      <c r="NE23" s="13" t="s">
        <v>484</v>
      </c>
      <c r="NF23" s="15" t="s">
        <v>1268</v>
      </c>
    </row>
    <row r="24" spans="1:370" x14ac:dyDescent="0.25">
      <c r="A24" s="13" t="s">
        <v>473</v>
      </c>
      <c r="B24" s="13" t="s">
        <v>474</v>
      </c>
      <c r="C24" s="15" t="s">
        <v>964</v>
      </c>
      <c r="D24" s="13" t="s">
        <v>475</v>
      </c>
      <c r="E24" s="13" t="s">
        <v>476</v>
      </c>
      <c r="F24" s="13" t="s">
        <v>477</v>
      </c>
      <c r="G24" s="16">
        <v>14228.69</v>
      </c>
      <c r="H24" s="16">
        <v>13893.96</v>
      </c>
      <c r="I24" s="16">
        <v>14004.59</v>
      </c>
      <c r="J24" s="16">
        <v>14404.56</v>
      </c>
      <c r="K24" s="16">
        <v>14569.09</v>
      </c>
      <c r="L24" s="16">
        <v>15082.52</v>
      </c>
      <c r="M24" s="16">
        <v>14796.02</v>
      </c>
      <c r="N24" s="16">
        <v>15424.34</v>
      </c>
      <c r="O24" s="16">
        <v>14893.89</v>
      </c>
      <c r="P24" s="16">
        <v>14465.55</v>
      </c>
      <c r="Q24" s="16">
        <v>15242.8</v>
      </c>
      <c r="R24" s="16">
        <v>14557.74</v>
      </c>
      <c r="S24" s="16">
        <v>14807.37</v>
      </c>
      <c r="T24" s="16">
        <v>15205.92</v>
      </c>
      <c r="U24" s="16">
        <v>15262.65</v>
      </c>
      <c r="V24" s="16">
        <v>15239.96</v>
      </c>
      <c r="W24" s="16">
        <v>14553.49</v>
      </c>
      <c r="X24" s="16">
        <v>15734.96</v>
      </c>
      <c r="Y24" s="16">
        <v>15230.03</v>
      </c>
      <c r="Z24" s="16">
        <v>15852.68</v>
      </c>
      <c r="AA24" s="16">
        <v>16018.62</v>
      </c>
      <c r="AB24" s="16">
        <v>16246.97</v>
      </c>
      <c r="AC24" s="16">
        <v>15744.88</v>
      </c>
      <c r="AD24" s="16">
        <v>15506.61</v>
      </c>
      <c r="AE24" s="16">
        <v>16195.91</v>
      </c>
      <c r="AF24" s="16">
        <v>16437.03</v>
      </c>
      <c r="AG24" s="16">
        <v>16665.38</v>
      </c>
      <c r="AH24" s="16">
        <v>16368.95</v>
      </c>
      <c r="AI24" s="16">
        <v>16149.11</v>
      </c>
      <c r="AJ24" s="16">
        <v>15873.95</v>
      </c>
      <c r="AK24" s="16">
        <v>15600.21</v>
      </c>
      <c r="AL24" s="16">
        <v>15214.43</v>
      </c>
      <c r="AM24" s="16">
        <v>14522.28</v>
      </c>
      <c r="AN24" s="16">
        <v>14493.92</v>
      </c>
      <c r="AO24" s="16">
        <v>14664.12</v>
      </c>
      <c r="AP24" s="16">
        <v>14628.66</v>
      </c>
      <c r="AQ24" s="16">
        <v>14831.48</v>
      </c>
      <c r="AR24" s="16">
        <v>14920.83</v>
      </c>
      <c r="AS24" s="16">
        <v>15502.35</v>
      </c>
      <c r="AT24" s="16">
        <v>15373.28</v>
      </c>
      <c r="AU24" s="16">
        <v>15047.07</v>
      </c>
      <c r="AV24" s="16">
        <v>15147.77</v>
      </c>
      <c r="AW24" s="16">
        <v>15100.96</v>
      </c>
      <c r="AX24" s="16">
        <v>16184.57</v>
      </c>
      <c r="AY24" s="16">
        <v>16180.31</v>
      </c>
      <c r="AZ24" s="16">
        <v>16956.14</v>
      </c>
      <c r="BA24" s="16">
        <v>17326.32</v>
      </c>
      <c r="BB24" s="16">
        <v>17956.060000000001</v>
      </c>
      <c r="BC24" s="16">
        <v>19923.29</v>
      </c>
      <c r="BD24" s="16">
        <v>17659.63</v>
      </c>
      <c r="BE24" s="16">
        <v>18107.82</v>
      </c>
      <c r="BF24" s="16">
        <v>18222.71</v>
      </c>
      <c r="BG24" s="16">
        <v>18248.240000000002</v>
      </c>
      <c r="BH24" s="16">
        <v>17351.849999999999</v>
      </c>
      <c r="BI24" s="16">
        <v>18387.23</v>
      </c>
      <c r="BJ24" s="16">
        <v>18955.98</v>
      </c>
      <c r="BK24" s="16">
        <v>17682.32</v>
      </c>
      <c r="BL24" s="16">
        <v>18273.77</v>
      </c>
      <c r="BM24" s="16">
        <v>19801.310000000001</v>
      </c>
      <c r="BN24" s="16">
        <v>21074.97</v>
      </c>
      <c r="BO24" s="16">
        <v>21986.959999999999</v>
      </c>
      <c r="BP24" s="16">
        <v>23097.51</v>
      </c>
      <c r="BQ24" s="16">
        <v>24345.64</v>
      </c>
      <c r="BR24" s="16">
        <v>25034.95</v>
      </c>
      <c r="BS24" s="16">
        <v>26041.96</v>
      </c>
      <c r="BT24" s="16">
        <v>26413.56</v>
      </c>
      <c r="BU24" s="16">
        <v>27092.95</v>
      </c>
      <c r="BV24" s="16">
        <v>26405.05</v>
      </c>
      <c r="BW24" s="16">
        <v>26477.39</v>
      </c>
      <c r="BX24" s="16">
        <v>26929.84</v>
      </c>
      <c r="BY24" s="16">
        <v>26405.05</v>
      </c>
      <c r="BZ24" s="16">
        <v>26067.49</v>
      </c>
      <c r="CA24" s="16">
        <v>25563.99</v>
      </c>
      <c r="CB24" s="16">
        <v>24494.560000000001</v>
      </c>
      <c r="CC24" s="16">
        <v>23369.83</v>
      </c>
      <c r="CD24" s="16">
        <v>23971.200000000001</v>
      </c>
      <c r="CE24" s="16">
        <v>24097.43</v>
      </c>
      <c r="CF24" s="16">
        <v>23579.74</v>
      </c>
      <c r="CG24" s="16">
        <v>23541.45</v>
      </c>
      <c r="CH24" s="16">
        <v>22501.81</v>
      </c>
      <c r="CI24" s="16">
        <v>23056.38</v>
      </c>
      <c r="CJ24" s="16">
        <v>22257.86</v>
      </c>
      <c r="CK24" s="16">
        <v>22277.71</v>
      </c>
      <c r="CL24" s="16">
        <v>22724.49</v>
      </c>
      <c r="CM24" s="16">
        <v>23174.1</v>
      </c>
      <c r="CN24" s="16">
        <v>23064.89</v>
      </c>
      <c r="CO24" s="16">
        <v>23864.83</v>
      </c>
      <c r="CP24" s="16">
        <v>24629.31</v>
      </c>
      <c r="CQ24" s="16">
        <v>24158.42</v>
      </c>
      <c r="CR24" s="16">
        <v>25012.26</v>
      </c>
      <c r="CS24" s="16">
        <v>26247.62</v>
      </c>
      <c r="CT24" s="16">
        <v>26660.36</v>
      </c>
      <c r="CU24" s="16">
        <v>27461.71</v>
      </c>
      <c r="CV24" s="16">
        <v>28264.49</v>
      </c>
      <c r="CW24" s="16">
        <v>28559.5</v>
      </c>
      <c r="CX24" s="16">
        <v>28454.54</v>
      </c>
      <c r="CY24" s="16">
        <v>31260</v>
      </c>
      <c r="CZ24" s="16">
        <v>33293</v>
      </c>
      <c r="DA24" s="16">
        <v>34867</v>
      </c>
      <c r="DB24" s="16">
        <v>35578</v>
      </c>
      <c r="DC24" s="16">
        <v>36721</v>
      </c>
      <c r="DD24" s="16">
        <v>36983</v>
      </c>
      <c r="DE24" s="16">
        <v>37281</v>
      </c>
      <c r="DF24" s="16">
        <v>38078</v>
      </c>
      <c r="DG24" s="16">
        <v>37589</v>
      </c>
      <c r="DH24" s="16">
        <v>36916</v>
      </c>
      <c r="DI24" s="16">
        <v>38385</v>
      </c>
      <c r="DJ24" s="16">
        <v>37244</v>
      </c>
      <c r="DK24" s="16">
        <v>38784</v>
      </c>
      <c r="DL24" s="16">
        <v>41381</v>
      </c>
      <c r="DM24" s="16">
        <v>38105</v>
      </c>
      <c r="DN24" s="16">
        <v>39475</v>
      </c>
      <c r="DO24" s="16">
        <v>39962</v>
      </c>
      <c r="DP24" s="16">
        <v>40762</v>
      </c>
      <c r="DQ24" s="16">
        <v>39545</v>
      </c>
      <c r="DR24" s="16">
        <v>37981</v>
      </c>
      <c r="DS24" s="16">
        <v>37969</v>
      </c>
      <c r="DT24" s="16">
        <v>38869</v>
      </c>
      <c r="DU24" s="16">
        <v>39075</v>
      </c>
      <c r="DV24" s="16">
        <v>41227</v>
      </c>
      <c r="DW24" s="16">
        <v>41376</v>
      </c>
      <c r="DX24" s="16">
        <v>39283</v>
      </c>
      <c r="DY24" s="16">
        <v>38475</v>
      </c>
      <c r="DZ24" s="16">
        <v>38321</v>
      </c>
      <c r="EA24" s="16">
        <v>38982</v>
      </c>
      <c r="EB24" s="16">
        <v>36727</v>
      </c>
      <c r="EC24" s="16">
        <v>37003</v>
      </c>
      <c r="ED24" s="16">
        <v>37207</v>
      </c>
      <c r="EE24" s="16">
        <v>37450</v>
      </c>
      <c r="EF24" s="16">
        <v>38753.5</v>
      </c>
      <c r="EG24" s="16">
        <v>40057</v>
      </c>
      <c r="EH24" s="16">
        <v>40584</v>
      </c>
      <c r="EI24" s="16">
        <v>40974</v>
      </c>
      <c r="EJ24" s="16">
        <v>41567</v>
      </c>
      <c r="EK24" s="16">
        <v>43576</v>
      </c>
      <c r="EL24" s="16">
        <v>43679</v>
      </c>
      <c r="EM24" s="16">
        <v>44389</v>
      </c>
      <c r="EN24" s="16">
        <v>46502</v>
      </c>
      <c r="EO24" s="16">
        <v>43478</v>
      </c>
      <c r="EP24" s="16">
        <v>47241</v>
      </c>
      <c r="EQ24" s="16">
        <v>42756</v>
      </c>
      <c r="ER24" s="16">
        <v>44493</v>
      </c>
      <c r="ES24" s="16">
        <v>42355</v>
      </c>
      <c r="ET24" s="16">
        <v>41545</v>
      </c>
      <c r="EU24" s="16">
        <v>37467</v>
      </c>
      <c r="EV24" s="16">
        <v>36307</v>
      </c>
      <c r="EW24" s="16">
        <v>35436</v>
      </c>
      <c r="EX24" s="16">
        <v>35195</v>
      </c>
      <c r="EY24" s="16">
        <v>36477</v>
      </c>
      <c r="EZ24" s="16">
        <v>35875</v>
      </c>
      <c r="FA24" s="16">
        <v>37167</v>
      </c>
      <c r="FB24" s="16">
        <v>39318</v>
      </c>
      <c r="FC24" s="16">
        <v>35783</v>
      </c>
      <c r="FD24" s="16">
        <v>36608</v>
      </c>
      <c r="FE24" s="16">
        <v>37760</v>
      </c>
      <c r="FF24" s="16">
        <v>39190</v>
      </c>
      <c r="FG24" s="16">
        <v>39813</v>
      </c>
      <c r="FH24" s="16">
        <v>38377</v>
      </c>
      <c r="FI24" s="16">
        <v>38961</v>
      </c>
      <c r="FJ24" s="16">
        <v>42322</v>
      </c>
      <c r="FK24" s="16">
        <v>39954</v>
      </c>
      <c r="FL24" s="16">
        <v>41024</v>
      </c>
      <c r="FM24" s="16">
        <v>41895</v>
      </c>
      <c r="FN24" s="16">
        <v>41820</v>
      </c>
      <c r="FO24" s="16">
        <v>42475</v>
      </c>
      <c r="FP24" s="16">
        <v>44035</v>
      </c>
      <c r="FQ24" s="16">
        <v>43893</v>
      </c>
      <c r="FR24" s="16">
        <v>44855</v>
      </c>
      <c r="FS24" s="16">
        <v>46651</v>
      </c>
      <c r="FT24" s="16">
        <v>46853</v>
      </c>
      <c r="FU24" s="16">
        <v>46629</v>
      </c>
      <c r="FV24" s="16">
        <v>47775</v>
      </c>
      <c r="FW24" s="16">
        <v>48473</v>
      </c>
      <c r="FX24" s="16">
        <v>48954</v>
      </c>
      <c r="FY24" s="16">
        <v>49745</v>
      </c>
      <c r="FZ24" s="16">
        <v>48801</v>
      </c>
      <c r="GA24" s="16">
        <v>49910</v>
      </c>
      <c r="GB24" s="16">
        <v>50490</v>
      </c>
      <c r="GC24" s="16">
        <v>50603</v>
      </c>
      <c r="GD24" s="16">
        <v>50705</v>
      </c>
      <c r="GE24" s="16">
        <v>50275</v>
      </c>
      <c r="GF24" s="16">
        <v>49859</v>
      </c>
      <c r="GG24" s="16">
        <v>49411</v>
      </c>
      <c r="GH24" s="16">
        <v>49136</v>
      </c>
      <c r="GI24" s="16">
        <v>49619</v>
      </c>
      <c r="GJ24" s="16">
        <v>49659</v>
      </c>
      <c r="GK24" s="16">
        <v>49677</v>
      </c>
      <c r="GL24" s="17">
        <v>49602.48</v>
      </c>
      <c r="GM24" s="17">
        <v>49552.88</v>
      </c>
      <c r="GN24" s="17">
        <v>49552.88</v>
      </c>
      <c r="GO24" s="17">
        <v>49651.97</v>
      </c>
      <c r="GP24" s="17">
        <v>49860.54</v>
      </c>
      <c r="GQ24" s="17">
        <v>50084.93</v>
      </c>
      <c r="GR24" s="17">
        <v>50315.32</v>
      </c>
      <c r="GS24" s="17">
        <v>50541.73</v>
      </c>
      <c r="GT24" s="17">
        <v>50769.16</v>
      </c>
      <c r="GU24" s="17">
        <v>50997.61</v>
      </c>
      <c r="GV24" s="17">
        <v>51227.09</v>
      </c>
      <c r="GW24" s="17">
        <v>51457.64</v>
      </c>
      <c r="GX24" s="17">
        <v>51689.2</v>
      </c>
      <c r="GY24" s="17">
        <v>51921.8</v>
      </c>
      <c r="GZ24" s="17">
        <v>52155.43</v>
      </c>
      <c r="HA24" s="17">
        <v>52390.11</v>
      </c>
      <c r="HB24" s="17">
        <v>52625.91</v>
      </c>
      <c r="HC24" s="17">
        <v>52862.73</v>
      </c>
      <c r="HD24" s="17">
        <v>53100.57</v>
      </c>
      <c r="HE24" s="17">
        <v>53339.5</v>
      </c>
      <c r="HF24" s="17">
        <v>53579.59</v>
      </c>
      <c r="HG24" s="17">
        <v>53820.69</v>
      </c>
      <c r="HH24" s="17">
        <v>54062.89</v>
      </c>
      <c r="HI24" s="17">
        <v>54306.17</v>
      </c>
      <c r="HJ24" s="17">
        <v>54555.98</v>
      </c>
      <c r="HK24" s="17">
        <v>54809.45</v>
      </c>
      <c r="HL24" s="17">
        <v>55064.07</v>
      </c>
      <c r="HM24" s="17">
        <v>55319.83</v>
      </c>
      <c r="HN24" s="17">
        <v>55576.73</v>
      </c>
      <c r="HO24" s="17">
        <v>55834.77</v>
      </c>
      <c r="HP24" s="17">
        <v>56093.94</v>
      </c>
      <c r="HQ24" s="17">
        <v>56354.23</v>
      </c>
      <c r="HR24" s="17">
        <v>56615.64</v>
      </c>
      <c r="HS24" s="17">
        <v>56878.17</v>
      </c>
      <c r="HT24" s="17">
        <v>57141.8</v>
      </c>
      <c r="HU24" s="17">
        <v>57406.54</v>
      </c>
      <c r="HV24" s="17">
        <v>57677.36</v>
      </c>
      <c r="HW24" s="17">
        <v>57949.36</v>
      </c>
      <c r="HX24" s="17">
        <v>58222.57</v>
      </c>
      <c r="HY24" s="17">
        <v>58496.94</v>
      </c>
      <c r="HZ24" s="17">
        <v>58772.49</v>
      </c>
      <c r="IA24" s="17">
        <v>59049.2</v>
      </c>
      <c r="IB24" s="17">
        <v>59326.95</v>
      </c>
      <c r="IC24" s="17">
        <v>59605.75</v>
      </c>
      <c r="ID24" s="17">
        <v>59885.59</v>
      </c>
      <c r="IE24" s="17">
        <v>60156.68</v>
      </c>
      <c r="IF24" s="17">
        <v>60428.46</v>
      </c>
      <c r="IG24" s="17">
        <v>60700.93</v>
      </c>
      <c r="IH24" s="17">
        <v>60974.080000000002</v>
      </c>
      <c r="II24" s="17">
        <v>61247.91</v>
      </c>
      <c r="IJ24" s="17">
        <v>61522.42</v>
      </c>
      <c r="IK24" s="17">
        <v>61797.59</v>
      </c>
      <c r="IL24" s="17">
        <v>62073.39</v>
      </c>
      <c r="IM24" s="17">
        <v>62352.51</v>
      </c>
      <c r="IN24" s="17">
        <v>62632.33</v>
      </c>
      <c r="IO24" s="17">
        <v>62912.82</v>
      </c>
      <c r="IP24" s="17">
        <v>63193.96</v>
      </c>
      <c r="IQ24" s="17">
        <v>63475.77</v>
      </c>
      <c r="IR24" s="17">
        <v>63758.239999999998</v>
      </c>
      <c r="IS24" s="17">
        <v>64041.37</v>
      </c>
      <c r="IT24" s="17">
        <v>64325.16</v>
      </c>
      <c r="IU24" s="17">
        <v>64609.599999999999</v>
      </c>
      <c r="IV24" s="17">
        <v>64894.69</v>
      </c>
      <c r="IW24" s="17">
        <v>65180.39</v>
      </c>
      <c r="IX24" s="17">
        <v>65466.71</v>
      </c>
      <c r="IY24" s="17">
        <v>65753.88</v>
      </c>
      <c r="IZ24" s="17">
        <v>66041.89</v>
      </c>
      <c r="JA24" s="17">
        <v>66330.75</v>
      </c>
      <c r="JB24" s="17">
        <v>66620.460000000006</v>
      </c>
      <c r="JC24" s="17">
        <v>66911.009999999995</v>
      </c>
      <c r="JD24" s="17">
        <v>67202.42</v>
      </c>
      <c r="JE24" s="17">
        <v>67494.720000000001</v>
      </c>
      <c r="JF24" s="17">
        <v>67787.91</v>
      </c>
      <c r="JG24" s="17">
        <v>68081.990000000005</v>
      </c>
      <c r="JH24" s="17">
        <v>68376.97</v>
      </c>
      <c r="JI24" s="17">
        <v>68672.88</v>
      </c>
      <c r="JJ24" s="17">
        <v>68969.78</v>
      </c>
      <c r="JK24" s="17">
        <v>69267.64</v>
      </c>
      <c r="JL24" s="17">
        <v>69566.47</v>
      </c>
      <c r="JM24" s="17">
        <v>69866.3</v>
      </c>
      <c r="JN24" s="17">
        <v>70167.12</v>
      </c>
      <c r="JO24" s="17">
        <v>70468.97</v>
      </c>
      <c r="JP24" s="17">
        <v>70771.83</v>
      </c>
      <c r="JQ24" s="17">
        <v>71075.710000000006</v>
      </c>
      <c r="JR24" s="17">
        <v>71380.63</v>
      </c>
      <c r="JS24" s="17">
        <v>71685.899999999994</v>
      </c>
      <c r="JT24" s="17">
        <v>71992.210000000006</v>
      </c>
      <c r="JU24" s="17">
        <v>72299.55</v>
      </c>
      <c r="JV24" s="17">
        <v>72607.91</v>
      </c>
      <c r="JW24" s="17">
        <v>72917.320000000007</v>
      </c>
      <c r="JX24" s="17">
        <v>73227.78</v>
      </c>
      <c r="JY24" s="17">
        <v>73539.27</v>
      </c>
      <c r="JZ24" s="17">
        <v>73851.8</v>
      </c>
      <c r="KA24" s="17">
        <v>74165.38</v>
      </c>
      <c r="KB24" s="17">
        <v>74480</v>
      </c>
      <c r="KC24" s="17">
        <v>74795.63</v>
      </c>
      <c r="KD24" s="17">
        <v>75112.289999999994</v>
      </c>
      <c r="KE24" s="17">
        <v>75429.929999999993</v>
      </c>
      <c r="KF24" s="17">
        <v>75748.62</v>
      </c>
      <c r="KG24" s="17">
        <v>76068.3</v>
      </c>
      <c r="KH24" s="17">
        <v>76389</v>
      </c>
      <c r="KI24" s="17">
        <v>76710.710000000006</v>
      </c>
      <c r="KJ24" s="17">
        <v>77033.45</v>
      </c>
      <c r="KK24" s="17">
        <v>77357.2</v>
      </c>
      <c r="KL24" s="17">
        <v>77681.98</v>
      </c>
      <c r="KM24" s="17">
        <v>78007.789999999994</v>
      </c>
      <c r="KN24" s="17">
        <v>78334.61</v>
      </c>
      <c r="KO24" s="17">
        <v>78662.47</v>
      </c>
      <c r="KP24" s="17">
        <v>78991.350000000006</v>
      </c>
      <c r="KQ24" s="17">
        <v>79321.27</v>
      </c>
      <c r="KR24" s="17">
        <v>79652.240000000005</v>
      </c>
      <c r="KS24" s="17">
        <v>79984.240000000005</v>
      </c>
      <c r="KT24" s="17">
        <v>80317.31</v>
      </c>
      <c r="KU24" s="17">
        <v>80651.44</v>
      </c>
      <c r="KV24" s="17">
        <v>80986.63</v>
      </c>
      <c r="KW24" s="17">
        <v>81322.87</v>
      </c>
      <c r="KX24" s="17">
        <v>81660.19</v>
      </c>
      <c r="KY24" s="17">
        <v>81998.559999999998</v>
      </c>
      <c r="KZ24" s="17">
        <v>82338</v>
      </c>
      <c r="LA24" s="17">
        <v>82678.509999999995</v>
      </c>
      <c r="LB24" s="17">
        <v>83020.09</v>
      </c>
      <c r="LC24" s="17">
        <v>83362.710000000006</v>
      </c>
      <c r="LD24" s="17">
        <v>83706.42</v>
      </c>
      <c r="LE24" s="17">
        <v>84051.199999999997</v>
      </c>
      <c r="LF24" s="17">
        <v>84397.04</v>
      </c>
      <c r="LG24" s="17">
        <v>0</v>
      </c>
      <c r="LH24" s="17">
        <v>0</v>
      </c>
      <c r="LI24" s="17">
        <v>0</v>
      </c>
      <c r="LJ24" s="17">
        <v>0</v>
      </c>
      <c r="LK24" s="17">
        <v>0</v>
      </c>
      <c r="LL24" s="17">
        <v>0</v>
      </c>
      <c r="LM24" s="17">
        <v>0</v>
      </c>
      <c r="LN24" s="17">
        <v>0</v>
      </c>
      <c r="LO24" s="17">
        <v>0</v>
      </c>
      <c r="LP24" s="17">
        <v>0</v>
      </c>
      <c r="LQ24" s="17">
        <v>0</v>
      </c>
      <c r="LR24" s="17">
        <v>0</v>
      </c>
      <c r="LS24" s="17">
        <v>0</v>
      </c>
      <c r="LT24" s="17">
        <v>0</v>
      </c>
      <c r="LU24" s="17">
        <v>0</v>
      </c>
      <c r="LV24" s="17">
        <v>0</v>
      </c>
      <c r="LW24" s="17">
        <v>0</v>
      </c>
      <c r="LX24" s="17">
        <v>0</v>
      </c>
      <c r="LY24" s="17">
        <v>0</v>
      </c>
      <c r="LZ24" s="17">
        <v>0</v>
      </c>
      <c r="MA24" s="17">
        <v>0</v>
      </c>
      <c r="MB24" s="17">
        <v>0</v>
      </c>
      <c r="MC24" s="17">
        <v>0</v>
      </c>
      <c r="MD24" s="17">
        <v>0</v>
      </c>
      <c r="ME24" s="17">
        <v>0</v>
      </c>
      <c r="MF24" s="17">
        <v>0</v>
      </c>
      <c r="MG24" s="17">
        <v>0</v>
      </c>
      <c r="MH24" s="17">
        <v>0</v>
      </c>
      <c r="MI24" s="17">
        <v>0</v>
      </c>
      <c r="MJ24" s="17">
        <v>0</v>
      </c>
      <c r="MK24" s="17">
        <v>0</v>
      </c>
      <c r="ML24" s="17">
        <v>0</v>
      </c>
      <c r="MM24" s="17">
        <v>0</v>
      </c>
      <c r="MN24" s="17">
        <v>0</v>
      </c>
      <c r="MO24" s="17">
        <v>0</v>
      </c>
      <c r="MP24" s="17">
        <v>0</v>
      </c>
      <c r="MQ24" s="17">
        <v>0</v>
      </c>
      <c r="MR24" s="17">
        <v>0</v>
      </c>
      <c r="MS24" s="17">
        <v>0</v>
      </c>
      <c r="MT24" s="17">
        <v>0</v>
      </c>
      <c r="MU24" s="13" t="s">
        <v>478</v>
      </c>
      <c r="MV24" s="13" t="b">
        <v>1</v>
      </c>
      <c r="MW24" s="15" t="s">
        <v>479</v>
      </c>
      <c r="MX24" s="13" t="s">
        <v>480</v>
      </c>
      <c r="MY24" s="13">
        <v>2019</v>
      </c>
      <c r="MZ24" s="13">
        <v>3</v>
      </c>
      <c r="NA24" s="13" t="s">
        <v>480</v>
      </c>
      <c r="NB24" s="13" t="s">
        <v>0</v>
      </c>
      <c r="NC24" s="15" t="s">
        <v>482</v>
      </c>
      <c r="ND24" s="13" t="s">
        <v>483</v>
      </c>
      <c r="NE24" s="13" t="s">
        <v>484</v>
      </c>
      <c r="NF24" s="15" t="s">
        <v>966</v>
      </c>
    </row>
    <row r="25" spans="1:370" x14ac:dyDescent="0.25">
      <c r="A25" s="13" t="s">
        <v>473</v>
      </c>
      <c r="B25" s="13" t="s">
        <v>474</v>
      </c>
      <c r="C25" s="15" t="s">
        <v>1011</v>
      </c>
      <c r="D25" s="13" t="s">
        <v>475</v>
      </c>
      <c r="E25" s="13" t="s">
        <v>476</v>
      </c>
      <c r="F25" s="13" t="s">
        <v>477</v>
      </c>
      <c r="G25" s="16">
        <v>15244.63</v>
      </c>
      <c r="H25" s="16">
        <v>14886.01</v>
      </c>
      <c r="I25" s="16">
        <v>15004.54</v>
      </c>
      <c r="J25" s="16">
        <v>15433.07</v>
      </c>
      <c r="K25" s="16">
        <v>15609.34</v>
      </c>
      <c r="L25" s="16">
        <v>16159.43</v>
      </c>
      <c r="M25" s="16">
        <v>15852.47</v>
      </c>
      <c r="N25" s="16">
        <v>16525.66</v>
      </c>
      <c r="O25" s="16">
        <v>15957.33</v>
      </c>
      <c r="P25" s="16">
        <v>15498.41</v>
      </c>
      <c r="Q25" s="16">
        <v>16331.15</v>
      </c>
      <c r="R25" s="16">
        <v>15597.18</v>
      </c>
      <c r="S25" s="16">
        <v>15864.63</v>
      </c>
      <c r="T25" s="16">
        <v>16291.64</v>
      </c>
      <c r="U25" s="16">
        <v>16352.42</v>
      </c>
      <c r="V25" s="16">
        <v>16328.11</v>
      </c>
      <c r="W25" s="16">
        <v>15592.62</v>
      </c>
      <c r="X25" s="16">
        <v>16858.45</v>
      </c>
      <c r="Y25" s="16">
        <v>16317.47</v>
      </c>
      <c r="Z25" s="16">
        <v>16984.580000000002</v>
      </c>
      <c r="AA25" s="16">
        <v>17162.37</v>
      </c>
      <c r="AB25" s="16">
        <v>17407.03</v>
      </c>
      <c r="AC25" s="16">
        <v>16869.09</v>
      </c>
      <c r="AD25" s="16">
        <v>16613.79</v>
      </c>
      <c r="AE25" s="16">
        <v>17352.32</v>
      </c>
      <c r="AF25" s="16">
        <v>17610.650000000001</v>
      </c>
      <c r="AG25" s="16">
        <v>17855.310000000001</v>
      </c>
      <c r="AH25" s="16">
        <v>17537.71</v>
      </c>
      <c r="AI25" s="16">
        <v>17302.169999999998</v>
      </c>
      <c r="AJ25" s="16">
        <v>17007.37</v>
      </c>
      <c r="AK25" s="16">
        <v>16714.09</v>
      </c>
      <c r="AL25" s="16">
        <v>16300.76</v>
      </c>
      <c r="AM25" s="16">
        <v>15559.19</v>
      </c>
      <c r="AN25" s="16">
        <v>15528.8</v>
      </c>
      <c r="AO25" s="16">
        <v>15711.15</v>
      </c>
      <c r="AP25" s="16">
        <v>15673.16</v>
      </c>
      <c r="AQ25" s="16">
        <v>15890.46</v>
      </c>
      <c r="AR25" s="16">
        <v>15986.2</v>
      </c>
      <c r="AS25" s="16">
        <v>16609.240000000002</v>
      </c>
      <c r="AT25" s="16">
        <v>16470.95</v>
      </c>
      <c r="AU25" s="16">
        <v>16121.44</v>
      </c>
      <c r="AV25" s="16">
        <v>16229.34</v>
      </c>
      <c r="AW25" s="16">
        <v>16179.19</v>
      </c>
      <c r="AX25" s="16">
        <v>17340.16</v>
      </c>
      <c r="AY25" s="16">
        <v>17335.61</v>
      </c>
      <c r="AZ25" s="16">
        <v>18166.830000000002</v>
      </c>
      <c r="BA25" s="16">
        <v>18563.439999999999</v>
      </c>
      <c r="BB25" s="16">
        <v>19238.14</v>
      </c>
      <c r="BC25" s="16">
        <v>21345.83</v>
      </c>
      <c r="BD25" s="16">
        <v>18920.55</v>
      </c>
      <c r="BE25" s="16">
        <v>19400.740000000002</v>
      </c>
      <c r="BF25" s="16">
        <v>19523.830000000002</v>
      </c>
      <c r="BG25" s="16">
        <v>19551.18</v>
      </c>
      <c r="BH25" s="16">
        <v>18590.79</v>
      </c>
      <c r="BI25" s="16">
        <v>19700.099999999999</v>
      </c>
      <c r="BJ25" s="16">
        <v>20309.46</v>
      </c>
      <c r="BK25" s="16">
        <v>18944.86</v>
      </c>
      <c r="BL25" s="16">
        <v>19578.54</v>
      </c>
      <c r="BM25" s="16">
        <v>21215.15</v>
      </c>
      <c r="BN25" s="16">
        <v>22579.75</v>
      </c>
      <c r="BO25" s="16">
        <v>23556.85</v>
      </c>
      <c r="BP25" s="16">
        <v>24746.7</v>
      </c>
      <c r="BQ25" s="16">
        <v>26083.95</v>
      </c>
      <c r="BR25" s="16">
        <v>26822.47</v>
      </c>
      <c r="BS25" s="16">
        <v>27901.39</v>
      </c>
      <c r="BT25" s="16">
        <v>28299.52</v>
      </c>
      <c r="BU25" s="16">
        <v>29027.41</v>
      </c>
      <c r="BV25" s="16">
        <v>28290.41</v>
      </c>
      <c r="BW25" s="16">
        <v>28367.91</v>
      </c>
      <c r="BX25" s="16">
        <v>28852.66</v>
      </c>
      <c r="BY25" s="16">
        <v>28290.41</v>
      </c>
      <c r="BZ25" s="16">
        <v>27928.74</v>
      </c>
      <c r="CA25" s="16">
        <v>27389.279999999999</v>
      </c>
      <c r="CB25" s="16">
        <v>26243.5</v>
      </c>
      <c r="CC25" s="16">
        <v>25038.46</v>
      </c>
      <c r="CD25" s="16">
        <v>25682.77</v>
      </c>
      <c r="CE25" s="16">
        <v>25818.02</v>
      </c>
      <c r="CF25" s="16">
        <v>25263.360000000001</v>
      </c>
      <c r="CG25" s="16">
        <v>25222.33</v>
      </c>
      <c r="CH25" s="16">
        <v>24108.46</v>
      </c>
      <c r="CI25" s="16">
        <v>24702.63</v>
      </c>
      <c r="CJ25" s="16">
        <v>23847.09</v>
      </c>
      <c r="CK25" s="16">
        <v>23868.37</v>
      </c>
      <c r="CL25" s="16">
        <v>24347.040000000001</v>
      </c>
      <c r="CM25" s="16">
        <v>24828.76</v>
      </c>
      <c r="CN25" s="16">
        <v>24711.75</v>
      </c>
      <c r="CO25" s="16">
        <v>25568.799999999999</v>
      </c>
      <c r="CP25" s="16">
        <v>26387.87</v>
      </c>
      <c r="CQ25" s="16">
        <v>25883.360000000001</v>
      </c>
      <c r="CR25" s="16">
        <v>26798.16</v>
      </c>
      <c r="CS25" s="16">
        <v>28121.73</v>
      </c>
      <c r="CT25" s="16">
        <v>28563.94</v>
      </c>
      <c r="CU25" s="16">
        <v>29422.51</v>
      </c>
      <c r="CV25" s="16">
        <v>30282.6</v>
      </c>
      <c r="CW25" s="16">
        <v>30598.68</v>
      </c>
      <c r="CX25" s="16">
        <v>30486.23</v>
      </c>
      <c r="CY25" s="16">
        <v>33492</v>
      </c>
      <c r="CZ25" s="16">
        <v>35482</v>
      </c>
      <c r="DA25" s="16">
        <v>37198</v>
      </c>
      <c r="DB25" s="16">
        <v>38079</v>
      </c>
      <c r="DC25" s="16">
        <v>39257</v>
      </c>
      <c r="DD25" s="16">
        <v>39386</v>
      </c>
      <c r="DE25" s="16">
        <v>39777</v>
      </c>
      <c r="DF25" s="16">
        <v>40742</v>
      </c>
      <c r="DG25" s="16">
        <v>40223</v>
      </c>
      <c r="DH25" s="16">
        <v>39425</v>
      </c>
      <c r="DI25" s="16">
        <v>41075</v>
      </c>
      <c r="DJ25" s="16">
        <v>40016</v>
      </c>
      <c r="DK25" s="16">
        <v>41681</v>
      </c>
      <c r="DL25" s="16">
        <v>44262</v>
      </c>
      <c r="DM25" s="16">
        <v>40821</v>
      </c>
      <c r="DN25" s="16">
        <v>42236</v>
      </c>
      <c r="DO25" s="16">
        <v>42448</v>
      </c>
      <c r="DP25" s="16">
        <v>43017</v>
      </c>
      <c r="DQ25" s="16">
        <v>41925</v>
      </c>
      <c r="DR25" s="16">
        <v>40249</v>
      </c>
      <c r="DS25" s="16">
        <v>40206</v>
      </c>
      <c r="DT25" s="16">
        <v>40927</v>
      </c>
      <c r="DU25" s="16">
        <v>41082</v>
      </c>
      <c r="DV25" s="16">
        <v>43441</v>
      </c>
      <c r="DW25" s="16">
        <v>43738</v>
      </c>
      <c r="DX25" s="16">
        <v>41426</v>
      </c>
      <c r="DY25" s="16">
        <v>40615</v>
      </c>
      <c r="DZ25" s="16">
        <v>40484</v>
      </c>
      <c r="EA25" s="16">
        <v>40828</v>
      </c>
      <c r="EB25" s="16">
        <v>38569</v>
      </c>
      <c r="EC25" s="16">
        <v>38726</v>
      </c>
      <c r="ED25" s="16">
        <v>38924</v>
      </c>
      <c r="EE25" s="16">
        <v>38949</v>
      </c>
      <c r="EF25" s="16">
        <v>40228</v>
      </c>
      <c r="EG25" s="16">
        <v>41507</v>
      </c>
      <c r="EH25" s="16">
        <v>42167</v>
      </c>
      <c r="EI25" s="16">
        <v>42907</v>
      </c>
      <c r="EJ25" s="16">
        <v>43450</v>
      </c>
      <c r="EK25" s="16">
        <v>45620</v>
      </c>
      <c r="EL25" s="16">
        <v>45643</v>
      </c>
      <c r="EM25" s="16">
        <v>46061</v>
      </c>
      <c r="EN25" s="16">
        <v>48349</v>
      </c>
      <c r="EO25" s="16">
        <v>45131</v>
      </c>
      <c r="EP25" s="16">
        <v>49041</v>
      </c>
      <c r="EQ25" s="16">
        <v>44888</v>
      </c>
      <c r="ER25" s="16">
        <v>46773</v>
      </c>
      <c r="ES25" s="16">
        <v>44554</v>
      </c>
      <c r="ET25" s="16">
        <v>43763</v>
      </c>
      <c r="EU25" s="16">
        <v>39552</v>
      </c>
      <c r="EV25" s="16">
        <v>38226</v>
      </c>
      <c r="EW25" s="16">
        <v>37394</v>
      </c>
      <c r="EX25" s="16">
        <v>37195</v>
      </c>
      <c r="EY25" s="16">
        <v>38674</v>
      </c>
      <c r="EZ25" s="16">
        <v>38212</v>
      </c>
      <c r="FA25" s="16">
        <v>39657</v>
      </c>
      <c r="FB25" s="16">
        <v>42384</v>
      </c>
      <c r="FC25" s="16">
        <v>38609</v>
      </c>
      <c r="FD25" s="16">
        <v>39605</v>
      </c>
      <c r="FE25" s="16">
        <v>40830</v>
      </c>
      <c r="FF25" s="16">
        <v>42348</v>
      </c>
      <c r="FG25" s="16">
        <v>42963</v>
      </c>
      <c r="FH25" s="16">
        <v>41468</v>
      </c>
      <c r="FI25" s="16">
        <v>42005</v>
      </c>
      <c r="FJ25" s="16">
        <v>45589</v>
      </c>
      <c r="FK25" s="16">
        <v>43367</v>
      </c>
      <c r="FL25" s="16">
        <v>44598</v>
      </c>
      <c r="FM25" s="16">
        <v>45490</v>
      </c>
      <c r="FN25" s="16">
        <v>45531</v>
      </c>
      <c r="FO25" s="16">
        <v>46258</v>
      </c>
      <c r="FP25" s="16">
        <v>47939</v>
      </c>
      <c r="FQ25" s="16">
        <v>47799</v>
      </c>
      <c r="FR25" s="16">
        <v>48959</v>
      </c>
      <c r="FS25" s="16">
        <v>50837</v>
      </c>
      <c r="FT25" s="16">
        <v>50817</v>
      </c>
      <c r="FU25" s="16">
        <v>50575</v>
      </c>
      <c r="FV25" s="16">
        <v>53475</v>
      </c>
      <c r="FW25" s="16">
        <v>53785</v>
      </c>
      <c r="FX25" s="16">
        <v>54494</v>
      </c>
      <c r="FY25" s="16">
        <v>55022</v>
      </c>
      <c r="FZ25" s="16">
        <v>53764</v>
      </c>
      <c r="GA25" s="16">
        <v>55000</v>
      </c>
      <c r="GB25" s="16">
        <v>55216</v>
      </c>
      <c r="GC25" s="16">
        <v>55070</v>
      </c>
      <c r="GD25" s="16">
        <v>55123</v>
      </c>
      <c r="GE25" s="16">
        <v>54625</v>
      </c>
      <c r="GF25" s="16">
        <v>53952</v>
      </c>
      <c r="GG25" s="16">
        <v>53209</v>
      </c>
      <c r="GH25" s="16">
        <v>53062</v>
      </c>
      <c r="GI25" s="16">
        <v>53774</v>
      </c>
      <c r="GJ25" s="16">
        <v>54050</v>
      </c>
      <c r="GK25" s="16">
        <v>54782</v>
      </c>
      <c r="GL25" s="16">
        <v>54654</v>
      </c>
      <c r="GM25" s="16">
        <v>54426</v>
      </c>
      <c r="GN25" s="16">
        <v>42206</v>
      </c>
      <c r="GO25" s="16">
        <v>47787</v>
      </c>
      <c r="GP25" s="16">
        <v>50622</v>
      </c>
      <c r="GQ25" s="16">
        <v>44578</v>
      </c>
      <c r="GR25" s="17">
        <v>50105.67</v>
      </c>
      <c r="GS25" s="17">
        <v>51608.84</v>
      </c>
      <c r="GT25" s="17">
        <v>52382.96</v>
      </c>
      <c r="GU25" s="17">
        <v>53430.64</v>
      </c>
      <c r="GV25" s="17">
        <v>54499.25</v>
      </c>
      <c r="GW25" s="17">
        <v>55589.23</v>
      </c>
      <c r="GX25" s="17">
        <v>56701.01</v>
      </c>
      <c r="GY25" s="17">
        <v>57835.040000000001</v>
      </c>
      <c r="GZ25" s="17">
        <v>56389.16</v>
      </c>
      <c r="HA25" s="17">
        <v>55768.87</v>
      </c>
      <c r="HB25" s="17">
        <v>55155.42</v>
      </c>
      <c r="HC25" s="17">
        <v>55100.27</v>
      </c>
      <c r="HD25" s="17">
        <v>55293.120000000003</v>
      </c>
      <c r="HE25" s="17">
        <v>55486.61</v>
      </c>
      <c r="HF25" s="17">
        <v>55680.89</v>
      </c>
      <c r="HG25" s="17">
        <v>55903.61</v>
      </c>
      <c r="HH25" s="17">
        <v>56127.22</v>
      </c>
      <c r="HI25" s="17">
        <v>56379.81</v>
      </c>
      <c r="HJ25" s="17">
        <v>56639.13</v>
      </c>
      <c r="HK25" s="17">
        <v>56905.34</v>
      </c>
      <c r="HL25" s="17">
        <v>57172.79</v>
      </c>
      <c r="HM25" s="17">
        <v>57435.79</v>
      </c>
      <c r="HN25" s="17">
        <v>57694.25</v>
      </c>
      <c r="HO25" s="17">
        <v>57962.43</v>
      </c>
      <c r="HP25" s="17">
        <v>58232.39</v>
      </c>
      <c r="HQ25" s="17">
        <v>58509.17</v>
      </c>
      <c r="HR25" s="17">
        <v>58787.8</v>
      </c>
      <c r="HS25" s="17">
        <v>59073.36</v>
      </c>
      <c r="HT25" s="17">
        <v>59360.86</v>
      </c>
      <c r="HU25" s="17">
        <v>59650.29</v>
      </c>
      <c r="HV25" s="17">
        <v>59941.66</v>
      </c>
      <c r="HW25" s="17">
        <v>60234.95</v>
      </c>
      <c r="HX25" s="17">
        <v>60530.16</v>
      </c>
      <c r="HY25" s="17">
        <v>60827.28</v>
      </c>
      <c r="HZ25" s="17">
        <v>61126.29</v>
      </c>
      <c r="IA25" s="17">
        <v>61427.19</v>
      </c>
      <c r="IB25" s="17">
        <v>61729.99</v>
      </c>
      <c r="IC25" s="17">
        <v>62034.68</v>
      </c>
      <c r="ID25" s="17">
        <v>62341.29</v>
      </c>
      <c r="IE25" s="17">
        <v>62648.89</v>
      </c>
      <c r="IF25" s="17">
        <v>62958.01</v>
      </c>
      <c r="IG25" s="17">
        <v>63268.62</v>
      </c>
      <c r="IH25" s="17">
        <v>63580.68</v>
      </c>
      <c r="II25" s="17">
        <v>63875.17</v>
      </c>
      <c r="IJ25" s="17">
        <v>64170.77</v>
      </c>
      <c r="IK25" s="17">
        <v>64478.38</v>
      </c>
      <c r="IL25" s="17">
        <v>64787.3</v>
      </c>
      <c r="IM25" s="17">
        <v>65091.01</v>
      </c>
      <c r="IN25" s="17">
        <v>65395.89</v>
      </c>
      <c r="IO25" s="17">
        <v>65701.89</v>
      </c>
      <c r="IP25" s="17">
        <v>66009.02</v>
      </c>
      <c r="IQ25" s="17">
        <v>66310.649999999994</v>
      </c>
      <c r="IR25" s="17">
        <v>66613.25</v>
      </c>
      <c r="IS25" s="17">
        <v>66916.83</v>
      </c>
      <c r="IT25" s="17">
        <v>67221.38</v>
      </c>
      <c r="IU25" s="17">
        <v>67526.880000000005</v>
      </c>
      <c r="IV25" s="17">
        <v>67833.34</v>
      </c>
      <c r="IW25" s="17">
        <v>68140.73</v>
      </c>
      <c r="IX25" s="17">
        <v>68449.02</v>
      </c>
      <c r="IY25" s="17">
        <v>68769.929999999993</v>
      </c>
      <c r="IZ25" s="17">
        <v>69092.179999999993</v>
      </c>
      <c r="JA25" s="17">
        <v>69415.789999999994</v>
      </c>
      <c r="JB25" s="17">
        <v>69740.740000000005</v>
      </c>
      <c r="JC25" s="17">
        <v>70067.06</v>
      </c>
      <c r="JD25" s="17">
        <v>70394.7</v>
      </c>
      <c r="JE25" s="17">
        <v>70723.759999999995</v>
      </c>
      <c r="JF25" s="17">
        <v>71054.17</v>
      </c>
      <c r="JG25" s="17">
        <v>71385.97</v>
      </c>
      <c r="JH25" s="17">
        <v>71719.16</v>
      </c>
      <c r="JI25" s="17">
        <v>72053.77</v>
      </c>
      <c r="JJ25" s="17">
        <v>72389.84</v>
      </c>
      <c r="JK25" s="17">
        <v>72727.350000000006</v>
      </c>
      <c r="JL25" s="17">
        <v>73066.33</v>
      </c>
      <c r="JM25" s="17">
        <v>73406.75</v>
      </c>
      <c r="JN25" s="17">
        <v>73748.69</v>
      </c>
      <c r="JO25" s="17">
        <v>74098.16</v>
      </c>
      <c r="JP25" s="17">
        <v>74449.240000000005</v>
      </c>
      <c r="JQ25" s="17">
        <v>74801.94</v>
      </c>
      <c r="JR25" s="17">
        <v>75156.22</v>
      </c>
      <c r="JS25" s="17">
        <v>75512.45</v>
      </c>
      <c r="JT25" s="17">
        <v>75870.3</v>
      </c>
      <c r="JU25" s="17">
        <v>76229.77</v>
      </c>
      <c r="JV25" s="17">
        <v>76590.850000000006</v>
      </c>
      <c r="JW25" s="17">
        <v>76953.539999999994</v>
      </c>
      <c r="JX25" s="17">
        <v>77317.86</v>
      </c>
      <c r="JY25" s="17">
        <v>77683.77</v>
      </c>
      <c r="JZ25" s="17">
        <v>78051.3</v>
      </c>
      <c r="KA25" s="17">
        <v>78416.55</v>
      </c>
      <c r="KB25" s="17">
        <v>78783.34</v>
      </c>
      <c r="KC25" s="17">
        <v>79151.64</v>
      </c>
      <c r="KD25" s="17">
        <v>79521.440000000002</v>
      </c>
      <c r="KE25" s="17">
        <v>79892.759999999995</v>
      </c>
      <c r="KF25" s="17">
        <v>80265.56</v>
      </c>
      <c r="KG25" s="17">
        <v>80639.88</v>
      </c>
      <c r="KH25" s="17">
        <v>81015.67</v>
      </c>
      <c r="KI25" s="17">
        <v>81392.990000000005</v>
      </c>
      <c r="KJ25" s="17">
        <v>81771.78</v>
      </c>
      <c r="KK25" s="17">
        <v>82152.09</v>
      </c>
      <c r="KL25" s="17">
        <v>82533.88</v>
      </c>
      <c r="KM25" s="17">
        <v>82917.19</v>
      </c>
      <c r="KN25" s="17">
        <v>83301.98</v>
      </c>
      <c r="KO25" s="17">
        <v>83688.27</v>
      </c>
      <c r="KP25" s="17">
        <v>84076.07</v>
      </c>
      <c r="KQ25" s="17">
        <v>84465.36</v>
      </c>
      <c r="KR25" s="17">
        <v>84856.15</v>
      </c>
      <c r="KS25" s="17">
        <v>85248.43</v>
      </c>
      <c r="KT25" s="17">
        <v>85642.27</v>
      </c>
      <c r="KU25" s="17">
        <v>86037.59</v>
      </c>
      <c r="KV25" s="17">
        <v>86434.45</v>
      </c>
      <c r="KW25" s="17">
        <v>86832.8</v>
      </c>
      <c r="KX25" s="17">
        <v>87232.7</v>
      </c>
      <c r="KY25" s="17">
        <v>87634.09</v>
      </c>
      <c r="KZ25" s="17">
        <v>88037.01</v>
      </c>
      <c r="LA25" s="17">
        <v>88441.42</v>
      </c>
      <c r="LB25" s="17">
        <v>88847.360000000001</v>
      </c>
      <c r="LC25" s="17">
        <v>89254.79</v>
      </c>
      <c r="LD25" s="17">
        <v>89663.73</v>
      </c>
      <c r="LE25" s="17">
        <v>90074.2</v>
      </c>
      <c r="LF25" s="17">
        <v>90486.16</v>
      </c>
      <c r="LG25" s="17">
        <v>0</v>
      </c>
      <c r="LH25" s="17">
        <v>0</v>
      </c>
      <c r="LI25" s="17">
        <v>0</v>
      </c>
      <c r="LJ25" s="17">
        <v>0</v>
      </c>
      <c r="LK25" s="17">
        <v>0</v>
      </c>
      <c r="LL25" s="17">
        <v>0</v>
      </c>
      <c r="LM25" s="17">
        <v>0</v>
      </c>
      <c r="LN25" s="17">
        <v>0</v>
      </c>
      <c r="LO25" s="17">
        <v>0</v>
      </c>
      <c r="LP25" s="17">
        <v>0</v>
      </c>
      <c r="LQ25" s="17">
        <v>0</v>
      </c>
      <c r="LR25" s="17">
        <v>0</v>
      </c>
      <c r="LS25" s="17">
        <v>0</v>
      </c>
      <c r="LT25" s="17">
        <v>0</v>
      </c>
      <c r="LU25" s="17">
        <v>0</v>
      </c>
      <c r="LV25" s="17">
        <v>0</v>
      </c>
      <c r="LW25" s="17">
        <v>0</v>
      </c>
      <c r="LX25" s="17">
        <v>0</v>
      </c>
      <c r="LY25" s="17">
        <v>0</v>
      </c>
      <c r="LZ25" s="17">
        <v>0</v>
      </c>
      <c r="MA25" s="17">
        <v>0</v>
      </c>
      <c r="MB25" s="17">
        <v>0</v>
      </c>
      <c r="MC25" s="17">
        <v>0</v>
      </c>
      <c r="MD25" s="17">
        <v>0</v>
      </c>
      <c r="ME25" s="17">
        <v>0</v>
      </c>
      <c r="MF25" s="17">
        <v>0</v>
      </c>
      <c r="MG25" s="17">
        <v>0</v>
      </c>
      <c r="MH25" s="17">
        <v>0</v>
      </c>
      <c r="MI25" s="17">
        <v>0</v>
      </c>
      <c r="MJ25" s="17">
        <v>0</v>
      </c>
      <c r="MK25" s="17">
        <v>0</v>
      </c>
      <c r="ML25" s="17">
        <v>0</v>
      </c>
      <c r="MM25" s="17">
        <v>0</v>
      </c>
      <c r="MN25" s="17">
        <v>0</v>
      </c>
      <c r="MO25" s="17">
        <v>0</v>
      </c>
      <c r="MP25" s="17">
        <v>0</v>
      </c>
      <c r="MQ25" s="17">
        <v>0</v>
      </c>
      <c r="MR25" s="17">
        <v>0</v>
      </c>
      <c r="MS25" s="17">
        <v>0</v>
      </c>
      <c r="MT25" s="17">
        <v>0</v>
      </c>
      <c r="MU25" s="13" t="s">
        <v>478</v>
      </c>
      <c r="MV25" s="13" t="b">
        <v>1</v>
      </c>
      <c r="MW25" s="15" t="s">
        <v>479</v>
      </c>
      <c r="MX25" s="13" t="s">
        <v>480</v>
      </c>
      <c r="MY25" s="13">
        <v>2021</v>
      </c>
      <c r="MZ25" s="13">
        <v>1</v>
      </c>
      <c r="NA25" s="13" t="s">
        <v>480</v>
      </c>
      <c r="NB25" s="13" t="s">
        <v>0</v>
      </c>
      <c r="NC25" s="15" t="s">
        <v>482</v>
      </c>
      <c r="ND25" s="13" t="s">
        <v>483</v>
      </c>
      <c r="NE25" s="13" t="s">
        <v>484</v>
      </c>
      <c r="NF25" s="15" t="s">
        <v>1012</v>
      </c>
    </row>
    <row r="26" spans="1:370" x14ac:dyDescent="0.25">
      <c r="A26" s="13" t="s">
        <v>473</v>
      </c>
      <c r="B26" s="13" t="s">
        <v>474</v>
      </c>
      <c r="C26" s="15" t="s">
        <v>1032</v>
      </c>
      <c r="D26" s="13" t="s">
        <v>475</v>
      </c>
      <c r="E26" s="13" t="s">
        <v>476</v>
      </c>
      <c r="F26" s="13" t="s">
        <v>477</v>
      </c>
      <c r="G26" s="16">
        <v>15901.45</v>
      </c>
      <c r="H26" s="16">
        <v>15527.37</v>
      </c>
      <c r="I26" s="16">
        <v>15651.01</v>
      </c>
      <c r="J26" s="16">
        <v>16098</v>
      </c>
      <c r="K26" s="16">
        <v>16281.87</v>
      </c>
      <c r="L26" s="16">
        <v>16855.66</v>
      </c>
      <c r="M26" s="16">
        <v>16535.48</v>
      </c>
      <c r="N26" s="16">
        <v>17237.66</v>
      </c>
      <c r="O26" s="16">
        <v>16644.849999999999</v>
      </c>
      <c r="P26" s="16">
        <v>16166.16</v>
      </c>
      <c r="Q26" s="16">
        <v>17034.78</v>
      </c>
      <c r="R26" s="16">
        <v>16269.19</v>
      </c>
      <c r="S26" s="16">
        <v>16548.16</v>
      </c>
      <c r="T26" s="16">
        <v>16993.560000000001</v>
      </c>
      <c r="U26" s="16">
        <v>17056.97</v>
      </c>
      <c r="V26" s="16">
        <v>17031.61</v>
      </c>
      <c r="W26" s="16">
        <v>16264.43</v>
      </c>
      <c r="X26" s="16">
        <v>17584.79</v>
      </c>
      <c r="Y26" s="16">
        <v>17020.509999999998</v>
      </c>
      <c r="Z26" s="16">
        <v>17716.36</v>
      </c>
      <c r="AA26" s="16">
        <v>17901.810000000001</v>
      </c>
      <c r="AB26" s="16">
        <v>18157.009999999998</v>
      </c>
      <c r="AC26" s="16">
        <v>17595.89</v>
      </c>
      <c r="AD26" s="16">
        <v>17329.599999999999</v>
      </c>
      <c r="AE26" s="16">
        <v>18099.939999999999</v>
      </c>
      <c r="AF26" s="16">
        <v>18369.41</v>
      </c>
      <c r="AG26" s="16">
        <v>18624.599999999999</v>
      </c>
      <c r="AH26" s="16">
        <v>18293.32</v>
      </c>
      <c r="AI26" s="16">
        <v>18047.64</v>
      </c>
      <c r="AJ26" s="16">
        <v>17740.13</v>
      </c>
      <c r="AK26" s="16">
        <v>17434.21</v>
      </c>
      <c r="AL26" s="16">
        <v>17003.07</v>
      </c>
      <c r="AM26" s="16">
        <v>16229.56</v>
      </c>
      <c r="AN26" s="16">
        <v>16197.86</v>
      </c>
      <c r="AO26" s="16">
        <v>16388.07</v>
      </c>
      <c r="AP26" s="16">
        <v>16348.44</v>
      </c>
      <c r="AQ26" s="16">
        <v>16575.099999999999</v>
      </c>
      <c r="AR26" s="16">
        <v>16674.96</v>
      </c>
      <c r="AS26" s="16">
        <v>17324.84</v>
      </c>
      <c r="AT26" s="16">
        <v>17180.599999999999</v>
      </c>
      <c r="AU26" s="16">
        <v>16816.04</v>
      </c>
      <c r="AV26" s="16">
        <v>16928.580000000002</v>
      </c>
      <c r="AW26" s="16">
        <v>16876.27</v>
      </c>
      <c r="AX26" s="16">
        <v>18087.259999999998</v>
      </c>
      <c r="AY26" s="16">
        <v>18082.509999999998</v>
      </c>
      <c r="AZ26" s="16">
        <v>18949.54</v>
      </c>
      <c r="BA26" s="16">
        <v>19363.25</v>
      </c>
      <c r="BB26" s="16">
        <v>20067.02</v>
      </c>
      <c r="BC26" s="16">
        <v>22265.52</v>
      </c>
      <c r="BD26" s="16">
        <v>19735.740000000002</v>
      </c>
      <c r="BE26" s="16">
        <v>20236.62</v>
      </c>
      <c r="BF26" s="16">
        <v>20365.009999999998</v>
      </c>
      <c r="BG26" s="16">
        <v>20393.54</v>
      </c>
      <c r="BH26" s="16">
        <v>19391.78</v>
      </c>
      <c r="BI26" s="16">
        <v>20548.88</v>
      </c>
      <c r="BJ26" s="16">
        <v>21184.5</v>
      </c>
      <c r="BK26" s="16">
        <v>19761.099999999999</v>
      </c>
      <c r="BL26" s="16">
        <v>20422.080000000002</v>
      </c>
      <c r="BM26" s="16">
        <v>22129.200000000001</v>
      </c>
      <c r="BN26" s="16">
        <v>23552.59</v>
      </c>
      <c r="BO26" s="16">
        <v>24571.79</v>
      </c>
      <c r="BP26" s="16">
        <v>25812.91</v>
      </c>
      <c r="BQ26" s="16">
        <v>27207.77</v>
      </c>
      <c r="BR26" s="16">
        <v>27978.12</v>
      </c>
      <c r="BS26" s="16">
        <v>29103.52</v>
      </c>
      <c r="BT26" s="16">
        <v>29518.81</v>
      </c>
      <c r="BU26" s="16">
        <v>30278.06</v>
      </c>
      <c r="BV26" s="16">
        <v>29509.3</v>
      </c>
      <c r="BW26" s="16">
        <v>29590.13</v>
      </c>
      <c r="BX26" s="16">
        <v>30095.77</v>
      </c>
      <c r="BY26" s="16">
        <v>29509.3</v>
      </c>
      <c r="BZ26" s="16">
        <v>29132.05</v>
      </c>
      <c r="CA26" s="16">
        <v>28569.35</v>
      </c>
      <c r="CB26" s="16">
        <v>27374.2</v>
      </c>
      <c r="CC26" s="16">
        <v>26117.24</v>
      </c>
      <c r="CD26" s="16">
        <v>26789.31</v>
      </c>
      <c r="CE26" s="16">
        <v>26930.38</v>
      </c>
      <c r="CF26" s="16">
        <v>26351.83</v>
      </c>
      <c r="CG26" s="16">
        <v>26309.040000000001</v>
      </c>
      <c r="CH26" s="16">
        <v>25147.18</v>
      </c>
      <c r="CI26" s="16">
        <v>25766.94</v>
      </c>
      <c r="CJ26" s="16">
        <v>24874.54</v>
      </c>
      <c r="CK26" s="16">
        <v>24896.73</v>
      </c>
      <c r="CL26" s="16">
        <v>25396.03</v>
      </c>
      <c r="CM26" s="16">
        <v>25898.5</v>
      </c>
      <c r="CN26" s="16">
        <v>25776.45</v>
      </c>
      <c r="CO26" s="16">
        <v>26670.43</v>
      </c>
      <c r="CP26" s="16">
        <v>27524.79</v>
      </c>
      <c r="CQ26" s="16">
        <v>26998.54</v>
      </c>
      <c r="CR26" s="16">
        <v>27952.76</v>
      </c>
      <c r="CS26" s="16">
        <v>29333.35</v>
      </c>
      <c r="CT26" s="16">
        <v>29794.61</v>
      </c>
      <c r="CU26" s="16">
        <v>30690.18</v>
      </c>
      <c r="CV26" s="16">
        <v>31587.33</v>
      </c>
      <c r="CW26" s="16">
        <v>31917.02</v>
      </c>
      <c r="CX26" s="16">
        <v>31799.73</v>
      </c>
      <c r="CY26" s="16">
        <v>34935</v>
      </c>
      <c r="CZ26" s="16">
        <v>36923</v>
      </c>
      <c r="DA26" s="16">
        <v>38771</v>
      </c>
      <c r="DB26" s="16">
        <v>39655</v>
      </c>
      <c r="DC26" s="16">
        <v>40713</v>
      </c>
      <c r="DD26" s="16">
        <v>40591</v>
      </c>
      <c r="DE26" s="16">
        <v>40597</v>
      </c>
      <c r="DF26" s="16">
        <v>41411</v>
      </c>
      <c r="DG26" s="16">
        <v>41475</v>
      </c>
      <c r="DH26" s="16">
        <v>40526</v>
      </c>
      <c r="DI26" s="16">
        <v>42343</v>
      </c>
      <c r="DJ26" s="16">
        <v>41303</v>
      </c>
      <c r="DK26" s="16">
        <v>42873</v>
      </c>
      <c r="DL26" s="16">
        <v>45655</v>
      </c>
      <c r="DM26" s="16">
        <v>41952</v>
      </c>
      <c r="DN26" s="16">
        <v>43271</v>
      </c>
      <c r="DO26" s="16">
        <v>43590</v>
      </c>
      <c r="DP26" s="16">
        <v>44094</v>
      </c>
      <c r="DQ26" s="16">
        <v>43086</v>
      </c>
      <c r="DR26" s="16">
        <v>41092</v>
      </c>
      <c r="DS26" s="16">
        <v>41361</v>
      </c>
      <c r="DT26" s="16">
        <v>42198</v>
      </c>
      <c r="DU26" s="16">
        <v>42534</v>
      </c>
      <c r="DV26" s="16">
        <v>44756</v>
      </c>
      <c r="DW26" s="16">
        <v>45218</v>
      </c>
      <c r="DX26" s="16">
        <v>42386</v>
      </c>
      <c r="DY26" s="16">
        <v>41687</v>
      </c>
      <c r="DZ26" s="16">
        <v>41634</v>
      </c>
      <c r="EA26" s="16">
        <v>42712</v>
      </c>
      <c r="EB26" s="16">
        <v>40056</v>
      </c>
      <c r="EC26" s="16">
        <v>40599</v>
      </c>
      <c r="ED26" s="16">
        <v>41067</v>
      </c>
      <c r="EE26" s="16">
        <v>40943</v>
      </c>
      <c r="EF26" s="16">
        <v>42129</v>
      </c>
      <c r="EG26" s="16">
        <v>43315</v>
      </c>
      <c r="EH26" s="16">
        <v>43787</v>
      </c>
      <c r="EI26" s="16">
        <v>44604</v>
      </c>
      <c r="EJ26" s="16">
        <v>44663</v>
      </c>
      <c r="EK26" s="16">
        <v>47231</v>
      </c>
      <c r="EL26" s="16">
        <v>47155</v>
      </c>
      <c r="EM26" s="16">
        <v>48473</v>
      </c>
      <c r="EN26" s="16">
        <v>50393</v>
      </c>
      <c r="EO26" s="16">
        <v>47741</v>
      </c>
      <c r="EP26" s="16">
        <v>51610</v>
      </c>
      <c r="EQ26" s="16">
        <v>47333</v>
      </c>
      <c r="ER26" s="16">
        <v>49002</v>
      </c>
      <c r="ES26" s="16">
        <v>47029</v>
      </c>
      <c r="ET26" s="16">
        <v>45880</v>
      </c>
      <c r="EU26" s="16">
        <v>41068</v>
      </c>
      <c r="EV26" s="16">
        <v>39293</v>
      </c>
      <c r="EW26" s="16">
        <v>38505</v>
      </c>
      <c r="EX26" s="16">
        <v>38358</v>
      </c>
      <c r="EY26" s="16">
        <v>39719</v>
      </c>
      <c r="EZ26" s="16">
        <v>38851</v>
      </c>
      <c r="FA26" s="16">
        <v>40473</v>
      </c>
      <c r="FB26" s="16">
        <v>43338</v>
      </c>
      <c r="FC26" s="16">
        <v>39733</v>
      </c>
      <c r="FD26" s="16">
        <v>41451</v>
      </c>
      <c r="FE26" s="16">
        <v>43475</v>
      </c>
      <c r="FF26" s="16">
        <v>44931</v>
      </c>
      <c r="FG26" s="16">
        <v>45391</v>
      </c>
      <c r="FH26" s="16">
        <v>42909</v>
      </c>
      <c r="FI26" s="16">
        <v>44083</v>
      </c>
      <c r="FJ26" s="16">
        <v>46914</v>
      </c>
      <c r="FK26" s="16">
        <v>44633</v>
      </c>
      <c r="FL26" s="16">
        <v>45753</v>
      </c>
      <c r="FM26" s="16">
        <v>47243</v>
      </c>
      <c r="FN26" s="16">
        <v>47552</v>
      </c>
      <c r="FO26" s="16">
        <v>47627</v>
      </c>
      <c r="FP26" s="16">
        <v>49200</v>
      </c>
      <c r="FQ26" s="16">
        <v>49344</v>
      </c>
      <c r="FR26" s="16">
        <v>50245</v>
      </c>
      <c r="FS26" s="16">
        <v>52979</v>
      </c>
      <c r="FT26" s="16">
        <v>52791</v>
      </c>
      <c r="FU26" s="16">
        <v>52925</v>
      </c>
      <c r="FV26" s="16">
        <v>55973</v>
      </c>
      <c r="FW26" s="16">
        <v>56261</v>
      </c>
      <c r="FX26" s="16">
        <v>56949</v>
      </c>
      <c r="FY26" s="16">
        <v>57527</v>
      </c>
      <c r="FZ26" s="16">
        <v>55780</v>
      </c>
      <c r="GA26" s="16">
        <v>56935</v>
      </c>
      <c r="GB26" s="16">
        <v>57275</v>
      </c>
      <c r="GC26" s="16">
        <v>56988</v>
      </c>
      <c r="GD26" s="16">
        <v>57096</v>
      </c>
      <c r="GE26" s="16">
        <v>57012</v>
      </c>
      <c r="GF26" s="16">
        <v>56085</v>
      </c>
      <c r="GG26" s="16">
        <v>55463</v>
      </c>
      <c r="GH26" s="16">
        <v>55203</v>
      </c>
      <c r="GI26" s="16">
        <v>56124</v>
      </c>
      <c r="GJ26" s="16">
        <v>56190</v>
      </c>
      <c r="GK26" s="16">
        <v>56853</v>
      </c>
      <c r="GL26" s="16">
        <v>56698</v>
      </c>
      <c r="GM26" s="16">
        <v>55060</v>
      </c>
      <c r="GN26" s="16">
        <v>44779</v>
      </c>
      <c r="GO26" s="16">
        <v>48806</v>
      </c>
      <c r="GP26" s="16">
        <v>51264</v>
      </c>
      <c r="GQ26" s="16">
        <v>47538</v>
      </c>
      <c r="GR26" s="16">
        <v>50915</v>
      </c>
      <c r="GS26" s="16">
        <v>51292</v>
      </c>
      <c r="GT26" s="16">
        <v>51802</v>
      </c>
      <c r="GU26" s="16">
        <v>51561</v>
      </c>
      <c r="GV26" s="17">
        <v>53107.83</v>
      </c>
      <c r="GW26" s="17">
        <v>54063.77</v>
      </c>
      <c r="GX26" s="17">
        <v>55409.95</v>
      </c>
      <c r="GY26" s="17">
        <v>56435.05</v>
      </c>
      <c r="GZ26" s="17">
        <v>55108.84</v>
      </c>
      <c r="HA26" s="17">
        <v>54585.29</v>
      </c>
      <c r="HB26" s="17">
        <v>54612.59</v>
      </c>
      <c r="HC26" s="17">
        <v>54776.44</v>
      </c>
      <c r="HD26" s="17">
        <v>55050.32</v>
      </c>
      <c r="HE26" s="17">
        <v>55325.52</v>
      </c>
      <c r="HF26" s="17">
        <v>55602.22</v>
      </c>
      <c r="HG26" s="17">
        <v>55908.03</v>
      </c>
      <c r="HH26" s="17">
        <v>56215.519999999997</v>
      </c>
      <c r="HI26" s="17">
        <v>56524.73</v>
      </c>
      <c r="HJ26" s="17">
        <v>56835.59</v>
      </c>
      <c r="HK26" s="17">
        <v>57131.14</v>
      </c>
      <c r="HL26" s="17">
        <v>57428.22</v>
      </c>
      <c r="HM26" s="17">
        <v>57721.1</v>
      </c>
      <c r="HN26" s="17">
        <v>58003.93</v>
      </c>
      <c r="HO26" s="17">
        <v>58288.15</v>
      </c>
      <c r="HP26" s="17">
        <v>58573.77</v>
      </c>
      <c r="HQ26" s="17">
        <v>58860.78</v>
      </c>
      <c r="HR26" s="17">
        <v>59149.2</v>
      </c>
      <c r="HS26" s="17">
        <v>59439.03</v>
      </c>
      <c r="HT26" s="17">
        <v>59730.28</v>
      </c>
      <c r="HU26" s="17">
        <v>60022.96</v>
      </c>
      <c r="HV26" s="17">
        <v>60317.07</v>
      </c>
      <c r="HW26" s="17">
        <v>60612.62</v>
      </c>
      <c r="HX26" s="17">
        <v>60909.63</v>
      </c>
      <c r="HY26" s="17">
        <v>61208.08</v>
      </c>
      <c r="HZ26" s="17">
        <v>61508</v>
      </c>
      <c r="IA26" s="17">
        <v>61809.39</v>
      </c>
      <c r="IB26" s="17">
        <v>62112.25</v>
      </c>
      <c r="IC26" s="17">
        <v>62416.61</v>
      </c>
      <c r="ID26" s="17">
        <v>62722.45</v>
      </c>
      <c r="IE26" s="17">
        <v>63024.25</v>
      </c>
      <c r="IF26" s="17">
        <v>63327.74</v>
      </c>
      <c r="IG26" s="17">
        <v>63632.86</v>
      </c>
      <c r="IH26" s="17">
        <v>63939.62</v>
      </c>
      <c r="II26" s="17">
        <v>64248.03</v>
      </c>
      <c r="IJ26" s="17">
        <v>64558.05</v>
      </c>
      <c r="IK26" s="17">
        <v>64880.47</v>
      </c>
      <c r="IL26" s="17">
        <v>65204.68</v>
      </c>
      <c r="IM26" s="17">
        <v>65530.68</v>
      </c>
      <c r="IN26" s="17">
        <v>65858.460000000006</v>
      </c>
      <c r="IO26" s="17">
        <v>66187.990000000005</v>
      </c>
      <c r="IP26" s="17">
        <v>66519.27</v>
      </c>
      <c r="IQ26" s="17">
        <v>66852.28</v>
      </c>
      <c r="IR26" s="17">
        <v>67187.02</v>
      </c>
      <c r="IS26" s="17">
        <v>67523.48</v>
      </c>
      <c r="IT26" s="17">
        <v>67861.679999999993</v>
      </c>
      <c r="IU26" s="17">
        <v>68201.58</v>
      </c>
      <c r="IV26" s="17">
        <v>68543.199999999997</v>
      </c>
      <c r="IW26" s="17">
        <v>68886.47</v>
      </c>
      <c r="IX26" s="17">
        <v>69231.42</v>
      </c>
      <c r="IY26" s="17">
        <v>69589.67</v>
      </c>
      <c r="IZ26" s="17">
        <v>69950.03</v>
      </c>
      <c r="JA26" s="17">
        <v>70312.509999999995</v>
      </c>
      <c r="JB26" s="17">
        <v>70677.09</v>
      </c>
      <c r="JC26" s="17">
        <v>71043.789999999994</v>
      </c>
      <c r="JD26" s="17">
        <v>71412.62</v>
      </c>
      <c r="JE26" s="17">
        <v>71783.59</v>
      </c>
      <c r="JF26" s="17">
        <v>72156.72</v>
      </c>
      <c r="JG26" s="17">
        <v>72531.990000000005</v>
      </c>
      <c r="JH26" s="17">
        <v>72909.41</v>
      </c>
      <c r="JI26" s="17">
        <v>73289.05</v>
      </c>
      <c r="JJ26" s="17">
        <v>73670.929999999993</v>
      </c>
      <c r="JK26" s="17">
        <v>74055.02</v>
      </c>
      <c r="JL26" s="17">
        <v>74441.34</v>
      </c>
      <c r="JM26" s="17">
        <v>74829.91</v>
      </c>
      <c r="JN26" s="17">
        <v>75220.75</v>
      </c>
      <c r="JO26" s="17">
        <v>75582.33</v>
      </c>
      <c r="JP26" s="17">
        <v>75945.63</v>
      </c>
      <c r="JQ26" s="17">
        <v>76310.66</v>
      </c>
      <c r="JR26" s="17">
        <v>76677.429999999993</v>
      </c>
      <c r="JS26" s="17">
        <v>77033.210000000006</v>
      </c>
      <c r="JT26" s="17">
        <v>77390.48</v>
      </c>
      <c r="JU26" s="17">
        <v>77749.2</v>
      </c>
      <c r="JV26" s="17">
        <v>78109.41</v>
      </c>
      <c r="JW26" s="17">
        <v>78471.11</v>
      </c>
      <c r="JX26" s="17">
        <v>78834.27</v>
      </c>
      <c r="JY26" s="17">
        <v>79198.91</v>
      </c>
      <c r="JZ26" s="17">
        <v>79565.02</v>
      </c>
      <c r="KA26" s="17">
        <v>79928.61</v>
      </c>
      <c r="KB26" s="17">
        <v>80293.63</v>
      </c>
      <c r="KC26" s="17">
        <v>80659.990000000005</v>
      </c>
      <c r="KD26" s="17">
        <v>81027.73</v>
      </c>
      <c r="KE26" s="17">
        <v>81396.81</v>
      </c>
      <c r="KF26" s="17">
        <v>81767.259999999995</v>
      </c>
      <c r="KG26" s="17">
        <v>82139.08</v>
      </c>
      <c r="KH26" s="17">
        <v>82512.23</v>
      </c>
      <c r="KI26" s="17">
        <v>82886.740000000005</v>
      </c>
      <c r="KJ26" s="17">
        <v>83262.59</v>
      </c>
      <c r="KK26" s="17">
        <v>83639.81</v>
      </c>
      <c r="KL26" s="17">
        <v>84018.38</v>
      </c>
      <c r="KM26" s="17">
        <v>84398.28</v>
      </c>
      <c r="KN26" s="17">
        <v>84779.55</v>
      </c>
      <c r="KO26" s="17">
        <v>85162.16</v>
      </c>
      <c r="KP26" s="17">
        <v>85546.13</v>
      </c>
      <c r="KQ26" s="17">
        <v>85931.44</v>
      </c>
      <c r="KR26" s="17">
        <v>86318.09</v>
      </c>
      <c r="KS26" s="17">
        <v>86706.14</v>
      </c>
      <c r="KT26" s="17">
        <v>87095.52</v>
      </c>
      <c r="KU26" s="17">
        <v>87486.29</v>
      </c>
      <c r="KV26" s="17">
        <v>87878.41</v>
      </c>
      <c r="KW26" s="17">
        <v>88271.89</v>
      </c>
      <c r="KX26" s="17">
        <v>88666.76</v>
      </c>
      <c r="KY26" s="17">
        <v>89062.97</v>
      </c>
      <c r="KZ26" s="17">
        <v>89460.55</v>
      </c>
      <c r="LA26" s="17">
        <v>89859.48</v>
      </c>
      <c r="LB26" s="17">
        <v>90259.76</v>
      </c>
      <c r="LC26" s="17">
        <v>90661.41</v>
      </c>
      <c r="LD26" s="17">
        <v>91064.39</v>
      </c>
      <c r="LE26" s="17">
        <v>91468.73</v>
      </c>
      <c r="LF26" s="17">
        <v>91874.43</v>
      </c>
      <c r="LG26" s="17">
        <v>0</v>
      </c>
      <c r="LH26" s="17">
        <v>0</v>
      </c>
      <c r="LI26" s="17">
        <v>0</v>
      </c>
      <c r="LJ26" s="17">
        <v>0</v>
      </c>
      <c r="LK26" s="17">
        <v>0</v>
      </c>
      <c r="LL26" s="17">
        <v>0</v>
      </c>
      <c r="LM26" s="17">
        <v>0</v>
      </c>
      <c r="LN26" s="17">
        <v>0</v>
      </c>
      <c r="LO26" s="17">
        <v>0</v>
      </c>
      <c r="LP26" s="17">
        <v>0</v>
      </c>
      <c r="LQ26" s="17">
        <v>0</v>
      </c>
      <c r="LR26" s="17">
        <v>0</v>
      </c>
      <c r="LS26" s="17">
        <v>0</v>
      </c>
      <c r="LT26" s="17">
        <v>0</v>
      </c>
      <c r="LU26" s="17">
        <v>0</v>
      </c>
      <c r="LV26" s="17">
        <v>0</v>
      </c>
      <c r="LW26" s="17">
        <v>0</v>
      </c>
      <c r="LX26" s="17">
        <v>0</v>
      </c>
      <c r="LY26" s="17">
        <v>0</v>
      </c>
      <c r="LZ26" s="17">
        <v>0</v>
      </c>
      <c r="MA26" s="17">
        <v>0</v>
      </c>
      <c r="MB26" s="17">
        <v>0</v>
      </c>
      <c r="MC26" s="17">
        <v>0</v>
      </c>
      <c r="MD26" s="17">
        <v>0</v>
      </c>
      <c r="ME26" s="17">
        <v>0</v>
      </c>
      <c r="MF26" s="17">
        <v>0</v>
      </c>
      <c r="MG26" s="17">
        <v>0</v>
      </c>
      <c r="MH26" s="17">
        <v>0</v>
      </c>
      <c r="MI26" s="17">
        <v>0</v>
      </c>
      <c r="MJ26" s="17">
        <v>0</v>
      </c>
      <c r="MK26" s="17">
        <v>0</v>
      </c>
      <c r="ML26" s="17">
        <v>0</v>
      </c>
      <c r="MM26" s="17">
        <v>0</v>
      </c>
      <c r="MN26" s="17">
        <v>0</v>
      </c>
      <c r="MO26" s="17">
        <v>0</v>
      </c>
      <c r="MP26" s="17">
        <v>0</v>
      </c>
      <c r="MQ26" s="17">
        <v>0</v>
      </c>
      <c r="MR26" s="17">
        <v>0</v>
      </c>
      <c r="MS26" s="17">
        <v>0</v>
      </c>
      <c r="MT26" s="17">
        <v>0</v>
      </c>
      <c r="MU26" s="13" t="s">
        <v>478</v>
      </c>
      <c r="MV26" s="13" t="b">
        <v>1</v>
      </c>
      <c r="MW26" s="15" t="s">
        <v>479</v>
      </c>
      <c r="MX26" s="13" t="s">
        <v>480</v>
      </c>
      <c r="MY26" s="13">
        <v>2022</v>
      </c>
      <c r="MZ26" s="13">
        <v>1</v>
      </c>
      <c r="NA26" s="13" t="s">
        <v>480</v>
      </c>
      <c r="NB26" s="13" t="s">
        <v>0</v>
      </c>
      <c r="NC26" s="15" t="s">
        <v>482</v>
      </c>
      <c r="ND26" s="13" t="s">
        <v>483</v>
      </c>
      <c r="NE26" s="13" t="s">
        <v>484</v>
      </c>
      <c r="NF26" s="15" t="s">
        <v>1033</v>
      </c>
    </row>
    <row r="27" spans="1:370" x14ac:dyDescent="0.25">
      <c r="A27" s="13" t="s">
        <v>473</v>
      </c>
      <c r="B27" s="13" t="s">
        <v>474</v>
      </c>
      <c r="C27" s="15" t="s">
        <v>1322</v>
      </c>
      <c r="D27" s="13" t="s">
        <v>475</v>
      </c>
      <c r="E27" s="13" t="s">
        <v>476</v>
      </c>
      <c r="F27" s="13" t="s">
        <v>477</v>
      </c>
      <c r="G27" s="16">
        <v>14892.33</v>
      </c>
      <c r="H27" s="16">
        <v>14541.99</v>
      </c>
      <c r="I27" s="16">
        <v>14657.78</v>
      </c>
      <c r="J27" s="16">
        <v>15076.41</v>
      </c>
      <c r="K27" s="16">
        <v>15248.61</v>
      </c>
      <c r="L27" s="16">
        <v>15785.99</v>
      </c>
      <c r="M27" s="16">
        <v>15486.12</v>
      </c>
      <c r="N27" s="16">
        <v>16143.75</v>
      </c>
      <c r="O27" s="16">
        <v>15588.55</v>
      </c>
      <c r="P27" s="16">
        <v>15140.24</v>
      </c>
      <c r="Q27" s="16">
        <v>15953.74</v>
      </c>
      <c r="R27" s="16">
        <v>15236.73</v>
      </c>
      <c r="S27" s="16">
        <v>15498</v>
      </c>
      <c r="T27" s="16">
        <v>15915.14</v>
      </c>
      <c r="U27" s="16">
        <v>15974.52</v>
      </c>
      <c r="V27" s="16">
        <v>15950.77</v>
      </c>
      <c r="W27" s="16">
        <v>15232.28</v>
      </c>
      <c r="X27" s="16">
        <v>16468.849999999999</v>
      </c>
      <c r="Y27" s="16">
        <v>15940.38</v>
      </c>
      <c r="Z27" s="16">
        <v>16592.060000000001</v>
      </c>
      <c r="AA27" s="16">
        <v>16765.75</v>
      </c>
      <c r="AB27" s="16">
        <v>17004.75</v>
      </c>
      <c r="AC27" s="16">
        <v>16479.240000000002</v>
      </c>
      <c r="AD27" s="16">
        <v>16229.85</v>
      </c>
      <c r="AE27" s="16">
        <v>16951.310000000001</v>
      </c>
      <c r="AF27" s="16">
        <v>17203.669999999998</v>
      </c>
      <c r="AG27" s="16">
        <v>17442.669999999998</v>
      </c>
      <c r="AH27" s="16">
        <v>17132.419999999998</v>
      </c>
      <c r="AI27" s="16">
        <v>16902.32</v>
      </c>
      <c r="AJ27" s="16">
        <v>16614.330000000002</v>
      </c>
      <c r="AK27" s="16">
        <v>16327.83</v>
      </c>
      <c r="AL27" s="16">
        <v>15924.05</v>
      </c>
      <c r="AM27" s="16">
        <v>15199.62</v>
      </c>
      <c r="AN27" s="16">
        <v>15169.93</v>
      </c>
      <c r="AO27" s="16">
        <v>15348.07</v>
      </c>
      <c r="AP27" s="16">
        <v>15310.96</v>
      </c>
      <c r="AQ27" s="16">
        <v>15523.24</v>
      </c>
      <c r="AR27" s="16">
        <v>15616.76</v>
      </c>
      <c r="AS27" s="16">
        <v>16225.4</v>
      </c>
      <c r="AT27" s="16">
        <v>16090.31</v>
      </c>
      <c r="AU27" s="16">
        <v>15748.88</v>
      </c>
      <c r="AV27" s="16">
        <v>15854.28</v>
      </c>
      <c r="AW27" s="16">
        <v>15805.29</v>
      </c>
      <c r="AX27" s="16">
        <v>16939.43</v>
      </c>
      <c r="AY27" s="16">
        <v>16934.98</v>
      </c>
      <c r="AZ27" s="16">
        <v>17746.990000000002</v>
      </c>
      <c r="BA27" s="16">
        <v>18134.439999999999</v>
      </c>
      <c r="BB27" s="16">
        <v>18793.55</v>
      </c>
      <c r="BC27" s="16">
        <v>20852.53</v>
      </c>
      <c r="BD27" s="16">
        <v>18483.29</v>
      </c>
      <c r="BE27" s="16">
        <v>18952.39</v>
      </c>
      <c r="BF27" s="16">
        <v>19072.63</v>
      </c>
      <c r="BG27" s="16">
        <v>19099.36</v>
      </c>
      <c r="BH27" s="16">
        <v>18161.16</v>
      </c>
      <c r="BI27" s="16">
        <v>19244.830000000002</v>
      </c>
      <c r="BJ27" s="16">
        <v>19840.11</v>
      </c>
      <c r="BK27" s="16">
        <v>18507.05</v>
      </c>
      <c r="BL27" s="16">
        <v>19126.080000000002</v>
      </c>
      <c r="BM27" s="16">
        <v>20724.86</v>
      </c>
      <c r="BN27" s="16">
        <v>22057.93</v>
      </c>
      <c r="BO27" s="16">
        <v>23012.45</v>
      </c>
      <c r="BP27" s="16">
        <v>24174.799999999999</v>
      </c>
      <c r="BQ27" s="16">
        <v>25481.15</v>
      </c>
      <c r="BR27" s="16">
        <v>26202.61</v>
      </c>
      <c r="BS27" s="16">
        <v>27256.59</v>
      </c>
      <c r="BT27" s="16">
        <v>27645.52</v>
      </c>
      <c r="BU27" s="16">
        <v>28356.59</v>
      </c>
      <c r="BV27" s="16">
        <v>27636.62</v>
      </c>
      <c r="BW27" s="16">
        <v>27712.32</v>
      </c>
      <c r="BX27" s="16">
        <v>28185.88</v>
      </c>
      <c r="BY27" s="16">
        <v>27636.62</v>
      </c>
      <c r="BZ27" s="16">
        <v>27283.31</v>
      </c>
      <c r="CA27" s="16">
        <v>26756.32</v>
      </c>
      <c r="CB27" s="16">
        <v>25637.02</v>
      </c>
      <c r="CC27" s="16">
        <v>24459.82</v>
      </c>
      <c r="CD27" s="16">
        <v>25089.24</v>
      </c>
      <c r="CE27" s="16">
        <v>25221.360000000001</v>
      </c>
      <c r="CF27" s="16">
        <v>24679.53</v>
      </c>
      <c r="CG27" s="16">
        <v>24639.45</v>
      </c>
      <c r="CH27" s="16">
        <v>23551.32</v>
      </c>
      <c r="CI27" s="16">
        <v>24131.75</v>
      </c>
      <c r="CJ27" s="16">
        <v>23295.99</v>
      </c>
      <c r="CK27" s="16">
        <v>23316.77</v>
      </c>
      <c r="CL27" s="16">
        <v>23784.38</v>
      </c>
      <c r="CM27" s="16">
        <v>24254.959999999999</v>
      </c>
      <c r="CN27" s="16">
        <v>24140.66</v>
      </c>
      <c r="CO27" s="16">
        <v>24977.91</v>
      </c>
      <c r="CP27" s="16">
        <v>25778.04</v>
      </c>
      <c r="CQ27" s="16">
        <v>25285.200000000001</v>
      </c>
      <c r="CR27" s="16">
        <v>26178.85</v>
      </c>
      <c r="CS27" s="16">
        <v>27471.84</v>
      </c>
      <c r="CT27" s="16">
        <v>27903.82</v>
      </c>
      <c r="CU27" s="16">
        <v>28742.55</v>
      </c>
      <c r="CV27" s="16">
        <v>29582.77</v>
      </c>
      <c r="CW27" s="16">
        <v>29891.54</v>
      </c>
      <c r="CX27" s="16">
        <v>29781.69</v>
      </c>
      <c r="CY27" s="16">
        <v>32718</v>
      </c>
      <c r="CZ27" s="16">
        <v>34170</v>
      </c>
      <c r="DA27" s="16">
        <v>36256</v>
      </c>
      <c r="DB27" s="16">
        <v>37199</v>
      </c>
      <c r="DC27" s="16">
        <v>37792</v>
      </c>
      <c r="DD27" s="16">
        <v>37625</v>
      </c>
      <c r="DE27" s="16">
        <v>37276</v>
      </c>
      <c r="DF27" s="16">
        <v>38212</v>
      </c>
      <c r="DG27" s="16">
        <v>37931</v>
      </c>
      <c r="DH27" s="16">
        <v>37959</v>
      </c>
      <c r="DI27" s="16">
        <v>39053</v>
      </c>
      <c r="DJ27" s="16">
        <v>38646</v>
      </c>
      <c r="DK27" s="16">
        <v>40191</v>
      </c>
      <c r="DL27" s="16">
        <v>42527</v>
      </c>
      <c r="DM27" s="16">
        <v>39666</v>
      </c>
      <c r="DN27" s="16">
        <v>41085</v>
      </c>
      <c r="DO27" s="16">
        <v>40854</v>
      </c>
      <c r="DP27" s="16">
        <v>41234</v>
      </c>
      <c r="DQ27" s="16">
        <v>41229</v>
      </c>
      <c r="DR27" s="16">
        <v>39486</v>
      </c>
      <c r="DS27" s="16">
        <v>38765</v>
      </c>
      <c r="DT27" s="16">
        <v>38387</v>
      </c>
      <c r="DU27" s="16">
        <v>40498</v>
      </c>
      <c r="DV27" s="16">
        <v>42138</v>
      </c>
      <c r="DW27" s="16">
        <v>42078</v>
      </c>
      <c r="DX27" s="16">
        <v>38092</v>
      </c>
      <c r="DY27" s="16">
        <v>39039</v>
      </c>
      <c r="DZ27" s="16">
        <v>38809</v>
      </c>
      <c r="EA27" s="16">
        <v>39134</v>
      </c>
      <c r="EB27" s="16">
        <v>36010</v>
      </c>
      <c r="EC27" s="16">
        <v>38148</v>
      </c>
      <c r="ED27" s="16">
        <v>38978</v>
      </c>
      <c r="EE27" s="16">
        <v>38771</v>
      </c>
      <c r="EF27" s="16">
        <v>39825</v>
      </c>
      <c r="EG27" s="16">
        <v>40879</v>
      </c>
      <c r="EH27" s="16">
        <v>40661</v>
      </c>
      <c r="EI27" s="16">
        <v>42723</v>
      </c>
      <c r="EJ27" s="16">
        <v>41073</v>
      </c>
      <c r="EK27" s="16">
        <v>44219</v>
      </c>
      <c r="EL27" s="16">
        <v>44291</v>
      </c>
      <c r="EM27" s="16">
        <v>46420</v>
      </c>
      <c r="EN27" s="16">
        <v>47070</v>
      </c>
      <c r="EO27" s="16">
        <v>44994</v>
      </c>
      <c r="EP27" s="16">
        <v>48770</v>
      </c>
      <c r="EQ27" s="16">
        <v>45209</v>
      </c>
      <c r="ER27" s="16">
        <v>46925</v>
      </c>
      <c r="ES27" s="16">
        <v>45148</v>
      </c>
      <c r="ET27" s="16">
        <v>43617</v>
      </c>
      <c r="EU27" s="16">
        <v>39697</v>
      </c>
      <c r="EV27" s="16">
        <v>37614</v>
      </c>
      <c r="EW27" s="16">
        <v>36801</v>
      </c>
      <c r="EX27" s="16">
        <v>36482</v>
      </c>
      <c r="EY27" s="16">
        <v>38204</v>
      </c>
      <c r="EZ27" s="16">
        <v>37630</v>
      </c>
      <c r="FA27" s="16">
        <v>39313</v>
      </c>
      <c r="FB27" s="16">
        <v>41914</v>
      </c>
      <c r="FC27" s="16">
        <v>39000</v>
      </c>
      <c r="FD27" s="16">
        <v>41219</v>
      </c>
      <c r="FE27" s="16">
        <v>42597</v>
      </c>
      <c r="FF27" s="16">
        <v>43649</v>
      </c>
      <c r="FG27" s="16">
        <v>45274</v>
      </c>
      <c r="FH27" s="16">
        <v>43325</v>
      </c>
      <c r="FI27" s="16">
        <v>43521</v>
      </c>
      <c r="FJ27" s="16">
        <v>46059</v>
      </c>
      <c r="FK27" s="16">
        <v>44731</v>
      </c>
      <c r="FL27" s="16">
        <v>45627</v>
      </c>
      <c r="FM27" s="16">
        <v>47234</v>
      </c>
      <c r="FN27" s="16">
        <v>47059</v>
      </c>
      <c r="FO27" s="16">
        <v>47997</v>
      </c>
      <c r="FP27" s="16">
        <v>48160</v>
      </c>
      <c r="FQ27" s="16">
        <v>48500</v>
      </c>
      <c r="FR27" s="16">
        <v>50226</v>
      </c>
      <c r="FS27" s="16">
        <v>53460</v>
      </c>
      <c r="FT27" s="16">
        <v>52038</v>
      </c>
      <c r="FU27" s="16">
        <v>52163</v>
      </c>
      <c r="FV27" s="16">
        <v>55620</v>
      </c>
      <c r="FW27" s="16">
        <v>56947</v>
      </c>
      <c r="FX27" s="16">
        <v>56796</v>
      </c>
      <c r="FY27" s="16">
        <v>58177</v>
      </c>
      <c r="FZ27" s="16">
        <v>56045</v>
      </c>
      <c r="GA27" s="16">
        <v>57345</v>
      </c>
      <c r="GB27" s="16">
        <v>57030</v>
      </c>
      <c r="GC27" s="16">
        <v>56048</v>
      </c>
      <c r="GD27" s="16">
        <v>57022</v>
      </c>
      <c r="GE27" s="16">
        <v>56689</v>
      </c>
      <c r="GF27" s="16">
        <v>55519</v>
      </c>
      <c r="GG27" s="16">
        <v>55578</v>
      </c>
      <c r="GH27" s="16">
        <v>55984</v>
      </c>
      <c r="GI27" s="16">
        <v>56579</v>
      </c>
      <c r="GJ27" s="16">
        <v>57469</v>
      </c>
      <c r="GK27" s="16">
        <v>57240</v>
      </c>
      <c r="GL27" s="16">
        <v>57293</v>
      </c>
      <c r="GM27" s="16">
        <v>55992</v>
      </c>
      <c r="GN27" s="16">
        <v>45262</v>
      </c>
      <c r="GO27" s="16">
        <v>50140</v>
      </c>
      <c r="GP27" s="16">
        <v>52906</v>
      </c>
      <c r="GQ27" s="16">
        <v>48113</v>
      </c>
      <c r="GR27" s="16">
        <v>53705</v>
      </c>
      <c r="GS27" s="16">
        <v>53035</v>
      </c>
      <c r="GT27" s="16">
        <v>53441</v>
      </c>
      <c r="GU27" s="16">
        <v>55098</v>
      </c>
      <c r="GV27" s="16">
        <v>56823</v>
      </c>
      <c r="GW27" s="16">
        <v>58076</v>
      </c>
      <c r="GX27" s="16">
        <v>58320</v>
      </c>
      <c r="GY27" s="16">
        <v>60904</v>
      </c>
      <c r="GZ27" s="16">
        <v>60887</v>
      </c>
      <c r="HA27" s="16">
        <v>59159</v>
      </c>
      <c r="HB27" s="16">
        <v>59979</v>
      </c>
      <c r="HC27" s="16">
        <v>60299</v>
      </c>
      <c r="HD27" s="16">
        <v>60245</v>
      </c>
      <c r="HE27" s="17">
        <v>60666.71</v>
      </c>
      <c r="HF27" s="17">
        <v>61000.36</v>
      </c>
      <c r="HG27" s="17">
        <v>61366.39</v>
      </c>
      <c r="HH27" s="17">
        <v>61881.86</v>
      </c>
      <c r="HI27" s="17">
        <v>62463.55</v>
      </c>
      <c r="HJ27" s="17">
        <v>63056.959999999999</v>
      </c>
      <c r="HK27" s="17">
        <v>63662.27</v>
      </c>
      <c r="HL27" s="17">
        <v>64235.25</v>
      </c>
      <c r="HM27" s="17">
        <v>64717.02</v>
      </c>
      <c r="HN27" s="17">
        <v>65170.05</v>
      </c>
      <c r="HO27" s="17">
        <v>65593.66</v>
      </c>
      <c r="HP27" s="17">
        <v>65987.199999999997</v>
      </c>
      <c r="HQ27" s="17">
        <v>66383.13</v>
      </c>
      <c r="HR27" s="17">
        <v>66781.45</v>
      </c>
      <c r="HS27" s="17">
        <v>67182.14</v>
      </c>
      <c r="HT27" s="17">
        <v>67585.23</v>
      </c>
      <c r="HU27" s="17">
        <v>67990.75</v>
      </c>
      <c r="HV27" s="17">
        <v>68398.7</v>
      </c>
      <c r="HW27" s="17">
        <v>68809.09</v>
      </c>
      <c r="HX27" s="17">
        <v>69221.94</v>
      </c>
      <c r="HY27" s="17">
        <v>69637.27</v>
      </c>
      <c r="HZ27" s="17">
        <v>70055.09</v>
      </c>
      <c r="IA27" s="17">
        <v>70482.429999999993</v>
      </c>
      <c r="IB27" s="17">
        <v>70912.38</v>
      </c>
      <c r="IC27" s="17">
        <v>71344.94</v>
      </c>
      <c r="ID27" s="17">
        <v>71780.14</v>
      </c>
      <c r="IE27" s="17">
        <v>72218</v>
      </c>
      <c r="IF27" s="17">
        <v>72658.53</v>
      </c>
      <c r="IG27" s="17">
        <v>73101.75</v>
      </c>
      <c r="IH27" s="17">
        <v>73547.67</v>
      </c>
      <c r="II27" s="17">
        <v>73996.31</v>
      </c>
      <c r="IJ27" s="17">
        <v>74447.69</v>
      </c>
      <c r="IK27" s="17">
        <v>74901.820000000007</v>
      </c>
      <c r="IL27" s="17">
        <v>75358.720000000001</v>
      </c>
      <c r="IM27" s="17">
        <v>75838.63</v>
      </c>
      <c r="IN27" s="17">
        <v>76316.94</v>
      </c>
      <c r="IO27" s="17">
        <v>76790.28</v>
      </c>
      <c r="IP27" s="17">
        <v>77266.45</v>
      </c>
      <c r="IQ27" s="17">
        <v>77751.13</v>
      </c>
      <c r="IR27" s="17">
        <v>78239.14</v>
      </c>
      <c r="IS27" s="17">
        <v>78718.850000000006</v>
      </c>
      <c r="IT27" s="17">
        <v>79202.490000000005</v>
      </c>
      <c r="IU27" s="17">
        <v>79698.289999999994</v>
      </c>
      <c r="IV27" s="17">
        <v>80197.22</v>
      </c>
      <c r="IW27" s="17">
        <v>80699.27</v>
      </c>
      <c r="IX27" s="17">
        <v>81204.42</v>
      </c>
      <c r="IY27" s="17">
        <v>81720.070000000007</v>
      </c>
      <c r="IZ27" s="17">
        <v>82239.27</v>
      </c>
      <c r="JA27" s="17">
        <v>82762.05</v>
      </c>
      <c r="JB27" s="17">
        <v>83288.42</v>
      </c>
      <c r="JC27" s="17">
        <v>83818.429999999993</v>
      </c>
      <c r="JD27" s="17">
        <v>84352.03</v>
      </c>
      <c r="JE27" s="17">
        <v>84889.32</v>
      </c>
      <c r="JF27" s="17">
        <v>85430.3</v>
      </c>
      <c r="JG27" s="17">
        <v>85982.41</v>
      </c>
      <c r="JH27" s="17">
        <v>86538.41</v>
      </c>
      <c r="JI27" s="17">
        <v>87098.39</v>
      </c>
      <c r="JJ27" s="17">
        <v>87662.36</v>
      </c>
      <c r="JK27" s="17">
        <v>88230.34</v>
      </c>
      <c r="JL27" s="17">
        <v>88802.38</v>
      </c>
      <c r="JM27" s="17">
        <v>89378.49</v>
      </c>
      <c r="JN27" s="17">
        <v>89958.720000000001</v>
      </c>
      <c r="JO27" s="17">
        <v>90453.13</v>
      </c>
      <c r="JP27" s="17">
        <v>90949.9</v>
      </c>
      <c r="JQ27" s="17">
        <v>91449.07</v>
      </c>
      <c r="JR27" s="17">
        <v>91950.62</v>
      </c>
      <c r="JS27" s="17">
        <v>92445.91</v>
      </c>
      <c r="JT27" s="17">
        <v>92943.45</v>
      </c>
      <c r="JU27" s="17">
        <v>93443.26</v>
      </c>
      <c r="JV27" s="17">
        <v>93945.34</v>
      </c>
      <c r="JW27" s="17">
        <v>94449.7</v>
      </c>
      <c r="JX27" s="17">
        <v>94956.34</v>
      </c>
      <c r="JY27" s="17">
        <v>95465.279999999999</v>
      </c>
      <c r="JZ27" s="17">
        <v>95976.52</v>
      </c>
      <c r="KA27" s="17">
        <v>96485.27</v>
      </c>
      <c r="KB27" s="17">
        <v>96996.26</v>
      </c>
      <c r="KC27" s="17">
        <v>97509.41</v>
      </c>
      <c r="KD27" s="17">
        <v>98024.78</v>
      </c>
      <c r="KE27" s="17">
        <v>98542.33</v>
      </c>
      <c r="KF27" s="17">
        <v>99062.09</v>
      </c>
      <c r="KG27" s="17">
        <v>99584.09</v>
      </c>
      <c r="KH27" s="17">
        <v>100108.3</v>
      </c>
      <c r="KI27" s="17">
        <v>100634.7</v>
      </c>
      <c r="KJ27" s="17">
        <v>101163.4</v>
      </c>
      <c r="KK27" s="17">
        <v>101694.39999999999</v>
      </c>
      <c r="KL27" s="17">
        <v>102227.6</v>
      </c>
      <c r="KM27" s="17">
        <v>102763.1</v>
      </c>
      <c r="KN27" s="17">
        <v>103300.8</v>
      </c>
      <c r="KO27" s="17">
        <v>103840.9</v>
      </c>
      <c r="KP27" s="17">
        <v>104383.3</v>
      </c>
      <c r="KQ27" s="17">
        <v>104928</v>
      </c>
      <c r="KR27" s="17">
        <v>105475</v>
      </c>
      <c r="KS27" s="17">
        <v>106024.5</v>
      </c>
      <c r="KT27" s="17">
        <v>106576.3</v>
      </c>
      <c r="KU27" s="17">
        <v>107130.4</v>
      </c>
      <c r="KV27" s="17">
        <v>107687</v>
      </c>
      <c r="KW27" s="17">
        <v>108246</v>
      </c>
      <c r="KX27" s="17">
        <v>108807.3</v>
      </c>
      <c r="KY27" s="17">
        <v>109371.1</v>
      </c>
      <c r="KZ27" s="17">
        <v>109937.4</v>
      </c>
      <c r="LA27" s="17">
        <v>110506</v>
      </c>
      <c r="LB27" s="17">
        <v>111077</v>
      </c>
      <c r="LC27" s="17">
        <v>111650.5</v>
      </c>
      <c r="LD27" s="17">
        <v>112226.4</v>
      </c>
      <c r="LE27" s="17">
        <v>112804.8</v>
      </c>
      <c r="LF27" s="17">
        <v>113385.7</v>
      </c>
      <c r="LG27" s="17">
        <v>113939.8</v>
      </c>
      <c r="LH27" s="17">
        <v>114496.7</v>
      </c>
      <c r="LI27" s="17">
        <v>115051.6</v>
      </c>
      <c r="LJ27" s="17">
        <v>115609.2</v>
      </c>
      <c r="LK27" s="17">
        <v>116169.5</v>
      </c>
      <c r="LL27" s="17">
        <v>116732.4</v>
      </c>
      <c r="LM27" s="17">
        <v>117289.60000000001</v>
      </c>
      <c r="LN27" s="17">
        <v>117849.3</v>
      </c>
      <c r="LO27" s="17">
        <v>118411.5</v>
      </c>
      <c r="LP27" s="17">
        <v>118976.2</v>
      </c>
      <c r="LQ27" s="17">
        <v>119543.5</v>
      </c>
      <c r="LR27" s="17">
        <v>120113.4</v>
      </c>
      <c r="LS27" s="17">
        <v>120685.7</v>
      </c>
      <c r="LT27" s="17">
        <v>121260.6</v>
      </c>
      <c r="LU27" s="17">
        <v>121833.9</v>
      </c>
      <c r="LV27" s="17">
        <v>122409.60000000001</v>
      </c>
      <c r="LW27" s="17">
        <v>122987.8</v>
      </c>
      <c r="LX27" s="17">
        <v>123568.4</v>
      </c>
      <c r="LY27" s="17">
        <v>124148.2</v>
      </c>
      <c r="LZ27" s="17">
        <v>124730.3</v>
      </c>
      <c r="MA27" s="17">
        <v>125314.8</v>
      </c>
      <c r="MB27" s="17">
        <v>125901.6</v>
      </c>
      <c r="MC27" s="17">
        <v>126491.1</v>
      </c>
      <c r="MD27" s="17">
        <v>127082.9</v>
      </c>
      <c r="ME27" s="17">
        <v>127677.2</v>
      </c>
      <c r="MF27" s="17">
        <v>128273.9</v>
      </c>
      <c r="MG27" s="17">
        <v>128877.4</v>
      </c>
      <c r="MH27" s="17">
        <v>129483.5</v>
      </c>
      <c r="MI27" s="17">
        <v>130092.1</v>
      </c>
      <c r="MJ27" s="17">
        <v>130703.2</v>
      </c>
      <c r="MK27" s="17">
        <v>131315.6</v>
      </c>
      <c r="ML27" s="17">
        <v>131930.5</v>
      </c>
      <c r="MM27" s="17">
        <v>132548</v>
      </c>
      <c r="MN27" s="17">
        <v>133168</v>
      </c>
      <c r="MO27" s="17">
        <v>133795.20000000001</v>
      </c>
      <c r="MP27" s="17">
        <v>134425</v>
      </c>
      <c r="MQ27" s="17">
        <v>135057.4</v>
      </c>
      <c r="MR27" s="17">
        <v>135692.5</v>
      </c>
      <c r="MS27" s="17">
        <v>136330.4</v>
      </c>
      <c r="MT27" s="17">
        <v>136970.9</v>
      </c>
      <c r="MU27" s="13" t="s">
        <v>478</v>
      </c>
      <c r="MV27" s="13" t="b">
        <v>1</v>
      </c>
      <c r="MW27" s="15" t="s">
        <v>479</v>
      </c>
      <c r="MX27" s="13" t="s">
        <v>480</v>
      </c>
      <c r="MY27" s="13">
        <v>2024</v>
      </c>
      <c r="MZ27" s="13">
        <v>2</v>
      </c>
      <c r="NA27" s="13" t="s">
        <v>480</v>
      </c>
      <c r="NB27" s="13" t="s">
        <v>0</v>
      </c>
      <c r="NC27" s="15" t="s">
        <v>482</v>
      </c>
      <c r="ND27" s="13" t="s">
        <v>483</v>
      </c>
      <c r="NE27" s="13" t="s">
        <v>484</v>
      </c>
      <c r="NF27" s="15" t="s">
        <v>1323</v>
      </c>
    </row>
    <row r="28" spans="1:370" x14ac:dyDescent="0.25">
      <c r="A28"/>
      <c r="B28"/>
      <c r="C28"/>
      <c r="D28"/>
      <c r="E28"/>
      <c r="F28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2"/>
      <c r="JT28" s="42"/>
      <c r="JU28" s="42"/>
      <c r="JV28" s="42"/>
      <c r="JW28" s="42"/>
      <c r="JX28" s="42"/>
      <c r="JY28" s="42"/>
      <c r="JZ28" s="42"/>
      <c r="KA28" s="42"/>
      <c r="KB28" s="42"/>
      <c r="KC28" s="42"/>
      <c r="KD28" s="42"/>
      <c r="KE28" s="42"/>
      <c r="KF28" s="42"/>
      <c r="KG28" s="42"/>
      <c r="KH28" s="42"/>
      <c r="KI28" s="42"/>
      <c r="KJ28" s="42"/>
      <c r="KK28" s="42"/>
      <c r="KL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  <c r="KW28" s="42"/>
      <c r="KX28" s="42"/>
      <c r="KY28" s="42"/>
      <c r="KZ28" s="42"/>
      <c r="LA28" s="42"/>
      <c r="LB28" s="42"/>
      <c r="LC28" s="42"/>
      <c r="LD28" s="42"/>
      <c r="LE28" s="42"/>
      <c r="LF28" s="42"/>
      <c r="LG28" s="42"/>
      <c r="LH28" s="42"/>
      <c r="LI28" s="42"/>
      <c r="LJ28" s="42"/>
      <c r="LK28" s="42"/>
      <c r="LL28" s="42"/>
      <c r="LM28" s="42"/>
      <c r="LN28" s="42"/>
      <c r="LO28" s="42"/>
      <c r="LP28" s="42"/>
      <c r="LQ28" s="42"/>
      <c r="LR28" s="42"/>
      <c r="LS28" s="42"/>
      <c r="LT28" s="42"/>
      <c r="LU28" s="42"/>
      <c r="LV28" s="42"/>
      <c r="LW28" s="42"/>
      <c r="LX28" s="42"/>
      <c r="LY28" s="42"/>
      <c r="LZ28" s="42"/>
      <c r="MA28" s="42"/>
      <c r="MB28" s="42"/>
      <c r="MC28" s="42"/>
      <c r="MD28" s="42"/>
      <c r="ME28" s="42"/>
      <c r="MF28" s="42"/>
      <c r="MG28" s="42"/>
      <c r="MH28" s="42"/>
      <c r="MI28" s="42"/>
      <c r="MJ28" s="42"/>
      <c r="MK28" s="42"/>
      <c r="ML28" s="42"/>
      <c r="MM28" s="42"/>
      <c r="MN28" s="42"/>
      <c r="MO28" s="42"/>
      <c r="MP28" s="42"/>
      <c r="MQ28" s="42"/>
      <c r="MR28" s="42"/>
      <c r="MS28" s="42"/>
      <c r="MT28" s="42"/>
      <c r="MU28"/>
      <c r="MV28"/>
      <c r="MW28"/>
      <c r="MX28"/>
      <c r="MY28"/>
      <c r="MZ28"/>
      <c r="NA28"/>
      <c r="NB28"/>
      <c r="NC28"/>
      <c r="ND28"/>
      <c r="NE28"/>
      <c r="NF28"/>
    </row>
    <row r="29" spans="1:370" x14ac:dyDescent="0.25">
      <c r="A29"/>
      <c r="B29"/>
      <c r="C29"/>
      <c r="D29"/>
      <c r="E29"/>
      <c r="F29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2"/>
      <c r="IR29" s="42"/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2"/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2"/>
      <c r="KB29" s="42"/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2"/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2"/>
      <c r="LL29" s="42"/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2"/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/>
      <c r="MV29"/>
      <c r="MW29"/>
      <c r="MX29"/>
      <c r="MY29"/>
      <c r="MZ29"/>
      <c r="NA29"/>
      <c r="NB29"/>
      <c r="NC29"/>
      <c r="ND29"/>
      <c r="NE29"/>
      <c r="NF29"/>
    </row>
    <row r="30" spans="1:370" x14ac:dyDescent="0.25">
      <c r="A30"/>
      <c r="B30"/>
      <c r="C30"/>
      <c r="D30"/>
      <c r="E30"/>
      <c r="F30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/>
      <c r="FY30" s="42"/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42"/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2"/>
      <c r="HI30" s="42"/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2"/>
      <c r="IR30" s="42"/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42"/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2"/>
      <c r="KB30" s="42"/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42"/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2"/>
      <c r="LL30" s="42"/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42"/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/>
      <c r="MV30"/>
      <c r="MW30"/>
      <c r="MX30"/>
      <c r="MY30"/>
      <c r="MZ30"/>
      <c r="NA30"/>
      <c r="NB30"/>
      <c r="NC30"/>
      <c r="ND30"/>
      <c r="NE30"/>
      <c r="NF30"/>
    </row>
    <row r="31" spans="1:370" x14ac:dyDescent="0.25">
      <c r="A31"/>
      <c r="B31"/>
      <c r="C31"/>
      <c r="D31"/>
      <c r="E31"/>
      <c r="F31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2"/>
      <c r="JK31" s="42"/>
      <c r="JL31" s="42"/>
      <c r="JM31" s="42"/>
      <c r="JN31" s="42"/>
      <c r="JO31" s="42"/>
      <c r="JP31" s="42"/>
      <c r="JQ31" s="42"/>
      <c r="JR31" s="42"/>
      <c r="JS31" s="42"/>
      <c r="JT31" s="42"/>
      <c r="JU31" s="42"/>
      <c r="JV31" s="42"/>
      <c r="JW31" s="42"/>
      <c r="JX31" s="42"/>
      <c r="JY31" s="42"/>
      <c r="JZ31" s="42"/>
      <c r="KA31" s="42"/>
      <c r="KB31" s="42"/>
      <c r="KC31" s="42"/>
      <c r="KD31" s="42"/>
      <c r="KE31" s="42"/>
      <c r="KF31" s="42"/>
      <c r="KG31" s="42"/>
      <c r="KH31" s="42"/>
      <c r="KI31" s="42"/>
      <c r="KJ31" s="42"/>
      <c r="KK31" s="42"/>
      <c r="KL31" s="42"/>
      <c r="KM31" s="42"/>
      <c r="KN31" s="42"/>
      <c r="KO31" s="42"/>
      <c r="KP31" s="42"/>
      <c r="KQ31" s="42"/>
      <c r="KR31" s="42"/>
      <c r="KS31" s="42"/>
      <c r="KT31" s="42"/>
      <c r="KU31" s="42"/>
      <c r="KV31" s="42"/>
      <c r="KW31" s="42"/>
      <c r="KX31" s="42"/>
      <c r="KY31" s="42"/>
      <c r="KZ31" s="42"/>
      <c r="LA31" s="42"/>
      <c r="LB31" s="42"/>
      <c r="LC31" s="42"/>
      <c r="LD31" s="42"/>
      <c r="LE31" s="42"/>
      <c r="LF31" s="42"/>
      <c r="LG31" s="42"/>
      <c r="LH31" s="42"/>
      <c r="LI31" s="42"/>
      <c r="LJ31" s="42"/>
      <c r="LK31" s="42"/>
      <c r="LL31" s="42"/>
      <c r="LM31" s="42"/>
      <c r="LN31" s="42"/>
      <c r="LO31" s="42"/>
      <c r="LP31" s="42"/>
      <c r="LQ31" s="42"/>
      <c r="LR31" s="42"/>
      <c r="LS31" s="42"/>
      <c r="LT31" s="42"/>
      <c r="LU31" s="42"/>
      <c r="LV31" s="42"/>
      <c r="LW31" s="42"/>
      <c r="LX31" s="42"/>
      <c r="LY31" s="42"/>
      <c r="LZ31" s="42"/>
      <c r="MA31" s="42"/>
      <c r="MB31" s="42"/>
      <c r="MC31" s="42"/>
      <c r="MD31" s="42"/>
      <c r="ME31" s="42"/>
      <c r="MF31" s="42"/>
      <c r="MG31" s="42"/>
      <c r="MH31" s="42"/>
      <c r="MI31" s="42"/>
      <c r="MJ31" s="42"/>
      <c r="MK31" s="42"/>
      <c r="ML31" s="42"/>
      <c r="MM31" s="42"/>
      <c r="MN31" s="42"/>
      <c r="MO31" s="42"/>
      <c r="MP31" s="42"/>
      <c r="MQ31" s="42"/>
      <c r="MR31" s="42"/>
      <c r="MS31" s="42"/>
      <c r="MT31" s="42"/>
      <c r="MU31"/>
      <c r="MV31"/>
      <c r="MW31"/>
      <c r="MX31"/>
      <c r="MY31"/>
      <c r="MZ31"/>
      <c r="NA31"/>
      <c r="NB31"/>
      <c r="NC31"/>
      <c r="ND31"/>
      <c r="NE31"/>
      <c r="NF31"/>
    </row>
    <row r="32" spans="1:370" x14ac:dyDescent="0.25">
      <c r="A32"/>
      <c r="B32"/>
      <c r="C32"/>
      <c r="D32"/>
      <c r="E32"/>
      <c r="F3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  <c r="GM32" s="42"/>
      <c r="GN32" s="42"/>
      <c r="GO32" s="42"/>
      <c r="GP32" s="42"/>
      <c r="GQ32" s="42"/>
      <c r="GR32" s="42"/>
      <c r="GS32" s="42"/>
      <c r="GT32" s="42"/>
      <c r="GU32" s="42"/>
      <c r="GV32" s="42"/>
      <c r="GW32" s="42"/>
      <c r="GX32" s="42"/>
      <c r="GY32" s="42"/>
      <c r="GZ32" s="42"/>
      <c r="HA32" s="42"/>
      <c r="HB32" s="42"/>
      <c r="HC32" s="42"/>
      <c r="HD32" s="42"/>
      <c r="HE32" s="42"/>
      <c r="HF32" s="42"/>
      <c r="HG32" s="42"/>
      <c r="HH32" s="42"/>
      <c r="HI32" s="42"/>
      <c r="HJ32" s="42"/>
      <c r="HK32" s="42"/>
      <c r="HL32" s="42"/>
      <c r="HM32" s="42"/>
      <c r="HN32" s="42"/>
      <c r="HO32" s="42"/>
      <c r="HP32" s="42"/>
      <c r="HQ32" s="42"/>
      <c r="HR32" s="42"/>
      <c r="HS32" s="42"/>
      <c r="HT32" s="42"/>
      <c r="HU32" s="42"/>
      <c r="HV32" s="42"/>
      <c r="HW32" s="42"/>
      <c r="HX32" s="42"/>
      <c r="HY32" s="42"/>
      <c r="HZ32" s="42"/>
      <c r="IA32" s="42"/>
      <c r="IB32" s="42"/>
      <c r="IC32" s="42"/>
      <c r="ID32" s="42"/>
      <c r="IE32" s="42"/>
      <c r="IF32" s="42"/>
      <c r="IG32" s="42"/>
      <c r="IH32" s="42"/>
      <c r="II32" s="42"/>
      <c r="IJ32" s="42"/>
      <c r="IK32" s="42"/>
      <c r="IL32" s="42"/>
      <c r="IM32" s="42"/>
      <c r="IN32" s="42"/>
      <c r="IO32" s="42"/>
      <c r="IP32" s="42"/>
      <c r="IQ32" s="42"/>
      <c r="IR32" s="42"/>
      <c r="IS32" s="42"/>
      <c r="IT32" s="42"/>
      <c r="IU32" s="42"/>
      <c r="IV32" s="42"/>
      <c r="IW32" s="42"/>
      <c r="IX32" s="42"/>
      <c r="IY32" s="42"/>
      <c r="IZ32" s="42"/>
      <c r="JA32" s="42"/>
      <c r="JB32" s="42"/>
      <c r="JC32" s="42"/>
      <c r="JD32" s="42"/>
      <c r="JE32" s="42"/>
      <c r="JF32" s="42"/>
      <c r="JG32" s="42"/>
      <c r="JH32" s="42"/>
      <c r="JI32" s="42"/>
      <c r="JJ32" s="42"/>
      <c r="JK32" s="42"/>
      <c r="JL32" s="42"/>
      <c r="JM32" s="42"/>
      <c r="JN32" s="42"/>
      <c r="JO32" s="42"/>
      <c r="JP32" s="42"/>
      <c r="JQ32" s="42"/>
      <c r="JR32" s="42"/>
      <c r="JS32" s="42"/>
      <c r="JT32" s="42"/>
      <c r="JU32" s="42"/>
      <c r="JV32" s="42"/>
      <c r="JW32" s="42"/>
      <c r="JX32" s="42"/>
      <c r="JY32" s="42"/>
      <c r="JZ32" s="42"/>
      <c r="KA32" s="42"/>
      <c r="KB32" s="42"/>
      <c r="KC32" s="42"/>
      <c r="KD32" s="42"/>
      <c r="KE32" s="42"/>
      <c r="KF32" s="42"/>
      <c r="KG32" s="42"/>
      <c r="KH32" s="42"/>
      <c r="KI32" s="42"/>
      <c r="KJ32" s="42"/>
      <c r="KK32" s="42"/>
      <c r="KL32" s="42"/>
      <c r="KM32" s="42"/>
      <c r="KN32" s="42"/>
      <c r="KO32" s="42"/>
      <c r="KP32" s="42"/>
      <c r="KQ32" s="42"/>
      <c r="KR32" s="42"/>
      <c r="KS32" s="42"/>
      <c r="KT32" s="42"/>
      <c r="KU32" s="42"/>
      <c r="KV32" s="42"/>
      <c r="KW32" s="42"/>
      <c r="KX32" s="42"/>
      <c r="KY32" s="42"/>
      <c r="KZ32" s="42"/>
      <c r="LA32" s="42"/>
      <c r="LB32" s="42"/>
      <c r="LC32" s="42"/>
      <c r="LD32" s="42"/>
      <c r="LE32" s="42"/>
      <c r="LF32" s="42"/>
      <c r="LG32" s="42"/>
      <c r="LH32" s="42"/>
      <c r="LI32" s="42"/>
      <c r="LJ32" s="42"/>
      <c r="LK32" s="42"/>
      <c r="LL32" s="42"/>
      <c r="LM32" s="42"/>
      <c r="LN32" s="42"/>
      <c r="LO32" s="42"/>
      <c r="LP32" s="42"/>
      <c r="LQ32" s="42"/>
      <c r="LR32" s="42"/>
      <c r="LS32" s="42"/>
      <c r="LT32" s="42"/>
      <c r="LU32" s="42"/>
      <c r="LV32" s="42"/>
      <c r="LW32" s="42"/>
      <c r="LX32" s="42"/>
      <c r="LY32" s="42"/>
      <c r="LZ32" s="42"/>
      <c r="MA32" s="42"/>
      <c r="MB32" s="42"/>
      <c r="MC32" s="42"/>
      <c r="MD32" s="42"/>
      <c r="ME32" s="42"/>
      <c r="MF32" s="42"/>
      <c r="MG32" s="42"/>
      <c r="MH32" s="42"/>
      <c r="MI32" s="42"/>
      <c r="MJ32" s="42"/>
      <c r="MK32" s="42"/>
      <c r="ML32" s="42"/>
      <c r="MM32" s="42"/>
      <c r="MN32" s="42"/>
      <c r="MO32" s="42"/>
      <c r="MP32" s="42"/>
      <c r="MQ32" s="42"/>
      <c r="MR32" s="42"/>
      <c r="MS32" s="42"/>
      <c r="MT32" s="42"/>
      <c r="MU32"/>
      <c r="MV32"/>
      <c r="MW32"/>
      <c r="MX32"/>
      <c r="MY32"/>
      <c r="MZ32"/>
      <c r="NA32"/>
      <c r="NB32"/>
      <c r="NC32"/>
      <c r="ND32"/>
      <c r="NE32"/>
      <c r="NF32"/>
    </row>
    <row r="33" spans="1:370" x14ac:dyDescent="0.25">
      <c r="A33"/>
      <c r="B33"/>
      <c r="C33"/>
      <c r="D33"/>
      <c r="E33"/>
      <c r="F33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  <c r="FK33" s="42"/>
      <c r="FL33" s="42"/>
      <c r="FM33" s="42"/>
      <c r="FN33" s="42"/>
      <c r="FO33" s="42"/>
      <c r="FP33" s="42"/>
      <c r="FQ33" s="42"/>
      <c r="FR33" s="42"/>
      <c r="FS33" s="42"/>
      <c r="FT33" s="42"/>
      <c r="FU33" s="42"/>
      <c r="FV33" s="42"/>
      <c r="FW33" s="42"/>
      <c r="FX33" s="42"/>
      <c r="FY33" s="42"/>
      <c r="FZ33" s="42"/>
      <c r="GA33" s="42"/>
      <c r="GB33" s="42"/>
      <c r="GC33" s="42"/>
      <c r="GD33" s="42"/>
      <c r="GE33" s="42"/>
      <c r="GF33" s="42"/>
      <c r="GG33" s="42"/>
      <c r="GH33" s="42"/>
      <c r="GI33" s="42"/>
      <c r="GJ33" s="42"/>
      <c r="GK33" s="42"/>
      <c r="GL33" s="42"/>
      <c r="GM33" s="42"/>
      <c r="GN33" s="42"/>
      <c r="GO33" s="42"/>
      <c r="GP33" s="42"/>
      <c r="GQ33" s="42"/>
      <c r="GR33" s="42"/>
      <c r="GS33" s="42"/>
      <c r="GT33" s="42"/>
      <c r="GU33" s="42"/>
      <c r="GV33" s="42"/>
      <c r="GW33" s="42"/>
      <c r="GX33" s="42"/>
      <c r="GY33" s="42"/>
      <c r="GZ33" s="42"/>
      <c r="HA33" s="42"/>
      <c r="HB33" s="42"/>
      <c r="HC33" s="42"/>
      <c r="HD33" s="42"/>
      <c r="HE33" s="42"/>
      <c r="HF33" s="42"/>
      <c r="HG33" s="42"/>
      <c r="HH33" s="42"/>
      <c r="HI33" s="42"/>
      <c r="HJ33" s="42"/>
      <c r="HK33" s="42"/>
      <c r="HL33" s="42"/>
      <c r="HM33" s="42"/>
      <c r="HN33" s="42"/>
      <c r="HO33" s="42"/>
      <c r="HP33" s="42"/>
      <c r="HQ33" s="42"/>
      <c r="HR33" s="42"/>
      <c r="HS33" s="42"/>
      <c r="HT33" s="42"/>
      <c r="HU33" s="42"/>
      <c r="HV33" s="42"/>
      <c r="HW33" s="42"/>
      <c r="HX33" s="42"/>
      <c r="HY33" s="42"/>
      <c r="HZ33" s="42"/>
      <c r="IA33" s="42"/>
      <c r="IB33" s="42"/>
      <c r="IC33" s="42"/>
      <c r="ID33" s="42"/>
      <c r="IE33" s="42"/>
      <c r="IF33" s="42"/>
      <c r="IG33" s="42"/>
      <c r="IH33" s="42"/>
      <c r="II33" s="42"/>
      <c r="IJ33" s="42"/>
      <c r="IK33" s="42"/>
      <c r="IL33" s="42"/>
      <c r="IM33" s="42"/>
      <c r="IN33" s="42"/>
      <c r="IO33" s="42"/>
      <c r="IP33" s="42"/>
      <c r="IQ33" s="42"/>
      <c r="IR33" s="42"/>
      <c r="IS33" s="42"/>
      <c r="IT33" s="42"/>
      <c r="IU33" s="42"/>
      <c r="IV33" s="42"/>
      <c r="IW33" s="42"/>
      <c r="IX33" s="42"/>
      <c r="IY33" s="42"/>
      <c r="IZ33" s="42"/>
      <c r="JA33" s="42"/>
      <c r="JB33" s="42"/>
      <c r="JC33" s="42"/>
      <c r="JD33" s="42"/>
      <c r="JE33" s="42"/>
      <c r="JF33" s="42"/>
      <c r="JG33" s="42"/>
      <c r="JH33" s="42"/>
      <c r="JI33" s="42"/>
      <c r="JJ33" s="42"/>
      <c r="JK33" s="42"/>
      <c r="JL33" s="42"/>
      <c r="JM33" s="42"/>
      <c r="JN33" s="42"/>
      <c r="JO33" s="42"/>
      <c r="JP33" s="42"/>
      <c r="JQ33" s="42"/>
      <c r="JR33" s="42"/>
      <c r="JS33" s="42"/>
      <c r="JT33" s="42"/>
      <c r="JU33" s="42"/>
      <c r="JV33" s="42"/>
      <c r="JW33" s="42"/>
      <c r="JX33" s="42"/>
      <c r="JY33" s="42"/>
      <c r="JZ33" s="42"/>
      <c r="KA33" s="42"/>
      <c r="KB33" s="42"/>
      <c r="KC33" s="42"/>
      <c r="KD33" s="42"/>
      <c r="KE33" s="42"/>
      <c r="KF33" s="42"/>
      <c r="KG33" s="42"/>
      <c r="KH33" s="42"/>
      <c r="KI33" s="42"/>
      <c r="KJ33" s="42"/>
      <c r="KK33" s="42"/>
      <c r="KL33" s="42"/>
      <c r="KM33" s="42"/>
      <c r="KN33" s="42"/>
      <c r="KO33" s="42"/>
      <c r="KP33" s="42"/>
      <c r="KQ33" s="42"/>
      <c r="KR33" s="42"/>
      <c r="KS33" s="42"/>
      <c r="KT33" s="42"/>
      <c r="KU33" s="42"/>
      <c r="KV33" s="42"/>
      <c r="KW33" s="42"/>
      <c r="KX33" s="42"/>
      <c r="KY33" s="42"/>
      <c r="KZ33" s="42"/>
      <c r="LA33" s="42"/>
      <c r="LB33" s="42"/>
      <c r="LC33" s="42"/>
      <c r="LD33" s="42"/>
      <c r="LE33" s="42"/>
      <c r="LF33" s="42"/>
      <c r="LG33" s="42"/>
      <c r="LH33" s="42"/>
      <c r="LI33" s="42"/>
      <c r="LJ33" s="42"/>
      <c r="LK33" s="42"/>
      <c r="LL33" s="42"/>
      <c r="LM33" s="42"/>
      <c r="LN33" s="42"/>
      <c r="LO33" s="42"/>
      <c r="LP33" s="42"/>
      <c r="LQ33" s="42"/>
      <c r="LR33" s="42"/>
      <c r="LS33" s="42"/>
      <c r="LT33" s="42"/>
      <c r="LU33" s="42"/>
      <c r="LV33" s="42"/>
      <c r="LW33" s="42"/>
      <c r="LX33" s="42"/>
      <c r="LY33" s="42"/>
      <c r="LZ33" s="42"/>
      <c r="MA33" s="42"/>
      <c r="MB33" s="42"/>
      <c r="MC33" s="42"/>
      <c r="MD33" s="42"/>
      <c r="ME33" s="42"/>
      <c r="MF33" s="42"/>
      <c r="MG33" s="42"/>
      <c r="MH33" s="42"/>
      <c r="MI33" s="42"/>
      <c r="MJ33" s="42"/>
      <c r="MK33" s="42"/>
      <c r="ML33" s="42"/>
      <c r="MM33" s="42"/>
      <c r="MN33" s="42"/>
      <c r="MO33" s="42"/>
      <c r="MP33" s="42"/>
      <c r="MQ33" s="42"/>
      <c r="MR33" s="42"/>
      <c r="MS33" s="42"/>
      <c r="MT33" s="42"/>
      <c r="MU33"/>
      <c r="MV33"/>
      <c r="MW33"/>
      <c r="MX33"/>
      <c r="MY33"/>
      <c r="MZ33"/>
      <c r="NA33"/>
      <c r="NB33"/>
      <c r="NC33"/>
      <c r="ND33"/>
      <c r="NE33"/>
      <c r="NF33"/>
    </row>
    <row r="34" spans="1:370" x14ac:dyDescent="0.25">
      <c r="A34"/>
      <c r="B34"/>
      <c r="C34"/>
      <c r="D34"/>
      <c r="E34"/>
      <c r="F34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42"/>
      <c r="IQ34" s="42"/>
      <c r="IR34" s="42"/>
      <c r="IS34" s="42"/>
      <c r="IT34" s="42"/>
      <c r="IU34" s="42"/>
      <c r="IV34" s="42"/>
      <c r="IW34" s="42"/>
      <c r="IX34" s="42"/>
      <c r="IY34" s="42"/>
      <c r="IZ34" s="42"/>
      <c r="JA34" s="42"/>
      <c r="JB34" s="42"/>
      <c r="JC34" s="42"/>
      <c r="JD34" s="42"/>
      <c r="JE34" s="42"/>
      <c r="JF34" s="42"/>
      <c r="JG34" s="42"/>
      <c r="JH34" s="42"/>
      <c r="JI34" s="42"/>
      <c r="JJ34" s="42"/>
      <c r="JK34" s="42"/>
      <c r="JL34" s="42"/>
      <c r="JM34" s="42"/>
      <c r="JN34" s="42"/>
      <c r="JO34" s="42"/>
      <c r="JP34" s="42"/>
      <c r="JQ34" s="42"/>
      <c r="JR34" s="42"/>
      <c r="JS34" s="42"/>
      <c r="JT34" s="42"/>
      <c r="JU34" s="42"/>
      <c r="JV34" s="42"/>
      <c r="JW34" s="42"/>
      <c r="JX34" s="42"/>
      <c r="JY34" s="42"/>
      <c r="JZ34" s="42"/>
      <c r="KA34" s="42"/>
      <c r="KB34" s="42"/>
      <c r="KC34" s="42"/>
      <c r="KD34" s="42"/>
      <c r="KE34" s="42"/>
      <c r="KF34" s="42"/>
      <c r="KG34" s="42"/>
      <c r="KH34" s="42"/>
      <c r="KI34" s="42"/>
      <c r="KJ34" s="42"/>
      <c r="KK34" s="42"/>
      <c r="KL34" s="42"/>
      <c r="KM34" s="42"/>
      <c r="KN34" s="42"/>
      <c r="KO34" s="42"/>
      <c r="KP34" s="42"/>
      <c r="KQ34" s="42"/>
      <c r="KR34" s="42"/>
      <c r="KS34" s="42"/>
      <c r="KT34" s="42"/>
      <c r="KU34" s="42"/>
      <c r="KV34" s="42"/>
      <c r="KW34" s="42"/>
      <c r="KX34" s="42"/>
      <c r="KY34" s="42"/>
      <c r="KZ34" s="42"/>
      <c r="LA34" s="42"/>
      <c r="LB34" s="42"/>
      <c r="LC34" s="42"/>
      <c r="LD34" s="42"/>
      <c r="LE34" s="42"/>
      <c r="LF34" s="42"/>
      <c r="LG34" s="42"/>
      <c r="LH34" s="42"/>
      <c r="LI34" s="42"/>
      <c r="LJ34" s="42"/>
      <c r="LK34" s="42"/>
      <c r="LL34" s="42"/>
      <c r="LM34" s="42"/>
      <c r="LN34" s="42"/>
      <c r="LO34" s="42"/>
      <c r="LP34" s="42"/>
      <c r="LQ34" s="42"/>
      <c r="LR34" s="42"/>
      <c r="LS34" s="42"/>
      <c r="LT34" s="42"/>
      <c r="LU34" s="42"/>
      <c r="LV34" s="42"/>
      <c r="LW34" s="42"/>
      <c r="LX34" s="42"/>
      <c r="LY34" s="42"/>
      <c r="LZ34" s="42"/>
      <c r="MA34" s="42"/>
      <c r="MB34" s="42"/>
      <c r="MC34" s="42"/>
      <c r="MD34" s="42"/>
      <c r="ME34" s="42"/>
      <c r="MF34" s="42"/>
      <c r="MG34" s="42"/>
      <c r="MH34" s="42"/>
      <c r="MI34" s="42"/>
      <c r="MJ34" s="42"/>
      <c r="MK34" s="42"/>
      <c r="ML34" s="42"/>
      <c r="MM34" s="42"/>
      <c r="MN34" s="42"/>
      <c r="MO34" s="42"/>
      <c r="MP34" s="42"/>
      <c r="MQ34" s="42"/>
      <c r="MR34" s="42"/>
      <c r="MS34" s="42"/>
      <c r="MT34" s="42"/>
      <c r="MU34"/>
      <c r="MV34"/>
      <c r="MW34"/>
      <c r="MX34"/>
      <c r="MY34"/>
      <c r="MZ34"/>
      <c r="NA34"/>
      <c r="NB34"/>
      <c r="NC34"/>
      <c r="ND34"/>
      <c r="NE34"/>
      <c r="NF34"/>
    </row>
    <row r="35" spans="1:370" x14ac:dyDescent="0.25">
      <c r="A35"/>
      <c r="B35"/>
      <c r="C35"/>
      <c r="D35"/>
      <c r="E35"/>
      <c r="F35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  <c r="FK35" s="42"/>
      <c r="FL35" s="42"/>
      <c r="FM35" s="42"/>
      <c r="FN35" s="42"/>
      <c r="FO35" s="42"/>
      <c r="FP35" s="42"/>
      <c r="FQ35" s="42"/>
      <c r="FR35" s="42"/>
      <c r="FS35" s="42"/>
      <c r="FT35" s="42"/>
      <c r="FU35" s="42"/>
      <c r="FV35" s="42"/>
      <c r="FW35" s="42"/>
      <c r="FX35" s="42"/>
      <c r="FY35" s="42"/>
      <c r="FZ35" s="42"/>
      <c r="GA35" s="42"/>
      <c r="GB35" s="42"/>
      <c r="GC35" s="42"/>
      <c r="GD35" s="42"/>
      <c r="GE35" s="42"/>
      <c r="GF35" s="42"/>
      <c r="GG35" s="42"/>
      <c r="GH35" s="42"/>
      <c r="GI35" s="42"/>
      <c r="GJ35" s="42"/>
      <c r="GK35" s="42"/>
      <c r="GL35" s="42"/>
      <c r="GM35" s="42"/>
      <c r="GN35" s="42"/>
      <c r="GO35" s="42"/>
      <c r="GP35" s="42"/>
      <c r="GQ35" s="42"/>
      <c r="GR35" s="42"/>
      <c r="GS35" s="42"/>
      <c r="GT35" s="42"/>
      <c r="GU35" s="42"/>
      <c r="GV35" s="42"/>
      <c r="GW35" s="42"/>
      <c r="GX35" s="42"/>
      <c r="GY35" s="42"/>
      <c r="GZ35" s="42"/>
      <c r="HA35" s="42"/>
      <c r="HB35" s="42"/>
      <c r="HC35" s="42"/>
      <c r="HD35" s="42"/>
      <c r="HE35" s="42"/>
      <c r="HF35" s="42"/>
      <c r="HG35" s="42"/>
      <c r="HH35" s="42"/>
      <c r="HI35" s="42"/>
      <c r="HJ35" s="42"/>
      <c r="HK35" s="42"/>
      <c r="HL35" s="42"/>
      <c r="HM35" s="42"/>
      <c r="HN35" s="42"/>
      <c r="HO35" s="42"/>
      <c r="HP35" s="42"/>
      <c r="HQ35" s="42"/>
      <c r="HR35" s="42"/>
      <c r="HS35" s="42"/>
      <c r="HT35" s="42"/>
      <c r="HU35" s="42"/>
      <c r="HV35" s="42"/>
      <c r="HW35" s="42"/>
      <c r="HX35" s="42"/>
      <c r="HY35" s="42"/>
      <c r="HZ35" s="42"/>
      <c r="IA35" s="42"/>
      <c r="IB35" s="42"/>
      <c r="IC35" s="42"/>
      <c r="ID35" s="42"/>
      <c r="IE35" s="42"/>
      <c r="IF35" s="42"/>
      <c r="IG35" s="42"/>
      <c r="IH35" s="42"/>
      <c r="II35" s="42"/>
      <c r="IJ35" s="42"/>
      <c r="IK35" s="42"/>
      <c r="IL35" s="42"/>
      <c r="IM35" s="42"/>
      <c r="IN35" s="42"/>
      <c r="IO35" s="42"/>
      <c r="IP35" s="42"/>
      <c r="IQ35" s="42"/>
      <c r="IR35" s="42"/>
      <c r="IS35" s="42"/>
      <c r="IT35" s="42"/>
      <c r="IU35" s="42"/>
      <c r="IV35" s="42"/>
      <c r="IW35" s="42"/>
      <c r="IX35" s="42"/>
      <c r="IY35" s="42"/>
      <c r="IZ35" s="42"/>
      <c r="JA35" s="42"/>
      <c r="JB35" s="42"/>
      <c r="JC35" s="42"/>
      <c r="JD35" s="42"/>
      <c r="JE35" s="42"/>
      <c r="JF35" s="42"/>
      <c r="JG35" s="42"/>
      <c r="JH35" s="42"/>
      <c r="JI35" s="42"/>
      <c r="JJ35" s="42"/>
      <c r="JK35" s="42"/>
      <c r="JL35" s="42"/>
      <c r="JM35" s="42"/>
      <c r="JN35" s="42"/>
      <c r="JO35" s="42"/>
      <c r="JP35" s="42"/>
      <c r="JQ35" s="42"/>
      <c r="JR35" s="42"/>
      <c r="JS35" s="42"/>
      <c r="JT35" s="42"/>
      <c r="JU35" s="42"/>
      <c r="JV35" s="42"/>
      <c r="JW35" s="42"/>
      <c r="JX35" s="42"/>
      <c r="JY35" s="42"/>
      <c r="JZ35" s="42"/>
      <c r="KA35" s="42"/>
      <c r="KB35" s="42"/>
      <c r="KC35" s="42"/>
      <c r="KD35" s="42"/>
      <c r="KE35" s="42"/>
      <c r="KF35" s="42"/>
      <c r="KG35" s="42"/>
      <c r="KH35" s="42"/>
      <c r="KI35" s="42"/>
      <c r="KJ35" s="42"/>
      <c r="KK35" s="42"/>
      <c r="KL35" s="42"/>
      <c r="KM35" s="42"/>
      <c r="KN35" s="42"/>
      <c r="KO35" s="42"/>
      <c r="KP35" s="42"/>
      <c r="KQ35" s="42"/>
      <c r="KR35" s="42"/>
      <c r="KS35" s="42"/>
      <c r="KT35" s="42"/>
      <c r="KU35" s="42"/>
      <c r="KV35" s="42"/>
      <c r="KW35" s="42"/>
      <c r="KX35" s="42"/>
      <c r="KY35" s="42"/>
      <c r="KZ35" s="42"/>
      <c r="LA35" s="42"/>
      <c r="LB35" s="42"/>
      <c r="LC35" s="42"/>
      <c r="LD35" s="42"/>
      <c r="LE35" s="42"/>
      <c r="LF35" s="42"/>
      <c r="LG35" s="42"/>
      <c r="LH35" s="42"/>
      <c r="LI35" s="42"/>
      <c r="LJ35" s="42"/>
      <c r="LK35" s="42"/>
      <c r="LL35" s="42"/>
      <c r="LM35" s="42"/>
      <c r="LN35" s="42"/>
      <c r="LO35" s="42"/>
      <c r="LP35" s="42"/>
      <c r="LQ35" s="42"/>
      <c r="LR35" s="42"/>
      <c r="LS35" s="42"/>
      <c r="LT35" s="42"/>
      <c r="LU35" s="42"/>
      <c r="LV35" s="42"/>
      <c r="LW35" s="42"/>
      <c r="LX35" s="42"/>
      <c r="LY35" s="42"/>
      <c r="LZ35" s="42"/>
      <c r="MA35" s="42"/>
      <c r="MB35" s="42"/>
      <c r="MC35" s="42"/>
      <c r="MD35" s="42"/>
      <c r="ME35" s="42"/>
      <c r="MF35" s="42"/>
      <c r="MG35" s="42"/>
      <c r="MH35" s="42"/>
      <c r="MI35" s="42"/>
      <c r="MJ35" s="42"/>
      <c r="MK35" s="42"/>
      <c r="ML35" s="42"/>
      <c r="MM35" s="42"/>
      <c r="MN35" s="42"/>
      <c r="MO35" s="42"/>
      <c r="MP35" s="42"/>
      <c r="MQ35" s="42"/>
      <c r="MR35" s="42"/>
      <c r="MS35" s="42"/>
      <c r="MT35" s="42"/>
      <c r="MU35"/>
      <c r="MV35"/>
      <c r="MW35"/>
      <c r="MX35"/>
      <c r="MY35"/>
      <c r="MZ35"/>
      <c r="NA35"/>
      <c r="NB35"/>
      <c r="NC35"/>
      <c r="ND35"/>
      <c r="NE35"/>
      <c r="NF35"/>
    </row>
    <row r="36" spans="1:370" x14ac:dyDescent="0.25">
      <c r="A36"/>
      <c r="B36"/>
      <c r="C36"/>
      <c r="D36"/>
      <c r="E36"/>
      <c r="F36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  <c r="FK36" s="42"/>
      <c r="FL36" s="42"/>
      <c r="FM36" s="42"/>
      <c r="FN36" s="42"/>
      <c r="FO36" s="42"/>
      <c r="FP36" s="42"/>
      <c r="FQ36" s="42"/>
      <c r="FR36" s="42"/>
      <c r="FS36" s="42"/>
      <c r="FT36" s="42"/>
      <c r="FU36" s="42"/>
      <c r="FV36" s="42"/>
      <c r="FW36" s="42"/>
      <c r="FX36" s="42"/>
      <c r="FY36" s="42"/>
      <c r="FZ36" s="42"/>
      <c r="GA36" s="42"/>
      <c r="GB36" s="42"/>
      <c r="GC36" s="42"/>
      <c r="GD36" s="42"/>
      <c r="GE36" s="42"/>
      <c r="GF36" s="42"/>
      <c r="GG36" s="42"/>
      <c r="GH36" s="42"/>
      <c r="GI36" s="42"/>
      <c r="GJ36" s="42"/>
      <c r="GK36" s="42"/>
      <c r="GL36" s="42"/>
      <c r="GM36" s="42"/>
      <c r="GN36" s="42"/>
      <c r="GO36" s="42"/>
      <c r="GP36" s="42"/>
      <c r="GQ36" s="42"/>
      <c r="GR36" s="42"/>
      <c r="GS36" s="42"/>
      <c r="GT36" s="42"/>
      <c r="GU36" s="42"/>
      <c r="GV36" s="42"/>
      <c r="GW36" s="42"/>
      <c r="GX36" s="42"/>
      <c r="GY36" s="42"/>
      <c r="GZ36" s="42"/>
      <c r="HA36" s="42"/>
      <c r="HB36" s="42"/>
      <c r="HC36" s="42"/>
      <c r="HD36" s="42"/>
      <c r="HE36" s="42"/>
      <c r="HF36" s="42"/>
      <c r="HG36" s="42"/>
      <c r="HH36" s="42"/>
      <c r="HI36" s="42"/>
      <c r="HJ36" s="42"/>
      <c r="HK36" s="42"/>
      <c r="HL36" s="42"/>
      <c r="HM36" s="42"/>
      <c r="HN36" s="42"/>
      <c r="HO36" s="42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2"/>
      <c r="IG36" s="42"/>
      <c r="IH36" s="42"/>
      <c r="II36" s="42"/>
      <c r="IJ36" s="42"/>
      <c r="IK36" s="42"/>
      <c r="IL36" s="42"/>
      <c r="IM36" s="42"/>
      <c r="IN36" s="42"/>
      <c r="IO36" s="42"/>
      <c r="IP36" s="42"/>
      <c r="IQ36" s="42"/>
      <c r="IR36" s="42"/>
      <c r="IS36" s="42"/>
      <c r="IT36" s="42"/>
      <c r="IU36" s="42"/>
      <c r="IV36" s="42"/>
      <c r="IW36" s="42"/>
      <c r="IX36" s="42"/>
      <c r="IY36" s="42"/>
      <c r="IZ36" s="42"/>
      <c r="JA36" s="42"/>
      <c r="JB36" s="42"/>
      <c r="JC36" s="42"/>
      <c r="JD36" s="42"/>
      <c r="JE36" s="42"/>
      <c r="JF36" s="42"/>
      <c r="JG36" s="42"/>
      <c r="JH36" s="42"/>
      <c r="JI36" s="42"/>
      <c r="JJ36" s="42"/>
      <c r="JK36" s="42"/>
      <c r="JL36" s="42"/>
      <c r="JM36" s="42"/>
      <c r="JN36" s="42"/>
      <c r="JO36" s="42"/>
      <c r="JP36" s="42"/>
      <c r="JQ36" s="42"/>
      <c r="JR36" s="42"/>
      <c r="JS36" s="42"/>
      <c r="JT36" s="42"/>
      <c r="JU36" s="42"/>
      <c r="JV36" s="42"/>
      <c r="JW36" s="42"/>
      <c r="JX36" s="42"/>
      <c r="JY36" s="42"/>
      <c r="JZ36" s="42"/>
      <c r="KA36" s="42"/>
      <c r="KB36" s="42"/>
      <c r="KC36" s="42"/>
      <c r="KD36" s="42"/>
      <c r="KE36" s="42"/>
      <c r="KF36" s="42"/>
      <c r="KG36" s="42"/>
      <c r="KH36" s="42"/>
      <c r="KI36" s="42"/>
      <c r="KJ36" s="42"/>
      <c r="KK36" s="42"/>
      <c r="KL36" s="42"/>
      <c r="KM36" s="42"/>
      <c r="KN36" s="42"/>
      <c r="KO36" s="42"/>
      <c r="KP36" s="42"/>
      <c r="KQ36" s="42"/>
      <c r="KR36" s="42"/>
      <c r="KS36" s="42"/>
      <c r="KT36" s="42"/>
      <c r="KU36" s="42"/>
      <c r="KV36" s="42"/>
      <c r="KW36" s="42"/>
      <c r="KX36" s="42"/>
      <c r="KY36" s="42"/>
      <c r="KZ36" s="42"/>
      <c r="LA36" s="42"/>
      <c r="LB36" s="42"/>
      <c r="LC36" s="42"/>
      <c r="LD36" s="42"/>
      <c r="LE36" s="42"/>
      <c r="LF36" s="42"/>
      <c r="LG36" s="42"/>
      <c r="LH36" s="42"/>
      <c r="LI36" s="42"/>
      <c r="LJ36" s="42"/>
      <c r="LK36" s="42"/>
      <c r="LL36" s="42"/>
      <c r="LM36" s="42"/>
      <c r="LN36" s="42"/>
      <c r="LO36" s="42"/>
      <c r="LP36" s="42"/>
      <c r="LQ36" s="42"/>
      <c r="LR36" s="42"/>
      <c r="LS36" s="42"/>
      <c r="LT36" s="42"/>
      <c r="LU36" s="42"/>
      <c r="LV36" s="42"/>
      <c r="LW36" s="42"/>
      <c r="LX36" s="42"/>
      <c r="LY36" s="42"/>
      <c r="LZ36" s="42"/>
      <c r="MA36" s="42"/>
      <c r="MB36" s="42"/>
      <c r="MC36" s="42"/>
      <c r="MD36" s="42"/>
      <c r="ME36" s="42"/>
      <c r="MF36" s="42"/>
      <c r="MG36" s="42"/>
      <c r="MH36" s="42"/>
      <c r="MI36" s="42"/>
      <c r="MJ36" s="42"/>
      <c r="MK36" s="42"/>
      <c r="ML36" s="42"/>
      <c r="MM36" s="42"/>
      <c r="MN36" s="42"/>
      <c r="MO36" s="42"/>
      <c r="MP36" s="42"/>
      <c r="MQ36" s="42"/>
      <c r="MR36" s="42"/>
      <c r="MS36" s="42"/>
      <c r="MT36" s="42"/>
      <c r="MU36"/>
      <c r="MV36"/>
      <c r="MW36"/>
      <c r="MX36"/>
      <c r="MY36"/>
      <c r="MZ36"/>
      <c r="NA36"/>
      <c r="NB36"/>
      <c r="NC36"/>
      <c r="ND36"/>
      <c r="NE36"/>
      <c r="NF36"/>
    </row>
    <row r="37" spans="1:370" x14ac:dyDescent="0.25">
      <c r="A37"/>
      <c r="B37"/>
      <c r="C37"/>
      <c r="D37"/>
      <c r="E37"/>
      <c r="F37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42"/>
      <c r="IQ37" s="42"/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  <c r="JQ37" s="42"/>
      <c r="JR37" s="42"/>
      <c r="JS37" s="42"/>
      <c r="JT37" s="42"/>
      <c r="JU37" s="42"/>
      <c r="JV37" s="42"/>
      <c r="JW37" s="42"/>
      <c r="JX37" s="42"/>
      <c r="JY37" s="42"/>
      <c r="JZ37" s="42"/>
      <c r="KA37" s="42"/>
      <c r="KB37" s="42"/>
      <c r="KC37" s="42"/>
      <c r="KD37" s="42"/>
      <c r="KE37" s="42"/>
      <c r="KF37" s="42"/>
      <c r="KG37" s="42"/>
      <c r="KH37" s="42"/>
      <c r="KI37" s="42"/>
      <c r="KJ37" s="42"/>
      <c r="KK37" s="42"/>
      <c r="KL37" s="42"/>
      <c r="KM37" s="42"/>
      <c r="KN37" s="42"/>
      <c r="KO37" s="42"/>
      <c r="KP37" s="42"/>
      <c r="KQ37" s="42"/>
      <c r="KR37" s="42"/>
      <c r="KS37" s="42"/>
      <c r="KT37" s="42"/>
      <c r="KU37" s="42"/>
      <c r="KV37" s="42"/>
      <c r="KW37" s="42"/>
      <c r="KX37" s="42"/>
      <c r="KY37" s="42"/>
      <c r="KZ37" s="42"/>
      <c r="LA37" s="42"/>
      <c r="LB37" s="42"/>
      <c r="LC37" s="42"/>
      <c r="LD37" s="42"/>
      <c r="LE37" s="42"/>
      <c r="LF37" s="42"/>
      <c r="LG37" s="42"/>
      <c r="LH37" s="42"/>
      <c r="LI37" s="42"/>
      <c r="LJ37" s="42"/>
      <c r="LK37" s="42"/>
      <c r="LL37" s="42"/>
      <c r="LM37" s="42"/>
      <c r="LN37" s="42"/>
      <c r="LO37" s="42"/>
      <c r="LP37" s="42"/>
      <c r="LQ37" s="42"/>
      <c r="LR37" s="42"/>
      <c r="LS37" s="42"/>
      <c r="LT37" s="42"/>
      <c r="LU37" s="42"/>
      <c r="LV37" s="42"/>
      <c r="LW37" s="42"/>
      <c r="LX37" s="42"/>
      <c r="LY37" s="42"/>
      <c r="LZ37" s="42"/>
      <c r="MA37" s="42"/>
      <c r="MB37" s="42"/>
      <c r="MC37" s="42"/>
      <c r="MD37" s="42"/>
      <c r="ME37" s="42"/>
      <c r="MF37" s="42"/>
      <c r="MG37" s="42"/>
      <c r="MH37" s="42"/>
      <c r="MI37" s="42"/>
      <c r="MJ37" s="42"/>
      <c r="MK37" s="42"/>
      <c r="ML37" s="42"/>
      <c r="MM37" s="42"/>
      <c r="MN37" s="42"/>
      <c r="MO37" s="42"/>
      <c r="MP37" s="42"/>
      <c r="MQ37" s="42"/>
      <c r="MR37" s="42"/>
      <c r="MS37" s="42"/>
      <c r="MT37" s="42"/>
      <c r="MU37"/>
      <c r="MV37"/>
      <c r="MW37"/>
      <c r="MX37"/>
      <c r="MY37"/>
      <c r="MZ37"/>
      <c r="NA37"/>
      <c r="NB37"/>
      <c r="NC37"/>
      <c r="ND37"/>
      <c r="NE37"/>
      <c r="NF37"/>
    </row>
    <row r="38" spans="1:370" x14ac:dyDescent="0.25">
      <c r="A38"/>
      <c r="B38"/>
      <c r="C38"/>
      <c r="D38"/>
      <c r="E38"/>
      <c r="F38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  <c r="FK38" s="42"/>
      <c r="FL38" s="42"/>
      <c r="FM38" s="42"/>
      <c r="FN38" s="42"/>
      <c r="FO38" s="42"/>
      <c r="FP38" s="42"/>
      <c r="FQ38" s="42"/>
      <c r="FR38" s="42"/>
      <c r="FS38" s="42"/>
      <c r="FT38" s="42"/>
      <c r="FU38" s="42"/>
      <c r="FV38" s="42"/>
      <c r="FW38" s="42"/>
      <c r="FX38" s="42"/>
      <c r="FY38" s="42"/>
      <c r="FZ38" s="42"/>
      <c r="GA38" s="42"/>
      <c r="GB38" s="42"/>
      <c r="GC38" s="42"/>
      <c r="GD38" s="42"/>
      <c r="GE38" s="42"/>
      <c r="GF38" s="42"/>
      <c r="GG38" s="42"/>
      <c r="GH38" s="42"/>
      <c r="GI38" s="42"/>
      <c r="GJ38" s="42"/>
      <c r="GK38" s="42"/>
      <c r="GL38" s="42"/>
      <c r="GM38" s="42"/>
      <c r="GN38" s="42"/>
      <c r="GO38" s="42"/>
      <c r="GP38" s="42"/>
      <c r="GQ38" s="42"/>
      <c r="GR38" s="42"/>
      <c r="GS38" s="42"/>
      <c r="GT38" s="42"/>
      <c r="GU38" s="42"/>
      <c r="GV38" s="42"/>
      <c r="GW38" s="42"/>
      <c r="GX38" s="42"/>
      <c r="GY38" s="42"/>
      <c r="GZ38" s="42"/>
      <c r="HA38" s="42"/>
      <c r="HB38" s="42"/>
      <c r="HC38" s="42"/>
      <c r="HD38" s="42"/>
      <c r="HE38" s="42"/>
      <c r="HF38" s="42"/>
      <c r="HG38" s="42"/>
      <c r="HH38" s="42"/>
      <c r="HI38" s="42"/>
      <c r="HJ38" s="42"/>
      <c r="HK38" s="42"/>
      <c r="HL38" s="42"/>
      <c r="HM38" s="42"/>
      <c r="HN38" s="42"/>
      <c r="HO38" s="42"/>
      <c r="HP38" s="42"/>
      <c r="HQ38" s="42"/>
      <c r="HR38" s="42"/>
      <c r="HS38" s="42"/>
      <c r="HT38" s="42"/>
      <c r="HU38" s="42"/>
      <c r="HV38" s="42"/>
      <c r="HW38" s="42"/>
      <c r="HX38" s="42"/>
      <c r="HY38" s="42"/>
      <c r="HZ38" s="42"/>
      <c r="IA38" s="42"/>
      <c r="IB38" s="42"/>
      <c r="IC38" s="42"/>
      <c r="ID38" s="42"/>
      <c r="IE38" s="42"/>
      <c r="IF38" s="42"/>
      <c r="IG38" s="42"/>
      <c r="IH38" s="42"/>
      <c r="II38" s="42"/>
      <c r="IJ38" s="42"/>
      <c r="IK38" s="42"/>
      <c r="IL38" s="42"/>
      <c r="IM38" s="42"/>
      <c r="IN38" s="42"/>
      <c r="IO38" s="42"/>
      <c r="IP38" s="42"/>
      <c r="IQ38" s="42"/>
      <c r="IR38" s="42"/>
      <c r="IS38" s="42"/>
      <c r="IT38" s="42"/>
      <c r="IU38" s="42"/>
      <c r="IV38" s="42"/>
      <c r="IW38" s="42"/>
      <c r="IX38" s="42"/>
      <c r="IY38" s="42"/>
      <c r="IZ38" s="42"/>
      <c r="JA38" s="42"/>
      <c r="JB38" s="42"/>
      <c r="JC38" s="42"/>
      <c r="JD38" s="42"/>
      <c r="JE38" s="42"/>
      <c r="JF38" s="42"/>
      <c r="JG38" s="42"/>
      <c r="JH38" s="42"/>
      <c r="JI38" s="42"/>
      <c r="JJ38" s="42"/>
      <c r="JK38" s="42"/>
      <c r="JL38" s="42"/>
      <c r="JM38" s="42"/>
      <c r="JN38" s="42"/>
      <c r="JO38" s="42"/>
      <c r="JP38" s="42"/>
      <c r="JQ38" s="42"/>
      <c r="JR38" s="42"/>
      <c r="JS38" s="42"/>
      <c r="JT38" s="42"/>
      <c r="JU38" s="42"/>
      <c r="JV38" s="42"/>
      <c r="JW38" s="42"/>
      <c r="JX38" s="42"/>
      <c r="JY38" s="42"/>
      <c r="JZ38" s="42"/>
      <c r="KA38" s="42"/>
      <c r="KB38" s="42"/>
      <c r="KC38" s="42"/>
      <c r="KD38" s="42"/>
      <c r="KE38" s="42"/>
      <c r="KF38" s="42"/>
      <c r="KG38" s="42"/>
      <c r="KH38" s="42"/>
      <c r="KI38" s="42"/>
      <c r="KJ38" s="42"/>
      <c r="KK38" s="42"/>
      <c r="KL38" s="42"/>
      <c r="KM38" s="42"/>
      <c r="KN38" s="42"/>
      <c r="KO38" s="42"/>
      <c r="KP38" s="42"/>
      <c r="KQ38" s="42"/>
      <c r="KR38" s="42"/>
      <c r="KS38" s="42"/>
      <c r="KT38" s="42"/>
      <c r="KU38" s="42"/>
      <c r="KV38" s="42"/>
      <c r="KW38" s="42"/>
      <c r="KX38" s="42"/>
      <c r="KY38" s="42"/>
      <c r="KZ38" s="42"/>
      <c r="LA38" s="42"/>
      <c r="LB38" s="42"/>
      <c r="LC38" s="42"/>
      <c r="LD38" s="42"/>
      <c r="LE38" s="42"/>
      <c r="LF38" s="42"/>
      <c r="LG38" s="42"/>
      <c r="LH38" s="42"/>
      <c r="LI38" s="42"/>
      <c r="LJ38" s="42"/>
      <c r="LK38" s="42"/>
      <c r="LL38" s="42"/>
      <c r="LM38" s="42"/>
      <c r="LN38" s="42"/>
      <c r="LO38" s="42"/>
      <c r="LP38" s="42"/>
      <c r="LQ38" s="42"/>
      <c r="LR38" s="42"/>
      <c r="LS38" s="42"/>
      <c r="LT38" s="42"/>
      <c r="LU38" s="42"/>
      <c r="LV38" s="42"/>
      <c r="LW38" s="42"/>
      <c r="LX38" s="42"/>
      <c r="LY38" s="42"/>
      <c r="LZ38" s="42"/>
      <c r="MA38" s="42"/>
      <c r="MB38" s="42"/>
      <c r="MC38" s="42"/>
      <c r="MD38" s="42"/>
      <c r="ME38" s="42"/>
      <c r="MF38" s="42"/>
      <c r="MG38" s="42"/>
      <c r="MH38" s="42"/>
      <c r="MI38" s="42"/>
      <c r="MJ38" s="42"/>
      <c r="MK38" s="42"/>
      <c r="ML38" s="42"/>
      <c r="MM38" s="42"/>
      <c r="MN38" s="42"/>
      <c r="MO38" s="42"/>
      <c r="MP38" s="42"/>
      <c r="MQ38" s="42"/>
      <c r="MR38" s="42"/>
      <c r="MS38" s="42"/>
      <c r="MT38" s="42"/>
      <c r="MU38"/>
      <c r="MV38"/>
      <c r="MW38"/>
      <c r="MX38"/>
      <c r="MY38"/>
      <c r="MZ38"/>
      <c r="NA38"/>
      <c r="NB38"/>
      <c r="NC38"/>
      <c r="ND38"/>
      <c r="NE38"/>
      <c r="NF38"/>
    </row>
    <row r="39" spans="1:370" x14ac:dyDescent="0.25">
      <c r="A39"/>
      <c r="B39"/>
      <c r="C39"/>
      <c r="D39"/>
      <c r="E39"/>
      <c r="F39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  <c r="FR39" s="42"/>
      <c r="FS39" s="42"/>
      <c r="FT39" s="42"/>
      <c r="FU39" s="42"/>
      <c r="FV39" s="42"/>
      <c r="FW39" s="42"/>
      <c r="FX39" s="42"/>
      <c r="FY39" s="42"/>
      <c r="FZ39" s="42"/>
      <c r="GA39" s="42"/>
      <c r="GB39" s="42"/>
      <c r="GC39" s="42"/>
      <c r="GD39" s="42"/>
      <c r="GE39" s="42"/>
      <c r="GF39" s="42"/>
      <c r="GG39" s="42"/>
      <c r="GH39" s="42"/>
      <c r="GI39" s="42"/>
      <c r="GJ39" s="42"/>
      <c r="GK39" s="42"/>
      <c r="GL39" s="42"/>
      <c r="GM39" s="42"/>
      <c r="GN39" s="42"/>
      <c r="GO39" s="42"/>
      <c r="GP39" s="42"/>
      <c r="GQ39" s="42"/>
      <c r="GR39" s="42"/>
      <c r="GS39" s="42"/>
      <c r="GT39" s="42"/>
      <c r="GU39" s="42"/>
      <c r="GV39" s="42"/>
      <c r="GW39" s="42"/>
      <c r="GX39" s="42"/>
      <c r="GY39" s="42"/>
      <c r="GZ39" s="42"/>
      <c r="HA39" s="42"/>
      <c r="HB39" s="42"/>
      <c r="HC39" s="42"/>
      <c r="HD39" s="42"/>
      <c r="HE39" s="42"/>
      <c r="HF39" s="42"/>
      <c r="HG39" s="42"/>
      <c r="HH39" s="42"/>
      <c r="HI39" s="42"/>
      <c r="HJ39" s="42"/>
      <c r="HK39" s="42"/>
      <c r="HL39" s="42"/>
      <c r="HM39" s="42"/>
      <c r="HN39" s="42"/>
      <c r="HO39" s="42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2"/>
      <c r="IG39" s="42"/>
      <c r="IH39" s="42"/>
      <c r="II39" s="42"/>
      <c r="IJ39" s="42"/>
      <c r="IK39" s="42"/>
      <c r="IL39" s="42"/>
      <c r="IM39" s="42"/>
      <c r="IN39" s="42"/>
      <c r="IO39" s="42"/>
      <c r="IP39" s="42"/>
      <c r="IQ39" s="42"/>
      <c r="IR39" s="42"/>
      <c r="IS39" s="42"/>
      <c r="IT39" s="42"/>
      <c r="IU39" s="42"/>
      <c r="IV39" s="42"/>
      <c r="IW39" s="42"/>
      <c r="IX39" s="42"/>
      <c r="IY39" s="42"/>
      <c r="IZ39" s="42"/>
      <c r="JA39" s="42"/>
      <c r="JB39" s="42"/>
      <c r="JC39" s="42"/>
      <c r="JD39" s="42"/>
      <c r="JE39" s="42"/>
      <c r="JF39" s="42"/>
      <c r="JG39" s="42"/>
      <c r="JH39" s="42"/>
      <c r="JI39" s="42"/>
      <c r="JJ39" s="42"/>
      <c r="JK39" s="42"/>
      <c r="JL39" s="42"/>
      <c r="JM39" s="42"/>
      <c r="JN39" s="42"/>
      <c r="JO39" s="42"/>
      <c r="JP39" s="42"/>
      <c r="JQ39" s="42"/>
      <c r="JR39" s="42"/>
      <c r="JS39" s="42"/>
      <c r="JT39" s="42"/>
      <c r="JU39" s="42"/>
      <c r="JV39" s="42"/>
      <c r="JW39" s="42"/>
      <c r="JX39" s="42"/>
      <c r="JY39" s="42"/>
      <c r="JZ39" s="42"/>
      <c r="KA39" s="42"/>
      <c r="KB39" s="42"/>
      <c r="KC39" s="42"/>
      <c r="KD39" s="42"/>
      <c r="KE39" s="42"/>
      <c r="KF39" s="42"/>
      <c r="KG39" s="42"/>
      <c r="KH39" s="42"/>
      <c r="KI39" s="42"/>
      <c r="KJ39" s="42"/>
      <c r="KK39" s="42"/>
      <c r="KL39" s="42"/>
      <c r="KM39" s="42"/>
      <c r="KN39" s="42"/>
      <c r="KO39" s="42"/>
      <c r="KP39" s="42"/>
      <c r="KQ39" s="42"/>
      <c r="KR39" s="42"/>
      <c r="KS39" s="42"/>
      <c r="KT39" s="42"/>
      <c r="KU39" s="42"/>
      <c r="KV39" s="42"/>
      <c r="KW39" s="42"/>
      <c r="KX39" s="42"/>
      <c r="KY39" s="42"/>
      <c r="KZ39" s="42"/>
      <c r="LA39" s="42"/>
      <c r="LB39" s="42"/>
      <c r="LC39" s="42"/>
      <c r="LD39" s="42"/>
      <c r="LE39" s="42"/>
      <c r="LF39" s="42"/>
      <c r="LG39" s="42"/>
      <c r="LH39" s="42"/>
      <c r="LI39" s="42"/>
      <c r="LJ39" s="42"/>
      <c r="LK39" s="42"/>
      <c r="LL39" s="42"/>
      <c r="LM39" s="42"/>
      <c r="LN39" s="42"/>
      <c r="LO39" s="42"/>
      <c r="LP39" s="42"/>
      <c r="LQ39" s="42"/>
      <c r="LR39" s="42"/>
      <c r="LS39" s="42"/>
      <c r="LT39" s="42"/>
      <c r="LU39" s="42"/>
      <c r="LV39" s="42"/>
      <c r="LW39" s="42"/>
      <c r="LX39" s="42"/>
      <c r="LY39" s="42"/>
      <c r="LZ39" s="42"/>
      <c r="MA39" s="42"/>
      <c r="MB39" s="42"/>
      <c r="MC39" s="42"/>
      <c r="MD39" s="42"/>
      <c r="ME39" s="42"/>
      <c r="MF39" s="42"/>
      <c r="MG39" s="42"/>
      <c r="MH39" s="42"/>
      <c r="MI39" s="42"/>
      <c r="MJ39" s="42"/>
      <c r="MK39" s="42"/>
      <c r="ML39" s="42"/>
      <c r="MM39" s="42"/>
      <c r="MN39" s="42"/>
      <c r="MO39" s="42"/>
      <c r="MP39" s="42"/>
      <c r="MQ39" s="42"/>
      <c r="MR39" s="42"/>
      <c r="MS39" s="42"/>
      <c r="MT39" s="42"/>
      <c r="MU39"/>
      <c r="MV39"/>
      <c r="MW39"/>
      <c r="MX39"/>
      <c r="MY39"/>
      <c r="MZ39"/>
      <c r="NA39"/>
      <c r="NB39"/>
      <c r="NC39"/>
      <c r="ND39"/>
      <c r="NE39"/>
      <c r="NF39"/>
    </row>
    <row r="40" spans="1:370" x14ac:dyDescent="0.25">
      <c r="A40"/>
      <c r="B40"/>
      <c r="C40"/>
      <c r="D40"/>
      <c r="E40"/>
      <c r="F40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  <c r="GW40" s="42"/>
      <c r="GX40" s="42"/>
      <c r="GY40" s="42"/>
      <c r="GZ40" s="42"/>
      <c r="HA40" s="42"/>
      <c r="HB40" s="42"/>
      <c r="HC40" s="42"/>
      <c r="HD40" s="42"/>
      <c r="HE40" s="42"/>
      <c r="HF40" s="42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J40" s="42"/>
      <c r="IK40" s="42"/>
      <c r="IL40" s="42"/>
      <c r="IM40" s="42"/>
      <c r="IN40" s="42"/>
      <c r="IO40" s="42"/>
      <c r="IP40" s="42"/>
      <c r="IQ40" s="42"/>
      <c r="IR40" s="42"/>
      <c r="IS40" s="42"/>
      <c r="IT40" s="42"/>
      <c r="IU40" s="42"/>
      <c r="IV40" s="42"/>
      <c r="IW40" s="42"/>
      <c r="IX40" s="42"/>
      <c r="IY40" s="42"/>
      <c r="IZ40" s="42"/>
      <c r="JA40" s="42"/>
      <c r="JB40" s="42"/>
      <c r="JC40" s="42"/>
      <c r="JD40" s="42"/>
      <c r="JE40" s="42"/>
      <c r="JF40" s="42"/>
      <c r="JG40" s="42"/>
      <c r="JH40" s="42"/>
      <c r="JI40" s="42"/>
      <c r="JJ40" s="42"/>
      <c r="JK40" s="42"/>
      <c r="JL40" s="42"/>
      <c r="JM40" s="42"/>
      <c r="JN40" s="42"/>
      <c r="JO40" s="42"/>
      <c r="JP40" s="42"/>
      <c r="JQ40" s="42"/>
      <c r="JR40" s="42"/>
      <c r="JS40" s="42"/>
      <c r="JT40" s="42"/>
      <c r="JU40" s="42"/>
      <c r="JV40" s="42"/>
      <c r="JW40" s="42"/>
      <c r="JX40" s="42"/>
      <c r="JY40" s="42"/>
      <c r="JZ40" s="42"/>
      <c r="KA40" s="42"/>
      <c r="KB40" s="42"/>
      <c r="KC40" s="42"/>
      <c r="KD40" s="42"/>
      <c r="KE40" s="42"/>
      <c r="KF40" s="42"/>
      <c r="KG40" s="42"/>
      <c r="KH40" s="42"/>
      <c r="KI40" s="42"/>
      <c r="KJ40" s="42"/>
      <c r="KK40" s="42"/>
      <c r="KL40" s="42"/>
      <c r="KM40" s="42"/>
      <c r="KN40" s="42"/>
      <c r="KO40" s="42"/>
      <c r="KP40" s="42"/>
      <c r="KQ40" s="42"/>
      <c r="KR40" s="42"/>
      <c r="KS40" s="42"/>
      <c r="KT40" s="42"/>
      <c r="KU40" s="42"/>
      <c r="KV40" s="42"/>
      <c r="KW40" s="42"/>
      <c r="KX40" s="42"/>
      <c r="KY40" s="42"/>
      <c r="KZ40" s="42"/>
      <c r="LA40" s="42"/>
      <c r="LB40" s="42"/>
      <c r="LC40" s="42"/>
      <c r="LD40" s="42"/>
      <c r="LE40" s="42"/>
      <c r="LF40" s="42"/>
      <c r="LG40" s="42"/>
      <c r="LH40" s="42"/>
      <c r="LI40" s="42"/>
      <c r="LJ40" s="42"/>
      <c r="LK40" s="42"/>
      <c r="LL40" s="42"/>
      <c r="LM40" s="42"/>
      <c r="LN40" s="42"/>
      <c r="LO40" s="42"/>
      <c r="LP40" s="42"/>
      <c r="LQ40" s="42"/>
      <c r="LR40" s="42"/>
      <c r="LS40" s="42"/>
      <c r="LT40" s="42"/>
      <c r="LU40" s="42"/>
      <c r="LV40" s="42"/>
      <c r="LW40" s="42"/>
      <c r="LX40" s="42"/>
      <c r="LY40" s="42"/>
      <c r="LZ40" s="42"/>
      <c r="MA40" s="42"/>
      <c r="MB40" s="42"/>
      <c r="MC40" s="42"/>
      <c r="MD40" s="42"/>
      <c r="ME40" s="42"/>
      <c r="MF40" s="42"/>
      <c r="MG40" s="42"/>
      <c r="MH40" s="42"/>
      <c r="MI40" s="42"/>
      <c r="MJ40" s="42"/>
      <c r="MK40" s="42"/>
      <c r="ML40" s="42"/>
      <c r="MM40" s="42"/>
      <c r="MN40" s="42"/>
      <c r="MO40" s="42"/>
      <c r="MP40" s="42"/>
      <c r="MQ40" s="42"/>
      <c r="MR40" s="42"/>
      <c r="MS40" s="42"/>
      <c r="MT40" s="42"/>
      <c r="MU40"/>
      <c r="MV40"/>
      <c r="MW40"/>
      <c r="MX40"/>
      <c r="MY40"/>
      <c r="MZ40"/>
      <c r="NA40"/>
      <c r="NB40"/>
      <c r="NC40"/>
      <c r="ND40"/>
      <c r="NE40"/>
      <c r="NF40"/>
    </row>
    <row r="41" spans="1:370" x14ac:dyDescent="0.25">
      <c r="A41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  <c r="JR41" s="43"/>
      <c r="JS41" s="43"/>
      <c r="JT41" s="43"/>
      <c r="JU41" s="43"/>
      <c r="JV41" s="43"/>
      <c r="JW41" s="43"/>
      <c r="JX41" s="43"/>
      <c r="JY41" s="43"/>
      <c r="JZ41" s="43"/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</row>
    <row r="42" spans="1:370" x14ac:dyDescent="0.25">
      <c r="A42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B983-0D7F-4917-B1B1-FED4251168F9}">
  <sheetPr codeName="Sheet16"/>
  <dimension ref="A1:DB17"/>
  <sheetViews>
    <sheetView workbookViewId="0">
      <pane xSplit="6" ySplit="1" topLeftCell="CT2" activePane="bottomRight" state="frozen"/>
      <selection pane="topRight" activeCell="G1" sqref="G1"/>
      <selection pane="bottomLeft" activeCell="A2" sqref="A2"/>
      <selection pane="bottomRight" activeCell="CW8" sqref="CW8"/>
    </sheetView>
  </sheetViews>
  <sheetFormatPr defaultRowHeight="15" x14ac:dyDescent="0.25"/>
  <cols>
    <col min="1" max="1" width="15.7109375" style="37" customWidth="1"/>
    <col min="2" max="3" width="20.7109375" style="37" customWidth="1"/>
    <col min="4" max="5" width="10.7109375" style="37" customWidth="1"/>
    <col min="6" max="6" width="15.7109375" style="37" customWidth="1"/>
    <col min="7" max="95" width="10.7109375" style="37" customWidth="1"/>
    <col min="96" max="96" width="20.7109375" style="37" customWidth="1"/>
    <col min="97" max="98" width="15.7109375" style="37" customWidth="1"/>
    <col min="99" max="100" width="20.7109375" style="37" customWidth="1"/>
    <col min="101" max="101" width="18.7109375" style="37" customWidth="1"/>
    <col min="102" max="103" width="22.7109375" style="37" customWidth="1"/>
    <col min="104" max="104" width="13.7109375" style="37" customWidth="1"/>
    <col min="105" max="105" width="14.7109375" style="37" customWidth="1"/>
    <col min="106" max="106" width="10.7109375" style="37" customWidth="1"/>
    <col min="107" max="16384" width="9.140625" style="37"/>
  </cols>
  <sheetData>
    <row r="1" spans="1:106" ht="30" x14ac:dyDescent="0.25">
      <c r="A1" s="14" t="s">
        <v>243</v>
      </c>
      <c r="B1" s="14" t="s">
        <v>244</v>
      </c>
      <c r="C1" s="14" t="s">
        <v>245</v>
      </c>
      <c r="D1" s="14" t="s">
        <v>246</v>
      </c>
      <c r="E1" s="14" t="s">
        <v>247</v>
      </c>
      <c r="F1" s="14" t="s">
        <v>248</v>
      </c>
      <c r="G1" s="14" t="s">
        <v>1095</v>
      </c>
      <c r="H1" s="14" t="s">
        <v>1096</v>
      </c>
      <c r="I1" s="14" t="s">
        <v>1097</v>
      </c>
      <c r="J1" s="14" t="s">
        <v>1098</v>
      </c>
      <c r="K1" s="14" t="s">
        <v>1099</v>
      </c>
      <c r="L1" s="14" t="s">
        <v>1100</v>
      </c>
      <c r="M1" s="14" t="s">
        <v>1101</v>
      </c>
      <c r="N1" s="14" t="s">
        <v>1102</v>
      </c>
      <c r="O1" s="14" t="s">
        <v>1103</v>
      </c>
      <c r="P1" s="14" t="s">
        <v>1104</v>
      </c>
      <c r="Q1" s="14" t="s">
        <v>1105</v>
      </c>
      <c r="R1" s="14" t="s">
        <v>1106</v>
      </c>
      <c r="S1" s="14" t="s">
        <v>1107</v>
      </c>
      <c r="T1" s="14" t="s">
        <v>1108</v>
      </c>
      <c r="U1" s="14" t="s">
        <v>1109</v>
      </c>
      <c r="V1" s="14" t="s">
        <v>1110</v>
      </c>
      <c r="W1" s="14" t="s">
        <v>1111</v>
      </c>
      <c r="X1" s="14" t="s">
        <v>1112</v>
      </c>
      <c r="Y1" s="14" t="s">
        <v>1113</v>
      </c>
      <c r="Z1" s="14" t="s">
        <v>1114</v>
      </c>
      <c r="AA1" s="14" t="s">
        <v>1115</v>
      </c>
      <c r="AB1" s="14" t="s">
        <v>1116</v>
      </c>
      <c r="AC1" s="14" t="s">
        <v>1117</v>
      </c>
      <c r="AD1" s="14" t="s">
        <v>1118</v>
      </c>
      <c r="AE1" s="14" t="s">
        <v>1119</v>
      </c>
      <c r="AF1" s="14" t="s">
        <v>1120</v>
      </c>
      <c r="AG1" s="14" t="s">
        <v>1121</v>
      </c>
      <c r="AH1" s="14" t="s">
        <v>1122</v>
      </c>
      <c r="AI1" s="14" t="s">
        <v>1123</v>
      </c>
      <c r="AJ1" s="14" t="s">
        <v>1124</v>
      </c>
      <c r="AK1" s="14" t="s">
        <v>1125</v>
      </c>
      <c r="AL1" s="14" t="s">
        <v>1126</v>
      </c>
      <c r="AM1" s="14" t="s">
        <v>1127</v>
      </c>
      <c r="AN1" s="14" t="s">
        <v>1128</v>
      </c>
      <c r="AO1" s="14" t="s">
        <v>1129</v>
      </c>
      <c r="AP1" s="14" t="s">
        <v>1130</v>
      </c>
      <c r="AQ1" s="14" t="s">
        <v>1131</v>
      </c>
      <c r="AR1" s="14" t="s">
        <v>993</v>
      </c>
      <c r="AS1" s="14" t="s">
        <v>1132</v>
      </c>
      <c r="AT1" s="14" t="s">
        <v>1133</v>
      </c>
      <c r="AU1" s="14" t="s">
        <v>1134</v>
      </c>
      <c r="AV1" s="14" t="s">
        <v>1135</v>
      </c>
      <c r="AW1" s="14" t="s">
        <v>978</v>
      </c>
      <c r="AX1" s="14" t="s">
        <v>1136</v>
      </c>
      <c r="AY1" s="14" t="s">
        <v>1137</v>
      </c>
      <c r="AZ1" s="14" t="s">
        <v>1138</v>
      </c>
      <c r="BA1" s="14" t="s">
        <v>965</v>
      </c>
      <c r="BB1" s="14" t="s">
        <v>1139</v>
      </c>
      <c r="BC1" s="14" t="s">
        <v>481</v>
      </c>
      <c r="BD1" s="14" t="s">
        <v>539</v>
      </c>
      <c r="BE1" s="14" t="s">
        <v>1031</v>
      </c>
      <c r="BF1" s="14" t="s">
        <v>1140</v>
      </c>
      <c r="BG1" s="14" t="s">
        <v>1141</v>
      </c>
      <c r="BH1" s="14" t="s">
        <v>1142</v>
      </c>
      <c r="BI1" s="14" t="s">
        <v>1143</v>
      </c>
      <c r="BJ1" s="14" t="s">
        <v>1144</v>
      </c>
      <c r="BK1" s="14" t="s">
        <v>1145</v>
      </c>
      <c r="BL1" s="14" t="s">
        <v>1146</v>
      </c>
      <c r="BM1" s="14" t="s">
        <v>1147</v>
      </c>
      <c r="BN1" s="14" t="s">
        <v>1148</v>
      </c>
      <c r="BO1" s="14" t="s">
        <v>1149</v>
      </c>
      <c r="BP1" s="14" t="s">
        <v>1150</v>
      </c>
      <c r="BQ1" s="14" t="s">
        <v>1151</v>
      </c>
      <c r="BR1" s="14" t="s">
        <v>1152</v>
      </c>
      <c r="BS1" s="14" t="s">
        <v>1153</v>
      </c>
      <c r="BT1" s="14" t="s">
        <v>1154</v>
      </c>
      <c r="BU1" s="14" t="s">
        <v>1155</v>
      </c>
      <c r="BV1" s="14" t="s">
        <v>1156</v>
      </c>
      <c r="BW1" s="14" t="s">
        <v>1157</v>
      </c>
      <c r="BX1" s="14" t="s">
        <v>1158</v>
      </c>
      <c r="BY1" s="14" t="s">
        <v>1159</v>
      </c>
      <c r="BZ1" s="14" t="s">
        <v>1160</v>
      </c>
      <c r="CA1" s="14" t="s">
        <v>1161</v>
      </c>
      <c r="CB1" s="14" t="s">
        <v>1162</v>
      </c>
      <c r="CC1" s="14" t="s">
        <v>1163</v>
      </c>
      <c r="CD1" s="14" t="s">
        <v>1164</v>
      </c>
      <c r="CE1" s="14" t="s">
        <v>1165</v>
      </c>
      <c r="CF1" s="14" t="s">
        <v>1166</v>
      </c>
      <c r="CG1" s="14" t="s">
        <v>1246</v>
      </c>
      <c r="CH1" s="14" t="s">
        <v>1247</v>
      </c>
      <c r="CI1" s="14" t="s">
        <v>1248</v>
      </c>
      <c r="CJ1" s="14" t="s">
        <v>1249</v>
      </c>
      <c r="CK1" s="14" t="s">
        <v>1250</v>
      </c>
      <c r="CL1" s="14" t="s">
        <v>1251</v>
      </c>
      <c r="CM1" s="14" t="s">
        <v>1252</v>
      </c>
      <c r="CN1" s="14" t="s">
        <v>1253</v>
      </c>
      <c r="CO1" s="14" t="s">
        <v>1254</v>
      </c>
      <c r="CP1" s="14" t="s">
        <v>1255</v>
      </c>
      <c r="CQ1" s="14" t="s">
        <v>461</v>
      </c>
      <c r="CR1" s="14" t="s">
        <v>462</v>
      </c>
      <c r="CS1" s="14" t="s">
        <v>463</v>
      </c>
      <c r="CT1" s="14" t="s">
        <v>464</v>
      </c>
      <c r="CU1" s="14" t="s">
        <v>465</v>
      </c>
      <c r="CV1" s="14" t="s">
        <v>466</v>
      </c>
      <c r="CW1" s="14" t="s">
        <v>467</v>
      </c>
      <c r="CX1" s="14" t="s">
        <v>468</v>
      </c>
      <c r="CY1" s="14" t="s">
        <v>469</v>
      </c>
      <c r="CZ1" s="14" t="s">
        <v>470</v>
      </c>
      <c r="DA1" s="14" t="s">
        <v>471</v>
      </c>
      <c r="DB1" s="14" t="s">
        <v>472</v>
      </c>
    </row>
    <row r="2" spans="1:106" x14ac:dyDescent="0.25">
      <c r="A2" s="38" t="s">
        <v>473</v>
      </c>
      <c r="B2" s="38" t="s">
        <v>474</v>
      </c>
      <c r="C2" s="39" t="s">
        <v>1267</v>
      </c>
      <c r="D2" s="38" t="s">
        <v>475</v>
      </c>
      <c r="E2" s="38" t="s">
        <v>476</v>
      </c>
      <c r="F2" s="38" t="s">
        <v>477</v>
      </c>
      <c r="G2" s="40">
        <v>64130.86</v>
      </c>
      <c r="H2" s="40">
        <v>67920.03</v>
      </c>
      <c r="I2" s="40">
        <v>67112.320000000007</v>
      </c>
      <c r="J2" s="40">
        <v>68650.5</v>
      </c>
      <c r="K2" s="40">
        <v>69620.72</v>
      </c>
      <c r="L2" s="40">
        <v>72055.13</v>
      </c>
      <c r="M2" s="40">
        <v>74494.34</v>
      </c>
      <c r="N2" s="40">
        <v>71284.42</v>
      </c>
      <c r="O2" s="40">
        <v>66146.92</v>
      </c>
      <c r="P2" s="40">
        <v>68777.61</v>
      </c>
      <c r="Q2" s="40">
        <v>69744.62</v>
      </c>
      <c r="R2" s="40">
        <v>77615.759999999995</v>
      </c>
      <c r="S2" s="40">
        <v>83848.960000000006</v>
      </c>
      <c r="T2" s="40">
        <v>82748.42</v>
      </c>
      <c r="U2" s="40">
        <v>87160.27</v>
      </c>
      <c r="V2" s="40">
        <v>107163.1</v>
      </c>
      <c r="W2" s="40">
        <v>120195.9</v>
      </c>
      <c r="X2" s="40">
        <v>120112.2</v>
      </c>
      <c r="Y2" s="40">
        <v>110492.1</v>
      </c>
      <c r="Z2" s="40">
        <v>106318.39999999999</v>
      </c>
      <c r="AA2" s="40">
        <v>102456.9</v>
      </c>
      <c r="AB2" s="40">
        <v>107467.2</v>
      </c>
      <c r="AC2" s="40">
        <v>115800.2</v>
      </c>
      <c r="AD2" s="40">
        <v>127894.9</v>
      </c>
      <c r="AE2" s="40">
        <v>152062</v>
      </c>
      <c r="AF2" s="40">
        <v>163565</v>
      </c>
      <c r="AG2" s="40">
        <v>166624</v>
      </c>
      <c r="AH2" s="40">
        <v>177449</v>
      </c>
      <c r="AI2" s="40">
        <v>176690</v>
      </c>
      <c r="AJ2" s="40">
        <v>173443</v>
      </c>
      <c r="AK2" s="40">
        <v>171490</v>
      </c>
      <c r="AL2" s="40">
        <v>165133</v>
      </c>
      <c r="AM2" s="40">
        <v>173788.5</v>
      </c>
      <c r="AN2" s="40">
        <v>187132</v>
      </c>
      <c r="AO2" s="40">
        <v>203440</v>
      </c>
      <c r="AP2" s="40">
        <v>196550</v>
      </c>
      <c r="AQ2" s="40">
        <v>163592</v>
      </c>
      <c r="AR2" s="40">
        <v>170549</v>
      </c>
      <c r="AS2" s="40">
        <v>180663</v>
      </c>
      <c r="AT2" s="40">
        <v>193379</v>
      </c>
      <c r="AU2" s="40">
        <v>200330</v>
      </c>
      <c r="AV2" s="40">
        <v>211329</v>
      </c>
      <c r="AW2" s="40">
        <v>231101</v>
      </c>
      <c r="AX2" s="40">
        <v>246803</v>
      </c>
      <c r="AY2" s="40">
        <v>246164</v>
      </c>
      <c r="AZ2" s="40">
        <v>242048</v>
      </c>
      <c r="BA2" s="40">
        <v>247308</v>
      </c>
      <c r="BB2" s="40">
        <v>222035</v>
      </c>
      <c r="BC2" s="40">
        <v>225991</v>
      </c>
      <c r="BD2" s="40">
        <v>239370</v>
      </c>
      <c r="BE2" s="40">
        <v>245951</v>
      </c>
      <c r="BF2" s="40">
        <v>249336.3</v>
      </c>
      <c r="BG2" s="41">
        <v>257048</v>
      </c>
      <c r="BH2" s="41">
        <v>266363.90000000002</v>
      </c>
      <c r="BI2" s="41">
        <v>273556.40000000002</v>
      </c>
      <c r="BJ2" s="41">
        <v>280181.09999999998</v>
      </c>
      <c r="BK2" s="41">
        <v>286966.3</v>
      </c>
      <c r="BL2" s="41">
        <v>293988.90000000002</v>
      </c>
      <c r="BM2" s="41">
        <v>301228.09999999998</v>
      </c>
      <c r="BN2" s="41">
        <v>308645.7</v>
      </c>
      <c r="BO2" s="41">
        <v>316440.09999999998</v>
      </c>
      <c r="BP2" s="41">
        <v>324438.09999999998</v>
      </c>
      <c r="BQ2" s="41">
        <v>332575</v>
      </c>
      <c r="BR2" s="41">
        <v>341032.4</v>
      </c>
      <c r="BS2" s="41">
        <v>349763.9</v>
      </c>
      <c r="BT2" s="41">
        <v>358811</v>
      </c>
      <c r="BU2" s="41">
        <v>368159.6</v>
      </c>
      <c r="BV2" s="41">
        <v>376828.3</v>
      </c>
      <c r="BW2" s="41">
        <v>385023.7</v>
      </c>
      <c r="BX2" s="41">
        <v>393316.9</v>
      </c>
      <c r="BY2" s="41">
        <v>401711.5</v>
      </c>
      <c r="BZ2" s="41">
        <v>410223.1</v>
      </c>
      <c r="CA2" s="41">
        <v>418881.7</v>
      </c>
      <c r="CB2" s="41">
        <v>427689.6</v>
      </c>
      <c r="CC2" s="41">
        <v>436650.2</v>
      </c>
      <c r="CD2" s="41">
        <v>445766.7</v>
      </c>
      <c r="CE2" s="41">
        <v>455042</v>
      </c>
      <c r="CF2" s="41">
        <v>464477.3</v>
      </c>
      <c r="CG2" s="41">
        <v>473760</v>
      </c>
      <c r="CH2" s="41">
        <v>482943.4</v>
      </c>
      <c r="CI2" s="41">
        <v>492177.7</v>
      </c>
      <c r="CJ2" s="41">
        <v>501547.2</v>
      </c>
      <c r="CK2" s="41">
        <v>511008.8</v>
      </c>
      <c r="CL2" s="41">
        <v>520574.4</v>
      </c>
      <c r="CM2" s="41">
        <v>530300.80000000005</v>
      </c>
      <c r="CN2" s="41">
        <v>540231.5</v>
      </c>
      <c r="CO2" s="41">
        <v>550322.5</v>
      </c>
      <c r="CP2" s="41">
        <v>560630.6</v>
      </c>
      <c r="CQ2" s="38" t="s">
        <v>478</v>
      </c>
      <c r="CR2" s="38" t="b">
        <v>1</v>
      </c>
      <c r="CS2" s="39" t="s">
        <v>479</v>
      </c>
      <c r="CT2" s="38" t="s">
        <v>480</v>
      </c>
      <c r="CU2" s="38">
        <v>2024</v>
      </c>
      <c r="CV2" s="38">
        <v>2</v>
      </c>
      <c r="CW2" s="38" t="s">
        <v>480</v>
      </c>
      <c r="CX2" s="38" t="s">
        <v>0</v>
      </c>
      <c r="CY2" s="39" t="s">
        <v>482</v>
      </c>
      <c r="CZ2" s="38" t="s">
        <v>483</v>
      </c>
      <c r="DA2" s="38" t="s">
        <v>484</v>
      </c>
      <c r="DB2" s="39" t="s">
        <v>1268</v>
      </c>
    </row>
    <row r="3" spans="1:106" x14ac:dyDescent="0.25">
      <c r="A3" s="38" t="s">
        <v>473</v>
      </c>
      <c r="B3" s="38" t="s">
        <v>485</v>
      </c>
      <c r="C3" s="39" t="s">
        <v>1267</v>
      </c>
      <c r="D3" s="38" t="s">
        <v>475</v>
      </c>
      <c r="E3" s="38" t="s">
        <v>476</v>
      </c>
      <c r="F3" s="38" t="s">
        <v>477</v>
      </c>
      <c r="G3" s="40">
        <v>193673</v>
      </c>
      <c r="H3" s="40">
        <v>179218</v>
      </c>
      <c r="I3" s="40">
        <v>168504</v>
      </c>
      <c r="J3" s="40">
        <v>169648</v>
      </c>
      <c r="K3" s="40">
        <v>172276</v>
      </c>
      <c r="L3" s="40">
        <v>184970</v>
      </c>
      <c r="M3" s="40">
        <v>200887</v>
      </c>
      <c r="N3" s="40">
        <v>187961</v>
      </c>
      <c r="O3" s="40">
        <v>175495</v>
      </c>
      <c r="P3" s="40">
        <v>184492</v>
      </c>
      <c r="Q3" s="40">
        <v>197849</v>
      </c>
      <c r="R3" s="40">
        <v>210577</v>
      </c>
      <c r="S3" s="40">
        <v>214788</v>
      </c>
      <c r="T3" s="40">
        <v>212084</v>
      </c>
      <c r="U3" s="40">
        <v>238398</v>
      </c>
      <c r="V3" s="40">
        <v>275330</v>
      </c>
      <c r="W3" s="40">
        <v>288769</v>
      </c>
      <c r="X3" s="40">
        <v>281334</v>
      </c>
      <c r="Y3" s="40">
        <v>258993</v>
      </c>
      <c r="Z3" s="40">
        <v>254824</v>
      </c>
      <c r="AA3" s="40">
        <v>256774</v>
      </c>
      <c r="AB3" s="40">
        <v>260971</v>
      </c>
      <c r="AC3" s="40">
        <v>259687</v>
      </c>
      <c r="AD3" s="40">
        <v>271805</v>
      </c>
      <c r="AE3" s="40">
        <v>267797</v>
      </c>
      <c r="AF3" s="40">
        <v>283211</v>
      </c>
      <c r="AG3" s="40">
        <v>288091</v>
      </c>
      <c r="AH3" s="40">
        <v>304586</v>
      </c>
      <c r="AI3" s="40">
        <v>310637</v>
      </c>
      <c r="AJ3" s="40">
        <v>316935</v>
      </c>
      <c r="AK3" s="40">
        <v>324805</v>
      </c>
      <c r="AL3" s="40">
        <v>333596</v>
      </c>
      <c r="AM3" s="40">
        <v>347467</v>
      </c>
      <c r="AN3" s="40">
        <v>357310</v>
      </c>
      <c r="AO3" s="40">
        <v>373032</v>
      </c>
      <c r="AP3" s="40">
        <v>360889</v>
      </c>
      <c r="AQ3" s="40">
        <v>316526</v>
      </c>
      <c r="AR3" s="40">
        <v>331443</v>
      </c>
      <c r="AS3" s="40">
        <v>331794</v>
      </c>
      <c r="AT3" s="40">
        <v>337186</v>
      </c>
      <c r="AU3" s="40">
        <v>348041</v>
      </c>
      <c r="AV3" s="40">
        <v>372530</v>
      </c>
      <c r="AW3" s="40">
        <v>399154</v>
      </c>
      <c r="AX3" s="40">
        <v>419678</v>
      </c>
      <c r="AY3" s="40">
        <v>434377</v>
      </c>
      <c r="AZ3" s="40">
        <v>432395</v>
      </c>
      <c r="BA3" s="40">
        <v>441621</v>
      </c>
      <c r="BB3" s="40">
        <v>398878</v>
      </c>
      <c r="BC3" s="40">
        <v>429120</v>
      </c>
      <c r="BD3" s="40">
        <v>451091</v>
      </c>
      <c r="BE3" s="40">
        <v>450779</v>
      </c>
      <c r="BF3" s="40">
        <v>453684.8</v>
      </c>
      <c r="BG3" s="41">
        <v>459511.3</v>
      </c>
      <c r="BH3" s="41">
        <v>471065.3</v>
      </c>
      <c r="BI3" s="41">
        <v>481084</v>
      </c>
      <c r="BJ3" s="41">
        <v>489301.6</v>
      </c>
      <c r="BK3" s="41">
        <v>497393.4</v>
      </c>
      <c r="BL3" s="41">
        <v>507421.2</v>
      </c>
      <c r="BM3" s="41">
        <v>518181.9</v>
      </c>
      <c r="BN3" s="41">
        <v>529183.4</v>
      </c>
      <c r="BO3" s="41">
        <v>540742.9</v>
      </c>
      <c r="BP3" s="41">
        <v>552569.9</v>
      </c>
      <c r="BQ3" s="41">
        <v>564557.80000000005</v>
      </c>
      <c r="BR3" s="41">
        <v>577012.80000000005</v>
      </c>
      <c r="BS3" s="41">
        <v>589852.6</v>
      </c>
      <c r="BT3" s="41">
        <v>603143</v>
      </c>
      <c r="BU3" s="41">
        <v>616856.9</v>
      </c>
      <c r="BV3" s="41">
        <v>629981.19999999995</v>
      </c>
      <c r="BW3" s="41">
        <v>642642.5</v>
      </c>
      <c r="BX3" s="41">
        <v>655427.80000000005</v>
      </c>
      <c r="BY3" s="41">
        <v>668375.80000000005</v>
      </c>
      <c r="BZ3" s="41">
        <v>681500.1</v>
      </c>
      <c r="CA3" s="41">
        <v>694830.3</v>
      </c>
      <c r="CB3" s="41">
        <v>708369.4</v>
      </c>
      <c r="CC3" s="41">
        <v>722122.3</v>
      </c>
      <c r="CD3" s="41">
        <v>736093.4</v>
      </c>
      <c r="CE3" s="41">
        <v>750286.5</v>
      </c>
      <c r="CF3" s="41">
        <v>764702.8</v>
      </c>
      <c r="CG3" s="41">
        <v>778827.4</v>
      </c>
      <c r="CH3" s="41">
        <v>792749.2</v>
      </c>
      <c r="CI3" s="41">
        <v>806715.5</v>
      </c>
      <c r="CJ3" s="41">
        <v>820864.1</v>
      </c>
      <c r="CK3" s="41">
        <v>835124.1</v>
      </c>
      <c r="CL3" s="41">
        <v>849514.3</v>
      </c>
      <c r="CM3" s="41">
        <v>864127.2</v>
      </c>
      <c r="CN3" s="41">
        <v>879032.4</v>
      </c>
      <c r="CO3" s="41">
        <v>894157.4</v>
      </c>
      <c r="CP3" s="41">
        <v>909593.59999999998</v>
      </c>
      <c r="CQ3" s="38" t="s">
        <v>478</v>
      </c>
      <c r="CR3" s="38" t="b">
        <v>1</v>
      </c>
      <c r="CS3" s="39" t="s">
        <v>479</v>
      </c>
      <c r="CT3" s="38" t="s">
        <v>480</v>
      </c>
      <c r="CU3" s="38">
        <v>2024</v>
      </c>
      <c r="CV3" s="38">
        <v>2</v>
      </c>
      <c r="CW3" s="38" t="s">
        <v>480</v>
      </c>
      <c r="CX3" s="38" t="s">
        <v>486</v>
      </c>
      <c r="CY3" s="39" t="s">
        <v>487</v>
      </c>
      <c r="CZ3" s="38" t="s">
        <v>483</v>
      </c>
      <c r="DA3" s="38" t="s">
        <v>488</v>
      </c>
      <c r="DB3" s="39" t="s">
        <v>1268</v>
      </c>
    </row>
    <row r="4" spans="1:106" x14ac:dyDescent="0.25">
      <c r="A4" s="38" t="s">
        <v>473</v>
      </c>
      <c r="B4" s="38" t="s">
        <v>489</v>
      </c>
      <c r="C4" s="39" t="s">
        <v>1267</v>
      </c>
      <c r="D4" s="38" t="s">
        <v>475</v>
      </c>
      <c r="E4" s="38" t="s">
        <v>476</v>
      </c>
      <c r="F4" s="38" t="s">
        <v>477</v>
      </c>
      <c r="G4" s="40">
        <v>33073.769999999997</v>
      </c>
      <c r="H4" s="40">
        <v>30898.82</v>
      </c>
      <c r="I4" s="40">
        <v>28444.21</v>
      </c>
      <c r="J4" s="40">
        <v>27564.34</v>
      </c>
      <c r="K4" s="40">
        <v>22837.98</v>
      </c>
      <c r="L4" s="40">
        <v>20454.36</v>
      </c>
      <c r="M4" s="40">
        <v>19677.75</v>
      </c>
      <c r="N4" s="40">
        <v>17083.310000000001</v>
      </c>
      <c r="O4" s="40">
        <v>12496.78</v>
      </c>
      <c r="P4" s="40">
        <v>11730.93</v>
      </c>
      <c r="Q4" s="40">
        <v>16035.64</v>
      </c>
      <c r="R4" s="40">
        <v>18081.5</v>
      </c>
      <c r="S4" s="40">
        <v>18158.95</v>
      </c>
      <c r="T4" s="40">
        <v>21323.93</v>
      </c>
      <c r="U4" s="40">
        <v>20773.29</v>
      </c>
      <c r="V4" s="40">
        <v>19119.29</v>
      </c>
      <c r="W4" s="40">
        <v>23251.17</v>
      </c>
      <c r="X4" s="40">
        <v>27761.88</v>
      </c>
      <c r="Y4" s="40">
        <v>28182.11</v>
      </c>
      <c r="Z4" s="40">
        <v>31490.1</v>
      </c>
      <c r="AA4" s="40">
        <v>33740.29</v>
      </c>
      <c r="AB4" s="40">
        <v>36456.230000000003</v>
      </c>
      <c r="AC4" s="40">
        <v>34061.15</v>
      </c>
      <c r="AD4" s="40">
        <v>28171.759999999998</v>
      </c>
      <c r="AE4" s="40">
        <v>28575</v>
      </c>
      <c r="AF4" s="40">
        <v>30608</v>
      </c>
      <c r="AG4" s="40">
        <v>29732</v>
      </c>
      <c r="AH4" s="40">
        <v>29635</v>
      </c>
      <c r="AI4" s="40">
        <v>34634</v>
      </c>
      <c r="AJ4" s="40">
        <v>37945</v>
      </c>
      <c r="AK4" s="40">
        <v>42570</v>
      </c>
      <c r="AL4" s="40">
        <v>49183</v>
      </c>
      <c r="AM4" s="40">
        <v>52978</v>
      </c>
      <c r="AN4" s="40">
        <v>48978</v>
      </c>
      <c r="AO4" s="40">
        <v>49933</v>
      </c>
      <c r="AP4" s="40">
        <v>58535</v>
      </c>
      <c r="AQ4" s="40">
        <v>63702</v>
      </c>
      <c r="AR4" s="40">
        <v>64763</v>
      </c>
      <c r="AS4" s="40">
        <v>59324</v>
      </c>
      <c r="AT4" s="40">
        <v>54289</v>
      </c>
      <c r="AU4" s="40">
        <v>50821</v>
      </c>
      <c r="AV4" s="40">
        <v>56941</v>
      </c>
      <c r="AW4" s="40">
        <v>57919</v>
      </c>
      <c r="AX4" s="40">
        <v>55892</v>
      </c>
      <c r="AY4" s="40">
        <v>61970</v>
      </c>
      <c r="AZ4" s="40">
        <v>61957</v>
      </c>
      <c r="BA4" s="40">
        <v>63652</v>
      </c>
      <c r="BB4" s="40">
        <v>70566</v>
      </c>
      <c r="BC4" s="40">
        <v>77623</v>
      </c>
      <c r="BD4" s="40">
        <v>77537</v>
      </c>
      <c r="BE4" s="40">
        <v>80011</v>
      </c>
      <c r="BF4" s="40">
        <v>79045.789999999994</v>
      </c>
      <c r="BG4" s="41">
        <v>75083.55</v>
      </c>
      <c r="BH4" s="41">
        <v>72688.19</v>
      </c>
      <c r="BI4" s="41">
        <v>71210.350000000006</v>
      </c>
      <c r="BJ4" s="41">
        <v>69077.440000000002</v>
      </c>
      <c r="BK4" s="41">
        <v>67592.87</v>
      </c>
      <c r="BL4" s="41">
        <v>68396.009999999995</v>
      </c>
      <c r="BM4" s="41">
        <v>69661.48</v>
      </c>
      <c r="BN4" s="41">
        <v>70952.13</v>
      </c>
      <c r="BO4" s="41">
        <v>72311.13</v>
      </c>
      <c r="BP4" s="41">
        <v>73697.72</v>
      </c>
      <c r="BQ4" s="41">
        <v>75096.58</v>
      </c>
      <c r="BR4" s="41">
        <v>76548.149999999994</v>
      </c>
      <c r="BS4" s="41">
        <v>78041</v>
      </c>
      <c r="BT4" s="41">
        <v>79583.360000000001</v>
      </c>
      <c r="BU4" s="41">
        <v>81171.149999999994</v>
      </c>
      <c r="BV4" s="41">
        <v>82794.33</v>
      </c>
      <c r="BW4" s="41">
        <v>84426.82</v>
      </c>
      <c r="BX4" s="41">
        <v>86073.9</v>
      </c>
      <c r="BY4" s="41">
        <v>87747.16</v>
      </c>
      <c r="BZ4" s="41">
        <v>89446.03</v>
      </c>
      <c r="CA4" s="41">
        <v>91170.52</v>
      </c>
      <c r="CB4" s="41">
        <v>92921.03</v>
      </c>
      <c r="CC4" s="41">
        <v>94698.05</v>
      </c>
      <c r="CD4" s="41">
        <v>96502.2</v>
      </c>
      <c r="CE4" s="41">
        <v>98333.88</v>
      </c>
      <c r="CF4" s="41">
        <v>100193.2</v>
      </c>
      <c r="CG4" s="41">
        <v>102012.7</v>
      </c>
      <c r="CH4" s="41">
        <v>103804</v>
      </c>
      <c r="CI4" s="41">
        <v>105599.4</v>
      </c>
      <c r="CJ4" s="41">
        <v>107417</v>
      </c>
      <c r="CK4" s="41">
        <v>109247.5</v>
      </c>
      <c r="CL4" s="41">
        <v>111093.2</v>
      </c>
      <c r="CM4" s="41">
        <v>112966.3</v>
      </c>
      <c r="CN4" s="41">
        <v>114875.7</v>
      </c>
      <c r="CO4" s="41">
        <v>116811.9</v>
      </c>
      <c r="CP4" s="41">
        <v>118786.8</v>
      </c>
      <c r="CQ4" s="38" t="s">
        <v>478</v>
      </c>
      <c r="CR4" s="38" t="b">
        <v>1</v>
      </c>
      <c r="CS4" s="39" t="s">
        <v>479</v>
      </c>
      <c r="CT4" s="38" t="s">
        <v>480</v>
      </c>
      <c r="CU4" s="38">
        <v>2024</v>
      </c>
      <c r="CV4" s="38">
        <v>2</v>
      </c>
      <c r="CW4" s="38" t="s">
        <v>480</v>
      </c>
      <c r="CX4" s="38" t="s">
        <v>490</v>
      </c>
      <c r="CY4" s="39" t="s">
        <v>491</v>
      </c>
      <c r="CZ4" s="38" t="s">
        <v>483</v>
      </c>
      <c r="DA4" s="38" t="s">
        <v>492</v>
      </c>
      <c r="DB4" s="39" t="s">
        <v>1268</v>
      </c>
    </row>
    <row r="5" spans="1:106" x14ac:dyDescent="0.25">
      <c r="A5" s="38" t="s">
        <v>473</v>
      </c>
      <c r="B5" s="38" t="s">
        <v>493</v>
      </c>
      <c r="C5" s="39" t="s">
        <v>1267</v>
      </c>
      <c r="D5" s="38" t="s">
        <v>475</v>
      </c>
      <c r="E5" s="38" t="s">
        <v>476</v>
      </c>
      <c r="F5" s="38" t="s">
        <v>477</v>
      </c>
      <c r="G5" s="40">
        <v>57561.120000000003</v>
      </c>
      <c r="H5" s="40">
        <v>50306.44</v>
      </c>
      <c r="I5" s="40">
        <v>49676.33</v>
      </c>
      <c r="J5" s="40">
        <v>50265.66</v>
      </c>
      <c r="K5" s="40">
        <v>49952.3</v>
      </c>
      <c r="L5" s="40">
        <v>53246.92</v>
      </c>
      <c r="M5" s="40">
        <v>58604.01</v>
      </c>
      <c r="N5" s="40">
        <v>55219.37</v>
      </c>
      <c r="O5" s="40">
        <v>49330.78</v>
      </c>
      <c r="P5" s="40">
        <v>52643.24</v>
      </c>
      <c r="Q5" s="40">
        <v>56478.11</v>
      </c>
      <c r="R5" s="40">
        <v>60187.07</v>
      </c>
      <c r="S5" s="40">
        <v>58635.34</v>
      </c>
      <c r="T5" s="40">
        <v>65714.38</v>
      </c>
      <c r="U5" s="40">
        <v>71921.14</v>
      </c>
      <c r="V5" s="40">
        <v>86474.41</v>
      </c>
      <c r="W5" s="40">
        <v>80491.11</v>
      </c>
      <c r="X5" s="40">
        <v>66415.66</v>
      </c>
      <c r="Y5" s="40">
        <v>58799.76</v>
      </c>
      <c r="Z5" s="40">
        <v>61348.89</v>
      </c>
      <c r="AA5" s="40">
        <v>64746.54</v>
      </c>
      <c r="AB5" s="40">
        <v>67286.44</v>
      </c>
      <c r="AC5" s="40">
        <v>69601.460000000006</v>
      </c>
      <c r="AD5" s="40">
        <v>69798.28</v>
      </c>
      <c r="AE5" s="40">
        <v>73834</v>
      </c>
      <c r="AF5" s="40">
        <v>72242</v>
      </c>
      <c r="AG5" s="40">
        <v>75476</v>
      </c>
      <c r="AH5" s="40">
        <v>80310</v>
      </c>
      <c r="AI5" s="40">
        <v>79449</v>
      </c>
      <c r="AJ5" s="40">
        <v>88335</v>
      </c>
      <c r="AK5" s="40">
        <v>93022</v>
      </c>
      <c r="AL5" s="40">
        <v>100433</v>
      </c>
      <c r="AM5" s="40">
        <v>98504</v>
      </c>
      <c r="AN5" s="40">
        <v>95421</v>
      </c>
      <c r="AO5" s="40">
        <v>89790</v>
      </c>
      <c r="AP5" s="40">
        <v>75286</v>
      </c>
      <c r="AQ5" s="40">
        <v>55962</v>
      </c>
      <c r="AR5" s="40">
        <v>61684</v>
      </c>
      <c r="AS5" s="40">
        <v>60898</v>
      </c>
      <c r="AT5" s="40">
        <v>58159</v>
      </c>
      <c r="AU5" s="40">
        <v>64070</v>
      </c>
      <c r="AV5" s="40">
        <v>67238</v>
      </c>
      <c r="AW5" s="40">
        <v>72908</v>
      </c>
      <c r="AX5" s="40">
        <v>77884</v>
      </c>
      <c r="AY5" s="40">
        <v>86521</v>
      </c>
      <c r="AZ5" s="40">
        <v>94462</v>
      </c>
      <c r="BA5" s="40">
        <v>97375</v>
      </c>
      <c r="BB5" s="40">
        <v>81188</v>
      </c>
      <c r="BC5" s="40">
        <v>97799</v>
      </c>
      <c r="BD5" s="40">
        <v>101901</v>
      </c>
      <c r="BE5" s="40">
        <v>95331</v>
      </c>
      <c r="BF5" s="40">
        <v>94972.09</v>
      </c>
      <c r="BG5" s="41">
        <v>95632.52</v>
      </c>
      <c r="BH5" s="41">
        <v>99068.65</v>
      </c>
      <c r="BI5" s="41">
        <v>102616.6</v>
      </c>
      <c r="BJ5" s="41">
        <v>105701.7</v>
      </c>
      <c r="BK5" s="41">
        <v>107842.9</v>
      </c>
      <c r="BL5" s="41">
        <v>109382.39999999999</v>
      </c>
      <c r="BM5" s="41">
        <v>110963.3</v>
      </c>
      <c r="BN5" s="41">
        <v>112569.8</v>
      </c>
      <c r="BO5" s="41">
        <v>114264.1</v>
      </c>
      <c r="BP5" s="41">
        <v>115983</v>
      </c>
      <c r="BQ5" s="41">
        <v>117705.3</v>
      </c>
      <c r="BR5" s="41">
        <v>119494</v>
      </c>
      <c r="BS5" s="41">
        <v>121330.5</v>
      </c>
      <c r="BT5" s="41">
        <v>123226.8</v>
      </c>
      <c r="BU5" s="41">
        <v>125175.9</v>
      </c>
      <c r="BV5" s="41">
        <v>127161.4</v>
      </c>
      <c r="BW5" s="41">
        <v>129143.1</v>
      </c>
      <c r="BX5" s="41">
        <v>131128.79999999999</v>
      </c>
      <c r="BY5" s="41">
        <v>133135.9</v>
      </c>
      <c r="BZ5" s="41">
        <v>135163.29999999999</v>
      </c>
      <c r="CA5" s="41">
        <v>137210.70000000001</v>
      </c>
      <c r="CB5" s="41">
        <v>139278.20000000001</v>
      </c>
      <c r="CC5" s="41">
        <v>141366.20000000001</v>
      </c>
      <c r="CD5" s="41">
        <v>143475.4</v>
      </c>
      <c r="CE5" s="41">
        <v>145605.79999999999</v>
      </c>
      <c r="CF5" s="41">
        <v>147757.4</v>
      </c>
      <c r="CG5" s="41">
        <v>149830.6</v>
      </c>
      <c r="CH5" s="41">
        <v>151843.1</v>
      </c>
      <c r="CI5" s="41">
        <v>153842.9</v>
      </c>
      <c r="CJ5" s="41">
        <v>155856.1</v>
      </c>
      <c r="CK5" s="41">
        <v>157869</v>
      </c>
      <c r="CL5" s="41">
        <v>159884.9</v>
      </c>
      <c r="CM5" s="41">
        <v>161921.1</v>
      </c>
      <c r="CN5" s="41">
        <v>163990</v>
      </c>
      <c r="CO5" s="41">
        <v>166077.5</v>
      </c>
      <c r="CP5" s="41">
        <v>168200.3</v>
      </c>
      <c r="CQ5" s="38" t="s">
        <v>478</v>
      </c>
      <c r="CR5" s="38" t="b">
        <v>1</v>
      </c>
      <c r="CS5" s="39" t="s">
        <v>479</v>
      </c>
      <c r="CT5" s="38" t="s">
        <v>480</v>
      </c>
      <c r="CU5" s="38">
        <v>2024</v>
      </c>
      <c r="CV5" s="38">
        <v>2</v>
      </c>
      <c r="CW5" s="38" t="s">
        <v>480</v>
      </c>
      <c r="CX5" s="39" t="s">
        <v>494</v>
      </c>
      <c r="CY5" s="39" t="s">
        <v>495</v>
      </c>
      <c r="CZ5" s="38" t="s">
        <v>483</v>
      </c>
      <c r="DA5" s="38" t="s">
        <v>496</v>
      </c>
      <c r="DB5" s="39" t="s">
        <v>1268</v>
      </c>
    </row>
    <row r="6" spans="1:106" x14ac:dyDescent="0.25">
      <c r="A6" s="38" t="s">
        <v>473</v>
      </c>
      <c r="B6" s="38" t="s">
        <v>1225</v>
      </c>
      <c r="C6" s="39" t="s">
        <v>1267</v>
      </c>
      <c r="D6" s="38" t="s">
        <v>475</v>
      </c>
      <c r="E6" s="38" t="s">
        <v>476</v>
      </c>
      <c r="F6" s="38" t="s">
        <v>477</v>
      </c>
      <c r="G6" s="40">
        <v>38907.25</v>
      </c>
      <c r="H6" s="40">
        <v>30092.7</v>
      </c>
      <c r="I6" s="40">
        <v>23271.13</v>
      </c>
      <c r="J6" s="40">
        <v>23167.5</v>
      </c>
      <c r="K6" s="40">
        <v>29864.98</v>
      </c>
      <c r="L6" s="40">
        <v>39213.599999999999</v>
      </c>
      <c r="M6" s="40">
        <v>48110.9</v>
      </c>
      <c r="N6" s="40">
        <v>44373.91</v>
      </c>
      <c r="O6" s="40">
        <v>47520.51</v>
      </c>
      <c r="P6" s="40">
        <v>51340.23</v>
      </c>
      <c r="Q6" s="40">
        <v>55590.64</v>
      </c>
      <c r="R6" s="40">
        <v>54692.66</v>
      </c>
      <c r="S6" s="40">
        <v>54144.75</v>
      </c>
      <c r="T6" s="40">
        <v>42297.29</v>
      </c>
      <c r="U6" s="40">
        <v>58543.33</v>
      </c>
      <c r="V6" s="40">
        <v>62573.17</v>
      </c>
      <c r="W6" s="40">
        <v>64830.81</v>
      </c>
      <c r="X6" s="40">
        <v>67044.210000000006</v>
      </c>
      <c r="Y6" s="40">
        <v>61518.99</v>
      </c>
      <c r="Z6" s="40">
        <v>55666.58</v>
      </c>
      <c r="AA6" s="40">
        <v>55830.31</v>
      </c>
      <c r="AB6" s="40">
        <v>49761.1</v>
      </c>
      <c r="AC6" s="40">
        <v>40224.22</v>
      </c>
      <c r="AD6" s="40">
        <v>45940.06</v>
      </c>
      <c r="AE6" s="40">
        <v>13326</v>
      </c>
      <c r="AF6" s="40">
        <v>16796</v>
      </c>
      <c r="AG6" s="40">
        <v>16259</v>
      </c>
      <c r="AH6" s="40">
        <v>17192</v>
      </c>
      <c r="AI6" s="40">
        <v>19864</v>
      </c>
      <c r="AJ6" s="40">
        <v>17212</v>
      </c>
      <c r="AK6" s="40">
        <v>17723</v>
      </c>
      <c r="AL6" s="40">
        <v>18847</v>
      </c>
      <c r="AM6" s="40">
        <v>22196.5</v>
      </c>
      <c r="AN6" s="40">
        <v>25779</v>
      </c>
      <c r="AO6" s="40">
        <v>29869</v>
      </c>
      <c r="AP6" s="40">
        <v>30518</v>
      </c>
      <c r="AQ6" s="40">
        <v>33270</v>
      </c>
      <c r="AR6" s="40">
        <v>34447</v>
      </c>
      <c r="AS6" s="40">
        <v>30909</v>
      </c>
      <c r="AT6" s="40">
        <v>31359</v>
      </c>
      <c r="AU6" s="40">
        <v>32820</v>
      </c>
      <c r="AV6" s="40">
        <v>37022</v>
      </c>
      <c r="AW6" s="40">
        <v>37226</v>
      </c>
      <c r="AX6" s="40">
        <v>39099</v>
      </c>
      <c r="AY6" s="40">
        <v>39722</v>
      </c>
      <c r="AZ6" s="40">
        <v>33928</v>
      </c>
      <c r="BA6" s="40">
        <v>33286</v>
      </c>
      <c r="BB6" s="40">
        <v>25089</v>
      </c>
      <c r="BC6" s="40">
        <v>27707</v>
      </c>
      <c r="BD6" s="40">
        <v>32283</v>
      </c>
      <c r="BE6" s="40">
        <v>29486</v>
      </c>
      <c r="BF6" s="40">
        <v>30330.73</v>
      </c>
      <c r="BG6" s="41">
        <v>31747.29</v>
      </c>
      <c r="BH6" s="41">
        <v>32944.519999999997</v>
      </c>
      <c r="BI6" s="41">
        <v>33700.660000000003</v>
      </c>
      <c r="BJ6" s="41">
        <v>34341.269999999997</v>
      </c>
      <c r="BK6" s="41">
        <v>34991.449999999997</v>
      </c>
      <c r="BL6" s="41">
        <v>35653.94</v>
      </c>
      <c r="BM6" s="41">
        <v>36328.97</v>
      </c>
      <c r="BN6" s="41">
        <v>37015.86</v>
      </c>
      <c r="BO6" s="41">
        <v>37727.65</v>
      </c>
      <c r="BP6" s="41">
        <v>38451.089999999997</v>
      </c>
      <c r="BQ6" s="41">
        <v>39180.93</v>
      </c>
      <c r="BR6" s="41">
        <v>39938.269999999997</v>
      </c>
      <c r="BS6" s="41">
        <v>40717.160000000003</v>
      </c>
      <c r="BT6" s="41">
        <v>41521.870000000003</v>
      </c>
      <c r="BU6" s="41">
        <v>42350.28</v>
      </c>
      <c r="BV6" s="41">
        <v>43197.16</v>
      </c>
      <c r="BW6" s="41">
        <v>44048.91</v>
      </c>
      <c r="BX6" s="41">
        <v>44908.25</v>
      </c>
      <c r="BY6" s="41">
        <v>45781.25</v>
      </c>
      <c r="BZ6" s="41">
        <v>46667.62</v>
      </c>
      <c r="CA6" s="41">
        <v>47567.37</v>
      </c>
      <c r="CB6" s="41">
        <v>48480.67</v>
      </c>
      <c r="CC6" s="41">
        <v>49407.82</v>
      </c>
      <c r="CD6" s="41">
        <v>50349.120000000003</v>
      </c>
      <c r="CE6" s="41">
        <v>51304.78</v>
      </c>
      <c r="CF6" s="41">
        <v>52274.86</v>
      </c>
      <c r="CG6" s="41">
        <v>53224.15</v>
      </c>
      <c r="CH6" s="41">
        <v>54158.73</v>
      </c>
      <c r="CI6" s="41">
        <v>55095.5</v>
      </c>
      <c r="CJ6" s="41">
        <v>56043.81</v>
      </c>
      <c r="CK6" s="41">
        <v>56998.83</v>
      </c>
      <c r="CL6" s="41">
        <v>57961.83</v>
      </c>
      <c r="CM6" s="41">
        <v>58939.08</v>
      </c>
      <c r="CN6" s="41">
        <v>59935.3</v>
      </c>
      <c r="CO6" s="41">
        <v>60945.51</v>
      </c>
      <c r="CP6" s="41">
        <v>61975.92</v>
      </c>
      <c r="CQ6" s="38" t="s">
        <v>497</v>
      </c>
      <c r="CR6" s="38" t="b">
        <v>1</v>
      </c>
      <c r="CS6" s="39" t="s">
        <v>479</v>
      </c>
      <c r="CT6" s="38" t="s">
        <v>480</v>
      </c>
      <c r="CU6" s="38">
        <v>2024</v>
      </c>
      <c r="CV6" s="38">
        <v>2</v>
      </c>
      <c r="CW6" s="38" t="s">
        <v>480</v>
      </c>
      <c r="CX6" s="38" t="s">
        <v>497</v>
      </c>
      <c r="CY6" s="38" t="s">
        <v>480</v>
      </c>
      <c r="CZ6" s="38" t="s">
        <v>483</v>
      </c>
      <c r="DA6" s="38" t="s">
        <v>498</v>
      </c>
      <c r="DB6" s="39" t="s">
        <v>1268</v>
      </c>
    </row>
    <row r="7" spans="1:106" x14ac:dyDescent="0.25">
      <c r="A7" s="38" t="s">
        <v>473</v>
      </c>
      <c r="B7" s="38" t="s">
        <v>499</v>
      </c>
      <c r="C7" s="39" t="s">
        <v>1267</v>
      </c>
      <c r="D7" s="38" t="s">
        <v>475</v>
      </c>
      <c r="E7" s="38" t="s">
        <v>476</v>
      </c>
      <c r="F7" s="38" t="s">
        <v>477</v>
      </c>
      <c r="G7" s="40">
        <v>17908</v>
      </c>
      <c r="H7" s="40">
        <v>16624</v>
      </c>
      <c r="I7" s="40">
        <v>17697</v>
      </c>
      <c r="J7" s="40">
        <v>22080</v>
      </c>
      <c r="K7" s="40">
        <v>31652</v>
      </c>
      <c r="L7" s="40">
        <v>38107</v>
      </c>
      <c r="M7" s="40">
        <v>44855</v>
      </c>
      <c r="N7" s="40">
        <v>49635</v>
      </c>
      <c r="O7" s="40">
        <v>55572</v>
      </c>
      <c r="P7" s="40">
        <v>65451</v>
      </c>
      <c r="Q7" s="40">
        <v>77853</v>
      </c>
      <c r="R7" s="40">
        <v>84738</v>
      </c>
      <c r="S7" s="40">
        <v>98707</v>
      </c>
      <c r="T7" s="40">
        <v>102934</v>
      </c>
      <c r="U7" s="40">
        <v>123213</v>
      </c>
      <c r="V7" s="40">
        <v>140892</v>
      </c>
      <c r="W7" s="40">
        <v>157363</v>
      </c>
      <c r="X7" s="40">
        <v>166685</v>
      </c>
      <c r="Y7" s="40">
        <v>163324</v>
      </c>
      <c r="Z7" s="40">
        <v>163556</v>
      </c>
      <c r="AA7" s="40">
        <v>182607</v>
      </c>
      <c r="AB7" s="40">
        <v>199397</v>
      </c>
      <c r="AC7" s="40">
        <v>206306</v>
      </c>
      <c r="AD7" s="40">
        <v>230809</v>
      </c>
      <c r="AE7" s="40">
        <v>234547</v>
      </c>
      <c r="AF7" s="40">
        <v>241995</v>
      </c>
      <c r="AG7" s="40">
        <v>229626</v>
      </c>
      <c r="AH7" s="40">
        <v>233989</v>
      </c>
      <c r="AI7" s="40">
        <v>235052</v>
      </c>
      <c r="AJ7" s="40">
        <v>254657</v>
      </c>
      <c r="AK7" s="40">
        <v>277633</v>
      </c>
      <c r="AL7" s="40">
        <v>284786</v>
      </c>
      <c r="AM7" s="40">
        <v>309416</v>
      </c>
      <c r="AN7" s="40">
        <v>320607</v>
      </c>
      <c r="AO7" s="40">
        <v>329551</v>
      </c>
      <c r="AP7" s="40">
        <v>350899</v>
      </c>
      <c r="AQ7" s="40">
        <v>340017</v>
      </c>
      <c r="AR7" s="40">
        <v>353181</v>
      </c>
      <c r="AS7" s="40">
        <v>366700</v>
      </c>
      <c r="AT7" s="40">
        <v>382532</v>
      </c>
      <c r="AU7" s="40">
        <v>396588</v>
      </c>
      <c r="AV7" s="40">
        <v>425352</v>
      </c>
      <c r="AW7" s="40">
        <v>425845</v>
      </c>
      <c r="AX7" s="40">
        <v>439483</v>
      </c>
      <c r="AY7" s="40">
        <v>466988</v>
      </c>
      <c r="AZ7" s="40">
        <v>468601</v>
      </c>
      <c r="BA7" s="40">
        <v>485008</v>
      </c>
      <c r="BB7" s="40">
        <v>478728</v>
      </c>
      <c r="BC7" s="40">
        <v>501715</v>
      </c>
      <c r="BD7" s="40">
        <v>545252</v>
      </c>
      <c r="BE7" s="40">
        <v>588095</v>
      </c>
      <c r="BF7" s="40">
        <v>597130.6</v>
      </c>
      <c r="BG7" s="41">
        <v>639092.80000000005</v>
      </c>
      <c r="BH7" s="41">
        <v>663620.9</v>
      </c>
      <c r="BI7" s="41">
        <v>690782.6</v>
      </c>
      <c r="BJ7" s="41">
        <v>719233.3</v>
      </c>
      <c r="BK7" s="41">
        <v>749839.2</v>
      </c>
      <c r="BL7" s="41">
        <v>777825.6</v>
      </c>
      <c r="BM7" s="41">
        <v>807263.5</v>
      </c>
      <c r="BN7" s="41">
        <v>837424.8</v>
      </c>
      <c r="BO7" s="41">
        <v>868596.3</v>
      </c>
      <c r="BP7" s="41">
        <v>900928.1</v>
      </c>
      <c r="BQ7" s="41">
        <v>934235.8</v>
      </c>
      <c r="BR7" s="41">
        <v>969075.9</v>
      </c>
      <c r="BS7" s="41">
        <v>1005489</v>
      </c>
      <c r="BT7" s="41">
        <v>1043467</v>
      </c>
      <c r="BU7" s="41">
        <v>1083165</v>
      </c>
      <c r="BV7" s="41">
        <v>1124436</v>
      </c>
      <c r="BW7" s="41">
        <v>1167074</v>
      </c>
      <c r="BX7" s="41">
        <v>1210940</v>
      </c>
      <c r="BY7" s="41">
        <v>1256351</v>
      </c>
      <c r="BZ7" s="41">
        <v>1303335</v>
      </c>
      <c r="CA7" s="41">
        <v>1351969</v>
      </c>
      <c r="CB7" s="41">
        <v>1402306</v>
      </c>
      <c r="CC7" s="41">
        <v>1454408</v>
      </c>
      <c r="CD7" s="41">
        <v>1508337</v>
      </c>
      <c r="CE7" s="41">
        <v>1564157</v>
      </c>
      <c r="CF7" s="41">
        <v>1621952</v>
      </c>
      <c r="CG7" s="41">
        <v>1681192</v>
      </c>
      <c r="CH7" s="41">
        <v>1741260</v>
      </c>
      <c r="CI7" s="41">
        <v>1802977</v>
      </c>
      <c r="CJ7" s="41">
        <v>1866694</v>
      </c>
      <c r="CK7" s="41">
        <v>1932395</v>
      </c>
      <c r="CL7" s="41">
        <v>2000139</v>
      </c>
      <c r="CM7" s="41">
        <v>2070124</v>
      </c>
      <c r="CN7" s="41">
        <v>2142658</v>
      </c>
      <c r="CO7" s="41">
        <v>2217627</v>
      </c>
      <c r="CP7" s="41">
        <v>2295360</v>
      </c>
      <c r="CQ7" s="38" t="s">
        <v>478</v>
      </c>
      <c r="CR7" s="38" t="b">
        <v>1</v>
      </c>
      <c r="CS7" s="38" t="s">
        <v>480</v>
      </c>
      <c r="CT7" s="38" t="s">
        <v>480</v>
      </c>
      <c r="CU7" s="38">
        <v>2024</v>
      </c>
      <c r="CV7" s="38">
        <v>2</v>
      </c>
      <c r="CW7" s="38" t="s">
        <v>480</v>
      </c>
      <c r="CX7" s="38" t="s">
        <v>500</v>
      </c>
      <c r="CY7" s="38" t="s">
        <v>501</v>
      </c>
      <c r="CZ7" s="38" t="s">
        <v>483</v>
      </c>
      <c r="DA7" s="38" t="s">
        <v>502</v>
      </c>
      <c r="DB7" s="39" t="s">
        <v>1268</v>
      </c>
    </row>
    <row r="8" spans="1:106" x14ac:dyDescent="0.25">
      <c r="A8" s="38" t="s">
        <v>473</v>
      </c>
      <c r="B8" s="39" t="s">
        <v>1226</v>
      </c>
      <c r="C8" s="39" t="s">
        <v>1267</v>
      </c>
      <c r="D8" s="38" t="s">
        <v>475</v>
      </c>
      <c r="E8" s="38" t="s">
        <v>476</v>
      </c>
      <c r="F8" s="38" t="s">
        <v>477</v>
      </c>
      <c r="G8" s="40">
        <v>480.78190000000001</v>
      </c>
      <c r="H8" s="40">
        <v>-4794.2479999999996</v>
      </c>
      <c r="I8" s="40">
        <v>443.94779999999997</v>
      </c>
      <c r="J8" s="40">
        <v>-930.54570000000001</v>
      </c>
      <c r="K8" s="40">
        <v>1597.4359999999999</v>
      </c>
      <c r="L8" s="40">
        <v>2062.71</v>
      </c>
      <c r="M8" s="40">
        <v>-2791.636</v>
      </c>
      <c r="N8" s="40">
        <v>-205.49549999999999</v>
      </c>
      <c r="O8" s="40">
        <v>3088.248</v>
      </c>
      <c r="P8" s="40">
        <v>5959.3689999999997</v>
      </c>
      <c r="Q8" s="40">
        <v>9745.5249999999996</v>
      </c>
      <c r="R8" s="40">
        <v>9092.2039999999997</v>
      </c>
      <c r="S8" s="40">
        <v>8646.3179999999993</v>
      </c>
      <c r="T8" s="40">
        <v>5453.384</v>
      </c>
      <c r="U8" s="40">
        <v>8065</v>
      </c>
      <c r="V8" s="40">
        <v>1174</v>
      </c>
      <c r="W8" s="40">
        <v>-13174</v>
      </c>
      <c r="X8" s="40">
        <v>-10439</v>
      </c>
      <c r="Y8" s="40">
        <v>-5642</v>
      </c>
      <c r="Z8" s="40">
        <v>-5561</v>
      </c>
      <c r="AA8" s="40">
        <v>4813</v>
      </c>
      <c r="AB8" s="40">
        <v>15450</v>
      </c>
      <c r="AC8" s="40">
        <v>6974</v>
      </c>
      <c r="AD8" s="40">
        <v>6710</v>
      </c>
      <c r="AE8" s="40">
        <v>1148</v>
      </c>
      <c r="AF8" s="40">
        <v>2683</v>
      </c>
      <c r="AG8" s="40">
        <v>-10852</v>
      </c>
      <c r="AH8" s="40">
        <v>-12882</v>
      </c>
      <c r="AI8" s="40">
        <v>-14839</v>
      </c>
      <c r="AJ8" s="40">
        <v>8773</v>
      </c>
      <c r="AK8" s="40">
        <v>23616</v>
      </c>
      <c r="AL8" s="40">
        <v>17258</v>
      </c>
      <c r="AM8" s="40">
        <v>16221</v>
      </c>
      <c r="AN8" s="40">
        <v>-2217</v>
      </c>
      <c r="AO8" s="40">
        <v>-16822</v>
      </c>
      <c r="AP8" s="40">
        <v>13609</v>
      </c>
      <c r="AQ8" s="40">
        <v>26670</v>
      </c>
      <c r="AR8" s="40">
        <v>38051</v>
      </c>
      <c r="AS8" s="40">
        <v>41541</v>
      </c>
      <c r="AT8" s="40">
        <v>11285</v>
      </c>
      <c r="AU8" s="40">
        <v>-10625</v>
      </c>
      <c r="AV8" s="40">
        <v>-12626</v>
      </c>
      <c r="AW8" s="40">
        <v>-50810</v>
      </c>
      <c r="AX8" s="40">
        <v>-45657</v>
      </c>
      <c r="AY8" s="40">
        <v>-18625</v>
      </c>
      <c r="AZ8" s="40">
        <v>-32216</v>
      </c>
      <c r="BA8" s="40">
        <v>-9916</v>
      </c>
      <c r="BB8" s="40">
        <v>-19793</v>
      </c>
      <c r="BC8" s="40">
        <v>23558</v>
      </c>
      <c r="BD8" s="40">
        <v>11453</v>
      </c>
      <c r="BE8" s="40">
        <v>-8925.0010000000002</v>
      </c>
      <c r="BF8" s="40">
        <v>-64458.55</v>
      </c>
      <c r="BG8" s="41">
        <v>-61707.54</v>
      </c>
      <c r="BH8" s="41">
        <v>-61209.77</v>
      </c>
      <c r="BI8" s="41">
        <v>-66250.880000000005</v>
      </c>
      <c r="BJ8" s="41">
        <v>-78324.89</v>
      </c>
      <c r="BK8" s="41">
        <v>-76342.94</v>
      </c>
      <c r="BL8" s="41">
        <v>-69689.98</v>
      </c>
      <c r="BM8" s="41">
        <v>-61473.09</v>
      </c>
      <c r="BN8" s="41">
        <v>-60256.7</v>
      </c>
      <c r="BO8" s="41">
        <v>-57680.2</v>
      </c>
      <c r="BP8" s="41">
        <v>-54542.84</v>
      </c>
      <c r="BQ8" s="41">
        <v>-50430.39</v>
      </c>
      <c r="BR8" s="41">
        <v>-47188.98</v>
      </c>
      <c r="BS8" s="41">
        <v>-44127.83</v>
      </c>
      <c r="BT8" s="41">
        <v>-40598.480000000003</v>
      </c>
      <c r="BU8" s="41">
        <v>-36974.300000000003</v>
      </c>
      <c r="BV8" s="41">
        <v>-32526.04</v>
      </c>
      <c r="BW8" s="41">
        <v>-32977.83</v>
      </c>
      <c r="BX8" s="41">
        <v>-33351.769999999997</v>
      </c>
      <c r="BY8" s="41">
        <v>-33847.32</v>
      </c>
      <c r="BZ8" s="41">
        <v>-34466.32</v>
      </c>
      <c r="CA8" s="41">
        <v>-35192.400000000001</v>
      </c>
      <c r="CB8" s="41">
        <v>-36035.879999999997</v>
      </c>
      <c r="CC8" s="41">
        <v>-37012.49</v>
      </c>
      <c r="CD8" s="41">
        <v>-38020.379999999997</v>
      </c>
      <c r="CE8" s="41">
        <v>-39280.660000000003</v>
      </c>
      <c r="CF8" s="41">
        <v>-40673.1</v>
      </c>
      <c r="CG8" s="41">
        <v>-43053.77</v>
      </c>
      <c r="CH8" s="41">
        <v>-44215.02</v>
      </c>
      <c r="CI8" s="41">
        <v>-45401.2</v>
      </c>
      <c r="CJ8" s="41">
        <v>-46595.67</v>
      </c>
      <c r="CK8" s="41">
        <v>-47963.59</v>
      </c>
      <c r="CL8" s="41">
        <v>-49350.61</v>
      </c>
      <c r="CM8" s="41">
        <v>-50667.41</v>
      </c>
      <c r="CN8" s="41">
        <v>-52099.09</v>
      </c>
      <c r="CO8" s="41">
        <v>-53612.29</v>
      </c>
      <c r="CP8" s="41">
        <v>-55089.63</v>
      </c>
      <c r="CQ8" s="38" t="s">
        <v>478</v>
      </c>
      <c r="CR8" s="38" t="b">
        <v>1</v>
      </c>
      <c r="CS8" s="38" t="s">
        <v>480</v>
      </c>
      <c r="CT8" s="38" t="s">
        <v>480</v>
      </c>
      <c r="CU8" s="38">
        <v>2024</v>
      </c>
      <c r="CV8" s="38">
        <v>2</v>
      </c>
      <c r="CW8" s="38" t="s">
        <v>480</v>
      </c>
      <c r="CX8" s="38" t="s">
        <v>503</v>
      </c>
      <c r="CY8" s="39" t="s">
        <v>504</v>
      </c>
      <c r="CZ8" s="38" t="s">
        <v>483</v>
      </c>
      <c r="DA8" s="38" t="s">
        <v>505</v>
      </c>
      <c r="DB8" s="39" t="s">
        <v>1268</v>
      </c>
    </row>
    <row r="9" spans="1:106" x14ac:dyDescent="0.25">
      <c r="A9" s="38" t="s">
        <v>473</v>
      </c>
      <c r="B9" s="39" t="s">
        <v>1227</v>
      </c>
      <c r="C9" s="39" t="s">
        <v>1267</v>
      </c>
      <c r="D9" s="38" t="s">
        <v>475</v>
      </c>
      <c r="E9" s="38" t="s">
        <v>476</v>
      </c>
      <c r="F9" s="38" t="s">
        <v>477</v>
      </c>
      <c r="G9" s="40">
        <v>2402.58</v>
      </c>
      <c r="H9" s="40">
        <v>342.45420000000001</v>
      </c>
      <c r="I9" s="40">
        <v>3766.0160000000001</v>
      </c>
      <c r="J9" s="40">
        <v>1091.2719999999999</v>
      </c>
      <c r="K9" s="40">
        <v>-4875.2370000000001</v>
      </c>
      <c r="L9" s="40">
        <v>1905.5360000000001</v>
      </c>
      <c r="M9" s="40">
        <v>-8535.5990000000002</v>
      </c>
      <c r="N9" s="40">
        <v>-484.12060000000002</v>
      </c>
      <c r="O9" s="40">
        <v>12840.12</v>
      </c>
      <c r="P9" s="40">
        <v>15775.54</v>
      </c>
      <c r="Q9" s="40">
        <v>-4821.5609999999997</v>
      </c>
      <c r="R9" s="40">
        <v>20801.599999999999</v>
      </c>
      <c r="S9" s="40">
        <v>21848.86</v>
      </c>
      <c r="T9" s="40">
        <v>-1933.75</v>
      </c>
      <c r="U9" s="40">
        <v>-6901</v>
      </c>
      <c r="V9" s="40">
        <v>-17198</v>
      </c>
      <c r="W9" s="40">
        <v>-32194</v>
      </c>
      <c r="X9" s="40">
        <v>-28560</v>
      </c>
      <c r="Y9" s="40">
        <v>-29252</v>
      </c>
      <c r="Z9" s="40">
        <v>-23873</v>
      </c>
      <c r="AA9" s="40">
        <v>-12136</v>
      </c>
      <c r="AB9" s="40">
        <v>3734</v>
      </c>
      <c r="AC9" s="40">
        <v>-12284</v>
      </c>
      <c r="AD9" s="40">
        <v>-14123</v>
      </c>
      <c r="AE9" s="40">
        <v>-17215</v>
      </c>
      <c r="AF9" s="40">
        <v>-15229</v>
      </c>
      <c r="AG9" s="40">
        <v>-35564</v>
      </c>
      <c r="AH9" s="40">
        <v>-55649</v>
      </c>
      <c r="AI9" s="40">
        <v>-44073</v>
      </c>
      <c r="AJ9" s="40">
        <v>-18269</v>
      </c>
      <c r="AK9" s="40">
        <v>11465</v>
      </c>
      <c r="AL9" s="40">
        <v>6140</v>
      </c>
      <c r="AM9" s="40">
        <v>7161</v>
      </c>
      <c r="AN9" s="40">
        <v>-13373</v>
      </c>
      <c r="AO9" s="40">
        <v>-42178</v>
      </c>
      <c r="AP9" s="40">
        <v>-7617</v>
      </c>
      <c r="AQ9" s="40">
        <v>34630</v>
      </c>
      <c r="AR9" s="40">
        <v>18254</v>
      </c>
      <c r="AS9" s="40">
        <v>39390</v>
      </c>
      <c r="AT9" s="40">
        <v>31522</v>
      </c>
      <c r="AU9" s="40">
        <v>-29999</v>
      </c>
      <c r="AV9" s="40">
        <v>-20091</v>
      </c>
      <c r="AW9" s="40">
        <v>-71212</v>
      </c>
      <c r="AX9" s="40">
        <v>-56208</v>
      </c>
      <c r="AY9" s="40">
        <v>-20240</v>
      </c>
      <c r="AZ9" s="40">
        <v>-26041</v>
      </c>
      <c r="BA9" s="40">
        <v>-369.00200000000001</v>
      </c>
      <c r="BB9" s="40">
        <v>27793</v>
      </c>
      <c r="BC9" s="40">
        <v>50421</v>
      </c>
      <c r="BD9" s="40">
        <v>69354</v>
      </c>
      <c r="BE9" s="40">
        <v>60369</v>
      </c>
      <c r="BF9" s="40">
        <v>-22081.360000000001</v>
      </c>
      <c r="BG9" s="41">
        <v>-42166.29</v>
      </c>
      <c r="BH9" s="41">
        <v>-56176.82</v>
      </c>
      <c r="BI9" s="41">
        <v>-67509.240000000005</v>
      </c>
      <c r="BJ9" s="41">
        <v>-82383.45</v>
      </c>
      <c r="BK9" s="41">
        <v>-81719.63</v>
      </c>
      <c r="BL9" s="41">
        <v>-75765.97</v>
      </c>
      <c r="BM9" s="41">
        <v>-67989.440000000002</v>
      </c>
      <c r="BN9" s="41">
        <v>-67105.59</v>
      </c>
      <c r="BO9" s="41">
        <v>-64822.6</v>
      </c>
      <c r="BP9" s="41">
        <v>-61966.66</v>
      </c>
      <c r="BQ9" s="41">
        <v>-58135.86</v>
      </c>
      <c r="BR9" s="41">
        <v>-55185.46</v>
      </c>
      <c r="BS9" s="41">
        <v>-52426.19</v>
      </c>
      <c r="BT9" s="41">
        <v>-49211.63</v>
      </c>
      <c r="BU9" s="41">
        <v>-45915.5</v>
      </c>
      <c r="BV9" s="41">
        <v>-41808.06</v>
      </c>
      <c r="BW9" s="41">
        <v>-42610.71</v>
      </c>
      <c r="BX9" s="41">
        <v>-43346.559999999998</v>
      </c>
      <c r="BY9" s="41">
        <v>-44216.65</v>
      </c>
      <c r="BZ9" s="41">
        <v>-45223.22</v>
      </c>
      <c r="CA9" s="41">
        <v>-46350.47</v>
      </c>
      <c r="CB9" s="41">
        <v>-47609.18</v>
      </c>
      <c r="CC9" s="41">
        <v>-49015.57</v>
      </c>
      <c r="CD9" s="41">
        <v>-50468.31</v>
      </c>
      <c r="CE9" s="41">
        <v>-52189.02</v>
      </c>
      <c r="CF9" s="41">
        <v>-54058.32</v>
      </c>
      <c r="CG9" s="41">
        <v>-56924.12</v>
      </c>
      <c r="CH9" s="41">
        <v>-58580.05</v>
      </c>
      <c r="CI9" s="41">
        <v>-60274.71</v>
      </c>
      <c r="CJ9" s="41">
        <v>-61994.39</v>
      </c>
      <c r="CK9" s="41">
        <v>-63903.77</v>
      </c>
      <c r="CL9" s="41">
        <v>-65849.14</v>
      </c>
      <c r="CM9" s="41">
        <v>-67743.3</v>
      </c>
      <c r="CN9" s="41">
        <v>-69773.27</v>
      </c>
      <c r="CO9" s="41">
        <v>-71904.88</v>
      </c>
      <c r="CP9" s="41">
        <v>-74023.69</v>
      </c>
      <c r="CQ9" s="38" t="s">
        <v>497</v>
      </c>
      <c r="CR9" s="38" t="b">
        <v>0</v>
      </c>
      <c r="CS9" s="38" t="s">
        <v>480</v>
      </c>
      <c r="CT9" s="38" t="s">
        <v>480</v>
      </c>
      <c r="CU9" s="38">
        <v>2024</v>
      </c>
      <c r="CV9" s="38">
        <v>2</v>
      </c>
      <c r="CW9" s="38" t="s">
        <v>480</v>
      </c>
      <c r="CX9" s="38" t="s">
        <v>497</v>
      </c>
      <c r="CY9" s="38" t="s">
        <v>480</v>
      </c>
      <c r="CZ9" s="38" t="s">
        <v>483</v>
      </c>
      <c r="DA9" s="38" t="s">
        <v>506</v>
      </c>
      <c r="DB9" s="39" t="s">
        <v>1268</v>
      </c>
    </row>
    <row r="10" spans="1:106" x14ac:dyDescent="0.25">
      <c r="A10" s="38" t="s">
        <v>473</v>
      </c>
      <c r="B10" s="38" t="s">
        <v>507</v>
      </c>
      <c r="C10" s="39" t="s">
        <v>1267</v>
      </c>
      <c r="D10" s="38" t="s">
        <v>475</v>
      </c>
      <c r="E10" s="38" t="s">
        <v>476</v>
      </c>
      <c r="F10" s="38" t="s">
        <v>477</v>
      </c>
      <c r="G10" s="40">
        <v>81793</v>
      </c>
      <c r="H10" s="40">
        <v>92673</v>
      </c>
      <c r="I10" s="40">
        <v>115093</v>
      </c>
      <c r="J10" s="40">
        <v>136999</v>
      </c>
      <c r="K10" s="40">
        <v>159786</v>
      </c>
      <c r="L10" s="40">
        <v>186158</v>
      </c>
      <c r="M10" s="40">
        <v>220981</v>
      </c>
      <c r="N10" s="40">
        <v>259970</v>
      </c>
      <c r="O10" s="40">
        <v>290180</v>
      </c>
      <c r="P10" s="40">
        <v>319558</v>
      </c>
      <c r="Q10" s="40">
        <v>351347</v>
      </c>
      <c r="R10" s="40">
        <v>377920</v>
      </c>
      <c r="S10" s="40">
        <v>414630</v>
      </c>
      <c r="T10" s="40">
        <v>446600</v>
      </c>
      <c r="U10" s="40">
        <v>496809</v>
      </c>
      <c r="V10" s="40">
        <v>555683</v>
      </c>
      <c r="W10" s="40">
        <v>614631</v>
      </c>
      <c r="X10" s="40">
        <v>670797</v>
      </c>
      <c r="Y10" s="40">
        <v>705884</v>
      </c>
      <c r="Z10" s="40">
        <v>730874</v>
      </c>
      <c r="AA10" s="40">
        <v>769855</v>
      </c>
      <c r="AB10" s="40">
        <v>810794</v>
      </c>
      <c r="AC10" s="40">
        <v>851845</v>
      </c>
      <c r="AD10" s="40">
        <v>909993</v>
      </c>
      <c r="AE10" s="40">
        <v>953405</v>
      </c>
      <c r="AF10" s="40">
        <v>998501</v>
      </c>
      <c r="AG10" s="40">
        <v>1043248</v>
      </c>
      <c r="AH10" s="40">
        <v>1100752</v>
      </c>
      <c r="AI10" s="40">
        <v>1146135</v>
      </c>
      <c r="AJ10" s="40">
        <v>1191439</v>
      </c>
      <c r="AK10" s="40">
        <v>1258334</v>
      </c>
      <c r="AL10" s="40">
        <v>1322637</v>
      </c>
      <c r="AM10" s="40">
        <v>1398749</v>
      </c>
      <c r="AN10" s="40">
        <v>1472038</v>
      </c>
      <c r="AO10" s="40">
        <v>1544637</v>
      </c>
      <c r="AP10" s="40">
        <v>1593600</v>
      </c>
      <c r="AQ10" s="40">
        <v>1548802</v>
      </c>
      <c r="AR10" s="40">
        <v>1608553</v>
      </c>
      <c r="AS10" s="40">
        <v>1662590</v>
      </c>
      <c r="AT10" s="40">
        <v>1713715</v>
      </c>
      <c r="AU10" s="40">
        <v>1781361</v>
      </c>
      <c r="AV10" s="40">
        <v>1862514</v>
      </c>
      <c r="AW10" s="40">
        <v>1916451</v>
      </c>
      <c r="AX10" s="40">
        <v>1991645</v>
      </c>
      <c r="AY10" s="40">
        <v>2082482</v>
      </c>
      <c r="AZ10" s="40">
        <v>2152304</v>
      </c>
      <c r="BA10" s="40">
        <v>2233921</v>
      </c>
      <c r="BB10" s="40">
        <v>2103486</v>
      </c>
      <c r="BC10" s="40">
        <v>2285400</v>
      </c>
      <c r="BD10" s="40">
        <v>2526428</v>
      </c>
      <c r="BE10" s="40">
        <v>2720029</v>
      </c>
      <c r="BF10" s="40">
        <v>2825213</v>
      </c>
      <c r="BG10" s="41">
        <v>2937377</v>
      </c>
      <c r="BH10" s="41">
        <v>3048965</v>
      </c>
      <c r="BI10" s="41">
        <v>3163474</v>
      </c>
      <c r="BJ10" s="41">
        <v>3281284</v>
      </c>
      <c r="BK10" s="41">
        <v>3401685</v>
      </c>
      <c r="BL10" s="41">
        <v>3529698</v>
      </c>
      <c r="BM10" s="41">
        <v>3662827</v>
      </c>
      <c r="BN10" s="41">
        <v>3799301</v>
      </c>
      <c r="BO10" s="41">
        <v>3940978</v>
      </c>
      <c r="BP10" s="41">
        <v>4087314</v>
      </c>
      <c r="BQ10" s="41">
        <v>4238593</v>
      </c>
      <c r="BR10" s="41">
        <v>4397070</v>
      </c>
      <c r="BS10" s="41">
        <v>4562381</v>
      </c>
      <c r="BT10" s="41">
        <v>4735159</v>
      </c>
      <c r="BU10" s="41">
        <v>4915381</v>
      </c>
      <c r="BV10" s="41">
        <v>5102693</v>
      </c>
      <c r="BW10" s="41">
        <v>5295556</v>
      </c>
      <c r="BX10" s="41">
        <v>5494501</v>
      </c>
      <c r="BY10" s="41">
        <v>5700393</v>
      </c>
      <c r="BZ10" s="41">
        <v>5913455</v>
      </c>
      <c r="CA10" s="41">
        <v>6133991</v>
      </c>
      <c r="CB10" s="41">
        <v>6362254</v>
      </c>
      <c r="CC10" s="41">
        <v>6598518</v>
      </c>
      <c r="CD10" s="41">
        <v>6843070</v>
      </c>
      <c r="CE10" s="41">
        <v>7096190</v>
      </c>
      <c r="CF10" s="41">
        <v>7358334</v>
      </c>
      <c r="CG10" s="41">
        <v>7625030</v>
      </c>
      <c r="CH10" s="41">
        <v>7896976</v>
      </c>
      <c r="CI10" s="41">
        <v>8176504</v>
      </c>
      <c r="CJ10" s="41">
        <v>8465230</v>
      </c>
      <c r="CK10" s="41">
        <v>8762885</v>
      </c>
      <c r="CL10" s="41">
        <v>9069840</v>
      </c>
      <c r="CM10" s="41">
        <v>9387233</v>
      </c>
      <c r="CN10" s="41">
        <v>9716134</v>
      </c>
      <c r="CO10" s="41">
        <v>10056090</v>
      </c>
      <c r="CP10" s="41">
        <v>10408730</v>
      </c>
      <c r="CQ10" s="38" t="s">
        <v>478</v>
      </c>
      <c r="CR10" s="38" t="b">
        <v>1</v>
      </c>
      <c r="CS10" s="38" t="s">
        <v>480</v>
      </c>
      <c r="CT10" s="38" t="s">
        <v>480</v>
      </c>
      <c r="CU10" s="38">
        <v>2024</v>
      </c>
      <c r="CV10" s="38">
        <v>2</v>
      </c>
      <c r="CW10" s="38" t="s">
        <v>480</v>
      </c>
      <c r="CX10" s="38" t="s">
        <v>508</v>
      </c>
      <c r="CY10" s="38" t="s">
        <v>509</v>
      </c>
      <c r="CZ10" s="38" t="s">
        <v>483</v>
      </c>
      <c r="DA10" s="38" t="s">
        <v>510</v>
      </c>
      <c r="DB10" s="39" t="s">
        <v>1268</v>
      </c>
    </row>
    <row r="11" spans="1:106" x14ac:dyDescent="0.25">
      <c r="A11" s="38" t="s">
        <v>473</v>
      </c>
      <c r="B11" s="38" t="s">
        <v>1078</v>
      </c>
      <c r="C11" s="39" t="s">
        <v>1267</v>
      </c>
      <c r="D11" s="38" t="s">
        <v>1079</v>
      </c>
      <c r="E11" s="38" t="s">
        <v>480</v>
      </c>
      <c r="F11" s="38" t="s">
        <v>477</v>
      </c>
      <c r="G11" s="40">
        <v>1E-3</v>
      </c>
      <c r="H11" s="40">
        <v>1E-3</v>
      </c>
      <c r="I11" s="40">
        <v>1E-3</v>
      </c>
      <c r="J11" s="40">
        <v>1E-3</v>
      </c>
      <c r="K11" s="40">
        <v>1E-3</v>
      </c>
      <c r="L11" s="40">
        <v>1E-3</v>
      </c>
      <c r="M11" s="40">
        <v>1E-3</v>
      </c>
      <c r="N11" s="40">
        <v>1E-3</v>
      </c>
      <c r="O11" s="40">
        <v>1E-3</v>
      </c>
      <c r="P11" s="40">
        <v>1E-3</v>
      </c>
      <c r="Q11" s="40">
        <v>1E-3</v>
      </c>
      <c r="R11" s="40">
        <v>1E-3</v>
      </c>
      <c r="S11" s="40">
        <v>1E-3</v>
      </c>
      <c r="T11" s="40">
        <v>33.524140000000003</v>
      </c>
      <c r="U11" s="40">
        <v>33.524140000000003</v>
      </c>
      <c r="V11" s="40">
        <v>33.690100000000001</v>
      </c>
      <c r="W11" s="40">
        <v>33.77308</v>
      </c>
      <c r="X11" s="40">
        <v>33.607120000000002</v>
      </c>
      <c r="Y11" s="40">
        <v>33.192219999999999</v>
      </c>
      <c r="Z11" s="40">
        <v>33.07629</v>
      </c>
      <c r="AA11" s="40">
        <v>33</v>
      </c>
      <c r="AB11" s="40">
        <v>33.225000000000001</v>
      </c>
      <c r="AC11" s="40">
        <v>33.25</v>
      </c>
      <c r="AD11" s="40">
        <v>33.225000000000001</v>
      </c>
      <c r="AE11" s="40">
        <v>33.174999999999997</v>
      </c>
      <c r="AF11" s="40">
        <v>33.075000000000003</v>
      </c>
      <c r="AG11" s="40">
        <v>32.9</v>
      </c>
      <c r="AH11" s="40">
        <v>32.6</v>
      </c>
      <c r="AI11" s="40">
        <v>32.674999999999997</v>
      </c>
      <c r="AJ11" s="40">
        <v>32.325000000000003</v>
      </c>
      <c r="AK11" s="40">
        <v>32.15</v>
      </c>
      <c r="AL11" s="40">
        <v>32.075000000000003</v>
      </c>
      <c r="AM11" s="40">
        <v>32.174999999999997</v>
      </c>
      <c r="AN11" s="40">
        <v>32.049999999999997</v>
      </c>
      <c r="AO11" s="40">
        <v>32.075000000000003</v>
      </c>
      <c r="AP11" s="40">
        <v>31.975000000000001</v>
      </c>
      <c r="AQ11" s="40">
        <v>31.55</v>
      </c>
      <c r="AR11" s="40">
        <v>31.65</v>
      </c>
      <c r="AS11" s="40">
        <v>31.574999999999999</v>
      </c>
      <c r="AT11" s="40">
        <v>31.824999999999999</v>
      </c>
      <c r="AU11" s="40">
        <v>32.049999999999997</v>
      </c>
      <c r="AV11" s="40">
        <v>32.174999999999997</v>
      </c>
      <c r="AW11" s="40">
        <v>32.1</v>
      </c>
      <c r="AX11" s="40">
        <v>32.049999999999997</v>
      </c>
      <c r="AY11" s="40">
        <v>32.1</v>
      </c>
      <c r="AZ11" s="40">
        <v>32</v>
      </c>
      <c r="BA11" s="40">
        <v>32.075000000000003</v>
      </c>
      <c r="BB11" s="40">
        <v>28.95</v>
      </c>
      <c r="BC11" s="40">
        <v>30.975000000000001</v>
      </c>
      <c r="BD11" s="40">
        <v>31.8</v>
      </c>
      <c r="BE11" s="40">
        <v>31.574999999999999</v>
      </c>
      <c r="BF11" s="40">
        <v>32</v>
      </c>
      <c r="BG11" s="41">
        <v>32</v>
      </c>
      <c r="BH11" s="41">
        <v>32</v>
      </c>
      <c r="BI11" s="41">
        <v>31.999479999999998</v>
      </c>
      <c r="BJ11" s="41">
        <v>31.998650000000001</v>
      </c>
      <c r="BK11" s="41">
        <v>31.997810000000001</v>
      </c>
      <c r="BL11" s="41">
        <v>31.996980000000001</v>
      </c>
      <c r="BM11" s="41">
        <v>31.99615</v>
      </c>
      <c r="BN11" s="41">
        <v>31.99531</v>
      </c>
      <c r="BO11" s="41">
        <v>31.993569999999998</v>
      </c>
      <c r="BP11" s="41">
        <v>31.99128</v>
      </c>
      <c r="BQ11" s="41">
        <v>31.988980000000002</v>
      </c>
      <c r="BR11" s="41">
        <v>31.986689999999999</v>
      </c>
      <c r="BS11" s="41">
        <v>31.984400000000001</v>
      </c>
      <c r="BT11" s="41">
        <v>31.982109999999999</v>
      </c>
      <c r="BU11" s="41">
        <v>31.97982</v>
      </c>
      <c r="BV11" s="41">
        <v>31.977530000000002</v>
      </c>
      <c r="BW11" s="41">
        <v>31.974789999999999</v>
      </c>
      <c r="BX11" s="41">
        <v>31.971800000000002</v>
      </c>
      <c r="BY11" s="41">
        <v>31.968800000000002</v>
      </c>
      <c r="BZ11" s="41">
        <v>31.965800000000002</v>
      </c>
      <c r="CA11" s="41">
        <v>31.962800000000001</v>
      </c>
      <c r="CB11" s="41">
        <v>31.959790000000002</v>
      </c>
      <c r="CC11" s="41">
        <v>31.956790000000002</v>
      </c>
      <c r="CD11" s="41">
        <v>31.953790000000001</v>
      </c>
      <c r="CE11" s="41">
        <v>31.950800000000001</v>
      </c>
      <c r="CF11" s="41">
        <v>31.947790000000001</v>
      </c>
      <c r="CG11" s="41">
        <v>31.944800000000001</v>
      </c>
      <c r="CH11" s="41">
        <v>31.941800000000001</v>
      </c>
      <c r="CI11" s="41">
        <v>31.938790000000001</v>
      </c>
      <c r="CJ11" s="41">
        <v>31.935790000000001</v>
      </c>
      <c r="CK11" s="41">
        <v>31.932790000000001</v>
      </c>
      <c r="CL11" s="41">
        <v>31.9298</v>
      </c>
      <c r="CM11" s="41">
        <v>31.9268</v>
      </c>
      <c r="CN11" s="41">
        <v>31.92379</v>
      </c>
      <c r="CO11" s="41">
        <v>31.9208</v>
      </c>
      <c r="CP11" s="41">
        <v>31.9178</v>
      </c>
      <c r="CQ11" s="38" t="s">
        <v>1080</v>
      </c>
      <c r="CR11" s="38" t="b">
        <v>0</v>
      </c>
      <c r="CS11" s="38" t="s">
        <v>480</v>
      </c>
      <c r="CT11" s="38" t="s">
        <v>480</v>
      </c>
      <c r="CU11" s="38">
        <v>2024</v>
      </c>
      <c r="CV11" s="38">
        <v>2</v>
      </c>
      <c r="CW11" s="38" t="s">
        <v>480</v>
      </c>
      <c r="CX11" s="38" t="s">
        <v>1081</v>
      </c>
      <c r="CY11" s="38" t="s">
        <v>1082</v>
      </c>
      <c r="CZ11" s="38" t="s">
        <v>483</v>
      </c>
      <c r="DA11" s="38" t="s">
        <v>1083</v>
      </c>
      <c r="DB11" s="39" t="s">
        <v>1268</v>
      </c>
    </row>
    <row r="12" spans="1:106" x14ac:dyDescent="0.25">
      <c r="A12" s="38" t="s">
        <v>473</v>
      </c>
      <c r="B12" s="39" t="s">
        <v>1228</v>
      </c>
      <c r="C12" s="39" t="s">
        <v>1267</v>
      </c>
      <c r="D12" s="38" t="s">
        <v>1229</v>
      </c>
      <c r="E12" s="38" t="s">
        <v>1084</v>
      </c>
      <c r="F12" s="38" t="s">
        <v>477</v>
      </c>
      <c r="G12" s="40">
        <v>24965</v>
      </c>
      <c r="H12" s="40">
        <v>25029.25</v>
      </c>
      <c r="I12" s="40">
        <v>24933.25</v>
      </c>
      <c r="J12" s="40">
        <v>24786</v>
      </c>
      <c r="K12" s="40">
        <v>24809</v>
      </c>
      <c r="L12" s="40">
        <v>24939.75</v>
      </c>
      <c r="M12" s="40">
        <v>25195.25</v>
      </c>
      <c r="N12" s="40">
        <v>25086.25</v>
      </c>
      <c r="O12" s="40">
        <v>24430</v>
      </c>
      <c r="P12" s="40">
        <v>23950.75</v>
      </c>
      <c r="Q12" s="40">
        <v>23775.25</v>
      </c>
      <c r="R12" s="40">
        <v>24285</v>
      </c>
      <c r="S12" s="40">
        <v>24592.5</v>
      </c>
      <c r="T12" s="40">
        <v>24746.25</v>
      </c>
      <c r="U12" s="40">
        <v>25238.75</v>
      </c>
      <c r="V12" s="40">
        <v>26070</v>
      </c>
      <c r="W12" s="40">
        <v>26748.75</v>
      </c>
      <c r="X12" s="40">
        <v>26871.25</v>
      </c>
      <c r="Y12" s="40">
        <v>26162.5</v>
      </c>
      <c r="Z12" s="40">
        <v>25540</v>
      </c>
      <c r="AA12" s="40">
        <v>25302.75</v>
      </c>
      <c r="AB12" s="40">
        <v>25504.5</v>
      </c>
      <c r="AC12" s="40">
        <v>25818.5</v>
      </c>
      <c r="AD12" s="40">
        <v>26059.75</v>
      </c>
      <c r="AE12" s="40">
        <v>26525.75</v>
      </c>
      <c r="AF12" s="40">
        <v>26795</v>
      </c>
      <c r="AG12" s="40">
        <v>27167.75</v>
      </c>
      <c r="AH12" s="40">
        <v>27483.5</v>
      </c>
      <c r="AI12" s="40">
        <v>27712</v>
      </c>
      <c r="AJ12" s="40">
        <v>27943.75</v>
      </c>
      <c r="AK12" s="40">
        <v>28221.25</v>
      </c>
      <c r="AL12" s="40">
        <v>28530</v>
      </c>
      <c r="AM12" s="40">
        <v>28849.75</v>
      </c>
      <c r="AN12" s="40">
        <v>29137.75</v>
      </c>
      <c r="AO12" s="40">
        <v>29378</v>
      </c>
      <c r="AP12" s="40">
        <v>29628.5</v>
      </c>
      <c r="AQ12" s="40">
        <v>29156</v>
      </c>
      <c r="AR12" s="40">
        <v>29228.5</v>
      </c>
      <c r="AS12" s="40">
        <v>29380</v>
      </c>
      <c r="AT12" s="40">
        <v>29713.75</v>
      </c>
      <c r="AU12" s="40">
        <v>30079.25</v>
      </c>
      <c r="AV12" s="40">
        <v>30793.5</v>
      </c>
      <c r="AW12" s="40">
        <v>31314.5</v>
      </c>
      <c r="AX12" s="40">
        <v>31775.25</v>
      </c>
      <c r="AY12" s="40">
        <v>32087</v>
      </c>
      <c r="AZ12" s="40">
        <v>32458.25</v>
      </c>
      <c r="BA12" s="40">
        <v>32823.25</v>
      </c>
      <c r="BB12" s="40">
        <v>32530.75</v>
      </c>
      <c r="BC12" s="40">
        <v>32492.75</v>
      </c>
      <c r="BD12" s="40">
        <v>32929</v>
      </c>
      <c r="BE12" s="40">
        <v>33160</v>
      </c>
      <c r="BF12" s="40">
        <v>33086.35</v>
      </c>
      <c r="BG12" s="41">
        <v>33428.959999999999</v>
      </c>
      <c r="BH12" s="41">
        <v>33872.67</v>
      </c>
      <c r="BI12" s="41">
        <v>34273.699999999997</v>
      </c>
      <c r="BJ12" s="41">
        <v>34668.400000000001</v>
      </c>
      <c r="BK12" s="41">
        <v>35017.82</v>
      </c>
      <c r="BL12" s="41">
        <v>35336.69</v>
      </c>
      <c r="BM12" s="41">
        <v>35633.089999999997</v>
      </c>
      <c r="BN12" s="41">
        <v>35894.129999999997</v>
      </c>
      <c r="BO12" s="41">
        <v>36127.910000000003</v>
      </c>
      <c r="BP12" s="41">
        <v>36327.83</v>
      </c>
      <c r="BQ12" s="41">
        <v>36492.959999999999</v>
      </c>
      <c r="BR12" s="41">
        <v>36657.519999999997</v>
      </c>
      <c r="BS12" s="41">
        <v>36822.080000000002</v>
      </c>
      <c r="BT12" s="41">
        <v>36986.629999999997</v>
      </c>
      <c r="BU12" s="41">
        <v>37151.19</v>
      </c>
      <c r="BV12" s="41">
        <v>37315.75</v>
      </c>
      <c r="BW12" s="41">
        <v>37467.31</v>
      </c>
      <c r="BX12" s="41">
        <v>37611.089999999997</v>
      </c>
      <c r="BY12" s="41">
        <v>37754.870000000003</v>
      </c>
      <c r="BZ12" s="41">
        <v>37898.65</v>
      </c>
      <c r="CA12" s="41">
        <v>38042.42</v>
      </c>
      <c r="CB12" s="41">
        <v>38186.199999999997</v>
      </c>
      <c r="CC12" s="41">
        <v>38329.980000000003</v>
      </c>
      <c r="CD12" s="41">
        <v>38473.760000000002</v>
      </c>
      <c r="CE12" s="41">
        <v>38617.53</v>
      </c>
      <c r="CF12" s="41">
        <v>38761.31</v>
      </c>
      <c r="CG12" s="41">
        <v>38864.83</v>
      </c>
      <c r="CH12" s="41">
        <v>38934.85</v>
      </c>
      <c r="CI12" s="41">
        <v>38991.660000000003</v>
      </c>
      <c r="CJ12" s="41">
        <v>39046.199999999997</v>
      </c>
      <c r="CK12" s="41">
        <v>39093.57</v>
      </c>
      <c r="CL12" s="41">
        <v>39135.730000000003</v>
      </c>
      <c r="CM12" s="41">
        <v>39179.279999999999</v>
      </c>
      <c r="CN12" s="41">
        <v>39228.5</v>
      </c>
      <c r="CO12" s="41">
        <v>39277.919999999998</v>
      </c>
      <c r="CP12" s="41">
        <v>39333.339999999997</v>
      </c>
      <c r="CQ12" s="38" t="s">
        <v>478</v>
      </c>
      <c r="CR12" s="38" t="b">
        <v>1</v>
      </c>
      <c r="CS12" s="38" t="s">
        <v>480</v>
      </c>
      <c r="CT12" s="38" t="s">
        <v>480</v>
      </c>
      <c r="CU12" s="38">
        <v>2024</v>
      </c>
      <c r="CV12" s="38">
        <v>2</v>
      </c>
      <c r="CW12" s="38" t="s">
        <v>480</v>
      </c>
      <c r="CX12" s="38" t="s">
        <v>1085</v>
      </c>
      <c r="CY12" s="39" t="s">
        <v>1086</v>
      </c>
      <c r="CZ12" s="38" t="s">
        <v>483</v>
      </c>
      <c r="DA12" s="38" t="s">
        <v>1087</v>
      </c>
      <c r="DB12" s="39" t="s">
        <v>1268</v>
      </c>
    </row>
    <row r="13" spans="1:106" x14ac:dyDescent="0.25">
      <c r="A13" s="38" t="s">
        <v>473</v>
      </c>
      <c r="B13" s="38" t="s">
        <v>1088</v>
      </c>
      <c r="C13" s="39" t="s">
        <v>1267</v>
      </c>
      <c r="D13" s="38" t="s">
        <v>475</v>
      </c>
      <c r="E13" s="38" t="s">
        <v>476</v>
      </c>
      <c r="F13" s="38" t="s">
        <v>477</v>
      </c>
      <c r="G13" s="40">
        <v>1097022</v>
      </c>
      <c r="H13" s="40">
        <v>1127181</v>
      </c>
      <c r="I13" s="40">
        <v>1156554</v>
      </c>
      <c r="J13" s="40">
        <v>1183728</v>
      </c>
      <c r="K13" s="40">
        <v>1208546</v>
      </c>
      <c r="L13" s="40">
        <v>1239333</v>
      </c>
      <c r="M13" s="40">
        <v>1263209</v>
      </c>
      <c r="N13" s="40">
        <v>1281901</v>
      </c>
      <c r="O13" s="40">
        <v>1290697</v>
      </c>
      <c r="P13" s="40">
        <v>1302321</v>
      </c>
      <c r="Q13" s="40">
        <v>1316144</v>
      </c>
      <c r="R13" s="40">
        <v>1341276</v>
      </c>
      <c r="S13" s="40">
        <v>1368293</v>
      </c>
      <c r="T13" s="40">
        <v>1390127</v>
      </c>
      <c r="U13" s="40">
        <v>1421385</v>
      </c>
      <c r="V13" s="40">
        <v>1466309</v>
      </c>
      <c r="W13" s="40">
        <v>1519872</v>
      </c>
      <c r="X13" s="40">
        <v>1579875</v>
      </c>
      <c r="Y13" s="40">
        <v>1631082</v>
      </c>
      <c r="Z13" s="40">
        <v>1661869</v>
      </c>
      <c r="AA13" s="40">
        <v>1693127</v>
      </c>
      <c r="AB13" s="40">
        <v>1730354</v>
      </c>
      <c r="AC13" s="40">
        <v>1772765</v>
      </c>
      <c r="AD13" s="40">
        <v>1816275</v>
      </c>
      <c r="AE13" s="40">
        <v>1872351</v>
      </c>
      <c r="AF13" s="40">
        <v>1951679</v>
      </c>
      <c r="AG13" s="40">
        <v>2026660</v>
      </c>
      <c r="AH13" s="40">
        <v>2112508</v>
      </c>
      <c r="AI13" s="40">
        <v>2187489</v>
      </c>
      <c r="AJ13" s="40">
        <v>2248343</v>
      </c>
      <c r="AK13" s="40">
        <v>2301590</v>
      </c>
      <c r="AL13" s="40">
        <v>2359184</v>
      </c>
      <c r="AM13" s="40">
        <v>2420039</v>
      </c>
      <c r="AN13" s="40">
        <v>2489586</v>
      </c>
      <c r="AO13" s="40">
        <v>2574348</v>
      </c>
      <c r="AP13" s="40">
        <v>2642808</v>
      </c>
      <c r="AQ13" s="40">
        <v>2668889</v>
      </c>
      <c r="AR13" s="40">
        <v>2701489</v>
      </c>
      <c r="AS13" s="40">
        <v>2731916</v>
      </c>
      <c r="AT13" s="40">
        <v>2765603</v>
      </c>
      <c r="AU13" s="40">
        <v>2803637</v>
      </c>
      <c r="AV13" s="40">
        <v>2855798</v>
      </c>
      <c r="AW13" s="40">
        <v>2922085</v>
      </c>
      <c r="AX13" s="40">
        <v>2998153</v>
      </c>
      <c r="AY13" s="40">
        <v>3070960</v>
      </c>
      <c r="AZ13" s="40">
        <v>3130728</v>
      </c>
      <c r="BA13" s="40">
        <v>3190496</v>
      </c>
      <c r="BB13" s="40">
        <v>3212229</v>
      </c>
      <c r="BC13" s="40">
        <v>3240483</v>
      </c>
      <c r="BD13" s="40">
        <v>3290470</v>
      </c>
      <c r="BE13" s="40">
        <v>3345891</v>
      </c>
      <c r="BF13" s="41">
        <v>3401300</v>
      </c>
      <c r="BG13" s="41">
        <v>3456145</v>
      </c>
      <c r="BH13" s="41">
        <v>3513286</v>
      </c>
      <c r="BI13" s="41">
        <v>3570882</v>
      </c>
      <c r="BJ13" s="41">
        <v>3627589</v>
      </c>
      <c r="BK13" s="41">
        <v>3684270</v>
      </c>
      <c r="BL13" s="41">
        <v>3743350</v>
      </c>
      <c r="BM13" s="41">
        <v>3805247</v>
      </c>
      <c r="BN13" s="41">
        <v>3869894</v>
      </c>
      <c r="BO13" s="41">
        <v>3937490</v>
      </c>
      <c r="BP13" s="41">
        <v>4007983</v>
      </c>
      <c r="BQ13" s="41">
        <v>4081239</v>
      </c>
      <c r="BR13" s="41">
        <v>4157367</v>
      </c>
      <c r="BS13" s="41">
        <v>4236401</v>
      </c>
      <c r="BT13" s="41">
        <v>4318426</v>
      </c>
      <c r="BU13" s="41">
        <v>4403494</v>
      </c>
      <c r="BV13" s="41">
        <v>4490678</v>
      </c>
      <c r="BW13" s="41">
        <v>4579316</v>
      </c>
      <c r="BX13" s="41">
        <v>4669354</v>
      </c>
      <c r="BY13" s="41">
        <v>4760761</v>
      </c>
      <c r="BZ13" s="41">
        <v>4853527</v>
      </c>
      <c r="CA13" s="41">
        <v>4947667</v>
      </c>
      <c r="CB13" s="41">
        <v>5043197</v>
      </c>
      <c r="CC13" s="41">
        <v>5140135</v>
      </c>
      <c r="CD13" s="41">
        <v>5238500</v>
      </c>
      <c r="CE13" s="41">
        <v>5338313</v>
      </c>
      <c r="CF13" s="41">
        <v>5439592</v>
      </c>
      <c r="CG13" s="41">
        <v>5542625</v>
      </c>
      <c r="CH13" s="41">
        <v>5647496</v>
      </c>
      <c r="CI13" s="41">
        <v>5754086</v>
      </c>
      <c r="CJ13" s="41">
        <v>5862396</v>
      </c>
      <c r="CK13" s="41">
        <v>5972368</v>
      </c>
      <c r="CL13" s="41">
        <v>6083968</v>
      </c>
      <c r="CM13" s="41">
        <v>6197237</v>
      </c>
      <c r="CN13" s="41">
        <v>6312266</v>
      </c>
      <c r="CO13" s="41">
        <v>6429081</v>
      </c>
      <c r="CP13" s="41">
        <v>6547778</v>
      </c>
      <c r="CQ13" s="38" t="s">
        <v>478</v>
      </c>
      <c r="CR13" s="38" t="b">
        <v>0</v>
      </c>
      <c r="CS13" s="39" t="s">
        <v>479</v>
      </c>
      <c r="CT13" s="38" t="s">
        <v>480</v>
      </c>
      <c r="CU13" s="38">
        <v>2023</v>
      </c>
      <c r="CV13" s="38">
        <v>4</v>
      </c>
      <c r="CW13" s="38" t="s">
        <v>480</v>
      </c>
      <c r="CX13" s="39" t="s">
        <v>1089</v>
      </c>
      <c r="CY13" s="39" t="s">
        <v>1090</v>
      </c>
      <c r="CZ13" s="38" t="s">
        <v>483</v>
      </c>
      <c r="DA13" s="38" t="s">
        <v>1091</v>
      </c>
      <c r="DB13" s="39" t="s">
        <v>1268</v>
      </c>
    </row>
    <row r="14" spans="1:106" x14ac:dyDescent="0.25">
      <c r="A14"/>
      <c r="B14"/>
      <c r="C14"/>
      <c r="D14"/>
      <c r="E14"/>
      <c r="F14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/>
      <c r="CR14"/>
      <c r="CS14"/>
      <c r="CT14"/>
      <c r="CU14"/>
      <c r="CV14"/>
      <c r="CW14"/>
      <c r="CX14"/>
      <c r="CY14"/>
      <c r="CZ14"/>
      <c r="DA14"/>
      <c r="DB14"/>
    </row>
    <row r="15" spans="1:106" x14ac:dyDescent="0.25">
      <c r="A15"/>
      <c r="B15"/>
      <c r="C15"/>
      <c r="D15"/>
      <c r="E15"/>
      <c r="F15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/>
      <c r="CR15"/>
      <c r="CS15"/>
      <c r="CT15"/>
      <c r="CU15"/>
      <c r="CV15"/>
      <c r="CW15"/>
      <c r="CX15"/>
      <c r="CY15"/>
      <c r="CZ15"/>
      <c r="DA15"/>
      <c r="DB15"/>
    </row>
    <row r="16" spans="1:106" x14ac:dyDescent="0.25">
      <c r="A16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</row>
    <row r="17" spans="1:94" x14ac:dyDescent="0.25">
      <c r="A17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8E6F-E5DC-4900-A083-8B8A84215A59}">
  <sheetPr codeName="Sheet17"/>
  <dimension ref="A1:BD147"/>
  <sheetViews>
    <sheetView workbookViewId="0">
      <pane xSplit="1" ySplit="8" topLeftCell="AC73" activePane="bottomRight" state="frozen"/>
      <selection pane="topRight" activeCell="B1" sqref="B1"/>
      <selection pane="bottomLeft" activeCell="A7" sqref="A7"/>
      <selection pane="bottomRight" activeCell="AH147" sqref="AH147"/>
    </sheetView>
  </sheetViews>
  <sheetFormatPr defaultRowHeight="15" x14ac:dyDescent="0.25"/>
  <cols>
    <col min="2" max="56" width="17.7109375" customWidth="1"/>
  </cols>
  <sheetData>
    <row r="1" spans="1:56" x14ac:dyDescent="0.25">
      <c r="Y1" s="1" t="s">
        <v>589</v>
      </c>
      <c r="Z1" s="1" t="s">
        <v>590</v>
      </c>
      <c r="AI1" t="s">
        <v>1388</v>
      </c>
      <c r="AJ1" s="3">
        <f>AVERAGE(AJ49:AJ147)</f>
        <v>39.585858585858588</v>
      </c>
      <c r="AK1" s="3">
        <f t="shared" ref="AK1:BD1" si="0">AVERAGE(AK49:AK147)</f>
        <v>19.858585858585858</v>
      </c>
      <c r="AL1" s="3">
        <f t="shared" si="0"/>
        <v>6.6767676767676765</v>
      </c>
      <c r="AM1" s="3">
        <f t="shared" si="0"/>
        <v>5.3939393939393936</v>
      </c>
      <c r="AN1" s="3">
        <f t="shared" si="0"/>
        <v>51.18181818181818</v>
      </c>
      <c r="AO1" s="3">
        <f t="shared" si="0"/>
        <v>12.090909090909092</v>
      </c>
      <c r="AP1" s="3">
        <f t="shared" si="0"/>
        <v>5.9393939393939394</v>
      </c>
      <c r="AQ1" s="3">
        <f t="shared" si="0"/>
        <v>28.767676767676768</v>
      </c>
      <c r="AR1" s="3">
        <f t="shared" si="0"/>
        <v>20.020202020202021</v>
      </c>
      <c r="AS1" s="3">
        <f t="shared" si="0"/>
        <v>8.2525252525252526</v>
      </c>
      <c r="AT1" s="3">
        <f t="shared" si="0"/>
        <v>5.9292929292929291</v>
      </c>
      <c r="AU1" s="3">
        <f t="shared" si="0"/>
        <v>56.252525252525253</v>
      </c>
      <c r="AV1" s="3">
        <f t="shared" si="0"/>
        <v>14.070707070707071</v>
      </c>
      <c r="AW1" s="3">
        <f t="shared" si="0"/>
        <v>3.8888888888888888</v>
      </c>
      <c r="AX1" s="3">
        <f t="shared" si="0"/>
        <v>36.727272727272727</v>
      </c>
      <c r="AY1" s="3">
        <f t="shared" si="0"/>
        <v>23.151515151515152</v>
      </c>
      <c r="AZ1" s="3">
        <f t="shared" si="0"/>
        <v>10.111111111111111</v>
      </c>
      <c r="BA1" s="3">
        <f t="shared" si="0"/>
        <v>9.0202020202020208</v>
      </c>
      <c r="BB1" s="3">
        <f t="shared" si="0"/>
        <v>46.868686868686872</v>
      </c>
      <c r="BC1" s="3">
        <f t="shared" si="0"/>
        <v>13.020202020202021</v>
      </c>
      <c r="BD1" s="3">
        <f t="shared" si="0"/>
        <v>6.2020202020202024</v>
      </c>
    </row>
    <row r="2" spans="1:56" x14ac:dyDescent="0.25">
      <c r="Y2" s="1"/>
      <c r="Z2" s="1"/>
      <c r="AI2" t="s">
        <v>1389</v>
      </c>
      <c r="AJ2" s="3">
        <f>STDEV(AJ49:AJ147)</f>
        <v>7.0566369121848922</v>
      </c>
      <c r="AK2" s="3">
        <f t="shared" ref="AK2:BD2" si="1">STDEV(AK49:AK147)</f>
        <v>5.5217752635751722</v>
      </c>
      <c r="AL2" s="3">
        <f t="shared" si="1"/>
        <v>4.3514676924146203</v>
      </c>
      <c r="AM2" s="3">
        <f t="shared" si="1"/>
        <v>4.6900201945045881</v>
      </c>
      <c r="AN2" s="3">
        <f t="shared" si="1"/>
        <v>7.3932727783281473</v>
      </c>
      <c r="AO2" s="3">
        <f t="shared" si="1"/>
        <v>8.6485706133971352</v>
      </c>
      <c r="AP2" s="3">
        <f t="shared" si="1"/>
        <v>3.7602056549765992</v>
      </c>
      <c r="AQ2" s="3">
        <f t="shared" si="1"/>
        <v>7.88544031981169</v>
      </c>
      <c r="AR2" s="3">
        <f t="shared" si="1"/>
        <v>6.6944689292344677</v>
      </c>
      <c r="AS2" s="3">
        <f t="shared" si="1"/>
        <v>5.1574068676851157</v>
      </c>
      <c r="AT2" s="3">
        <f t="shared" si="1"/>
        <v>5.9731585417044855</v>
      </c>
      <c r="AU2" s="3">
        <f t="shared" si="1"/>
        <v>11.039209741702283</v>
      </c>
      <c r="AV2" s="3">
        <f t="shared" si="1"/>
        <v>8.0245192179109992</v>
      </c>
      <c r="AW2" s="3">
        <f t="shared" si="1"/>
        <v>3.478472831952319</v>
      </c>
      <c r="AX2" s="3">
        <f t="shared" si="1"/>
        <v>11.789668758063593</v>
      </c>
      <c r="AY2" s="3">
        <f t="shared" si="1"/>
        <v>9.0557948933419592</v>
      </c>
      <c r="AZ2" s="3">
        <f t="shared" si="1"/>
        <v>7.263114653309569</v>
      </c>
      <c r="BA2" s="3">
        <f t="shared" si="1"/>
        <v>8.1164732941272959</v>
      </c>
      <c r="BB2" s="3">
        <f t="shared" si="1"/>
        <v>11.766995060247408</v>
      </c>
      <c r="BC2" s="3">
        <f t="shared" si="1"/>
        <v>11.19126827812903</v>
      </c>
      <c r="BD2" s="3">
        <f t="shared" si="1"/>
        <v>4.8780637635459794</v>
      </c>
    </row>
    <row r="3" spans="1:56" x14ac:dyDescent="0.25">
      <c r="A3" s="2" t="s">
        <v>548</v>
      </c>
      <c r="B3" s="1" t="s">
        <v>0</v>
      </c>
      <c r="C3" s="1" t="s">
        <v>486</v>
      </c>
      <c r="D3" s="1" t="s">
        <v>1038</v>
      </c>
      <c r="E3" s="1" t="s">
        <v>1036</v>
      </c>
      <c r="F3" s="1" t="s">
        <v>1039</v>
      </c>
      <c r="G3" s="1" t="s">
        <v>1040</v>
      </c>
      <c r="H3" s="1" t="s">
        <v>1041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101</v>
      </c>
      <c r="O3" s="1" t="s">
        <v>224</v>
      </c>
      <c r="P3" s="1" t="s">
        <v>225</v>
      </c>
      <c r="Q3" s="1" t="s">
        <v>226</v>
      </c>
      <c r="R3" s="1" t="s">
        <v>227</v>
      </c>
      <c r="S3" s="1" t="s">
        <v>228</v>
      </c>
      <c r="T3" s="1" t="s">
        <v>229</v>
      </c>
      <c r="U3" s="1" t="s">
        <v>230</v>
      </c>
      <c r="V3" s="1" t="s">
        <v>231</v>
      </c>
      <c r="W3" s="1" t="s">
        <v>516</v>
      </c>
      <c r="X3" s="1" t="s">
        <v>517</v>
      </c>
      <c r="AA3" s="1" t="s">
        <v>535</v>
      </c>
      <c r="AB3" s="1" t="s">
        <v>518</v>
      </c>
      <c r="AC3" s="1" t="s">
        <v>519</v>
      </c>
      <c r="AD3" s="1" t="s">
        <v>520</v>
      </c>
      <c r="AE3" s="1" t="s">
        <v>521</v>
      </c>
      <c r="AF3" s="1" t="s">
        <v>1258</v>
      </c>
      <c r="AG3" s="1" t="s">
        <v>1401</v>
      </c>
      <c r="AH3" s="1" t="s">
        <v>1402</v>
      </c>
      <c r="AI3" s="1" t="s">
        <v>1257</v>
      </c>
      <c r="AJ3" s="1" t="s">
        <v>1344</v>
      </c>
      <c r="AK3" s="1" t="s">
        <v>1345</v>
      </c>
      <c r="AL3" s="1" t="s">
        <v>1346</v>
      </c>
      <c r="AM3" s="1" t="s">
        <v>1347</v>
      </c>
      <c r="AN3" s="1" t="s">
        <v>1348</v>
      </c>
      <c r="AO3" s="1" t="s">
        <v>1349</v>
      </c>
      <c r="AP3" s="1" t="s">
        <v>1350</v>
      </c>
      <c r="AQ3" s="1" t="s">
        <v>1351</v>
      </c>
      <c r="AR3" s="1" t="s">
        <v>1352</v>
      </c>
      <c r="AS3" s="1" t="s">
        <v>1353</v>
      </c>
      <c r="AT3" s="1" t="s">
        <v>1354</v>
      </c>
      <c r="AU3" s="1" t="s">
        <v>1355</v>
      </c>
      <c r="AV3" s="1" t="s">
        <v>1356</v>
      </c>
      <c r="AW3" s="1" t="s">
        <v>1357</v>
      </c>
      <c r="AX3" s="1" t="s">
        <v>1358</v>
      </c>
      <c r="AY3" s="1" t="s">
        <v>1359</v>
      </c>
      <c r="AZ3" s="1" t="s">
        <v>1360</v>
      </c>
      <c r="BA3" s="1" t="s">
        <v>1361</v>
      </c>
      <c r="BB3" s="1" t="s">
        <v>1362</v>
      </c>
      <c r="BC3" s="1" t="s">
        <v>1363</v>
      </c>
      <c r="BD3" s="1" t="s">
        <v>1364</v>
      </c>
    </row>
    <row r="4" spans="1:56" s="5" customFormat="1" ht="90" x14ac:dyDescent="0.25">
      <c r="A4" s="5" t="s">
        <v>11</v>
      </c>
      <c r="B4" s="5" t="s">
        <v>1293</v>
      </c>
      <c r="C4" s="5" t="s">
        <v>1294</v>
      </c>
      <c r="D4" s="5" t="s">
        <v>1295</v>
      </c>
      <c r="E4" s="5" t="s">
        <v>1296</v>
      </c>
      <c r="F4" s="5" t="s">
        <v>1297</v>
      </c>
      <c r="G4" s="5" t="s">
        <v>1298</v>
      </c>
      <c r="H4" s="5" t="s">
        <v>1299</v>
      </c>
      <c r="I4" s="5" t="s">
        <v>1301</v>
      </c>
      <c r="J4" s="5" t="s">
        <v>1302</v>
      </c>
      <c r="K4" s="5" t="s">
        <v>1303</v>
      </c>
      <c r="L4" s="5" t="s">
        <v>1304</v>
      </c>
      <c r="M4" s="5" t="s">
        <v>1305</v>
      </c>
      <c r="N4" s="5" t="s">
        <v>1306</v>
      </c>
      <c r="O4" s="5" t="s">
        <v>1307</v>
      </c>
      <c r="P4" s="5" t="s">
        <v>1308</v>
      </c>
      <c r="Q4" s="5" t="s">
        <v>1309</v>
      </c>
      <c r="R4" s="5" t="s">
        <v>1310</v>
      </c>
      <c r="S4" s="5" t="s">
        <v>1311</v>
      </c>
      <c r="T4" s="5" t="s">
        <v>1312</v>
      </c>
      <c r="U4" s="5" t="s">
        <v>1313</v>
      </c>
      <c r="V4" s="5" t="s">
        <v>1314</v>
      </c>
      <c r="W4" s="5" t="s">
        <v>524</v>
      </c>
      <c r="X4" s="5" t="s">
        <v>525</v>
      </c>
      <c r="AA4" s="5" t="s">
        <v>538</v>
      </c>
      <c r="AB4" s="5" t="s">
        <v>528</v>
      </c>
      <c r="AC4" s="5" t="s">
        <v>530</v>
      </c>
      <c r="AD4" s="5" t="s">
        <v>532</v>
      </c>
      <c r="AE4" s="5" t="s">
        <v>533</v>
      </c>
      <c r="AF4" s="5" t="s">
        <v>1260</v>
      </c>
      <c r="AG4" s="5" t="s">
        <v>1405</v>
      </c>
      <c r="AH4" s="5" t="s">
        <v>1406</v>
      </c>
      <c r="AI4" s="5" t="s">
        <v>1261</v>
      </c>
      <c r="AJ4" s="5" t="s">
        <v>1367</v>
      </c>
      <c r="AK4" s="5" t="s">
        <v>1368</v>
      </c>
      <c r="AL4" s="5" t="s">
        <v>1369</v>
      </c>
      <c r="AM4" s="5" t="s">
        <v>1370</v>
      </c>
      <c r="AN4" s="5" t="s">
        <v>1371</v>
      </c>
      <c r="AO4" s="5" t="s">
        <v>1372</v>
      </c>
      <c r="AP4" s="5" t="s">
        <v>1373</v>
      </c>
      <c r="AQ4" s="5" t="s">
        <v>1374</v>
      </c>
      <c r="AR4" s="5" t="s">
        <v>1375</v>
      </c>
      <c r="AS4" s="5" t="s">
        <v>1376</v>
      </c>
      <c r="AT4" s="5" t="s">
        <v>1377</v>
      </c>
      <c r="AU4" s="5" t="s">
        <v>1378</v>
      </c>
      <c r="AV4" s="5" t="s">
        <v>1379</v>
      </c>
      <c r="AW4" s="5" t="s">
        <v>1380</v>
      </c>
      <c r="AX4" s="5" t="s">
        <v>1381</v>
      </c>
      <c r="AY4" s="5" t="s">
        <v>1382</v>
      </c>
      <c r="AZ4" s="5" t="s">
        <v>1383</v>
      </c>
      <c r="BA4" s="5" t="s">
        <v>1384</v>
      </c>
      <c r="BB4" s="5" t="s">
        <v>1385</v>
      </c>
      <c r="BC4" s="5" t="s">
        <v>1386</v>
      </c>
      <c r="BD4" s="5" t="s">
        <v>1387</v>
      </c>
    </row>
    <row r="5" spans="1:56" x14ac:dyDescent="0.25">
      <c r="A5" t="s">
        <v>10</v>
      </c>
      <c r="B5" t="s">
        <v>13</v>
      </c>
      <c r="C5" t="s">
        <v>1042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523</v>
      </c>
      <c r="X5" t="s">
        <v>523</v>
      </c>
      <c r="AA5" t="s">
        <v>537</v>
      </c>
      <c r="AB5" t="s">
        <v>527</v>
      </c>
      <c r="AC5" t="s">
        <v>529</v>
      </c>
      <c r="AD5" t="s">
        <v>531</v>
      </c>
      <c r="AE5" t="s">
        <v>531</v>
      </c>
      <c r="AF5" t="s">
        <v>1259</v>
      </c>
      <c r="AG5" t="s">
        <v>1404</v>
      </c>
      <c r="AH5" t="s">
        <v>1404</v>
      </c>
      <c r="AI5" t="s">
        <v>1042</v>
      </c>
      <c r="AJ5" t="s">
        <v>1366</v>
      </c>
      <c r="AK5" t="s">
        <v>1366</v>
      </c>
      <c r="AL5" t="s">
        <v>1366</v>
      </c>
      <c r="AM5" t="s">
        <v>1366</v>
      </c>
      <c r="AN5" t="s">
        <v>1366</v>
      </c>
      <c r="AO5" t="s">
        <v>1366</v>
      </c>
      <c r="AP5" t="s">
        <v>1366</v>
      </c>
      <c r="AQ5" t="s">
        <v>531</v>
      </c>
      <c r="AR5" t="s">
        <v>531</v>
      </c>
      <c r="AS5" t="s">
        <v>531</v>
      </c>
      <c r="AT5" t="s">
        <v>531</v>
      </c>
      <c r="AU5" t="s">
        <v>531</v>
      </c>
      <c r="AV5" t="s">
        <v>531</v>
      </c>
      <c r="AW5" t="s">
        <v>531</v>
      </c>
      <c r="AX5" t="s">
        <v>531</v>
      </c>
      <c r="AY5" t="s">
        <v>531</v>
      </c>
      <c r="AZ5" t="s">
        <v>531</v>
      </c>
      <c r="BA5" t="s">
        <v>531</v>
      </c>
      <c r="BB5" t="s">
        <v>531</v>
      </c>
      <c r="BC5" t="s">
        <v>531</v>
      </c>
      <c r="BD5" t="s">
        <v>531</v>
      </c>
    </row>
    <row r="6" spans="1:56" x14ac:dyDescent="0.25">
      <c r="A6" t="s">
        <v>9</v>
      </c>
      <c r="B6" t="s">
        <v>1169</v>
      </c>
      <c r="C6" t="s">
        <v>1169</v>
      </c>
      <c r="D6" t="s">
        <v>1169</v>
      </c>
      <c r="E6" t="s">
        <v>1169</v>
      </c>
      <c r="F6" t="s">
        <v>1169</v>
      </c>
      <c r="G6" t="s">
        <v>1169</v>
      </c>
      <c r="H6" t="s">
        <v>1169</v>
      </c>
      <c r="I6" t="s">
        <v>1169</v>
      </c>
      <c r="J6" t="s">
        <v>1169</v>
      </c>
      <c r="K6" t="s">
        <v>1169</v>
      </c>
      <c r="L6" t="s">
        <v>1169</v>
      </c>
      <c r="M6" t="s">
        <v>1169</v>
      </c>
      <c r="N6" t="s">
        <v>1169</v>
      </c>
      <c r="O6" t="s">
        <v>1169</v>
      </c>
      <c r="P6" t="s">
        <v>1169</v>
      </c>
      <c r="Q6" t="s">
        <v>1169</v>
      </c>
      <c r="R6" t="s">
        <v>1169</v>
      </c>
      <c r="S6" t="s">
        <v>1169</v>
      </c>
      <c r="T6" t="s">
        <v>1169</v>
      </c>
      <c r="U6" t="s">
        <v>1169</v>
      </c>
      <c r="V6" t="s">
        <v>1169</v>
      </c>
      <c r="W6" t="s">
        <v>1178</v>
      </c>
      <c r="X6" t="s">
        <v>1178</v>
      </c>
      <c r="AA6" t="s">
        <v>1176</v>
      </c>
      <c r="AB6" t="s">
        <v>1178</v>
      </c>
      <c r="AC6" t="s">
        <v>1178</v>
      </c>
      <c r="AD6" t="s">
        <v>1178</v>
      </c>
      <c r="AE6" t="s">
        <v>1178</v>
      </c>
      <c r="AF6" t="s">
        <v>1169</v>
      </c>
      <c r="AG6" t="s">
        <v>1178</v>
      </c>
      <c r="AH6" t="s">
        <v>1178</v>
      </c>
      <c r="AI6" t="s">
        <v>1169</v>
      </c>
      <c r="AJ6" t="s">
        <v>1178</v>
      </c>
      <c r="AK6" t="s">
        <v>1178</v>
      </c>
      <c r="AL6" t="s">
        <v>1178</v>
      </c>
      <c r="AM6" t="s">
        <v>1178</v>
      </c>
      <c r="AN6" t="s">
        <v>1178</v>
      </c>
      <c r="AO6" t="s">
        <v>1178</v>
      </c>
      <c r="AP6" t="s">
        <v>1178</v>
      </c>
      <c r="AQ6" t="s">
        <v>1178</v>
      </c>
      <c r="AR6" t="s">
        <v>1178</v>
      </c>
      <c r="AS6" t="s">
        <v>1178</v>
      </c>
      <c r="AT6" t="s">
        <v>1178</v>
      </c>
      <c r="AU6" t="s">
        <v>1178</v>
      </c>
      <c r="AV6" t="s">
        <v>1178</v>
      </c>
      <c r="AW6" t="s">
        <v>1178</v>
      </c>
      <c r="AX6" t="s">
        <v>1178</v>
      </c>
      <c r="AY6" t="s">
        <v>1178</v>
      </c>
      <c r="AZ6" t="s">
        <v>1178</v>
      </c>
      <c r="BA6" t="s">
        <v>1178</v>
      </c>
      <c r="BB6" t="s">
        <v>1178</v>
      </c>
      <c r="BC6" t="s">
        <v>1178</v>
      </c>
      <c r="BD6" t="s">
        <v>1178</v>
      </c>
    </row>
    <row r="7" spans="1:56" x14ac:dyDescent="0.25">
      <c r="A7" t="s">
        <v>8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522</v>
      </c>
      <c r="X7" t="s">
        <v>522</v>
      </c>
      <c r="AA7" t="s">
        <v>536</v>
      </c>
      <c r="AB7" t="s">
        <v>526</v>
      </c>
      <c r="AC7" t="s">
        <v>526</v>
      </c>
      <c r="AD7" t="s">
        <v>526</v>
      </c>
      <c r="AE7" t="s">
        <v>526</v>
      </c>
      <c r="AF7" t="s">
        <v>12</v>
      </c>
      <c r="AG7" t="s">
        <v>536</v>
      </c>
      <c r="AH7" t="s">
        <v>536</v>
      </c>
      <c r="AI7" t="s">
        <v>12</v>
      </c>
      <c r="AJ7" t="s">
        <v>526</v>
      </c>
      <c r="AK7" t="s">
        <v>526</v>
      </c>
      <c r="AL7" t="s">
        <v>526</v>
      </c>
      <c r="AM7" t="s">
        <v>526</v>
      </c>
      <c r="AN7" t="s">
        <v>526</v>
      </c>
      <c r="AO7" t="s">
        <v>526</v>
      </c>
      <c r="AP7" t="s">
        <v>526</v>
      </c>
      <c r="AQ7" t="s">
        <v>526</v>
      </c>
      <c r="AR7" t="s">
        <v>526</v>
      </c>
      <c r="AS7" t="s">
        <v>526</v>
      </c>
      <c r="AT7" t="s">
        <v>526</v>
      </c>
      <c r="AU7" t="s">
        <v>526</v>
      </c>
      <c r="AV7" t="s">
        <v>526</v>
      </c>
      <c r="AW7" t="s">
        <v>526</v>
      </c>
      <c r="AX7" t="s">
        <v>526</v>
      </c>
      <c r="AY7" t="s">
        <v>526</v>
      </c>
      <c r="AZ7" t="s">
        <v>526</v>
      </c>
      <c r="BA7" t="s">
        <v>526</v>
      </c>
      <c r="BB7" t="s">
        <v>526</v>
      </c>
      <c r="BC7" t="s">
        <v>526</v>
      </c>
      <c r="BD7" t="s">
        <v>526</v>
      </c>
    </row>
    <row r="8" spans="1:56" x14ac:dyDescent="0.25">
      <c r="A8" t="s">
        <v>7</v>
      </c>
      <c r="B8" t="s">
        <v>1292</v>
      </c>
      <c r="C8" t="s">
        <v>1292</v>
      </c>
      <c r="D8" t="s">
        <v>1292</v>
      </c>
      <c r="E8" t="s">
        <v>1292</v>
      </c>
      <c r="F8" t="s">
        <v>1292</v>
      </c>
      <c r="G8" t="s">
        <v>1292</v>
      </c>
      <c r="H8" t="s">
        <v>1292</v>
      </c>
      <c r="I8" t="s">
        <v>1300</v>
      </c>
      <c r="J8" t="s">
        <v>1300</v>
      </c>
      <c r="K8" t="s">
        <v>1300</v>
      </c>
      <c r="L8" t="s">
        <v>1300</v>
      </c>
      <c r="M8" t="s">
        <v>1300</v>
      </c>
      <c r="N8" t="s">
        <v>1300</v>
      </c>
      <c r="O8" t="s">
        <v>1300</v>
      </c>
      <c r="P8" t="s">
        <v>1300</v>
      </c>
      <c r="Q8" t="s">
        <v>1300</v>
      </c>
      <c r="R8" t="s">
        <v>1300</v>
      </c>
      <c r="S8" t="s">
        <v>1300</v>
      </c>
      <c r="T8" t="s">
        <v>1300</v>
      </c>
      <c r="U8" t="s">
        <v>1300</v>
      </c>
      <c r="V8" t="s">
        <v>1300</v>
      </c>
      <c r="W8" t="s">
        <v>1365</v>
      </c>
      <c r="X8" t="s">
        <v>1365</v>
      </c>
      <c r="AA8" t="s">
        <v>1175</v>
      </c>
      <c r="AB8" t="s">
        <v>1177</v>
      </c>
      <c r="AC8" t="s">
        <v>1179</v>
      </c>
      <c r="AD8" t="s">
        <v>1180</v>
      </c>
      <c r="AE8" t="s">
        <v>1180</v>
      </c>
      <c r="AF8" t="s">
        <v>1315</v>
      </c>
      <c r="AG8" t="s">
        <v>1403</v>
      </c>
      <c r="AH8" t="s">
        <v>1403</v>
      </c>
      <c r="AI8" t="s">
        <v>1316</v>
      </c>
      <c r="AJ8" t="s">
        <v>1177</v>
      </c>
      <c r="AK8" t="s">
        <v>1177</v>
      </c>
      <c r="AL8" t="s">
        <v>1177</v>
      </c>
      <c r="AM8" t="s">
        <v>1177</v>
      </c>
      <c r="AN8" t="s">
        <v>1177</v>
      </c>
      <c r="AO8" t="s">
        <v>1177</v>
      </c>
      <c r="AP8" t="s">
        <v>1177</v>
      </c>
      <c r="AQ8" t="s">
        <v>1180</v>
      </c>
      <c r="AR8" t="s">
        <v>1180</v>
      </c>
      <c r="AS8" t="s">
        <v>1180</v>
      </c>
      <c r="AT8" t="s">
        <v>1180</v>
      </c>
      <c r="AU8" t="s">
        <v>1180</v>
      </c>
      <c r="AV8" t="s">
        <v>1180</v>
      </c>
      <c r="AW8" t="s">
        <v>1180</v>
      </c>
      <c r="AX8" t="s">
        <v>1180</v>
      </c>
      <c r="AY8" t="s">
        <v>1180</v>
      </c>
      <c r="AZ8" t="s">
        <v>1180</v>
      </c>
      <c r="BA8" t="s">
        <v>1180</v>
      </c>
      <c r="BB8" t="s">
        <v>1180</v>
      </c>
      <c r="BC8" t="s">
        <v>1180</v>
      </c>
      <c r="BD8" t="s">
        <v>1180</v>
      </c>
    </row>
    <row r="9" spans="1:56" x14ac:dyDescent="0.25">
      <c r="A9" t="s">
        <v>549</v>
      </c>
      <c r="B9" s="3" t="e">
        <v>#N/A</v>
      </c>
      <c r="C9" s="3">
        <v>71617</v>
      </c>
      <c r="D9" s="3" t="e">
        <v>#N/A</v>
      </c>
      <c r="E9" s="3" t="e">
        <v>#N/A</v>
      </c>
      <c r="F9" s="3" t="e">
        <v>#N/A</v>
      </c>
      <c r="G9" s="3" t="e">
        <v>#N/A</v>
      </c>
      <c r="H9" s="3" t="e">
        <v>#N/A</v>
      </c>
      <c r="I9" s="4" t="e">
        <v>#N/A</v>
      </c>
      <c r="J9" s="4" t="e">
        <v>#N/A</v>
      </c>
      <c r="K9" s="4" t="e">
        <v>#N/A</v>
      </c>
      <c r="L9" s="4" t="e">
        <v>#N/A</v>
      </c>
      <c r="M9" s="3" t="e">
        <v>#N/A</v>
      </c>
      <c r="N9" s="4" t="e">
        <v>#N/A</v>
      </c>
      <c r="O9" s="4" t="e">
        <v>#N/A</v>
      </c>
      <c r="P9" s="4" t="e">
        <v>#N/A</v>
      </c>
      <c r="Q9" s="4" t="e">
        <v>#N/A</v>
      </c>
      <c r="R9" s="4" t="e">
        <v>#N/A</v>
      </c>
      <c r="S9" s="4" t="e">
        <v>#N/A</v>
      </c>
      <c r="T9" s="4" t="e">
        <v>#N/A</v>
      </c>
      <c r="U9" s="4" t="e">
        <v>#N/A</v>
      </c>
      <c r="V9" s="4" t="e">
        <v>#N/A</v>
      </c>
      <c r="W9" s="3">
        <v>10</v>
      </c>
      <c r="X9" s="3">
        <v>14</v>
      </c>
      <c r="Y9" s="4" t="e">
        <v>#N/A</v>
      </c>
      <c r="Z9" s="4" t="e">
        <v>#N/A</v>
      </c>
      <c r="AA9" s="4" t="e">
        <v>#N/A</v>
      </c>
      <c r="AB9" s="3">
        <v>-8</v>
      </c>
      <c r="AC9" s="3">
        <v>-12</v>
      </c>
      <c r="AD9" s="3" t="e">
        <v>#N/A</v>
      </c>
      <c r="AE9" s="3" t="e">
        <v>#N/A</v>
      </c>
      <c r="AF9" s="3">
        <v>5902</v>
      </c>
      <c r="AG9" s="4" t="e">
        <v>#N/A</v>
      </c>
      <c r="AH9" s="4" t="e">
        <v>#N/A</v>
      </c>
      <c r="AI9" s="3">
        <v>31743</v>
      </c>
      <c r="AJ9" s="3">
        <v>49</v>
      </c>
      <c r="AK9" s="3">
        <v>18</v>
      </c>
      <c r="AL9" s="3">
        <v>1</v>
      </c>
      <c r="AM9" s="3">
        <v>20</v>
      </c>
      <c r="AN9" s="3">
        <v>44</v>
      </c>
      <c r="AO9" s="3">
        <v>6</v>
      </c>
      <c r="AP9" s="3">
        <v>1</v>
      </c>
      <c r="AQ9" s="3" t="e">
        <v>#N/A</v>
      </c>
      <c r="AR9" s="3" t="e">
        <v>#N/A</v>
      </c>
      <c r="AS9" s="3" t="e">
        <v>#N/A</v>
      </c>
      <c r="AT9" s="3" t="e">
        <v>#N/A</v>
      </c>
      <c r="AU9" s="3" t="e">
        <v>#N/A</v>
      </c>
      <c r="AV9" s="3" t="e">
        <v>#N/A</v>
      </c>
      <c r="AW9" s="3" t="e">
        <v>#N/A</v>
      </c>
      <c r="AX9" s="3" t="e">
        <v>#N/A</v>
      </c>
      <c r="AY9" s="3" t="e">
        <v>#N/A</v>
      </c>
      <c r="AZ9" s="3" t="e">
        <v>#N/A</v>
      </c>
      <c r="BA9" s="3" t="e">
        <v>#N/A</v>
      </c>
      <c r="BB9" s="3" t="e">
        <v>#N/A</v>
      </c>
      <c r="BC9" s="3" t="e">
        <v>#N/A</v>
      </c>
      <c r="BD9" s="3" t="e">
        <v>#N/A</v>
      </c>
    </row>
    <row r="10" spans="1:56" x14ac:dyDescent="0.25">
      <c r="A10" t="s">
        <v>550</v>
      </c>
      <c r="B10" s="3" t="e">
        <v>#N/A</v>
      </c>
      <c r="C10" s="3">
        <v>70596</v>
      </c>
      <c r="D10" s="3" t="e">
        <v>#N/A</v>
      </c>
      <c r="E10" s="3" t="e">
        <v>#N/A</v>
      </c>
      <c r="F10" s="3" t="e">
        <v>#N/A</v>
      </c>
      <c r="G10" s="3" t="e">
        <v>#N/A</v>
      </c>
      <c r="H10" s="3" t="e">
        <v>#N/A</v>
      </c>
      <c r="I10" s="4" t="e">
        <v>#N/A</v>
      </c>
      <c r="J10" s="4" t="e">
        <v>#N/A</v>
      </c>
      <c r="K10" s="4" t="e">
        <v>#N/A</v>
      </c>
      <c r="L10" s="4" t="e">
        <v>#N/A</v>
      </c>
      <c r="M10" s="3" t="e">
        <v>#N/A</v>
      </c>
      <c r="N10" s="4" t="e">
        <v>#N/A</v>
      </c>
      <c r="O10" s="4" t="e">
        <v>#N/A</v>
      </c>
      <c r="P10" s="4" t="e">
        <v>#N/A</v>
      </c>
      <c r="Q10" s="4" t="e">
        <v>#N/A</v>
      </c>
      <c r="R10" s="4" t="e">
        <v>#N/A</v>
      </c>
      <c r="S10" s="4" t="e">
        <v>#N/A</v>
      </c>
      <c r="T10" s="4" t="e">
        <v>#N/A</v>
      </c>
      <c r="U10" s="4" t="e">
        <v>#N/A</v>
      </c>
      <c r="V10" s="4" t="e">
        <v>#N/A</v>
      </c>
      <c r="W10" s="3">
        <v>4</v>
      </c>
      <c r="X10" s="3">
        <v>9</v>
      </c>
      <c r="Y10" s="4" t="e">
        <v>#N/A</v>
      </c>
      <c r="Z10" s="4" t="e">
        <v>#N/A</v>
      </c>
      <c r="AA10" s="4" t="e">
        <v>#N/A</v>
      </c>
      <c r="AB10" s="3">
        <v>-8</v>
      </c>
      <c r="AC10" s="3">
        <v>-24</v>
      </c>
      <c r="AD10" s="3" t="e">
        <v>#N/A</v>
      </c>
      <c r="AE10" s="3" t="e">
        <v>#N/A</v>
      </c>
      <c r="AF10" s="3">
        <v>6684</v>
      </c>
      <c r="AG10" s="4" t="e">
        <v>#N/A</v>
      </c>
      <c r="AH10" s="4" t="e">
        <v>#N/A</v>
      </c>
      <c r="AI10" s="3">
        <v>33377</v>
      </c>
      <c r="AJ10" s="3">
        <v>49</v>
      </c>
      <c r="AK10" s="3">
        <v>19</v>
      </c>
      <c r="AL10" s="3">
        <v>1</v>
      </c>
      <c r="AM10" s="3">
        <v>25</v>
      </c>
      <c r="AN10" s="3">
        <v>38</v>
      </c>
      <c r="AO10" s="3">
        <v>6</v>
      </c>
      <c r="AP10" s="3">
        <v>1</v>
      </c>
      <c r="AQ10" s="3" t="e">
        <v>#N/A</v>
      </c>
      <c r="AR10" s="3" t="e">
        <v>#N/A</v>
      </c>
      <c r="AS10" s="3" t="e">
        <v>#N/A</v>
      </c>
      <c r="AT10" s="3" t="e">
        <v>#N/A</v>
      </c>
      <c r="AU10" s="3" t="e">
        <v>#N/A</v>
      </c>
      <c r="AV10" s="3" t="e">
        <v>#N/A</v>
      </c>
      <c r="AW10" s="3" t="e">
        <v>#N/A</v>
      </c>
      <c r="AX10" s="3" t="e">
        <v>#N/A</v>
      </c>
      <c r="AY10" s="3" t="e">
        <v>#N/A</v>
      </c>
      <c r="AZ10" s="3" t="e">
        <v>#N/A</v>
      </c>
      <c r="BA10" s="3" t="e">
        <v>#N/A</v>
      </c>
      <c r="BB10" s="3" t="e">
        <v>#N/A</v>
      </c>
      <c r="BC10" s="3" t="e">
        <v>#N/A</v>
      </c>
      <c r="BD10" s="3" t="e">
        <v>#N/A</v>
      </c>
    </row>
    <row r="11" spans="1:56" x14ac:dyDescent="0.25">
      <c r="A11" t="s">
        <v>551</v>
      </c>
      <c r="B11" s="3" t="e">
        <v>#N/A</v>
      </c>
      <c r="C11" s="3">
        <v>69949</v>
      </c>
      <c r="D11" s="3" t="e">
        <v>#N/A</v>
      </c>
      <c r="E11" s="3" t="e">
        <v>#N/A</v>
      </c>
      <c r="F11" s="3" t="e">
        <v>#N/A</v>
      </c>
      <c r="G11" s="3" t="e">
        <v>#N/A</v>
      </c>
      <c r="H11" s="3" t="e">
        <v>#N/A</v>
      </c>
      <c r="I11" s="4" t="e">
        <v>#N/A</v>
      </c>
      <c r="J11" s="4" t="e">
        <v>#N/A</v>
      </c>
      <c r="K11" s="4" t="e">
        <v>#N/A</v>
      </c>
      <c r="L11" s="4" t="e">
        <v>#N/A</v>
      </c>
      <c r="M11" s="3" t="e">
        <v>#N/A</v>
      </c>
      <c r="N11" s="4" t="e">
        <v>#N/A</v>
      </c>
      <c r="O11" s="4" t="e">
        <v>#N/A</v>
      </c>
      <c r="P11" s="4" t="e">
        <v>#N/A</v>
      </c>
      <c r="Q11" s="4" t="e">
        <v>#N/A</v>
      </c>
      <c r="R11" s="4" t="e">
        <v>#N/A</v>
      </c>
      <c r="S11" s="4" t="e">
        <v>#N/A</v>
      </c>
      <c r="T11" s="4" t="e">
        <v>#N/A</v>
      </c>
      <c r="U11" s="4" t="e">
        <v>#N/A</v>
      </c>
      <c r="V11" s="4" t="e">
        <v>#N/A</v>
      </c>
      <c r="W11" s="3">
        <v>0</v>
      </c>
      <c r="X11" s="3">
        <v>2</v>
      </c>
      <c r="Y11" s="4" t="e">
        <v>#N/A</v>
      </c>
      <c r="Z11" s="4" t="e">
        <v>#N/A</v>
      </c>
      <c r="AA11" s="4" t="e">
        <v>#N/A</v>
      </c>
      <c r="AB11" s="3">
        <v>-7</v>
      </c>
      <c r="AC11" s="3">
        <v>-20</v>
      </c>
      <c r="AD11" s="3" t="e">
        <v>#N/A</v>
      </c>
      <c r="AE11" s="3" t="e">
        <v>#N/A</v>
      </c>
      <c r="AF11" s="3">
        <v>6845</v>
      </c>
      <c r="AG11" s="4" t="e">
        <v>#N/A</v>
      </c>
      <c r="AH11" s="4" t="e">
        <v>#N/A</v>
      </c>
      <c r="AI11" s="3">
        <v>34043</v>
      </c>
      <c r="AJ11" s="3">
        <v>44</v>
      </c>
      <c r="AK11" s="3">
        <v>25</v>
      </c>
      <c r="AL11" s="3">
        <v>2</v>
      </c>
      <c r="AM11" s="3">
        <v>24</v>
      </c>
      <c r="AN11" s="3">
        <v>45</v>
      </c>
      <c r="AO11" s="3">
        <v>4</v>
      </c>
      <c r="AP11" s="3">
        <v>1</v>
      </c>
      <c r="AQ11" s="3" t="e">
        <v>#N/A</v>
      </c>
      <c r="AR11" s="3" t="e">
        <v>#N/A</v>
      </c>
      <c r="AS11" s="3" t="e">
        <v>#N/A</v>
      </c>
      <c r="AT11" s="3" t="e">
        <v>#N/A</v>
      </c>
      <c r="AU11" s="3" t="e">
        <v>#N/A</v>
      </c>
      <c r="AV11" s="3" t="e">
        <v>#N/A</v>
      </c>
      <c r="AW11" s="3" t="e">
        <v>#N/A</v>
      </c>
      <c r="AX11" s="3" t="e">
        <v>#N/A</v>
      </c>
      <c r="AY11" s="3" t="e">
        <v>#N/A</v>
      </c>
      <c r="AZ11" s="3" t="e">
        <v>#N/A</v>
      </c>
      <c r="BA11" s="3" t="e">
        <v>#N/A</v>
      </c>
      <c r="BB11" s="3" t="e">
        <v>#N/A</v>
      </c>
      <c r="BC11" s="3" t="e">
        <v>#N/A</v>
      </c>
      <c r="BD11" s="3" t="e">
        <v>#N/A</v>
      </c>
    </row>
    <row r="12" spans="1:56" x14ac:dyDescent="0.25">
      <c r="A12" t="s">
        <v>552</v>
      </c>
      <c r="B12" s="3" t="e">
        <v>#N/A</v>
      </c>
      <c r="C12" s="3">
        <v>69172</v>
      </c>
      <c r="D12" s="3" t="e">
        <v>#N/A</v>
      </c>
      <c r="E12" s="3" t="e">
        <v>#N/A</v>
      </c>
      <c r="F12" s="3" t="e">
        <v>#N/A</v>
      </c>
      <c r="G12" s="3" t="e">
        <v>#N/A</v>
      </c>
      <c r="H12" s="3" t="e">
        <v>#N/A</v>
      </c>
      <c r="I12" s="4" t="e">
        <v>#N/A</v>
      </c>
      <c r="J12" s="4" t="e">
        <v>#N/A</v>
      </c>
      <c r="K12" s="4" t="e">
        <v>#N/A</v>
      </c>
      <c r="L12" s="4" t="e">
        <v>#N/A</v>
      </c>
      <c r="M12" s="3" t="e">
        <v>#N/A</v>
      </c>
      <c r="N12" s="4" t="e">
        <v>#N/A</v>
      </c>
      <c r="O12" s="4" t="e">
        <v>#N/A</v>
      </c>
      <c r="P12" s="4" t="e">
        <v>#N/A</v>
      </c>
      <c r="Q12" s="4" t="e">
        <v>#N/A</v>
      </c>
      <c r="R12" s="4" t="e">
        <v>#N/A</v>
      </c>
      <c r="S12" s="4" t="e">
        <v>#N/A</v>
      </c>
      <c r="T12" s="4" t="e">
        <v>#N/A</v>
      </c>
      <c r="U12" s="4" t="e">
        <v>#N/A</v>
      </c>
      <c r="V12" s="4" t="e">
        <v>#N/A</v>
      </c>
      <c r="W12" s="3">
        <v>-9</v>
      </c>
      <c r="X12" s="3">
        <v>-5</v>
      </c>
      <c r="Y12" s="4" t="e">
        <v>#N/A</v>
      </c>
      <c r="Z12" s="4" t="e">
        <v>#N/A</v>
      </c>
      <c r="AA12" s="4" t="e">
        <v>#N/A</v>
      </c>
      <c r="AB12" s="3">
        <v>-15</v>
      </c>
      <c r="AC12" s="3">
        <v>-29</v>
      </c>
      <c r="AD12" s="3" t="e">
        <v>#N/A</v>
      </c>
      <c r="AE12" s="3" t="e">
        <v>#N/A</v>
      </c>
      <c r="AF12" s="3">
        <v>6426</v>
      </c>
      <c r="AG12" s="4" t="e">
        <v>#N/A</v>
      </c>
      <c r="AH12" s="4" t="e">
        <v>#N/A</v>
      </c>
      <c r="AI12" s="3">
        <v>34795</v>
      </c>
      <c r="AJ12" s="3">
        <v>41</v>
      </c>
      <c r="AK12" s="3">
        <v>19</v>
      </c>
      <c r="AL12" s="3">
        <v>4</v>
      </c>
      <c r="AM12" s="3">
        <v>26</v>
      </c>
      <c r="AN12" s="3">
        <v>49</v>
      </c>
      <c r="AO12" s="3">
        <v>3</v>
      </c>
      <c r="AP12" s="3">
        <v>3</v>
      </c>
      <c r="AQ12" s="3" t="e">
        <v>#N/A</v>
      </c>
      <c r="AR12" s="3" t="e">
        <v>#N/A</v>
      </c>
      <c r="AS12" s="3" t="e">
        <v>#N/A</v>
      </c>
      <c r="AT12" s="3" t="e">
        <v>#N/A</v>
      </c>
      <c r="AU12" s="3" t="e">
        <v>#N/A</v>
      </c>
      <c r="AV12" s="3" t="e">
        <v>#N/A</v>
      </c>
      <c r="AW12" s="3" t="e">
        <v>#N/A</v>
      </c>
      <c r="AX12" s="3" t="e">
        <v>#N/A</v>
      </c>
      <c r="AY12" s="3" t="e">
        <v>#N/A</v>
      </c>
      <c r="AZ12" s="3" t="e">
        <v>#N/A</v>
      </c>
      <c r="BA12" s="3" t="e">
        <v>#N/A</v>
      </c>
      <c r="BB12" s="3" t="e">
        <v>#N/A</v>
      </c>
      <c r="BC12" s="3" t="e">
        <v>#N/A</v>
      </c>
      <c r="BD12" s="3" t="e">
        <v>#N/A</v>
      </c>
    </row>
    <row r="13" spans="1:56" x14ac:dyDescent="0.25">
      <c r="A13" t="s">
        <v>553</v>
      </c>
      <c r="B13" s="3" t="e">
        <v>#N/A</v>
      </c>
      <c r="C13" s="3">
        <v>66021</v>
      </c>
      <c r="D13" s="3" t="e">
        <v>#N/A</v>
      </c>
      <c r="E13" s="3" t="e">
        <v>#N/A</v>
      </c>
      <c r="F13" s="3" t="e">
        <v>#N/A</v>
      </c>
      <c r="G13" s="3" t="e">
        <v>#N/A</v>
      </c>
      <c r="H13" s="3" t="e">
        <v>#N/A</v>
      </c>
      <c r="I13" s="4" t="e">
        <v>#N/A</v>
      </c>
      <c r="J13" s="4" t="e">
        <v>#N/A</v>
      </c>
      <c r="K13" s="4" t="e">
        <v>#N/A</v>
      </c>
      <c r="L13" s="4" t="e">
        <v>#N/A</v>
      </c>
      <c r="M13" s="3" t="e">
        <v>#N/A</v>
      </c>
      <c r="N13" s="4" t="e">
        <v>#N/A</v>
      </c>
      <c r="O13" s="4" t="e">
        <v>#N/A</v>
      </c>
      <c r="P13" s="4" t="e">
        <v>#N/A</v>
      </c>
      <c r="Q13" s="4" t="e">
        <v>#N/A</v>
      </c>
      <c r="R13" s="4" t="e">
        <v>#N/A</v>
      </c>
      <c r="S13" s="4" t="e">
        <v>#N/A</v>
      </c>
      <c r="T13" s="4" t="e">
        <v>#N/A</v>
      </c>
      <c r="U13" s="4" t="e">
        <v>#N/A</v>
      </c>
      <c r="V13" s="4" t="e">
        <v>#N/A</v>
      </c>
      <c r="W13" s="3">
        <v>-17</v>
      </c>
      <c r="X13" s="3">
        <v>-15</v>
      </c>
      <c r="Y13" s="4" t="e">
        <v>#N/A</v>
      </c>
      <c r="Z13" s="4" t="e">
        <v>#N/A</v>
      </c>
      <c r="AA13" s="4" t="e">
        <v>#N/A</v>
      </c>
      <c r="AB13" s="3">
        <v>-31</v>
      </c>
      <c r="AC13" s="3">
        <v>-49</v>
      </c>
      <c r="AD13" s="3" t="e">
        <v>#N/A</v>
      </c>
      <c r="AE13" s="3" t="e">
        <v>#N/A</v>
      </c>
      <c r="AF13" s="3">
        <v>7157</v>
      </c>
      <c r="AG13" s="4" t="e">
        <v>#N/A</v>
      </c>
      <c r="AH13" s="4" t="e">
        <v>#N/A</v>
      </c>
      <c r="AI13" s="3">
        <v>33856</v>
      </c>
      <c r="AJ13" s="3">
        <v>41</v>
      </c>
      <c r="AK13" s="3">
        <v>21</v>
      </c>
      <c r="AL13" s="3">
        <v>4</v>
      </c>
      <c r="AM13" s="3">
        <v>26</v>
      </c>
      <c r="AN13" s="3">
        <v>55</v>
      </c>
      <c r="AO13" s="3">
        <v>3</v>
      </c>
      <c r="AP13" s="3">
        <v>1</v>
      </c>
      <c r="AQ13" s="3" t="e">
        <v>#N/A</v>
      </c>
      <c r="AR13" s="3" t="e">
        <v>#N/A</v>
      </c>
      <c r="AS13" s="3" t="e">
        <v>#N/A</v>
      </c>
      <c r="AT13" s="3" t="e">
        <v>#N/A</v>
      </c>
      <c r="AU13" s="3" t="e">
        <v>#N/A</v>
      </c>
      <c r="AV13" s="3" t="e">
        <v>#N/A</v>
      </c>
      <c r="AW13" s="3" t="e">
        <v>#N/A</v>
      </c>
      <c r="AX13" s="3" t="e">
        <v>#N/A</v>
      </c>
      <c r="AY13" s="3" t="e">
        <v>#N/A</v>
      </c>
      <c r="AZ13" s="3" t="e">
        <v>#N/A</v>
      </c>
      <c r="BA13" s="3" t="e">
        <v>#N/A</v>
      </c>
      <c r="BB13" s="3" t="e">
        <v>#N/A</v>
      </c>
      <c r="BC13" s="3" t="e">
        <v>#N/A</v>
      </c>
      <c r="BD13" s="3" t="e">
        <v>#N/A</v>
      </c>
    </row>
    <row r="14" spans="1:56" x14ac:dyDescent="0.25">
      <c r="A14" t="s">
        <v>554</v>
      </c>
      <c r="B14" s="3" t="e">
        <v>#N/A</v>
      </c>
      <c r="C14" s="3">
        <v>65035</v>
      </c>
      <c r="D14" s="3" t="e">
        <v>#N/A</v>
      </c>
      <c r="E14" s="3" t="e">
        <v>#N/A</v>
      </c>
      <c r="F14" s="3" t="e">
        <v>#N/A</v>
      </c>
      <c r="G14" s="3" t="e">
        <v>#N/A</v>
      </c>
      <c r="H14" s="3" t="e">
        <v>#N/A</v>
      </c>
      <c r="I14" s="4" t="e">
        <v>#N/A</v>
      </c>
      <c r="J14" s="4" t="e">
        <v>#N/A</v>
      </c>
      <c r="K14" s="4" t="e">
        <v>#N/A</v>
      </c>
      <c r="L14" s="4" t="e">
        <v>#N/A</v>
      </c>
      <c r="M14" s="3" t="e">
        <v>#N/A</v>
      </c>
      <c r="N14" s="4" t="e">
        <v>#N/A</v>
      </c>
      <c r="O14" s="4" t="e">
        <v>#N/A</v>
      </c>
      <c r="P14" s="4" t="e">
        <v>#N/A</v>
      </c>
      <c r="Q14" s="4" t="e">
        <v>#N/A</v>
      </c>
      <c r="R14" s="4" t="e">
        <v>#N/A</v>
      </c>
      <c r="S14" s="4" t="e">
        <v>#N/A</v>
      </c>
      <c r="T14" s="4" t="e">
        <v>#N/A</v>
      </c>
      <c r="U14" s="4" t="e">
        <v>#N/A</v>
      </c>
      <c r="V14" s="4" t="e">
        <v>#N/A</v>
      </c>
      <c r="W14" s="3">
        <v>-13</v>
      </c>
      <c r="X14" s="3">
        <v>-10</v>
      </c>
      <c r="Y14" s="4" t="e">
        <v>#N/A</v>
      </c>
      <c r="Z14" s="4" t="e">
        <v>#N/A</v>
      </c>
      <c r="AA14" s="4" t="e">
        <v>#N/A</v>
      </c>
      <c r="AB14" s="3">
        <v>-34</v>
      </c>
      <c r="AC14" s="3">
        <v>-27</v>
      </c>
      <c r="AD14" s="3" t="e">
        <v>#N/A</v>
      </c>
      <c r="AE14" s="3" t="e">
        <v>#N/A</v>
      </c>
      <c r="AF14" s="3">
        <v>7309</v>
      </c>
      <c r="AG14" s="4" t="e">
        <v>#N/A</v>
      </c>
      <c r="AH14" s="4" t="e">
        <v>#N/A</v>
      </c>
      <c r="AI14" s="3">
        <v>33751</v>
      </c>
      <c r="AJ14" s="3">
        <v>40</v>
      </c>
      <c r="AK14" s="3">
        <v>23</v>
      </c>
      <c r="AL14" s="3">
        <v>3</v>
      </c>
      <c r="AM14" s="3">
        <v>17</v>
      </c>
      <c r="AN14" s="3">
        <v>52</v>
      </c>
      <c r="AO14" s="3">
        <v>3</v>
      </c>
      <c r="AP14" s="3">
        <v>1</v>
      </c>
      <c r="AQ14" s="3" t="e">
        <v>#N/A</v>
      </c>
      <c r="AR14" s="3" t="e">
        <v>#N/A</v>
      </c>
      <c r="AS14" s="3" t="e">
        <v>#N/A</v>
      </c>
      <c r="AT14" s="3" t="e">
        <v>#N/A</v>
      </c>
      <c r="AU14" s="3" t="e">
        <v>#N/A</v>
      </c>
      <c r="AV14" s="3" t="e">
        <v>#N/A</v>
      </c>
      <c r="AW14" s="3" t="e">
        <v>#N/A</v>
      </c>
      <c r="AX14" s="3" t="e">
        <v>#N/A</v>
      </c>
      <c r="AY14" s="3" t="e">
        <v>#N/A</v>
      </c>
      <c r="AZ14" s="3" t="e">
        <v>#N/A</v>
      </c>
      <c r="BA14" s="3" t="e">
        <v>#N/A</v>
      </c>
      <c r="BB14" s="3" t="e">
        <v>#N/A</v>
      </c>
      <c r="BC14" s="3" t="e">
        <v>#N/A</v>
      </c>
      <c r="BD14" s="3" t="e">
        <v>#N/A</v>
      </c>
    </row>
    <row r="15" spans="1:56" x14ac:dyDescent="0.25">
      <c r="A15" t="s">
        <v>555</v>
      </c>
      <c r="B15" s="3" t="e">
        <v>#N/A</v>
      </c>
      <c r="C15" s="3">
        <v>63852</v>
      </c>
      <c r="D15" s="3" t="e">
        <v>#N/A</v>
      </c>
      <c r="E15" s="3" t="e">
        <v>#N/A</v>
      </c>
      <c r="F15" s="3" t="e">
        <v>#N/A</v>
      </c>
      <c r="G15" s="3" t="e">
        <v>#N/A</v>
      </c>
      <c r="H15" s="3" t="e">
        <v>#N/A</v>
      </c>
      <c r="I15" s="4" t="e">
        <v>#N/A</v>
      </c>
      <c r="J15" s="4" t="e">
        <v>#N/A</v>
      </c>
      <c r="K15" s="4" t="e">
        <v>#N/A</v>
      </c>
      <c r="L15" s="4" t="e">
        <v>#N/A</v>
      </c>
      <c r="M15" s="3" t="e">
        <v>#N/A</v>
      </c>
      <c r="N15" s="4" t="e">
        <v>#N/A</v>
      </c>
      <c r="O15" s="4" t="e">
        <v>#N/A</v>
      </c>
      <c r="P15" s="4" t="e">
        <v>#N/A</v>
      </c>
      <c r="Q15" s="4" t="e">
        <v>#N/A</v>
      </c>
      <c r="R15" s="4" t="e">
        <v>#N/A</v>
      </c>
      <c r="S15" s="4" t="e">
        <v>#N/A</v>
      </c>
      <c r="T15" s="4" t="e">
        <v>#N/A</v>
      </c>
      <c r="U15" s="4" t="e">
        <v>#N/A</v>
      </c>
      <c r="V15" s="4" t="e">
        <v>#N/A</v>
      </c>
      <c r="W15" s="3">
        <v>-8</v>
      </c>
      <c r="X15" s="3">
        <v>-5</v>
      </c>
      <c r="Y15" s="4" t="e">
        <v>#N/A</v>
      </c>
      <c r="Z15" s="4" t="e">
        <v>#N/A</v>
      </c>
      <c r="AA15" s="4" t="e">
        <v>#N/A</v>
      </c>
      <c r="AB15" s="3">
        <v>-30</v>
      </c>
      <c r="AC15" s="3">
        <v>-13</v>
      </c>
      <c r="AD15" s="3" t="e">
        <v>#N/A</v>
      </c>
      <c r="AE15" s="3" t="e">
        <v>#N/A</v>
      </c>
      <c r="AF15" s="3">
        <v>7070</v>
      </c>
      <c r="AG15" s="4" t="e">
        <v>#N/A</v>
      </c>
      <c r="AH15" s="4" t="e">
        <v>#N/A</v>
      </c>
      <c r="AI15" s="3">
        <v>32684</v>
      </c>
      <c r="AJ15" s="3">
        <v>43</v>
      </c>
      <c r="AK15" s="3">
        <v>24</v>
      </c>
      <c r="AL15" s="3">
        <v>4</v>
      </c>
      <c r="AM15" s="3">
        <v>15</v>
      </c>
      <c r="AN15" s="3">
        <v>56</v>
      </c>
      <c r="AO15" s="3">
        <v>2</v>
      </c>
      <c r="AP15" s="3">
        <v>2</v>
      </c>
      <c r="AQ15" s="3" t="e">
        <v>#N/A</v>
      </c>
      <c r="AR15" s="3" t="e">
        <v>#N/A</v>
      </c>
      <c r="AS15" s="3" t="e">
        <v>#N/A</v>
      </c>
      <c r="AT15" s="3" t="e">
        <v>#N/A</v>
      </c>
      <c r="AU15" s="3" t="e">
        <v>#N/A</v>
      </c>
      <c r="AV15" s="3" t="e">
        <v>#N/A</v>
      </c>
      <c r="AW15" s="3" t="e">
        <v>#N/A</v>
      </c>
      <c r="AX15" s="3" t="e">
        <v>#N/A</v>
      </c>
      <c r="AY15" s="3" t="e">
        <v>#N/A</v>
      </c>
      <c r="AZ15" s="3" t="e">
        <v>#N/A</v>
      </c>
      <c r="BA15" s="3" t="e">
        <v>#N/A</v>
      </c>
      <c r="BB15" s="3" t="e">
        <v>#N/A</v>
      </c>
      <c r="BC15" s="3" t="e">
        <v>#N/A</v>
      </c>
      <c r="BD15" s="3" t="e">
        <v>#N/A</v>
      </c>
    </row>
    <row r="16" spans="1:56" x14ac:dyDescent="0.25">
      <c r="A16" t="s">
        <v>556</v>
      </c>
      <c r="B16" s="3" t="e">
        <v>#N/A</v>
      </c>
      <c r="C16" s="3">
        <v>64085</v>
      </c>
      <c r="D16" s="3" t="e">
        <v>#N/A</v>
      </c>
      <c r="E16" s="3" t="e">
        <v>#N/A</v>
      </c>
      <c r="F16" s="3" t="e">
        <v>#N/A</v>
      </c>
      <c r="G16" s="3" t="e">
        <v>#N/A</v>
      </c>
      <c r="H16" s="3" t="e">
        <v>#N/A</v>
      </c>
      <c r="I16" s="4" t="e">
        <v>#N/A</v>
      </c>
      <c r="J16" s="4" t="e">
        <v>#N/A</v>
      </c>
      <c r="K16" s="4" t="e">
        <v>#N/A</v>
      </c>
      <c r="L16" s="4" t="e">
        <v>#N/A</v>
      </c>
      <c r="M16" s="3" t="e">
        <v>#N/A</v>
      </c>
      <c r="N16" s="4" t="e">
        <v>#N/A</v>
      </c>
      <c r="O16" s="4" t="e">
        <v>#N/A</v>
      </c>
      <c r="P16" s="4" t="e">
        <v>#N/A</v>
      </c>
      <c r="Q16" s="4" t="e">
        <v>#N/A</v>
      </c>
      <c r="R16" s="4" t="e">
        <v>#N/A</v>
      </c>
      <c r="S16" s="4" t="e">
        <v>#N/A</v>
      </c>
      <c r="T16" s="4" t="e">
        <v>#N/A</v>
      </c>
      <c r="U16" s="4" t="e">
        <v>#N/A</v>
      </c>
      <c r="V16" s="4" t="e">
        <v>#N/A</v>
      </c>
      <c r="W16" s="3">
        <v>-2</v>
      </c>
      <c r="X16" s="3">
        <v>-6</v>
      </c>
      <c r="Y16" s="4" t="e">
        <v>#N/A</v>
      </c>
      <c r="Z16" s="4" t="e">
        <v>#N/A</v>
      </c>
      <c r="AA16" s="4" t="e">
        <v>#N/A</v>
      </c>
      <c r="AB16" s="3">
        <v>-7</v>
      </c>
      <c r="AC16" s="3">
        <v>-6</v>
      </c>
      <c r="AD16" s="3" t="e">
        <v>#N/A</v>
      </c>
      <c r="AE16" s="3" t="e">
        <v>#N/A</v>
      </c>
      <c r="AF16" s="3">
        <v>6896</v>
      </c>
      <c r="AG16" s="4" t="e">
        <v>#N/A</v>
      </c>
      <c r="AH16" s="4" t="e">
        <v>#N/A</v>
      </c>
      <c r="AI16" s="3">
        <v>33899</v>
      </c>
      <c r="AJ16" s="3">
        <v>43</v>
      </c>
      <c r="AK16" s="3">
        <v>26</v>
      </c>
      <c r="AL16" s="3">
        <v>3</v>
      </c>
      <c r="AM16" s="3">
        <v>8</v>
      </c>
      <c r="AN16" s="3">
        <v>55</v>
      </c>
      <c r="AO16" s="3">
        <v>3</v>
      </c>
      <c r="AP16" s="3">
        <v>3</v>
      </c>
      <c r="AQ16" s="3" t="e">
        <v>#N/A</v>
      </c>
      <c r="AR16" s="3" t="e">
        <v>#N/A</v>
      </c>
      <c r="AS16" s="3" t="e">
        <v>#N/A</v>
      </c>
      <c r="AT16" s="3" t="e">
        <v>#N/A</v>
      </c>
      <c r="AU16" s="3" t="e">
        <v>#N/A</v>
      </c>
      <c r="AV16" s="3" t="e">
        <v>#N/A</v>
      </c>
      <c r="AW16" s="3" t="e">
        <v>#N/A</v>
      </c>
      <c r="AX16" s="3" t="e">
        <v>#N/A</v>
      </c>
      <c r="AY16" s="3" t="e">
        <v>#N/A</v>
      </c>
      <c r="AZ16" s="3" t="e">
        <v>#N/A</v>
      </c>
      <c r="BA16" s="3" t="e">
        <v>#N/A</v>
      </c>
      <c r="BB16" s="3" t="e">
        <v>#N/A</v>
      </c>
      <c r="BC16" s="3" t="e">
        <v>#N/A</v>
      </c>
      <c r="BD16" s="3" t="e">
        <v>#N/A</v>
      </c>
    </row>
    <row r="17" spans="1:56" x14ac:dyDescent="0.25">
      <c r="A17" t="s">
        <v>557</v>
      </c>
      <c r="B17" s="3" t="e">
        <v>#N/A</v>
      </c>
      <c r="C17" s="3">
        <v>64254</v>
      </c>
      <c r="D17" s="3" t="e">
        <v>#N/A</v>
      </c>
      <c r="E17" s="3" t="e">
        <v>#N/A</v>
      </c>
      <c r="F17" s="3" t="e">
        <v>#N/A</v>
      </c>
      <c r="G17" s="3" t="e">
        <v>#N/A</v>
      </c>
      <c r="H17" s="3" t="e">
        <v>#N/A</v>
      </c>
      <c r="I17" s="4" t="e">
        <v>#N/A</v>
      </c>
      <c r="J17" s="4" t="e">
        <v>#N/A</v>
      </c>
      <c r="K17" s="4" t="e">
        <v>#N/A</v>
      </c>
      <c r="L17" s="4" t="e">
        <v>#N/A</v>
      </c>
      <c r="M17" s="3" t="e">
        <v>#N/A</v>
      </c>
      <c r="N17" s="4" t="e">
        <v>#N/A</v>
      </c>
      <c r="O17" s="4" t="e">
        <v>#N/A</v>
      </c>
      <c r="P17" s="4" t="e">
        <v>#N/A</v>
      </c>
      <c r="Q17" s="4" t="e">
        <v>#N/A</v>
      </c>
      <c r="R17" s="4" t="e">
        <v>#N/A</v>
      </c>
      <c r="S17" s="4" t="e">
        <v>#N/A</v>
      </c>
      <c r="T17" s="4" t="e">
        <v>#N/A</v>
      </c>
      <c r="U17" s="4" t="e">
        <v>#N/A</v>
      </c>
      <c r="V17" s="4" t="e">
        <v>#N/A</v>
      </c>
      <c r="W17" s="3">
        <v>-3</v>
      </c>
      <c r="X17" s="3">
        <v>-1</v>
      </c>
      <c r="Y17" s="4" t="e">
        <v>#N/A</v>
      </c>
      <c r="Z17" s="4" t="e">
        <v>#N/A</v>
      </c>
      <c r="AA17" s="4" t="e">
        <v>#N/A</v>
      </c>
      <c r="AB17" s="3">
        <v>-16</v>
      </c>
      <c r="AC17" s="3">
        <v>-32</v>
      </c>
      <c r="AD17" s="3" t="e">
        <v>#N/A</v>
      </c>
      <c r="AE17" s="3" t="e">
        <v>#N/A</v>
      </c>
      <c r="AF17" s="3">
        <v>9109</v>
      </c>
      <c r="AG17" s="4" t="e">
        <v>#N/A</v>
      </c>
      <c r="AH17" s="4" t="e">
        <v>#N/A</v>
      </c>
      <c r="AI17" s="3">
        <v>33003</v>
      </c>
      <c r="AJ17" s="3">
        <v>47</v>
      </c>
      <c r="AK17" s="3">
        <v>23</v>
      </c>
      <c r="AL17" s="3">
        <v>4</v>
      </c>
      <c r="AM17" s="3">
        <v>11</v>
      </c>
      <c r="AN17" s="3">
        <v>60</v>
      </c>
      <c r="AO17" s="3">
        <v>2</v>
      </c>
      <c r="AP17" s="3">
        <v>1</v>
      </c>
      <c r="AQ17" s="3" t="e">
        <v>#N/A</v>
      </c>
      <c r="AR17" s="3" t="e">
        <v>#N/A</v>
      </c>
      <c r="AS17" s="3" t="e">
        <v>#N/A</v>
      </c>
      <c r="AT17" s="3" t="e">
        <v>#N/A</v>
      </c>
      <c r="AU17" s="3" t="e">
        <v>#N/A</v>
      </c>
      <c r="AV17" s="3" t="e">
        <v>#N/A</v>
      </c>
      <c r="AW17" s="3" t="e">
        <v>#N/A</v>
      </c>
      <c r="AX17" s="3" t="e">
        <v>#N/A</v>
      </c>
      <c r="AY17" s="3" t="e">
        <v>#N/A</v>
      </c>
      <c r="AZ17" s="3" t="e">
        <v>#N/A</v>
      </c>
      <c r="BA17" s="3" t="e">
        <v>#N/A</v>
      </c>
      <c r="BB17" s="3" t="e">
        <v>#N/A</v>
      </c>
      <c r="BC17" s="3" t="e">
        <v>#N/A</v>
      </c>
      <c r="BD17" s="3" t="e">
        <v>#N/A</v>
      </c>
    </row>
    <row r="18" spans="1:56" x14ac:dyDescent="0.25">
      <c r="A18" t="s">
        <v>558</v>
      </c>
      <c r="B18" s="3" t="e">
        <v>#N/A</v>
      </c>
      <c r="C18" s="3">
        <v>63871</v>
      </c>
      <c r="D18" s="3" t="e">
        <v>#N/A</v>
      </c>
      <c r="E18" s="3" t="e">
        <v>#N/A</v>
      </c>
      <c r="F18" s="3" t="e">
        <v>#N/A</v>
      </c>
      <c r="G18" s="3" t="e">
        <v>#N/A</v>
      </c>
      <c r="H18" s="3" t="e">
        <v>#N/A</v>
      </c>
      <c r="I18" s="4" t="e">
        <v>#N/A</v>
      </c>
      <c r="J18" s="4" t="e">
        <v>#N/A</v>
      </c>
      <c r="K18" s="4" t="e">
        <v>#N/A</v>
      </c>
      <c r="L18" s="4" t="e">
        <v>#N/A</v>
      </c>
      <c r="M18" s="3" t="e">
        <v>#N/A</v>
      </c>
      <c r="N18" s="4" t="e">
        <v>#N/A</v>
      </c>
      <c r="O18" s="4" t="e">
        <v>#N/A</v>
      </c>
      <c r="P18" s="4" t="e">
        <v>#N/A</v>
      </c>
      <c r="Q18" s="4" t="e">
        <v>#N/A</v>
      </c>
      <c r="R18" s="4" t="e">
        <v>#N/A</v>
      </c>
      <c r="S18" s="4" t="e">
        <v>#N/A</v>
      </c>
      <c r="T18" s="4" t="e">
        <v>#N/A</v>
      </c>
      <c r="U18" s="4" t="e">
        <v>#N/A</v>
      </c>
      <c r="V18" s="4" t="e">
        <v>#N/A</v>
      </c>
      <c r="W18" s="3">
        <v>1</v>
      </c>
      <c r="X18" s="3">
        <v>3</v>
      </c>
      <c r="Y18" s="4" t="e">
        <v>#N/A</v>
      </c>
      <c r="Z18" s="4" t="e">
        <v>#N/A</v>
      </c>
      <c r="AA18" s="4" t="e">
        <v>#N/A</v>
      </c>
      <c r="AB18" s="3">
        <v>-10</v>
      </c>
      <c r="AC18" s="3">
        <v>3</v>
      </c>
      <c r="AD18" s="3" t="e">
        <v>#N/A</v>
      </c>
      <c r="AE18" s="3" t="e">
        <v>#N/A</v>
      </c>
      <c r="AF18" s="3">
        <v>6244</v>
      </c>
      <c r="AG18" s="4" t="e">
        <v>#N/A</v>
      </c>
      <c r="AH18" s="4" t="e">
        <v>#N/A</v>
      </c>
      <c r="AI18" s="3">
        <v>33949</v>
      </c>
      <c r="AJ18" s="3">
        <v>45</v>
      </c>
      <c r="AK18" s="3">
        <v>27</v>
      </c>
      <c r="AL18" s="3">
        <v>4</v>
      </c>
      <c r="AM18" s="3">
        <v>12</v>
      </c>
      <c r="AN18" s="3">
        <v>55</v>
      </c>
      <c r="AO18" s="3">
        <v>2</v>
      </c>
      <c r="AP18" s="3">
        <v>2</v>
      </c>
      <c r="AQ18" s="3" t="e">
        <v>#N/A</v>
      </c>
      <c r="AR18" s="3" t="e">
        <v>#N/A</v>
      </c>
      <c r="AS18" s="3" t="e">
        <v>#N/A</v>
      </c>
      <c r="AT18" s="3" t="e">
        <v>#N/A</v>
      </c>
      <c r="AU18" s="3" t="e">
        <v>#N/A</v>
      </c>
      <c r="AV18" s="3" t="e">
        <v>#N/A</v>
      </c>
      <c r="AW18" s="3" t="e">
        <v>#N/A</v>
      </c>
      <c r="AX18" s="3" t="e">
        <v>#N/A</v>
      </c>
      <c r="AY18" s="3" t="e">
        <v>#N/A</v>
      </c>
      <c r="AZ18" s="3" t="e">
        <v>#N/A</v>
      </c>
      <c r="BA18" s="3" t="e">
        <v>#N/A</v>
      </c>
      <c r="BB18" s="3" t="e">
        <v>#N/A</v>
      </c>
      <c r="BC18" s="3" t="e">
        <v>#N/A</v>
      </c>
      <c r="BD18" s="3" t="e">
        <v>#N/A</v>
      </c>
    </row>
    <row r="19" spans="1:56" x14ac:dyDescent="0.25">
      <c r="A19" t="s">
        <v>559</v>
      </c>
      <c r="B19" s="3" t="e">
        <v>#N/A</v>
      </c>
      <c r="C19" s="3">
        <v>64122</v>
      </c>
      <c r="D19" s="3" t="e">
        <v>#N/A</v>
      </c>
      <c r="E19" s="3" t="e">
        <v>#N/A</v>
      </c>
      <c r="F19" s="3" t="e">
        <v>#N/A</v>
      </c>
      <c r="G19" s="3" t="e">
        <v>#N/A</v>
      </c>
      <c r="H19" s="3" t="e">
        <v>#N/A</v>
      </c>
      <c r="I19" s="4" t="e">
        <v>#N/A</v>
      </c>
      <c r="J19" s="4" t="e">
        <v>#N/A</v>
      </c>
      <c r="K19" s="4" t="e">
        <v>#N/A</v>
      </c>
      <c r="L19" s="4" t="e">
        <v>#N/A</v>
      </c>
      <c r="M19" s="3" t="e">
        <v>#N/A</v>
      </c>
      <c r="N19" s="4" t="e">
        <v>#N/A</v>
      </c>
      <c r="O19" s="4" t="e">
        <v>#N/A</v>
      </c>
      <c r="P19" s="4" t="e">
        <v>#N/A</v>
      </c>
      <c r="Q19" s="4" t="e">
        <v>#N/A</v>
      </c>
      <c r="R19" s="4" t="e">
        <v>#N/A</v>
      </c>
      <c r="S19" s="4" t="e">
        <v>#N/A</v>
      </c>
      <c r="T19" s="4" t="e">
        <v>#N/A</v>
      </c>
      <c r="U19" s="4" t="e">
        <v>#N/A</v>
      </c>
      <c r="V19" s="4" t="e">
        <v>#N/A</v>
      </c>
      <c r="W19" s="3">
        <v>-2</v>
      </c>
      <c r="X19" s="3">
        <v>-4</v>
      </c>
      <c r="Y19" s="4" t="e">
        <v>#N/A</v>
      </c>
      <c r="Z19" s="4" t="e">
        <v>#N/A</v>
      </c>
      <c r="AA19" s="4" t="e">
        <v>#N/A</v>
      </c>
      <c r="AB19" s="3">
        <v>-9</v>
      </c>
      <c r="AC19" s="3">
        <v>-9</v>
      </c>
      <c r="AD19" s="3" t="e">
        <v>#N/A</v>
      </c>
      <c r="AE19" s="3" t="e">
        <v>#N/A</v>
      </c>
      <c r="AF19" s="3">
        <v>4947</v>
      </c>
      <c r="AG19" s="4" t="e">
        <v>#N/A</v>
      </c>
      <c r="AH19" s="4" t="e">
        <v>#N/A</v>
      </c>
      <c r="AI19" s="3">
        <v>33444</v>
      </c>
      <c r="AJ19" s="3">
        <v>44</v>
      </c>
      <c r="AK19" s="3">
        <v>20</v>
      </c>
      <c r="AL19" s="3">
        <v>5</v>
      </c>
      <c r="AM19" s="3">
        <v>11</v>
      </c>
      <c r="AN19" s="3">
        <v>58</v>
      </c>
      <c r="AO19" s="3">
        <v>3</v>
      </c>
      <c r="AP19" s="3">
        <v>2</v>
      </c>
      <c r="AQ19" s="3" t="e">
        <v>#N/A</v>
      </c>
      <c r="AR19" s="3" t="e">
        <v>#N/A</v>
      </c>
      <c r="AS19" s="3" t="e">
        <v>#N/A</v>
      </c>
      <c r="AT19" s="3" t="e">
        <v>#N/A</v>
      </c>
      <c r="AU19" s="3" t="e">
        <v>#N/A</v>
      </c>
      <c r="AV19" s="3" t="e">
        <v>#N/A</v>
      </c>
      <c r="AW19" s="3" t="e">
        <v>#N/A</v>
      </c>
      <c r="AX19" s="3" t="e">
        <v>#N/A</v>
      </c>
      <c r="AY19" s="3" t="e">
        <v>#N/A</v>
      </c>
      <c r="AZ19" s="3" t="e">
        <v>#N/A</v>
      </c>
      <c r="BA19" s="3" t="e">
        <v>#N/A</v>
      </c>
      <c r="BB19" s="3" t="e">
        <v>#N/A</v>
      </c>
      <c r="BC19" s="3" t="e">
        <v>#N/A</v>
      </c>
      <c r="BD19" s="3" t="e">
        <v>#N/A</v>
      </c>
    </row>
    <row r="20" spans="1:56" x14ac:dyDescent="0.25">
      <c r="A20" t="s">
        <v>560</v>
      </c>
      <c r="B20" s="3" t="e">
        <v>#N/A</v>
      </c>
      <c r="C20" s="3">
        <v>62577</v>
      </c>
      <c r="D20" s="3" t="e">
        <v>#N/A</v>
      </c>
      <c r="E20" s="3" t="e">
        <v>#N/A</v>
      </c>
      <c r="F20" s="3" t="e">
        <v>#N/A</v>
      </c>
      <c r="G20" s="3" t="e">
        <v>#N/A</v>
      </c>
      <c r="H20" s="3" t="e">
        <v>#N/A</v>
      </c>
      <c r="I20" s="4" t="e">
        <v>#N/A</v>
      </c>
      <c r="J20" s="4" t="e">
        <v>#N/A</v>
      </c>
      <c r="K20" s="4" t="e">
        <v>#N/A</v>
      </c>
      <c r="L20" s="4" t="e">
        <v>#N/A</v>
      </c>
      <c r="M20" s="3" t="e">
        <v>#N/A</v>
      </c>
      <c r="N20" s="4" t="e">
        <v>#N/A</v>
      </c>
      <c r="O20" s="4" t="e">
        <v>#N/A</v>
      </c>
      <c r="P20" s="4" t="e">
        <v>#N/A</v>
      </c>
      <c r="Q20" s="4" t="e">
        <v>#N/A</v>
      </c>
      <c r="R20" s="4" t="e">
        <v>#N/A</v>
      </c>
      <c r="S20" s="4" t="e">
        <v>#N/A</v>
      </c>
      <c r="T20" s="4" t="e">
        <v>#N/A</v>
      </c>
      <c r="U20" s="4" t="e">
        <v>#N/A</v>
      </c>
      <c r="V20" s="4" t="e">
        <v>#N/A</v>
      </c>
      <c r="W20" s="3">
        <v>3</v>
      </c>
      <c r="X20" s="3">
        <v>1</v>
      </c>
      <c r="Y20" s="4" t="e">
        <v>#N/A</v>
      </c>
      <c r="Z20" s="4" t="e">
        <v>#N/A</v>
      </c>
      <c r="AA20" s="4" t="e">
        <v>#N/A</v>
      </c>
      <c r="AB20" s="3">
        <v>-18</v>
      </c>
      <c r="AC20" s="3">
        <v>-16</v>
      </c>
      <c r="AD20" s="3" t="e">
        <v>#N/A</v>
      </c>
      <c r="AE20" s="3" t="e">
        <v>#N/A</v>
      </c>
      <c r="AF20" s="3">
        <v>4543</v>
      </c>
      <c r="AG20" s="4" t="e">
        <v>#N/A</v>
      </c>
      <c r="AH20" s="4" t="e">
        <v>#N/A</v>
      </c>
      <c r="AI20" s="3">
        <v>32950</v>
      </c>
      <c r="AJ20" s="3">
        <v>41</v>
      </c>
      <c r="AK20" s="3">
        <v>22</v>
      </c>
      <c r="AL20" s="3">
        <v>4</v>
      </c>
      <c r="AM20" s="3">
        <v>14</v>
      </c>
      <c r="AN20" s="3">
        <v>57</v>
      </c>
      <c r="AO20" s="3">
        <v>3</v>
      </c>
      <c r="AP20" s="3">
        <v>1</v>
      </c>
      <c r="AQ20" s="3" t="e">
        <v>#N/A</v>
      </c>
      <c r="AR20" s="3" t="e">
        <v>#N/A</v>
      </c>
      <c r="AS20" s="3" t="e">
        <v>#N/A</v>
      </c>
      <c r="AT20" s="3" t="e">
        <v>#N/A</v>
      </c>
      <c r="AU20" s="3" t="e">
        <v>#N/A</v>
      </c>
      <c r="AV20" s="3" t="e">
        <v>#N/A</v>
      </c>
      <c r="AW20" s="3" t="e">
        <v>#N/A</v>
      </c>
      <c r="AX20" s="3" t="e">
        <v>#N/A</v>
      </c>
      <c r="AY20" s="3" t="e">
        <v>#N/A</v>
      </c>
      <c r="AZ20" s="3" t="e">
        <v>#N/A</v>
      </c>
      <c r="BA20" s="3" t="e">
        <v>#N/A</v>
      </c>
      <c r="BB20" s="3" t="e">
        <v>#N/A</v>
      </c>
      <c r="BC20" s="3" t="e">
        <v>#N/A</v>
      </c>
      <c r="BD20" s="3" t="e">
        <v>#N/A</v>
      </c>
    </row>
    <row r="21" spans="1:56" x14ac:dyDescent="0.25">
      <c r="A21" t="s">
        <v>561</v>
      </c>
      <c r="B21" s="3" t="e">
        <v>#N/A</v>
      </c>
      <c r="C21" s="3">
        <v>64089</v>
      </c>
      <c r="D21" s="3" t="e">
        <v>#N/A</v>
      </c>
      <c r="E21" s="3" t="e">
        <v>#N/A</v>
      </c>
      <c r="F21" s="3" t="e">
        <v>#N/A</v>
      </c>
      <c r="G21" s="3" t="e">
        <v>#N/A</v>
      </c>
      <c r="H21" s="3" t="e">
        <v>#N/A</v>
      </c>
      <c r="I21" s="4" t="e">
        <v>#N/A</v>
      </c>
      <c r="J21" s="4" t="e">
        <v>#N/A</v>
      </c>
      <c r="K21" s="4" t="e">
        <v>#N/A</v>
      </c>
      <c r="L21" s="4" t="e">
        <v>#N/A</v>
      </c>
      <c r="M21" s="3" t="e">
        <v>#N/A</v>
      </c>
      <c r="N21" s="4" t="e">
        <v>#N/A</v>
      </c>
      <c r="O21" s="4" t="e">
        <v>#N/A</v>
      </c>
      <c r="P21" s="4" t="e">
        <v>#N/A</v>
      </c>
      <c r="Q21" s="4" t="e">
        <v>#N/A</v>
      </c>
      <c r="R21" s="4" t="e">
        <v>#N/A</v>
      </c>
      <c r="S21" s="4" t="e">
        <v>#N/A</v>
      </c>
      <c r="T21" s="4" t="e">
        <v>#N/A</v>
      </c>
      <c r="U21" s="4" t="e">
        <v>#N/A</v>
      </c>
      <c r="V21" s="4" t="e">
        <v>#N/A</v>
      </c>
      <c r="W21" s="3">
        <v>9</v>
      </c>
      <c r="X21" s="3">
        <v>6</v>
      </c>
      <c r="Y21" s="4" t="e">
        <v>#N/A</v>
      </c>
      <c r="Z21" s="4" t="e">
        <v>#N/A</v>
      </c>
      <c r="AA21" s="4" t="e">
        <v>#N/A</v>
      </c>
      <c r="AB21" s="3">
        <v>-7</v>
      </c>
      <c r="AC21" s="3">
        <v>17</v>
      </c>
      <c r="AD21" s="3" t="e">
        <v>#N/A</v>
      </c>
      <c r="AE21" s="3" t="e">
        <v>#N/A</v>
      </c>
      <c r="AF21" s="3">
        <v>4585</v>
      </c>
      <c r="AG21" s="4" t="e">
        <v>#N/A</v>
      </c>
      <c r="AH21" s="4" t="e">
        <v>#N/A</v>
      </c>
      <c r="AI21" s="3">
        <v>36058</v>
      </c>
      <c r="AJ21" s="3">
        <v>43</v>
      </c>
      <c r="AK21" s="3">
        <v>25</v>
      </c>
      <c r="AL21" s="3">
        <v>6</v>
      </c>
      <c r="AM21" s="3">
        <v>7</v>
      </c>
      <c r="AN21" s="3">
        <v>56</v>
      </c>
      <c r="AO21" s="3">
        <v>2</v>
      </c>
      <c r="AP21" s="3">
        <v>3</v>
      </c>
      <c r="AQ21" s="3" t="e">
        <v>#N/A</v>
      </c>
      <c r="AR21" s="3" t="e">
        <v>#N/A</v>
      </c>
      <c r="AS21" s="3" t="e">
        <v>#N/A</v>
      </c>
      <c r="AT21" s="3" t="e">
        <v>#N/A</v>
      </c>
      <c r="AU21" s="3" t="e">
        <v>#N/A</v>
      </c>
      <c r="AV21" s="3" t="e">
        <v>#N/A</v>
      </c>
      <c r="AW21" s="3" t="e">
        <v>#N/A</v>
      </c>
      <c r="AX21" s="3" t="e">
        <v>#N/A</v>
      </c>
      <c r="AY21" s="3" t="e">
        <v>#N/A</v>
      </c>
      <c r="AZ21" s="3" t="e">
        <v>#N/A</v>
      </c>
      <c r="BA21" s="3" t="e">
        <v>#N/A</v>
      </c>
      <c r="BB21" s="3" t="e">
        <v>#N/A</v>
      </c>
      <c r="BC21" s="3" t="e">
        <v>#N/A</v>
      </c>
      <c r="BD21" s="3" t="e">
        <v>#N/A</v>
      </c>
    </row>
    <row r="22" spans="1:56" x14ac:dyDescent="0.25">
      <c r="A22" t="s">
        <v>562</v>
      </c>
      <c r="B22" s="3" t="e">
        <v>#N/A</v>
      </c>
      <c r="C22" s="3">
        <v>63733</v>
      </c>
      <c r="D22" s="3" t="e">
        <v>#N/A</v>
      </c>
      <c r="E22" s="3" t="e">
        <v>#N/A</v>
      </c>
      <c r="F22" s="3" t="e">
        <v>#N/A</v>
      </c>
      <c r="G22" s="3" t="e">
        <v>#N/A</v>
      </c>
      <c r="H22" s="3" t="e">
        <v>#N/A</v>
      </c>
      <c r="I22" s="4" t="e">
        <v>#N/A</v>
      </c>
      <c r="J22" s="4" t="e">
        <v>#N/A</v>
      </c>
      <c r="K22" s="4" t="e">
        <v>#N/A</v>
      </c>
      <c r="L22" s="4" t="e">
        <v>#N/A</v>
      </c>
      <c r="M22" s="3" t="e">
        <v>#N/A</v>
      </c>
      <c r="N22" s="4" t="e">
        <v>#N/A</v>
      </c>
      <c r="O22" s="4" t="e">
        <v>#N/A</v>
      </c>
      <c r="P22" s="4" t="e">
        <v>#N/A</v>
      </c>
      <c r="Q22" s="4" t="e">
        <v>#N/A</v>
      </c>
      <c r="R22" s="4" t="e">
        <v>#N/A</v>
      </c>
      <c r="S22" s="4" t="e">
        <v>#N/A</v>
      </c>
      <c r="T22" s="4" t="e">
        <v>#N/A</v>
      </c>
      <c r="U22" s="4" t="e">
        <v>#N/A</v>
      </c>
      <c r="V22" s="4" t="e">
        <v>#N/A</v>
      </c>
      <c r="W22" s="3">
        <v>13</v>
      </c>
      <c r="X22" s="3">
        <v>10</v>
      </c>
      <c r="Y22" s="4" t="e">
        <v>#N/A</v>
      </c>
      <c r="Z22" s="4" t="e">
        <v>#N/A</v>
      </c>
      <c r="AA22" s="4" t="e">
        <v>#N/A</v>
      </c>
      <c r="AB22" s="3">
        <v>-8</v>
      </c>
      <c r="AC22" s="3">
        <v>12</v>
      </c>
      <c r="AD22" s="3" t="e">
        <v>#N/A</v>
      </c>
      <c r="AE22" s="3" t="e">
        <v>#N/A</v>
      </c>
      <c r="AF22" s="3">
        <v>4432</v>
      </c>
      <c r="AG22" s="4" t="e">
        <v>#N/A</v>
      </c>
      <c r="AH22" s="4" t="e">
        <v>#N/A</v>
      </c>
      <c r="AI22" s="3">
        <v>34615</v>
      </c>
      <c r="AJ22" s="3">
        <v>46</v>
      </c>
      <c r="AK22" s="3">
        <v>26</v>
      </c>
      <c r="AL22" s="3">
        <v>4</v>
      </c>
      <c r="AM22" s="3">
        <v>3</v>
      </c>
      <c r="AN22" s="3">
        <v>50</v>
      </c>
      <c r="AO22" s="3">
        <v>3</v>
      </c>
      <c r="AP22" s="3">
        <v>1</v>
      </c>
      <c r="AQ22" s="3" t="e">
        <v>#N/A</v>
      </c>
      <c r="AR22" s="3" t="e">
        <v>#N/A</v>
      </c>
      <c r="AS22" s="3" t="e">
        <v>#N/A</v>
      </c>
      <c r="AT22" s="3" t="e">
        <v>#N/A</v>
      </c>
      <c r="AU22" s="3" t="e">
        <v>#N/A</v>
      </c>
      <c r="AV22" s="3" t="e">
        <v>#N/A</v>
      </c>
      <c r="AW22" s="3" t="e">
        <v>#N/A</v>
      </c>
      <c r="AX22" s="3" t="e">
        <v>#N/A</v>
      </c>
      <c r="AY22" s="3" t="e">
        <v>#N/A</v>
      </c>
      <c r="AZ22" s="3" t="e">
        <v>#N/A</v>
      </c>
      <c r="BA22" s="3" t="e">
        <v>#N/A</v>
      </c>
      <c r="BB22" s="3" t="e">
        <v>#N/A</v>
      </c>
      <c r="BC22" s="3" t="e">
        <v>#N/A</v>
      </c>
      <c r="BD22" s="3" t="e">
        <v>#N/A</v>
      </c>
    </row>
    <row r="23" spans="1:56" x14ac:dyDescent="0.25">
      <c r="A23" t="s">
        <v>563</v>
      </c>
      <c r="B23" s="3" t="e">
        <v>#N/A</v>
      </c>
      <c r="C23" s="3">
        <v>63810</v>
      </c>
      <c r="D23" s="3" t="e">
        <v>#N/A</v>
      </c>
      <c r="E23" s="3" t="e">
        <v>#N/A</v>
      </c>
      <c r="F23" s="3" t="e">
        <v>#N/A</v>
      </c>
      <c r="G23" s="3" t="e">
        <v>#N/A</v>
      </c>
      <c r="H23" s="3" t="e">
        <v>#N/A</v>
      </c>
      <c r="I23" s="4" t="e">
        <v>#N/A</v>
      </c>
      <c r="J23" s="4" t="e">
        <v>#N/A</v>
      </c>
      <c r="K23" s="4" t="e">
        <v>#N/A</v>
      </c>
      <c r="L23" s="4" t="e">
        <v>#N/A</v>
      </c>
      <c r="M23" s="3" t="e">
        <v>#N/A</v>
      </c>
      <c r="N23" s="4" t="e">
        <v>#N/A</v>
      </c>
      <c r="O23" s="4" t="e">
        <v>#N/A</v>
      </c>
      <c r="P23" s="4" t="e">
        <v>#N/A</v>
      </c>
      <c r="Q23" s="4" t="e">
        <v>#N/A</v>
      </c>
      <c r="R23" s="4" t="e">
        <v>#N/A</v>
      </c>
      <c r="S23" s="4" t="e">
        <v>#N/A</v>
      </c>
      <c r="T23" s="4" t="e">
        <v>#N/A</v>
      </c>
      <c r="U23" s="4" t="e">
        <v>#N/A</v>
      </c>
      <c r="V23" s="4" t="e">
        <v>#N/A</v>
      </c>
      <c r="W23" s="3">
        <v>17</v>
      </c>
      <c r="X23" s="3">
        <v>15</v>
      </c>
      <c r="Y23" s="4" t="e">
        <v>#N/A</v>
      </c>
      <c r="Z23" s="4" t="e">
        <v>#N/A</v>
      </c>
      <c r="AA23" s="4" t="e">
        <v>#N/A</v>
      </c>
      <c r="AB23" s="3">
        <v>-3</v>
      </c>
      <c r="AC23" s="3">
        <v>7</v>
      </c>
      <c r="AD23" s="3" t="e">
        <v>#N/A</v>
      </c>
      <c r="AE23" s="3" t="e">
        <v>#N/A</v>
      </c>
      <c r="AF23" s="3">
        <v>4736</v>
      </c>
      <c r="AG23" s="4" t="e">
        <v>#N/A</v>
      </c>
      <c r="AH23" s="4" t="e">
        <v>#N/A</v>
      </c>
      <c r="AI23" s="3">
        <v>36539</v>
      </c>
      <c r="AJ23" s="3">
        <v>44</v>
      </c>
      <c r="AK23" s="3">
        <v>27</v>
      </c>
      <c r="AL23" s="3">
        <v>5</v>
      </c>
      <c r="AM23" s="3">
        <v>5</v>
      </c>
      <c r="AN23" s="3">
        <v>54</v>
      </c>
      <c r="AO23" s="3">
        <v>6</v>
      </c>
      <c r="AP23" s="3">
        <v>1</v>
      </c>
      <c r="AQ23" s="3" t="e">
        <v>#N/A</v>
      </c>
      <c r="AR23" s="3" t="e">
        <v>#N/A</v>
      </c>
      <c r="AS23" s="3" t="e">
        <v>#N/A</v>
      </c>
      <c r="AT23" s="3" t="e">
        <v>#N/A</v>
      </c>
      <c r="AU23" s="3" t="e">
        <v>#N/A</v>
      </c>
      <c r="AV23" s="3" t="e">
        <v>#N/A</v>
      </c>
      <c r="AW23" s="3" t="e">
        <v>#N/A</v>
      </c>
      <c r="AX23" s="3" t="e">
        <v>#N/A</v>
      </c>
      <c r="AY23" s="3" t="e">
        <v>#N/A</v>
      </c>
      <c r="AZ23" s="3" t="e">
        <v>#N/A</v>
      </c>
      <c r="BA23" s="3" t="e">
        <v>#N/A</v>
      </c>
      <c r="BB23" s="3" t="e">
        <v>#N/A</v>
      </c>
      <c r="BC23" s="3" t="e">
        <v>#N/A</v>
      </c>
      <c r="BD23" s="3" t="e">
        <v>#N/A</v>
      </c>
    </row>
    <row r="24" spans="1:56" x14ac:dyDescent="0.25">
      <c r="A24" t="s">
        <v>564</v>
      </c>
      <c r="B24" s="3" t="e">
        <v>#N/A</v>
      </c>
      <c r="C24" s="3">
        <v>65142</v>
      </c>
      <c r="D24" s="3" t="e">
        <v>#N/A</v>
      </c>
      <c r="E24" s="3" t="e">
        <v>#N/A</v>
      </c>
      <c r="F24" s="3" t="e">
        <v>#N/A</v>
      </c>
      <c r="G24" s="3" t="e">
        <v>#N/A</v>
      </c>
      <c r="H24" s="3" t="e">
        <v>#N/A</v>
      </c>
      <c r="I24" s="4" t="e">
        <v>#N/A</v>
      </c>
      <c r="J24" s="4" t="e">
        <v>#N/A</v>
      </c>
      <c r="K24" s="4" t="e">
        <v>#N/A</v>
      </c>
      <c r="L24" s="4" t="e">
        <v>#N/A</v>
      </c>
      <c r="M24" s="3" t="e">
        <v>#N/A</v>
      </c>
      <c r="N24" s="4" t="e">
        <v>#N/A</v>
      </c>
      <c r="O24" s="4" t="e">
        <v>#N/A</v>
      </c>
      <c r="P24" s="4" t="e">
        <v>#N/A</v>
      </c>
      <c r="Q24" s="4" t="e">
        <v>#N/A</v>
      </c>
      <c r="R24" s="4" t="e">
        <v>#N/A</v>
      </c>
      <c r="S24" s="4" t="e">
        <v>#N/A</v>
      </c>
      <c r="T24" s="4" t="e">
        <v>#N/A</v>
      </c>
      <c r="U24" s="4" t="e">
        <v>#N/A</v>
      </c>
      <c r="V24" s="4" t="e">
        <v>#N/A</v>
      </c>
      <c r="W24" s="3">
        <v>17</v>
      </c>
      <c r="X24" s="3">
        <v>15</v>
      </c>
      <c r="Y24" s="4" t="e">
        <v>#N/A</v>
      </c>
      <c r="Z24" s="4" t="e">
        <v>#N/A</v>
      </c>
      <c r="AA24" s="4" t="e">
        <v>#N/A</v>
      </c>
      <c r="AB24" s="3">
        <v>-1</v>
      </c>
      <c r="AC24" s="3">
        <v>14</v>
      </c>
      <c r="AD24" s="3" t="e">
        <v>#N/A</v>
      </c>
      <c r="AE24" s="3" t="e">
        <v>#N/A</v>
      </c>
      <c r="AF24" s="3">
        <v>4464</v>
      </c>
      <c r="AG24" s="4" t="e">
        <v>#N/A</v>
      </c>
      <c r="AH24" s="4" t="e">
        <v>#N/A</v>
      </c>
      <c r="AI24" s="3">
        <v>36812</v>
      </c>
      <c r="AJ24" s="3">
        <v>49</v>
      </c>
      <c r="AK24" s="3">
        <v>26</v>
      </c>
      <c r="AL24" s="3">
        <v>3</v>
      </c>
      <c r="AM24" s="3">
        <v>4</v>
      </c>
      <c r="AN24" s="3">
        <v>55</v>
      </c>
      <c r="AO24" s="3">
        <v>6</v>
      </c>
      <c r="AP24" s="3">
        <v>2</v>
      </c>
      <c r="AQ24" s="3" t="e">
        <v>#N/A</v>
      </c>
      <c r="AR24" s="3" t="e">
        <v>#N/A</v>
      </c>
      <c r="AS24" s="3" t="e">
        <v>#N/A</v>
      </c>
      <c r="AT24" s="3" t="e">
        <v>#N/A</v>
      </c>
      <c r="AU24" s="3" t="e">
        <v>#N/A</v>
      </c>
      <c r="AV24" s="3" t="e">
        <v>#N/A</v>
      </c>
      <c r="AW24" s="3" t="e">
        <v>#N/A</v>
      </c>
      <c r="AX24" s="3" t="e">
        <v>#N/A</v>
      </c>
      <c r="AY24" s="3" t="e">
        <v>#N/A</v>
      </c>
      <c r="AZ24" s="3" t="e">
        <v>#N/A</v>
      </c>
      <c r="BA24" s="3" t="e">
        <v>#N/A</v>
      </c>
      <c r="BB24" s="3" t="e">
        <v>#N/A</v>
      </c>
      <c r="BC24" s="3" t="e">
        <v>#N/A</v>
      </c>
      <c r="BD24" s="3" t="e">
        <v>#N/A</v>
      </c>
    </row>
    <row r="25" spans="1:56" x14ac:dyDescent="0.25">
      <c r="A25" t="s">
        <v>565</v>
      </c>
      <c r="B25" s="3" t="e">
        <v>#N/A</v>
      </c>
      <c r="C25" s="3">
        <v>65927</v>
      </c>
      <c r="D25" s="3" t="e">
        <v>#N/A</v>
      </c>
      <c r="E25" s="3" t="e">
        <v>#N/A</v>
      </c>
      <c r="F25" s="3" t="e">
        <v>#N/A</v>
      </c>
      <c r="G25" s="3" t="e">
        <v>#N/A</v>
      </c>
      <c r="H25" s="3" t="e">
        <v>#N/A</v>
      </c>
      <c r="I25" s="4" t="e">
        <v>#N/A</v>
      </c>
      <c r="J25" s="4" t="e">
        <v>#N/A</v>
      </c>
      <c r="K25" s="4" t="e">
        <v>#N/A</v>
      </c>
      <c r="L25" s="4" t="e">
        <v>#N/A</v>
      </c>
      <c r="M25" s="3" t="e">
        <v>#N/A</v>
      </c>
      <c r="N25" s="4" t="e">
        <v>#N/A</v>
      </c>
      <c r="O25" s="4" t="e">
        <v>#N/A</v>
      </c>
      <c r="P25" s="4" t="e">
        <v>#N/A</v>
      </c>
      <c r="Q25" s="4" t="e">
        <v>#N/A</v>
      </c>
      <c r="R25" s="4" t="e">
        <v>#N/A</v>
      </c>
      <c r="S25" s="4" t="e">
        <v>#N/A</v>
      </c>
      <c r="T25" s="4" t="e">
        <v>#N/A</v>
      </c>
      <c r="U25" s="4" t="e">
        <v>#N/A</v>
      </c>
      <c r="V25" s="4" t="e">
        <v>#N/A</v>
      </c>
      <c r="W25" s="3">
        <v>20</v>
      </c>
      <c r="X25" s="3">
        <v>16</v>
      </c>
      <c r="Y25" s="4" t="e">
        <v>#N/A</v>
      </c>
      <c r="Z25" s="4" t="e">
        <v>#N/A</v>
      </c>
      <c r="AA25" s="4" t="e">
        <v>#N/A</v>
      </c>
      <c r="AB25" s="3">
        <v>7</v>
      </c>
      <c r="AC25" s="3">
        <v>12</v>
      </c>
      <c r="AD25" s="3" t="e">
        <v>#N/A</v>
      </c>
      <c r="AE25" s="3" t="e">
        <v>#N/A</v>
      </c>
      <c r="AF25" s="3">
        <v>4343</v>
      </c>
      <c r="AG25" s="4" t="e">
        <v>#N/A</v>
      </c>
      <c r="AH25" s="4" t="e">
        <v>#N/A</v>
      </c>
      <c r="AI25" s="3">
        <v>39248</v>
      </c>
      <c r="AJ25" s="3">
        <v>46</v>
      </c>
      <c r="AK25" s="3">
        <v>24</v>
      </c>
      <c r="AL25" s="3">
        <v>3</v>
      </c>
      <c r="AM25" s="3">
        <v>2</v>
      </c>
      <c r="AN25" s="3">
        <v>44</v>
      </c>
      <c r="AO25" s="3">
        <v>2</v>
      </c>
      <c r="AP25" s="3">
        <v>1</v>
      </c>
      <c r="AQ25" s="3" t="e">
        <v>#N/A</v>
      </c>
      <c r="AR25" s="3" t="e">
        <v>#N/A</v>
      </c>
      <c r="AS25" s="3" t="e">
        <v>#N/A</v>
      </c>
      <c r="AT25" s="3" t="e">
        <v>#N/A</v>
      </c>
      <c r="AU25" s="3" t="e">
        <v>#N/A</v>
      </c>
      <c r="AV25" s="3" t="e">
        <v>#N/A</v>
      </c>
      <c r="AW25" s="3" t="e">
        <v>#N/A</v>
      </c>
      <c r="AX25" s="3" t="e">
        <v>#N/A</v>
      </c>
      <c r="AY25" s="3" t="e">
        <v>#N/A</v>
      </c>
      <c r="AZ25" s="3" t="e">
        <v>#N/A</v>
      </c>
      <c r="BA25" s="3" t="e">
        <v>#N/A</v>
      </c>
      <c r="BB25" s="3" t="e">
        <v>#N/A</v>
      </c>
      <c r="BC25" s="3" t="e">
        <v>#N/A</v>
      </c>
      <c r="BD25" s="3" t="e">
        <v>#N/A</v>
      </c>
    </row>
    <row r="26" spans="1:56" x14ac:dyDescent="0.25">
      <c r="A26" t="s">
        <v>566</v>
      </c>
      <c r="B26" s="3" t="e">
        <v>#N/A</v>
      </c>
      <c r="C26" s="3">
        <v>64605</v>
      </c>
      <c r="D26" s="3" t="e">
        <v>#N/A</v>
      </c>
      <c r="E26" s="3" t="e">
        <v>#N/A</v>
      </c>
      <c r="F26" s="3" t="e">
        <v>#N/A</v>
      </c>
      <c r="G26" s="3" t="e">
        <v>#N/A</v>
      </c>
      <c r="H26" s="3" t="e">
        <v>#N/A</v>
      </c>
      <c r="I26" s="4" t="e">
        <v>#N/A</v>
      </c>
      <c r="J26" s="4" t="e">
        <v>#N/A</v>
      </c>
      <c r="K26" s="4" t="e">
        <v>#N/A</v>
      </c>
      <c r="L26" s="4" t="e">
        <v>#N/A</v>
      </c>
      <c r="M26" s="3" t="e">
        <v>#N/A</v>
      </c>
      <c r="N26" s="4" t="e">
        <v>#N/A</v>
      </c>
      <c r="O26" s="4" t="e">
        <v>#N/A</v>
      </c>
      <c r="P26" s="4" t="e">
        <v>#N/A</v>
      </c>
      <c r="Q26" s="4" t="e">
        <v>#N/A</v>
      </c>
      <c r="R26" s="4" t="e">
        <v>#N/A</v>
      </c>
      <c r="S26" s="4" t="e">
        <v>#N/A</v>
      </c>
      <c r="T26" s="4" t="e">
        <v>#N/A</v>
      </c>
      <c r="U26" s="4" t="e">
        <v>#N/A</v>
      </c>
      <c r="V26" s="4" t="e">
        <v>#N/A</v>
      </c>
      <c r="W26" s="3">
        <v>22</v>
      </c>
      <c r="X26" s="3">
        <v>17</v>
      </c>
      <c r="Y26" s="4" t="e">
        <v>#N/A</v>
      </c>
      <c r="Z26" s="4" t="e">
        <v>#N/A</v>
      </c>
      <c r="AA26" s="4" t="e">
        <v>#N/A</v>
      </c>
      <c r="AB26" s="3">
        <v>4</v>
      </c>
      <c r="AC26" s="3">
        <v>2</v>
      </c>
      <c r="AD26" s="3" t="e">
        <v>#N/A</v>
      </c>
      <c r="AE26" s="3" t="e">
        <v>#N/A</v>
      </c>
      <c r="AF26" s="3">
        <v>4379</v>
      </c>
      <c r="AG26" s="4" t="e">
        <v>#N/A</v>
      </c>
      <c r="AH26" s="4" t="e">
        <v>#N/A</v>
      </c>
      <c r="AI26" s="3">
        <v>39582</v>
      </c>
      <c r="AJ26" s="3">
        <v>44</v>
      </c>
      <c r="AK26" s="3">
        <v>23</v>
      </c>
      <c r="AL26" s="3">
        <v>3</v>
      </c>
      <c r="AM26" s="3">
        <v>2</v>
      </c>
      <c r="AN26" s="3">
        <v>55</v>
      </c>
      <c r="AO26" s="3">
        <v>6</v>
      </c>
      <c r="AP26" s="3">
        <v>3</v>
      </c>
      <c r="AQ26" s="3" t="e">
        <v>#N/A</v>
      </c>
      <c r="AR26" s="3" t="e">
        <v>#N/A</v>
      </c>
      <c r="AS26" s="3" t="e">
        <v>#N/A</v>
      </c>
      <c r="AT26" s="3" t="e">
        <v>#N/A</v>
      </c>
      <c r="AU26" s="3" t="e">
        <v>#N/A</v>
      </c>
      <c r="AV26" s="3" t="e">
        <v>#N/A</v>
      </c>
      <c r="AW26" s="3" t="e">
        <v>#N/A</v>
      </c>
      <c r="AX26" s="3" t="e">
        <v>#N/A</v>
      </c>
      <c r="AY26" s="3" t="e">
        <v>#N/A</v>
      </c>
      <c r="AZ26" s="3" t="e">
        <v>#N/A</v>
      </c>
      <c r="BA26" s="3" t="e">
        <v>#N/A</v>
      </c>
      <c r="BB26" s="3" t="e">
        <v>#N/A</v>
      </c>
      <c r="BC26" s="3" t="e">
        <v>#N/A</v>
      </c>
      <c r="BD26" s="3" t="e">
        <v>#N/A</v>
      </c>
    </row>
    <row r="27" spans="1:56" x14ac:dyDescent="0.25">
      <c r="A27" t="s">
        <v>567</v>
      </c>
      <c r="B27" s="3" t="e">
        <v>#N/A</v>
      </c>
      <c r="C27" s="3">
        <v>65040</v>
      </c>
      <c r="D27" s="3" t="e">
        <v>#N/A</v>
      </c>
      <c r="E27" s="3" t="e">
        <v>#N/A</v>
      </c>
      <c r="F27" s="3" t="e">
        <v>#N/A</v>
      </c>
      <c r="G27" s="3" t="e">
        <v>#N/A</v>
      </c>
      <c r="H27" s="3" t="e">
        <v>#N/A</v>
      </c>
      <c r="I27" s="4" t="e">
        <v>#N/A</v>
      </c>
      <c r="J27" s="4" t="e">
        <v>#N/A</v>
      </c>
      <c r="K27" s="4" t="e">
        <v>#N/A</v>
      </c>
      <c r="L27" s="4" t="e">
        <v>#N/A</v>
      </c>
      <c r="M27" s="3" t="e">
        <v>#N/A</v>
      </c>
      <c r="N27" s="4" t="e">
        <v>#N/A</v>
      </c>
      <c r="O27" s="4" t="e">
        <v>#N/A</v>
      </c>
      <c r="P27" s="4" t="e">
        <v>#N/A</v>
      </c>
      <c r="Q27" s="4" t="e">
        <v>#N/A</v>
      </c>
      <c r="R27" s="4" t="e">
        <v>#N/A</v>
      </c>
      <c r="S27" s="4" t="e">
        <v>#N/A</v>
      </c>
      <c r="T27" s="4" t="e">
        <v>#N/A</v>
      </c>
      <c r="U27" s="4" t="e">
        <v>#N/A</v>
      </c>
      <c r="V27" s="4" t="e">
        <v>#N/A</v>
      </c>
      <c r="W27" s="3">
        <v>26</v>
      </c>
      <c r="X27" s="3">
        <v>15</v>
      </c>
      <c r="Y27" s="4" t="e">
        <v>#N/A</v>
      </c>
      <c r="Z27" s="4" t="e">
        <v>#N/A</v>
      </c>
      <c r="AA27" s="4" t="e">
        <v>#N/A</v>
      </c>
      <c r="AB27" s="3">
        <v>6</v>
      </c>
      <c r="AC27" s="3">
        <v>-7</v>
      </c>
      <c r="AD27" s="3" t="e">
        <v>#N/A</v>
      </c>
      <c r="AE27" s="3" t="e">
        <v>#N/A</v>
      </c>
      <c r="AF27" s="3">
        <v>4428</v>
      </c>
      <c r="AG27" s="4" t="e">
        <v>#N/A</v>
      </c>
      <c r="AH27" s="4" t="e">
        <v>#N/A</v>
      </c>
      <c r="AI27" s="3">
        <v>38576</v>
      </c>
      <c r="AJ27" s="3">
        <v>47</v>
      </c>
      <c r="AK27" s="3">
        <v>22</v>
      </c>
      <c r="AL27" s="3">
        <v>3</v>
      </c>
      <c r="AM27" s="3">
        <v>4</v>
      </c>
      <c r="AN27" s="3">
        <v>50</v>
      </c>
      <c r="AO27" s="3">
        <v>4</v>
      </c>
      <c r="AP27" s="3">
        <v>2</v>
      </c>
      <c r="AQ27" s="3" t="e">
        <v>#N/A</v>
      </c>
      <c r="AR27" s="3" t="e">
        <v>#N/A</v>
      </c>
      <c r="AS27" s="3" t="e">
        <v>#N/A</v>
      </c>
      <c r="AT27" s="3" t="e">
        <v>#N/A</v>
      </c>
      <c r="AU27" s="3" t="e">
        <v>#N/A</v>
      </c>
      <c r="AV27" s="3" t="e">
        <v>#N/A</v>
      </c>
      <c r="AW27" s="3" t="e">
        <v>#N/A</v>
      </c>
      <c r="AX27" s="3" t="e">
        <v>#N/A</v>
      </c>
      <c r="AY27" s="3" t="e">
        <v>#N/A</v>
      </c>
      <c r="AZ27" s="3" t="e">
        <v>#N/A</v>
      </c>
      <c r="BA27" s="3" t="e">
        <v>#N/A</v>
      </c>
      <c r="BB27" s="3" t="e">
        <v>#N/A</v>
      </c>
      <c r="BC27" s="3" t="e">
        <v>#N/A</v>
      </c>
      <c r="BD27" s="3" t="e">
        <v>#N/A</v>
      </c>
    </row>
    <row r="28" spans="1:56" x14ac:dyDescent="0.25">
      <c r="A28" t="s">
        <v>568</v>
      </c>
      <c r="B28" s="3" t="e">
        <v>#N/A</v>
      </c>
      <c r="C28" s="3">
        <v>65399</v>
      </c>
      <c r="D28" s="3" t="e">
        <v>#N/A</v>
      </c>
      <c r="E28" s="3" t="e">
        <v>#N/A</v>
      </c>
      <c r="F28" s="3" t="e">
        <v>#N/A</v>
      </c>
      <c r="G28" s="3" t="e">
        <v>#N/A</v>
      </c>
      <c r="H28" s="3" t="e">
        <v>#N/A</v>
      </c>
      <c r="I28" s="4" t="e">
        <v>#N/A</v>
      </c>
      <c r="J28" s="4" t="e">
        <v>#N/A</v>
      </c>
      <c r="K28" s="4" t="e">
        <v>#N/A</v>
      </c>
      <c r="L28" s="4" t="e">
        <v>#N/A</v>
      </c>
      <c r="M28" s="3" t="e">
        <v>#N/A</v>
      </c>
      <c r="N28" s="4" t="e">
        <v>#N/A</v>
      </c>
      <c r="O28" s="4" t="e">
        <v>#N/A</v>
      </c>
      <c r="P28" s="4" t="e">
        <v>#N/A</v>
      </c>
      <c r="Q28" s="4" t="e">
        <v>#N/A</v>
      </c>
      <c r="R28" s="4" t="e">
        <v>#N/A</v>
      </c>
      <c r="S28" s="4" t="e">
        <v>#N/A</v>
      </c>
      <c r="T28" s="4" t="e">
        <v>#N/A</v>
      </c>
      <c r="U28" s="4" t="e">
        <v>#N/A</v>
      </c>
      <c r="V28" s="4" t="e">
        <v>#N/A</v>
      </c>
      <c r="W28" s="3">
        <v>25</v>
      </c>
      <c r="X28" s="3">
        <v>18</v>
      </c>
      <c r="Y28" s="4" t="e">
        <v>#N/A</v>
      </c>
      <c r="Z28" s="4" t="e">
        <v>#N/A</v>
      </c>
      <c r="AA28" s="4" t="e">
        <v>#N/A</v>
      </c>
      <c r="AB28" s="3">
        <v>16</v>
      </c>
      <c r="AC28" s="3">
        <v>10</v>
      </c>
      <c r="AD28" s="3" t="e">
        <v>#N/A</v>
      </c>
      <c r="AE28" s="3" t="e">
        <v>#N/A</v>
      </c>
      <c r="AF28" s="3">
        <v>4588</v>
      </c>
      <c r="AG28" s="4" t="e">
        <v>#N/A</v>
      </c>
      <c r="AH28" s="4" t="e">
        <v>#N/A</v>
      </c>
      <c r="AI28" s="3">
        <v>40181</v>
      </c>
      <c r="AJ28" s="3">
        <v>45</v>
      </c>
      <c r="AK28" s="3">
        <v>21</v>
      </c>
      <c r="AL28" s="3">
        <v>5</v>
      </c>
      <c r="AM28" s="3">
        <v>4</v>
      </c>
      <c r="AN28" s="3">
        <v>48</v>
      </c>
      <c r="AO28" s="3">
        <v>6</v>
      </c>
      <c r="AP28" s="3">
        <v>3</v>
      </c>
      <c r="AQ28" s="3" t="e">
        <v>#N/A</v>
      </c>
      <c r="AR28" s="3" t="e">
        <v>#N/A</v>
      </c>
      <c r="AS28" s="3" t="e">
        <v>#N/A</v>
      </c>
      <c r="AT28" s="3" t="e">
        <v>#N/A</v>
      </c>
      <c r="AU28" s="3" t="e">
        <v>#N/A</v>
      </c>
      <c r="AV28" s="3" t="e">
        <v>#N/A</v>
      </c>
      <c r="AW28" s="3" t="e">
        <v>#N/A</v>
      </c>
      <c r="AX28" s="3" t="e">
        <v>#N/A</v>
      </c>
      <c r="AY28" s="3" t="e">
        <v>#N/A</v>
      </c>
      <c r="AZ28" s="3" t="e">
        <v>#N/A</v>
      </c>
      <c r="BA28" s="3" t="e">
        <v>#N/A</v>
      </c>
      <c r="BB28" s="3" t="e">
        <v>#N/A</v>
      </c>
      <c r="BC28" s="3" t="e">
        <v>#N/A</v>
      </c>
      <c r="BD28" s="3" t="e">
        <v>#N/A</v>
      </c>
    </row>
    <row r="29" spans="1:56" x14ac:dyDescent="0.25">
      <c r="A29" t="s">
        <v>569</v>
      </c>
      <c r="B29" s="3" t="e">
        <v>#N/A</v>
      </c>
      <c r="C29" s="3">
        <v>64532</v>
      </c>
      <c r="D29" s="3" t="e">
        <v>#N/A</v>
      </c>
      <c r="E29" s="3" t="e">
        <v>#N/A</v>
      </c>
      <c r="F29" s="3" t="e">
        <v>#N/A</v>
      </c>
      <c r="G29" s="3" t="e">
        <v>#N/A</v>
      </c>
      <c r="H29" s="3" t="e">
        <v>#N/A</v>
      </c>
      <c r="I29" s="4" t="e">
        <v>#N/A</v>
      </c>
      <c r="J29" s="4" t="e">
        <v>#N/A</v>
      </c>
      <c r="K29" s="4" t="e">
        <v>#N/A</v>
      </c>
      <c r="L29" s="4" t="e">
        <v>#N/A</v>
      </c>
      <c r="M29" s="3" t="e">
        <v>#N/A</v>
      </c>
      <c r="N29" s="4" t="e">
        <v>#N/A</v>
      </c>
      <c r="O29" s="4" t="e">
        <v>#N/A</v>
      </c>
      <c r="P29" s="4" t="e">
        <v>#N/A</v>
      </c>
      <c r="Q29" s="4" t="e">
        <v>#N/A</v>
      </c>
      <c r="R29" s="4" t="e">
        <v>#N/A</v>
      </c>
      <c r="S29" s="4" t="e">
        <v>#N/A</v>
      </c>
      <c r="T29" s="4" t="e">
        <v>#N/A</v>
      </c>
      <c r="U29" s="4" t="e">
        <v>#N/A</v>
      </c>
      <c r="V29" s="4" t="e">
        <v>#N/A</v>
      </c>
      <c r="W29" s="3">
        <v>25</v>
      </c>
      <c r="X29" s="3">
        <v>27</v>
      </c>
      <c r="Y29" s="4" t="e">
        <v>#N/A</v>
      </c>
      <c r="Z29" s="4" t="e">
        <v>#N/A</v>
      </c>
      <c r="AA29" s="4" t="e">
        <v>#N/A</v>
      </c>
      <c r="AB29" s="3">
        <v>7</v>
      </c>
      <c r="AC29" s="3">
        <v>6</v>
      </c>
      <c r="AD29" s="3" t="e">
        <v>#N/A</v>
      </c>
      <c r="AE29" s="3" t="e">
        <v>#N/A</v>
      </c>
      <c r="AF29" s="3">
        <v>4929</v>
      </c>
      <c r="AG29" s="4" t="e">
        <v>#N/A</v>
      </c>
      <c r="AH29" s="4" t="e">
        <v>#N/A</v>
      </c>
      <c r="AI29" s="3">
        <v>40016</v>
      </c>
      <c r="AJ29" s="3">
        <v>43</v>
      </c>
      <c r="AK29" s="3">
        <v>18</v>
      </c>
      <c r="AL29" s="3">
        <v>4</v>
      </c>
      <c r="AM29" s="3">
        <v>5</v>
      </c>
      <c r="AN29" s="3">
        <v>49</v>
      </c>
      <c r="AO29" s="3">
        <v>4</v>
      </c>
      <c r="AP29" s="3">
        <v>3</v>
      </c>
      <c r="AQ29" s="3" t="e">
        <v>#N/A</v>
      </c>
      <c r="AR29" s="3" t="e">
        <v>#N/A</v>
      </c>
      <c r="AS29" s="3" t="e">
        <v>#N/A</v>
      </c>
      <c r="AT29" s="3" t="e">
        <v>#N/A</v>
      </c>
      <c r="AU29" s="3" t="e">
        <v>#N/A</v>
      </c>
      <c r="AV29" s="3" t="e">
        <v>#N/A</v>
      </c>
      <c r="AW29" s="3" t="e">
        <v>#N/A</v>
      </c>
      <c r="AX29" s="3" t="e">
        <v>#N/A</v>
      </c>
      <c r="AY29" s="3" t="e">
        <v>#N/A</v>
      </c>
      <c r="AZ29" s="3" t="e">
        <v>#N/A</v>
      </c>
      <c r="BA29" s="3" t="e">
        <v>#N/A</v>
      </c>
      <c r="BB29" s="3" t="e">
        <v>#N/A</v>
      </c>
      <c r="BC29" s="3" t="e">
        <v>#N/A</v>
      </c>
      <c r="BD29" s="3" t="e">
        <v>#N/A</v>
      </c>
    </row>
    <row r="30" spans="1:56" x14ac:dyDescent="0.25">
      <c r="A30" t="s">
        <v>570</v>
      </c>
      <c r="B30" s="3" t="e">
        <v>#N/A</v>
      </c>
      <c r="C30" s="3">
        <v>64647</v>
      </c>
      <c r="D30" s="3" t="e">
        <v>#N/A</v>
      </c>
      <c r="E30" s="3" t="e">
        <v>#N/A</v>
      </c>
      <c r="F30" s="3" t="e">
        <v>#N/A</v>
      </c>
      <c r="G30" s="3" t="e">
        <v>#N/A</v>
      </c>
      <c r="H30" s="3" t="e">
        <v>#N/A</v>
      </c>
      <c r="I30" s="4" t="e">
        <v>#N/A</v>
      </c>
      <c r="J30" s="4" t="e">
        <v>#N/A</v>
      </c>
      <c r="K30" s="4" t="e">
        <v>#N/A</v>
      </c>
      <c r="L30" s="4" t="e">
        <v>#N/A</v>
      </c>
      <c r="M30" s="3" t="e">
        <v>#N/A</v>
      </c>
      <c r="N30" s="4" t="e">
        <v>#N/A</v>
      </c>
      <c r="O30" s="4" t="e">
        <v>#N/A</v>
      </c>
      <c r="P30" s="4" t="e">
        <v>#N/A</v>
      </c>
      <c r="Q30" s="4" t="e">
        <v>#N/A</v>
      </c>
      <c r="R30" s="4" t="e">
        <v>#N/A</v>
      </c>
      <c r="S30" s="4" t="e">
        <v>#N/A</v>
      </c>
      <c r="T30" s="4" t="e">
        <v>#N/A</v>
      </c>
      <c r="U30" s="4" t="e">
        <v>#N/A</v>
      </c>
      <c r="V30" s="4" t="e">
        <v>#N/A</v>
      </c>
      <c r="W30" s="3">
        <v>23</v>
      </c>
      <c r="X30" s="3">
        <v>20</v>
      </c>
      <c r="Y30" s="4" t="e">
        <v>#N/A</v>
      </c>
      <c r="Z30" s="4" t="e">
        <v>#N/A</v>
      </c>
      <c r="AA30" s="4" t="e">
        <v>#N/A</v>
      </c>
      <c r="AB30" s="3">
        <v>13</v>
      </c>
      <c r="AC30" s="3">
        <v>2</v>
      </c>
      <c r="AD30" s="3" t="e">
        <v>#N/A</v>
      </c>
      <c r="AE30" s="3" t="e">
        <v>#N/A</v>
      </c>
      <c r="AF30" s="3">
        <v>5486</v>
      </c>
      <c r="AG30" s="4" t="e">
        <v>#N/A</v>
      </c>
      <c r="AH30" s="4" t="e">
        <v>#N/A</v>
      </c>
      <c r="AI30" s="3">
        <v>40206</v>
      </c>
      <c r="AJ30" s="3">
        <v>46</v>
      </c>
      <c r="AK30" s="3">
        <v>23</v>
      </c>
      <c r="AL30" s="3">
        <v>3</v>
      </c>
      <c r="AM30" s="3">
        <v>3</v>
      </c>
      <c r="AN30" s="3">
        <v>49</v>
      </c>
      <c r="AO30" s="3">
        <v>9</v>
      </c>
      <c r="AP30" s="3">
        <v>2</v>
      </c>
      <c r="AQ30" s="3" t="e">
        <v>#N/A</v>
      </c>
      <c r="AR30" s="3" t="e">
        <v>#N/A</v>
      </c>
      <c r="AS30" s="3" t="e">
        <v>#N/A</v>
      </c>
      <c r="AT30" s="3" t="e">
        <v>#N/A</v>
      </c>
      <c r="AU30" s="3" t="e">
        <v>#N/A</v>
      </c>
      <c r="AV30" s="3" t="e">
        <v>#N/A</v>
      </c>
      <c r="AW30" s="3" t="e">
        <v>#N/A</v>
      </c>
      <c r="AX30" s="3" t="e">
        <v>#N/A</v>
      </c>
      <c r="AY30" s="3" t="e">
        <v>#N/A</v>
      </c>
      <c r="AZ30" s="3" t="e">
        <v>#N/A</v>
      </c>
      <c r="BA30" s="3" t="e">
        <v>#N/A</v>
      </c>
      <c r="BB30" s="3" t="e">
        <v>#N/A</v>
      </c>
      <c r="BC30" s="3" t="e">
        <v>#N/A</v>
      </c>
      <c r="BD30" s="3" t="e">
        <v>#N/A</v>
      </c>
    </row>
    <row r="31" spans="1:56" x14ac:dyDescent="0.25">
      <c r="A31" t="s">
        <v>571</v>
      </c>
      <c r="B31" s="3" t="e">
        <v>#N/A</v>
      </c>
      <c r="C31" s="3">
        <v>65098</v>
      </c>
      <c r="D31" s="3" t="e">
        <v>#N/A</v>
      </c>
      <c r="E31" s="3" t="e">
        <v>#N/A</v>
      </c>
      <c r="F31" s="3" t="e">
        <v>#N/A</v>
      </c>
      <c r="G31" s="3" t="e">
        <v>#N/A</v>
      </c>
      <c r="H31" s="3" t="e">
        <v>#N/A</v>
      </c>
      <c r="I31" s="4" t="e">
        <v>#N/A</v>
      </c>
      <c r="J31" s="4" t="e">
        <v>#N/A</v>
      </c>
      <c r="K31" s="4" t="e">
        <v>#N/A</v>
      </c>
      <c r="L31" s="4" t="e">
        <v>#N/A</v>
      </c>
      <c r="M31" s="3" t="e">
        <v>#N/A</v>
      </c>
      <c r="N31" s="4" t="e">
        <v>#N/A</v>
      </c>
      <c r="O31" s="4" t="e">
        <v>#N/A</v>
      </c>
      <c r="P31" s="4" t="e">
        <v>#N/A</v>
      </c>
      <c r="Q31" s="4" t="e">
        <v>#N/A</v>
      </c>
      <c r="R31" s="4" t="e">
        <v>#N/A</v>
      </c>
      <c r="S31" s="4" t="e">
        <v>#N/A</v>
      </c>
      <c r="T31" s="4" t="e">
        <v>#N/A</v>
      </c>
      <c r="U31" s="4" t="e">
        <v>#N/A</v>
      </c>
      <c r="V31" s="4" t="e">
        <v>#N/A</v>
      </c>
      <c r="W31" s="3">
        <v>23</v>
      </c>
      <c r="X31" s="3">
        <v>19</v>
      </c>
      <c r="Y31" s="4" t="e">
        <v>#N/A</v>
      </c>
      <c r="Z31" s="4" t="e">
        <v>#N/A</v>
      </c>
      <c r="AA31" s="4" t="e">
        <v>#N/A</v>
      </c>
      <c r="AB31" s="3">
        <v>17</v>
      </c>
      <c r="AC31" s="3">
        <v>6</v>
      </c>
      <c r="AD31" s="3" t="e">
        <v>#N/A</v>
      </c>
      <c r="AE31" s="3" t="e">
        <v>#N/A</v>
      </c>
      <c r="AF31" s="3">
        <v>5459</v>
      </c>
      <c r="AG31" s="4" t="e">
        <v>#N/A</v>
      </c>
      <c r="AH31" s="4" t="e">
        <v>#N/A</v>
      </c>
      <c r="AI31" s="3">
        <v>42599</v>
      </c>
      <c r="AJ31" s="3">
        <v>47</v>
      </c>
      <c r="AK31" s="3">
        <v>18</v>
      </c>
      <c r="AL31" s="3">
        <v>4</v>
      </c>
      <c r="AM31" s="3">
        <v>6</v>
      </c>
      <c r="AN31" s="3">
        <v>45</v>
      </c>
      <c r="AO31" s="3">
        <v>8</v>
      </c>
      <c r="AP31" s="3">
        <v>4</v>
      </c>
      <c r="AQ31" s="3" t="e">
        <v>#N/A</v>
      </c>
      <c r="AR31" s="3" t="e">
        <v>#N/A</v>
      </c>
      <c r="AS31" s="3" t="e">
        <v>#N/A</v>
      </c>
      <c r="AT31" s="3" t="e">
        <v>#N/A</v>
      </c>
      <c r="AU31" s="3" t="e">
        <v>#N/A</v>
      </c>
      <c r="AV31" s="3" t="e">
        <v>#N/A</v>
      </c>
      <c r="AW31" s="3" t="e">
        <v>#N/A</v>
      </c>
      <c r="AX31" s="3" t="e">
        <v>#N/A</v>
      </c>
      <c r="AY31" s="3" t="e">
        <v>#N/A</v>
      </c>
      <c r="AZ31" s="3" t="e">
        <v>#N/A</v>
      </c>
      <c r="BA31" s="3" t="e">
        <v>#N/A</v>
      </c>
      <c r="BB31" s="3" t="e">
        <v>#N/A</v>
      </c>
      <c r="BC31" s="3" t="e">
        <v>#N/A</v>
      </c>
      <c r="BD31" s="3" t="e">
        <v>#N/A</v>
      </c>
    </row>
    <row r="32" spans="1:56" x14ac:dyDescent="0.25">
      <c r="A32" t="s">
        <v>572</v>
      </c>
      <c r="B32" s="3" t="e">
        <v>#N/A</v>
      </c>
      <c r="C32" s="3">
        <v>65410</v>
      </c>
      <c r="D32" s="3" t="e">
        <v>#N/A</v>
      </c>
      <c r="E32" s="3" t="e">
        <v>#N/A</v>
      </c>
      <c r="F32" s="3" t="e">
        <v>#N/A</v>
      </c>
      <c r="G32" s="3" t="e">
        <v>#N/A</v>
      </c>
      <c r="H32" s="3" t="e">
        <v>#N/A</v>
      </c>
      <c r="I32" s="4" t="e">
        <v>#N/A</v>
      </c>
      <c r="J32" s="4" t="e">
        <v>#N/A</v>
      </c>
      <c r="K32" s="4" t="e">
        <v>#N/A</v>
      </c>
      <c r="L32" s="4" t="e">
        <v>#N/A</v>
      </c>
      <c r="M32" s="3" t="e">
        <v>#N/A</v>
      </c>
      <c r="N32" s="4" t="e">
        <v>#N/A</v>
      </c>
      <c r="O32" s="4" t="e">
        <v>#N/A</v>
      </c>
      <c r="P32" s="4" t="e">
        <v>#N/A</v>
      </c>
      <c r="Q32" s="4" t="e">
        <v>#N/A</v>
      </c>
      <c r="R32" s="4" t="e">
        <v>#N/A</v>
      </c>
      <c r="S32" s="4" t="e">
        <v>#N/A</v>
      </c>
      <c r="T32" s="4" t="e">
        <v>#N/A</v>
      </c>
      <c r="U32" s="4" t="e">
        <v>#N/A</v>
      </c>
      <c r="V32" s="4" t="e">
        <v>#N/A</v>
      </c>
      <c r="W32" s="3">
        <v>22</v>
      </c>
      <c r="X32" s="3">
        <v>19</v>
      </c>
      <c r="Y32" s="4" t="e">
        <v>#N/A</v>
      </c>
      <c r="Z32" s="4" t="e">
        <v>#N/A</v>
      </c>
      <c r="AA32" s="4" t="e">
        <v>#N/A</v>
      </c>
      <c r="AB32" s="3">
        <v>12</v>
      </c>
      <c r="AC32" s="3">
        <v>3</v>
      </c>
      <c r="AD32" s="3" t="e">
        <v>#N/A</v>
      </c>
      <c r="AE32" s="3" t="e">
        <v>#N/A</v>
      </c>
      <c r="AF32" s="3">
        <v>5594</v>
      </c>
      <c r="AG32" s="4" t="e">
        <v>#N/A</v>
      </c>
      <c r="AH32" s="4" t="e">
        <v>#N/A</v>
      </c>
      <c r="AI32" s="3">
        <v>42873</v>
      </c>
      <c r="AJ32" s="3">
        <v>50</v>
      </c>
      <c r="AK32" s="3">
        <v>20</v>
      </c>
      <c r="AL32" s="3">
        <v>3</v>
      </c>
      <c r="AM32" s="3">
        <v>4</v>
      </c>
      <c r="AN32" s="3">
        <v>51</v>
      </c>
      <c r="AO32" s="3">
        <v>10</v>
      </c>
      <c r="AP32" s="3">
        <v>2</v>
      </c>
      <c r="AQ32" s="3" t="e">
        <v>#N/A</v>
      </c>
      <c r="AR32" s="3" t="e">
        <v>#N/A</v>
      </c>
      <c r="AS32" s="3" t="e">
        <v>#N/A</v>
      </c>
      <c r="AT32" s="3" t="e">
        <v>#N/A</v>
      </c>
      <c r="AU32" s="3" t="e">
        <v>#N/A</v>
      </c>
      <c r="AV32" s="3" t="e">
        <v>#N/A</v>
      </c>
      <c r="AW32" s="3" t="e">
        <v>#N/A</v>
      </c>
      <c r="AX32" s="3" t="e">
        <v>#N/A</v>
      </c>
      <c r="AY32" s="3" t="e">
        <v>#N/A</v>
      </c>
      <c r="AZ32" s="3" t="e">
        <v>#N/A</v>
      </c>
      <c r="BA32" s="3" t="e">
        <v>#N/A</v>
      </c>
      <c r="BB32" s="3" t="e">
        <v>#N/A</v>
      </c>
      <c r="BC32" s="3" t="e">
        <v>#N/A</v>
      </c>
      <c r="BD32" s="3" t="e">
        <v>#N/A</v>
      </c>
    </row>
    <row r="33" spans="1:56" x14ac:dyDescent="0.25">
      <c r="A33" t="s">
        <v>573</v>
      </c>
      <c r="B33" s="3" t="e">
        <v>#N/A</v>
      </c>
      <c r="C33" s="3">
        <v>67091</v>
      </c>
      <c r="D33" s="3" t="e">
        <v>#N/A</v>
      </c>
      <c r="E33" s="3" t="e">
        <v>#N/A</v>
      </c>
      <c r="F33" s="3" t="e">
        <v>#N/A</v>
      </c>
      <c r="G33" s="3" t="e">
        <v>#N/A</v>
      </c>
      <c r="H33" s="3" t="e">
        <v>#N/A</v>
      </c>
      <c r="I33" s="4" t="e">
        <v>#N/A</v>
      </c>
      <c r="J33" s="4" t="e">
        <v>#N/A</v>
      </c>
      <c r="K33" s="4" t="e">
        <v>#N/A</v>
      </c>
      <c r="L33" s="4" t="e">
        <v>#N/A</v>
      </c>
      <c r="M33" s="3" t="e">
        <v>#N/A</v>
      </c>
      <c r="N33" s="4" t="e">
        <v>#N/A</v>
      </c>
      <c r="O33" s="4" t="e">
        <v>#N/A</v>
      </c>
      <c r="P33" s="4" t="e">
        <v>#N/A</v>
      </c>
      <c r="Q33" s="4" t="e">
        <v>#N/A</v>
      </c>
      <c r="R33" s="4" t="e">
        <v>#N/A</v>
      </c>
      <c r="S33" s="4" t="e">
        <v>#N/A</v>
      </c>
      <c r="T33" s="4" t="e">
        <v>#N/A</v>
      </c>
      <c r="U33" s="4" t="e">
        <v>#N/A</v>
      </c>
      <c r="V33" s="4" t="e">
        <v>#N/A</v>
      </c>
      <c r="W33" s="3">
        <v>22</v>
      </c>
      <c r="X33" s="3">
        <v>24</v>
      </c>
      <c r="Y33" s="4" t="e">
        <v>#N/A</v>
      </c>
      <c r="Z33" s="4" t="e">
        <v>#N/A</v>
      </c>
      <c r="AA33" s="4" t="e">
        <v>#N/A</v>
      </c>
      <c r="AB33" s="3">
        <v>10</v>
      </c>
      <c r="AC33" s="3">
        <v>23</v>
      </c>
      <c r="AD33" s="3" t="e">
        <v>#N/A</v>
      </c>
      <c r="AE33" s="3" t="e">
        <v>#N/A</v>
      </c>
      <c r="AF33" s="3">
        <v>5013</v>
      </c>
      <c r="AG33" s="4" t="e">
        <v>#N/A</v>
      </c>
      <c r="AH33" s="4" t="e">
        <v>#N/A</v>
      </c>
      <c r="AI33" s="3">
        <v>43534</v>
      </c>
      <c r="AJ33" s="3">
        <v>45</v>
      </c>
      <c r="AK33" s="3">
        <v>17</v>
      </c>
      <c r="AL33" s="3">
        <v>3</v>
      </c>
      <c r="AM33" s="3">
        <v>2</v>
      </c>
      <c r="AN33" s="3">
        <v>48</v>
      </c>
      <c r="AO33" s="3">
        <v>9</v>
      </c>
      <c r="AP33" s="3">
        <v>4</v>
      </c>
      <c r="AQ33" s="3" t="e">
        <v>#N/A</v>
      </c>
      <c r="AR33" s="3" t="e">
        <v>#N/A</v>
      </c>
      <c r="AS33" s="3" t="e">
        <v>#N/A</v>
      </c>
      <c r="AT33" s="3" t="e">
        <v>#N/A</v>
      </c>
      <c r="AU33" s="3" t="e">
        <v>#N/A</v>
      </c>
      <c r="AV33" s="3" t="e">
        <v>#N/A</v>
      </c>
      <c r="AW33" s="3" t="e">
        <v>#N/A</v>
      </c>
      <c r="AX33" s="3" t="e">
        <v>#N/A</v>
      </c>
      <c r="AY33" s="3" t="e">
        <v>#N/A</v>
      </c>
      <c r="AZ33" s="3" t="e">
        <v>#N/A</v>
      </c>
      <c r="BA33" s="3" t="e">
        <v>#N/A</v>
      </c>
      <c r="BB33" s="3" t="e">
        <v>#N/A</v>
      </c>
      <c r="BC33" s="3" t="e">
        <v>#N/A</v>
      </c>
      <c r="BD33" s="3" t="e">
        <v>#N/A</v>
      </c>
    </row>
    <row r="34" spans="1:56" x14ac:dyDescent="0.25">
      <c r="A34" t="s">
        <v>574</v>
      </c>
      <c r="B34" s="3" t="e">
        <v>#N/A</v>
      </c>
      <c r="C34" s="3">
        <v>69362</v>
      </c>
      <c r="D34" s="3" t="e">
        <v>#N/A</v>
      </c>
      <c r="E34" s="3" t="e">
        <v>#N/A</v>
      </c>
      <c r="F34" s="3" t="e">
        <v>#N/A</v>
      </c>
      <c r="G34" s="3" t="e">
        <v>#N/A</v>
      </c>
      <c r="H34" s="3" t="e">
        <v>#N/A</v>
      </c>
      <c r="I34" s="4" t="e">
        <v>#N/A</v>
      </c>
      <c r="J34" s="4" t="e">
        <v>#N/A</v>
      </c>
      <c r="K34" s="4" t="e">
        <v>#N/A</v>
      </c>
      <c r="L34" s="4" t="e">
        <v>#N/A</v>
      </c>
      <c r="M34" s="3" t="e">
        <v>#N/A</v>
      </c>
      <c r="N34" s="4" t="e">
        <v>#N/A</v>
      </c>
      <c r="O34" s="4" t="e">
        <v>#N/A</v>
      </c>
      <c r="P34" s="4" t="e">
        <v>#N/A</v>
      </c>
      <c r="Q34" s="4" t="e">
        <v>#N/A</v>
      </c>
      <c r="R34" s="4" t="e">
        <v>#N/A</v>
      </c>
      <c r="S34" s="4" t="e">
        <v>#N/A</v>
      </c>
      <c r="T34" s="4" t="e">
        <v>#N/A</v>
      </c>
      <c r="U34" s="4" t="e">
        <v>#N/A</v>
      </c>
      <c r="V34" s="4" t="e">
        <v>#N/A</v>
      </c>
      <c r="W34" s="3">
        <v>19</v>
      </c>
      <c r="X34" s="3">
        <v>24</v>
      </c>
      <c r="Y34" s="4" t="e">
        <v>#N/A</v>
      </c>
      <c r="Z34" s="4" t="e">
        <v>#N/A</v>
      </c>
      <c r="AA34" s="4" t="e">
        <v>#N/A</v>
      </c>
      <c r="AB34" s="3">
        <v>11</v>
      </c>
      <c r="AC34" s="3">
        <v>15</v>
      </c>
      <c r="AD34" s="3" t="e">
        <v>#N/A</v>
      </c>
      <c r="AE34" s="3" t="e">
        <v>#N/A</v>
      </c>
      <c r="AF34" s="3">
        <v>5061</v>
      </c>
      <c r="AG34" s="4" t="e">
        <v>#N/A</v>
      </c>
      <c r="AH34" s="4" t="e">
        <v>#N/A</v>
      </c>
      <c r="AI34" s="3">
        <v>45345</v>
      </c>
      <c r="AJ34" s="3">
        <v>42</v>
      </c>
      <c r="AK34" s="3">
        <v>21</v>
      </c>
      <c r="AL34" s="3">
        <v>3</v>
      </c>
      <c r="AM34" s="3">
        <v>3</v>
      </c>
      <c r="AN34" s="3">
        <v>52</v>
      </c>
      <c r="AO34" s="3">
        <v>7</v>
      </c>
      <c r="AP34" s="3">
        <v>2</v>
      </c>
      <c r="AQ34" s="3" t="e">
        <v>#N/A</v>
      </c>
      <c r="AR34" s="3" t="e">
        <v>#N/A</v>
      </c>
      <c r="AS34" s="3" t="e">
        <v>#N/A</v>
      </c>
      <c r="AT34" s="3" t="e">
        <v>#N/A</v>
      </c>
      <c r="AU34" s="3" t="e">
        <v>#N/A</v>
      </c>
      <c r="AV34" s="3" t="e">
        <v>#N/A</v>
      </c>
      <c r="AW34" s="3" t="e">
        <v>#N/A</v>
      </c>
      <c r="AX34" s="3" t="e">
        <v>#N/A</v>
      </c>
      <c r="AY34" s="3" t="e">
        <v>#N/A</v>
      </c>
      <c r="AZ34" s="3" t="e">
        <v>#N/A</v>
      </c>
      <c r="BA34" s="3" t="e">
        <v>#N/A</v>
      </c>
      <c r="BB34" s="3" t="e">
        <v>#N/A</v>
      </c>
      <c r="BC34" s="3" t="e">
        <v>#N/A</v>
      </c>
      <c r="BD34" s="3" t="e">
        <v>#N/A</v>
      </c>
    </row>
    <row r="35" spans="1:56" x14ac:dyDescent="0.25">
      <c r="A35" t="s">
        <v>575</v>
      </c>
      <c r="B35" s="3" t="e">
        <v>#N/A</v>
      </c>
      <c r="C35" s="3">
        <v>68834</v>
      </c>
      <c r="D35" s="3" t="e">
        <v>#N/A</v>
      </c>
      <c r="E35" s="3" t="e">
        <v>#N/A</v>
      </c>
      <c r="F35" s="3" t="e">
        <v>#N/A</v>
      </c>
      <c r="G35" s="3" t="e">
        <v>#N/A</v>
      </c>
      <c r="H35" s="3" t="e">
        <v>#N/A</v>
      </c>
      <c r="I35" s="4" t="e">
        <v>#N/A</v>
      </c>
      <c r="J35" s="4" t="e">
        <v>#N/A</v>
      </c>
      <c r="K35" s="4" t="e">
        <v>#N/A</v>
      </c>
      <c r="L35" s="4" t="e">
        <v>#N/A</v>
      </c>
      <c r="M35" s="3" t="e">
        <v>#N/A</v>
      </c>
      <c r="N35" s="4" t="e">
        <v>#N/A</v>
      </c>
      <c r="O35" s="4" t="e">
        <v>#N/A</v>
      </c>
      <c r="P35" s="4" t="e">
        <v>#N/A</v>
      </c>
      <c r="Q35" s="4" t="e">
        <v>#N/A</v>
      </c>
      <c r="R35" s="4" t="e">
        <v>#N/A</v>
      </c>
      <c r="S35" s="4" t="e">
        <v>#N/A</v>
      </c>
      <c r="T35" s="4" t="e">
        <v>#N/A</v>
      </c>
      <c r="U35" s="4" t="e">
        <v>#N/A</v>
      </c>
      <c r="V35" s="4" t="e">
        <v>#N/A</v>
      </c>
      <c r="W35" s="3">
        <v>22</v>
      </c>
      <c r="X35" s="3">
        <v>21</v>
      </c>
      <c r="Y35" s="4" t="e">
        <v>#N/A</v>
      </c>
      <c r="Z35" s="4" t="e">
        <v>#N/A</v>
      </c>
      <c r="AA35" s="4" t="e">
        <v>#N/A</v>
      </c>
      <c r="AB35" s="3">
        <v>12</v>
      </c>
      <c r="AC35" s="3">
        <v>13</v>
      </c>
      <c r="AD35" s="3" t="e">
        <v>#N/A</v>
      </c>
      <c r="AE35" s="3" t="e">
        <v>#N/A</v>
      </c>
      <c r="AF35" s="3">
        <v>5172</v>
      </c>
      <c r="AG35" s="4" t="e">
        <v>#N/A</v>
      </c>
      <c r="AH35" s="4" t="e">
        <v>#N/A</v>
      </c>
      <c r="AI35" s="3">
        <v>47484</v>
      </c>
      <c r="AJ35" s="3">
        <v>46</v>
      </c>
      <c r="AK35" s="3">
        <v>20</v>
      </c>
      <c r="AL35" s="3">
        <v>3</v>
      </c>
      <c r="AM35" s="3">
        <v>3</v>
      </c>
      <c r="AN35" s="3">
        <v>55</v>
      </c>
      <c r="AO35" s="3">
        <v>5</v>
      </c>
      <c r="AP35" s="3">
        <v>2</v>
      </c>
      <c r="AQ35" s="3" t="e">
        <v>#N/A</v>
      </c>
      <c r="AR35" s="3" t="e">
        <v>#N/A</v>
      </c>
      <c r="AS35" s="3" t="e">
        <v>#N/A</v>
      </c>
      <c r="AT35" s="3" t="e">
        <v>#N/A</v>
      </c>
      <c r="AU35" s="3" t="e">
        <v>#N/A</v>
      </c>
      <c r="AV35" s="3" t="e">
        <v>#N/A</v>
      </c>
      <c r="AW35" s="3" t="e">
        <v>#N/A</v>
      </c>
      <c r="AX35" s="3" t="e">
        <v>#N/A</v>
      </c>
      <c r="AY35" s="3" t="e">
        <v>#N/A</v>
      </c>
      <c r="AZ35" s="3" t="e">
        <v>#N/A</v>
      </c>
      <c r="BA35" s="3" t="e">
        <v>#N/A</v>
      </c>
      <c r="BB35" s="3" t="e">
        <v>#N/A</v>
      </c>
      <c r="BC35" s="3" t="e">
        <v>#N/A</v>
      </c>
      <c r="BD35" s="3" t="e">
        <v>#N/A</v>
      </c>
    </row>
    <row r="36" spans="1:56" x14ac:dyDescent="0.25">
      <c r="A36" t="s">
        <v>576</v>
      </c>
      <c r="B36" s="3" t="e">
        <v>#N/A</v>
      </c>
      <c r="C36" s="3">
        <v>66518</v>
      </c>
      <c r="D36" s="3" t="e">
        <v>#N/A</v>
      </c>
      <c r="E36" s="3" t="e">
        <v>#N/A</v>
      </c>
      <c r="F36" s="3" t="e">
        <v>#N/A</v>
      </c>
      <c r="G36" s="3" t="e">
        <v>#N/A</v>
      </c>
      <c r="H36" s="3" t="e">
        <v>#N/A</v>
      </c>
      <c r="I36" s="4" t="e">
        <v>#N/A</v>
      </c>
      <c r="J36" s="4" t="e">
        <v>#N/A</v>
      </c>
      <c r="K36" s="4" t="e">
        <v>#N/A</v>
      </c>
      <c r="L36" s="4" t="e">
        <v>#N/A</v>
      </c>
      <c r="M36" s="3" t="e">
        <v>#N/A</v>
      </c>
      <c r="N36" s="4" t="e">
        <v>#N/A</v>
      </c>
      <c r="O36" s="4" t="e">
        <v>#N/A</v>
      </c>
      <c r="P36" s="4" t="e">
        <v>#N/A</v>
      </c>
      <c r="Q36" s="4" t="e">
        <v>#N/A</v>
      </c>
      <c r="R36" s="4" t="e">
        <v>#N/A</v>
      </c>
      <c r="S36" s="4" t="e">
        <v>#N/A</v>
      </c>
      <c r="T36" s="4" t="e">
        <v>#N/A</v>
      </c>
      <c r="U36" s="4" t="e">
        <v>#N/A</v>
      </c>
      <c r="V36" s="4" t="e">
        <v>#N/A</v>
      </c>
      <c r="W36" s="3">
        <v>18</v>
      </c>
      <c r="X36" s="3">
        <v>24</v>
      </c>
      <c r="Y36" s="4" t="e">
        <v>#N/A</v>
      </c>
      <c r="Z36" s="4" t="e">
        <v>#N/A</v>
      </c>
      <c r="AA36" s="4" t="e">
        <v>#N/A</v>
      </c>
      <c r="AB36" s="3">
        <v>18</v>
      </c>
      <c r="AC36" s="3">
        <v>12</v>
      </c>
      <c r="AD36" s="3" t="e">
        <v>#N/A</v>
      </c>
      <c r="AE36" s="3" t="e">
        <v>#N/A</v>
      </c>
      <c r="AF36" s="3">
        <v>4997</v>
      </c>
      <c r="AG36" s="4" t="e">
        <v>#N/A</v>
      </c>
      <c r="AH36" s="4" t="e">
        <v>#N/A</v>
      </c>
      <c r="AI36" s="3">
        <v>48859</v>
      </c>
      <c r="AJ36" s="3">
        <v>48</v>
      </c>
      <c r="AK36" s="3">
        <v>15</v>
      </c>
      <c r="AL36" s="3">
        <v>2</v>
      </c>
      <c r="AM36" s="3">
        <v>2</v>
      </c>
      <c r="AN36" s="3">
        <v>53</v>
      </c>
      <c r="AO36" s="3">
        <v>6</v>
      </c>
      <c r="AP36" s="3">
        <v>1</v>
      </c>
      <c r="AQ36" s="3" t="e">
        <v>#N/A</v>
      </c>
      <c r="AR36" s="3" t="e">
        <v>#N/A</v>
      </c>
      <c r="AS36" s="3" t="e">
        <v>#N/A</v>
      </c>
      <c r="AT36" s="3" t="e">
        <v>#N/A</v>
      </c>
      <c r="AU36" s="3" t="e">
        <v>#N/A</v>
      </c>
      <c r="AV36" s="3" t="e">
        <v>#N/A</v>
      </c>
      <c r="AW36" s="3" t="e">
        <v>#N/A</v>
      </c>
      <c r="AX36" s="3" t="e">
        <v>#N/A</v>
      </c>
      <c r="AY36" s="3" t="e">
        <v>#N/A</v>
      </c>
      <c r="AZ36" s="3" t="e">
        <v>#N/A</v>
      </c>
      <c r="BA36" s="3" t="e">
        <v>#N/A</v>
      </c>
      <c r="BB36" s="3" t="e">
        <v>#N/A</v>
      </c>
      <c r="BC36" s="3" t="e">
        <v>#N/A</v>
      </c>
      <c r="BD36" s="3" t="e">
        <v>#N/A</v>
      </c>
    </row>
    <row r="37" spans="1:56" x14ac:dyDescent="0.25">
      <c r="A37" t="s">
        <v>577</v>
      </c>
      <c r="B37" s="3">
        <v>35462</v>
      </c>
      <c r="C37" s="3">
        <v>64163</v>
      </c>
      <c r="D37" s="3">
        <v>3432</v>
      </c>
      <c r="E37" s="3">
        <v>8523</v>
      </c>
      <c r="F37" s="3">
        <v>19432</v>
      </c>
      <c r="G37" s="3">
        <v>23618</v>
      </c>
      <c r="H37" s="3">
        <v>11675</v>
      </c>
      <c r="I37" s="4">
        <v>8282</v>
      </c>
      <c r="J37" s="4">
        <v>7445</v>
      </c>
      <c r="K37" s="4">
        <v>946</v>
      </c>
      <c r="L37" s="4">
        <v>3143</v>
      </c>
      <c r="M37" s="3">
        <v>16766</v>
      </c>
      <c r="N37" s="4">
        <v>1124</v>
      </c>
      <c r="O37" s="4">
        <v>1608</v>
      </c>
      <c r="P37" s="4">
        <v>1785</v>
      </c>
      <c r="Q37" s="4">
        <v>3109</v>
      </c>
      <c r="R37" s="4">
        <v>2723</v>
      </c>
      <c r="S37" s="4">
        <v>3453</v>
      </c>
      <c r="T37" s="4">
        <v>2078</v>
      </c>
      <c r="U37" s="4">
        <v>376</v>
      </c>
      <c r="V37" s="4">
        <v>898</v>
      </c>
      <c r="W37" s="3">
        <v>25</v>
      </c>
      <c r="X37" s="3">
        <v>28</v>
      </c>
      <c r="Y37" s="4" t="e">
        <v>#N/A</v>
      </c>
      <c r="Z37" s="4" t="e">
        <v>#N/A</v>
      </c>
      <c r="AA37" s="4" t="e">
        <v>#N/A</v>
      </c>
      <c r="AB37" s="3">
        <v>14</v>
      </c>
      <c r="AC37" s="3">
        <v>2</v>
      </c>
      <c r="AD37" s="3" t="e">
        <v>#N/A</v>
      </c>
      <c r="AE37" s="3" t="e">
        <v>#N/A</v>
      </c>
      <c r="AF37" s="3">
        <v>5976</v>
      </c>
      <c r="AG37" s="4" t="e">
        <v>#N/A</v>
      </c>
      <c r="AH37" s="4" t="e">
        <v>#N/A</v>
      </c>
      <c r="AI37" s="3">
        <v>48673</v>
      </c>
      <c r="AJ37" s="3">
        <v>47</v>
      </c>
      <c r="AK37" s="3">
        <v>19</v>
      </c>
      <c r="AL37" s="3">
        <v>3</v>
      </c>
      <c r="AM37" s="3">
        <v>6</v>
      </c>
      <c r="AN37" s="3">
        <v>51</v>
      </c>
      <c r="AO37" s="3">
        <v>7</v>
      </c>
      <c r="AP37" s="3">
        <v>1</v>
      </c>
      <c r="AQ37" s="3" t="e">
        <v>#N/A</v>
      </c>
      <c r="AR37" s="3" t="e">
        <v>#N/A</v>
      </c>
      <c r="AS37" s="3" t="e">
        <v>#N/A</v>
      </c>
      <c r="AT37" s="3" t="e">
        <v>#N/A</v>
      </c>
      <c r="AU37" s="3" t="e">
        <v>#N/A</v>
      </c>
      <c r="AV37" s="3" t="e">
        <v>#N/A</v>
      </c>
      <c r="AW37" s="3" t="e">
        <v>#N/A</v>
      </c>
      <c r="AX37" s="3" t="e">
        <v>#N/A</v>
      </c>
      <c r="AY37" s="3" t="e">
        <v>#N/A</v>
      </c>
      <c r="AZ37" s="3" t="e">
        <v>#N/A</v>
      </c>
      <c r="BA37" s="3" t="e">
        <v>#N/A</v>
      </c>
      <c r="BB37" s="3" t="e">
        <v>#N/A</v>
      </c>
      <c r="BC37" s="3" t="e">
        <v>#N/A</v>
      </c>
      <c r="BD37" s="3" t="e">
        <v>#N/A</v>
      </c>
    </row>
    <row r="38" spans="1:56" x14ac:dyDescent="0.25">
      <c r="A38" t="s">
        <v>578</v>
      </c>
      <c r="B38" s="3">
        <v>37021</v>
      </c>
      <c r="C38" s="3">
        <v>64841</v>
      </c>
      <c r="D38" s="3">
        <v>3500</v>
      </c>
      <c r="E38" s="3">
        <v>8753</v>
      </c>
      <c r="F38" s="3">
        <v>18732</v>
      </c>
      <c r="G38" s="3">
        <v>23335</v>
      </c>
      <c r="H38" s="3">
        <v>12142</v>
      </c>
      <c r="I38" s="4">
        <v>9288</v>
      </c>
      <c r="J38" s="4">
        <v>7814</v>
      </c>
      <c r="K38" s="4">
        <v>1172</v>
      </c>
      <c r="L38" s="4">
        <v>3313</v>
      </c>
      <c r="M38" s="3">
        <v>16715</v>
      </c>
      <c r="N38" s="4">
        <v>1135</v>
      </c>
      <c r="O38" s="4">
        <v>1717</v>
      </c>
      <c r="P38" s="4">
        <v>2045</v>
      </c>
      <c r="Q38" s="4">
        <v>3059</v>
      </c>
      <c r="R38" s="4">
        <v>2493</v>
      </c>
      <c r="S38" s="4">
        <v>4014</v>
      </c>
      <c r="T38" s="4">
        <v>2035</v>
      </c>
      <c r="U38" s="4">
        <v>355</v>
      </c>
      <c r="V38" s="4">
        <v>963</v>
      </c>
      <c r="W38" s="3">
        <v>22</v>
      </c>
      <c r="X38" s="3">
        <v>28</v>
      </c>
      <c r="Y38" s="4" t="e">
        <v>#N/A</v>
      </c>
      <c r="Z38" s="4" t="e">
        <v>#N/A</v>
      </c>
      <c r="AA38" s="4" t="e">
        <v>#N/A</v>
      </c>
      <c r="AB38" s="3">
        <v>13</v>
      </c>
      <c r="AC38" s="3">
        <v>9</v>
      </c>
      <c r="AD38" s="3" t="e">
        <v>#N/A</v>
      </c>
      <c r="AE38" s="3" t="e">
        <v>#N/A</v>
      </c>
      <c r="AF38" s="3">
        <v>6491</v>
      </c>
      <c r="AG38" s="4" t="e">
        <v>#N/A</v>
      </c>
      <c r="AH38" s="4" t="e">
        <v>#N/A</v>
      </c>
      <c r="AI38" s="3">
        <v>46454</v>
      </c>
      <c r="AJ38" s="3">
        <v>40</v>
      </c>
      <c r="AK38" s="3">
        <v>21</v>
      </c>
      <c r="AL38" s="3">
        <v>3</v>
      </c>
      <c r="AM38" s="3">
        <v>4</v>
      </c>
      <c r="AN38" s="3">
        <v>51</v>
      </c>
      <c r="AO38" s="3">
        <v>7</v>
      </c>
      <c r="AP38" s="3">
        <v>1</v>
      </c>
      <c r="AQ38" s="3" t="e">
        <v>#N/A</v>
      </c>
      <c r="AR38" s="3" t="e">
        <v>#N/A</v>
      </c>
      <c r="AS38" s="3" t="e">
        <v>#N/A</v>
      </c>
      <c r="AT38" s="3" t="e">
        <v>#N/A</v>
      </c>
      <c r="AU38" s="3" t="e">
        <v>#N/A</v>
      </c>
      <c r="AV38" s="3" t="e">
        <v>#N/A</v>
      </c>
      <c r="AW38" s="3" t="e">
        <v>#N/A</v>
      </c>
      <c r="AX38" s="3" t="e">
        <v>#N/A</v>
      </c>
      <c r="AY38" s="3" t="e">
        <v>#N/A</v>
      </c>
      <c r="AZ38" s="3" t="e">
        <v>#N/A</v>
      </c>
      <c r="BA38" s="3" t="e">
        <v>#N/A</v>
      </c>
      <c r="BB38" s="3" t="e">
        <v>#N/A</v>
      </c>
      <c r="BC38" s="3" t="e">
        <v>#N/A</v>
      </c>
      <c r="BD38" s="3" t="e">
        <v>#N/A</v>
      </c>
    </row>
    <row r="39" spans="1:56" x14ac:dyDescent="0.25">
      <c r="A39" t="s">
        <v>579</v>
      </c>
      <c r="B39" s="3">
        <v>39279</v>
      </c>
      <c r="C39" s="3">
        <v>68586</v>
      </c>
      <c r="D39" s="3">
        <v>3771</v>
      </c>
      <c r="E39" s="3">
        <v>9436</v>
      </c>
      <c r="F39" s="3">
        <v>19069</v>
      </c>
      <c r="G39" s="3">
        <v>25202</v>
      </c>
      <c r="H39" s="3">
        <v>12628</v>
      </c>
      <c r="I39" s="4">
        <v>9202</v>
      </c>
      <c r="J39" s="4">
        <v>7990</v>
      </c>
      <c r="K39" s="4">
        <v>1360</v>
      </c>
      <c r="L39" s="4">
        <v>3507</v>
      </c>
      <c r="M39" s="3">
        <v>16611</v>
      </c>
      <c r="N39" s="4">
        <v>1110</v>
      </c>
      <c r="O39" s="4">
        <v>1710</v>
      </c>
      <c r="P39" s="4">
        <v>2352</v>
      </c>
      <c r="Q39" s="4">
        <v>2161</v>
      </c>
      <c r="R39" s="4">
        <v>2705</v>
      </c>
      <c r="S39" s="4">
        <v>4388</v>
      </c>
      <c r="T39" s="4">
        <v>2053</v>
      </c>
      <c r="U39" s="4">
        <v>366</v>
      </c>
      <c r="V39" s="4">
        <v>1187</v>
      </c>
      <c r="W39" s="3">
        <v>20</v>
      </c>
      <c r="X39" s="3">
        <v>32</v>
      </c>
      <c r="Y39" s="4">
        <v>2.1666666666666665</v>
      </c>
      <c r="Z39" s="4">
        <v>3.1</v>
      </c>
      <c r="AA39" s="4" t="e">
        <v>#N/A</v>
      </c>
      <c r="AB39" s="3">
        <v>21</v>
      </c>
      <c r="AC39" s="3">
        <v>2</v>
      </c>
      <c r="AD39" s="3" t="e">
        <v>#N/A</v>
      </c>
      <c r="AE39" s="3" t="e">
        <v>#N/A</v>
      </c>
      <c r="AF39" s="3">
        <v>6725</v>
      </c>
      <c r="AG39" s="4" t="e">
        <v>#N/A</v>
      </c>
      <c r="AH39" s="4" t="e">
        <v>#N/A</v>
      </c>
      <c r="AI39" s="3">
        <v>50884</v>
      </c>
      <c r="AJ39" s="3">
        <v>47</v>
      </c>
      <c r="AK39" s="3">
        <v>17</v>
      </c>
      <c r="AL39" s="3">
        <v>3</v>
      </c>
      <c r="AM39" s="3">
        <v>4</v>
      </c>
      <c r="AN39" s="3">
        <v>45</v>
      </c>
      <c r="AO39" s="3">
        <v>7</v>
      </c>
      <c r="AP39" s="3">
        <v>1</v>
      </c>
      <c r="AQ39" s="3" t="e">
        <v>#N/A</v>
      </c>
      <c r="AR39" s="3" t="e">
        <v>#N/A</v>
      </c>
      <c r="AS39" s="3" t="e">
        <v>#N/A</v>
      </c>
      <c r="AT39" s="3" t="e">
        <v>#N/A</v>
      </c>
      <c r="AU39" s="3" t="e">
        <v>#N/A</v>
      </c>
      <c r="AV39" s="3" t="e">
        <v>#N/A</v>
      </c>
      <c r="AW39" s="3" t="e">
        <v>#N/A</v>
      </c>
      <c r="AX39" s="3" t="e">
        <v>#N/A</v>
      </c>
      <c r="AY39" s="3" t="e">
        <v>#N/A</v>
      </c>
      <c r="AZ39" s="3" t="e">
        <v>#N/A</v>
      </c>
      <c r="BA39" s="3" t="e">
        <v>#N/A</v>
      </c>
      <c r="BB39" s="3" t="e">
        <v>#N/A</v>
      </c>
      <c r="BC39" s="3" t="e">
        <v>#N/A</v>
      </c>
      <c r="BD39" s="3" t="e">
        <v>#N/A</v>
      </c>
    </row>
    <row r="40" spans="1:56" x14ac:dyDescent="0.25">
      <c r="A40" t="s">
        <v>580</v>
      </c>
      <c r="B40" s="3">
        <v>40300</v>
      </c>
      <c r="C40" s="3">
        <v>70207</v>
      </c>
      <c r="D40" s="3">
        <v>3645</v>
      </c>
      <c r="E40" s="3">
        <v>9540</v>
      </c>
      <c r="F40" s="3">
        <v>20461</v>
      </c>
      <c r="G40" s="3">
        <v>25504</v>
      </c>
      <c r="H40" s="3">
        <v>13007</v>
      </c>
      <c r="I40" s="4">
        <v>9203</v>
      </c>
      <c r="J40" s="4">
        <v>8334</v>
      </c>
      <c r="K40" s="4">
        <v>1035</v>
      </c>
      <c r="L40" s="4">
        <v>3617</v>
      </c>
      <c r="M40" s="3">
        <v>16682</v>
      </c>
      <c r="N40" s="4">
        <v>1177</v>
      </c>
      <c r="O40" s="4">
        <v>2227</v>
      </c>
      <c r="P40" s="4">
        <v>2420</v>
      </c>
      <c r="Q40" s="4">
        <v>2461</v>
      </c>
      <c r="R40" s="4">
        <v>2959</v>
      </c>
      <c r="S40" s="4">
        <v>4259</v>
      </c>
      <c r="T40" s="4">
        <v>2092</v>
      </c>
      <c r="U40" s="4">
        <v>449</v>
      </c>
      <c r="V40" s="4">
        <v>1234</v>
      </c>
      <c r="W40" s="3">
        <v>23</v>
      </c>
      <c r="X40" s="3">
        <v>24</v>
      </c>
      <c r="Y40" s="4">
        <v>2.1</v>
      </c>
      <c r="Z40" s="4">
        <v>3.0333333333333332</v>
      </c>
      <c r="AA40" s="4" t="e">
        <v>#N/A</v>
      </c>
      <c r="AB40" s="3">
        <v>9</v>
      </c>
      <c r="AC40" s="3">
        <v>21</v>
      </c>
      <c r="AD40" s="3" t="e">
        <v>#N/A</v>
      </c>
      <c r="AE40" s="3" t="e">
        <v>#N/A</v>
      </c>
      <c r="AF40" s="3">
        <v>7255</v>
      </c>
      <c r="AG40" s="4" t="e">
        <v>#N/A</v>
      </c>
      <c r="AH40" s="4" t="e">
        <v>#N/A</v>
      </c>
      <c r="AI40" s="3">
        <v>46276</v>
      </c>
      <c r="AJ40" s="3">
        <v>46</v>
      </c>
      <c r="AK40" s="3">
        <v>19</v>
      </c>
      <c r="AL40" s="3">
        <v>3</v>
      </c>
      <c r="AM40" s="3">
        <v>6</v>
      </c>
      <c r="AN40" s="3">
        <v>44</v>
      </c>
      <c r="AO40" s="3">
        <v>9</v>
      </c>
      <c r="AP40" s="3">
        <v>1</v>
      </c>
      <c r="AQ40" s="3" t="e">
        <v>#N/A</v>
      </c>
      <c r="AR40" s="3" t="e">
        <v>#N/A</v>
      </c>
      <c r="AS40" s="3" t="e">
        <v>#N/A</v>
      </c>
      <c r="AT40" s="3" t="e">
        <v>#N/A</v>
      </c>
      <c r="AU40" s="3" t="e">
        <v>#N/A</v>
      </c>
      <c r="AV40" s="3" t="e">
        <v>#N/A</v>
      </c>
      <c r="AW40" s="3" t="e">
        <v>#N/A</v>
      </c>
      <c r="AX40" s="3" t="e">
        <v>#N/A</v>
      </c>
      <c r="AY40" s="3" t="e">
        <v>#N/A</v>
      </c>
      <c r="AZ40" s="3" t="e">
        <v>#N/A</v>
      </c>
      <c r="BA40" s="3" t="e">
        <v>#N/A</v>
      </c>
      <c r="BB40" s="3" t="e">
        <v>#N/A</v>
      </c>
      <c r="BC40" s="3" t="e">
        <v>#N/A</v>
      </c>
      <c r="BD40" s="3" t="e">
        <v>#N/A</v>
      </c>
    </row>
    <row r="41" spans="1:56" x14ac:dyDescent="0.25">
      <c r="A41" t="s">
        <v>581</v>
      </c>
      <c r="B41" s="3">
        <v>40946</v>
      </c>
      <c r="C41" s="3">
        <v>70769</v>
      </c>
      <c r="D41" s="3">
        <v>4273</v>
      </c>
      <c r="E41" s="3">
        <v>9445</v>
      </c>
      <c r="F41" s="3">
        <v>18845</v>
      </c>
      <c r="G41" s="3">
        <v>26167</v>
      </c>
      <c r="H41" s="3">
        <v>13293</v>
      </c>
      <c r="I41" s="4">
        <v>9358</v>
      </c>
      <c r="J41" s="4">
        <v>8503</v>
      </c>
      <c r="K41" s="4">
        <v>1322</v>
      </c>
      <c r="L41" s="4">
        <v>3694</v>
      </c>
      <c r="M41" s="3">
        <v>18086</v>
      </c>
      <c r="N41" s="4">
        <v>1321</v>
      </c>
      <c r="O41" s="4">
        <v>1404</v>
      </c>
      <c r="P41" s="4">
        <v>2440</v>
      </c>
      <c r="Q41" s="4">
        <v>3511</v>
      </c>
      <c r="R41" s="4">
        <v>2839</v>
      </c>
      <c r="S41" s="4">
        <v>4738</v>
      </c>
      <c r="T41" s="4">
        <v>2070</v>
      </c>
      <c r="U41" s="4">
        <v>422</v>
      </c>
      <c r="V41" s="4">
        <v>972</v>
      </c>
      <c r="W41" s="3">
        <v>16</v>
      </c>
      <c r="X41" s="3">
        <v>26</v>
      </c>
      <c r="Y41" s="4">
        <v>1.5</v>
      </c>
      <c r="Z41" s="4">
        <v>2.9</v>
      </c>
      <c r="AA41" s="4" t="e">
        <v>#N/A</v>
      </c>
      <c r="AB41" s="3">
        <v>6</v>
      </c>
      <c r="AC41" s="3">
        <v>20</v>
      </c>
      <c r="AD41" s="3" t="e">
        <v>#N/A</v>
      </c>
      <c r="AE41" s="3" t="e">
        <v>#N/A</v>
      </c>
      <c r="AF41" s="3">
        <v>7651</v>
      </c>
      <c r="AG41" s="4" t="e">
        <v>#N/A</v>
      </c>
      <c r="AH41" s="4" t="e">
        <v>#N/A</v>
      </c>
      <c r="AI41" s="3">
        <v>50343</v>
      </c>
      <c r="AJ41" s="3">
        <v>45</v>
      </c>
      <c r="AK41" s="3">
        <v>16</v>
      </c>
      <c r="AL41" s="3">
        <v>2</v>
      </c>
      <c r="AM41" s="3">
        <v>3</v>
      </c>
      <c r="AN41" s="3">
        <v>43</v>
      </c>
      <c r="AO41" s="3">
        <v>8</v>
      </c>
      <c r="AP41" s="3">
        <v>3</v>
      </c>
      <c r="AQ41" s="3" t="e">
        <v>#N/A</v>
      </c>
      <c r="AR41" s="3" t="e">
        <v>#N/A</v>
      </c>
      <c r="AS41" s="3" t="e">
        <v>#N/A</v>
      </c>
      <c r="AT41" s="3" t="e">
        <v>#N/A</v>
      </c>
      <c r="AU41" s="3" t="e">
        <v>#N/A</v>
      </c>
      <c r="AV41" s="3" t="e">
        <v>#N/A</v>
      </c>
      <c r="AW41" s="3" t="e">
        <v>#N/A</v>
      </c>
      <c r="AX41" s="3" t="e">
        <v>#N/A</v>
      </c>
      <c r="AY41" s="3" t="e">
        <v>#N/A</v>
      </c>
      <c r="AZ41" s="3" t="e">
        <v>#N/A</v>
      </c>
      <c r="BA41" s="3" t="e">
        <v>#N/A</v>
      </c>
      <c r="BB41" s="3" t="e">
        <v>#N/A</v>
      </c>
      <c r="BC41" s="3" t="e">
        <v>#N/A</v>
      </c>
      <c r="BD41" s="3" t="e">
        <v>#N/A</v>
      </c>
    </row>
    <row r="42" spans="1:56" x14ac:dyDescent="0.25">
      <c r="A42" t="s">
        <v>582</v>
      </c>
      <c r="B42" s="3">
        <v>40781</v>
      </c>
      <c r="C42" s="3">
        <v>70728</v>
      </c>
      <c r="D42" s="3">
        <v>3838</v>
      </c>
      <c r="E42" s="3">
        <v>9624</v>
      </c>
      <c r="F42" s="3">
        <v>19297</v>
      </c>
      <c r="G42" s="3">
        <v>25591</v>
      </c>
      <c r="H42" s="3">
        <v>13718</v>
      </c>
      <c r="I42" s="4">
        <v>9315</v>
      </c>
      <c r="J42" s="4">
        <v>8889</v>
      </c>
      <c r="K42" s="4">
        <v>1513</v>
      </c>
      <c r="L42" s="4">
        <v>4136</v>
      </c>
      <c r="M42" s="3">
        <v>17978</v>
      </c>
      <c r="N42" s="4">
        <v>1079</v>
      </c>
      <c r="O42" s="4">
        <v>1256</v>
      </c>
      <c r="P42" s="4">
        <v>2349</v>
      </c>
      <c r="Q42" s="4">
        <v>3149</v>
      </c>
      <c r="R42" s="4">
        <v>2720</v>
      </c>
      <c r="S42" s="4">
        <v>4657</v>
      </c>
      <c r="T42" s="4">
        <v>2075</v>
      </c>
      <c r="U42" s="4">
        <v>372</v>
      </c>
      <c r="V42" s="4">
        <v>1035</v>
      </c>
      <c r="W42" s="3">
        <v>13</v>
      </c>
      <c r="X42" s="3">
        <v>27</v>
      </c>
      <c r="Y42" s="4">
        <v>0.80000000000000016</v>
      </c>
      <c r="Z42" s="4">
        <v>2.6</v>
      </c>
      <c r="AA42" s="4" t="e">
        <v>#N/A</v>
      </c>
      <c r="AB42" s="3">
        <v>-11</v>
      </c>
      <c r="AC42" s="3">
        <v>2</v>
      </c>
      <c r="AD42" s="3" t="e">
        <v>#N/A</v>
      </c>
      <c r="AE42" s="3" t="e">
        <v>#N/A</v>
      </c>
      <c r="AF42" s="3">
        <v>7608</v>
      </c>
      <c r="AG42" s="4" t="e">
        <v>#N/A</v>
      </c>
      <c r="AH42" s="4" t="e">
        <v>#N/A</v>
      </c>
      <c r="AI42" s="3">
        <v>49608</v>
      </c>
      <c r="AJ42" s="3">
        <v>44</v>
      </c>
      <c r="AK42" s="3">
        <v>19</v>
      </c>
      <c r="AL42" s="3">
        <v>2</v>
      </c>
      <c r="AM42" s="3">
        <v>4</v>
      </c>
      <c r="AN42" s="3">
        <v>50</v>
      </c>
      <c r="AO42" s="3">
        <v>7</v>
      </c>
      <c r="AP42" s="3">
        <v>1</v>
      </c>
      <c r="AQ42" s="3" t="e">
        <v>#N/A</v>
      </c>
      <c r="AR42" s="3" t="e">
        <v>#N/A</v>
      </c>
      <c r="AS42" s="3" t="e">
        <v>#N/A</v>
      </c>
      <c r="AT42" s="3" t="e">
        <v>#N/A</v>
      </c>
      <c r="AU42" s="3" t="e">
        <v>#N/A</v>
      </c>
      <c r="AV42" s="3" t="e">
        <v>#N/A</v>
      </c>
      <c r="AW42" s="3" t="e">
        <v>#N/A</v>
      </c>
      <c r="AX42" s="3" t="e">
        <v>#N/A</v>
      </c>
      <c r="AY42" s="3" t="e">
        <v>#N/A</v>
      </c>
      <c r="AZ42" s="3" t="e">
        <v>#N/A</v>
      </c>
      <c r="BA42" s="3" t="e">
        <v>#N/A</v>
      </c>
      <c r="BB42" s="3" t="e">
        <v>#N/A</v>
      </c>
      <c r="BC42" s="3" t="e">
        <v>#N/A</v>
      </c>
      <c r="BD42" s="3" t="e">
        <v>#N/A</v>
      </c>
    </row>
    <row r="43" spans="1:56" x14ac:dyDescent="0.25">
      <c r="A43" t="s">
        <v>583</v>
      </c>
      <c r="B43" s="3">
        <v>40414</v>
      </c>
      <c r="C43" s="3">
        <v>70125</v>
      </c>
      <c r="D43" s="3">
        <v>3728</v>
      </c>
      <c r="E43" s="3">
        <v>9191</v>
      </c>
      <c r="F43" s="3">
        <v>18795</v>
      </c>
      <c r="G43" s="3">
        <v>26180</v>
      </c>
      <c r="H43" s="3">
        <v>13787</v>
      </c>
      <c r="I43" s="4">
        <v>9089</v>
      </c>
      <c r="J43" s="4">
        <v>8272</v>
      </c>
      <c r="K43" s="4">
        <v>1609</v>
      </c>
      <c r="L43" s="4">
        <v>4067</v>
      </c>
      <c r="M43" s="3">
        <v>17832</v>
      </c>
      <c r="N43" s="4">
        <v>1079</v>
      </c>
      <c r="O43" s="4">
        <v>1314</v>
      </c>
      <c r="P43" s="4">
        <v>2094</v>
      </c>
      <c r="Q43" s="4">
        <v>2625</v>
      </c>
      <c r="R43" s="4">
        <v>2592</v>
      </c>
      <c r="S43" s="4">
        <v>4849</v>
      </c>
      <c r="T43" s="4">
        <v>2134</v>
      </c>
      <c r="U43" s="4">
        <v>434</v>
      </c>
      <c r="V43" s="4">
        <v>1115</v>
      </c>
      <c r="W43" s="3">
        <v>0</v>
      </c>
      <c r="X43" s="3">
        <v>14</v>
      </c>
      <c r="Y43" s="4">
        <v>-0.26666666666666666</v>
      </c>
      <c r="Z43" s="4">
        <v>1.9666666666666666</v>
      </c>
      <c r="AA43" s="4" t="e">
        <v>#N/A</v>
      </c>
      <c r="AB43" s="3">
        <v>-21</v>
      </c>
      <c r="AC43" s="3">
        <v>-9</v>
      </c>
      <c r="AD43" s="3" t="e">
        <v>#N/A</v>
      </c>
      <c r="AE43" s="3" t="e">
        <v>#N/A</v>
      </c>
      <c r="AF43" s="3">
        <v>7869</v>
      </c>
      <c r="AG43" s="4" t="e">
        <v>#N/A</v>
      </c>
      <c r="AH43" s="4" t="e">
        <v>#N/A</v>
      </c>
      <c r="AI43" s="3">
        <v>48605</v>
      </c>
      <c r="AJ43" s="3">
        <v>43</v>
      </c>
      <c r="AK43" s="3">
        <v>17</v>
      </c>
      <c r="AL43" s="3">
        <v>2</v>
      </c>
      <c r="AM43" s="3">
        <v>5</v>
      </c>
      <c r="AN43" s="3">
        <v>50</v>
      </c>
      <c r="AO43" s="3">
        <v>8</v>
      </c>
      <c r="AP43" s="3">
        <v>2</v>
      </c>
      <c r="AQ43" s="3" t="e">
        <v>#N/A</v>
      </c>
      <c r="AR43" s="3" t="e">
        <v>#N/A</v>
      </c>
      <c r="AS43" s="3" t="e">
        <v>#N/A</v>
      </c>
      <c r="AT43" s="3" t="e">
        <v>#N/A</v>
      </c>
      <c r="AU43" s="3" t="e">
        <v>#N/A</v>
      </c>
      <c r="AV43" s="3" t="e">
        <v>#N/A</v>
      </c>
      <c r="AW43" s="3" t="e">
        <v>#N/A</v>
      </c>
      <c r="AX43" s="3" t="e">
        <v>#N/A</v>
      </c>
      <c r="AY43" s="3" t="e">
        <v>#N/A</v>
      </c>
      <c r="AZ43" s="3" t="e">
        <v>#N/A</v>
      </c>
      <c r="BA43" s="3" t="e">
        <v>#N/A</v>
      </c>
      <c r="BB43" s="3" t="e">
        <v>#N/A</v>
      </c>
      <c r="BC43" s="3" t="e">
        <v>#N/A</v>
      </c>
      <c r="BD43" s="3" t="e">
        <v>#N/A</v>
      </c>
    </row>
    <row r="44" spans="1:56" x14ac:dyDescent="0.25">
      <c r="A44" t="s">
        <v>584</v>
      </c>
      <c r="B44" s="3">
        <v>41424</v>
      </c>
      <c r="C44" s="3">
        <v>71589</v>
      </c>
      <c r="D44" s="3">
        <v>4209</v>
      </c>
      <c r="E44" s="3">
        <v>9338</v>
      </c>
      <c r="F44" s="3">
        <v>18945</v>
      </c>
      <c r="G44" s="3">
        <v>26861</v>
      </c>
      <c r="H44" s="3">
        <v>13649</v>
      </c>
      <c r="I44" s="4">
        <v>8892</v>
      </c>
      <c r="J44" s="4">
        <v>8069</v>
      </c>
      <c r="K44" s="4">
        <v>1648</v>
      </c>
      <c r="L44" s="4">
        <v>3853</v>
      </c>
      <c r="M44" s="3">
        <v>17616</v>
      </c>
      <c r="N44" s="4">
        <v>1156</v>
      </c>
      <c r="O44" s="4">
        <v>1445</v>
      </c>
      <c r="P44" s="4">
        <v>2996</v>
      </c>
      <c r="Q44" s="4">
        <v>3375</v>
      </c>
      <c r="R44" s="4">
        <v>2688</v>
      </c>
      <c r="S44" s="4">
        <v>4889</v>
      </c>
      <c r="T44" s="4">
        <v>2167</v>
      </c>
      <c r="U44" s="4">
        <v>418</v>
      </c>
      <c r="V44" s="4">
        <v>1161</v>
      </c>
      <c r="W44" s="3">
        <v>-1</v>
      </c>
      <c r="X44" s="3">
        <v>17</v>
      </c>
      <c r="Y44" s="4">
        <v>-0.8666666666666667</v>
      </c>
      <c r="Z44" s="4">
        <v>1.3666666666666665</v>
      </c>
      <c r="AA44" s="4" t="e">
        <v>#N/A</v>
      </c>
      <c r="AB44" s="3">
        <v>-32</v>
      </c>
      <c r="AC44" s="3">
        <v>-24</v>
      </c>
      <c r="AD44" s="3">
        <v>-7</v>
      </c>
      <c r="AE44" s="3">
        <v>1</v>
      </c>
      <c r="AF44" s="3">
        <v>7539</v>
      </c>
      <c r="AG44" s="4" t="e">
        <v>#N/A</v>
      </c>
      <c r="AH44" s="4" t="e">
        <v>#N/A</v>
      </c>
      <c r="AI44" s="3">
        <v>50643</v>
      </c>
      <c r="AJ44" s="3">
        <v>46</v>
      </c>
      <c r="AK44" s="3">
        <v>20</v>
      </c>
      <c r="AL44" s="3">
        <v>6</v>
      </c>
      <c r="AM44" s="3">
        <v>6</v>
      </c>
      <c r="AN44" s="3">
        <v>56</v>
      </c>
      <c r="AO44" s="3">
        <v>4</v>
      </c>
      <c r="AP44" s="3">
        <v>0</v>
      </c>
      <c r="AQ44" s="3">
        <v>24</v>
      </c>
      <c r="AR44" s="3">
        <v>31</v>
      </c>
      <c r="AS44" s="3">
        <v>5</v>
      </c>
      <c r="AT44" s="3">
        <v>11</v>
      </c>
      <c r="AU44" s="3">
        <v>57</v>
      </c>
      <c r="AV44" s="3">
        <v>18</v>
      </c>
      <c r="AW44" s="3">
        <v>2</v>
      </c>
      <c r="AX44" s="3">
        <v>49</v>
      </c>
      <c r="AY44" s="3">
        <v>29</v>
      </c>
      <c r="AZ44" s="3">
        <v>7</v>
      </c>
      <c r="BA44" s="3">
        <v>11</v>
      </c>
      <c r="BB44" s="3">
        <v>63</v>
      </c>
      <c r="BC44" s="3">
        <v>8</v>
      </c>
      <c r="BD44" s="3">
        <v>0</v>
      </c>
    </row>
    <row r="45" spans="1:56" x14ac:dyDescent="0.25">
      <c r="A45" t="s">
        <v>585</v>
      </c>
      <c r="B45" s="3">
        <v>41135</v>
      </c>
      <c r="C45" s="3">
        <v>71553</v>
      </c>
      <c r="D45" s="3">
        <v>4319</v>
      </c>
      <c r="E45" s="3">
        <v>9693</v>
      </c>
      <c r="F45" s="3">
        <v>18623</v>
      </c>
      <c r="G45" s="3">
        <v>26216</v>
      </c>
      <c r="H45" s="3">
        <v>13431</v>
      </c>
      <c r="I45" s="4">
        <v>8571</v>
      </c>
      <c r="J45" s="4">
        <v>8062</v>
      </c>
      <c r="K45" s="4">
        <v>1511</v>
      </c>
      <c r="L45" s="4">
        <v>4121</v>
      </c>
      <c r="M45" s="3">
        <v>19531</v>
      </c>
      <c r="N45" s="4">
        <v>873</v>
      </c>
      <c r="O45" s="4">
        <v>1468</v>
      </c>
      <c r="P45" s="4">
        <v>2458</v>
      </c>
      <c r="Q45" s="4">
        <v>3820</v>
      </c>
      <c r="R45" s="4">
        <v>2997</v>
      </c>
      <c r="S45" s="4">
        <v>5163</v>
      </c>
      <c r="T45" s="4">
        <v>2192</v>
      </c>
      <c r="U45" s="4">
        <v>398</v>
      </c>
      <c r="V45" s="4">
        <v>1104</v>
      </c>
      <c r="W45" s="3">
        <v>4</v>
      </c>
      <c r="X45" s="3">
        <v>18</v>
      </c>
      <c r="Y45" s="4">
        <v>-0.9</v>
      </c>
      <c r="Z45" s="4">
        <v>1.1666666666666667</v>
      </c>
      <c r="AA45" s="4" t="e">
        <v>#N/A</v>
      </c>
      <c r="AB45" s="3">
        <v>-21</v>
      </c>
      <c r="AC45" s="3">
        <v>-10</v>
      </c>
      <c r="AD45" s="3">
        <v>11</v>
      </c>
      <c r="AE45" s="3">
        <v>6</v>
      </c>
      <c r="AF45" s="3">
        <v>7741</v>
      </c>
      <c r="AG45" s="4" t="e">
        <v>#N/A</v>
      </c>
      <c r="AH45" s="4" t="e">
        <v>#N/A</v>
      </c>
      <c r="AI45" s="3">
        <v>46903</v>
      </c>
      <c r="AJ45" s="3">
        <v>48</v>
      </c>
      <c r="AK45" s="3">
        <v>20</v>
      </c>
      <c r="AL45" s="3">
        <v>4</v>
      </c>
      <c r="AM45" s="3">
        <v>4</v>
      </c>
      <c r="AN45" s="3">
        <v>58</v>
      </c>
      <c r="AO45" s="3">
        <v>5</v>
      </c>
      <c r="AP45" s="3">
        <v>0</v>
      </c>
      <c r="AQ45" s="3">
        <v>33</v>
      </c>
      <c r="AR45" s="3">
        <v>31</v>
      </c>
      <c r="AS45" s="3">
        <v>8</v>
      </c>
      <c r="AT45" s="3">
        <v>6</v>
      </c>
      <c r="AU45" s="3">
        <v>43</v>
      </c>
      <c r="AV45" s="3">
        <v>22</v>
      </c>
      <c r="AW45" s="3">
        <v>5</v>
      </c>
      <c r="AX45" s="3">
        <v>40</v>
      </c>
      <c r="AY45" s="3">
        <v>28</v>
      </c>
      <c r="AZ45" s="3">
        <v>13</v>
      </c>
      <c r="BA45" s="3">
        <v>8</v>
      </c>
      <c r="BB45" s="3">
        <v>42</v>
      </c>
      <c r="BC45" s="3">
        <v>5</v>
      </c>
      <c r="BD45" s="3">
        <v>1</v>
      </c>
    </row>
    <row r="46" spans="1:56" x14ac:dyDescent="0.25">
      <c r="A46" t="s">
        <v>586</v>
      </c>
      <c r="B46" s="3">
        <v>41175</v>
      </c>
      <c r="C46" s="3">
        <v>71631</v>
      </c>
      <c r="D46" s="3">
        <v>3854</v>
      </c>
      <c r="E46" s="3">
        <v>9722</v>
      </c>
      <c r="F46" s="3">
        <v>20001</v>
      </c>
      <c r="G46" s="3">
        <v>26032</v>
      </c>
      <c r="H46" s="3">
        <v>13780</v>
      </c>
      <c r="I46" s="4">
        <v>8302</v>
      </c>
      <c r="J46" s="4">
        <v>7946</v>
      </c>
      <c r="K46" s="4">
        <v>1463</v>
      </c>
      <c r="L46" s="4">
        <v>3877</v>
      </c>
      <c r="M46" s="3">
        <v>19571</v>
      </c>
      <c r="N46" s="4">
        <v>1010</v>
      </c>
      <c r="O46" s="4">
        <v>1552</v>
      </c>
      <c r="P46" s="4">
        <v>2332</v>
      </c>
      <c r="Q46" s="4">
        <v>3229</v>
      </c>
      <c r="R46" s="4">
        <v>2932</v>
      </c>
      <c r="S46" s="4">
        <v>5438</v>
      </c>
      <c r="T46" s="4">
        <v>2300</v>
      </c>
      <c r="U46" s="4">
        <v>348</v>
      </c>
      <c r="V46" s="4">
        <v>1252</v>
      </c>
      <c r="W46" s="3">
        <v>3</v>
      </c>
      <c r="X46" s="3">
        <v>17</v>
      </c>
      <c r="Y46" s="4">
        <v>-0.23333333333333336</v>
      </c>
      <c r="Z46" s="4">
        <v>1.5666666666666667</v>
      </c>
      <c r="AA46" s="4" t="e">
        <v>#N/A</v>
      </c>
      <c r="AB46" s="3">
        <v>-29</v>
      </c>
      <c r="AC46" s="3">
        <v>-31</v>
      </c>
      <c r="AD46" s="3">
        <v>-1</v>
      </c>
      <c r="AE46" s="3">
        <v>-10</v>
      </c>
      <c r="AF46" s="3">
        <v>7938</v>
      </c>
      <c r="AG46" s="4" t="e">
        <v>#N/A</v>
      </c>
      <c r="AH46" s="4" t="e">
        <v>#N/A</v>
      </c>
      <c r="AI46" s="3">
        <v>46502</v>
      </c>
      <c r="AJ46" s="3">
        <v>53</v>
      </c>
      <c r="AK46" s="3">
        <v>18</v>
      </c>
      <c r="AL46" s="3">
        <v>8</v>
      </c>
      <c r="AM46" s="3">
        <v>3</v>
      </c>
      <c r="AN46" s="3">
        <v>55</v>
      </c>
      <c r="AO46" s="3">
        <v>6</v>
      </c>
      <c r="AP46" s="3">
        <v>1</v>
      </c>
      <c r="AQ46" s="3">
        <v>33</v>
      </c>
      <c r="AR46" s="3">
        <v>26</v>
      </c>
      <c r="AS46" s="3">
        <v>8</v>
      </c>
      <c r="AT46" s="3">
        <v>4</v>
      </c>
      <c r="AU46" s="3">
        <v>52</v>
      </c>
      <c r="AV46" s="3">
        <v>13</v>
      </c>
      <c r="AW46" s="3">
        <v>3</v>
      </c>
      <c r="AX46" s="3">
        <v>22</v>
      </c>
      <c r="AY46" s="3">
        <v>31</v>
      </c>
      <c r="AZ46" s="3">
        <v>11</v>
      </c>
      <c r="BA46" s="3">
        <v>8</v>
      </c>
      <c r="BB46" s="3">
        <v>58</v>
      </c>
      <c r="BC46" s="3">
        <v>6</v>
      </c>
      <c r="BD46" s="3">
        <v>14</v>
      </c>
    </row>
    <row r="47" spans="1:56" x14ac:dyDescent="0.25">
      <c r="A47" t="s">
        <v>587</v>
      </c>
      <c r="B47" s="3">
        <v>42369</v>
      </c>
      <c r="C47" s="3">
        <v>72785</v>
      </c>
      <c r="D47" s="3">
        <v>4041</v>
      </c>
      <c r="E47" s="3">
        <v>10169</v>
      </c>
      <c r="F47" s="3">
        <v>19921</v>
      </c>
      <c r="G47" s="3">
        <v>26422</v>
      </c>
      <c r="H47" s="3">
        <v>13573</v>
      </c>
      <c r="I47" s="4">
        <v>8260</v>
      </c>
      <c r="J47" s="4">
        <v>7942</v>
      </c>
      <c r="K47" s="4">
        <v>1356</v>
      </c>
      <c r="L47" s="4">
        <v>3968</v>
      </c>
      <c r="M47" s="3">
        <v>19679</v>
      </c>
      <c r="N47" s="4">
        <v>1339</v>
      </c>
      <c r="O47" s="4">
        <v>1539</v>
      </c>
      <c r="P47" s="4">
        <v>2515</v>
      </c>
      <c r="Q47" s="4">
        <v>3003</v>
      </c>
      <c r="R47" s="4">
        <v>3264</v>
      </c>
      <c r="S47" s="4">
        <v>5371</v>
      </c>
      <c r="T47" s="4">
        <v>2454</v>
      </c>
      <c r="U47" s="4">
        <v>463</v>
      </c>
      <c r="V47" s="4">
        <v>1123</v>
      </c>
      <c r="W47" s="3">
        <v>11</v>
      </c>
      <c r="X47" s="3">
        <v>21</v>
      </c>
      <c r="Y47" s="4">
        <v>0</v>
      </c>
      <c r="Z47" s="4">
        <v>1.9333333333333333</v>
      </c>
      <c r="AA47" s="4" t="e">
        <v>#N/A</v>
      </c>
      <c r="AB47" s="3">
        <v>-8</v>
      </c>
      <c r="AC47" s="3">
        <v>-8</v>
      </c>
      <c r="AD47" s="3">
        <v>13</v>
      </c>
      <c r="AE47" s="3">
        <v>-17</v>
      </c>
      <c r="AF47" s="3">
        <v>7784</v>
      </c>
      <c r="AG47" s="4" t="e">
        <v>#N/A</v>
      </c>
      <c r="AH47" s="4" t="e">
        <v>#N/A</v>
      </c>
      <c r="AI47" s="3">
        <v>46835</v>
      </c>
      <c r="AJ47" s="3">
        <v>44</v>
      </c>
      <c r="AK47" s="3">
        <v>14</v>
      </c>
      <c r="AL47" s="3">
        <v>7</v>
      </c>
      <c r="AM47" s="3">
        <v>3</v>
      </c>
      <c r="AN47" s="3">
        <v>54</v>
      </c>
      <c r="AO47" s="3">
        <v>6</v>
      </c>
      <c r="AP47" s="3">
        <v>7</v>
      </c>
      <c r="AQ47" s="3">
        <v>45</v>
      </c>
      <c r="AR47" s="3">
        <v>22</v>
      </c>
      <c r="AS47" s="3">
        <v>8</v>
      </c>
      <c r="AT47" s="3">
        <v>5</v>
      </c>
      <c r="AU47" s="3">
        <v>55</v>
      </c>
      <c r="AV47" s="3">
        <v>15</v>
      </c>
      <c r="AW47" s="3">
        <v>3</v>
      </c>
      <c r="AX47" s="3">
        <v>53</v>
      </c>
      <c r="AY47" s="3">
        <v>14</v>
      </c>
      <c r="AZ47" s="3">
        <v>7</v>
      </c>
      <c r="BA47" s="3">
        <v>15</v>
      </c>
      <c r="BB47" s="3">
        <v>35</v>
      </c>
      <c r="BC47" s="3">
        <v>8</v>
      </c>
      <c r="BD47" s="3">
        <v>0</v>
      </c>
    </row>
    <row r="48" spans="1:56" x14ac:dyDescent="0.25">
      <c r="A48" t="s">
        <v>588</v>
      </c>
      <c r="B48" s="3">
        <v>41945</v>
      </c>
      <c r="C48" s="3">
        <v>72122</v>
      </c>
      <c r="D48" s="3">
        <v>4169</v>
      </c>
      <c r="E48" s="3">
        <v>9376</v>
      </c>
      <c r="F48" s="3">
        <v>20041</v>
      </c>
      <c r="G48" s="3">
        <v>26845</v>
      </c>
      <c r="H48" s="3">
        <v>13654</v>
      </c>
      <c r="I48" s="4">
        <v>8413</v>
      </c>
      <c r="J48" s="4">
        <v>7490</v>
      </c>
      <c r="K48" s="4">
        <v>1221</v>
      </c>
      <c r="L48" s="4">
        <v>3941</v>
      </c>
      <c r="M48" s="3">
        <v>19489</v>
      </c>
      <c r="N48" s="4">
        <v>1279</v>
      </c>
      <c r="O48" s="4">
        <v>1643</v>
      </c>
      <c r="P48" s="4">
        <v>2592</v>
      </c>
      <c r="Q48" s="4">
        <v>2920</v>
      </c>
      <c r="R48" s="4">
        <v>3357</v>
      </c>
      <c r="S48" s="4">
        <v>5299</v>
      </c>
      <c r="T48" s="4">
        <v>2545</v>
      </c>
      <c r="U48" s="4">
        <v>472</v>
      </c>
      <c r="V48" s="4">
        <v>1246</v>
      </c>
      <c r="W48" s="3">
        <v>14</v>
      </c>
      <c r="X48" s="3">
        <v>25</v>
      </c>
      <c r="Y48" s="4">
        <v>0.53333333333333333</v>
      </c>
      <c r="Z48" s="4">
        <v>2.1333333333333333</v>
      </c>
      <c r="AA48" s="4" t="e">
        <v>#N/A</v>
      </c>
      <c r="AB48" s="3">
        <v>-11</v>
      </c>
      <c r="AC48" s="3">
        <v>-11</v>
      </c>
      <c r="AD48" s="3">
        <v>14</v>
      </c>
      <c r="AE48" s="3">
        <v>6</v>
      </c>
      <c r="AF48" s="3">
        <v>8650</v>
      </c>
      <c r="AG48" s="4" t="e">
        <v>#N/A</v>
      </c>
      <c r="AH48" s="4" t="e">
        <v>#N/A</v>
      </c>
      <c r="AI48" s="3">
        <v>49541</v>
      </c>
      <c r="AJ48" s="3">
        <v>48</v>
      </c>
      <c r="AK48" s="3">
        <v>17</v>
      </c>
      <c r="AL48" s="3">
        <v>3</v>
      </c>
      <c r="AM48" s="3">
        <v>1</v>
      </c>
      <c r="AN48" s="3">
        <v>51</v>
      </c>
      <c r="AO48" s="3">
        <v>6</v>
      </c>
      <c r="AP48" s="3">
        <v>5</v>
      </c>
      <c r="AQ48" s="3">
        <v>29</v>
      </c>
      <c r="AR48" s="3">
        <v>40</v>
      </c>
      <c r="AS48" s="3">
        <v>16</v>
      </c>
      <c r="AT48" s="3">
        <v>9</v>
      </c>
      <c r="AU48" s="3">
        <v>60</v>
      </c>
      <c r="AV48" s="3">
        <v>18</v>
      </c>
      <c r="AW48" s="3">
        <v>0</v>
      </c>
      <c r="AX48" s="3">
        <v>49</v>
      </c>
      <c r="AY48" s="3">
        <v>17</v>
      </c>
      <c r="AZ48" s="3">
        <v>2</v>
      </c>
      <c r="BA48" s="3">
        <v>11</v>
      </c>
      <c r="BB48" s="3">
        <v>65</v>
      </c>
      <c r="BC48" s="3">
        <v>16</v>
      </c>
      <c r="BD48" s="3">
        <v>0</v>
      </c>
    </row>
    <row r="49" spans="1:56" x14ac:dyDescent="0.25">
      <c r="A49" t="s">
        <v>6</v>
      </c>
      <c r="B49" s="3">
        <v>43624</v>
      </c>
      <c r="C49" s="3">
        <v>75099</v>
      </c>
      <c r="D49" s="3">
        <v>3438</v>
      </c>
      <c r="E49" s="3">
        <v>10764</v>
      </c>
      <c r="F49" s="3">
        <v>20783</v>
      </c>
      <c r="G49" s="3">
        <v>27248</v>
      </c>
      <c r="H49" s="3">
        <v>14446</v>
      </c>
      <c r="I49" s="4">
        <v>8332</v>
      </c>
      <c r="J49" s="4">
        <v>7457</v>
      </c>
      <c r="K49" s="4">
        <v>1568</v>
      </c>
      <c r="L49" s="4">
        <v>4067</v>
      </c>
      <c r="M49" s="3">
        <v>22170</v>
      </c>
      <c r="N49" s="4">
        <v>1231</v>
      </c>
      <c r="O49" s="4">
        <v>1630</v>
      </c>
      <c r="P49" s="4">
        <v>2705</v>
      </c>
      <c r="Q49" s="4">
        <v>2888</v>
      </c>
      <c r="R49" s="4">
        <v>4037</v>
      </c>
      <c r="S49" s="4">
        <v>5789</v>
      </c>
      <c r="T49" s="4">
        <v>2708</v>
      </c>
      <c r="U49" s="4">
        <v>392</v>
      </c>
      <c r="V49" s="4">
        <v>1135</v>
      </c>
      <c r="W49" s="3">
        <v>9</v>
      </c>
      <c r="X49" s="3">
        <v>18</v>
      </c>
      <c r="Y49" s="4">
        <v>0.53333333333333333</v>
      </c>
      <c r="Z49" s="4">
        <v>2.4333333333333331</v>
      </c>
      <c r="AA49" s="4" t="e">
        <v>#N/A</v>
      </c>
      <c r="AB49" s="3">
        <v>-9</v>
      </c>
      <c r="AC49" s="3">
        <v>2</v>
      </c>
      <c r="AD49" s="3">
        <v>-9</v>
      </c>
      <c r="AE49" s="3">
        <v>4</v>
      </c>
      <c r="AF49" s="3">
        <v>8976</v>
      </c>
      <c r="AG49" s="4" t="e">
        <v>#N/A</v>
      </c>
      <c r="AH49" s="4" t="e">
        <v>#N/A</v>
      </c>
      <c r="AI49" s="3">
        <v>51703</v>
      </c>
      <c r="AJ49" s="3">
        <v>54</v>
      </c>
      <c r="AK49" s="3">
        <v>15</v>
      </c>
      <c r="AL49" s="3">
        <v>4</v>
      </c>
      <c r="AM49" s="3">
        <v>4</v>
      </c>
      <c r="AN49" s="3">
        <v>45</v>
      </c>
      <c r="AO49" s="3">
        <v>7</v>
      </c>
      <c r="AP49" s="3">
        <v>6</v>
      </c>
      <c r="AQ49" s="3">
        <v>37</v>
      </c>
      <c r="AR49" s="3">
        <v>22</v>
      </c>
      <c r="AS49" s="3">
        <v>9</v>
      </c>
      <c r="AT49" s="3">
        <v>5</v>
      </c>
      <c r="AU49" s="3">
        <v>43</v>
      </c>
      <c r="AV49" s="3">
        <v>17</v>
      </c>
      <c r="AW49" s="3">
        <v>6</v>
      </c>
      <c r="AX49" s="3">
        <v>60</v>
      </c>
      <c r="AY49" s="3">
        <v>13</v>
      </c>
      <c r="AZ49" s="3">
        <v>10</v>
      </c>
      <c r="BA49" s="3">
        <v>16</v>
      </c>
      <c r="BB49" s="3">
        <v>50</v>
      </c>
      <c r="BC49" s="3">
        <v>6</v>
      </c>
      <c r="BD49" s="3">
        <v>2</v>
      </c>
    </row>
    <row r="50" spans="1:56" x14ac:dyDescent="0.25">
      <c r="A50" t="s">
        <v>14</v>
      </c>
      <c r="B50" s="3">
        <v>46153</v>
      </c>
      <c r="C50" s="3">
        <v>79401</v>
      </c>
      <c r="D50" s="3">
        <v>3628</v>
      </c>
      <c r="E50" s="3">
        <v>13444</v>
      </c>
      <c r="F50" s="3">
        <v>20741</v>
      </c>
      <c r="G50" s="3">
        <v>26485</v>
      </c>
      <c r="H50" s="3">
        <v>14446</v>
      </c>
      <c r="I50" s="4">
        <v>8286</v>
      </c>
      <c r="J50" s="4">
        <v>6958</v>
      </c>
      <c r="K50" s="4">
        <v>1422</v>
      </c>
      <c r="L50" s="4">
        <v>3919</v>
      </c>
      <c r="M50" s="3">
        <v>22366</v>
      </c>
      <c r="N50" s="4">
        <v>1223</v>
      </c>
      <c r="O50" s="4">
        <v>1527</v>
      </c>
      <c r="P50" s="4">
        <v>2680</v>
      </c>
      <c r="Q50" s="4">
        <v>3277</v>
      </c>
      <c r="R50" s="4">
        <v>6394</v>
      </c>
      <c r="S50" s="4">
        <v>5291</v>
      </c>
      <c r="T50" s="4">
        <v>2707</v>
      </c>
      <c r="U50" s="4">
        <v>438</v>
      </c>
      <c r="V50" s="4">
        <v>1134</v>
      </c>
      <c r="W50" s="3">
        <v>12</v>
      </c>
      <c r="X50" s="3">
        <v>21</v>
      </c>
      <c r="Y50" s="4">
        <v>0.3666666666666667</v>
      </c>
      <c r="Z50" s="4">
        <v>2.7333333333333329</v>
      </c>
      <c r="AA50" s="4" t="e">
        <v>#N/A</v>
      </c>
      <c r="AB50" s="3">
        <v>-21</v>
      </c>
      <c r="AC50" s="3">
        <v>-4</v>
      </c>
      <c r="AD50" s="3">
        <v>-1</v>
      </c>
      <c r="AE50" s="3">
        <v>-8</v>
      </c>
      <c r="AF50" s="3">
        <v>9766</v>
      </c>
      <c r="AG50" s="4" t="e">
        <v>#N/A</v>
      </c>
      <c r="AH50" s="4" t="e">
        <v>#N/A</v>
      </c>
      <c r="AI50" s="3">
        <v>49535</v>
      </c>
      <c r="AJ50" s="3">
        <v>54</v>
      </c>
      <c r="AK50" s="3">
        <v>16</v>
      </c>
      <c r="AL50" s="3">
        <v>4</v>
      </c>
      <c r="AM50" s="3">
        <v>3</v>
      </c>
      <c r="AN50" s="3">
        <v>52</v>
      </c>
      <c r="AO50" s="3">
        <v>10</v>
      </c>
      <c r="AP50" s="3">
        <v>4</v>
      </c>
      <c r="AQ50" s="3">
        <v>51</v>
      </c>
      <c r="AR50" s="3">
        <v>25</v>
      </c>
      <c r="AS50" s="3">
        <v>8</v>
      </c>
      <c r="AT50" s="3">
        <v>10</v>
      </c>
      <c r="AU50" s="3">
        <v>46</v>
      </c>
      <c r="AV50" s="3">
        <v>19</v>
      </c>
      <c r="AW50" s="3">
        <v>14</v>
      </c>
      <c r="AX50" s="3">
        <v>72</v>
      </c>
      <c r="AY50" s="3">
        <v>10</v>
      </c>
      <c r="AZ50" s="3">
        <v>4</v>
      </c>
      <c r="BA50" s="3">
        <v>2</v>
      </c>
      <c r="BB50" s="3">
        <v>35</v>
      </c>
      <c r="BC50" s="3">
        <v>11</v>
      </c>
      <c r="BD50" s="3">
        <v>5</v>
      </c>
    </row>
    <row r="51" spans="1:56" x14ac:dyDescent="0.25">
      <c r="A51" t="s">
        <v>15</v>
      </c>
      <c r="B51" s="3">
        <v>43061</v>
      </c>
      <c r="C51" s="3">
        <v>73900</v>
      </c>
      <c r="D51" s="3">
        <v>3290</v>
      </c>
      <c r="E51" s="3">
        <v>10701</v>
      </c>
      <c r="F51" s="3">
        <v>20782</v>
      </c>
      <c r="G51" s="3">
        <v>24896</v>
      </c>
      <c r="H51" s="3">
        <v>14894</v>
      </c>
      <c r="I51" s="4">
        <v>8331</v>
      </c>
      <c r="J51" s="4">
        <v>6859</v>
      </c>
      <c r="K51" s="4">
        <v>1420</v>
      </c>
      <c r="L51" s="4">
        <v>3840</v>
      </c>
      <c r="M51" s="3">
        <v>22704</v>
      </c>
      <c r="N51" s="4">
        <v>1229</v>
      </c>
      <c r="O51" s="4">
        <v>1338</v>
      </c>
      <c r="P51" s="4">
        <v>2913</v>
      </c>
      <c r="Q51" s="4">
        <v>2839</v>
      </c>
      <c r="R51" s="4">
        <v>4000</v>
      </c>
      <c r="S51" s="4">
        <v>5345</v>
      </c>
      <c r="T51" s="4">
        <v>2614</v>
      </c>
      <c r="U51" s="4">
        <v>433</v>
      </c>
      <c r="V51" s="4">
        <v>1081</v>
      </c>
      <c r="W51" s="3">
        <v>16</v>
      </c>
      <c r="X51" s="3">
        <v>21</v>
      </c>
      <c r="Y51" s="4">
        <v>0.16666666666666666</v>
      </c>
      <c r="Z51" s="4">
        <v>2.4666666666666668</v>
      </c>
      <c r="AA51" s="4" t="e">
        <v>#N/A</v>
      </c>
      <c r="AB51" s="3">
        <v>-21</v>
      </c>
      <c r="AC51" s="3">
        <v>-3</v>
      </c>
      <c r="AD51" s="3">
        <v>7</v>
      </c>
      <c r="AE51" s="3">
        <v>-1</v>
      </c>
      <c r="AF51" s="3">
        <v>10239</v>
      </c>
      <c r="AG51" s="4" t="e">
        <v>#N/A</v>
      </c>
      <c r="AH51" s="4" t="e">
        <v>#N/A</v>
      </c>
      <c r="AI51" s="3">
        <v>48675</v>
      </c>
      <c r="AJ51" s="3">
        <v>55</v>
      </c>
      <c r="AK51" s="3">
        <v>17</v>
      </c>
      <c r="AL51" s="3">
        <v>2</v>
      </c>
      <c r="AM51" s="3">
        <v>3</v>
      </c>
      <c r="AN51" s="3">
        <v>46</v>
      </c>
      <c r="AO51" s="3">
        <v>8</v>
      </c>
      <c r="AP51" s="3">
        <v>4</v>
      </c>
      <c r="AQ51" s="3">
        <v>40</v>
      </c>
      <c r="AR51" s="3">
        <v>29</v>
      </c>
      <c r="AS51" s="3">
        <v>6</v>
      </c>
      <c r="AT51" s="3">
        <v>11</v>
      </c>
      <c r="AU51" s="3">
        <v>42</v>
      </c>
      <c r="AV51" s="3">
        <v>33</v>
      </c>
      <c r="AW51" s="3">
        <v>5</v>
      </c>
      <c r="AX51" s="3">
        <v>45</v>
      </c>
      <c r="AY51" s="3">
        <v>40</v>
      </c>
      <c r="AZ51" s="3">
        <v>11</v>
      </c>
      <c r="BA51" s="3">
        <v>11</v>
      </c>
      <c r="BB51" s="3">
        <v>31</v>
      </c>
      <c r="BC51" s="3">
        <v>12</v>
      </c>
      <c r="BD51" s="3">
        <v>10</v>
      </c>
    </row>
    <row r="52" spans="1:56" x14ac:dyDescent="0.25">
      <c r="A52" t="s">
        <v>16</v>
      </c>
      <c r="B52" s="3">
        <v>44611</v>
      </c>
      <c r="C52" s="3">
        <v>76186</v>
      </c>
      <c r="D52" s="3">
        <v>3947</v>
      </c>
      <c r="E52" s="3">
        <v>11193</v>
      </c>
      <c r="F52" s="3">
        <v>20616</v>
      </c>
      <c r="G52" s="3">
        <v>26589</v>
      </c>
      <c r="H52" s="3">
        <v>14760</v>
      </c>
      <c r="I52" s="4">
        <v>8235</v>
      </c>
      <c r="J52" s="4">
        <v>6970</v>
      </c>
      <c r="K52" s="4">
        <v>1620</v>
      </c>
      <c r="L52" s="4">
        <v>3841</v>
      </c>
      <c r="M52" s="3">
        <v>22564</v>
      </c>
      <c r="N52" s="4">
        <v>1229</v>
      </c>
      <c r="O52" s="4">
        <v>1195</v>
      </c>
      <c r="P52" s="4">
        <v>3024</v>
      </c>
      <c r="Q52" s="4">
        <v>3361</v>
      </c>
      <c r="R52" s="4">
        <v>4568</v>
      </c>
      <c r="S52" s="4">
        <v>5959</v>
      </c>
      <c r="T52" s="4">
        <v>2557</v>
      </c>
      <c r="U52" s="4">
        <v>450</v>
      </c>
      <c r="V52" s="4">
        <v>1022</v>
      </c>
      <c r="W52" s="3">
        <v>11</v>
      </c>
      <c r="X52" s="3">
        <v>24</v>
      </c>
      <c r="Y52" s="4">
        <v>0.33333333333333331</v>
      </c>
      <c r="Z52" s="4">
        <v>2.3666666666666667</v>
      </c>
      <c r="AA52" s="4" t="e">
        <v>#N/A</v>
      </c>
      <c r="AB52" s="3">
        <v>-18</v>
      </c>
      <c r="AC52" s="3">
        <v>18</v>
      </c>
      <c r="AD52" s="3">
        <v>3</v>
      </c>
      <c r="AE52" s="3">
        <v>5</v>
      </c>
      <c r="AF52" s="3">
        <v>10567</v>
      </c>
      <c r="AG52" s="4" t="e">
        <v>#N/A</v>
      </c>
      <c r="AH52" s="4" t="e">
        <v>#N/A</v>
      </c>
      <c r="AI52" s="3">
        <v>48858</v>
      </c>
      <c r="AJ52" s="3">
        <v>51</v>
      </c>
      <c r="AK52" s="3">
        <v>20</v>
      </c>
      <c r="AL52" s="3">
        <v>6</v>
      </c>
      <c r="AM52" s="3">
        <v>3</v>
      </c>
      <c r="AN52" s="3">
        <v>44</v>
      </c>
      <c r="AO52" s="3">
        <v>7</v>
      </c>
      <c r="AP52" s="3">
        <v>4</v>
      </c>
      <c r="AQ52" s="3">
        <v>51</v>
      </c>
      <c r="AR52" s="3">
        <v>23</v>
      </c>
      <c r="AS52" s="3">
        <v>4</v>
      </c>
      <c r="AT52" s="3">
        <v>8</v>
      </c>
      <c r="AU52" s="3">
        <v>47</v>
      </c>
      <c r="AV52" s="3">
        <v>24</v>
      </c>
      <c r="AW52" s="3">
        <v>2</v>
      </c>
      <c r="AX52" s="3">
        <v>53</v>
      </c>
      <c r="AY52" s="3">
        <v>21</v>
      </c>
      <c r="AZ52" s="3">
        <v>3</v>
      </c>
      <c r="BA52" s="3">
        <v>6</v>
      </c>
      <c r="BB52" s="3">
        <v>39</v>
      </c>
      <c r="BC52" s="3">
        <v>17</v>
      </c>
      <c r="BD52" s="3">
        <v>13</v>
      </c>
    </row>
    <row r="53" spans="1:56" x14ac:dyDescent="0.25">
      <c r="A53" t="s">
        <v>17</v>
      </c>
      <c r="B53" s="3">
        <v>44343</v>
      </c>
      <c r="C53" s="3">
        <v>76262</v>
      </c>
      <c r="D53" s="3">
        <v>3692</v>
      </c>
      <c r="E53" s="3">
        <v>11865</v>
      </c>
      <c r="F53" s="3">
        <v>20698</v>
      </c>
      <c r="G53" s="3">
        <v>26376</v>
      </c>
      <c r="H53" s="3">
        <v>14022</v>
      </c>
      <c r="I53" s="4">
        <v>8248</v>
      </c>
      <c r="J53" s="4">
        <v>6189</v>
      </c>
      <c r="K53" s="4">
        <v>2005</v>
      </c>
      <c r="L53" s="4">
        <v>3730</v>
      </c>
      <c r="M53" s="3">
        <v>23123</v>
      </c>
      <c r="N53" s="4">
        <v>1748</v>
      </c>
      <c r="O53" s="4">
        <v>1118</v>
      </c>
      <c r="P53" s="4">
        <v>2645</v>
      </c>
      <c r="Q53" s="4">
        <v>3330</v>
      </c>
      <c r="R53" s="4">
        <v>4999</v>
      </c>
      <c r="S53" s="4">
        <v>5997</v>
      </c>
      <c r="T53" s="4">
        <v>2454</v>
      </c>
      <c r="U53" s="4">
        <v>491</v>
      </c>
      <c r="V53" s="4">
        <v>1259</v>
      </c>
      <c r="W53" s="3">
        <v>7</v>
      </c>
      <c r="X53" s="3">
        <v>21</v>
      </c>
      <c r="Y53" s="4">
        <v>0.56666666666666665</v>
      </c>
      <c r="Z53" s="4">
        <v>2.1666666666666665</v>
      </c>
      <c r="AA53" s="4" t="e">
        <v>#N/A</v>
      </c>
      <c r="AB53" s="3">
        <v>-9</v>
      </c>
      <c r="AC53" s="3">
        <v>3</v>
      </c>
      <c r="AD53" s="3">
        <v>-20</v>
      </c>
      <c r="AE53" s="3">
        <v>-13</v>
      </c>
      <c r="AF53" s="3">
        <v>10645</v>
      </c>
      <c r="AG53" s="4" t="e">
        <v>#N/A</v>
      </c>
      <c r="AH53" s="4" t="e">
        <v>#N/A</v>
      </c>
      <c r="AI53" s="3">
        <v>46794</v>
      </c>
      <c r="AJ53" s="3">
        <v>51</v>
      </c>
      <c r="AK53" s="3">
        <v>18</v>
      </c>
      <c r="AL53" s="3">
        <v>3</v>
      </c>
      <c r="AM53" s="3">
        <v>5</v>
      </c>
      <c r="AN53" s="3">
        <v>48</v>
      </c>
      <c r="AO53" s="3">
        <v>13</v>
      </c>
      <c r="AP53" s="3">
        <v>3</v>
      </c>
      <c r="AQ53" s="3">
        <v>26</v>
      </c>
      <c r="AR53" s="3">
        <v>29</v>
      </c>
      <c r="AS53" s="3">
        <v>6</v>
      </c>
      <c r="AT53" s="3">
        <v>10</v>
      </c>
      <c r="AU53" s="3">
        <v>41</v>
      </c>
      <c r="AV53" s="3">
        <v>26</v>
      </c>
      <c r="AW53" s="3">
        <v>2</v>
      </c>
      <c r="AX53" s="3">
        <v>33</v>
      </c>
      <c r="AY53" s="3">
        <v>21</v>
      </c>
      <c r="AZ53" s="3">
        <v>8</v>
      </c>
      <c r="BA53" s="3">
        <v>13</v>
      </c>
      <c r="BB53" s="3">
        <v>28</v>
      </c>
      <c r="BC53" s="3">
        <v>12</v>
      </c>
      <c r="BD53" s="3">
        <v>4</v>
      </c>
    </row>
    <row r="54" spans="1:56" x14ac:dyDescent="0.25">
      <c r="A54" t="s">
        <v>18</v>
      </c>
      <c r="B54" s="3">
        <v>44742</v>
      </c>
      <c r="C54" s="3">
        <v>79060</v>
      </c>
      <c r="D54" s="3">
        <v>4820</v>
      </c>
      <c r="E54" s="3">
        <v>11177</v>
      </c>
      <c r="F54" s="3">
        <v>20512</v>
      </c>
      <c r="G54" s="3">
        <v>29014</v>
      </c>
      <c r="H54" s="3">
        <v>14204</v>
      </c>
      <c r="I54" s="4">
        <v>8004</v>
      </c>
      <c r="J54" s="4">
        <v>5977</v>
      </c>
      <c r="K54" s="4">
        <v>1523</v>
      </c>
      <c r="L54" s="4">
        <v>3708</v>
      </c>
      <c r="M54" s="3">
        <v>22984</v>
      </c>
      <c r="N54" s="4">
        <v>1378</v>
      </c>
      <c r="O54" s="4">
        <v>1023</v>
      </c>
      <c r="P54" s="4">
        <v>3020</v>
      </c>
      <c r="Q54" s="4">
        <v>4987</v>
      </c>
      <c r="R54" s="4">
        <v>4362</v>
      </c>
      <c r="S54" s="4">
        <v>6282</v>
      </c>
      <c r="T54" s="4">
        <v>2422</v>
      </c>
      <c r="U54" s="4">
        <v>529</v>
      </c>
      <c r="V54" s="4">
        <v>1379</v>
      </c>
      <c r="W54" s="3">
        <v>4</v>
      </c>
      <c r="X54" s="3">
        <v>17</v>
      </c>
      <c r="Y54" s="4">
        <v>0.13333333333333333</v>
      </c>
      <c r="Z54" s="4">
        <v>1.5666666666666664</v>
      </c>
      <c r="AA54" s="4" t="e">
        <v>#N/A</v>
      </c>
      <c r="AB54" s="3">
        <v>-7</v>
      </c>
      <c r="AC54" s="3">
        <v>-4</v>
      </c>
      <c r="AD54" s="3">
        <v>-1</v>
      </c>
      <c r="AE54" s="3">
        <v>-26</v>
      </c>
      <c r="AF54" s="3">
        <v>10169</v>
      </c>
      <c r="AG54" s="4" t="e">
        <v>#N/A</v>
      </c>
      <c r="AH54" s="4" t="e">
        <v>#N/A</v>
      </c>
      <c r="AI54" s="3">
        <v>50921</v>
      </c>
      <c r="AJ54" s="3">
        <v>45</v>
      </c>
      <c r="AK54" s="3">
        <v>21</v>
      </c>
      <c r="AL54" s="3">
        <v>5</v>
      </c>
      <c r="AM54" s="3">
        <v>3</v>
      </c>
      <c r="AN54" s="3">
        <v>56</v>
      </c>
      <c r="AO54" s="3">
        <v>15</v>
      </c>
      <c r="AP54" s="3">
        <v>3</v>
      </c>
      <c r="AQ54" s="3">
        <v>34</v>
      </c>
      <c r="AR54" s="3">
        <v>29</v>
      </c>
      <c r="AS54" s="3">
        <v>7</v>
      </c>
      <c r="AT54" s="3">
        <v>5</v>
      </c>
      <c r="AU54" s="3">
        <v>52</v>
      </c>
      <c r="AV54" s="3">
        <v>26</v>
      </c>
      <c r="AW54" s="3">
        <v>6</v>
      </c>
      <c r="AX54" s="3">
        <v>60</v>
      </c>
      <c r="AY54" s="3">
        <v>10</v>
      </c>
      <c r="AZ54" s="3">
        <v>15</v>
      </c>
      <c r="BA54" s="3">
        <v>4</v>
      </c>
      <c r="BB54" s="3">
        <v>47</v>
      </c>
      <c r="BC54" s="3">
        <v>6</v>
      </c>
      <c r="BD54" s="3">
        <v>2</v>
      </c>
    </row>
    <row r="55" spans="1:56" x14ac:dyDescent="0.25">
      <c r="A55" t="s">
        <v>19</v>
      </c>
      <c r="B55" s="3">
        <v>44742</v>
      </c>
      <c r="C55" s="3">
        <v>78994</v>
      </c>
      <c r="D55" s="3">
        <v>4499</v>
      </c>
      <c r="E55" s="3">
        <v>12049</v>
      </c>
      <c r="F55" s="3">
        <v>21763</v>
      </c>
      <c r="G55" s="3">
        <v>25910</v>
      </c>
      <c r="H55" s="3">
        <v>14985</v>
      </c>
      <c r="I55" s="4">
        <v>7608</v>
      </c>
      <c r="J55" s="4">
        <v>6182</v>
      </c>
      <c r="K55" s="4">
        <v>1790</v>
      </c>
      <c r="L55" s="4">
        <v>3726</v>
      </c>
      <c r="M55" s="3">
        <v>23006</v>
      </c>
      <c r="N55" s="4">
        <v>1366</v>
      </c>
      <c r="O55" s="4">
        <v>1039</v>
      </c>
      <c r="P55" s="4">
        <v>2672</v>
      </c>
      <c r="Q55" s="4">
        <v>3955</v>
      </c>
      <c r="R55" s="4">
        <v>4584</v>
      </c>
      <c r="S55" s="4">
        <v>6090</v>
      </c>
      <c r="T55" s="4">
        <v>2402</v>
      </c>
      <c r="U55" s="4">
        <v>356</v>
      </c>
      <c r="V55" s="4">
        <v>1139</v>
      </c>
      <c r="W55" s="3">
        <v>0</v>
      </c>
      <c r="X55" s="3">
        <v>11</v>
      </c>
      <c r="Y55" s="4">
        <v>-0.53333333333333333</v>
      </c>
      <c r="Z55" s="4">
        <v>1</v>
      </c>
      <c r="AA55" s="4" t="e">
        <v>#N/A</v>
      </c>
      <c r="AB55" s="3">
        <v>-15</v>
      </c>
      <c r="AC55" s="3">
        <v>-4</v>
      </c>
      <c r="AD55" s="3">
        <v>-26</v>
      </c>
      <c r="AE55" s="3">
        <v>-8</v>
      </c>
      <c r="AF55" s="3">
        <v>10097</v>
      </c>
      <c r="AG55" s="4" t="e">
        <v>#N/A</v>
      </c>
      <c r="AH55" s="4" t="e">
        <v>#N/A</v>
      </c>
      <c r="AI55" s="3">
        <v>50252</v>
      </c>
      <c r="AJ55" s="3">
        <v>40</v>
      </c>
      <c r="AK55" s="3">
        <v>21</v>
      </c>
      <c r="AL55" s="3">
        <v>7</v>
      </c>
      <c r="AM55" s="3">
        <v>2</v>
      </c>
      <c r="AN55" s="3">
        <v>51</v>
      </c>
      <c r="AO55" s="3">
        <v>10</v>
      </c>
      <c r="AP55" s="3">
        <v>2</v>
      </c>
      <c r="AQ55" s="3">
        <v>26</v>
      </c>
      <c r="AR55" s="3">
        <v>39</v>
      </c>
      <c r="AS55" s="3">
        <v>19</v>
      </c>
      <c r="AT55" s="3">
        <v>9</v>
      </c>
      <c r="AU55" s="3">
        <v>55</v>
      </c>
      <c r="AV55" s="3">
        <v>16</v>
      </c>
      <c r="AW55" s="3">
        <v>3</v>
      </c>
      <c r="AX55" s="3">
        <v>53</v>
      </c>
      <c r="AY55" s="3">
        <v>33</v>
      </c>
      <c r="AZ55" s="3">
        <v>4</v>
      </c>
      <c r="BA55" s="3">
        <v>5</v>
      </c>
      <c r="BB55" s="3">
        <v>50</v>
      </c>
      <c r="BC55" s="3">
        <v>14</v>
      </c>
      <c r="BD55" s="3">
        <v>12</v>
      </c>
    </row>
    <row r="56" spans="1:56" x14ac:dyDescent="0.25">
      <c r="A56" t="s">
        <v>20</v>
      </c>
      <c r="B56" s="3">
        <v>42863</v>
      </c>
      <c r="C56" s="3">
        <v>76321</v>
      </c>
      <c r="D56" s="3">
        <v>3814</v>
      </c>
      <c r="E56" s="3">
        <v>11916</v>
      </c>
      <c r="F56" s="3">
        <v>21306</v>
      </c>
      <c r="G56" s="3">
        <v>24796</v>
      </c>
      <c r="H56" s="3">
        <v>14700</v>
      </c>
      <c r="I56" s="4">
        <v>7584</v>
      </c>
      <c r="J56" s="4">
        <v>6447</v>
      </c>
      <c r="K56" s="4">
        <v>1685</v>
      </c>
      <c r="L56" s="4">
        <v>4067</v>
      </c>
      <c r="M56" s="3">
        <v>22726</v>
      </c>
      <c r="N56" s="4">
        <v>1404</v>
      </c>
      <c r="O56" s="4">
        <v>1110</v>
      </c>
      <c r="P56" s="4">
        <v>2843</v>
      </c>
      <c r="Q56" s="4">
        <v>2152</v>
      </c>
      <c r="R56" s="4">
        <v>4623</v>
      </c>
      <c r="S56" s="4">
        <v>5985</v>
      </c>
      <c r="T56" s="4">
        <v>2377</v>
      </c>
      <c r="U56" s="4">
        <v>427</v>
      </c>
      <c r="V56" s="4">
        <v>1302</v>
      </c>
      <c r="W56" s="3">
        <v>-5</v>
      </c>
      <c r="X56" s="3">
        <v>8</v>
      </c>
      <c r="Y56" s="4">
        <v>-1.4666666666666668</v>
      </c>
      <c r="Z56" s="4">
        <v>0.20000000000000004</v>
      </c>
      <c r="AA56" s="4" t="e">
        <v>#N/A</v>
      </c>
      <c r="AB56" s="3">
        <v>-28</v>
      </c>
      <c r="AC56" s="3">
        <v>-10</v>
      </c>
      <c r="AD56" s="3">
        <v>-24</v>
      </c>
      <c r="AE56" s="3">
        <v>-45</v>
      </c>
      <c r="AF56" s="3">
        <v>9237</v>
      </c>
      <c r="AG56" s="4" t="e">
        <v>#N/A</v>
      </c>
      <c r="AH56" s="4" t="e">
        <v>#N/A</v>
      </c>
      <c r="AI56" s="3">
        <v>51669</v>
      </c>
      <c r="AJ56" s="3">
        <v>45</v>
      </c>
      <c r="AK56" s="3">
        <v>20</v>
      </c>
      <c r="AL56" s="3">
        <v>7</v>
      </c>
      <c r="AM56" s="3">
        <v>5</v>
      </c>
      <c r="AN56" s="3">
        <v>67</v>
      </c>
      <c r="AO56" s="3">
        <v>5</v>
      </c>
      <c r="AP56" s="3">
        <v>6</v>
      </c>
      <c r="AQ56" s="3">
        <v>20</v>
      </c>
      <c r="AR56" s="3">
        <v>28</v>
      </c>
      <c r="AS56" s="3">
        <v>9</v>
      </c>
      <c r="AT56" s="3">
        <v>3</v>
      </c>
      <c r="AU56" s="3">
        <v>79</v>
      </c>
      <c r="AV56" s="3">
        <v>12</v>
      </c>
      <c r="AW56" s="3">
        <v>1</v>
      </c>
      <c r="AX56" s="3">
        <v>53</v>
      </c>
      <c r="AY56" s="3">
        <v>21</v>
      </c>
      <c r="AZ56" s="3">
        <v>4</v>
      </c>
      <c r="BA56" s="3">
        <v>2</v>
      </c>
      <c r="BB56" s="3">
        <v>55</v>
      </c>
      <c r="BC56" s="3">
        <v>11</v>
      </c>
      <c r="BD56" s="3">
        <v>3</v>
      </c>
    </row>
    <row r="57" spans="1:56" x14ac:dyDescent="0.25">
      <c r="A57" t="s">
        <v>21</v>
      </c>
      <c r="B57" s="3">
        <v>42091</v>
      </c>
      <c r="C57" s="3">
        <v>76228</v>
      </c>
      <c r="D57" s="3">
        <v>4115</v>
      </c>
      <c r="E57" s="3">
        <v>11713</v>
      </c>
      <c r="F57" s="3">
        <v>22329</v>
      </c>
      <c r="G57" s="3">
        <v>24399</v>
      </c>
      <c r="H57" s="3">
        <v>14244</v>
      </c>
      <c r="I57" s="4">
        <v>7264</v>
      </c>
      <c r="J57" s="4">
        <v>6621</v>
      </c>
      <c r="K57" s="4">
        <v>1670</v>
      </c>
      <c r="L57" s="4">
        <v>3582</v>
      </c>
      <c r="M57" s="3">
        <v>21956</v>
      </c>
      <c r="N57" s="4">
        <v>1376</v>
      </c>
      <c r="O57" s="4">
        <v>836</v>
      </c>
      <c r="P57" s="4">
        <v>2746</v>
      </c>
      <c r="Q57" s="4">
        <v>3181</v>
      </c>
      <c r="R57" s="4">
        <v>4184</v>
      </c>
      <c r="S57" s="4">
        <v>5742</v>
      </c>
      <c r="T57" s="4">
        <v>2467</v>
      </c>
      <c r="U57" s="4">
        <v>465</v>
      </c>
      <c r="V57" s="4">
        <v>1381</v>
      </c>
      <c r="W57" s="3">
        <v>-3</v>
      </c>
      <c r="X57" s="3">
        <v>15</v>
      </c>
      <c r="Y57" s="4">
        <v>-1.4000000000000001</v>
      </c>
      <c r="Z57" s="4">
        <v>0.53333333333333333</v>
      </c>
      <c r="AA57" s="4" t="e">
        <v>#N/A</v>
      </c>
      <c r="AB57" s="3">
        <v>-28</v>
      </c>
      <c r="AC57" s="3">
        <v>-15</v>
      </c>
      <c r="AD57" s="3">
        <v>-21</v>
      </c>
      <c r="AE57" s="3">
        <v>-1</v>
      </c>
      <c r="AF57" s="3">
        <v>9838</v>
      </c>
      <c r="AG57" s="4" t="e">
        <v>#N/A</v>
      </c>
      <c r="AH57" s="4" t="e">
        <v>#N/A</v>
      </c>
      <c r="AI57" s="3">
        <v>52186</v>
      </c>
      <c r="AJ57" s="3">
        <v>49</v>
      </c>
      <c r="AK57" s="3">
        <v>22</v>
      </c>
      <c r="AL57" s="3">
        <v>6</v>
      </c>
      <c r="AM57" s="3">
        <v>2</v>
      </c>
      <c r="AN57" s="3">
        <v>55</v>
      </c>
      <c r="AO57" s="3">
        <v>4</v>
      </c>
      <c r="AP57" s="3">
        <v>4</v>
      </c>
      <c r="AQ57" s="3">
        <v>36</v>
      </c>
      <c r="AR57" s="3">
        <v>32</v>
      </c>
      <c r="AS57" s="3">
        <v>7</v>
      </c>
      <c r="AT57" s="3">
        <v>6</v>
      </c>
      <c r="AU57" s="3">
        <v>59</v>
      </c>
      <c r="AV57" s="3">
        <v>17</v>
      </c>
      <c r="AW57" s="3">
        <v>5</v>
      </c>
      <c r="AX57" s="3">
        <v>40</v>
      </c>
      <c r="AY57" s="3">
        <v>15</v>
      </c>
      <c r="AZ57" s="3">
        <v>4</v>
      </c>
      <c r="BA57" s="3">
        <v>9</v>
      </c>
      <c r="BB57" s="3">
        <v>54</v>
      </c>
      <c r="BC57" s="3">
        <v>29</v>
      </c>
      <c r="BD57" s="3">
        <v>7</v>
      </c>
    </row>
    <row r="58" spans="1:56" x14ac:dyDescent="0.25">
      <c r="A58" t="s">
        <v>22</v>
      </c>
      <c r="B58" s="3">
        <v>41670</v>
      </c>
      <c r="C58" s="3">
        <v>76226</v>
      </c>
      <c r="D58" s="3">
        <v>4710</v>
      </c>
      <c r="E58" s="3">
        <v>11631</v>
      </c>
      <c r="F58" s="3">
        <v>21994</v>
      </c>
      <c r="G58" s="3">
        <v>24277</v>
      </c>
      <c r="H58" s="3">
        <v>13760</v>
      </c>
      <c r="I58" s="4">
        <v>7499</v>
      </c>
      <c r="J58" s="4">
        <v>6556</v>
      </c>
      <c r="K58" s="4">
        <v>1600</v>
      </c>
      <c r="L58" s="4">
        <v>3627</v>
      </c>
      <c r="M58" s="3">
        <v>21937</v>
      </c>
      <c r="N58" s="4">
        <v>1346</v>
      </c>
      <c r="O58" s="4">
        <v>1088</v>
      </c>
      <c r="P58" s="4">
        <v>2799</v>
      </c>
      <c r="Q58" s="4">
        <v>4853</v>
      </c>
      <c r="R58" s="4">
        <v>3351</v>
      </c>
      <c r="S58" s="4">
        <v>5583</v>
      </c>
      <c r="T58" s="4">
        <v>2552</v>
      </c>
      <c r="U58" s="4">
        <v>487</v>
      </c>
      <c r="V58" s="4">
        <v>1427</v>
      </c>
      <c r="W58" s="3">
        <v>7</v>
      </c>
      <c r="X58" s="3">
        <v>16</v>
      </c>
      <c r="Y58" s="4">
        <v>-1.0333333333333334</v>
      </c>
      <c r="Z58" s="4">
        <v>1.1000000000000001</v>
      </c>
      <c r="AA58" s="4" t="e">
        <v>#N/A</v>
      </c>
      <c r="AB58" s="3">
        <v>-25</v>
      </c>
      <c r="AC58" s="3">
        <v>-9</v>
      </c>
      <c r="AD58" s="3">
        <v>-18</v>
      </c>
      <c r="AE58" s="3">
        <v>15</v>
      </c>
      <c r="AF58" s="3">
        <v>9512</v>
      </c>
      <c r="AG58" s="4" t="e">
        <v>#N/A</v>
      </c>
      <c r="AH58" s="4" t="e">
        <v>#N/A</v>
      </c>
      <c r="AI58" s="3">
        <v>52977</v>
      </c>
      <c r="AJ58" s="3">
        <v>44</v>
      </c>
      <c r="AK58" s="3">
        <v>21</v>
      </c>
      <c r="AL58" s="3">
        <v>7</v>
      </c>
      <c r="AM58" s="3">
        <v>1</v>
      </c>
      <c r="AN58" s="3">
        <v>54</v>
      </c>
      <c r="AO58" s="3">
        <v>4</v>
      </c>
      <c r="AP58" s="3">
        <v>6</v>
      </c>
      <c r="AQ58" s="3">
        <v>40</v>
      </c>
      <c r="AR58" s="3">
        <v>34</v>
      </c>
      <c r="AS58" s="3">
        <v>5</v>
      </c>
      <c r="AT58" s="3">
        <v>3</v>
      </c>
      <c r="AU58" s="3">
        <v>70</v>
      </c>
      <c r="AV58" s="3">
        <v>13</v>
      </c>
      <c r="AW58" s="3">
        <v>4</v>
      </c>
      <c r="AX58" s="3">
        <v>41</v>
      </c>
      <c r="AY58" s="3">
        <v>27</v>
      </c>
      <c r="AZ58" s="3">
        <v>5</v>
      </c>
      <c r="BA58" s="3">
        <v>6</v>
      </c>
      <c r="BB58" s="3">
        <v>26</v>
      </c>
      <c r="BC58" s="3">
        <v>20</v>
      </c>
      <c r="BD58" s="3">
        <v>8</v>
      </c>
    </row>
    <row r="59" spans="1:56" x14ac:dyDescent="0.25">
      <c r="A59" t="s">
        <v>23</v>
      </c>
      <c r="B59" s="3">
        <v>43962</v>
      </c>
      <c r="C59" s="3">
        <v>80253</v>
      </c>
      <c r="D59" s="3">
        <v>4618</v>
      </c>
      <c r="E59" s="3">
        <v>12585</v>
      </c>
      <c r="F59" s="3">
        <v>23841</v>
      </c>
      <c r="G59" s="3">
        <v>24301</v>
      </c>
      <c r="H59" s="3">
        <v>15397</v>
      </c>
      <c r="I59" s="4">
        <v>7536</v>
      </c>
      <c r="J59" s="4">
        <v>6419</v>
      </c>
      <c r="K59" s="4">
        <v>1779</v>
      </c>
      <c r="L59" s="4">
        <v>3897</v>
      </c>
      <c r="M59" s="3">
        <v>21937</v>
      </c>
      <c r="N59" s="4">
        <v>1319</v>
      </c>
      <c r="O59" s="4">
        <v>1111</v>
      </c>
      <c r="P59" s="4">
        <v>2574</v>
      </c>
      <c r="Q59" s="4">
        <v>3868</v>
      </c>
      <c r="R59" s="4">
        <v>4025</v>
      </c>
      <c r="S59" s="4">
        <v>6004</v>
      </c>
      <c r="T59" s="4">
        <v>2663</v>
      </c>
      <c r="U59" s="4">
        <v>436</v>
      </c>
      <c r="V59" s="4">
        <v>924</v>
      </c>
      <c r="W59" s="3">
        <v>10</v>
      </c>
      <c r="X59" s="3">
        <v>13</v>
      </c>
      <c r="Y59" s="4">
        <v>-1</v>
      </c>
      <c r="Z59" s="4">
        <v>1</v>
      </c>
      <c r="AA59" s="4" t="e">
        <v>#N/A</v>
      </c>
      <c r="AB59" s="3">
        <v>-13</v>
      </c>
      <c r="AC59" s="3">
        <v>10</v>
      </c>
      <c r="AD59" s="3">
        <v>-33</v>
      </c>
      <c r="AE59" s="3">
        <v>-8</v>
      </c>
      <c r="AF59" s="3">
        <v>9468</v>
      </c>
      <c r="AG59" s="4" t="e">
        <v>#N/A</v>
      </c>
      <c r="AH59" s="4" t="e">
        <v>#N/A</v>
      </c>
      <c r="AI59" s="3">
        <v>54076</v>
      </c>
      <c r="AJ59" s="3">
        <v>41</v>
      </c>
      <c r="AK59" s="3">
        <v>25</v>
      </c>
      <c r="AL59" s="3">
        <v>5</v>
      </c>
      <c r="AM59" s="3">
        <v>2</v>
      </c>
      <c r="AN59" s="3">
        <v>47</v>
      </c>
      <c r="AO59" s="3">
        <v>5</v>
      </c>
      <c r="AP59" s="3">
        <v>6</v>
      </c>
      <c r="AQ59" s="3">
        <v>38</v>
      </c>
      <c r="AR59" s="3">
        <v>34</v>
      </c>
      <c r="AS59" s="3">
        <v>11</v>
      </c>
      <c r="AT59" s="3">
        <v>9</v>
      </c>
      <c r="AU59" s="3">
        <v>67</v>
      </c>
      <c r="AV59" s="3">
        <v>13</v>
      </c>
      <c r="AW59" s="3">
        <v>3</v>
      </c>
      <c r="AX59" s="3">
        <v>49</v>
      </c>
      <c r="AY59" s="3">
        <v>21</v>
      </c>
      <c r="AZ59" s="3">
        <v>4</v>
      </c>
      <c r="BA59" s="3">
        <v>4</v>
      </c>
      <c r="BB59" s="3">
        <v>53</v>
      </c>
      <c r="BC59" s="3">
        <v>29</v>
      </c>
      <c r="BD59" s="3">
        <v>1</v>
      </c>
    </row>
    <row r="60" spans="1:56" x14ac:dyDescent="0.25">
      <c r="A60" t="s">
        <v>24</v>
      </c>
      <c r="B60" s="3">
        <v>45720</v>
      </c>
      <c r="C60" s="3">
        <v>84228</v>
      </c>
      <c r="D60" s="3">
        <v>4750</v>
      </c>
      <c r="E60" s="3">
        <v>12686</v>
      </c>
      <c r="F60" s="3">
        <v>25915</v>
      </c>
      <c r="G60" s="3">
        <v>26828</v>
      </c>
      <c r="H60" s="3">
        <v>15243</v>
      </c>
      <c r="I60" s="4">
        <v>7358</v>
      </c>
      <c r="J60" s="4">
        <v>6748</v>
      </c>
      <c r="K60" s="4">
        <v>1944</v>
      </c>
      <c r="L60" s="4">
        <v>3994</v>
      </c>
      <c r="M60" s="3">
        <v>22060</v>
      </c>
      <c r="N60" s="4">
        <v>2747</v>
      </c>
      <c r="O60" s="4">
        <v>1066</v>
      </c>
      <c r="P60" s="4">
        <v>2194</v>
      </c>
      <c r="Q60" s="4">
        <v>4443</v>
      </c>
      <c r="R60" s="4">
        <v>4341</v>
      </c>
      <c r="S60" s="4">
        <v>5787</v>
      </c>
      <c r="T60" s="4">
        <v>2727</v>
      </c>
      <c r="U60" s="4">
        <v>412</v>
      </c>
      <c r="V60" s="4">
        <v>1039</v>
      </c>
      <c r="W60" s="3">
        <v>8</v>
      </c>
      <c r="X60" s="3">
        <v>13</v>
      </c>
      <c r="Y60" s="4">
        <v>-1.1666666666666667</v>
      </c>
      <c r="Z60" s="4">
        <v>0.80000000000000016</v>
      </c>
      <c r="AA60" s="4" t="e">
        <v>#N/A</v>
      </c>
      <c r="AB60" s="3">
        <v>-25</v>
      </c>
      <c r="AC60" s="3">
        <v>11</v>
      </c>
      <c r="AD60" s="3">
        <v>-13</v>
      </c>
      <c r="AE60" s="3">
        <v>8</v>
      </c>
      <c r="AF60" s="3">
        <v>9460</v>
      </c>
      <c r="AG60" s="4" t="e">
        <v>#N/A</v>
      </c>
      <c r="AH60" s="4" t="e">
        <v>#N/A</v>
      </c>
      <c r="AI60" s="3">
        <v>56272</v>
      </c>
      <c r="AJ60" s="3">
        <v>44</v>
      </c>
      <c r="AK60" s="3">
        <v>23</v>
      </c>
      <c r="AL60" s="3">
        <v>8</v>
      </c>
      <c r="AM60" s="3">
        <v>2</v>
      </c>
      <c r="AN60" s="3">
        <v>52</v>
      </c>
      <c r="AO60" s="3">
        <v>4</v>
      </c>
      <c r="AP60" s="3">
        <v>2</v>
      </c>
      <c r="AQ60" s="3">
        <v>43</v>
      </c>
      <c r="AR60" s="3">
        <v>28</v>
      </c>
      <c r="AS60" s="3">
        <v>3</v>
      </c>
      <c r="AT60" s="3">
        <v>1</v>
      </c>
      <c r="AU60" s="3">
        <v>72</v>
      </c>
      <c r="AV60" s="3">
        <v>8</v>
      </c>
      <c r="AW60" s="3">
        <v>2</v>
      </c>
      <c r="AX60" s="3">
        <v>26</v>
      </c>
      <c r="AY60" s="3">
        <v>26</v>
      </c>
      <c r="AZ60" s="3">
        <v>10</v>
      </c>
      <c r="BA60" s="3">
        <v>3</v>
      </c>
      <c r="BB60" s="3">
        <v>31</v>
      </c>
      <c r="BC60" s="3">
        <v>12</v>
      </c>
      <c r="BD60" s="3">
        <v>16</v>
      </c>
    </row>
    <row r="61" spans="1:56" x14ac:dyDescent="0.25">
      <c r="A61" t="s">
        <v>25</v>
      </c>
      <c r="B61" s="3">
        <v>45673</v>
      </c>
      <c r="C61" s="3">
        <v>84514</v>
      </c>
      <c r="D61" s="3">
        <v>4539</v>
      </c>
      <c r="E61" s="3">
        <v>12623</v>
      </c>
      <c r="F61" s="3">
        <v>24334</v>
      </c>
      <c r="G61" s="3">
        <v>28277</v>
      </c>
      <c r="H61" s="3">
        <v>15258</v>
      </c>
      <c r="I61" s="4">
        <v>7483</v>
      </c>
      <c r="J61" s="4">
        <v>6957</v>
      </c>
      <c r="K61" s="4">
        <v>1806</v>
      </c>
      <c r="L61" s="4">
        <v>3911</v>
      </c>
      <c r="M61" s="3">
        <v>21250</v>
      </c>
      <c r="N61" s="4">
        <v>3056</v>
      </c>
      <c r="O61" s="4">
        <v>1059</v>
      </c>
      <c r="P61" s="4">
        <v>2790</v>
      </c>
      <c r="Q61" s="4">
        <v>4595</v>
      </c>
      <c r="R61" s="4">
        <v>3475</v>
      </c>
      <c r="S61" s="4">
        <v>5684</v>
      </c>
      <c r="T61" s="4">
        <v>2831</v>
      </c>
      <c r="U61" s="4">
        <v>535</v>
      </c>
      <c r="V61" s="4">
        <v>1063</v>
      </c>
      <c r="W61" s="3">
        <v>2</v>
      </c>
      <c r="X61" s="3">
        <v>3</v>
      </c>
      <c r="Y61" s="4">
        <v>-1.6333333333333335</v>
      </c>
      <c r="Z61" s="4">
        <v>0.56666666666666654</v>
      </c>
      <c r="AA61" s="4" t="e">
        <v>#N/A</v>
      </c>
      <c r="AB61" s="3">
        <v>-22</v>
      </c>
      <c r="AC61" s="3">
        <v>-19</v>
      </c>
      <c r="AD61" s="3">
        <v>-9</v>
      </c>
      <c r="AE61" s="3">
        <v>-4</v>
      </c>
      <c r="AF61" s="3">
        <v>9316</v>
      </c>
      <c r="AG61" s="4" t="e">
        <v>#N/A</v>
      </c>
      <c r="AH61" s="4" t="e">
        <v>#N/A</v>
      </c>
      <c r="AI61" s="3">
        <v>56377</v>
      </c>
      <c r="AJ61" s="3">
        <v>44</v>
      </c>
      <c r="AK61" s="3">
        <v>23</v>
      </c>
      <c r="AL61" s="3">
        <v>5</v>
      </c>
      <c r="AM61" s="3">
        <v>2</v>
      </c>
      <c r="AN61" s="3">
        <v>58</v>
      </c>
      <c r="AO61" s="3">
        <v>6</v>
      </c>
      <c r="AP61" s="3">
        <v>3</v>
      </c>
      <c r="AQ61" s="3">
        <v>33</v>
      </c>
      <c r="AR61" s="3">
        <v>22</v>
      </c>
      <c r="AS61" s="3">
        <v>11</v>
      </c>
      <c r="AT61" s="3">
        <v>4</v>
      </c>
      <c r="AU61" s="3">
        <v>59</v>
      </c>
      <c r="AV61" s="3">
        <v>10</v>
      </c>
      <c r="AW61" s="3">
        <v>3</v>
      </c>
      <c r="AX61" s="3">
        <v>30</v>
      </c>
      <c r="AY61" s="3">
        <v>28</v>
      </c>
      <c r="AZ61" s="3">
        <v>7</v>
      </c>
      <c r="BA61" s="3">
        <v>2</v>
      </c>
      <c r="BB61" s="3">
        <v>46</v>
      </c>
      <c r="BC61" s="3">
        <v>3</v>
      </c>
      <c r="BD61" s="3">
        <v>0</v>
      </c>
    </row>
    <row r="62" spans="1:56" x14ac:dyDescent="0.25">
      <c r="A62" t="s">
        <v>26</v>
      </c>
      <c r="B62" s="3">
        <v>41335</v>
      </c>
      <c r="C62" s="3">
        <v>79269</v>
      </c>
      <c r="D62" s="3">
        <v>3847</v>
      </c>
      <c r="E62" s="3">
        <v>10932</v>
      </c>
      <c r="F62" s="3">
        <v>24066</v>
      </c>
      <c r="G62" s="3">
        <v>26354</v>
      </c>
      <c r="H62" s="3">
        <v>15197</v>
      </c>
      <c r="I62" s="4">
        <v>7115</v>
      </c>
      <c r="J62" s="4">
        <v>6613</v>
      </c>
      <c r="K62" s="4">
        <v>1630</v>
      </c>
      <c r="L62" s="4">
        <v>4015</v>
      </c>
      <c r="M62" s="3">
        <v>21422</v>
      </c>
      <c r="N62" s="4">
        <v>2115</v>
      </c>
      <c r="O62" s="4">
        <v>985</v>
      </c>
      <c r="P62" s="4">
        <v>1898</v>
      </c>
      <c r="Q62" s="4">
        <v>4931</v>
      </c>
      <c r="R62" s="4">
        <v>2897</v>
      </c>
      <c r="S62" s="4">
        <v>5835</v>
      </c>
      <c r="T62" s="4">
        <v>2879</v>
      </c>
      <c r="U62" s="4">
        <v>652</v>
      </c>
      <c r="V62" s="4">
        <v>914</v>
      </c>
      <c r="W62" s="3">
        <v>4</v>
      </c>
      <c r="X62" s="3">
        <v>9</v>
      </c>
      <c r="Y62" s="4">
        <v>-1.5333333333333332</v>
      </c>
      <c r="Z62" s="4">
        <v>0.39999999999999997</v>
      </c>
      <c r="AA62" s="4" t="e">
        <v>#N/A</v>
      </c>
      <c r="AB62" s="3">
        <v>-23</v>
      </c>
      <c r="AC62" s="3">
        <v>-13</v>
      </c>
      <c r="AD62" s="3">
        <v>-21</v>
      </c>
      <c r="AE62" s="3">
        <v>-35</v>
      </c>
      <c r="AF62" s="3">
        <v>8982</v>
      </c>
      <c r="AG62" s="4" t="e">
        <v>#N/A</v>
      </c>
      <c r="AH62" s="4" t="e">
        <v>#N/A</v>
      </c>
      <c r="AI62" s="3">
        <v>58668</v>
      </c>
      <c r="AJ62" s="3">
        <v>46</v>
      </c>
      <c r="AK62" s="3">
        <v>20</v>
      </c>
      <c r="AL62" s="3">
        <v>5</v>
      </c>
      <c r="AM62" s="3">
        <v>2</v>
      </c>
      <c r="AN62" s="3">
        <v>56</v>
      </c>
      <c r="AO62" s="3">
        <v>4</v>
      </c>
      <c r="AP62" s="3">
        <v>9</v>
      </c>
      <c r="AQ62" s="3">
        <v>30</v>
      </c>
      <c r="AR62" s="3">
        <v>19</v>
      </c>
      <c r="AS62" s="3">
        <v>2</v>
      </c>
      <c r="AT62" s="3">
        <v>1</v>
      </c>
      <c r="AU62" s="3">
        <v>59</v>
      </c>
      <c r="AV62" s="3">
        <v>8</v>
      </c>
      <c r="AW62" s="3">
        <v>2</v>
      </c>
      <c r="AX62" s="3">
        <v>49</v>
      </c>
      <c r="AY62" s="3">
        <v>37</v>
      </c>
      <c r="AZ62" s="3">
        <v>1</v>
      </c>
      <c r="BA62" s="3">
        <v>2</v>
      </c>
      <c r="BB62" s="3">
        <v>66</v>
      </c>
      <c r="BC62" s="3">
        <v>4</v>
      </c>
      <c r="BD62" s="3">
        <v>1</v>
      </c>
    </row>
    <row r="63" spans="1:56" x14ac:dyDescent="0.25">
      <c r="A63" t="s">
        <v>27</v>
      </c>
      <c r="B63" s="3">
        <v>42368</v>
      </c>
      <c r="C63" s="3">
        <v>80422</v>
      </c>
      <c r="D63" s="3">
        <v>4504</v>
      </c>
      <c r="E63" s="3">
        <v>11468</v>
      </c>
      <c r="F63" s="3">
        <v>25341</v>
      </c>
      <c r="G63" s="3">
        <v>23850</v>
      </c>
      <c r="H63" s="3">
        <v>16048</v>
      </c>
      <c r="I63" s="4">
        <v>6930</v>
      </c>
      <c r="J63" s="4">
        <v>6074</v>
      </c>
      <c r="K63" s="4">
        <v>1785</v>
      </c>
      <c r="L63" s="4">
        <v>3597</v>
      </c>
      <c r="M63" s="3">
        <v>21409</v>
      </c>
      <c r="N63" s="4">
        <v>1874</v>
      </c>
      <c r="O63" s="4">
        <v>959</v>
      </c>
      <c r="P63" s="4">
        <v>2736</v>
      </c>
      <c r="Q63" s="4">
        <v>4575</v>
      </c>
      <c r="R63" s="4">
        <v>3190</v>
      </c>
      <c r="S63" s="4">
        <v>5650</v>
      </c>
      <c r="T63" s="4">
        <v>2920</v>
      </c>
      <c r="U63" s="4">
        <v>631</v>
      </c>
      <c r="V63" s="4">
        <v>783</v>
      </c>
      <c r="W63" s="3">
        <v>4</v>
      </c>
      <c r="X63" s="3">
        <v>13</v>
      </c>
      <c r="Y63" s="4">
        <v>-0.96666666666666679</v>
      </c>
      <c r="Z63" s="4">
        <v>0.8666666666666667</v>
      </c>
      <c r="AA63" s="4" t="e">
        <v>#N/A</v>
      </c>
      <c r="AB63" s="3">
        <v>-23</v>
      </c>
      <c r="AC63" s="3">
        <v>8</v>
      </c>
      <c r="AD63" s="3">
        <v>-8</v>
      </c>
      <c r="AE63" s="3">
        <v>-7</v>
      </c>
      <c r="AF63" s="3">
        <v>9162</v>
      </c>
      <c r="AG63" s="4" t="e">
        <v>#N/A</v>
      </c>
      <c r="AH63" s="4" t="e">
        <v>#N/A</v>
      </c>
      <c r="AI63" s="3">
        <v>60139</v>
      </c>
      <c r="AJ63" s="3">
        <v>42</v>
      </c>
      <c r="AK63" s="3">
        <v>20</v>
      </c>
      <c r="AL63" s="3">
        <v>7</v>
      </c>
      <c r="AM63" s="3">
        <v>2</v>
      </c>
      <c r="AN63" s="3">
        <v>62</v>
      </c>
      <c r="AO63" s="3">
        <v>4</v>
      </c>
      <c r="AP63" s="3">
        <v>4</v>
      </c>
      <c r="AQ63" s="3">
        <v>31</v>
      </c>
      <c r="AR63" s="3">
        <v>29</v>
      </c>
      <c r="AS63" s="3">
        <v>13</v>
      </c>
      <c r="AT63" s="3">
        <v>0</v>
      </c>
      <c r="AU63" s="3">
        <v>55</v>
      </c>
      <c r="AV63" s="3">
        <v>10</v>
      </c>
      <c r="AW63" s="3">
        <v>1</v>
      </c>
      <c r="AX63" s="3">
        <v>39</v>
      </c>
      <c r="AY63" s="3">
        <v>29</v>
      </c>
      <c r="AZ63" s="3">
        <v>4</v>
      </c>
      <c r="BA63" s="3">
        <v>6</v>
      </c>
      <c r="BB63" s="3">
        <v>45</v>
      </c>
      <c r="BC63" s="3">
        <v>11</v>
      </c>
      <c r="BD63" s="3">
        <v>2</v>
      </c>
    </row>
    <row r="64" spans="1:56" x14ac:dyDescent="0.25">
      <c r="A64" t="s">
        <v>28</v>
      </c>
      <c r="B64" s="3">
        <v>42114</v>
      </c>
      <c r="C64" s="3">
        <v>80600</v>
      </c>
      <c r="D64" s="3">
        <v>4210</v>
      </c>
      <c r="E64" s="3">
        <v>10768</v>
      </c>
      <c r="F64" s="3">
        <v>26203</v>
      </c>
      <c r="G64" s="3">
        <v>25209</v>
      </c>
      <c r="H64" s="3">
        <v>15647</v>
      </c>
      <c r="I64" s="4">
        <v>6852</v>
      </c>
      <c r="J64" s="4">
        <v>5672</v>
      </c>
      <c r="K64" s="4">
        <v>1966</v>
      </c>
      <c r="L64" s="4">
        <v>3691</v>
      </c>
      <c r="M64" s="3">
        <v>21589</v>
      </c>
      <c r="N64" s="4">
        <v>2052</v>
      </c>
      <c r="O64" s="4">
        <v>882</v>
      </c>
      <c r="P64" s="4">
        <v>2211</v>
      </c>
      <c r="Q64" s="4">
        <v>4520</v>
      </c>
      <c r="R64" s="4">
        <v>3335</v>
      </c>
      <c r="S64" s="4">
        <v>6040</v>
      </c>
      <c r="T64" s="4">
        <v>2999</v>
      </c>
      <c r="U64" s="4">
        <v>573</v>
      </c>
      <c r="V64" s="4">
        <v>1030</v>
      </c>
      <c r="W64" s="3">
        <v>18</v>
      </c>
      <c r="X64" s="3">
        <v>18</v>
      </c>
      <c r="Y64" s="4">
        <v>-0.33333333333333331</v>
      </c>
      <c r="Z64" s="4">
        <v>1.4333333333333336</v>
      </c>
      <c r="AA64" s="4" t="e">
        <v>#N/A</v>
      </c>
      <c r="AB64" s="3">
        <v>-14</v>
      </c>
      <c r="AC64" s="3">
        <v>9</v>
      </c>
      <c r="AD64" s="3">
        <v>-15</v>
      </c>
      <c r="AE64" s="3">
        <v>-1</v>
      </c>
      <c r="AF64" s="3">
        <v>9406</v>
      </c>
      <c r="AG64" s="4" t="e">
        <v>#N/A</v>
      </c>
      <c r="AH64" s="4" t="e">
        <v>#N/A</v>
      </c>
      <c r="AI64" s="3">
        <v>57705</v>
      </c>
      <c r="AJ64" s="3">
        <v>41</v>
      </c>
      <c r="AK64" s="3">
        <v>21</v>
      </c>
      <c r="AL64" s="3">
        <v>5</v>
      </c>
      <c r="AM64" s="3">
        <v>2</v>
      </c>
      <c r="AN64" s="3">
        <v>52</v>
      </c>
      <c r="AO64" s="3">
        <v>5</v>
      </c>
      <c r="AP64" s="3">
        <v>9</v>
      </c>
      <c r="AQ64" s="3">
        <v>33</v>
      </c>
      <c r="AR64" s="3">
        <v>21</v>
      </c>
      <c r="AS64" s="3">
        <v>5</v>
      </c>
      <c r="AT64" s="3">
        <v>5</v>
      </c>
      <c r="AU64" s="3">
        <v>62</v>
      </c>
      <c r="AV64" s="3">
        <v>17</v>
      </c>
      <c r="AW64" s="3">
        <v>1</v>
      </c>
      <c r="AX64" s="3">
        <v>35</v>
      </c>
      <c r="AY64" s="3">
        <v>14</v>
      </c>
      <c r="AZ64" s="3">
        <v>3</v>
      </c>
      <c r="BA64" s="3">
        <v>6</v>
      </c>
      <c r="BB64" s="3">
        <v>47</v>
      </c>
      <c r="BC64" s="3">
        <v>22</v>
      </c>
      <c r="BD64" s="3">
        <v>7</v>
      </c>
    </row>
    <row r="65" spans="1:56" x14ac:dyDescent="0.25">
      <c r="A65" t="s">
        <v>29</v>
      </c>
      <c r="B65" s="3">
        <v>42450</v>
      </c>
      <c r="C65" s="3">
        <v>82986</v>
      </c>
      <c r="D65" s="3">
        <v>4154</v>
      </c>
      <c r="E65" s="3">
        <v>11554</v>
      </c>
      <c r="F65" s="3">
        <v>26675</v>
      </c>
      <c r="G65" s="3">
        <v>27024</v>
      </c>
      <c r="H65" s="3">
        <v>15631</v>
      </c>
      <c r="I65" s="4">
        <v>6669</v>
      </c>
      <c r="J65" s="4">
        <v>5997</v>
      </c>
      <c r="K65" s="4">
        <v>1617</v>
      </c>
      <c r="L65" s="4">
        <v>3989</v>
      </c>
      <c r="M65" s="3">
        <v>20302</v>
      </c>
      <c r="N65" s="4">
        <v>2173</v>
      </c>
      <c r="O65" s="4">
        <v>739</v>
      </c>
      <c r="P65" s="4">
        <v>2001</v>
      </c>
      <c r="Q65" s="4">
        <v>5205</v>
      </c>
      <c r="R65" s="4">
        <v>3585</v>
      </c>
      <c r="S65" s="4">
        <v>5544</v>
      </c>
      <c r="T65" s="4">
        <v>2998</v>
      </c>
      <c r="U65" s="4">
        <v>528</v>
      </c>
      <c r="V65" s="4">
        <v>846</v>
      </c>
      <c r="W65" s="3">
        <v>10</v>
      </c>
      <c r="X65" s="3">
        <v>18</v>
      </c>
      <c r="Y65" s="4">
        <v>0</v>
      </c>
      <c r="Z65" s="4">
        <v>1.8666666666666665</v>
      </c>
      <c r="AA65" s="4" t="e">
        <v>#N/A</v>
      </c>
      <c r="AB65" s="3">
        <v>6</v>
      </c>
      <c r="AC65" s="3">
        <v>18</v>
      </c>
      <c r="AD65" s="3">
        <v>-5</v>
      </c>
      <c r="AE65" s="3">
        <v>5</v>
      </c>
      <c r="AF65" s="3">
        <v>10163</v>
      </c>
      <c r="AG65" s="4" t="e">
        <v>#N/A</v>
      </c>
      <c r="AH65" s="4" t="e">
        <v>#N/A</v>
      </c>
      <c r="AI65" s="3">
        <v>55317</v>
      </c>
      <c r="AJ65" s="3">
        <v>44</v>
      </c>
      <c r="AK65" s="3">
        <v>21</v>
      </c>
      <c r="AL65" s="3">
        <v>5</v>
      </c>
      <c r="AM65" s="3">
        <v>2</v>
      </c>
      <c r="AN65" s="3">
        <v>45</v>
      </c>
      <c r="AO65" s="3">
        <v>6</v>
      </c>
      <c r="AP65" s="3">
        <v>9</v>
      </c>
      <c r="AQ65" s="3">
        <v>26</v>
      </c>
      <c r="AR65" s="3">
        <v>24</v>
      </c>
      <c r="AS65" s="3">
        <v>7</v>
      </c>
      <c r="AT65" s="3">
        <v>3</v>
      </c>
      <c r="AU65" s="3">
        <v>53</v>
      </c>
      <c r="AV65" s="3">
        <v>14</v>
      </c>
      <c r="AW65" s="3">
        <v>1</v>
      </c>
      <c r="AX65" s="3">
        <v>49</v>
      </c>
      <c r="AY65" s="3">
        <v>18</v>
      </c>
      <c r="AZ65" s="3">
        <v>2</v>
      </c>
      <c r="BA65" s="3">
        <v>2</v>
      </c>
      <c r="BB65" s="3">
        <v>36</v>
      </c>
      <c r="BC65" s="3">
        <v>20</v>
      </c>
      <c r="BD65" s="3">
        <v>1</v>
      </c>
    </row>
    <row r="66" spans="1:56" x14ac:dyDescent="0.25">
      <c r="A66" t="s">
        <v>30</v>
      </c>
      <c r="B66" s="3">
        <v>39055</v>
      </c>
      <c r="C66" s="3">
        <v>82454</v>
      </c>
      <c r="D66" s="3">
        <v>4279</v>
      </c>
      <c r="E66" s="3">
        <v>11358</v>
      </c>
      <c r="F66" s="3">
        <v>25821</v>
      </c>
      <c r="G66" s="3">
        <v>27754</v>
      </c>
      <c r="H66" s="3">
        <v>15240</v>
      </c>
      <c r="I66" s="4">
        <v>7069</v>
      </c>
      <c r="J66" s="4">
        <v>6339</v>
      </c>
      <c r="K66" s="4">
        <v>1313</v>
      </c>
      <c r="L66" s="4">
        <v>3511</v>
      </c>
      <c r="M66" s="3">
        <v>20546</v>
      </c>
      <c r="N66" s="4">
        <v>2132</v>
      </c>
      <c r="O66" s="4">
        <v>791</v>
      </c>
      <c r="P66" s="4">
        <v>2219</v>
      </c>
      <c r="Q66" s="4">
        <v>3491</v>
      </c>
      <c r="R66" s="4">
        <v>3149</v>
      </c>
      <c r="S66" s="4">
        <v>5530</v>
      </c>
      <c r="T66" s="4">
        <v>3052</v>
      </c>
      <c r="U66" s="4">
        <v>430</v>
      </c>
      <c r="V66" s="4">
        <v>1121</v>
      </c>
      <c r="W66" s="3">
        <v>9</v>
      </c>
      <c r="X66" s="3">
        <v>21</v>
      </c>
      <c r="Y66" s="4">
        <v>0.53333333333333333</v>
      </c>
      <c r="Z66" s="4">
        <v>2.2000000000000002</v>
      </c>
      <c r="AA66" s="4" t="e">
        <v>#N/A</v>
      </c>
      <c r="AB66" s="3">
        <v>-1</v>
      </c>
      <c r="AC66" s="3">
        <v>29</v>
      </c>
      <c r="AD66" s="3">
        <v>8</v>
      </c>
      <c r="AE66" s="3">
        <v>28</v>
      </c>
      <c r="AF66" s="3">
        <v>10517</v>
      </c>
      <c r="AG66" s="4" t="e">
        <v>#N/A</v>
      </c>
      <c r="AH66" s="4" t="e">
        <v>#N/A</v>
      </c>
      <c r="AI66" s="3">
        <v>61187</v>
      </c>
      <c r="AJ66" s="3">
        <v>38</v>
      </c>
      <c r="AK66" s="3">
        <v>19</v>
      </c>
      <c r="AL66" s="3">
        <v>6</v>
      </c>
      <c r="AM66" s="3">
        <v>1</v>
      </c>
      <c r="AN66" s="3">
        <v>45</v>
      </c>
      <c r="AO66" s="3">
        <v>10</v>
      </c>
      <c r="AP66" s="3">
        <v>13</v>
      </c>
      <c r="AQ66" s="3">
        <v>39</v>
      </c>
      <c r="AR66" s="3">
        <v>22</v>
      </c>
      <c r="AS66" s="3">
        <v>7</v>
      </c>
      <c r="AT66" s="3">
        <v>4</v>
      </c>
      <c r="AU66" s="3">
        <v>58</v>
      </c>
      <c r="AV66" s="3">
        <v>13</v>
      </c>
      <c r="AW66" s="3">
        <v>0</v>
      </c>
      <c r="AX66" s="3">
        <v>34</v>
      </c>
      <c r="AY66" s="3">
        <v>25</v>
      </c>
      <c r="AZ66" s="3">
        <v>1</v>
      </c>
      <c r="BA66" s="3">
        <v>5</v>
      </c>
      <c r="BB66" s="3">
        <v>53</v>
      </c>
      <c r="BC66" s="3">
        <v>14</v>
      </c>
      <c r="BD66" s="3">
        <v>10</v>
      </c>
    </row>
    <row r="67" spans="1:56" x14ac:dyDescent="0.25">
      <c r="A67" t="s">
        <v>31</v>
      </c>
      <c r="B67" s="3">
        <v>41359</v>
      </c>
      <c r="C67" s="3">
        <v>83913</v>
      </c>
      <c r="D67" s="3">
        <v>4091</v>
      </c>
      <c r="E67" s="3">
        <v>11721</v>
      </c>
      <c r="F67" s="3">
        <v>26905</v>
      </c>
      <c r="G67" s="3">
        <v>26394</v>
      </c>
      <c r="H67" s="3">
        <v>16596</v>
      </c>
      <c r="I67" s="4">
        <v>6838</v>
      </c>
      <c r="J67" s="4">
        <v>6729</v>
      </c>
      <c r="K67" s="4">
        <v>1348</v>
      </c>
      <c r="L67" s="4">
        <v>4007</v>
      </c>
      <c r="M67" s="3">
        <v>20391</v>
      </c>
      <c r="N67" s="4">
        <v>2083</v>
      </c>
      <c r="O67" s="4">
        <v>699</v>
      </c>
      <c r="P67" s="4">
        <v>2198</v>
      </c>
      <c r="Q67" s="4">
        <v>2849</v>
      </c>
      <c r="R67" s="4">
        <v>3722</v>
      </c>
      <c r="S67" s="4">
        <v>5588</v>
      </c>
      <c r="T67" s="4">
        <v>2994</v>
      </c>
      <c r="U67" s="4">
        <v>566</v>
      </c>
      <c r="V67" s="4">
        <v>1090</v>
      </c>
      <c r="W67" s="3">
        <v>18</v>
      </c>
      <c r="X67" s="3">
        <v>17</v>
      </c>
      <c r="Y67" s="4">
        <v>1.3</v>
      </c>
      <c r="Z67" s="4">
        <v>2.5666666666666664</v>
      </c>
      <c r="AA67" s="4" t="e">
        <v>#N/A</v>
      </c>
      <c r="AB67" s="3">
        <v>0</v>
      </c>
      <c r="AC67" s="3">
        <v>24</v>
      </c>
      <c r="AD67" s="3">
        <v>7</v>
      </c>
      <c r="AE67" s="3">
        <v>-4</v>
      </c>
      <c r="AF67" s="3">
        <v>10627</v>
      </c>
      <c r="AG67" s="4" t="e">
        <v>#N/A</v>
      </c>
      <c r="AH67" s="4" t="e">
        <v>#N/A</v>
      </c>
      <c r="AI67" s="3">
        <v>58775</v>
      </c>
      <c r="AJ67" s="3">
        <v>39</v>
      </c>
      <c r="AK67" s="3">
        <v>20</v>
      </c>
      <c r="AL67" s="3">
        <v>6</v>
      </c>
      <c r="AM67" s="3">
        <v>1</v>
      </c>
      <c r="AN67" s="3">
        <v>47</v>
      </c>
      <c r="AO67" s="3">
        <v>7</v>
      </c>
      <c r="AP67" s="3">
        <v>9</v>
      </c>
      <c r="AQ67" s="3">
        <v>47</v>
      </c>
      <c r="AR67" s="3">
        <v>19</v>
      </c>
      <c r="AS67" s="3">
        <v>3</v>
      </c>
      <c r="AT67" s="3">
        <v>4</v>
      </c>
      <c r="AU67" s="3">
        <v>53</v>
      </c>
      <c r="AV67" s="3">
        <v>10</v>
      </c>
      <c r="AW67" s="3">
        <v>1</v>
      </c>
      <c r="AX67" s="3">
        <v>41</v>
      </c>
      <c r="AY67" s="3">
        <v>5</v>
      </c>
      <c r="AZ67" s="3">
        <v>5</v>
      </c>
      <c r="BA67" s="3">
        <v>6</v>
      </c>
      <c r="BB67" s="3">
        <v>38</v>
      </c>
      <c r="BC67" s="3">
        <v>8</v>
      </c>
      <c r="BD67" s="3">
        <v>8</v>
      </c>
    </row>
    <row r="68" spans="1:56" x14ac:dyDescent="0.25">
      <c r="A68" t="s">
        <v>32</v>
      </c>
      <c r="B68" s="3">
        <v>42269</v>
      </c>
      <c r="C68" s="3">
        <v>84243</v>
      </c>
      <c r="D68" s="3">
        <v>4012</v>
      </c>
      <c r="E68" s="3">
        <v>12178</v>
      </c>
      <c r="F68" s="3">
        <v>26770</v>
      </c>
      <c r="G68" s="3">
        <v>26130</v>
      </c>
      <c r="H68" s="3">
        <v>16795</v>
      </c>
      <c r="I68" s="4">
        <v>6854</v>
      </c>
      <c r="J68" s="4">
        <v>7222</v>
      </c>
      <c r="K68" s="4">
        <v>1281</v>
      </c>
      <c r="L68" s="4">
        <v>3901</v>
      </c>
      <c r="M68" s="3">
        <v>20181</v>
      </c>
      <c r="N68" s="4">
        <v>2407</v>
      </c>
      <c r="O68" s="4">
        <v>817</v>
      </c>
      <c r="P68" s="4">
        <v>2477</v>
      </c>
      <c r="Q68" s="4">
        <v>2888</v>
      </c>
      <c r="R68" s="4">
        <v>4043</v>
      </c>
      <c r="S68" s="4">
        <v>5250</v>
      </c>
      <c r="T68" s="4">
        <v>3101</v>
      </c>
      <c r="U68" s="4">
        <v>555</v>
      </c>
      <c r="V68" s="4">
        <v>1140</v>
      </c>
      <c r="W68" s="3">
        <v>16</v>
      </c>
      <c r="X68" s="3">
        <v>15</v>
      </c>
      <c r="Y68" s="4">
        <v>1.3</v>
      </c>
      <c r="Z68" s="4">
        <v>2.5333333333333332</v>
      </c>
      <c r="AA68" s="4" t="e">
        <v>#N/A</v>
      </c>
      <c r="AB68" s="3">
        <v>-17</v>
      </c>
      <c r="AC68" s="3">
        <v>6</v>
      </c>
      <c r="AD68" s="3">
        <v>16</v>
      </c>
      <c r="AE68" s="3">
        <v>-20</v>
      </c>
      <c r="AF68" s="3">
        <v>10956</v>
      </c>
      <c r="AG68" s="4" t="e">
        <v>#N/A</v>
      </c>
      <c r="AH68" s="4" t="e">
        <v>#N/A</v>
      </c>
      <c r="AI68" s="3">
        <v>60813</v>
      </c>
      <c r="AJ68" s="3">
        <v>52</v>
      </c>
      <c r="AK68" s="3">
        <v>20</v>
      </c>
      <c r="AL68" s="3">
        <v>8</v>
      </c>
      <c r="AM68" s="3">
        <v>3</v>
      </c>
      <c r="AN68" s="3">
        <v>43</v>
      </c>
      <c r="AO68" s="3">
        <v>6</v>
      </c>
      <c r="AP68" s="3">
        <v>5</v>
      </c>
      <c r="AQ68" s="3">
        <v>35</v>
      </c>
      <c r="AR68" s="3">
        <v>15</v>
      </c>
      <c r="AS68" s="3">
        <v>6</v>
      </c>
      <c r="AT68" s="3">
        <v>3</v>
      </c>
      <c r="AU68" s="3">
        <v>62</v>
      </c>
      <c r="AV68" s="3">
        <v>19</v>
      </c>
      <c r="AW68" s="3">
        <v>6</v>
      </c>
      <c r="AX68" s="3">
        <v>33</v>
      </c>
      <c r="AY68" s="3">
        <v>14</v>
      </c>
      <c r="AZ68" s="3">
        <v>1</v>
      </c>
      <c r="BA68" s="3">
        <v>10</v>
      </c>
      <c r="BB68" s="3">
        <v>39</v>
      </c>
      <c r="BC68" s="3">
        <v>15</v>
      </c>
      <c r="BD68" s="3">
        <v>27</v>
      </c>
    </row>
    <row r="69" spans="1:56" x14ac:dyDescent="0.25">
      <c r="A69" t="s">
        <v>33</v>
      </c>
      <c r="B69" s="3">
        <v>42057</v>
      </c>
      <c r="C69" s="3">
        <v>85883</v>
      </c>
      <c r="D69" s="3">
        <v>3886</v>
      </c>
      <c r="E69" s="3">
        <v>12434</v>
      </c>
      <c r="F69" s="3">
        <v>26476</v>
      </c>
      <c r="G69" s="3">
        <v>27646</v>
      </c>
      <c r="H69" s="3">
        <v>17265</v>
      </c>
      <c r="I69" s="4">
        <v>6590</v>
      </c>
      <c r="J69" s="4">
        <v>6571</v>
      </c>
      <c r="K69" s="4">
        <v>1240</v>
      </c>
      <c r="L69" s="4">
        <v>4308</v>
      </c>
      <c r="M69" s="3">
        <v>22185</v>
      </c>
      <c r="N69" s="4">
        <v>1677</v>
      </c>
      <c r="O69" s="4">
        <v>947</v>
      </c>
      <c r="P69" s="4">
        <v>2573</v>
      </c>
      <c r="Q69" s="4">
        <v>2698</v>
      </c>
      <c r="R69" s="4">
        <v>3957</v>
      </c>
      <c r="S69" s="4">
        <v>5663</v>
      </c>
      <c r="T69" s="4">
        <v>3227</v>
      </c>
      <c r="U69" s="4">
        <v>742</v>
      </c>
      <c r="V69" s="4">
        <v>849</v>
      </c>
      <c r="W69" s="3">
        <v>10</v>
      </c>
      <c r="X69" s="3">
        <v>11</v>
      </c>
      <c r="Y69" s="4">
        <v>1.0666666666666667</v>
      </c>
      <c r="Z69" s="4">
        <v>2.333333333333333</v>
      </c>
      <c r="AA69" s="4" t="e">
        <v>#N/A</v>
      </c>
      <c r="AB69" s="3">
        <v>-19</v>
      </c>
      <c r="AC69" s="3">
        <v>-18</v>
      </c>
      <c r="AD69" s="3">
        <v>13</v>
      </c>
      <c r="AE69" s="3">
        <v>-4</v>
      </c>
      <c r="AF69" s="3">
        <v>11026</v>
      </c>
      <c r="AG69" s="4" t="e">
        <v>#N/A</v>
      </c>
      <c r="AH69" s="4" t="e">
        <v>#N/A</v>
      </c>
      <c r="AI69" s="3">
        <v>59204</v>
      </c>
      <c r="AJ69" s="3">
        <v>47</v>
      </c>
      <c r="AK69" s="3">
        <v>22</v>
      </c>
      <c r="AL69" s="3">
        <v>8</v>
      </c>
      <c r="AM69" s="3">
        <v>2</v>
      </c>
      <c r="AN69" s="3">
        <v>49</v>
      </c>
      <c r="AO69" s="3">
        <v>9</v>
      </c>
      <c r="AP69" s="3">
        <v>6</v>
      </c>
      <c r="AQ69" s="3">
        <v>35</v>
      </c>
      <c r="AR69" s="3">
        <v>19</v>
      </c>
      <c r="AS69" s="3">
        <v>6</v>
      </c>
      <c r="AT69" s="3">
        <v>0</v>
      </c>
      <c r="AU69" s="3">
        <v>38</v>
      </c>
      <c r="AV69" s="3">
        <v>19</v>
      </c>
      <c r="AW69" s="3">
        <v>5</v>
      </c>
      <c r="AX69" s="3">
        <v>43</v>
      </c>
      <c r="AY69" s="3">
        <v>18</v>
      </c>
      <c r="AZ69" s="3">
        <v>0</v>
      </c>
      <c r="BA69" s="3">
        <v>8</v>
      </c>
      <c r="BB69" s="3">
        <v>62</v>
      </c>
      <c r="BC69" s="3">
        <v>6</v>
      </c>
      <c r="BD69" s="3">
        <v>10</v>
      </c>
    </row>
    <row r="70" spans="1:56" x14ac:dyDescent="0.25">
      <c r="A70" t="s">
        <v>34</v>
      </c>
      <c r="B70" s="3">
        <v>65442</v>
      </c>
      <c r="C70" s="3">
        <v>87907</v>
      </c>
      <c r="D70" s="3">
        <v>4104</v>
      </c>
      <c r="E70" s="3">
        <v>12745</v>
      </c>
      <c r="F70" s="3">
        <v>26105</v>
      </c>
      <c r="G70" s="3">
        <v>29001</v>
      </c>
      <c r="H70" s="3">
        <v>16989</v>
      </c>
      <c r="I70" s="4">
        <v>22027</v>
      </c>
      <c r="J70" s="4">
        <v>7010</v>
      </c>
      <c r="K70" s="4">
        <v>2068</v>
      </c>
      <c r="L70" s="4">
        <v>4148</v>
      </c>
      <c r="M70" s="3">
        <v>32245</v>
      </c>
      <c r="N70" s="4">
        <v>2026</v>
      </c>
      <c r="O70" s="4">
        <v>1409</v>
      </c>
      <c r="P70" s="4">
        <v>4772</v>
      </c>
      <c r="Q70" s="4">
        <v>3915</v>
      </c>
      <c r="R70" s="4">
        <v>6579</v>
      </c>
      <c r="S70" s="4">
        <v>8963</v>
      </c>
      <c r="T70" s="4">
        <v>4117</v>
      </c>
      <c r="U70" s="4">
        <v>555</v>
      </c>
      <c r="V70" s="4">
        <v>1315</v>
      </c>
      <c r="W70" s="3">
        <v>9</v>
      </c>
      <c r="X70" s="3">
        <v>8</v>
      </c>
      <c r="Y70" s="4">
        <v>1</v>
      </c>
      <c r="Z70" s="4">
        <v>2.3666666666666667</v>
      </c>
      <c r="AA70" s="4" t="e">
        <v>#N/A</v>
      </c>
      <c r="AB70" s="3">
        <v>-16</v>
      </c>
      <c r="AC70" s="3">
        <v>-29</v>
      </c>
      <c r="AD70" s="3">
        <v>-25</v>
      </c>
      <c r="AE70" s="3">
        <v>-28</v>
      </c>
      <c r="AF70" s="3">
        <v>11841</v>
      </c>
      <c r="AG70" s="4" t="e">
        <v>#N/A</v>
      </c>
      <c r="AH70" s="4" t="e">
        <v>#N/A</v>
      </c>
      <c r="AI70" s="3">
        <v>62506</v>
      </c>
      <c r="AJ70" s="3">
        <v>42</v>
      </c>
      <c r="AK70" s="3">
        <v>21</v>
      </c>
      <c r="AL70" s="3">
        <v>8</v>
      </c>
      <c r="AM70" s="3">
        <v>1</v>
      </c>
      <c r="AN70" s="3">
        <v>54</v>
      </c>
      <c r="AO70" s="3">
        <v>8</v>
      </c>
      <c r="AP70" s="3">
        <v>6</v>
      </c>
      <c r="AQ70" s="3">
        <v>27</v>
      </c>
      <c r="AR70" s="3">
        <v>34</v>
      </c>
      <c r="AS70" s="3">
        <v>5</v>
      </c>
      <c r="AT70" s="3">
        <v>2</v>
      </c>
      <c r="AU70" s="3">
        <v>45</v>
      </c>
      <c r="AV70" s="3">
        <v>11</v>
      </c>
      <c r="AW70" s="3">
        <v>2</v>
      </c>
      <c r="AX70" s="3">
        <v>36</v>
      </c>
      <c r="AY70" s="3">
        <v>8</v>
      </c>
      <c r="AZ70" s="3">
        <v>1</v>
      </c>
      <c r="BA70" s="3">
        <v>5</v>
      </c>
      <c r="BB70" s="3">
        <v>46</v>
      </c>
      <c r="BC70" s="3">
        <v>5</v>
      </c>
      <c r="BD70" s="3">
        <v>13</v>
      </c>
    </row>
    <row r="71" spans="1:56" x14ac:dyDescent="0.25">
      <c r="A71" t="s">
        <v>35</v>
      </c>
      <c r="B71" s="3">
        <v>44370</v>
      </c>
      <c r="C71" s="3">
        <v>87059</v>
      </c>
      <c r="D71" s="3">
        <v>3882</v>
      </c>
      <c r="E71" s="3">
        <v>12770</v>
      </c>
      <c r="F71" s="3">
        <v>26131</v>
      </c>
      <c r="G71" s="3">
        <v>28363</v>
      </c>
      <c r="H71" s="3">
        <v>17346</v>
      </c>
      <c r="I71" s="4">
        <v>7113</v>
      </c>
      <c r="J71" s="4">
        <v>7406</v>
      </c>
      <c r="K71" s="4">
        <v>1572</v>
      </c>
      <c r="L71" s="4">
        <v>4208</v>
      </c>
      <c r="M71" s="3">
        <v>22059</v>
      </c>
      <c r="N71" s="4">
        <v>2013</v>
      </c>
      <c r="O71" s="4">
        <v>955</v>
      </c>
      <c r="P71" s="4">
        <v>2327</v>
      </c>
      <c r="Q71" s="4">
        <v>2814</v>
      </c>
      <c r="R71" s="4">
        <v>4209</v>
      </c>
      <c r="S71" s="4">
        <v>6325</v>
      </c>
      <c r="T71" s="4">
        <v>3197</v>
      </c>
      <c r="U71" s="4">
        <v>571</v>
      </c>
      <c r="V71" s="4">
        <v>1153</v>
      </c>
      <c r="W71" s="3">
        <v>9</v>
      </c>
      <c r="X71" s="3">
        <v>6</v>
      </c>
      <c r="Y71" s="4">
        <v>0.26666666666666666</v>
      </c>
      <c r="Z71" s="4">
        <v>1.8</v>
      </c>
      <c r="AA71" s="4" t="e">
        <v>#N/A</v>
      </c>
      <c r="AB71" s="3">
        <v>-15</v>
      </c>
      <c r="AC71" s="3">
        <v>5</v>
      </c>
      <c r="AD71" s="3">
        <v>-24</v>
      </c>
      <c r="AE71" s="3">
        <v>-5</v>
      </c>
      <c r="AF71" s="3">
        <v>11800</v>
      </c>
      <c r="AG71" s="4" t="e">
        <v>#N/A</v>
      </c>
      <c r="AH71" s="4" t="e">
        <v>#N/A</v>
      </c>
      <c r="AI71" s="3">
        <v>62714</v>
      </c>
      <c r="AJ71" s="3">
        <v>53</v>
      </c>
      <c r="AK71" s="3">
        <v>20</v>
      </c>
      <c r="AL71" s="3">
        <v>4</v>
      </c>
      <c r="AM71" s="3">
        <v>2</v>
      </c>
      <c r="AN71" s="3">
        <v>51</v>
      </c>
      <c r="AO71" s="3">
        <v>4</v>
      </c>
      <c r="AP71" s="3">
        <v>2</v>
      </c>
      <c r="AQ71" s="3">
        <v>37</v>
      </c>
      <c r="AR71" s="3">
        <v>28</v>
      </c>
      <c r="AS71" s="3">
        <v>10</v>
      </c>
      <c r="AT71" s="3">
        <v>4</v>
      </c>
      <c r="AU71" s="3">
        <v>55</v>
      </c>
      <c r="AV71" s="3">
        <v>16</v>
      </c>
      <c r="AW71" s="3">
        <v>0</v>
      </c>
      <c r="AX71" s="3">
        <v>35</v>
      </c>
      <c r="AY71" s="3">
        <v>18</v>
      </c>
      <c r="AZ71" s="3">
        <v>1</v>
      </c>
      <c r="BA71" s="3">
        <v>5</v>
      </c>
      <c r="BB71" s="3">
        <v>41</v>
      </c>
      <c r="BC71" s="3">
        <v>14</v>
      </c>
      <c r="BD71" s="3">
        <v>11</v>
      </c>
    </row>
    <row r="72" spans="1:56" x14ac:dyDescent="0.25">
      <c r="A72" t="s">
        <v>36</v>
      </c>
      <c r="B72" s="3">
        <v>44148</v>
      </c>
      <c r="C72" s="3">
        <v>86618</v>
      </c>
      <c r="D72" s="3">
        <v>4059</v>
      </c>
      <c r="E72" s="3">
        <v>12757</v>
      </c>
      <c r="F72" s="3">
        <v>25582</v>
      </c>
      <c r="G72" s="3">
        <v>28420</v>
      </c>
      <c r="H72" s="3">
        <v>17103</v>
      </c>
      <c r="I72" s="4">
        <v>7247</v>
      </c>
      <c r="J72" s="4">
        <v>7550</v>
      </c>
      <c r="K72" s="4">
        <v>1435</v>
      </c>
      <c r="L72" s="4">
        <v>4147</v>
      </c>
      <c r="M72" s="3">
        <v>22021</v>
      </c>
      <c r="N72" s="4">
        <v>1976</v>
      </c>
      <c r="O72" s="4">
        <v>910</v>
      </c>
      <c r="P72" s="4">
        <v>2284</v>
      </c>
      <c r="Q72" s="4">
        <v>3109</v>
      </c>
      <c r="R72" s="4">
        <v>4495</v>
      </c>
      <c r="S72" s="4">
        <v>6505</v>
      </c>
      <c r="T72" s="4">
        <v>3379</v>
      </c>
      <c r="U72" s="4">
        <v>586</v>
      </c>
      <c r="V72" s="4">
        <v>1185</v>
      </c>
      <c r="W72" s="3">
        <v>8</v>
      </c>
      <c r="X72" s="3">
        <v>8</v>
      </c>
      <c r="Y72" s="4">
        <v>-0.23333333333333331</v>
      </c>
      <c r="Z72" s="4">
        <v>1.4666666666666668</v>
      </c>
      <c r="AA72" s="4" t="e">
        <v>#N/A</v>
      </c>
      <c r="AB72" s="3">
        <v>-19</v>
      </c>
      <c r="AC72" s="3">
        <v>-8</v>
      </c>
      <c r="AD72" s="3">
        <v>-28</v>
      </c>
      <c r="AE72" s="3">
        <v>-21</v>
      </c>
      <c r="AF72" s="3">
        <v>12568</v>
      </c>
      <c r="AG72" s="4" t="e">
        <v>#N/A</v>
      </c>
      <c r="AH72" s="4" t="e">
        <v>#N/A</v>
      </c>
      <c r="AI72" s="3">
        <v>66277</v>
      </c>
      <c r="AJ72" s="3">
        <v>48</v>
      </c>
      <c r="AK72" s="3">
        <v>19</v>
      </c>
      <c r="AL72" s="3">
        <v>4</v>
      </c>
      <c r="AM72" s="3">
        <v>4</v>
      </c>
      <c r="AN72" s="3">
        <v>49</v>
      </c>
      <c r="AO72" s="3">
        <v>5</v>
      </c>
      <c r="AP72" s="3">
        <v>4</v>
      </c>
      <c r="AQ72" s="3">
        <v>41</v>
      </c>
      <c r="AR72" s="3">
        <v>23</v>
      </c>
      <c r="AS72" s="3">
        <v>2</v>
      </c>
      <c r="AT72" s="3">
        <v>1</v>
      </c>
      <c r="AU72" s="3">
        <v>44</v>
      </c>
      <c r="AV72" s="3">
        <v>7</v>
      </c>
      <c r="AW72" s="3">
        <v>3</v>
      </c>
      <c r="AX72" s="3">
        <v>46</v>
      </c>
      <c r="AY72" s="3">
        <v>14</v>
      </c>
      <c r="AZ72" s="3">
        <v>2</v>
      </c>
      <c r="BA72" s="3">
        <v>8</v>
      </c>
      <c r="BB72" s="3">
        <v>45</v>
      </c>
      <c r="BC72" s="3">
        <v>5</v>
      </c>
      <c r="BD72" s="3">
        <v>0</v>
      </c>
    </row>
    <row r="73" spans="1:56" x14ac:dyDescent="0.25">
      <c r="A73" t="s">
        <v>37</v>
      </c>
      <c r="B73" s="3">
        <v>46400</v>
      </c>
      <c r="C73" s="3">
        <v>87611</v>
      </c>
      <c r="D73" s="3">
        <v>4639</v>
      </c>
      <c r="E73" s="3">
        <v>13382</v>
      </c>
      <c r="F73" s="3">
        <v>26452</v>
      </c>
      <c r="G73" s="3">
        <v>26658</v>
      </c>
      <c r="H73" s="3">
        <v>17736</v>
      </c>
      <c r="I73" s="4">
        <v>7387</v>
      </c>
      <c r="J73" s="4">
        <v>8552</v>
      </c>
      <c r="K73" s="4">
        <v>1464</v>
      </c>
      <c r="L73" s="4">
        <v>4213</v>
      </c>
      <c r="M73" s="3">
        <v>23073</v>
      </c>
      <c r="N73" s="4">
        <v>1900</v>
      </c>
      <c r="O73" s="4">
        <v>1016</v>
      </c>
      <c r="P73" s="4">
        <v>2225</v>
      </c>
      <c r="Q73" s="4">
        <v>3121</v>
      </c>
      <c r="R73" s="4">
        <v>4467</v>
      </c>
      <c r="S73" s="4">
        <v>6459</v>
      </c>
      <c r="T73" s="4">
        <v>3284</v>
      </c>
      <c r="U73" s="4">
        <v>502</v>
      </c>
      <c r="V73" s="4">
        <v>1094</v>
      </c>
      <c r="W73" s="3">
        <v>15</v>
      </c>
      <c r="X73" s="3">
        <v>15</v>
      </c>
      <c r="Y73" s="4">
        <v>-0.5</v>
      </c>
      <c r="Z73" s="4">
        <v>1.3</v>
      </c>
      <c r="AA73" s="4" t="e">
        <v>#N/A</v>
      </c>
      <c r="AB73" s="3">
        <v>-14</v>
      </c>
      <c r="AC73" s="3">
        <v>-8</v>
      </c>
      <c r="AD73" s="3">
        <v>6</v>
      </c>
      <c r="AE73" s="3">
        <v>-12</v>
      </c>
      <c r="AF73" s="3">
        <v>12527</v>
      </c>
      <c r="AG73" s="4" t="e">
        <v>#N/A</v>
      </c>
      <c r="AH73" s="4" t="e">
        <v>#N/A</v>
      </c>
      <c r="AI73" s="3">
        <v>61615</v>
      </c>
      <c r="AJ73" s="3">
        <v>49</v>
      </c>
      <c r="AK73" s="3">
        <v>18</v>
      </c>
      <c r="AL73" s="3">
        <v>4</v>
      </c>
      <c r="AM73" s="3">
        <v>4</v>
      </c>
      <c r="AN73" s="3">
        <v>55</v>
      </c>
      <c r="AO73" s="3">
        <v>6</v>
      </c>
      <c r="AP73" s="3">
        <v>4</v>
      </c>
      <c r="AQ73" s="3">
        <v>40</v>
      </c>
      <c r="AR73" s="3">
        <v>17</v>
      </c>
      <c r="AS73" s="3">
        <v>6</v>
      </c>
      <c r="AT73" s="3">
        <v>1</v>
      </c>
      <c r="AU73" s="3">
        <v>52</v>
      </c>
      <c r="AV73" s="3">
        <v>16</v>
      </c>
      <c r="AW73" s="3">
        <v>3</v>
      </c>
      <c r="AX73" s="3">
        <v>33</v>
      </c>
      <c r="AY73" s="3">
        <v>13</v>
      </c>
      <c r="AZ73" s="3">
        <v>0</v>
      </c>
      <c r="BA73" s="3">
        <v>2</v>
      </c>
      <c r="BB73" s="3">
        <v>49</v>
      </c>
      <c r="BC73" s="3">
        <v>3</v>
      </c>
      <c r="BD73" s="3">
        <v>4</v>
      </c>
    </row>
    <row r="74" spans="1:56" x14ac:dyDescent="0.25">
      <c r="A74" t="s">
        <v>38</v>
      </c>
      <c r="B74" s="3">
        <v>44590</v>
      </c>
      <c r="C74" s="3">
        <v>87987</v>
      </c>
      <c r="D74" s="3">
        <v>3897</v>
      </c>
      <c r="E74" s="3">
        <v>13074</v>
      </c>
      <c r="F74" s="3">
        <v>24997</v>
      </c>
      <c r="G74" s="3">
        <v>30843</v>
      </c>
      <c r="H74" s="3">
        <v>16530</v>
      </c>
      <c r="I74" s="4">
        <v>7437</v>
      </c>
      <c r="J74" s="4">
        <v>8690</v>
      </c>
      <c r="K74" s="4">
        <v>1552</v>
      </c>
      <c r="L74" s="4">
        <v>4434</v>
      </c>
      <c r="M74" s="3">
        <v>23044</v>
      </c>
      <c r="N74" s="4">
        <v>1871</v>
      </c>
      <c r="O74" s="4">
        <v>985</v>
      </c>
      <c r="P74" s="4">
        <v>2116</v>
      </c>
      <c r="Q74" s="4">
        <v>3530</v>
      </c>
      <c r="R74" s="4">
        <v>3731</v>
      </c>
      <c r="S74" s="4">
        <v>6396</v>
      </c>
      <c r="T74" s="4">
        <v>3337</v>
      </c>
      <c r="U74" s="4">
        <v>645</v>
      </c>
      <c r="V74" s="4">
        <v>1299</v>
      </c>
      <c r="W74" s="3">
        <v>16</v>
      </c>
      <c r="X74" s="3">
        <v>16</v>
      </c>
      <c r="Y74" s="4">
        <v>-0.16666666666666666</v>
      </c>
      <c r="Z74" s="4">
        <v>1.8</v>
      </c>
      <c r="AA74" s="4" t="e">
        <v>#N/A</v>
      </c>
      <c r="AB74" s="3">
        <v>-9</v>
      </c>
      <c r="AC74" s="3">
        <v>-16</v>
      </c>
      <c r="AD74" s="3">
        <v>-9</v>
      </c>
      <c r="AE74" s="3">
        <v>-4</v>
      </c>
      <c r="AF74" s="3">
        <v>13022</v>
      </c>
      <c r="AG74" s="4" t="e">
        <v>#N/A</v>
      </c>
      <c r="AH74" s="4" t="e">
        <v>#N/A</v>
      </c>
      <c r="AI74" s="3">
        <v>67578</v>
      </c>
      <c r="AJ74" s="3">
        <v>44</v>
      </c>
      <c r="AK74" s="3">
        <v>15</v>
      </c>
      <c r="AL74" s="3">
        <v>4</v>
      </c>
      <c r="AM74" s="3">
        <v>2</v>
      </c>
      <c r="AN74" s="3">
        <v>52</v>
      </c>
      <c r="AO74" s="3">
        <v>8</v>
      </c>
      <c r="AP74" s="3">
        <v>4</v>
      </c>
      <c r="AQ74" s="3">
        <v>21</v>
      </c>
      <c r="AR74" s="3">
        <v>25</v>
      </c>
      <c r="AS74" s="3">
        <v>4</v>
      </c>
      <c r="AT74" s="3">
        <v>2</v>
      </c>
      <c r="AU74" s="3">
        <v>62</v>
      </c>
      <c r="AV74" s="3">
        <v>21</v>
      </c>
      <c r="AW74" s="3">
        <v>0</v>
      </c>
      <c r="AX74" s="3">
        <v>29</v>
      </c>
      <c r="AY74" s="3">
        <v>34</v>
      </c>
      <c r="AZ74" s="3">
        <v>18</v>
      </c>
      <c r="BA74" s="3">
        <v>13</v>
      </c>
      <c r="BB74" s="3">
        <v>11</v>
      </c>
      <c r="BC74" s="3">
        <v>11</v>
      </c>
      <c r="BD74" s="3">
        <v>8</v>
      </c>
    </row>
    <row r="75" spans="1:56" x14ac:dyDescent="0.25">
      <c r="A75" t="s">
        <v>39</v>
      </c>
      <c r="B75" s="3">
        <v>48023</v>
      </c>
      <c r="C75" s="3">
        <v>91024</v>
      </c>
      <c r="D75" s="3">
        <v>4938</v>
      </c>
      <c r="E75" s="3">
        <v>13793</v>
      </c>
      <c r="F75" s="3">
        <v>24897</v>
      </c>
      <c r="G75" s="3">
        <v>30997</v>
      </c>
      <c r="H75" s="3">
        <v>17307</v>
      </c>
      <c r="I75" s="4">
        <v>7490</v>
      </c>
      <c r="J75" s="4">
        <v>9131</v>
      </c>
      <c r="K75" s="4">
        <v>1635</v>
      </c>
      <c r="L75" s="4">
        <v>4439</v>
      </c>
      <c r="M75" s="3">
        <v>23305</v>
      </c>
      <c r="N75" s="4">
        <v>1906</v>
      </c>
      <c r="O75" s="4">
        <v>917</v>
      </c>
      <c r="P75" s="4">
        <v>2428</v>
      </c>
      <c r="Q75" s="4">
        <v>3046</v>
      </c>
      <c r="R75" s="4">
        <v>4838</v>
      </c>
      <c r="S75" s="4">
        <v>6860</v>
      </c>
      <c r="T75" s="4">
        <v>3533</v>
      </c>
      <c r="U75" s="4">
        <v>653</v>
      </c>
      <c r="V75" s="4">
        <v>1288</v>
      </c>
      <c r="W75" s="3">
        <v>22</v>
      </c>
      <c r="X75" s="3">
        <v>22</v>
      </c>
      <c r="Y75" s="4">
        <v>0.79999999999999993</v>
      </c>
      <c r="Z75" s="4">
        <v>2.0666666666666669</v>
      </c>
      <c r="AA75" s="4" t="e">
        <v>#N/A</v>
      </c>
      <c r="AB75" s="3">
        <v>-10</v>
      </c>
      <c r="AC75" s="3">
        <v>-13</v>
      </c>
      <c r="AD75" s="3">
        <v>1</v>
      </c>
      <c r="AE75" s="3">
        <v>-5</v>
      </c>
      <c r="AF75" s="3">
        <v>14037</v>
      </c>
      <c r="AG75" s="4" t="e">
        <v>#N/A</v>
      </c>
      <c r="AH75" s="4" t="e">
        <v>#N/A</v>
      </c>
      <c r="AI75" s="3">
        <v>66575</v>
      </c>
      <c r="AJ75" s="3">
        <v>46</v>
      </c>
      <c r="AK75" s="3">
        <v>23</v>
      </c>
      <c r="AL75" s="3">
        <v>5</v>
      </c>
      <c r="AM75" s="3">
        <v>3</v>
      </c>
      <c r="AN75" s="3">
        <v>50</v>
      </c>
      <c r="AO75" s="3">
        <v>9</v>
      </c>
      <c r="AP75" s="3">
        <v>6</v>
      </c>
      <c r="AQ75" s="3">
        <v>31</v>
      </c>
      <c r="AR75" s="3">
        <v>12</v>
      </c>
      <c r="AS75" s="3">
        <v>1</v>
      </c>
      <c r="AT75" s="3">
        <v>5</v>
      </c>
      <c r="AU75" s="3">
        <v>56</v>
      </c>
      <c r="AV75" s="3">
        <v>17</v>
      </c>
      <c r="AW75" s="3">
        <v>1</v>
      </c>
      <c r="AX75" s="3">
        <v>33</v>
      </c>
      <c r="AY75" s="3">
        <v>16</v>
      </c>
      <c r="AZ75" s="3">
        <v>4</v>
      </c>
      <c r="BA75" s="3">
        <v>13</v>
      </c>
      <c r="BB75" s="3">
        <v>47</v>
      </c>
      <c r="BC75" s="3">
        <v>19</v>
      </c>
      <c r="BD75" s="3">
        <v>3</v>
      </c>
    </row>
    <row r="76" spans="1:56" x14ac:dyDescent="0.25">
      <c r="A76" t="s">
        <v>40</v>
      </c>
      <c r="B76" s="3">
        <v>48119</v>
      </c>
      <c r="C76" s="3">
        <v>90688</v>
      </c>
      <c r="D76" s="3">
        <v>4849</v>
      </c>
      <c r="E76" s="3">
        <v>13779</v>
      </c>
      <c r="F76" s="3">
        <v>24698</v>
      </c>
      <c r="G76" s="3">
        <v>30811</v>
      </c>
      <c r="H76" s="3">
        <v>17376</v>
      </c>
      <c r="I76" s="4">
        <v>7570</v>
      </c>
      <c r="J76" s="4">
        <v>8718</v>
      </c>
      <c r="K76" s="4">
        <v>1696</v>
      </c>
      <c r="L76" s="4">
        <v>4433</v>
      </c>
      <c r="M76" s="3">
        <v>23431</v>
      </c>
      <c r="N76" s="4">
        <v>1777</v>
      </c>
      <c r="O76" s="4">
        <v>1143</v>
      </c>
      <c r="P76" s="4">
        <v>2329</v>
      </c>
      <c r="Q76" s="4">
        <v>3225</v>
      </c>
      <c r="R76" s="4">
        <v>4713</v>
      </c>
      <c r="S76" s="4">
        <v>7424</v>
      </c>
      <c r="T76" s="4">
        <v>3485</v>
      </c>
      <c r="U76" s="4">
        <v>790</v>
      </c>
      <c r="V76" s="4">
        <v>1435</v>
      </c>
      <c r="W76" s="3">
        <v>23</v>
      </c>
      <c r="X76" s="3">
        <v>18</v>
      </c>
      <c r="Y76" s="4">
        <v>1.4000000000000001</v>
      </c>
      <c r="Z76" s="4">
        <v>2.7333333333333329</v>
      </c>
      <c r="AA76" s="4" t="e">
        <v>#N/A</v>
      </c>
      <c r="AB76" s="3">
        <v>-15</v>
      </c>
      <c r="AC76" s="3">
        <v>-1</v>
      </c>
      <c r="AD76" s="3">
        <v>-10</v>
      </c>
      <c r="AE76" s="3">
        <v>6</v>
      </c>
      <c r="AF76" s="3">
        <v>14475</v>
      </c>
      <c r="AG76" s="4" t="e">
        <v>#N/A</v>
      </c>
      <c r="AH76" s="4" t="e">
        <v>#N/A</v>
      </c>
      <c r="AI76" s="3">
        <v>60725</v>
      </c>
      <c r="AJ76" s="3">
        <v>35</v>
      </c>
      <c r="AK76" s="3">
        <v>15</v>
      </c>
      <c r="AL76" s="3">
        <v>4</v>
      </c>
      <c r="AM76" s="3">
        <v>2</v>
      </c>
      <c r="AN76" s="3">
        <v>48</v>
      </c>
      <c r="AO76" s="3">
        <v>6</v>
      </c>
      <c r="AP76" s="3">
        <v>5</v>
      </c>
      <c r="AQ76" s="3">
        <v>36</v>
      </c>
      <c r="AR76" s="3">
        <v>15</v>
      </c>
      <c r="AS76" s="3">
        <v>4</v>
      </c>
      <c r="AT76" s="3">
        <v>2</v>
      </c>
      <c r="AU76" s="3">
        <v>52</v>
      </c>
      <c r="AV76" s="3">
        <v>20</v>
      </c>
      <c r="AW76" s="3">
        <v>0</v>
      </c>
      <c r="AX76" s="3">
        <v>56</v>
      </c>
      <c r="AY76" s="3">
        <v>22</v>
      </c>
      <c r="AZ76" s="3">
        <v>3</v>
      </c>
      <c r="BA76" s="3">
        <v>7</v>
      </c>
      <c r="BB76" s="3">
        <v>52</v>
      </c>
      <c r="BC76" s="3">
        <v>5</v>
      </c>
      <c r="BD76" s="3">
        <v>1</v>
      </c>
    </row>
    <row r="77" spans="1:56" x14ac:dyDescent="0.25">
      <c r="A77" t="s">
        <v>41</v>
      </c>
      <c r="B77" s="3">
        <v>50429</v>
      </c>
      <c r="C77" s="3">
        <v>91825</v>
      </c>
      <c r="D77" s="3">
        <v>5029</v>
      </c>
      <c r="E77" s="3">
        <v>15143</v>
      </c>
      <c r="F77" s="3">
        <v>24673</v>
      </c>
      <c r="G77" s="3">
        <v>29640</v>
      </c>
      <c r="H77" s="3">
        <v>17949</v>
      </c>
      <c r="I77" s="4">
        <v>7700</v>
      </c>
      <c r="J77" s="4">
        <v>9261</v>
      </c>
      <c r="K77" s="4">
        <v>1561</v>
      </c>
      <c r="L77" s="4">
        <v>4718</v>
      </c>
      <c r="M77" s="3">
        <v>25727</v>
      </c>
      <c r="N77" s="4">
        <v>1575</v>
      </c>
      <c r="O77" s="4">
        <v>1129</v>
      </c>
      <c r="P77" s="4">
        <v>2848</v>
      </c>
      <c r="Q77" s="4">
        <v>3214</v>
      </c>
      <c r="R77" s="4">
        <v>4884</v>
      </c>
      <c r="S77" s="4">
        <v>7477</v>
      </c>
      <c r="T77" s="4">
        <v>3596</v>
      </c>
      <c r="U77" s="4">
        <v>715</v>
      </c>
      <c r="V77" s="4">
        <v>1331</v>
      </c>
      <c r="W77" s="3">
        <v>18</v>
      </c>
      <c r="X77" s="3">
        <v>20</v>
      </c>
      <c r="Y77" s="4">
        <v>1.4333333333333333</v>
      </c>
      <c r="Z77" s="4">
        <v>3.1</v>
      </c>
      <c r="AA77" s="4" t="e">
        <v>#N/A</v>
      </c>
      <c r="AB77" s="3">
        <v>-8</v>
      </c>
      <c r="AC77" s="3">
        <v>-15</v>
      </c>
      <c r="AD77" s="3">
        <v>-10</v>
      </c>
      <c r="AE77" s="3">
        <v>3</v>
      </c>
      <c r="AF77" s="3">
        <v>14780</v>
      </c>
      <c r="AG77" s="4" t="e">
        <v>#N/A</v>
      </c>
      <c r="AH77" s="4" t="e">
        <v>#N/A</v>
      </c>
      <c r="AI77" s="3">
        <v>60412</v>
      </c>
      <c r="AJ77" s="3">
        <v>49</v>
      </c>
      <c r="AK77" s="3">
        <v>22</v>
      </c>
      <c r="AL77" s="3">
        <v>5</v>
      </c>
      <c r="AM77" s="3">
        <v>3</v>
      </c>
      <c r="AN77" s="3">
        <v>48</v>
      </c>
      <c r="AO77" s="3">
        <v>5</v>
      </c>
      <c r="AP77" s="3">
        <v>3</v>
      </c>
      <c r="AQ77" s="3">
        <v>40</v>
      </c>
      <c r="AR77" s="3">
        <v>25</v>
      </c>
      <c r="AS77" s="3">
        <v>3</v>
      </c>
      <c r="AT77" s="3">
        <v>4</v>
      </c>
      <c r="AU77" s="3">
        <v>37</v>
      </c>
      <c r="AV77" s="3">
        <v>15</v>
      </c>
      <c r="AW77" s="3">
        <v>2</v>
      </c>
      <c r="AX77" s="3">
        <v>38</v>
      </c>
      <c r="AY77" s="3">
        <v>16</v>
      </c>
      <c r="AZ77" s="3">
        <v>4</v>
      </c>
      <c r="BA77" s="3">
        <v>5</v>
      </c>
      <c r="BB77" s="3">
        <v>38</v>
      </c>
      <c r="BC77" s="3">
        <v>9</v>
      </c>
      <c r="BD77" s="3">
        <v>13</v>
      </c>
    </row>
    <row r="78" spans="1:56" x14ac:dyDescent="0.25">
      <c r="A78" t="s">
        <v>42</v>
      </c>
      <c r="B78" s="3">
        <v>51135</v>
      </c>
      <c r="C78" s="3">
        <v>94089</v>
      </c>
      <c r="D78" s="3">
        <v>4865</v>
      </c>
      <c r="E78" s="3">
        <v>14219</v>
      </c>
      <c r="F78" s="3">
        <v>24056</v>
      </c>
      <c r="G78" s="3">
        <v>33879</v>
      </c>
      <c r="H78" s="3">
        <v>17428</v>
      </c>
      <c r="I78" s="4">
        <v>7884</v>
      </c>
      <c r="J78" s="4">
        <v>9697</v>
      </c>
      <c r="K78" s="4">
        <v>2400</v>
      </c>
      <c r="L78" s="4">
        <v>4631</v>
      </c>
      <c r="M78" s="3">
        <v>25250</v>
      </c>
      <c r="N78" s="4">
        <v>1685</v>
      </c>
      <c r="O78" s="4">
        <v>1082</v>
      </c>
      <c r="P78" s="4">
        <v>2666</v>
      </c>
      <c r="Q78" s="4">
        <v>4635</v>
      </c>
      <c r="R78" s="4">
        <v>4274</v>
      </c>
      <c r="S78" s="4">
        <v>7328</v>
      </c>
      <c r="T78" s="4">
        <v>3778</v>
      </c>
      <c r="U78" s="4">
        <v>667</v>
      </c>
      <c r="V78" s="4">
        <v>1395</v>
      </c>
      <c r="W78" s="3">
        <v>28</v>
      </c>
      <c r="X78" s="3">
        <v>19</v>
      </c>
      <c r="Y78" s="4">
        <v>1.8333333333333333</v>
      </c>
      <c r="Z78" s="4">
        <v>3.5</v>
      </c>
      <c r="AA78" s="4" t="e">
        <v>#N/A</v>
      </c>
      <c r="AB78" s="3">
        <v>-7</v>
      </c>
      <c r="AC78" s="3">
        <v>-5</v>
      </c>
      <c r="AD78" s="3">
        <v>3</v>
      </c>
      <c r="AE78" s="3">
        <v>-7</v>
      </c>
      <c r="AF78" s="3">
        <v>15097</v>
      </c>
      <c r="AG78" s="4">
        <v>-1.9</v>
      </c>
      <c r="AH78" s="4">
        <v>-4.2</v>
      </c>
      <c r="AI78" s="3">
        <v>67706</v>
      </c>
      <c r="AJ78" s="3">
        <v>44</v>
      </c>
      <c r="AK78" s="3">
        <v>22</v>
      </c>
      <c r="AL78" s="3">
        <v>3</v>
      </c>
      <c r="AM78" s="3">
        <v>4</v>
      </c>
      <c r="AN78" s="3">
        <v>48</v>
      </c>
      <c r="AO78" s="3">
        <v>5</v>
      </c>
      <c r="AP78" s="3">
        <v>6</v>
      </c>
      <c r="AQ78" s="3">
        <v>26</v>
      </c>
      <c r="AR78" s="3">
        <v>24</v>
      </c>
      <c r="AS78" s="3">
        <v>2</v>
      </c>
      <c r="AT78" s="3">
        <v>4</v>
      </c>
      <c r="AU78" s="3">
        <v>36</v>
      </c>
      <c r="AV78" s="3">
        <v>24</v>
      </c>
      <c r="AW78" s="3">
        <v>4</v>
      </c>
      <c r="AX78" s="3">
        <v>50</v>
      </c>
      <c r="AY78" s="3">
        <v>7</v>
      </c>
      <c r="AZ78" s="3">
        <v>5</v>
      </c>
      <c r="BA78" s="3">
        <v>3</v>
      </c>
      <c r="BB78" s="3">
        <v>27</v>
      </c>
      <c r="BC78" s="3">
        <v>13</v>
      </c>
      <c r="BD78" s="3">
        <v>9</v>
      </c>
    </row>
    <row r="79" spans="1:56" x14ac:dyDescent="0.25">
      <c r="A79" t="s">
        <v>43</v>
      </c>
      <c r="B79" s="3">
        <v>48885</v>
      </c>
      <c r="C79" s="3">
        <v>90344</v>
      </c>
      <c r="D79" s="3">
        <v>4618</v>
      </c>
      <c r="E79" s="3">
        <v>14788</v>
      </c>
      <c r="F79" s="3">
        <v>22949</v>
      </c>
      <c r="G79" s="3">
        <v>30762</v>
      </c>
      <c r="H79" s="3">
        <v>17550</v>
      </c>
      <c r="I79" s="4">
        <v>7997</v>
      </c>
      <c r="J79" s="4">
        <v>9005</v>
      </c>
      <c r="K79" s="4">
        <v>1113</v>
      </c>
      <c r="L79" s="4">
        <v>4500</v>
      </c>
      <c r="M79" s="3">
        <v>25694</v>
      </c>
      <c r="N79" s="4">
        <v>1649</v>
      </c>
      <c r="O79" s="4">
        <v>1152</v>
      </c>
      <c r="P79" s="4">
        <v>2599</v>
      </c>
      <c r="Q79" s="4">
        <v>3693</v>
      </c>
      <c r="R79" s="4">
        <v>4373</v>
      </c>
      <c r="S79" s="4">
        <v>7362</v>
      </c>
      <c r="T79" s="4">
        <v>3874</v>
      </c>
      <c r="U79" s="4">
        <v>795</v>
      </c>
      <c r="V79" s="4">
        <v>1080</v>
      </c>
      <c r="W79" s="3">
        <v>33</v>
      </c>
      <c r="X79" s="3">
        <v>17</v>
      </c>
      <c r="Y79" s="4">
        <v>1.8666666666666665</v>
      </c>
      <c r="Z79" s="4">
        <v>3.2333333333333329</v>
      </c>
      <c r="AA79" s="4" t="e">
        <v>#N/A</v>
      </c>
      <c r="AB79" s="3">
        <v>-6</v>
      </c>
      <c r="AC79" s="3">
        <v>6</v>
      </c>
      <c r="AD79" s="3">
        <v>3</v>
      </c>
      <c r="AE79" s="3">
        <v>-8</v>
      </c>
      <c r="AF79" s="3">
        <v>15800</v>
      </c>
      <c r="AG79" s="4">
        <v>-12.6</v>
      </c>
      <c r="AH79" s="4">
        <v>-27.5</v>
      </c>
      <c r="AI79" s="3">
        <v>64114</v>
      </c>
      <c r="AJ79" s="3">
        <v>41</v>
      </c>
      <c r="AK79" s="3">
        <v>18</v>
      </c>
      <c r="AL79" s="3">
        <v>3</v>
      </c>
      <c r="AM79" s="3">
        <v>4</v>
      </c>
      <c r="AN79" s="3">
        <v>44</v>
      </c>
      <c r="AO79" s="3">
        <v>9</v>
      </c>
      <c r="AP79" s="3">
        <v>3</v>
      </c>
      <c r="AQ79" s="3">
        <v>27</v>
      </c>
      <c r="AR79" s="3">
        <v>14</v>
      </c>
      <c r="AS79" s="3">
        <v>2</v>
      </c>
      <c r="AT79" s="3">
        <v>2</v>
      </c>
      <c r="AU79" s="3">
        <v>62</v>
      </c>
      <c r="AV79" s="3">
        <v>32</v>
      </c>
      <c r="AW79" s="3">
        <v>3</v>
      </c>
      <c r="AX79" s="3">
        <v>33</v>
      </c>
      <c r="AY79" s="3">
        <v>7</v>
      </c>
      <c r="AZ79" s="3">
        <v>1</v>
      </c>
      <c r="BA79" s="3">
        <v>11</v>
      </c>
      <c r="BB79" s="3">
        <v>44</v>
      </c>
      <c r="BC79" s="3">
        <v>5</v>
      </c>
      <c r="BD79" s="3">
        <v>15</v>
      </c>
    </row>
    <row r="80" spans="1:56" x14ac:dyDescent="0.25">
      <c r="A80" t="s">
        <v>44</v>
      </c>
      <c r="B80" s="3">
        <v>52991</v>
      </c>
      <c r="C80" s="3">
        <v>96774</v>
      </c>
      <c r="D80" s="3">
        <v>4459</v>
      </c>
      <c r="E80" s="3">
        <v>15690</v>
      </c>
      <c r="F80" s="3">
        <v>23477</v>
      </c>
      <c r="G80" s="3">
        <v>35192</v>
      </c>
      <c r="H80" s="3">
        <v>17989</v>
      </c>
      <c r="I80" s="4">
        <v>8555</v>
      </c>
      <c r="J80" s="4">
        <v>10199</v>
      </c>
      <c r="K80" s="4">
        <v>2359</v>
      </c>
      <c r="L80" s="4">
        <v>4966</v>
      </c>
      <c r="M80" s="3">
        <v>25780</v>
      </c>
      <c r="N80" s="4">
        <v>1768</v>
      </c>
      <c r="O80" s="4">
        <v>1179</v>
      </c>
      <c r="P80" s="4">
        <v>2794</v>
      </c>
      <c r="Q80" s="4">
        <v>3842</v>
      </c>
      <c r="R80" s="4">
        <v>4798</v>
      </c>
      <c r="S80" s="4">
        <v>7358</v>
      </c>
      <c r="T80" s="4">
        <v>3985</v>
      </c>
      <c r="U80" s="4">
        <v>801</v>
      </c>
      <c r="V80" s="4">
        <v>1316</v>
      </c>
      <c r="W80" s="3">
        <v>21</v>
      </c>
      <c r="X80" s="3">
        <v>14</v>
      </c>
      <c r="Y80" s="4">
        <v>1.6000000000000003</v>
      </c>
      <c r="Z80" s="4">
        <v>2.1999999999999997</v>
      </c>
      <c r="AA80" s="4" t="e">
        <v>#N/A</v>
      </c>
      <c r="AB80" s="3">
        <v>-14</v>
      </c>
      <c r="AC80" s="3">
        <v>-23</v>
      </c>
      <c r="AD80" s="3">
        <v>8</v>
      </c>
      <c r="AE80" s="3">
        <v>16</v>
      </c>
      <c r="AF80" s="3">
        <v>17082</v>
      </c>
      <c r="AG80" s="4">
        <v>-15.4</v>
      </c>
      <c r="AH80" s="4">
        <v>-8.3000000000000007</v>
      </c>
      <c r="AI80" s="3">
        <v>69283</v>
      </c>
      <c r="AJ80" s="3">
        <v>43</v>
      </c>
      <c r="AK80" s="3">
        <v>18</v>
      </c>
      <c r="AL80" s="3">
        <v>2</v>
      </c>
      <c r="AM80" s="3">
        <v>4</v>
      </c>
      <c r="AN80" s="3">
        <v>46</v>
      </c>
      <c r="AO80" s="3">
        <v>10</v>
      </c>
      <c r="AP80" s="3">
        <v>3</v>
      </c>
      <c r="AQ80" s="3">
        <v>15</v>
      </c>
      <c r="AR80" s="3">
        <v>16</v>
      </c>
      <c r="AS80" s="3">
        <v>3</v>
      </c>
      <c r="AT80" s="3">
        <v>3</v>
      </c>
      <c r="AU80" s="3">
        <v>48</v>
      </c>
      <c r="AV80" s="3">
        <v>21</v>
      </c>
      <c r="AW80" s="3">
        <v>2</v>
      </c>
      <c r="AX80" s="3">
        <v>21</v>
      </c>
      <c r="AY80" s="3">
        <v>25</v>
      </c>
      <c r="AZ80" s="3">
        <v>1</v>
      </c>
      <c r="BA80" s="3">
        <v>4</v>
      </c>
      <c r="BB80" s="3">
        <v>31</v>
      </c>
      <c r="BC80" s="3">
        <v>23</v>
      </c>
      <c r="BD80" s="3">
        <v>4</v>
      </c>
    </row>
    <row r="81" spans="1:56" x14ac:dyDescent="0.25">
      <c r="A81" t="s">
        <v>45</v>
      </c>
      <c r="B81" s="3">
        <v>49124</v>
      </c>
      <c r="C81" s="3">
        <v>92244</v>
      </c>
      <c r="D81" s="3">
        <v>4205</v>
      </c>
      <c r="E81" s="3">
        <v>15141</v>
      </c>
      <c r="F81" s="3">
        <v>22444</v>
      </c>
      <c r="G81" s="3">
        <v>32834</v>
      </c>
      <c r="H81" s="3">
        <v>18187</v>
      </c>
      <c r="I81" s="4">
        <v>7779</v>
      </c>
      <c r="J81" s="4">
        <v>9051</v>
      </c>
      <c r="K81" s="4">
        <v>1452</v>
      </c>
      <c r="L81" s="4">
        <v>4395</v>
      </c>
      <c r="M81" s="3">
        <v>25205</v>
      </c>
      <c r="N81" s="4">
        <v>1575</v>
      </c>
      <c r="O81" s="4">
        <v>1153</v>
      </c>
      <c r="P81" s="4">
        <v>2551</v>
      </c>
      <c r="Q81" s="4">
        <v>3213</v>
      </c>
      <c r="R81" s="4">
        <v>4643</v>
      </c>
      <c r="S81" s="4">
        <v>7229</v>
      </c>
      <c r="T81" s="4">
        <v>3831</v>
      </c>
      <c r="U81" s="4">
        <v>843</v>
      </c>
      <c r="V81" s="4">
        <v>1262</v>
      </c>
      <c r="W81" s="3">
        <v>12</v>
      </c>
      <c r="X81" s="3">
        <v>8</v>
      </c>
      <c r="Y81" s="4">
        <v>0.79999999999999993</v>
      </c>
      <c r="Z81" s="4">
        <v>1.5666666666666667</v>
      </c>
      <c r="AA81" s="4" t="e">
        <v>#N/A</v>
      </c>
      <c r="AB81" s="3">
        <v>-12</v>
      </c>
      <c r="AC81" s="3">
        <v>11</v>
      </c>
      <c r="AD81" s="3">
        <v>7</v>
      </c>
      <c r="AE81" s="3">
        <v>-8</v>
      </c>
      <c r="AF81" s="3">
        <v>17334</v>
      </c>
      <c r="AG81" s="4">
        <v>-16.399999999999999</v>
      </c>
      <c r="AH81" s="4">
        <v>-10.6</v>
      </c>
      <c r="AI81" s="3">
        <v>70725</v>
      </c>
      <c r="AJ81" s="3">
        <v>42</v>
      </c>
      <c r="AK81" s="3">
        <v>16</v>
      </c>
      <c r="AL81" s="3">
        <v>4</v>
      </c>
      <c r="AM81" s="3">
        <v>4</v>
      </c>
      <c r="AN81" s="3">
        <v>41</v>
      </c>
      <c r="AO81" s="3">
        <v>7</v>
      </c>
      <c r="AP81" s="3">
        <v>7</v>
      </c>
      <c r="AQ81" s="3">
        <v>42</v>
      </c>
      <c r="AR81" s="3">
        <v>23</v>
      </c>
      <c r="AS81" s="3">
        <v>6</v>
      </c>
      <c r="AT81" s="3">
        <v>3</v>
      </c>
      <c r="AU81" s="3">
        <v>50</v>
      </c>
      <c r="AV81" s="3">
        <v>18</v>
      </c>
      <c r="AW81" s="3">
        <v>2</v>
      </c>
      <c r="AX81" s="3">
        <v>13</v>
      </c>
      <c r="AY81" s="3">
        <v>16</v>
      </c>
      <c r="AZ81" s="3">
        <v>1</v>
      </c>
      <c r="BA81" s="3">
        <v>20</v>
      </c>
      <c r="BB81" s="3">
        <v>54</v>
      </c>
      <c r="BC81" s="3">
        <v>10</v>
      </c>
      <c r="BD81" s="3">
        <v>5</v>
      </c>
    </row>
    <row r="82" spans="1:56" x14ac:dyDescent="0.25">
      <c r="A82" t="s">
        <v>46</v>
      </c>
      <c r="B82" s="3">
        <v>50990</v>
      </c>
      <c r="C82" s="3">
        <v>93278</v>
      </c>
      <c r="D82" s="3">
        <v>5215</v>
      </c>
      <c r="E82" s="3">
        <v>15565</v>
      </c>
      <c r="F82" s="3">
        <v>21771</v>
      </c>
      <c r="G82" s="3">
        <v>32768</v>
      </c>
      <c r="H82" s="3">
        <v>18078</v>
      </c>
      <c r="I82" s="4">
        <v>8085</v>
      </c>
      <c r="J82" s="4">
        <v>9378</v>
      </c>
      <c r="K82" s="4">
        <v>1507</v>
      </c>
      <c r="L82" s="4">
        <v>4422</v>
      </c>
      <c r="M82" s="3">
        <v>25806</v>
      </c>
      <c r="N82" s="4">
        <v>1636</v>
      </c>
      <c r="O82" s="4">
        <v>1220</v>
      </c>
      <c r="P82" s="4">
        <v>3064</v>
      </c>
      <c r="Q82" s="4">
        <v>5373</v>
      </c>
      <c r="R82" s="4">
        <v>4364</v>
      </c>
      <c r="S82" s="4">
        <v>6904</v>
      </c>
      <c r="T82" s="4">
        <v>3951</v>
      </c>
      <c r="U82" s="4">
        <v>815</v>
      </c>
      <c r="V82" s="4">
        <v>1180</v>
      </c>
      <c r="W82" s="3">
        <v>2</v>
      </c>
      <c r="X82" s="3">
        <v>5</v>
      </c>
      <c r="Y82" s="4">
        <v>0.53333333333333333</v>
      </c>
      <c r="Z82" s="4">
        <v>0.46666666666666662</v>
      </c>
      <c r="AA82" s="4" t="e">
        <v>#N/A</v>
      </c>
      <c r="AB82" s="3">
        <v>-18</v>
      </c>
      <c r="AC82" s="3">
        <v>-8</v>
      </c>
      <c r="AD82" s="3">
        <v>-16</v>
      </c>
      <c r="AE82" s="3">
        <v>-3</v>
      </c>
      <c r="AF82" s="3">
        <v>17316</v>
      </c>
      <c r="AG82" s="4">
        <v>-27.2</v>
      </c>
      <c r="AH82" s="4">
        <v>-15.1</v>
      </c>
      <c r="AI82" s="3">
        <v>73281</v>
      </c>
      <c r="AJ82" s="3">
        <v>40</v>
      </c>
      <c r="AK82" s="3">
        <v>24</v>
      </c>
      <c r="AL82" s="3">
        <v>6</v>
      </c>
      <c r="AM82" s="3">
        <v>4</v>
      </c>
      <c r="AN82" s="3">
        <v>50</v>
      </c>
      <c r="AO82" s="3">
        <v>14</v>
      </c>
      <c r="AP82" s="3">
        <v>2</v>
      </c>
      <c r="AQ82" s="3">
        <v>37</v>
      </c>
      <c r="AR82" s="3">
        <v>19</v>
      </c>
      <c r="AS82" s="3">
        <v>4</v>
      </c>
      <c r="AT82" s="3">
        <v>9</v>
      </c>
      <c r="AU82" s="3">
        <v>48</v>
      </c>
      <c r="AV82" s="3">
        <v>7</v>
      </c>
      <c r="AW82" s="3">
        <v>2</v>
      </c>
      <c r="AX82" s="3">
        <v>14</v>
      </c>
      <c r="AY82" s="3">
        <v>29</v>
      </c>
      <c r="AZ82" s="3">
        <v>10</v>
      </c>
      <c r="BA82" s="3">
        <v>8</v>
      </c>
      <c r="BB82" s="3">
        <v>48</v>
      </c>
      <c r="BC82" s="3">
        <v>8</v>
      </c>
      <c r="BD82" s="3">
        <v>7</v>
      </c>
    </row>
    <row r="83" spans="1:56" x14ac:dyDescent="0.25">
      <c r="A83" t="s">
        <v>47</v>
      </c>
      <c r="B83" s="3">
        <v>49052</v>
      </c>
      <c r="C83" s="3">
        <v>88414</v>
      </c>
      <c r="D83" s="3">
        <v>4272</v>
      </c>
      <c r="E83" s="3">
        <v>14647</v>
      </c>
      <c r="F83" s="3">
        <v>20182</v>
      </c>
      <c r="G83" s="3">
        <v>30704</v>
      </c>
      <c r="H83" s="3">
        <v>18819</v>
      </c>
      <c r="I83" s="4">
        <v>8030</v>
      </c>
      <c r="J83" s="4">
        <v>8848</v>
      </c>
      <c r="K83" s="4">
        <v>1364</v>
      </c>
      <c r="L83" s="4">
        <v>4532</v>
      </c>
      <c r="M83" s="3">
        <v>25490</v>
      </c>
      <c r="N83" s="4">
        <v>1626</v>
      </c>
      <c r="O83" s="4">
        <v>1032</v>
      </c>
      <c r="P83" s="4">
        <v>2466</v>
      </c>
      <c r="Q83" s="4">
        <v>3877</v>
      </c>
      <c r="R83" s="4">
        <v>4645</v>
      </c>
      <c r="S83" s="4">
        <v>6453</v>
      </c>
      <c r="T83" s="4">
        <v>4033</v>
      </c>
      <c r="U83" s="4">
        <v>850</v>
      </c>
      <c r="V83" s="4">
        <v>1215</v>
      </c>
      <c r="W83" s="3">
        <v>-4</v>
      </c>
      <c r="X83" s="3">
        <v>-2</v>
      </c>
      <c r="Y83" s="4">
        <v>-0.3</v>
      </c>
      <c r="Z83" s="4">
        <v>-0.43333333333333335</v>
      </c>
      <c r="AA83" s="4" t="e">
        <v>#N/A</v>
      </c>
      <c r="AB83" s="3">
        <v>-24</v>
      </c>
      <c r="AC83" s="3">
        <v>-31</v>
      </c>
      <c r="AD83" s="3">
        <v>-47</v>
      </c>
      <c r="AE83" s="3">
        <v>-10</v>
      </c>
      <c r="AF83" s="3">
        <v>16733</v>
      </c>
      <c r="AG83" s="4">
        <v>-50.1</v>
      </c>
      <c r="AH83" s="4">
        <v>-51.7</v>
      </c>
      <c r="AI83" s="3">
        <v>74916</v>
      </c>
      <c r="AJ83" s="3">
        <v>38</v>
      </c>
      <c r="AK83" s="3">
        <v>18</v>
      </c>
      <c r="AL83" s="3">
        <v>4</v>
      </c>
      <c r="AM83" s="3">
        <v>5</v>
      </c>
      <c r="AN83" s="3">
        <v>55</v>
      </c>
      <c r="AO83" s="3">
        <v>7</v>
      </c>
      <c r="AP83" s="3">
        <v>3</v>
      </c>
      <c r="AQ83" s="3">
        <v>20</v>
      </c>
      <c r="AR83" s="3">
        <v>8</v>
      </c>
      <c r="AS83" s="3">
        <v>22</v>
      </c>
      <c r="AT83" s="3">
        <v>9</v>
      </c>
      <c r="AU83" s="3">
        <v>64</v>
      </c>
      <c r="AV83" s="3">
        <v>8</v>
      </c>
      <c r="AW83" s="3">
        <v>4</v>
      </c>
      <c r="AX83" s="3">
        <v>38</v>
      </c>
      <c r="AY83" s="3">
        <v>11</v>
      </c>
      <c r="AZ83" s="3">
        <v>2</v>
      </c>
      <c r="BA83" s="3">
        <v>15</v>
      </c>
      <c r="BB83" s="3">
        <v>63</v>
      </c>
      <c r="BC83" s="3">
        <v>8</v>
      </c>
      <c r="BD83" s="3">
        <v>2</v>
      </c>
    </row>
    <row r="84" spans="1:56" x14ac:dyDescent="0.25">
      <c r="A84" t="s">
        <v>48</v>
      </c>
      <c r="B84" s="3">
        <v>47384</v>
      </c>
      <c r="C84" s="3">
        <v>86953</v>
      </c>
      <c r="D84" s="3">
        <v>4385</v>
      </c>
      <c r="E84" s="3">
        <v>14149</v>
      </c>
      <c r="F84" s="3">
        <v>19476</v>
      </c>
      <c r="G84" s="3">
        <v>30305</v>
      </c>
      <c r="H84" s="3">
        <v>18593</v>
      </c>
      <c r="I84" s="4">
        <v>7703</v>
      </c>
      <c r="J84" s="4">
        <v>8060</v>
      </c>
      <c r="K84" s="4">
        <v>1248</v>
      </c>
      <c r="L84" s="4">
        <v>4200</v>
      </c>
      <c r="M84" s="3">
        <v>24837</v>
      </c>
      <c r="N84" s="4">
        <v>1722</v>
      </c>
      <c r="O84" s="4">
        <v>1128</v>
      </c>
      <c r="P84" s="4">
        <v>2647</v>
      </c>
      <c r="Q84" s="4">
        <v>4457</v>
      </c>
      <c r="R84" s="4">
        <v>4601</v>
      </c>
      <c r="S84" s="4">
        <v>6037</v>
      </c>
      <c r="T84" s="4">
        <v>3994</v>
      </c>
      <c r="U84" s="4">
        <v>713</v>
      </c>
      <c r="V84" s="4">
        <v>1323</v>
      </c>
      <c r="W84" s="3">
        <v>-22</v>
      </c>
      <c r="X84" s="3">
        <v>-27</v>
      </c>
      <c r="Y84" s="4">
        <v>-2.2333333333333329</v>
      </c>
      <c r="Z84" s="4">
        <v>-2.2333333333333329</v>
      </c>
      <c r="AA84" s="4" t="e">
        <v>#N/A</v>
      </c>
      <c r="AB84" s="3">
        <v>-38</v>
      </c>
      <c r="AC84" s="3">
        <v>-62</v>
      </c>
      <c r="AD84" s="3">
        <v>-48</v>
      </c>
      <c r="AE84" s="3">
        <v>-53</v>
      </c>
      <c r="AF84" s="3">
        <v>16372</v>
      </c>
      <c r="AG84" s="4">
        <v>-66</v>
      </c>
      <c r="AH84" s="4">
        <v>-47.5</v>
      </c>
      <c r="AI84" s="3">
        <v>67825</v>
      </c>
      <c r="AJ84" s="3">
        <v>41</v>
      </c>
      <c r="AK84" s="3">
        <v>24</v>
      </c>
      <c r="AL84" s="3">
        <v>16</v>
      </c>
      <c r="AM84" s="3">
        <v>8</v>
      </c>
      <c r="AN84" s="3">
        <v>58</v>
      </c>
      <c r="AO84" s="3">
        <v>4</v>
      </c>
      <c r="AP84" s="3">
        <v>2</v>
      </c>
      <c r="AQ84" s="3">
        <v>37</v>
      </c>
      <c r="AR84" s="3">
        <v>15</v>
      </c>
      <c r="AS84" s="3">
        <v>8</v>
      </c>
      <c r="AT84" s="3">
        <v>9</v>
      </c>
      <c r="AU84" s="3">
        <v>86</v>
      </c>
      <c r="AV84" s="3">
        <v>2</v>
      </c>
      <c r="AW84" s="3">
        <v>2</v>
      </c>
      <c r="AX84" s="3">
        <v>46</v>
      </c>
      <c r="AY84" s="3">
        <v>10</v>
      </c>
      <c r="AZ84" s="3">
        <v>10</v>
      </c>
      <c r="BA84" s="3">
        <v>29</v>
      </c>
      <c r="BB84" s="3">
        <v>68</v>
      </c>
      <c r="BC84" s="3">
        <v>3</v>
      </c>
      <c r="BD84" s="3">
        <v>4</v>
      </c>
    </row>
    <row r="85" spans="1:56" x14ac:dyDescent="0.25">
      <c r="A85" t="s">
        <v>49</v>
      </c>
      <c r="B85" s="3">
        <v>43119</v>
      </c>
      <c r="C85" s="3">
        <v>81803</v>
      </c>
      <c r="D85" s="3">
        <v>4107</v>
      </c>
      <c r="E85" s="3">
        <v>13187</v>
      </c>
      <c r="F85" s="3">
        <v>18015</v>
      </c>
      <c r="G85" s="3">
        <v>28396</v>
      </c>
      <c r="H85" s="3">
        <v>18407</v>
      </c>
      <c r="I85" s="4">
        <v>6504</v>
      </c>
      <c r="J85" s="4">
        <v>8355</v>
      </c>
      <c r="K85" s="4">
        <v>851</v>
      </c>
      <c r="L85" s="4">
        <v>4092</v>
      </c>
      <c r="M85" s="3">
        <v>21662</v>
      </c>
      <c r="N85" s="4">
        <v>1539</v>
      </c>
      <c r="O85" s="4">
        <v>923</v>
      </c>
      <c r="P85" s="4">
        <v>2202</v>
      </c>
      <c r="Q85" s="4">
        <v>3235</v>
      </c>
      <c r="R85" s="4">
        <v>4121</v>
      </c>
      <c r="S85" s="4">
        <v>5628</v>
      </c>
      <c r="T85" s="4">
        <v>4132</v>
      </c>
      <c r="U85" s="4">
        <v>698</v>
      </c>
      <c r="V85" s="4">
        <v>1195</v>
      </c>
      <c r="W85" s="3">
        <v>-38</v>
      </c>
      <c r="X85" s="3">
        <v>-21</v>
      </c>
      <c r="Y85" s="4">
        <v>-3.5333333333333337</v>
      </c>
      <c r="Z85" s="4">
        <v>-3.3333333333333335</v>
      </c>
      <c r="AA85" s="4" t="e">
        <v>#N/A</v>
      </c>
      <c r="AB85" s="3">
        <v>-57</v>
      </c>
      <c r="AC85" s="3">
        <v>-34</v>
      </c>
      <c r="AD85" s="3">
        <v>-54</v>
      </c>
      <c r="AE85" s="3">
        <v>-49</v>
      </c>
      <c r="AF85" s="3">
        <v>10447</v>
      </c>
      <c r="AG85" s="4">
        <v>-61.4</v>
      </c>
      <c r="AH85" s="4">
        <v>-28.4</v>
      </c>
      <c r="AI85" s="3">
        <v>66801</v>
      </c>
      <c r="AJ85" s="3">
        <v>29</v>
      </c>
      <c r="AK85" s="3">
        <v>29</v>
      </c>
      <c r="AL85" s="3">
        <v>15</v>
      </c>
      <c r="AM85" s="3">
        <v>5</v>
      </c>
      <c r="AN85" s="3">
        <v>69</v>
      </c>
      <c r="AO85" s="3">
        <v>3</v>
      </c>
      <c r="AP85" s="3">
        <v>4</v>
      </c>
      <c r="AQ85" s="3">
        <v>18</v>
      </c>
      <c r="AR85" s="3">
        <v>13</v>
      </c>
      <c r="AS85" s="3">
        <v>20</v>
      </c>
      <c r="AT85" s="3">
        <v>6</v>
      </c>
      <c r="AU85" s="3">
        <v>87</v>
      </c>
      <c r="AV85" s="3">
        <v>1</v>
      </c>
      <c r="AW85" s="3">
        <v>2</v>
      </c>
      <c r="AX85" s="3">
        <v>28</v>
      </c>
      <c r="AY85" s="3">
        <v>38</v>
      </c>
      <c r="AZ85" s="3">
        <v>23</v>
      </c>
      <c r="BA85" s="3">
        <v>6</v>
      </c>
      <c r="BB85" s="3">
        <v>41</v>
      </c>
      <c r="BC85" s="3">
        <v>0</v>
      </c>
      <c r="BD85" s="3">
        <v>12</v>
      </c>
    </row>
    <row r="86" spans="1:56" x14ac:dyDescent="0.25">
      <c r="A86" t="s">
        <v>50</v>
      </c>
      <c r="B86" s="3">
        <v>40877</v>
      </c>
      <c r="C86" s="3">
        <v>78328</v>
      </c>
      <c r="D86" s="3">
        <v>4398</v>
      </c>
      <c r="E86" s="3">
        <v>10879</v>
      </c>
      <c r="F86" s="3">
        <v>16898</v>
      </c>
      <c r="G86" s="3">
        <v>27800</v>
      </c>
      <c r="H86" s="3">
        <v>18481</v>
      </c>
      <c r="I86" s="4">
        <v>5949</v>
      </c>
      <c r="J86" s="4">
        <v>7664</v>
      </c>
      <c r="K86" s="4">
        <v>844</v>
      </c>
      <c r="L86" s="4">
        <v>3499</v>
      </c>
      <c r="M86" s="3">
        <v>21497</v>
      </c>
      <c r="N86" s="4">
        <v>1452</v>
      </c>
      <c r="O86" s="4">
        <v>853</v>
      </c>
      <c r="P86" s="4">
        <v>1968</v>
      </c>
      <c r="Q86" s="4">
        <v>4719</v>
      </c>
      <c r="R86" s="4">
        <v>3652</v>
      </c>
      <c r="S86" s="4">
        <v>5344</v>
      </c>
      <c r="T86" s="4">
        <v>3988</v>
      </c>
      <c r="U86" s="4">
        <v>682</v>
      </c>
      <c r="V86" s="4">
        <v>961</v>
      </c>
      <c r="W86" s="3">
        <v>-30</v>
      </c>
      <c r="X86" s="3">
        <v>-18</v>
      </c>
      <c r="Y86" s="4">
        <v>-3.6333333333333333</v>
      </c>
      <c r="Z86" s="4">
        <v>-3.2333333333333329</v>
      </c>
      <c r="AA86" s="4" t="e">
        <v>#N/A</v>
      </c>
      <c r="AB86" s="3">
        <v>-42</v>
      </c>
      <c r="AC86" s="3">
        <v>-51</v>
      </c>
      <c r="AD86" s="3">
        <v>-43</v>
      </c>
      <c r="AE86" s="3">
        <v>-38</v>
      </c>
      <c r="AF86" s="3">
        <v>9113</v>
      </c>
      <c r="AG86" s="4">
        <v>-40.700000000000003</v>
      </c>
      <c r="AH86" s="4">
        <v>-24.2</v>
      </c>
      <c r="AI86" s="3">
        <v>63935</v>
      </c>
      <c r="AJ86" s="3">
        <v>34</v>
      </c>
      <c r="AK86" s="3">
        <v>31</v>
      </c>
      <c r="AL86" s="3">
        <v>14</v>
      </c>
      <c r="AM86" s="3">
        <v>4</v>
      </c>
      <c r="AN86" s="3">
        <v>66</v>
      </c>
      <c r="AO86" s="3">
        <v>1</v>
      </c>
      <c r="AP86" s="3">
        <v>2</v>
      </c>
      <c r="AQ86" s="3">
        <v>38</v>
      </c>
      <c r="AR86" s="3">
        <v>10</v>
      </c>
      <c r="AS86" s="3">
        <v>10</v>
      </c>
      <c r="AT86" s="3">
        <v>2</v>
      </c>
      <c r="AU86" s="3">
        <v>81</v>
      </c>
      <c r="AV86" s="3">
        <v>1</v>
      </c>
      <c r="AW86" s="3">
        <v>3</v>
      </c>
      <c r="AX86" s="3">
        <v>27</v>
      </c>
      <c r="AY86" s="3">
        <v>12</v>
      </c>
      <c r="AZ86" s="3">
        <v>30</v>
      </c>
      <c r="BA86" s="3">
        <v>8</v>
      </c>
      <c r="BB86" s="3">
        <v>56</v>
      </c>
      <c r="BC86" s="3">
        <v>3</v>
      </c>
      <c r="BD86" s="3">
        <v>2</v>
      </c>
    </row>
    <row r="87" spans="1:56" x14ac:dyDescent="0.25">
      <c r="A87" t="s">
        <v>51</v>
      </c>
      <c r="B87" s="3">
        <v>39978</v>
      </c>
      <c r="C87" s="3">
        <v>78858</v>
      </c>
      <c r="D87" s="3">
        <v>4099</v>
      </c>
      <c r="E87" s="3">
        <v>11173</v>
      </c>
      <c r="F87" s="3">
        <v>17050</v>
      </c>
      <c r="G87" s="3">
        <v>27939</v>
      </c>
      <c r="H87" s="3">
        <v>18777</v>
      </c>
      <c r="I87" s="4">
        <v>5524</v>
      </c>
      <c r="J87" s="4">
        <v>8051</v>
      </c>
      <c r="K87" s="4">
        <v>767</v>
      </c>
      <c r="L87" s="4">
        <v>3416</v>
      </c>
      <c r="M87" s="3">
        <v>21622</v>
      </c>
      <c r="N87" s="4">
        <v>1382</v>
      </c>
      <c r="O87" s="4">
        <v>719</v>
      </c>
      <c r="P87" s="4">
        <v>1967</v>
      </c>
      <c r="Q87" s="4">
        <v>3638</v>
      </c>
      <c r="R87" s="4">
        <v>3789</v>
      </c>
      <c r="S87" s="4">
        <v>5161</v>
      </c>
      <c r="T87" s="4">
        <v>3957</v>
      </c>
      <c r="U87" s="4">
        <v>663</v>
      </c>
      <c r="V87" s="4">
        <v>1028</v>
      </c>
      <c r="W87" s="3">
        <v>-18</v>
      </c>
      <c r="X87" s="3">
        <v>-9</v>
      </c>
      <c r="Y87" s="4">
        <v>-3.0333333333333337</v>
      </c>
      <c r="Z87" s="4">
        <v>-2.6333333333333333</v>
      </c>
      <c r="AA87" s="4" t="e">
        <v>#N/A</v>
      </c>
      <c r="AB87" s="3">
        <v>-38</v>
      </c>
      <c r="AC87" s="3">
        <v>-24</v>
      </c>
      <c r="AD87" s="3">
        <v>-13</v>
      </c>
      <c r="AE87" s="3">
        <v>-2</v>
      </c>
      <c r="AF87" s="3">
        <v>8369</v>
      </c>
      <c r="AG87" s="4">
        <v>-25.9</v>
      </c>
      <c r="AH87" s="4">
        <v>-6.6</v>
      </c>
      <c r="AI87" s="3">
        <v>66694</v>
      </c>
      <c r="AJ87" s="3">
        <v>35</v>
      </c>
      <c r="AK87" s="3">
        <v>22</v>
      </c>
      <c r="AL87" s="3">
        <v>8</v>
      </c>
      <c r="AM87" s="3">
        <v>6</v>
      </c>
      <c r="AN87" s="3">
        <v>54</v>
      </c>
      <c r="AO87" s="3">
        <v>2</v>
      </c>
      <c r="AP87" s="3">
        <v>1</v>
      </c>
      <c r="AQ87" s="3">
        <v>17</v>
      </c>
      <c r="AR87" s="3">
        <v>13</v>
      </c>
      <c r="AS87" s="3">
        <v>26</v>
      </c>
      <c r="AT87" s="3">
        <v>5</v>
      </c>
      <c r="AU87" s="3">
        <v>77</v>
      </c>
      <c r="AV87" s="3">
        <v>1</v>
      </c>
      <c r="AW87" s="3">
        <v>0</v>
      </c>
      <c r="AX87" s="3">
        <v>33</v>
      </c>
      <c r="AY87" s="3">
        <v>39</v>
      </c>
      <c r="AZ87" s="3">
        <v>20</v>
      </c>
      <c r="BA87" s="3">
        <v>16</v>
      </c>
      <c r="BB87" s="3">
        <v>56</v>
      </c>
      <c r="BC87" s="3">
        <v>2</v>
      </c>
      <c r="BD87" s="3">
        <v>4</v>
      </c>
    </row>
    <row r="88" spans="1:56" x14ac:dyDescent="0.25">
      <c r="A88" t="s">
        <v>52</v>
      </c>
      <c r="B88" s="3">
        <v>39618</v>
      </c>
      <c r="C88" s="3">
        <v>77537</v>
      </c>
      <c r="D88" s="3">
        <v>3582</v>
      </c>
      <c r="E88" s="3">
        <v>10983</v>
      </c>
      <c r="F88" s="3">
        <v>16334</v>
      </c>
      <c r="G88" s="3">
        <v>27911</v>
      </c>
      <c r="H88" s="3">
        <v>18796</v>
      </c>
      <c r="I88" s="4">
        <v>5508</v>
      </c>
      <c r="J88" s="4">
        <v>7622</v>
      </c>
      <c r="K88" s="4">
        <v>654</v>
      </c>
      <c r="L88" s="4">
        <v>3415</v>
      </c>
      <c r="M88" s="3">
        <v>21380</v>
      </c>
      <c r="N88" s="4">
        <v>1407</v>
      </c>
      <c r="O88" s="4">
        <v>811</v>
      </c>
      <c r="P88" s="4">
        <v>1868</v>
      </c>
      <c r="Q88" s="4">
        <v>3078</v>
      </c>
      <c r="R88" s="4">
        <v>4106</v>
      </c>
      <c r="S88" s="4">
        <v>5506</v>
      </c>
      <c r="T88" s="4">
        <v>4112</v>
      </c>
      <c r="U88" s="4">
        <v>690</v>
      </c>
      <c r="V88" s="4">
        <v>1057</v>
      </c>
      <c r="W88" s="3">
        <v>-2</v>
      </c>
      <c r="X88" s="3">
        <v>-3</v>
      </c>
      <c r="Y88" s="4">
        <v>-1.6000000000000003</v>
      </c>
      <c r="Z88" s="4">
        <v>-1.3333333333333333</v>
      </c>
      <c r="AA88" s="4" t="e">
        <v>#N/A</v>
      </c>
      <c r="AB88" s="3">
        <v>-1</v>
      </c>
      <c r="AC88" s="3">
        <v>-20</v>
      </c>
      <c r="AD88" s="3">
        <v>-27</v>
      </c>
      <c r="AE88" s="3">
        <v>-33</v>
      </c>
      <c r="AF88" s="3">
        <v>7781</v>
      </c>
      <c r="AG88" s="4">
        <v>-20.7</v>
      </c>
      <c r="AH88" s="4">
        <v>-5.2</v>
      </c>
      <c r="AI88" s="3">
        <v>59470</v>
      </c>
      <c r="AJ88" s="3">
        <v>34</v>
      </c>
      <c r="AK88" s="3">
        <v>27</v>
      </c>
      <c r="AL88" s="3">
        <v>14</v>
      </c>
      <c r="AM88" s="3">
        <v>9</v>
      </c>
      <c r="AN88" s="3">
        <v>54</v>
      </c>
      <c r="AO88" s="3">
        <v>2</v>
      </c>
      <c r="AP88" s="3">
        <v>3</v>
      </c>
      <c r="AQ88" s="3">
        <v>17</v>
      </c>
      <c r="AR88" s="3">
        <v>19</v>
      </c>
      <c r="AS88" s="3">
        <v>21</v>
      </c>
      <c r="AT88" s="3">
        <v>6</v>
      </c>
      <c r="AU88" s="3">
        <v>69</v>
      </c>
      <c r="AV88" s="3">
        <v>2</v>
      </c>
      <c r="AW88" s="3">
        <v>10</v>
      </c>
      <c r="AX88" s="3">
        <v>14</v>
      </c>
      <c r="AY88" s="3">
        <v>26</v>
      </c>
      <c r="AZ88" s="3">
        <v>33</v>
      </c>
      <c r="BA88" s="3">
        <v>18</v>
      </c>
      <c r="BB88" s="3">
        <v>67</v>
      </c>
      <c r="BC88" s="3">
        <v>0</v>
      </c>
      <c r="BD88" s="3">
        <v>7</v>
      </c>
    </row>
    <row r="89" spans="1:56" x14ac:dyDescent="0.25">
      <c r="A89" t="s">
        <v>53</v>
      </c>
      <c r="B89" s="3">
        <v>41479</v>
      </c>
      <c r="C89" s="3">
        <v>81644</v>
      </c>
      <c r="D89" s="3">
        <v>4325</v>
      </c>
      <c r="E89" s="3">
        <v>11400</v>
      </c>
      <c r="F89" s="3">
        <v>17200</v>
      </c>
      <c r="G89" s="3">
        <v>29586</v>
      </c>
      <c r="H89" s="3">
        <v>19567</v>
      </c>
      <c r="I89" s="4">
        <v>5470</v>
      </c>
      <c r="J89" s="4">
        <v>7105</v>
      </c>
      <c r="K89" s="4">
        <v>796</v>
      </c>
      <c r="L89" s="4">
        <v>3436</v>
      </c>
      <c r="M89" s="3">
        <v>23658</v>
      </c>
      <c r="N89" s="4">
        <v>1370</v>
      </c>
      <c r="O89" s="4">
        <v>749</v>
      </c>
      <c r="P89" s="4">
        <v>2053</v>
      </c>
      <c r="Q89" s="4">
        <v>3248</v>
      </c>
      <c r="R89" s="4">
        <v>4899</v>
      </c>
      <c r="S89" s="4">
        <v>6233</v>
      </c>
      <c r="T89" s="4">
        <v>4120</v>
      </c>
      <c r="U89" s="4">
        <v>676</v>
      </c>
      <c r="V89" s="4">
        <v>1043</v>
      </c>
      <c r="W89" s="3">
        <v>-6</v>
      </c>
      <c r="X89" s="3">
        <v>-5</v>
      </c>
      <c r="Y89" s="4">
        <v>-0.43333333333333335</v>
      </c>
      <c r="Z89" s="4">
        <v>-6.6666666666666666E-2</v>
      </c>
      <c r="AA89" s="4" t="e">
        <v>#N/A</v>
      </c>
      <c r="AB89" s="3">
        <v>1</v>
      </c>
      <c r="AC89" s="3">
        <v>-1</v>
      </c>
      <c r="AD89" s="3">
        <v>-19</v>
      </c>
      <c r="AE89" s="3">
        <v>-3</v>
      </c>
      <c r="AF89" s="3">
        <v>6805</v>
      </c>
      <c r="AG89" s="4">
        <v>-9.1</v>
      </c>
      <c r="AH89" s="4">
        <v>-0.7</v>
      </c>
      <c r="AI89" s="3">
        <v>65976</v>
      </c>
      <c r="AJ89" s="3">
        <v>29</v>
      </c>
      <c r="AK89" s="3">
        <v>30</v>
      </c>
      <c r="AL89" s="3">
        <v>7</v>
      </c>
      <c r="AM89" s="3">
        <v>7</v>
      </c>
      <c r="AN89" s="3">
        <v>51</v>
      </c>
      <c r="AO89" s="3">
        <v>6</v>
      </c>
      <c r="AP89" s="3">
        <v>9</v>
      </c>
      <c r="AQ89" s="3">
        <v>21</v>
      </c>
      <c r="AR89" s="3">
        <v>16</v>
      </c>
      <c r="AS89" s="3">
        <v>11</v>
      </c>
      <c r="AT89" s="3">
        <v>2</v>
      </c>
      <c r="AU89" s="3">
        <v>69</v>
      </c>
      <c r="AV89" s="3">
        <v>4</v>
      </c>
      <c r="AW89" s="3">
        <v>4</v>
      </c>
      <c r="AX89" s="3">
        <v>44</v>
      </c>
      <c r="AY89" s="3">
        <v>27</v>
      </c>
      <c r="AZ89" s="3">
        <v>20</v>
      </c>
      <c r="BA89" s="3">
        <v>19</v>
      </c>
      <c r="BB89" s="3">
        <v>63</v>
      </c>
      <c r="BC89" s="3">
        <v>2</v>
      </c>
      <c r="BD89" s="3">
        <v>3</v>
      </c>
    </row>
    <row r="90" spans="1:56" x14ac:dyDescent="0.25">
      <c r="A90" t="s">
        <v>54</v>
      </c>
      <c r="B90" s="3">
        <v>40858</v>
      </c>
      <c r="C90" s="3">
        <v>80431</v>
      </c>
      <c r="D90" s="3">
        <v>3810</v>
      </c>
      <c r="E90" s="3">
        <v>11799</v>
      </c>
      <c r="F90" s="3">
        <v>18559</v>
      </c>
      <c r="G90" s="3">
        <v>26568</v>
      </c>
      <c r="H90" s="3">
        <v>20115</v>
      </c>
      <c r="I90" s="4">
        <v>5705</v>
      </c>
      <c r="J90" s="4">
        <v>6890</v>
      </c>
      <c r="K90" s="4">
        <v>915</v>
      </c>
      <c r="L90" s="4">
        <v>3912</v>
      </c>
      <c r="M90" s="3">
        <v>23790</v>
      </c>
      <c r="N90" s="4">
        <v>1401</v>
      </c>
      <c r="O90" s="4">
        <v>765</v>
      </c>
      <c r="P90" s="4">
        <v>2031</v>
      </c>
      <c r="Q90" s="4">
        <v>3711</v>
      </c>
      <c r="R90" s="4">
        <v>4161</v>
      </c>
      <c r="S90" s="4">
        <v>5792</v>
      </c>
      <c r="T90" s="4">
        <v>4081</v>
      </c>
      <c r="U90" s="4">
        <v>717</v>
      </c>
      <c r="V90" s="4">
        <v>1109</v>
      </c>
      <c r="W90" s="3">
        <v>7</v>
      </c>
      <c r="X90" s="3">
        <v>2</v>
      </c>
      <c r="Y90" s="4">
        <v>0.3666666666666667</v>
      </c>
      <c r="Z90" s="4">
        <v>1.0666666666666667</v>
      </c>
      <c r="AA90" s="4" t="e">
        <v>#N/A</v>
      </c>
      <c r="AB90" s="3">
        <v>1</v>
      </c>
      <c r="AC90" s="3">
        <v>-3</v>
      </c>
      <c r="AD90" s="3">
        <v>-12</v>
      </c>
      <c r="AE90" s="3">
        <v>-27</v>
      </c>
      <c r="AF90" s="3">
        <v>6878</v>
      </c>
      <c r="AG90" s="4">
        <v>-1.2</v>
      </c>
      <c r="AH90" s="4">
        <v>0.7</v>
      </c>
      <c r="AI90" s="3">
        <v>65230</v>
      </c>
      <c r="AJ90" s="3">
        <v>32</v>
      </c>
      <c r="AK90" s="3">
        <v>30</v>
      </c>
      <c r="AL90" s="3">
        <v>9</v>
      </c>
      <c r="AM90" s="3">
        <v>8</v>
      </c>
      <c r="AN90" s="3">
        <v>51</v>
      </c>
      <c r="AO90" s="3">
        <v>6</v>
      </c>
      <c r="AP90" s="3">
        <v>2</v>
      </c>
      <c r="AQ90" s="3">
        <v>25</v>
      </c>
      <c r="AR90" s="3">
        <v>17</v>
      </c>
      <c r="AS90" s="3">
        <v>2</v>
      </c>
      <c r="AT90" s="3">
        <v>7</v>
      </c>
      <c r="AU90" s="3">
        <v>63</v>
      </c>
      <c r="AV90" s="3">
        <v>5</v>
      </c>
      <c r="AW90" s="3">
        <v>1</v>
      </c>
      <c r="AX90" s="3">
        <v>51</v>
      </c>
      <c r="AY90" s="3">
        <v>31</v>
      </c>
      <c r="AZ90" s="3">
        <v>18</v>
      </c>
      <c r="BA90" s="3">
        <v>11</v>
      </c>
      <c r="BB90" s="3">
        <v>47</v>
      </c>
      <c r="BC90" s="3">
        <v>1</v>
      </c>
      <c r="BD90" s="3">
        <v>0</v>
      </c>
    </row>
    <row r="91" spans="1:56" x14ac:dyDescent="0.25">
      <c r="A91" t="s">
        <v>55</v>
      </c>
      <c r="B91" s="3">
        <v>42697</v>
      </c>
      <c r="C91" s="3">
        <v>83557</v>
      </c>
      <c r="D91" s="3">
        <v>4401</v>
      </c>
      <c r="E91" s="3">
        <v>11976</v>
      </c>
      <c r="F91" s="3">
        <v>19227</v>
      </c>
      <c r="G91" s="3">
        <v>28082</v>
      </c>
      <c r="H91" s="3">
        <v>20236</v>
      </c>
      <c r="I91" s="4">
        <v>5851</v>
      </c>
      <c r="J91" s="4">
        <v>7077</v>
      </c>
      <c r="K91" s="4">
        <v>1038</v>
      </c>
      <c r="L91" s="4">
        <v>4006</v>
      </c>
      <c r="M91" s="3">
        <v>23918</v>
      </c>
      <c r="N91" s="4">
        <v>1369</v>
      </c>
      <c r="O91" s="4">
        <v>816</v>
      </c>
      <c r="P91" s="4">
        <v>2219</v>
      </c>
      <c r="Q91" s="4">
        <v>3798</v>
      </c>
      <c r="R91" s="4">
        <v>4222</v>
      </c>
      <c r="S91" s="4">
        <v>6144</v>
      </c>
      <c r="T91" s="4">
        <v>4088</v>
      </c>
      <c r="U91" s="4">
        <v>795</v>
      </c>
      <c r="V91" s="4">
        <v>1069</v>
      </c>
      <c r="W91" s="3">
        <v>11</v>
      </c>
      <c r="X91" s="3">
        <v>-1</v>
      </c>
      <c r="Y91" s="4">
        <v>1</v>
      </c>
      <c r="Z91" s="4">
        <v>1.3666666666666665</v>
      </c>
      <c r="AA91" s="4" t="e">
        <v>#N/A</v>
      </c>
      <c r="AB91" s="3">
        <v>2</v>
      </c>
      <c r="AC91" s="3">
        <v>14</v>
      </c>
      <c r="AD91" s="3">
        <v>-16</v>
      </c>
      <c r="AE91" s="3">
        <v>5</v>
      </c>
      <c r="AF91" s="3">
        <v>6336</v>
      </c>
      <c r="AG91" s="4">
        <v>-3.2</v>
      </c>
      <c r="AH91" s="4">
        <v>2.2999999999999998</v>
      </c>
      <c r="AI91" s="3">
        <v>69557</v>
      </c>
      <c r="AJ91" s="3">
        <v>37</v>
      </c>
      <c r="AK91" s="3">
        <v>24</v>
      </c>
      <c r="AL91" s="3">
        <v>5</v>
      </c>
      <c r="AM91" s="3">
        <v>4</v>
      </c>
      <c r="AN91" s="3">
        <v>54</v>
      </c>
      <c r="AO91" s="3">
        <v>4</v>
      </c>
      <c r="AP91" s="3">
        <v>3</v>
      </c>
      <c r="AQ91" s="3">
        <v>22</v>
      </c>
      <c r="AR91" s="3">
        <v>21</v>
      </c>
      <c r="AS91" s="3">
        <v>15</v>
      </c>
      <c r="AT91" s="3">
        <v>5</v>
      </c>
      <c r="AU91" s="3">
        <v>67</v>
      </c>
      <c r="AV91" s="3">
        <v>9</v>
      </c>
      <c r="AW91" s="3">
        <v>1</v>
      </c>
      <c r="AX91" s="3">
        <v>42</v>
      </c>
      <c r="AY91" s="3">
        <v>27</v>
      </c>
      <c r="AZ91" s="3">
        <v>10</v>
      </c>
      <c r="BA91" s="3">
        <v>6</v>
      </c>
      <c r="BB91" s="3">
        <v>55</v>
      </c>
      <c r="BC91" s="3">
        <v>1</v>
      </c>
      <c r="BD91" s="3">
        <v>5</v>
      </c>
    </row>
    <row r="92" spans="1:56" x14ac:dyDescent="0.25">
      <c r="A92" t="s">
        <v>56</v>
      </c>
      <c r="B92" s="3">
        <v>45515</v>
      </c>
      <c r="C92" s="3">
        <v>85811</v>
      </c>
      <c r="D92" s="3">
        <v>6711</v>
      </c>
      <c r="E92" s="3">
        <v>12503</v>
      </c>
      <c r="F92" s="3">
        <v>18881</v>
      </c>
      <c r="G92" s="3">
        <v>27155</v>
      </c>
      <c r="H92" s="3">
        <v>20074</v>
      </c>
      <c r="I92" s="4">
        <v>5974</v>
      </c>
      <c r="J92" s="4">
        <v>7195</v>
      </c>
      <c r="K92" s="4">
        <v>927</v>
      </c>
      <c r="L92" s="4">
        <v>3726</v>
      </c>
      <c r="M92" s="3">
        <v>23612</v>
      </c>
      <c r="N92" s="4">
        <v>1402</v>
      </c>
      <c r="O92" s="4">
        <v>877</v>
      </c>
      <c r="P92" s="4">
        <v>2291</v>
      </c>
      <c r="Q92" s="4">
        <v>7043</v>
      </c>
      <c r="R92" s="4">
        <v>4362</v>
      </c>
      <c r="S92" s="4">
        <v>6013</v>
      </c>
      <c r="T92" s="4">
        <v>4070</v>
      </c>
      <c r="U92" s="4">
        <v>799</v>
      </c>
      <c r="V92" s="4">
        <v>1001</v>
      </c>
      <c r="W92" s="3">
        <v>23</v>
      </c>
      <c r="X92" s="3">
        <v>-4</v>
      </c>
      <c r="Y92" s="4">
        <v>1.5666666666666667</v>
      </c>
      <c r="Z92" s="4">
        <v>1.5</v>
      </c>
      <c r="AA92" s="4" t="e">
        <v>#N/A</v>
      </c>
      <c r="AB92" s="3">
        <v>10</v>
      </c>
      <c r="AC92" s="3">
        <v>1</v>
      </c>
      <c r="AD92" s="3">
        <v>7</v>
      </c>
      <c r="AE92" s="3">
        <v>5</v>
      </c>
      <c r="AF92" s="3">
        <v>7490</v>
      </c>
      <c r="AG92" s="4">
        <v>0</v>
      </c>
      <c r="AH92" s="4">
        <v>-0.8</v>
      </c>
      <c r="AI92" s="3">
        <v>71771</v>
      </c>
      <c r="AJ92" s="3">
        <v>37</v>
      </c>
      <c r="AK92" s="3">
        <v>26</v>
      </c>
      <c r="AL92" s="3">
        <v>7</v>
      </c>
      <c r="AM92" s="3">
        <v>7</v>
      </c>
      <c r="AN92" s="3">
        <v>41</v>
      </c>
      <c r="AO92" s="3">
        <v>5</v>
      </c>
      <c r="AP92" s="3">
        <v>6</v>
      </c>
      <c r="AQ92" s="3">
        <v>36</v>
      </c>
      <c r="AR92" s="3">
        <v>29</v>
      </c>
      <c r="AS92" s="3">
        <v>23</v>
      </c>
      <c r="AT92" s="3">
        <v>8</v>
      </c>
      <c r="AU92" s="3">
        <v>69</v>
      </c>
      <c r="AV92" s="3">
        <v>4</v>
      </c>
      <c r="AW92" s="3">
        <v>2</v>
      </c>
      <c r="AX92" s="3">
        <v>19</v>
      </c>
      <c r="AY92" s="3">
        <v>35</v>
      </c>
      <c r="AZ92" s="3">
        <v>8</v>
      </c>
      <c r="BA92" s="3">
        <v>7</v>
      </c>
      <c r="BB92" s="3">
        <v>60</v>
      </c>
      <c r="BC92" s="3">
        <v>0</v>
      </c>
      <c r="BD92" s="3">
        <v>9</v>
      </c>
    </row>
    <row r="93" spans="1:56" x14ac:dyDescent="0.25">
      <c r="A93" t="s">
        <v>57</v>
      </c>
      <c r="B93" s="3">
        <v>42330</v>
      </c>
      <c r="C93" s="3">
        <v>82496</v>
      </c>
      <c r="D93" s="3">
        <v>3342</v>
      </c>
      <c r="E93" s="3">
        <v>12903</v>
      </c>
      <c r="F93" s="3">
        <v>18428</v>
      </c>
      <c r="G93" s="3">
        <v>28133</v>
      </c>
      <c r="H93" s="3">
        <v>20194</v>
      </c>
      <c r="I93" s="4">
        <v>5765</v>
      </c>
      <c r="J93" s="4">
        <v>7309</v>
      </c>
      <c r="K93" s="4">
        <v>1232</v>
      </c>
      <c r="L93" s="4">
        <v>4459</v>
      </c>
      <c r="M93" s="3">
        <v>23807</v>
      </c>
      <c r="N93" s="4">
        <v>1386</v>
      </c>
      <c r="O93" s="4">
        <v>767</v>
      </c>
      <c r="P93" s="4">
        <v>2543</v>
      </c>
      <c r="Q93" s="4">
        <v>2059</v>
      </c>
      <c r="R93" s="4">
        <v>4385</v>
      </c>
      <c r="S93" s="4">
        <v>6938</v>
      </c>
      <c r="T93" s="4">
        <v>4046</v>
      </c>
      <c r="U93" s="4">
        <v>787</v>
      </c>
      <c r="V93" s="4">
        <v>1056</v>
      </c>
      <c r="W93" s="3">
        <v>6</v>
      </c>
      <c r="X93" s="3">
        <v>3</v>
      </c>
      <c r="Y93" s="4">
        <v>2.3000000000000003</v>
      </c>
      <c r="Z93" s="4">
        <v>1.8666666666666665</v>
      </c>
      <c r="AA93" s="4" t="e">
        <v>#N/A</v>
      </c>
      <c r="AB93" s="3">
        <v>10</v>
      </c>
      <c r="AC93" s="3">
        <v>13</v>
      </c>
      <c r="AD93" s="3">
        <v>8</v>
      </c>
      <c r="AE93" s="3">
        <v>-4</v>
      </c>
      <c r="AF93" s="3">
        <v>6029</v>
      </c>
      <c r="AG93" s="4">
        <v>0</v>
      </c>
      <c r="AH93" s="4">
        <v>-0.9</v>
      </c>
      <c r="AI93" s="3">
        <v>70680</v>
      </c>
      <c r="AJ93" s="3">
        <v>28</v>
      </c>
      <c r="AK93" s="3">
        <v>20</v>
      </c>
      <c r="AL93" s="3">
        <v>8</v>
      </c>
      <c r="AM93" s="3">
        <v>7</v>
      </c>
      <c r="AN93" s="3">
        <v>55</v>
      </c>
      <c r="AO93" s="3">
        <v>5</v>
      </c>
      <c r="AP93" s="3">
        <v>5</v>
      </c>
      <c r="AQ93" s="3">
        <v>29</v>
      </c>
      <c r="AR93" s="3">
        <v>32</v>
      </c>
      <c r="AS93" s="3">
        <v>9</v>
      </c>
      <c r="AT93" s="3">
        <v>4</v>
      </c>
      <c r="AU93" s="3">
        <v>73</v>
      </c>
      <c r="AV93" s="3">
        <v>2</v>
      </c>
      <c r="AW93" s="3">
        <v>0</v>
      </c>
      <c r="AX93" s="3">
        <v>34</v>
      </c>
      <c r="AY93" s="3">
        <v>31</v>
      </c>
      <c r="AZ93" s="3">
        <v>15</v>
      </c>
      <c r="BA93" s="3">
        <v>4</v>
      </c>
      <c r="BB93" s="3">
        <v>53</v>
      </c>
      <c r="BC93" s="3">
        <v>3</v>
      </c>
      <c r="BD93" s="3">
        <v>4</v>
      </c>
    </row>
    <row r="94" spans="1:56" x14ac:dyDescent="0.25">
      <c r="A94" t="s">
        <v>58</v>
      </c>
      <c r="B94" s="3">
        <v>44742</v>
      </c>
      <c r="C94" s="3">
        <v>81610</v>
      </c>
      <c r="D94" s="3">
        <v>3988</v>
      </c>
      <c r="E94" s="3">
        <v>12993</v>
      </c>
      <c r="F94" s="3">
        <v>18152</v>
      </c>
      <c r="G94" s="3">
        <v>26642</v>
      </c>
      <c r="H94" s="3">
        <v>20093</v>
      </c>
      <c r="I94" s="4">
        <v>6089</v>
      </c>
      <c r="J94" s="4">
        <v>7607</v>
      </c>
      <c r="K94" s="4">
        <v>1170</v>
      </c>
      <c r="L94" s="4">
        <v>4122</v>
      </c>
      <c r="M94" s="3">
        <v>24398</v>
      </c>
      <c r="N94" s="4">
        <v>1447</v>
      </c>
      <c r="O94" s="4">
        <v>740</v>
      </c>
      <c r="P94" s="4">
        <v>2710</v>
      </c>
      <c r="Q94" s="4">
        <v>3291</v>
      </c>
      <c r="R94" s="4">
        <v>4535</v>
      </c>
      <c r="S94" s="4">
        <v>7098</v>
      </c>
      <c r="T94" s="4">
        <v>4057</v>
      </c>
      <c r="U94" s="4">
        <v>686</v>
      </c>
      <c r="V94" s="4">
        <v>1095</v>
      </c>
      <c r="W94" s="3">
        <v>16</v>
      </c>
      <c r="X94" s="3">
        <v>2</v>
      </c>
      <c r="Y94" s="4">
        <v>2.2666666666666666</v>
      </c>
      <c r="Z94" s="4">
        <v>1.6000000000000003</v>
      </c>
      <c r="AA94" s="4" t="e">
        <v>#N/A</v>
      </c>
      <c r="AB94" s="3">
        <v>7</v>
      </c>
      <c r="AC94" s="3">
        <v>0</v>
      </c>
      <c r="AD94" s="3">
        <v>15</v>
      </c>
      <c r="AE94" s="3">
        <v>-23</v>
      </c>
      <c r="AF94" s="3">
        <v>6918</v>
      </c>
      <c r="AG94" s="4">
        <v>-14</v>
      </c>
      <c r="AH94" s="4">
        <v>-7.4</v>
      </c>
      <c r="AI94" s="3">
        <v>69494</v>
      </c>
      <c r="AJ94" s="3">
        <v>37</v>
      </c>
      <c r="AK94" s="3">
        <v>24</v>
      </c>
      <c r="AL94" s="3">
        <v>8</v>
      </c>
      <c r="AM94" s="3">
        <v>5</v>
      </c>
      <c r="AN94" s="3">
        <v>53</v>
      </c>
      <c r="AO94" s="3">
        <v>4</v>
      </c>
      <c r="AP94" s="3">
        <v>5</v>
      </c>
      <c r="AQ94" s="3">
        <v>19</v>
      </c>
      <c r="AR94" s="3">
        <v>20</v>
      </c>
      <c r="AS94" s="3">
        <v>13</v>
      </c>
      <c r="AT94" s="3">
        <v>3</v>
      </c>
      <c r="AU94" s="3">
        <v>66</v>
      </c>
      <c r="AV94" s="3">
        <v>4</v>
      </c>
      <c r="AW94" s="3">
        <v>2</v>
      </c>
      <c r="AX94" s="3">
        <v>34</v>
      </c>
      <c r="AY94" s="3">
        <v>33</v>
      </c>
      <c r="AZ94" s="3">
        <v>23</v>
      </c>
      <c r="BA94" s="3">
        <v>8</v>
      </c>
      <c r="BB94" s="3">
        <v>36</v>
      </c>
      <c r="BC94" s="3">
        <v>5</v>
      </c>
      <c r="BD94" s="3">
        <v>7</v>
      </c>
    </row>
    <row r="95" spans="1:56" x14ac:dyDescent="0.25">
      <c r="A95" t="s">
        <v>59</v>
      </c>
      <c r="B95" s="3">
        <v>46218</v>
      </c>
      <c r="C95" s="3">
        <v>83476</v>
      </c>
      <c r="D95" s="3">
        <v>3162</v>
      </c>
      <c r="E95" s="3">
        <v>13760</v>
      </c>
      <c r="F95" s="3">
        <v>17970</v>
      </c>
      <c r="G95" s="3">
        <v>27734</v>
      </c>
      <c r="H95" s="3">
        <v>21118</v>
      </c>
      <c r="I95" s="4">
        <v>6352</v>
      </c>
      <c r="J95" s="4">
        <v>7909</v>
      </c>
      <c r="K95" s="4">
        <v>1446</v>
      </c>
      <c r="L95" s="4">
        <v>4237</v>
      </c>
      <c r="M95" s="3">
        <v>24554</v>
      </c>
      <c r="N95" s="4">
        <v>1443</v>
      </c>
      <c r="O95" s="4">
        <v>914</v>
      </c>
      <c r="P95" s="4">
        <v>2740</v>
      </c>
      <c r="Q95" s="4">
        <v>2586</v>
      </c>
      <c r="R95" s="4">
        <v>4868</v>
      </c>
      <c r="S95" s="4">
        <v>7150</v>
      </c>
      <c r="T95" s="4">
        <v>4104</v>
      </c>
      <c r="U95" s="4">
        <v>674</v>
      </c>
      <c r="V95" s="4">
        <v>976</v>
      </c>
      <c r="W95" s="3">
        <v>8</v>
      </c>
      <c r="X95" s="3">
        <v>1</v>
      </c>
      <c r="Y95" s="4">
        <v>1.9666666666666666</v>
      </c>
      <c r="Z95" s="4">
        <v>1.5333333333333332</v>
      </c>
      <c r="AA95" s="4" t="e">
        <v>#N/A</v>
      </c>
      <c r="AB95" s="3">
        <v>-17</v>
      </c>
      <c r="AC95" s="3">
        <v>-10</v>
      </c>
      <c r="AD95" s="3">
        <v>1</v>
      </c>
      <c r="AE95" s="3">
        <v>-22</v>
      </c>
      <c r="AF95" s="3">
        <v>6972</v>
      </c>
      <c r="AG95" s="4">
        <v>-7.7</v>
      </c>
      <c r="AH95" s="4">
        <v>-12.2</v>
      </c>
      <c r="AI95" s="3">
        <v>71555</v>
      </c>
      <c r="AJ95" s="3">
        <v>40</v>
      </c>
      <c r="AK95" s="3">
        <v>25</v>
      </c>
      <c r="AL95" s="3">
        <v>7</v>
      </c>
      <c r="AM95" s="3">
        <v>5</v>
      </c>
      <c r="AN95" s="3">
        <v>51</v>
      </c>
      <c r="AO95" s="3">
        <v>4</v>
      </c>
      <c r="AP95" s="3">
        <v>2</v>
      </c>
      <c r="AQ95" s="3">
        <v>24</v>
      </c>
      <c r="AR95" s="3">
        <v>15</v>
      </c>
      <c r="AS95" s="3">
        <v>14</v>
      </c>
      <c r="AT95" s="3">
        <v>11</v>
      </c>
      <c r="AU95" s="3">
        <v>63</v>
      </c>
      <c r="AV95" s="3">
        <v>3</v>
      </c>
      <c r="AW95" s="3">
        <v>2</v>
      </c>
      <c r="AX95" s="3">
        <v>37</v>
      </c>
      <c r="AY95" s="3">
        <v>34</v>
      </c>
      <c r="AZ95" s="3">
        <v>18</v>
      </c>
      <c r="BA95" s="3">
        <v>14</v>
      </c>
      <c r="BB95" s="3">
        <v>45</v>
      </c>
      <c r="BC95" s="3">
        <v>1</v>
      </c>
      <c r="BD95" s="3">
        <v>7</v>
      </c>
    </row>
    <row r="96" spans="1:56" x14ac:dyDescent="0.25">
      <c r="A96" t="s">
        <v>60</v>
      </c>
      <c r="B96" s="3">
        <v>47373</v>
      </c>
      <c r="C96" s="3">
        <v>84212</v>
      </c>
      <c r="D96" s="3">
        <v>4744</v>
      </c>
      <c r="E96" s="3">
        <v>14008</v>
      </c>
      <c r="F96" s="3">
        <v>17629</v>
      </c>
      <c r="G96" s="3">
        <v>27484</v>
      </c>
      <c r="H96" s="3">
        <v>20020</v>
      </c>
      <c r="I96" s="4">
        <v>6482</v>
      </c>
      <c r="J96" s="4">
        <v>8342</v>
      </c>
      <c r="K96" s="4">
        <v>1251</v>
      </c>
      <c r="L96" s="4">
        <v>4331</v>
      </c>
      <c r="M96" s="3">
        <v>24382</v>
      </c>
      <c r="N96" s="4">
        <v>1439</v>
      </c>
      <c r="O96" s="4">
        <v>924</v>
      </c>
      <c r="P96" s="4">
        <v>3002</v>
      </c>
      <c r="Q96" s="4">
        <v>4643</v>
      </c>
      <c r="R96" s="4">
        <v>4883</v>
      </c>
      <c r="S96" s="4">
        <v>6843</v>
      </c>
      <c r="T96" s="4">
        <v>4128</v>
      </c>
      <c r="U96" s="4">
        <v>741</v>
      </c>
      <c r="V96" s="4">
        <v>1062</v>
      </c>
      <c r="W96" s="3">
        <v>5</v>
      </c>
      <c r="X96" s="3">
        <v>2</v>
      </c>
      <c r="Y96" s="4">
        <v>1.3666666666666665</v>
      </c>
      <c r="Z96" s="4">
        <v>0.76666666666666661</v>
      </c>
      <c r="AA96" s="4" t="e">
        <v>#N/A</v>
      </c>
      <c r="AB96" s="3">
        <v>-9</v>
      </c>
      <c r="AC96" s="3">
        <v>-21</v>
      </c>
      <c r="AD96" s="3">
        <v>3</v>
      </c>
      <c r="AE96" s="3">
        <v>-27</v>
      </c>
      <c r="AF96" s="3">
        <v>6838</v>
      </c>
      <c r="AG96" s="4">
        <v>-3.4</v>
      </c>
      <c r="AH96" s="4">
        <v>-3.2</v>
      </c>
      <c r="AI96" s="3">
        <v>75297</v>
      </c>
      <c r="AJ96" s="3">
        <v>39</v>
      </c>
      <c r="AK96" s="3">
        <v>27</v>
      </c>
      <c r="AL96" s="3">
        <v>11</v>
      </c>
      <c r="AM96" s="3">
        <v>7</v>
      </c>
      <c r="AN96" s="3">
        <v>55</v>
      </c>
      <c r="AO96" s="3">
        <v>12</v>
      </c>
      <c r="AP96" s="3">
        <v>11</v>
      </c>
      <c r="AQ96" s="3">
        <v>13</v>
      </c>
      <c r="AR96" s="3">
        <v>24</v>
      </c>
      <c r="AS96" s="3">
        <v>9</v>
      </c>
      <c r="AT96" s="3">
        <v>5</v>
      </c>
      <c r="AU96" s="3">
        <v>68</v>
      </c>
      <c r="AV96" s="3">
        <v>5</v>
      </c>
      <c r="AW96" s="3">
        <v>1</v>
      </c>
      <c r="AX96" s="3">
        <v>56</v>
      </c>
      <c r="AY96" s="3">
        <v>21</v>
      </c>
      <c r="AZ96" s="3">
        <v>15</v>
      </c>
      <c r="BA96" s="3">
        <v>11</v>
      </c>
      <c r="BB96" s="3">
        <v>67</v>
      </c>
      <c r="BC96" s="3">
        <v>2</v>
      </c>
      <c r="BD96" s="3">
        <v>4</v>
      </c>
    </row>
    <row r="97" spans="1:56" x14ac:dyDescent="0.25">
      <c r="A97" t="s">
        <v>61</v>
      </c>
      <c r="B97" s="3">
        <v>49127</v>
      </c>
      <c r="C97" s="3">
        <v>85491</v>
      </c>
      <c r="D97" s="3">
        <v>8647</v>
      </c>
      <c r="E97" s="3">
        <v>13546</v>
      </c>
      <c r="F97" s="3">
        <v>16800</v>
      </c>
      <c r="G97" s="3">
        <v>27457</v>
      </c>
      <c r="H97" s="3">
        <v>19600</v>
      </c>
      <c r="I97" s="4">
        <v>6695</v>
      </c>
      <c r="J97" s="4">
        <v>9123</v>
      </c>
      <c r="K97" s="4">
        <v>1339</v>
      </c>
      <c r="L97" s="4">
        <v>4102</v>
      </c>
      <c r="M97" s="3">
        <v>26018</v>
      </c>
      <c r="N97" s="4">
        <v>1462</v>
      </c>
      <c r="O97" s="4">
        <v>980</v>
      </c>
      <c r="P97" s="4">
        <v>2726</v>
      </c>
      <c r="Q97" s="4">
        <v>7691</v>
      </c>
      <c r="R97" s="4">
        <v>4889</v>
      </c>
      <c r="S97" s="4">
        <v>6786</v>
      </c>
      <c r="T97" s="4">
        <v>4171</v>
      </c>
      <c r="U97" s="4">
        <v>768</v>
      </c>
      <c r="V97" s="4">
        <v>1184</v>
      </c>
      <c r="W97" s="3">
        <v>17</v>
      </c>
      <c r="X97" s="3">
        <v>5</v>
      </c>
      <c r="Y97" s="4">
        <v>1.0666666666666667</v>
      </c>
      <c r="Z97" s="4">
        <v>0.46666666666666662</v>
      </c>
      <c r="AA97" s="4" t="e">
        <v>#N/A</v>
      </c>
      <c r="AB97" s="3">
        <v>-6</v>
      </c>
      <c r="AC97" s="3">
        <v>-28</v>
      </c>
      <c r="AD97" s="3">
        <v>-10</v>
      </c>
      <c r="AE97" s="3">
        <v>-9</v>
      </c>
      <c r="AF97" s="3">
        <v>7459</v>
      </c>
      <c r="AG97" s="4">
        <v>-19.100000000000001</v>
      </c>
      <c r="AH97" s="4">
        <v>-1.6</v>
      </c>
      <c r="AI97" s="3">
        <v>72801</v>
      </c>
      <c r="AJ97" s="3">
        <v>34</v>
      </c>
      <c r="AK97" s="3">
        <v>19</v>
      </c>
      <c r="AL97" s="3">
        <v>7</v>
      </c>
      <c r="AM97" s="3">
        <v>7</v>
      </c>
      <c r="AN97" s="3">
        <v>61</v>
      </c>
      <c r="AO97" s="3">
        <v>8</v>
      </c>
      <c r="AP97" s="3">
        <v>6</v>
      </c>
      <c r="AQ97" s="3">
        <v>16</v>
      </c>
      <c r="AR97" s="3">
        <v>28</v>
      </c>
      <c r="AS97" s="3">
        <v>9</v>
      </c>
      <c r="AT97" s="3">
        <v>3</v>
      </c>
      <c r="AU97" s="3">
        <v>56</v>
      </c>
      <c r="AV97" s="3">
        <v>4</v>
      </c>
      <c r="AW97" s="3">
        <v>10</v>
      </c>
      <c r="AX97" s="3">
        <v>46</v>
      </c>
      <c r="AY97" s="3">
        <v>25</v>
      </c>
      <c r="AZ97" s="3">
        <v>19</v>
      </c>
      <c r="BA97" s="3">
        <v>15</v>
      </c>
      <c r="BB97" s="3">
        <v>52</v>
      </c>
      <c r="BC97" s="3">
        <v>3</v>
      </c>
      <c r="BD97" s="3">
        <v>2</v>
      </c>
    </row>
    <row r="98" spans="1:56" x14ac:dyDescent="0.25">
      <c r="A98" t="s">
        <v>62</v>
      </c>
      <c r="B98" s="3">
        <v>47014</v>
      </c>
      <c r="C98" s="3">
        <v>83307</v>
      </c>
      <c r="D98" s="3">
        <v>2723</v>
      </c>
      <c r="E98" s="3">
        <v>13898</v>
      </c>
      <c r="F98" s="3">
        <v>17136</v>
      </c>
      <c r="G98" s="3">
        <v>28775</v>
      </c>
      <c r="H98" s="3">
        <v>21227</v>
      </c>
      <c r="I98" s="4">
        <v>6642</v>
      </c>
      <c r="J98" s="4">
        <v>8842</v>
      </c>
      <c r="K98" s="4">
        <v>1716</v>
      </c>
      <c r="L98" s="4">
        <v>4305</v>
      </c>
      <c r="M98" s="3">
        <v>25339</v>
      </c>
      <c r="N98" s="4">
        <v>1336</v>
      </c>
      <c r="O98" s="4">
        <v>888</v>
      </c>
      <c r="P98" s="4">
        <v>2737</v>
      </c>
      <c r="Q98" s="4">
        <v>2154</v>
      </c>
      <c r="R98" s="4">
        <v>4769</v>
      </c>
      <c r="S98" s="4">
        <v>6742</v>
      </c>
      <c r="T98" s="4">
        <v>4362</v>
      </c>
      <c r="U98" s="4">
        <v>675</v>
      </c>
      <c r="V98" s="4">
        <v>1083</v>
      </c>
      <c r="W98" s="3">
        <v>11</v>
      </c>
      <c r="X98" s="3">
        <v>5</v>
      </c>
      <c r="Y98" s="4">
        <v>1.2666666666666666</v>
      </c>
      <c r="Z98" s="4">
        <v>0.76666666666666661</v>
      </c>
      <c r="AA98" s="4" t="e">
        <v>#N/A</v>
      </c>
      <c r="AB98" s="3">
        <v>13</v>
      </c>
      <c r="AC98" s="3">
        <v>-4</v>
      </c>
      <c r="AD98" s="3">
        <v>5</v>
      </c>
      <c r="AE98" s="3">
        <v>-22</v>
      </c>
      <c r="AF98" s="3">
        <v>7494</v>
      </c>
      <c r="AG98" s="4">
        <v>-11.3</v>
      </c>
      <c r="AH98" s="4">
        <v>-1.3</v>
      </c>
      <c r="AI98" s="3">
        <v>73550</v>
      </c>
      <c r="AJ98" s="3">
        <v>42</v>
      </c>
      <c r="AK98" s="3">
        <v>17</v>
      </c>
      <c r="AL98" s="3">
        <v>5</v>
      </c>
      <c r="AM98" s="3">
        <v>3</v>
      </c>
      <c r="AN98" s="3">
        <v>46</v>
      </c>
      <c r="AO98" s="3">
        <v>7</v>
      </c>
      <c r="AP98" s="3">
        <v>5</v>
      </c>
      <c r="AQ98" s="3">
        <v>18</v>
      </c>
      <c r="AR98" s="3">
        <v>18</v>
      </c>
      <c r="AS98" s="3">
        <v>8</v>
      </c>
      <c r="AT98" s="3">
        <v>2</v>
      </c>
      <c r="AU98" s="3">
        <v>63</v>
      </c>
      <c r="AV98" s="3">
        <v>2</v>
      </c>
      <c r="AW98" s="3">
        <v>1</v>
      </c>
      <c r="AX98" s="3">
        <v>37</v>
      </c>
      <c r="AY98" s="3">
        <v>28</v>
      </c>
      <c r="AZ98" s="3">
        <v>16</v>
      </c>
      <c r="BA98" s="3">
        <v>14</v>
      </c>
      <c r="BB98" s="3">
        <v>55</v>
      </c>
      <c r="BC98" s="3">
        <v>6</v>
      </c>
      <c r="BD98" s="3">
        <v>5</v>
      </c>
    </row>
    <row r="99" spans="1:56" x14ac:dyDescent="0.25">
      <c r="A99" t="s">
        <v>63</v>
      </c>
      <c r="B99" s="3">
        <v>47249</v>
      </c>
      <c r="C99" s="3">
        <v>82537</v>
      </c>
      <c r="D99" s="3">
        <v>759</v>
      </c>
      <c r="E99" s="3">
        <v>14301</v>
      </c>
      <c r="F99" s="3">
        <v>17376</v>
      </c>
      <c r="G99" s="3">
        <v>29120</v>
      </c>
      <c r="H99" s="3">
        <v>21206</v>
      </c>
      <c r="I99" s="4">
        <v>6703</v>
      </c>
      <c r="J99" s="4">
        <v>9337</v>
      </c>
      <c r="K99" s="4">
        <v>1610</v>
      </c>
      <c r="L99" s="4">
        <v>4521</v>
      </c>
      <c r="M99" s="3">
        <v>23803</v>
      </c>
      <c r="N99" s="4">
        <v>1396</v>
      </c>
      <c r="O99" s="4">
        <v>756</v>
      </c>
      <c r="P99" s="4">
        <v>2902</v>
      </c>
      <c r="Q99" s="4">
        <v>590</v>
      </c>
      <c r="R99" s="4">
        <v>4816</v>
      </c>
      <c r="S99" s="4">
        <v>6524</v>
      </c>
      <c r="T99" s="4">
        <v>4564</v>
      </c>
      <c r="U99" s="4">
        <v>820</v>
      </c>
      <c r="V99" s="4">
        <v>1063</v>
      </c>
      <c r="W99" s="3">
        <v>7</v>
      </c>
      <c r="X99" s="3">
        <v>3</v>
      </c>
      <c r="Y99" s="4">
        <v>0.46666666666666673</v>
      </c>
      <c r="Z99" s="4">
        <v>0.43333333333333335</v>
      </c>
      <c r="AA99" s="4" t="e">
        <v>#N/A</v>
      </c>
      <c r="AB99" s="3">
        <v>-4</v>
      </c>
      <c r="AC99" s="3">
        <v>-8</v>
      </c>
      <c r="AD99" s="3">
        <v>-10</v>
      </c>
      <c r="AE99" s="3">
        <v>-32</v>
      </c>
      <c r="AF99" s="3">
        <v>7434</v>
      </c>
      <c r="AG99" s="4">
        <v>-9.3000000000000007</v>
      </c>
      <c r="AH99" s="4">
        <v>-6.5</v>
      </c>
      <c r="AI99" s="3">
        <v>77210</v>
      </c>
      <c r="AJ99" s="3">
        <v>37</v>
      </c>
      <c r="AK99" s="3">
        <v>19</v>
      </c>
      <c r="AL99" s="3">
        <v>10</v>
      </c>
      <c r="AM99" s="3">
        <v>3</v>
      </c>
      <c r="AN99" s="3">
        <v>55</v>
      </c>
      <c r="AO99" s="3">
        <v>5</v>
      </c>
      <c r="AP99" s="3">
        <v>8</v>
      </c>
      <c r="AQ99" s="3">
        <v>30</v>
      </c>
      <c r="AR99" s="3">
        <v>25</v>
      </c>
      <c r="AS99" s="3">
        <v>13</v>
      </c>
      <c r="AT99" s="3">
        <v>3</v>
      </c>
      <c r="AU99" s="3">
        <v>70</v>
      </c>
      <c r="AV99" s="3">
        <v>9</v>
      </c>
      <c r="AW99" s="3">
        <v>2</v>
      </c>
      <c r="AX99" s="3">
        <v>22</v>
      </c>
      <c r="AY99" s="3">
        <v>23</v>
      </c>
      <c r="AZ99" s="3">
        <v>6</v>
      </c>
      <c r="BA99" s="3">
        <v>5</v>
      </c>
      <c r="BB99" s="3">
        <v>56</v>
      </c>
      <c r="BC99" s="3">
        <v>7</v>
      </c>
      <c r="BD99" s="3">
        <v>8</v>
      </c>
    </row>
    <row r="100" spans="1:56" x14ac:dyDescent="0.25">
      <c r="A100" t="s">
        <v>64</v>
      </c>
      <c r="B100" s="3">
        <v>49989</v>
      </c>
      <c r="C100" s="3">
        <v>85851</v>
      </c>
      <c r="D100" s="3">
        <v>3109</v>
      </c>
      <c r="E100" s="3">
        <v>14587</v>
      </c>
      <c r="F100" s="3">
        <v>17133</v>
      </c>
      <c r="G100" s="3">
        <v>30081</v>
      </c>
      <c r="H100" s="3">
        <v>21121</v>
      </c>
      <c r="I100" s="4">
        <v>6845</v>
      </c>
      <c r="J100" s="4">
        <v>9921</v>
      </c>
      <c r="K100" s="4">
        <v>1891</v>
      </c>
      <c r="L100" s="4">
        <v>4412</v>
      </c>
      <c r="M100" s="3">
        <v>25719</v>
      </c>
      <c r="N100" s="4">
        <v>1413</v>
      </c>
      <c r="O100" s="4">
        <v>930</v>
      </c>
      <c r="P100" s="4">
        <v>4183</v>
      </c>
      <c r="Q100" s="4">
        <v>2833</v>
      </c>
      <c r="R100" s="4">
        <v>4756</v>
      </c>
      <c r="S100" s="4">
        <v>6831</v>
      </c>
      <c r="T100" s="4">
        <v>4548</v>
      </c>
      <c r="U100" s="4">
        <v>822</v>
      </c>
      <c r="V100" s="4">
        <v>1227</v>
      </c>
      <c r="W100" s="3">
        <v>11</v>
      </c>
      <c r="X100" s="3">
        <v>5</v>
      </c>
      <c r="Y100" s="4">
        <v>0.40000000000000008</v>
      </c>
      <c r="Z100" s="4">
        <v>0.5</v>
      </c>
      <c r="AA100" s="4" t="e">
        <v>#N/A</v>
      </c>
      <c r="AB100" s="3">
        <v>-4</v>
      </c>
      <c r="AC100" s="3">
        <v>-15</v>
      </c>
      <c r="AD100" s="3">
        <v>-1</v>
      </c>
      <c r="AE100" s="3">
        <v>-13</v>
      </c>
      <c r="AF100" s="3">
        <v>7033</v>
      </c>
      <c r="AG100" s="4">
        <v>-3.2</v>
      </c>
      <c r="AH100" s="4">
        <v>-0.9</v>
      </c>
      <c r="AI100" s="3">
        <v>78326</v>
      </c>
      <c r="AJ100" s="3">
        <v>37</v>
      </c>
      <c r="AK100" s="3">
        <v>19</v>
      </c>
      <c r="AL100" s="3">
        <v>6</v>
      </c>
      <c r="AM100" s="3">
        <v>8</v>
      </c>
      <c r="AN100" s="3">
        <v>54</v>
      </c>
      <c r="AO100" s="3">
        <v>8</v>
      </c>
      <c r="AP100" s="3">
        <v>4</v>
      </c>
      <c r="AQ100" s="3">
        <v>29</v>
      </c>
      <c r="AR100" s="3">
        <v>13</v>
      </c>
      <c r="AS100" s="3">
        <v>14</v>
      </c>
      <c r="AT100" s="3">
        <v>11</v>
      </c>
      <c r="AU100" s="3">
        <v>55</v>
      </c>
      <c r="AV100" s="3">
        <v>13</v>
      </c>
      <c r="AW100" s="3">
        <v>4</v>
      </c>
      <c r="AX100" s="3">
        <v>19</v>
      </c>
      <c r="AY100" s="3">
        <v>21</v>
      </c>
      <c r="AZ100" s="3">
        <v>16</v>
      </c>
      <c r="BA100" s="3">
        <v>7</v>
      </c>
      <c r="BB100" s="3">
        <v>70</v>
      </c>
      <c r="BC100" s="3">
        <v>4</v>
      </c>
      <c r="BD100" s="3">
        <v>7</v>
      </c>
    </row>
    <row r="101" spans="1:56" x14ac:dyDescent="0.25">
      <c r="A101" t="s">
        <v>65</v>
      </c>
      <c r="B101" s="3">
        <v>48539</v>
      </c>
      <c r="C101" s="3">
        <v>83337</v>
      </c>
      <c r="D101" s="3">
        <v>2430</v>
      </c>
      <c r="E101" s="3">
        <v>14368</v>
      </c>
      <c r="F101" s="3">
        <v>17082</v>
      </c>
      <c r="G101" s="3">
        <v>28276</v>
      </c>
      <c r="H101" s="3">
        <v>21543</v>
      </c>
      <c r="I101" s="4">
        <v>6973</v>
      </c>
      <c r="J101" s="4">
        <v>10266</v>
      </c>
      <c r="K101" s="4">
        <v>1400</v>
      </c>
      <c r="L101" s="4">
        <v>4337</v>
      </c>
      <c r="M101" s="3">
        <v>26051</v>
      </c>
      <c r="N101" s="4">
        <v>1328</v>
      </c>
      <c r="O101" s="4">
        <v>816</v>
      </c>
      <c r="P101" s="4">
        <v>2836</v>
      </c>
      <c r="Q101" s="4">
        <v>2181</v>
      </c>
      <c r="R101" s="4">
        <v>5177</v>
      </c>
      <c r="S101" s="4">
        <v>6408</v>
      </c>
      <c r="T101" s="4">
        <v>4650</v>
      </c>
      <c r="U101" s="4">
        <v>766</v>
      </c>
      <c r="V101" s="4">
        <v>1449</v>
      </c>
      <c r="W101" s="3">
        <v>14</v>
      </c>
      <c r="X101" s="3">
        <v>9</v>
      </c>
      <c r="Y101" s="4">
        <v>0.73333333333333328</v>
      </c>
      <c r="Z101" s="4">
        <v>0.69999999999999984</v>
      </c>
      <c r="AA101" s="4" t="e">
        <v>#N/A</v>
      </c>
      <c r="AB101" s="3">
        <v>6</v>
      </c>
      <c r="AC101" s="3">
        <v>-4</v>
      </c>
      <c r="AD101" s="3">
        <v>1</v>
      </c>
      <c r="AE101" s="3">
        <v>-3</v>
      </c>
      <c r="AF101" s="3">
        <v>7786</v>
      </c>
      <c r="AG101" s="4">
        <v>-11.8</v>
      </c>
      <c r="AH101" s="4">
        <v>3.9</v>
      </c>
      <c r="AI101" s="3">
        <v>79879</v>
      </c>
      <c r="AJ101" s="3">
        <v>43</v>
      </c>
      <c r="AK101" s="3">
        <v>12</v>
      </c>
      <c r="AL101" s="3">
        <v>5</v>
      </c>
      <c r="AM101" s="3">
        <v>4</v>
      </c>
      <c r="AN101" s="3">
        <v>62</v>
      </c>
      <c r="AO101" s="3">
        <v>13</v>
      </c>
      <c r="AP101" s="3">
        <v>2</v>
      </c>
      <c r="AQ101" s="3">
        <v>16</v>
      </c>
      <c r="AR101" s="3">
        <v>30</v>
      </c>
      <c r="AS101" s="3">
        <v>18</v>
      </c>
      <c r="AT101" s="3">
        <v>7</v>
      </c>
      <c r="AU101" s="3">
        <v>72</v>
      </c>
      <c r="AV101" s="3">
        <v>5</v>
      </c>
      <c r="AW101" s="3">
        <v>4</v>
      </c>
      <c r="AX101" s="3">
        <v>29</v>
      </c>
      <c r="AY101" s="3">
        <v>23</v>
      </c>
      <c r="AZ101" s="3">
        <v>17</v>
      </c>
      <c r="BA101" s="3">
        <v>8</v>
      </c>
      <c r="BB101" s="3">
        <v>48</v>
      </c>
      <c r="BC101" s="3">
        <v>0</v>
      </c>
      <c r="BD101" s="3">
        <v>9</v>
      </c>
    </row>
    <row r="102" spans="1:56" x14ac:dyDescent="0.25">
      <c r="A102" t="s">
        <v>66</v>
      </c>
      <c r="B102" s="3">
        <v>49510</v>
      </c>
      <c r="C102" s="3">
        <v>86815</v>
      </c>
      <c r="D102" s="3">
        <v>2920</v>
      </c>
      <c r="E102" s="3">
        <v>13793</v>
      </c>
      <c r="F102" s="3">
        <v>18790</v>
      </c>
      <c r="G102" s="3">
        <v>30255</v>
      </c>
      <c r="H102" s="3">
        <v>21651</v>
      </c>
      <c r="I102" s="4">
        <v>6857</v>
      </c>
      <c r="J102" s="4">
        <v>10238</v>
      </c>
      <c r="K102" s="4">
        <v>1456</v>
      </c>
      <c r="L102" s="4">
        <v>4372</v>
      </c>
      <c r="M102" s="3">
        <v>25861</v>
      </c>
      <c r="N102" s="4">
        <v>1351</v>
      </c>
      <c r="O102" s="4">
        <v>830</v>
      </c>
      <c r="P102" s="4">
        <v>2885</v>
      </c>
      <c r="Q102" s="4">
        <v>3008</v>
      </c>
      <c r="R102" s="4">
        <v>5221</v>
      </c>
      <c r="S102" s="4">
        <v>6534</v>
      </c>
      <c r="T102" s="4">
        <v>4810</v>
      </c>
      <c r="U102" s="4">
        <v>788</v>
      </c>
      <c r="V102" s="4">
        <v>1419</v>
      </c>
      <c r="W102" s="3">
        <v>23</v>
      </c>
      <c r="X102" s="3">
        <v>7</v>
      </c>
      <c r="Y102" s="4">
        <v>0.93333333333333324</v>
      </c>
      <c r="Z102" s="4">
        <v>0.9</v>
      </c>
      <c r="AA102" s="4" t="e">
        <v>#N/A</v>
      </c>
      <c r="AB102" s="3">
        <v>4</v>
      </c>
      <c r="AC102" s="3">
        <v>-3</v>
      </c>
      <c r="AD102" s="3">
        <v>-7</v>
      </c>
      <c r="AE102" s="3">
        <v>0</v>
      </c>
      <c r="AF102" s="3">
        <v>7176</v>
      </c>
      <c r="AG102" s="4">
        <v>4</v>
      </c>
      <c r="AH102" s="4">
        <v>2.8</v>
      </c>
      <c r="AI102" s="3">
        <v>75718</v>
      </c>
      <c r="AJ102" s="3">
        <v>40</v>
      </c>
      <c r="AK102" s="3">
        <v>30</v>
      </c>
      <c r="AL102" s="3">
        <v>12</v>
      </c>
      <c r="AM102" s="3">
        <v>5</v>
      </c>
      <c r="AN102" s="3">
        <v>54</v>
      </c>
      <c r="AO102" s="3">
        <v>16</v>
      </c>
      <c r="AP102" s="3">
        <v>4</v>
      </c>
      <c r="AQ102" s="3">
        <v>30</v>
      </c>
      <c r="AR102" s="3">
        <v>22</v>
      </c>
      <c r="AS102" s="3">
        <v>12</v>
      </c>
      <c r="AT102" s="3">
        <v>4</v>
      </c>
      <c r="AU102" s="3">
        <v>69</v>
      </c>
      <c r="AV102" s="3">
        <v>2</v>
      </c>
      <c r="AW102" s="3">
        <v>1</v>
      </c>
      <c r="AX102" s="3">
        <v>14</v>
      </c>
      <c r="AY102" s="3">
        <v>39</v>
      </c>
      <c r="AZ102" s="3">
        <v>27</v>
      </c>
      <c r="BA102" s="3">
        <v>3</v>
      </c>
      <c r="BB102" s="3">
        <v>51</v>
      </c>
      <c r="BC102" s="3">
        <v>3</v>
      </c>
      <c r="BD102" s="3">
        <v>1</v>
      </c>
    </row>
    <row r="103" spans="1:56" x14ac:dyDescent="0.25">
      <c r="A103" t="s">
        <v>67</v>
      </c>
      <c r="B103" s="3">
        <v>51243</v>
      </c>
      <c r="C103" s="3">
        <v>88951</v>
      </c>
      <c r="D103" s="3">
        <v>4186</v>
      </c>
      <c r="E103" s="3">
        <v>14179</v>
      </c>
      <c r="F103" s="3">
        <v>18865</v>
      </c>
      <c r="G103" s="3">
        <v>30527</v>
      </c>
      <c r="H103" s="3">
        <v>21370</v>
      </c>
      <c r="I103" s="4">
        <v>7185</v>
      </c>
      <c r="J103" s="4">
        <v>10399</v>
      </c>
      <c r="K103" s="4">
        <v>1466</v>
      </c>
      <c r="L103" s="4">
        <v>4219</v>
      </c>
      <c r="M103" s="3">
        <v>26433</v>
      </c>
      <c r="N103" s="4">
        <v>1344</v>
      </c>
      <c r="O103" s="4">
        <v>942</v>
      </c>
      <c r="P103" s="4">
        <v>2938</v>
      </c>
      <c r="Q103" s="4">
        <v>3922</v>
      </c>
      <c r="R103" s="4">
        <v>5102</v>
      </c>
      <c r="S103" s="4">
        <v>6900</v>
      </c>
      <c r="T103" s="4">
        <v>4823</v>
      </c>
      <c r="U103" s="4">
        <v>846</v>
      </c>
      <c r="V103" s="4">
        <v>1544</v>
      </c>
      <c r="W103" s="3">
        <v>20</v>
      </c>
      <c r="X103" s="3">
        <v>17</v>
      </c>
      <c r="Y103" s="4">
        <v>1.0333333333333334</v>
      </c>
      <c r="Z103" s="4">
        <v>1.1666666666666667</v>
      </c>
      <c r="AA103" s="4" t="e">
        <v>#N/A</v>
      </c>
      <c r="AB103" s="3">
        <v>-1</v>
      </c>
      <c r="AC103" s="3">
        <v>2</v>
      </c>
      <c r="AD103" s="3">
        <v>0</v>
      </c>
      <c r="AE103" s="3">
        <v>-11</v>
      </c>
      <c r="AF103" s="3">
        <v>6962</v>
      </c>
      <c r="AG103" s="4">
        <v>23.9</v>
      </c>
      <c r="AH103" s="4">
        <v>19.399999999999999</v>
      </c>
      <c r="AI103" s="3">
        <v>78487</v>
      </c>
      <c r="AJ103" s="3">
        <v>36</v>
      </c>
      <c r="AK103" s="3">
        <v>19</v>
      </c>
      <c r="AL103" s="3">
        <v>11</v>
      </c>
      <c r="AM103" s="3">
        <v>5</v>
      </c>
      <c r="AN103" s="3">
        <v>55</v>
      </c>
      <c r="AO103" s="3">
        <v>4</v>
      </c>
      <c r="AP103" s="3">
        <v>3</v>
      </c>
      <c r="AQ103" s="3">
        <v>31</v>
      </c>
      <c r="AR103" s="3">
        <v>15</v>
      </c>
      <c r="AS103" s="3">
        <v>13</v>
      </c>
      <c r="AT103" s="3">
        <v>1</v>
      </c>
      <c r="AU103" s="3">
        <v>58</v>
      </c>
      <c r="AV103" s="3">
        <v>17</v>
      </c>
      <c r="AW103" s="3">
        <v>2</v>
      </c>
      <c r="AX103" s="3">
        <v>27</v>
      </c>
      <c r="AY103" s="3">
        <v>20</v>
      </c>
      <c r="AZ103" s="3">
        <v>7</v>
      </c>
      <c r="BA103" s="3">
        <v>5</v>
      </c>
      <c r="BB103" s="3">
        <v>61</v>
      </c>
      <c r="BC103" s="3">
        <v>2</v>
      </c>
      <c r="BD103" s="3">
        <v>15</v>
      </c>
    </row>
    <row r="104" spans="1:56" x14ac:dyDescent="0.25">
      <c r="A104" t="s">
        <v>68</v>
      </c>
      <c r="B104" s="3">
        <v>51038</v>
      </c>
      <c r="C104" s="3">
        <v>88938</v>
      </c>
      <c r="D104" s="3">
        <v>4010</v>
      </c>
      <c r="E104" s="3">
        <v>14108</v>
      </c>
      <c r="F104" s="3">
        <v>18884</v>
      </c>
      <c r="G104" s="3">
        <v>30496</v>
      </c>
      <c r="H104" s="3">
        <v>21584</v>
      </c>
      <c r="I104" s="4">
        <v>7069</v>
      </c>
      <c r="J104" s="4">
        <v>10033</v>
      </c>
      <c r="K104" s="4">
        <v>1355</v>
      </c>
      <c r="L104" s="4">
        <v>4439</v>
      </c>
      <c r="M104" s="3">
        <v>25769</v>
      </c>
      <c r="N104" s="4">
        <v>1310</v>
      </c>
      <c r="O104" s="4">
        <v>1082</v>
      </c>
      <c r="P104" s="4">
        <v>3023</v>
      </c>
      <c r="Q104" s="4">
        <v>4126</v>
      </c>
      <c r="R104" s="4">
        <v>5092</v>
      </c>
      <c r="S104" s="4">
        <v>7115</v>
      </c>
      <c r="T104" s="4">
        <v>4966</v>
      </c>
      <c r="U104" s="4">
        <v>885</v>
      </c>
      <c r="V104" s="4">
        <v>1379</v>
      </c>
      <c r="W104" s="3">
        <v>32</v>
      </c>
      <c r="X104" s="3">
        <v>24</v>
      </c>
      <c r="Y104" s="4">
        <v>1.1666666666666667</v>
      </c>
      <c r="Z104" s="4">
        <v>1.3333333333333333</v>
      </c>
      <c r="AA104" s="4" t="e">
        <v>#N/A</v>
      </c>
      <c r="AB104" s="3">
        <v>-8</v>
      </c>
      <c r="AC104" s="3">
        <v>9</v>
      </c>
      <c r="AD104" s="3">
        <v>18</v>
      </c>
      <c r="AE104" s="3">
        <v>2</v>
      </c>
      <c r="AF104" s="3">
        <v>7160</v>
      </c>
      <c r="AG104" s="4">
        <v>31.2</v>
      </c>
      <c r="AH104" s="4">
        <v>37.6</v>
      </c>
      <c r="AI104" s="3">
        <v>79179</v>
      </c>
      <c r="AJ104" s="3">
        <v>39</v>
      </c>
      <c r="AK104" s="3">
        <v>22</v>
      </c>
      <c r="AL104" s="3">
        <v>7</v>
      </c>
      <c r="AM104" s="3">
        <v>5</v>
      </c>
      <c r="AN104" s="3">
        <v>59</v>
      </c>
      <c r="AO104" s="3">
        <v>18</v>
      </c>
      <c r="AP104" s="3">
        <v>4</v>
      </c>
      <c r="AQ104" s="3">
        <v>22</v>
      </c>
      <c r="AR104" s="3">
        <v>15</v>
      </c>
      <c r="AS104" s="3">
        <v>14</v>
      </c>
      <c r="AT104" s="3">
        <v>0</v>
      </c>
      <c r="AU104" s="3">
        <v>54</v>
      </c>
      <c r="AV104" s="3">
        <v>11</v>
      </c>
      <c r="AW104" s="3">
        <v>5</v>
      </c>
      <c r="AX104" s="3">
        <v>50</v>
      </c>
      <c r="AY104" s="3">
        <v>17</v>
      </c>
      <c r="AZ104" s="3">
        <v>11</v>
      </c>
      <c r="BA104" s="3">
        <v>4</v>
      </c>
      <c r="BB104" s="3">
        <v>29</v>
      </c>
      <c r="BC104" s="3">
        <v>1</v>
      </c>
      <c r="BD104" s="3">
        <v>0</v>
      </c>
    </row>
    <row r="105" spans="1:56" x14ac:dyDescent="0.25">
      <c r="A105" t="s">
        <v>69</v>
      </c>
      <c r="B105" s="3">
        <v>52059</v>
      </c>
      <c r="C105" s="3">
        <v>91937</v>
      </c>
      <c r="D105" s="3">
        <v>4476</v>
      </c>
      <c r="E105" s="3">
        <v>14644</v>
      </c>
      <c r="F105" s="3">
        <v>19299</v>
      </c>
      <c r="G105" s="3">
        <v>31380</v>
      </c>
      <c r="H105" s="3">
        <v>22145</v>
      </c>
      <c r="I105" s="4">
        <v>7132</v>
      </c>
      <c r="J105" s="4">
        <v>9772</v>
      </c>
      <c r="K105" s="4">
        <v>1477</v>
      </c>
      <c r="L105" s="4">
        <v>5304</v>
      </c>
      <c r="M105" s="3">
        <v>27827</v>
      </c>
      <c r="N105" s="4">
        <v>1246</v>
      </c>
      <c r="O105" s="4">
        <v>1095</v>
      </c>
      <c r="P105" s="4">
        <v>2949</v>
      </c>
      <c r="Q105" s="4">
        <v>4004</v>
      </c>
      <c r="R105" s="4">
        <v>4922</v>
      </c>
      <c r="S105" s="4">
        <v>7052</v>
      </c>
      <c r="T105" s="4">
        <v>4901</v>
      </c>
      <c r="U105" s="4">
        <v>865</v>
      </c>
      <c r="V105" s="4">
        <v>1295</v>
      </c>
      <c r="W105" s="3">
        <v>37</v>
      </c>
      <c r="X105" s="3">
        <v>23</v>
      </c>
      <c r="Y105" s="4">
        <v>1.5333333333333332</v>
      </c>
      <c r="Z105" s="4">
        <v>1.6666666666666667</v>
      </c>
      <c r="AA105" s="4" t="e">
        <v>#N/A</v>
      </c>
      <c r="AB105" s="3">
        <v>4</v>
      </c>
      <c r="AC105" s="3">
        <v>34</v>
      </c>
      <c r="AD105" s="3">
        <v>12</v>
      </c>
      <c r="AE105" s="3">
        <v>14</v>
      </c>
      <c r="AF105" s="3">
        <v>6925</v>
      </c>
      <c r="AG105" s="4">
        <v>17.899999999999999</v>
      </c>
      <c r="AH105" s="4">
        <v>25.2</v>
      </c>
      <c r="AI105" s="3">
        <v>78219</v>
      </c>
      <c r="AJ105" s="3">
        <v>39</v>
      </c>
      <c r="AK105" s="3">
        <v>19</v>
      </c>
      <c r="AL105" s="3">
        <v>4</v>
      </c>
      <c r="AM105" s="3">
        <v>6</v>
      </c>
      <c r="AN105" s="3">
        <v>45</v>
      </c>
      <c r="AO105" s="3">
        <v>6</v>
      </c>
      <c r="AP105" s="3">
        <v>7</v>
      </c>
      <c r="AQ105" s="3">
        <v>24</v>
      </c>
      <c r="AR105" s="3">
        <v>21</v>
      </c>
      <c r="AS105" s="3">
        <v>14</v>
      </c>
      <c r="AT105" s="3">
        <v>1</v>
      </c>
      <c r="AU105" s="3">
        <v>49</v>
      </c>
      <c r="AV105" s="3">
        <v>4</v>
      </c>
      <c r="AW105" s="3">
        <v>4</v>
      </c>
      <c r="AX105" s="3">
        <v>31</v>
      </c>
      <c r="AY105" s="3">
        <v>36</v>
      </c>
      <c r="AZ105" s="3">
        <v>12</v>
      </c>
      <c r="BA105" s="3">
        <v>2</v>
      </c>
      <c r="BB105" s="3">
        <v>48</v>
      </c>
      <c r="BC105" s="3">
        <v>4</v>
      </c>
      <c r="BD105" s="3">
        <v>2</v>
      </c>
    </row>
    <row r="106" spans="1:56" x14ac:dyDescent="0.25">
      <c r="A106" t="s">
        <v>70</v>
      </c>
      <c r="B106" s="3">
        <v>52215</v>
      </c>
      <c r="C106" s="3">
        <v>91645</v>
      </c>
      <c r="D106" s="3">
        <v>4909</v>
      </c>
      <c r="E106" s="3">
        <v>15318</v>
      </c>
      <c r="F106" s="3">
        <v>19029</v>
      </c>
      <c r="G106" s="3">
        <v>31129</v>
      </c>
      <c r="H106" s="3">
        <v>21259</v>
      </c>
      <c r="I106" s="4">
        <v>7395</v>
      </c>
      <c r="J106" s="4">
        <v>10581</v>
      </c>
      <c r="K106" s="4">
        <v>1355</v>
      </c>
      <c r="L106" s="4">
        <v>4679</v>
      </c>
      <c r="M106" s="3">
        <v>28133</v>
      </c>
      <c r="N106" s="4">
        <v>1432</v>
      </c>
      <c r="O106" s="4">
        <v>1305</v>
      </c>
      <c r="P106" s="4">
        <v>3043</v>
      </c>
      <c r="Q106" s="4">
        <v>3953</v>
      </c>
      <c r="R106" s="4">
        <v>5238</v>
      </c>
      <c r="S106" s="4">
        <v>7083</v>
      </c>
      <c r="T106" s="4">
        <v>4951</v>
      </c>
      <c r="U106" s="4">
        <v>767</v>
      </c>
      <c r="V106" s="4">
        <v>1234</v>
      </c>
      <c r="W106" s="3">
        <v>29</v>
      </c>
      <c r="X106" s="3">
        <v>21</v>
      </c>
      <c r="Y106" s="4">
        <v>1.7666666666666666</v>
      </c>
      <c r="Z106" s="4">
        <v>2.0666666666666664</v>
      </c>
      <c r="AA106" s="4" t="e">
        <v>#N/A</v>
      </c>
      <c r="AB106" s="3">
        <v>16</v>
      </c>
      <c r="AC106" s="3">
        <v>7</v>
      </c>
      <c r="AD106" s="3">
        <v>-10</v>
      </c>
      <c r="AE106" s="3">
        <v>-2</v>
      </c>
      <c r="AF106" s="3">
        <v>7069</v>
      </c>
      <c r="AG106" s="4">
        <v>19.5</v>
      </c>
      <c r="AH106" s="4">
        <v>24.6</v>
      </c>
      <c r="AI106" s="3">
        <v>81557</v>
      </c>
      <c r="AJ106" s="3">
        <v>35</v>
      </c>
      <c r="AK106" s="3">
        <v>20</v>
      </c>
      <c r="AL106" s="3">
        <v>7</v>
      </c>
      <c r="AM106" s="3">
        <v>6</v>
      </c>
      <c r="AN106" s="3">
        <v>43</v>
      </c>
      <c r="AO106" s="3">
        <v>11</v>
      </c>
      <c r="AP106" s="3">
        <v>5</v>
      </c>
      <c r="AQ106" s="3">
        <v>28</v>
      </c>
      <c r="AR106" s="3">
        <v>22</v>
      </c>
      <c r="AS106" s="3">
        <v>10</v>
      </c>
      <c r="AT106" s="3">
        <v>1</v>
      </c>
      <c r="AU106" s="3">
        <v>45</v>
      </c>
      <c r="AV106" s="3">
        <v>7</v>
      </c>
      <c r="AW106" s="3">
        <v>3</v>
      </c>
      <c r="AX106" s="3">
        <v>40</v>
      </c>
      <c r="AY106" s="3">
        <v>35</v>
      </c>
      <c r="AZ106" s="3">
        <v>13</v>
      </c>
      <c r="BA106" s="3">
        <v>15</v>
      </c>
      <c r="BB106" s="3">
        <v>25</v>
      </c>
      <c r="BC106" s="3">
        <v>3</v>
      </c>
      <c r="BD106" s="3">
        <v>2</v>
      </c>
    </row>
    <row r="107" spans="1:56" x14ac:dyDescent="0.25">
      <c r="A107" t="s">
        <v>71</v>
      </c>
      <c r="B107" s="3">
        <v>52581</v>
      </c>
      <c r="C107" s="3">
        <v>93278</v>
      </c>
      <c r="D107" s="3">
        <v>4510</v>
      </c>
      <c r="E107" s="3">
        <v>15747</v>
      </c>
      <c r="F107" s="3">
        <v>19942</v>
      </c>
      <c r="G107" s="3">
        <v>31316</v>
      </c>
      <c r="H107" s="3">
        <v>21833</v>
      </c>
      <c r="I107" s="4">
        <v>7693</v>
      </c>
      <c r="J107" s="4">
        <v>9825</v>
      </c>
      <c r="K107" s="4">
        <v>1428</v>
      </c>
      <c r="L107" s="4">
        <v>4962</v>
      </c>
      <c r="M107" s="3">
        <v>27641</v>
      </c>
      <c r="N107" s="4">
        <v>1426</v>
      </c>
      <c r="O107" s="4">
        <v>1405</v>
      </c>
      <c r="P107" s="4">
        <v>3193</v>
      </c>
      <c r="Q107" s="4">
        <v>3181</v>
      </c>
      <c r="R107" s="4">
        <v>5206</v>
      </c>
      <c r="S107" s="4">
        <v>7426</v>
      </c>
      <c r="T107" s="4">
        <v>5048</v>
      </c>
      <c r="U107" s="4">
        <v>920</v>
      </c>
      <c r="V107" s="4">
        <v>1249</v>
      </c>
      <c r="W107" s="3">
        <v>29</v>
      </c>
      <c r="X107" s="3">
        <v>20</v>
      </c>
      <c r="Y107" s="4">
        <v>1.6666666666666667</v>
      </c>
      <c r="Z107" s="4">
        <v>2.1</v>
      </c>
      <c r="AA107" s="4" t="e">
        <v>#N/A</v>
      </c>
      <c r="AB107" s="3">
        <v>6</v>
      </c>
      <c r="AC107" s="3">
        <v>11</v>
      </c>
      <c r="AD107" s="3">
        <v>-2</v>
      </c>
      <c r="AE107" s="3">
        <v>29</v>
      </c>
      <c r="AF107" s="3">
        <v>7318</v>
      </c>
      <c r="AG107" s="4">
        <v>13.9</v>
      </c>
      <c r="AH107" s="4">
        <v>3.8</v>
      </c>
      <c r="AI107" s="3">
        <v>90460</v>
      </c>
      <c r="AJ107" s="3">
        <v>37</v>
      </c>
      <c r="AK107" s="3">
        <v>16</v>
      </c>
      <c r="AL107" s="3">
        <v>3</v>
      </c>
      <c r="AM107" s="3">
        <v>5</v>
      </c>
      <c r="AN107" s="3">
        <v>47</v>
      </c>
      <c r="AO107" s="3">
        <v>11</v>
      </c>
      <c r="AP107" s="3">
        <v>4</v>
      </c>
      <c r="AQ107" s="3">
        <v>27</v>
      </c>
      <c r="AR107" s="3">
        <v>18</v>
      </c>
      <c r="AS107" s="3">
        <v>11</v>
      </c>
      <c r="AT107" s="3">
        <v>1</v>
      </c>
      <c r="AU107" s="3">
        <v>47</v>
      </c>
      <c r="AV107" s="3">
        <v>11</v>
      </c>
      <c r="AW107" s="3">
        <v>14</v>
      </c>
      <c r="AX107" s="3">
        <v>50</v>
      </c>
      <c r="AY107" s="3">
        <v>19</v>
      </c>
      <c r="AZ107" s="3">
        <v>4</v>
      </c>
      <c r="BA107" s="3">
        <v>7</v>
      </c>
      <c r="BB107" s="3">
        <v>39</v>
      </c>
      <c r="BC107" s="3">
        <v>10</v>
      </c>
      <c r="BD107" s="3">
        <v>1</v>
      </c>
    </row>
    <row r="108" spans="1:56" x14ac:dyDescent="0.25">
      <c r="A108" t="s">
        <v>72</v>
      </c>
      <c r="B108" s="3">
        <v>54474</v>
      </c>
      <c r="C108" s="3">
        <v>95670</v>
      </c>
      <c r="D108" s="3">
        <v>4873</v>
      </c>
      <c r="E108" s="3">
        <v>15668</v>
      </c>
      <c r="F108" s="3">
        <v>19743</v>
      </c>
      <c r="G108" s="3">
        <v>32537</v>
      </c>
      <c r="H108" s="3">
        <v>22794</v>
      </c>
      <c r="I108" s="4">
        <v>8220</v>
      </c>
      <c r="J108" s="4">
        <v>10211</v>
      </c>
      <c r="K108" s="4">
        <v>1344</v>
      </c>
      <c r="L108" s="4">
        <v>5019</v>
      </c>
      <c r="M108" s="3">
        <v>27268</v>
      </c>
      <c r="N108" s="4">
        <v>1445</v>
      </c>
      <c r="O108" s="4">
        <v>1396</v>
      </c>
      <c r="P108" s="4">
        <v>3026</v>
      </c>
      <c r="Q108" s="4">
        <v>3727</v>
      </c>
      <c r="R108" s="4">
        <v>5658</v>
      </c>
      <c r="S108" s="4">
        <v>7540</v>
      </c>
      <c r="T108" s="4">
        <v>5074</v>
      </c>
      <c r="U108" s="4">
        <v>857</v>
      </c>
      <c r="V108" s="4">
        <v>1544</v>
      </c>
      <c r="W108" s="3">
        <v>36</v>
      </c>
      <c r="X108" s="3">
        <v>21</v>
      </c>
      <c r="Y108" s="4">
        <v>1.1333333333333333</v>
      </c>
      <c r="Z108" s="4">
        <v>1.8666666666666669</v>
      </c>
      <c r="AA108" s="4" t="e">
        <v>#N/A</v>
      </c>
      <c r="AB108" s="3">
        <v>5</v>
      </c>
      <c r="AC108" s="3">
        <v>-1</v>
      </c>
      <c r="AD108" s="3">
        <v>3</v>
      </c>
      <c r="AE108" s="3">
        <v>18</v>
      </c>
      <c r="AF108" s="3">
        <v>8030</v>
      </c>
      <c r="AG108" s="4">
        <v>5</v>
      </c>
      <c r="AH108" s="4">
        <v>3.9</v>
      </c>
      <c r="AI108" s="3">
        <v>88525</v>
      </c>
      <c r="AJ108" s="3">
        <v>38</v>
      </c>
      <c r="AK108" s="3">
        <v>12</v>
      </c>
      <c r="AL108" s="3">
        <v>4</v>
      </c>
      <c r="AM108" s="3">
        <v>4</v>
      </c>
      <c r="AN108" s="3">
        <v>52</v>
      </c>
      <c r="AO108" s="3">
        <v>8</v>
      </c>
      <c r="AP108" s="3">
        <v>4</v>
      </c>
      <c r="AQ108" s="3">
        <v>25</v>
      </c>
      <c r="AR108" s="3">
        <v>11</v>
      </c>
      <c r="AS108" s="3">
        <v>9</v>
      </c>
      <c r="AT108" s="3">
        <v>2</v>
      </c>
      <c r="AU108" s="3">
        <v>46</v>
      </c>
      <c r="AV108" s="3">
        <v>8</v>
      </c>
      <c r="AW108" s="3">
        <v>5</v>
      </c>
      <c r="AX108" s="3">
        <v>43</v>
      </c>
      <c r="AY108" s="3">
        <v>21</v>
      </c>
      <c r="AZ108" s="3">
        <v>8</v>
      </c>
      <c r="BA108" s="3">
        <v>1</v>
      </c>
      <c r="BB108" s="3">
        <v>35</v>
      </c>
      <c r="BC108" s="3">
        <v>15</v>
      </c>
      <c r="BD108" s="3">
        <v>6</v>
      </c>
    </row>
    <row r="109" spans="1:56" x14ac:dyDescent="0.25">
      <c r="A109" t="s">
        <v>73</v>
      </c>
      <c r="B109" s="3">
        <v>57960</v>
      </c>
      <c r="C109" s="3">
        <v>99019</v>
      </c>
      <c r="D109" s="3">
        <v>8683</v>
      </c>
      <c r="E109" s="3">
        <v>14947</v>
      </c>
      <c r="F109" s="3">
        <v>19723</v>
      </c>
      <c r="G109" s="3">
        <v>33383</v>
      </c>
      <c r="H109" s="3">
        <v>21404</v>
      </c>
      <c r="I109" s="4">
        <v>8536</v>
      </c>
      <c r="J109" s="4">
        <v>9863</v>
      </c>
      <c r="K109" s="4">
        <v>1752</v>
      </c>
      <c r="L109" s="4">
        <v>4901</v>
      </c>
      <c r="M109" s="3">
        <v>30796</v>
      </c>
      <c r="N109" s="4">
        <v>1407</v>
      </c>
      <c r="O109" s="4">
        <v>1268</v>
      </c>
      <c r="P109" s="4">
        <v>3471</v>
      </c>
      <c r="Q109" s="4">
        <v>6685</v>
      </c>
      <c r="R109" s="4">
        <v>5248</v>
      </c>
      <c r="S109" s="4">
        <v>8003</v>
      </c>
      <c r="T109" s="4">
        <v>5167</v>
      </c>
      <c r="U109" s="4">
        <v>1087</v>
      </c>
      <c r="V109" s="4">
        <v>1222</v>
      </c>
      <c r="W109" s="3">
        <v>32</v>
      </c>
      <c r="X109" s="3">
        <v>19</v>
      </c>
      <c r="Y109" s="4">
        <v>0.73333333333333339</v>
      </c>
      <c r="Z109" s="4">
        <v>1.8333333333333333</v>
      </c>
      <c r="AA109" s="4" t="e">
        <v>#N/A</v>
      </c>
      <c r="AB109" s="3">
        <v>16</v>
      </c>
      <c r="AC109" s="3">
        <v>-3</v>
      </c>
      <c r="AD109" s="3">
        <v>14</v>
      </c>
      <c r="AE109" s="3">
        <v>4</v>
      </c>
      <c r="AF109" s="3">
        <v>6348</v>
      </c>
      <c r="AG109" s="4">
        <v>11.7</v>
      </c>
      <c r="AH109" s="4">
        <v>1.1000000000000001</v>
      </c>
      <c r="AI109" s="3">
        <v>87979</v>
      </c>
      <c r="AJ109" s="3">
        <v>42</v>
      </c>
      <c r="AK109" s="3">
        <v>15</v>
      </c>
      <c r="AL109" s="3">
        <v>3</v>
      </c>
      <c r="AM109" s="3">
        <v>2</v>
      </c>
      <c r="AN109" s="3">
        <v>50</v>
      </c>
      <c r="AO109" s="3">
        <v>11</v>
      </c>
      <c r="AP109" s="3">
        <v>3</v>
      </c>
      <c r="AQ109" s="3">
        <v>32</v>
      </c>
      <c r="AR109" s="3">
        <v>18</v>
      </c>
      <c r="AS109" s="3">
        <v>16</v>
      </c>
      <c r="AT109" s="3">
        <v>1</v>
      </c>
      <c r="AU109" s="3">
        <v>38</v>
      </c>
      <c r="AV109" s="3">
        <v>10</v>
      </c>
      <c r="AW109" s="3">
        <v>2</v>
      </c>
      <c r="AX109" s="3">
        <v>29</v>
      </c>
      <c r="AY109" s="3">
        <v>35</v>
      </c>
      <c r="AZ109" s="3">
        <v>12</v>
      </c>
      <c r="BA109" s="3">
        <v>1</v>
      </c>
      <c r="BB109" s="3">
        <v>25</v>
      </c>
      <c r="BC109" s="3">
        <v>6</v>
      </c>
      <c r="BD109" s="3">
        <v>14</v>
      </c>
    </row>
    <row r="110" spans="1:56" x14ac:dyDescent="0.25">
      <c r="A110" t="s">
        <v>74</v>
      </c>
      <c r="B110" s="3">
        <v>56395</v>
      </c>
      <c r="C110" s="3">
        <v>99456</v>
      </c>
      <c r="D110" s="3">
        <v>4894</v>
      </c>
      <c r="E110" s="3">
        <v>15141</v>
      </c>
      <c r="F110" s="3">
        <v>21261</v>
      </c>
      <c r="G110" s="3">
        <v>35086</v>
      </c>
      <c r="H110" s="3">
        <v>23288</v>
      </c>
      <c r="I110" s="4">
        <v>8920</v>
      </c>
      <c r="J110" s="4">
        <v>10001</v>
      </c>
      <c r="K110" s="4">
        <v>1951</v>
      </c>
      <c r="L110" s="4">
        <v>5033</v>
      </c>
      <c r="M110" s="3">
        <v>30988</v>
      </c>
      <c r="N110" s="4">
        <v>1417</v>
      </c>
      <c r="O110" s="4">
        <v>1261</v>
      </c>
      <c r="P110" s="4">
        <v>3445</v>
      </c>
      <c r="Q110" s="4">
        <v>3204</v>
      </c>
      <c r="R110" s="4">
        <v>5400</v>
      </c>
      <c r="S110" s="4">
        <v>8390</v>
      </c>
      <c r="T110" s="4">
        <v>5109</v>
      </c>
      <c r="U110" s="4">
        <v>1035</v>
      </c>
      <c r="V110" s="4">
        <v>1256</v>
      </c>
      <c r="W110" s="3">
        <v>21</v>
      </c>
      <c r="X110" s="3">
        <v>20</v>
      </c>
      <c r="Y110" s="4">
        <v>1.2333333333333334</v>
      </c>
      <c r="Z110" s="4">
        <v>1.5666666666666667</v>
      </c>
      <c r="AA110" s="4" t="e">
        <v>#N/A</v>
      </c>
      <c r="AB110" s="3">
        <v>-6</v>
      </c>
      <c r="AC110" s="3">
        <v>-10</v>
      </c>
      <c r="AD110" s="3">
        <v>5</v>
      </c>
      <c r="AE110" s="3">
        <v>29</v>
      </c>
      <c r="AF110" s="3">
        <v>6316</v>
      </c>
      <c r="AG110" s="4">
        <v>0.1</v>
      </c>
      <c r="AH110" s="4">
        <v>10.5</v>
      </c>
      <c r="AI110" s="3">
        <v>87212</v>
      </c>
      <c r="AJ110" s="3">
        <v>37</v>
      </c>
      <c r="AK110" s="3">
        <v>20</v>
      </c>
      <c r="AL110" s="3">
        <v>3</v>
      </c>
      <c r="AM110" s="3">
        <v>2</v>
      </c>
      <c r="AN110" s="3">
        <v>46</v>
      </c>
      <c r="AO110" s="3">
        <v>9</v>
      </c>
      <c r="AP110" s="3">
        <v>4</v>
      </c>
      <c r="AQ110" s="3">
        <v>34</v>
      </c>
      <c r="AR110" s="3">
        <v>13</v>
      </c>
      <c r="AS110" s="3">
        <v>3</v>
      </c>
      <c r="AT110" s="3">
        <v>2</v>
      </c>
      <c r="AU110" s="3">
        <v>51</v>
      </c>
      <c r="AV110" s="3">
        <v>17</v>
      </c>
      <c r="AW110" s="3">
        <v>3</v>
      </c>
      <c r="AX110" s="3">
        <v>30</v>
      </c>
      <c r="AY110" s="3">
        <v>18</v>
      </c>
      <c r="AZ110" s="3">
        <v>3</v>
      </c>
      <c r="BA110" s="3">
        <v>0</v>
      </c>
      <c r="BB110" s="3">
        <v>39</v>
      </c>
      <c r="BC110" s="3">
        <v>16</v>
      </c>
      <c r="BD110" s="3">
        <v>8</v>
      </c>
    </row>
    <row r="111" spans="1:56" x14ac:dyDescent="0.25">
      <c r="A111" t="s">
        <v>75</v>
      </c>
      <c r="B111" s="3">
        <v>56508</v>
      </c>
      <c r="C111" s="3">
        <v>98717</v>
      </c>
      <c r="D111" s="3">
        <v>4626</v>
      </c>
      <c r="E111" s="3">
        <v>15414</v>
      </c>
      <c r="F111" s="3">
        <v>21112</v>
      </c>
      <c r="G111" s="3">
        <v>34770</v>
      </c>
      <c r="H111" s="3">
        <v>23009</v>
      </c>
      <c r="I111" s="4">
        <v>8933</v>
      </c>
      <c r="J111" s="4">
        <v>10365</v>
      </c>
      <c r="K111" s="4">
        <v>1776</v>
      </c>
      <c r="L111" s="4">
        <v>5009</v>
      </c>
      <c r="M111" s="3">
        <v>31179</v>
      </c>
      <c r="N111" s="4">
        <v>1412</v>
      </c>
      <c r="O111" s="4">
        <v>1447</v>
      </c>
      <c r="P111" s="4">
        <v>3404</v>
      </c>
      <c r="Q111" s="4">
        <v>3185</v>
      </c>
      <c r="R111" s="4">
        <v>5689</v>
      </c>
      <c r="S111" s="4">
        <v>8425</v>
      </c>
      <c r="T111" s="4">
        <v>5033</v>
      </c>
      <c r="U111" s="4">
        <v>980</v>
      </c>
      <c r="V111" s="4">
        <v>1374</v>
      </c>
      <c r="W111" s="3">
        <v>18</v>
      </c>
      <c r="X111" s="3">
        <v>17</v>
      </c>
      <c r="Y111" s="4">
        <v>0.8666666666666667</v>
      </c>
      <c r="Z111" s="4">
        <v>1.6666666666666667</v>
      </c>
      <c r="AA111" s="4" t="e">
        <v>#N/A</v>
      </c>
      <c r="AB111" s="3">
        <v>-3</v>
      </c>
      <c r="AC111" s="3">
        <v>10</v>
      </c>
      <c r="AD111" s="3">
        <v>1</v>
      </c>
      <c r="AE111" s="3">
        <v>14</v>
      </c>
      <c r="AF111" s="3">
        <v>6350</v>
      </c>
      <c r="AG111" s="4">
        <v>9.1999999999999993</v>
      </c>
      <c r="AH111" s="4">
        <v>0</v>
      </c>
      <c r="AI111" s="3">
        <v>84638</v>
      </c>
      <c r="AJ111" s="3">
        <v>42</v>
      </c>
      <c r="AK111" s="3">
        <v>13</v>
      </c>
      <c r="AL111" s="3">
        <v>3</v>
      </c>
      <c r="AM111" s="3">
        <v>2</v>
      </c>
      <c r="AN111" s="3">
        <v>47</v>
      </c>
      <c r="AO111" s="3">
        <v>12</v>
      </c>
      <c r="AP111" s="3">
        <v>5</v>
      </c>
      <c r="AQ111" s="3">
        <v>27</v>
      </c>
      <c r="AR111" s="3">
        <v>20</v>
      </c>
      <c r="AS111" s="3">
        <v>8</v>
      </c>
      <c r="AT111" s="3">
        <v>1</v>
      </c>
      <c r="AU111" s="3">
        <v>43</v>
      </c>
      <c r="AV111" s="3">
        <v>14</v>
      </c>
      <c r="AW111" s="3">
        <v>3</v>
      </c>
      <c r="AX111" s="3">
        <v>40</v>
      </c>
      <c r="AY111" s="3">
        <v>29</v>
      </c>
      <c r="AZ111" s="3">
        <v>5</v>
      </c>
      <c r="BA111" s="3">
        <v>0</v>
      </c>
      <c r="BB111" s="3">
        <v>43</v>
      </c>
      <c r="BC111" s="3">
        <v>10</v>
      </c>
      <c r="BD111" s="3">
        <v>15</v>
      </c>
    </row>
    <row r="112" spans="1:56" x14ac:dyDescent="0.25">
      <c r="A112" t="s">
        <v>76</v>
      </c>
      <c r="B112" s="3">
        <v>60238</v>
      </c>
      <c r="C112" s="3">
        <v>101962</v>
      </c>
      <c r="D112" s="3">
        <v>5811</v>
      </c>
      <c r="E112" s="3">
        <v>16400</v>
      </c>
      <c r="F112" s="3">
        <v>21365</v>
      </c>
      <c r="G112" s="3">
        <v>35048</v>
      </c>
      <c r="H112" s="3">
        <v>23216</v>
      </c>
      <c r="I112" s="4">
        <v>9000</v>
      </c>
      <c r="J112" s="4">
        <v>10943</v>
      </c>
      <c r="K112" s="4">
        <v>1668</v>
      </c>
      <c r="L112" s="4">
        <v>5160</v>
      </c>
      <c r="M112" s="3">
        <v>30543</v>
      </c>
      <c r="N112" s="4">
        <v>1419</v>
      </c>
      <c r="O112" s="4">
        <v>1649</v>
      </c>
      <c r="P112" s="4">
        <v>3476</v>
      </c>
      <c r="Q112" s="4">
        <v>5040</v>
      </c>
      <c r="R112" s="4">
        <v>6183</v>
      </c>
      <c r="S112" s="4">
        <v>8667</v>
      </c>
      <c r="T112" s="4">
        <v>5018</v>
      </c>
      <c r="U112" s="4">
        <v>1000</v>
      </c>
      <c r="V112" s="4">
        <v>1620</v>
      </c>
      <c r="W112" s="3">
        <v>24</v>
      </c>
      <c r="X112" s="3">
        <v>20</v>
      </c>
      <c r="Y112" s="4">
        <v>0.43333333333333335</v>
      </c>
      <c r="Z112" s="4">
        <v>1.7</v>
      </c>
      <c r="AA112" s="4" t="e">
        <v>#N/A</v>
      </c>
      <c r="AB112" s="3">
        <v>-3</v>
      </c>
      <c r="AC112" s="3">
        <v>7</v>
      </c>
      <c r="AD112" s="3">
        <v>12</v>
      </c>
      <c r="AE112" s="3">
        <v>11</v>
      </c>
      <c r="AF112" s="3">
        <v>6528</v>
      </c>
      <c r="AG112" s="4">
        <v>11.2</v>
      </c>
      <c r="AH112" s="4">
        <v>0.6</v>
      </c>
      <c r="AI112" s="3">
        <v>86750</v>
      </c>
      <c r="AJ112" s="3">
        <v>40</v>
      </c>
      <c r="AK112" s="3">
        <v>10</v>
      </c>
      <c r="AL112" s="3">
        <v>3</v>
      </c>
      <c r="AM112" s="3">
        <v>2</v>
      </c>
      <c r="AN112" s="3">
        <v>55</v>
      </c>
      <c r="AO112" s="3">
        <v>10</v>
      </c>
      <c r="AP112" s="3">
        <v>6</v>
      </c>
      <c r="AQ112" s="3">
        <v>25</v>
      </c>
      <c r="AR112" s="3">
        <v>8</v>
      </c>
      <c r="AS112" s="3">
        <v>7</v>
      </c>
      <c r="AT112" s="3">
        <v>6</v>
      </c>
      <c r="AU112" s="3">
        <v>51</v>
      </c>
      <c r="AV112" s="3">
        <v>15</v>
      </c>
      <c r="AW112" s="3">
        <v>2</v>
      </c>
      <c r="AX112" s="3">
        <v>38</v>
      </c>
      <c r="AY112" s="3">
        <v>14</v>
      </c>
      <c r="AZ112" s="3">
        <v>8</v>
      </c>
      <c r="BA112" s="3">
        <v>8</v>
      </c>
      <c r="BB112" s="3">
        <v>36</v>
      </c>
      <c r="BC112" s="3">
        <v>19</v>
      </c>
      <c r="BD112" s="3">
        <v>3</v>
      </c>
    </row>
    <row r="113" spans="1:56" x14ac:dyDescent="0.25">
      <c r="A113" t="s">
        <v>77</v>
      </c>
      <c r="B113" s="3">
        <v>61684</v>
      </c>
      <c r="C113" s="3">
        <v>103052</v>
      </c>
      <c r="D113" s="3">
        <v>7849</v>
      </c>
      <c r="E113" s="3">
        <v>15859</v>
      </c>
      <c r="F113" s="3">
        <v>21386</v>
      </c>
      <c r="G113" s="3">
        <v>34592</v>
      </c>
      <c r="H113" s="3">
        <v>22705</v>
      </c>
      <c r="I113" s="4">
        <v>9143</v>
      </c>
      <c r="J113" s="4">
        <v>10737</v>
      </c>
      <c r="K113" s="4">
        <v>1620</v>
      </c>
      <c r="L113" s="4">
        <v>5331</v>
      </c>
      <c r="M113" s="3">
        <v>34288</v>
      </c>
      <c r="N113" s="4">
        <v>1412</v>
      </c>
      <c r="O113" s="4">
        <v>1623</v>
      </c>
      <c r="P113" s="4">
        <v>3726</v>
      </c>
      <c r="Q113" s="4">
        <v>5709</v>
      </c>
      <c r="R113" s="4">
        <v>6671</v>
      </c>
      <c r="S113" s="4">
        <v>8995</v>
      </c>
      <c r="T113" s="4">
        <v>4902</v>
      </c>
      <c r="U113" s="4">
        <v>950</v>
      </c>
      <c r="V113" s="4">
        <v>1433</v>
      </c>
      <c r="W113" s="3">
        <v>20</v>
      </c>
      <c r="X113" s="3">
        <v>11</v>
      </c>
      <c r="Y113" s="4">
        <v>0.20000000000000004</v>
      </c>
      <c r="Z113" s="4">
        <v>1.3666666666666665</v>
      </c>
      <c r="AA113" s="4" t="e">
        <v>#N/A</v>
      </c>
      <c r="AB113" s="3">
        <v>3</v>
      </c>
      <c r="AC113" s="3">
        <v>7</v>
      </c>
      <c r="AD113" s="3">
        <v>0</v>
      </c>
      <c r="AE113" s="3">
        <v>9</v>
      </c>
      <c r="AF113" s="3">
        <v>6502</v>
      </c>
      <c r="AG113" s="4">
        <v>-0.7</v>
      </c>
      <c r="AH113" s="4">
        <v>-4.9000000000000004</v>
      </c>
      <c r="AI113" s="3">
        <v>86448</v>
      </c>
      <c r="AJ113" s="3">
        <v>33</v>
      </c>
      <c r="AK113" s="3">
        <v>15</v>
      </c>
      <c r="AL113" s="3">
        <v>4</v>
      </c>
      <c r="AM113" s="3">
        <v>7</v>
      </c>
      <c r="AN113" s="3">
        <v>52</v>
      </c>
      <c r="AO113" s="3">
        <v>9</v>
      </c>
      <c r="AP113" s="3">
        <v>7</v>
      </c>
      <c r="AQ113" s="3">
        <v>26</v>
      </c>
      <c r="AR113" s="3">
        <v>4</v>
      </c>
      <c r="AS113" s="3">
        <v>1</v>
      </c>
      <c r="AT113" s="3">
        <v>1</v>
      </c>
      <c r="AU113" s="3">
        <v>52</v>
      </c>
      <c r="AV113" s="3">
        <v>22</v>
      </c>
      <c r="AW113" s="3">
        <v>4</v>
      </c>
      <c r="AX113" s="3">
        <v>38</v>
      </c>
      <c r="AY113" s="3">
        <v>16</v>
      </c>
      <c r="AZ113" s="3">
        <v>2</v>
      </c>
      <c r="BA113" s="3">
        <v>5</v>
      </c>
      <c r="BB113" s="3">
        <v>41</v>
      </c>
      <c r="BC113" s="3">
        <v>14</v>
      </c>
      <c r="BD113" s="3">
        <v>6</v>
      </c>
    </row>
    <row r="114" spans="1:56" x14ac:dyDescent="0.25">
      <c r="A114" t="s">
        <v>78</v>
      </c>
      <c r="B114" s="3">
        <v>61499</v>
      </c>
      <c r="C114" s="3">
        <v>103914</v>
      </c>
      <c r="D114" s="3">
        <v>7279</v>
      </c>
      <c r="E114" s="3">
        <v>16097</v>
      </c>
      <c r="F114" s="3">
        <v>21600</v>
      </c>
      <c r="G114" s="3">
        <v>35803</v>
      </c>
      <c r="H114" s="3">
        <v>22932</v>
      </c>
      <c r="I114" s="4">
        <v>9160</v>
      </c>
      <c r="J114" s="4">
        <v>11343</v>
      </c>
      <c r="K114" s="4">
        <v>1631</v>
      </c>
      <c r="L114" s="4">
        <v>5257</v>
      </c>
      <c r="M114" s="3">
        <v>33605</v>
      </c>
      <c r="N114" s="4">
        <v>1446</v>
      </c>
      <c r="O114" s="4">
        <v>1553</v>
      </c>
      <c r="P114" s="4">
        <v>3979</v>
      </c>
      <c r="Q114" s="4">
        <v>4901</v>
      </c>
      <c r="R114" s="4">
        <v>6823</v>
      </c>
      <c r="S114" s="4">
        <v>9789</v>
      </c>
      <c r="T114" s="4">
        <v>4851</v>
      </c>
      <c r="U114" s="4">
        <v>1017</v>
      </c>
      <c r="V114" s="4">
        <v>1467</v>
      </c>
      <c r="W114" s="3">
        <v>16</v>
      </c>
      <c r="X114" s="3">
        <v>13</v>
      </c>
      <c r="Y114" s="4">
        <v>0.40000000000000008</v>
      </c>
      <c r="Z114" s="4">
        <v>1.2</v>
      </c>
      <c r="AA114" s="4" t="e">
        <v>#N/A</v>
      </c>
      <c r="AB114" s="3">
        <v>17</v>
      </c>
      <c r="AC114" s="3">
        <v>-2</v>
      </c>
      <c r="AD114" s="3">
        <v>14</v>
      </c>
      <c r="AE114" s="3">
        <v>18</v>
      </c>
      <c r="AF114" s="3">
        <v>6406</v>
      </c>
      <c r="AG114" s="4">
        <v>7.8</v>
      </c>
      <c r="AH114" s="4">
        <v>0</v>
      </c>
      <c r="AI114" s="3">
        <v>85023</v>
      </c>
      <c r="AJ114" s="3">
        <v>39</v>
      </c>
      <c r="AK114" s="3">
        <v>13</v>
      </c>
      <c r="AL114" s="3">
        <v>5</v>
      </c>
      <c r="AM114" s="3">
        <v>1</v>
      </c>
      <c r="AN114" s="3">
        <v>46</v>
      </c>
      <c r="AO114" s="3">
        <v>8</v>
      </c>
      <c r="AP114" s="3">
        <v>5</v>
      </c>
      <c r="AQ114" s="3">
        <v>26</v>
      </c>
      <c r="AR114" s="3">
        <v>12</v>
      </c>
      <c r="AS114" s="3">
        <v>8</v>
      </c>
      <c r="AT114" s="3">
        <v>5</v>
      </c>
      <c r="AU114" s="3">
        <v>54</v>
      </c>
      <c r="AV114" s="3">
        <v>7</v>
      </c>
      <c r="AW114" s="3">
        <v>0</v>
      </c>
      <c r="AX114" s="3">
        <v>38</v>
      </c>
      <c r="AY114" s="3">
        <v>18</v>
      </c>
      <c r="AZ114" s="3">
        <v>5</v>
      </c>
      <c r="BA114" s="3">
        <v>6</v>
      </c>
      <c r="BB114" s="3">
        <v>35</v>
      </c>
      <c r="BC114" s="3">
        <v>5</v>
      </c>
      <c r="BD114" s="3">
        <v>5</v>
      </c>
    </row>
    <row r="115" spans="1:56" x14ac:dyDescent="0.25">
      <c r="A115" t="s">
        <v>79</v>
      </c>
      <c r="B115" s="3">
        <v>62975</v>
      </c>
      <c r="C115" s="3">
        <v>106846</v>
      </c>
      <c r="D115" s="3">
        <v>7888</v>
      </c>
      <c r="E115" s="3">
        <v>16419</v>
      </c>
      <c r="F115" s="3">
        <v>22334</v>
      </c>
      <c r="G115" s="3">
        <v>36304</v>
      </c>
      <c r="H115" s="3">
        <v>23643</v>
      </c>
      <c r="I115" s="4">
        <v>9003</v>
      </c>
      <c r="J115" s="4">
        <v>11076</v>
      </c>
      <c r="K115" s="4">
        <v>1709</v>
      </c>
      <c r="L115" s="4">
        <v>5449</v>
      </c>
      <c r="M115" s="3">
        <v>34307</v>
      </c>
      <c r="N115" s="4">
        <v>1444</v>
      </c>
      <c r="O115" s="4">
        <v>1783</v>
      </c>
      <c r="P115" s="4">
        <v>4012</v>
      </c>
      <c r="Q115" s="4">
        <v>5196</v>
      </c>
      <c r="R115" s="4">
        <v>6947</v>
      </c>
      <c r="S115" s="4">
        <v>8922</v>
      </c>
      <c r="T115" s="4">
        <v>4984</v>
      </c>
      <c r="U115" s="4">
        <v>1115</v>
      </c>
      <c r="V115" s="4">
        <v>1572</v>
      </c>
      <c r="W115" s="3">
        <v>8</v>
      </c>
      <c r="X115" s="3">
        <v>3</v>
      </c>
      <c r="Y115" s="4">
        <v>0.1</v>
      </c>
      <c r="Z115" s="4">
        <v>0.25</v>
      </c>
      <c r="AA115" s="4" t="e">
        <v>#N/A</v>
      </c>
      <c r="AB115" s="3">
        <v>-5</v>
      </c>
      <c r="AC115" s="3">
        <v>-3</v>
      </c>
      <c r="AD115" s="3">
        <v>-7</v>
      </c>
      <c r="AE115" s="3">
        <v>0</v>
      </c>
      <c r="AF115" s="3">
        <v>6001</v>
      </c>
      <c r="AG115" s="4">
        <v>-7</v>
      </c>
      <c r="AH115" s="4">
        <v>-6</v>
      </c>
      <c r="AI115" s="3">
        <v>86627</v>
      </c>
      <c r="AJ115" s="3">
        <v>36</v>
      </c>
      <c r="AK115" s="3">
        <v>19</v>
      </c>
      <c r="AL115" s="3">
        <v>6</v>
      </c>
      <c r="AM115" s="3">
        <v>2</v>
      </c>
      <c r="AN115" s="3">
        <v>47</v>
      </c>
      <c r="AO115" s="3">
        <v>8</v>
      </c>
      <c r="AP115" s="3">
        <v>7</v>
      </c>
      <c r="AQ115" s="3">
        <v>33</v>
      </c>
      <c r="AR115" s="3">
        <v>16</v>
      </c>
      <c r="AS115" s="3">
        <v>5</v>
      </c>
      <c r="AT115" s="3">
        <v>6</v>
      </c>
      <c r="AU115" s="3">
        <v>66</v>
      </c>
      <c r="AV115" s="3">
        <v>16</v>
      </c>
      <c r="AW115" s="3">
        <v>0</v>
      </c>
      <c r="AX115" s="3">
        <v>28</v>
      </c>
      <c r="AY115" s="3">
        <v>13</v>
      </c>
      <c r="AZ115" s="3">
        <v>6</v>
      </c>
      <c r="BA115" s="3">
        <v>3</v>
      </c>
      <c r="BB115" s="3">
        <v>47</v>
      </c>
      <c r="BC115" s="3">
        <v>14</v>
      </c>
      <c r="BD115" s="3">
        <v>8</v>
      </c>
    </row>
    <row r="116" spans="1:56" x14ac:dyDescent="0.25">
      <c r="A116" t="s">
        <v>80</v>
      </c>
      <c r="B116" s="3">
        <v>60645</v>
      </c>
      <c r="C116" s="3">
        <v>105866</v>
      </c>
      <c r="D116" s="3">
        <v>5243</v>
      </c>
      <c r="E116" s="3">
        <v>16222</v>
      </c>
      <c r="F116" s="3">
        <v>23518</v>
      </c>
      <c r="G116" s="3">
        <v>36268</v>
      </c>
      <c r="H116" s="3">
        <v>24636</v>
      </c>
      <c r="I116" s="4">
        <v>8595</v>
      </c>
      <c r="J116" s="4">
        <v>9724</v>
      </c>
      <c r="K116" s="4">
        <v>2161</v>
      </c>
      <c r="L116" s="4">
        <v>5491</v>
      </c>
      <c r="M116" s="3">
        <v>33658</v>
      </c>
      <c r="N116" s="4">
        <v>1427</v>
      </c>
      <c r="O116" s="4">
        <v>1609</v>
      </c>
      <c r="P116" s="4">
        <v>3790</v>
      </c>
      <c r="Q116" s="4">
        <v>3464</v>
      </c>
      <c r="R116" s="4">
        <v>6553</v>
      </c>
      <c r="S116" s="4">
        <v>9427</v>
      </c>
      <c r="T116" s="4">
        <v>5079</v>
      </c>
      <c r="U116" s="4">
        <v>1060</v>
      </c>
      <c r="V116" s="4">
        <v>1589</v>
      </c>
      <c r="W116" s="3">
        <v>19</v>
      </c>
      <c r="X116" s="3">
        <v>9</v>
      </c>
      <c r="Y116" s="4">
        <v>0.15000000000000002</v>
      </c>
      <c r="Z116" s="4">
        <v>0.2</v>
      </c>
      <c r="AA116" s="4" t="e">
        <v>#N/A</v>
      </c>
      <c r="AB116" s="3">
        <v>0</v>
      </c>
      <c r="AC116" s="3">
        <v>2</v>
      </c>
      <c r="AD116" s="3">
        <v>-5</v>
      </c>
      <c r="AE116" s="3">
        <v>7</v>
      </c>
      <c r="AF116" s="3">
        <v>7085</v>
      </c>
      <c r="AG116" s="4">
        <v>-31.6</v>
      </c>
      <c r="AH116" s="4">
        <v>-2.6</v>
      </c>
      <c r="AI116" s="3">
        <v>89112</v>
      </c>
      <c r="AJ116" s="3">
        <v>41</v>
      </c>
      <c r="AK116" s="3">
        <v>13</v>
      </c>
      <c r="AL116" s="3">
        <v>4</v>
      </c>
      <c r="AM116" s="3">
        <v>2</v>
      </c>
      <c r="AN116" s="3">
        <v>55</v>
      </c>
      <c r="AO116" s="3">
        <v>14</v>
      </c>
      <c r="AP116" s="3">
        <v>6</v>
      </c>
      <c r="AQ116" s="3">
        <v>37</v>
      </c>
      <c r="AR116" s="3">
        <v>20</v>
      </c>
      <c r="AS116" s="3">
        <v>2</v>
      </c>
      <c r="AT116" s="3">
        <v>2</v>
      </c>
      <c r="AU116" s="3">
        <v>69</v>
      </c>
      <c r="AV116" s="3">
        <v>13</v>
      </c>
      <c r="AW116" s="3">
        <v>1</v>
      </c>
      <c r="AX116" s="3">
        <v>40</v>
      </c>
      <c r="AY116" s="3">
        <v>5</v>
      </c>
      <c r="AZ116" s="3">
        <v>12</v>
      </c>
      <c r="BA116" s="3">
        <v>2</v>
      </c>
      <c r="BB116" s="3">
        <v>37</v>
      </c>
      <c r="BC116" s="3">
        <v>13</v>
      </c>
      <c r="BD116" s="3">
        <v>13</v>
      </c>
    </row>
    <row r="117" spans="1:56" x14ac:dyDescent="0.25">
      <c r="A117" t="s">
        <v>81</v>
      </c>
      <c r="B117" s="3">
        <v>62040</v>
      </c>
      <c r="C117" s="3">
        <v>107659</v>
      </c>
      <c r="D117" s="3">
        <v>6343</v>
      </c>
      <c r="E117" s="3">
        <v>16546</v>
      </c>
      <c r="F117" s="3">
        <v>23941</v>
      </c>
      <c r="G117" s="3">
        <v>36594</v>
      </c>
      <c r="H117" s="3">
        <v>23995</v>
      </c>
      <c r="I117" s="4">
        <v>8950</v>
      </c>
      <c r="J117" s="4">
        <v>9330</v>
      </c>
      <c r="K117" s="4">
        <v>1607</v>
      </c>
      <c r="L117" s="4">
        <v>5504</v>
      </c>
      <c r="M117" s="3">
        <v>35177</v>
      </c>
      <c r="N117" s="4">
        <v>1418</v>
      </c>
      <c r="O117" s="4">
        <v>1761</v>
      </c>
      <c r="P117" s="4">
        <v>4636</v>
      </c>
      <c r="Q117" s="4">
        <v>3387</v>
      </c>
      <c r="R117" s="4">
        <v>6859</v>
      </c>
      <c r="S117" s="4">
        <v>9249</v>
      </c>
      <c r="T117" s="4">
        <v>5142</v>
      </c>
      <c r="U117" s="4">
        <v>1155</v>
      </c>
      <c r="V117" s="4">
        <v>1837</v>
      </c>
      <c r="W117" s="3">
        <v>13</v>
      </c>
      <c r="X117" s="3">
        <v>10</v>
      </c>
      <c r="Y117" s="4">
        <v>0.44999999999999996</v>
      </c>
      <c r="Z117" s="4">
        <v>0.55000000000000004</v>
      </c>
      <c r="AA117" s="4" t="e">
        <v>#N/A</v>
      </c>
      <c r="AB117" s="3">
        <v>5</v>
      </c>
      <c r="AC117" s="3">
        <v>3</v>
      </c>
      <c r="AD117" s="3">
        <v>-1</v>
      </c>
      <c r="AE117" s="3">
        <v>7</v>
      </c>
      <c r="AF117" s="3">
        <v>5658</v>
      </c>
      <c r="AG117" s="4">
        <v>-20.399999999999999</v>
      </c>
      <c r="AH117" s="4">
        <v>11.5</v>
      </c>
      <c r="AI117" s="3">
        <v>90971</v>
      </c>
      <c r="AJ117" s="3">
        <v>34</v>
      </c>
      <c r="AK117" s="3">
        <v>15</v>
      </c>
      <c r="AL117" s="3">
        <v>5</v>
      </c>
      <c r="AM117" s="3">
        <v>5</v>
      </c>
      <c r="AN117" s="3">
        <v>45</v>
      </c>
      <c r="AO117" s="3">
        <v>16</v>
      </c>
      <c r="AP117" s="3">
        <v>4</v>
      </c>
      <c r="AQ117" s="3">
        <v>32</v>
      </c>
      <c r="AR117" s="3">
        <v>15</v>
      </c>
      <c r="AS117" s="3">
        <v>5</v>
      </c>
      <c r="AT117" s="3">
        <v>5</v>
      </c>
      <c r="AU117" s="3">
        <v>58</v>
      </c>
      <c r="AV117" s="3">
        <v>15</v>
      </c>
      <c r="AW117" s="3">
        <v>1</v>
      </c>
      <c r="AX117" s="3">
        <v>39</v>
      </c>
      <c r="AY117" s="3">
        <v>7</v>
      </c>
      <c r="AZ117" s="3">
        <v>6</v>
      </c>
      <c r="BA117" s="3">
        <v>10</v>
      </c>
      <c r="BB117" s="3">
        <v>35</v>
      </c>
      <c r="BC117" s="3">
        <v>4</v>
      </c>
      <c r="BD117" s="3">
        <v>6</v>
      </c>
    </row>
    <row r="118" spans="1:56" x14ac:dyDescent="0.25">
      <c r="A118" t="s">
        <v>82</v>
      </c>
      <c r="B118" s="3">
        <v>61730</v>
      </c>
      <c r="C118" s="3">
        <v>108992</v>
      </c>
      <c r="D118" s="3">
        <v>7367</v>
      </c>
      <c r="E118" s="3">
        <v>17175</v>
      </c>
      <c r="F118" s="3">
        <v>24133</v>
      </c>
      <c r="G118" s="3">
        <v>36155</v>
      </c>
      <c r="H118" s="3">
        <v>23971</v>
      </c>
      <c r="I118" s="4">
        <v>9424</v>
      </c>
      <c r="J118" s="4">
        <v>8392</v>
      </c>
      <c r="K118" s="4">
        <v>1627</v>
      </c>
      <c r="L118" s="4">
        <v>5125</v>
      </c>
      <c r="M118" s="3">
        <v>35571</v>
      </c>
      <c r="N118" s="4">
        <v>1443</v>
      </c>
      <c r="O118" s="4">
        <v>1740</v>
      </c>
      <c r="P118" s="4">
        <v>4529</v>
      </c>
      <c r="Q118" s="4">
        <v>5067</v>
      </c>
      <c r="R118" s="4">
        <v>7273</v>
      </c>
      <c r="S118" s="4">
        <v>9072</v>
      </c>
      <c r="T118" s="4">
        <v>5242</v>
      </c>
      <c r="U118" s="4">
        <v>1117</v>
      </c>
      <c r="V118" s="4">
        <v>1570</v>
      </c>
      <c r="W118" s="3">
        <v>17</v>
      </c>
      <c r="X118" s="3">
        <v>7</v>
      </c>
      <c r="Y118" s="4">
        <v>1</v>
      </c>
      <c r="Z118" s="4">
        <v>0.85000000000000009</v>
      </c>
      <c r="AA118" s="4" t="e">
        <v>#N/A</v>
      </c>
      <c r="AB118" s="3">
        <v>-10</v>
      </c>
      <c r="AC118" s="3">
        <v>7</v>
      </c>
      <c r="AD118" s="3">
        <v>0</v>
      </c>
      <c r="AE118" s="3">
        <v>8</v>
      </c>
      <c r="AF118" s="3">
        <v>5784</v>
      </c>
      <c r="AG118" s="4">
        <v>-10.9</v>
      </c>
      <c r="AH118" s="4">
        <v>-10.9</v>
      </c>
      <c r="AI118" s="3">
        <v>89048</v>
      </c>
      <c r="AJ118" s="3">
        <v>45</v>
      </c>
      <c r="AK118" s="3">
        <v>12</v>
      </c>
      <c r="AL118" s="3">
        <v>3</v>
      </c>
      <c r="AM118" s="3">
        <v>3</v>
      </c>
      <c r="AN118" s="3">
        <v>47</v>
      </c>
      <c r="AO118" s="3">
        <v>14</v>
      </c>
      <c r="AP118" s="3">
        <v>2</v>
      </c>
      <c r="AQ118" s="3">
        <v>31</v>
      </c>
      <c r="AR118" s="3">
        <v>13</v>
      </c>
      <c r="AS118" s="3">
        <v>4</v>
      </c>
      <c r="AT118" s="3">
        <v>1</v>
      </c>
      <c r="AU118" s="3">
        <v>57</v>
      </c>
      <c r="AV118" s="3">
        <v>9</v>
      </c>
      <c r="AW118" s="3">
        <v>3</v>
      </c>
      <c r="AX118" s="3">
        <v>48</v>
      </c>
      <c r="AY118" s="3">
        <v>21</v>
      </c>
      <c r="AZ118" s="3">
        <v>10</v>
      </c>
      <c r="BA118" s="3">
        <v>4</v>
      </c>
      <c r="BB118" s="3">
        <v>38</v>
      </c>
      <c r="BC118" s="3">
        <v>14</v>
      </c>
      <c r="BD118" s="3">
        <v>5</v>
      </c>
    </row>
    <row r="119" spans="1:56" x14ac:dyDescent="0.25">
      <c r="A119" t="s">
        <v>83</v>
      </c>
      <c r="B119" s="3">
        <v>60681</v>
      </c>
      <c r="C119" s="3">
        <v>108030</v>
      </c>
      <c r="D119" s="3">
        <v>6763</v>
      </c>
      <c r="E119" s="3">
        <v>16540</v>
      </c>
      <c r="F119" s="3">
        <v>24374</v>
      </c>
      <c r="G119" s="3">
        <v>36263</v>
      </c>
      <c r="H119" s="3">
        <v>23995</v>
      </c>
      <c r="I119" s="4">
        <v>9477</v>
      </c>
      <c r="J119" s="4">
        <v>8111</v>
      </c>
      <c r="K119" s="4">
        <v>1865</v>
      </c>
      <c r="L119" s="4">
        <v>5171</v>
      </c>
      <c r="M119" s="3">
        <v>35810</v>
      </c>
      <c r="N119" s="4">
        <v>1446</v>
      </c>
      <c r="O119" s="4">
        <v>1633</v>
      </c>
      <c r="P119" s="4">
        <v>4586</v>
      </c>
      <c r="Q119" s="4">
        <v>4263</v>
      </c>
      <c r="R119" s="4">
        <v>6827</v>
      </c>
      <c r="S119" s="4">
        <v>9375</v>
      </c>
      <c r="T119" s="4">
        <v>5413</v>
      </c>
      <c r="U119" s="4">
        <v>1155</v>
      </c>
      <c r="V119" s="4">
        <v>2054</v>
      </c>
      <c r="W119" s="3">
        <v>19</v>
      </c>
      <c r="X119" s="3">
        <v>10</v>
      </c>
      <c r="Y119" s="4">
        <v>1.1000000000000001</v>
      </c>
      <c r="Z119" s="4">
        <v>0.75</v>
      </c>
      <c r="AA119" s="4" t="e">
        <v>#N/A</v>
      </c>
      <c r="AB119" s="3">
        <v>5</v>
      </c>
      <c r="AC119" s="3">
        <v>7</v>
      </c>
      <c r="AD119" s="3">
        <v>4</v>
      </c>
      <c r="AE119" s="3">
        <v>13</v>
      </c>
      <c r="AF119" s="3">
        <v>5918</v>
      </c>
      <c r="AG119" s="4">
        <v>-12.4</v>
      </c>
      <c r="AH119" s="4">
        <v>-11</v>
      </c>
      <c r="AI119" s="3">
        <v>88662</v>
      </c>
      <c r="AJ119" s="3">
        <v>46</v>
      </c>
      <c r="AK119" s="3">
        <v>13</v>
      </c>
      <c r="AL119" s="3">
        <v>2</v>
      </c>
      <c r="AM119" s="3">
        <v>2</v>
      </c>
      <c r="AN119" s="3">
        <v>47</v>
      </c>
      <c r="AO119" s="3">
        <v>17</v>
      </c>
      <c r="AP119" s="3">
        <v>3</v>
      </c>
      <c r="AQ119" s="3">
        <v>22</v>
      </c>
      <c r="AR119" s="3">
        <v>18</v>
      </c>
      <c r="AS119" s="3">
        <v>7</v>
      </c>
      <c r="AT119" s="3">
        <v>3</v>
      </c>
      <c r="AU119" s="3">
        <v>50</v>
      </c>
      <c r="AV119" s="3">
        <v>14</v>
      </c>
      <c r="AW119" s="3">
        <v>2</v>
      </c>
      <c r="AX119" s="3">
        <v>62</v>
      </c>
      <c r="AY119" s="3">
        <v>22</v>
      </c>
      <c r="AZ119" s="3">
        <v>9</v>
      </c>
      <c r="BA119" s="3">
        <v>6</v>
      </c>
      <c r="BB119" s="3">
        <v>48</v>
      </c>
      <c r="BC119" s="3">
        <v>28</v>
      </c>
      <c r="BD119" s="3">
        <v>0</v>
      </c>
    </row>
    <row r="120" spans="1:56" x14ac:dyDescent="0.25">
      <c r="A120" t="s">
        <v>84</v>
      </c>
      <c r="B120" s="3">
        <v>61713</v>
      </c>
      <c r="C120" s="3">
        <v>109696</v>
      </c>
      <c r="D120" s="3">
        <v>7354</v>
      </c>
      <c r="E120" s="3">
        <v>16573</v>
      </c>
      <c r="F120" s="3">
        <v>24837</v>
      </c>
      <c r="G120" s="3">
        <v>36336</v>
      </c>
      <c r="H120" s="3">
        <v>24259</v>
      </c>
      <c r="I120" s="4">
        <v>9635</v>
      </c>
      <c r="J120" s="4">
        <v>8496</v>
      </c>
      <c r="K120" s="4">
        <v>2029</v>
      </c>
      <c r="L120" s="4">
        <v>5343</v>
      </c>
      <c r="M120" s="3">
        <v>35650</v>
      </c>
      <c r="N120" s="4">
        <v>1426</v>
      </c>
      <c r="O120" s="4">
        <v>1388</v>
      </c>
      <c r="P120" s="4">
        <v>4577</v>
      </c>
      <c r="Q120" s="4">
        <v>6404</v>
      </c>
      <c r="R120" s="4">
        <v>6677</v>
      </c>
      <c r="S120" s="4">
        <v>9952</v>
      </c>
      <c r="T120" s="4">
        <v>5266</v>
      </c>
      <c r="U120" s="4">
        <v>1023</v>
      </c>
      <c r="V120" s="4">
        <v>1680</v>
      </c>
      <c r="W120" s="3">
        <v>16</v>
      </c>
      <c r="X120" s="3">
        <v>8</v>
      </c>
      <c r="Y120" s="4">
        <v>1.1000000000000001</v>
      </c>
      <c r="Z120" s="4">
        <v>0.95</v>
      </c>
      <c r="AA120" s="4">
        <v>0.95000000000000007</v>
      </c>
      <c r="AB120" s="3">
        <v>-7</v>
      </c>
      <c r="AC120" s="3">
        <v>3</v>
      </c>
      <c r="AD120" s="3">
        <v>0</v>
      </c>
      <c r="AE120" s="3">
        <v>1</v>
      </c>
      <c r="AF120" s="3">
        <v>6162</v>
      </c>
      <c r="AG120" s="4">
        <v>-18.899999999999999</v>
      </c>
      <c r="AH120" s="4">
        <v>-11</v>
      </c>
      <c r="AI120" s="3">
        <v>96451</v>
      </c>
      <c r="AJ120" s="3">
        <v>40</v>
      </c>
      <c r="AK120" s="3">
        <v>11</v>
      </c>
      <c r="AL120" s="3">
        <v>5</v>
      </c>
      <c r="AM120" s="3">
        <v>5</v>
      </c>
      <c r="AN120" s="3">
        <v>52</v>
      </c>
      <c r="AO120" s="3">
        <v>18</v>
      </c>
      <c r="AP120" s="3">
        <v>6</v>
      </c>
      <c r="AQ120" s="3">
        <v>31</v>
      </c>
      <c r="AR120" s="3">
        <v>9</v>
      </c>
      <c r="AS120" s="3">
        <v>4</v>
      </c>
      <c r="AT120" s="3">
        <v>1</v>
      </c>
      <c r="AU120" s="3">
        <v>53</v>
      </c>
      <c r="AV120" s="3">
        <v>14</v>
      </c>
      <c r="AW120" s="3">
        <v>1</v>
      </c>
      <c r="AX120" s="3">
        <v>29</v>
      </c>
      <c r="AY120" s="3">
        <v>12</v>
      </c>
      <c r="AZ120" s="3">
        <v>7</v>
      </c>
      <c r="BA120" s="3">
        <v>6</v>
      </c>
      <c r="BB120" s="3">
        <v>52</v>
      </c>
      <c r="BC120" s="3">
        <v>20</v>
      </c>
      <c r="BD120" s="3">
        <v>0</v>
      </c>
    </row>
    <row r="121" spans="1:56" x14ac:dyDescent="0.25">
      <c r="A121" t="s">
        <v>85</v>
      </c>
      <c r="B121" s="3">
        <v>61342</v>
      </c>
      <c r="C121" s="3">
        <v>109097</v>
      </c>
      <c r="D121" s="3">
        <v>5421</v>
      </c>
      <c r="E121" s="3">
        <v>17170</v>
      </c>
      <c r="F121" s="3">
        <v>24663</v>
      </c>
      <c r="G121" s="3">
        <v>36845</v>
      </c>
      <c r="H121" s="3">
        <v>24914</v>
      </c>
      <c r="I121" s="4">
        <v>9719</v>
      </c>
      <c r="J121" s="4">
        <v>8403</v>
      </c>
      <c r="K121" s="4">
        <v>1930</v>
      </c>
      <c r="L121" s="4">
        <v>5346</v>
      </c>
      <c r="M121" s="3">
        <v>32520</v>
      </c>
      <c r="N121" s="4">
        <v>1403</v>
      </c>
      <c r="O121" s="4">
        <v>1642</v>
      </c>
      <c r="P121" s="4">
        <v>4578</v>
      </c>
      <c r="Q121" s="4">
        <v>2569</v>
      </c>
      <c r="R121" s="4">
        <v>6331</v>
      </c>
      <c r="S121" s="4">
        <v>10063</v>
      </c>
      <c r="T121" s="4">
        <v>5395</v>
      </c>
      <c r="U121" s="4">
        <v>1388</v>
      </c>
      <c r="V121" s="4">
        <v>1703</v>
      </c>
      <c r="W121" s="3">
        <v>20</v>
      </c>
      <c r="X121" s="3">
        <v>12</v>
      </c>
      <c r="Y121">
        <v>1.35</v>
      </c>
      <c r="Z121">
        <v>1</v>
      </c>
      <c r="AA121" s="4">
        <v>1</v>
      </c>
      <c r="AB121" s="3">
        <v>5</v>
      </c>
      <c r="AC121" s="3">
        <v>18</v>
      </c>
      <c r="AD121" s="3">
        <v>2</v>
      </c>
      <c r="AE121" s="3">
        <v>-9</v>
      </c>
      <c r="AF121" s="3">
        <v>7492</v>
      </c>
      <c r="AG121" s="4">
        <v>0.8</v>
      </c>
      <c r="AH121" s="4">
        <v>0.8</v>
      </c>
      <c r="AI121" s="3">
        <v>92184</v>
      </c>
      <c r="AJ121" s="3">
        <v>40</v>
      </c>
      <c r="AK121" s="3">
        <v>16</v>
      </c>
      <c r="AL121" s="3">
        <v>6</v>
      </c>
      <c r="AM121" s="3">
        <v>2</v>
      </c>
      <c r="AN121" s="3">
        <v>49</v>
      </c>
      <c r="AO121" s="3">
        <v>11</v>
      </c>
      <c r="AP121" s="3">
        <v>8</v>
      </c>
      <c r="AQ121" s="3">
        <v>28</v>
      </c>
      <c r="AR121" s="3">
        <v>14</v>
      </c>
      <c r="AS121" s="3">
        <v>3</v>
      </c>
      <c r="AT121" s="3">
        <v>4</v>
      </c>
      <c r="AU121" s="3">
        <v>51</v>
      </c>
      <c r="AV121" s="3">
        <v>13</v>
      </c>
      <c r="AW121" s="3">
        <v>2</v>
      </c>
      <c r="AX121" s="3">
        <v>50</v>
      </c>
      <c r="AY121" s="3">
        <v>24</v>
      </c>
      <c r="AZ121" s="3">
        <v>16</v>
      </c>
      <c r="BA121" s="3">
        <v>5</v>
      </c>
      <c r="BB121" s="3">
        <v>47</v>
      </c>
      <c r="BC121" s="3">
        <v>20</v>
      </c>
      <c r="BD121" s="3">
        <v>1</v>
      </c>
    </row>
    <row r="122" spans="1:56" x14ac:dyDescent="0.25">
      <c r="A122" t="s">
        <v>86</v>
      </c>
      <c r="B122" s="3">
        <v>60055</v>
      </c>
      <c r="C122" s="3">
        <v>107829</v>
      </c>
      <c r="D122" s="3">
        <v>3282</v>
      </c>
      <c r="E122" s="3">
        <v>17325</v>
      </c>
      <c r="F122" s="3">
        <v>25551</v>
      </c>
      <c r="G122" s="3">
        <v>36550</v>
      </c>
      <c r="H122" s="3">
        <v>25637</v>
      </c>
      <c r="I122" s="4">
        <v>9549</v>
      </c>
      <c r="J122" s="4">
        <v>8771</v>
      </c>
      <c r="K122" s="4">
        <v>2045</v>
      </c>
      <c r="L122" s="4">
        <v>5508</v>
      </c>
      <c r="M122" s="3">
        <v>32091</v>
      </c>
      <c r="N122" s="4">
        <v>1258</v>
      </c>
      <c r="O122" s="4">
        <v>1593</v>
      </c>
      <c r="P122" s="4">
        <v>4573</v>
      </c>
      <c r="Q122" s="4">
        <v>1376</v>
      </c>
      <c r="R122" s="4">
        <v>6284</v>
      </c>
      <c r="S122" s="4">
        <v>10242</v>
      </c>
      <c r="T122" s="4">
        <v>5363</v>
      </c>
      <c r="U122" s="4">
        <v>1131</v>
      </c>
      <c r="V122" s="4">
        <v>1918</v>
      </c>
      <c r="W122" s="3">
        <v>20</v>
      </c>
      <c r="X122" s="3">
        <v>8</v>
      </c>
      <c r="Y122">
        <v>1.5</v>
      </c>
      <c r="Z122">
        <v>0.9</v>
      </c>
      <c r="AA122" s="4">
        <v>1.1499999999999999</v>
      </c>
      <c r="AB122" s="3">
        <v>-8</v>
      </c>
      <c r="AC122" s="3">
        <v>9</v>
      </c>
      <c r="AD122" s="3">
        <v>-4</v>
      </c>
      <c r="AE122" s="3">
        <v>5</v>
      </c>
      <c r="AF122" s="3">
        <v>6914</v>
      </c>
      <c r="AG122" s="4">
        <v>-7.9</v>
      </c>
      <c r="AH122" s="4">
        <v>-8.6</v>
      </c>
      <c r="AI122" s="3">
        <v>94082</v>
      </c>
      <c r="AJ122" s="3">
        <v>46</v>
      </c>
      <c r="AK122" s="3">
        <v>16</v>
      </c>
      <c r="AL122" s="3">
        <v>5</v>
      </c>
      <c r="AM122" s="3">
        <v>2</v>
      </c>
      <c r="AN122" s="3">
        <v>45</v>
      </c>
      <c r="AO122" s="3">
        <v>18</v>
      </c>
      <c r="AP122" s="3">
        <v>9</v>
      </c>
      <c r="AQ122" s="3">
        <v>29</v>
      </c>
      <c r="AR122" s="3">
        <v>16</v>
      </c>
      <c r="AS122" s="3">
        <v>5</v>
      </c>
      <c r="AT122" s="3">
        <v>1</v>
      </c>
      <c r="AU122" s="3">
        <v>44</v>
      </c>
      <c r="AV122" s="3">
        <v>13</v>
      </c>
      <c r="AW122" s="3">
        <v>4</v>
      </c>
      <c r="AX122" s="3">
        <v>43</v>
      </c>
      <c r="AY122" s="3">
        <v>14</v>
      </c>
      <c r="AZ122" s="3">
        <v>6</v>
      </c>
      <c r="BA122" s="3">
        <v>7</v>
      </c>
      <c r="BB122" s="3">
        <v>55</v>
      </c>
      <c r="BC122" s="3">
        <v>18</v>
      </c>
      <c r="BD122" s="3">
        <v>3</v>
      </c>
    </row>
    <row r="123" spans="1:56" x14ac:dyDescent="0.25">
      <c r="A123" t="s">
        <v>87</v>
      </c>
      <c r="B123" s="3">
        <v>60115</v>
      </c>
      <c r="C123" s="3">
        <v>107807</v>
      </c>
      <c r="D123" s="3">
        <v>5674</v>
      </c>
      <c r="E123" s="3">
        <v>16580</v>
      </c>
      <c r="F123" s="3">
        <v>25091</v>
      </c>
      <c r="G123" s="3">
        <v>36477</v>
      </c>
      <c r="H123" s="3">
        <v>23919</v>
      </c>
      <c r="I123" s="4">
        <v>9841</v>
      </c>
      <c r="J123" s="4">
        <v>8182</v>
      </c>
      <c r="K123" s="4">
        <v>2275</v>
      </c>
      <c r="L123" s="4">
        <v>5458</v>
      </c>
      <c r="M123" s="3">
        <v>35887</v>
      </c>
      <c r="N123" s="4">
        <v>1247</v>
      </c>
      <c r="O123" s="4">
        <v>1621</v>
      </c>
      <c r="P123" s="4">
        <v>4189</v>
      </c>
      <c r="Q123" s="4">
        <v>3811</v>
      </c>
      <c r="R123" s="4">
        <v>6608</v>
      </c>
      <c r="S123" s="4">
        <v>9541</v>
      </c>
      <c r="T123" s="4">
        <v>5294</v>
      </c>
      <c r="U123" s="4">
        <v>1201</v>
      </c>
      <c r="V123" s="4">
        <v>2160</v>
      </c>
      <c r="W123" s="3">
        <v>15</v>
      </c>
      <c r="X123" s="3">
        <v>7</v>
      </c>
      <c r="Y123">
        <v>1.3</v>
      </c>
      <c r="Z123">
        <v>1</v>
      </c>
      <c r="AA123" s="4">
        <v>0.95</v>
      </c>
      <c r="AB123" s="3">
        <v>4</v>
      </c>
      <c r="AC123" s="3">
        <v>3</v>
      </c>
      <c r="AD123" s="3">
        <v>-5</v>
      </c>
      <c r="AE123" s="3">
        <v>0</v>
      </c>
      <c r="AF123" s="3">
        <v>7366</v>
      </c>
      <c r="AG123" s="4">
        <v>-14.4</v>
      </c>
      <c r="AH123" s="4">
        <v>-17.3</v>
      </c>
      <c r="AI123" s="3">
        <v>94742</v>
      </c>
      <c r="AJ123" s="3">
        <v>50</v>
      </c>
      <c r="AK123" s="3">
        <v>16</v>
      </c>
      <c r="AL123" s="3">
        <v>7</v>
      </c>
      <c r="AM123" s="3">
        <v>6</v>
      </c>
      <c r="AN123" s="3">
        <v>53</v>
      </c>
      <c r="AO123" s="3">
        <v>20</v>
      </c>
      <c r="AP123" s="3">
        <v>5</v>
      </c>
      <c r="AQ123" s="3">
        <v>25</v>
      </c>
      <c r="AR123" s="3">
        <v>17</v>
      </c>
      <c r="AS123" s="3">
        <v>3</v>
      </c>
      <c r="AT123" s="3">
        <v>3</v>
      </c>
      <c r="AU123" s="3">
        <v>47</v>
      </c>
      <c r="AV123" s="3">
        <v>11</v>
      </c>
      <c r="AW123" s="3">
        <v>5</v>
      </c>
      <c r="AX123" s="3">
        <v>39</v>
      </c>
      <c r="AY123" s="3">
        <v>25</v>
      </c>
      <c r="AZ123" s="3">
        <v>5</v>
      </c>
      <c r="BA123" s="3">
        <v>1</v>
      </c>
      <c r="BB123" s="3">
        <v>46</v>
      </c>
      <c r="BC123" s="3">
        <v>18</v>
      </c>
      <c r="BD123" s="3">
        <v>2</v>
      </c>
    </row>
    <row r="124" spans="1:56" x14ac:dyDescent="0.25">
      <c r="A124" t="s">
        <v>88</v>
      </c>
      <c r="B124" s="3">
        <v>60536</v>
      </c>
      <c r="C124" s="3">
        <v>107662</v>
      </c>
      <c r="D124" s="3">
        <v>5863</v>
      </c>
      <c r="E124" s="3">
        <v>16116</v>
      </c>
      <c r="F124" s="3">
        <v>25091</v>
      </c>
      <c r="G124" s="3">
        <v>36659</v>
      </c>
      <c r="H124" s="3">
        <v>23847</v>
      </c>
      <c r="I124" s="4">
        <v>9812</v>
      </c>
      <c r="J124" s="4">
        <v>8731</v>
      </c>
      <c r="K124" s="4">
        <v>2452</v>
      </c>
      <c r="L124" s="4">
        <v>4971</v>
      </c>
      <c r="M124" s="3">
        <v>35827</v>
      </c>
      <c r="N124" s="4">
        <v>1235</v>
      </c>
      <c r="O124" s="4">
        <v>1813</v>
      </c>
      <c r="P124" s="4">
        <v>4565</v>
      </c>
      <c r="Q124" s="4">
        <v>5032</v>
      </c>
      <c r="R124" s="4">
        <v>6664</v>
      </c>
      <c r="S124" s="4">
        <v>9333</v>
      </c>
      <c r="T124" s="4">
        <v>5380</v>
      </c>
      <c r="U124" s="4">
        <v>1268</v>
      </c>
      <c r="V124" s="4">
        <v>1899</v>
      </c>
      <c r="W124" s="3">
        <v>18</v>
      </c>
      <c r="X124" s="3">
        <v>10</v>
      </c>
      <c r="Y124">
        <v>0.3</v>
      </c>
      <c r="Z124">
        <v>0.7</v>
      </c>
      <c r="AA124" s="4">
        <v>0.55000000000000004</v>
      </c>
      <c r="AB124" s="3">
        <v>-19</v>
      </c>
      <c r="AC124" s="3">
        <v>7</v>
      </c>
      <c r="AD124" s="3">
        <v>-4</v>
      </c>
      <c r="AE124" s="3">
        <v>-20</v>
      </c>
      <c r="AF124" s="3">
        <v>7798</v>
      </c>
      <c r="AG124" s="4">
        <v>-12.1</v>
      </c>
      <c r="AH124" s="4">
        <v>-14.2</v>
      </c>
      <c r="AI124" s="3">
        <v>94431</v>
      </c>
      <c r="AJ124" s="3">
        <v>41</v>
      </c>
      <c r="AK124" s="3">
        <v>20</v>
      </c>
      <c r="AL124" s="3">
        <v>5</v>
      </c>
      <c r="AM124" s="3">
        <v>6</v>
      </c>
      <c r="AN124" s="3">
        <v>50</v>
      </c>
      <c r="AO124" s="3">
        <v>20</v>
      </c>
      <c r="AP124" s="3">
        <v>11</v>
      </c>
      <c r="AQ124" s="3">
        <v>23</v>
      </c>
      <c r="AR124" s="3">
        <v>23</v>
      </c>
      <c r="AS124" s="3">
        <v>9</v>
      </c>
      <c r="AT124" s="3">
        <v>9</v>
      </c>
      <c r="AU124" s="3">
        <v>51</v>
      </c>
      <c r="AV124" s="3">
        <v>21</v>
      </c>
      <c r="AW124" s="3">
        <v>1</v>
      </c>
      <c r="AX124" s="3">
        <v>37</v>
      </c>
      <c r="AY124" s="3">
        <v>6</v>
      </c>
      <c r="AZ124" s="3">
        <v>3</v>
      </c>
      <c r="BA124" s="3">
        <v>1</v>
      </c>
      <c r="BB124" s="3">
        <v>60</v>
      </c>
      <c r="BC124" s="3">
        <v>27</v>
      </c>
      <c r="BD124" s="3">
        <v>4</v>
      </c>
    </row>
    <row r="125" spans="1:56" x14ac:dyDescent="0.25">
      <c r="A125" t="s">
        <v>89</v>
      </c>
      <c r="B125" s="3">
        <v>61201</v>
      </c>
      <c r="C125" s="3">
        <v>110948</v>
      </c>
      <c r="D125" s="3">
        <v>5338</v>
      </c>
      <c r="E125" s="3">
        <v>16519</v>
      </c>
      <c r="F125" s="3">
        <v>25743</v>
      </c>
      <c r="G125" s="3">
        <v>38455</v>
      </c>
      <c r="H125" s="3">
        <v>24992</v>
      </c>
      <c r="I125" s="4">
        <v>9990</v>
      </c>
      <c r="J125" s="4">
        <v>8345</v>
      </c>
      <c r="K125" s="4">
        <v>2958</v>
      </c>
      <c r="L125" s="4">
        <v>5300</v>
      </c>
      <c r="M125" s="3">
        <v>34186</v>
      </c>
      <c r="N125" s="4">
        <v>1254</v>
      </c>
      <c r="O125" s="4">
        <v>1613</v>
      </c>
      <c r="P125" s="4">
        <v>4636</v>
      </c>
      <c r="Q125" s="4">
        <v>3878</v>
      </c>
      <c r="R125" s="4">
        <v>6463</v>
      </c>
      <c r="S125" s="4">
        <v>9122</v>
      </c>
      <c r="T125" s="4">
        <v>5435</v>
      </c>
      <c r="U125" s="4">
        <v>1134</v>
      </c>
      <c r="V125" s="4">
        <v>1819</v>
      </c>
      <c r="W125" s="3">
        <v>6</v>
      </c>
      <c r="X125" s="3">
        <v>1</v>
      </c>
      <c r="Y125">
        <v>0.4</v>
      </c>
      <c r="Z125">
        <v>0.5</v>
      </c>
      <c r="AA125" s="4">
        <v>0.45</v>
      </c>
      <c r="AB125" s="3">
        <v>-18</v>
      </c>
      <c r="AC125" s="3">
        <v>-16</v>
      </c>
      <c r="AD125" s="3">
        <v>-4</v>
      </c>
      <c r="AE125" s="3">
        <v>-2</v>
      </c>
      <c r="AF125" s="3">
        <v>7550</v>
      </c>
      <c r="AG125" s="4">
        <v>-15.5</v>
      </c>
      <c r="AH125" s="4">
        <v>-9.6</v>
      </c>
      <c r="AI125" s="3">
        <v>94414</v>
      </c>
      <c r="AJ125" s="3">
        <v>42</v>
      </c>
      <c r="AK125" s="3">
        <v>23</v>
      </c>
      <c r="AL125" s="3">
        <v>9</v>
      </c>
      <c r="AM125" s="3">
        <v>7</v>
      </c>
      <c r="AN125" s="3">
        <v>58</v>
      </c>
      <c r="AO125" s="3">
        <v>21</v>
      </c>
      <c r="AP125" s="3">
        <v>8</v>
      </c>
      <c r="AQ125" s="3">
        <v>26</v>
      </c>
      <c r="AR125" s="3">
        <v>10</v>
      </c>
      <c r="AS125" s="3">
        <v>4</v>
      </c>
      <c r="AT125" s="3">
        <v>3</v>
      </c>
      <c r="AU125" s="3">
        <v>63</v>
      </c>
      <c r="AV125" s="3">
        <v>19</v>
      </c>
      <c r="AW125" s="3">
        <v>4</v>
      </c>
      <c r="AX125" s="3">
        <v>37</v>
      </c>
      <c r="AY125" s="3">
        <v>25</v>
      </c>
      <c r="AZ125" s="3">
        <v>12</v>
      </c>
      <c r="BA125" s="3">
        <v>6</v>
      </c>
      <c r="BB125" s="3">
        <v>59</v>
      </c>
      <c r="BC125" s="3">
        <v>12</v>
      </c>
      <c r="BD125" s="3">
        <v>4</v>
      </c>
    </row>
    <row r="126" spans="1:56" x14ac:dyDescent="0.25">
      <c r="A126" t="s">
        <v>90</v>
      </c>
      <c r="B126" s="3">
        <v>62181</v>
      </c>
      <c r="C126" s="3">
        <v>110046</v>
      </c>
      <c r="D126" s="3">
        <v>5840</v>
      </c>
      <c r="E126" s="3">
        <v>16453</v>
      </c>
      <c r="F126" s="3">
        <v>25872</v>
      </c>
      <c r="G126" s="3">
        <v>37186</v>
      </c>
      <c r="H126" s="3">
        <v>24892</v>
      </c>
      <c r="I126" s="4">
        <v>9706</v>
      </c>
      <c r="J126" s="4">
        <v>7990</v>
      </c>
      <c r="K126" s="4">
        <v>3169</v>
      </c>
      <c r="L126" s="4">
        <v>5339</v>
      </c>
      <c r="M126" s="3">
        <v>34100</v>
      </c>
      <c r="N126" s="4">
        <v>1352</v>
      </c>
      <c r="O126" s="4">
        <v>1444</v>
      </c>
      <c r="P126" s="4">
        <v>4550</v>
      </c>
      <c r="Q126" s="4">
        <v>5150</v>
      </c>
      <c r="R126" s="4">
        <v>6732</v>
      </c>
      <c r="S126" s="4">
        <v>9117</v>
      </c>
      <c r="T126" s="4">
        <v>5395</v>
      </c>
      <c r="U126" s="4">
        <v>1255</v>
      </c>
      <c r="V126" s="4">
        <v>1841</v>
      </c>
      <c r="W126" s="3">
        <v>11</v>
      </c>
      <c r="X126" s="3">
        <v>5</v>
      </c>
      <c r="Y126" s="3"/>
      <c r="Z126" s="3"/>
      <c r="AA126" s="4">
        <v>-0.15000000000000002</v>
      </c>
      <c r="AB126" s="3">
        <v>-14</v>
      </c>
      <c r="AC126" s="3">
        <v>-42</v>
      </c>
      <c r="AD126" s="3">
        <v>4</v>
      </c>
      <c r="AE126" s="3">
        <v>-25</v>
      </c>
      <c r="AF126" s="3">
        <v>7482</v>
      </c>
      <c r="AG126" s="4">
        <v>-6</v>
      </c>
      <c r="AH126" s="4">
        <v>-8.1</v>
      </c>
      <c r="AI126" s="3">
        <v>95794</v>
      </c>
      <c r="AJ126" s="3">
        <v>37</v>
      </c>
      <c r="AK126" s="3">
        <v>24</v>
      </c>
      <c r="AL126" s="3">
        <v>11</v>
      </c>
      <c r="AM126" s="3">
        <v>9</v>
      </c>
      <c r="AN126" s="3">
        <v>61</v>
      </c>
      <c r="AO126" s="3">
        <v>27</v>
      </c>
      <c r="AP126" s="3">
        <v>17</v>
      </c>
      <c r="AQ126" s="3">
        <v>26</v>
      </c>
      <c r="AR126" s="3">
        <v>14</v>
      </c>
      <c r="AS126" s="3">
        <v>3</v>
      </c>
      <c r="AT126" s="3">
        <v>10</v>
      </c>
      <c r="AU126" s="3">
        <v>51</v>
      </c>
      <c r="AV126" s="3">
        <v>19</v>
      </c>
      <c r="AW126" s="3">
        <v>9</v>
      </c>
      <c r="AX126" s="3">
        <v>43</v>
      </c>
      <c r="AY126" s="3">
        <v>24</v>
      </c>
      <c r="AZ126" s="3">
        <v>17</v>
      </c>
      <c r="BA126" s="3">
        <v>8</v>
      </c>
      <c r="BB126" s="3">
        <v>37</v>
      </c>
      <c r="BC126" s="3">
        <v>21</v>
      </c>
      <c r="BD126" s="3">
        <v>19</v>
      </c>
    </row>
    <row r="127" spans="1:56" x14ac:dyDescent="0.25">
      <c r="A127" t="s">
        <v>91</v>
      </c>
      <c r="B127" s="3">
        <v>61932</v>
      </c>
      <c r="C127" s="3">
        <v>110942</v>
      </c>
      <c r="D127" s="3">
        <v>5253</v>
      </c>
      <c r="E127" s="3">
        <v>16420</v>
      </c>
      <c r="F127" s="3">
        <v>26571</v>
      </c>
      <c r="G127" s="3">
        <v>36740</v>
      </c>
      <c r="H127" s="3">
        <v>26062</v>
      </c>
      <c r="I127" s="4">
        <v>9482</v>
      </c>
      <c r="J127" s="4">
        <v>7917</v>
      </c>
      <c r="K127" s="4">
        <v>3038</v>
      </c>
      <c r="L127" s="4">
        <v>5779</v>
      </c>
      <c r="M127" s="3">
        <v>34256</v>
      </c>
      <c r="N127" s="4">
        <v>1338</v>
      </c>
      <c r="O127" s="4">
        <v>1421</v>
      </c>
      <c r="P127" s="4">
        <v>4480</v>
      </c>
      <c r="Q127" s="4">
        <v>3241</v>
      </c>
      <c r="R127" s="4">
        <v>6795</v>
      </c>
      <c r="S127" s="4">
        <v>9449</v>
      </c>
      <c r="T127" s="4">
        <v>5359</v>
      </c>
      <c r="U127" s="4">
        <v>1189</v>
      </c>
      <c r="V127" s="4">
        <v>1808</v>
      </c>
      <c r="W127" s="3">
        <v>7</v>
      </c>
      <c r="X127" s="3">
        <v>5</v>
      </c>
      <c r="Y127" s="3"/>
      <c r="Z127" s="3"/>
      <c r="AA127" s="4">
        <v>-0.25</v>
      </c>
      <c r="AB127" s="3">
        <v>-17</v>
      </c>
      <c r="AC127" s="3">
        <v>-27</v>
      </c>
      <c r="AD127" s="3">
        <v>-2</v>
      </c>
      <c r="AE127" s="3">
        <v>-10</v>
      </c>
      <c r="AF127" s="3">
        <v>7697</v>
      </c>
      <c r="AG127" s="4">
        <v>-14.9</v>
      </c>
      <c r="AH127" s="4">
        <v>-18.5</v>
      </c>
      <c r="AI127" s="3">
        <v>100495</v>
      </c>
      <c r="AJ127" s="3">
        <v>33</v>
      </c>
      <c r="AK127" s="3">
        <v>21</v>
      </c>
      <c r="AL127" s="3">
        <v>13</v>
      </c>
      <c r="AM127" s="3">
        <v>14</v>
      </c>
      <c r="AN127" s="3">
        <v>64</v>
      </c>
      <c r="AO127" s="3">
        <v>25</v>
      </c>
      <c r="AP127" s="3">
        <v>16</v>
      </c>
      <c r="AQ127" s="3">
        <v>26</v>
      </c>
      <c r="AR127" s="3">
        <v>12</v>
      </c>
      <c r="AS127" s="3">
        <v>3</v>
      </c>
      <c r="AT127" s="3">
        <v>3</v>
      </c>
      <c r="AU127" s="3">
        <v>53</v>
      </c>
      <c r="AV127" s="3">
        <v>14</v>
      </c>
      <c r="AW127" s="3">
        <v>15</v>
      </c>
      <c r="AX127" s="3">
        <v>28</v>
      </c>
      <c r="AY127" s="3">
        <v>21</v>
      </c>
      <c r="AZ127" s="3">
        <v>4</v>
      </c>
      <c r="BA127" s="3">
        <v>15</v>
      </c>
      <c r="BB127" s="3">
        <v>52</v>
      </c>
      <c r="BC127" s="3">
        <v>15</v>
      </c>
      <c r="BD127" s="3">
        <v>7</v>
      </c>
    </row>
    <row r="128" spans="1:56" x14ac:dyDescent="0.25">
      <c r="A128" t="s">
        <v>92</v>
      </c>
      <c r="B128" s="3">
        <v>61994</v>
      </c>
      <c r="C128" s="3">
        <v>109685</v>
      </c>
      <c r="D128" s="3">
        <v>4504</v>
      </c>
      <c r="E128" s="3">
        <v>16601</v>
      </c>
      <c r="F128" s="3">
        <v>25349</v>
      </c>
      <c r="G128" s="3">
        <v>37071</v>
      </c>
      <c r="H128" s="3">
        <v>26427</v>
      </c>
      <c r="I128" s="4">
        <v>9336</v>
      </c>
      <c r="J128" s="4">
        <v>9614</v>
      </c>
      <c r="K128" s="4">
        <v>3234</v>
      </c>
      <c r="L128" s="4">
        <v>5597</v>
      </c>
      <c r="M128" s="3">
        <v>34019</v>
      </c>
      <c r="N128" s="4">
        <v>1358</v>
      </c>
      <c r="O128" s="4">
        <v>1548</v>
      </c>
      <c r="P128" s="4">
        <v>4498</v>
      </c>
      <c r="Q128" s="4">
        <v>3011</v>
      </c>
      <c r="R128" s="4">
        <v>6486</v>
      </c>
      <c r="S128" s="4">
        <v>9022</v>
      </c>
      <c r="T128" s="4">
        <v>5268</v>
      </c>
      <c r="U128" s="4">
        <v>1241</v>
      </c>
      <c r="V128" s="4">
        <v>2259</v>
      </c>
      <c r="W128" s="3">
        <v>5</v>
      </c>
      <c r="X128" s="3">
        <v>2</v>
      </c>
      <c r="Y128" s="3"/>
      <c r="Z128" s="3"/>
      <c r="AA128" s="4">
        <v>-0.5</v>
      </c>
      <c r="AB128" s="3">
        <v>-34</v>
      </c>
      <c r="AC128" s="3">
        <v>-37</v>
      </c>
      <c r="AD128" s="3">
        <v>-15</v>
      </c>
      <c r="AE128" s="3">
        <v>-3</v>
      </c>
      <c r="AF128" s="3">
        <v>6945</v>
      </c>
      <c r="AG128" s="4">
        <v>-15.3</v>
      </c>
      <c r="AH128" s="4">
        <v>-27.4</v>
      </c>
      <c r="AI128" s="3">
        <v>102693</v>
      </c>
      <c r="AJ128" s="3">
        <v>29</v>
      </c>
      <c r="AK128" s="3">
        <v>17</v>
      </c>
      <c r="AL128" s="3">
        <v>7</v>
      </c>
      <c r="AM128" s="3">
        <v>8</v>
      </c>
      <c r="AN128" s="3">
        <v>55</v>
      </c>
      <c r="AO128" s="3">
        <v>17</v>
      </c>
      <c r="AP128" s="3">
        <v>9</v>
      </c>
      <c r="AQ128" s="3">
        <v>19</v>
      </c>
      <c r="AR128" s="3">
        <v>18</v>
      </c>
      <c r="AS128" s="3">
        <v>5</v>
      </c>
      <c r="AT128" s="3">
        <v>4</v>
      </c>
      <c r="AU128" s="3">
        <v>60</v>
      </c>
      <c r="AV128" s="3">
        <v>13</v>
      </c>
      <c r="AW128" s="3">
        <v>4</v>
      </c>
      <c r="AX128" s="3">
        <v>22</v>
      </c>
      <c r="AY128" s="3">
        <v>24</v>
      </c>
      <c r="AZ128" s="3">
        <v>17</v>
      </c>
      <c r="BA128" s="3">
        <v>8</v>
      </c>
      <c r="BB128" s="3">
        <v>40</v>
      </c>
      <c r="BC128" s="3">
        <v>10</v>
      </c>
      <c r="BD128" s="3">
        <v>13</v>
      </c>
    </row>
    <row r="129" spans="1:56" x14ac:dyDescent="0.25">
      <c r="A129" t="s">
        <v>93</v>
      </c>
      <c r="B129" s="3">
        <v>60599</v>
      </c>
      <c r="C129" s="3">
        <v>106217</v>
      </c>
      <c r="D129" s="3">
        <v>4917</v>
      </c>
      <c r="E129" s="3">
        <v>15900</v>
      </c>
      <c r="F129" s="3">
        <v>24584</v>
      </c>
      <c r="G129" s="3">
        <v>34702</v>
      </c>
      <c r="H129" s="3">
        <v>26370</v>
      </c>
      <c r="I129" s="4">
        <v>9311</v>
      </c>
      <c r="J129" s="4">
        <v>7864</v>
      </c>
      <c r="K129" s="4">
        <v>3023</v>
      </c>
      <c r="L129" s="4">
        <v>5510</v>
      </c>
      <c r="M129" s="3">
        <v>31062</v>
      </c>
      <c r="N129" s="4">
        <v>1395</v>
      </c>
      <c r="O129" s="4">
        <v>1792</v>
      </c>
      <c r="P129" s="4">
        <v>4214</v>
      </c>
      <c r="Q129" s="4">
        <v>2668</v>
      </c>
      <c r="R129" s="4">
        <v>6400</v>
      </c>
      <c r="S129" s="4">
        <v>9392</v>
      </c>
      <c r="T129" s="4">
        <v>5079</v>
      </c>
      <c r="U129" s="4">
        <v>1258</v>
      </c>
      <c r="V129" s="4">
        <v>2036</v>
      </c>
      <c r="W129" s="3">
        <v>12</v>
      </c>
      <c r="X129" s="3">
        <v>8</v>
      </c>
      <c r="Y129" s="3"/>
      <c r="Z129" s="3"/>
      <c r="AA129" s="4">
        <v>0</v>
      </c>
      <c r="AB129" s="3">
        <v>5</v>
      </c>
      <c r="AC129" s="3">
        <v>8</v>
      </c>
      <c r="AD129" s="3">
        <v>7</v>
      </c>
      <c r="AE129" s="3">
        <v>-9</v>
      </c>
      <c r="AF129" s="3">
        <v>6970</v>
      </c>
      <c r="AG129" s="4">
        <v>-8.1999999999999993</v>
      </c>
      <c r="AH129" s="4">
        <v>-52.3</v>
      </c>
      <c r="AI129" s="3">
        <v>94879</v>
      </c>
      <c r="AJ129" s="3">
        <v>47</v>
      </c>
      <c r="AK129" s="3">
        <v>17</v>
      </c>
      <c r="AL129" s="3">
        <v>13</v>
      </c>
      <c r="AM129" s="3">
        <v>13</v>
      </c>
      <c r="AN129" s="3">
        <v>51</v>
      </c>
      <c r="AO129" s="3">
        <v>33</v>
      </c>
      <c r="AP129" s="3">
        <v>6</v>
      </c>
      <c r="AQ129" s="3">
        <v>22</v>
      </c>
      <c r="AR129" s="3">
        <v>17</v>
      </c>
      <c r="AS129" s="3">
        <v>4</v>
      </c>
      <c r="AT129" s="3">
        <v>5</v>
      </c>
      <c r="AU129" s="3">
        <v>46</v>
      </c>
      <c r="AV129" s="3">
        <v>16</v>
      </c>
      <c r="AW129" s="3">
        <v>9</v>
      </c>
      <c r="AX129" s="3">
        <v>35</v>
      </c>
      <c r="AY129" s="3">
        <v>30</v>
      </c>
      <c r="AZ129" s="3">
        <v>13</v>
      </c>
      <c r="BA129" s="3">
        <v>13</v>
      </c>
      <c r="BB129" s="3">
        <v>37</v>
      </c>
      <c r="BC129" s="3">
        <v>10</v>
      </c>
      <c r="BD129" s="3">
        <v>8</v>
      </c>
    </row>
    <row r="130" spans="1:56" x14ac:dyDescent="0.25">
      <c r="A130" t="s">
        <v>94</v>
      </c>
      <c r="B130" s="3">
        <v>48951</v>
      </c>
      <c r="C130" s="3">
        <v>86237</v>
      </c>
      <c r="D130" s="3">
        <v>2042</v>
      </c>
      <c r="E130" s="3">
        <v>13717</v>
      </c>
      <c r="F130" s="3">
        <v>14219</v>
      </c>
      <c r="G130" s="3">
        <v>32101</v>
      </c>
      <c r="H130" s="3">
        <v>24488</v>
      </c>
      <c r="I130" s="4">
        <v>8278</v>
      </c>
      <c r="J130" s="4">
        <v>6752</v>
      </c>
      <c r="K130" s="4">
        <v>2093</v>
      </c>
      <c r="L130" s="4">
        <v>4151</v>
      </c>
      <c r="M130" s="3">
        <v>32147</v>
      </c>
      <c r="N130" s="4">
        <v>1186</v>
      </c>
      <c r="O130" s="4">
        <v>794</v>
      </c>
      <c r="P130" s="4">
        <v>4207</v>
      </c>
      <c r="Q130" s="4">
        <v>2003</v>
      </c>
      <c r="R130" s="4">
        <v>6395</v>
      </c>
      <c r="S130" s="4">
        <v>6500</v>
      </c>
      <c r="T130" s="4">
        <v>4999</v>
      </c>
      <c r="U130" s="4">
        <v>1117</v>
      </c>
      <c r="V130" s="4">
        <v>1332</v>
      </c>
      <c r="W130" s="3">
        <v>-42</v>
      </c>
      <c r="X130" s="3">
        <v>-41</v>
      </c>
      <c r="Y130" s="3"/>
      <c r="Z130" s="3"/>
      <c r="AA130" s="4">
        <v>-4.3499999999999996</v>
      </c>
      <c r="AB130" s="3">
        <v>-74</v>
      </c>
      <c r="AC130" s="3">
        <v>-69</v>
      </c>
      <c r="AD130" s="3">
        <v>-35</v>
      </c>
      <c r="AE130" s="3">
        <v>-54</v>
      </c>
      <c r="AF130" s="3">
        <v>6400</v>
      </c>
      <c r="AG130" s="4">
        <v>-53.3</v>
      </c>
      <c r="AH130" s="4">
        <v>-14.8</v>
      </c>
      <c r="AI130" s="3">
        <v>93136</v>
      </c>
      <c r="AJ130" s="3">
        <v>28</v>
      </c>
      <c r="AK130" s="3">
        <v>43</v>
      </c>
      <c r="AL130" s="3">
        <v>20</v>
      </c>
      <c r="AM130" s="3">
        <v>14</v>
      </c>
      <c r="AN130" s="3">
        <v>73</v>
      </c>
      <c r="AO130" s="3">
        <v>16</v>
      </c>
      <c r="AP130" s="3">
        <v>14</v>
      </c>
      <c r="AQ130" s="3">
        <v>24</v>
      </c>
      <c r="AR130" s="3">
        <v>27</v>
      </c>
      <c r="AS130" s="3">
        <v>12</v>
      </c>
      <c r="AT130" s="3">
        <v>7</v>
      </c>
      <c r="AU130" s="3">
        <v>67</v>
      </c>
      <c r="AV130" s="3">
        <v>11</v>
      </c>
      <c r="AW130" s="3">
        <v>7</v>
      </c>
      <c r="AX130" s="3">
        <v>37</v>
      </c>
      <c r="AY130" s="3">
        <v>33</v>
      </c>
      <c r="AZ130" s="3">
        <v>14</v>
      </c>
      <c r="BA130" s="3">
        <v>6</v>
      </c>
      <c r="BB130" s="3">
        <v>57</v>
      </c>
      <c r="BC130" s="3">
        <v>4</v>
      </c>
      <c r="BD130" s="3">
        <v>13</v>
      </c>
    </row>
    <row r="131" spans="1:56" x14ac:dyDescent="0.25">
      <c r="A131" t="s">
        <v>95</v>
      </c>
      <c r="B131" s="3">
        <v>54710</v>
      </c>
      <c r="C131" s="3">
        <v>100076</v>
      </c>
      <c r="D131" s="3">
        <v>5283</v>
      </c>
      <c r="E131" s="3">
        <v>14777</v>
      </c>
      <c r="F131" s="3">
        <v>22980</v>
      </c>
      <c r="G131" s="3">
        <v>32255</v>
      </c>
      <c r="H131" s="3">
        <v>24772</v>
      </c>
      <c r="I131" s="4">
        <v>8761</v>
      </c>
      <c r="J131" s="4">
        <v>6900</v>
      </c>
      <c r="K131" s="4">
        <v>2534</v>
      </c>
      <c r="L131" s="4">
        <v>4454</v>
      </c>
      <c r="M131" s="3">
        <v>30068</v>
      </c>
      <c r="N131" s="4">
        <v>1253</v>
      </c>
      <c r="O131" s="4">
        <v>1005</v>
      </c>
      <c r="P131" s="4">
        <v>4013</v>
      </c>
      <c r="Q131" s="4">
        <v>2996</v>
      </c>
      <c r="R131" s="4">
        <v>6434</v>
      </c>
      <c r="S131" s="4">
        <v>8290</v>
      </c>
      <c r="T131" s="4">
        <v>4901</v>
      </c>
      <c r="U131" s="4">
        <v>1005</v>
      </c>
      <c r="V131" s="4">
        <v>1515</v>
      </c>
      <c r="W131" s="3">
        <v>-16</v>
      </c>
      <c r="X131" s="3">
        <v>-24</v>
      </c>
      <c r="Y131" s="3"/>
      <c r="Z131" s="3"/>
      <c r="AA131" s="4">
        <v>-4.9000000000000004</v>
      </c>
      <c r="AB131" s="3">
        <v>-40</v>
      </c>
      <c r="AC131" s="3">
        <v>-40</v>
      </c>
      <c r="AD131" s="3">
        <v>-19</v>
      </c>
      <c r="AE131" s="3">
        <v>-51</v>
      </c>
      <c r="AF131" s="3">
        <v>6296</v>
      </c>
      <c r="AG131" s="4">
        <v>-38</v>
      </c>
      <c r="AH131" s="4">
        <v>-18.5</v>
      </c>
      <c r="AI131" s="3">
        <v>103305</v>
      </c>
      <c r="AJ131" s="3">
        <v>53</v>
      </c>
      <c r="AK131" s="3">
        <v>43</v>
      </c>
      <c r="AL131" s="3">
        <v>35</v>
      </c>
      <c r="AM131" s="3">
        <v>33</v>
      </c>
      <c r="AN131" s="3">
        <v>76</v>
      </c>
      <c r="AO131" s="3">
        <v>40</v>
      </c>
      <c r="AP131" s="3">
        <v>26</v>
      </c>
      <c r="AQ131" s="3">
        <v>35</v>
      </c>
      <c r="AR131" s="3">
        <v>21</v>
      </c>
      <c r="AS131" s="3">
        <v>8</v>
      </c>
      <c r="AT131" s="3">
        <v>5</v>
      </c>
      <c r="AU131" s="3">
        <v>70</v>
      </c>
      <c r="AV131" s="3">
        <v>7</v>
      </c>
      <c r="AW131" s="3">
        <v>6</v>
      </c>
      <c r="AX131" s="3">
        <v>58</v>
      </c>
      <c r="AY131" s="3">
        <v>33</v>
      </c>
      <c r="AZ131" s="3">
        <v>14</v>
      </c>
      <c r="BA131" s="3">
        <v>5</v>
      </c>
      <c r="BB131" s="3">
        <v>77</v>
      </c>
      <c r="BC131" s="3">
        <v>10</v>
      </c>
      <c r="BD131" s="3">
        <v>8</v>
      </c>
    </row>
    <row r="132" spans="1:56" x14ac:dyDescent="0.25">
      <c r="A132" t="s">
        <v>96</v>
      </c>
      <c r="B132" s="3">
        <v>57775</v>
      </c>
      <c r="C132" s="3">
        <v>106348</v>
      </c>
      <c r="D132" s="3">
        <v>6349</v>
      </c>
      <c r="E132" s="3">
        <v>16178</v>
      </c>
      <c r="F132" s="3">
        <v>24451</v>
      </c>
      <c r="G132" s="3">
        <v>34319</v>
      </c>
      <c r="H132" s="3">
        <v>24973</v>
      </c>
      <c r="I132" s="4">
        <v>9012</v>
      </c>
      <c r="J132" s="4">
        <v>6647</v>
      </c>
      <c r="K132" s="4">
        <v>2398</v>
      </c>
      <c r="L132" s="4">
        <v>5117</v>
      </c>
      <c r="M132" s="3">
        <v>30457</v>
      </c>
      <c r="N132" s="4">
        <v>1291</v>
      </c>
      <c r="O132" s="4">
        <v>968</v>
      </c>
      <c r="P132" s="4">
        <v>4302</v>
      </c>
      <c r="Q132" s="4">
        <v>5102</v>
      </c>
      <c r="R132" s="4">
        <v>6919</v>
      </c>
      <c r="S132" s="4">
        <v>8800</v>
      </c>
      <c r="T132" s="4">
        <v>4854</v>
      </c>
      <c r="U132" s="4">
        <v>1055</v>
      </c>
      <c r="V132" s="4">
        <v>1524</v>
      </c>
      <c r="W132" s="3">
        <v>-12</v>
      </c>
      <c r="X132" s="3">
        <v>-22</v>
      </c>
      <c r="Y132" s="3"/>
      <c r="Z132" s="3"/>
      <c r="AA132" s="4">
        <v>-4.1500000000000004</v>
      </c>
      <c r="AB132" s="3">
        <v>-17</v>
      </c>
      <c r="AC132" s="3">
        <v>-28</v>
      </c>
      <c r="AD132" s="3">
        <v>-23</v>
      </c>
      <c r="AE132" s="3">
        <v>-48</v>
      </c>
      <c r="AF132" s="3">
        <v>6086</v>
      </c>
      <c r="AG132" s="4">
        <v>-16.5</v>
      </c>
      <c r="AH132" s="4">
        <v>-6.8</v>
      </c>
      <c r="AI132" s="3">
        <v>93682</v>
      </c>
      <c r="AJ132" s="3">
        <v>37</v>
      </c>
      <c r="AK132" s="3">
        <v>17</v>
      </c>
      <c r="AL132" s="3">
        <v>6</v>
      </c>
      <c r="AM132" s="3">
        <v>2</v>
      </c>
      <c r="AN132" s="3">
        <v>54</v>
      </c>
      <c r="AO132" s="3">
        <v>17</v>
      </c>
      <c r="AP132" s="3">
        <v>7</v>
      </c>
      <c r="AQ132" s="3">
        <v>29</v>
      </c>
      <c r="AR132" s="3">
        <v>17</v>
      </c>
      <c r="AS132" s="3">
        <v>6</v>
      </c>
      <c r="AT132" s="3">
        <v>3</v>
      </c>
      <c r="AU132" s="3">
        <v>70</v>
      </c>
      <c r="AV132" s="3">
        <v>8</v>
      </c>
      <c r="AW132" s="3">
        <v>7</v>
      </c>
      <c r="AX132" s="3">
        <v>34</v>
      </c>
      <c r="AY132" s="3">
        <v>32</v>
      </c>
      <c r="AZ132" s="3">
        <v>17</v>
      </c>
      <c r="BA132" s="3">
        <v>6</v>
      </c>
      <c r="BB132" s="3">
        <v>57</v>
      </c>
      <c r="BC132" s="3">
        <v>5</v>
      </c>
      <c r="BD132" s="3">
        <v>6</v>
      </c>
    </row>
    <row r="133" spans="1:56" x14ac:dyDescent="0.25">
      <c r="A133" t="s">
        <v>97</v>
      </c>
      <c r="B133" s="3">
        <v>53828</v>
      </c>
      <c r="C133" s="3">
        <v>103493</v>
      </c>
      <c r="D133" s="3">
        <v>3474</v>
      </c>
      <c r="E133" s="3">
        <v>15946</v>
      </c>
      <c r="F133" s="3">
        <v>26113</v>
      </c>
      <c r="G133" s="3">
        <v>33660</v>
      </c>
      <c r="H133" s="3">
        <v>24555</v>
      </c>
      <c r="I133" s="4">
        <v>9030</v>
      </c>
      <c r="J133" s="4">
        <v>7754</v>
      </c>
      <c r="K133" s="4">
        <v>2666</v>
      </c>
      <c r="L133" s="4">
        <v>5462</v>
      </c>
      <c r="M133" s="3">
        <v>29332</v>
      </c>
      <c r="N133" s="4">
        <v>1303</v>
      </c>
      <c r="O133" s="4">
        <v>699</v>
      </c>
      <c r="P133" s="4">
        <v>2934</v>
      </c>
      <c r="Q133" s="4">
        <v>757</v>
      </c>
      <c r="R133" s="4">
        <v>6594</v>
      </c>
      <c r="S133" s="4">
        <v>8040</v>
      </c>
      <c r="T133" s="4">
        <v>4940</v>
      </c>
      <c r="U133" s="4">
        <v>1048</v>
      </c>
      <c r="V133" s="4">
        <v>1453</v>
      </c>
      <c r="W133" s="3">
        <v>-4</v>
      </c>
      <c r="X133" s="3">
        <v>-13</v>
      </c>
      <c r="Y133" s="3"/>
      <c r="Z133" s="3"/>
      <c r="AA133" s="4">
        <v>-2.2000000000000002</v>
      </c>
      <c r="AB133" s="3">
        <v>-27</v>
      </c>
      <c r="AC133" s="3">
        <v>-6</v>
      </c>
      <c r="AD133" s="3">
        <v>-7</v>
      </c>
      <c r="AE133" s="3">
        <v>-24</v>
      </c>
      <c r="AF133" s="3">
        <v>6178</v>
      </c>
      <c r="AG133" s="4">
        <v>-3.1</v>
      </c>
      <c r="AH133" s="4">
        <v>23.7</v>
      </c>
      <c r="AI133" s="3">
        <v>92942</v>
      </c>
      <c r="AJ133" s="3">
        <v>23</v>
      </c>
      <c r="AK133" s="3">
        <v>21</v>
      </c>
      <c r="AL133" s="3">
        <v>8</v>
      </c>
      <c r="AM133" s="3">
        <v>3</v>
      </c>
      <c r="AN133" s="3">
        <v>65</v>
      </c>
      <c r="AO133" s="3">
        <v>12</v>
      </c>
      <c r="AP133" s="3">
        <v>13</v>
      </c>
      <c r="AQ133" s="3">
        <v>25</v>
      </c>
      <c r="AR133" s="3">
        <v>18</v>
      </c>
      <c r="AS133" s="3">
        <v>3</v>
      </c>
      <c r="AT133" s="3">
        <v>4</v>
      </c>
      <c r="AU133" s="3">
        <v>56</v>
      </c>
      <c r="AV133" s="3">
        <v>10</v>
      </c>
      <c r="AW133" s="3">
        <v>6</v>
      </c>
      <c r="AX133" s="3">
        <v>31</v>
      </c>
      <c r="AY133" s="3">
        <v>38</v>
      </c>
      <c r="AZ133" s="3">
        <v>21</v>
      </c>
      <c r="BA133" s="3">
        <v>6</v>
      </c>
      <c r="BB133" s="3">
        <v>70</v>
      </c>
      <c r="BC133" s="3">
        <v>5</v>
      </c>
      <c r="BD133" s="3">
        <v>0</v>
      </c>
    </row>
    <row r="134" spans="1:56" x14ac:dyDescent="0.25">
      <c r="A134" t="s">
        <v>98</v>
      </c>
      <c r="B134" s="3">
        <v>57987</v>
      </c>
      <c r="C134" s="3">
        <v>108600</v>
      </c>
      <c r="D134" s="3">
        <v>3432</v>
      </c>
      <c r="E134" s="3">
        <v>17059</v>
      </c>
      <c r="F134" s="3">
        <v>25719</v>
      </c>
      <c r="G134" s="3">
        <v>35296</v>
      </c>
      <c r="H134" s="3">
        <v>27296</v>
      </c>
      <c r="I134" s="4">
        <v>9385</v>
      </c>
      <c r="J134" s="4">
        <v>8052</v>
      </c>
      <c r="K134" s="4">
        <v>2397</v>
      </c>
      <c r="L134" s="4">
        <v>5931</v>
      </c>
      <c r="M134" s="3">
        <v>29076</v>
      </c>
      <c r="N134" s="4">
        <v>1301</v>
      </c>
      <c r="O134" s="4">
        <v>1010</v>
      </c>
      <c r="P134" s="4">
        <v>3052</v>
      </c>
      <c r="Q134" s="4">
        <v>2200</v>
      </c>
      <c r="R134" s="4">
        <v>7043</v>
      </c>
      <c r="S134" s="4">
        <v>8529</v>
      </c>
      <c r="T134" s="4">
        <v>4998</v>
      </c>
      <c r="U134" s="4">
        <v>1105</v>
      </c>
      <c r="V134" s="4">
        <v>1548</v>
      </c>
      <c r="W134" s="3">
        <v>17</v>
      </c>
      <c r="X134" s="3">
        <v>8</v>
      </c>
      <c r="Y134" s="3"/>
      <c r="Z134" s="3"/>
      <c r="AA134" s="4">
        <v>1.5999999999999999</v>
      </c>
      <c r="AB134" s="3">
        <v>18</v>
      </c>
      <c r="AC134" s="3">
        <v>31</v>
      </c>
      <c r="AD134" s="3">
        <v>7</v>
      </c>
      <c r="AE134" s="3">
        <v>7</v>
      </c>
      <c r="AF134" s="3">
        <v>5951</v>
      </c>
      <c r="AG134" s="4">
        <v>-3.2</v>
      </c>
      <c r="AH134" s="4">
        <v>18.2</v>
      </c>
      <c r="AI134" s="3">
        <v>100538</v>
      </c>
      <c r="AJ134" s="3">
        <v>26</v>
      </c>
      <c r="AK134" s="3">
        <v>20</v>
      </c>
      <c r="AL134" s="3">
        <v>6</v>
      </c>
      <c r="AM134" s="3">
        <v>2</v>
      </c>
      <c r="AN134" s="3">
        <v>46</v>
      </c>
      <c r="AO134" s="3">
        <v>14</v>
      </c>
      <c r="AP134" s="3">
        <v>4</v>
      </c>
      <c r="AQ134" s="3">
        <v>20</v>
      </c>
      <c r="AR134" s="3">
        <v>11</v>
      </c>
      <c r="AS134" s="3">
        <v>6</v>
      </c>
      <c r="AT134" s="3">
        <v>6</v>
      </c>
      <c r="AU134" s="3">
        <v>36</v>
      </c>
      <c r="AV134" s="3">
        <v>27</v>
      </c>
      <c r="AW134" s="3">
        <v>5</v>
      </c>
      <c r="AX134" s="3">
        <v>35</v>
      </c>
      <c r="AY134" s="3">
        <v>26</v>
      </c>
      <c r="AZ134" s="3">
        <v>14</v>
      </c>
      <c r="BA134" s="3">
        <v>3</v>
      </c>
      <c r="BB134" s="3">
        <v>54</v>
      </c>
      <c r="BC134" s="3">
        <v>9</v>
      </c>
      <c r="BD134" s="3">
        <v>4</v>
      </c>
    </row>
    <row r="135" spans="1:56" x14ac:dyDescent="0.25">
      <c r="A135" t="s">
        <v>99</v>
      </c>
      <c r="B135" s="3">
        <v>56998</v>
      </c>
      <c r="C135" s="3">
        <v>108182</v>
      </c>
      <c r="D135" s="3">
        <v>4233</v>
      </c>
      <c r="E135" s="3">
        <v>17719</v>
      </c>
      <c r="F135" s="3">
        <v>25804</v>
      </c>
      <c r="G135" s="3">
        <v>34754</v>
      </c>
      <c r="H135" s="3">
        <v>25836</v>
      </c>
      <c r="I135" s="4">
        <v>9572</v>
      </c>
      <c r="J135" s="4">
        <v>7894</v>
      </c>
      <c r="K135" s="4">
        <v>2589</v>
      </c>
      <c r="L135" s="4">
        <v>6198</v>
      </c>
      <c r="M135" s="3">
        <v>29692</v>
      </c>
      <c r="N135" s="4">
        <v>1317</v>
      </c>
      <c r="O135" s="4">
        <v>979</v>
      </c>
      <c r="P135" s="4">
        <v>3261</v>
      </c>
      <c r="Q135" s="4">
        <v>2426</v>
      </c>
      <c r="R135" s="4">
        <v>6953</v>
      </c>
      <c r="S135" s="4">
        <v>8699</v>
      </c>
      <c r="T135" s="4">
        <v>5012</v>
      </c>
      <c r="U135" s="4">
        <v>1077</v>
      </c>
      <c r="V135" s="4">
        <v>1739</v>
      </c>
      <c r="W135" s="3">
        <v>19</v>
      </c>
      <c r="X135" s="3">
        <v>13</v>
      </c>
      <c r="Y135" s="3"/>
      <c r="Z135" s="3"/>
      <c r="AA135" s="4">
        <v>2.8499999999999996</v>
      </c>
      <c r="AB135" s="3">
        <v>24</v>
      </c>
      <c r="AC135" s="3">
        <v>26</v>
      </c>
      <c r="AD135" s="3">
        <v>5</v>
      </c>
      <c r="AE135" s="3">
        <v>-7</v>
      </c>
      <c r="AF135" s="3">
        <v>5756</v>
      </c>
      <c r="AG135" s="4">
        <v>7.1</v>
      </c>
      <c r="AH135" s="4">
        <v>14.1</v>
      </c>
      <c r="AI135" s="3">
        <v>99608</v>
      </c>
      <c r="AJ135" s="3">
        <v>21</v>
      </c>
      <c r="AK135" s="3">
        <v>14</v>
      </c>
      <c r="AL135" s="3">
        <v>11</v>
      </c>
      <c r="AM135" s="3">
        <v>6</v>
      </c>
      <c r="AN135" s="3">
        <v>43</v>
      </c>
      <c r="AO135" s="3">
        <v>32</v>
      </c>
      <c r="AP135" s="3">
        <v>7</v>
      </c>
      <c r="AQ135" s="3">
        <v>18</v>
      </c>
      <c r="AR135" s="3">
        <v>17</v>
      </c>
      <c r="AS135" s="3">
        <v>15</v>
      </c>
      <c r="AT135" s="3">
        <v>4</v>
      </c>
      <c r="AU135" s="3">
        <v>52</v>
      </c>
      <c r="AV135" s="3">
        <v>35</v>
      </c>
      <c r="AW135" s="3">
        <v>6</v>
      </c>
      <c r="AX135" s="3">
        <v>35</v>
      </c>
      <c r="AY135" s="3">
        <v>34</v>
      </c>
      <c r="AZ135" s="3">
        <v>17</v>
      </c>
      <c r="BA135" s="3">
        <v>0</v>
      </c>
      <c r="BB135" s="3">
        <v>56</v>
      </c>
      <c r="BC135" s="3">
        <v>46</v>
      </c>
      <c r="BD135" s="3">
        <v>0</v>
      </c>
    </row>
    <row r="136" spans="1:56" x14ac:dyDescent="0.25">
      <c r="A136" t="s">
        <v>100</v>
      </c>
      <c r="B136" s="3">
        <v>57178</v>
      </c>
      <c r="C136" s="3">
        <v>108845</v>
      </c>
      <c r="D136" s="3">
        <v>5015</v>
      </c>
      <c r="E136" s="3">
        <v>17160</v>
      </c>
      <c r="F136" s="3">
        <v>26001</v>
      </c>
      <c r="G136" s="3">
        <v>34859</v>
      </c>
      <c r="H136" s="3">
        <v>25891</v>
      </c>
      <c r="I136" s="4">
        <v>9741</v>
      </c>
      <c r="J136" s="4">
        <v>7973</v>
      </c>
      <c r="K136" s="4">
        <v>2255</v>
      </c>
      <c r="L136" s="4">
        <v>6148</v>
      </c>
      <c r="M136" s="3">
        <v>29688</v>
      </c>
      <c r="N136" s="4">
        <v>1280</v>
      </c>
      <c r="O136" s="4">
        <v>1234</v>
      </c>
      <c r="P136" s="4">
        <v>3134</v>
      </c>
      <c r="Q136" s="4">
        <v>3991</v>
      </c>
      <c r="R136" s="4">
        <v>7432</v>
      </c>
      <c r="S136" s="4">
        <v>8435</v>
      </c>
      <c r="T136" s="4">
        <v>5043</v>
      </c>
      <c r="U136" s="4">
        <v>1057</v>
      </c>
      <c r="V136" s="4">
        <v>1550</v>
      </c>
      <c r="W136" s="3">
        <v>19</v>
      </c>
      <c r="X136" s="3">
        <v>10</v>
      </c>
      <c r="Y136" s="3"/>
      <c r="Z136" s="3"/>
      <c r="AA136" s="4">
        <v>2.95</v>
      </c>
      <c r="AB136" s="3">
        <v>19</v>
      </c>
      <c r="AC136" s="3">
        <v>24</v>
      </c>
      <c r="AD136" s="3">
        <v>14</v>
      </c>
      <c r="AE136" s="3">
        <v>8</v>
      </c>
      <c r="AF136" s="3">
        <v>5718</v>
      </c>
      <c r="AG136" s="4">
        <v>-6.1</v>
      </c>
      <c r="AH136" s="4">
        <v>1.6</v>
      </c>
      <c r="AI136" s="3">
        <v>101150</v>
      </c>
      <c r="AJ136" s="3">
        <v>27</v>
      </c>
      <c r="AK136" s="3">
        <v>20</v>
      </c>
      <c r="AL136" s="3">
        <v>10</v>
      </c>
      <c r="AM136" s="3">
        <v>7</v>
      </c>
      <c r="AN136" s="3">
        <v>41</v>
      </c>
      <c r="AO136" s="3">
        <v>31</v>
      </c>
      <c r="AP136" s="3">
        <v>8</v>
      </c>
      <c r="AQ136" s="3">
        <v>27</v>
      </c>
      <c r="AR136" s="3">
        <v>18</v>
      </c>
      <c r="AS136" s="3">
        <v>10</v>
      </c>
      <c r="AT136" s="3">
        <v>9</v>
      </c>
      <c r="AU136" s="3">
        <v>46</v>
      </c>
      <c r="AV136" s="3">
        <v>30</v>
      </c>
      <c r="AW136" s="3">
        <v>4</v>
      </c>
      <c r="AX136" s="3">
        <v>18</v>
      </c>
      <c r="AY136" s="3">
        <v>32</v>
      </c>
      <c r="AZ136" s="3">
        <v>8</v>
      </c>
      <c r="BA136" s="3">
        <v>5</v>
      </c>
      <c r="BB136" s="3">
        <v>53</v>
      </c>
      <c r="BC136" s="3">
        <v>40</v>
      </c>
      <c r="BD136" s="3">
        <v>3</v>
      </c>
    </row>
    <row r="137" spans="1:56" x14ac:dyDescent="0.25">
      <c r="A137" t="s">
        <v>515</v>
      </c>
      <c r="B137" s="3">
        <v>58903</v>
      </c>
      <c r="C137" s="3">
        <v>113041</v>
      </c>
      <c r="D137" s="3">
        <v>4404</v>
      </c>
      <c r="E137" s="3">
        <v>18351</v>
      </c>
      <c r="F137" s="3">
        <v>27250</v>
      </c>
      <c r="G137" s="3">
        <v>37184</v>
      </c>
      <c r="H137" s="3">
        <v>25851</v>
      </c>
      <c r="I137" s="4">
        <v>9722</v>
      </c>
      <c r="J137" s="4">
        <v>6669</v>
      </c>
      <c r="K137" s="4">
        <v>2602</v>
      </c>
      <c r="L137" s="4">
        <v>4783</v>
      </c>
      <c r="M137" s="3">
        <v>33856</v>
      </c>
      <c r="N137" s="4">
        <v>1270</v>
      </c>
      <c r="O137" s="4">
        <v>1330</v>
      </c>
      <c r="P137" s="4">
        <v>3169</v>
      </c>
      <c r="Q137" s="4">
        <v>2928</v>
      </c>
      <c r="R137" s="4">
        <v>7936</v>
      </c>
      <c r="S137" s="4">
        <v>10976</v>
      </c>
      <c r="T137" s="4">
        <v>5052</v>
      </c>
      <c r="U137" s="4">
        <v>1010</v>
      </c>
      <c r="V137" s="4">
        <v>1455</v>
      </c>
      <c r="W137" s="3">
        <v>17</v>
      </c>
      <c r="X137" s="3">
        <v>11</v>
      </c>
      <c r="Y137" s="3"/>
      <c r="Z137" s="3"/>
      <c r="AA137" s="4">
        <v>3</v>
      </c>
      <c r="AB137" s="3">
        <v>26</v>
      </c>
      <c r="AC137" s="3">
        <v>24</v>
      </c>
      <c r="AD137" s="3">
        <v>20</v>
      </c>
      <c r="AE137" s="3">
        <v>36</v>
      </c>
      <c r="AF137" s="3">
        <v>5532</v>
      </c>
      <c r="AG137" s="4">
        <v>2.6</v>
      </c>
      <c r="AH137" s="4">
        <v>-3.1</v>
      </c>
      <c r="AI137" s="3">
        <v>100754</v>
      </c>
      <c r="AJ137" s="3">
        <v>35</v>
      </c>
      <c r="AK137" s="3">
        <v>15</v>
      </c>
      <c r="AL137" s="3">
        <v>4</v>
      </c>
      <c r="AM137" s="3">
        <v>2</v>
      </c>
      <c r="AN137" s="3">
        <v>44</v>
      </c>
      <c r="AO137" s="3">
        <v>37</v>
      </c>
      <c r="AP137" s="3">
        <v>4</v>
      </c>
      <c r="AQ137" s="3">
        <v>19</v>
      </c>
      <c r="AR137" s="3">
        <v>20</v>
      </c>
      <c r="AS137" s="3">
        <v>6</v>
      </c>
      <c r="AT137" s="3">
        <v>11</v>
      </c>
      <c r="AU137" s="3">
        <v>57</v>
      </c>
      <c r="AV137" s="3">
        <v>31</v>
      </c>
      <c r="AW137" s="3">
        <v>9</v>
      </c>
      <c r="AX137" s="3">
        <v>13</v>
      </c>
      <c r="AY137" s="3">
        <v>26</v>
      </c>
      <c r="AZ137" s="3">
        <v>14</v>
      </c>
      <c r="BA137" s="3">
        <v>14</v>
      </c>
      <c r="BB137" s="3">
        <v>44</v>
      </c>
      <c r="BC137" s="3">
        <v>40</v>
      </c>
      <c r="BD137" s="3">
        <v>4</v>
      </c>
    </row>
    <row r="138" spans="1:56" x14ac:dyDescent="0.25">
      <c r="A138" t="s">
        <v>534</v>
      </c>
      <c r="B138" s="3">
        <v>60332</v>
      </c>
      <c r="C138" s="3">
        <v>112982</v>
      </c>
      <c r="D138" s="3">
        <v>6546</v>
      </c>
      <c r="E138" s="3">
        <v>18325</v>
      </c>
      <c r="F138" s="3">
        <v>27015</v>
      </c>
      <c r="G138" s="3">
        <v>35680</v>
      </c>
      <c r="H138" s="3">
        <v>25416</v>
      </c>
      <c r="I138" s="4">
        <v>10271</v>
      </c>
      <c r="J138" s="4">
        <v>7703</v>
      </c>
      <c r="K138" s="4">
        <v>2512</v>
      </c>
      <c r="L138" s="4">
        <v>5571</v>
      </c>
      <c r="M138" s="3">
        <v>32953</v>
      </c>
      <c r="N138" s="4">
        <v>1322</v>
      </c>
      <c r="O138" s="4">
        <v>1448</v>
      </c>
      <c r="P138" s="4">
        <v>3333</v>
      </c>
      <c r="Q138" s="4">
        <v>3175</v>
      </c>
      <c r="R138" s="4">
        <v>7041</v>
      </c>
      <c r="S138" s="4">
        <v>10051</v>
      </c>
      <c r="T138" s="4">
        <v>5248</v>
      </c>
      <c r="U138" s="4">
        <v>1058</v>
      </c>
      <c r="V138" s="4">
        <v>1599</v>
      </c>
      <c r="W138" s="3">
        <v>11</v>
      </c>
      <c r="X138" s="3">
        <v>11</v>
      </c>
      <c r="AA138" s="4">
        <v>2.5</v>
      </c>
      <c r="AB138" s="3">
        <v>9</v>
      </c>
      <c r="AC138" s="3">
        <v>0</v>
      </c>
      <c r="AD138" s="3">
        <v>2</v>
      </c>
      <c r="AE138" s="3">
        <v>19</v>
      </c>
      <c r="AF138" s="3">
        <v>5828</v>
      </c>
      <c r="AG138" s="4">
        <v>-5.3</v>
      </c>
      <c r="AH138" s="4">
        <v>-5.4</v>
      </c>
      <c r="AI138" s="3">
        <v>104264</v>
      </c>
      <c r="AJ138" s="3">
        <v>33</v>
      </c>
      <c r="AK138" s="3">
        <v>20</v>
      </c>
      <c r="AL138" s="3">
        <v>5</v>
      </c>
      <c r="AM138" s="3">
        <v>7</v>
      </c>
      <c r="AN138" s="3">
        <v>44</v>
      </c>
      <c r="AO138" s="3">
        <v>34</v>
      </c>
      <c r="AP138" s="3">
        <v>6</v>
      </c>
      <c r="AQ138" s="3">
        <v>30</v>
      </c>
      <c r="AR138" s="3">
        <v>13</v>
      </c>
      <c r="AS138" s="3">
        <v>6</v>
      </c>
      <c r="AT138" s="3">
        <v>4</v>
      </c>
      <c r="AU138" s="3">
        <v>54</v>
      </c>
      <c r="AV138" s="3">
        <v>24</v>
      </c>
      <c r="AW138" s="3">
        <v>18</v>
      </c>
      <c r="AX138" s="3">
        <v>33</v>
      </c>
      <c r="AY138" s="3">
        <v>19</v>
      </c>
      <c r="AZ138" s="3">
        <v>7</v>
      </c>
      <c r="BA138" s="3">
        <v>2</v>
      </c>
      <c r="BB138" s="3">
        <v>43</v>
      </c>
      <c r="BC138" s="3">
        <v>35</v>
      </c>
      <c r="BD138" s="3">
        <v>6</v>
      </c>
    </row>
    <row r="139" spans="1:56" x14ac:dyDescent="0.25">
      <c r="A139" t="s">
        <v>1016</v>
      </c>
      <c r="B139" s="3">
        <v>60887</v>
      </c>
      <c r="C139" s="3">
        <v>113281</v>
      </c>
      <c r="D139" s="3">
        <v>6419</v>
      </c>
      <c r="E139" s="3">
        <v>18699</v>
      </c>
      <c r="F139" s="3">
        <v>27218</v>
      </c>
      <c r="G139" s="3">
        <v>35014</v>
      </c>
      <c r="H139" s="3">
        <v>25931</v>
      </c>
      <c r="I139" s="4">
        <v>10131</v>
      </c>
      <c r="J139" s="4">
        <v>8331</v>
      </c>
      <c r="K139" s="4">
        <v>2877</v>
      </c>
      <c r="L139" s="4">
        <v>5000</v>
      </c>
      <c r="M139" s="3">
        <v>33204</v>
      </c>
      <c r="N139" s="4">
        <v>1344</v>
      </c>
      <c r="O139" s="4">
        <v>1361</v>
      </c>
      <c r="P139" s="4">
        <v>3263</v>
      </c>
      <c r="Q139" s="4">
        <v>3319</v>
      </c>
      <c r="R139" s="4">
        <v>7017</v>
      </c>
      <c r="S139" s="4">
        <v>10494</v>
      </c>
      <c r="T139" s="4">
        <v>5188</v>
      </c>
      <c r="U139" s="4">
        <v>976</v>
      </c>
      <c r="V139" s="4">
        <v>1586</v>
      </c>
      <c r="W139" s="3">
        <v>2</v>
      </c>
      <c r="X139" s="3">
        <v>1</v>
      </c>
      <c r="AA139" s="4">
        <v>1</v>
      </c>
      <c r="AB139" s="3">
        <v>17</v>
      </c>
      <c r="AC139" s="3">
        <v>-18</v>
      </c>
      <c r="AD139" s="3">
        <v>-3</v>
      </c>
      <c r="AE139" s="3">
        <v>-31</v>
      </c>
      <c r="AF139" s="3">
        <v>6593</v>
      </c>
      <c r="AG139" s="4">
        <v>-17</v>
      </c>
      <c r="AH139" s="4">
        <v>-10.199999999999999</v>
      </c>
      <c r="AI139" s="3">
        <v>104496</v>
      </c>
      <c r="AJ139" s="3">
        <v>27</v>
      </c>
      <c r="AK139" s="3">
        <v>17</v>
      </c>
      <c r="AL139" s="3">
        <v>3</v>
      </c>
      <c r="AM139" s="3">
        <v>12</v>
      </c>
      <c r="AN139" s="3">
        <v>37</v>
      </c>
      <c r="AO139" s="3">
        <v>30</v>
      </c>
      <c r="AP139" s="3">
        <v>9</v>
      </c>
      <c r="AQ139" s="3">
        <v>29</v>
      </c>
      <c r="AR139" s="3">
        <v>23</v>
      </c>
      <c r="AS139" s="3">
        <v>9</v>
      </c>
      <c r="AT139" s="3">
        <v>10</v>
      </c>
      <c r="AU139" s="3">
        <v>55</v>
      </c>
      <c r="AV139" s="3">
        <v>20</v>
      </c>
      <c r="AW139" s="3">
        <v>6</v>
      </c>
      <c r="AX139" s="3">
        <v>27</v>
      </c>
      <c r="AY139" s="3">
        <v>35</v>
      </c>
      <c r="AZ139" s="3">
        <v>11</v>
      </c>
      <c r="BA139" s="3">
        <v>20</v>
      </c>
      <c r="BB139" s="3">
        <v>65</v>
      </c>
      <c r="BC139" s="3">
        <v>46</v>
      </c>
      <c r="BD139" s="3">
        <v>2</v>
      </c>
    </row>
    <row r="140" spans="1:56" x14ac:dyDescent="0.25">
      <c r="A140" t="s">
        <v>1017</v>
      </c>
      <c r="B140" s="3">
        <v>59248</v>
      </c>
      <c r="C140" s="3">
        <v>111787</v>
      </c>
      <c r="D140" s="3">
        <v>7022</v>
      </c>
      <c r="E140" s="3">
        <v>17721</v>
      </c>
      <c r="F140" s="3">
        <v>26936</v>
      </c>
      <c r="G140" s="3">
        <v>33971</v>
      </c>
      <c r="H140" s="3">
        <v>26137</v>
      </c>
      <c r="I140" s="4">
        <v>10117</v>
      </c>
      <c r="J140" s="4">
        <v>8320</v>
      </c>
      <c r="K140" s="4">
        <v>2892</v>
      </c>
      <c r="L140" s="4">
        <v>5632</v>
      </c>
      <c r="M140" s="3">
        <v>30927</v>
      </c>
      <c r="N140" s="4">
        <v>1360</v>
      </c>
      <c r="O140" s="4">
        <v>1354</v>
      </c>
      <c r="P140" s="4">
        <v>3327</v>
      </c>
      <c r="Q140" s="4">
        <v>5502</v>
      </c>
      <c r="R140" s="4">
        <v>6535</v>
      </c>
      <c r="S140" s="4">
        <v>7080</v>
      </c>
      <c r="T140" s="4">
        <v>4433</v>
      </c>
      <c r="U140" s="4">
        <v>956</v>
      </c>
      <c r="V140" s="4">
        <v>1740</v>
      </c>
      <c r="W140" s="3">
        <v>5</v>
      </c>
      <c r="X140" s="3">
        <v>0</v>
      </c>
      <c r="AA140" s="4">
        <v>0</v>
      </c>
      <c r="AB140" s="3">
        <v>6</v>
      </c>
      <c r="AC140" s="3">
        <v>-35</v>
      </c>
      <c r="AD140" s="3">
        <v>-6</v>
      </c>
      <c r="AE140" s="3">
        <v>-39</v>
      </c>
      <c r="AF140" s="3">
        <v>8264</v>
      </c>
      <c r="AG140" s="4">
        <v>-13.4</v>
      </c>
      <c r="AH140" s="4">
        <v>-14.9</v>
      </c>
      <c r="AI140" s="3">
        <v>116268</v>
      </c>
      <c r="AJ140" s="3">
        <v>38</v>
      </c>
      <c r="AK140" s="3">
        <v>12</v>
      </c>
      <c r="AL140" s="3">
        <v>5</v>
      </c>
      <c r="AM140" s="3">
        <v>11</v>
      </c>
      <c r="AN140" s="3">
        <v>48</v>
      </c>
      <c r="AO140" s="3">
        <v>28</v>
      </c>
      <c r="AP140" s="3">
        <v>10</v>
      </c>
      <c r="AQ140" s="3">
        <v>28</v>
      </c>
      <c r="AR140" s="3">
        <v>21</v>
      </c>
      <c r="AS140" s="3">
        <v>8</v>
      </c>
      <c r="AT140" s="3">
        <v>26</v>
      </c>
      <c r="AU140" s="3">
        <v>48</v>
      </c>
      <c r="AV140" s="3">
        <v>25</v>
      </c>
      <c r="AW140" s="3">
        <v>4</v>
      </c>
      <c r="AX140" s="3">
        <v>35</v>
      </c>
      <c r="AY140" s="3">
        <v>25</v>
      </c>
      <c r="AZ140" s="3">
        <v>11</v>
      </c>
      <c r="BA140" s="3">
        <v>18</v>
      </c>
      <c r="BB140" s="3">
        <v>57</v>
      </c>
      <c r="BC140" s="3">
        <v>41</v>
      </c>
      <c r="BD140" s="3">
        <v>8</v>
      </c>
    </row>
    <row r="141" spans="1:56" x14ac:dyDescent="0.25">
      <c r="A141" t="s">
        <v>1018</v>
      </c>
      <c r="B141" s="3">
        <v>62482</v>
      </c>
      <c r="C141" s="3">
        <v>114830</v>
      </c>
      <c r="D141" s="3">
        <v>7702</v>
      </c>
      <c r="E141" s="3">
        <v>19377</v>
      </c>
      <c r="F141" s="3">
        <v>26487</v>
      </c>
      <c r="G141" s="3">
        <v>34856</v>
      </c>
      <c r="H141" s="3">
        <v>26408</v>
      </c>
      <c r="I141" s="4">
        <v>10377</v>
      </c>
      <c r="J141" s="4">
        <v>8614</v>
      </c>
      <c r="K141" s="4">
        <v>2806</v>
      </c>
      <c r="L141" s="4">
        <v>4184</v>
      </c>
      <c r="M141" s="3">
        <v>35192</v>
      </c>
      <c r="N141" s="4">
        <v>1309</v>
      </c>
      <c r="O141" s="4">
        <v>1406</v>
      </c>
      <c r="P141" s="4">
        <v>3352</v>
      </c>
      <c r="Q141" s="4">
        <v>4368</v>
      </c>
      <c r="R141" s="4">
        <v>6982</v>
      </c>
      <c r="S141" s="4">
        <v>11106</v>
      </c>
      <c r="T141" s="4">
        <v>5136</v>
      </c>
      <c r="U141" s="4">
        <v>980</v>
      </c>
      <c r="V141" s="4">
        <v>1862</v>
      </c>
      <c r="W141" s="3">
        <v>14</v>
      </c>
      <c r="X141" s="3">
        <v>1</v>
      </c>
      <c r="AA141" s="4">
        <v>0.5</v>
      </c>
      <c r="AB141" s="3">
        <v>8</v>
      </c>
      <c r="AC141" s="3">
        <v>-10</v>
      </c>
      <c r="AD141" s="3">
        <v>-14</v>
      </c>
      <c r="AE141" s="3">
        <v>-10</v>
      </c>
      <c r="AF141" s="3">
        <v>10466</v>
      </c>
      <c r="AG141" s="4">
        <v>-6.4</v>
      </c>
      <c r="AH141" s="4">
        <v>1</v>
      </c>
      <c r="AI141" s="3">
        <v>123717</v>
      </c>
      <c r="AJ141" s="3">
        <v>33</v>
      </c>
      <c r="AK141" s="3">
        <v>17</v>
      </c>
      <c r="AL141" s="3">
        <v>5</v>
      </c>
      <c r="AM141" s="3">
        <v>8</v>
      </c>
      <c r="AN141" s="3">
        <v>36</v>
      </c>
      <c r="AO141" s="3">
        <v>29</v>
      </c>
      <c r="AP141" s="3">
        <v>4</v>
      </c>
      <c r="AQ141" s="3">
        <v>21</v>
      </c>
      <c r="AR141" s="3">
        <v>20</v>
      </c>
      <c r="AS141" s="3">
        <v>6</v>
      </c>
      <c r="AT141" s="3">
        <v>24</v>
      </c>
      <c r="AU141" s="3">
        <v>52</v>
      </c>
      <c r="AV141" s="3">
        <v>27</v>
      </c>
      <c r="AW141" s="3">
        <v>5</v>
      </c>
      <c r="AX141" s="3">
        <v>21</v>
      </c>
      <c r="AY141" s="3">
        <v>22</v>
      </c>
      <c r="AZ141" s="3">
        <v>8</v>
      </c>
      <c r="BA141" s="3">
        <v>20</v>
      </c>
      <c r="BB141" s="3">
        <v>45</v>
      </c>
      <c r="BC141" s="3">
        <v>24</v>
      </c>
      <c r="BD141" s="3">
        <v>6</v>
      </c>
    </row>
    <row r="142" spans="1:56" x14ac:dyDescent="0.25">
      <c r="A142" t="s">
        <v>1028</v>
      </c>
      <c r="B142" s="3">
        <v>62152</v>
      </c>
      <c r="C142" s="3">
        <v>113009</v>
      </c>
      <c r="D142" s="3">
        <v>8439</v>
      </c>
      <c r="E142" s="3">
        <v>18884</v>
      </c>
      <c r="F142" s="3">
        <v>25520</v>
      </c>
      <c r="G142" s="3">
        <v>33766</v>
      </c>
      <c r="H142" s="3">
        <v>26399</v>
      </c>
      <c r="I142" s="4">
        <v>10648</v>
      </c>
      <c r="J142" s="4">
        <v>8203</v>
      </c>
      <c r="K142" s="4">
        <v>2389</v>
      </c>
      <c r="L142" s="4">
        <v>3620</v>
      </c>
      <c r="M142" s="3">
        <v>35959</v>
      </c>
      <c r="N142" s="4">
        <v>1333</v>
      </c>
      <c r="O142" s="4">
        <v>1518</v>
      </c>
      <c r="P142" s="4">
        <v>3313</v>
      </c>
      <c r="Q142" s="4">
        <v>6004</v>
      </c>
      <c r="R142" s="4">
        <v>7029</v>
      </c>
      <c r="S142" s="4">
        <v>10097</v>
      </c>
      <c r="T142" s="4">
        <v>4801</v>
      </c>
      <c r="U142" s="4">
        <v>974</v>
      </c>
      <c r="V142" s="4">
        <v>2223</v>
      </c>
      <c r="W142" s="3">
        <v>9</v>
      </c>
      <c r="X142" s="3">
        <v>2</v>
      </c>
      <c r="AA142" s="4">
        <v>1</v>
      </c>
      <c r="AB142" s="3">
        <v>14</v>
      </c>
      <c r="AC142" s="3">
        <v>-13</v>
      </c>
      <c r="AD142" s="3">
        <v>4</v>
      </c>
      <c r="AE142" s="3">
        <v>-5</v>
      </c>
      <c r="AF142" s="3">
        <v>11008</v>
      </c>
      <c r="AG142" s="4">
        <v>-8.5</v>
      </c>
      <c r="AH142" s="4">
        <v>-6.9</v>
      </c>
      <c r="AI142" s="3">
        <v>115391</v>
      </c>
      <c r="AJ142" s="3">
        <v>31</v>
      </c>
      <c r="AK142" s="3">
        <v>19</v>
      </c>
      <c r="AL142" s="3">
        <v>4</v>
      </c>
      <c r="AM142" s="3">
        <v>10</v>
      </c>
      <c r="AN142" s="3">
        <v>35</v>
      </c>
      <c r="AO142" s="3">
        <v>21</v>
      </c>
      <c r="AP142" s="3">
        <v>7</v>
      </c>
      <c r="AQ142" s="3">
        <v>28</v>
      </c>
      <c r="AR142" s="3">
        <v>21</v>
      </c>
      <c r="AS142" s="3">
        <v>9</v>
      </c>
      <c r="AT142" s="3">
        <v>23</v>
      </c>
      <c r="AU142" s="3">
        <v>57</v>
      </c>
      <c r="AV142" s="3">
        <v>25</v>
      </c>
      <c r="AW142" s="3">
        <v>5</v>
      </c>
      <c r="AX142" s="3">
        <v>23</v>
      </c>
      <c r="AY142" s="3">
        <v>30</v>
      </c>
      <c r="AZ142" s="3">
        <v>17</v>
      </c>
      <c r="BA142" s="3">
        <v>21</v>
      </c>
      <c r="BB142" s="3">
        <v>39</v>
      </c>
      <c r="BC142" s="3">
        <v>37</v>
      </c>
      <c r="BD142" s="3">
        <v>12</v>
      </c>
    </row>
    <row r="143" spans="1:56" x14ac:dyDescent="0.25">
      <c r="A143" t="s">
        <v>1045</v>
      </c>
      <c r="B143" s="3">
        <v>60296</v>
      </c>
      <c r="C143" s="3">
        <v>111099</v>
      </c>
      <c r="D143" s="3">
        <v>7886</v>
      </c>
      <c r="E143" s="3">
        <v>18567</v>
      </c>
      <c r="F143" s="3">
        <v>25060</v>
      </c>
      <c r="G143" s="3">
        <v>33135</v>
      </c>
      <c r="H143" s="3">
        <v>26451</v>
      </c>
      <c r="I143" s="4">
        <v>10436</v>
      </c>
      <c r="J143" s="4">
        <v>8120</v>
      </c>
      <c r="K143" s="4">
        <v>2068</v>
      </c>
      <c r="L143" s="4">
        <v>3265</v>
      </c>
      <c r="M143" s="3">
        <v>35073</v>
      </c>
      <c r="N143" s="4">
        <v>1334</v>
      </c>
      <c r="O143" s="4">
        <v>1650</v>
      </c>
      <c r="P143" s="4">
        <v>3406</v>
      </c>
      <c r="Q143" s="4">
        <v>2999</v>
      </c>
      <c r="R143" s="4">
        <v>7255</v>
      </c>
      <c r="S143" s="4">
        <v>11641</v>
      </c>
      <c r="T143" s="4">
        <v>5159</v>
      </c>
      <c r="U143" s="4">
        <v>728</v>
      </c>
      <c r="V143" s="4">
        <v>2235</v>
      </c>
      <c r="W143" s="3">
        <v>12</v>
      </c>
      <c r="X143" s="3">
        <v>3</v>
      </c>
      <c r="AA143" s="4">
        <v>1</v>
      </c>
      <c r="AB143" s="3">
        <v>-1</v>
      </c>
      <c r="AC143" s="3">
        <v>-9</v>
      </c>
      <c r="AD143" s="3">
        <v>-18</v>
      </c>
      <c r="AE143" s="3">
        <v>-29</v>
      </c>
      <c r="AF143" s="3">
        <v>12778</v>
      </c>
      <c r="AG143" s="4">
        <v>-5.4</v>
      </c>
      <c r="AH143" s="4">
        <v>-2.5</v>
      </c>
      <c r="AI143" s="3">
        <v>114844</v>
      </c>
      <c r="AJ143" s="3">
        <v>35</v>
      </c>
      <c r="AK143" s="3">
        <v>24</v>
      </c>
      <c r="AL143" s="3">
        <v>5</v>
      </c>
      <c r="AM143" s="3">
        <v>15</v>
      </c>
      <c r="AN143" s="3">
        <v>40</v>
      </c>
      <c r="AO143" s="3">
        <v>21</v>
      </c>
      <c r="AP143" s="3">
        <v>8</v>
      </c>
      <c r="AQ143" s="3">
        <v>21</v>
      </c>
      <c r="AR143" s="3">
        <v>27</v>
      </c>
      <c r="AS143" s="3">
        <v>11</v>
      </c>
      <c r="AT143" s="3">
        <v>31</v>
      </c>
      <c r="AU143" s="3">
        <v>42</v>
      </c>
      <c r="AV143" s="3">
        <v>26</v>
      </c>
      <c r="AW143" s="3">
        <v>3</v>
      </c>
      <c r="AX143" s="3">
        <v>22</v>
      </c>
      <c r="AY143" s="3">
        <v>24</v>
      </c>
      <c r="AZ143" s="3">
        <v>13</v>
      </c>
      <c r="BA143" s="3">
        <v>22</v>
      </c>
      <c r="BB143" s="3">
        <v>39</v>
      </c>
      <c r="BC143" s="3">
        <v>33</v>
      </c>
      <c r="BD143" s="3">
        <v>4</v>
      </c>
    </row>
    <row r="144" spans="1:56" x14ac:dyDescent="0.25">
      <c r="A144" t="s">
        <v>1051</v>
      </c>
      <c r="B144" s="3">
        <v>61021</v>
      </c>
      <c r="C144" s="3">
        <v>111841</v>
      </c>
      <c r="D144" s="3">
        <v>8140</v>
      </c>
      <c r="E144" s="3">
        <v>18966</v>
      </c>
      <c r="F144" s="3">
        <v>24808</v>
      </c>
      <c r="G144" s="3">
        <v>33734</v>
      </c>
      <c r="H144" s="3">
        <v>26193</v>
      </c>
      <c r="I144" s="4">
        <v>10380</v>
      </c>
      <c r="J144" s="4">
        <v>8807</v>
      </c>
      <c r="K144" s="4">
        <v>2139</v>
      </c>
      <c r="L144" s="4">
        <v>2948</v>
      </c>
      <c r="M144" s="3">
        <v>35439</v>
      </c>
      <c r="N144" s="4">
        <v>1308</v>
      </c>
      <c r="O144" s="4">
        <v>1421</v>
      </c>
      <c r="P144" s="4">
        <v>2992</v>
      </c>
      <c r="Q144" s="4">
        <v>4202</v>
      </c>
      <c r="R144" s="4">
        <v>6760</v>
      </c>
      <c r="S144" s="4">
        <v>11910</v>
      </c>
      <c r="T144" s="4">
        <v>4951</v>
      </c>
      <c r="U144" s="4">
        <v>840</v>
      </c>
      <c r="V144" s="4">
        <v>2363</v>
      </c>
      <c r="W144" s="3">
        <v>9</v>
      </c>
      <c r="X144" s="3">
        <v>4</v>
      </c>
      <c r="AA144" s="4">
        <v>0.5</v>
      </c>
      <c r="AB144" s="3">
        <v>-11</v>
      </c>
      <c r="AC144" s="3">
        <v>-8</v>
      </c>
      <c r="AD144" s="3">
        <v>-7</v>
      </c>
      <c r="AE144" s="3">
        <v>1</v>
      </c>
      <c r="AF144" s="3">
        <v>12927</v>
      </c>
      <c r="AG144" s="4">
        <v>-4.5</v>
      </c>
      <c r="AH144" s="4">
        <v>10.9</v>
      </c>
      <c r="AI144" s="3">
        <v>112221</v>
      </c>
      <c r="AJ144" s="3">
        <v>32</v>
      </c>
      <c r="AK144" s="3">
        <v>18</v>
      </c>
      <c r="AL144" s="3">
        <v>4</v>
      </c>
      <c r="AM144" s="3">
        <v>16</v>
      </c>
      <c r="AN144" s="3">
        <v>49</v>
      </c>
      <c r="AO144" s="3">
        <v>17</v>
      </c>
      <c r="AP144" s="3">
        <v>5</v>
      </c>
      <c r="AQ144" s="3">
        <v>25</v>
      </c>
      <c r="AR144" s="3">
        <v>25</v>
      </c>
      <c r="AS144" s="3">
        <v>12</v>
      </c>
      <c r="AT144" s="3">
        <v>24</v>
      </c>
      <c r="AU144" s="3">
        <v>55</v>
      </c>
      <c r="AV144" s="3">
        <v>23</v>
      </c>
      <c r="AW144" s="3">
        <v>4</v>
      </c>
      <c r="AX144" s="3">
        <v>25</v>
      </c>
      <c r="AY144" s="3">
        <v>29</v>
      </c>
      <c r="AZ144" s="3">
        <v>21</v>
      </c>
      <c r="BA144" s="3">
        <v>47</v>
      </c>
      <c r="BB144" s="3">
        <v>50</v>
      </c>
      <c r="BC144" s="3">
        <v>21</v>
      </c>
      <c r="BD144" s="3">
        <v>1</v>
      </c>
    </row>
    <row r="145" spans="1:56" x14ac:dyDescent="0.25">
      <c r="A145" t="s">
        <v>1052</v>
      </c>
      <c r="B145" s="3">
        <v>61370</v>
      </c>
      <c r="C145" s="3">
        <v>113179</v>
      </c>
      <c r="D145" s="3">
        <v>7993</v>
      </c>
      <c r="E145" s="3">
        <v>19504</v>
      </c>
      <c r="F145" s="3">
        <v>26082</v>
      </c>
      <c r="G145" s="3">
        <v>33934</v>
      </c>
      <c r="H145" s="3">
        <v>25666</v>
      </c>
      <c r="I145" s="4">
        <v>10481</v>
      </c>
      <c r="J145" s="4">
        <v>8803</v>
      </c>
      <c r="K145" s="4">
        <v>2175</v>
      </c>
      <c r="L145" s="4">
        <v>3150</v>
      </c>
      <c r="M145" s="3">
        <v>35452</v>
      </c>
      <c r="N145" s="4">
        <v>1309</v>
      </c>
      <c r="O145" s="4">
        <v>1680</v>
      </c>
      <c r="P145" s="4">
        <v>3382</v>
      </c>
      <c r="Q145" s="4">
        <v>2747</v>
      </c>
      <c r="R145" s="4">
        <v>7395</v>
      </c>
      <c r="S145" s="4">
        <v>11707</v>
      </c>
      <c r="T145" s="4">
        <v>5515</v>
      </c>
      <c r="U145" s="4">
        <v>683</v>
      </c>
      <c r="V145" s="4">
        <v>2343</v>
      </c>
      <c r="W145" s="3">
        <v>14</v>
      </c>
      <c r="X145" s="3">
        <v>7</v>
      </c>
      <c r="AA145" s="4">
        <v>0</v>
      </c>
      <c r="AB145" s="3">
        <v>-15</v>
      </c>
      <c r="AC145" s="3">
        <v>-5</v>
      </c>
      <c r="AD145" s="3">
        <v>-6</v>
      </c>
      <c r="AE145" s="3">
        <v>-22</v>
      </c>
      <c r="AF145" s="3">
        <v>13222</v>
      </c>
      <c r="AG145" s="4">
        <v>5.6</v>
      </c>
      <c r="AH145" s="4">
        <v>1.4</v>
      </c>
      <c r="AI145" s="3">
        <v>113830</v>
      </c>
      <c r="AJ145" s="3">
        <v>40</v>
      </c>
      <c r="AK145" s="3">
        <v>17</v>
      </c>
      <c r="AL145" s="3">
        <v>8</v>
      </c>
      <c r="AM145" s="3">
        <v>22</v>
      </c>
      <c r="AN145" s="3">
        <v>58</v>
      </c>
      <c r="AO145" s="3">
        <v>20</v>
      </c>
      <c r="AP145" s="3">
        <v>3</v>
      </c>
      <c r="AQ145" s="3">
        <v>21</v>
      </c>
      <c r="AR145" s="3">
        <v>28</v>
      </c>
      <c r="AS145" s="3">
        <v>9</v>
      </c>
      <c r="AT145" s="3">
        <v>21</v>
      </c>
      <c r="AU145" s="3">
        <v>52</v>
      </c>
      <c r="AV145" s="3">
        <v>13</v>
      </c>
      <c r="AW145" s="3">
        <v>8</v>
      </c>
      <c r="AX145" s="3">
        <v>25</v>
      </c>
      <c r="AY145" s="3">
        <v>29</v>
      </c>
      <c r="AZ145" s="3">
        <v>26</v>
      </c>
      <c r="BA145" s="3">
        <v>21</v>
      </c>
      <c r="BB145" s="3">
        <v>33</v>
      </c>
      <c r="BC145" s="3">
        <v>16</v>
      </c>
      <c r="BD145" s="3">
        <v>10</v>
      </c>
    </row>
    <row r="146" spans="1:56" x14ac:dyDescent="0.25">
      <c r="A146" t="s">
        <v>1170</v>
      </c>
      <c r="B146" s="3">
        <v>62250</v>
      </c>
      <c r="C146" s="3">
        <v>113833</v>
      </c>
      <c r="D146" s="3">
        <v>8692</v>
      </c>
      <c r="E146" s="3">
        <v>18353</v>
      </c>
      <c r="F146" s="3">
        <v>25310</v>
      </c>
      <c r="G146" s="3">
        <v>35056</v>
      </c>
      <c r="H146" s="3">
        <v>26422</v>
      </c>
      <c r="I146" s="4">
        <v>10549</v>
      </c>
      <c r="J146" s="4">
        <v>10387</v>
      </c>
      <c r="K146" s="4">
        <v>2299</v>
      </c>
      <c r="L146" s="4">
        <v>3098</v>
      </c>
      <c r="M146" s="3">
        <v>34616</v>
      </c>
      <c r="N146" s="4">
        <v>1301</v>
      </c>
      <c r="O146" s="4">
        <v>1692</v>
      </c>
      <c r="P146" s="4">
        <v>3092</v>
      </c>
      <c r="Q146" s="4">
        <v>5404</v>
      </c>
      <c r="R146" s="4">
        <v>6396</v>
      </c>
      <c r="S146" s="4">
        <v>10341</v>
      </c>
      <c r="T146" s="4">
        <v>4936</v>
      </c>
      <c r="U146" s="4">
        <v>654</v>
      </c>
      <c r="V146" s="4">
        <v>2101</v>
      </c>
      <c r="W146" s="3">
        <v>19</v>
      </c>
      <c r="X146" s="3">
        <v>8</v>
      </c>
      <c r="AA146" s="4">
        <v>0</v>
      </c>
      <c r="AB146" s="3">
        <v>2</v>
      </c>
      <c r="AC146" s="3">
        <v>-11</v>
      </c>
      <c r="AD146" s="3">
        <v>-14</v>
      </c>
      <c r="AE146" s="3">
        <v>3</v>
      </c>
      <c r="AF146" s="3">
        <v>13012</v>
      </c>
      <c r="AG146" s="4">
        <v>-2.5</v>
      </c>
      <c r="AH146" s="4">
        <v>3.4</v>
      </c>
      <c r="AI146" s="3">
        <v>115941</v>
      </c>
      <c r="AJ146" s="3">
        <v>36</v>
      </c>
      <c r="AK146" s="3">
        <v>14</v>
      </c>
      <c r="AL146" s="3">
        <v>5</v>
      </c>
      <c r="AM146" s="3">
        <v>11</v>
      </c>
      <c r="AN146" s="3">
        <v>49</v>
      </c>
      <c r="AO146" s="3">
        <v>15</v>
      </c>
      <c r="AP146" s="3">
        <v>7</v>
      </c>
      <c r="AQ146" s="3">
        <v>33</v>
      </c>
      <c r="AR146" s="3">
        <v>16</v>
      </c>
      <c r="AS146" s="3">
        <v>10</v>
      </c>
      <c r="AT146" s="3">
        <v>17</v>
      </c>
      <c r="AU146" s="3">
        <v>48</v>
      </c>
      <c r="AV146" s="3">
        <v>15</v>
      </c>
      <c r="AW146" s="3">
        <v>8</v>
      </c>
      <c r="AX146" s="3">
        <v>45</v>
      </c>
      <c r="AY146" s="3">
        <v>29</v>
      </c>
      <c r="AZ146" s="3">
        <v>16</v>
      </c>
      <c r="BA146" s="3">
        <v>42</v>
      </c>
      <c r="BB146" s="3">
        <v>37</v>
      </c>
      <c r="BC146" s="3">
        <v>38</v>
      </c>
      <c r="BD146" s="3">
        <v>6</v>
      </c>
    </row>
    <row r="147" spans="1:56" x14ac:dyDescent="0.25">
      <c r="A147" t="s">
        <v>1181</v>
      </c>
      <c r="W147" s="3">
        <v>9</v>
      </c>
      <c r="X147" s="3">
        <v>7</v>
      </c>
      <c r="AB147" s="3">
        <v>6</v>
      </c>
      <c r="AC147" s="3">
        <v>-23</v>
      </c>
      <c r="AD147" s="3">
        <v>-13</v>
      </c>
      <c r="AE147" s="3">
        <v>-29</v>
      </c>
      <c r="AF147" s="3"/>
      <c r="AG147" s="4">
        <v>-1.7</v>
      </c>
      <c r="AH147" s="4">
        <v>14.7</v>
      </c>
      <c r="AI147" s="3"/>
      <c r="AJ147" s="3">
        <v>35</v>
      </c>
      <c r="AK147" s="3">
        <v>19</v>
      </c>
      <c r="AL147" s="3">
        <v>6</v>
      </c>
      <c r="AM147" s="3">
        <v>10</v>
      </c>
      <c r="AN147" s="3">
        <v>44</v>
      </c>
      <c r="AO147" s="3">
        <v>20</v>
      </c>
      <c r="AP147" s="3">
        <v>13</v>
      </c>
      <c r="AQ147" s="3">
        <v>32</v>
      </c>
      <c r="AR147" s="3">
        <v>25</v>
      </c>
      <c r="AS147" s="3">
        <v>8</v>
      </c>
      <c r="AT147" s="3">
        <v>18</v>
      </c>
      <c r="AU147" s="3">
        <v>39</v>
      </c>
      <c r="AV147" s="3">
        <v>18</v>
      </c>
      <c r="AW147" s="3">
        <v>13</v>
      </c>
      <c r="AX147" s="3">
        <v>40</v>
      </c>
      <c r="AY147" s="3">
        <v>40</v>
      </c>
      <c r="AZ147" s="3">
        <v>16</v>
      </c>
      <c r="BA147" s="3">
        <v>30</v>
      </c>
      <c r="BB147" s="3">
        <v>45</v>
      </c>
      <c r="BC147" s="3">
        <v>24</v>
      </c>
      <c r="BD147" s="3">
        <v>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C148-86B6-4676-983E-31C38BBD6A87}">
  <sheetPr codeName="Sheet18"/>
  <dimension ref="A1:BB304"/>
  <sheetViews>
    <sheetView workbookViewId="0">
      <pane xSplit="1" ySplit="7" topLeftCell="B289" activePane="bottomRight" state="frozen"/>
      <selection pane="topRight" activeCell="B1" sqref="B1"/>
      <selection pane="bottomLeft" activeCell="A7" sqref="A7"/>
      <selection pane="bottomRight" activeCell="AP3" sqref="AP3"/>
    </sheetView>
  </sheetViews>
  <sheetFormatPr defaultRowHeight="15" x14ac:dyDescent="0.25"/>
  <cols>
    <col min="2" max="9" width="15.7109375" customWidth="1"/>
    <col min="10" max="10" width="2.7109375" customWidth="1"/>
    <col min="11" max="42" width="15.7109375" customWidth="1"/>
  </cols>
  <sheetData>
    <row r="1" spans="1:54" x14ac:dyDescent="0.25">
      <c r="AR1" t="s">
        <v>103</v>
      </c>
      <c r="AS1" t="s">
        <v>963</v>
      </c>
      <c r="AT1" t="s">
        <v>105</v>
      </c>
      <c r="AU1" t="s">
        <v>235</v>
      </c>
      <c r="AV1" t="s">
        <v>237</v>
      </c>
      <c r="AW1" t="s">
        <v>962</v>
      </c>
      <c r="AX1" t="s">
        <v>240</v>
      </c>
      <c r="AY1" t="s">
        <v>233</v>
      </c>
      <c r="AZ1" t="s">
        <v>241</v>
      </c>
      <c r="BA1" t="s">
        <v>234</v>
      </c>
      <c r="BB1" t="s">
        <v>236</v>
      </c>
    </row>
    <row r="2" spans="1:54" x14ac:dyDescent="0.25">
      <c r="A2" s="2" t="s">
        <v>613</v>
      </c>
      <c r="B2" t="s">
        <v>1007</v>
      </c>
      <c r="C2" s="1" t="s">
        <v>1064</v>
      </c>
      <c r="D2" s="1" t="s">
        <v>1066</v>
      </c>
      <c r="E2" t="s">
        <v>610</v>
      </c>
      <c r="F2" t="s">
        <v>611</v>
      </c>
      <c r="G2" t="s">
        <v>612</v>
      </c>
      <c r="H2" t="s">
        <v>1332</v>
      </c>
      <c r="I2" t="s">
        <v>1334</v>
      </c>
      <c r="K2" t="s">
        <v>894</v>
      </c>
      <c r="L2" t="s">
        <v>895</v>
      </c>
      <c r="M2" t="s">
        <v>896</v>
      </c>
      <c r="N2" t="s">
        <v>897</v>
      </c>
      <c r="O2" t="s">
        <v>898</v>
      </c>
      <c r="P2" t="s">
        <v>899</v>
      </c>
      <c r="Q2" t="s">
        <v>900</v>
      </c>
      <c r="R2" t="s">
        <v>901</v>
      </c>
      <c r="S2" t="s">
        <v>902</v>
      </c>
      <c r="T2" t="s">
        <v>903</v>
      </c>
      <c r="U2" t="s">
        <v>904</v>
      </c>
      <c r="V2" t="s">
        <v>905</v>
      </c>
      <c r="W2" t="s">
        <v>906</v>
      </c>
      <c r="X2" t="s">
        <v>907</v>
      </c>
      <c r="Y2" t="s">
        <v>908</v>
      </c>
      <c r="Z2" t="s">
        <v>909</v>
      </c>
      <c r="AA2" t="s">
        <v>910</v>
      </c>
      <c r="AB2" t="s">
        <v>911</v>
      </c>
      <c r="AC2" t="s">
        <v>912</v>
      </c>
      <c r="AD2" t="s">
        <v>913</v>
      </c>
      <c r="AE2" t="s">
        <v>914</v>
      </c>
      <c r="AF2" t="s">
        <v>915</v>
      </c>
      <c r="AG2" t="s">
        <v>916</v>
      </c>
      <c r="AH2" t="s">
        <v>917</v>
      </c>
      <c r="AI2" t="s">
        <v>918</v>
      </c>
      <c r="AJ2" t="s">
        <v>919</v>
      </c>
      <c r="AK2" t="s">
        <v>920</v>
      </c>
      <c r="AL2" t="s">
        <v>921</v>
      </c>
      <c r="AM2" t="s">
        <v>922</v>
      </c>
      <c r="AN2" t="s">
        <v>923</v>
      </c>
      <c r="AO2" t="s">
        <v>924</v>
      </c>
      <c r="AP2" t="s">
        <v>925</v>
      </c>
    </row>
    <row r="3" spans="1:54" s="5" customFormat="1" ht="105" x14ac:dyDescent="0.25">
      <c r="A3" s="5" t="s">
        <v>11</v>
      </c>
      <c r="B3" s="5" t="s">
        <v>1009</v>
      </c>
      <c r="C3" s="5" t="s">
        <v>1065</v>
      </c>
      <c r="D3" s="5" t="s">
        <v>1068</v>
      </c>
      <c r="E3" s="5" t="s">
        <v>616</v>
      </c>
      <c r="F3" s="5" t="s">
        <v>617</v>
      </c>
      <c r="G3" s="5" t="s">
        <v>619</v>
      </c>
      <c r="H3" s="5" t="s">
        <v>1333</v>
      </c>
      <c r="I3" s="5" t="s">
        <v>1336</v>
      </c>
      <c r="K3" s="5" t="s">
        <v>927</v>
      </c>
      <c r="L3" s="5" t="s">
        <v>928</v>
      </c>
      <c r="M3" s="5" t="s">
        <v>929</v>
      </c>
      <c r="N3" s="5" t="s">
        <v>930</v>
      </c>
      <c r="O3" s="5" t="s">
        <v>931</v>
      </c>
      <c r="P3" s="5" t="s">
        <v>932</v>
      </c>
      <c r="Q3" s="5" t="s">
        <v>933</v>
      </c>
      <c r="R3" s="5" t="s">
        <v>934</v>
      </c>
      <c r="S3" s="5" t="s">
        <v>935</v>
      </c>
      <c r="T3" s="5" t="s">
        <v>936</v>
      </c>
      <c r="U3" s="5" t="s">
        <v>937</v>
      </c>
      <c r="V3" s="5" t="s">
        <v>938</v>
      </c>
      <c r="W3" s="5" t="s">
        <v>939</v>
      </c>
      <c r="X3" s="5" t="s">
        <v>940</v>
      </c>
      <c r="Y3" s="5" t="s">
        <v>941</v>
      </c>
      <c r="Z3" s="5" t="s">
        <v>942</v>
      </c>
      <c r="AA3" s="5" t="s">
        <v>943</v>
      </c>
      <c r="AB3" s="5" t="s">
        <v>944</v>
      </c>
      <c r="AC3" s="5" t="s">
        <v>945</v>
      </c>
      <c r="AD3" s="5" t="s">
        <v>946</v>
      </c>
      <c r="AE3" s="5" t="s">
        <v>947</v>
      </c>
      <c r="AF3" s="5" t="s">
        <v>948</v>
      </c>
      <c r="AG3" s="5" t="s">
        <v>949</v>
      </c>
      <c r="AH3" s="5" t="s">
        <v>950</v>
      </c>
      <c r="AI3" s="5" t="s">
        <v>951</v>
      </c>
      <c r="AJ3" s="5" t="s">
        <v>952</v>
      </c>
      <c r="AK3" s="5" t="s">
        <v>953</v>
      </c>
      <c r="AL3" s="5" t="s">
        <v>957</v>
      </c>
      <c r="AM3" s="5" t="s">
        <v>958</v>
      </c>
      <c r="AN3" s="5" t="s">
        <v>959</v>
      </c>
      <c r="AO3" s="5" t="s">
        <v>960</v>
      </c>
      <c r="AP3" s="5" t="s">
        <v>961</v>
      </c>
    </row>
    <row r="4" spans="1:54" x14ac:dyDescent="0.25">
      <c r="A4" t="s">
        <v>10</v>
      </c>
      <c r="B4" t="s">
        <v>1008</v>
      </c>
      <c r="C4" t="s">
        <v>1008</v>
      </c>
      <c r="D4" t="s">
        <v>1067</v>
      </c>
      <c r="E4" t="s">
        <v>615</v>
      </c>
      <c r="F4" t="s">
        <v>615</v>
      </c>
      <c r="G4" t="s">
        <v>618</v>
      </c>
      <c r="H4" t="s">
        <v>618</v>
      </c>
      <c r="I4" t="s">
        <v>1335</v>
      </c>
      <c r="K4" t="s">
        <v>926</v>
      </c>
      <c r="L4" t="s">
        <v>926</v>
      </c>
      <c r="M4" t="s">
        <v>926</v>
      </c>
      <c r="N4" t="s">
        <v>926</v>
      </c>
      <c r="O4" t="s">
        <v>926</v>
      </c>
      <c r="P4" t="s">
        <v>926</v>
      </c>
      <c r="Q4" t="s">
        <v>926</v>
      </c>
      <c r="R4" t="s">
        <v>926</v>
      </c>
      <c r="S4" t="s">
        <v>926</v>
      </c>
      <c r="T4" t="s">
        <v>926</v>
      </c>
      <c r="U4" t="s">
        <v>926</v>
      </c>
      <c r="V4" t="s">
        <v>926</v>
      </c>
      <c r="W4" t="s">
        <v>926</v>
      </c>
      <c r="X4" t="s">
        <v>926</v>
      </c>
      <c r="Y4" t="s">
        <v>926</v>
      </c>
      <c r="Z4" t="s">
        <v>926</v>
      </c>
      <c r="AA4" t="s">
        <v>926</v>
      </c>
      <c r="AB4" t="s">
        <v>926</v>
      </c>
      <c r="AC4" t="s">
        <v>926</v>
      </c>
      <c r="AD4" t="s">
        <v>926</v>
      </c>
      <c r="AE4" t="s">
        <v>926</v>
      </c>
      <c r="AF4" t="s">
        <v>926</v>
      </c>
      <c r="AG4" t="s">
        <v>926</v>
      </c>
      <c r="AH4" t="s">
        <v>926</v>
      </c>
      <c r="AI4" t="s">
        <v>926</v>
      </c>
      <c r="AJ4" t="s">
        <v>926</v>
      </c>
      <c r="AK4" t="s">
        <v>926</v>
      </c>
      <c r="AL4" t="s">
        <v>926</v>
      </c>
      <c r="AM4" t="s">
        <v>926</v>
      </c>
      <c r="AN4" t="s">
        <v>926</v>
      </c>
      <c r="AO4" t="s">
        <v>926</v>
      </c>
      <c r="AP4" t="s">
        <v>926</v>
      </c>
    </row>
    <row r="5" spans="1:54" x14ac:dyDescent="0.25">
      <c r="A5" t="s">
        <v>9</v>
      </c>
      <c r="B5" t="s">
        <v>1318</v>
      </c>
      <c r="C5" t="s">
        <v>1318</v>
      </c>
      <c r="D5" t="s">
        <v>1408</v>
      </c>
      <c r="E5" t="s">
        <v>1318</v>
      </c>
      <c r="F5" t="s">
        <v>1318</v>
      </c>
      <c r="G5" t="s">
        <v>1318</v>
      </c>
      <c r="H5" t="s">
        <v>1318</v>
      </c>
      <c r="I5" t="s">
        <v>1318</v>
      </c>
      <c r="K5" t="s">
        <v>1318</v>
      </c>
      <c r="L5" t="s">
        <v>1318</v>
      </c>
      <c r="M5" t="s">
        <v>1318</v>
      </c>
      <c r="N5" t="s">
        <v>1318</v>
      </c>
      <c r="O5" t="s">
        <v>1318</v>
      </c>
      <c r="P5" t="s">
        <v>1318</v>
      </c>
      <c r="Q5" t="s">
        <v>1318</v>
      </c>
      <c r="R5" t="s">
        <v>1318</v>
      </c>
      <c r="S5" t="s">
        <v>1318</v>
      </c>
      <c r="T5" t="s">
        <v>1318</v>
      </c>
      <c r="U5" t="s">
        <v>1318</v>
      </c>
      <c r="V5" t="s">
        <v>1318</v>
      </c>
      <c r="W5" t="s">
        <v>1318</v>
      </c>
      <c r="X5" t="s">
        <v>1318</v>
      </c>
      <c r="Y5" t="s">
        <v>1318</v>
      </c>
      <c r="Z5" t="s">
        <v>1318</v>
      </c>
      <c r="AA5" t="s">
        <v>1318</v>
      </c>
      <c r="AB5" t="s">
        <v>1318</v>
      </c>
      <c r="AC5" t="s">
        <v>1318</v>
      </c>
      <c r="AD5" t="s">
        <v>1318</v>
      </c>
      <c r="AE5" t="s">
        <v>1318</v>
      </c>
      <c r="AF5" t="s">
        <v>1318</v>
      </c>
      <c r="AG5" t="s">
        <v>1318</v>
      </c>
      <c r="AH5" t="s">
        <v>1318</v>
      </c>
      <c r="AI5" t="s">
        <v>1318</v>
      </c>
      <c r="AJ5" t="s">
        <v>1318</v>
      </c>
      <c r="AK5" t="s">
        <v>1318</v>
      </c>
      <c r="AL5" t="s">
        <v>1318</v>
      </c>
      <c r="AM5" t="s">
        <v>1318</v>
      </c>
      <c r="AN5" t="s">
        <v>1318</v>
      </c>
      <c r="AO5" t="s">
        <v>1318</v>
      </c>
      <c r="AP5" t="s">
        <v>1318</v>
      </c>
    </row>
    <row r="6" spans="1:54" x14ac:dyDescent="0.25">
      <c r="A6" t="s">
        <v>8</v>
      </c>
      <c r="B6" t="s">
        <v>536</v>
      </c>
      <c r="C6" t="s">
        <v>536</v>
      </c>
      <c r="D6" t="s">
        <v>536</v>
      </c>
      <c r="E6" t="s">
        <v>536</v>
      </c>
      <c r="F6" t="s">
        <v>536</v>
      </c>
      <c r="G6" t="s">
        <v>536</v>
      </c>
      <c r="H6" t="s">
        <v>536</v>
      </c>
      <c r="I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  <c r="S6" t="s">
        <v>536</v>
      </c>
      <c r="T6" t="s">
        <v>536</v>
      </c>
      <c r="U6" t="s">
        <v>536</v>
      </c>
      <c r="V6" t="s">
        <v>536</v>
      </c>
      <c r="W6" t="s">
        <v>536</v>
      </c>
      <c r="X6" t="s">
        <v>536</v>
      </c>
      <c r="Y6" t="s">
        <v>536</v>
      </c>
      <c r="Z6" t="s">
        <v>536</v>
      </c>
      <c r="AA6" t="s">
        <v>536</v>
      </c>
      <c r="AB6" t="s">
        <v>536</v>
      </c>
      <c r="AC6" t="s">
        <v>536</v>
      </c>
      <c r="AD6" t="s">
        <v>536</v>
      </c>
      <c r="AE6" t="s">
        <v>536</v>
      </c>
      <c r="AF6" t="s">
        <v>536</v>
      </c>
      <c r="AG6" t="s">
        <v>536</v>
      </c>
      <c r="AH6" t="s">
        <v>536</v>
      </c>
      <c r="AI6" t="s">
        <v>536</v>
      </c>
      <c r="AJ6" t="s">
        <v>536</v>
      </c>
      <c r="AK6" t="s">
        <v>536</v>
      </c>
      <c r="AL6" t="s">
        <v>536</v>
      </c>
      <c r="AM6" t="s">
        <v>536</v>
      </c>
      <c r="AN6" t="s">
        <v>536</v>
      </c>
      <c r="AO6" t="s">
        <v>536</v>
      </c>
      <c r="AP6" t="s">
        <v>536</v>
      </c>
    </row>
    <row r="7" spans="1:54" x14ac:dyDescent="0.25">
      <c r="A7" t="s">
        <v>7</v>
      </c>
      <c r="B7" t="s">
        <v>1317</v>
      </c>
      <c r="C7" t="s">
        <v>1317</v>
      </c>
      <c r="D7" t="s">
        <v>1407</v>
      </c>
      <c r="E7" t="s">
        <v>1319</v>
      </c>
      <c r="F7" t="s">
        <v>1319</v>
      </c>
      <c r="G7" t="s">
        <v>1317</v>
      </c>
      <c r="H7" t="s">
        <v>1317</v>
      </c>
      <c r="I7" t="s">
        <v>1175</v>
      </c>
      <c r="K7" t="s">
        <v>1320</v>
      </c>
      <c r="L7" t="s">
        <v>1320</v>
      </c>
      <c r="M7" t="s">
        <v>1320</v>
      </c>
      <c r="N7" t="s">
        <v>1320</v>
      </c>
      <c r="O7" t="s">
        <v>1320</v>
      </c>
      <c r="P7" t="s">
        <v>1320</v>
      </c>
      <c r="Q7" t="s">
        <v>1320</v>
      </c>
      <c r="R7" t="s">
        <v>1320</v>
      </c>
      <c r="S7" t="s">
        <v>1320</v>
      </c>
      <c r="T7" t="s">
        <v>1320</v>
      </c>
      <c r="U7" t="s">
        <v>1320</v>
      </c>
      <c r="V7" t="s">
        <v>1320</v>
      </c>
      <c r="W7" t="s">
        <v>1320</v>
      </c>
      <c r="X7" t="s">
        <v>1320</v>
      </c>
      <c r="Y7" t="s">
        <v>1320</v>
      </c>
      <c r="Z7" t="s">
        <v>1320</v>
      </c>
      <c r="AA7" t="s">
        <v>1320</v>
      </c>
      <c r="AB7" t="s">
        <v>1320</v>
      </c>
      <c r="AC7" t="s">
        <v>1320</v>
      </c>
      <c r="AD7" t="s">
        <v>1320</v>
      </c>
      <c r="AE7" t="s">
        <v>1320</v>
      </c>
      <c r="AF7" t="s">
        <v>1320</v>
      </c>
      <c r="AG7" t="s">
        <v>1320</v>
      </c>
      <c r="AH7" t="s">
        <v>1320</v>
      </c>
      <c r="AI7" t="s">
        <v>1320</v>
      </c>
      <c r="AJ7" t="s">
        <v>1320</v>
      </c>
      <c r="AK7" t="s">
        <v>1320</v>
      </c>
      <c r="AL7" t="s">
        <v>1320</v>
      </c>
      <c r="AM7" t="s">
        <v>1320</v>
      </c>
      <c r="AN7" t="s">
        <v>1320</v>
      </c>
      <c r="AO7" t="s">
        <v>1320</v>
      </c>
      <c r="AP7" t="s">
        <v>1320</v>
      </c>
    </row>
    <row r="8" spans="1:54" x14ac:dyDescent="0.25">
      <c r="A8" t="s">
        <v>614</v>
      </c>
      <c r="B8" s="21">
        <v>7.44</v>
      </c>
      <c r="C8" s="21">
        <v>6.99</v>
      </c>
      <c r="D8" s="35">
        <v>5.6547619047619051</v>
      </c>
      <c r="E8" s="3" t="e">
        <v>#N/A</v>
      </c>
      <c r="F8" s="3" t="e">
        <v>#N/A</v>
      </c>
      <c r="G8" s="3">
        <v>120220</v>
      </c>
      <c r="H8" s="3">
        <v>116349</v>
      </c>
      <c r="I8" s="4" t="e">
        <v>#N/A</v>
      </c>
      <c r="J8" s="3"/>
      <c r="K8" s="3" t="e">
        <v>#N/A</v>
      </c>
      <c r="L8" s="3" t="e">
        <v>#N/A</v>
      </c>
      <c r="M8" s="3" t="e">
        <v>#N/A</v>
      </c>
      <c r="N8" s="3" t="e">
        <v>#N/A</v>
      </c>
      <c r="O8" s="3" t="e">
        <v>#N/A</v>
      </c>
      <c r="P8" s="3" t="e">
        <v>#N/A</v>
      </c>
      <c r="Q8" s="3" t="e">
        <v>#N/A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e">
        <v>#N/A</v>
      </c>
      <c r="W8" s="3" t="e">
        <v>#N/A</v>
      </c>
      <c r="X8" s="3" t="e">
        <v>#N/A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 t="e">
        <v>#N/A</v>
      </c>
      <c r="AE8" s="3" t="e">
        <v>#N/A</v>
      </c>
      <c r="AF8" s="3" t="e">
        <v>#N/A</v>
      </c>
      <c r="AG8" s="3" t="e">
        <v>#N/A</v>
      </c>
      <c r="AH8" s="3" t="e">
        <v>#N/A</v>
      </c>
      <c r="AI8" s="3" t="e">
        <v>#N/A</v>
      </c>
      <c r="AJ8" s="3" t="e">
        <v>#N/A</v>
      </c>
      <c r="AK8" s="3" t="e">
        <v>#N/A</v>
      </c>
      <c r="AL8" s="3" t="e">
        <v>#N/A</v>
      </c>
      <c r="AM8" s="3" t="e">
        <v>#N/A</v>
      </c>
      <c r="AN8" s="3" t="e">
        <v>#N/A</v>
      </c>
      <c r="AO8" s="3" t="e">
        <v>#N/A</v>
      </c>
      <c r="AP8" s="3" t="e">
        <v>#N/A</v>
      </c>
      <c r="AR8" s="3" t="e">
        <f>+M8+AC8</f>
        <v>#N/A</v>
      </c>
      <c r="AS8" s="3" t="e">
        <f>+N8+AD8</f>
        <v>#N/A</v>
      </c>
      <c r="AT8" s="3" t="e">
        <f>+O8+AE8</f>
        <v>#N/A</v>
      </c>
      <c r="AU8" s="3" t="e">
        <f>+Q8+AG8</f>
        <v>#N/A</v>
      </c>
      <c r="AV8" s="3" t="e">
        <f>+R8+AH8</f>
        <v>#N/A</v>
      </c>
      <c r="AW8" s="3" t="e">
        <f>+S8+AI8</f>
        <v>#N/A</v>
      </c>
      <c r="AX8" s="3" t="e">
        <f>+T8+AJ8</f>
        <v>#N/A</v>
      </c>
      <c r="AY8" s="3" t="e">
        <f>+X8+AN8</f>
        <v>#N/A</v>
      </c>
      <c r="AZ8" s="3" t="e">
        <f>+Y8+AO8</f>
        <v>#N/A</v>
      </c>
      <c r="BA8" s="3" t="e">
        <f>+Z8+AP8</f>
        <v>#N/A</v>
      </c>
      <c r="BB8" s="3" t="e">
        <f>SUM(Q8:T8,W8:Z8,AG8:AJ8,AM8:AP8)</f>
        <v>#N/A</v>
      </c>
    </row>
    <row r="9" spans="1:54" x14ac:dyDescent="0.25">
      <c r="A9" t="s">
        <v>620</v>
      </c>
      <c r="B9" s="21">
        <v>7.64</v>
      </c>
      <c r="C9" s="21">
        <v>7.06</v>
      </c>
      <c r="D9" s="35">
        <v>5.916666666666667</v>
      </c>
      <c r="E9" s="3" t="e">
        <v>#N/A</v>
      </c>
      <c r="F9" s="3" t="e">
        <v>#N/A</v>
      </c>
      <c r="G9" s="3">
        <v>122583</v>
      </c>
      <c r="H9" s="3">
        <v>117895</v>
      </c>
      <c r="I9" s="4" t="e">
        <v>#N/A</v>
      </c>
      <c r="J9" s="3"/>
      <c r="K9" s="3" t="e">
        <v>#N/A</v>
      </c>
      <c r="L9" s="3" t="e">
        <v>#N/A</v>
      </c>
      <c r="M9" s="3" t="e">
        <v>#N/A</v>
      </c>
      <c r="N9" s="3" t="e">
        <v>#N/A</v>
      </c>
      <c r="O9" s="3" t="e">
        <v>#N/A</v>
      </c>
      <c r="P9" s="3" t="e">
        <v>#N/A</v>
      </c>
      <c r="Q9" s="3" t="e">
        <v>#N/A</v>
      </c>
      <c r="R9" s="3" t="e">
        <v>#N/A</v>
      </c>
      <c r="S9" s="3" t="e">
        <v>#N/A</v>
      </c>
      <c r="T9" s="3" t="e">
        <v>#N/A</v>
      </c>
      <c r="U9" s="3" t="e">
        <v>#N/A</v>
      </c>
      <c r="V9" s="3" t="e">
        <v>#N/A</v>
      </c>
      <c r="W9" s="3" t="e">
        <v>#N/A</v>
      </c>
      <c r="X9" s="3" t="e">
        <v>#N/A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  <c r="AH9" s="3" t="e">
        <v>#N/A</v>
      </c>
      <c r="AI9" s="3" t="e">
        <v>#N/A</v>
      </c>
      <c r="AJ9" s="3" t="e">
        <v>#N/A</v>
      </c>
      <c r="AK9" s="3" t="e">
        <v>#N/A</v>
      </c>
      <c r="AL9" s="3" t="e">
        <v>#N/A</v>
      </c>
      <c r="AM9" s="3" t="e">
        <v>#N/A</v>
      </c>
      <c r="AN9" s="3" t="e">
        <v>#N/A</v>
      </c>
      <c r="AO9" s="3" t="e">
        <v>#N/A</v>
      </c>
      <c r="AP9" s="3" t="e">
        <v>#N/A</v>
      </c>
      <c r="AR9" s="3" t="e">
        <f t="shared" ref="AR9:AT72" si="0">+M9+AC9</f>
        <v>#N/A</v>
      </c>
      <c r="AS9" s="3" t="e">
        <f t="shared" si="0"/>
        <v>#N/A</v>
      </c>
      <c r="AT9" s="3" t="e">
        <f t="shared" si="0"/>
        <v>#N/A</v>
      </c>
      <c r="AU9" s="3" t="e">
        <f t="shared" ref="AU9:AU72" si="1">+Q9+AG9</f>
        <v>#N/A</v>
      </c>
      <c r="AV9" s="3" t="e">
        <f t="shared" ref="AV9:AV72" si="2">+R9+AH9</f>
        <v>#N/A</v>
      </c>
      <c r="AW9" s="3" t="e">
        <f t="shared" ref="AW9:AW72" si="3">+S9+AI9</f>
        <v>#N/A</v>
      </c>
      <c r="AX9" s="3" t="e">
        <f t="shared" ref="AX9:AX72" si="4">+T9+AJ9</f>
        <v>#N/A</v>
      </c>
      <c r="AY9" s="3" t="e">
        <f t="shared" ref="AY9:AY72" si="5">+X9+AN9</f>
        <v>#N/A</v>
      </c>
      <c r="AZ9" s="3" t="e">
        <f t="shared" ref="AZ9:AZ72" si="6">+Y9+AO9</f>
        <v>#N/A</v>
      </c>
      <c r="BA9" s="3" t="e">
        <f t="shared" ref="BA9:BA72" si="7">+Z9+AP9</f>
        <v>#N/A</v>
      </c>
      <c r="BB9" s="3" t="e">
        <f t="shared" ref="BB9:BB72" si="8">SUM(Q9:T9,W9:Z9,AG9:AJ9,AM9:AP9)</f>
        <v>#N/A</v>
      </c>
    </row>
    <row r="10" spans="1:54" x14ac:dyDescent="0.25">
      <c r="A10" t="s">
        <v>621</v>
      </c>
      <c r="B10" s="21">
        <v>7.74</v>
      </c>
      <c r="C10" s="21">
        <v>7.12</v>
      </c>
      <c r="D10" s="35">
        <v>6</v>
      </c>
      <c r="E10" s="3" t="e">
        <v>#N/A</v>
      </c>
      <c r="F10" s="3" t="e">
        <v>#N/A</v>
      </c>
      <c r="G10" s="3">
        <v>123875</v>
      </c>
      <c r="H10" s="3">
        <v>124823</v>
      </c>
      <c r="I10" s="4" t="e">
        <v>#N/A</v>
      </c>
      <c r="J10" s="3"/>
      <c r="K10" s="3" t="e">
        <v>#N/A</v>
      </c>
      <c r="L10" s="3" t="e">
        <v>#N/A</v>
      </c>
      <c r="M10" s="3" t="e">
        <v>#N/A</v>
      </c>
      <c r="N10" s="3" t="e">
        <v>#N/A</v>
      </c>
      <c r="O10" s="3" t="e">
        <v>#N/A</v>
      </c>
      <c r="P10" s="3" t="e">
        <v>#N/A</v>
      </c>
      <c r="Q10" s="3" t="e">
        <v>#N/A</v>
      </c>
      <c r="R10" s="3" t="e">
        <v>#N/A</v>
      </c>
      <c r="S10" s="3" t="e">
        <v>#N/A</v>
      </c>
      <c r="T10" s="3" t="e">
        <v>#N/A</v>
      </c>
      <c r="U10" s="3" t="e">
        <v>#N/A</v>
      </c>
      <c r="V10" s="3" t="e">
        <v>#N/A</v>
      </c>
      <c r="W10" s="3" t="e">
        <v>#N/A</v>
      </c>
      <c r="X10" s="3" t="e">
        <v>#N/A</v>
      </c>
      <c r="Y10" s="3" t="e">
        <v>#N/A</v>
      </c>
      <c r="Z10" s="3" t="e">
        <v>#N/A</v>
      </c>
      <c r="AA10" s="3" t="e">
        <v>#N/A</v>
      </c>
      <c r="AB10" s="3" t="e">
        <v>#N/A</v>
      </c>
      <c r="AC10" s="3" t="e">
        <v>#N/A</v>
      </c>
      <c r="AD10" s="3" t="e">
        <v>#N/A</v>
      </c>
      <c r="AE10" s="3" t="e">
        <v>#N/A</v>
      </c>
      <c r="AF10" s="3" t="e">
        <v>#N/A</v>
      </c>
      <c r="AG10" s="3" t="e">
        <v>#N/A</v>
      </c>
      <c r="AH10" s="3" t="e">
        <v>#N/A</v>
      </c>
      <c r="AI10" s="3" t="e">
        <v>#N/A</v>
      </c>
      <c r="AJ10" s="3" t="e">
        <v>#N/A</v>
      </c>
      <c r="AK10" s="3" t="e">
        <v>#N/A</v>
      </c>
      <c r="AL10" s="3" t="e">
        <v>#N/A</v>
      </c>
      <c r="AM10" s="3" t="e">
        <v>#N/A</v>
      </c>
      <c r="AN10" s="3" t="e">
        <v>#N/A</v>
      </c>
      <c r="AO10" s="3" t="e">
        <v>#N/A</v>
      </c>
      <c r="AP10" s="3" t="e">
        <v>#N/A</v>
      </c>
      <c r="AR10" s="3" t="e">
        <f t="shared" si="0"/>
        <v>#N/A</v>
      </c>
      <c r="AS10" s="3" t="e">
        <f t="shared" si="0"/>
        <v>#N/A</v>
      </c>
      <c r="AT10" s="3" t="e">
        <f t="shared" si="0"/>
        <v>#N/A</v>
      </c>
      <c r="AU10" s="3" t="e">
        <f t="shared" si="1"/>
        <v>#N/A</v>
      </c>
      <c r="AV10" s="3" t="e">
        <f t="shared" si="2"/>
        <v>#N/A</v>
      </c>
      <c r="AW10" s="3" t="e">
        <f t="shared" si="3"/>
        <v>#N/A</v>
      </c>
      <c r="AX10" s="3" t="e">
        <f t="shared" si="4"/>
        <v>#N/A</v>
      </c>
      <c r="AY10" s="3" t="e">
        <f t="shared" si="5"/>
        <v>#N/A</v>
      </c>
      <c r="AZ10" s="3" t="e">
        <f t="shared" si="6"/>
        <v>#N/A</v>
      </c>
      <c r="BA10" s="3" t="e">
        <f t="shared" si="7"/>
        <v>#N/A</v>
      </c>
      <c r="BB10" s="3" t="e">
        <f t="shared" si="8"/>
        <v>#N/A</v>
      </c>
    </row>
    <row r="11" spans="1:54" x14ac:dyDescent="0.25">
      <c r="A11" t="s">
        <v>622</v>
      </c>
      <c r="B11" s="21">
        <v>7.77</v>
      </c>
      <c r="C11" s="21">
        <v>7.16</v>
      </c>
      <c r="D11" s="35">
        <v>6</v>
      </c>
      <c r="E11" s="3" t="e">
        <v>#N/A</v>
      </c>
      <c r="F11" s="3" t="e">
        <v>#N/A</v>
      </c>
      <c r="G11" s="3">
        <v>129938</v>
      </c>
      <c r="H11" s="3">
        <v>128290</v>
      </c>
      <c r="I11" s="4" t="e">
        <v>#N/A</v>
      </c>
      <c r="J11" s="3"/>
      <c r="K11" s="3" t="e">
        <v>#N/A</v>
      </c>
      <c r="L11" s="3" t="e">
        <v>#N/A</v>
      </c>
      <c r="M11" s="3" t="e">
        <v>#N/A</v>
      </c>
      <c r="N11" s="3" t="e">
        <v>#N/A</v>
      </c>
      <c r="O11" s="3" t="e">
        <v>#N/A</v>
      </c>
      <c r="P11" s="3" t="e">
        <v>#N/A</v>
      </c>
      <c r="Q11" s="3" t="e">
        <v>#N/A</v>
      </c>
      <c r="R11" s="3" t="e">
        <v>#N/A</v>
      </c>
      <c r="S11" s="3" t="e">
        <v>#N/A</v>
      </c>
      <c r="T11" s="3" t="e">
        <v>#N/A</v>
      </c>
      <c r="U11" s="3" t="e">
        <v>#N/A</v>
      </c>
      <c r="V11" s="3" t="e">
        <v>#N/A</v>
      </c>
      <c r="W11" s="3" t="e">
        <v>#N/A</v>
      </c>
      <c r="X11" s="3" t="e">
        <v>#N/A</v>
      </c>
      <c r="Y11" s="3" t="e">
        <v>#N/A</v>
      </c>
      <c r="Z11" s="3" t="e">
        <v>#N/A</v>
      </c>
      <c r="AA11" s="3" t="e">
        <v>#N/A</v>
      </c>
      <c r="AB11" s="3" t="e">
        <v>#N/A</v>
      </c>
      <c r="AC11" s="3" t="e">
        <v>#N/A</v>
      </c>
      <c r="AD11" s="3" t="e">
        <v>#N/A</v>
      </c>
      <c r="AE11" s="3" t="e">
        <v>#N/A</v>
      </c>
      <c r="AF11" s="3" t="e">
        <v>#N/A</v>
      </c>
      <c r="AG11" s="3" t="e">
        <v>#N/A</v>
      </c>
      <c r="AH11" s="3" t="e">
        <v>#N/A</v>
      </c>
      <c r="AI11" s="3" t="e">
        <v>#N/A</v>
      </c>
      <c r="AJ11" s="3" t="e">
        <v>#N/A</v>
      </c>
      <c r="AK11" s="3" t="e">
        <v>#N/A</v>
      </c>
      <c r="AL11" s="3" t="e">
        <v>#N/A</v>
      </c>
      <c r="AM11" s="3" t="e">
        <v>#N/A</v>
      </c>
      <c r="AN11" s="3" t="e">
        <v>#N/A</v>
      </c>
      <c r="AO11" s="3" t="e">
        <v>#N/A</v>
      </c>
      <c r="AP11" s="3" t="e">
        <v>#N/A</v>
      </c>
      <c r="AR11" s="3" t="e">
        <f t="shared" si="0"/>
        <v>#N/A</v>
      </c>
      <c r="AS11" s="3" t="e">
        <f t="shared" si="0"/>
        <v>#N/A</v>
      </c>
      <c r="AT11" s="3" t="e">
        <f t="shared" si="0"/>
        <v>#N/A</v>
      </c>
      <c r="AU11" s="3" t="e">
        <f t="shared" si="1"/>
        <v>#N/A</v>
      </c>
      <c r="AV11" s="3" t="e">
        <f t="shared" si="2"/>
        <v>#N/A</v>
      </c>
      <c r="AW11" s="3" t="e">
        <f t="shared" si="3"/>
        <v>#N/A</v>
      </c>
      <c r="AX11" s="3" t="e">
        <f t="shared" si="4"/>
        <v>#N/A</v>
      </c>
      <c r="AY11" s="3" t="e">
        <f t="shared" si="5"/>
        <v>#N/A</v>
      </c>
      <c r="AZ11" s="3" t="e">
        <f t="shared" si="6"/>
        <v>#N/A</v>
      </c>
      <c r="BA11" s="3" t="e">
        <f t="shared" si="7"/>
        <v>#N/A</v>
      </c>
      <c r="BB11" s="3" t="e">
        <f t="shared" si="8"/>
        <v>#N/A</v>
      </c>
    </row>
    <row r="12" spans="1:54" x14ac:dyDescent="0.25">
      <c r="A12" t="s">
        <v>623</v>
      </c>
      <c r="B12" s="21">
        <v>7.77</v>
      </c>
      <c r="C12" s="21">
        <v>7.13</v>
      </c>
      <c r="D12" s="35">
        <v>6</v>
      </c>
      <c r="E12" s="3" t="e">
        <v>#N/A</v>
      </c>
      <c r="F12" s="3" t="e">
        <v>#N/A</v>
      </c>
      <c r="G12" s="3">
        <v>129697</v>
      </c>
      <c r="H12" s="3">
        <v>131052</v>
      </c>
      <c r="I12" s="4" t="e">
        <v>#N/A</v>
      </c>
      <c r="J12" s="3"/>
      <c r="K12" s="3" t="e">
        <v>#N/A</v>
      </c>
      <c r="L12" s="3" t="e">
        <v>#N/A</v>
      </c>
      <c r="M12" s="3" t="e">
        <v>#N/A</v>
      </c>
      <c r="N12" s="3" t="e">
        <v>#N/A</v>
      </c>
      <c r="O12" s="3" t="e">
        <v>#N/A</v>
      </c>
      <c r="P12" s="3" t="e">
        <v>#N/A</v>
      </c>
      <c r="Q12" s="3" t="e">
        <v>#N/A</v>
      </c>
      <c r="R12" s="3" t="e">
        <v>#N/A</v>
      </c>
      <c r="S12" s="3" t="e">
        <v>#N/A</v>
      </c>
      <c r="T12" s="3" t="e">
        <v>#N/A</v>
      </c>
      <c r="U12" s="3" t="e">
        <v>#N/A</v>
      </c>
      <c r="V12" s="3" t="e">
        <v>#N/A</v>
      </c>
      <c r="W12" s="3" t="e">
        <v>#N/A</v>
      </c>
      <c r="X12" s="3" t="e">
        <v>#N/A</v>
      </c>
      <c r="Y12" s="3" t="e">
        <v>#N/A</v>
      </c>
      <c r="Z12" s="3" t="e">
        <v>#N/A</v>
      </c>
      <c r="AA12" s="3" t="e">
        <v>#N/A</v>
      </c>
      <c r="AB12" s="3" t="e">
        <v>#N/A</v>
      </c>
      <c r="AC12" s="3" t="e">
        <v>#N/A</v>
      </c>
      <c r="AD12" s="3" t="e">
        <v>#N/A</v>
      </c>
      <c r="AE12" s="3" t="e">
        <v>#N/A</v>
      </c>
      <c r="AF12" s="3" t="e">
        <v>#N/A</v>
      </c>
      <c r="AG12" s="3" t="e">
        <v>#N/A</v>
      </c>
      <c r="AH12" s="3" t="e">
        <v>#N/A</v>
      </c>
      <c r="AI12" s="3" t="e">
        <v>#N/A</v>
      </c>
      <c r="AJ12" s="3" t="e">
        <v>#N/A</v>
      </c>
      <c r="AK12" s="3" t="e">
        <v>#N/A</v>
      </c>
      <c r="AL12" s="3" t="e">
        <v>#N/A</v>
      </c>
      <c r="AM12" s="3" t="e">
        <v>#N/A</v>
      </c>
      <c r="AN12" s="3" t="e">
        <v>#N/A</v>
      </c>
      <c r="AO12" s="3" t="e">
        <v>#N/A</v>
      </c>
      <c r="AP12" s="3" t="e">
        <v>#N/A</v>
      </c>
      <c r="AR12" s="3" t="e">
        <f t="shared" si="0"/>
        <v>#N/A</v>
      </c>
      <c r="AS12" s="3" t="e">
        <f t="shared" si="0"/>
        <v>#N/A</v>
      </c>
      <c r="AT12" s="3" t="e">
        <f t="shared" si="0"/>
        <v>#N/A</v>
      </c>
      <c r="AU12" s="3" t="e">
        <f t="shared" si="1"/>
        <v>#N/A</v>
      </c>
      <c r="AV12" s="3" t="e">
        <f t="shared" si="2"/>
        <v>#N/A</v>
      </c>
      <c r="AW12" s="3" t="e">
        <f t="shared" si="3"/>
        <v>#N/A</v>
      </c>
      <c r="AX12" s="3" t="e">
        <f t="shared" si="4"/>
        <v>#N/A</v>
      </c>
      <c r="AY12" s="3" t="e">
        <f t="shared" si="5"/>
        <v>#N/A</v>
      </c>
      <c r="AZ12" s="3" t="e">
        <f t="shared" si="6"/>
        <v>#N/A</v>
      </c>
      <c r="BA12" s="3" t="e">
        <f t="shared" si="7"/>
        <v>#N/A</v>
      </c>
      <c r="BB12" s="3" t="e">
        <f t="shared" si="8"/>
        <v>#N/A</v>
      </c>
    </row>
    <row r="13" spans="1:54" x14ac:dyDescent="0.25">
      <c r="A13" t="s">
        <v>624</v>
      </c>
      <c r="B13" s="21">
        <v>7.71</v>
      </c>
      <c r="C13" s="21">
        <v>7.14</v>
      </c>
      <c r="D13" s="35">
        <v>6</v>
      </c>
      <c r="E13" s="3" t="e">
        <v>#N/A</v>
      </c>
      <c r="F13" s="3" t="e">
        <v>#N/A</v>
      </c>
      <c r="G13" s="3">
        <v>131120</v>
      </c>
      <c r="H13" s="3">
        <v>133667</v>
      </c>
      <c r="I13" s="4" t="e">
        <v>#N/A</v>
      </c>
      <c r="J13" s="3"/>
      <c r="K13" s="3" t="e">
        <v>#N/A</v>
      </c>
      <c r="L13" s="3" t="e">
        <v>#N/A</v>
      </c>
      <c r="M13" s="3" t="e">
        <v>#N/A</v>
      </c>
      <c r="N13" s="3" t="e">
        <v>#N/A</v>
      </c>
      <c r="O13" s="3" t="e">
        <v>#N/A</v>
      </c>
      <c r="P13" s="3" t="e">
        <v>#N/A</v>
      </c>
      <c r="Q13" s="3" t="e">
        <v>#N/A</v>
      </c>
      <c r="R13" s="3" t="e">
        <v>#N/A</v>
      </c>
      <c r="S13" s="3" t="e">
        <v>#N/A</v>
      </c>
      <c r="T13" s="3" t="e">
        <v>#N/A</v>
      </c>
      <c r="U13" s="3" t="e">
        <v>#N/A</v>
      </c>
      <c r="V13" s="3" t="e">
        <v>#N/A</v>
      </c>
      <c r="W13" s="3" t="e">
        <v>#N/A</v>
      </c>
      <c r="X13" s="3" t="e">
        <v>#N/A</v>
      </c>
      <c r="Y13" s="3" t="e">
        <v>#N/A</v>
      </c>
      <c r="Z13" s="3" t="e">
        <v>#N/A</v>
      </c>
      <c r="AA13" s="3" t="e">
        <v>#N/A</v>
      </c>
      <c r="AB13" s="3" t="e">
        <v>#N/A</v>
      </c>
      <c r="AC13" s="3" t="e">
        <v>#N/A</v>
      </c>
      <c r="AD13" s="3" t="e">
        <v>#N/A</v>
      </c>
      <c r="AE13" s="3" t="e">
        <v>#N/A</v>
      </c>
      <c r="AF13" s="3" t="e">
        <v>#N/A</v>
      </c>
      <c r="AG13" s="3" t="e">
        <v>#N/A</v>
      </c>
      <c r="AH13" s="3" t="e">
        <v>#N/A</v>
      </c>
      <c r="AI13" s="3" t="e">
        <v>#N/A</v>
      </c>
      <c r="AJ13" s="3" t="e">
        <v>#N/A</v>
      </c>
      <c r="AK13" s="3" t="e">
        <v>#N/A</v>
      </c>
      <c r="AL13" s="3" t="e">
        <v>#N/A</v>
      </c>
      <c r="AM13" s="3" t="e">
        <v>#N/A</v>
      </c>
      <c r="AN13" s="3" t="e">
        <v>#N/A</v>
      </c>
      <c r="AO13" s="3" t="e">
        <v>#N/A</v>
      </c>
      <c r="AP13" s="3" t="e">
        <v>#N/A</v>
      </c>
      <c r="AR13" s="3" t="e">
        <f t="shared" si="0"/>
        <v>#N/A</v>
      </c>
      <c r="AS13" s="3" t="e">
        <f t="shared" si="0"/>
        <v>#N/A</v>
      </c>
      <c r="AT13" s="3" t="e">
        <f t="shared" si="0"/>
        <v>#N/A</v>
      </c>
      <c r="AU13" s="3" t="e">
        <f t="shared" si="1"/>
        <v>#N/A</v>
      </c>
      <c r="AV13" s="3" t="e">
        <f t="shared" si="2"/>
        <v>#N/A</v>
      </c>
      <c r="AW13" s="3" t="e">
        <f t="shared" si="3"/>
        <v>#N/A</v>
      </c>
      <c r="AX13" s="3" t="e">
        <f t="shared" si="4"/>
        <v>#N/A</v>
      </c>
      <c r="AY13" s="3" t="e">
        <f t="shared" si="5"/>
        <v>#N/A</v>
      </c>
      <c r="AZ13" s="3" t="e">
        <f t="shared" si="6"/>
        <v>#N/A</v>
      </c>
      <c r="BA13" s="3" t="e">
        <f t="shared" si="7"/>
        <v>#N/A</v>
      </c>
      <c r="BB13" s="3" t="e">
        <f t="shared" si="8"/>
        <v>#N/A</v>
      </c>
    </row>
    <row r="14" spans="1:54" x14ac:dyDescent="0.25">
      <c r="A14" t="s">
        <v>625</v>
      </c>
      <c r="B14" s="21">
        <v>7.77</v>
      </c>
      <c r="C14" s="21">
        <v>7.12</v>
      </c>
      <c r="D14" s="35">
        <v>6</v>
      </c>
      <c r="E14" s="3" t="e">
        <v>#N/A</v>
      </c>
      <c r="F14" s="3" t="e">
        <v>#N/A</v>
      </c>
      <c r="G14" s="3">
        <v>130735</v>
      </c>
      <c r="H14" s="3">
        <v>130601</v>
      </c>
      <c r="I14" s="4" t="e">
        <v>#N/A</v>
      </c>
      <c r="J14" s="3"/>
      <c r="K14" s="3" t="e">
        <v>#N/A</v>
      </c>
      <c r="L14" s="3" t="e">
        <v>#N/A</v>
      </c>
      <c r="M14" s="3" t="e">
        <v>#N/A</v>
      </c>
      <c r="N14" s="3" t="e">
        <v>#N/A</v>
      </c>
      <c r="O14" s="3" t="e">
        <v>#N/A</v>
      </c>
      <c r="P14" s="3" t="e">
        <v>#N/A</v>
      </c>
      <c r="Q14" s="3" t="e">
        <v>#N/A</v>
      </c>
      <c r="R14" s="3" t="e">
        <v>#N/A</v>
      </c>
      <c r="S14" s="3" t="e">
        <v>#N/A</v>
      </c>
      <c r="T14" s="3" t="e">
        <v>#N/A</v>
      </c>
      <c r="U14" s="3" t="e">
        <v>#N/A</v>
      </c>
      <c r="V14" s="3" t="e">
        <v>#N/A</v>
      </c>
      <c r="W14" s="3" t="e">
        <v>#N/A</v>
      </c>
      <c r="X14" s="3" t="e">
        <v>#N/A</v>
      </c>
      <c r="Y14" s="3" t="e">
        <v>#N/A</v>
      </c>
      <c r="Z14" s="3" t="e">
        <v>#N/A</v>
      </c>
      <c r="AA14" s="3" t="e">
        <v>#N/A</v>
      </c>
      <c r="AB14" s="3" t="e">
        <v>#N/A</v>
      </c>
      <c r="AC14" s="3" t="e">
        <v>#N/A</v>
      </c>
      <c r="AD14" s="3" t="e">
        <v>#N/A</v>
      </c>
      <c r="AE14" s="3" t="e">
        <v>#N/A</v>
      </c>
      <c r="AF14" s="3" t="e">
        <v>#N/A</v>
      </c>
      <c r="AG14" s="3" t="e">
        <v>#N/A</v>
      </c>
      <c r="AH14" s="3" t="e">
        <v>#N/A</v>
      </c>
      <c r="AI14" s="3" t="e">
        <v>#N/A</v>
      </c>
      <c r="AJ14" s="3" t="e">
        <v>#N/A</v>
      </c>
      <c r="AK14" s="3" t="e">
        <v>#N/A</v>
      </c>
      <c r="AL14" s="3" t="e">
        <v>#N/A</v>
      </c>
      <c r="AM14" s="3" t="e">
        <v>#N/A</v>
      </c>
      <c r="AN14" s="3" t="e">
        <v>#N/A</v>
      </c>
      <c r="AO14" s="3" t="e">
        <v>#N/A</v>
      </c>
      <c r="AP14" s="3" t="e">
        <v>#N/A</v>
      </c>
      <c r="AR14" s="3" t="e">
        <f t="shared" si="0"/>
        <v>#N/A</v>
      </c>
      <c r="AS14" s="3" t="e">
        <f t="shared" si="0"/>
        <v>#N/A</v>
      </c>
      <c r="AT14" s="3" t="e">
        <f t="shared" si="0"/>
        <v>#N/A</v>
      </c>
      <c r="AU14" s="3" t="e">
        <f t="shared" si="1"/>
        <v>#N/A</v>
      </c>
      <c r="AV14" s="3" t="e">
        <f t="shared" si="2"/>
        <v>#N/A</v>
      </c>
      <c r="AW14" s="3" t="e">
        <f t="shared" si="3"/>
        <v>#N/A</v>
      </c>
      <c r="AX14" s="3" t="e">
        <f t="shared" si="4"/>
        <v>#N/A</v>
      </c>
      <c r="AY14" s="3" t="e">
        <f t="shared" si="5"/>
        <v>#N/A</v>
      </c>
      <c r="AZ14" s="3" t="e">
        <f t="shared" si="6"/>
        <v>#N/A</v>
      </c>
      <c r="BA14" s="3" t="e">
        <f t="shared" si="7"/>
        <v>#N/A</v>
      </c>
      <c r="BB14" s="3" t="e">
        <f t="shared" si="8"/>
        <v>#N/A</v>
      </c>
    </row>
    <row r="15" spans="1:54" x14ac:dyDescent="0.25">
      <c r="A15" t="s">
        <v>626</v>
      </c>
      <c r="B15" s="21">
        <v>7.77</v>
      </c>
      <c r="C15" s="21">
        <v>7.11</v>
      </c>
      <c r="D15" s="35">
        <v>6</v>
      </c>
      <c r="E15" s="3" t="e">
        <v>#N/A</v>
      </c>
      <c r="F15" s="3" t="e">
        <v>#N/A</v>
      </c>
      <c r="G15" s="3">
        <v>137058</v>
      </c>
      <c r="H15" s="3">
        <v>137270</v>
      </c>
      <c r="I15" s="4" t="e">
        <v>#N/A</v>
      </c>
      <c r="J15" s="3"/>
      <c r="K15" s="3" t="e">
        <v>#N/A</v>
      </c>
      <c r="L15" s="3" t="e">
        <v>#N/A</v>
      </c>
      <c r="M15" s="3" t="e">
        <v>#N/A</v>
      </c>
      <c r="N15" s="3" t="e">
        <v>#N/A</v>
      </c>
      <c r="O15" s="3" t="e">
        <v>#N/A</v>
      </c>
      <c r="P15" s="3" t="e">
        <v>#N/A</v>
      </c>
      <c r="Q15" s="3" t="e">
        <v>#N/A</v>
      </c>
      <c r="R15" s="3" t="e">
        <v>#N/A</v>
      </c>
      <c r="S15" s="3" t="e">
        <v>#N/A</v>
      </c>
      <c r="T15" s="3" t="e">
        <v>#N/A</v>
      </c>
      <c r="U15" s="3" t="e">
        <v>#N/A</v>
      </c>
      <c r="V15" s="3" t="e">
        <v>#N/A</v>
      </c>
      <c r="W15" s="3" t="e">
        <v>#N/A</v>
      </c>
      <c r="X15" s="3" t="e">
        <v>#N/A</v>
      </c>
      <c r="Y15" s="3" t="e">
        <v>#N/A</v>
      </c>
      <c r="Z15" s="3" t="e">
        <v>#N/A</v>
      </c>
      <c r="AA15" s="3" t="e">
        <v>#N/A</v>
      </c>
      <c r="AB15" s="3" t="e">
        <v>#N/A</v>
      </c>
      <c r="AC15" s="3" t="e">
        <v>#N/A</v>
      </c>
      <c r="AD15" s="3" t="e">
        <v>#N/A</v>
      </c>
      <c r="AE15" s="3" t="e">
        <v>#N/A</v>
      </c>
      <c r="AF15" s="3" t="e">
        <v>#N/A</v>
      </c>
      <c r="AG15" s="3" t="e">
        <v>#N/A</v>
      </c>
      <c r="AH15" s="3" t="e">
        <v>#N/A</v>
      </c>
      <c r="AI15" s="3" t="e">
        <v>#N/A</v>
      </c>
      <c r="AJ15" s="3" t="e">
        <v>#N/A</v>
      </c>
      <c r="AK15" s="3" t="e">
        <v>#N/A</v>
      </c>
      <c r="AL15" s="3" t="e">
        <v>#N/A</v>
      </c>
      <c r="AM15" s="3" t="e">
        <v>#N/A</v>
      </c>
      <c r="AN15" s="3" t="e">
        <v>#N/A</v>
      </c>
      <c r="AO15" s="3" t="e">
        <v>#N/A</v>
      </c>
      <c r="AP15" s="3" t="e">
        <v>#N/A</v>
      </c>
      <c r="AR15" s="3" t="e">
        <f t="shared" si="0"/>
        <v>#N/A</v>
      </c>
      <c r="AS15" s="3" t="e">
        <f t="shared" si="0"/>
        <v>#N/A</v>
      </c>
      <c r="AT15" s="3" t="e">
        <f t="shared" si="0"/>
        <v>#N/A</v>
      </c>
      <c r="AU15" s="3" t="e">
        <f t="shared" si="1"/>
        <v>#N/A</v>
      </c>
      <c r="AV15" s="3" t="e">
        <f t="shared" si="2"/>
        <v>#N/A</v>
      </c>
      <c r="AW15" s="3" t="e">
        <f t="shared" si="3"/>
        <v>#N/A</v>
      </c>
      <c r="AX15" s="3" t="e">
        <f t="shared" si="4"/>
        <v>#N/A</v>
      </c>
      <c r="AY15" s="3" t="e">
        <f t="shared" si="5"/>
        <v>#N/A</v>
      </c>
      <c r="AZ15" s="3" t="e">
        <f t="shared" si="6"/>
        <v>#N/A</v>
      </c>
      <c r="BA15" s="3" t="e">
        <f t="shared" si="7"/>
        <v>#N/A</v>
      </c>
      <c r="BB15" s="3" t="e">
        <f t="shared" si="8"/>
        <v>#N/A</v>
      </c>
    </row>
    <row r="16" spans="1:54" x14ac:dyDescent="0.25">
      <c r="A16" t="s">
        <v>627</v>
      </c>
      <c r="B16" s="21">
        <v>7.72</v>
      </c>
      <c r="C16" s="21">
        <v>7.11</v>
      </c>
      <c r="D16" s="35">
        <v>6</v>
      </c>
      <c r="E16" s="3" t="e">
        <v>#N/A</v>
      </c>
      <c r="F16" s="3" t="e">
        <v>#N/A</v>
      </c>
      <c r="G16" s="3">
        <v>136204</v>
      </c>
      <c r="H16" s="3">
        <v>136904</v>
      </c>
      <c r="I16" s="4" t="e">
        <v>#N/A</v>
      </c>
      <c r="J16" s="3"/>
      <c r="K16" s="3" t="e">
        <v>#N/A</v>
      </c>
      <c r="L16" s="3" t="e">
        <v>#N/A</v>
      </c>
      <c r="M16" s="3" t="e">
        <v>#N/A</v>
      </c>
      <c r="N16" s="3" t="e">
        <v>#N/A</v>
      </c>
      <c r="O16" s="3" t="e">
        <v>#N/A</v>
      </c>
      <c r="P16" s="3" t="e">
        <v>#N/A</v>
      </c>
      <c r="Q16" s="3" t="e">
        <v>#N/A</v>
      </c>
      <c r="R16" s="3" t="e">
        <v>#N/A</v>
      </c>
      <c r="S16" s="3" t="e">
        <v>#N/A</v>
      </c>
      <c r="T16" s="3" t="e">
        <v>#N/A</v>
      </c>
      <c r="U16" s="3" t="e">
        <v>#N/A</v>
      </c>
      <c r="V16" s="3" t="e">
        <v>#N/A</v>
      </c>
      <c r="W16" s="3" t="e">
        <v>#N/A</v>
      </c>
      <c r="X16" s="3" t="e">
        <v>#N/A</v>
      </c>
      <c r="Y16" s="3" t="e">
        <v>#N/A</v>
      </c>
      <c r="Z16" s="3" t="e">
        <v>#N/A</v>
      </c>
      <c r="AA16" s="3" t="e">
        <v>#N/A</v>
      </c>
      <c r="AB16" s="3" t="e">
        <v>#N/A</v>
      </c>
      <c r="AC16" s="3" t="e">
        <v>#N/A</v>
      </c>
      <c r="AD16" s="3" t="e">
        <v>#N/A</v>
      </c>
      <c r="AE16" s="3" t="e">
        <v>#N/A</v>
      </c>
      <c r="AF16" s="3" t="e">
        <v>#N/A</v>
      </c>
      <c r="AG16" s="3" t="e">
        <v>#N/A</v>
      </c>
      <c r="AH16" s="3" t="e">
        <v>#N/A</v>
      </c>
      <c r="AI16" s="3" t="e">
        <v>#N/A</v>
      </c>
      <c r="AJ16" s="3" t="e">
        <v>#N/A</v>
      </c>
      <c r="AK16" s="3" t="e">
        <v>#N/A</v>
      </c>
      <c r="AL16" s="3" t="e">
        <v>#N/A</v>
      </c>
      <c r="AM16" s="3" t="e">
        <v>#N/A</v>
      </c>
      <c r="AN16" s="3" t="e">
        <v>#N/A</v>
      </c>
      <c r="AO16" s="3" t="e">
        <v>#N/A</v>
      </c>
      <c r="AP16" s="3" t="e">
        <v>#N/A</v>
      </c>
      <c r="AR16" s="3" t="e">
        <f t="shared" si="0"/>
        <v>#N/A</v>
      </c>
      <c r="AS16" s="3" t="e">
        <f t="shared" si="0"/>
        <v>#N/A</v>
      </c>
      <c r="AT16" s="3" t="e">
        <f t="shared" si="0"/>
        <v>#N/A</v>
      </c>
      <c r="AU16" s="3" t="e">
        <f t="shared" si="1"/>
        <v>#N/A</v>
      </c>
      <c r="AV16" s="3" t="e">
        <f t="shared" si="2"/>
        <v>#N/A</v>
      </c>
      <c r="AW16" s="3" t="e">
        <f t="shared" si="3"/>
        <v>#N/A</v>
      </c>
      <c r="AX16" s="3" t="e">
        <f t="shared" si="4"/>
        <v>#N/A</v>
      </c>
      <c r="AY16" s="3" t="e">
        <f t="shared" si="5"/>
        <v>#N/A</v>
      </c>
      <c r="AZ16" s="3" t="e">
        <f t="shared" si="6"/>
        <v>#N/A</v>
      </c>
      <c r="BA16" s="3" t="e">
        <f t="shared" si="7"/>
        <v>#N/A</v>
      </c>
      <c r="BB16" s="3" t="e">
        <f t="shared" si="8"/>
        <v>#N/A</v>
      </c>
    </row>
    <row r="17" spans="1:54" x14ac:dyDescent="0.25">
      <c r="A17" t="s">
        <v>628</v>
      </c>
      <c r="B17" s="21">
        <v>7.65</v>
      </c>
      <c r="C17" s="21">
        <v>7.07</v>
      </c>
      <c r="D17" s="35">
        <v>6</v>
      </c>
      <c r="E17" s="3" t="e">
        <v>#N/A</v>
      </c>
      <c r="F17" s="3" t="e">
        <v>#N/A</v>
      </c>
      <c r="G17" s="3">
        <v>135783</v>
      </c>
      <c r="H17" s="3">
        <v>134527</v>
      </c>
      <c r="I17" s="4" t="e">
        <v>#N/A</v>
      </c>
      <c r="J17" s="3"/>
      <c r="K17" s="3" t="e">
        <v>#N/A</v>
      </c>
      <c r="L17" s="3" t="e">
        <v>#N/A</v>
      </c>
      <c r="M17" s="3" t="e">
        <v>#N/A</v>
      </c>
      <c r="N17" s="3" t="e">
        <v>#N/A</v>
      </c>
      <c r="O17" s="3" t="e">
        <v>#N/A</v>
      </c>
      <c r="P17" s="3" t="e">
        <v>#N/A</v>
      </c>
      <c r="Q17" s="3" t="e">
        <v>#N/A</v>
      </c>
      <c r="R17" s="3" t="e">
        <v>#N/A</v>
      </c>
      <c r="S17" s="3" t="e">
        <v>#N/A</v>
      </c>
      <c r="T17" s="3" t="e">
        <v>#N/A</v>
      </c>
      <c r="U17" s="3" t="e">
        <v>#N/A</v>
      </c>
      <c r="V17" s="3" t="e">
        <v>#N/A</v>
      </c>
      <c r="W17" s="3" t="e">
        <v>#N/A</v>
      </c>
      <c r="X17" s="3" t="e">
        <v>#N/A</v>
      </c>
      <c r="Y17" s="3" t="e">
        <v>#N/A</v>
      </c>
      <c r="Z17" s="3" t="e">
        <v>#N/A</v>
      </c>
      <c r="AA17" s="3" t="e">
        <v>#N/A</v>
      </c>
      <c r="AB17" s="3" t="e">
        <v>#N/A</v>
      </c>
      <c r="AC17" s="3" t="e">
        <v>#N/A</v>
      </c>
      <c r="AD17" s="3" t="e">
        <v>#N/A</v>
      </c>
      <c r="AE17" s="3" t="e">
        <v>#N/A</v>
      </c>
      <c r="AF17" s="3" t="e">
        <v>#N/A</v>
      </c>
      <c r="AG17" s="3" t="e">
        <v>#N/A</v>
      </c>
      <c r="AH17" s="3" t="e">
        <v>#N/A</v>
      </c>
      <c r="AI17" s="3" t="e">
        <v>#N/A</v>
      </c>
      <c r="AJ17" s="3" t="e">
        <v>#N/A</v>
      </c>
      <c r="AK17" s="3" t="e">
        <v>#N/A</v>
      </c>
      <c r="AL17" s="3" t="e">
        <v>#N/A</v>
      </c>
      <c r="AM17" s="3" t="e">
        <v>#N/A</v>
      </c>
      <c r="AN17" s="3" t="e">
        <v>#N/A</v>
      </c>
      <c r="AO17" s="3" t="e">
        <v>#N/A</v>
      </c>
      <c r="AP17" s="3" t="e">
        <v>#N/A</v>
      </c>
      <c r="AR17" s="3" t="e">
        <f t="shared" si="0"/>
        <v>#N/A</v>
      </c>
      <c r="AS17" s="3" t="e">
        <f t="shared" si="0"/>
        <v>#N/A</v>
      </c>
      <c r="AT17" s="3" t="e">
        <f t="shared" si="0"/>
        <v>#N/A</v>
      </c>
      <c r="AU17" s="3" t="e">
        <f t="shared" si="1"/>
        <v>#N/A</v>
      </c>
      <c r="AV17" s="3" t="e">
        <f t="shared" si="2"/>
        <v>#N/A</v>
      </c>
      <c r="AW17" s="3" t="e">
        <f t="shared" si="3"/>
        <v>#N/A</v>
      </c>
      <c r="AX17" s="3" t="e">
        <f t="shared" si="4"/>
        <v>#N/A</v>
      </c>
      <c r="AY17" s="3" t="e">
        <f t="shared" si="5"/>
        <v>#N/A</v>
      </c>
      <c r="AZ17" s="3" t="e">
        <f t="shared" si="6"/>
        <v>#N/A</v>
      </c>
      <c r="BA17" s="3" t="e">
        <f t="shared" si="7"/>
        <v>#N/A</v>
      </c>
      <c r="BB17" s="3" t="e">
        <f t="shared" si="8"/>
        <v>#N/A</v>
      </c>
    </row>
    <row r="18" spans="1:54" x14ac:dyDescent="0.25">
      <c r="A18" t="s">
        <v>629</v>
      </c>
      <c r="B18" s="21">
        <v>7.66</v>
      </c>
      <c r="C18" s="21">
        <v>7.07</v>
      </c>
      <c r="D18" s="35">
        <v>6</v>
      </c>
      <c r="E18" s="3" t="e">
        <v>#N/A</v>
      </c>
      <c r="F18" s="3" t="e">
        <v>#N/A</v>
      </c>
      <c r="G18" s="3">
        <v>133701</v>
      </c>
      <c r="H18" s="3">
        <v>134301</v>
      </c>
      <c r="I18" s="4" t="e">
        <v>#N/A</v>
      </c>
      <c r="J18" s="3"/>
      <c r="K18" s="3" t="e">
        <v>#N/A</v>
      </c>
      <c r="L18" s="3" t="e">
        <v>#N/A</v>
      </c>
      <c r="M18" s="3" t="e">
        <v>#N/A</v>
      </c>
      <c r="N18" s="3" t="e">
        <v>#N/A</v>
      </c>
      <c r="O18" s="3" t="e">
        <v>#N/A</v>
      </c>
      <c r="P18" s="3" t="e">
        <v>#N/A</v>
      </c>
      <c r="Q18" s="3" t="e">
        <v>#N/A</v>
      </c>
      <c r="R18" s="3" t="e">
        <v>#N/A</v>
      </c>
      <c r="S18" s="3" t="e">
        <v>#N/A</v>
      </c>
      <c r="T18" s="3" t="e">
        <v>#N/A</v>
      </c>
      <c r="U18" s="3" t="e">
        <v>#N/A</v>
      </c>
      <c r="V18" s="3" t="e">
        <v>#N/A</v>
      </c>
      <c r="W18" s="3" t="e">
        <v>#N/A</v>
      </c>
      <c r="X18" s="3" t="e">
        <v>#N/A</v>
      </c>
      <c r="Y18" s="3" t="e">
        <v>#N/A</v>
      </c>
      <c r="Z18" s="3" t="e">
        <v>#N/A</v>
      </c>
      <c r="AA18" s="3" t="e">
        <v>#N/A</v>
      </c>
      <c r="AB18" s="3" t="e">
        <v>#N/A</v>
      </c>
      <c r="AC18" s="3" t="e">
        <v>#N/A</v>
      </c>
      <c r="AD18" s="3" t="e">
        <v>#N/A</v>
      </c>
      <c r="AE18" s="3" t="e">
        <v>#N/A</v>
      </c>
      <c r="AF18" s="3" t="e">
        <v>#N/A</v>
      </c>
      <c r="AG18" s="3" t="e">
        <v>#N/A</v>
      </c>
      <c r="AH18" s="3" t="e">
        <v>#N/A</v>
      </c>
      <c r="AI18" s="3" t="e">
        <v>#N/A</v>
      </c>
      <c r="AJ18" s="3" t="e">
        <v>#N/A</v>
      </c>
      <c r="AK18" s="3" t="e">
        <v>#N/A</v>
      </c>
      <c r="AL18" s="3" t="e">
        <v>#N/A</v>
      </c>
      <c r="AM18" s="3" t="e">
        <v>#N/A</v>
      </c>
      <c r="AN18" s="3" t="e">
        <v>#N/A</v>
      </c>
      <c r="AO18" s="3" t="e">
        <v>#N/A</v>
      </c>
      <c r="AP18" s="3" t="e">
        <v>#N/A</v>
      </c>
      <c r="AR18" s="3" t="e">
        <f t="shared" si="0"/>
        <v>#N/A</v>
      </c>
      <c r="AS18" s="3" t="e">
        <f t="shared" si="0"/>
        <v>#N/A</v>
      </c>
      <c r="AT18" s="3" t="e">
        <f t="shared" si="0"/>
        <v>#N/A</v>
      </c>
      <c r="AU18" s="3" t="e">
        <f t="shared" si="1"/>
        <v>#N/A</v>
      </c>
      <c r="AV18" s="3" t="e">
        <f t="shared" si="2"/>
        <v>#N/A</v>
      </c>
      <c r="AW18" s="3" t="e">
        <f t="shared" si="3"/>
        <v>#N/A</v>
      </c>
      <c r="AX18" s="3" t="e">
        <f t="shared" si="4"/>
        <v>#N/A</v>
      </c>
      <c r="AY18" s="3" t="e">
        <f t="shared" si="5"/>
        <v>#N/A</v>
      </c>
      <c r="AZ18" s="3" t="e">
        <f t="shared" si="6"/>
        <v>#N/A</v>
      </c>
      <c r="BA18" s="3" t="e">
        <f t="shared" si="7"/>
        <v>#N/A</v>
      </c>
      <c r="BB18" s="3" t="e">
        <f t="shared" si="8"/>
        <v>#N/A</v>
      </c>
    </row>
    <row r="19" spans="1:54" x14ac:dyDescent="0.25">
      <c r="A19" t="s">
        <v>630</v>
      </c>
      <c r="B19" s="21">
        <v>7.63</v>
      </c>
      <c r="C19" s="21">
        <v>7.03</v>
      </c>
      <c r="D19" s="35">
        <v>6</v>
      </c>
      <c r="E19" s="3" t="e">
        <v>#N/A</v>
      </c>
      <c r="F19" s="3" t="e">
        <v>#N/A</v>
      </c>
      <c r="G19" s="3">
        <v>134473</v>
      </c>
      <c r="H19" s="3">
        <v>138086</v>
      </c>
      <c r="I19" s="4" t="e">
        <v>#N/A</v>
      </c>
      <c r="J19" s="3"/>
      <c r="K19" s="3" t="e">
        <v>#N/A</v>
      </c>
      <c r="L19" s="3" t="e">
        <v>#N/A</v>
      </c>
      <c r="M19" s="3" t="e">
        <v>#N/A</v>
      </c>
      <c r="N19" s="3" t="e">
        <v>#N/A</v>
      </c>
      <c r="O19" s="3" t="e">
        <v>#N/A</v>
      </c>
      <c r="P19" s="3" t="e">
        <v>#N/A</v>
      </c>
      <c r="Q19" s="3" t="e">
        <v>#N/A</v>
      </c>
      <c r="R19" s="3" t="e">
        <v>#N/A</v>
      </c>
      <c r="S19" s="3" t="e">
        <v>#N/A</v>
      </c>
      <c r="T19" s="3" t="e">
        <v>#N/A</v>
      </c>
      <c r="U19" s="3" t="e">
        <v>#N/A</v>
      </c>
      <c r="V19" s="3" t="e">
        <v>#N/A</v>
      </c>
      <c r="W19" s="3" t="e">
        <v>#N/A</v>
      </c>
      <c r="X19" s="3" t="e">
        <v>#N/A</v>
      </c>
      <c r="Y19" s="3" t="e">
        <v>#N/A</v>
      </c>
      <c r="Z19" s="3" t="e">
        <v>#N/A</v>
      </c>
      <c r="AA19" s="3" t="e">
        <v>#N/A</v>
      </c>
      <c r="AB19" s="3" t="e">
        <v>#N/A</v>
      </c>
      <c r="AC19" s="3" t="e">
        <v>#N/A</v>
      </c>
      <c r="AD19" s="3" t="e">
        <v>#N/A</v>
      </c>
      <c r="AE19" s="3" t="e">
        <v>#N/A</v>
      </c>
      <c r="AF19" s="3" t="e">
        <v>#N/A</v>
      </c>
      <c r="AG19" s="3" t="e">
        <v>#N/A</v>
      </c>
      <c r="AH19" s="3" t="e">
        <v>#N/A</v>
      </c>
      <c r="AI19" s="3" t="e">
        <v>#N/A</v>
      </c>
      <c r="AJ19" s="3" t="e">
        <v>#N/A</v>
      </c>
      <c r="AK19" s="3" t="e">
        <v>#N/A</v>
      </c>
      <c r="AL19" s="3" t="e">
        <v>#N/A</v>
      </c>
      <c r="AM19" s="3" t="e">
        <v>#N/A</v>
      </c>
      <c r="AN19" s="3" t="e">
        <v>#N/A</v>
      </c>
      <c r="AO19" s="3" t="e">
        <v>#N/A</v>
      </c>
      <c r="AP19" s="3" t="e">
        <v>#N/A</v>
      </c>
      <c r="AR19" s="3" t="e">
        <f t="shared" si="0"/>
        <v>#N/A</v>
      </c>
      <c r="AS19" s="3" t="e">
        <f t="shared" si="0"/>
        <v>#N/A</v>
      </c>
      <c r="AT19" s="3" t="e">
        <f t="shared" si="0"/>
        <v>#N/A</v>
      </c>
      <c r="AU19" s="3" t="e">
        <f t="shared" si="1"/>
        <v>#N/A</v>
      </c>
      <c r="AV19" s="3" t="e">
        <f t="shared" si="2"/>
        <v>#N/A</v>
      </c>
      <c r="AW19" s="3" t="e">
        <f t="shared" si="3"/>
        <v>#N/A</v>
      </c>
      <c r="AX19" s="3" t="e">
        <f t="shared" si="4"/>
        <v>#N/A</v>
      </c>
      <c r="AY19" s="3" t="e">
        <f t="shared" si="5"/>
        <v>#N/A</v>
      </c>
      <c r="AZ19" s="3" t="e">
        <f t="shared" si="6"/>
        <v>#N/A</v>
      </c>
      <c r="BA19" s="3" t="e">
        <f t="shared" si="7"/>
        <v>#N/A</v>
      </c>
      <c r="BB19" s="3" t="e">
        <f t="shared" si="8"/>
        <v>#N/A</v>
      </c>
    </row>
    <row r="20" spans="1:54" x14ac:dyDescent="0.25">
      <c r="A20" t="s">
        <v>631</v>
      </c>
      <c r="B20" s="21">
        <v>7.6</v>
      </c>
      <c r="C20" s="21">
        <v>7.01</v>
      </c>
      <c r="D20" s="35">
        <v>6</v>
      </c>
      <c r="E20" s="3" t="e">
        <v>#N/A</v>
      </c>
      <c r="F20" s="3" t="e">
        <v>#N/A</v>
      </c>
      <c r="G20" s="3">
        <v>133714</v>
      </c>
      <c r="H20" s="3">
        <v>129695</v>
      </c>
      <c r="I20" s="4" t="e">
        <v>#N/A</v>
      </c>
      <c r="J20" s="3"/>
      <c r="K20" s="3" t="e">
        <v>#N/A</v>
      </c>
      <c r="L20" s="3" t="e">
        <v>#N/A</v>
      </c>
      <c r="M20" s="3" t="e">
        <v>#N/A</v>
      </c>
      <c r="N20" s="3" t="e">
        <v>#N/A</v>
      </c>
      <c r="O20" s="3" t="e">
        <v>#N/A</v>
      </c>
      <c r="P20" s="3" t="e">
        <v>#N/A</v>
      </c>
      <c r="Q20" s="3" t="e">
        <v>#N/A</v>
      </c>
      <c r="R20" s="3" t="e">
        <v>#N/A</v>
      </c>
      <c r="S20" s="3" t="e">
        <v>#N/A</v>
      </c>
      <c r="T20" s="3" t="e">
        <v>#N/A</v>
      </c>
      <c r="U20" s="3" t="e">
        <v>#N/A</v>
      </c>
      <c r="V20" s="3" t="e">
        <v>#N/A</v>
      </c>
      <c r="W20" s="3" t="e">
        <v>#N/A</v>
      </c>
      <c r="X20" s="3" t="e">
        <v>#N/A</v>
      </c>
      <c r="Y20" s="3" t="e">
        <v>#N/A</v>
      </c>
      <c r="Z20" s="3" t="e">
        <v>#N/A</v>
      </c>
      <c r="AA20" s="3" t="e">
        <v>#N/A</v>
      </c>
      <c r="AB20" s="3" t="e">
        <v>#N/A</v>
      </c>
      <c r="AC20" s="3" t="e">
        <v>#N/A</v>
      </c>
      <c r="AD20" s="3" t="e">
        <v>#N/A</v>
      </c>
      <c r="AE20" s="3" t="e">
        <v>#N/A</v>
      </c>
      <c r="AF20" s="3" t="e">
        <v>#N/A</v>
      </c>
      <c r="AG20" s="3" t="e">
        <v>#N/A</v>
      </c>
      <c r="AH20" s="3" t="e">
        <v>#N/A</v>
      </c>
      <c r="AI20" s="3" t="e">
        <v>#N/A</v>
      </c>
      <c r="AJ20" s="3" t="e">
        <v>#N/A</v>
      </c>
      <c r="AK20" s="3" t="e">
        <v>#N/A</v>
      </c>
      <c r="AL20" s="3" t="e">
        <v>#N/A</v>
      </c>
      <c r="AM20" s="3" t="e">
        <v>#N/A</v>
      </c>
      <c r="AN20" s="3" t="e">
        <v>#N/A</v>
      </c>
      <c r="AO20" s="3" t="e">
        <v>#N/A</v>
      </c>
      <c r="AP20" s="3" t="e">
        <v>#N/A</v>
      </c>
      <c r="AR20" s="3" t="e">
        <f t="shared" si="0"/>
        <v>#N/A</v>
      </c>
      <c r="AS20" s="3" t="e">
        <f t="shared" si="0"/>
        <v>#N/A</v>
      </c>
      <c r="AT20" s="3" t="e">
        <f t="shared" si="0"/>
        <v>#N/A</v>
      </c>
      <c r="AU20" s="3" t="e">
        <f t="shared" si="1"/>
        <v>#N/A</v>
      </c>
      <c r="AV20" s="3" t="e">
        <f t="shared" si="2"/>
        <v>#N/A</v>
      </c>
      <c r="AW20" s="3" t="e">
        <f t="shared" si="3"/>
        <v>#N/A</v>
      </c>
      <c r="AX20" s="3" t="e">
        <f t="shared" si="4"/>
        <v>#N/A</v>
      </c>
      <c r="AY20" s="3" t="e">
        <f t="shared" si="5"/>
        <v>#N/A</v>
      </c>
      <c r="AZ20" s="3" t="e">
        <f t="shared" si="6"/>
        <v>#N/A</v>
      </c>
      <c r="BA20" s="3" t="e">
        <f t="shared" si="7"/>
        <v>#N/A</v>
      </c>
      <c r="BB20" s="3" t="e">
        <f t="shared" si="8"/>
        <v>#N/A</v>
      </c>
    </row>
    <row r="21" spans="1:54" x14ac:dyDescent="0.25">
      <c r="A21" t="s">
        <v>632</v>
      </c>
      <c r="B21" s="21">
        <v>7.47</v>
      </c>
      <c r="C21" s="21">
        <v>6.98</v>
      </c>
      <c r="D21" s="35">
        <v>5.8125</v>
      </c>
      <c r="E21" s="3" t="e">
        <v>#N/A</v>
      </c>
      <c r="F21" s="3" t="e">
        <v>#N/A</v>
      </c>
      <c r="G21" s="3">
        <v>133726</v>
      </c>
      <c r="H21" s="3">
        <v>128446</v>
      </c>
      <c r="I21" s="4" t="e">
        <v>#N/A</v>
      </c>
      <c r="J21" s="3"/>
      <c r="K21" s="3" t="e">
        <v>#N/A</v>
      </c>
      <c r="L21" s="3" t="e">
        <v>#N/A</v>
      </c>
      <c r="M21" s="3" t="e">
        <v>#N/A</v>
      </c>
      <c r="N21" s="3" t="e">
        <v>#N/A</v>
      </c>
      <c r="O21" s="3" t="e">
        <v>#N/A</v>
      </c>
      <c r="P21" s="3" t="e">
        <v>#N/A</v>
      </c>
      <c r="Q21" s="3" t="e">
        <v>#N/A</v>
      </c>
      <c r="R21" s="3" t="e">
        <v>#N/A</v>
      </c>
      <c r="S21" s="3" t="e">
        <v>#N/A</v>
      </c>
      <c r="T21" s="3" t="e">
        <v>#N/A</v>
      </c>
      <c r="U21" s="3" t="e">
        <v>#N/A</v>
      </c>
      <c r="V21" s="3" t="e">
        <v>#N/A</v>
      </c>
      <c r="W21" s="3" t="e">
        <v>#N/A</v>
      </c>
      <c r="X21" s="3" t="e">
        <v>#N/A</v>
      </c>
      <c r="Y21" s="3" t="e">
        <v>#N/A</v>
      </c>
      <c r="Z21" s="3" t="e">
        <v>#N/A</v>
      </c>
      <c r="AA21" s="3" t="e">
        <v>#N/A</v>
      </c>
      <c r="AB21" s="3" t="e">
        <v>#N/A</v>
      </c>
      <c r="AC21" s="3" t="e">
        <v>#N/A</v>
      </c>
      <c r="AD21" s="3" t="e">
        <v>#N/A</v>
      </c>
      <c r="AE21" s="3" t="e">
        <v>#N/A</v>
      </c>
      <c r="AF21" s="3" t="e">
        <v>#N/A</v>
      </c>
      <c r="AG21" s="3" t="e">
        <v>#N/A</v>
      </c>
      <c r="AH21" s="3" t="e">
        <v>#N/A</v>
      </c>
      <c r="AI21" s="3" t="e">
        <v>#N/A</v>
      </c>
      <c r="AJ21" s="3" t="e">
        <v>#N/A</v>
      </c>
      <c r="AK21" s="3" t="e">
        <v>#N/A</v>
      </c>
      <c r="AL21" s="3" t="e">
        <v>#N/A</v>
      </c>
      <c r="AM21" s="3" t="e">
        <v>#N/A</v>
      </c>
      <c r="AN21" s="3" t="e">
        <v>#N/A</v>
      </c>
      <c r="AO21" s="3" t="e">
        <v>#N/A</v>
      </c>
      <c r="AP21" s="3" t="e">
        <v>#N/A</v>
      </c>
      <c r="AR21" s="3" t="e">
        <f t="shared" si="0"/>
        <v>#N/A</v>
      </c>
      <c r="AS21" s="3" t="e">
        <f t="shared" si="0"/>
        <v>#N/A</v>
      </c>
      <c r="AT21" s="3" t="e">
        <f t="shared" si="0"/>
        <v>#N/A</v>
      </c>
      <c r="AU21" s="3" t="e">
        <f t="shared" si="1"/>
        <v>#N/A</v>
      </c>
      <c r="AV21" s="3" t="e">
        <f t="shared" si="2"/>
        <v>#N/A</v>
      </c>
      <c r="AW21" s="3" t="e">
        <f t="shared" si="3"/>
        <v>#N/A</v>
      </c>
      <c r="AX21" s="3" t="e">
        <f t="shared" si="4"/>
        <v>#N/A</v>
      </c>
      <c r="AY21" s="3" t="e">
        <f t="shared" si="5"/>
        <v>#N/A</v>
      </c>
      <c r="AZ21" s="3" t="e">
        <f t="shared" si="6"/>
        <v>#N/A</v>
      </c>
      <c r="BA21" s="3" t="e">
        <f t="shared" si="7"/>
        <v>#N/A</v>
      </c>
      <c r="BB21" s="3" t="e">
        <f t="shared" si="8"/>
        <v>#N/A</v>
      </c>
    </row>
    <row r="22" spans="1:54" x14ac:dyDescent="0.25">
      <c r="A22" t="s">
        <v>633</v>
      </c>
      <c r="B22" s="21">
        <v>7.36</v>
      </c>
      <c r="C22" s="21">
        <v>6.82</v>
      </c>
      <c r="D22" s="35">
        <v>5.75</v>
      </c>
      <c r="E22" s="3" t="e">
        <v>#N/A</v>
      </c>
      <c r="F22" s="3" t="e">
        <v>#N/A</v>
      </c>
      <c r="G22" s="3">
        <v>134898</v>
      </c>
      <c r="H22" s="3">
        <v>135556</v>
      </c>
      <c r="I22" s="4" t="e">
        <v>#N/A</v>
      </c>
      <c r="J22" s="3"/>
      <c r="K22" s="3" t="e">
        <v>#N/A</v>
      </c>
      <c r="L22" s="3" t="e">
        <v>#N/A</v>
      </c>
      <c r="M22" s="3" t="e">
        <v>#N/A</v>
      </c>
      <c r="N22" s="3" t="e">
        <v>#N/A</v>
      </c>
      <c r="O22" s="3" t="e">
        <v>#N/A</v>
      </c>
      <c r="P22" s="3" t="e">
        <v>#N/A</v>
      </c>
      <c r="Q22" s="3" t="e">
        <v>#N/A</v>
      </c>
      <c r="R22" s="3" t="e">
        <v>#N/A</v>
      </c>
      <c r="S22" s="3" t="e">
        <v>#N/A</v>
      </c>
      <c r="T22" s="3" t="e">
        <v>#N/A</v>
      </c>
      <c r="U22" s="3" t="e">
        <v>#N/A</v>
      </c>
      <c r="V22" s="3" t="e">
        <v>#N/A</v>
      </c>
      <c r="W22" s="3" t="e">
        <v>#N/A</v>
      </c>
      <c r="X22" s="3" t="e">
        <v>#N/A</v>
      </c>
      <c r="Y22" s="3" t="e">
        <v>#N/A</v>
      </c>
      <c r="Z22" s="3" t="e">
        <v>#N/A</v>
      </c>
      <c r="AA22" s="3" t="e">
        <v>#N/A</v>
      </c>
      <c r="AB22" s="3" t="e">
        <v>#N/A</v>
      </c>
      <c r="AC22" s="3" t="e">
        <v>#N/A</v>
      </c>
      <c r="AD22" s="3" t="e">
        <v>#N/A</v>
      </c>
      <c r="AE22" s="3" t="e">
        <v>#N/A</v>
      </c>
      <c r="AF22" s="3" t="e">
        <v>#N/A</v>
      </c>
      <c r="AG22" s="3" t="e">
        <v>#N/A</v>
      </c>
      <c r="AH22" s="3" t="e">
        <v>#N/A</v>
      </c>
      <c r="AI22" s="3" t="e">
        <v>#N/A</v>
      </c>
      <c r="AJ22" s="3" t="e">
        <v>#N/A</v>
      </c>
      <c r="AK22" s="3" t="e">
        <v>#N/A</v>
      </c>
      <c r="AL22" s="3" t="e">
        <v>#N/A</v>
      </c>
      <c r="AM22" s="3" t="e">
        <v>#N/A</v>
      </c>
      <c r="AN22" s="3" t="e">
        <v>#N/A</v>
      </c>
      <c r="AO22" s="3" t="e">
        <v>#N/A</v>
      </c>
      <c r="AP22" s="3" t="e">
        <v>#N/A</v>
      </c>
      <c r="AR22" s="3" t="e">
        <f t="shared" si="0"/>
        <v>#N/A</v>
      </c>
      <c r="AS22" s="3" t="e">
        <f t="shared" si="0"/>
        <v>#N/A</v>
      </c>
      <c r="AT22" s="3" t="e">
        <f t="shared" si="0"/>
        <v>#N/A</v>
      </c>
      <c r="AU22" s="3" t="e">
        <f t="shared" si="1"/>
        <v>#N/A</v>
      </c>
      <c r="AV22" s="3" t="e">
        <f t="shared" si="2"/>
        <v>#N/A</v>
      </c>
      <c r="AW22" s="3" t="e">
        <f t="shared" si="3"/>
        <v>#N/A</v>
      </c>
      <c r="AX22" s="3" t="e">
        <f t="shared" si="4"/>
        <v>#N/A</v>
      </c>
      <c r="AY22" s="3" t="e">
        <f t="shared" si="5"/>
        <v>#N/A</v>
      </c>
      <c r="AZ22" s="3" t="e">
        <f t="shared" si="6"/>
        <v>#N/A</v>
      </c>
      <c r="BA22" s="3" t="e">
        <f t="shared" si="7"/>
        <v>#N/A</v>
      </c>
      <c r="BB22" s="3" t="e">
        <f t="shared" si="8"/>
        <v>#N/A</v>
      </c>
    </row>
    <row r="23" spans="1:54" x14ac:dyDescent="0.25">
      <c r="A23" t="s">
        <v>634</v>
      </c>
      <c r="B23" s="21">
        <v>7.31</v>
      </c>
      <c r="C23" s="21">
        <v>6.79</v>
      </c>
      <c r="D23" s="35">
        <v>5.5357142857142856</v>
      </c>
      <c r="E23" s="3" t="e">
        <v>#N/A</v>
      </c>
      <c r="F23" s="3" t="e">
        <v>#N/A</v>
      </c>
      <c r="G23" s="3">
        <v>135067</v>
      </c>
      <c r="H23" s="3">
        <v>133574</v>
      </c>
      <c r="I23" s="4" t="e">
        <v>#N/A</v>
      </c>
      <c r="J23" s="3"/>
      <c r="K23" s="3" t="e">
        <v>#N/A</v>
      </c>
      <c r="L23" s="3" t="e">
        <v>#N/A</v>
      </c>
      <c r="M23" s="3" t="e">
        <v>#N/A</v>
      </c>
      <c r="N23" s="3" t="e">
        <v>#N/A</v>
      </c>
      <c r="O23" s="3" t="e">
        <v>#N/A</v>
      </c>
      <c r="P23" s="3" t="e">
        <v>#N/A</v>
      </c>
      <c r="Q23" s="3" t="e">
        <v>#N/A</v>
      </c>
      <c r="R23" s="3" t="e">
        <v>#N/A</v>
      </c>
      <c r="S23" s="3" t="e">
        <v>#N/A</v>
      </c>
      <c r="T23" s="3" t="e">
        <v>#N/A</v>
      </c>
      <c r="U23" s="3" t="e">
        <v>#N/A</v>
      </c>
      <c r="V23" s="3" t="e">
        <v>#N/A</v>
      </c>
      <c r="W23" s="3" t="e">
        <v>#N/A</v>
      </c>
      <c r="X23" s="3" t="e">
        <v>#N/A</v>
      </c>
      <c r="Y23" s="3" t="e">
        <v>#N/A</v>
      </c>
      <c r="Z23" s="3" t="e">
        <v>#N/A</v>
      </c>
      <c r="AA23" s="3" t="e">
        <v>#N/A</v>
      </c>
      <c r="AB23" s="3" t="e">
        <v>#N/A</v>
      </c>
      <c r="AC23" s="3" t="e">
        <v>#N/A</v>
      </c>
      <c r="AD23" s="3" t="e">
        <v>#N/A</v>
      </c>
      <c r="AE23" s="3" t="e">
        <v>#N/A</v>
      </c>
      <c r="AF23" s="3" t="e">
        <v>#N/A</v>
      </c>
      <c r="AG23" s="3" t="e">
        <v>#N/A</v>
      </c>
      <c r="AH23" s="3" t="e">
        <v>#N/A</v>
      </c>
      <c r="AI23" s="3" t="e">
        <v>#N/A</v>
      </c>
      <c r="AJ23" s="3" t="e">
        <v>#N/A</v>
      </c>
      <c r="AK23" s="3" t="e">
        <v>#N/A</v>
      </c>
      <c r="AL23" s="3" t="e">
        <v>#N/A</v>
      </c>
      <c r="AM23" s="3" t="e">
        <v>#N/A</v>
      </c>
      <c r="AN23" s="3" t="e">
        <v>#N/A</v>
      </c>
      <c r="AO23" s="3" t="e">
        <v>#N/A</v>
      </c>
      <c r="AP23" s="3" t="e">
        <v>#N/A</v>
      </c>
      <c r="AR23" s="3" t="e">
        <f t="shared" si="0"/>
        <v>#N/A</v>
      </c>
      <c r="AS23" s="3" t="e">
        <f t="shared" si="0"/>
        <v>#N/A</v>
      </c>
      <c r="AT23" s="3" t="e">
        <f t="shared" si="0"/>
        <v>#N/A</v>
      </c>
      <c r="AU23" s="3" t="e">
        <f t="shared" si="1"/>
        <v>#N/A</v>
      </c>
      <c r="AV23" s="3" t="e">
        <f t="shared" si="2"/>
        <v>#N/A</v>
      </c>
      <c r="AW23" s="3" t="e">
        <f t="shared" si="3"/>
        <v>#N/A</v>
      </c>
      <c r="AX23" s="3" t="e">
        <f t="shared" si="4"/>
        <v>#N/A</v>
      </c>
      <c r="AY23" s="3" t="e">
        <f t="shared" si="5"/>
        <v>#N/A</v>
      </c>
      <c r="AZ23" s="3" t="e">
        <f t="shared" si="6"/>
        <v>#N/A</v>
      </c>
      <c r="BA23" s="3" t="e">
        <f t="shared" si="7"/>
        <v>#N/A</v>
      </c>
      <c r="BB23" s="3" t="e">
        <f t="shared" si="8"/>
        <v>#N/A</v>
      </c>
    </row>
    <row r="24" spans="1:54" x14ac:dyDescent="0.25">
      <c r="A24" t="s">
        <v>635</v>
      </c>
      <c r="B24" s="21">
        <v>7.14</v>
      </c>
      <c r="C24" s="21">
        <v>6.61</v>
      </c>
      <c r="D24" s="35">
        <v>5.3260869565217392</v>
      </c>
      <c r="E24" s="3" t="e">
        <v>#N/A</v>
      </c>
      <c r="F24" s="3" t="e">
        <v>#N/A</v>
      </c>
      <c r="G24" s="3">
        <v>133390</v>
      </c>
      <c r="H24" s="3">
        <v>135166</v>
      </c>
      <c r="I24" s="4" t="e">
        <v>#N/A</v>
      </c>
      <c r="J24" s="3"/>
      <c r="K24" s="3" t="e">
        <v>#N/A</v>
      </c>
      <c r="L24" s="3" t="e">
        <v>#N/A</v>
      </c>
      <c r="M24" s="3" t="e">
        <v>#N/A</v>
      </c>
      <c r="N24" s="3" t="e">
        <v>#N/A</v>
      </c>
      <c r="O24" s="3" t="e">
        <v>#N/A</v>
      </c>
      <c r="P24" s="3" t="e">
        <v>#N/A</v>
      </c>
      <c r="Q24" s="3" t="e">
        <v>#N/A</v>
      </c>
      <c r="R24" s="3" t="e">
        <v>#N/A</v>
      </c>
      <c r="S24" s="3" t="e">
        <v>#N/A</v>
      </c>
      <c r="T24" s="3" t="e">
        <v>#N/A</v>
      </c>
      <c r="U24" s="3" t="e">
        <v>#N/A</v>
      </c>
      <c r="V24" s="3" t="e">
        <v>#N/A</v>
      </c>
      <c r="W24" s="3" t="e">
        <v>#N/A</v>
      </c>
      <c r="X24" s="3" t="e">
        <v>#N/A</v>
      </c>
      <c r="Y24" s="3" t="e">
        <v>#N/A</v>
      </c>
      <c r="Z24" s="3" t="e">
        <v>#N/A</v>
      </c>
      <c r="AA24" s="3" t="e">
        <v>#N/A</v>
      </c>
      <c r="AB24" s="3" t="e">
        <v>#N/A</v>
      </c>
      <c r="AC24" s="3" t="e">
        <v>#N/A</v>
      </c>
      <c r="AD24" s="3" t="e">
        <v>#N/A</v>
      </c>
      <c r="AE24" s="3" t="e">
        <v>#N/A</v>
      </c>
      <c r="AF24" s="3" t="e">
        <v>#N/A</v>
      </c>
      <c r="AG24" s="3" t="e">
        <v>#N/A</v>
      </c>
      <c r="AH24" s="3" t="e">
        <v>#N/A</v>
      </c>
      <c r="AI24" s="3" t="e">
        <v>#N/A</v>
      </c>
      <c r="AJ24" s="3" t="e">
        <v>#N/A</v>
      </c>
      <c r="AK24" s="3" t="e">
        <v>#N/A</v>
      </c>
      <c r="AL24" s="3" t="e">
        <v>#N/A</v>
      </c>
      <c r="AM24" s="3" t="e">
        <v>#N/A</v>
      </c>
      <c r="AN24" s="3" t="e">
        <v>#N/A</v>
      </c>
      <c r="AO24" s="3" t="e">
        <v>#N/A</v>
      </c>
      <c r="AP24" s="3" t="e">
        <v>#N/A</v>
      </c>
      <c r="AR24" s="3" t="e">
        <f t="shared" si="0"/>
        <v>#N/A</v>
      </c>
      <c r="AS24" s="3" t="e">
        <f t="shared" si="0"/>
        <v>#N/A</v>
      </c>
      <c r="AT24" s="3" t="e">
        <f t="shared" si="0"/>
        <v>#N/A</v>
      </c>
      <c r="AU24" s="3" t="e">
        <f t="shared" si="1"/>
        <v>#N/A</v>
      </c>
      <c r="AV24" s="3" t="e">
        <f t="shared" si="2"/>
        <v>#N/A</v>
      </c>
      <c r="AW24" s="3" t="e">
        <f t="shared" si="3"/>
        <v>#N/A</v>
      </c>
      <c r="AX24" s="3" t="e">
        <f t="shared" si="4"/>
        <v>#N/A</v>
      </c>
      <c r="AY24" s="3" t="e">
        <f t="shared" si="5"/>
        <v>#N/A</v>
      </c>
      <c r="AZ24" s="3" t="e">
        <f t="shared" si="6"/>
        <v>#N/A</v>
      </c>
      <c r="BA24" s="3" t="e">
        <f t="shared" si="7"/>
        <v>#N/A</v>
      </c>
      <c r="BB24" s="3" t="e">
        <f t="shared" si="8"/>
        <v>#N/A</v>
      </c>
    </row>
    <row r="25" spans="1:54" x14ac:dyDescent="0.25">
      <c r="A25" t="s">
        <v>636</v>
      </c>
      <c r="B25" s="21">
        <v>7.03</v>
      </c>
      <c r="C25" s="21">
        <v>6.44</v>
      </c>
      <c r="D25" s="35">
        <v>5.25</v>
      </c>
      <c r="E25" s="3" t="e">
        <v>#N/A</v>
      </c>
      <c r="F25" s="3" t="e">
        <v>#N/A</v>
      </c>
      <c r="G25" s="3">
        <v>139591</v>
      </c>
      <c r="H25" s="3">
        <v>142065</v>
      </c>
      <c r="I25" s="4" t="e">
        <v>#N/A</v>
      </c>
      <c r="J25" s="3"/>
      <c r="K25" s="3" t="e">
        <v>#N/A</v>
      </c>
      <c r="L25" s="3" t="e">
        <v>#N/A</v>
      </c>
      <c r="M25" s="3" t="e">
        <v>#N/A</v>
      </c>
      <c r="N25" s="3" t="e">
        <v>#N/A</v>
      </c>
      <c r="O25" s="3" t="e">
        <v>#N/A</v>
      </c>
      <c r="P25" s="3" t="e">
        <v>#N/A</v>
      </c>
      <c r="Q25" s="3" t="e">
        <v>#N/A</v>
      </c>
      <c r="R25" s="3" t="e">
        <v>#N/A</v>
      </c>
      <c r="S25" s="3" t="e">
        <v>#N/A</v>
      </c>
      <c r="T25" s="3" t="e">
        <v>#N/A</v>
      </c>
      <c r="U25" s="3" t="e">
        <v>#N/A</v>
      </c>
      <c r="V25" s="3" t="e">
        <v>#N/A</v>
      </c>
      <c r="W25" s="3" t="e">
        <v>#N/A</v>
      </c>
      <c r="X25" s="3" t="e">
        <v>#N/A</v>
      </c>
      <c r="Y25" s="3" t="e">
        <v>#N/A</v>
      </c>
      <c r="Z25" s="3" t="e">
        <v>#N/A</v>
      </c>
      <c r="AA25" s="3" t="e">
        <v>#N/A</v>
      </c>
      <c r="AB25" s="3" t="e">
        <v>#N/A</v>
      </c>
      <c r="AC25" s="3" t="e">
        <v>#N/A</v>
      </c>
      <c r="AD25" s="3" t="e">
        <v>#N/A</v>
      </c>
      <c r="AE25" s="3" t="e">
        <v>#N/A</v>
      </c>
      <c r="AF25" s="3" t="e">
        <v>#N/A</v>
      </c>
      <c r="AG25" s="3" t="e">
        <v>#N/A</v>
      </c>
      <c r="AH25" s="3" t="e">
        <v>#N/A</v>
      </c>
      <c r="AI25" s="3" t="e">
        <v>#N/A</v>
      </c>
      <c r="AJ25" s="3" t="e">
        <v>#N/A</v>
      </c>
      <c r="AK25" s="3" t="e">
        <v>#N/A</v>
      </c>
      <c r="AL25" s="3" t="e">
        <v>#N/A</v>
      </c>
      <c r="AM25" s="3" t="e">
        <v>#N/A</v>
      </c>
      <c r="AN25" s="3" t="e">
        <v>#N/A</v>
      </c>
      <c r="AO25" s="3" t="e">
        <v>#N/A</v>
      </c>
      <c r="AP25" s="3" t="e">
        <v>#N/A</v>
      </c>
      <c r="AR25" s="3" t="e">
        <f t="shared" si="0"/>
        <v>#N/A</v>
      </c>
      <c r="AS25" s="3" t="e">
        <f t="shared" si="0"/>
        <v>#N/A</v>
      </c>
      <c r="AT25" s="3" t="e">
        <f t="shared" si="0"/>
        <v>#N/A</v>
      </c>
      <c r="AU25" s="3" t="e">
        <f t="shared" si="1"/>
        <v>#N/A</v>
      </c>
      <c r="AV25" s="3" t="e">
        <f t="shared" si="2"/>
        <v>#N/A</v>
      </c>
      <c r="AW25" s="3" t="e">
        <f t="shared" si="3"/>
        <v>#N/A</v>
      </c>
      <c r="AX25" s="3" t="e">
        <f t="shared" si="4"/>
        <v>#N/A</v>
      </c>
      <c r="AY25" s="3" t="e">
        <f t="shared" si="5"/>
        <v>#N/A</v>
      </c>
      <c r="AZ25" s="3" t="e">
        <f t="shared" si="6"/>
        <v>#N/A</v>
      </c>
      <c r="BA25" s="3" t="e">
        <f t="shared" si="7"/>
        <v>#N/A</v>
      </c>
      <c r="BB25" s="3" t="e">
        <f t="shared" si="8"/>
        <v>#N/A</v>
      </c>
    </row>
    <row r="26" spans="1:54" x14ac:dyDescent="0.25">
      <c r="A26" t="s">
        <v>637</v>
      </c>
      <c r="B26" s="21">
        <v>7.01</v>
      </c>
      <c r="C26" s="21">
        <v>6.42</v>
      </c>
      <c r="D26" s="35">
        <v>5.25</v>
      </c>
      <c r="E26" s="3" t="e">
        <v>#N/A</v>
      </c>
      <c r="F26" s="3" t="e">
        <v>#N/A</v>
      </c>
      <c r="G26" s="3">
        <v>138413</v>
      </c>
      <c r="H26" s="3">
        <v>138501</v>
      </c>
      <c r="I26" s="4" t="e">
        <v>#N/A</v>
      </c>
      <c r="J26" s="3"/>
      <c r="K26" s="3" t="e">
        <v>#N/A</v>
      </c>
      <c r="L26" s="3" t="e">
        <v>#N/A</v>
      </c>
      <c r="M26" s="3" t="e">
        <v>#N/A</v>
      </c>
      <c r="N26" s="3" t="e">
        <v>#N/A</v>
      </c>
      <c r="O26" s="3" t="e">
        <v>#N/A</v>
      </c>
      <c r="P26" s="3" t="e">
        <v>#N/A</v>
      </c>
      <c r="Q26" s="3" t="e">
        <v>#N/A</v>
      </c>
      <c r="R26" s="3" t="e">
        <v>#N/A</v>
      </c>
      <c r="S26" s="3" t="e">
        <v>#N/A</v>
      </c>
      <c r="T26" s="3" t="e">
        <v>#N/A</v>
      </c>
      <c r="U26" s="3" t="e">
        <v>#N/A</v>
      </c>
      <c r="V26" s="3" t="e">
        <v>#N/A</v>
      </c>
      <c r="W26" s="3" t="e">
        <v>#N/A</v>
      </c>
      <c r="X26" s="3" t="e">
        <v>#N/A</v>
      </c>
      <c r="Y26" s="3" t="e">
        <v>#N/A</v>
      </c>
      <c r="Z26" s="3" t="e">
        <v>#N/A</v>
      </c>
      <c r="AA26" s="3" t="e">
        <v>#N/A</v>
      </c>
      <c r="AB26" s="3" t="e">
        <v>#N/A</v>
      </c>
      <c r="AC26" s="3" t="e">
        <v>#N/A</v>
      </c>
      <c r="AD26" s="3" t="e">
        <v>#N/A</v>
      </c>
      <c r="AE26" s="3" t="e">
        <v>#N/A</v>
      </c>
      <c r="AF26" s="3" t="e">
        <v>#N/A</v>
      </c>
      <c r="AG26" s="3" t="e">
        <v>#N/A</v>
      </c>
      <c r="AH26" s="3" t="e">
        <v>#N/A</v>
      </c>
      <c r="AI26" s="3" t="e">
        <v>#N/A</v>
      </c>
      <c r="AJ26" s="3" t="e">
        <v>#N/A</v>
      </c>
      <c r="AK26" s="3" t="e">
        <v>#N/A</v>
      </c>
      <c r="AL26" s="3" t="e">
        <v>#N/A</v>
      </c>
      <c r="AM26" s="3" t="e">
        <v>#N/A</v>
      </c>
      <c r="AN26" s="3" t="e">
        <v>#N/A</v>
      </c>
      <c r="AO26" s="3" t="e">
        <v>#N/A</v>
      </c>
      <c r="AP26" s="3" t="e">
        <v>#N/A</v>
      </c>
      <c r="AR26" s="3" t="e">
        <f t="shared" si="0"/>
        <v>#N/A</v>
      </c>
      <c r="AS26" s="3" t="e">
        <f t="shared" si="0"/>
        <v>#N/A</v>
      </c>
      <c r="AT26" s="3" t="e">
        <f t="shared" si="0"/>
        <v>#N/A</v>
      </c>
      <c r="AU26" s="3" t="e">
        <f t="shared" si="1"/>
        <v>#N/A</v>
      </c>
      <c r="AV26" s="3" t="e">
        <f t="shared" si="2"/>
        <v>#N/A</v>
      </c>
      <c r="AW26" s="3" t="e">
        <f t="shared" si="3"/>
        <v>#N/A</v>
      </c>
      <c r="AX26" s="3" t="e">
        <f t="shared" si="4"/>
        <v>#N/A</v>
      </c>
      <c r="AY26" s="3" t="e">
        <f t="shared" si="5"/>
        <v>#N/A</v>
      </c>
      <c r="AZ26" s="3" t="e">
        <f t="shared" si="6"/>
        <v>#N/A</v>
      </c>
      <c r="BA26" s="3" t="e">
        <f t="shared" si="7"/>
        <v>#N/A</v>
      </c>
      <c r="BB26" s="3" t="e">
        <f t="shared" si="8"/>
        <v>#N/A</v>
      </c>
    </row>
    <row r="27" spans="1:54" x14ac:dyDescent="0.25">
      <c r="A27" t="s">
        <v>638</v>
      </c>
      <c r="B27" s="21">
        <v>6.86</v>
      </c>
      <c r="C27" s="21">
        <v>6.4</v>
      </c>
      <c r="D27" s="35">
        <v>5.0108695652173916</v>
      </c>
      <c r="E27" s="3" t="e">
        <v>#N/A</v>
      </c>
      <c r="F27" s="3" t="e">
        <v>#N/A</v>
      </c>
      <c r="G27" s="3">
        <v>138272</v>
      </c>
      <c r="H27" s="3">
        <v>137809</v>
      </c>
      <c r="I27" s="4" t="e">
        <v>#N/A</v>
      </c>
      <c r="J27" s="3"/>
      <c r="K27" s="3" t="e">
        <v>#N/A</v>
      </c>
      <c r="L27" s="3" t="e">
        <v>#N/A</v>
      </c>
      <c r="M27" s="3" t="e">
        <v>#N/A</v>
      </c>
      <c r="N27" s="3" t="e">
        <v>#N/A</v>
      </c>
      <c r="O27" s="3" t="e">
        <v>#N/A</v>
      </c>
      <c r="P27" s="3" t="e">
        <v>#N/A</v>
      </c>
      <c r="Q27" s="3" t="e">
        <v>#N/A</v>
      </c>
      <c r="R27" s="3" t="e">
        <v>#N/A</v>
      </c>
      <c r="S27" s="3" t="e">
        <v>#N/A</v>
      </c>
      <c r="T27" s="3" t="e">
        <v>#N/A</v>
      </c>
      <c r="U27" s="3" t="e">
        <v>#N/A</v>
      </c>
      <c r="V27" s="3" t="e">
        <v>#N/A</v>
      </c>
      <c r="W27" s="3" t="e">
        <v>#N/A</v>
      </c>
      <c r="X27" s="3" t="e">
        <v>#N/A</v>
      </c>
      <c r="Y27" s="3" t="e">
        <v>#N/A</v>
      </c>
      <c r="Z27" s="3" t="e">
        <v>#N/A</v>
      </c>
      <c r="AA27" s="3" t="e">
        <v>#N/A</v>
      </c>
      <c r="AB27" s="3" t="e">
        <v>#N/A</v>
      </c>
      <c r="AC27" s="3" t="e">
        <v>#N/A</v>
      </c>
      <c r="AD27" s="3" t="e">
        <v>#N/A</v>
      </c>
      <c r="AE27" s="3" t="e">
        <v>#N/A</v>
      </c>
      <c r="AF27" s="3" t="e">
        <v>#N/A</v>
      </c>
      <c r="AG27" s="3" t="e">
        <v>#N/A</v>
      </c>
      <c r="AH27" s="3" t="e">
        <v>#N/A</v>
      </c>
      <c r="AI27" s="3" t="e">
        <v>#N/A</v>
      </c>
      <c r="AJ27" s="3" t="e">
        <v>#N/A</v>
      </c>
      <c r="AK27" s="3" t="e">
        <v>#N/A</v>
      </c>
      <c r="AL27" s="3" t="e">
        <v>#N/A</v>
      </c>
      <c r="AM27" s="3" t="e">
        <v>#N/A</v>
      </c>
      <c r="AN27" s="3" t="e">
        <v>#N/A</v>
      </c>
      <c r="AO27" s="3" t="e">
        <v>#N/A</v>
      </c>
      <c r="AP27" s="3" t="e">
        <v>#N/A</v>
      </c>
      <c r="AR27" s="3" t="e">
        <f t="shared" si="0"/>
        <v>#N/A</v>
      </c>
      <c r="AS27" s="3" t="e">
        <f t="shared" si="0"/>
        <v>#N/A</v>
      </c>
      <c r="AT27" s="3" t="e">
        <f t="shared" si="0"/>
        <v>#N/A</v>
      </c>
      <c r="AU27" s="3" t="e">
        <f t="shared" si="1"/>
        <v>#N/A</v>
      </c>
      <c r="AV27" s="3" t="e">
        <f t="shared" si="2"/>
        <v>#N/A</v>
      </c>
      <c r="AW27" s="3" t="e">
        <f t="shared" si="3"/>
        <v>#N/A</v>
      </c>
      <c r="AX27" s="3" t="e">
        <f t="shared" si="4"/>
        <v>#N/A</v>
      </c>
      <c r="AY27" s="3" t="e">
        <f t="shared" si="5"/>
        <v>#N/A</v>
      </c>
      <c r="AZ27" s="3" t="e">
        <f t="shared" si="6"/>
        <v>#N/A</v>
      </c>
      <c r="BA27" s="3" t="e">
        <f t="shared" si="7"/>
        <v>#N/A</v>
      </c>
      <c r="BB27" s="3" t="e">
        <f t="shared" si="8"/>
        <v>#N/A</v>
      </c>
    </row>
    <row r="28" spans="1:54" x14ac:dyDescent="0.25">
      <c r="A28" t="s">
        <v>639</v>
      </c>
      <c r="B28" s="21">
        <v>6.7</v>
      </c>
      <c r="C28" s="21">
        <v>6.23</v>
      </c>
      <c r="D28" s="35">
        <v>4.8875000000000002</v>
      </c>
      <c r="E28" s="3" t="e">
        <v>#N/A</v>
      </c>
      <c r="F28" s="3" t="e">
        <v>#N/A</v>
      </c>
      <c r="G28" s="3">
        <v>140106</v>
      </c>
      <c r="H28" s="3">
        <v>140927</v>
      </c>
      <c r="I28" s="4" t="e">
        <v>#N/A</v>
      </c>
      <c r="J28" s="3"/>
      <c r="K28" s="3" t="e">
        <v>#N/A</v>
      </c>
      <c r="L28" s="3" t="e">
        <v>#N/A</v>
      </c>
      <c r="M28" s="3" t="e">
        <v>#N/A</v>
      </c>
      <c r="N28" s="3" t="e">
        <v>#N/A</v>
      </c>
      <c r="O28" s="3" t="e">
        <v>#N/A</v>
      </c>
      <c r="P28" s="3" t="e">
        <v>#N/A</v>
      </c>
      <c r="Q28" s="3" t="e">
        <v>#N/A</v>
      </c>
      <c r="R28" s="3" t="e">
        <v>#N/A</v>
      </c>
      <c r="S28" s="3" t="e">
        <v>#N/A</v>
      </c>
      <c r="T28" s="3" t="e">
        <v>#N/A</v>
      </c>
      <c r="U28" s="3" t="e">
        <v>#N/A</v>
      </c>
      <c r="V28" s="3" t="e">
        <v>#N/A</v>
      </c>
      <c r="W28" s="3" t="e">
        <v>#N/A</v>
      </c>
      <c r="X28" s="3" t="e">
        <v>#N/A</v>
      </c>
      <c r="Y28" s="3" t="e">
        <v>#N/A</v>
      </c>
      <c r="Z28" s="3" t="e">
        <v>#N/A</v>
      </c>
      <c r="AA28" s="3" t="e">
        <v>#N/A</v>
      </c>
      <c r="AB28" s="3" t="e">
        <v>#N/A</v>
      </c>
      <c r="AC28" s="3" t="e">
        <v>#N/A</v>
      </c>
      <c r="AD28" s="3" t="e">
        <v>#N/A</v>
      </c>
      <c r="AE28" s="3" t="e">
        <v>#N/A</v>
      </c>
      <c r="AF28" s="3" t="e">
        <v>#N/A</v>
      </c>
      <c r="AG28" s="3" t="e">
        <v>#N/A</v>
      </c>
      <c r="AH28" s="3" t="e">
        <v>#N/A</v>
      </c>
      <c r="AI28" s="3" t="e">
        <v>#N/A</v>
      </c>
      <c r="AJ28" s="3" t="e">
        <v>#N/A</v>
      </c>
      <c r="AK28" s="3" t="e">
        <v>#N/A</v>
      </c>
      <c r="AL28" s="3" t="e">
        <v>#N/A</v>
      </c>
      <c r="AM28" s="3" t="e">
        <v>#N/A</v>
      </c>
      <c r="AN28" s="3" t="e">
        <v>#N/A</v>
      </c>
      <c r="AO28" s="3" t="e">
        <v>#N/A</v>
      </c>
      <c r="AP28" s="3" t="e">
        <v>#N/A</v>
      </c>
      <c r="AR28" s="3" t="e">
        <f t="shared" si="0"/>
        <v>#N/A</v>
      </c>
      <c r="AS28" s="3" t="e">
        <f t="shared" si="0"/>
        <v>#N/A</v>
      </c>
      <c r="AT28" s="3" t="e">
        <f t="shared" si="0"/>
        <v>#N/A</v>
      </c>
      <c r="AU28" s="3" t="e">
        <f t="shared" si="1"/>
        <v>#N/A</v>
      </c>
      <c r="AV28" s="3" t="e">
        <f t="shared" si="2"/>
        <v>#N/A</v>
      </c>
      <c r="AW28" s="3" t="e">
        <f t="shared" si="3"/>
        <v>#N/A</v>
      </c>
      <c r="AX28" s="3" t="e">
        <f t="shared" si="4"/>
        <v>#N/A</v>
      </c>
      <c r="AY28" s="3" t="e">
        <f t="shared" si="5"/>
        <v>#N/A</v>
      </c>
      <c r="AZ28" s="3" t="e">
        <f t="shared" si="6"/>
        <v>#N/A</v>
      </c>
      <c r="BA28" s="3" t="e">
        <f t="shared" si="7"/>
        <v>#N/A</v>
      </c>
      <c r="BB28" s="3" t="e">
        <f t="shared" si="8"/>
        <v>#N/A</v>
      </c>
    </row>
    <row r="29" spans="1:54" x14ac:dyDescent="0.25">
      <c r="A29" t="s">
        <v>640</v>
      </c>
      <c r="B29" s="21">
        <v>6.5</v>
      </c>
      <c r="C29" s="21">
        <v>6.08</v>
      </c>
      <c r="D29" s="35">
        <v>4.5326086956521738</v>
      </c>
      <c r="E29" s="3" t="e">
        <v>#N/A</v>
      </c>
      <c r="F29" s="3" t="e">
        <v>#N/A</v>
      </c>
      <c r="G29" s="3">
        <v>139590</v>
      </c>
      <c r="H29" s="3">
        <v>138285</v>
      </c>
      <c r="I29" s="4" t="e">
        <v>#N/A</v>
      </c>
      <c r="J29" s="3"/>
      <c r="K29" s="3" t="e">
        <v>#N/A</v>
      </c>
      <c r="L29" s="3" t="e">
        <v>#N/A</v>
      </c>
      <c r="M29" s="3" t="e">
        <v>#N/A</v>
      </c>
      <c r="N29" s="3" t="e">
        <v>#N/A</v>
      </c>
      <c r="O29" s="3" t="e">
        <v>#N/A</v>
      </c>
      <c r="P29" s="3" t="e">
        <v>#N/A</v>
      </c>
      <c r="Q29" s="3" t="e">
        <v>#N/A</v>
      </c>
      <c r="R29" s="3" t="e">
        <v>#N/A</v>
      </c>
      <c r="S29" s="3" t="e">
        <v>#N/A</v>
      </c>
      <c r="T29" s="3" t="e">
        <v>#N/A</v>
      </c>
      <c r="U29" s="3" t="e">
        <v>#N/A</v>
      </c>
      <c r="V29" s="3" t="e">
        <v>#N/A</v>
      </c>
      <c r="W29" s="3" t="e">
        <v>#N/A</v>
      </c>
      <c r="X29" s="3" t="e">
        <v>#N/A</v>
      </c>
      <c r="Y29" s="3" t="e">
        <v>#N/A</v>
      </c>
      <c r="Z29" s="3" t="e">
        <v>#N/A</v>
      </c>
      <c r="AA29" s="3" t="e">
        <v>#N/A</v>
      </c>
      <c r="AB29" s="3" t="e">
        <v>#N/A</v>
      </c>
      <c r="AC29" s="3" t="e">
        <v>#N/A</v>
      </c>
      <c r="AD29" s="3" t="e">
        <v>#N/A</v>
      </c>
      <c r="AE29" s="3" t="e">
        <v>#N/A</v>
      </c>
      <c r="AF29" s="3" t="e">
        <v>#N/A</v>
      </c>
      <c r="AG29" s="3" t="e">
        <v>#N/A</v>
      </c>
      <c r="AH29" s="3" t="e">
        <v>#N/A</v>
      </c>
      <c r="AI29" s="3" t="e">
        <v>#N/A</v>
      </c>
      <c r="AJ29" s="3" t="e">
        <v>#N/A</v>
      </c>
      <c r="AK29" s="3" t="e">
        <v>#N/A</v>
      </c>
      <c r="AL29" s="3" t="e">
        <v>#N/A</v>
      </c>
      <c r="AM29" s="3" t="e">
        <v>#N/A</v>
      </c>
      <c r="AN29" s="3" t="e">
        <v>#N/A</v>
      </c>
      <c r="AO29" s="3" t="e">
        <v>#N/A</v>
      </c>
      <c r="AP29" s="3" t="e">
        <v>#N/A</v>
      </c>
      <c r="AR29" s="3" t="e">
        <f t="shared" si="0"/>
        <v>#N/A</v>
      </c>
      <c r="AS29" s="3" t="e">
        <f t="shared" si="0"/>
        <v>#N/A</v>
      </c>
      <c r="AT29" s="3" t="e">
        <f t="shared" si="0"/>
        <v>#N/A</v>
      </c>
      <c r="AU29" s="3" t="e">
        <f t="shared" si="1"/>
        <v>#N/A</v>
      </c>
      <c r="AV29" s="3" t="e">
        <f t="shared" si="2"/>
        <v>#N/A</v>
      </c>
      <c r="AW29" s="3" t="e">
        <f t="shared" si="3"/>
        <v>#N/A</v>
      </c>
      <c r="AX29" s="3" t="e">
        <f t="shared" si="4"/>
        <v>#N/A</v>
      </c>
      <c r="AY29" s="3" t="e">
        <f t="shared" si="5"/>
        <v>#N/A</v>
      </c>
      <c r="AZ29" s="3" t="e">
        <f t="shared" si="6"/>
        <v>#N/A</v>
      </c>
      <c r="BA29" s="3" t="e">
        <f t="shared" si="7"/>
        <v>#N/A</v>
      </c>
      <c r="BB29" s="3" t="e">
        <f t="shared" si="8"/>
        <v>#N/A</v>
      </c>
    </row>
    <row r="30" spans="1:54" x14ac:dyDescent="0.25">
      <c r="A30" t="s">
        <v>641</v>
      </c>
      <c r="B30" s="21">
        <v>6.16</v>
      </c>
      <c r="C30" s="21">
        <v>5.87</v>
      </c>
      <c r="D30" s="35">
        <v>4.1136363636363633</v>
      </c>
      <c r="E30" s="3" t="e">
        <v>#N/A</v>
      </c>
      <c r="F30" s="3" t="e">
        <v>#N/A</v>
      </c>
      <c r="G30" s="3">
        <v>140846</v>
      </c>
      <c r="H30" s="3">
        <v>140919</v>
      </c>
      <c r="I30" s="4" t="e">
        <v>#N/A</v>
      </c>
      <c r="J30" s="3"/>
      <c r="K30" s="3" t="e">
        <v>#N/A</v>
      </c>
      <c r="L30" s="3" t="e">
        <v>#N/A</v>
      </c>
      <c r="M30" s="3" t="e">
        <v>#N/A</v>
      </c>
      <c r="N30" s="3" t="e">
        <v>#N/A</v>
      </c>
      <c r="O30" s="3" t="e">
        <v>#N/A</v>
      </c>
      <c r="P30" s="3" t="e">
        <v>#N/A</v>
      </c>
      <c r="Q30" s="3" t="e">
        <v>#N/A</v>
      </c>
      <c r="R30" s="3" t="e">
        <v>#N/A</v>
      </c>
      <c r="S30" s="3" t="e">
        <v>#N/A</v>
      </c>
      <c r="T30" s="3" t="e">
        <v>#N/A</v>
      </c>
      <c r="U30" s="3" t="e">
        <v>#N/A</v>
      </c>
      <c r="V30" s="3" t="e">
        <v>#N/A</v>
      </c>
      <c r="W30" s="3" t="e">
        <v>#N/A</v>
      </c>
      <c r="X30" s="3" t="e">
        <v>#N/A</v>
      </c>
      <c r="Y30" s="3" t="e">
        <v>#N/A</v>
      </c>
      <c r="Z30" s="3" t="e">
        <v>#N/A</v>
      </c>
      <c r="AA30" s="3" t="e">
        <v>#N/A</v>
      </c>
      <c r="AB30" s="3" t="e">
        <v>#N/A</v>
      </c>
      <c r="AC30" s="3" t="e">
        <v>#N/A</v>
      </c>
      <c r="AD30" s="3" t="e">
        <v>#N/A</v>
      </c>
      <c r="AE30" s="3" t="e">
        <v>#N/A</v>
      </c>
      <c r="AF30" s="3" t="e">
        <v>#N/A</v>
      </c>
      <c r="AG30" s="3" t="e">
        <v>#N/A</v>
      </c>
      <c r="AH30" s="3" t="e">
        <v>#N/A</v>
      </c>
      <c r="AI30" s="3" t="e">
        <v>#N/A</v>
      </c>
      <c r="AJ30" s="3" t="e">
        <v>#N/A</v>
      </c>
      <c r="AK30" s="3" t="e">
        <v>#N/A</v>
      </c>
      <c r="AL30" s="3" t="e">
        <v>#N/A</v>
      </c>
      <c r="AM30" s="3" t="e">
        <v>#N/A</v>
      </c>
      <c r="AN30" s="3" t="e">
        <v>#N/A</v>
      </c>
      <c r="AO30" s="3" t="e">
        <v>#N/A</v>
      </c>
      <c r="AP30" s="3" t="e">
        <v>#N/A</v>
      </c>
      <c r="AR30" s="3" t="e">
        <f t="shared" si="0"/>
        <v>#N/A</v>
      </c>
      <c r="AS30" s="3" t="e">
        <f t="shared" si="0"/>
        <v>#N/A</v>
      </c>
      <c r="AT30" s="3" t="e">
        <f t="shared" si="0"/>
        <v>#N/A</v>
      </c>
      <c r="AU30" s="3" t="e">
        <f t="shared" si="1"/>
        <v>#N/A</v>
      </c>
      <c r="AV30" s="3" t="e">
        <f t="shared" si="2"/>
        <v>#N/A</v>
      </c>
      <c r="AW30" s="3" t="e">
        <f t="shared" si="3"/>
        <v>#N/A</v>
      </c>
      <c r="AX30" s="3" t="e">
        <f t="shared" si="4"/>
        <v>#N/A</v>
      </c>
      <c r="AY30" s="3" t="e">
        <f t="shared" si="5"/>
        <v>#N/A</v>
      </c>
      <c r="AZ30" s="3" t="e">
        <f t="shared" si="6"/>
        <v>#N/A</v>
      </c>
      <c r="BA30" s="3" t="e">
        <f t="shared" si="7"/>
        <v>#N/A</v>
      </c>
      <c r="BB30" s="3" t="e">
        <f t="shared" si="8"/>
        <v>#N/A</v>
      </c>
    </row>
    <row r="31" spans="1:54" x14ac:dyDescent="0.25">
      <c r="A31" t="s">
        <v>642</v>
      </c>
      <c r="B31" s="21">
        <v>6</v>
      </c>
      <c r="C31" s="21">
        <v>5.59</v>
      </c>
      <c r="D31" s="35">
        <v>4</v>
      </c>
      <c r="E31" s="3" t="e">
        <v>#N/A</v>
      </c>
      <c r="F31" s="3" t="e">
        <v>#N/A</v>
      </c>
      <c r="G31" s="3">
        <v>141750</v>
      </c>
      <c r="H31" s="3">
        <v>145552</v>
      </c>
      <c r="I31" s="4" t="e">
        <v>#N/A</v>
      </c>
      <c r="J31" s="3"/>
      <c r="K31" s="3" t="e">
        <v>#N/A</v>
      </c>
      <c r="L31" s="3" t="e">
        <v>#N/A</v>
      </c>
      <c r="M31" s="3" t="e">
        <v>#N/A</v>
      </c>
      <c r="N31" s="3" t="e">
        <v>#N/A</v>
      </c>
      <c r="O31" s="3" t="e">
        <v>#N/A</v>
      </c>
      <c r="P31" s="3" t="e">
        <v>#N/A</v>
      </c>
      <c r="Q31" s="3" t="e">
        <v>#N/A</v>
      </c>
      <c r="R31" s="3" t="e">
        <v>#N/A</v>
      </c>
      <c r="S31" s="3" t="e">
        <v>#N/A</v>
      </c>
      <c r="T31" s="3" t="e">
        <v>#N/A</v>
      </c>
      <c r="U31" s="3" t="e">
        <v>#N/A</v>
      </c>
      <c r="V31" s="3" t="e">
        <v>#N/A</v>
      </c>
      <c r="W31" s="3" t="e">
        <v>#N/A</v>
      </c>
      <c r="X31" s="3" t="e">
        <v>#N/A</v>
      </c>
      <c r="Y31" s="3" t="e">
        <v>#N/A</v>
      </c>
      <c r="Z31" s="3" t="e">
        <v>#N/A</v>
      </c>
      <c r="AA31" s="3" t="e">
        <v>#N/A</v>
      </c>
      <c r="AB31" s="3" t="e">
        <v>#N/A</v>
      </c>
      <c r="AC31" s="3" t="e">
        <v>#N/A</v>
      </c>
      <c r="AD31" s="3" t="e">
        <v>#N/A</v>
      </c>
      <c r="AE31" s="3" t="e">
        <v>#N/A</v>
      </c>
      <c r="AF31" s="3" t="e">
        <v>#N/A</v>
      </c>
      <c r="AG31" s="3" t="e">
        <v>#N/A</v>
      </c>
      <c r="AH31" s="3" t="e">
        <v>#N/A</v>
      </c>
      <c r="AI31" s="3" t="e">
        <v>#N/A</v>
      </c>
      <c r="AJ31" s="3" t="e">
        <v>#N/A</v>
      </c>
      <c r="AK31" s="3" t="e">
        <v>#N/A</v>
      </c>
      <c r="AL31" s="3" t="e">
        <v>#N/A</v>
      </c>
      <c r="AM31" s="3" t="e">
        <v>#N/A</v>
      </c>
      <c r="AN31" s="3" t="e">
        <v>#N/A</v>
      </c>
      <c r="AO31" s="3" t="e">
        <v>#N/A</v>
      </c>
      <c r="AP31" s="3" t="e">
        <v>#N/A</v>
      </c>
      <c r="AR31" s="3" t="e">
        <f t="shared" si="0"/>
        <v>#N/A</v>
      </c>
      <c r="AS31" s="3" t="e">
        <f t="shared" si="0"/>
        <v>#N/A</v>
      </c>
      <c r="AT31" s="3" t="e">
        <f t="shared" si="0"/>
        <v>#N/A</v>
      </c>
      <c r="AU31" s="3" t="e">
        <f t="shared" si="1"/>
        <v>#N/A</v>
      </c>
      <c r="AV31" s="3" t="e">
        <f t="shared" si="2"/>
        <v>#N/A</v>
      </c>
      <c r="AW31" s="3" t="e">
        <f t="shared" si="3"/>
        <v>#N/A</v>
      </c>
      <c r="AX31" s="3" t="e">
        <f t="shared" si="4"/>
        <v>#N/A</v>
      </c>
      <c r="AY31" s="3" t="e">
        <f t="shared" si="5"/>
        <v>#N/A</v>
      </c>
      <c r="AZ31" s="3" t="e">
        <f t="shared" si="6"/>
        <v>#N/A</v>
      </c>
      <c r="BA31" s="3" t="e">
        <f t="shared" si="7"/>
        <v>#N/A</v>
      </c>
      <c r="BB31" s="3" t="e">
        <f t="shared" si="8"/>
        <v>#N/A</v>
      </c>
    </row>
    <row r="32" spans="1:54" x14ac:dyDescent="0.25">
      <c r="A32" t="s">
        <v>643</v>
      </c>
      <c r="B32" s="21">
        <v>5.91</v>
      </c>
      <c r="C32" s="21">
        <v>5.54</v>
      </c>
      <c r="D32" s="35">
        <v>4</v>
      </c>
      <c r="E32" s="3" t="e">
        <v>#N/A</v>
      </c>
      <c r="F32" s="3" t="e">
        <v>#N/A</v>
      </c>
      <c r="G32" s="3">
        <v>143117</v>
      </c>
      <c r="H32" s="3">
        <v>139369</v>
      </c>
      <c r="I32" s="4" t="e">
        <v>#N/A</v>
      </c>
      <c r="J32" s="3"/>
      <c r="K32" s="3" t="e">
        <v>#N/A</v>
      </c>
      <c r="L32" s="3" t="e">
        <v>#N/A</v>
      </c>
      <c r="M32" s="3" t="e">
        <v>#N/A</v>
      </c>
      <c r="N32" s="3" t="e">
        <v>#N/A</v>
      </c>
      <c r="O32" s="3" t="e">
        <v>#N/A</v>
      </c>
      <c r="P32" s="3" t="e">
        <v>#N/A</v>
      </c>
      <c r="Q32" s="3" t="e">
        <v>#N/A</v>
      </c>
      <c r="R32" s="3" t="e">
        <v>#N/A</v>
      </c>
      <c r="S32" s="3" t="e">
        <v>#N/A</v>
      </c>
      <c r="T32" s="3" t="e">
        <v>#N/A</v>
      </c>
      <c r="U32" s="3" t="e">
        <v>#N/A</v>
      </c>
      <c r="V32" s="3" t="e">
        <v>#N/A</v>
      </c>
      <c r="W32" s="3" t="e">
        <v>#N/A</v>
      </c>
      <c r="X32" s="3" t="e">
        <v>#N/A</v>
      </c>
      <c r="Y32" s="3" t="e">
        <v>#N/A</v>
      </c>
      <c r="Z32" s="3" t="e">
        <v>#N/A</v>
      </c>
      <c r="AA32" s="3" t="e">
        <v>#N/A</v>
      </c>
      <c r="AB32" s="3" t="e">
        <v>#N/A</v>
      </c>
      <c r="AC32" s="3" t="e">
        <v>#N/A</v>
      </c>
      <c r="AD32" s="3" t="e">
        <v>#N/A</v>
      </c>
      <c r="AE32" s="3" t="e">
        <v>#N/A</v>
      </c>
      <c r="AF32" s="3" t="e">
        <v>#N/A</v>
      </c>
      <c r="AG32" s="3" t="e">
        <v>#N/A</v>
      </c>
      <c r="AH32" s="3" t="e">
        <v>#N/A</v>
      </c>
      <c r="AI32" s="3" t="e">
        <v>#N/A</v>
      </c>
      <c r="AJ32" s="3" t="e">
        <v>#N/A</v>
      </c>
      <c r="AK32" s="3" t="e">
        <v>#N/A</v>
      </c>
      <c r="AL32" s="3" t="e">
        <v>#N/A</v>
      </c>
      <c r="AM32" s="3" t="e">
        <v>#N/A</v>
      </c>
      <c r="AN32" s="3" t="e">
        <v>#N/A</v>
      </c>
      <c r="AO32" s="3" t="e">
        <v>#N/A</v>
      </c>
      <c r="AP32" s="3" t="e">
        <v>#N/A</v>
      </c>
      <c r="AR32" s="3" t="e">
        <f t="shared" si="0"/>
        <v>#N/A</v>
      </c>
      <c r="AS32" s="3" t="e">
        <f t="shared" si="0"/>
        <v>#N/A</v>
      </c>
      <c r="AT32" s="3" t="e">
        <f t="shared" si="0"/>
        <v>#N/A</v>
      </c>
      <c r="AU32" s="3" t="e">
        <f t="shared" si="1"/>
        <v>#N/A</v>
      </c>
      <c r="AV32" s="3" t="e">
        <f t="shared" si="2"/>
        <v>#N/A</v>
      </c>
      <c r="AW32" s="3" t="e">
        <f t="shared" si="3"/>
        <v>#N/A</v>
      </c>
      <c r="AX32" s="3" t="e">
        <f t="shared" si="4"/>
        <v>#N/A</v>
      </c>
      <c r="AY32" s="3" t="e">
        <f t="shared" si="5"/>
        <v>#N/A</v>
      </c>
      <c r="AZ32" s="3" t="e">
        <f t="shared" si="6"/>
        <v>#N/A</v>
      </c>
      <c r="BA32" s="3" t="e">
        <f t="shared" si="7"/>
        <v>#N/A</v>
      </c>
      <c r="BB32" s="3" t="e">
        <f t="shared" si="8"/>
        <v>#N/A</v>
      </c>
    </row>
    <row r="33" spans="1:54" x14ac:dyDescent="0.25">
      <c r="A33" t="s">
        <v>644</v>
      </c>
      <c r="B33" s="21">
        <v>5.86</v>
      </c>
      <c r="C33" s="21">
        <v>5.54</v>
      </c>
      <c r="D33" s="35">
        <v>4</v>
      </c>
      <c r="E33" s="3" t="e">
        <v>#N/A</v>
      </c>
      <c r="F33" s="3" t="e">
        <v>#N/A</v>
      </c>
      <c r="G33" s="3">
        <v>143549</v>
      </c>
      <c r="H33" s="3">
        <v>138419</v>
      </c>
      <c r="I33" s="4" t="e">
        <v>#N/A</v>
      </c>
      <c r="J33" s="3"/>
      <c r="K33" s="3" t="e">
        <v>#N/A</v>
      </c>
      <c r="L33" s="3" t="e">
        <v>#N/A</v>
      </c>
      <c r="M33" s="3" t="e">
        <v>#N/A</v>
      </c>
      <c r="N33" s="3" t="e">
        <v>#N/A</v>
      </c>
      <c r="O33" s="3" t="e">
        <v>#N/A</v>
      </c>
      <c r="P33" s="3" t="e">
        <v>#N/A</v>
      </c>
      <c r="Q33" s="3" t="e">
        <v>#N/A</v>
      </c>
      <c r="R33" s="3" t="e">
        <v>#N/A</v>
      </c>
      <c r="S33" s="3" t="e">
        <v>#N/A</v>
      </c>
      <c r="T33" s="3" t="e">
        <v>#N/A</v>
      </c>
      <c r="U33" s="3" t="e">
        <v>#N/A</v>
      </c>
      <c r="V33" s="3" t="e">
        <v>#N/A</v>
      </c>
      <c r="W33" s="3" t="e">
        <v>#N/A</v>
      </c>
      <c r="X33" s="3" t="e">
        <v>#N/A</v>
      </c>
      <c r="Y33" s="3" t="e">
        <v>#N/A</v>
      </c>
      <c r="Z33" s="3" t="e">
        <v>#N/A</v>
      </c>
      <c r="AA33" s="3" t="e">
        <v>#N/A</v>
      </c>
      <c r="AB33" s="3" t="e">
        <v>#N/A</v>
      </c>
      <c r="AC33" s="3" t="e">
        <v>#N/A</v>
      </c>
      <c r="AD33" s="3" t="e">
        <v>#N/A</v>
      </c>
      <c r="AE33" s="3" t="e">
        <v>#N/A</v>
      </c>
      <c r="AF33" s="3" t="e">
        <v>#N/A</v>
      </c>
      <c r="AG33" s="3" t="e">
        <v>#N/A</v>
      </c>
      <c r="AH33" s="3" t="e">
        <v>#N/A</v>
      </c>
      <c r="AI33" s="3" t="e">
        <v>#N/A</v>
      </c>
      <c r="AJ33" s="3" t="e">
        <v>#N/A</v>
      </c>
      <c r="AK33" s="3" t="e">
        <v>#N/A</v>
      </c>
      <c r="AL33" s="3" t="e">
        <v>#N/A</v>
      </c>
      <c r="AM33" s="3" t="e">
        <v>#N/A</v>
      </c>
      <c r="AN33" s="3" t="e">
        <v>#N/A</v>
      </c>
      <c r="AO33" s="3" t="e">
        <v>#N/A</v>
      </c>
      <c r="AP33" s="3" t="e">
        <v>#N/A</v>
      </c>
      <c r="AR33" s="3" t="e">
        <f t="shared" si="0"/>
        <v>#N/A</v>
      </c>
      <c r="AS33" s="3" t="e">
        <f t="shared" si="0"/>
        <v>#N/A</v>
      </c>
      <c r="AT33" s="3" t="e">
        <f t="shared" si="0"/>
        <v>#N/A</v>
      </c>
      <c r="AU33" s="3" t="e">
        <f t="shared" si="1"/>
        <v>#N/A</v>
      </c>
      <c r="AV33" s="3" t="e">
        <f t="shared" si="2"/>
        <v>#N/A</v>
      </c>
      <c r="AW33" s="3" t="e">
        <f t="shared" si="3"/>
        <v>#N/A</v>
      </c>
      <c r="AX33" s="3" t="e">
        <f t="shared" si="4"/>
        <v>#N/A</v>
      </c>
      <c r="AY33" s="3" t="e">
        <f t="shared" si="5"/>
        <v>#N/A</v>
      </c>
      <c r="AZ33" s="3" t="e">
        <f t="shared" si="6"/>
        <v>#N/A</v>
      </c>
      <c r="BA33" s="3" t="e">
        <f t="shared" si="7"/>
        <v>#N/A</v>
      </c>
      <c r="BB33" s="3" t="e">
        <f t="shared" si="8"/>
        <v>#N/A</v>
      </c>
    </row>
    <row r="34" spans="1:54" x14ac:dyDescent="0.25">
      <c r="A34" t="s">
        <v>645</v>
      </c>
      <c r="B34" s="21">
        <v>5.88</v>
      </c>
      <c r="C34" s="21">
        <v>5.46</v>
      </c>
      <c r="D34" s="35">
        <v>4</v>
      </c>
      <c r="E34" s="3" t="e">
        <v>#N/A</v>
      </c>
      <c r="F34" s="3" t="e">
        <v>#N/A</v>
      </c>
      <c r="G34" s="3">
        <v>141643</v>
      </c>
      <c r="H34" s="3">
        <v>142279</v>
      </c>
      <c r="I34" s="4" t="e">
        <v>#N/A</v>
      </c>
      <c r="J34" s="3"/>
      <c r="K34" s="3" t="e">
        <v>#N/A</v>
      </c>
      <c r="L34" s="3" t="e">
        <v>#N/A</v>
      </c>
      <c r="M34" s="3" t="e">
        <v>#N/A</v>
      </c>
      <c r="N34" s="3" t="e">
        <v>#N/A</v>
      </c>
      <c r="O34" s="3" t="e">
        <v>#N/A</v>
      </c>
      <c r="P34" s="3" t="e">
        <v>#N/A</v>
      </c>
      <c r="Q34" s="3" t="e">
        <v>#N/A</v>
      </c>
      <c r="R34" s="3" t="e">
        <v>#N/A</v>
      </c>
      <c r="S34" s="3" t="e">
        <v>#N/A</v>
      </c>
      <c r="T34" s="3" t="e">
        <v>#N/A</v>
      </c>
      <c r="U34" s="3" t="e">
        <v>#N/A</v>
      </c>
      <c r="V34" s="3" t="e">
        <v>#N/A</v>
      </c>
      <c r="W34" s="3" t="e">
        <v>#N/A</v>
      </c>
      <c r="X34" s="3" t="e">
        <v>#N/A</v>
      </c>
      <c r="Y34" s="3" t="e">
        <v>#N/A</v>
      </c>
      <c r="Z34" s="3" t="e">
        <v>#N/A</v>
      </c>
      <c r="AA34" s="3" t="e">
        <v>#N/A</v>
      </c>
      <c r="AB34" s="3" t="e">
        <v>#N/A</v>
      </c>
      <c r="AC34" s="3" t="e">
        <v>#N/A</v>
      </c>
      <c r="AD34" s="3" t="e">
        <v>#N/A</v>
      </c>
      <c r="AE34" s="3" t="e">
        <v>#N/A</v>
      </c>
      <c r="AF34" s="3" t="e">
        <v>#N/A</v>
      </c>
      <c r="AG34" s="3" t="e">
        <v>#N/A</v>
      </c>
      <c r="AH34" s="3" t="e">
        <v>#N/A</v>
      </c>
      <c r="AI34" s="3" t="e">
        <v>#N/A</v>
      </c>
      <c r="AJ34" s="3" t="e">
        <v>#N/A</v>
      </c>
      <c r="AK34" s="3" t="e">
        <v>#N/A</v>
      </c>
      <c r="AL34" s="3" t="e">
        <v>#N/A</v>
      </c>
      <c r="AM34" s="3" t="e">
        <v>#N/A</v>
      </c>
      <c r="AN34" s="3" t="e">
        <v>#N/A</v>
      </c>
      <c r="AO34" s="3" t="e">
        <v>#N/A</v>
      </c>
      <c r="AP34" s="3" t="e">
        <v>#N/A</v>
      </c>
      <c r="AR34" s="3" t="e">
        <f t="shared" si="0"/>
        <v>#N/A</v>
      </c>
      <c r="AS34" s="3" t="e">
        <f t="shared" si="0"/>
        <v>#N/A</v>
      </c>
      <c r="AT34" s="3" t="e">
        <f t="shared" si="0"/>
        <v>#N/A</v>
      </c>
      <c r="AU34" s="3" t="e">
        <f t="shared" si="1"/>
        <v>#N/A</v>
      </c>
      <c r="AV34" s="3" t="e">
        <f t="shared" si="2"/>
        <v>#N/A</v>
      </c>
      <c r="AW34" s="3" t="e">
        <f t="shared" si="3"/>
        <v>#N/A</v>
      </c>
      <c r="AX34" s="3" t="e">
        <f t="shared" si="4"/>
        <v>#N/A</v>
      </c>
      <c r="AY34" s="3" t="e">
        <f t="shared" si="5"/>
        <v>#N/A</v>
      </c>
      <c r="AZ34" s="3" t="e">
        <f t="shared" si="6"/>
        <v>#N/A</v>
      </c>
      <c r="BA34" s="3" t="e">
        <f t="shared" si="7"/>
        <v>#N/A</v>
      </c>
      <c r="BB34" s="3" t="e">
        <f t="shared" si="8"/>
        <v>#N/A</v>
      </c>
    </row>
    <row r="35" spans="1:54" x14ac:dyDescent="0.25">
      <c r="A35" t="s">
        <v>646</v>
      </c>
      <c r="B35" s="21">
        <v>5.88</v>
      </c>
      <c r="C35" s="21">
        <v>5.42</v>
      </c>
      <c r="D35" s="35">
        <v>4</v>
      </c>
      <c r="E35" s="3" t="e">
        <v>#N/A</v>
      </c>
      <c r="F35" s="3" t="e">
        <v>#N/A</v>
      </c>
      <c r="G35" s="3">
        <v>142490</v>
      </c>
      <c r="H35" s="3">
        <v>141498</v>
      </c>
      <c r="I35" s="4" t="e">
        <v>#N/A</v>
      </c>
      <c r="J35" s="3"/>
      <c r="K35" s="3" t="e">
        <v>#N/A</v>
      </c>
      <c r="L35" s="3" t="e">
        <v>#N/A</v>
      </c>
      <c r="M35" s="3" t="e">
        <v>#N/A</v>
      </c>
      <c r="N35" s="3" t="e">
        <v>#N/A</v>
      </c>
      <c r="O35" s="3" t="e">
        <v>#N/A</v>
      </c>
      <c r="P35" s="3" t="e">
        <v>#N/A</v>
      </c>
      <c r="Q35" s="3" t="e">
        <v>#N/A</v>
      </c>
      <c r="R35" s="3" t="e">
        <v>#N/A</v>
      </c>
      <c r="S35" s="3" t="e">
        <v>#N/A</v>
      </c>
      <c r="T35" s="3" t="e">
        <v>#N/A</v>
      </c>
      <c r="U35" s="3" t="e">
        <v>#N/A</v>
      </c>
      <c r="V35" s="3" t="e">
        <v>#N/A</v>
      </c>
      <c r="W35" s="3" t="e">
        <v>#N/A</v>
      </c>
      <c r="X35" s="3" t="e">
        <v>#N/A</v>
      </c>
      <c r="Y35" s="3" t="e">
        <v>#N/A</v>
      </c>
      <c r="Z35" s="3" t="e">
        <v>#N/A</v>
      </c>
      <c r="AA35" s="3" t="e">
        <v>#N/A</v>
      </c>
      <c r="AB35" s="3" t="e">
        <v>#N/A</v>
      </c>
      <c r="AC35" s="3" t="e">
        <v>#N/A</v>
      </c>
      <c r="AD35" s="3" t="e">
        <v>#N/A</v>
      </c>
      <c r="AE35" s="3" t="e">
        <v>#N/A</v>
      </c>
      <c r="AF35" s="3" t="e">
        <v>#N/A</v>
      </c>
      <c r="AG35" s="3" t="e">
        <v>#N/A</v>
      </c>
      <c r="AH35" s="3" t="e">
        <v>#N/A</v>
      </c>
      <c r="AI35" s="3" t="e">
        <v>#N/A</v>
      </c>
      <c r="AJ35" s="3" t="e">
        <v>#N/A</v>
      </c>
      <c r="AK35" s="3" t="e">
        <v>#N/A</v>
      </c>
      <c r="AL35" s="3" t="e">
        <v>#N/A</v>
      </c>
      <c r="AM35" s="3" t="e">
        <v>#N/A</v>
      </c>
      <c r="AN35" s="3" t="e">
        <v>#N/A</v>
      </c>
      <c r="AO35" s="3" t="e">
        <v>#N/A</v>
      </c>
      <c r="AP35" s="3" t="e">
        <v>#N/A</v>
      </c>
      <c r="AR35" s="3" t="e">
        <f t="shared" si="0"/>
        <v>#N/A</v>
      </c>
      <c r="AS35" s="3" t="e">
        <f t="shared" si="0"/>
        <v>#N/A</v>
      </c>
      <c r="AT35" s="3" t="e">
        <f t="shared" si="0"/>
        <v>#N/A</v>
      </c>
      <c r="AU35" s="3" t="e">
        <f t="shared" si="1"/>
        <v>#N/A</v>
      </c>
      <c r="AV35" s="3" t="e">
        <f t="shared" si="2"/>
        <v>#N/A</v>
      </c>
      <c r="AW35" s="3" t="e">
        <f t="shared" si="3"/>
        <v>#N/A</v>
      </c>
      <c r="AX35" s="3" t="e">
        <f t="shared" si="4"/>
        <v>#N/A</v>
      </c>
      <c r="AY35" s="3" t="e">
        <f t="shared" si="5"/>
        <v>#N/A</v>
      </c>
      <c r="AZ35" s="3" t="e">
        <f t="shared" si="6"/>
        <v>#N/A</v>
      </c>
      <c r="BA35" s="3" t="e">
        <f t="shared" si="7"/>
        <v>#N/A</v>
      </c>
      <c r="BB35" s="3" t="e">
        <f t="shared" si="8"/>
        <v>#N/A</v>
      </c>
    </row>
    <row r="36" spans="1:54" x14ac:dyDescent="0.25">
      <c r="A36" t="s">
        <v>647</v>
      </c>
      <c r="B36" s="21">
        <v>5.89</v>
      </c>
      <c r="C36" s="21">
        <v>5.44</v>
      </c>
      <c r="D36" s="35">
        <v>4</v>
      </c>
      <c r="E36" s="3" t="e">
        <v>#N/A</v>
      </c>
      <c r="F36" s="3" t="e">
        <v>#N/A</v>
      </c>
      <c r="G36" s="3">
        <v>142915</v>
      </c>
      <c r="H36" s="3">
        <v>143942</v>
      </c>
      <c r="I36" s="4" t="e">
        <v>#N/A</v>
      </c>
      <c r="J36" s="3"/>
      <c r="K36" s="3" t="e">
        <v>#N/A</v>
      </c>
      <c r="L36" s="3" t="e">
        <v>#N/A</v>
      </c>
      <c r="M36" s="3" t="e">
        <v>#N/A</v>
      </c>
      <c r="N36" s="3" t="e">
        <v>#N/A</v>
      </c>
      <c r="O36" s="3" t="e">
        <v>#N/A</v>
      </c>
      <c r="P36" s="3" t="e">
        <v>#N/A</v>
      </c>
      <c r="Q36" s="3" t="e">
        <v>#N/A</v>
      </c>
      <c r="R36" s="3" t="e">
        <v>#N/A</v>
      </c>
      <c r="S36" s="3" t="e">
        <v>#N/A</v>
      </c>
      <c r="T36" s="3" t="e">
        <v>#N/A</v>
      </c>
      <c r="U36" s="3" t="e">
        <v>#N/A</v>
      </c>
      <c r="V36" s="3" t="e">
        <v>#N/A</v>
      </c>
      <c r="W36" s="3" t="e">
        <v>#N/A</v>
      </c>
      <c r="X36" s="3" t="e">
        <v>#N/A</v>
      </c>
      <c r="Y36" s="3" t="e">
        <v>#N/A</v>
      </c>
      <c r="Z36" s="3" t="e">
        <v>#N/A</v>
      </c>
      <c r="AA36" s="3" t="e">
        <v>#N/A</v>
      </c>
      <c r="AB36" s="3" t="e">
        <v>#N/A</v>
      </c>
      <c r="AC36" s="3" t="e">
        <v>#N/A</v>
      </c>
      <c r="AD36" s="3" t="e">
        <v>#N/A</v>
      </c>
      <c r="AE36" s="3" t="e">
        <v>#N/A</v>
      </c>
      <c r="AF36" s="3" t="e">
        <v>#N/A</v>
      </c>
      <c r="AG36" s="3" t="e">
        <v>#N/A</v>
      </c>
      <c r="AH36" s="3" t="e">
        <v>#N/A</v>
      </c>
      <c r="AI36" s="3" t="e">
        <v>#N/A</v>
      </c>
      <c r="AJ36" s="3" t="e">
        <v>#N/A</v>
      </c>
      <c r="AK36" s="3" t="e">
        <v>#N/A</v>
      </c>
      <c r="AL36" s="3" t="e">
        <v>#N/A</v>
      </c>
      <c r="AM36" s="3" t="e">
        <v>#N/A</v>
      </c>
      <c r="AN36" s="3" t="e">
        <v>#N/A</v>
      </c>
      <c r="AO36" s="3" t="e">
        <v>#N/A</v>
      </c>
      <c r="AP36" s="3" t="e">
        <v>#N/A</v>
      </c>
      <c r="AR36" s="3" t="e">
        <f t="shared" si="0"/>
        <v>#N/A</v>
      </c>
      <c r="AS36" s="3" t="e">
        <f t="shared" si="0"/>
        <v>#N/A</v>
      </c>
      <c r="AT36" s="3" t="e">
        <f t="shared" si="0"/>
        <v>#N/A</v>
      </c>
      <c r="AU36" s="3" t="e">
        <f t="shared" si="1"/>
        <v>#N/A</v>
      </c>
      <c r="AV36" s="3" t="e">
        <f t="shared" si="2"/>
        <v>#N/A</v>
      </c>
      <c r="AW36" s="3" t="e">
        <f t="shared" si="3"/>
        <v>#N/A</v>
      </c>
      <c r="AX36" s="3" t="e">
        <f t="shared" si="4"/>
        <v>#N/A</v>
      </c>
      <c r="AY36" s="3" t="e">
        <f t="shared" si="5"/>
        <v>#N/A</v>
      </c>
      <c r="AZ36" s="3" t="e">
        <f t="shared" si="6"/>
        <v>#N/A</v>
      </c>
      <c r="BA36" s="3" t="e">
        <f t="shared" si="7"/>
        <v>#N/A</v>
      </c>
      <c r="BB36" s="3" t="e">
        <f t="shared" si="8"/>
        <v>#N/A</v>
      </c>
    </row>
    <row r="37" spans="1:54" x14ac:dyDescent="0.25">
      <c r="A37" t="s">
        <v>648</v>
      </c>
      <c r="B37" s="21">
        <v>5.88</v>
      </c>
      <c r="C37" s="21">
        <v>5.45</v>
      </c>
      <c r="D37" s="35">
        <v>4</v>
      </c>
      <c r="E37" s="3" t="e">
        <v>#N/A</v>
      </c>
      <c r="F37" s="3" t="e">
        <v>#N/A</v>
      </c>
      <c r="G37" s="3">
        <v>144191</v>
      </c>
      <c r="H37" s="3">
        <v>146781</v>
      </c>
      <c r="I37" s="4" t="e">
        <v>#N/A</v>
      </c>
      <c r="J37" s="3"/>
      <c r="K37" s="3" t="e">
        <v>#N/A</v>
      </c>
      <c r="L37" s="3" t="e">
        <v>#N/A</v>
      </c>
      <c r="M37" s="3" t="e">
        <v>#N/A</v>
      </c>
      <c r="N37" s="3" t="e">
        <v>#N/A</v>
      </c>
      <c r="O37" s="3" t="e">
        <v>#N/A</v>
      </c>
      <c r="P37" s="3" t="e">
        <v>#N/A</v>
      </c>
      <c r="Q37" s="3" t="e">
        <v>#N/A</v>
      </c>
      <c r="R37" s="3" t="e">
        <v>#N/A</v>
      </c>
      <c r="S37" s="3" t="e">
        <v>#N/A</v>
      </c>
      <c r="T37" s="3" t="e">
        <v>#N/A</v>
      </c>
      <c r="U37" s="3" t="e">
        <v>#N/A</v>
      </c>
      <c r="V37" s="3" t="e">
        <v>#N/A</v>
      </c>
      <c r="W37" s="3" t="e">
        <v>#N/A</v>
      </c>
      <c r="X37" s="3" t="e">
        <v>#N/A</v>
      </c>
      <c r="Y37" s="3" t="e">
        <v>#N/A</v>
      </c>
      <c r="Z37" s="3" t="e">
        <v>#N/A</v>
      </c>
      <c r="AA37" s="3" t="e">
        <v>#N/A</v>
      </c>
      <c r="AB37" s="3" t="e">
        <v>#N/A</v>
      </c>
      <c r="AC37" s="3" t="e">
        <v>#N/A</v>
      </c>
      <c r="AD37" s="3" t="e">
        <v>#N/A</v>
      </c>
      <c r="AE37" s="3" t="e">
        <v>#N/A</v>
      </c>
      <c r="AF37" s="3" t="e">
        <v>#N/A</v>
      </c>
      <c r="AG37" s="3" t="e">
        <v>#N/A</v>
      </c>
      <c r="AH37" s="3" t="e">
        <v>#N/A</v>
      </c>
      <c r="AI37" s="3" t="e">
        <v>#N/A</v>
      </c>
      <c r="AJ37" s="3" t="e">
        <v>#N/A</v>
      </c>
      <c r="AK37" s="3" t="e">
        <v>#N/A</v>
      </c>
      <c r="AL37" s="3" t="e">
        <v>#N/A</v>
      </c>
      <c r="AM37" s="3" t="e">
        <v>#N/A</v>
      </c>
      <c r="AN37" s="3" t="e">
        <v>#N/A</v>
      </c>
      <c r="AO37" s="3" t="e">
        <v>#N/A</v>
      </c>
      <c r="AP37" s="3" t="e">
        <v>#N/A</v>
      </c>
      <c r="AR37" s="3" t="e">
        <f t="shared" si="0"/>
        <v>#N/A</v>
      </c>
      <c r="AS37" s="3" t="e">
        <f t="shared" si="0"/>
        <v>#N/A</v>
      </c>
      <c r="AT37" s="3" t="e">
        <f t="shared" si="0"/>
        <v>#N/A</v>
      </c>
      <c r="AU37" s="3" t="e">
        <f t="shared" si="1"/>
        <v>#N/A</v>
      </c>
      <c r="AV37" s="3" t="e">
        <f t="shared" si="2"/>
        <v>#N/A</v>
      </c>
      <c r="AW37" s="3" t="e">
        <f t="shared" si="3"/>
        <v>#N/A</v>
      </c>
      <c r="AX37" s="3" t="e">
        <f t="shared" si="4"/>
        <v>#N/A</v>
      </c>
      <c r="AY37" s="3" t="e">
        <f t="shared" si="5"/>
        <v>#N/A</v>
      </c>
      <c r="AZ37" s="3" t="e">
        <f t="shared" si="6"/>
        <v>#N/A</v>
      </c>
      <c r="BA37" s="3" t="e">
        <f t="shared" si="7"/>
        <v>#N/A</v>
      </c>
      <c r="BB37" s="3" t="e">
        <f t="shared" si="8"/>
        <v>#N/A</v>
      </c>
    </row>
    <row r="38" spans="1:54" x14ac:dyDescent="0.25">
      <c r="A38" t="s">
        <v>649</v>
      </c>
      <c r="B38" s="21">
        <v>5.85</v>
      </c>
      <c r="C38" s="21">
        <v>5.32</v>
      </c>
      <c r="D38" s="35">
        <v>4</v>
      </c>
      <c r="E38" s="3" t="e">
        <v>#N/A</v>
      </c>
      <c r="F38" s="3" t="e">
        <v>#N/A</v>
      </c>
      <c r="G38" s="3">
        <v>144384</v>
      </c>
      <c r="H38" s="3">
        <v>144327</v>
      </c>
      <c r="I38" s="4" t="e">
        <v>#N/A</v>
      </c>
      <c r="J38" s="3"/>
      <c r="K38" s="3" t="e">
        <v>#N/A</v>
      </c>
      <c r="L38" s="3" t="e">
        <v>#N/A</v>
      </c>
      <c r="M38" s="3" t="e">
        <v>#N/A</v>
      </c>
      <c r="N38" s="3" t="e">
        <v>#N/A</v>
      </c>
      <c r="O38" s="3" t="e">
        <v>#N/A</v>
      </c>
      <c r="P38" s="3" t="e">
        <v>#N/A</v>
      </c>
      <c r="Q38" s="3" t="e">
        <v>#N/A</v>
      </c>
      <c r="R38" s="3" t="e">
        <v>#N/A</v>
      </c>
      <c r="S38" s="3" t="e">
        <v>#N/A</v>
      </c>
      <c r="T38" s="3" t="e">
        <v>#N/A</v>
      </c>
      <c r="U38" s="3" t="e">
        <v>#N/A</v>
      </c>
      <c r="V38" s="3" t="e">
        <v>#N/A</v>
      </c>
      <c r="W38" s="3" t="e">
        <v>#N/A</v>
      </c>
      <c r="X38" s="3" t="e">
        <v>#N/A</v>
      </c>
      <c r="Y38" s="3" t="e">
        <v>#N/A</v>
      </c>
      <c r="Z38" s="3" t="e">
        <v>#N/A</v>
      </c>
      <c r="AA38" s="3" t="e">
        <v>#N/A</v>
      </c>
      <c r="AB38" s="3" t="e">
        <v>#N/A</v>
      </c>
      <c r="AC38" s="3" t="e">
        <v>#N/A</v>
      </c>
      <c r="AD38" s="3" t="e">
        <v>#N/A</v>
      </c>
      <c r="AE38" s="3" t="e">
        <v>#N/A</v>
      </c>
      <c r="AF38" s="3" t="e">
        <v>#N/A</v>
      </c>
      <c r="AG38" s="3" t="e">
        <v>#N/A</v>
      </c>
      <c r="AH38" s="3" t="e">
        <v>#N/A</v>
      </c>
      <c r="AI38" s="3" t="e">
        <v>#N/A</v>
      </c>
      <c r="AJ38" s="3" t="e">
        <v>#N/A</v>
      </c>
      <c r="AK38" s="3" t="e">
        <v>#N/A</v>
      </c>
      <c r="AL38" s="3" t="e">
        <v>#N/A</v>
      </c>
      <c r="AM38" s="3" t="e">
        <v>#N/A</v>
      </c>
      <c r="AN38" s="3" t="e">
        <v>#N/A</v>
      </c>
      <c r="AO38" s="3" t="e">
        <v>#N/A</v>
      </c>
      <c r="AP38" s="3" t="e">
        <v>#N/A</v>
      </c>
      <c r="AR38" s="3" t="e">
        <f t="shared" si="0"/>
        <v>#N/A</v>
      </c>
      <c r="AS38" s="3" t="e">
        <f t="shared" si="0"/>
        <v>#N/A</v>
      </c>
      <c r="AT38" s="3" t="e">
        <f t="shared" si="0"/>
        <v>#N/A</v>
      </c>
      <c r="AU38" s="3" t="e">
        <f t="shared" si="1"/>
        <v>#N/A</v>
      </c>
      <c r="AV38" s="3" t="e">
        <f t="shared" si="2"/>
        <v>#N/A</v>
      </c>
      <c r="AW38" s="3" t="e">
        <f t="shared" si="3"/>
        <v>#N/A</v>
      </c>
      <c r="AX38" s="3" t="e">
        <f t="shared" si="4"/>
        <v>#N/A</v>
      </c>
      <c r="AY38" s="3" t="e">
        <f t="shared" si="5"/>
        <v>#N/A</v>
      </c>
      <c r="AZ38" s="3" t="e">
        <f t="shared" si="6"/>
        <v>#N/A</v>
      </c>
      <c r="BA38" s="3" t="e">
        <f t="shared" si="7"/>
        <v>#N/A</v>
      </c>
      <c r="BB38" s="3" t="e">
        <f t="shared" si="8"/>
        <v>#N/A</v>
      </c>
    </row>
    <row r="39" spans="1:54" x14ac:dyDescent="0.25">
      <c r="A39" t="s">
        <v>650</v>
      </c>
      <c r="B39" s="21">
        <v>5.86</v>
      </c>
      <c r="C39" s="21">
        <v>5.32</v>
      </c>
      <c r="D39" s="35">
        <v>4</v>
      </c>
      <c r="E39" s="3" t="e">
        <v>#N/A</v>
      </c>
      <c r="F39" s="3" t="e">
        <v>#N/A</v>
      </c>
      <c r="G39" s="3">
        <v>145667</v>
      </c>
      <c r="H39" s="3">
        <v>144878</v>
      </c>
      <c r="I39" s="4" t="e">
        <v>#N/A</v>
      </c>
      <c r="J39" s="3"/>
      <c r="K39" s="3" t="e">
        <v>#N/A</v>
      </c>
      <c r="L39" s="3" t="e">
        <v>#N/A</v>
      </c>
      <c r="M39" s="3" t="e">
        <v>#N/A</v>
      </c>
      <c r="N39" s="3" t="e">
        <v>#N/A</v>
      </c>
      <c r="O39" s="3" t="e">
        <v>#N/A</v>
      </c>
      <c r="P39" s="3" t="e">
        <v>#N/A</v>
      </c>
      <c r="Q39" s="3" t="e">
        <v>#N/A</v>
      </c>
      <c r="R39" s="3" t="e">
        <v>#N/A</v>
      </c>
      <c r="S39" s="3" t="e">
        <v>#N/A</v>
      </c>
      <c r="T39" s="3" t="e">
        <v>#N/A</v>
      </c>
      <c r="U39" s="3" t="e">
        <v>#N/A</v>
      </c>
      <c r="V39" s="3" t="e">
        <v>#N/A</v>
      </c>
      <c r="W39" s="3" t="e">
        <v>#N/A</v>
      </c>
      <c r="X39" s="3" t="e">
        <v>#N/A</v>
      </c>
      <c r="Y39" s="3" t="e">
        <v>#N/A</v>
      </c>
      <c r="Z39" s="3" t="e">
        <v>#N/A</v>
      </c>
      <c r="AA39" s="3" t="e">
        <v>#N/A</v>
      </c>
      <c r="AB39" s="3" t="e">
        <v>#N/A</v>
      </c>
      <c r="AC39" s="3" t="e">
        <v>#N/A</v>
      </c>
      <c r="AD39" s="3" t="e">
        <v>#N/A</v>
      </c>
      <c r="AE39" s="3" t="e">
        <v>#N/A</v>
      </c>
      <c r="AF39" s="3" t="e">
        <v>#N/A</v>
      </c>
      <c r="AG39" s="3" t="e">
        <v>#N/A</v>
      </c>
      <c r="AH39" s="3" t="e">
        <v>#N/A</v>
      </c>
      <c r="AI39" s="3" t="e">
        <v>#N/A</v>
      </c>
      <c r="AJ39" s="3" t="e">
        <v>#N/A</v>
      </c>
      <c r="AK39" s="3" t="e">
        <v>#N/A</v>
      </c>
      <c r="AL39" s="3" t="e">
        <v>#N/A</v>
      </c>
      <c r="AM39" s="3" t="e">
        <v>#N/A</v>
      </c>
      <c r="AN39" s="3" t="e">
        <v>#N/A</v>
      </c>
      <c r="AO39" s="3" t="e">
        <v>#N/A</v>
      </c>
      <c r="AP39" s="3" t="e">
        <v>#N/A</v>
      </c>
      <c r="AR39" s="3" t="e">
        <f t="shared" si="0"/>
        <v>#N/A</v>
      </c>
      <c r="AS39" s="3" t="e">
        <f t="shared" si="0"/>
        <v>#N/A</v>
      </c>
      <c r="AT39" s="3" t="e">
        <f t="shared" si="0"/>
        <v>#N/A</v>
      </c>
      <c r="AU39" s="3" t="e">
        <f t="shared" si="1"/>
        <v>#N/A</v>
      </c>
      <c r="AV39" s="3" t="e">
        <f t="shared" si="2"/>
        <v>#N/A</v>
      </c>
      <c r="AW39" s="3" t="e">
        <f t="shared" si="3"/>
        <v>#N/A</v>
      </c>
      <c r="AX39" s="3" t="e">
        <f t="shared" si="4"/>
        <v>#N/A</v>
      </c>
      <c r="AY39" s="3" t="e">
        <f t="shared" si="5"/>
        <v>#N/A</v>
      </c>
      <c r="AZ39" s="3" t="e">
        <f t="shared" si="6"/>
        <v>#N/A</v>
      </c>
      <c r="BA39" s="3" t="e">
        <f t="shared" si="7"/>
        <v>#N/A</v>
      </c>
      <c r="BB39" s="3" t="e">
        <f t="shared" si="8"/>
        <v>#N/A</v>
      </c>
    </row>
    <row r="40" spans="1:54" x14ac:dyDescent="0.25">
      <c r="A40" t="s">
        <v>651</v>
      </c>
      <c r="B40" s="21">
        <v>5.86</v>
      </c>
      <c r="C40" s="21">
        <v>5.3</v>
      </c>
      <c r="D40" s="35">
        <v>4</v>
      </c>
      <c r="E40" s="3" t="e">
        <v>#N/A</v>
      </c>
      <c r="F40" s="3" t="e">
        <v>#N/A</v>
      </c>
      <c r="G40" s="3">
        <v>146798</v>
      </c>
      <c r="H40" s="3">
        <v>147686</v>
      </c>
      <c r="I40" s="4" t="e">
        <v>#N/A</v>
      </c>
      <c r="J40" s="3"/>
      <c r="K40" s="3" t="e">
        <v>#N/A</v>
      </c>
      <c r="L40" s="3" t="e">
        <v>#N/A</v>
      </c>
      <c r="M40" s="3" t="e">
        <v>#N/A</v>
      </c>
      <c r="N40" s="3" t="e">
        <v>#N/A</v>
      </c>
      <c r="O40" s="3" t="e">
        <v>#N/A</v>
      </c>
      <c r="P40" s="3" t="e">
        <v>#N/A</v>
      </c>
      <c r="Q40" s="3" t="e">
        <v>#N/A</v>
      </c>
      <c r="R40" s="3" t="e">
        <v>#N/A</v>
      </c>
      <c r="S40" s="3" t="e">
        <v>#N/A</v>
      </c>
      <c r="T40" s="3" t="e">
        <v>#N/A</v>
      </c>
      <c r="U40" s="3" t="e">
        <v>#N/A</v>
      </c>
      <c r="V40" s="3" t="e">
        <v>#N/A</v>
      </c>
      <c r="W40" s="3" t="e">
        <v>#N/A</v>
      </c>
      <c r="X40" s="3" t="e">
        <v>#N/A</v>
      </c>
      <c r="Y40" s="3" t="e">
        <v>#N/A</v>
      </c>
      <c r="Z40" s="3" t="e">
        <v>#N/A</v>
      </c>
      <c r="AA40" s="3" t="e">
        <v>#N/A</v>
      </c>
      <c r="AB40" s="3" t="e">
        <v>#N/A</v>
      </c>
      <c r="AC40" s="3" t="e">
        <v>#N/A</v>
      </c>
      <c r="AD40" s="3" t="e">
        <v>#N/A</v>
      </c>
      <c r="AE40" s="3" t="e">
        <v>#N/A</v>
      </c>
      <c r="AF40" s="3" t="e">
        <v>#N/A</v>
      </c>
      <c r="AG40" s="3" t="e">
        <v>#N/A</v>
      </c>
      <c r="AH40" s="3" t="e">
        <v>#N/A</v>
      </c>
      <c r="AI40" s="3" t="e">
        <v>#N/A</v>
      </c>
      <c r="AJ40" s="3" t="e">
        <v>#N/A</v>
      </c>
      <c r="AK40" s="3" t="e">
        <v>#N/A</v>
      </c>
      <c r="AL40" s="3" t="e">
        <v>#N/A</v>
      </c>
      <c r="AM40" s="3" t="e">
        <v>#N/A</v>
      </c>
      <c r="AN40" s="3" t="e">
        <v>#N/A</v>
      </c>
      <c r="AO40" s="3" t="e">
        <v>#N/A</v>
      </c>
      <c r="AP40" s="3" t="e">
        <v>#N/A</v>
      </c>
      <c r="AR40" s="3" t="e">
        <f t="shared" si="0"/>
        <v>#N/A</v>
      </c>
      <c r="AS40" s="3" t="e">
        <f t="shared" si="0"/>
        <v>#N/A</v>
      </c>
      <c r="AT40" s="3" t="e">
        <f t="shared" si="0"/>
        <v>#N/A</v>
      </c>
      <c r="AU40" s="3" t="e">
        <f t="shared" si="1"/>
        <v>#N/A</v>
      </c>
      <c r="AV40" s="3" t="e">
        <f t="shared" si="2"/>
        <v>#N/A</v>
      </c>
      <c r="AW40" s="3" t="e">
        <f t="shared" si="3"/>
        <v>#N/A</v>
      </c>
      <c r="AX40" s="3" t="e">
        <f t="shared" si="4"/>
        <v>#N/A</v>
      </c>
      <c r="AY40" s="3" t="e">
        <f t="shared" si="5"/>
        <v>#N/A</v>
      </c>
      <c r="AZ40" s="3" t="e">
        <f t="shared" si="6"/>
        <v>#N/A</v>
      </c>
      <c r="BA40" s="3" t="e">
        <f t="shared" si="7"/>
        <v>#N/A</v>
      </c>
      <c r="BB40" s="3" t="e">
        <f t="shared" si="8"/>
        <v>#N/A</v>
      </c>
    </row>
    <row r="41" spans="1:54" x14ac:dyDescent="0.25">
      <c r="A41" t="s">
        <v>652</v>
      </c>
      <c r="B41" s="21">
        <v>5.86</v>
      </c>
      <c r="C41" s="21">
        <v>5.31</v>
      </c>
      <c r="D41" s="35">
        <v>4</v>
      </c>
      <c r="E41" s="3" t="e">
        <v>#N/A</v>
      </c>
      <c r="F41" s="3" t="e">
        <v>#N/A</v>
      </c>
      <c r="G41" s="3">
        <v>148180</v>
      </c>
      <c r="H41" s="3">
        <v>147191</v>
      </c>
      <c r="I41" s="4" t="e">
        <v>#N/A</v>
      </c>
      <c r="J41" s="3"/>
      <c r="K41" s="3" t="e">
        <v>#N/A</v>
      </c>
      <c r="L41" s="3" t="e">
        <v>#N/A</v>
      </c>
      <c r="M41" s="3" t="e">
        <v>#N/A</v>
      </c>
      <c r="N41" s="3" t="e">
        <v>#N/A</v>
      </c>
      <c r="O41" s="3" t="e">
        <v>#N/A</v>
      </c>
      <c r="P41" s="3" t="e">
        <v>#N/A</v>
      </c>
      <c r="Q41" s="3" t="e">
        <v>#N/A</v>
      </c>
      <c r="R41" s="3" t="e">
        <v>#N/A</v>
      </c>
      <c r="S41" s="3" t="e">
        <v>#N/A</v>
      </c>
      <c r="T41" s="3" t="e">
        <v>#N/A</v>
      </c>
      <c r="U41" s="3" t="e">
        <v>#N/A</v>
      </c>
      <c r="V41" s="3" t="e">
        <v>#N/A</v>
      </c>
      <c r="W41" s="3" t="e">
        <v>#N/A</v>
      </c>
      <c r="X41" s="3" t="e">
        <v>#N/A</v>
      </c>
      <c r="Y41" s="3" t="e">
        <v>#N/A</v>
      </c>
      <c r="Z41" s="3" t="e">
        <v>#N/A</v>
      </c>
      <c r="AA41" s="3" t="e">
        <v>#N/A</v>
      </c>
      <c r="AB41" s="3" t="e">
        <v>#N/A</v>
      </c>
      <c r="AC41" s="3" t="e">
        <v>#N/A</v>
      </c>
      <c r="AD41" s="3" t="e">
        <v>#N/A</v>
      </c>
      <c r="AE41" s="3" t="e">
        <v>#N/A</v>
      </c>
      <c r="AF41" s="3" t="e">
        <v>#N/A</v>
      </c>
      <c r="AG41" s="3" t="e">
        <v>#N/A</v>
      </c>
      <c r="AH41" s="3" t="e">
        <v>#N/A</v>
      </c>
      <c r="AI41" s="3" t="e">
        <v>#N/A</v>
      </c>
      <c r="AJ41" s="3" t="e">
        <v>#N/A</v>
      </c>
      <c r="AK41" s="3" t="e">
        <v>#N/A</v>
      </c>
      <c r="AL41" s="3" t="e">
        <v>#N/A</v>
      </c>
      <c r="AM41" s="3" t="e">
        <v>#N/A</v>
      </c>
      <c r="AN41" s="3" t="e">
        <v>#N/A</v>
      </c>
      <c r="AO41" s="3" t="e">
        <v>#N/A</v>
      </c>
      <c r="AP41" s="3" t="e">
        <v>#N/A</v>
      </c>
      <c r="AR41" s="3" t="e">
        <f t="shared" si="0"/>
        <v>#N/A</v>
      </c>
      <c r="AS41" s="3" t="e">
        <f t="shared" si="0"/>
        <v>#N/A</v>
      </c>
      <c r="AT41" s="3" t="e">
        <f t="shared" si="0"/>
        <v>#N/A</v>
      </c>
      <c r="AU41" s="3" t="e">
        <f t="shared" si="1"/>
        <v>#N/A</v>
      </c>
      <c r="AV41" s="3" t="e">
        <f t="shared" si="2"/>
        <v>#N/A</v>
      </c>
      <c r="AW41" s="3" t="e">
        <f t="shared" si="3"/>
        <v>#N/A</v>
      </c>
      <c r="AX41" s="3" t="e">
        <f t="shared" si="4"/>
        <v>#N/A</v>
      </c>
      <c r="AY41" s="3" t="e">
        <f t="shared" si="5"/>
        <v>#N/A</v>
      </c>
      <c r="AZ41" s="3" t="e">
        <f t="shared" si="6"/>
        <v>#N/A</v>
      </c>
      <c r="BA41" s="3" t="e">
        <f t="shared" si="7"/>
        <v>#N/A</v>
      </c>
      <c r="BB41" s="3" t="e">
        <f t="shared" si="8"/>
        <v>#N/A</v>
      </c>
    </row>
    <row r="42" spans="1:54" x14ac:dyDescent="0.25">
      <c r="A42" t="s">
        <v>653</v>
      </c>
      <c r="B42" s="21">
        <v>5.85</v>
      </c>
      <c r="C42" s="21">
        <v>5.3</v>
      </c>
      <c r="D42" s="35">
        <v>4</v>
      </c>
      <c r="E42" s="3" t="e">
        <v>#N/A</v>
      </c>
      <c r="F42" s="3" t="e">
        <v>#N/A</v>
      </c>
      <c r="G42" s="3">
        <v>148373</v>
      </c>
      <c r="H42" s="3">
        <v>148383</v>
      </c>
      <c r="I42" s="4" t="e">
        <v>#N/A</v>
      </c>
      <c r="J42" s="3"/>
      <c r="K42" s="3" t="e">
        <v>#N/A</v>
      </c>
      <c r="L42" s="3" t="e">
        <v>#N/A</v>
      </c>
      <c r="M42" s="3" t="e">
        <v>#N/A</v>
      </c>
      <c r="N42" s="3" t="e">
        <v>#N/A</v>
      </c>
      <c r="O42" s="3" t="e">
        <v>#N/A</v>
      </c>
      <c r="P42" s="3" t="e">
        <v>#N/A</v>
      </c>
      <c r="Q42" s="3" t="e">
        <v>#N/A</v>
      </c>
      <c r="R42" s="3" t="e">
        <v>#N/A</v>
      </c>
      <c r="S42" s="3" t="e">
        <v>#N/A</v>
      </c>
      <c r="T42" s="3" t="e">
        <v>#N/A</v>
      </c>
      <c r="U42" s="3" t="e">
        <v>#N/A</v>
      </c>
      <c r="V42" s="3" t="e">
        <v>#N/A</v>
      </c>
      <c r="W42" s="3" t="e">
        <v>#N/A</v>
      </c>
      <c r="X42" s="3" t="e">
        <v>#N/A</v>
      </c>
      <c r="Y42" s="3" t="e">
        <v>#N/A</v>
      </c>
      <c r="Z42" s="3" t="e">
        <v>#N/A</v>
      </c>
      <c r="AA42" s="3" t="e">
        <v>#N/A</v>
      </c>
      <c r="AB42" s="3" t="e">
        <v>#N/A</v>
      </c>
      <c r="AC42" s="3" t="e">
        <v>#N/A</v>
      </c>
      <c r="AD42" s="3" t="e">
        <v>#N/A</v>
      </c>
      <c r="AE42" s="3" t="e">
        <v>#N/A</v>
      </c>
      <c r="AF42" s="3" t="e">
        <v>#N/A</v>
      </c>
      <c r="AG42" s="3" t="e">
        <v>#N/A</v>
      </c>
      <c r="AH42" s="3" t="e">
        <v>#N/A</v>
      </c>
      <c r="AI42" s="3" t="e">
        <v>#N/A</v>
      </c>
      <c r="AJ42" s="3" t="e">
        <v>#N/A</v>
      </c>
      <c r="AK42" s="3" t="e">
        <v>#N/A</v>
      </c>
      <c r="AL42" s="3" t="e">
        <v>#N/A</v>
      </c>
      <c r="AM42" s="3" t="e">
        <v>#N/A</v>
      </c>
      <c r="AN42" s="3" t="e">
        <v>#N/A</v>
      </c>
      <c r="AO42" s="3" t="e">
        <v>#N/A</v>
      </c>
      <c r="AP42" s="3" t="e">
        <v>#N/A</v>
      </c>
      <c r="AR42" s="3" t="e">
        <f t="shared" si="0"/>
        <v>#N/A</v>
      </c>
      <c r="AS42" s="3" t="e">
        <f t="shared" si="0"/>
        <v>#N/A</v>
      </c>
      <c r="AT42" s="3" t="e">
        <f t="shared" si="0"/>
        <v>#N/A</v>
      </c>
      <c r="AU42" s="3" t="e">
        <f t="shared" si="1"/>
        <v>#N/A</v>
      </c>
      <c r="AV42" s="3" t="e">
        <f t="shared" si="2"/>
        <v>#N/A</v>
      </c>
      <c r="AW42" s="3" t="e">
        <f t="shared" si="3"/>
        <v>#N/A</v>
      </c>
      <c r="AX42" s="3" t="e">
        <f t="shared" si="4"/>
        <v>#N/A</v>
      </c>
      <c r="AY42" s="3" t="e">
        <f t="shared" si="5"/>
        <v>#N/A</v>
      </c>
      <c r="AZ42" s="3" t="e">
        <f t="shared" si="6"/>
        <v>#N/A</v>
      </c>
      <c r="BA42" s="3" t="e">
        <f t="shared" si="7"/>
        <v>#N/A</v>
      </c>
      <c r="BB42" s="3" t="e">
        <f t="shared" si="8"/>
        <v>#N/A</v>
      </c>
    </row>
    <row r="43" spans="1:54" x14ac:dyDescent="0.25">
      <c r="A43" t="s">
        <v>654</v>
      </c>
      <c r="B43" s="21">
        <v>5.87</v>
      </c>
      <c r="C43" s="21">
        <v>5.28</v>
      </c>
      <c r="D43" s="35">
        <v>4</v>
      </c>
      <c r="E43" s="3" t="e">
        <v>#N/A</v>
      </c>
      <c r="F43" s="3" t="e">
        <v>#N/A</v>
      </c>
      <c r="G43" s="3">
        <v>150151</v>
      </c>
      <c r="H43" s="3">
        <v>154417</v>
      </c>
      <c r="I43" s="4" t="e">
        <v>#N/A</v>
      </c>
      <c r="J43" s="3"/>
      <c r="K43" s="3" t="e">
        <v>#N/A</v>
      </c>
      <c r="L43" s="3" t="e">
        <v>#N/A</v>
      </c>
      <c r="M43" s="3" t="e">
        <v>#N/A</v>
      </c>
      <c r="N43" s="3" t="e">
        <v>#N/A</v>
      </c>
      <c r="O43" s="3" t="e">
        <v>#N/A</v>
      </c>
      <c r="P43" s="3" t="e">
        <v>#N/A</v>
      </c>
      <c r="Q43" s="3" t="e">
        <v>#N/A</v>
      </c>
      <c r="R43" s="3" t="e">
        <v>#N/A</v>
      </c>
      <c r="S43" s="3" t="e">
        <v>#N/A</v>
      </c>
      <c r="T43" s="3" t="e">
        <v>#N/A</v>
      </c>
      <c r="U43" s="3" t="e">
        <v>#N/A</v>
      </c>
      <c r="V43" s="3" t="e">
        <v>#N/A</v>
      </c>
      <c r="W43" s="3" t="e">
        <v>#N/A</v>
      </c>
      <c r="X43" s="3" t="e">
        <v>#N/A</v>
      </c>
      <c r="Y43" s="3" t="e">
        <v>#N/A</v>
      </c>
      <c r="Z43" s="3" t="e">
        <v>#N/A</v>
      </c>
      <c r="AA43" s="3" t="e">
        <v>#N/A</v>
      </c>
      <c r="AB43" s="3" t="e">
        <v>#N/A</v>
      </c>
      <c r="AC43" s="3" t="e">
        <v>#N/A</v>
      </c>
      <c r="AD43" s="3" t="e">
        <v>#N/A</v>
      </c>
      <c r="AE43" s="3" t="e">
        <v>#N/A</v>
      </c>
      <c r="AF43" s="3" t="e">
        <v>#N/A</v>
      </c>
      <c r="AG43" s="3" t="e">
        <v>#N/A</v>
      </c>
      <c r="AH43" s="3" t="e">
        <v>#N/A</v>
      </c>
      <c r="AI43" s="3" t="e">
        <v>#N/A</v>
      </c>
      <c r="AJ43" s="3" t="e">
        <v>#N/A</v>
      </c>
      <c r="AK43" s="3" t="e">
        <v>#N/A</v>
      </c>
      <c r="AL43" s="3" t="e">
        <v>#N/A</v>
      </c>
      <c r="AM43" s="3" t="e">
        <v>#N/A</v>
      </c>
      <c r="AN43" s="3" t="e">
        <v>#N/A</v>
      </c>
      <c r="AO43" s="3" t="e">
        <v>#N/A</v>
      </c>
      <c r="AP43" s="3" t="e">
        <v>#N/A</v>
      </c>
      <c r="AR43" s="3" t="e">
        <f t="shared" si="0"/>
        <v>#N/A</v>
      </c>
      <c r="AS43" s="3" t="e">
        <f t="shared" si="0"/>
        <v>#N/A</v>
      </c>
      <c r="AT43" s="3" t="e">
        <f t="shared" si="0"/>
        <v>#N/A</v>
      </c>
      <c r="AU43" s="3" t="e">
        <f t="shared" si="1"/>
        <v>#N/A</v>
      </c>
      <c r="AV43" s="3" t="e">
        <f t="shared" si="2"/>
        <v>#N/A</v>
      </c>
      <c r="AW43" s="3" t="e">
        <f t="shared" si="3"/>
        <v>#N/A</v>
      </c>
      <c r="AX43" s="3" t="e">
        <f t="shared" si="4"/>
        <v>#N/A</v>
      </c>
      <c r="AY43" s="3" t="e">
        <f t="shared" si="5"/>
        <v>#N/A</v>
      </c>
      <c r="AZ43" s="3" t="e">
        <f t="shared" si="6"/>
        <v>#N/A</v>
      </c>
      <c r="BA43" s="3" t="e">
        <f t="shared" si="7"/>
        <v>#N/A</v>
      </c>
      <c r="BB43" s="3" t="e">
        <f t="shared" si="8"/>
        <v>#N/A</v>
      </c>
    </row>
    <row r="44" spans="1:54" x14ac:dyDescent="0.25">
      <c r="A44" t="s">
        <v>655</v>
      </c>
      <c r="B44" s="21">
        <v>5.83</v>
      </c>
      <c r="C44" s="21">
        <v>5.23</v>
      </c>
      <c r="D44" s="35">
        <v>4</v>
      </c>
      <c r="E44" s="3" t="e">
        <v>#N/A</v>
      </c>
      <c r="F44" s="3" t="e">
        <v>#N/A</v>
      </c>
      <c r="G44" s="3">
        <v>150156</v>
      </c>
      <c r="H44" s="3">
        <v>145602</v>
      </c>
      <c r="I44" s="4" t="e">
        <v>#N/A</v>
      </c>
      <c r="J44" s="3"/>
      <c r="K44" s="3" t="e">
        <v>#N/A</v>
      </c>
      <c r="L44" s="3" t="e">
        <v>#N/A</v>
      </c>
      <c r="M44" s="3" t="e">
        <v>#N/A</v>
      </c>
      <c r="N44" s="3" t="e">
        <v>#N/A</v>
      </c>
      <c r="O44" s="3" t="e">
        <v>#N/A</v>
      </c>
      <c r="P44" s="3" t="e">
        <v>#N/A</v>
      </c>
      <c r="Q44" s="3" t="e">
        <v>#N/A</v>
      </c>
      <c r="R44" s="3" t="e">
        <v>#N/A</v>
      </c>
      <c r="S44" s="3" t="e">
        <v>#N/A</v>
      </c>
      <c r="T44" s="3" t="e">
        <v>#N/A</v>
      </c>
      <c r="U44" s="3" t="e">
        <v>#N/A</v>
      </c>
      <c r="V44" s="3" t="e">
        <v>#N/A</v>
      </c>
      <c r="W44" s="3" t="e">
        <v>#N/A</v>
      </c>
      <c r="X44" s="3" t="e">
        <v>#N/A</v>
      </c>
      <c r="Y44" s="3" t="e">
        <v>#N/A</v>
      </c>
      <c r="Z44" s="3" t="e">
        <v>#N/A</v>
      </c>
      <c r="AA44" s="3" t="e">
        <v>#N/A</v>
      </c>
      <c r="AB44" s="3" t="e">
        <v>#N/A</v>
      </c>
      <c r="AC44" s="3" t="e">
        <v>#N/A</v>
      </c>
      <c r="AD44" s="3" t="e">
        <v>#N/A</v>
      </c>
      <c r="AE44" s="3" t="e">
        <v>#N/A</v>
      </c>
      <c r="AF44" s="3" t="e">
        <v>#N/A</v>
      </c>
      <c r="AG44" s="3" t="e">
        <v>#N/A</v>
      </c>
      <c r="AH44" s="3" t="e">
        <v>#N/A</v>
      </c>
      <c r="AI44" s="3" t="e">
        <v>#N/A</v>
      </c>
      <c r="AJ44" s="3" t="e">
        <v>#N/A</v>
      </c>
      <c r="AK44" s="3" t="e">
        <v>#N/A</v>
      </c>
      <c r="AL44" s="3" t="e">
        <v>#N/A</v>
      </c>
      <c r="AM44" s="3" t="e">
        <v>#N/A</v>
      </c>
      <c r="AN44" s="3" t="e">
        <v>#N/A</v>
      </c>
      <c r="AO44" s="3" t="e">
        <v>#N/A</v>
      </c>
      <c r="AP44" s="3" t="e">
        <v>#N/A</v>
      </c>
      <c r="AR44" s="3" t="e">
        <f t="shared" si="0"/>
        <v>#N/A</v>
      </c>
      <c r="AS44" s="3" t="e">
        <f t="shared" si="0"/>
        <v>#N/A</v>
      </c>
      <c r="AT44" s="3" t="e">
        <f t="shared" si="0"/>
        <v>#N/A</v>
      </c>
      <c r="AU44" s="3" t="e">
        <f t="shared" si="1"/>
        <v>#N/A</v>
      </c>
      <c r="AV44" s="3" t="e">
        <f t="shared" si="2"/>
        <v>#N/A</v>
      </c>
      <c r="AW44" s="3" t="e">
        <f t="shared" si="3"/>
        <v>#N/A</v>
      </c>
      <c r="AX44" s="3" t="e">
        <f t="shared" si="4"/>
        <v>#N/A</v>
      </c>
      <c r="AY44" s="3" t="e">
        <f t="shared" si="5"/>
        <v>#N/A</v>
      </c>
      <c r="AZ44" s="3" t="e">
        <f t="shared" si="6"/>
        <v>#N/A</v>
      </c>
      <c r="BA44" s="3" t="e">
        <f t="shared" si="7"/>
        <v>#N/A</v>
      </c>
      <c r="BB44" s="3" t="e">
        <f t="shared" si="8"/>
        <v>#N/A</v>
      </c>
    </row>
    <row r="45" spans="1:54" x14ac:dyDescent="0.25">
      <c r="A45" t="s">
        <v>656</v>
      </c>
      <c r="B45" s="21">
        <v>5.7</v>
      </c>
      <c r="C45" s="21">
        <v>5.21</v>
      </c>
      <c r="D45" s="35">
        <v>3.7875000000000001</v>
      </c>
      <c r="E45" s="3" t="e">
        <v>#N/A</v>
      </c>
      <c r="F45" s="3" t="e">
        <v>#N/A</v>
      </c>
      <c r="G45" s="3">
        <v>151538</v>
      </c>
      <c r="H45" s="3">
        <v>145589</v>
      </c>
      <c r="I45" s="4" t="e">
        <v>#N/A</v>
      </c>
      <c r="J45" s="3"/>
      <c r="K45" s="3" t="e">
        <v>#N/A</v>
      </c>
      <c r="L45" s="3" t="e">
        <v>#N/A</v>
      </c>
      <c r="M45" s="3" t="e">
        <v>#N/A</v>
      </c>
      <c r="N45" s="3" t="e">
        <v>#N/A</v>
      </c>
      <c r="O45" s="3" t="e">
        <v>#N/A</v>
      </c>
      <c r="P45" s="3" t="e">
        <v>#N/A</v>
      </c>
      <c r="Q45" s="3" t="e">
        <v>#N/A</v>
      </c>
      <c r="R45" s="3" t="e">
        <v>#N/A</v>
      </c>
      <c r="S45" s="3" t="e">
        <v>#N/A</v>
      </c>
      <c r="T45" s="3" t="e">
        <v>#N/A</v>
      </c>
      <c r="U45" s="3" t="e">
        <v>#N/A</v>
      </c>
      <c r="V45" s="3" t="e">
        <v>#N/A</v>
      </c>
      <c r="W45" s="3" t="e">
        <v>#N/A</v>
      </c>
      <c r="X45" s="3" t="e">
        <v>#N/A</v>
      </c>
      <c r="Y45" s="3" t="e">
        <v>#N/A</v>
      </c>
      <c r="Z45" s="3" t="e">
        <v>#N/A</v>
      </c>
      <c r="AA45" s="3" t="e">
        <v>#N/A</v>
      </c>
      <c r="AB45" s="3" t="e">
        <v>#N/A</v>
      </c>
      <c r="AC45" s="3" t="e">
        <v>#N/A</v>
      </c>
      <c r="AD45" s="3" t="e">
        <v>#N/A</v>
      </c>
      <c r="AE45" s="3" t="e">
        <v>#N/A</v>
      </c>
      <c r="AF45" s="3" t="e">
        <v>#N/A</v>
      </c>
      <c r="AG45" s="3" t="e">
        <v>#N/A</v>
      </c>
      <c r="AH45" s="3" t="e">
        <v>#N/A</v>
      </c>
      <c r="AI45" s="3" t="e">
        <v>#N/A</v>
      </c>
      <c r="AJ45" s="3" t="e">
        <v>#N/A</v>
      </c>
      <c r="AK45" s="3" t="e">
        <v>#N/A</v>
      </c>
      <c r="AL45" s="3" t="e">
        <v>#N/A</v>
      </c>
      <c r="AM45" s="3" t="e">
        <v>#N/A</v>
      </c>
      <c r="AN45" s="3" t="e">
        <v>#N/A</v>
      </c>
      <c r="AO45" s="3" t="e">
        <v>#N/A</v>
      </c>
      <c r="AP45" s="3" t="e">
        <v>#N/A</v>
      </c>
      <c r="AR45" s="3" t="e">
        <f t="shared" si="0"/>
        <v>#N/A</v>
      </c>
      <c r="AS45" s="3" t="e">
        <f t="shared" si="0"/>
        <v>#N/A</v>
      </c>
      <c r="AT45" s="3" t="e">
        <f t="shared" si="0"/>
        <v>#N/A</v>
      </c>
      <c r="AU45" s="3" t="e">
        <f t="shared" si="1"/>
        <v>#N/A</v>
      </c>
      <c r="AV45" s="3" t="e">
        <f t="shared" si="2"/>
        <v>#N/A</v>
      </c>
      <c r="AW45" s="3" t="e">
        <f t="shared" si="3"/>
        <v>#N/A</v>
      </c>
      <c r="AX45" s="3" t="e">
        <f t="shared" si="4"/>
        <v>#N/A</v>
      </c>
      <c r="AY45" s="3" t="e">
        <f t="shared" si="5"/>
        <v>#N/A</v>
      </c>
      <c r="AZ45" s="3" t="e">
        <f t="shared" si="6"/>
        <v>#N/A</v>
      </c>
      <c r="BA45" s="3" t="e">
        <f t="shared" si="7"/>
        <v>#N/A</v>
      </c>
      <c r="BB45" s="3" t="e">
        <f t="shared" si="8"/>
        <v>#N/A</v>
      </c>
    </row>
    <row r="46" spans="1:54" x14ac:dyDescent="0.25">
      <c r="A46" t="s">
        <v>657</v>
      </c>
      <c r="B46" s="21">
        <v>5.62</v>
      </c>
      <c r="C46" s="21">
        <v>5.08</v>
      </c>
      <c r="D46" s="35">
        <v>3.75</v>
      </c>
      <c r="E46" s="3" t="e">
        <v>#N/A</v>
      </c>
      <c r="F46" s="3" t="e">
        <v>#N/A</v>
      </c>
      <c r="G46" s="3">
        <v>154036</v>
      </c>
      <c r="H46" s="3">
        <v>154872</v>
      </c>
      <c r="I46" s="4" t="e">
        <v>#N/A</v>
      </c>
      <c r="J46" s="3"/>
      <c r="K46" s="3" t="e">
        <v>#N/A</v>
      </c>
      <c r="L46" s="3" t="e">
        <v>#N/A</v>
      </c>
      <c r="M46" s="3" t="e">
        <v>#N/A</v>
      </c>
      <c r="N46" s="3" t="e">
        <v>#N/A</v>
      </c>
      <c r="O46" s="3" t="e">
        <v>#N/A</v>
      </c>
      <c r="P46" s="3" t="e">
        <v>#N/A</v>
      </c>
      <c r="Q46" s="3" t="e">
        <v>#N/A</v>
      </c>
      <c r="R46" s="3" t="e">
        <v>#N/A</v>
      </c>
      <c r="S46" s="3" t="e">
        <v>#N/A</v>
      </c>
      <c r="T46" s="3" t="e">
        <v>#N/A</v>
      </c>
      <c r="U46" s="3" t="e">
        <v>#N/A</v>
      </c>
      <c r="V46" s="3" t="e">
        <v>#N/A</v>
      </c>
      <c r="W46" s="3" t="e">
        <v>#N/A</v>
      </c>
      <c r="X46" s="3" t="e">
        <v>#N/A</v>
      </c>
      <c r="Y46" s="3" t="e">
        <v>#N/A</v>
      </c>
      <c r="Z46" s="3" t="e">
        <v>#N/A</v>
      </c>
      <c r="AA46" s="3" t="e">
        <v>#N/A</v>
      </c>
      <c r="AB46" s="3" t="e">
        <v>#N/A</v>
      </c>
      <c r="AC46" s="3" t="e">
        <v>#N/A</v>
      </c>
      <c r="AD46" s="3" t="e">
        <v>#N/A</v>
      </c>
      <c r="AE46" s="3" t="e">
        <v>#N/A</v>
      </c>
      <c r="AF46" s="3" t="e">
        <v>#N/A</v>
      </c>
      <c r="AG46" s="3" t="e">
        <v>#N/A</v>
      </c>
      <c r="AH46" s="3" t="e">
        <v>#N/A</v>
      </c>
      <c r="AI46" s="3" t="e">
        <v>#N/A</v>
      </c>
      <c r="AJ46" s="3" t="e">
        <v>#N/A</v>
      </c>
      <c r="AK46" s="3" t="e">
        <v>#N/A</v>
      </c>
      <c r="AL46" s="3" t="e">
        <v>#N/A</v>
      </c>
      <c r="AM46" s="3" t="e">
        <v>#N/A</v>
      </c>
      <c r="AN46" s="3" t="e">
        <v>#N/A</v>
      </c>
      <c r="AO46" s="3" t="e">
        <v>#N/A</v>
      </c>
      <c r="AP46" s="3" t="e">
        <v>#N/A</v>
      </c>
      <c r="AR46" s="3" t="e">
        <f t="shared" si="0"/>
        <v>#N/A</v>
      </c>
      <c r="AS46" s="3" t="e">
        <f t="shared" si="0"/>
        <v>#N/A</v>
      </c>
      <c r="AT46" s="3" t="e">
        <f t="shared" si="0"/>
        <v>#N/A</v>
      </c>
      <c r="AU46" s="3" t="e">
        <f t="shared" si="1"/>
        <v>#N/A</v>
      </c>
      <c r="AV46" s="3" t="e">
        <f t="shared" si="2"/>
        <v>#N/A</v>
      </c>
      <c r="AW46" s="3" t="e">
        <f t="shared" si="3"/>
        <v>#N/A</v>
      </c>
      <c r="AX46" s="3" t="e">
        <f t="shared" si="4"/>
        <v>#N/A</v>
      </c>
      <c r="AY46" s="3" t="e">
        <f t="shared" si="5"/>
        <v>#N/A</v>
      </c>
      <c r="AZ46" s="3" t="e">
        <f t="shared" si="6"/>
        <v>#N/A</v>
      </c>
      <c r="BA46" s="3" t="e">
        <f t="shared" si="7"/>
        <v>#N/A</v>
      </c>
      <c r="BB46" s="3" t="e">
        <f t="shared" si="8"/>
        <v>#N/A</v>
      </c>
    </row>
    <row r="47" spans="1:54" x14ac:dyDescent="0.25">
      <c r="A47" t="s">
        <v>658</v>
      </c>
      <c r="B47" s="21">
        <v>5.65</v>
      </c>
      <c r="C47" s="21">
        <v>5.03</v>
      </c>
      <c r="D47" s="35">
        <v>3.75</v>
      </c>
      <c r="E47" s="3" t="e">
        <v>#N/A</v>
      </c>
      <c r="F47" s="3" t="e">
        <v>#N/A</v>
      </c>
      <c r="G47" s="3">
        <v>153560</v>
      </c>
      <c r="H47" s="3">
        <v>152697</v>
      </c>
      <c r="I47" s="4" t="e">
        <v>#N/A</v>
      </c>
      <c r="J47" s="3"/>
      <c r="K47" s="3" t="e">
        <v>#N/A</v>
      </c>
      <c r="L47" s="3" t="e">
        <v>#N/A</v>
      </c>
      <c r="M47" s="3" t="e">
        <v>#N/A</v>
      </c>
      <c r="N47" s="3" t="e">
        <v>#N/A</v>
      </c>
      <c r="O47" s="3" t="e">
        <v>#N/A</v>
      </c>
      <c r="P47" s="3" t="e">
        <v>#N/A</v>
      </c>
      <c r="Q47" s="3" t="e">
        <v>#N/A</v>
      </c>
      <c r="R47" s="3" t="e">
        <v>#N/A</v>
      </c>
      <c r="S47" s="3" t="e">
        <v>#N/A</v>
      </c>
      <c r="T47" s="3" t="e">
        <v>#N/A</v>
      </c>
      <c r="U47" s="3" t="e">
        <v>#N/A</v>
      </c>
      <c r="V47" s="3" t="e">
        <v>#N/A</v>
      </c>
      <c r="W47" s="3" t="e">
        <v>#N/A</v>
      </c>
      <c r="X47" s="3" t="e">
        <v>#N/A</v>
      </c>
      <c r="Y47" s="3" t="e">
        <v>#N/A</v>
      </c>
      <c r="Z47" s="3" t="e">
        <v>#N/A</v>
      </c>
      <c r="AA47" s="3" t="e">
        <v>#N/A</v>
      </c>
      <c r="AB47" s="3" t="e">
        <v>#N/A</v>
      </c>
      <c r="AC47" s="3" t="e">
        <v>#N/A</v>
      </c>
      <c r="AD47" s="3" t="e">
        <v>#N/A</v>
      </c>
      <c r="AE47" s="3" t="e">
        <v>#N/A</v>
      </c>
      <c r="AF47" s="3" t="e">
        <v>#N/A</v>
      </c>
      <c r="AG47" s="3" t="e">
        <v>#N/A</v>
      </c>
      <c r="AH47" s="3" t="e">
        <v>#N/A</v>
      </c>
      <c r="AI47" s="3" t="e">
        <v>#N/A</v>
      </c>
      <c r="AJ47" s="3" t="e">
        <v>#N/A</v>
      </c>
      <c r="AK47" s="3" t="e">
        <v>#N/A</v>
      </c>
      <c r="AL47" s="3" t="e">
        <v>#N/A</v>
      </c>
      <c r="AM47" s="3" t="e">
        <v>#N/A</v>
      </c>
      <c r="AN47" s="3" t="e">
        <v>#N/A</v>
      </c>
      <c r="AO47" s="3" t="e">
        <v>#N/A</v>
      </c>
      <c r="AP47" s="3" t="e">
        <v>#N/A</v>
      </c>
      <c r="AR47" s="3" t="e">
        <f t="shared" si="0"/>
        <v>#N/A</v>
      </c>
      <c r="AS47" s="3" t="e">
        <f t="shared" si="0"/>
        <v>#N/A</v>
      </c>
      <c r="AT47" s="3" t="e">
        <f t="shared" si="0"/>
        <v>#N/A</v>
      </c>
      <c r="AU47" s="3" t="e">
        <f t="shared" si="1"/>
        <v>#N/A</v>
      </c>
      <c r="AV47" s="3" t="e">
        <f t="shared" si="2"/>
        <v>#N/A</v>
      </c>
      <c r="AW47" s="3" t="e">
        <f t="shared" si="3"/>
        <v>#N/A</v>
      </c>
      <c r="AX47" s="3" t="e">
        <f t="shared" si="4"/>
        <v>#N/A</v>
      </c>
      <c r="AY47" s="3" t="e">
        <f t="shared" si="5"/>
        <v>#N/A</v>
      </c>
      <c r="AZ47" s="3" t="e">
        <f t="shared" si="6"/>
        <v>#N/A</v>
      </c>
      <c r="BA47" s="3" t="e">
        <f t="shared" si="7"/>
        <v>#N/A</v>
      </c>
      <c r="BB47" s="3" t="e">
        <f t="shared" si="8"/>
        <v>#N/A</v>
      </c>
    </row>
    <row r="48" spans="1:54" x14ac:dyDescent="0.25">
      <c r="A48" t="s">
        <v>659</v>
      </c>
      <c r="B48" s="21">
        <v>5.57</v>
      </c>
      <c r="C48" s="21">
        <v>5</v>
      </c>
      <c r="D48" s="35">
        <v>3.75</v>
      </c>
      <c r="E48" s="3" t="e">
        <v>#N/A</v>
      </c>
      <c r="F48" s="3" t="e">
        <v>#N/A</v>
      </c>
      <c r="G48" s="3">
        <v>152619</v>
      </c>
      <c r="H48" s="3">
        <v>153228</v>
      </c>
      <c r="I48" s="4" t="e">
        <v>#N/A</v>
      </c>
      <c r="J48" s="3"/>
      <c r="K48" s="3" t="e">
        <v>#N/A</v>
      </c>
      <c r="L48" s="3" t="e">
        <v>#N/A</v>
      </c>
      <c r="M48" s="3" t="e">
        <v>#N/A</v>
      </c>
      <c r="N48" s="3" t="e">
        <v>#N/A</v>
      </c>
      <c r="O48" s="3" t="e">
        <v>#N/A</v>
      </c>
      <c r="P48" s="3" t="e">
        <v>#N/A</v>
      </c>
      <c r="Q48" s="3" t="e">
        <v>#N/A</v>
      </c>
      <c r="R48" s="3" t="e">
        <v>#N/A</v>
      </c>
      <c r="S48" s="3" t="e">
        <v>#N/A</v>
      </c>
      <c r="T48" s="3" t="e">
        <v>#N/A</v>
      </c>
      <c r="U48" s="3" t="e">
        <v>#N/A</v>
      </c>
      <c r="V48" s="3" t="e">
        <v>#N/A</v>
      </c>
      <c r="W48" s="3" t="e">
        <v>#N/A</v>
      </c>
      <c r="X48" s="3" t="e">
        <v>#N/A</v>
      </c>
      <c r="Y48" s="3" t="e">
        <v>#N/A</v>
      </c>
      <c r="Z48" s="3" t="e">
        <v>#N/A</v>
      </c>
      <c r="AA48" s="3" t="e">
        <v>#N/A</v>
      </c>
      <c r="AB48" s="3" t="e">
        <v>#N/A</v>
      </c>
      <c r="AC48" s="3" t="e">
        <v>#N/A</v>
      </c>
      <c r="AD48" s="3" t="e">
        <v>#N/A</v>
      </c>
      <c r="AE48" s="3" t="e">
        <v>#N/A</v>
      </c>
      <c r="AF48" s="3" t="e">
        <v>#N/A</v>
      </c>
      <c r="AG48" s="3" t="e">
        <v>#N/A</v>
      </c>
      <c r="AH48" s="3" t="e">
        <v>#N/A</v>
      </c>
      <c r="AI48" s="3" t="e">
        <v>#N/A</v>
      </c>
      <c r="AJ48" s="3" t="e">
        <v>#N/A</v>
      </c>
      <c r="AK48" s="3" t="e">
        <v>#N/A</v>
      </c>
      <c r="AL48" s="3" t="e">
        <v>#N/A</v>
      </c>
      <c r="AM48" s="3" t="e">
        <v>#N/A</v>
      </c>
      <c r="AN48" s="3" t="e">
        <v>#N/A</v>
      </c>
      <c r="AO48" s="3" t="e">
        <v>#N/A</v>
      </c>
      <c r="AP48" s="3" t="e">
        <v>#N/A</v>
      </c>
      <c r="AR48" s="3" t="e">
        <f t="shared" si="0"/>
        <v>#N/A</v>
      </c>
      <c r="AS48" s="3" t="e">
        <f t="shared" si="0"/>
        <v>#N/A</v>
      </c>
      <c r="AT48" s="3" t="e">
        <f t="shared" si="0"/>
        <v>#N/A</v>
      </c>
      <c r="AU48" s="3" t="e">
        <f t="shared" si="1"/>
        <v>#N/A</v>
      </c>
      <c r="AV48" s="3" t="e">
        <f t="shared" si="2"/>
        <v>#N/A</v>
      </c>
      <c r="AW48" s="3" t="e">
        <f t="shared" si="3"/>
        <v>#N/A</v>
      </c>
      <c r="AX48" s="3" t="e">
        <f t="shared" si="4"/>
        <v>#N/A</v>
      </c>
      <c r="AY48" s="3" t="e">
        <f t="shared" si="5"/>
        <v>#N/A</v>
      </c>
      <c r="AZ48" s="3" t="e">
        <f t="shared" si="6"/>
        <v>#N/A</v>
      </c>
      <c r="BA48" s="3" t="e">
        <f t="shared" si="7"/>
        <v>#N/A</v>
      </c>
      <c r="BB48" s="3" t="e">
        <f t="shared" si="8"/>
        <v>#N/A</v>
      </c>
    </row>
    <row r="49" spans="1:54" x14ac:dyDescent="0.25">
      <c r="A49" t="s">
        <v>660</v>
      </c>
      <c r="B49" s="21">
        <v>5.6</v>
      </c>
      <c r="C49" s="21">
        <v>5</v>
      </c>
      <c r="D49" s="35">
        <v>3.75</v>
      </c>
      <c r="E49" s="3" t="e">
        <v>#N/A</v>
      </c>
      <c r="F49" s="3" t="e">
        <v>#N/A</v>
      </c>
      <c r="G49" s="3">
        <v>152986</v>
      </c>
      <c r="H49" s="3">
        <v>155986</v>
      </c>
      <c r="I49" s="4" t="e">
        <v>#N/A</v>
      </c>
      <c r="J49" s="3"/>
      <c r="K49" s="3" t="e">
        <v>#N/A</v>
      </c>
      <c r="L49" s="3" t="e">
        <v>#N/A</v>
      </c>
      <c r="M49" s="3" t="e">
        <v>#N/A</v>
      </c>
      <c r="N49" s="3" t="e">
        <v>#N/A</v>
      </c>
      <c r="O49" s="3" t="e">
        <v>#N/A</v>
      </c>
      <c r="P49" s="3" t="e">
        <v>#N/A</v>
      </c>
      <c r="Q49" s="3" t="e">
        <v>#N/A</v>
      </c>
      <c r="R49" s="3" t="e">
        <v>#N/A</v>
      </c>
      <c r="S49" s="3" t="e">
        <v>#N/A</v>
      </c>
      <c r="T49" s="3" t="e">
        <v>#N/A</v>
      </c>
      <c r="U49" s="3" t="e">
        <v>#N/A</v>
      </c>
      <c r="V49" s="3" t="e">
        <v>#N/A</v>
      </c>
      <c r="W49" s="3" t="e">
        <v>#N/A</v>
      </c>
      <c r="X49" s="3" t="e">
        <v>#N/A</v>
      </c>
      <c r="Y49" s="3" t="e">
        <v>#N/A</v>
      </c>
      <c r="Z49" s="3" t="e">
        <v>#N/A</v>
      </c>
      <c r="AA49" s="3" t="e">
        <v>#N/A</v>
      </c>
      <c r="AB49" s="3" t="e">
        <v>#N/A</v>
      </c>
      <c r="AC49" s="3" t="e">
        <v>#N/A</v>
      </c>
      <c r="AD49" s="3" t="e">
        <v>#N/A</v>
      </c>
      <c r="AE49" s="3" t="e">
        <v>#N/A</v>
      </c>
      <c r="AF49" s="3" t="e">
        <v>#N/A</v>
      </c>
      <c r="AG49" s="3" t="e">
        <v>#N/A</v>
      </c>
      <c r="AH49" s="3" t="e">
        <v>#N/A</v>
      </c>
      <c r="AI49" s="3" t="e">
        <v>#N/A</v>
      </c>
      <c r="AJ49" s="3" t="e">
        <v>#N/A</v>
      </c>
      <c r="AK49" s="3" t="e">
        <v>#N/A</v>
      </c>
      <c r="AL49" s="3" t="e">
        <v>#N/A</v>
      </c>
      <c r="AM49" s="3" t="e">
        <v>#N/A</v>
      </c>
      <c r="AN49" s="3" t="e">
        <v>#N/A</v>
      </c>
      <c r="AO49" s="3" t="e">
        <v>#N/A</v>
      </c>
      <c r="AP49" s="3" t="e">
        <v>#N/A</v>
      </c>
      <c r="AR49" s="3" t="e">
        <f t="shared" si="0"/>
        <v>#N/A</v>
      </c>
      <c r="AS49" s="3" t="e">
        <f t="shared" si="0"/>
        <v>#N/A</v>
      </c>
      <c r="AT49" s="3" t="e">
        <f t="shared" si="0"/>
        <v>#N/A</v>
      </c>
      <c r="AU49" s="3" t="e">
        <f t="shared" si="1"/>
        <v>#N/A</v>
      </c>
      <c r="AV49" s="3" t="e">
        <f t="shared" si="2"/>
        <v>#N/A</v>
      </c>
      <c r="AW49" s="3" t="e">
        <f t="shared" si="3"/>
        <v>#N/A</v>
      </c>
      <c r="AX49" s="3" t="e">
        <f t="shared" si="4"/>
        <v>#N/A</v>
      </c>
      <c r="AY49" s="3" t="e">
        <f t="shared" si="5"/>
        <v>#N/A</v>
      </c>
      <c r="AZ49" s="3" t="e">
        <f t="shared" si="6"/>
        <v>#N/A</v>
      </c>
      <c r="BA49" s="3" t="e">
        <f t="shared" si="7"/>
        <v>#N/A</v>
      </c>
      <c r="BB49" s="3" t="e">
        <f t="shared" si="8"/>
        <v>#N/A</v>
      </c>
    </row>
    <row r="50" spans="1:54" x14ac:dyDescent="0.25">
      <c r="A50" t="s">
        <v>661</v>
      </c>
      <c r="B50" s="21">
        <v>5.52</v>
      </c>
      <c r="C50" s="21">
        <v>4.9400000000000004</v>
      </c>
      <c r="D50" s="35">
        <v>3.5760869565217392</v>
      </c>
      <c r="E50" s="3" t="e">
        <v>#N/A</v>
      </c>
      <c r="F50" s="3" t="e">
        <v>#N/A</v>
      </c>
      <c r="G50" s="3">
        <v>152485</v>
      </c>
      <c r="H50" s="3">
        <v>152993</v>
      </c>
      <c r="I50" s="4" t="e">
        <v>#N/A</v>
      </c>
      <c r="J50" s="3"/>
      <c r="K50" s="3" t="e">
        <v>#N/A</v>
      </c>
      <c r="L50" s="3" t="e">
        <v>#N/A</v>
      </c>
      <c r="M50" s="3" t="e">
        <v>#N/A</v>
      </c>
      <c r="N50" s="3" t="e">
        <v>#N/A</v>
      </c>
      <c r="O50" s="3" t="e">
        <v>#N/A</v>
      </c>
      <c r="P50" s="3" t="e">
        <v>#N/A</v>
      </c>
      <c r="Q50" s="3" t="e">
        <v>#N/A</v>
      </c>
      <c r="R50" s="3" t="e">
        <v>#N/A</v>
      </c>
      <c r="S50" s="3" t="e">
        <v>#N/A</v>
      </c>
      <c r="T50" s="3" t="e">
        <v>#N/A</v>
      </c>
      <c r="U50" s="3" t="e">
        <v>#N/A</v>
      </c>
      <c r="V50" s="3" t="e">
        <v>#N/A</v>
      </c>
      <c r="W50" s="3" t="e">
        <v>#N/A</v>
      </c>
      <c r="X50" s="3" t="e">
        <v>#N/A</v>
      </c>
      <c r="Y50" s="3" t="e">
        <v>#N/A</v>
      </c>
      <c r="Z50" s="3" t="e">
        <v>#N/A</v>
      </c>
      <c r="AA50" s="3" t="e">
        <v>#N/A</v>
      </c>
      <c r="AB50" s="3" t="e">
        <v>#N/A</v>
      </c>
      <c r="AC50" s="3" t="e">
        <v>#N/A</v>
      </c>
      <c r="AD50" s="3" t="e">
        <v>#N/A</v>
      </c>
      <c r="AE50" s="3" t="e">
        <v>#N/A</v>
      </c>
      <c r="AF50" s="3" t="e">
        <v>#N/A</v>
      </c>
      <c r="AG50" s="3" t="e">
        <v>#N/A</v>
      </c>
      <c r="AH50" s="3" t="e">
        <v>#N/A</v>
      </c>
      <c r="AI50" s="3" t="e">
        <v>#N/A</v>
      </c>
      <c r="AJ50" s="3" t="e">
        <v>#N/A</v>
      </c>
      <c r="AK50" s="3" t="e">
        <v>#N/A</v>
      </c>
      <c r="AL50" s="3" t="e">
        <v>#N/A</v>
      </c>
      <c r="AM50" s="3" t="e">
        <v>#N/A</v>
      </c>
      <c r="AN50" s="3" t="e">
        <v>#N/A</v>
      </c>
      <c r="AO50" s="3" t="e">
        <v>#N/A</v>
      </c>
      <c r="AP50" s="3" t="e">
        <v>#N/A</v>
      </c>
      <c r="AR50" s="3" t="e">
        <f t="shared" si="0"/>
        <v>#N/A</v>
      </c>
      <c r="AS50" s="3" t="e">
        <f t="shared" si="0"/>
        <v>#N/A</v>
      </c>
      <c r="AT50" s="3" t="e">
        <f t="shared" si="0"/>
        <v>#N/A</v>
      </c>
      <c r="AU50" s="3" t="e">
        <f t="shared" si="1"/>
        <v>#N/A</v>
      </c>
      <c r="AV50" s="3" t="e">
        <f t="shared" si="2"/>
        <v>#N/A</v>
      </c>
      <c r="AW50" s="3" t="e">
        <f t="shared" si="3"/>
        <v>#N/A</v>
      </c>
      <c r="AX50" s="3" t="e">
        <f t="shared" si="4"/>
        <v>#N/A</v>
      </c>
      <c r="AY50" s="3" t="e">
        <f t="shared" si="5"/>
        <v>#N/A</v>
      </c>
      <c r="AZ50" s="3" t="e">
        <f t="shared" si="6"/>
        <v>#N/A</v>
      </c>
      <c r="BA50" s="3" t="e">
        <f t="shared" si="7"/>
        <v>#N/A</v>
      </c>
      <c r="BB50" s="3" t="e">
        <f t="shared" si="8"/>
        <v>#N/A</v>
      </c>
    </row>
    <row r="51" spans="1:54" x14ac:dyDescent="0.25">
      <c r="A51" t="s">
        <v>662</v>
      </c>
      <c r="B51" s="21">
        <v>5.43</v>
      </c>
      <c r="C51" s="21">
        <v>4.82</v>
      </c>
      <c r="D51" s="35">
        <v>3.5</v>
      </c>
      <c r="E51" s="3" t="e">
        <v>#N/A</v>
      </c>
      <c r="F51" s="3" t="e">
        <v>#N/A</v>
      </c>
      <c r="G51" s="3">
        <v>155342</v>
      </c>
      <c r="H51" s="3">
        <v>154445</v>
      </c>
      <c r="I51" s="4" t="e">
        <v>#N/A</v>
      </c>
      <c r="J51" s="3"/>
      <c r="K51" s="3" t="e">
        <v>#N/A</v>
      </c>
      <c r="L51" s="3" t="e">
        <v>#N/A</v>
      </c>
      <c r="M51" s="3" t="e">
        <v>#N/A</v>
      </c>
      <c r="N51" s="3" t="e">
        <v>#N/A</v>
      </c>
      <c r="O51" s="3" t="e">
        <v>#N/A</v>
      </c>
      <c r="P51" s="3" t="e">
        <v>#N/A</v>
      </c>
      <c r="Q51" s="3" t="e">
        <v>#N/A</v>
      </c>
      <c r="R51" s="3" t="e">
        <v>#N/A</v>
      </c>
      <c r="S51" s="3" t="e">
        <v>#N/A</v>
      </c>
      <c r="T51" s="3" t="e">
        <v>#N/A</v>
      </c>
      <c r="U51" s="3" t="e">
        <v>#N/A</v>
      </c>
      <c r="V51" s="3" t="e">
        <v>#N/A</v>
      </c>
      <c r="W51" s="3" t="e">
        <v>#N/A</v>
      </c>
      <c r="X51" s="3" t="e">
        <v>#N/A</v>
      </c>
      <c r="Y51" s="3" t="e">
        <v>#N/A</v>
      </c>
      <c r="Z51" s="3" t="e">
        <v>#N/A</v>
      </c>
      <c r="AA51" s="3" t="e">
        <v>#N/A</v>
      </c>
      <c r="AB51" s="3" t="e">
        <v>#N/A</v>
      </c>
      <c r="AC51" s="3" t="e">
        <v>#N/A</v>
      </c>
      <c r="AD51" s="3" t="e">
        <v>#N/A</v>
      </c>
      <c r="AE51" s="3" t="e">
        <v>#N/A</v>
      </c>
      <c r="AF51" s="3" t="e">
        <v>#N/A</v>
      </c>
      <c r="AG51" s="3" t="e">
        <v>#N/A</v>
      </c>
      <c r="AH51" s="3" t="e">
        <v>#N/A</v>
      </c>
      <c r="AI51" s="3" t="e">
        <v>#N/A</v>
      </c>
      <c r="AJ51" s="3" t="e">
        <v>#N/A</v>
      </c>
      <c r="AK51" s="3" t="e">
        <v>#N/A</v>
      </c>
      <c r="AL51" s="3" t="e">
        <v>#N/A</v>
      </c>
      <c r="AM51" s="3" t="e">
        <v>#N/A</v>
      </c>
      <c r="AN51" s="3" t="e">
        <v>#N/A</v>
      </c>
      <c r="AO51" s="3" t="e">
        <v>#N/A</v>
      </c>
      <c r="AP51" s="3" t="e">
        <v>#N/A</v>
      </c>
      <c r="AR51" s="3" t="e">
        <f t="shared" si="0"/>
        <v>#N/A</v>
      </c>
      <c r="AS51" s="3" t="e">
        <f t="shared" si="0"/>
        <v>#N/A</v>
      </c>
      <c r="AT51" s="3" t="e">
        <f t="shared" si="0"/>
        <v>#N/A</v>
      </c>
      <c r="AU51" s="3" t="e">
        <f t="shared" si="1"/>
        <v>#N/A</v>
      </c>
      <c r="AV51" s="3" t="e">
        <f t="shared" si="2"/>
        <v>#N/A</v>
      </c>
      <c r="AW51" s="3" t="e">
        <f t="shared" si="3"/>
        <v>#N/A</v>
      </c>
      <c r="AX51" s="3" t="e">
        <f t="shared" si="4"/>
        <v>#N/A</v>
      </c>
      <c r="AY51" s="3" t="e">
        <f t="shared" si="5"/>
        <v>#N/A</v>
      </c>
      <c r="AZ51" s="3" t="e">
        <f t="shared" si="6"/>
        <v>#N/A</v>
      </c>
      <c r="BA51" s="3" t="e">
        <f t="shared" si="7"/>
        <v>#N/A</v>
      </c>
      <c r="BB51" s="3" t="e">
        <f t="shared" si="8"/>
        <v>#N/A</v>
      </c>
    </row>
    <row r="52" spans="1:54" x14ac:dyDescent="0.25">
      <c r="A52" t="s">
        <v>663</v>
      </c>
      <c r="B52" s="21">
        <v>5.45</v>
      </c>
      <c r="C52" s="21">
        <v>4.79</v>
      </c>
      <c r="D52" s="35">
        <v>3.5</v>
      </c>
      <c r="E52" s="3" t="e">
        <v>#N/A</v>
      </c>
      <c r="F52" s="3" t="e">
        <v>#N/A</v>
      </c>
      <c r="G52" s="3">
        <v>158323</v>
      </c>
      <c r="H52" s="3">
        <v>159437</v>
      </c>
      <c r="I52" s="4" t="e">
        <v>#N/A</v>
      </c>
      <c r="J52" s="3"/>
      <c r="K52" s="3" t="e">
        <v>#N/A</v>
      </c>
      <c r="L52" s="3" t="e">
        <v>#N/A</v>
      </c>
      <c r="M52" s="3" t="e">
        <v>#N/A</v>
      </c>
      <c r="N52" s="3" t="e">
        <v>#N/A</v>
      </c>
      <c r="O52" s="3" t="e">
        <v>#N/A</v>
      </c>
      <c r="P52" s="3" t="e">
        <v>#N/A</v>
      </c>
      <c r="Q52" s="3" t="e">
        <v>#N/A</v>
      </c>
      <c r="R52" s="3" t="e">
        <v>#N/A</v>
      </c>
      <c r="S52" s="3" t="e">
        <v>#N/A</v>
      </c>
      <c r="T52" s="3" t="e">
        <v>#N/A</v>
      </c>
      <c r="U52" s="3" t="e">
        <v>#N/A</v>
      </c>
      <c r="V52" s="3" t="e">
        <v>#N/A</v>
      </c>
      <c r="W52" s="3" t="e">
        <v>#N/A</v>
      </c>
      <c r="X52" s="3" t="e">
        <v>#N/A</v>
      </c>
      <c r="Y52" s="3" t="e">
        <v>#N/A</v>
      </c>
      <c r="Z52" s="3" t="e">
        <v>#N/A</v>
      </c>
      <c r="AA52" s="3" t="e">
        <v>#N/A</v>
      </c>
      <c r="AB52" s="3" t="e">
        <v>#N/A</v>
      </c>
      <c r="AC52" s="3" t="e">
        <v>#N/A</v>
      </c>
      <c r="AD52" s="3" t="e">
        <v>#N/A</v>
      </c>
      <c r="AE52" s="3" t="e">
        <v>#N/A</v>
      </c>
      <c r="AF52" s="3" t="e">
        <v>#N/A</v>
      </c>
      <c r="AG52" s="3" t="e">
        <v>#N/A</v>
      </c>
      <c r="AH52" s="3" t="e">
        <v>#N/A</v>
      </c>
      <c r="AI52" s="3" t="e">
        <v>#N/A</v>
      </c>
      <c r="AJ52" s="3" t="e">
        <v>#N/A</v>
      </c>
      <c r="AK52" s="3" t="e">
        <v>#N/A</v>
      </c>
      <c r="AL52" s="3" t="e">
        <v>#N/A</v>
      </c>
      <c r="AM52" s="3" t="e">
        <v>#N/A</v>
      </c>
      <c r="AN52" s="3" t="e">
        <v>#N/A</v>
      </c>
      <c r="AO52" s="3" t="e">
        <v>#N/A</v>
      </c>
      <c r="AP52" s="3" t="e">
        <v>#N/A</v>
      </c>
      <c r="AR52" s="3" t="e">
        <f t="shared" si="0"/>
        <v>#N/A</v>
      </c>
      <c r="AS52" s="3" t="e">
        <f t="shared" si="0"/>
        <v>#N/A</v>
      </c>
      <c r="AT52" s="3" t="e">
        <f t="shared" si="0"/>
        <v>#N/A</v>
      </c>
      <c r="AU52" s="3" t="e">
        <f t="shared" si="1"/>
        <v>#N/A</v>
      </c>
      <c r="AV52" s="3" t="e">
        <f t="shared" si="2"/>
        <v>#N/A</v>
      </c>
      <c r="AW52" s="3" t="e">
        <f t="shared" si="3"/>
        <v>#N/A</v>
      </c>
      <c r="AX52" s="3" t="e">
        <f t="shared" si="4"/>
        <v>#N/A</v>
      </c>
      <c r="AY52" s="3" t="e">
        <f t="shared" si="5"/>
        <v>#N/A</v>
      </c>
      <c r="AZ52" s="3" t="e">
        <f t="shared" si="6"/>
        <v>#N/A</v>
      </c>
      <c r="BA52" s="3" t="e">
        <f t="shared" si="7"/>
        <v>#N/A</v>
      </c>
      <c r="BB52" s="3" t="e">
        <f t="shared" si="8"/>
        <v>#N/A</v>
      </c>
    </row>
    <row r="53" spans="1:54" x14ac:dyDescent="0.25">
      <c r="A53" t="s">
        <v>664</v>
      </c>
      <c r="B53" s="21">
        <v>5.48</v>
      </c>
      <c r="C53" s="21">
        <v>4.78</v>
      </c>
      <c r="D53" s="35">
        <v>3.5</v>
      </c>
      <c r="E53" s="3" t="e">
        <v>#N/A</v>
      </c>
      <c r="F53" s="3" t="e">
        <v>#N/A</v>
      </c>
      <c r="G53" s="3">
        <v>159829</v>
      </c>
      <c r="H53" s="3">
        <v>157701</v>
      </c>
      <c r="I53" s="4" t="e">
        <v>#N/A</v>
      </c>
      <c r="J53" s="3"/>
      <c r="K53" s="3" t="e">
        <v>#N/A</v>
      </c>
      <c r="L53" s="3" t="e">
        <v>#N/A</v>
      </c>
      <c r="M53" s="3" t="e">
        <v>#N/A</v>
      </c>
      <c r="N53" s="3" t="e">
        <v>#N/A</v>
      </c>
      <c r="O53" s="3" t="e">
        <v>#N/A</v>
      </c>
      <c r="P53" s="3" t="e">
        <v>#N/A</v>
      </c>
      <c r="Q53" s="3" t="e">
        <v>#N/A</v>
      </c>
      <c r="R53" s="3" t="e">
        <v>#N/A</v>
      </c>
      <c r="S53" s="3" t="e">
        <v>#N/A</v>
      </c>
      <c r="T53" s="3" t="e">
        <v>#N/A</v>
      </c>
      <c r="U53" s="3" t="e">
        <v>#N/A</v>
      </c>
      <c r="V53" s="3" t="e">
        <v>#N/A</v>
      </c>
      <c r="W53" s="3" t="e">
        <v>#N/A</v>
      </c>
      <c r="X53" s="3" t="e">
        <v>#N/A</v>
      </c>
      <c r="Y53" s="3" t="e">
        <v>#N/A</v>
      </c>
      <c r="Z53" s="3" t="e">
        <v>#N/A</v>
      </c>
      <c r="AA53" s="3" t="e">
        <v>#N/A</v>
      </c>
      <c r="AB53" s="3" t="e">
        <v>#N/A</v>
      </c>
      <c r="AC53" s="3" t="e">
        <v>#N/A</v>
      </c>
      <c r="AD53" s="3" t="e">
        <v>#N/A</v>
      </c>
      <c r="AE53" s="3" t="e">
        <v>#N/A</v>
      </c>
      <c r="AF53" s="3" t="e">
        <v>#N/A</v>
      </c>
      <c r="AG53" s="3" t="e">
        <v>#N/A</v>
      </c>
      <c r="AH53" s="3" t="e">
        <v>#N/A</v>
      </c>
      <c r="AI53" s="3" t="e">
        <v>#N/A</v>
      </c>
      <c r="AJ53" s="3" t="e">
        <v>#N/A</v>
      </c>
      <c r="AK53" s="3" t="e">
        <v>#N/A</v>
      </c>
      <c r="AL53" s="3" t="e">
        <v>#N/A</v>
      </c>
      <c r="AM53" s="3" t="e">
        <v>#N/A</v>
      </c>
      <c r="AN53" s="3" t="e">
        <v>#N/A</v>
      </c>
      <c r="AO53" s="3" t="e">
        <v>#N/A</v>
      </c>
      <c r="AP53" s="3" t="e">
        <v>#N/A</v>
      </c>
      <c r="AR53" s="3" t="e">
        <f t="shared" si="0"/>
        <v>#N/A</v>
      </c>
      <c r="AS53" s="3" t="e">
        <f t="shared" si="0"/>
        <v>#N/A</v>
      </c>
      <c r="AT53" s="3" t="e">
        <f t="shared" si="0"/>
        <v>#N/A</v>
      </c>
      <c r="AU53" s="3" t="e">
        <f t="shared" si="1"/>
        <v>#N/A</v>
      </c>
      <c r="AV53" s="3" t="e">
        <f t="shared" si="2"/>
        <v>#N/A</v>
      </c>
      <c r="AW53" s="3" t="e">
        <f t="shared" si="3"/>
        <v>#N/A</v>
      </c>
      <c r="AX53" s="3" t="e">
        <f t="shared" si="4"/>
        <v>#N/A</v>
      </c>
      <c r="AY53" s="3" t="e">
        <f t="shared" si="5"/>
        <v>#N/A</v>
      </c>
      <c r="AZ53" s="3" t="e">
        <f t="shared" si="6"/>
        <v>#N/A</v>
      </c>
      <c r="BA53" s="3" t="e">
        <f t="shared" si="7"/>
        <v>#N/A</v>
      </c>
      <c r="BB53" s="3" t="e">
        <f t="shared" si="8"/>
        <v>#N/A</v>
      </c>
    </row>
    <row r="54" spans="1:54" x14ac:dyDescent="0.25">
      <c r="A54" t="s">
        <v>665</v>
      </c>
      <c r="B54" s="21">
        <v>5.58</v>
      </c>
      <c r="C54" s="21">
        <v>4.7699999999999996</v>
      </c>
      <c r="D54" s="35">
        <v>3.7124999999999999</v>
      </c>
      <c r="E54" s="3" t="e">
        <v>#N/A</v>
      </c>
      <c r="F54" s="3" t="e">
        <v>#N/A</v>
      </c>
      <c r="G54" s="3">
        <v>164070</v>
      </c>
      <c r="H54" s="3">
        <v>164273</v>
      </c>
      <c r="I54" s="4" t="e">
        <v>#N/A</v>
      </c>
      <c r="J54" s="3"/>
      <c r="K54" s="3" t="e">
        <v>#N/A</v>
      </c>
      <c r="L54" s="3" t="e">
        <v>#N/A</v>
      </c>
      <c r="M54" s="3" t="e">
        <v>#N/A</v>
      </c>
      <c r="N54" s="3" t="e">
        <v>#N/A</v>
      </c>
      <c r="O54" s="3" t="e">
        <v>#N/A</v>
      </c>
      <c r="P54" s="3" t="e">
        <v>#N/A</v>
      </c>
      <c r="Q54" s="3" t="e">
        <v>#N/A</v>
      </c>
      <c r="R54" s="3" t="e">
        <v>#N/A</v>
      </c>
      <c r="S54" s="3" t="e">
        <v>#N/A</v>
      </c>
      <c r="T54" s="3" t="e">
        <v>#N/A</v>
      </c>
      <c r="U54" s="3" t="e">
        <v>#N/A</v>
      </c>
      <c r="V54" s="3" t="e">
        <v>#N/A</v>
      </c>
      <c r="W54" s="3" t="e">
        <v>#N/A</v>
      </c>
      <c r="X54" s="3" t="e">
        <v>#N/A</v>
      </c>
      <c r="Y54" s="3" t="e">
        <v>#N/A</v>
      </c>
      <c r="Z54" s="3" t="e">
        <v>#N/A</v>
      </c>
      <c r="AA54" s="3" t="e">
        <v>#N/A</v>
      </c>
      <c r="AB54" s="3" t="e">
        <v>#N/A</v>
      </c>
      <c r="AC54" s="3" t="e">
        <v>#N/A</v>
      </c>
      <c r="AD54" s="3" t="e">
        <v>#N/A</v>
      </c>
      <c r="AE54" s="3" t="e">
        <v>#N/A</v>
      </c>
      <c r="AF54" s="3" t="e">
        <v>#N/A</v>
      </c>
      <c r="AG54" s="3" t="e">
        <v>#N/A</v>
      </c>
      <c r="AH54" s="3" t="e">
        <v>#N/A</v>
      </c>
      <c r="AI54" s="3" t="e">
        <v>#N/A</v>
      </c>
      <c r="AJ54" s="3" t="e">
        <v>#N/A</v>
      </c>
      <c r="AK54" s="3" t="e">
        <v>#N/A</v>
      </c>
      <c r="AL54" s="3" t="e">
        <v>#N/A</v>
      </c>
      <c r="AM54" s="3" t="e">
        <v>#N/A</v>
      </c>
      <c r="AN54" s="3" t="e">
        <v>#N/A</v>
      </c>
      <c r="AO54" s="3" t="e">
        <v>#N/A</v>
      </c>
      <c r="AP54" s="3" t="e">
        <v>#N/A</v>
      </c>
      <c r="AR54" s="3" t="e">
        <f t="shared" si="0"/>
        <v>#N/A</v>
      </c>
      <c r="AS54" s="3" t="e">
        <f t="shared" si="0"/>
        <v>#N/A</v>
      </c>
      <c r="AT54" s="3" t="e">
        <f t="shared" si="0"/>
        <v>#N/A</v>
      </c>
      <c r="AU54" s="3" t="e">
        <f t="shared" si="1"/>
        <v>#N/A</v>
      </c>
      <c r="AV54" s="3" t="e">
        <f t="shared" si="2"/>
        <v>#N/A</v>
      </c>
      <c r="AW54" s="3" t="e">
        <f t="shared" si="3"/>
        <v>#N/A</v>
      </c>
      <c r="AX54" s="3" t="e">
        <f t="shared" si="4"/>
        <v>#N/A</v>
      </c>
      <c r="AY54" s="3" t="e">
        <f t="shared" si="5"/>
        <v>#N/A</v>
      </c>
      <c r="AZ54" s="3" t="e">
        <f t="shared" si="6"/>
        <v>#N/A</v>
      </c>
      <c r="BA54" s="3" t="e">
        <f t="shared" si="7"/>
        <v>#N/A</v>
      </c>
      <c r="BB54" s="3" t="e">
        <f t="shared" si="8"/>
        <v>#N/A</v>
      </c>
    </row>
    <row r="55" spans="1:54" x14ac:dyDescent="0.25">
      <c r="A55" t="s">
        <v>666</v>
      </c>
      <c r="B55" s="21">
        <v>5.64</v>
      </c>
      <c r="C55" s="21">
        <v>4.87</v>
      </c>
      <c r="D55" s="35">
        <v>3.75</v>
      </c>
      <c r="E55" s="3" t="e">
        <v>#N/A</v>
      </c>
      <c r="F55" s="3" t="e">
        <v>#N/A</v>
      </c>
      <c r="G55" s="3">
        <v>164354</v>
      </c>
      <c r="H55" s="3">
        <v>168707</v>
      </c>
      <c r="I55" s="4" t="e">
        <v>#N/A</v>
      </c>
      <c r="J55" s="3"/>
      <c r="K55" s="3" t="e">
        <v>#N/A</v>
      </c>
      <c r="L55" s="3" t="e">
        <v>#N/A</v>
      </c>
      <c r="M55" s="3" t="e">
        <v>#N/A</v>
      </c>
      <c r="N55" s="3" t="e">
        <v>#N/A</v>
      </c>
      <c r="O55" s="3" t="e">
        <v>#N/A</v>
      </c>
      <c r="P55" s="3" t="e">
        <v>#N/A</v>
      </c>
      <c r="Q55" s="3" t="e">
        <v>#N/A</v>
      </c>
      <c r="R55" s="3" t="e">
        <v>#N/A</v>
      </c>
      <c r="S55" s="3" t="e">
        <v>#N/A</v>
      </c>
      <c r="T55" s="3" t="e">
        <v>#N/A</v>
      </c>
      <c r="U55" s="3" t="e">
        <v>#N/A</v>
      </c>
      <c r="V55" s="3" t="e">
        <v>#N/A</v>
      </c>
      <c r="W55" s="3" t="e">
        <v>#N/A</v>
      </c>
      <c r="X55" s="3" t="e">
        <v>#N/A</v>
      </c>
      <c r="Y55" s="3" t="e">
        <v>#N/A</v>
      </c>
      <c r="Z55" s="3" t="e">
        <v>#N/A</v>
      </c>
      <c r="AA55" s="3" t="e">
        <v>#N/A</v>
      </c>
      <c r="AB55" s="3" t="e">
        <v>#N/A</v>
      </c>
      <c r="AC55" s="3" t="e">
        <v>#N/A</v>
      </c>
      <c r="AD55" s="3" t="e">
        <v>#N/A</v>
      </c>
      <c r="AE55" s="3" t="e">
        <v>#N/A</v>
      </c>
      <c r="AF55" s="3" t="e">
        <v>#N/A</v>
      </c>
      <c r="AG55" s="3" t="e">
        <v>#N/A</v>
      </c>
      <c r="AH55" s="3" t="e">
        <v>#N/A</v>
      </c>
      <c r="AI55" s="3" t="e">
        <v>#N/A</v>
      </c>
      <c r="AJ55" s="3" t="e">
        <v>#N/A</v>
      </c>
      <c r="AK55" s="3" t="e">
        <v>#N/A</v>
      </c>
      <c r="AL55" s="3" t="e">
        <v>#N/A</v>
      </c>
      <c r="AM55" s="3" t="e">
        <v>#N/A</v>
      </c>
      <c r="AN55" s="3" t="e">
        <v>#N/A</v>
      </c>
      <c r="AO55" s="3" t="e">
        <v>#N/A</v>
      </c>
      <c r="AP55" s="3" t="e">
        <v>#N/A</v>
      </c>
      <c r="AR55" s="3" t="e">
        <f t="shared" si="0"/>
        <v>#N/A</v>
      </c>
      <c r="AS55" s="3" t="e">
        <f t="shared" si="0"/>
        <v>#N/A</v>
      </c>
      <c r="AT55" s="3" t="e">
        <f t="shared" si="0"/>
        <v>#N/A</v>
      </c>
      <c r="AU55" s="3" t="e">
        <f t="shared" si="1"/>
        <v>#N/A</v>
      </c>
      <c r="AV55" s="3" t="e">
        <f t="shared" si="2"/>
        <v>#N/A</v>
      </c>
      <c r="AW55" s="3" t="e">
        <f t="shared" si="3"/>
        <v>#N/A</v>
      </c>
      <c r="AX55" s="3" t="e">
        <f t="shared" si="4"/>
        <v>#N/A</v>
      </c>
      <c r="AY55" s="3" t="e">
        <f t="shared" si="5"/>
        <v>#N/A</v>
      </c>
      <c r="AZ55" s="3" t="e">
        <f t="shared" si="6"/>
        <v>#N/A</v>
      </c>
      <c r="BA55" s="3" t="e">
        <f t="shared" si="7"/>
        <v>#N/A</v>
      </c>
      <c r="BB55" s="3" t="e">
        <f t="shared" si="8"/>
        <v>#N/A</v>
      </c>
    </row>
    <row r="56" spans="1:54" x14ac:dyDescent="0.25">
      <c r="A56" t="s">
        <v>667</v>
      </c>
      <c r="B56" s="21">
        <v>5.44</v>
      </c>
      <c r="C56" s="21">
        <v>4.9000000000000004</v>
      </c>
      <c r="D56" s="35">
        <v>3.75</v>
      </c>
      <c r="E56" s="3" t="e">
        <v>#N/A</v>
      </c>
      <c r="F56" s="3" t="e">
        <v>#N/A</v>
      </c>
      <c r="G56" s="3">
        <v>165796</v>
      </c>
      <c r="H56" s="3">
        <v>160540</v>
      </c>
      <c r="I56" s="4" t="e">
        <v>#N/A</v>
      </c>
      <c r="J56" s="3"/>
      <c r="K56" s="3" t="e">
        <v>#N/A</v>
      </c>
      <c r="L56" s="3" t="e">
        <v>#N/A</v>
      </c>
      <c r="M56" s="3" t="e">
        <v>#N/A</v>
      </c>
      <c r="N56" s="3" t="e">
        <v>#N/A</v>
      </c>
      <c r="O56" s="3" t="e">
        <v>#N/A</v>
      </c>
      <c r="P56" s="3" t="e">
        <v>#N/A</v>
      </c>
      <c r="Q56" s="3" t="e">
        <v>#N/A</v>
      </c>
      <c r="R56" s="3" t="e">
        <v>#N/A</v>
      </c>
      <c r="S56" s="3" t="e">
        <v>#N/A</v>
      </c>
      <c r="T56" s="3" t="e">
        <v>#N/A</v>
      </c>
      <c r="U56" s="3" t="e">
        <v>#N/A</v>
      </c>
      <c r="V56" s="3" t="e">
        <v>#N/A</v>
      </c>
      <c r="W56" s="3" t="e">
        <v>#N/A</v>
      </c>
      <c r="X56" s="3" t="e">
        <v>#N/A</v>
      </c>
      <c r="Y56" s="3" t="e">
        <v>#N/A</v>
      </c>
      <c r="Z56" s="3" t="e">
        <v>#N/A</v>
      </c>
      <c r="AA56" s="3" t="e">
        <v>#N/A</v>
      </c>
      <c r="AB56" s="3" t="e">
        <v>#N/A</v>
      </c>
      <c r="AC56" s="3" t="e">
        <v>#N/A</v>
      </c>
      <c r="AD56" s="3" t="e">
        <v>#N/A</v>
      </c>
      <c r="AE56" s="3" t="e">
        <v>#N/A</v>
      </c>
      <c r="AF56" s="3" t="e">
        <v>#N/A</v>
      </c>
      <c r="AG56" s="3" t="e">
        <v>#N/A</v>
      </c>
      <c r="AH56" s="3" t="e">
        <v>#N/A</v>
      </c>
      <c r="AI56" s="3" t="e">
        <v>#N/A</v>
      </c>
      <c r="AJ56" s="3" t="e">
        <v>#N/A</v>
      </c>
      <c r="AK56" s="3" t="e">
        <v>#N/A</v>
      </c>
      <c r="AL56" s="3" t="e">
        <v>#N/A</v>
      </c>
      <c r="AM56" s="3" t="e">
        <v>#N/A</v>
      </c>
      <c r="AN56" s="3" t="e">
        <v>#N/A</v>
      </c>
      <c r="AO56" s="3" t="e">
        <v>#N/A</v>
      </c>
      <c r="AP56" s="3" t="e">
        <v>#N/A</v>
      </c>
      <c r="AR56" s="3" t="e">
        <f t="shared" si="0"/>
        <v>#N/A</v>
      </c>
      <c r="AS56" s="3" t="e">
        <f t="shared" si="0"/>
        <v>#N/A</v>
      </c>
      <c r="AT56" s="3" t="e">
        <f t="shared" si="0"/>
        <v>#N/A</v>
      </c>
      <c r="AU56" s="3" t="e">
        <f t="shared" si="1"/>
        <v>#N/A</v>
      </c>
      <c r="AV56" s="3" t="e">
        <f t="shared" si="2"/>
        <v>#N/A</v>
      </c>
      <c r="AW56" s="3" t="e">
        <f t="shared" si="3"/>
        <v>#N/A</v>
      </c>
      <c r="AX56" s="3" t="e">
        <f t="shared" si="4"/>
        <v>#N/A</v>
      </c>
      <c r="AY56" s="3" t="e">
        <f t="shared" si="5"/>
        <v>#N/A</v>
      </c>
      <c r="AZ56" s="3" t="e">
        <f t="shared" si="6"/>
        <v>#N/A</v>
      </c>
      <c r="BA56" s="3" t="e">
        <f t="shared" si="7"/>
        <v>#N/A</v>
      </c>
      <c r="BB56" s="3" t="e">
        <f t="shared" si="8"/>
        <v>#N/A</v>
      </c>
    </row>
    <row r="57" spans="1:54" x14ac:dyDescent="0.25">
      <c r="A57" t="s">
        <v>668</v>
      </c>
      <c r="B57" s="21">
        <v>5.61</v>
      </c>
      <c r="C57" s="21">
        <v>4.99</v>
      </c>
      <c r="D57" s="35">
        <v>3.9624999999999999</v>
      </c>
      <c r="E57" s="3" t="e">
        <v>#N/A</v>
      </c>
      <c r="F57" s="3" t="e">
        <v>#N/A</v>
      </c>
      <c r="G57" s="3">
        <v>166529</v>
      </c>
      <c r="H57" s="3">
        <v>159947</v>
      </c>
      <c r="I57" s="4" t="e">
        <v>#N/A</v>
      </c>
      <c r="J57" s="3"/>
      <c r="K57" s="3" t="e">
        <v>#N/A</v>
      </c>
      <c r="L57" s="3" t="e">
        <v>#N/A</v>
      </c>
      <c r="M57" s="3" t="e">
        <v>#N/A</v>
      </c>
      <c r="N57" s="3" t="e">
        <v>#N/A</v>
      </c>
      <c r="O57" s="3" t="e">
        <v>#N/A</v>
      </c>
      <c r="P57" s="3" t="e">
        <v>#N/A</v>
      </c>
      <c r="Q57" s="3" t="e">
        <v>#N/A</v>
      </c>
      <c r="R57" s="3" t="e">
        <v>#N/A</v>
      </c>
      <c r="S57" s="3" t="e">
        <v>#N/A</v>
      </c>
      <c r="T57" s="3" t="e">
        <v>#N/A</v>
      </c>
      <c r="U57" s="3" t="e">
        <v>#N/A</v>
      </c>
      <c r="V57" s="3" t="e">
        <v>#N/A</v>
      </c>
      <c r="W57" s="3" t="e">
        <v>#N/A</v>
      </c>
      <c r="X57" s="3" t="e">
        <v>#N/A</v>
      </c>
      <c r="Y57" s="3" t="e">
        <v>#N/A</v>
      </c>
      <c r="Z57" s="3" t="e">
        <v>#N/A</v>
      </c>
      <c r="AA57" s="3" t="e">
        <v>#N/A</v>
      </c>
      <c r="AB57" s="3" t="e">
        <v>#N/A</v>
      </c>
      <c r="AC57" s="3" t="e">
        <v>#N/A</v>
      </c>
      <c r="AD57" s="3" t="e">
        <v>#N/A</v>
      </c>
      <c r="AE57" s="3" t="e">
        <v>#N/A</v>
      </c>
      <c r="AF57" s="3" t="e">
        <v>#N/A</v>
      </c>
      <c r="AG57" s="3" t="e">
        <v>#N/A</v>
      </c>
      <c r="AH57" s="3" t="e">
        <v>#N/A</v>
      </c>
      <c r="AI57" s="3" t="e">
        <v>#N/A</v>
      </c>
      <c r="AJ57" s="3" t="e">
        <v>#N/A</v>
      </c>
      <c r="AK57" s="3" t="e">
        <v>#N/A</v>
      </c>
      <c r="AL57" s="3" t="e">
        <v>#N/A</v>
      </c>
      <c r="AM57" s="3" t="e">
        <v>#N/A</v>
      </c>
      <c r="AN57" s="3" t="e">
        <v>#N/A</v>
      </c>
      <c r="AO57" s="3" t="e">
        <v>#N/A</v>
      </c>
      <c r="AP57" s="3" t="e">
        <v>#N/A</v>
      </c>
      <c r="AR57" s="3" t="e">
        <f t="shared" si="0"/>
        <v>#N/A</v>
      </c>
      <c r="AS57" s="3" t="e">
        <f t="shared" si="0"/>
        <v>#N/A</v>
      </c>
      <c r="AT57" s="3" t="e">
        <f t="shared" si="0"/>
        <v>#N/A</v>
      </c>
      <c r="AU57" s="3" t="e">
        <f t="shared" si="1"/>
        <v>#N/A</v>
      </c>
      <c r="AV57" s="3" t="e">
        <f t="shared" si="2"/>
        <v>#N/A</v>
      </c>
      <c r="AW57" s="3" t="e">
        <f t="shared" si="3"/>
        <v>#N/A</v>
      </c>
      <c r="AX57" s="3" t="e">
        <f t="shared" si="4"/>
        <v>#N/A</v>
      </c>
      <c r="AY57" s="3" t="e">
        <f t="shared" si="5"/>
        <v>#N/A</v>
      </c>
      <c r="AZ57" s="3" t="e">
        <f t="shared" si="6"/>
        <v>#N/A</v>
      </c>
      <c r="BA57" s="3" t="e">
        <f t="shared" si="7"/>
        <v>#N/A</v>
      </c>
      <c r="BB57" s="3" t="e">
        <f t="shared" si="8"/>
        <v>#N/A</v>
      </c>
    </row>
    <row r="58" spans="1:54" x14ac:dyDescent="0.25">
      <c r="A58" t="s">
        <v>669</v>
      </c>
      <c r="B58" s="21">
        <v>5.77</v>
      </c>
      <c r="C58" s="21">
        <v>5.0599999999999996</v>
      </c>
      <c r="D58" s="35">
        <v>4</v>
      </c>
      <c r="E58" s="3" t="e">
        <v>#N/A</v>
      </c>
      <c r="F58" s="3" t="e">
        <v>#N/A</v>
      </c>
      <c r="G58" s="3">
        <v>167822</v>
      </c>
      <c r="H58" s="3">
        <v>169359</v>
      </c>
      <c r="I58" s="4" t="e">
        <v>#N/A</v>
      </c>
      <c r="J58" s="3"/>
      <c r="K58" s="3" t="e">
        <v>#N/A</v>
      </c>
      <c r="L58" s="3" t="e">
        <v>#N/A</v>
      </c>
      <c r="M58" s="3" t="e">
        <v>#N/A</v>
      </c>
      <c r="N58" s="3" t="e">
        <v>#N/A</v>
      </c>
      <c r="O58" s="3" t="e">
        <v>#N/A</v>
      </c>
      <c r="P58" s="3" t="e">
        <v>#N/A</v>
      </c>
      <c r="Q58" s="3" t="e">
        <v>#N/A</v>
      </c>
      <c r="R58" s="3" t="e">
        <v>#N/A</v>
      </c>
      <c r="S58" s="3" t="e">
        <v>#N/A</v>
      </c>
      <c r="T58" s="3" t="e">
        <v>#N/A</v>
      </c>
      <c r="U58" s="3" t="e">
        <v>#N/A</v>
      </c>
      <c r="V58" s="3" t="e">
        <v>#N/A</v>
      </c>
      <c r="W58" s="3" t="e">
        <v>#N/A</v>
      </c>
      <c r="X58" s="3" t="e">
        <v>#N/A</v>
      </c>
      <c r="Y58" s="3" t="e">
        <v>#N/A</v>
      </c>
      <c r="Z58" s="3" t="e">
        <v>#N/A</v>
      </c>
      <c r="AA58" s="3" t="e">
        <v>#N/A</v>
      </c>
      <c r="AB58" s="3" t="e">
        <v>#N/A</v>
      </c>
      <c r="AC58" s="3" t="e">
        <v>#N/A</v>
      </c>
      <c r="AD58" s="3" t="e">
        <v>#N/A</v>
      </c>
      <c r="AE58" s="3" t="e">
        <v>#N/A</v>
      </c>
      <c r="AF58" s="3" t="e">
        <v>#N/A</v>
      </c>
      <c r="AG58" s="3" t="e">
        <v>#N/A</v>
      </c>
      <c r="AH58" s="3" t="e">
        <v>#N/A</v>
      </c>
      <c r="AI58" s="3" t="e">
        <v>#N/A</v>
      </c>
      <c r="AJ58" s="3" t="e">
        <v>#N/A</v>
      </c>
      <c r="AK58" s="3" t="e">
        <v>#N/A</v>
      </c>
      <c r="AL58" s="3" t="e">
        <v>#N/A</v>
      </c>
      <c r="AM58" s="3" t="e">
        <v>#N/A</v>
      </c>
      <c r="AN58" s="3" t="e">
        <v>#N/A</v>
      </c>
      <c r="AO58" s="3" t="e">
        <v>#N/A</v>
      </c>
      <c r="AP58" s="3" t="e">
        <v>#N/A</v>
      </c>
      <c r="AR58" s="3" t="e">
        <f t="shared" si="0"/>
        <v>#N/A</v>
      </c>
      <c r="AS58" s="3" t="e">
        <f t="shared" si="0"/>
        <v>#N/A</v>
      </c>
      <c r="AT58" s="3" t="e">
        <f t="shared" si="0"/>
        <v>#N/A</v>
      </c>
      <c r="AU58" s="3" t="e">
        <f t="shared" si="1"/>
        <v>#N/A</v>
      </c>
      <c r="AV58" s="3" t="e">
        <f t="shared" si="2"/>
        <v>#N/A</v>
      </c>
      <c r="AW58" s="3" t="e">
        <f t="shared" si="3"/>
        <v>#N/A</v>
      </c>
      <c r="AX58" s="3" t="e">
        <f t="shared" si="4"/>
        <v>#N/A</v>
      </c>
      <c r="AY58" s="3" t="e">
        <f t="shared" si="5"/>
        <v>#N/A</v>
      </c>
      <c r="AZ58" s="3" t="e">
        <f t="shared" si="6"/>
        <v>#N/A</v>
      </c>
      <c r="BA58" s="3" t="e">
        <f t="shared" si="7"/>
        <v>#N/A</v>
      </c>
      <c r="BB58" s="3" t="e">
        <f t="shared" si="8"/>
        <v>#N/A</v>
      </c>
    </row>
    <row r="59" spans="1:54" x14ac:dyDescent="0.25">
      <c r="A59" t="s">
        <v>670</v>
      </c>
      <c r="B59" s="21">
        <v>5.78</v>
      </c>
      <c r="C59" s="21">
        <v>5.03</v>
      </c>
      <c r="D59" s="35">
        <v>4</v>
      </c>
      <c r="E59" s="3" t="e">
        <v>#N/A</v>
      </c>
      <c r="F59" s="3" t="e">
        <v>#N/A</v>
      </c>
      <c r="G59" s="3">
        <v>169578</v>
      </c>
      <c r="H59" s="3">
        <v>168696</v>
      </c>
      <c r="I59" s="4" t="e">
        <v>#N/A</v>
      </c>
      <c r="J59" s="3"/>
      <c r="K59" s="3" t="e">
        <v>#N/A</v>
      </c>
      <c r="L59" s="3" t="e">
        <v>#N/A</v>
      </c>
      <c r="M59" s="3" t="e">
        <v>#N/A</v>
      </c>
      <c r="N59" s="3" t="e">
        <v>#N/A</v>
      </c>
      <c r="O59" s="3" t="e">
        <v>#N/A</v>
      </c>
      <c r="P59" s="3" t="e">
        <v>#N/A</v>
      </c>
      <c r="Q59" s="3" t="e">
        <v>#N/A</v>
      </c>
      <c r="R59" s="3" t="e">
        <v>#N/A</v>
      </c>
      <c r="S59" s="3" t="e">
        <v>#N/A</v>
      </c>
      <c r="T59" s="3" t="e">
        <v>#N/A</v>
      </c>
      <c r="U59" s="3" t="e">
        <v>#N/A</v>
      </c>
      <c r="V59" s="3" t="e">
        <v>#N/A</v>
      </c>
      <c r="W59" s="3" t="e">
        <v>#N/A</v>
      </c>
      <c r="X59" s="3" t="e">
        <v>#N/A</v>
      </c>
      <c r="Y59" s="3" t="e">
        <v>#N/A</v>
      </c>
      <c r="Z59" s="3" t="e">
        <v>#N/A</v>
      </c>
      <c r="AA59" s="3" t="e">
        <v>#N/A</v>
      </c>
      <c r="AB59" s="3" t="e">
        <v>#N/A</v>
      </c>
      <c r="AC59" s="3" t="e">
        <v>#N/A</v>
      </c>
      <c r="AD59" s="3" t="e">
        <v>#N/A</v>
      </c>
      <c r="AE59" s="3" t="e">
        <v>#N/A</v>
      </c>
      <c r="AF59" s="3" t="e">
        <v>#N/A</v>
      </c>
      <c r="AG59" s="3" t="e">
        <v>#N/A</v>
      </c>
      <c r="AH59" s="3" t="e">
        <v>#N/A</v>
      </c>
      <c r="AI59" s="3" t="e">
        <v>#N/A</v>
      </c>
      <c r="AJ59" s="3" t="e">
        <v>#N/A</v>
      </c>
      <c r="AK59" s="3" t="e">
        <v>#N/A</v>
      </c>
      <c r="AL59" s="3" t="e">
        <v>#N/A</v>
      </c>
      <c r="AM59" s="3" t="e">
        <v>#N/A</v>
      </c>
      <c r="AN59" s="3" t="e">
        <v>#N/A</v>
      </c>
      <c r="AO59" s="3" t="e">
        <v>#N/A</v>
      </c>
      <c r="AP59" s="3" t="e">
        <v>#N/A</v>
      </c>
      <c r="AR59" s="3" t="e">
        <f t="shared" si="0"/>
        <v>#N/A</v>
      </c>
      <c r="AS59" s="3" t="e">
        <f t="shared" si="0"/>
        <v>#N/A</v>
      </c>
      <c r="AT59" s="3" t="e">
        <f t="shared" si="0"/>
        <v>#N/A</v>
      </c>
      <c r="AU59" s="3" t="e">
        <f t="shared" si="1"/>
        <v>#N/A</v>
      </c>
      <c r="AV59" s="3" t="e">
        <f t="shared" si="2"/>
        <v>#N/A</v>
      </c>
      <c r="AW59" s="3" t="e">
        <f t="shared" si="3"/>
        <v>#N/A</v>
      </c>
      <c r="AX59" s="3" t="e">
        <f t="shared" si="4"/>
        <v>#N/A</v>
      </c>
      <c r="AY59" s="3" t="e">
        <f t="shared" si="5"/>
        <v>#N/A</v>
      </c>
      <c r="AZ59" s="3" t="e">
        <f t="shared" si="6"/>
        <v>#N/A</v>
      </c>
      <c r="BA59" s="3" t="e">
        <f t="shared" si="7"/>
        <v>#N/A</v>
      </c>
      <c r="BB59" s="3" t="e">
        <f t="shared" si="8"/>
        <v>#N/A</v>
      </c>
    </row>
    <row r="60" spans="1:54" x14ac:dyDescent="0.25">
      <c r="A60" t="s">
        <v>671</v>
      </c>
      <c r="B60" s="21">
        <v>5.92</v>
      </c>
      <c r="C60" s="21">
        <v>5.0599999999999996</v>
      </c>
      <c r="D60" s="35">
        <v>4.2142857142857144</v>
      </c>
      <c r="E60" s="3" t="e">
        <v>#N/A</v>
      </c>
      <c r="F60" s="3" t="e">
        <v>#N/A</v>
      </c>
      <c r="G60" s="3">
        <v>170888</v>
      </c>
      <c r="H60" s="3">
        <v>171458</v>
      </c>
      <c r="I60" s="4" t="e">
        <v>#N/A</v>
      </c>
      <c r="J60" s="3"/>
      <c r="K60" s="3" t="e">
        <v>#N/A</v>
      </c>
      <c r="L60" s="3" t="e">
        <v>#N/A</v>
      </c>
      <c r="M60" s="3" t="e">
        <v>#N/A</v>
      </c>
      <c r="N60" s="3" t="e">
        <v>#N/A</v>
      </c>
      <c r="O60" s="3" t="e">
        <v>#N/A</v>
      </c>
      <c r="P60" s="3" t="e">
        <v>#N/A</v>
      </c>
      <c r="Q60" s="3" t="e">
        <v>#N/A</v>
      </c>
      <c r="R60" s="3" t="e">
        <v>#N/A</v>
      </c>
      <c r="S60" s="3" t="e">
        <v>#N/A</v>
      </c>
      <c r="T60" s="3" t="e">
        <v>#N/A</v>
      </c>
      <c r="U60" s="3" t="e">
        <v>#N/A</v>
      </c>
      <c r="V60" s="3" t="e">
        <v>#N/A</v>
      </c>
      <c r="W60" s="3" t="e">
        <v>#N/A</v>
      </c>
      <c r="X60" s="3" t="e">
        <v>#N/A</v>
      </c>
      <c r="Y60" s="3" t="e">
        <v>#N/A</v>
      </c>
      <c r="Z60" s="3" t="e">
        <v>#N/A</v>
      </c>
      <c r="AA60" s="3" t="e">
        <v>#N/A</v>
      </c>
      <c r="AB60" s="3" t="e">
        <v>#N/A</v>
      </c>
      <c r="AC60" s="3" t="e">
        <v>#N/A</v>
      </c>
      <c r="AD60" s="3" t="e">
        <v>#N/A</v>
      </c>
      <c r="AE60" s="3" t="e">
        <v>#N/A</v>
      </c>
      <c r="AF60" s="3" t="e">
        <v>#N/A</v>
      </c>
      <c r="AG60" s="3" t="e">
        <v>#N/A</v>
      </c>
      <c r="AH60" s="3" t="e">
        <v>#N/A</v>
      </c>
      <c r="AI60" s="3" t="e">
        <v>#N/A</v>
      </c>
      <c r="AJ60" s="3" t="e">
        <v>#N/A</v>
      </c>
      <c r="AK60" s="3" t="e">
        <v>#N/A</v>
      </c>
      <c r="AL60" s="3" t="e">
        <v>#N/A</v>
      </c>
      <c r="AM60" s="3" t="e">
        <v>#N/A</v>
      </c>
      <c r="AN60" s="3" t="e">
        <v>#N/A</v>
      </c>
      <c r="AO60" s="3" t="e">
        <v>#N/A</v>
      </c>
      <c r="AP60" s="3" t="e">
        <v>#N/A</v>
      </c>
      <c r="AR60" s="3" t="e">
        <f t="shared" si="0"/>
        <v>#N/A</v>
      </c>
      <c r="AS60" s="3" t="e">
        <f t="shared" si="0"/>
        <v>#N/A</v>
      </c>
      <c r="AT60" s="3" t="e">
        <f t="shared" si="0"/>
        <v>#N/A</v>
      </c>
      <c r="AU60" s="3" t="e">
        <f t="shared" si="1"/>
        <v>#N/A</v>
      </c>
      <c r="AV60" s="3" t="e">
        <f t="shared" si="2"/>
        <v>#N/A</v>
      </c>
      <c r="AW60" s="3" t="e">
        <f t="shared" si="3"/>
        <v>#N/A</v>
      </c>
      <c r="AX60" s="3" t="e">
        <f t="shared" si="4"/>
        <v>#N/A</v>
      </c>
      <c r="AY60" s="3" t="e">
        <f t="shared" si="5"/>
        <v>#N/A</v>
      </c>
      <c r="AZ60" s="3" t="e">
        <f t="shared" si="6"/>
        <v>#N/A</v>
      </c>
      <c r="BA60" s="3" t="e">
        <f t="shared" si="7"/>
        <v>#N/A</v>
      </c>
      <c r="BB60" s="3" t="e">
        <f t="shared" si="8"/>
        <v>#N/A</v>
      </c>
    </row>
    <row r="61" spans="1:54" x14ac:dyDescent="0.25">
      <c r="A61" t="s">
        <v>672</v>
      </c>
      <c r="B61" s="21">
        <v>5.97</v>
      </c>
      <c r="C61" s="21">
        <v>5.22</v>
      </c>
      <c r="D61" s="35">
        <v>4.4204545454545459</v>
      </c>
      <c r="E61" s="3" t="e">
        <v>#N/A</v>
      </c>
      <c r="F61" s="3" t="e">
        <v>#N/A</v>
      </c>
      <c r="G61" s="3">
        <v>172968</v>
      </c>
      <c r="H61" s="3">
        <v>176986</v>
      </c>
      <c r="I61" s="4" t="e">
        <v>#N/A</v>
      </c>
      <c r="J61" s="3"/>
      <c r="K61" s="3" t="e">
        <v>#N/A</v>
      </c>
      <c r="L61" s="3" t="e">
        <v>#N/A</v>
      </c>
      <c r="M61" s="3" t="e">
        <v>#N/A</v>
      </c>
      <c r="N61" s="3" t="e">
        <v>#N/A</v>
      </c>
      <c r="O61" s="3" t="e">
        <v>#N/A</v>
      </c>
      <c r="P61" s="3" t="e">
        <v>#N/A</v>
      </c>
      <c r="Q61" s="3" t="e">
        <v>#N/A</v>
      </c>
      <c r="R61" s="3" t="e">
        <v>#N/A</v>
      </c>
      <c r="S61" s="3" t="e">
        <v>#N/A</v>
      </c>
      <c r="T61" s="3" t="e">
        <v>#N/A</v>
      </c>
      <c r="U61" s="3" t="e">
        <v>#N/A</v>
      </c>
      <c r="V61" s="3" t="e">
        <v>#N/A</v>
      </c>
      <c r="W61" s="3" t="e">
        <v>#N/A</v>
      </c>
      <c r="X61" s="3" t="e">
        <v>#N/A</v>
      </c>
      <c r="Y61" s="3" t="e">
        <v>#N/A</v>
      </c>
      <c r="Z61" s="3" t="e">
        <v>#N/A</v>
      </c>
      <c r="AA61" s="3" t="e">
        <v>#N/A</v>
      </c>
      <c r="AB61" s="3" t="e">
        <v>#N/A</v>
      </c>
      <c r="AC61" s="3" t="e">
        <v>#N/A</v>
      </c>
      <c r="AD61" s="3" t="e">
        <v>#N/A</v>
      </c>
      <c r="AE61" s="3" t="e">
        <v>#N/A</v>
      </c>
      <c r="AF61" s="3" t="e">
        <v>#N/A</v>
      </c>
      <c r="AG61" s="3" t="e">
        <v>#N/A</v>
      </c>
      <c r="AH61" s="3" t="e">
        <v>#N/A</v>
      </c>
      <c r="AI61" s="3" t="e">
        <v>#N/A</v>
      </c>
      <c r="AJ61" s="3" t="e">
        <v>#N/A</v>
      </c>
      <c r="AK61" s="3" t="e">
        <v>#N/A</v>
      </c>
      <c r="AL61" s="3" t="e">
        <v>#N/A</v>
      </c>
      <c r="AM61" s="3" t="e">
        <v>#N/A</v>
      </c>
      <c r="AN61" s="3" t="e">
        <v>#N/A</v>
      </c>
      <c r="AO61" s="3" t="e">
        <v>#N/A</v>
      </c>
      <c r="AP61" s="3" t="e">
        <v>#N/A</v>
      </c>
      <c r="AR61" s="3" t="e">
        <f t="shared" si="0"/>
        <v>#N/A</v>
      </c>
      <c r="AS61" s="3" t="e">
        <f t="shared" si="0"/>
        <v>#N/A</v>
      </c>
      <c r="AT61" s="3" t="e">
        <f t="shared" si="0"/>
        <v>#N/A</v>
      </c>
      <c r="AU61" s="3" t="e">
        <f t="shared" si="1"/>
        <v>#N/A</v>
      </c>
      <c r="AV61" s="3" t="e">
        <f t="shared" si="2"/>
        <v>#N/A</v>
      </c>
      <c r="AW61" s="3" t="e">
        <f t="shared" si="3"/>
        <v>#N/A</v>
      </c>
      <c r="AX61" s="3" t="e">
        <f t="shared" si="4"/>
        <v>#N/A</v>
      </c>
      <c r="AY61" s="3" t="e">
        <f t="shared" si="5"/>
        <v>#N/A</v>
      </c>
      <c r="AZ61" s="3" t="e">
        <f t="shared" si="6"/>
        <v>#N/A</v>
      </c>
      <c r="BA61" s="3" t="e">
        <f t="shared" si="7"/>
        <v>#N/A</v>
      </c>
      <c r="BB61" s="3" t="e">
        <f t="shared" si="8"/>
        <v>#N/A</v>
      </c>
    </row>
    <row r="62" spans="1:54" x14ac:dyDescent="0.25">
      <c r="A62" t="s">
        <v>673</v>
      </c>
      <c r="B62" s="21">
        <v>6.22</v>
      </c>
      <c r="C62" s="21">
        <v>5.39</v>
      </c>
      <c r="D62" s="35">
        <v>4.5</v>
      </c>
      <c r="E62" s="3" t="e">
        <v>#N/A</v>
      </c>
      <c r="F62" s="3" t="e">
        <v>#N/A</v>
      </c>
      <c r="G62" s="3">
        <v>174751</v>
      </c>
      <c r="H62" s="3">
        <v>174180</v>
      </c>
      <c r="I62" s="4" t="e">
        <v>#N/A</v>
      </c>
      <c r="J62" s="3"/>
      <c r="K62" s="3" t="e">
        <v>#N/A</v>
      </c>
      <c r="L62" s="3" t="e">
        <v>#N/A</v>
      </c>
      <c r="M62" s="3" t="e">
        <v>#N/A</v>
      </c>
      <c r="N62" s="3" t="e">
        <v>#N/A</v>
      </c>
      <c r="O62" s="3" t="e">
        <v>#N/A</v>
      </c>
      <c r="P62" s="3" t="e">
        <v>#N/A</v>
      </c>
      <c r="Q62" s="3" t="e">
        <v>#N/A</v>
      </c>
      <c r="R62" s="3" t="e">
        <v>#N/A</v>
      </c>
      <c r="S62" s="3" t="e">
        <v>#N/A</v>
      </c>
      <c r="T62" s="3" t="e">
        <v>#N/A</v>
      </c>
      <c r="U62" s="3" t="e">
        <v>#N/A</v>
      </c>
      <c r="V62" s="3" t="e">
        <v>#N/A</v>
      </c>
      <c r="W62" s="3" t="e">
        <v>#N/A</v>
      </c>
      <c r="X62" s="3" t="e">
        <v>#N/A</v>
      </c>
      <c r="Y62" s="3" t="e">
        <v>#N/A</v>
      </c>
      <c r="Z62" s="3" t="e">
        <v>#N/A</v>
      </c>
      <c r="AA62" s="3" t="e">
        <v>#N/A</v>
      </c>
      <c r="AB62" s="3" t="e">
        <v>#N/A</v>
      </c>
      <c r="AC62" s="3" t="e">
        <v>#N/A</v>
      </c>
      <c r="AD62" s="3" t="e">
        <v>#N/A</v>
      </c>
      <c r="AE62" s="3" t="e">
        <v>#N/A</v>
      </c>
      <c r="AF62" s="3" t="e">
        <v>#N/A</v>
      </c>
      <c r="AG62" s="3" t="e">
        <v>#N/A</v>
      </c>
      <c r="AH62" s="3" t="e">
        <v>#N/A</v>
      </c>
      <c r="AI62" s="3" t="e">
        <v>#N/A</v>
      </c>
      <c r="AJ62" s="3" t="e">
        <v>#N/A</v>
      </c>
      <c r="AK62" s="3" t="e">
        <v>#N/A</v>
      </c>
      <c r="AL62" s="3" t="e">
        <v>#N/A</v>
      </c>
      <c r="AM62" s="3" t="e">
        <v>#N/A</v>
      </c>
      <c r="AN62" s="3" t="e">
        <v>#N/A</v>
      </c>
      <c r="AO62" s="3" t="e">
        <v>#N/A</v>
      </c>
      <c r="AP62" s="3" t="e">
        <v>#N/A</v>
      </c>
      <c r="AR62" s="3" t="e">
        <f t="shared" si="0"/>
        <v>#N/A</v>
      </c>
      <c r="AS62" s="3" t="e">
        <f t="shared" si="0"/>
        <v>#N/A</v>
      </c>
      <c r="AT62" s="3" t="e">
        <f t="shared" si="0"/>
        <v>#N/A</v>
      </c>
      <c r="AU62" s="3" t="e">
        <f t="shared" si="1"/>
        <v>#N/A</v>
      </c>
      <c r="AV62" s="3" t="e">
        <f t="shared" si="2"/>
        <v>#N/A</v>
      </c>
      <c r="AW62" s="3" t="e">
        <f t="shared" si="3"/>
        <v>#N/A</v>
      </c>
      <c r="AX62" s="3" t="e">
        <f t="shared" si="4"/>
        <v>#N/A</v>
      </c>
      <c r="AY62" s="3" t="e">
        <f t="shared" si="5"/>
        <v>#N/A</v>
      </c>
      <c r="AZ62" s="3" t="e">
        <f t="shared" si="6"/>
        <v>#N/A</v>
      </c>
      <c r="BA62" s="3" t="e">
        <f t="shared" si="7"/>
        <v>#N/A</v>
      </c>
      <c r="BB62" s="3" t="e">
        <f t="shared" si="8"/>
        <v>#N/A</v>
      </c>
    </row>
    <row r="63" spans="1:54" x14ac:dyDescent="0.25">
      <c r="A63" t="s">
        <v>674</v>
      </c>
      <c r="B63" s="21">
        <v>6.34</v>
      </c>
      <c r="C63" s="21">
        <v>5.43</v>
      </c>
      <c r="D63" s="35">
        <v>4.7159090909090908</v>
      </c>
      <c r="E63" s="3" t="e">
        <v>#N/A</v>
      </c>
      <c r="F63" s="3" t="e">
        <v>#N/A</v>
      </c>
      <c r="G63" s="3">
        <v>176864</v>
      </c>
      <c r="H63" s="3">
        <v>176325</v>
      </c>
      <c r="I63" s="4" t="e">
        <v>#N/A</v>
      </c>
      <c r="J63" s="3"/>
      <c r="K63" s="3" t="e">
        <v>#N/A</v>
      </c>
      <c r="L63" s="3" t="e">
        <v>#N/A</v>
      </c>
      <c r="M63" s="3" t="e">
        <v>#N/A</v>
      </c>
      <c r="N63" s="3" t="e">
        <v>#N/A</v>
      </c>
      <c r="O63" s="3" t="e">
        <v>#N/A</v>
      </c>
      <c r="P63" s="3" t="e">
        <v>#N/A</v>
      </c>
      <c r="Q63" s="3" t="e">
        <v>#N/A</v>
      </c>
      <c r="R63" s="3" t="e">
        <v>#N/A</v>
      </c>
      <c r="S63" s="3" t="e">
        <v>#N/A</v>
      </c>
      <c r="T63" s="3" t="e">
        <v>#N/A</v>
      </c>
      <c r="U63" s="3" t="e">
        <v>#N/A</v>
      </c>
      <c r="V63" s="3" t="e">
        <v>#N/A</v>
      </c>
      <c r="W63" s="3" t="e">
        <v>#N/A</v>
      </c>
      <c r="X63" s="3" t="e">
        <v>#N/A</v>
      </c>
      <c r="Y63" s="3" t="e">
        <v>#N/A</v>
      </c>
      <c r="Z63" s="3" t="e">
        <v>#N/A</v>
      </c>
      <c r="AA63" s="3" t="e">
        <v>#N/A</v>
      </c>
      <c r="AB63" s="3" t="e">
        <v>#N/A</v>
      </c>
      <c r="AC63" s="3" t="e">
        <v>#N/A</v>
      </c>
      <c r="AD63" s="3" t="e">
        <v>#N/A</v>
      </c>
      <c r="AE63" s="3" t="e">
        <v>#N/A</v>
      </c>
      <c r="AF63" s="3" t="e">
        <v>#N/A</v>
      </c>
      <c r="AG63" s="3" t="e">
        <v>#N/A</v>
      </c>
      <c r="AH63" s="3" t="e">
        <v>#N/A</v>
      </c>
      <c r="AI63" s="3" t="e">
        <v>#N/A</v>
      </c>
      <c r="AJ63" s="3" t="e">
        <v>#N/A</v>
      </c>
      <c r="AK63" s="3" t="e">
        <v>#N/A</v>
      </c>
      <c r="AL63" s="3" t="e">
        <v>#N/A</v>
      </c>
      <c r="AM63" s="3" t="e">
        <v>#N/A</v>
      </c>
      <c r="AN63" s="3" t="e">
        <v>#N/A</v>
      </c>
      <c r="AO63" s="3" t="e">
        <v>#N/A</v>
      </c>
      <c r="AP63" s="3" t="e">
        <v>#N/A</v>
      </c>
      <c r="AR63" s="3" t="e">
        <f t="shared" si="0"/>
        <v>#N/A</v>
      </c>
      <c r="AS63" s="3" t="e">
        <f t="shared" si="0"/>
        <v>#N/A</v>
      </c>
      <c r="AT63" s="3" t="e">
        <f t="shared" si="0"/>
        <v>#N/A</v>
      </c>
      <c r="AU63" s="3" t="e">
        <f t="shared" si="1"/>
        <v>#N/A</v>
      </c>
      <c r="AV63" s="3" t="e">
        <f t="shared" si="2"/>
        <v>#N/A</v>
      </c>
      <c r="AW63" s="3" t="e">
        <f t="shared" si="3"/>
        <v>#N/A</v>
      </c>
      <c r="AX63" s="3" t="e">
        <f t="shared" si="4"/>
        <v>#N/A</v>
      </c>
      <c r="AY63" s="3" t="e">
        <f t="shared" si="5"/>
        <v>#N/A</v>
      </c>
      <c r="AZ63" s="3" t="e">
        <f t="shared" si="6"/>
        <v>#N/A</v>
      </c>
      <c r="BA63" s="3" t="e">
        <f t="shared" si="7"/>
        <v>#N/A</v>
      </c>
      <c r="BB63" s="3" t="e">
        <f t="shared" si="8"/>
        <v>#N/A</v>
      </c>
    </row>
    <row r="64" spans="1:54" x14ac:dyDescent="0.25">
      <c r="A64" t="s">
        <v>675</v>
      </c>
      <c r="B64" s="21">
        <v>6.4</v>
      </c>
      <c r="C64" s="21">
        <v>5.57</v>
      </c>
      <c r="D64" s="35">
        <v>4.75</v>
      </c>
      <c r="E64" s="3" t="e">
        <v>#N/A</v>
      </c>
      <c r="F64" s="3" t="e">
        <v>#N/A</v>
      </c>
      <c r="G64" s="3">
        <v>176801</v>
      </c>
      <c r="H64" s="3">
        <v>178217</v>
      </c>
      <c r="I64" s="4" t="e">
        <v>#N/A</v>
      </c>
      <c r="J64" s="3"/>
      <c r="K64" s="3" t="e">
        <v>#N/A</v>
      </c>
      <c r="L64" s="3" t="e">
        <v>#N/A</v>
      </c>
      <c r="M64" s="3" t="e">
        <v>#N/A</v>
      </c>
      <c r="N64" s="3" t="e">
        <v>#N/A</v>
      </c>
      <c r="O64" s="3" t="e">
        <v>#N/A</v>
      </c>
      <c r="P64" s="3" t="e">
        <v>#N/A</v>
      </c>
      <c r="Q64" s="3" t="e">
        <v>#N/A</v>
      </c>
      <c r="R64" s="3" t="e">
        <v>#N/A</v>
      </c>
      <c r="S64" s="3" t="e">
        <v>#N/A</v>
      </c>
      <c r="T64" s="3" t="e">
        <v>#N/A</v>
      </c>
      <c r="U64" s="3" t="e">
        <v>#N/A</v>
      </c>
      <c r="V64" s="3" t="e">
        <v>#N/A</v>
      </c>
      <c r="W64" s="3" t="e">
        <v>#N/A</v>
      </c>
      <c r="X64" s="3" t="e">
        <v>#N/A</v>
      </c>
      <c r="Y64" s="3" t="e">
        <v>#N/A</v>
      </c>
      <c r="Z64" s="3" t="e">
        <v>#N/A</v>
      </c>
      <c r="AA64" s="3" t="e">
        <v>#N/A</v>
      </c>
      <c r="AB64" s="3" t="e">
        <v>#N/A</v>
      </c>
      <c r="AC64" s="3" t="e">
        <v>#N/A</v>
      </c>
      <c r="AD64" s="3" t="e">
        <v>#N/A</v>
      </c>
      <c r="AE64" s="3" t="e">
        <v>#N/A</v>
      </c>
      <c r="AF64" s="3" t="e">
        <v>#N/A</v>
      </c>
      <c r="AG64" s="3" t="e">
        <v>#N/A</v>
      </c>
      <c r="AH64" s="3" t="e">
        <v>#N/A</v>
      </c>
      <c r="AI64" s="3" t="e">
        <v>#N/A</v>
      </c>
      <c r="AJ64" s="3" t="e">
        <v>#N/A</v>
      </c>
      <c r="AK64" s="3" t="e">
        <v>#N/A</v>
      </c>
      <c r="AL64" s="3" t="e">
        <v>#N/A</v>
      </c>
      <c r="AM64" s="3" t="e">
        <v>#N/A</v>
      </c>
      <c r="AN64" s="3" t="e">
        <v>#N/A</v>
      </c>
      <c r="AO64" s="3" t="e">
        <v>#N/A</v>
      </c>
      <c r="AP64" s="3" t="e">
        <v>#N/A</v>
      </c>
      <c r="AR64" s="3" t="e">
        <f t="shared" si="0"/>
        <v>#N/A</v>
      </c>
      <c r="AS64" s="3" t="e">
        <f t="shared" si="0"/>
        <v>#N/A</v>
      </c>
      <c r="AT64" s="3" t="e">
        <f t="shared" si="0"/>
        <v>#N/A</v>
      </c>
      <c r="AU64" s="3" t="e">
        <f t="shared" si="1"/>
        <v>#N/A</v>
      </c>
      <c r="AV64" s="3" t="e">
        <f t="shared" si="2"/>
        <v>#N/A</v>
      </c>
      <c r="AW64" s="3" t="e">
        <f t="shared" si="3"/>
        <v>#N/A</v>
      </c>
      <c r="AX64" s="3" t="e">
        <f t="shared" si="4"/>
        <v>#N/A</v>
      </c>
      <c r="AY64" s="3" t="e">
        <f t="shared" si="5"/>
        <v>#N/A</v>
      </c>
      <c r="AZ64" s="3" t="e">
        <f t="shared" si="6"/>
        <v>#N/A</v>
      </c>
      <c r="BA64" s="3" t="e">
        <f t="shared" si="7"/>
        <v>#N/A</v>
      </c>
      <c r="BB64" s="3" t="e">
        <f t="shared" si="8"/>
        <v>#N/A</v>
      </c>
    </row>
    <row r="65" spans="1:54" x14ac:dyDescent="0.25">
      <c r="A65" t="s">
        <v>676</v>
      </c>
      <c r="B65" s="21">
        <v>6.25</v>
      </c>
      <c r="C65" s="21">
        <v>5.57</v>
      </c>
      <c r="D65" s="35">
        <v>4.75</v>
      </c>
      <c r="E65" s="3" t="e">
        <v>#N/A</v>
      </c>
      <c r="F65" s="3" t="e">
        <v>#N/A</v>
      </c>
      <c r="G65" s="3">
        <v>177468</v>
      </c>
      <c r="H65" s="3">
        <v>174446</v>
      </c>
      <c r="I65" s="4" t="e">
        <v>#N/A</v>
      </c>
      <c r="J65" s="3"/>
      <c r="K65" s="3" t="e">
        <v>#N/A</v>
      </c>
      <c r="L65" s="3" t="e">
        <v>#N/A</v>
      </c>
      <c r="M65" s="3" t="e">
        <v>#N/A</v>
      </c>
      <c r="N65" s="3" t="e">
        <v>#N/A</v>
      </c>
      <c r="O65" s="3" t="e">
        <v>#N/A</v>
      </c>
      <c r="P65" s="3" t="e">
        <v>#N/A</v>
      </c>
      <c r="Q65" s="3" t="e">
        <v>#N/A</v>
      </c>
      <c r="R65" s="3" t="e">
        <v>#N/A</v>
      </c>
      <c r="S65" s="3" t="e">
        <v>#N/A</v>
      </c>
      <c r="T65" s="3" t="e">
        <v>#N/A</v>
      </c>
      <c r="U65" s="3" t="e">
        <v>#N/A</v>
      </c>
      <c r="V65" s="3" t="e">
        <v>#N/A</v>
      </c>
      <c r="W65" s="3" t="e">
        <v>#N/A</v>
      </c>
      <c r="X65" s="3" t="e">
        <v>#N/A</v>
      </c>
      <c r="Y65" s="3" t="e">
        <v>#N/A</v>
      </c>
      <c r="Z65" s="3" t="e">
        <v>#N/A</v>
      </c>
      <c r="AA65" s="3" t="e">
        <v>#N/A</v>
      </c>
      <c r="AB65" s="3" t="e">
        <v>#N/A</v>
      </c>
      <c r="AC65" s="3" t="e">
        <v>#N/A</v>
      </c>
      <c r="AD65" s="3" t="e">
        <v>#N/A</v>
      </c>
      <c r="AE65" s="3" t="e">
        <v>#N/A</v>
      </c>
      <c r="AF65" s="3" t="e">
        <v>#N/A</v>
      </c>
      <c r="AG65" s="3" t="e">
        <v>#N/A</v>
      </c>
      <c r="AH65" s="3" t="e">
        <v>#N/A</v>
      </c>
      <c r="AI65" s="3" t="e">
        <v>#N/A</v>
      </c>
      <c r="AJ65" s="3" t="e">
        <v>#N/A</v>
      </c>
      <c r="AK65" s="3" t="e">
        <v>#N/A</v>
      </c>
      <c r="AL65" s="3" t="e">
        <v>#N/A</v>
      </c>
      <c r="AM65" s="3" t="e">
        <v>#N/A</v>
      </c>
      <c r="AN65" s="3" t="e">
        <v>#N/A</v>
      </c>
      <c r="AO65" s="3" t="e">
        <v>#N/A</v>
      </c>
      <c r="AP65" s="3" t="e">
        <v>#N/A</v>
      </c>
      <c r="AR65" s="3" t="e">
        <f t="shared" si="0"/>
        <v>#N/A</v>
      </c>
      <c r="AS65" s="3" t="e">
        <f t="shared" si="0"/>
        <v>#N/A</v>
      </c>
      <c r="AT65" s="3" t="e">
        <f t="shared" si="0"/>
        <v>#N/A</v>
      </c>
      <c r="AU65" s="3" t="e">
        <f t="shared" si="1"/>
        <v>#N/A</v>
      </c>
      <c r="AV65" s="3" t="e">
        <f t="shared" si="2"/>
        <v>#N/A</v>
      </c>
      <c r="AW65" s="3" t="e">
        <f t="shared" si="3"/>
        <v>#N/A</v>
      </c>
      <c r="AX65" s="3" t="e">
        <f t="shared" si="4"/>
        <v>#N/A</v>
      </c>
      <c r="AY65" s="3" t="e">
        <f t="shared" si="5"/>
        <v>#N/A</v>
      </c>
      <c r="AZ65" s="3" t="e">
        <f t="shared" si="6"/>
        <v>#N/A</v>
      </c>
      <c r="BA65" s="3" t="e">
        <f t="shared" si="7"/>
        <v>#N/A</v>
      </c>
      <c r="BB65" s="3" t="e">
        <f t="shared" si="8"/>
        <v>#N/A</v>
      </c>
    </row>
    <row r="66" spans="1:54" x14ac:dyDescent="0.25">
      <c r="A66" t="s">
        <v>677</v>
      </c>
      <c r="B66" s="21">
        <v>6.24</v>
      </c>
      <c r="C66" s="21">
        <v>5.58</v>
      </c>
      <c r="D66" s="35">
        <v>4.75</v>
      </c>
      <c r="E66" s="3" t="e">
        <v>#N/A</v>
      </c>
      <c r="F66" s="3" t="e">
        <v>#N/A</v>
      </c>
      <c r="G66" s="3">
        <v>178279</v>
      </c>
      <c r="H66" s="3">
        <v>179340</v>
      </c>
      <c r="I66" s="4" t="e">
        <v>#N/A</v>
      </c>
      <c r="J66" s="3"/>
      <c r="K66" s="3" t="e">
        <v>#N/A</v>
      </c>
      <c r="L66" s="3" t="e">
        <v>#N/A</v>
      </c>
      <c r="M66" s="3" t="e">
        <v>#N/A</v>
      </c>
      <c r="N66" s="3" t="e">
        <v>#N/A</v>
      </c>
      <c r="O66" s="3" t="e">
        <v>#N/A</v>
      </c>
      <c r="P66" s="3" t="e">
        <v>#N/A</v>
      </c>
      <c r="Q66" s="3" t="e">
        <v>#N/A</v>
      </c>
      <c r="R66" s="3" t="e">
        <v>#N/A</v>
      </c>
      <c r="S66" s="3" t="e">
        <v>#N/A</v>
      </c>
      <c r="T66" s="3" t="e">
        <v>#N/A</v>
      </c>
      <c r="U66" s="3" t="e">
        <v>#N/A</v>
      </c>
      <c r="V66" s="3" t="e">
        <v>#N/A</v>
      </c>
      <c r="W66" s="3" t="e">
        <v>#N/A</v>
      </c>
      <c r="X66" s="3" t="e">
        <v>#N/A</v>
      </c>
      <c r="Y66" s="3" t="e">
        <v>#N/A</v>
      </c>
      <c r="Z66" s="3" t="e">
        <v>#N/A</v>
      </c>
      <c r="AA66" s="3" t="e">
        <v>#N/A</v>
      </c>
      <c r="AB66" s="3" t="e">
        <v>#N/A</v>
      </c>
      <c r="AC66" s="3" t="e">
        <v>#N/A</v>
      </c>
      <c r="AD66" s="3" t="e">
        <v>#N/A</v>
      </c>
      <c r="AE66" s="3" t="e">
        <v>#N/A</v>
      </c>
      <c r="AF66" s="3" t="e">
        <v>#N/A</v>
      </c>
      <c r="AG66" s="3" t="e">
        <v>#N/A</v>
      </c>
      <c r="AH66" s="3" t="e">
        <v>#N/A</v>
      </c>
      <c r="AI66" s="3" t="e">
        <v>#N/A</v>
      </c>
      <c r="AJ66" s="3" t="e">
        <v>#N/A</v>
      </c>
      <c r="AK66" s="3" t="e">
        <v>#N/A</v>
      </c>
      <c r="AL66" s="3" t="e">
        <v>#N/A</v>
      </c>
      <c r="AM66" s="3" t="e">
        <v>#N/A</v>
      </c>
      <c r="AN66" s="3" t="e">
        <v>#N/A</v>
      </c>
      <c r="AO66" s="3" t="e">
        <v>#N/A</v>
      </c>
      <c r="AP66" s="3" t="e">
        <v>#N/A</v>
      </c>
      <c r="AR66" s="3" t="e">
        <f t="shared" si="0"/>
        <v>#N/A</v>
      </c>
      <c r="AS66" s="3" t="e">
        <f t="shared" si="0"/>
        <v>#N/A</v>
      </c>
      <c r="AT66" s="3" t="e">
        <f t="shared" si="0"/>
        <v>#N/A</v>
      </c>
      <c r="AU66" s="3" t="e">
        <f t="shared" si="1"/>
        <v>#N/A</v>
      </c>
      <c r="AV66" s="3" t="e">
        <f t="shared" si="2"/>
        <v>#N/A</v>
      </c>
      <c r="AW66" s="3" t="e">
        <f t="shared" si="3"/>
        <v>#N/A</v>
      </c>
      <c r="AX66" s="3" t="e">
        <f t="shared" si="4"/>
        <v>#N/A</v>
      </c>
      <c r="AY66" s="3" t="e">
        <f t="shared" si="5"/>
        <v>#N/A</v>
      </c>
      <c r="AZ66" s="3" t="e">
        <f t="shared" si="6"/>
        <v>#N/A</v>
      </c>
      <c r="BA66" s="3" t="e">
        <f t="shared" si="7"/>
        <v>#N/A</v>
      </c>
      <c r="BB66" s="3" t="e">
        <f t="shared" si="8"/>
        <v>#N/A</v>
      </c>
    </row>
    <row r="67" spans="1:54" x14ac:dyDescent="0.25">
      <c r="A67" t="s">
        <v>678</v>
      </c>
      <c r="B67" s="21">
        <v>6.28</v>
      </c>
      <c r="C67" s="21">
        <v>5.57</v>
      </c>
      <c r="D67" s="35">
        <v>4.75</v>
      </c>
      <c r="E67" s="3" t="e">
        <v>#N/A</v>
      </c>
      <c r="F67" s="3" t="e">
        <v>#N/A</v>
      </c>
      <c r="G67" s="3">
        <v>176707</v>
      </c>
      <c r="H67" s="3">
        <v>180874</v>
      </c>
      <c r="I67" s="4" t="e">
        <v>#N/A</v>
      </c>
      <c r="J67" s="3"/>
      <c r="K67" s="3" t="e">
        <v>#N/A</v>
      </c>
      <c r="L67" s="3" t="e">
        <v>#N/A</v>
      </c>
      <c r="M67" s="3" t="e">
        <v>#N/A</v>
      </c>
      <c r="N67" s="3" t="e">
        <v>#N/A</v>
      </c>
      <c r="O67" s="3" t="e">
        <v>#N/A</v>
      </c>
      <c r="P67" s="3" t="e">
        <v>#N/A</v>
      </c>
      <c r="Q67" s="3" t="e">
        <v>#N/A</v>
      </c>
      <c r="R67" s="3" t="e">
        <v>#N/A</v>
      </c>
      <c r="S67" s="3" t="e">
        <v>#N/A</v>
      </c>
      <c r="T67" s="3" t="e">
        <v>#N/A</v>
      </c>
      <c r="U67" s="3" t="e">
        <v>#N/A</v>
      </c>
      <c r="V67" s="3" t="e">
        <v>#N/A</v>
      </c>
      <c r="W67" s="3" t="e">
        <v>#N/A</v>
      </c>
      <c r="X67" s="3" t="e">
        <v>#N/A</v>
      </c>
      <c r="Y67" s="3" t="e">
        <v>#N/A</v>
      </c>
      <c r="Z67" s="3" t="e">
        <v>#N/A</v>
      </c>
      <c r="AA67" s="3" t="e">
        <v>#N/A</v>
      </c>
      <c r="AB67" s="3" t="e">
        <v>#N/A</v>
      </c>
      <c r="AC67" s="3" t="e">
        <v>#N/A</v>
      </c>
      <c r="AD67" s="3" t="e">
        <v>#N/A</v>
      </c>
      <c r="AE67" s="3" t="e">
        <v>#N/A</v>
      </c>
      <c r="AF67" s="3" t="e">
        <v>#N/A</v>
      </c>
      <c r="AG67" s="3" t="e">
        <v>#N/A</v>
      </c>
      <c r="AH67" s="3" t="e">
        <v>#N/A</v>
      </c>
      <c r="AI67" s="3" t="e">
        <v>#N/A</v>
      </c>
      <c r="AJ67" s="3" t="e">
        <v>#N/A</v>
      </c>
      <c r="AK67" s="3" t="e">
        <v>#N/A</v>
      </c>
      <c r="AL67" s="3" t="e">
        <v>#N/A</v>
      </c>
      <c r="AM67" s="3" t="e">
        <v>#N/A</v>
      </c>
      <c r="AN67" s="3" t="e">
        <v>#N/A</v>
      </c>
      <c r="AO67" s="3" t="e">
        <v>#N/A</v>
      </c>
      <c r="AP67" s="3" t="e">
        <v>#N/A</v>
      </c>
      <c r="AR67" s="3" t="e">
        <f t="shared" si="0"/>
        <v>#N/A</v>
      </c>
      <c r="AS67" s="3" t="e">
        <f t="shared" si="0"/>
        <v>#N/A</v>
      </c>
      <c r="AT67" s="3" t="e">
        <f t="shared" si="0"/>
        <v>#N/A</v>
      </c>
      <c r="AU67" s="3" t="e">
        <f t="shared" si="1"/>
        <v>#N/A</v>
      </c>
      <c r="AV67" s="3" t="e">
        <f t="shared" si="2"/>
        <v>#N/A</v>
      </c>
      <c r="AW67" s="3" t="e">
        <f t="shared" si="3"/>
        <v>#N/A</v>
      </c>
      <c r="AX67" s="3" t="e">
        <f t="shared" si="4"/>
        <v>#N/A</v>
      </c>
      <c r="AY67" s="3" t="e">
        <f t="shared" si="5"/>
        <v>#N/A</v>
      </c>
      <c r="AZ67" s="3" t="e">
        <f t="shared" si="6"/>
        <v>#N/A</v>
      </c>
      <c r="BA67" s="3" t="e">
        <f t="shared" si="7"/>
        <v>#N/A</v>
      </c>
      <c r="BB67" s="3" t="e">
        <f t="shared" si="8"/>
        <v>#N/A</v>
      </c>
    </row>
    <row r="68" spans="1:54" x14ac:dyDescent="0.25">
      <c r="A68" t="s">
        <v>679</v>
      </c>
      <c r="B68" s="21">
        <v>6.26</v>
      </c>
      <c r="C68" s="21">
        <v>5.54</v>
      </c>
      <c r="D68" s="35">
        <v>4.75</v>
      </c>
      <c r="E68" s="3" t="e">
        <v>#N/A</v>
      </c>
      <c r="F68" s="3" t="e">
        <v>#N/A</v>
      </c>
      <c r="G68" s="3">
        <v>183517</v>
      </c>
      <c r="H68" s="3">
        <v>177989</v>
      </c>
      <c r="I68" s="4" t="e">
        <v>#N/A</v>
      </c>
      <c r="J68" s="3"/>
      <c r="K68" s="3" t="e">
        <v>#N/A</v>
      </c>
      <c r="L68" s="3" t="e">
        <v>#N/A</v>
      </c>
      <c r="M68" s="3" t="e">
        <v>#N/A</v>
      </c>
      <c r="N68" s="3" t="e">
        <v>#N/A</v>
      </c>
      <c r="O68" s="3" t="e">
        <v>#N/A</v>
      </c>
      <c r="P68" s="3" t="e">
        <v>#N/A</v>
      </c>
      <c r="Q68" s="3" t="e">
        <v>#N/A</v>
      </c>
      <c r="R68" s="3" t="e">
        <v>#N/A</v>
      </c>
      <c r="S68" s="3" t="e">
        <v>#N/A</v>
      </c>
      <c r="T68" s="3" t="e">
        <v>#N/A</v>
      </c>
      <c r="U68" s="3" t="e">
        <v>#N/A</v>
      </c>
      <c r="V68" s="3" t="e">
        <v>#N/A</v>
      </c>
      <c r="W68" s="3" t="e">
        <v>#N/A</v>
      </c>
      <c r="X68" s="3" t="e">
        <v>#N/A</v>
      </c>
      <c r="Y68" s="3" t="e">
        <v>#N/A</v>
      </c>
      <c r="Z68" s="3" t="e">
        <v>#N/A</v>
      </c>
      <c r="AA68" s="3" t="e">
        <v>#N/A</v>
      </c>
      <c r="AB68" s="3" t="e">
        <v>#N/A</v>
      </c>
      <c r="AC68" s="3" t="e">
        <v>#N/A</v>
      </c>
      <c r="AD68" s="3" t="e">
        <v>#N/A</v>
      </c>
      <c r="AE68" s="3" t="e">
        <v>#N/A</v>
      </c>
      <c r="AF68" s="3" t="e">
        <v>#N/A</v>
      </c>
      <c r="AG68" s="3" t="e">
        <v>#N/A</v>
      </c>
      <c r="AH68" s="3" t="e">
        <v>#N/A</v>
      </c>
      <c r="AI68" s="3" t="e">
        <v>#N/A</v>
      </c>
      <c r="AJ68" s="3" t="e">
        <v>#N/A</v>
      </c>
      <c r="AK68" s="3" t="e">
        <v>#N/A</v>
      </c>
      <c r="AL68" s="3" t="e">
        <v>#N/A</v>
      </c>
      <c r="AM68" s="3" t="e">
        <v>#N/A</v>
      </c>
      <c r="AN68" s="3" t="e">
        <v>#N/A</v>
      </c>
      <c r="AO68" s="3" t="e">
        <v>#N/A</v>
      </c>
      <c r="AP68" s="3" t="e">
        <v>#N/A</v>
      </c>
      <c r="AR68" s="3" t="e">
        <f t="shared" si="0"/>
        <v>#N/A</v>
      </c>
      <c r="AS68" s="3" t="e">
        <f t="shared" si="0"/>
        <v>#N/A</v>
      </c>
      <c r="AT68" s="3" t="e">
        <f t="shared" si="0"/>
        <v>#N/A</v>
      </c>
      <c r="AU68" s="3" t="e">
        <f t="shared" si="1"/>
        <v>#N/A</v>
      </c>
      <c r="AV68" s="3" t="e">
        <f t="shared" si="2"/>
        <v>#N/A</v>
      </c>
      <c r="AW68" s="3" t="e">
        <f t="shared" si="3"/>
        <v>#N/A</v>
      </c>
      <c r="AX68" s="3" t="e">
        <f t="shared" si="4"/>
        <v>#N/A</v>
      </c>
      <c r="AY68" s="3" t="e">
        <f t="shared" si="5"/>
        <v>#N/A</v>
      </c>
      <c r="AZ68" s="3" t="e">
        <f t="shared" si="6"/>
        <v>#N/A</v>
      </c>
      <c r="BA68" s="3" t="e">
        <f t="shared" si="7"/>
        <v>#N/A</v>
      </c>
      <c r="BB68" s="3" t="e">
        <f t="shared" si="8"/>
        <v>#N/A</v>
      </c>
    </row>
    <row r="69" spans="1:54" x14ac:dyDescent="0.25">
      <c r="A69" t="s">
        <v>680</v>
      </c>
      <c r="B69" s="21">
        <v>6.2</v>
      </c>
      <c r="C69" s="21">
        <v>5.53</v>
      </c>
      <c r="D69" s="35">
        <v>4.75</v>
      </c>
      <c r="E69" s="3" t="e">
        <v>#N/A</v>
      </c>
      <c r="F69" s="3" t="e">
        <v>#N/A</v>
      </c>
      <c r="G69" s="3">
        <v>180334</v>
      </c>
      <c r="H69" s="3">
        <v>173943</v>
      </c>
      <c r="I69" s="4" t="e">
        <v>#N/A</v>
      </c>
      <c r="J69" s="3"/>
      <c r="K69" s="3" t="e">
        <v>#N/A</v>
      </c>
      <c r="L69" s="3" t="e">
        <v>#N/A</v>
      </c>
      <c r="M69" s="3" t="e">
        <v>#N/A</v>
      </c>
      <c r="N69" s="3" t="e">
        <v>#N/A</v>
      </c>
      <c r="O69" s="3" t="e">
        <v>#N/A</v>
      </c>
      <c r="P69" s="3" t="e">
        <v>#N/A</v>
      </c>
      <c r="Q69" s="3" t="e">
        <v>#N/A</v>
      </c>
      <c r="R69" s="3" t="e">
        <v>#N/A</v>
      </c>
      <c r="S69" s="3" t="e">
        <v>#N/A</v>
      </c>
      <c r="T69" s="3" t="e">
        <v>#N/A</v>
      </c>
      <c r="U69" s="3" t="e">
        <v>#N/A</v>
      </c>
      <c r="V69" s="3" t="e">
        <v>#N/A</v>
      </c>
      <c r="W69" s="3" t="e">
        <v>#N/A</v>
      </c>
      <c r="X69" s="3" t="e">
        <v>#N/A</v>
      </c>
      <c r="Y69" s="3" t="e">
        <v>#N/A</v>
      </c>
      <c r="Z69" s="3" t="e">
        <v>#N/A</v>
      </c>
      <c r="AA69" s="3" t="e">
        <v>#N/A</v>
      </c>
      <c r="AB69" s="3" t="e">
        <v>#N/A</v>
      </c>
      <c r="AC69" s="3" t="e">
        <v>#N/A</v>
      </c>
      <c r="AD69" s="3" t="e">
        <v>#N/A</v>
      </c>
      <c r="AE69" s="3" t="e">
        <v>#N/A</v>
      </c>
      <c r="AF69" s="3" t="e">
        <v>#N/A</v>
      </c>
      <c r="AG69" s="3" t="e">
        <v>#N/A</v>
      </c>
      <c r="AH69" s="3" t="e">
        <v>#N/A</v>
      </c>
      <c r="AI69" s="3" t="e">
        <v>#N/A</v>
      </c>
      <c r="AJ69" s="3" t="e">
        <v>#N/A</v>
      </c>
      <c r="AK69" s="3" t="e">
        <v>#N/A</v>
      </c>
      <c r="AL69" s="3" t="e">
        <v>#N/A</v>
      </c>
      <c r="AM69" s="3" t="e">
        <v>#N/A</v>
      </c>
      <c r="AN69" s="3" t="e">
        <v>#N/A</v>
      </c>
      <c r="AO69" s="3" t="e">
        <v>#N/A</v>
      </c>
      <c r="AP69" s="3" t="e">
        <v>#N/A</v>
      </c>
      <c r="AR69" s="3" t="e">
        <f t="shared" si="0"/>
        <v>#N/A</v>
      </c>
      <c r="AS69" s="3" t="e">
        <f t="shared" si="0"/>
        <v>#N/A</v>
      </c>
      <c r="AT69" s="3" t="e">
        <f t="shared" si="0"/>
        <v>#N/A</v>
      </c>
      <c r="AU69" s="3" t="e">
        <f t="shared" si="1"/>
        <v>#N/A</v>
      </c>
      <c r="AV69" s="3" t="e">
        <f t="shared" si="2"/>
        <v>#N/A</v>
      </c>
      <c r="AW69" s="3" t="e">
        <f t="shared" si="3"/>
        <v>#N/A</v>
      </c>
      <c r="AX69" s="3" t="e">
        <f t="shared" si="4"/>
        <v>#N/A</v>
      </c>
      <c r="AY69" s="3" t="e">
        <f t="shared" si="5"/>
        <v>#N/A</v>
      </c>
      <c r="AZ69" s="3" t="e">
        <f t="shared" si="6"/>
        <v>#N/A</v>
      </c>
      <c r="BA69" s="3" t="e">
        <f t="shared" si="7"/>
        <v>#N/A</v>
      </c>
      <c r="BB69" s="3" t="e">
        <f t="shared" si="8"/>
        <v>#N/A</v>
      </c>
    </row>
    <row r="70" spans="1:54" x14ac:dyDescent="0.25">
      <c r="A70" t="s">
        <v>681</v>
      </c>
      <c r="B70" s="21">
        <v>6.27</v>
      </c>
      <c r="C70" s="21">
        <v>5.52</v>
      </c>
      <c r="D70" s="35">
        <v>4.75</v>
      </c>
      <c r="E70" s="3" t="e">
        <v>#N/A</v>
      </c>
      <c r="F70" s="3" t="e">
        <v>#N/A</v>
      </c>
      <c r="G70" s="3">
        <v>182398</v>
      </c>
      <c r="H70" s="3">
        <v>184920</v>
      </c>
      <c r="I70" s="4" t="e">
        <v>#N/A</v>
      </c>
      <c r="J70" s="3"/>
      <c r="K70" s="3" t="e">
        <v>#N/A</v>
      </c>
      <c r="L70" s="3" t="e">
        <v>#N/A</v>
      </c>
      <c r="M70" s="3" t="e">
        <v>#N/A</v>
      </c>
      <c r="N70" s="3" t="e">
        <v>#N/A</v>
      </c>
      <c r="O70" s="3" t="e">
        <v>#N/A</v>
      </c>
      <c r="P70" s="3" t="e">
        <v>#N/A</v>
      </c>
      <c r="Q70" s="3" t="e">
        <v>#N/A</v>
      </c>
      <c r="R70" s="3" t="e">
        <v>#N/A</v>
      </c>
      <c r="S70" s="3" t="e">
        <v>#N/A</v>
      </c>
      <c r="T70" s="3" t="e">
        <v>#N/A</v>
      </c>
      <c r="U70" s="3" t="e">
        <v>#N/A</v>
      </c>
      <c r="V70" s="3" t="e">
        <v>#N/A</v>
      </c>
      <c r="W70" s="3" t="e">
        <v>#N/A</v>
      </c>
      <c r="X70" s="3" t="e">
        <v>#N/A</v>
      </c>
      <c r="Y70" s="3" t="e">
        <v>#N/A</v>
      </c>
      <c r="Z70" s="3" t="e">
        <v>#N/A</v>
      </c>
      <c r="AA70" s="3" t="e">
        <v>#N/A</v>
      </c>
      <c r="AB70" s="3" t="e">
        <v>#N/A</v>
      </c>
      <c r="AC70" s="3" t="e">
        <v>#N/A</v>
      </c>
      <c r="AD70" s="3" t="e">
        <v>#N/A</v>
      </c>
      <c r="AE70" s="3" t="e">
        <v>#N/A</v>
      </c>
      <c r="AF70" s="3" t="e">
        <v>#N/A</v>
      </c>
      <c r="AG70" s="3" t="e">
        <v>#N/A</v>
      </c>
      <c r="AH70" s="3" t="e">
        <v>#N/A</v>
      </c>
      <c r="AI70" s="3" t="e">
        <v>#N/A</v>
      </c>
      <c r="AJ70" s="3" t="e">
        <v>#N/A</v>
      </c>
      <c r="AK70" s="3" t="e">
        <v>#N/A</v>
      </c>
      <c r="AL70" s="3" t="e">
        <v>#N/A</v>
      </c>
      <c r="AM70" s="3" t="e">
        <v>#N/A</v>
      </c>
      <c r="AN70" s="3" t="e">
        <v>#N/A</v>
      </c>
      <c r="AO70" s="3" t="e">
        <v>#N/A</v>
      </c>
      <c r="AP70" s="3" t="e">
        <v>#N/A</v>
      </c>
      <c r="AR70" s="3" t="e">
        <f t="shared" si="0"/>
        <v>#N/A</v>
      </c>
      <c r="AS70" s="3" t="e">
        <f t="shared" si="0"/>
        <v>#N/A</v>
      </c>
      <c r="AT70" s="3" t="e">
        <f t="shared" si="0"/>
        <v>#N/A</v>
      </c>
      <c r="AU70" s="3" t="e">
        <f t="shared" si="1"/>
        <v>#N/A</v>
      </c>
      <c r="AV70" s="3" t="e">
        <f t="shared" si="2"/>
        <v>#N/A</v>
      </c>
      <c r="AW70" s="3" t="e">
        <f t="shared" si="3"/>
        <v>#N/A</v>
      </c>
      <c r="AX70" s="3" t="e">
        <f t="shared" si="4"/>
        <v>#N/A</v>
      </c>
      <c r="AY70" s="3" t="e">
        <f t="shared" si="5"/>
        <v>#N/A</v>
      </c>
      <c r="AZ70" s="3" t="e">
        <f t="shared" si="6"/>
        <v>#N/A</v>
      </c>
      <c r="BA70" s="3" t="e">
        <f t="shared" si="7"/>
        <v>#N/A</v>
      </c>
      <c r="BB70" s="3" t="e">
        <f t="shared" si="8"/>
        <v>#N/A</v>
      </c>
    </row>
    <row r="71" spans="1:54" x14ac:dyDescent="0.25">
      <c r="A71" t="s">
        <v>682</v>
      </c>
      <c r="B71" s="21">
        <v>6.29</v>
      </c>
      <c r="C71" s="21">
        <v>5.5</v>
      </c>
      <c r="D71" s="35">
        <v>4.75</v>
      </c>
      <c r="E71" s="3" t="e">
        <v>#N/A</v>
      </c>
      <c r="F71" s="3" t="e">
        <v>#N/A</v>
      </c>
      <c r="G71" s="3">
        <v>185341</v>
      </c>
      <c r="H71" s="3">
        <v>184152</v>
      </c>
      <c r="I71" s="4" t="e">
        <v>#N/A</v>
      </c>
      <c r="J71" s="3"/>
      <c r="K71" s="3" t="e">
        <v>#N/A</v>
      </c>
      <c r="L71" s="3" t="e">
        <v>#N/A</v>
      </c>
      <c r="M71" s="3" t="e">
        <v>#N/A</v>
      </c>
      <c r="N71" s="3" t="e">
        <v>#N/A</v>
      </c>
      <c r="O71" s="3" t="e">
        <v>#N/A</v>
      </c>
      <c r="P71" s="3" t="e">
        <v>#N/A</v>
      </c>
      <c r="Q71" s="3" t="e">
        <v>#N/A</v>
      </c>
      <c r="R71" s="3" t="e">
        <v>#N/A</v>
      </c>
      <c r="S71" s="3" t="e">
        <v>#N/A</v>
      </c>
      <c r="T71" s="3" t="e">
        <v>#N/A</v>
      </c>
      <c r="U71" s="3" t="e">
        <v>#N/A</v>
      </c>
      <c r="V71" s="3" t="e">
        <v>#N/A</v>
      </c>
      <c r="W71" s="3" t="e">
        <v>#N/A</v>
      </c>
      <c r="X71" s="3" t="e">
        <v>#N/A</v>
      </c>
      <c r="Y71" s="3" t="e">
        <v>#N/A</v>
      </c>
      <c r="Z71" s="3" t="e">
        <v>#N/A</v>
      </c>
      <c r="AA71" s="3" t="e">
        <v>#N/A</v>
      </c>
      <c r="AB71" s="3" t="e">
        <v>#N/A</v>
      </c>
      <c r="AC71" s="3" t="e">
        <v>#N/A</v>
      </c>
      <c r="AD71" s="3" t="e">
        <v>#N/A</v>
      </c>
      <c r="AE71" s="3" t="e">
        <v>#N/A</v>
      </c>
      <c r="AF71" s="3" t="e">
        <v>#N/A</v>
      </c>
      <c r="AG71" s="3" t="e">
        <v>#N/A</v>
      </c>
      <c r="AH71" s="3" t="e">
        <v>#N/A</v>
      </c>
      <c r="AI71" s="3" t="e">
        <v>#N/A</v>
      </c>
      <c r="AJ71" s="3" t="e">
        <v>#N/A</v>
      </c>
      <c r="AK71" s="3" t="e">
        <v>#N/A</v>
      </c>
      <c r="AL71" s="3" t="e">
        <v>#N/A</v>
      </c>
      <c r="AM71" s="3" t="e">
        <v>#N/A</v>
      </c>
      <c r="AN71" s="3" t="e">
        <v>#N/A</v>
      </c>
      <c r="AO71" s="3" t="e">
        <v>#N/A</v>
      </c>
      <c r="AP71" s="3" t="e">
        <v>#N/A</v>
      </c>
      <c r="AR71" s="3" t="e">
        <f t="shared" si="0"/>
        <v>#N/A</v>
      </c>
      <c r="AS71" s="3" t="e">
        <f t="shared" si="0"/>
        <v>#N/A</v>
      </c>
      <c r="AT71" s="3" t="e">
        <f t="shared" si="0"/>
        <v>#N/A</v>
      </c>
      <c r="AU71" s="3" t="e">
        <f t="shared" si="1"/>
        <v>#N/A</v>
      </c>
      <c r="AV71" s="3" t="e">
        <f t="shared" si="2"/>
        <v>#N/A</v>
      </c>
      <c r="AW71" s="3" t="e">
        <f t="shared" si="3"/>
        <v>#N/A</v>
      </c>
      <c r="AX71" s="3" t="e">
        <f t="shared" si="4"/>
        <v>#N/A</v>
      </c>
      <c r="AY71" s="3" t="e">
        <f t="shared" si="5"/>
        <v>#N/A</v>
      </c>
      <c r="AZ71" s="3" t="e">
        <f t="shared" si="6"/>
        <v>#N/A</v>
      </c>
      <c r="BA71" s="3" t="e">
        <f t="shared" si="7"/>
        <v>#N/A</v>
      </c>
      <c r="BB71" s="3" t="e">
        <f t="shared" si="8"/>
        <v>#N/A</v>
      </c>
    </row>
    <row r="72" spans="1:54" x14ac:dyDescent="0.25">
      <c r="A72" t="s">
        <v>683</v>
      </c>
      <c r="B72" s="21">
        <v>6.28</v>
      </c>
      <c r="C72" s="21">
        <v>5.49</v>
      </c>
      <c r="D72" s="35">
        <v>4.75</v>
      </c>
      <c r="E72" s="3" t="e">
        <v>#N/A</v>
      </c>
      <c r="F72" s="3" t="e">
        <v>#N/A</v>
      </c>
      <c r="G72" s="3">
        <v>190571</v>
      </c>
      <c r="H72" s="3">
        <v>191933</v>
      </c>
      <c r="I72" s="4" t="e">
        <v>#N/A</v>
      </c>
      <c r="J72" s="3"/>
      <c r="K72" s="3" t="e">
        <v>#N/A</v>
      </c>
      <c r="L72" s="3" t="e">
        <v>#N/A</v>
      </c>
      <c r="M72" s="3" t="e">
        <v>#N/A</v>
      </c>
      <c r="N72" s="3" t="e">
        <v>#N/A</v>
      </c>
      <c r="O72" s="3" t="e">
        <v>#N/A</v>
      </c>
      <c r="P72" s="3" t="e">
        <v>#N/A</v>
      </c>
      <c r="Q72" s="3" t="e">
        <v>#N/A</v>
      </c>
      <c r="R72" s="3" t="e">
        <v>#N/A</v>
      </c>
      <c r="S72" s="3" t="e">
        <v>#N/A</v>
      </c>
      <c r="T72" s="3" t="e">
        <v>#N/A</v>
      </c>
      <c r="U72" s="3" t="e">
        <v>#N/A</v>
      </c>
      <c r="V72" s="3" t="e">
        <v>#N/A</v>
      </c>
      <c r="W72" s="3" t="e">
        <v>#N/A</v>
      </c>
      <c r="X72" s="3" t="e">
        <v>#N/A</v>
      </c>
      <c r="Y72" s="3" t="e">
        <v>#N/A</v>
      </c>
      <c r="Z72" s="3" t="e">
        <v>#N/A</v>
      </c>
      <c r="AA72" s="3" t="e">
        <v>#N/A</v>
      </c>
      <c r="AB72" s="3" t="e">
        <v>#N/A</v>
      </c>
      <c r="AC72" s="3" t="e">
        <v>#N/A</v>
      </c>
      <c r="AD72" s="3" t="e">
        <v>#N/A</v>
      </c>
      <c r="AE72" s="3" t="e">
        <v>#N/A</v>
      </c>
      <c r="AF72" s="3" t="e">
        <v>#N/A</v>
      </c>
      <c r="AG72" s="3" t="e">
        <v>#N/A</v>
      </c>
      <c r="AH72" s="3" t="e">
        <v>#N/A</v>
      </c>
      <c r="AI72" s="3" t="e">
        <v>#N/A</v>
      </c>
      <c r="AJ72" s="3" t="e">
        <v>#N/A</v>
      </c>
      <c r="AK72" s="3" t="e">
        <v>#N/A</v>
      </c>
      <c r="AL72" s="3" t="e">
        <v>#N/A</v>
      </c>
      <c r="AM72" s="3" t="e">
        <v>#N/A</v>
      </c>
      <c r="AN72" s="3" t="e">
        <v>#N/A</v>
      </c>
      <c r="AO72" s="3" t="e">
        <v>#N/A</v>
      </c>
      <c r="AP72" s="3" t="e">
        <v>#N/A</v>
      </c>
      <c r="AR72" s="3" t="e">
        <f t="shared" si="0"/>
        <v>#N/A</v>
      </c>
      <c r="AS72" s="3" t="e">
        <f t="shared" si="0"/>
        <v>#N/A</v>
      </c>
      <c r="AT72" s="3" t="e">
        <f t="shared" si="0"/>
        <v>#N/A</v>
      </c>
      <c r="AU72" s="3" t="e">
        <f t="shared" si="1"/>
        <v>#N/A</v>
      </c>
      <c r="AV72" s="3" t="e">
        <f t="shared" si="2"/>
        <v>#N/A</v>
      </c>
      <c r="AW72" s="3" t="e">
        <f t="shared" si="3"/>
        <v>#N/A</v>
      </c>
      <c r="AX72" s="3" t="e">
        <f t="shared" si="4"/>
        <v>#N/A</v>
      </c>
      <c r="AY72" s="3" t="e">
        <f t="shared" si="5"/>
        <v>#N/A</v>
      </c>
      <c r="AZ72" s="3" t="e">
        <f t="shared" si="6"/>
        <v>#N/A</v>
      </c>
      <c r="BA72" s="3" t="e">
        <f t="shared" si="7"/>
        <v>#N/A</v>
      </c>
      <c r="BB72" s="3" t="e">
        <f t="shared" si="8"/>
        <v>#N/A</v>
      </c>
    </row>
    <row r="73" spans="1:54" x14ac:dyDescent="0.25">
      <c r="A73" t="s">
        <v>684</v>
      </c>
      <c r="B73" s="21">
        <v>6.24</v>
      </c>
      <c r="C73" s="21">
        <v>5.52</v>
      </c>
      <c r="D73" s="35">
        <v>4.75</v>
      </c>
      <c r="E73" s="3" t="e">
        <v>#N/A</v>
      </c>
      <c r="F73" s="3" t="e">
        <v>#N/A</v>
      </c>
      <c r="G73" s="3">
        <v>189863</v>
      </c>
      <c r="H73" s="3">
        <v>195177</v>
      </c>
      <c r="I73" s="4" t="e">
        <v>#N/A</v>
      </c>
      <c r="J73" s="3"/>
      <c r="K73" s="3" t="e">
        <v>#N/A</v>
      </c>
      <c r="L73" s="3" t="e">
        <v>#N/A</v>
      </c>
      <c r="M73" s="3" t="e">
        <v>#N/A</v>
      </c>
      <c r="N73" s="3" t="e">
        <v>#N/A</v>
      </c>
      <c r="O73" s="3" t="e">
        <v>#N/A</v>
      </c>
      <c r="P73" s="3" t="e">
        <v>#N/A</v>
      </c>
      <c r="Q73" s="3" t="e">
        <v>#N/A</v>
      </c>
      <c r="R73" s="3" t="e">
        <v>#N/A</v>
      </c>
      <c r="S73" s="3" t="e">
        <v>#N/A</v>
      </c>
      <c r="T73" s="3" t="e">
        <v>#N/A</v>
      </c>
      <c r="U73" s="3" t="e">
        <v>#N/A</v>
      </c>
      <c r="V73" s="3" t="e">
        <v>#N/A</v>
      </c>
      <c r="W73" s="3" t="e">
        <v>#N/A</v>
      </c>
      <c r="X73" s="3" t="e">
        <v>#N/A</v>
      </c>
      <c r="Y73" s="3" t="e">
        <v>#N/A</v>
      </c>
      <c r="Z73" s="3" t="e">
        <v>#N/A</v>
      </c>
      <c r="AA73" s="3" t="e">
        <v>#N/A</v>
      </c>
      <c r="AB73" s="3" t="e">
        <v>#N/A</v>
      </c>
      <c r="AC73" s="3" t="e">
        <v>#N/A</v>
      </c>
      <c r="AD73" s="3" t="e">
        <v>#N/A</v>
      </c>
      <c r="AE73" s="3" t="e">
        <v>#N/A</v>
      </c>
      <c r="AF73" s="3" t="e">
        <v>#N/A</v>
      </c>
      <c r="AG73" s="3" t="e">
        <v>#N/A</v>
      </c>
      <c r="AH73" s="3" t="e">
        <v>#N/A</v>
      </c>
      <c r="AI73" s="3" t="e">
        <v>#N/A</v>
      </c>
      <c r="AJ73" s="3" t="e">
        <v>#N/A</v>
      </c>
      <c r="AK73" s="3" t="e">
        <v>#N/A</v>
      </c>
      <c r="AL73" s="3" t="e">
        <v>#N/A</v>
      </c>
      <c r="AM73" s="3" t="e">
        <v>#N/A</v>
      </c>
      <c r="AN73" s="3" t="e">
        <v>#N/A</v>
      </c>
      <c r="AO73" s="3" t="e">
        <v>#N/A</v>
      </c>
      <c r="AP73" s="3" t="e">
        <v>#N/A</v>
      </c>
      <c r="AR73" s="3" t="e">
        <f t="shared" ref="AR73:AT136" si="9">+M73+AC73</f>
        <v>#N/A</v>
      </c>
      <c r="AS73" s="3" t="e">
        <f t="shared" si="9"/>
        <v>#N/A</v>
      </c>
      <c r="AT73" s="3" t="e">
        <f t="shared" si="9"/>
        <v>#N/A</v>
      </c>
      <c r="AU73" s="3" t="e">
        <f t="shared" ref="AU73:AU136" si="10">+Q73+AG73</f>
        <v>#N/A</v>
      </c>
      <c r="AV73" s="3" t="e">
        <f t="shared" ref="AV73:AV136" si="11">+R73+AH73</f>
        <v>#N/A</v>
      </c>
      <c r="AW73" s="3" t="e">
        <f t="shared" ref="AW73:AW136" si="12">+S73+AI73</f>
        <v>#N/A</v>
      </c>
      <c r="AX73" s="3" t="e">
        <f t="shared" ref="AX73:AX136" si="13">+T73+AJ73</f>
        <v>#N/A</v>
      </c>
      <c r="AY73" s="3" t="e">
        <f t="shared" ref="AY73:AY136" si="14">+X73+AN73</f>
        <v>#N/A</v>
      </c>
      <c r="AZ73" s="3" t="e">
        <f t="shared" ref="AZ73:AZ136" si="15">+Y73+AO73</f>
        <v>#N/A</v>
      </c>
      <c r="BA73" s="3" t="e">
        <f t="shared" ref="BA73:BA136" si="16">+Z73+AP73</f>
        <v>#N/A</v>
      </c>
      <c r="BB73" s="3" t="e">
        <f t="shared" ref="BB73:BB136" si="17">SUM(Q73:T73,W73:Z73,AG73:AJ73,AM73:AP73)</f>
        <v>#N/A</v>
      </c>
    </row>
    <row r="74" spans="1:54" x14ac:dyDescent="0.25">
      <c r="A74" t="s">
        <v>685</v>
      </c>
      <c r="B74" s="21">
        <v>6.18</v>
      </c>
      <c r="C74" s="21">
        <v>5.53</v>
      </c>
      <c r="D74" s="35">
        <v>4.75</v>
      </c>
      <c r="E74" s="3" t="e">
        <v>#N/A</v>
      </c>
      <c r="F74" s="3" t="e">
        <v>#N/A</v>
      </c>
      <c r="G74" s="3">
        <v>193107</v>
      </c>
      <c r="H74" s="3">
        <v>192473</v>
      </c>
      <c r="I74" s="4" t="e">
        <v>#N/A</v>
      </c>
      <c r="J74" s="3"/>
      <c r="K74" s="3" t="e">
        <v>#N/A</v>
      </c>
      <c r="L74" s="3" t="e">
        <v>#N/A</v>
      </c>
      <c r="M74" s="3" t="e">
        <v>#N/A</v>
      </c>
      <c r="N74" s="3" t="e">
        <v>#N/A</v>
      </c>
      <c r="O74" s="3" t="e">
        <v>#N/A</v>
      </c>
      <c r="P74" s="3" t="e">
        <v>#N/A</v>
      </c>
      <c r="Q74" s="3" t="e">
        <v>#N/A</v>
      </c>
      <c r="R74" s="3" t="e">
        <v>#N/A</v>
      </c>
      <c r="S74" s="3" t="e">
        <v>#N/A</v>
      </c>
      <c r="T74" s="3" t="e">
        <v>#N/A</v>
      </c>
      <c r="U74" s="3" t="e">
        <v>#N/A</v>
      </c>
      <c r="V74" s="3" t="e">
        <v>#N/A</v>
      </c>
      <c r="W74" s="3" t="e">
        <v>#N/A</v>
      </c>
      <c r="X74" s="3" t="e">
        <v>#N/A</v>
      </c>
      <c r="Y74" s="3" t="e">
        <v>#N/A</v>
      </c>
      <c r="Z74" s="3" t="e">
        <v>#N/A</v>
      </c>
      <c r="AA74" s="3" t="e">
        <v>#N/A</v>
      </c>
      <c r="AB74" s="3" t="e">
        <v>#N/A</v>
      </c>
      <c r="AC74" s="3" t="e">
        <v>#N/A</v>
      </c>
      <c r="AD74" s="3" t="e">
        <v>#N/A</v>
      </c>
      <c r="AE74" s="3" t="e">
        <v>#N/A</v>
      </c>
      <c r="AF74" s="3" t="e">
        <v>#N/A</v>
      </c>
      <c r="AG74" s="3" t="e">
        <v>#N/A</v>
      </c>
      <c r="AH74" s="3" t="e">
        <v>#N/A</v>
      </c>
      <c r="AI74" s="3" t="e">
        <v>#N/A</v>
      </c>
      <c r="AJ74" s="3" t="e">
        <v>#N/A</v>
      </c>
      <c r="AK74" s="3" t="e">
        <v>#N/A</v>
      </c>
      <c r="AL74" s="3" t="e">
        <v>#N/A</v>
      </c>
      <c r="AM74" s="3" t="e">
        <v>#N/A</v>
      </c>
      <c r="AN74" s="3" t="e">
        <v>#N/A</v>
      </c>
      <c r="AO74" s="3" t="e">
        <v>#N/A</v>
      </c>
      <c r="AP74" s="3" t="e">
        <v>#N/A</v>
      </c>
      <c r="AR74" s="3" t="e">
        <f t="shared" si="9"/>
        <v>#N/A</v>
      </c>
      <c r="AS74" s="3" t="e">
        <f t="shared" si="9"/>
        <v>#N/A</v>
      </c>
      <c r="AT74" s="3" t="e">
        <f t="shared" si="9"/>
        <v>#N/A</v>
      </c>
      <c r="AU74" s="3" t="e">
        <f t="shared" si="10"/>
        <v>#N/A</v>
      </c>
      <c r="AV74" s="3" t="e">
        <f t="shared" si="11"/>
        <v>#N/A</v>
      </c>
      <c r="AW74" s="3" t="e">
        <f t="shared" si="12"/>
        <v>#N/A</v>
      </c>
      <c r="AX74" s="3" t="e">
        <f t="shared" si="13"/>
        <v>#N/A</v>
      </c>
      <c r="AY74" s="3" t="e">
        <f t="shared" si="14"/>
        <v>#N/A</v>
      </c>
      <c r="AZ74" s="3" t="e">
        <f t="shared" si="15"/>
        <v>#N/A</v>
      </c>
      <c r="BA74" s="3" t="e">
        <f t="shared" si="16"/>
        <v>#N/A</v>
      </c>
      <c r="BB74" s="3" t="e">
        <f t="shared" si="17"/>
        <v>#N/A</v>
      </c>
    </row>
    <row r="75" spans="1:54" x14ac:dyDescent="0.25">
      <c r="A75" t="s">
        <v>686</v>
      </c>
      <c r="B75" s="21">
        <v>6.07</v>
      </c>
      <c r="C75" s="21">
        <v>5.52</v>
      </c>
      <c r="D75" s="35">
        <v>4.5326086956521738</v>
      </c>
      <c r="E75" s="3" t="e">
        <v>#N/A</v>
      </c>
      <c r="F75" s="3" t="e">
        <v>#N/A</v>
      </c>
      <c r="G75" s="3">
        <v>193194</v>
      </c>
      <c r="H75" s="3">
        <v>192282</v>
      </c>
      <c r="I75" s="4" t="e">
        <v>#N/A</v>
      </c>
      <c r="J75" s="3"/>
      <c r="K75" s="3" t="e">
        <v>#N/A</v>
      </c>
      <c r="L75" s="3" t="e">
        <v>#N/A</v>
      </c>
      <c r="M75" s="3" t="e">
        <v>#N/A</v>
      </c>
      <c r="N75" s="3" t="e">
        <v>#N/A</v>
      </c>
      <c r="O75" s="3" t="e">
        <v>#N/A</v>
      </c>
      <c r="P75" s="3" t="e">
        <v>#N/A</v>
      </c>
      <c r="Q75" s="3" t="e">
        <v>#N/A</v>
      </c>
      <c r="R75" s="3" t="e">
        <v>#N/A</v>
      </c>
      <c r="S75" s="3" t="e">
        <v>#N/A</v>
      </c>
      <c r="T75" s="3" t="e">
        <v>#N/A</v>
      </c>
      <c r="U75" s="3" t="e">
        <v>#N/A</v>
      </c>
      <c r="V75" s="3" t="e">
        <v>#N/A</v>
      </c>
      <c r="W75" s="3" t="e">
        <v>#N/A</v>
      </c>
      <c r="X75" s="3" t="e">
        <v>#N/A</v>
      </c>
      <c r="Y75" s="3" t="e">
        <v>#N/A</v>
      </c>
      <c r="Z75" s="3" t="e">
        <v>#N/A</v>
      </c>
      <c r="AA75" s="3" t="e">
        <v>#N/A</v>
      </c>
      <c r="AB75" s="3" t="e">
        <v>#N/A</v>
      </c>
      <c r="AC75" s="3" t="e">
        <v>#N/A</v>
      </c>
      <c r="AD75" s="3" t="e">
        <v>#N/A</v>
      </c>
      <c r="AE75" s="3" t="e">
        <v>#N/A</v>
      </c>
      <c r="AF75" s="3" t="e">
        <v>#N/A</v>
      </c>
      <c r="AG75" s="3" t="e">
        <v>#N/A</v>
      </c>
      <c r="AH75" s="3" t="e">
        <v>#N/A</v>
      </c>
      <c r="AI75" s="3" t="e">
        <v>#N/A</v>
      </c>
      <c r="AJ75" s="3" t="e">
        <v>#N/A</v>
      </c>
      <c r="AK75" s="3" t="e">
        <v>#N/A</v>
      </c>
      <c r="AL75" s="3" t="e">
        <v>#N/A</v>
      </c>
      <c r="AM75" s="3" t="e">
        <v>#N/A</v>
      </c>
      <c r="AN75" s="3" t="e">
        <v>#N/A</v>
      </c>
      <c r="AO75" s="3" t="e">
        <v>#N/A</v>
      </c>
      <c r="AP75" s="3" t="e">
        <v>#N/A</v>
      </c>
      <c r="AR75" s="3" t="e">
        <f t="shared" si="9"/>
        <v>#N/A</v>
      </c>
      <c r="AS75" s="3" t="e">
        <f t="shared" si="9"/>
        <v>#N/A</v>
      </c>
      <c r="AT75" s="3" t="e">
        <f t="shared" si="9"/>
        <v>#N/A</v>
      </c>
      <c r="AU75" s="3" t="e">
        <f t="shared" si="10"/>
        <v>#N/A</v>
      </c>
      <c r="AV75" s="3" t="e">
        <f t="shared" si="11"/>
        <v>#N/A</v>
      </c>
      <c r="AW75" s="3" t="e">
        <f t="shared" si="12"/>
        <v>#N/A</v>
      </c>
      <c r="AX75" s="3" t="e">
        <f t="shared" si="13"/>
        <v>#N/A</v>
      </c>
      <c r="AY75" s="3" t="e">
        <f t="shared" si="14"/>
        <v>#N/A</v>
      </c>
      <c r="AZ75" s="3" t="e">
        <f t="shared" si="15"/>
        <v>#N/A</v>
      </c>
      <c r="BA75" s="3" t="e">
        <f t="shared" si="16"/>
        <v>#N/A</v>
      </c>
      <c r="BB75" s="3" t="e">
        <f t="shared" si="17"/>
        <v>#N/A</v>
      </c>
    </row>
    <row r="76" spans="1:54" x14ac:dyDescent="0.25">
      <c r="A76" t="s">
        <v>687</v>
      </c>
      <c r="B76" s="21">
        <v>6.01</v>
      </c>
      <c r="C76" s="21">
        <v>5.38</v>
      </c>
      <c r="D76" s="35">
        <v>4.5</v>
      </c>
      <c r="E76" s="3" t="e">
        <v>#N/A</v>
      </c>
      <c r="F76" s="3" t="e">
        <v>#N/A</v>
      </c>
      <c r="G76" s="3">
        <v>191321</v>
      </c>
      <c r="H76" s="3">
        <v>191514</v>
      </c>
      <c r="I76" s="4" t="e">
        <v>#N/A</v>
      </c>
      <c r="J76" s="3"/>
      <c r="K76" s="3" t="e">
        <v>#N/A</v>
      </c>
      <c r="L76" s="3" t="e">
        <v>#N/A</v>
      </c>
      <c r="M76" s="3" t="e">
        <v>#N/A</v>
      </c>
      <c r="N76" s="3" t="e">
        <v>#N/A</v>
      </c>
      <c r="O76" s="3" t="e">
        <v>#N/A</v>
      </c>
      <c r="P76" s="3" t="e">
        <v>#N/A</v>
      </c>
      <c r="Q76" s="3" t="e">
        <v>#N/A</v>
      </c>
      <c r="R76" s="3" t="e">
        <v>#N/A</v>
      </c>
      <c r="S76" s="3" t="e">
        <v>#N/A</v>
      </c>
      <c r="T76" s="3" t="e">
        <v>#N/A</v>
      </c>
      <c r="U76" s="3" t="e">
        <v>#N/A</v>
      </c>
      <c r="V76" s="3" t="e">
        <v>#N/A</v>
      </c>
      <c r="W76" s="3" t="e">
        <v>#N/A</v>
      </c>
      <c r="X76" s="3" t="e">
        <v>#N/A</v>
      </c>
      <c r="Y76" s="3" t="e">
        <v>#N/A</v>
      </c>
      <c r="Z76" s="3" t="e">
        <v>#N/A</v>
      </c>
      <c r="AA76" s="3" t="e">
        <v>#N/A</v>
      </c>
      <c r="AB76" s="3" t="e">
        <v>#N/A</v>
      </c>
      <c r="AC76" s="3" t="e">
        <v>#N/A</v>
      </c>
      <c r="AD76" s="3" t="e">
        <v>#N/A</v>
      </c>
      <c r="AE76" s="3" t="e">
        <v>#N/A</v>
      </c>
      <c r="AF76" s="3" t="e">
        <v>#N/A</v>
      </c>
      <c r="AG76" s="3" t="e">
        <v>#N/A</v>
      </c>
      <c r="AH76" s="3" t="e">
        <v>#N/A</v>
      </c>
      <c r="AI76" s="3" t="e">
        <v>#N/A</v>
      </c>
      <c r="AJ76" s="3" t="e">
        <v>#N/A</v>
      </c>
      <c r="AK76" s="3" t="e">
        <v>#N/A</v>
      </c>
      <c r="AL76" s="3" t="e">
        <v>#N/A</v>
      </c>
      <c r="AM76" s="3" t="e">
        <v>#N/A</v>
      </c>
      <c r="AN76" s="3" t="e">
        <v>#N/A</v>
      </c>
      <c r="AO76" s="3" t="e">
        <v>#N/A</v>
      </c>
      <c r="AP76" s="3" t="e">
        <v>#N/A</v>
      </c>
      <c r="AR76" s="3" t="e">
        <f t="shared" si="9"/>
        <v>#N/A</v>
      </c>
      <c r="AS76" s="3" t="e">
        <f t="shared" si="9"/>
        <v>#N/A</v>
      </c>
      <c r="AT76" s="3" t="e">
        <f t="shared" si="9"/>
        <v>#N/A</v>
      </c>
      <c r="AU76" s="3" t="e">
        <f t="shared" si="10"/>
        <v>#N/A</v>
      </c>
      <c r="AV76" s="3" t="e">
        <f t="shared" si="11"/>
        <v>#N/A</v>
      </c>
      <c r="AW76" s="3" t="e">
        <f t="shared" si="12"/>
        <v>#N/A</v>
      </c>
      <c r="AX76" s="3" t="e">
        <f t="shared" si="13"/>
        <v>#N/A</v>
      </c>
      <c r="AY76" s="3" t="e">
        <f t="shared" si="14"/>
        <v>#N/A</v>
      </c>
      <c r="AZ76" s="3" t="e">
        <f t="shared" si="15"/>
        <v>#N/A</v>
      </c>
      <c r="BA76" s="3" t="e">
        <f t="shared" si="16"/>
        <v>#N/A</v>
      </c>
      <c r="BB76" s="3" t="e">
        <f t="shared" si="17"/>
        <v>#N/A</v>
      </c>
    </row>
    <row r="77" spans="1:54" x14ac:dyDescent="0.25">
      <c r="A77" t="s">
        <v>688</v>
      </c>
      <c r="B77" s="21">
        <v>5.96</v>
      </c>
      <c r="C77" s="21">
        <v>5.36</v>
      </c>
      <c r="D77" s="35">
        <v>4.5</v>
      </c>
      <c r="E77" s="3" t="e">
        <v>#N/A</v>
      </c>
      <c r="F77" s="3" t="e">
        <v>#N/A</v>
      </c>
      <c r="G77" s="3">
        <v>194319</v>
      </c>
      <c r="H77" s="3">
        <v>190989</v>
      </c>
      <c r="I77" s="4" t="e">
        <v>#N/A</v>
      </c>
      <c r="J77" s="3"/>
      <c r="K77" s="3" t="e">
        <v>#N/A</v>
      </c>
      <c r="L77" s="3" t="e">
        <v>#N/A</v>
      </c>
      <c r="M77" s="3" t="e">
        <v>#N/A</v>
      </c>
      <c r="N77" s="3" t="e">
        <v>#N/A</v>
      </c>
      <c r="O77" s="3" t="e">
        <v>#N/A</v>
      </c>
      <c r="P77" s="3" t="e">
        <v>#N/A</v>
      </c>
      <c r="Q77" s="3" t="e">
        <v>#N/A</v>
      </c>
      <c r="R77" s="3" t="e">
        <v>#N/A</v>
      </c>
      <c r="S77" s="3" t="e">
        <v>#N/A</v>
      </c>
      <c r="T77" s="3" t="e">
        <v>#N/A</v>
      </c>
      <c r="U77" s="3" t="e">
        <v>#N/A</v>
      </c>
      <c r="V77" s="3" t="e">
        <v>#N/A</v>
      </c>
      <c r="W77" s="3" t="e">
        <v>#N/A</v>
      </c>
      <c r="X77" s="3" t="e">
        <v>#N/A</v>
      </c>
      <c r="Y77" s="3" t="e">
        <v>#N/A</v>
      </c>
      <c r="Z77" s="3" t="e">
        <v>#N/A</v>
      </c>
      <c r="AA77" s="3" t="e">
        <v>#N/A</v>
      </c>
      <c r="AB77" s="3" t="e">
        <v>#N/A</v>
      </c>
      <c r="AC77" s="3" t="e">
        <v>#N/A</v>
      </c>
      <c r="AD77" s="3" t="e">
        <v>#N/A</v>
      </c>
      <c r="AE77" s="3" t="e">
        <v>#N/A</v>
      </c>
      <c r="AF77" s="3" t="e">
        <v>#N/A</v>
      </c>
      <c r="AG77" s="3" t="e">
        <v>#N/A</v>
      </c>
      <c r="AH77" s="3" t="e">
        <v>#N/A</v>
      </c>
      <c r="AI77" s="3" t="e">
        <v>#N/A</v>
      </c>
      <c r="AJ77" s="3" t="e">
        <v>#N/A</v>
      </c>
      <c r="AK77" s="3" t="e">
        <v>#N/A</v>
      </c>
      <c r="AL77" s="3" t="e">
        <v>#N/A</v>
      </c>
      <c r="AM77" s="3" t="e">
        <v>#N/A</v>
      </c>
      <c r="AN77" s="3" t="e">
        <v>#N/A</v>
      </c>
      <c r="AO77" s="3" t="e">
        <v>#N/A</v>
      </c>
      <c r="AP77" s="3" t="e">
        <v>#N/A</v>
      </c>
      <c r="AR77" s="3" t="e">
        <f t="shared" si="9"/>
        <v>#N/A</v>
      </c>
      <c r="AS77" s="3" t="e">
        <f t="shared" si="9"/>
        <v>#N/A</v>
      </c>
      <c r="AT77" s="3" t="e">
        <f t="shared" si="9"/>
        <v>#N/A</v>
      </c>
      <c r="AU77" s="3" t="e">
        <f t="shared" si="10"/>
        <v>#N/A</v>
      </c>
      <c r="AV77" s="3" t="e">
        <f t="shared" si="11"/>
        <v>#N/A</v>
      </c>
      <c r="AW77" s="3" t="e">
        <f t="shared" si="12"/>
        <v>#N/A</v>
      </c>
      <c r="AX77" s="3" t="e">
        <f t="shared" si="13"/>
        <v>#N/A</v>
      </c>
      <c r="AY77" s="3" t="e">
        <f t="shared" si="14"/>
        <v>#N/A</v>
      </c>
      <c r="AZ77" s="3" t="e">
        <f t="shared" si="15"/>
        <v>#N/A</v>
      </c>
      <c r="BA77" s="3" t="e">
        <f t="shared" si="16"/>
        <v>#N/A</v>
      </c>
      <c r="BB77" s="3" t="e">
        <f t="shared" si="17"/>
        <v>#N/A</v>
      </c>
    </row>
    <row r="78" spans="1:54" x14ac:dyDescent="0.25">
      <c r="A78" t="s">
        <v>689</v>
      </c>
      <c r="B78" s="21">
        <v>5.96</v>
      </c>
      <c r="C78" s="21">
        <v>5.36</v>
      </c>
      <c r="D78" s="35">
        <v>4.5</v>
      </c>
      <c r="E78" s="3" t="e">
        <v>#N/A</v>
      </c>
      <c r="F78" s="3" t="e">
        <v>#N/A</v>
      </c>
      <c r="G78" s="3">
        <v>197215</v>
      </c>
      <c r="H78" s="3">
        <v>198248</v>
      </c>
      <c r="I78" s="4" t="e">
        <v>#N/A</v>
      </c>
      <c r="J78" s="3"/>
      <c r="K78" s="3" t="e">
        <v>#N/A</v>
      </c>
      <c r="L78" s="3" t="e">
        <v>#N/A</v>
      </c>
      <c r="M78" s="3" t="e">
        <v>#N/A</v>
      </c>
      <c r="N78" s="3" t="e">
        <v>#N/A</v>
      </c>
      <c r="O78" s="3" t="e">
        <v>#N/A</v>
      </c>
      <c r="P78" s="3" t="e">
        <v>#N/A</v>
      </c>
      <c r="Q78" s="3" t="e">
        <v>#N/A</v>
      </c>
      <c r="R78" s="3" t="e">
        <v>#N/A</v>
      </c>
      <c r="S78" s="3" t="e">
        <v>#N/A</v>
      </c>
      <c r="T78" s="3" t="e">
        <v>#N/A</v>
      </c>
      <c r="U78" s="3" t="e">
        <v>#N/A</v>
      </c>
      <c r="V78" s="3" t="e">
        <v>#N/A</v>
      </c>
      <c r="W78" s="3" t="e">
        <v>#N/A</v>
      </c>
      <c r="X78" s="3" t="e">
        <v>#N/A</v>
      </c>
      <c r="Y78" s="3" t="e">
        <v>#N/A</v>
      </c>
      <c r="Z78" s="3" t="e">
        <v>#N/A</v>
      </c>
      <c r="AA78" s="3" t="e">
        <v>#N/A</v>
      </c>
      <c r="AB78" s="3" t="e">
        <v>#N/A</v>
      </c>
      <c r="AC78" s="3" t="e">
        <v>#N/A</v>
      </c>
      <c r="AD78" s="3" t="e">
        <v>#N/A</v>
      </c>
      <c r="AE78" s="3" t="e">
        <v>#N/A</v>
      </c>
      <c r="AF78" s="3" t="e">
        <v>#N/A</v>
      </c>
      <c r="AG78" s="3" t="e">
        <v>#N/A</v>
      </c>
      <c r="AH78" s="3" t="e">
        <v>#N/A</v>
      </c>
      <c r="AI78" s="3" t="e">
        <v>#N/A</v>
      </c>
      <c r="AJ78" s="3" t="e">
        <v>#N/A</v>
      </c>
      <c r="AK78" s="3" t="e">
        <v>#N/A</v>
      </c>
      <c r="AL78" s="3" t="e">
        <v>#N/A</v>
      </c>
      <c r="AM78" s="3" t="e">
        <v>#N/A</v>
      </c>
      <c r="AN78" s="3" t="e">
        <v>#N/A</v>
      </c>
      <c r="AO78" s="3" t="e">
        <v>#N/A</v>
      </c>
      <c r="AP78" s="3" t="e">
        <v>#N/A</v>
      </c>
      <c r="AR78" s="3" t="e">
        <f t="shared" si="9"/>
        <v>#N/A</v>
      </c>
      <c r="AS78" s="3" t="e">
        <f t="shared" si="9"/>
        <v>#N/A</v>
      </c>
      <c r="AT78" s="3" t="e">
        <f t="shared" si="9"/>
        <v>#N/A</v>
      </c>
      <c r="AU78" s="3" t="e">
        <f t="shared" si="10"/>
        <v>#N/A</v>
      </c>
      <c r="AV78" s="3" t="e">
        <f t="shared" si="11"/>
        <v>#N/A</v>
      </c>
      <c r="AW78" s="3" t="e">
        <f t="shared" si="12"/>
        <v>#N/A</v>
      </c>
      <c r="AX78" s="3" t="e">
        <f t="shared" si="13"/>
        <v>#N/A</v>
      </c>
      <c r="AY78" s="3" t="e">
        <f t="shared" si="14"/>
        <v>#N/A</v>
      </c>
      <c r="AZ78" s="3" t="e">
        <f t="shared" si="15"/>
        <v>#N/A</v>
      </c>
      <c r="BA78" s="3" t="e">
        <f t="shared" si="16"/>
        <v>#N/A</v>
      </c>
      <c r="BB78" s="3" t="e">
        <f t="shared" si="17"/>
        <v>#N/A</v>
      </c>
    </row>
    <row r="79" spans="1:54" x14ac:dyDescent="0.25">
      <c r="A79" t="s">
        <v>690</v>
      </c>
      <c r="B79" s="21">
        <v>6.1</v>
      </c>
      <c r="C79" s="21">
        <v>5.33</v>
      </c>
      <c r="D79" s="35">
        <v>4.5</v>
      </c>
      <c r="E79" s="3" t="e">
        <v>#N/A</v>
      </c>
      <c r="F79" s="3" t="e">
        <v>#N/A</v>
      </c>
      <c r="G79" s="3">
        <v>198184</v>
      </c>
      <c r="H79" s="3">
        <v>202130</v>
      </c>
      <c r="I79" s="4" t="e">
        <v>#N/A</v>
      </c>
      <c r="J79" s="3"/>
      <c r="K79" s="3" t="e">
        <v>#N/A</v>
      </c>
      <c r="L79" s="3" t="e">
        <v>#N/A</v>
      </c>
      <c r="M79" s="3" t="e">
        <v>#N/A</v>
      </c>
      <c r="N79" s="3" t="e">
        <v>#N/A</v>
      </c>
      <c r="O79" s="3" t="e">
        <v>#N/A</v>
      </c>
      <c r="P79" s="3" t="e">
        <v>#N/A</v>
      </c>
      <c r="Q79" s="3" t="e">
        <v>#N/A</v>
      </c>
      <c r="R79" s="3" t="e">
        <v>#N/A</v>
      </c>
      <c r="S79" s="3" t="e">
        <v>#N/A</v>
      </c>
      <c r="T79" s="3" t="e">
        <v>#N/A</v>
      </c>
      <c r="U79" s="3" t="e">
        <v>#N/A</v>
      </c>
      <c r="V79" s="3" t="e">
        <v>#N/A</v>
      </c>
      <c r="W79" s="3" t="e">
        <v>#N/A</v>
      </c>
      <c r="X79" s="3" t="e">
        <v>#N/A</v>
      </c>
      <c r="Y79" s="3" t="e">
        <v>#N/A</v>
      </c>
      <c r="Z79" s="3" t="e">
        <v>#N/A</v>
      </c>
      <c r="AA79" s="3" t="e">
        <v>#N/A</v>
      </c>
      <c r="AB79" s="3" t="e">
        <v>#N/A</v>
      </c>
      <c r="AC79" s="3" t="e">
        <v>#N/A</v>
      </c>
      <c r="AD79" s="3" t="e">
        <v>#N/A</v>
      </c>
      <c r="AE79" s="3" t="e">
        <v>#N/A</v>
      </c>
      <c r="AF79" s="3" t="e">
        <v>#N/A</v>
      </c>
      <c r="AG79" s="3" t="e">
        <v>#N/A</v>
      </c>
      <c r="AH79" s="3" t="e">
        <v>#N/A</v>
      </c>
      <c r="AI79" s="3" t="e">
        <v>#N/A</v>
      </c>
      <c r="AJ79" s="3" t="e">
        <v>#N/A</v>
      </c>
      <c r="AK79" s="3" t="e">
        <v>#N/A</v>
      </c>
      <c r="AL79" s="3" t="e">
        <v>#N/A</v>
      </c>
      <c r="AM79" s="3" t="e">
        <v>#N/A</v>
      </c>
      <c r="AN79" s="3" t="e">
        <v>#N/A</v>
      </c>
      <c r="AO79" s="3" t="e">
        <v>#N/A</v>
      </c>
      <c r="AP79" s="3" t="e">
        <v>#N/A</v>
      </c>
      <c r="AR79" s="3" t="e">
        <f t="shared" si="9"/>
        <v>#N/A</v>
      </c>
      <c r="AS79" s="3" t="e">
        <f t="shared" si="9"/>
        <v>#N/A</v>
      </c>
      <c r="AT79" s="3" t="e">
        <f t="shared" si="9"/>
        <v>#N/A</v>
      </c>
      <c r="AU79" s="3" t="e">
        <f t="shared" si="10"/>
        <v>#N/A</v>
      </c>
      <c r="AV79" s="3" t="e">
        <f t="shared" si="11"/>
        <v>#N/A</v>
      </c>
      <c r="AW79" s="3" t="e">
        <f t="shared" si="12"/>
        <v>#N/A</v>
      </c>
      <c r="AX79" s="3" t="e">
        <f t="shared" si="13"/>
        <v>#N/A</v>
      </c>
      <c r="AY79" s="3" t="e">
        <f t="shared" si="14"/>
        <v>#N/A</v>
      </c>
      <c r="AZ79" s="3" t="e">
        <f t="shared" si="15"/>
        <v>#N/A</v>
      </c>
      <c r="BA79" s="3" t="e">
        <f t="shared" si="16"/>
        <v>#N/A</v>
      </c>
      <c r="BB79" s="3" t="e">
        <f t="shared" si="17"/>
        <v>#N/A</v>
      </c>
    </row>
    <row r="80" spans="1:54" x14ac:dyDescent="0.25">
      <c r="A80" t="s">
        <v>691</v>
      </c>
      <c r="B80" s="21">
        <v>6.11</v>
      </c>
      <c r="C80" s="21">
        <v>5.33</v>
      </c>
      <c r="D80" s="35">
        <v>4.5</v>
      </c>
      <c r="E80" s="3" t="e">
        <v>#N/A</v>
      </c>
      <c r="F80" s="3" t="e">
        <v>#N/A</v>
      </c>
      <c r="G80" s="3">
        <v>200010</v>
      </c>
      <c r="H80" s="3">
        <v>194847</v>
      </c>
      <c r="I80" s="4" t="e">
        <v>#N/A</v>
      </c>
      <c r="J80" s="3"/>
      <c r="K80" s="3" t="e">
        <v>#N/A</v>
      </c>
      <c r="L80" s="3" t="e">
        <v>#N/A</v>
      </c>
      <c r="M80" s="3" t="e">
        <v>#N/A</v>
      </c>
      <c r="N80" s="3" t="e">
        <v>#N/A</v>
      </c>
      <c r="O80" s="3" t="e">
        <v>#N/A</v>
      </c>
      <c r="P80" s="3" t="e">
        <v>#N/A</v>
      </c>
      <c r="Q80" s="3" t="e">
        <v>#N/A</v>
      </c>
      <c r="R80" s="3" t="e">
        <v>#N/A</v>
      </c>
      <c r="S80" s="3" t="e">
        <v>#N/A</v>
      </c>
      <c r="T80" s="3" t="e">
        <v>#N/A</v>
      </c>
      <c r="U80" s="3" t="e">
        <v>#N/A</v>
      </c>
      <c r="V80" s="3" t="e">
        <v>#N/A</v>
      </c>
      <c r="W80" s="3" t="e">
        <v>#N/A</v>
      </c>
      <c r="X80" s="3" t="e">
        <v>#N/A</v>
      </c>
      <c r="Y80" s="3" t="e">
        <v>#N/A</v>
      </c>
      <c r="Z80" s="3" t="e">
        <v>#N/A</v>
      </c>
      <c r="AA80" s="3" t="e">
        <v>#N/A</v>
      </c>
      <c r="AB80" s="3" t="e">
        <v>#N/A</v>
      </c>
      <c r="AC80" s="3" t="e">
        <v>#N/A</v>
      </c>
      <c r="AD80" s="3" t="e">
        <v>#N/A</v>
      </c>
      <c r="AE80" s="3" t="e">
        <v>#N/A</v>
      </c>
      <c r="AF80" s="3" t="e">
        <v>#N/A</v>
      </c>
      <c r="AG80" s="3" t="e">
        <v>#N/A</v>
      </c>
      <c r="AH80" s="3" t="e">
        <v>#N/A</v>
      </c>
      <c r="AI80" s="3" t="e">
        <v>#N/A</v>
      </c>
      <c r="AJ80" s="3" t="e">
        <v>#N/A</v>
      </c>
      <c r="AK80" s="3" t="e">
        <v>#N/A</v>
      </c>
      <c r="AL80" s="3" t="e">
        <v>#N/A</v>
      </c>
      <c r="AM80" s="3" t="e">
        <v>#N/A</v>
      </c>
      <c r="AN80" s="3" t="e">
        <v>#N/A</v>
      </c>
      <c r="AO80" s="3" t="e">
        <v>#N/A</v>
      </c>
      <c r="AP80" s="3" t="e">
        <v>#N/A</v>
      </c>
      <c r="AR80" s="3" t="e">
        <f t="shared" si="9"/>
        <v>#N/A</v>
      </c>
      <c r="AS80" s="3" t="e">
        <f t="shared" si="9"/>
        <v>#N/A</v>
      </c>
      <c r="AT80" s="3" t="e">
        <f t="shared" si="9"/>
        <v>#N/A</v>
      </c>
      <c r="AU80" s="3" t="e">
        <f t="shared" si="10"/>
        <v>#N/A</v>
      </c>
      <c r="AV80" s="3" t="e">
        <f t="shared" si="11"/>
        <v>#N/A</v>
      </c>
      <c r="AW80" s="3" t="e">
        <f t="shared" si="12"/>
        <v>#N/A</v>
      </c>
      <c r="AX80" s="3" t="e">
        <f t="shared" si="13"/>
        <v>#N/A</v>
      </c>
      <c r="AY80" s="3" t="e">
        <f t="shared" si="14"/>
        <v>#N/A</v>
      </c>
      <c r="AZ80" s="3" t="e">
        <f t="shared" si="15"/>
        <v>#N/A</v>
      </c>
      <c r="BA80" s="3" t="e">
        <f t="shared" si="16"/>
        <v>#N/A</v>
      </c>
      <c r="BB80" s="3" t="e">
        <f t="shared" si="17"/>
        <v>#N/A</v>
      </c>
    </row>
    <row r="81" spans="1:54" x14ac:dyDescent="0.25">
      <c r="A81" t="s">
        <v>692</v>
      </c>
      <c r="B81" s="21">
        <v>6.09</v>
      </c>
      <c r="C81" s="21">
        <v>5.34</v>
      </c>
      <c r="D81" s="35">
        <v>4.5</v>
      </c>
      <c r="E81" s="3" t="e">
        <v>#N/A</v>
      </c>
      <c r="F81" s="3" t="e">
        <v>#N/A</v>
      </c>
      <c r="G81" s="3">
        <v>202809</v>
      </c>
      <c r="H81" s="3">
        <v>197027</v>
      </c>
      <c r="I81" s="4" t="e">
        <v>#N/A</v>
      </c>
      <c r="J81" s="3"/>
      <c r="K81" s="3" t="e">
        <v>#N/A</v>
      </c>
      <c r="L81" s="3" t="e">
        <v>#N/A</v>
      </c>
      <c r="M81" s="3" t="e">
        <v>#N/A</v>
      </c>
      <c r="N81" s="3" t="e">
        <v>#N/A</v>
      </c>
      <c r="O81" s="3" t="e">
        <v>#N/A</v>
      </c>
      <c r="P81" s="3" t="e">
        <v>#N/A</v>
      </c>
      <c r="Q81" s="3" t="e">
        <v>#N/A</v>
      </c>
      <c r="R81" s="3" t="e">
        <v>#N/A</v>
      </c>
      <c r="S81" s="3" t="e">
        <v>#N/A</v>
      </c>
      <c r="T81" s="3" t="e">
        <v>#N/A</v>
      </c>
      <c r="U81" s="3" t="e">
        <v>#N/A</v>
      </c>
      <c r="V81" s="3" t="e">
        <v>#N/A</v>
      </c>
      <c r="W81" s="3" t="e">
        <v>#N/A</v>
      </c>
      <c r="X81" s="3" t="e">
        <v>#N/A</v>
      </c>
      <c r="Y81" s="3" t="e">
        <v>#N/A</v>
      </c>
      <c r="Z81" s="3" t="e">
        <v>#N/A</v>
      </c>
      <c r="AA81" s="3" t="e">
        <v>#N/A</v>
      </c>
      <c r="AB81" s="3" t="e">
        <v>#N/A</v>
      </c>
      <c r="AC81" s="3" t="e">
        <v>#N/A</v>
      </c>
      <c r="AD81" s="3" t="e">
        <v>#N/A</v>
      </c>
      <c r="AE81" s="3" t="e">
        <v>#N/A</v>
      </c>
      <c r="AF81" s="3" t="e">
        <v>#N/A</v>
      </c>
      <c r="AG81" s="3" t="e">
        <v>#N/A</v>
      </c>
      <c r="AH81" s="3" t="e">
        <v>#N/A</v>
      </c>
      <c r="AI81" s="3" t="e">
        <v>#N/A</v>
      </c>
      <c r="AJ81" s="3" t="e">
        <v>#N/A</v>
      </c>
      <c r="AK81" s="3" t="e">
        <v>#N/A</v>
      </c>
      <c r="AL81" s="3" t="e">
        <v>#N/A</v>
      </c>
      <c r="AM81" s="3" t="e">
        <v>#N/A</v>
      </c>
      <c r="AN81" s="3" t="e">
        <v>#N/A</v>
      </c>
      <c r="AO81" s="3" t="e">
        <v>#N/A</v>
      </c>
      <c r="AP81" s="3" t="e">
        <v>#N/A</v>
      </c>
      <c r="AR81" s="3" t="e">
        <f t="shared" si="9"/>
        <v>#N/A</v>
      </c>
      <c r="AS81" s="3" t="e">
        <f t="shared" si="9"/>
        <v>#N/A</v>
      </c>
      <c r="AT81" s="3" t="e">
        <f t="shared" si="9"/>
        <v>#N/A</v>
      </c>
      <c r="AU81" s="3" t="e">
        <f t="shared" si="10"/>
        <v>#N/A</v>
      </c>
      <c r="AV81" s="3" t="e">
        <f t="shared" si="11"/>
        <v>#N/A</v>
      </c>
      <c r="AW81" s="3" t="e">
        <f t="shared" si="12"/>
        <v>#N/A</v>
      </c>
      <c r="AX81" s="3" t="e">
        <f t="shared" si="13"/>
        <v>#N/A</v>
      </c>
      <c r="AY81" s="3" t="e">
        <f t="shared" si="14"/>
        <v>#N/A</v>
      </c>
      <c r="AZ81" s="3" t="e">
        <f t="shared" si="15"/>
        <v>#N/A</v>
      </c>
      <c r="BA81" s="3" t="e">
        <f t="shared" si="16"/>
        <v>#N/A</v>
      </c>
      <c r="BB81" s="3" t="e">
        <f t="shared" si="17"/>
        <v>#N/A</v>
      </c>
    </row>
    <row r="82" spans="1:54" x14ac:dyDescent="0.25">
      <c r="A82" t="s">
        <v>693</v>
      </c>
      <c r="B82" s="21">
        <v>6.06</v>
      </c>
      <c r="C82" s="21">
        <v>5.31</v>
      </c>
      <c r="D82" s="35">
        <v>4.5</v>
      </c>
      <c r="E82" s="3" t="e">
        <v>#N/A</v>
      </c>
      <c r="F82" s="3" t="e">
        <v>#N/A</v>
      </c>
      <c r="G82" s="3">
        <v>205580</v>
      </c>
      <c r="H82" s="3">
        <v>207528</v>
      </c>
      <c r="I82" s="4" t="e">
        <v>#N/A</v>
      </c>
      <c r="J82" s="3"/>
      <c r="K82" s="3" t="e">
        <v>#N/A</v>
      </c>
      <c r="L82" s="3" t="e">
        <v>#N/A</v>
      </c>
      <c r="M82" s="3" t="e">
        <v>#N/A</v>
      </c>
      <c r="N82" s="3" t="e">
        <v>#N/A</v>
      </c>
      <c r="O82" s="3" t="e">
        <v>#N/A</v>
      </c>
      <c r="P82" s="3" t="e">
        <v>#N/A</v>
      </c>
      <c r="Q82" s="3" t="e">
        <v>#N/A</v>
      </c>
      <c r="R82" s="3" t="e">
        <v>#N/A</v>
      </c>
      <c r="S82" s="3" t="e">
        <v>#N/A</v>
      </c>
      <c r="T82" s="3" t="e">
        <v>#N/A</v>
      </c>
      <c r="U82" s="3" t="e">
        <v>#N/A</v>
      </c>
      <c r="V82" s="3" t="e">
        <v>#N/A</v>
      </c>
      <c r="W82" s="3" t="e">
        <v>#N/A</v>
      </c>
      <c r="X82" s="3" t="e">
        <v>#N/A</v>
      </c>
      <c r="Y82" s="3" t="e">
        <v>#N/A</v>
      </c>
      <c r="Z82" s="3" t="e">
        <v>#N/A</v>
      </c>
      <c r="AA82" s="3" t="e">
        <v>#N/A</v>
      </c>
      <c r="AB82" s="3" t="e">
        <v>#N/A</v>
      </c>
      <c r="AC82" s="3" t="e">
        <v>#N/A</v>
      </c>
      <c r="AD82" s="3" t="e">
        <v>#N/A</v>
      </c>
      <c r="AE82" s="3" t="e">
        <v>#N/A</v>
      </c>
      <c r="AF82" s="3" t="e">
        <v>#N/A</v>
      </c>
      <c r="AG82" s="3" t="e">
        <v>#N/A</v>
      </c>
      <c r="AH82" s="3" t="e">
        <v>#N/A</v>
      </c>
      <c r="AI82" s="3" t="e">
        <v>#N/A</v>
      </c>
      <c r="AJ82" s="3" t="e">
        <v>#N/A</v>
      </c>
      <c r="AK82" s="3" t="e">
        <v>#N/A</v>
      </c>
      <c r="AL82" s="3" t="e">
        <v>#N/A</v>
      </c>
      <c r="AM82" s="3" t="e">
        <v>#N/A</v>
      </c>
      <c r="AN82" s="3" t="e">
        <v>#N/A</v>
      </c>
      <c r="AO82" s="3" t="e">
        <v>#N/A</v>
      </c>
      <c r="AP82" s="3" t="e">
        <v>#N/A</v>
      </c>
      <c r="AR82" s="3" t="e">
        <f t="shared" si="9"/>
        <v>#N/A</v>
      </c>
      <c r="AS82" s="3" t="e">
        <f t="shared" si="9"/>
        <v>#N/A</v>
      </c>
      <c r="AT82" s="3" t="e">
        <f t="shared" si="9"/>
        <v>#N/A</v>
      </c>
      <c r="AU82" s="3" t="e">
        <f t="shared" si="10"/>
        <v>#N/A</v>
      </c>
      <c r="AV82" s="3" t="e">
        <f t="shared" si="11"/>
        <v>#N/A</v>
      </c>
      <c r="AW82" s="3" t="e">
        <f t="shared" si="12"/>
        <v>#N/A</v>
      </c>
      <c r="AX82" s="3" t="e">
        <f t="shared" si="13"/>
        <v>#N/A</v>
      </c>
      <c r="AY82" s="3" t="e">
        <f t="shared" si="14"/>
        <v>#N/A</v>
      </c>
      <c r="AZ82" s="3" t="e">
        <f t="shared" si="15"/>
        <v>#N/A</v>
      </c>
      <c r="BA82" s="3" t="e">
        <f t="shared" si="16"/>
        <v>#N/A</v>
      </c>
      <c r="BB82" s="3" t="e">
        <f t="shared" si="17"/>
        <v>#N/A</v>
      </c>
    </row>
    <row r="83" spans="1:54" x14ac:dyDescent="0.25">
      <c r="A83" t="s">
        <v>694</v>
      </c>
      <c r="B83" s="21">
        <v>6.08</v>
      </c>
      <c r="C83" s="21">
        <v>5.32</v>
      </c>
      <c r="D83" s="35">
        <v>4.5</v>
      </c>
      <c r="E83" s="3" t="e">
        <v>#N/A</v>
      </c>
      <c r="F83" s="3" t="e">
        <v>#N/A</v>
      </c>
      <c r="G83" s="3">
        <v>206917</v>
      </c>
      <c r="H83" s="3">
        <v>205521</v>
      </c>
      <c r="I83" s="4" t="e">
        <v>#N/A</v>
      </c>
      <c r="J83" s="3"/>
      <c r="K83" s="3" t="e">
        <v>#N/A</v>
      </c>
      <c r="L83" s="3" t="e">
        <v>#N/A</v>
      </c>
      <c r="M83" s="3" t="e">
        <v>#N/A</v>
      </c>
      <c r="N83" s="3" t="e">
        <v>#N/A</v>
      </c>
      <c r="O83" s="3" t="e">
        <v>#N/A</v>
      </c>
      <c r="P83" s="3" t="e">
        <v>#N/A</v>
      </c>
      <c r="Q83" s="3" t="e">
        <v>#N/A</v>
      </c>
      <c r="R83" s="3" t="e">
        <v>#N/A</v>
      </c>
      <c r="S83" s="3" t="e">
        <v>#N/A</v>
      </c>
      <c r="T83" s="3" t="e">
        <v>#N/A</v>
      </c>
      <c r="U83" s="3" t="e">
        <v>#N/A</v>
      </c>
      <c r="V83" s="3" t="e">
        <v>#N/A</v>
      </c>
      <c r="W83" s="3" t="e">
        <v>#N/A</v>
      </c>
      <c r="X83" s="3" t="e">
        <v>#N/A</v>
      </c>
      <c r="Y83" s="3" t="e">
        <v>#N/A</v>
      </c>
      <c r="Z83" s="3" t="e">
        <v>#N/A</v>
      </c>
      <c r="AA83" s="3" t="e">
        <v>#N/A</v>
      </c>
      <c r="AB83" s="3" t="e">
        <v>#N/A</v>
      </c>
      <c r="AC83" s="3" t="e">
        <v>#N/A</v>
      </c>
      <c r="AD83" s="3" t="e">
        <v>#N/A</v>
      </c>
      <c r="AE83" s="3" t="e">
        <v>#N/A</v>
      </c>
      <c r="AF83" s="3" t="e">
        <v>#N/A</v>
      </c>
      <c r="AG83" s="3" t="e">
        <v>#N/A</v>
      </c>
      <c r="AH83" s="3" t="e">
        <v>#N/A</v>
      </c>
      <c r="AI83" s="3" t="e">
        <v>#N/A</v>
      </c>
      <c r="AJ83" s="3" t="e">
        <v>#N/A</v>
      </c>
      <c r="AK83" s="3" t="e">
        <v>#N/A</v>
      </c>
      <c r="AL83" s="3" t="e">
        <v>#N/A</v>
      </c>
      <c r="AM83" s="3" t="e">
        <v>#N/A</v>
      </c>
      <c r="AN83" s="3" t="e">
        <v>#N/A</v>
      </c>
      <c r="AO83" s="3" t="e">
        <v>#N/A</v>
      </c>
      <c r="AP83" s="3" t="e">
        <v>#N/A</v>
      </c>
      <c r="AR83" s="3" t="e">
        <f t="shared" si="9"/>
        <v>#N/A</v>
      </c>
      <c r="AS83" s="3" t="e">
        <f t="shared" si="9"/>
        <v>#N/A</v>
      </c>
      <c r="AT83" s="3" t="e">
        <f t="shared" si="9"/>
        <v>#N/A</v>
      </c>
      <c r="AU83" s="3" t="e">
        <f t="shared" si="10"/>
        <v>#N/A</v>
      </c>
      <c r="AV83" s="3" t="e">
        <f t="shared" si="11"/>
        <v>#N/A</v>
      </c>
      <c r="AW83" s="3" t="e">
        <f t="shared" si="12"/>
        <v>#N/A</v>
      </c>
      <c r="AX83" s="3" t="e">
        <f t="shared" si="13"/>
        <v>#N/A</v>
      </c>
      <c r="AY83" s="3" t="e">
        <f t="shared" si="14"/>
        <v>#N/A</v>
      </c>
      <c r="AZ83" s="3" t="e">
        <f t="shared" si="15"/>
        <v>#N/A</v>
      </c>
      <c r="BA83" s="3" t="e">
        <f t="shared" si="16"/>
        <v>#N/A</v>
      </c>
      <c r="BB83" s="3" t="e">
        <f t="shared" si="17"/>
        <v>#N/A</v>
      </c>
    </row>
    <row r="84" spans="1:54" x14ac:dyDescent="0.25">
      <c r="A84" t="s">
        <v>695</v>
      </c>
      <c r="B84" s="21">
        <v>6.09</v>
      </c>
      <c r="C84" s="21">
        <v>5.31</v>
      </c>
      <c r="D84" s="35">
        <v>4.5</v>
      </c>
      <c r="E84" s="3" t="e">
        <v>#N/A</v>
      </c>
      <c r="F84" s="3" t="e">
        <v>#N/A</v>
      </c>
      <c r="G84" s="3">
        <v>205827</v>
      </c>
      <c r="H84" s="3">
        <v>207244</v>
      </c>
      <c r="I84" s="4" t="e">
        <v>#N/A</v>
      </c>
      <c r="J84" s="3"/>
      <c r="K84" s="3" t="e">
        <v>#N/A</v>
      </c>
      <c r="L84" s="3" t="e">
        <v>#N/A</v>
      </c>
      <c r="M84" s="3" t="e">
        <v>#N/A</v>
      </c>
      <c r="N84" s="3" t="e">
        <v>#N/A</v>
      </c>
      <c r="O84" s="3" t="e">
        <v>#N/A</v>
      </c>
      <c r="P84" s="3" t="e">
        <v>#N/A</v>
      </c>
      <c r="Q84" s="3" t="e">
        <v>#N/A</v>
      </c>
      <c r="R84" s="3" t="e">
        <v>#N/A</v>
      </c>
      <c r="S84" s="3" t="e">
        <v>#N/A</v>
      </c>
      <c r="T84" s="3" t="e">
        <v>#N/A</v>
      </c>
      <c r="U84" s="3" t="e">
        <v>#N/A</v>
      </c>
      <c r="V84" s="3" t="e">
        <v>#N/A</v>
      </c>
      <c r="W84" s="3" t="e">
        <v>#N/A</v>
      </c>
      <c r="X84" s="3" t="e">
        <v>#N/A</v>
      </c>
      <c r="Y84" s="3" t="e">
        <v>#N/A</v>
      </c>
      <c r="Z84" s="3" t="e">
        <v>#N/A</v>
      </c>
      <c r="AA84" s="3" t="e">
        <v>#N/A</v>
      </c>
      <c r="AB84" s="3" t="e">
        <v>#N/A</v>
      </c>
      <c r="AC84" s="3" t="e">
        <v>#N/A</v>
      </c>
      <c r="AD84" s="3" t="e">
        <v>#N/A</v>
      </c>
      <c r="AE84" s="3" t="e">
        <v>#N/A</v>
      </c>
      <c r="AF84" s="3" t="e">
        <v>#N/A</v>
      </c>
      <c r="AG84" s="3" t="e">
        <v>#N/A</v>
      </c>
      <c r="AH84" s="3" t="e">
        <v>#N/A</v>
      </c>
      <c r="AI84" s="3" t="e">
        <v>#N/A</v>
      </c>
      <c r="AJ84" s="3" t="e">
        <v>#N/A</v>
      </c>
      <c r="AK84" s="3" t="e">
        <v>#N/A</v>
      </c>
      <c r="AL84" s="3" t="e">
        <v>#N/A</v>
      </c>
      <c r="AM84" s="3" t="e">
        <v>#N/A</v>
      </c>
      <c r="AN84" s="3" t="e">
        <v>#N/A</v>
      </c>
      <c r="AO84" s="3" t="e">
        <v>#N/A</v>
      </c>
      <c r="AP84" s="3" t="e">
        <v>#N/A</v>
      </c>
      <c r="AR84" s="3" t="e">
        <f t="shared" si="9"/>
        <v>#N/A</v>
      </c>
      <c r="AS84" s="3" t="e">
        <f t="shared" si="9"/>
        <v>#N/A</v>
      </c>
      <c r="AT84" s="3" t="e">
        <f t="shared" si="9"/>
        <v>#N/A</v>
      </c>
      <c r="AU84" s="3" t="e">
        <f t="shared" si="10"/>
        <v>#N/A</v>
      </c>
      <c r="AV84" s="3" t="e">
        <f t="shared" si="11"/>
        <v>#N/A</v>
      </c>
      <c r="AW84" s="3" t="e">
        <f t="shared" si="12"/>
        <v>#N/A</v>
      </c>
      <c r="AX84" s="3" t="e">
        <f t="shared" si="13"/>
        <v>#N/A</v>
      </c>
      <c r="AY84" s="3" t="e">
        <f t="shared" si="14"/>
        <v>#N/A</v>
      </c>
      <c r="AZ84" s="3" t="e">
        <f t="shared" si="15"/>
        <v>#N/A</v>
      </c>
      <c r="BA84" s="3" t="e">
        <f t="shared" si="16"/>
        <v>#N/A</v>
      </c>
      <c r="BB84" s="3" t="e">
        <f t="shared" si="17"/>
        <v>#N/A</v>
      </c>
    </row>
    <row r="85" spans="1:54" x14ac:dyDescent="0.25">
      <c r="A85" t="s">
        <v>696</v>
      </c>
      <c r="B85" s="21">
        <v>6.09</v>
      </c>
      <c r="C85" s="21">
        <v>5.3</v>
      </c>
      <c r="D85" s="35">
        <v>4.5</v>
      </c>
      <c r="E85" s="3" t="e">
        <v>#N/A</v>
      </c>
      <c r="F85" s="3" t="e">
        <v>#N/A</v>
      </c>
      <c r="G85" s="3">
        <v>210364</v>
      </c>
      <c r="H85" s="3">
        <v>215158</v>
      </c>
      <c r="I85" s="4" t="e">
        <v>#N/A</v>
      </c>
      <c r="J85" s="3"/>
      <c r="K85" s="3" t="e">
        <v>#N/A</v>
      </c>
      <c r="L85" s="3" t="e">
        <v>#N/A</v>
      </c>
      <c r="M85" s="3" t="e">
        <v>#N/A</v>
      </c>
      <c r="N85" s="3" t="e">
        <v>#N/A</v>
      </c>
      <c r="O85" s="3" t="e">
        <v>#N/A</v>
      </c>
      <c r="P85" s="3" t="e">
        <v>#N/A</v>
      </c>
      <c r="Q85" s="3" t="e">
        <v>#N/A</v>
      </c>
      <c r="R85" s="3" t="e">
        <v>#N/A</v>
      </c>
      <c r="S85" s="3" t="e">
        <v>#N/A</v>
      </c>
      <c r="T85" s="3" t="e">
        <v>#N/A</v>
      </c>
      <c r="U85" s="3" t="e">
        <v>#N/A</v>
      </c>
      <c r="V85" s="3" t="e">
        <v>#N/A</v>
      </c>
      <c r="W85" s="3" t="e">
        <v>#N/A</v>
      </c>
      <c r="X85" s="3" t="e">
        <v>#N/A</v>
      </c>
      <c r="Y85" s="3" t="e">
        <v>#N/A</v>
      </c>
      <c r="Z85" s="3" t="e">
        <v>#N/A</v>
      </c>
      <c r="AA85" s="3" t="e">
        <v>#N/A</v>
      </c>
      <c r="AB85" s="3" t="e">
        <v>#N/A</v>
      </c>
      <c r="AC85" s="3" t="e">
        <v>#N/A</v>
      </c>
      <c r="AD85" s="3" t="e">
        <v>#N/A</v>
      </c>
      <c r="AE85" s="3" t="e">
        <v>#N/A</v>
      </c>
      <c r="AF85" s="3" t="e">
        <v>#N/A</v>
      </c>
      <c r="AG85" s="3" t="e">
        <v>#N/A</v>
      </c>
      <c r="AH85" s="3" t="e">
        <v>#N/A</v>
      </c>
      <c r="AI85" s="3" t="e">
        <v>#N/A</v>
      </c>
      <c r="AJ85" s="3" t="e">
        <v>#N/A</v>
      </c>
      <c r="AK85" s="3" t="e">
        <v>#N/A</v>
      </c>
      <c r="AL85" s="3" t="e">
        <v>#N/A</v>
      </c>
      <c r="AM85" s="3" t="e">
        <v>#N/A</v>
      </c>
      <c r="AN85" s="3" t="e">
        <v>#N/A</v>
      </c>
      <c r="AO85" s="3" t="e">
        <v>#N/A</v>
      </c>
      <c r="AP85" s="3" t="e">
        <v>#N/A</v>
      </c>
      <c r="AR85" s="3" t="e">
        <f t="shared" si="9"/>
        <v>#N/A</v>
      </c>
      <c r="AS85" s="3" t="e">
        <f t="shared" si="9"/>
        <v>#N/A</v>
      </c>
      <c r="AT85" s="3" t="e">
        <f t="shared" si="9"/>
        <v>#N/A</v>
      </c>
      <c r="AU85" s="3" t="e">
        <f t="shared" si="10"/>
        <v>#N/A</v>
      </c>
      <c r="AV85" s="3" t="e">
        <f t="shared" si="11"/>
        <v>#N/A</v>
      </c>
      <c r="AW85" s="3" t="e">
        <f t="shared" si="12"/>
        <v>#N/A</v>
      </c>
      <c r="AX85" s="3" t="e">
        <f t="shared" si="13"/>
        <v>#N/A</v>
      </c>
      <c r="AY85" s="3" t="e">
        <f t="shared" si="14"/>
        <v>#N/A</v>
      </c>
      <c r="AZ85" s="3" t="e">
        <f t="shared" si="15"/>
        <v>#N/A</v>
      </c>
      <c r="BA85" s="3" t="e">
        <f t="shared" si="16"/>
        <v>#N/A</v>
      </c>
      <c r="BB85" s="3" t="e">
        <f t="shared" si="17"/>
        <v>#N/A</v>
      </c>
    </row>
    <row r="86" spans="1:54" x14ac:dyDescent="0.25">
      <c r="A86" t="s">
        <v>697</v>
      </c>
      <c r="B86" s="21">
        <v>6.14</v>
      </c>
      <c r="C86" s="21">
        <v>5.29</v>
      </c>
      <c r="D86" s="35">
        <v>4.5</v>
      </c>
      <c r="E86" s="3" t="e">
        <v>#N/A</v>
      </c>
      <c r="F86" s="3" t="e">
        <v>#N/A</v>
      </c>
      <c r="G86" s="3">
        <v>212137</v>
      </c>
      <c r="H86" s="3">
        <v>211711</v>
      </c>
      <c r="I86" s="4" t="e">
        <v>#N/A</v>
      </c>
      <c r="J86" s="3"/>
      <c r="K86" s="3" t="e">
        <v>#N/A</v>
      </c>
      <c r="L86" s="3" t="e">
        <v>#N/A</v>
      </c>
      <c r="M86" s="3" t="e">
        <v>#N/A</v>
      </c>
      <c r="N86" s="3" t="e">
        <v>#N/A</v>
      </c>
      <c r="O86" s="3" t="e">
        <v>#N/A</v>
      </c>
      <c r="P86" s="3" t="e">
        <v>#N/A</v>
      </c>
      <c r="Q86" s="3" t="e">
        <v>#N/A</v>
      </c>
      <c r="R86" s="3" t="e">
        <v>#N/A</v>
      </c>
      <c r="S86" s="3" t="e">
        <v>#N/A</v>
      </c>
      <c r="T86" s="3" t="e">
        <v>#N/A</v>
      </c>
      <c r="U86" s="3" t="e">
        <v>#N/A</v>
      </c>
      <c r="V86" s="3" t="e">
        <v>#N/A</v>
      </c>
      <c r="W86" s="3" t="e">
        <v>#N/A</v>
      </c>
      <c r="X86" s="3" t="e">
        <v>#N/A</v>
      </c>
      <c r="Y86" s="3" t="e">
        <v>#N/A</v>
      </c>
      <c r="Z86" s="3" t="e">
        <v>#N/A</v>
      </c>
      <c r="AA86" s="3" t="e">
        <v>#N/A</v>
      </c>
      <c r="AB86" s="3" t="e">
        <v>#N/A</v>
      </c>
      <c r="AC86" s="3" t="e">
        <v>#N/A</v>
      </c>
      <c r="AD86" s="3" t="e">
        <v>#N/A</v>
      </c>
      <c r="AE86" s="3" t="e">
        <v>#N/A</v>
      </c>
      <c r="AF86" s="3" t="e">
        <v>#N/A</v>
      </c>
      <c r="AG86" s="3" t="e">
        <v>#N/A</v>
      </c>
      <c r="AH86" s="3" t="e">
        <v>#N/A</v>
      </c>
      <c r="AI86" s="3" t="e">
        <v>#N/A</v>
      </c>
      <c r="AJ86" s="3" t="e">
        <v>#N/A</v>
      </c>
      <c r="AK86" s="3" t="e">
        <v>#N/A</v>
      </c>
      <c r="AL86" s="3" t="e">
        <v>#N/A</v>
      </c>
      <c r="AM86" s="3" t="e">
        <v>#N/A</v>
      </c>
      <c r="AN86" s="3" t="e">
        <v>#N/A</v>
      </c>
      <c r="AO86" s="3" t="e">
        <v>#N/A</v>
      </c>
      <c r="AP86" s="3" t="e">
        <v>#N/A</v>
      </c>
      <c r="AR86" s="3" t="e">
        <f t="shared" si="9"/>
        <v>#N/A</v>
      </c>
      <c r="AS86" s="3" t="e">
        <f t="shared" si="9"/>
        <v>#N/A</v>
      </c>
      <c r="AT86" s="3" t="e">
        <f t="shared" si="9"/>
        <v>#N/A</v>
      </c>
      <c r="AU86" s="3" t="e">
        <f t="shared" si="10"/>
        <v>#N/A</v>
      </c>
      <c r="AV86" s="3" t="e">
        <f t="shared" si="11"/>
        <v>#N/A</v>
      </c>
      <c r="AW86" s="3" t="e">
        <f t="shared" si="12"/>
        <v>#N/A</v>
      </c>
      <c r="AX86" s="3" t="e">
        <f t="shared" si="13"/>
        <v>#N/A</v>
      </c>
      <c r="AY86" s="3" t="e">
        <f t="shared" si="14"/>
        <v>#N/A</v>
      </c>
      <c r="AZ86" s="3" t="e">
        <f t="shared" si="15"/>
        <v>#N/A</v>
      </c>
      <c r="BA86" s="3" t="e">
        <f t="shared" si="16"/>
        <v>#N/A</v>
      </c>
      <c r="BB86" s="3" t="e">
        <f t="shared" si="17"/>
        <v>#N/A</v>
      </c>
    </row>
    <row r="87" spans="1:54" x14ac:dyDescent="0.25">
      <c r="A87" t="s">
        <v>698</v>
      </c>
      <c r="B87" s="21">
        <v>6.26</v>
      </c>
      <c r="C87" s="21">
        <v>5.29</v>
      </c>
      <c r="D87" s="35">
        <v>4.7282608695652177</v>
      </c>
      <c r="E87" s="3" t="e">
        <v>#N/A</v>
      </c>
      <c r="F87" s="3" t="e">
        <v>#N/A</v>
      </c>
      <c r="G87" s="3">
        <v>214130</v>
      </c>
      <c r="H87" s="3">
        <v>213629</v>
      </c>
      <c r="I87" s="4" t="e">
        <v>#N/A</v>
      </c>
      <c r="J87" s="3"/>
      <c r="K87" s="3" t="e">
        <v>#N/A</v>
      </c>
      <c r="L87" s="3" t="e">
        <v>#N/A</v>
      </c>
      <c r="M87" s="3" t="e">
        <v>#N/A</v>
      </c>
      <c r="N87" s="3" t="e">
        <v>#N/A</v>
      </c>
      <c r="O87" s="3" t="e">
        <v>#N/A</v>
      </c>
      <c r="P87" s="3" t="e">
        <v>#N/A</v>
      </c>
      <c r="Q87" s="3" t="e">
        <v>#N/A</v>
      </c>
      <c r="R87" s="3" t="e">
        <v>#N/A</v>
      </c>
      <c r="S87" s="3" t="e">
        <v>#N/A</v>
      </c>
      <c r="T87" s="3" t="e">
        <v>#N/A</v>
      </c>
      <c r="U87" s="3" t="e">
        <v>#N/A</v>
      </c>
      <c r="V87" s="3" t="e">
        <v>#N/A</v>
      </c>
      <c r="W87" s="3" t="e">
        <v>#N/A</v>
      </c>
      <c r="X87" s="3" t="e">
        <v>#N/A</v>
      </c>
      <c r="Y87" s="3" t="e">
        <v>#N/A</v>
      </c>
      <c r="Z87" s="3" t="e">
        <v>#N/A</v>
      </c>
      <c r="AA87" s="3" t="e">
        <v>#N/A</v>
      </c>
      <c r="AB87" s="3" t="e">
        <v>#N/A</v>
      </c>
      <c r="AC87" s="3" t="e">
        <v>#N/A</v>
      </c>
      <c r="AD87" s="3" t="e">
        <v>#N/A</v>
      </c>
      <c r="AE87" s="3" t="e">
        <v>#N/A</v>
      </c>
      <c r="AF87" s="3" t="e">
        <v>#N/A</v>
      </c>
      <c r="AG87" s="3" t="e">
        <v>#N/A</v>
      </c>
      <c r="AH87" s="3" t="e">
        <v>#N/A</v>
      </c>
      <c r="AI87" s="3" t="e">
        <v>#N/A</v>
      </c>
      <c r="AJ87" s="3" t="e">
        <v>#N/A</v>
      </c>
      <c r="AK87" s="3" t="e">
        <v>#N/A</v>
      </c>
      <c r="AL87" s="3" t="e">
        <v>#N/A</v>
      </c>
      <c r="AM87" s="3" t="e">
        <v>#N/A</v>
      </c>
      <c r="AN87" s="3" t="e">
        <v>#N/A</v>
      </c>
      <c r="AO87" s="3" t="e">
        <v>#N/A</v>
      </c>
      <c r="AP87" s="3" t="e">
        <v>#N/A</v>
      </c>
      <c r="AR87" s="3" t="e">
        <f t="shared" si="9"/>
        <v>#N/A</v>
      </c>
      <c r="AS87" s="3" t="e">
        <f t="shared" si="9"/>
        <v>#N/A</v>
      </c>
      <c r="AT87" s="3" t="e">
        <f t="shared" si="9"/>
        <v>#N/A</v>
      </c>
      <c r="AU87" s="3" t="e">
        <f t="shared" si="10"/>
        <v>#N/A</v>
      </c>
      <c r="AV87" s="3" t="e">
        <f t="shared" si="11"/>
        <v>#N/A</v>
      </c>
      <c r="AW87" s="3" t="e">
        <f t="shared" si="12"/>
        <v>#N/A</v>
      </c>
      <c r="AX87" s="3" t="e">
        <f t="shared" si="13"/>
        <v>#N/A</v>
      </c>
      <c r="AY87" s="3" t="e">
        <f t="shared" si="14"/>
        <v>#N/A</v>
      </c>
      <c r="AZ87" s="3" t="e">
        <f t="shared" si="15"/>
        <v>#N/A</v>
      </c>
      <c r="BA87" s="3" t="e">
        <f t="shared" si="16"/>
        <v>#N/A</v>
      </c>
      <c r="BB87" s="3" t="e">
        <f t="shared" si="17"/>
        <v>#N/A</v>
      </c>
    </row>
    <row r="88" spans="1:54" x14ac:dyDescent="0.25">
      <c r="A88" t="s">
        <v>699</v>
      </c>
      <c r="B88" s="21">
        <v>6.29</v>
      </c>
      <c r="C88" s="21">
        <v>5.41</v>
      </c>
      <c r="D88" s="35">
        <v>4.75</v>
      </c>
      <c r="E88" s="3" t="e">
        <v>#N/A</v>
      </c>
      <c r="F88" s="3" t="e">
        <v>#N/A</v>
      </c>
      <c r="G88" s="3">
        <v>218066</v>
      </c>
      <c r="H88" s="3">
        <v>217636</v>
      </c>
      <c r="I88" s="4" t="e">
        <v>#N/A</v>
      </c>
      <c r="J88" s="3"/>
      <c r="K88" s="3" t="e">
        <v>#N/A</v>
      </c>
      <c r="L88" s="3" t="e">
        <v>#N/A</v>
      </c>
      <c r="M88" s="3" t="e">
        <v>#N/A</v>
      </c>
      <c r="N88" s="3" t="e">
        <v>#N/A</v>
      </c>
      <c r="O88" s="3" t="e">
        <v>#N/A</v>
      </c>
      <c r="P88" s="3" t="e">
        <v>#N/A</v>
      </c>
      <c r="Q88" s="3" t="e">
        <v>#N/A</v>
      </c>
      <c r="R88" s="3" t="e">
        <v>#N/A</v>
      </c>
      <c r="S88" s="3" t="e">
        <v>#N/A</v>
      </c>
      <c r="T88" s="3" t="e">
        <v>#N/A</v>
      </c>
      <c r="U88" s="3" t="e">
        <v>#N/A</v>
      </c>
      <c r="V88" s="3" t="e">
        <v>#N/A</v>
      </c>
      <c r="W88" s="3" t="e">
        <v>#N/A</v>
      </c>
      <c r="X88" s="3" t="e">
        <v>#N/A</v>
      </c>
      <c r="Y88" s="3" t="e">
        <v>#N/A</v>
      </c>
      <c r="Z88" s="3" t="e">
        <v>#N/A</v>
      </c>
      <c r="AA88" s="3" t="e">
        <v>#N/A</v>
      </c>
      <c r="AB88" s="3" t="e">
        <v>#N/A</v>
      </c>
      <c r="AC88" s="3" t="e">
        <v>#N/A</v>
      </c>
      <c r="AD88" s="3" t="e">
        <v>#N/A</v>
      </c>
      <c r="AE88" s="3" t="e">
        <v>#N/A</v>
      </c>
      <c r="AF88" s="3" t="e">
        <v>#N/A</v>
      </c>
      <c r="AG88" s="3" t="e">
        <v>#N/A</v>
      </c>
      <c r="AH88" s="3" t="e">
        <v>#N/A</v>
      </c>
      <c r="AI88" s="3" t="e">
        <v>#N/A</v>
      </c>
      <c r="AJ88" s="3" t="e">
        <v>#N/A</v>
      </c>
      <c r="AK88" s="3" t="e">
        <v>#N/A</v>
      </c>
      <c r="AL88" s="3" t="e">
        <v>#N/A</v>
      </c>
      <c r="AM88" s="3" t="e">
        <v>#N/A</v>
      </c>
      <c r="AN88" s="3" t="e">
        <v>#N/A</v>
      </c>
      <c r="AO88" s="3" t="e">
        <v>#N/A</v>
      </c>
      <c r="AP88" s="3" t="e">
        <v>#N/A</v>
      </c>
      <c r="AR88" s="3" t="e">
        <f t="shared" si="9"/>
        <v>#N/A</v>
      </c>
      <c r="AS88" s="3" t="e">
        <f t="shared" si="9"/>
        <v>#N/A</v>
      </c>
      <c r="AT88" s="3" t="e">
        <f t="shared" si="9"/>
        <v>#N/A</v>
      </c>
      <c r="AU88" s="3" t="e">
        <f t="shared" si="10"/>
        <v>#N/A</v>
      </c>
      <c r="AV88" s="3" t="e">
        <f t="shared" si="11"/>
        <v>#N/A</v>
      </c>
      <c r="AW88" s="3" t="e">
        <f t="shared" si="12"/>
        <v>#N/A</v>
      </c>
      <c r="AX88" s="3" t="e">
        <f t="shared" si="13"/>
        <v>#N/A</v>
      </c>
      <c r="AY88" s="3" t="e">
        <f t="shared" si="14"/>
        <v>#N/A</v>
      </c>
      <c r="AZ88" s="3" t="e">
        <f t="shared" si="15"/>
        <v>#N/A</v>
      </c>
      <c r="BA88" s="3" t="e">
        <f t="shared" si="16"/>
        <v>#N/A</v>
      </c>
      <c r="BB88" s="3" t="e">
        <f t="shared" si="17"/>
        <v>#N/A</v>
      </c>
    </row>
    <row r="89" spans="1:54" x14ac:dyDescent="0.25">
      <c r="A89" t="s">
        <v>700</v>
      </c>
      <c r="B89" s="21">
        <v>6.35</v>
      </c>
      <c r="C89" s="21">
        <v>5.4</v>
      </c>
      <c r="D89" s="35">
        <v>4.75</v>
      </c>
      <c r="E89" s="3" t="e">
        <v>#N/A</v>
      </c>
      <c r="F89" s="3" t="e">
        <v>#N/A</v>
      </c>
      <c r="G89" s="3">
        <v>221852</v>
      </c>
      <c r="H89" s="3">
        <v>218602</v>
      </c>
      <c r="I89" s="4" t="e">
        <v>#N/A</v>
      </c>
      <c r="J89" s="3"/>
      <c r="K89" s="3" t="e">
        <v>#N/A</v>
      </c>
      <c r="L89" s="3" t="e">
        <v>#N/A</v>
      </c>
      <c r="M89" s="3" t="e">
        <v>#N/A</v>
      </c>
      <c r="N89" s="3" t="e">
        <v>#N/A</v>
      </c>
      <c r="O89" s="3" t="e">
        <v>#N/A</v>
      </c>
      <c r="P89" s="3" t="e">
        <v>#N/A</v>
      </c>
      <c r="Q89" s="3" t="e">
        <v>#N/A</v>
      </c>
      <c r="R89" s="3" t="e">
        <v>#N/A</v>
      </c>
      <c r="S89" s="3" t="e">
        <v>#N/A</v>
      </c>
      <c r="T89" s="3" t="e">
        <v>#N/A</v>
      </c>
      <c r="U89" s="3" t="e">
        <v>#N/A</v>
      </c>
      <c r="V89" s="3" t="e">
        <v>#N/A</v>
      </c>
      <c r="W89" s="3" t="e">
        <v>#N/A</v>
      </c>
      <c r="X89" s="3" t="e">
        <v>#N/A</v>
      </c>
      <c r="Y89" s="3" t="e">
        <v>#N/A</v>
      </c>
      <c r="Z89" s="3" t="e">
        <v>#N/A</v>
      </c>
      <c r="AA89" s="3" t="e">
        <v>#N/A</v>
      </c>
      <c r="AB89" s="3" t="e">
        <v>#N/A</v>
      </c>
      <c r="AC89" s="3" t="e">
        <v>#N/A</v>
      </c>
      <c r="AD89" s="3" t="e">
        <v>#N/A</v>
      </c>
      <c r="AE89" s="3" t="e">
        <v>#N/A</v>
      </c>
      <c r="AF89" s="3" t="e">
        <v>#N/A</v>
      </c>
      <c r="AG89" s="3" t="e">
        <v>#N/A</v>
      </c>
      <c r="AH89" s="3" t="e">
        <v>#N/A</v>
      </c>
      <c r="AI89" s="3" t="e">
        <v>#N/A</v>
      </c>
      <c r="AJ89" s="3" t="e">
        <v>#N/A</v>
      </c>
      <c r="AK89" s="3" t="e">
        <v>#N/A</v>
      </c>
      <c r="AL89" s="3" t="e">
        <v>#N/A</v>
      </c>
      <c r="AM89" s="3" t="e">
        <v>#N/A</v>
      </c>
      <c r="AN89" s="3" t="e">
        <v>#N/A</v>
      </c>
      <c r="AO89" s="3" t="e">
        <v>#N/A</v>
      </c>
      <c r="AP89" s="3" t="e">
        <v>#N/A</v>
      </c>
      <c r="AR89" s="3" t="e">
        <f t="shared" si="9"/>
        <v>#N/A</v>
      </c>
      <c r="AS89" s="3" t="e">
        <f t="shared" si="9"/>
        <v>#N/A</v>
      </c>
      <c r="AT89" s="3" t="e">
        <f t="shared" si="9"/>
        <v>#N/A</v>
      </c>
      <c r="AU89" s="3" t="e">
        <f t="shared" si="10"/>
        <v>#N/A</v>
      </c>
      <c r="AV89" s="3" t="e">
        <f t="shared" si="11"/>
        <v>#N/A</v>
      </c>
      <c r="AW89" s="3" t="e">
        <f t="shared" si="12"/>
        <v>#N/A</v>
      </c>
      <c r="AX89" s="3" t="e">
        <f t="shared" si="13"/>
        <v>#N/A</v>
      </c>
      <c r="AY89" s="3" t="e">
        <f t="shared" si="14"/>
        <v>#N/A</v>
      </c>
      <c r="AZ89" s="3" t="e">
        <f t="shared" si="15"/>
        <v>#N/A</v>
      </c>
      <c r="BA89" s="3" t="e">
        <f t="shared" si="16"/>
        <v>#N/A</v>
      </c>
      <c r="BB89" s="3" t="e">
        <f t="shared" si="17"/>
        <v>#N/A</v>
      </c>
    </row>
    <row r="90" spans="1:54" x14ac:dyDescent="0.25">
      <c r="A90" t="s">
        <v>701</v>
      </c>
      <c r="B90" s="21">
        <v>6.48</v>
      </c>
      <c r="C90" s="21">
        <v>5.42</v>
      </c>
      <c r="D90" s="35">
        <v>4.9318181818181817</v>
      </c>
      <c r="E90" s="3" t="e">
        <v>#N/A</v>
      </c>
      <c r="F90" s="3" t="e">
        <v>#N/A</v>
      </c>
      <c r="G90" s="3">
        <v>226243</v>
      </c>
      <c r="H90" s="3">
        <v>228076</v>
      </c>
      <c r="I90" s="4" t="e">
        <v>#N/A</v>
      </c>
      <c r="J90" s="3"/>
      <c r="K90" s="3" t="e">
        <v>#N/A</v>
      </c>
      <c r="L90" s="3" t="e">
        <v>#N/A</v>
      </c>
      <c r="M90" s="3" t="e">
        <v>#N/A</v>
      </c>
      <c r="N90" s="3" t="e">
        <v>#N/A</v>
      </c>
      <c r="O90" s="3" t="e">
        <v>#N/A</v>
      </c>
      <c r="P90" s="3" t="e">
        <v>#N/A</v>
      </c>
      <c r="Q90" s="3" t="e">
        <v>#N/A</v>
      </c>
      <c r="R90" s="3" t="e">
        <v>#N/A</v>
      </c>
      <c r="S90" s="3" t="e">
        <v>#N/A</v>
      </c>
      <c r="T90" s="3" t="e">
        <v>#N/A</v>
      </c>
      <c r="U90" s="3" t="e">
        <v>#N/A</v>
      </c>
      <c r="V90" s="3" t="e">
        <v>#N/A</v>
      </c>
      <c r="W90" s="3" t="e">
        <v>#N/A</v>
      </c>
      <c r="X90" s="3" t="e">
        <v>#N/A</v>
      </c>
      <c r="Y90" s="3" t="e">
        <v>#N/A</v>
      </c>
      <c r="Z90" s="3" t="e">
        <v>#N/A</v>
      </c>
      <c r="AA90" s="3" t="e">
        <v>#N/A</v>
      </c>
      <c r="AB90" s="3" t="e">
        <v>#N/A</v>
      </c>
      <c r="AC90" s="3" t="e">
        <v>#N/A</v>
      </c>
      <c r="AD90" s="3" t="e">
        <v>#N/A</v>
      </c>
      <c r="AE90" s="3" t="e">
        <v>#N/A</v>
      </c>
      <c r="AF90" s="3" t="e">
        <v>#N/A</v>
      </c>
      <c r="AG90" s="3" t="e">
        <v>#N/A</v>
      </c>
      <c r="AH90" s="3" t="e">
        <v>#N/A</v>
      </c>
      <c r="AI90" s="3" t="e">
        <v>#N/A</v>
      </c>
      <c r="AJ90" s="3" t="e">
        <v>#N/A</v>
      </c>
      <c r="AK90" s="3" t="e">
        <v>#N/A</v>
      </c>
      <c r="AL90" s="3" t="e">
        <v>#N/A</v>
      </c>
      <c r="AM90" s="3" t="e">
        <v>#N/A</v>
      </c>
      <c r="AN90" s="3" t="e">
        <v>#N/A</v>
      </c>
      <c r="AO90" s="3" t="e">
        <v>#N/A</v>
      </c>
      <c r="AP90" s="3" t="e">
        <v>#N/A</v>
      </c>
      <c r="AR90" s="3" t="e">
        <f t="shared" si="9"/>
        <v>#N/A</v>
      </c>
      <c r="AS90" s="3" t="e">
        <f t="shared" si="9"/>
        <v>#N/A</v>
      </c>
      <c r="AT90" s="3" t="e">
        <f t="shared" si="9"/>
        <v>#N/A</v>
      </c>
      <c r="AU90" s="3" t="e">
        <f t="shared" si="10"/>
        <v>#N/A</v>
      </c>
      <c r="AV90" s="3" t="e">
        <f t="shared" si="11"/>
        <v>#N/A</v>
      </c>
      <c r="AW90" s="3" t="e">
        <f t="shared" si="12"/>
        <v>#N/A</v>
      </c>
      <c r="AX90" s="3" t="e">
        <f t="shared" si="13"/>
        <v>#N/A</v>
      </c>
      <c r="AY90" s="3" t="e">
        <f t="shared" si="14"/>
        <v>#N/A</v>
      </c>
      <c r="AZ90" s="3" t="e">
        <f t="shared" si="15"/>
        <v>#N/A</v>
      </c>
      <c r="BA90" s="3" t="e">
        <f t="shared" si="16"/>
        <v>#N/A</v>
      </c>
      <c r="BB90" s="3" t="e">
        <f t="shared" si="17"/>
        <v>#N/A</v>
      </c>
    </row>
    <row r="91" spans="1:54" x14ac:dyDescent="0.25">
      <c r="A91" t="s">
        <v>702</v>
      </c>
      <c r="B91" s="21">
        <v>6.55</v>
      </c>
      <c r="C91" s="21">
        <v>5.53</v>
      </c>
      <c r="D91" s="35">
        <v>5</v>
      </c>
      <c r="E91" s="3" t="e">
        <v>#N/A</v>
      </c>
      <c r="F91" s="3" t="e">
        <v>#N/A</v>
      </c>
      <c r="G91" s="3">
        <v>222466</v>
      </c>
      <c r="H91" s="3">
        <v>226497</v>
      </c>
      <c r="I91" s="4" t="e">
        <v>#N/A</v>
      </c>
      <c r="J91" s="3"/>
      <c r="K91" s="3" t="e">
        <v>#N/A</v>
      </c>
      <c r="L91" s="3" t="e">
        <v>#N/A</v>
      </c>
      <c r="M91" s="3" t="e">
        <v>#N/A</v>
      </c>
      <c r="N91" s="3" t="e">
        <v>#N/A</v>
      </c>
      <c r="O91" s="3" t="e">
        <v>#N/A</v>
      </c>
      <c r="P91" s="3" t="e">
        <v>#N/A</v>
      </c>
      <c r="Q91" s="3" t="e">
        <v>#N/A</v>
      </c>
      <c r="R91" s="3" t="e">
        <v>#N/A</v>
      </c>
      <c r="S91" s="3" t="e">
        <v>#N/A</v>
      </c>
      <c r="T91" s="3" t="e">
        <v>#N/A</v>
      </c>
      <c r="U91" s="3" t="e">
        <v>#N/A</v>
      </c>
      <c r="V91" s="3" t="e">
        <v>#N/A</v>
      </c>
      <c r="W91" s="3" t="e">
        <v>#N/A</v>
      </c>
      <c r="X91" s="3" t="e">
        <v>#N/A</v>
      </c>
      <c r="Y91" s="3" t="e">
        <v>#N/A</v>
      </c>
      <c r="Z91" s="3" t="e">
        <v>#N/A</v>
      </c>
      <c r="AA91" s="3" t="e">
        <v>#N/A</v>
      </c>
      <c r="AB91" s="3" t="e">
        <v>#N/A</v>
      </c>
      <c r="AC91" s="3" t="e">
        <v>#N/A</v>
      </c>
      <c r="AD91" s="3" t="e">
        <v>#N/A</v>
      </c>
      <c r="AE91" s="3" t="e">
        <v>#N/A</v>
      </c>
      <c r="AF91" s="3" t="e">
        <v>#N/A</v>
      </c>
      <c r="AG91" s="3" t="e">
        <v>#N/A</v>
      </c>
      <c r="AH91" s="3" t="e">
        <v>#N/A</v>
      </c>
      <c r="AI91" s="3" t="e">
        <v>#N/A</v>
      </c>
      <c r="AJ91" s="3" t="e">
        <v>#N/A</v>
      </c>
      <c r="AK91" s="3" t="e">
        <v>#N/A</v>
      </c>
      <c r="AL91" s="3" t="e">
        <v>#N/A</v>
      </c>
      <c r="AM91" s="3" t="e">
        <v>#N/A</v>
      </c>
      <c r="AN91" s="3" t="e">
        <v>#N/A</v>
      </c>
      <c r="AO91" s="3" t="e">
        <v>#N/A</v>
      </c>
      <c r="AP91" s="3" t="e">
        <v>#N/A</v>
      </c>
      <c r="AR91" s="3" t="e">
        <f t="shared" si="9"/>
        <v>#N/A</v>
      </c>
      <c r="AS91" s="3" t="e">
        <f t="shared" si="9"/>
        <v>#N/A</v>
      </c>
      <c r="AT91" s="3" t="e">
        <f t="shared" si="9"/>
        <v>#N/A</v>
      </c>
      <c r="AU91" s="3" t="e">
        <f t="shared" si="10"/>
        <v>#N/A</v>
      </c>
      <c r="AV91" s="3" t="e">
        <f t="shared" si="11"/>
        <v>#N/A</v>
      </c>
      <c r="AW91" s="3" t="e">
        <f t="shared" si="12"/>
        <v>#N/A</v>
      </c>
      <c r="AX91" s="3" t="e">
        <f t="shared" si="13"/>
        <v>#N/A</v>
      </c>
      <c r="AY91" s="3" t="e">
        <f t="shared" si="14"/>
        <v>#N/A</v>
      </c>
      <c r="AZ91" s="3" t="e">
        <f t="shared" si="15"/>
        <v>#N/A</v>
      </c>
      <c r="BA91" s="3" t="e">
        <f t="shared" si="16"/>
        <v>#N/A</v>
      </c>
      <c r="BB91" s="3" t="e">
        <f t="shared" si="17"/>
        <v>#N/A</v>
      </c>
    </row>
    <row r="92" spans="1:54" x14ac:dyDescent="0.25">
      <c r="A92" t="s">
        <v>703</v>
      </c>
      <c r="B92" s="21">
        <v>6.6</v>
      </c>
      <c r="C92" s="21">
        <v>5.54</v>
      </c>
      <c r="D92" s="35">
        <v>5.1630434782608692</v>
      </c>
      <c r="E92" s="3" t="e">
        <v>#N/A</v>
      </c>
      <c r="F92" s="3" t="e">
        <v>#N/A</v>
      </c>
      <c r="G92" s="3">
        <v>227458</v>
      </c>
      <c r="H92" s="3">
        <v>221958</v>
      </c>
      <c r="I92" s="4" t="e">
        <v>#N/A</v>
      </c>
      <c r="J92" s="3"/>
      <c r="K92" s="3" t="e">
        <v>#N/A</v>
      </c>
      <c r="L92" s="3" t="e">
        <v>#N/A</v>
      </c>
      <c r="M92" s="3" t="e">
        <v>#N/A</v>
      </c>
      <c r="N92" s="3" t="e">
        <v>#N/A</v>
      </c>
      <c r="O92" s="3" t="e">
        <v>#N/A</v>
      </c>
      <c r="P92" s="3" t="e">
        <v>#N/A</v>
      </c>
      <c r="Q92" s="3" t="e">
        <v>#N/A</v>
      </c>
      <c r="R92" s="3" t="e">
        <v>#N/A</v>
      </c>
      <c r="S92" s="3" t="e">
        <v>#N/A</v>
      </c>
      <c r="T92" s="3" t="e">
        <v>#N/A</v>
      </c>
      <c r="U92" s="3" t="e">
        <v>#N/A</v>
      </c>
      <c r="V92" s="3" t="e">
        <v>#N/A</v>
      </c>
      <c r="W92" s="3" t="e">
        <v>#N/A</v>
      </c>
      <c r="X92" s="3" t="e">
        <v>#N/A</v>
      </c>
      <c r="Y92" s="3" t="e">
        <v>#N/A</v>
      </c>
      <c r="Z92" s="3" t="e">
        <v>#N/A</v>
      </c>
      <c r="AA92" s="3" t="e">
        <v>#N/A</v>
      </c>
      <c r="AB92" s="3" t="e">
        <v>#N/A</v>
      </c>
      <c r="AC92" s="3" t="e">
        <v>#N/A</v>
      </c>
      <c r="AD92" s="3" t="e">
        <v>#N/A</v>
      </c>
      <c r="AE92" s="3" t="e">
        <v>#N/A</v>
      </c>
      <c r="AF92" s="3" t="e">
        <v>#N/A</v>
      </c>
      <c r="AG92" s="3" t="e">
        <v>#N/A</v>
      </c>
      <c r="AH92" s="3" t="e">
        <v>#N/A</v>
      </c>
      <c r="AI92" s="3" t="e">
        <v>#N/A</v>
      </c>
      <c r="AJ92" s="3" t="e">
        <v>#N/A</v>
      </c>
      <c r="AK92" s="3" t="e">
        <v>#N/A</v>
      </c>
      <c r="AL92" s="3" t="e">
        <v>#N/A</v>
      </c>
      <c r="AM92" s="3" t="e">
        <v>#N/A</v>
      </c>
      <c r="AN92" s="3" t="e">
        <v>#N/A</v>
      </c>
      <c r="AO92" s="3" t="e">
        <v>#N/A</v>
      </c>
      <c r="AP92" s="3" t="e">
        <v>#N/A</v>
      </c>
      <c r="AR92" s="3" t="e">
        <f t="shared" si="9"/>
        <v>#N/A</v>
      </c>
      <c r="AS92" s="3" t="e">
        <f t="shared" si="9"/>
        <v>#N/A</v>
      </c>
      <c r="AT92" s="3" t="e">
        <f t="shared" si="9"/>
        <v>#N/A</v>
      </c>
      <c r="AU92" s="3" t="e">
        <f t="shared" si="10"/>
        <v>#N/A</v>
      </c>
      <c r="AV92" s="3" t="e">
        <f t="shared" si="11"/>
        <v>#N/A</v>
      </c>
      <c r="AW92" s="3" t="e">
        <f t="shared" si="12"/>
        <v>#N/A</v>
      </c>
      <c r="AX92" s="3" t="e">
        <f t="shared" si="13"/>
        <v>#N/A</v>
      </c>
      <c r="AY92" s="3" t="e">
        <f t="shared" si="14"/>
        <v>#N/A</v>
      </c>
      <c r="AZ92" s="3" t="e">
        <f t="shared" si="15"/>
        <v>#N/A</v>
      </c>
      <c r="BA92" s="3" t="e">
        <f t="shared" si="16"/>
        <v>#N/A</v>
      </c>
      <c r="BB92" s="3" t="e">
        <f t="shared" si="17"/>
        <v>#N/A</v>
      </c>
    </row>
    <row r="93" spans="1:54" x14ac:dyDescent="0.25">
      <c r="A93" t="s">
        <v>704</v>
      </c>
      <c r="B93" s="21">
        <v>6.7</v>
      </c>
      <c r="C93" s="21">
        <v>5.66</v>
      </c>
      <c r="D93" s="35">
        <v>5.25</v>
      </c>
      <c r="E93" s="3" t="e">
        <v>#N/A</v>
      </c>
      <c r="F93" s="3" t="e">
        <v>#N/A</v>
      </c>
      <c r="G93" s="3">
        <v>227982</v>
      </c>
      <c r="H93" s="3">
        <v>222581</v>
      </c>
      <c r="I93" s="4" t="e">
        <v>#N/A</v>
      </c>
      <c r="J93" s="3"/>
      <c r="K93" s="3" t="e">
        <v>#N/A</v>
      </c>
      <c r="L93" s="3" t="e">
        <v>#N/A</v>
      </c>
      <c r="M93" s="3" t="e">
        <v>#N/A</v>
      </c>
      <c r="N93" s="3" t="e">
        <v>#N/A</v>
      </c>
      <c r="O93" s="3" t="e">
        <v>#N/A</v>
      </c>
      <c r="P93" s="3" t="e">
        <v>#N/A</v>
      </c>
      <c r="Q93" s="3" t="e">
        <v>#N/A</v>
      </c>
      <c r="R93" s="3" t="e">
        <v>#N/A</v>
      </c>
      <c r="S93" s="3" t="e">
        <v>#N/A</v>
      </c>
      <c r="T93" s="3" t="e">
        <v>#N/A</v>
      </c>
      <c r="U93" s="3" t="e">
        <v>#N/A</v>
      </c>
      <c r="V93" s="3" t="e">
        <v>#N/A</v>
      </c>
      <c r="W93" s="3" t="e">
        <v>#N/A</v>
      </c>
      <c r="X93" s="3" t="e">
        <v>#N/A</v>
      </c>
      <c r="Y93" s="3" t="e">
        <v>#N/A</v>
      </c>
      <c r="Z93" s="3" t="e">
        <v>#N/A</v>
      </c>
      <c r="AA93" s="3" t="e">
        <v>#N/A</v>
      </c>
      <c r="AB93" s="3" t="e">
        <v>#N/A</v>
      </c>
      <c r="AC93" s="3" t="e">
        <v>#N/A</v>
      </c>
      <c r="AD93" s="3" t="e">
        <v>#N/A</v>
      </c>
      <c r="AE93" s="3" t="e">
        <v>#N/A</v>
      </c>
      <c r="AF93" s="3" t="e">
        <v>#N/A</v>
      </c>
      <c r="AG93" s="3" t="e">
        <v>#N/A</v>
      </c>
      <c r="AH93" s="3" t="e">
        <v>#N/A</v>
      </c>
      <c r="AI93" s="3" t="e">
        <v>#N/A</v>
      </c>
      <c r="AJ93" s="3" t="e">
        <v>#N/A</v>
      </c>
      <c r="AK93" s="3" t="e">
        <v>#N/A</v>
      </c>
      <c r="AL93" s="3" t="e">
        <v>#N/A</v>
      </c>
      <c r="AM93" s="3" t="e">
        <v>#N/A</v>
      </c>
      <c r="AN93" s="3" t="e">
        <v>#N/A</v>
      </c>
      <c r="AO93" s="3" t="e">
        <v>#N/A</v>
      </c>
      <c r="AP93" s="3" t="e">
        <v>#N/A</v>
      </c>
      <c r="AR93" s="3" t="e">
        <f t="shared" si="9"/>
        <v>#N/A</v>
      </c>
      <c r="AS93" s="3" t="e">
        <f t="shared" si="9"/>
        <v>#N/A</v>
      </c>
      <c r="AT93" s="3" t="e">
        <f t="shared" si="9"/>
        <v>#N/A</v>
      </c>
      <c r="AU93" s="3" t="e">
        <f t="shared" si="10"/>
        <v>#N/A</v>
      </c>
      <c r="AV93" s="3" t="e">
        <f t="shared" si="11"/>
        <v>#N/A</v>
      </c>
      <c r="AW93" s="3" t="e">
        <f t="shared" si="12"/>
        <v>#N/A</v>
      </c>
      <c r="AX93" s="3" t="e">
        <f t="shared" si="13"/>
        <v>#N/A</v>
      </c>
      <c r="AY93" s="3" t="e">
        <f t="shared" si="14"/>
        <v>#N/A</v>
      </c>
      <c r="AZ93" s="3" t="e">
        <f t="shared" si="15"/>
        <v>#N/A</v>
      </c>
      <c r="BA93" s="3" t="e">
        <f t="shared" si="16"/>
        <v>#N/A</v>
      </c>
      <c r="BB93" s="3" t="e">
        <f t="shared" si="17"/>
        <v>#N/A</v>
      </c>
    </row>
    <row r="94" spans="1:54" x14ac:dyDescent="0.25">
      <c r="A94" t="s">
        <v>705</v>
      </c>
      <c r="B94" s="21">
        <v>6.68</v>
      </c>
      <c r="C94" s="21">
        <v>5.67</v>
      </c>
      <c r="D94" s="35">
        <v>5.25</v>
      </c>
      <c r="E94" s="3" t="e">
        <v>#N/A</v>
      </c>
      <c r="F94" s="3" t="e">
        <v>#N/A</v>
      </c>
      <c r="G94" s="3">
        <v>229889</v>
      </c>
      <c r="H94" s="3">
        <v>231713</v>
      </c>
      <c r="I94" s="4" t="e">
        <v>#N/A</v>
      </c>
      <c r="J94" s="3"/>
      <c r="K94" s="3" t="e">
        <v>#N/A</v>
      </c>
      <c r="L94" s="3" t="e">
        <v>#N/A</v>
      </c>
      <c r="M94" s="3" t="e">
        <v>#N/A</v>
      </c>
      <c r="N94" s="3" t="e">
        <v>#N/A</v>
      </c>
      <c r="O94" s="3" t="e">
        <v>#N/A</v>
      </c>
      <c r="P94" s="3" t="e">
        <v>#N/A</v>
      </c>
      <c r="Q94" s="3" t="e">
        <v>#N/A</v>
      </c>
      <c r="R94" s="3" t="e">
        <v>#N/A</v>
      </c>
      <c r="S94" s="3" t="e">
        <v>#N/A</v>
      </c>
      <c r="T94" s="3" t="e">
        <v>#N/A</v>
      </c>
      <c r="U94" s="3" t="e">
        <v>#N/A</v>
      </c>
      <c r="V94" s="3" t="e">
        <v>#N/A</v>
      </c>
      <c r="W94" s="3" t="e">
        <v>#N/A</v>
      </c>
      <c r="X94" s="3" t="e">
        <v>#N/A</v>
      </c>
      <c r="Y94" s="3" t="e">
        <v>#N/A</v>
      </c>
      <c r="Z94" s="3" t="e">
        <v>#N/A</v>
      </c>
      <c r="AA94" s="3" t="e">
        <v>#N/A</v>
      </c>
      <c r="AB94" s="3" t="e">
        <v>#N/A</v>
      </c>
      <c r="AC94" s="3" t="e">
        <v>#N/A</v>
      </c>
      <c r="AD94" s="3" t="e">
        <v>#N/A</v>
      </c>
      <c r="AE94" s="3" t="e">
        <v>#N/A</v>
      </c>
      <c r="AF94" s="3" t="e">
        <v>#N/A</v>
      </c>
      <c r="AG94" s="3" t="e">
        <v>#N/A</v>
      </c>
      <c r="AH94" s="3" t="e">
        <v>#N/A</v>
      </c>
      <c r="AI94" s="3" t="e">
        <v>#N/A</v>
      </c>
      <c r="AJ94" s="3" t="e">
        <v>#N/A</v>
      </c>
      <c r="AK94" s="3" t="e">
        <v>#N/A</v>
      </c>
      <c r="AL94" s="3" t="e">
        <v>#N/A</v>
      </c>
      <c r="AM94" s="3" t="e">
        <v>#N/A</v>
      </c>
      <c r="AN94" s="3" t="e">
        <v>#N/A</v>
      </c>
      <c r="AO94" s="3" t="e">
        <v>#N/A</v>
      </c>
      <c r="AP94" s="3" t="e">
        <v>#N/A</v>
      </c>
      <c r="AR94" s="3" t="e">
        <f t="shared" si="9"/>
        <v>#N/A</v>
      </c>
      <c r="AS94" s="3" t="e">
        <f t="shared" si="9"/>
        <v>#N/A</v>
      </c>
      <c r="AT94" s="3" t="e">
        <f t="shared" si="9"/>
        <v>#N/A</v>
      </c>
      <c r="AU94" s="3" t="e">
        <f t="shared" si="10"/>
        <v>#N/A</v>
      </c>
      <c r="AV94" s="3" t="e">
        <f t="shared" si="11"/>
        <v>#N/A</v>
      </c>
      <c r="AW94" s="3" t="e">
        <f t="shared" si="12"/>
        <v>#N/A</v>
      </c>
      <c r="AX94" s="3" t="e">
        <f t="shared" si="13"/>
        <v>#N/A</v>
      </c>
      <c r="AY94" s="3" t="e">
        <f t="shared" si="14"/>
        <v>#N/A</v>
      </c>
      <c r="AZ94" s="3" t="e">
        <f t="shared" si="15"/>
        <v>#N/A</v>
      </c>
      <c r="BA94" s="3" t="e">
        <f t="shared" si="16"/>
        <v>#N/A</v>
      </c>
      <c r="BB94" s="3" t="e">
        <f t="shared" si="17"/>
        <v>#N/A</v>
      </c>
    </row>
    <row r="95" spans="1:54" x14ac:dyDescent="0.25">
      <c r="A95" t="s">
        <v>706</v>
      </c>
      <c r="B95" s="21">
        <v>6.8</v>
      </c>
      <c r="C95" s="21">
        <v>5.65</v>
      </c>
      <c r="D95" s="35">
        <v>5.25</v>
      </c>
      <c r="E95" s="3" t="e">
        <v>#N/A</v>
      </c>
      <c r="F95" s="3" t="e">
        <v>#N/A</v>
      </c>
      <c r="G95" s="3">
        <v>236840</v>
      </c>
      <c r="H95" s="3">
        <v>235204</v>
      </c>
      <c r="I95" s="4" t="e">
        <v>#N/A</v>
      </c>
      <c r="J95" s="3"/>
      <c r="K95" s="3" t="e">
        <v>#N/A</v>
      </c>
      <c r="L95" s="3" t="e">
        <v>#N/A</v>
      </c>
      <c r="M95" s="3" t="e">
        <v>#N/A</v>
      </c>
      <c r="N95" s="3" t="e">
        <v>#N/A</v>
      </c>
      <c r="O95" s="3" t="e">
        <v>#N/A</v>
      </c>
      <c r="P95" s="3" t="e">
        <v>#N/A</v>
      </c>
      <c r="Q95" s="3" t="e">
        <v>#N/A</v>
      </c>
      <c r="R95" s="3" t="e">
        <v>#N/A</v>
      </c>
      <c r="S95" s="3" t="e">
        <v>#N/A</v>
      </c>
      <c r="T95" s="3" t="e">
        <v>#N/A</v>
      </c>
      <c r="U95" s="3" t="e">
        <v>#N/A</v>
      </c>
      <c r="V95" s="3" t="e">
        <v>#N/A</v>
      </c>
      <c r="W95" s="3" t="e">
        <v>#N/A</v>
      </c>
      <c r="X95" s="3" t="e">
        <v>#N/A</v>
      </c>
      <c r="Y95" s="3" t="e">
        <v>#N/A</v>
      </c>
      <c r="Z95" s="3" t="e">
        <v>#N/A</v>
      </c>
      <c r="AA95" s="3" t="e">
        <v>#N/A</v>
      </c>
      <c r="AB95" s="3" t="e">
        <v>#N/A</v>
      </c>
      <c r="AC95" s="3" t="e">
        <v>#N/A</v>
      </c>
      <c r="AD95" s="3" t="e">
        <v>#N/A</v>
      </c>
      <c r="AE95" s="3" t="e">
        <v>#N/A</v>
      </c>
      <c r="AF95" s="3" t="e">
        <v>#N/A</v>
      </c>
      <c r="AG95" s="3" t="e">
        <v>#N/A</v>
      </c>
      <c r="AH95" s="3" t="e">
        <v>#N/A</v>
      </c>
      <c r="AI95" s="3" t="e">
        <v>#N/A</v>
      </c>
      <c r="AJ95" s="3" t="e">
        <v>#N/A</v>
      </c>
      <c r="AK95" s="3" t="e">
        <v>#N/A</v>
      </c>
      <c r="AL95" s="3" t="e">
        <v>#N/A</v>
      </c>
      <c r="AM95" s="3" t="e">
        <v>#N/A</v>
      </c>
      <c r="AN95" s="3" t="e">
        <v>#N/A</v>
      </c>
      <c r="AO95" s="3" t="e">
        <v>#N/A</v>
      </c>
      <c r="AP95" s="3" t="e">
        <v>#N/A</v>
      </c>
      <c r="AR95" s="3" t="e">
        <f t="shared" si="9"/>
        <v>#N/A</v>
      </c>
      <c r="AS95" s="3" t="e">
        <f t="shared" si="9"/>
        <v>#N/A</v>
      </c>
      <c r="AT95" s="3" t="e">
        <f t="shared" si="9"/>
        <v>#N/A</v>
      </c>
      <c r="AU95" s="3" t="e">
        <f t="shared" si="10"/>
        <v>#N/A</v>
      </c>
      <c r="AV95" s="3" t="e">
        <f t="shared" si="11"/>
        <v>#N/A</v>
      </c>
      <c r="AW95" s="3" t="e">
        <f t="shared" si="12"/>
        <v>#N/A</v>
      </c>
      <c r="AX95" s="3" t="e">
        <f t="shared" si="13"/>
        <v>#N/A</v>
      </c>
      <c r="AY95" s="3" t="e">
        <f t="shared" si="14"/>
        <v>#N/A</v>
      </c>
      <c r="AZ95" s="3" t="e">
        <f t="shared" si="15"/>
        <v>#N/A</v>
      </c>
      <c r="BA95" s="3" t="e">
        <f t="shared" si="16"/>
        <v>#N/A</v>
      </c>
      <c r="BB95" s="3" t="e">
        <f t="shared" si="17"/>
        <v>#N/A</v>
      </c>
    </row>
    <row r="96" spans="1:54" x14ac:dyDescent="0.25">
      <c r="A96" t="s">
        <v>707</v>
      </c>
      <c r="B96" s="21">
        <v>6.83</v>
      </c>
      <c r="C96" s="21">
        <v>5.66</v>
      </c>
      <c r="D96" s="35">
        <v>5.4239130434782608</v>
      </c>
      <c r="E96" s="3" t="e">
        <v>#N/A</v>
      </c>
      <c r="F96" s="3" t="e">
        <v>#N/A</v>
      </c>
      <c r="G96" s="3">
        <v>236810</v>
      </c>
      <c r="H96" s="3">
        <v>239164</v>
      </c>
      <c r="I96" s="4" t="e">
        <v>#N/A</v>
      </c>
      <c r="J96" s="3"/>
      <c r="K96" s="3" t="e">
        <v>#N/A</v>
      </c>
      <c r="L96" s="3" t="e">
        <v>#N/A</v>
      </c>
      <c r="M96" s="3" t="e">
        <v>#N/A</v>
      </c>
      <c r="N96" s="3" t="e">
        <v>#N/A</v>
      </c>
      <c r="O96" s="3" t="e">
        <v>#N/A</v>
      </c>
      <c r="P96" s="3" t="e">
        <v>#N/A</v>
      </c>
      <c r="Q96" s="3" t="e">
        <v>#N/A</v>
      </c>
      <c r="R96" s="3" t="e">
        <v>#N/A</v>
      </c>
      <c r="S96" s="3" t="e">
        <v>#N/A</v>
      </c>
      <c r="T96" s="3" t="e">
        <v>#N/A</v>
      </c>
      <c r="U96" s="3" t="e">
        <v>#N/A</v>
      </c>
      <c r="V96" s="3" t="e">
        <v>#N/A</v>
      </c>
      <c r="W96" s="3" t="e">
        <v>#N/A</v>
      </c>
      <c r="X96" s="3" t="e">
        <v>#N/A</v>
      </c>
      <c r="Y96" s="3" t="e">
        <v>#N/A</v>
      </c>
      <c r="Z96" s="3" t="e">
        <v>#N/A</v>
      </c>
      <c r="AA96" s="3" t="e">
        <v>#N/A</v>
      </c>
      <c r="AB96" s="3" t="e">
        <v>#N/A</v>
      </c>
      <c r="AC96" s="3" t="e">
        <v>#N/A</v>
      </c>
      <c r="AD96" s="3" t="e">
        <v>#N/A</v>
      </c>
      <c r="AE96" s="3" t="e">
        <v>#N/A</v>
      </c>
      <c r="AF96" s="3" t="e">
        <v>#N/A</v>
      </c>
      <c r="AG96" s="3" t="e">
        <v>#N/A</v>
      </c>
      <c r="AH96" s="3" t="e">
        <v>#N/A</v>
      </c>
      <c r="AI96" s="3" t="e">
        <v>#N/A</v>
      </c>
      <c r="AJ96" s="3" t="e">
        <v>#N/A</v>
      </c>
      <c r="AK96" s="3" t="e">
        <v>#N/A</v>
      </c>
      <c r="AL96" s="3" t="e">
        <v>#N/A</v>
      </c>
      <c r="AM96" s="3" t="e">
        <v>#N/A</v>
      </c>
      <c r="AN96" s="3" t="e">
        <v>#N/A</v>
      </c>
      <c r="AO96" s="3" t="e">
        <v>#N/A</v>
      </c>
      <c r="AP96" s="3" t="e">
        <v>#N/A</v>
      </c>
      <c r="AR96" s="3" t="e">
        <f t="shared" si="9"/>
        <v>#N/A</v>
      </c>
      <c r="AS96" s="3" t="e">
        <f t="shared" si="9"/>
        <v>#N/A</v>
      </c>
      <c r="AT96" s="3" t="e">
        <f t="shared" si="9"/>
        <v>#N/A</v>
      </c>
      <c r="AU96" s="3" t="e">
        <f t="shared" si="10"/>
        <v>#N/A</v>
      </c>
      <c r="AV96" s="3" t="e">
        <f t="shared" si="11"/>
        <v>#N/A</v>
      </c>
      <c r="AW96" s="3" t="e">
        <f t="shared" si="12"/>
        <v>#N/A</v>
      </c>
      <c r="AX96" s="3" t="e">
        <f t="shared" si="13"/>
        <v>#N/A</v>
      </c>
      <c r="AY96" s="3" t="e">
        <f t="shared" si="14"/>
        <v>#N/A</v>
      </c>
      <c r="AZ96" s="3" t="e">
        <f t="shared" si="15"/>
        <v>#N/A</v>
      </c>
      <c r="BA96" s="3" t="e">
        <f t="shared" si="16"/>
        <v>#N/A</v>
      </c>
      <c r="BB96" s="3" t="e">
        <f t="shared" si="17"/>
        <v>#N/A</v>
      </c>
    </row>
    <row r="97" spans="1:54" x14ac:dyDescent="0.25">
      <c r="A97" t="s">
        <v>708</v>
      </c>
      <c r="B97" s="21">
        <v>6.88</v>
      </c>
      <c r="C97" s="21">
        <v>5.8</v>
      </c>
      <c r="D97" s="35">
        <v>5.5</v>
      </c>
      <c r="E97" s="3" t="e">
        <v>#N/A</v>
      </c>
      <c r="F97" s="3" t="e">
        <v>#N/A</v>
      </c>
      <c r="G97" s="3">
        <v>237733</v>
      </c>
      <c r="H97" s="3">
        <v>242489</v>
      </c>
      <c r="I97" s="4" t="e">
        <v>#N/A</v>
      </c>
      <c r="J97" s="3"/>
      <c r="K97" s="3" t="e">
        <v>#N/A</v>
      </c>
      <c r="L97" s="3" t="e">
        <v>#N/A</v>
      </c>
      <c r="M97" s="3" t="e">
        <v>#N/A</v>
      </c>
      <c r="N97" s="3" t="e">
        <v>#N/A</v>
      </c>
      <c r="O97" s="3" t="e">
        <v>#N/A</v>
      </c>
      <c r="P97" s="3" t="e">
        <v>#N/A</v>
      </c>
      <c r="Q97" s="3" t="e">
        <v>#N/A</v>
      </c>
      <c r="R97" s="3" t="e">
        <v>#N/A</v>
      </c>
      <c r="S97" s="3" t="e">
        <v>#N/A</v>
      </c>
      <c r="T97" s="3" t="e">
        <v>#N/A</v>
      </c>
      <c r="U97" s="3" t="e">
        <v>#N/A</v>
      </c>
      <c r="V97" s="3" t="e">
        <v>#N/A</v>
      </c>
      <c r="W97" s="3" t="e">
        <v>#N/A</v>
      </c>
      <c r="X97" s="3" t="e">
        <v>#N/A</v>
      </c>
      <c r="Y97" s="3" t="e">
        <v>#N/A</v>
      </c>
      <c r="Z97" s="3" t="e">
        <v>#N/A</v>
      </c>
      <c r="AA97" s="3" t="e">
        <v>#N/A</v>
      </c>
      <c r="AB97" s="3" t="e">
        <v>#N/A</v>
      </c>
      <c r="AC97" s="3" t="e">
        <v>#N/A</v>
      </c>
      <c r="AD97" s="3" t="e">
        <v>#N/A</v>
      </c>
      <c r="AE97" s="3" t="e">
        <v>#N/A</v>
      </c>
      <c r="AF97" s="3" t="e">
        <v>#N/A</v>
      </c>
      <c r="AG97" s="3" t="e">
        <v>#N/A</v>
      </c>
      <c r="AH97" s="3" t="e">
        <v>#N/A</v>
      </c>
      <c r="AI97" s="3" t="e">
        <v>#N/A</v>
      </c>
      <c r="AJ97" s="3" t="e">
        <v>#N/A</v>
      </c>
      <c r="AK97" s="3" t="e">
        <v>#N/A</v>
      </c>
      <c r="AL97" s="3" t="e">
        <v>#N/A</v>
      </c>
      <c r="AM97" s="3" t="e">
        <v>#N/A</v>
      </c>
      <c r="AN97" s="3" t="e">
        <v>#N/A</v>
      </c>
      <c r="AO97" s="3" t="e">
        <v>#N/A</v>
      </c>
      <c r="AP97" s="3" t="e">
        <v>#N/A</v>
      </c>
      <c r="AR97" s="3" t="e">
        <f t="shared" si="9"/>
        <v>#N/A</v>
      </c>
      <c r="AS97" s="3" t="e">
        <f t="shared" si="9"/>
        <v>#N/A</v>
      </c>
      <c r="AT97" s="3" t="e">
        <f t="shared" si="9"/>
        <v>#N/A</v>
      </c>
      <c r="AU97" s="3" t="e">
        <f t="shared" si="10"/>
        <v>#N/A</v>
      </c>
      <c r="AV97" s="3" t="e">
        <f t="shared" si="11"/>
        <v>#N/A</v>
      </c>
      <c r="AW97" s="3" t="e">
        <f t="shared" si="12"/>
        <v>#N/A</v>
      </c>
      <c r="AX97" s="3" t="e">
        <f t="shared" si="13"/>
        <v>#N/A</v>
      </c>
      <c r="AY97" s="3" t="e">
        <f t="shared" si="14"/>
        <v>#N/A</v>
      </c>
      <c r="AZ97" s="3" t="e">
        <f t="shared" si="15"/>
        <v>#N/A</v>
      </c>
      <c r="BA97" s="3" t="e">
        <f t="shared" si="16"/>
        <v>#N/A</v>
      </c>
      <c r="BB97" s="3" t="e">
        <f t="shared" si="17"/>
        <v>#N/A</v>
      </c>
    </row>
    <row r="98" spans="1:54" x14ac:dyDescent="0.25">
      <c r="A98" t="s">
        <v>709</v>
      </c>
      <c r="B98" s="21">
        <v>7.08</v>
      </c>
      <c r="C98" s="21">
        <v>5.82</v>
      </c>
      <c r="D98" s="35">
        <v>5.7159090909090908</v>
      </c>
      <c r="E98" s="3" t="e">
        <v>#N/A</v>
      </c>
      <c r="F98" s="3" t="e">
        <v>#N/A</v>
      </c>
      <c r="G98" s="3">
        <v>236373</v>
      </c>
      <c r="H98" s="3">
        <v>236614</v>
      </c>
      <c r="I98" s="4" t="e">
        <v>#N/A</v>
      </c>
      <c r="J98" s="3"/>
      <c r="K98" s="3" t="e">
        <v>#N/A</v>
      </c>
      <c r="L98" s="3" t="e">
        <v>#N/A</v>
      </c>
      <c r="M98" s="3" t="e">
        <v>#N/A</v>
      </c>
      <c r="N98" s="3" t="e">
        <v>#N/A</v>
      </c>
      <c r="O98" s="3" t="e">
        <v>#N/A</v>
      </c>
      <c r="P98" s="3" t="e">
        <v>#N/A</v>
      </c>
      <c r="Q98" s="3" t="e">
        <v>#N/A</v>
      </c>
      <c r="R98" s="3" t="e">
        <v>#N/A</v>
      </c>
      <c r="S98" s="3" t="e">
        <v>#N/A</v>
      </c>
      <c r="T98" s="3" t="e">
        <v>#N/A</v>
      </c>
      <c r="U98" s="3" t="e">
        <v>#N/A</v>
      </c>
      <c r="V98" s="3" t="e">
        <v>#N/A</v>
      </c>
      <c r="W98" s="3" t="e">
        <v>#N/A</v>
      </c>
      <c r="X98" s="3" t="e">
        <v>#N/A</v>
      </c>
      <c r="Y98" s="3" t="e">
        <v>#N/A</v>
      </c>
      <c r="Z98" s="3" t="e">
        <v>#N/A</v>
      </c>
      <c r="AA98" s="3" t="e">
        <v>#N/A</v>
      </c>
      <c r="AB98" s="3" t="e">
        <v>#N/A</v>
      </c>
      <c r="AC98" s="3" t="e">
        <v>#N/A</v>
      </c>
      <c r="AD98" s="3" t="e">
        <v>#N/A</v>
      </c>
      <c r="AE98" s="3" t="e">
        <v>#N/A</v>
      </c>
      <c r="AF98" s="3" t="e">
        <v>#N/A</v>
      </c>
      <c r="AG98" s="3" t="e">
        <v>#N/A</v>
      </c>
      <c r="AH98" s="3" t="e">
        <v>#N/A</v>
      </c>
      <c r="AI98" s="3" t="e">
        <v>#N/A</v>
      </c>
      <c r="AJ98" s="3" t="e">
        <v>#N/A</v>
      </c>
      <c r="AK98" s="3" t="e">
        <v>#N/A</v>
      </c>
      <c r="AL98" s="3" t="e">
        <v>#N/A</v>
      </c>
      <c r="AM98" s="3" t="e">
        <v>#N/A</v>
      </c>
      <c r="AN98" s="3" t="e">
        <v>#N/A</v>
      </c>
      <c r="AO98" s="3" t="e">
        <v>#N/A</v>
      </c>
      <c r="AP98" s="3" t="e">
        <v>#N/A</v>
      </c>
      <c r="AR98" s="3" t="e">
        <f t="shared" si="9"/>
        <v>#N/A</v>
      </c>
      <c r="AS98" s="3" t="e">
        <f t="shared" si="9"/>
        <v>#N/A</v>
      </c>
      <c r="AT98" s="3" t="e">
        <f t="shared" si="9"/>
        <v>#N/A</v>
      </c>
      <c r="AU98" s="3" t="e">
        <f t="shared" si="10"/>
        <v>#N/A</v>
      </c>
      <c r="AV98" s="3" t="e">
        <f t="shared" si="11"/>
        <v>#N/A</v>
      </c>
      <c r="AW98" s="3" t="e">
        <f t="shared" si="12"/>
        <v>#N/A</v>
      </c>
      <c r="AX98" s="3" t="e">
        <f t="shared" si="13"/>
        <v>#N/A</v>
      </c>
      <c r="AY98" s="3" t="e">
        <f t="shared" si="14"/>
        <v>#N/A</v>
      </c>
      <c r="AZ98" s="3" t="e">
        <f t="shared" si="15"/>
        <v>#N/A</v>
      </c>
      <c r="BA98" s="3" t="e">
        <f t="shared" si="16"/>
        <v>#N/A</v>
      </c>
      <c r="BB98" s="3" t="e">
        <f t="shared" si="17"/>
        <v>#N/A</v>
      </c>
    </row>
    <row r="99" spans="1:54" x14ac:dyDescent="0.25">
      <c r="A99" t="s">
        <v>710</v>
      </c>
      <c r="B99" s="21">
        <v>7.15</v>
      </c>
      <c r="C99" s="21">
        <v>5.91</v>
      </c>
      <c r="D99" s="35">
        <v>5.75</v>
      </c>
      <c r="E99" s="3" t="e">
        <v>#N/A</v>
      </c>
      <c r="F99" s="3" t="e">
        <v>#N/A</v>
      </c>
      <c r="G99" s="3">
        <v>237426</v>
      </c>
      <c r="H99" s="3">
        <v>235438</v>
      </c>
      <c r="I99" s="4" t="e">
        <v>#N/A</v>
      </c>
      <c r="J99" s="3"/>
      <c r="K99" s="3" t="e">
        <v>#N/A</v>
      </c>
      <c r="L99" s="3" t="e">
        <v>#N/A</v>
      </c>
      <c r="M99" s="3" t="e">
        <v>#N/A</v>
      </c>
      <c r="N99" s="3" t="e">
        <v>#N/A</v>
      </c>
      <c r="O99" s="3" t="e">
        <v>#N/A</v>
      </c>
      <c r="P99" s="3" t="e">
        <v>#N/A</v>
      </c>
      <c r="Q99" s="3" t="e">
        <v>#N/A</v>
      </c>
      <c r="R99" s="3" t="e">
        <v>#N/A</v>
      </c>
      <c r="S99" s="3" t="e">
        <v>#N/A</v>
      </c>
      <c r="T99" s="3" t="e">
        <v>#N/A</v>
      </c>
      <c r="U99" s="3" t="e">
        <v>#N/A</v>
      </c>
      <c r="V99" s="3" t="e">
        <v>#N/A</v>
      </c>
      <c r="W99" s="3" t="e">
        <v>#N/A</v>
      </c>
      <c r="X99" s="3" t="e">
        <v>#N/A</v>
      </c>
      <c r="Y99" s="3" t="e">
        <v>#N/A</v>
      </c>
      <c r="Z99" s="3" t="e">
        <v>#N/A</v>
      </c>
      <c r="AA99" s="3" t="e">
        <v>#N/A</v>
      </c>
      <c r="AB99" s="3" t="e">
        <v>#N/A</v>
      </c>
      <c r="AC99" s="3" t="e">
        <v>#N/A</v>
      </c>
      <c r="AD99" s="3" t="e">
        <v>#N/A</v>
      </c>
      <c r="AE99" s="3" t="e">
        <v>#N/A</v>
      </c>
      <c r="AF99" s="3" t="e">
        <v>#N/A</v>
      </c>
      <c r="AG99" s="3" t="e">
        <v>#N/A</v>
      </c>
      <c r="AH99" s="3" t="e">
        <v>#N/A</v>
      </c>
      <c r="AI99" s="3" t="e">
        <v>#N/A</v>
      </c>
      <c r="AJ99" s="3" t="e">
        <v>#N/A</v>
      </c>
      <c r="AK99" s="3" t="e">
        <v>#N/A</v>
      </c>
      <c r="AL99" s="3" t="e">
        <v>#N/A</v>
      </c>
      <c r="AM99" s="3" t="e">
        <v>#N/A</v>
      </c>
      <c r="AN99" s="3" t="e">
        <v>#N/A</v>
      </c>
      <c r="AO99" s="3" t="e">
        <v>#N/A</v>
      </c>
      <c r="AP99" s="3" t="e">
        <v>#N/A</v>
      </c>
      <c r="AR99" s="3" t="e">
        <f t="shared" si="9"/>
        <v>#N/A</v>
      </c>
      <c r="AS99" s="3" t="e">
        <f t="shared" si="9"/>
        <v>#N/A</v>
      </c>
      <c r="AT99" s="3" t="e">
        <f t="shared" si="9"/>
        <v>#N/A</v>
      </c>
      <c r="AU99" s="3" t="e">
        <f t="shared" si="10"/>
        <v>#N/A</v>
      </c>
      <c r="AV99" s="3" t="e">
        <f t="shared" si="11"/>
        <v>#N/A</v>
      </c>
      <c r="AW99" s="3" t="e">
        <f t="shared" si="12"/>
        <v>#N/A</v>
      </c>
      <c r="AX99" s="3" t="e">
        <f t="shared" si="13"/>
        <v>#N/A</v>
      </c>
      <c r="AY99" s="3" t="e">
        <f t="shared" si="14"/>
        <v>#N/A</v>
      </c>
      <c r="AZ99" s="3" t="e">
        <f t="shared" si="15"/>
        <v>#N/A</v>
      </c>
      <c r="BA99" s="3" t="e">
        <f t="shared" si="16"/>
        <v>#N/A</v>
      </c>
      <c r="BB99" s="3" t="e">
        <f t="shared" si="17"/>
        <v>#N/A</v>
      </c>
    </row>
    <row r="100" spans="1:54" x14ac:dyDescent="0.25">
      <c r="A100" t="s">
        <v>711</v>
      </c>
      <c r="B100" s="21">
        <v>7.31</v>
      </c>
      <c r="C100" s="21">
        <v>5.92</v>
      </c>
      <c r="D100" s="35">
        <v>5.75</v>
      </c>
      <c r="E100" s="3" t="e">
        <v>#N/A</v>
      </c>
      <c r="F100" s="3" t="e">
        <v>#N/A</v>
      </c>
      <c r="G100" s="3">
        <v>240286</v>
      </c>
      <c r="H100" s="3">
        <v>239730</v>
      </c>
      <c r="I100" s="4" t="e">
        <v>#N/A</v>
      </c>
      <c r="J100" s="3"/>
      <c r="K100" s="3" t="e">
        <v>#N/A</v>
      </c>
      <c r="L100" s="3" t="e">
        <v>#N/A</v>
      </c>
      <c r="M100" s="3" t="e">
        <v>#N/A</v>
      </c>
      <c r="N100" s="3" t="e">
        <v>#N/A</v>
      </c>
      <c r="O100" s="3" t="e">
        <v>#N/A</v>
      </c>
      <c r="P100" s="3" t="e">
        <v>#N/A</v>
      </c>
      <c r="Q100" s="3" t="e">
        <v>#N/A</v>
      </c>
      <c r="R100" s="3" t="e">
        <v>#N/A</v>
      </c>
      <c r="S100" s="3" t="e">
        <v>#N/A</v>
      </c>
      <c r="T100" s="3" t="e">
        <v>#N/A</v>
      </c>
      <c r="U100" s="3" t="e">
        <v>#N/A</v>
      </c>
      <c r="V100" s="3" t="e">
        <v>#N/A</v>
      </c>
      <c r="W100" s="3" t="e">
        <v>#N/A</v>
      </c>
      <c r="X100" s="3" t="e">
        <v>#N/A</v>
      </c>
      <c r="Y100" s="3" t="e">
        <v>#N/A</v>
      </c>
      <c r="Z100" s="3" t="e">
        <v>#N/A</v>
      </c>
      <c r="AA100" s="3" t="e">
        <v>#N/A</v>
      </c>
      <c r="AB100" s="3" t="e">
        <v>#N/A</v>
      </c>
      <c r="AC100" s="3" t="e">
        <v>#N/A</v>
      </c>
      <c r="AD100" s="3" t="e">
        <v>#N/A</v>
      </c>
      <c r="AE100" s="3" t="e">
        <v>#N/A</v>
      </c>
      <c r="AF100" s="3" t="e">
        <v>#N/A</v>
      </c>
      <c r="AG100" s="3" t="e">
        <v>#N/A</v>
      </c>
      <c r="AH100" s="3" t="e">
        <v>#N/A</v>
      </c>
      <c r="AI100" s="3" t="e">
        <v>#N/A</v>
      </c>
      <c r="AJ100" s="3" t="e">
        <v>#N/A</v>
      </c>
      <c r="AK100" s="3" t="e">
        <v>#N/A</v>
      </c>
      <c r="AL100" s="3" t="e">
        <v>#N/A</v>
      </c>
      <c r="AM100" s="3" t="e">
        <v>#N/A</v>
      </c>
      <c r="AN100" s="3" t="e">
        <v>#N/A</v>
      </c>
      <c r="AO100" s="3" t="e">
        <v>#N/A</v>
      </c>
      <c r="AP100" s="3" t="e">
        <v>#N/A</v>
      </c>
      <c r="AR100" s="3" t="e">
        <f t="shared" si="9"/>
        <v>#N/A</v>
      </c>
      <c r="AS100" s="3" t="e">
        <f t="shared" si="9"/>
        <v>#N/A</v>
      </c>
      <c r="AT100" s="3" t="e">
        <f t="shared" si="9"/>
        <v>#N/A</v>
      </c>
      <c r="AU100" s="3" t="e">
        <f t="shared" si="10"/>
        <v>#N/A</v>
      </c>
      <c r="AV100" s="3" t="e">
        <f t="shared" si="11"/>
        <v>#N/A</v>
      </c>
      <c r="AW100" s="3" t="e">
        <f t="shared" si="12"/>
        <v>#N/A</v>
      </c>
      <c r="AX100" s="3" t="e">
        <f t="shared" si="13"/>
        <v>#N/A</v>
      </c>
      <c r="AY100" s="3" t="e">
        <f t="shared" si="14"/>
        <v>#N/A</v>
      </c>
      <c r="AZ100" s="3" t="e">
        <f t="shared" si="15"/>
        <v>#N/A</v>
      </c>
      <c r="BA100" s="3" t="e">
        <f t="shared" si="16"/>
        <v>#N/A</v>
      </c>
      <c r="BB100" s="3" t="e">
        <f t="shared" si="17"/>
        <v>#N/A</v>
      </c>
    </row>
    <row r="101" spans="1:54" x14ac:dyDescent="0.25">
      <c r="A101" t="s">
        <v>712</v>
      </c>
      <c r="B101" s="21">
        <v>7.29</v>
      </c>
      <c r="C101" s="21">
        <v>5.94</v>
      </c>
      <c r="D101" s="35">
        <v>5.75</v>
      </c>
      <c r="E101" s="3" t="e">
        <v>#N/A</v>
      </c>
      <c r="F101" s="3" t="e">
        <v>#N/A</v>
      </c>
      <c r="G101" s="3">
        <v>240440</v>
      </c>
      <c r="H101" s="3">
        <v>237058</v>
      </c>
      <c r="I101" s="4" t="e">
        <v>#N/A</v>
      </c>
      <c r="J101" s="3"/>
      <c r="K101" s="3" t="e">
        <v>#N/A</v>
      </c>
      <c r="L101" s="3" t="e">
        <v>#N/A</v>
      </c>
      <c r="M101" s="3" t="e">
        <v>#N/A</v>
      </c>
      <c r="N101" s="3" t="e">
        <v>#N/A</v>
      </c>
      <c r="O101" s="3" t="e">
        <v>#N/A</v>
      </c>
      <c r="P101" s="3" t="e">
        <v>#N/A</v>
      </c>
      <c r="Q101" s="3" t="e">
        <v>#N/A</v>
      </c>
      <c r="R101" s="3" t="e">
        <v>#N/A</v>
      </c>
      <c r="S101" s="3" t="e">
        <v>#N/A</v>
      </c>
      <c r="T101" s="3" t="e">
        <v>#N/A</v>
      </c>
      <c r="U101" s="3" t="e">
        <v>#N/A</v>
      </c>
      <c r="V101" s="3" t="e">
        <v>#N/A</v>
      </c>
      <c r="W101" s="3" t="e">
        <v>#N/A</v>
      </c>
      <c r="X101" s="3" t="e">
        <v>#N/A</v>
      </c>
      <c r="Y101" s="3" t="e">
        <v>#N/A</v>
      </c>
      <c r="Z101" s="3" t="e">
        <v>#N/A</v>
      </c>
      <c r="AA101" s="3" t="e">
        <v>#N/A</v>
      </c>
      <c r="AB101" s="3" t="e">
        <v>#N/A</v>
      </c>
      <c r="AC101" s="3" t="e">
        <v>#N/A</v>
      </c>
      <c r="AD101" s="3" t="e">
        <v>#N/A</v>
      </c>
      <c r="AE101" s="3" t="e">
        <v>#N/A</v>
      </c>
      <c r="AF101" s="3" t="e">
        <v>#N/A</v>
      </c>
      <c r="AG101" s="3" t="e">
        <v>#N/A</v>
      </c>
      <c r="AH101" s="3" t="e">
        <v>#N/A</v>
      </c>
      <c r="AI101" s="3" t="e">
        <v>#N/A</v>
      </c>
      <c r="AJ101" s="3" t="e">
        <v>#N/A</v>
      </c>
      <c r="AK101" s="3" t="e">
        <v>#N/A</v>
      </c>
      <c r="AL101" s="3" t="e">
        <v>#N/A</v>
      </c>
      <c r="AM101" s="3" t="e">
        <v>#N/A</v>
      </c>
      <c r="AN101" s="3" t="e">
        <v>#N/A</v>
      </c>
      <c r="AO101" s="3" t="e">
        <v>#N/A</v>
      </c>
      <c r="AP101" s="3" t="e">
        <v>#N/A</v>
      </c>
      <c r="AR101" s="3" t="e">
        <f t="shared" si="9"/>
        <v>#N/A</v>
      </c>
      <c r="AS101" s="3" t="e">
        <f t="shared" si="9"/>
        <v>#N/A</v>
      </c>
      <c r="AT101" s="3" t="e">
        <f t="shared" si="9"/>
        <v>#N/A</v>
      </c>
      <c r="AU101" s="3" t="e">
        <f t="shared" si="10"/>
        <v>#N/A</v>
      </c>
      <c r="AV101" s="3" t="e">
        <f t="shared" si="11"/>
        <v>#N/A</v>
      </c>
      <c r="AW101" s="3" t="e">
        <f t="shared" si="12"/>
        <v>#N/A</v>
      </c>
      <c r="AX101" s="3" t="e">
        <f t="shared" si="13"/>
        <v>#N/A</v>
      </c>
      <c r="AY101" s="3" t="e">
        <f t="shared" si="14"/>
        <v>#N/A</v>
      </c>
      <c r="AZ101" s="3" t="e">
        <f t="shared" si="15"/>
        <v>#N/A</v>
      </c>
      <c r="BA101" s="3" t="e">
        <f t="shared" si="16"/>
        <v>#N/A</v>
      </c>
      <c r="BB101" s="3" t="e">
        <f t="shared" si="17"/>
        <v>#N/A</v>
      </c>
    </row>
    <row r="102" spans="1:54" x14ac:dyDescent="0.25">
      <c r="A102" t="s">
        <v>713</v>
      </c>
      <c r="B102" s="21">
        <v>7.29</v>
      </c>
      <c r="C102" s="21">
        <v>5.94</v>
      </c>
      <c r="D102" s="35">
        <v>5.75</v>
      </c>
      <c r="E102" s="3" t="e">
        <v>#N/A</v>
      </c>
      <c r="F102" s="3" t="e">
        <v>#N/A</v>
      </c>
      <c r="G102" s="3">
        <v>238969</v>
      </c>
      <c r="H102" s="3">
        <v>239283</v>
      </c>
      <c r="I102" s="4" t="e">
        <v>#N/A</v>
      </c>
      <c r="J102" s="3"/>
      <c r="K102" s="3" t="e">
        <v>#N/A</v>
      </c>
      <c r="L102" s="3" t="e">
        <v>#N/A</v>
      </c>
      <c r="M102" s="3" t="e">
        <v>#N/A</v>
      </c>
      <c r="N102" s="3" t="e">
        <v>#N/A</v>
      </c>
      <c r="O102" s="3" t="e">
        <v>#N/A</v>
      </c>
      <c r="P102" s="3" t="e">
        <v>#N/A</v>
      </c>
      <c r="Q102" s="3" t="e">
        <v>#N/A</v>
      </c>
      <c r="R102" s="3" t="e">
        <v>#N/A</v>
      </c>
      <c r="S102" s="3" t="e">
        <v>#N/A</v>
      </c>
      <c r="T102" s="3" t="e">
        <v>#N/A</v>
      </c>
      <c r="U102" s="3" t="e">
        <v>#N/A</v>
      </c>
      <c r="V102" s="3" t="e">
        <v>#N/A</v>
      </c>
      <c r="W102" s="3" t="e">
        <v>#N/A</v>
      </c>
      <c r="X102" s="3" t="e">
        <v>#N/A</v>
      </c>
      <c r="Y102" s="3" t="e">
        <v>#N/A</v>
      </c>
      <c r="Z102" s="3" t="e">
        <v>#N/A</v>
      </c>
      <c r="AA102" s="3" t="e">
        <v>#N/A</v>
      </c>
      <c r="AB102" s="3" t="e">
        <v>#N/A</v>
      </c>
      <c r="AC102" s="3" t="e">
        <v>#N/A</v>
      </c>
      <c r="AD102" s="3" t="e">
        <v>#N/A</v>
      </c>
      <c r="AE102" s="3" t="e">
        <v>#N/A</v>
      </c>
      <c r="AF102" s="3" t="e">
        <v>#N/A</v>
      </c>
      <c r="AG102" s="3" t="e">
        <v>#N/A</v>
      </c>
      <c r="AH102" s="3" t="e">
        <v>#N/A</v>
      </c>
      <c r="AI102" s="3" t="e">
        <v>#N/A</v>
      </c>
      <c r="AJ102" s="3" t="e">
        <v>#N/A</v>
      </c>
      <c r="AK102" s="3" t="e">
        <v>#N/A</v>
      </c>
      <c r="AL102" s="3" t="e">
        <v>#N/A</v>
      </c>
      <c r="AM102" s="3" t="e">
        <v>#N/A</v>
      </c>
      <c r="AN102" s="3" t="e">
        <v>#N/A</v>
      </c>
      <c r="AO102" s="3" t="e">
        <v>#N/A</v>
      </c>
      <c r="AP102" s="3" t="e">
        <v>#N/A</v>
      </c>
      <c r="AR102" s="3" t="e">
        <f t="shared" si="9"/>
        <v>#N/A</v>
      </c>
      <c r="AS102" s="3" t="e">
        <f t="shared" si="9"/>
        <v>#N/A</v>
      </c>
      <c r="AT102" s="3" t="e">
        <f t="shared" si="9"/>
        <v>#N/A</v>
      </c>
      <c r="AU102" s="3" t="e">
        <f t="shared" si="10"/>
        <v>#N/A</v>
      </c>
      <c r="AV102" s="3" t="e">
        <f t="shared" si="11"/>
        <v>#N/A</v>
      </c>
      <c r="AW102" s="3" t="e">
        <f t="shared" si="12"/>
        <v>#N/A</v>
      </c>
      <c r="AX102" s="3" t="e">
        <f t="shared" si="13"/>
        <v>#N/A</v>
      </c>
      <c r="AY102" s="3" t="e">
        <f t="shared" si="14"/>
        <v>#N/A</v>
      </c>
      <c r="AZ102" s="3" t="e">
        <f t="shared" si="15"/>
        <v>#N/A</v>
      </c>
      <c r="BA102" s="3" t="e">
        <f t="shared" si="16"/>
        <v>#N/A</v>
      </c>
      <c r="BB102" s="3" t="e">
        <f t="shared" si="17"/>
        <v>#N/A</v>
      </c>
    </row>
    <row r="103" spans="1:54" x14ac:dyDescent="0.25">
      <c r="A103" t="s">
        <v>714</v>
      </c>
      <c r="B103" s="21">
        <v>7.25</v>
      </c>
      <c r="C103" s="21">
        <v>5.97</v>
      </c>
      <c r="D103" s="35">
        <v>5.5357142857142856</v>
      </c>
      <c r="E103" s="3" t="e">
        <v>#N/A</v>
      </c>
      <c r="F103" s="3" t="e">
        <v>#N/A</v>
      </c>
      <c r="G103" s="3">
        <v>240725</v>
      </c>
      <c r="H103" s="3">
        <v>245103</v>
      </c>
      <c r="I103" s="4" t="e">
        <v>#N/A</v>
      </c>
      <c r="J103" s="3"/>
      <c r="K103" s="3" t="e">
        <v>#N/A</v>
      </c>
      <c r="L103" s="3" t="e">
        <v>#N/A</v>
      </c>
      <c r="M103" s="3" t="e">
        <v>#N/A</v>
      </c>
      <c r="N103" s="3" t="e">
        <v>#N/A</v>
      </c>
      <c r="O103" s="3" t="e">
        <v>#N/A</v>
      </c>
      <c r="P103" s="3" t="e">
        <v>#N/A</v>
      </c>
      <c r="Q103" s="3" t="e">
        <v>#N/A</v>
      </c>
      <c r="R103" s="3" t="e">
        <v>#N/A</v>
      </c>
      <c r="S103" s="3" t="e">
        <v>#N/A</v>
      </c>
      <c r="T103" s="3" t="e">
        <v>#N/A</v>
      </c>
      <c r="U103" s="3" t="e">
        <v>#N/A</v>
      </c>
      <c r="V103" s="3" t="e">
        <v>#N/A</v>
      </c>
      <c r="W103" s="3" t="e">
        <v>#N/A</v>
      </c>
      <c r="X103" s="3" t="e">
        <v>#N/A</v>
      </c>
      <c r="Y103" s="3" t="e">
        <v>#N/A</v>
      </c>
      <c r="Z103" s="3" t="e">
        <v>#N/A</v>
      </c>
      <c r="AA103" s="3" t="e">
        <v>#N/A</v>
      </c>
      <c r="AB103" s="3" t="e">
        <v>#N/A</v>
      </c>
      <c r="AC103" s="3" t="e">
        <v>#N/A</v>
      </c>
      <c r="AD103" s="3" t="e">
        <v>#N/A</v>
      </c>
      <c r="AE103" s="3" t="e">
        <v>#N/A</v>
      </c>
      <c r="AF103" s="3" t="e">
        <v>#N/A</v>
      </c>
      <c r="AG103" s="3" t="e">
        <v>#N/A</v>
      </c>
      <c r="AH103" s="3" t="e">
        <v>#N/A</v>
      </c>
      <c r="AI103" s="3" t="e">
        <v>#N/A</v>
      </c>
      <c r="AJ103" s="3" t="e">
        <v>#N/A</v>
      </c>
      <c r="AK103" s="3" t="e">
        <v>#N/A</v>
      </c>
      <c r="AL103" s="3" t="e">
        <v>#N/A</v>
      </c>
      <c r="AM103" s="3" t="e">
        <v>#N/A</v>
      </c>
      <c r="AN103" s="3" t="e">
        <v>#N/A</v>
      </c>
      <c r="AO103" s="3" t="e">
        <v>#N/A</v>
      </c>
      <c r="AP103" s="3" t="e">
        <v>#N/A</v>
      </c>
      <c r="AR103" s="3" t="e">
        <f t="shared" si="9"/>
        <v>#N/A</v>
      </c>
      <c r="AS103" s="3" t="e">
        <f t="shared" si="9"/>
        <v>#N/A</v>
      </c>
      <c r="AT103" s="3" t="e">
        <f t="shared" si="9"/>
        <v>#N/A</v>
      </c>
      <c r="AU103" s="3" t="e">
        <f t="shared" si="10"/>
        <v>#N/A</v>
      </c>
      <c r="AV103" s="3" t="e">
        <f t="shared" si="11"/>
        <v>#N/A</v>
      </c>
      <c r="AW103" s="3" t="e">
        <f t="shared" si="12"/>
        <v>#N/A</v>
      </c>
      <c r="AX103" s="3" t="e">
        <f t="shared" si="13"/>
        <v>#N/A</v>
      </c>
      <c r="AY103" s="3" t="e">
        <f t="shared" si="14"/>
        <v>#N/A</v>
      </c>
      <c r="AZ103" s="3" t="e">
        <f t="shared" si="15"/>
        <v>#N/A</v>
      </c>
      <c r="BA103" s="3" t="e">
        <f t="shared" si="16"/>
        <v>#N/A</v>
      </c>
      <c r="BB103" s="3" t="e">
        <f t="shared" si="17"/>
        <v>#N/A</v>
      </c>
    </row>
    <row r="104" spans="1:54" x14ac:dyDescent="0.25">
      <c r="A104" t="s">
        <v>715</v>
      </c>
      <c r="B104" s="21">
        <v>7.15</v>
      </c>
      <c r="C104" s="21">
        <v>5.88</v>
      </c>
      <c r="D104" s="35">
        <v>5.5</v>
      </c>
      <c r="E104" s="3" t="e">
        <v>#N/A</v>
      </c>
      <c r="F104" s="3" t="e">
        <v>#N/A</v>
      </c>
      <c r="G104" s="3">
        <v>240492</v>
      </c>
      <c r="H104" s="3">
        <v>236061</v>
      </c>
      <c r="I104" s="4" t="e">
        <v>#N/A</v>
      </c>
      <c r="J104" s="3"/>
      <c r="K104" s="3" t="e">
        <v>#N/A</v>
      </c>
      <c r="L104" s="3" t="e">
        <v>#N/A</v>
      </c>
      <c r="M104" s="3" t="e">
        <v>#N/A</v>
      </c>
      <c r="N104" s="3" t="e">
        <v>#N/A</v>
      </c>
      <c r="O104" s="3" t="e">
        <v>#N/A</v>
      </c>
      <c r="P104" s="3" t="e">
        <v>#N/A</v>
      </c>
      <c r="Q104" s="3" t="e">
        <v>#N/A</v>
      </c>
      <c r="R104" s="3" t="e">
        <v>#N/A</v>
      </c>
      <c r="S104" s="3" t="e">
        <v>#N/A</v>
      </c>
      <c r="T104" s="3" t="e">
        <v>#N/A</v>
      </c>
      <c r="U104" s="3" t="e">
        <v>#N/A</v>
      </c>
      <c r="V104" s="3" t="e">
        <v>#N/A</v>
      </c>
      <c r="W104" s="3" t="e">
        <v>#N/A</v>
      </c>
      <c r="X104" s="3" t="e">
        <v>#N/A</v>
      </c>
      <c r="Y104" s="3" t="e">
        <v>#N/A</v>
      </c>
      <c r="Z104" s="3" t="e">
        <v>#N/A</v>
      </c>
      <c r="AA104" s="3" t="e">
        <v>#N/A</v>
      </c>
      <c r="AB104" s="3" t="e">
        <v>#N/A</v>
      </c>
      <c r="AC104" s="3" t="e">
        <v>#N/A</v>
      </c>
      <c r="AD104" s="3" t="e">
        <v>#N/A</v>
      </c>
      <c r="AE104" s="3" t="e">
        <v>#N/A</v>
      </c>
      <c r="AF104" s="3" t="e">
        <v>#N/A</v>
      </c>
      <c r="AG104" s="3" t="e">
        <v>#N/A</v>
      </c>
      <c r="AH104" s="3" t="e">
        <v>#N/A</v>
      </c>
      <c r="AI104" s="3" t="e">
        <v>#N/A</v>
      </c>
      <c r="AJ104" s="3" t="e">
        <v>#N/A</v>
      </c>
      <c r="AK104" s="3" t="e">
        <v>#N/A</v>
      </c>
      <c r="AL104" s="3" t="e">
        <v>#N/A</v>
      </c>
      <c r="AM104" s="3" t="e">
        <v>#N/A</v>
      </c>
      <c r="AN104" s="3" t="e">
        <v>#N/A</v>
      </c>
      <c r="AO104" s="3" t="e">
        <v>#N/A</v>
      </c>
      <c r="AP104" s="3" t="e">
        <v>#N/A</v>
      </c>
      <c r="AR104" s="3" t="e">
        <f t="shared" si="9"/>
        <v>#N/A</v>
      </c>
      <c r="AS104" s="3" t="e">
        <f t="shared" si="9"/>
        <v>#N/A</v>
      </c>
      <c r="AT104" s="3" t="e">
        <f t="shared" si="9"/>
        <v>#N/A</v>
      </c>
      <c r="AU104" s="3" t="e">
        <f t="shared" si="10"/>
        <v>#N/A</v>
      </c>
      <c r="AV104" s="3" t="e">
        <f t="shared" si="11"/>
        <v>#N/A</v>
      </c>
      <c r="AW104" s="3" t="e">
        <f t="shared" si="12"/>
        <v>#N/A</v>
      </c>
      <c r="AX104" s="3" t="e">
        <f t="shared" si="13"/>
        <v>#N/A</v>
      </c>
      <c r="AY104" s="3" t="e">
        <f t="shared" si="14"/>
        <v>#N/A</v>
      </c>
      <c r="AZ104" s="3" t="e">
        <f t="shared" si="15"/>
        <v>#N/A</v>
      </c>
      <c r="BA104" s="3" t="e">
        <f t="shared" si="16"/>
        <v>#N/A</v>
      </c>
      <c r="BB104" s="3" t="e">
        <f t="shared" si="17"/>
        <v>#N/A</v>
      </c>
    </row>
    <row r="105" spans="1:54" x14ac:dyDescent="0.25">
      <c r="A105" t="s">
        <v>716</v>
      </c>
      <c r="B105" s="21">
        <v>6.95</v>
      </c>
      <c r="C105" s="21">
        <v>5.89</v>
      </c>
      <c r="D105" s="35">
        <v>5.2976190476190474</v>
      </c>
      <c r="E105" s="3" t="e">
        <v>#N/A</v>
      </c>
      <c r="F105" s="3" t="e">
        <v>#N/A</v>
      </c>
      <c r="G105" s="3">
        <v>244669</v>
      </c>
      <c r="H105" s="3">
        <v>239694</v>
      </c>
      <c r="I105" s="4" t="e">
        <v>#N/A</v>
      </c>
      <c r="J105" s="3"/>
      <c r="K105" s="3" t="e">
        <v>#N/A</v>
      </c>
      <c r="L105" s="3" t="e">
        <v>#N/A</v>
      </c>
      <c r="M105" s="3" t="e">
        <v>#N/A</v>
      </c>
      <c r="N105" s="3" t="e">
        <v>#N/A</v>
      </c>
      <c r="O105" s="3" t="e">
        <v>#N/A</v>
      </c>
      <c r="P105" s="3" t="e">
        <v>#N/A</v>
      </c>
      <c r="Q105" s="3" t="e">
        <v>#N/A</v>
      </c>
      <c r="R105" s="3" t="e">
        <v>#N/A</v>
      </c>
      <c r="S105" s="3" t="e">
        <v>#N/A</v>
      </c>
      <c r="T105" s="3" t="e">
        <v>#N/A</v>
      </c>
      <c r="U105" s="3" t="e">
        <v>#N/A</v>
      </c>
      <c r="V105" s="3" t="e">
        <v>#N/A</v>
      </c>
      <c r="W105" s="3" t="e">
        <v>#N/A</v>
      </c>
      <c r="X105" s="3" t="e">
        <v>#N/A</v>
      </c>
      <c r="Y105" s="3" t="e">
        <v>#N/A</v>
      </c>
      <c r="Z105" s="3" t="e">
        <v>#N/A</v>
      </c>
      <c r="AA105" s="3" t="e">
        <v>#N/A</v>
      </c>
      <c r="AB105" s="3" t="e">
        <v>#N/A</v>
      </c>
      <c r="AC105" s="3" t="e">
        <v>#N/A</v>
      </c>
      <c r="AD105" s="3" t="e">
        <v>#N/A</v>
      </c>
      <c r="AE105" s="3" t="e">
        <v>#N/A</v>
      </c>
      <c r="AF105" s="3" t="e">
        <v>#N/A</v>
      </c>
      <c r="AG105" s="3" t="e">
        <v>#N/A</v>
      </c>
      <c r="AH105" s="3" t="e">
        <v>#N/A</v>
      </c>
      <c r="AI105" s="3" t="e">
        <v>#N/A</v>
      </c>
      <c r="AJ105" s="3" t="e">
        <v>#N/A</v>
      </c>
      <c r="AK105" s="3" t="e">
        <v>#N/A</v>
      </c>
      <c r="AL105" s="3" t="e">
        <v>#N/A</v>
      </c>
      <c r="AM105" s="3" t="e">
        <v>#N/A</v>
      </c>
      <c r="AN105" s="3" t="e">
        <v>#N/A</v>
      </c>
      <c r="AO105" s="3" t="e">
        <v>#N/A</v>
      </c>
      <c r="AP105" s="3" t="e">
        <v>#N/A</v>
      </c>
      <c r="AR105" s="3" t="e">
        <f t="shared" si="9"/>
        <v>#N/A</v>
      </c>
      <c r="AS105" s="3" t="e">
        <f t="shared" si="9"/>
        <v>#N/A</v>
      </c>
      <c r="AT105" s="3" t="e">
        <f t="shared" si="9"/>
        <v>#N/A</v>
      </c>
      <c r="AU105" s="3" t="e">
        <f t="shared" si="10"/>
        <v>#N/A</v>
      </c>
      <c r="AV105" s="3" t="e">
        <f t="shared" si="11"/>
        <v>#N/A</v>
      </c>
      <c r="AW105" s="3" t="e">
        <f t="shared" si="12"/>
        <v>#N/A</v>
      </c>
      <c r="AX105" s="3" t="e">
        <f t="shared" si="13"/>
        <v>#N/A</v>
      </c>
      <c r="AY105" s="3" t="e">
        <f t="shared" si="14"/>
        <v>#N/A</v>
      </c>
      <c r="AZ105" s="3" t="e">
        <f t="shared" si="15"/>
        <v>#N/A</v>
      </c>
      <c r="BA105" s="3" t="e">
        <f t="shared" si="16"/>
        <v>#N/A</v>
      </c>
      <c r="BB105" s="3" t="e">
        <f t="shared" si="17"/>
        <v>#N/A</v>
      </c>
    </row>
    <row r="106" spans="1:54" x14ac:dyDescent="0.25">
      <c r="A106" t="s">
        <v>717</v>
      </c>
      <c r="B106" s="21">
        <v>6.93</v>
      </c>
      <c r="C106" s="21">
        <v>5.8</v>
      </c>
      <c r="D106" s="35">
        <v>5.25</v>
      </c>
      <c r="E106" s="3" t="e">
        <v>#N/A</v>
      </c>
      <c r="F106" s="3" t="e">
        <v>#N/A</v>
      </c>
      <c r="G106" s="3">
        <v>242625</v>
      </c>
      <c r="H106" s="3">
        <v>244756</v>
      </c>
      <c r="I106" s="4" t="e">
        <v>#N/A</v>
      </c>
      <c r="J106" s="3"/>
      <c r="K106" s="3" t="e">
        <v>#N/A</v>
      </c>
      <c r="L106" s="3" t="e">
        <v>#N/A</v>
      </c>
      <c r="M106" s="3" t="e">
        <v>#N/A</v>
      </c>
      <c r="N106" s="3" t="e">
        <v>#N/A</v>
      </c>
      <c r="O106" s="3" t="e">
        <v>#N/A</v>
      </c>
      <c r="P106" s="3" t="e">
        <v>#N/A</v>
      </c>
      <c r="Q106" s="3" t="e">
        <v>#N/A</v>
      </c>
      <c r="R106" s="3" t="e">
        <v>#N/A</v>
      </c>
      <c r="S106" s="3" t="e">
        <v>#N/A</v>
      </c>
      <c r="T106" s="3" t="e">
        <v>#N/A</v>
      </c>
      <c r="U106" s="3" t="e">
        <v>#N/A</v>
      </c>
      <c r="V106" s="3" t="e">
        <v>#N/A</v>
      </c>
      <c r="W106" s="3" t="e">
        <v>#N/A</v>
      </c>
      <c r="X106" s="3" t="e">
        <v>#N/A</v>
      </c>
      <c r="Y106" s="3" t="e">
        <v>#N/A</v>
      </c>
      <c r="Z106" s="3" t="e">
        <v>#N/A</v>
      </c>
      <c r="AA106" s="3" t="e">
        <v>#N/A</v>
      </c>
      <c r="AB106" s="3" t="e">
        <v>#N/A</v>
      </c>
      <c r="AC106" s="3" t="e">
        <v>#N/A</v>
      </c>
      <c r="AD106" s="3" t="e">
        <v>#N/A</v>
      </c>
      <c r="AE106" s="3" t="e">
        <v>#N/A</v>
      </c>
      <c r="AF106" s="3" t="e">
        <v>#N/A</v>
      </c>
      <c r="AG106" s="3" t="e">
        <v>#N/A</v>
      </c>
      <c r="AH106" s="3" t="e">
        <v>#N/A</v>
      </c>
      <c r="AI106" s="3" t="e">
        <v>#N/A</v>
      </c>
      <c r="AJ106" s="3" t="e">
        <v>#N/A</v>
      </c>
      <c r="AK106" s="3" t="e">
        <v>#N/A</v>
      </c>
      <c r="AL106" s="3" t="e">
        <v>#N/A</v>
      </c>
      <c r="AM106" s="3" t="e">
        <v>#N/A</v>
      </c>
      <c r="AN106" s="3" t="e">
        <v>#N/A</v>
      </c>
      <c r="AO106" s="3" t="e">
        <v>#N/A</v>
      </c>
      <c r="AP106" s="3" t="e">
        <v>#N/A</v>
      </c>
      <c r="AR106" s="3" t="e">
        <f t="shared" si="9"/>
        <v>#N/A</v>
      </c>
      <c r="AS106" s="3" t="e">
        <f t="shared" si="9"/>
        <v>#N/A</v>
      </c>
      <c r="AT106" s="3" t="e">
        <f t="shared" si="9"/>
        <v>#N/A</v>
      </c>
      <c r="AU106" s="3" t="e">
        <f t="shared" si="10"/>
        <v>#N/A</v>
      </c>
      <c r="AV106" s="3" t="e">
        <f t="shared" si="11"/>
        <v>#N/A</v>
      </c>
      <c r="AW106" s="3" t="e">
        <f t="shared" si="12"/>
        <v>#N/A</v>
      </c>
      <c r="AX106" s="3" t="e">
        <f t="shared" si="13"/>
        <v>#N/A</v>
      </c>
      <c r="AY106" s="3" t="e">
        <f t="shared" si="14"/>
        <v>#N/A</v>
      </c>
      <c r="AZ106" s="3" t="e">
        <f t="shared" si="15"/>
        <v>#N/A</v>
      </c>
      <c r="BA106" s="3" t="e">
        <f t="shared" si="16"/>
        <v>#N/A</v>
      </c>
      <c r="BB106" s="3" t="e">
        <f t="shared" si="17"/>
        <v>#N/A</v>
      </c>
    </row>
    <row r="107" spans="1:54" x14ac:dyDescent="0.25">
      <c r="A107" t="s">
        <v>718</v>
      </c>
      <c r="B107" s="21">
        <v>6.9</v>
      </c>
      <c r="C107" s="21">
        <v>5.8</v>
      </c>
      <c r="D107" s="35">
        <v>5.0795454545454541</v>
      </c>
      <c r="E107" s="3" t="e">
        <v>#N/A</v>
      </c>
      <c r="F107" s="3" t="e">
        <v>#N/A</v>
      </c>
      <c r="G107" s="3">
        <v>239569</v>
      </c>
      <c r="H107" s="3">
        <v>238141</v>
      </c>
      <c r="I107" s="4" t="e">
        <v>#N/A</v>
      </c>
      <c r="J107" s="3"/>
      <c r="K107" s="3" t="e">
        <v>#N/A</v>
      </c>
      <c r="L107" s="3" t="e">
        <v>#N/A</v>
      </c>
      <c r="M107" s="3" t="e">
        <v>#N/A</v>
      </c>
      <c r="N107" s="3" t="e">
        <v>#N/A</v>
      </c>
      <c r="O107" s="3" t="e">
        <v>#N/A</v>
      </c>
      <c r="P107" s="3" t="e">
        <v>#N/A</v>
      </c>
      <c r="Q107" s="3" t="e">
        <v>#N/A</v>
      </c>
      <c r="R107" s="3" t="e">
        <v>#N/A</v>
      </c>
      <c r="S107" s="3" t="e">
        <v>#N/A</v>
      </c>
      <c r="T107" s="3" t="e">
        <v>#N/A</v>
      </c>
      <c r="U107" s="3" t="e">
        <v>#N/A</v>
      </c>
      <c r="V107" s="3" t="e">
        <v>#N/A</v>
      </c>
      <c r="W107" s="3" t="e">
        <v>#N/A</v>
      </c>
      <c r="X107" s="3" t="e">
        <v>#N/A</v>
      </c>
      <c r="Y107" s="3" t="e">
        <v>#N/A</v>
      </c>
      <c r="Z107" s="3" t="e">
        <v>#N/A</v>
      </c>
      <c r="AA107" s="3" t="e">
        <v>#N/A</v>
      </c>
      <c r="AB107" s="3" t="e">
        <v>#N/A</v>
      </c>
      <c r="AC107" s="3" t="e">
        <v>#N/A</v>
      </c>
      <c r="AD107" s="3" t="e">
        <v>#N/A</v>
      </c>
      <c r="AE107" s="3" t="e">
        <v>#N/A</v>
      </c>
      <c r="AF107" s="3" t="e">
        <v>#N/A</v>
      </c>
      <c r="AG107" s="3" t="e">
        <v>#N/A</v>
      </c>
      <c r="AH107" s="3" t="e">
        <v>#N/A</v>
      </c>
      <c r="AI107" s="3" t="e">
        <v>#N/A</v>
      </c>
      <c r="AJ107" s="3" t="e">
        <v>#N/A</v>
      </c>
      <c r="AK107" s="3" t="e">
        <v>#N/A</v>
      </c>
      <c r="AL107" s="3" t="e">
        <v>#N/A</v>
      </c>
      <c r="AM107" s="3" t="e">
        <v>#N/A</v>
      </c>
      <c r="AN107" s="3" t="e">
        <v>#N/A</v>
      </c>
      <c r="AO107" s="3" t="e">
        <v>#N/A</v>
      </c>
      <c r="AP107" s="3" t="e">
        <v>#N/A</v>
      </c>
      <c r="AR107" s="3" t="e">
        <f t="shared" si="9"/>
        <v>#N/A</v>
      </c>
      <c r="AS107" s="3" t="e">
        <f t="shared" si="9"/>
        <v>#N/A</v>
      </c>
      <c r="AT107" s="3" t="e">
        <f t="shared" si="9"/>
        <v>#N/A</v>
      </c>
      <c r="AU107" s="3" t="e">
        <f t="shared" si="10"/>
        <v>#N/A</v>
      </c>
      <c r="AV107" s="3" t="e">
        <f t="shared" si="11"/>
        <v>#N/A</v>
      </c>
      <c r="AW107" s="3" t="e">
        <f t="shared" si="12"/>
        <v>#N/A</v>
      </c>
      <c r="AX107" s="3" t="e">
        <f t="shared" si="13"/>
        <v>#N/A</v>
      </c>
      <c r="AY107" s="3" t="e">
        <f t="shared" si="14"/>
        <v>#N/A</v>
      </c>
      <c r="AZ107" s="3" t="e">
        <f t="shared" si="15"/>
        <v>#N/A</v>
      </c>
      <c r="BA107" s="3" t="e">
        <f t="shared" si="16"/>
        <v>#N/A</v>
      </c>
      <c r="BB107" s="3" t="e">
        <f t="shared" si="17"/>
        <v>#N/A</v>
      </c>
    </row>
    <row r="108" spans="1:54" x14ac:dyDescent="0.25">
      <c r="A108" t="s">
        <v>719</v>
      </c>
      <c r="B108" s="21">
        <v>6.86</v>
      </c>
      <c r="C108" s="21">
        <v>5.73</v>
      </c>
      <c r="D108" s="35">
        <v>5</v>
      </c>
      <c r="E108" s="3" t="e">
        <v>#N/A</v>
      </c>
      <c r="F108" s="3" t="e">
        <v>#N/A</v>
      </c>
      <c r="G108" s="3">
        <v>239367</v>
      </c>
      <c r="H108" s="3">
        <v>239761</v>
      </c>
      <c r="I108" s="4" t="e">
        <v>#N/A</v>
      </c>
      <c r="J108" s="3"/>
      <c r="K108" s="3" t="e">
        <v>#N/A</v>
      </c>
      <c r="L108" s="3" t="e">
        <v>#N/A</v>
      </c>
      <c r="M108" s="3" t="e">
        <v>#N/A</v>
      </c>
      <c r="N108" s="3" t="e">
        <v>#N/A</v>
      </c>
      <c r="O108" s="3" t="e">
        <v>#N/A</v>
      </c>
      <c r="P108" s="3" t="e">
        <v>#N/A</v>
      </c>
      <c r="Q108" s="3" t="e">
        <v>#N/A</v>
      </c>
      <c r="R108" s="3" t="e">
        <v>#N/A</v>
      </c>
      <c r="S108" s="3" t="e">
        <v>#N/A</v>
      </c>
      <c r="T108" s="3" t="e">
        <v>#N/A</v>
      </c>
      <c r="U108" s="3" t="e">
        <v>#N/A</v>
      </c>
      <c r="V108" s="3" t="e">
        <v>#N/A</v>
      </c>
      <c r="W108" s="3" t="e">
        <v>#N/A</v>
      </c>
      <c r="X108" s="3" t="e">
        <v>#N/A</v>
      </c>
      <c r="Y108" s="3" t="e">
        <v>#N/A</v>
      </c>
      <c r="Z108" s="3" t="e">
        <v>#N/A</v>
      </c>
      <c r="AA108" s="3" t="e">
        <v>#N/A</v>
      </c>
      <c r="AB108" s="3" t="e">
        <v>#N/A</v>
      </c>
      <c r="AC108" s="3" t="e">
        <v>#N/A</v>
      </c>
      <c r="AD108" s="3" t="e">
        <v>#N/A</v>
      </c>
      <c r="AE108" s="3" t="e">
        <v>#N/A</v>
      </c>
      <c r="AF108" s="3" t="e">
        <v>#N/A</v>
      </c>
      <c r="AG108" s="3" t="e">
        <v>#N/A</v>
      </c>
      <c r="AH108" s="3" t="e">
        <v>#N/A</v>
      </c>
      <c r="AI108" s="3" t="e">
        <v>#N/A</v>
      </c>
      <c r="AJ108" s="3" t="e">
        <v>#N/A</v>
      </c>
      <c r="AK108" s="3" t="e">
        <v>#N/A</v>
      </c>
      <c r="AL108" s="3" t="e">
        <v>#N/A</v>
      </c>
      <c r="AM108" s="3" t="e">
        <v>#N/A</v>
      </c>
      <c r="AN108" s="3" t="e">
        <v>#N/A</v>
      </c>
      <c r="AO108" s="3" t="e">
        <v>#N/A</v>
      </c>
      <c r="AP108" s="3" t="e">
        <v>#N/A</v>
      </c>
      <c r="AR108" s="3" t="e">
        <f t="shared" si="9"/>
        <v>#N/A</v>
      </c>
      <c r="AS108" s="3" t="e">
        <f t="shared" si="9"/>
        <v>#N/A</v>
      </c>
      <c r="AT108" s="3" t="e">
        <f t="shared" si="9"/>
        <v>#N/A</v>
      </c>
      <c r="AU108" s="3" t="e">
        <f t="shared" si="10"/>
        <v>#N/A</v>
      </c>
      <c r="AV108" s="3" t="e">
        <f t="shared" si="11"/>
        <v>#N/A</v>
      </c>
      <c r="AW108" s="3" t="e">
        <f t="shared" si="12"/>
        <v>#N/A</v>
      </c>
      <c r="AX108" s="3" t="e">
        <f t="shared" si="13"/>
        <v>#N/A</v>
      </c>
      <c r="AY108" s="3" t="e">
        <f t="shared" si="14"/>
        <v>#N/A</v>
      </c>
      <c r="AZ108" s="3" t="e">
        <f t="shared" si="15"/>
        <v>#N/A</v>
      </c>
      <c r="BA108" s="3" t="e">
        <f t="shared" si="16"/>
        <v>#N/A</v>
      </c>
      <c r="BB108" s="3" t="e">
        <f t="shared" si="17"/>
        <v>#N/A</v>
      </c>
    </row>
    <row r="109" spans="1:54" x14ac:dyDescent="0.25">
      <c r="A109" t="s">
        <v>720</v>
      </c>
      <c r="B109" s="21">
        <v>6.85</v>
      </c>
      <c r="C109" s="21">
        <v>5.76</v>
      </c>
      <c r="D109" s="35">
        <v>5</v>
      </c>
      <c r="E109" s="3" t="e">
        <v>#N/A</v>
      </c>
      <c r="F109" s="3" t="e">
        <v>#N/A</v>
      </c>
      <c r="G109" s="3">
        <v>238563</v>
      </c>
      <c r="H109" s="3">
        <v>243139</v>
      </c>
      <c r="I109" s="4" t="e">
        <v>#N/A</v>
      </c>
      <c r="J109" s="3"/>
      <c r="K109" s="3" t="e">
        <v>#N/A</v>
      </c>
      <c r="L109" s="3" t="e">
        <v>#N/A</v>
      </c>
      <c r="M109" s="3" t="e">
        <v>#N/A</v>
      </c>
      <c r="N109" s="3" t="e">
        <v>#N/A</v>
      </c>
      <c r="O109" s="3" t="e">
        <v>#N/A</v>
      </c>
      <c r="P109" s="3" t="e">
        <v>#N/A</v>
      </c>
      <c r="Q109" s="3" t="e">
        <v>#N/A</v>
      </c>
      <c r="R109" s="3" t="e">
        <v>#N/A</v>
      </c>
      <c r="S109" s="3" t="e">
        <v>#N/A</v>
      </c>
      <c r="T109" s="3" t="e">
        <v>#N/A</v>
      </c>
      <c r="U109" s="3" t="e">
        <v>#N/A</v>
      </c>
      <c r="V109" s="3" t="e">
        <v>#N/A</v>
      </c>
      <c r="W109" s="3" t="e">
        <v>#N/A</v>
      </c>
      <c r="X109" s="3" t="e">
        <v>#N/A</v>
      </c>
      <c r="Y109" s="3" t="e">
        <v>#N/A</v>
      </c>
      <c r="Z109" s="3" t="e">
        <v>#N/A</v>
      </c>
      <c r="AA109" s="3" t="e">
        <v>#N/A</v>
      </c>
      <c r="AB109" s="3" t="e">
        <v>#N/A</v>
      </c>
      <c r="AC109" s="3" t="e">
        <v>#N/A</v>
      </c>
      <c r="AD109" s="3" t="e">
        <v>#N/A</v>
      </c>
      <c r="AE109" s="3" t="e">
        <v>#N/A</v>
      </c>
      <c r="AF109" s="3" t="e">
        <v>#N/A</v>
      </c>
      <c r="AG109" s="3" t="e">
        <v>#N/A</v>
      </c>
      <c r="AH109" s="3" t="e">
        <v>#N/A</v>
      </c>
      <c r="AI109" s="3" t="e">
        <v>#N/A</v>
      </c>
      <c r="AJ109" s="3" t="e">
        <v>#N/A</v>
      </c>
      <c r="AK109" s="3" t="e">
        <v>#N/A</v>
      </c>
      <c r="AL109" s="3" t="e">
        <v>#N/A</v>
      </c>
      <c r="AM109" s="3" t="e">
        <v>#N/A</v>
      </c>
      <c r="AN109" s="3" t="e">
        <v>#N/A</v>
      </c>
      <c r="AO109" s="3" t="e">
        <v>#N/A</v>
      </c>
      <c r="AP109" s="3" t="e">
        <v>#N/A</v>
      </c>
      <c r="AR109" s="3" t="e">
        <f t="shared" si="9"/>
        <v>#N/A</v>
      </c>
      <c r="AS109" s="3" t="e">
        <f t="shared" si="9"/>
        <v>#N/A</v>
      </c>
      <c r="AT109" s="3" t="e">
        <f t="shared" si="9"/>
        <v>#N/A</v>
      </c>
      <c r="AU109" s="3" t="e">
        <f t="shared" si="10"/>
        <v>#N/A</v>
      </c>
      <c r="AV109" s="3" t="e">
        <f t="shared" si="11"/>
        <v>#N/A</v>
      </c>
      <c r="AW109" s="3" t="e">
        <f t="shared" si="12"/>
        <v>#N/A</v>
      </c>
      <c r="AX109" s="3" t="e">
        <f t="shared" si="13"/>
        <v>#N/A</v>
      </c>
      <c r="AY109" s="3" t="e">
        <f t="shared" si="14"/>
        <v>#N/A</v>
      </c>
      <c r="AZ109" s="3" t="e">
        <f t="shared" si="15"/>
        <v>#N/A</v>
      </c>
      <c r="BA109" s="3" t="e">
        <f t="shared" si="16"/>
        <v>#N/A</v>
      </c>
      <c r="BB109" s="3" t="e">
        <f t="shared" si="17"/>
        <v>#N/A</v>
      </c>
    </row>
    <row r="110" spans="1:54" x14ac:dyDescent="0.25">
      <c r="A110" t="s">
        <v>721</v>
      </c>
      <c r="B110" s="21">
        <v>6.81</v>
      </c>
      <c r="C110" s="21">
        <v>5.79</v>
      </c>
      <c r="D110" s="35">
        <v>5</v>
      </c>
      <c r="E110" s="3" t="e">
        <v>#N/A</v>
      </c>
      <c r="F110" s="3" t="e">
        <v>#N/A</v>
      </c>
      <c r="G110" s="3">
        <v>237088</v>
      </c>
      <c r="H110" s="3">
        <v>238001</v>
      </c>
      <c r="I110" s="4" t="e">
        <v>#N/A</v>
      </c>
      <c r="J110" s="3"/>
      <c r="K110" s="3" t="e">
        <v>#N/A</v>
      </c>
      <c r="L110" s="3" t="e">
        <v>#N/A</v>
      </c>
      <c r="M110" s="3" t="e">
        <v>#N/A</v>
      </c>
      <c r="N110" s="3" t="e">
        <v>#N/A</v>
      </c>
      <c r="O110" s="3" t="e">
        <v>#N/A</v>
      </c>
      <c r="P110" s="3" t="e">
        <v>#N/A</v>
      </c>
      <c r="Q110" s="3" t="e">
        <v>#N/A</v>
      </c>
      <c r="R110" s="3" t="e">
        <v>#N/A</v>
      </c>
      <c r="S110" s="3" t="e">
        <v>#N/A</v>
      </c>
      <c r="T110" s="3" t="e">
        <v>#N/A</v>
      </c>
      <c r="U110" s="3" t="e">
        <v>#N/A</v>
      </c>
      <c r="V110" s="3" t="e">
        <v>#N/A</v>
      </c>
      <c r="W110" s="3" t="e">
        <v>#N/A</v>
      </c>
      <c r="X110" s="3" t="e">
        <v>#N/A</v>
      </c>
      <c r="Y110" s="3" t="e">
        <v>#N/A</v>
      </c>
      <c r="Z110" s="3" t="e">
        <v>#N/A</v>
      </c>
      <c r="AA110" s="3" t="e">
        <v>#N/A</v>
      </c>
      <c r="AB110" s="3" t="e">
        <v>#N/A</v>
      </c>
      <c r="AC110" s="3" t="e">
        <v>#N/A</v>
      </c>
      <c r="AD110" s="3" t="e">
        <v>#N/A</v>
      </c>
      <c r="AE110" s="3" t="e">
        <v>#N/A</v>
      </c>
      <c r="AF110" s="3" t="e">
        <v>#N/A</v>
      </c>
      <c r="AG110" s="3" t="e">
        <v>#N/A</v>
      </c>
      <c r="AH110" s="3" t="e">
        <v>#N/A</v>
      </c>
      <c r="AI110" s="3" t="e">
        <v>#N/A</v>
      </c>
      <c r="AJ110" s="3" t="e">
        <v>#N/A</v>
      </c>
      <c r="AK110" s="3" t="e">
        <v>#N/A</v>
      </c>
      <c r="AL110" s="3" t="e">
        <v>#N/A</v>
      </c>
      <c r="AM110" s="3" t="e">
        <v>#N/A</v>
      </c>
      <c r="AN110" s="3" t="e">
        <v>#N/A</v>
      </c>
      <c r="AO110" s="3" t="e">
        <v>#N/A</v>
      </c>
      <c r="AP110" s="3" t="e">
        <v>#N/A</v>
      </c>
      <c r="AR110" s="3" t="e">
        <f t="shared" si="9"/>
        <v>#N/A</v>
      </c>
      <c r="AS110" s="3" t="e">
        <f t="shared" si="9"/>
        <v>#N/A</v>
      </c>
      <c r="AT110" s="3" t="e">
        <f t="shared" si="9"/>
        <v>#N/A</v>
      </c>
      <c r="AU110" s="3" t="e">
        <f t="shared" si="10"/>
        <v>#N/A</v>
      </c>
      <c r="AV110" s="3" t="e">
        <f t="shared" si="11"/>
        <v>#N/A</v>
      </c>
      <c r="AW110" s="3" t="e">
        <f t="shared" si="12"/>
        <v>#N/A</v>
      </c>
      <c r="AX110" s="3" t="e">
        <f t="shared" si="13"/>
        <v>#N/A</v>
      </c>
      <c r="AY110" s="3" t="e">
        <f t="shared" si="14"/>
        <v>#N/A</v>
      </c>
      <c r="AZ110" s="3" t="e">
        <f t="shared" si="15"/>
        <v>#N/A</v>
      </c>
      <c r="BA110" s="3" t="e">
        <f t="shared" si="16"/>
        <v>#N/A</v>
      </c>
      <c r="BB110" s="3" t="e">
        <f t="shared" si="17"/>
        <v>#N/A</v>
      </c>
    </row>
    <row r="111" spans="1:54" x14ac:dyDescent="0.25">
      <c r="A111" t="s">
        <v>722</v>
      </c>
      <c r="B111" s="21">
        <v>6.8</v>
      </c>
      <c r="C111" s="21">
        <v>5.79</v>
      </c>
      <c r="D111" s="35">
        <v>5</v>
      </c>
      <c r="E111" s="3" t="e">
        <v>#N/A</v>
      </c>
      <c r="F111" s="3" t="e">
        <v>#N/A</v>
      </c>
      <c r="G111" s="3">
        <v>236711</v>
      </c>
      <c r="H111" s="3">
        <v>234008</v>
      </c>
      <c r="I111" s="4" t="e">
        <v>#N/A</v>
      </c>
      <c r="J111" s="3"/>
      <c r="K111" s="3" t="e">
        <v>#N/A</v>
      </c>
      <c r="L111" s="3" t="e">
        <v>#N/A</v>
      </c>
      <c r="M111" s="3" t="e">
        <v>#N/A</v>
      </c>
      <c r="N111" s="3" t="e">
        <v>#N/A</v>
      </c>
      <c r="O111" s="3" t="e">
        <v>#N/A</v>
      </c>
      <c r="P111" s="3" t="e">
        <v>#N/A</v>
      </c>
      <c r="Q111" s="3" t="e">
        <v>#N/A</v>
      </c>
      <c r="R111" s="3" t="e">
        <v>#N/A</v>
      </c>
      <c r="S111" s="3" t="e">
        <v>#N/A</v>
      </c>
      <c r="T111" s="3" t="e">
        <v>#N/A</v>
      </c>
      <c r="U111" s="3" t="e">
        <v>#N/A</v>
      </c>
      <c r="V111" s="3" t="e">
        <v>#N/A</v>
      </c>
      <c r="W111" s="3" t="e">
        <v>#N/A</v>
      </c>
      <c r="X111" s="3" t="e">
        <v>#N/A</v>
      </c>
      <c r="Y111" s="3" t="e">
        <v>#N/A</v>
      </c>
      <c r="Z111" s="3" t="e">
        <v>#N/A</v>
      </c>
      <c r="AA111" s="3" t="e">
        <v>#N/A</v>
      </c>
      <c r="AB111" s="3" t="e">
        <v>#N/A</v>
      </c>
      <c r="AC111" s="3" t="e">
        <v>#N/A</v>
      </c>
      <c r="AD111" s="3" t="e">
        <v>#N/A</v>
      </c>
      <c r="AE111" s="3" t="e">
        <v>#N/A</v>
      </c>
      <c r="AF111" s="3" t="e">
        <v>#N/A</v>
      </c>
      <c r="AG111" s="3" t="e">
        <v>#N/A</v>
      </c>
      <c r="AH111" s="3" t="e">
        <v>#N/A</v>
      </c>
      <c r="AI111" s="3" t="e">
        <v>#N/A</v>
      </c>
      <c r="AJ111" s="3" t="e">
        <v>#N/A</v>
      </c>
      <c r="AK111" s="3" t="e">
        <v>#N/A</v>
      </c>
      <c r="AL111" s="3" t="e">
        <v>#N/A</v>
      </c>
      <c r="AM111" s="3" t="e">
        <v>#N/A</v>
      </c>
      <c r="AN111" s="3" t="e">
        <v>#N/A</v>
      </c>
      <c r="AO111" s="3" t="e">
        <v>#N/A</v>
      </c>
      <c r="AP111" s="3" t="e">
        <v>#N/A</v>
      </c>
      <c r="AR111" s="3" t="e">
        <f t="shared" si="9"/>
        <v>#N/A</v>
      </c>
      <c r="AS111" s="3" t="e">
        <f t="shared" si="9"/>
        <v>#N/A</v>
      </c>
      <c r="AT111" s="3" t="e">
        <f t="shared" si="9"/>
        <v>#N/A</v>
      </c>
      <c r="AU111" s="3" t="e">
        <f t="shared" si="10"/>
        <v>#N/A</v>
      </c>
      <c r="AV111" s="3" t="e">
        <f t="shared" si="11"/>
        <v>#N/A</v>
      </c>
      <c r="AW111" s="3" t="e">
        <f t="shared" si="12"/>
        <v>#N/A</v>
      </c>
      <c r="AX111" s="3" t="e">
        <f t="shared" si="13"/>
        <v>#N/A</v>
      </c>
      <c r="AY111" s="3" t="e">
        <f t="shared" si="14"/>
        <v>#N/A</v>
      </c>
      <c r="AZ111" s="3" t="e">
        <f t="shared" si="15"/>
        <v>#N/A</v>
      </c>
      <c r="BA111" s="3" t="e">
        <f t="shared" si="16"/>
        <v>#N/A</v>
      </c>
      <c r="BB111" s="3" t="e">
        <f t="shared" si="17"/>
        <v>#N/A</v>
      </c>
    </row>
    <row r="112" spans="1:54" x14ac:dyDescent="0.25">
      <c r="A112" t="s">
        <v>723</v>
      </c>
      <c r="B112" s="21">
        <v>6.84</v>
      </c>
      <c r="C112" s="21">
        <v>5.81</v>
      </c>
      <c r="D112" s="35">
        <v>5</v>
      </c>
      <c r="E112" s="3" t="e">
        <v>#N/A</v>
      </c>
      <c r="F112" s="3" t="e">
        <v>#N/A</v>
      </c>
      <c r="G112" s="3">
        <v>234966</v>
      </c>
      <c r="H112" s="3">
        <v>235440</v>
      </c>
      <c r="I112" s="4" t="e">
        <v>#N/A</v>
      </c>
      <c r="J112" s="3"/>
      <c r="K112" s="3" t="e">
        <v>#N/A</v>
      </c>
      <c r="L112" s="3" t="e">
        <v>#N/A</v>
      </c>
      <c r="M112" s="3" t="e">
        <v>#N/A</v>
      </c>
      <c r="N112" s="3" t="e">
        <v>#N/A</v>
      </c>
      <c r="O112" s="3" t="e">
        <v>#N/A</v>
      </c>
      <c r="P112" s="3" t="e">
        <v>#N/A</v>
      </c>
      <c r="Q112" s="3" t="e">
        <v>#N/A</v>
      </c>
      <c r="R112" s="3" t="e">
        <v>#N/A</v>
      </c>
      <c r="S112" s="3" t="e">
        <v>#N/A</v>
      </c>
      <c r="T112" s="3" t="e">
        <v>#N/A</v>
      </c>
      <c r="U112" s="3" t="e">
        <v>#N/A</v>
      </c>
      <c r="V112" s="3" t="e">
        <v>#N/A</v>
      </c>
      <c r="W112" s="3" t="e">
        <v>#N/A</v>
      </c>
      <c r="X112" s="3" t="e">
        <v>#N/A</v>
      </c>
      <c r="Y112" s="3" t="e">
        <v>#N/A</v>
      </c>
      <c r="Z112" s="3" t="e">
        <v>#N/A</v>
      </c>
      <c r="AA112" s="3" t="e">
        <v>#N/A</v>
      </c>
      <c r="AB112" s="3" t="e">
        <v>#N/A</v>
      </c>
      <c r="AC112" s="3" t="e">
        <v>#N/A</v>
      </c>
      <c r="AD112" s="3" t="e">
        <v>#N/A</v>
      </c>
      <c r="AE112" s="3" t="e">
        <v>#N/A</v>
      </c>
      <c r="AF112" s="3" t="e">
        <v>#N/A</v>
      </c>
      <c r="AG112" s="3" t="e">
        <v>#N/A</v>
      </c>
      <c r="AH112" s="3" t="e">
        <v>#N/A</v>
      </c>
      <c r="AI112" s="3" t="e">
        <v>#N/A</v>
      </c>
      <c r="AJ112" s="3" t="e">
        <v>#N/A</v>
      </c>
      <c r="AK112" s="3" t="e">
        <v>#N/A</v>
      </c>
      <c r="AL112" s="3" t="e">
        <v>#N/A</v>
      </c>
      <c r="AM112" s="3" t="e">
        <v>#N/A</v>
      </c>
      <c r="AN112" s="3" t="e">
        <v>#N/A</v>
      </c>
      <c r="AO112" s="3" t="e">
        <v>#N/A</v>
      </c>
      <c r="AP112" s="3" t="e">
        <v>#N/A</v>
      </c>
      <c r="AR112" s="3" t="e">
        <f t="shared" si="9"/>
        <v>#N/A</v>
      </c>
      <c r="AS112" s="3" t="e">
        <f t="shared" si="9"/>
        <v>#N/A</v>
      </c>
      <c r="AT112" s="3" t="e">
        <f t="shared" si="9"/>
        <v>#N/A</v>
      </c>
      <c r="AU112" s="3" t="e">
        <f t="shared" si="10"/>
        <v>#N/A</v>
      </c>
      <c r="AV112" s="3" t="e">
        <f t="shared" si="11"/>
        <v>#N/A</v>
      </c>
      <c r="AW112" s="3" t="e">
        <f t="shared" si="12"/>
        <v>#N/A</v>
      </c>
      <c r="AX112" s="3" t="e">
        <f t="shared" si="13"/>
        <v>#N/A</v>
      </c>
      <c r="AY112" s="3" t="e">
        <f t="shared" si="14"/>
        <v>#N/A</v>
      </c>
      <c r="AZ112" s="3" t="e">
        <f t="shared" si="15"/>
        <v>#N/A</v>
      </c>
      <c r="BA112" s="3" t="e">
        <f t="shared" si="16"/>
        <v>#N/A</v>
      </c>
      <c r="BB112" s="3" t="e">
        <f t="shared" si="17"/>
        <v>#N/A</v>
      </c>
    </row>
    <row r="113" spans="1:54" x14ac:dyDescent="0.25">
      <c r="A113" t="s">
        <v>724</v>
      </c>
      <c r="B113" s="21">
        <v>6.89</v>
      </c>
      <c r="C113" s="21">
        <v>5.82</v>
      </c>
      <c r="D113" s="35">
        <v>4.6086956521739131</v>
      </c>
      <c r="E113" s="3" t="e">
        <v>#N/A</v>
      </c>
      <c r="F113" s="3" t="e">
        <v>#N/A</v>
      </c>
      <c r="G113" s="3">
        <v>232475</v>
      </c>
      <c r="H113" s="3">
        <v>229359</v>
      </c>
      <c r="I113" s="4" t="e">
        <v>#N/A</v>
      </c>
      <c r="J113" s="3"/>
      <c r="K113" s="3" t="e">
        <v>#N/A</v>
      </c>
      <c r="L113" s="3" t="e">
        <v>#N/A</v>
      </c>
      <c r="M113" s="3" t="e">
        <v>#N/A</v>
      </c>
      <c r="N113" s="3" t="e">
        <v>#N/A</v>
      </c>
      <c r="O113" s="3" t="e">
        <v>#N/A</v>
      </c>
      <c r="P113" s="3" t="e">
        <v>#N/A</v>
      </c>
      <c r="Q113" s="3" t="e">
        <v>#N/A</v>
      </c>
      <c r="R113" s="3" t="e">
        <v>#N/A</v>
      </c>
      <c r="S113" s="3" t="e">
        <v>#N/A</v>
      </c>
      <c r="T113" s="3" t="e">
        <v>#N/A</v>
      </c>
      <c r="U113" s="3" t="e">
        <v>#N/A</v>
      </c>
      <c r="V113" s="3" t="e">
        <v>#N/A</v>
      </c>
      <c r="W113" s="3" t="e">
        <v>#N/A</v>
      </c>
      <c r="X113" s="3" t="e">
        <v>#N/A</v>
      </c>
      <c r="Y113" s="3" t="e">
        <v>#N/A</v>
      </c>
      <c r="Z113" s="3" t="e">
        <v>#N/A</v>
      </c>
      <c r="AA113" s="3" t="e">
        <v>#N/A</v>
      </c>
      <c r="AB113" s="3" t="e">
        <v>#N/A</v>
      </c>
      <c r="AC113" s="3" t="e">
        <v>#N/A</v>
      </c>
      <c r="AD113" s="3" t="e">
        <v>#N/A</v>
      </c>
      <c r="AE113" s="3" t="e">
        <v>#N/A</v>
      </c>
      <c r="AF113" s="3" t="e">
        <v>#N/A</v>
      </c>
      <c r="AG113" s="3" t="e">
        <v>#N/A</v>
      </c>
      <c r="AH113" s="3" t="e">
        <v>#N/A</v>
      </c>
      <c r="AI113" s="3" t="e">
        <v>#N/A</v>
      </c>
      <c r="AJ113" s="3" t="e">
        <v>#N/A</v>
      </c>
      <c r="AK113" s="3" t="e">
        <v>#N/A</v>
      </c>
      <c r="AL113" s="3" t="e">
        <v>#N/A</v>
      </c>
      <c r="AM113" s="3" t="e">
        <v>#N/A</v>
      </c>
      <c r="AN113" s="3" t="e">
        <v>#N/A</v>
      </c>
      <c r="AO113" s="3" t="e">
        <v>#N/A</v>
      </c>
      <c r="AP113" s="3" t="e">
        <v>#N/A</v>
      </c>
      <c r="AR113" s="3" t="e">
        <f t="shared" si="9"/>
        <v>#N/A</v>
      </c>
      <c r="AS113" s="3" t="e">
        <f t="shared" si="9"/>
        <v>#N/A</v>
      </c>
      <c r="AT113" s="3" t="e">
        <f t="shared" si="9"/>
        <v>#N/A</v>
      </c>
      <c r="AU113" s="3" t="e">
        <f t="shared" si="10"/>
        <v>#N/A</v>
      </c>
      <c r="AV113" s="3" t="e">
        <f t="shared" si="11"/>
        <v>#N/A</v>
      </c>
      <c r="AW113" s="3" t="e">
        <f t="shared" si="12"/>
        <v>#N/A</v>
      </c>
      <c r="AX113" s="3" t="e">
        <f t="shared" si="13"/>
        <v>#N/A</v>
      </c>
      <c r="AY113" s="3" t="e">
        <f t="shared" si="14"/>
        <v>#N/A</v>
      </c>
      <c r="AZ113" s="3" t="e">
        <f t="shared" si="15"/>
        <v>#N/A</v>
      </c>
      <c r="BA113" s="3" t="e">
        <f t="shared" si="16"/>
        <v>#N/A</v>
      </c>
      <c r="BB113" s="3" t="e">
        <f t="shared" si="17"/>
        <v>#N/A</v>
      </c>
    </row>
    <row r="114" spans="1:54" x14ac:dyDescent="0.25">
      <c r="A114" t="s">
        <v>725</v>
      </c>
      <c r="B114" s="21">
        <v>6.14</v>
      </c>
      <c r="C114" s="21">
        <v>5.54</v>
      </c>
      <c r="D114" s="35">
        <v>3.2250000000000001</v>
      </c>
      <c r="E114" s="3" t="e">
        <v>#N/A</v>
      </c>
      <c r="F114" s="3" t="e">
        <v>#N/A</v>
      </c>
      <c r="G114" s="3">
        <v>230010</v>
      </c>
      <c r="H114" s="3">
        <v>229348</v>
      </c>
      <c r="I114" s="4" t="e">
        <v>#N/A</v>
      </c>
      <c r="J114" s="3"/>
      <c r="K114" s="3" t="e">
        <v>#N/A</v>
      </c>
      <c r="L114" s="3" t="e">
        <v>#N/A</v>
      </c>
      <c r="M114" s="3" t="e">
        <v>#N/A</v>
      </c>
      <c r="N114" s="3" t="e">
        <v>#N/A</v>
      </c>
      <c r="O114" s="3" t="e">
        <v>#N/A</v>
      </c>
      <c r="P114" s="3" t="e">
        <v>#N/A</v>
      </c>
      <c r="Q114" s="3" t="e">
        <v>#N/A</v>
      </c>
      <c r="R114" s="3" t="e">
        <v>#N/A</v>
      </c>
      <c r="S114" s="3" t="e">
        <v>#N/A</v>
      </c>
      <c r="T114" s="3" t="e">
        <v>#N/A</v>
      </c>
      <c r="U114" s="3" t="e">
        <v>#N/A</v>
      </c>
      <c r="V114" s="3" t="e">
        <v>#N/A</v>
      </c>
      <c r="W114" s="3" t="e">
        <v>#N/A</v>
      </c>
      <c r="X114" s="3" t="e">
        <v>#N/A</v>
      </c>
      <c r="Y114" s="3" t="e">
        <v>#N/A</v>
      </c>
      <c r="Z114" s="3" t="e">
        <v>#N/A</v>
      </c>
      <c r="AA114" s="3" t="e">
        <v>#N/A</v>
      </c>
      <c r="AB114" s="3" t="e">
        <v>#N/A</v>
      </c>
      <c r="AC114" s="3" t="e">
        <v>#N/A</v>
      </c>
      <c r="AD114" s="3" t="e">
        <v>#N/A</v>
      </c>
      <c r="AE114" s="3" t="e">
        <v>#N/A</v>
      </c>
      <c r="AF114" s="3" t="e">
        <v>#N/A</v>
      </c>
      <c r="AG114" s="3" t="e">
        <v>#N/A</v>
      </c>
      <c r="AH114" s="3" t="e">
        <v>#N/A</v>
      </c>
      <c r="AI114" s="3" t="e">
        <v>#N/A</v>
      </c>
      <c r="AJ114" s="3" t="e">
        <v>#N/A</v>
      </c>
      <c r="AK114" s="3" t="e">
        <v>#N/A</v>
      </c>
      <c r="AL114" s="3" t="e">
        <v>#N/A</v>
      </c>
      <c r="AM114" s="3" t="e">
        <v>#N/A</v>
      </c>
      <c r="AN114" s="3" t="e">
        <v>#N/A</v>
      </c>
      <c r="AO114" s="3" t="e">
        <v>#N/A</v>
      </c>
      <c r="AP114" s="3" t="e">
        <v>#N/A</v>
      </c>
      <c r="AR114" s="3" t="e">
        <f t="shared" si="9"/>
        <v>#N/A</v>
      </c>
      <c r="AS114" s="3" t="e">
        <f t="shared" si="9"/>
        <v>#N/A</v>
      </c>
      <c r="AT114" s="3" t="e">
        <f t="shared" si="9"/>
        <v>#N/A</v>
      </c>
      <c r="AU114" s="3" t="e">
        <f t="shared" si="10"/>
        <v>#N/A</v>
      </c>
      <c r="AV114" s="3" t="e">
        <f t="shared" si="11"/>
        <v>#N/A</v>
      </c>
      <c r="AW114" s="3" t="e">
        <f t="shared" si="12"/>
        <v>#N/A</v>
      </c>
      <c r="AX114" s="3" t="e">
        <f t="shared" si="13"/>
        <v>#N/A</v>
      </c>
      <c r="AY114" s="3" t="e">
        <f t="shared" si="14"/>
        <v>#N/A</v>
      </c>
      <c r="AZ114" s="3" t="e">
        <f t="shared" si="15"/>
        <v>#N/A</v>
      </c>
      <c r="BA114" s="3" t="e">
        <f t="shared" si="16"/>
        <v>#N/A</v>
      </c>
      <c r="BB114" s="3" t="e">
        <f t="shared" si="17"/>
        <v>#N/A</v>
      </c>
    </row>
    <row r="115" spans="1:54" x14ac:dyDescent="0.25">
      <c r="A115" t="s">
        <v>726</v>
      </c>
      <c r="B115" s="21">
        <v>5.17</v>
      </c>
      <c r="C115" s="21">
        <v>4.8</v>
      </c>
      <c r="D115" s="35">
        <v>2.1304347826086958</v>
      </c>
      <c r="E115" s="3" t="e">
        <v>#N/A</v>
      </c>
      <c r="F115" s="3" t="e">
        <v>#N/A</v>
      </c>
      <c r="G115" s="3">
        <v>230985</v>
      </c>
      <c r="H115" s="3">
        <v>235662</v>
      </c>
      <c r="I115" s="4" t="e">
        <v>#N/A</v>
      </c>
      <c r="J115" s="3"/>
      <c r="K115" s="3" t="e">
        <v>#N/A</v>
      </c>
      <c r="L115" s="3" t="e">
        <v>#N/A</v>
      </c>
      <c r="M115" s="3" t="e">
        <v>#N/A</v>
      </c>
      <c r="N115" s="3" t="e">
        <v>#N/A</v>
      </c>
      <c r="O115" s="3" t="e">
        <v>#N/A</v>
      </c>
      <c r="P115" s="3" t="e">
        <v>#N/A</v>
      </c>
      <c r="Q115" s="3" t="e">
        <v>#N/A</v>
      </c>
      <c r="R115" s="3" t="e">
        <v>#N/A</v>
      </c>
      <c r="S115" s="3" t="e">
        <v>#N/A</v>
      </c>
      <c r="T115" s="3" t="e">
        <v>#N/A</v>
      </c>
      <c r="U115" s="3" t="e">
        <v>#N/A</v>
      </c>
      <c r="V115" s="3" t="e">
        <v>#N/A</v>
      </c>
      <c r="W115" s="3" t="e">
        <v>#N/A</v>
      </c>
      <c r="X115" s="3" t="e">
        <v>#N/A</v>
      </c>
      <c r="Y115" s="3" t="e">
        <v>#N/A</v>
      </c>
      <c r="Z115" s="3" t="e">
        <v>#N/A</v>
      </c>
      <c r="AA115" s="3" t="e">
        <v>#N/A</v>
      </c>
      <c r="AB115" s="3" t="e">
        <v>#N/A</v>
      </c>
      <c r="AC115" s="3" t="e">
        <v>#N/A</v>
      </c>
      <c r="AD115" s="3" t="e">
        <v>#N/A</v>
      </c>
      <c r="AE115" s="3" t="e">
        <v>#N/A</v>
      </c>
      <c r="AF115" s="3" t="e">
        <v>#N/A</v>
      </c>
      <c r="AG115" s="3" t="e">
        <v>#N/A</v>
      </c>
      <c r="AH115" s="3" t="e">
        <v>#N/A</v>
      </c>
      <c r="AI115" s="3" t="e">
        <v>#N/A</v>
      </c>
      <c r="AJ115" s="3" t="e">
        <v>#N/A</v>
      </c>
      <c r="AK115" s="3" t="e">
        <v>#N/A</v>
      </c>
      <c r="AL115" s="3" t="e">
        <v>#N/A</v>
      </c>
      <c r="AM115" s="3" t="e">
        <v>#N/A</v>
      </c>
      <c r="AN115" s="3" t="e">
        <v>#N/A</v>
      </c>
      <c r="AO115" s="3" t="e">
        <v>#N/A</v>
      </c>
      <c r="AP115" s="3" t="e">
        <v>#N/A</v>
      </c>
      <c r="AR115" s="3" t="e">
        <f t="shared" si="9"/>
        <v>#N/A</v>
      </c>
      <c r="AS115" s="3" t="e">
        <f t="shared" si="9"/>
        <v>#N/A</v>
      </c>
      <c r="AT115" s="3" t="e">
        <f t="shared" si="9"/>
        <v>#N/A</v>
      </c>
      <c r="AU115" s="3" t="e">
        <f t="shared" si="10"/>
        <v>#N/A</v>
      </c>
      <c r="AV115" s="3" t="e">
        <f t="shared" si="11"/>
        <v>#N/A</v>
      </c>
      <c r="AW115" s="3" t="e">
        <f t="shared" si="12"/>
        <v>#N/A</v>
      </c>
      <c r="AX115" s="3" t="e">
        <f t="shared" si="13"/>
        <v>#N/A</v>
      </c>
      <c r="AY115" s="3" t="e">
        <f t="shared" si="14"/>
        <v>#N/A</v>
      </c>
      <c r="AZ115" s="3" t="e">
        <f t="shared" si="15"/>
        <v>#N/A</v>
      </c>
      <c r="BA115" s="3" t="e">
        <f t="shared" si="16"/>
        <v>#N/A</v>
      </c>
      <c r="BB115" s="3" t="e">
        <f t="shared" si="17"/>
        <v>#N/A</v>
      </c>
    </row>
    <row r="116" spans="1:54" x14ac:dyDescent="0.25">
      <c r="A116" t="s">
        <v>727</v>
      </c>
      <c r="B116" s="21">
        <v>4.41</v>
      </c>
      <c r="C116" s="21">
        <v>4.32</v>
      </c>
      <c r="D116" s="35">
        <v>1.6136363636363635</v>
      </c>
      <c r="E116" s="3" t="e">
        <v>#N/A</v>
      </c>
      <c r="F116" s="3" t="e">
        <v>#N/A</v>
      </c>
      <c r="G116" s="3">
        <v>232643</v>
      </c>
      <c r="H116" s="3">
        <v>227158</v>
      </c>
      <c r="I116" s="4" t="e">
        <v>#N/A</v>
      </c>
      <c r="J116" s="3"/>
      <c r="K116" s="3" t="e">
        <v>#N/A</v>
      </c>
      <c r="L116" s="3" t="e">
        <v>#N/A</v>
      </c>
      <c r="M116" s="3" t="e">
        <v>#N/A</v>
      </c>
      <c r="N116" s="3" t="e">
        <v>#N/A</v>
      </c>
      <c r="O116" s="3" t="e">
        <v>#N/A</v>
      </c>
      <c r="P116" s="3" t="e">
        <v>#N/A</v>
      </c>
      <c r="Q116" s="3" t="e">
        <v>#N/A</v>
      </c>
      <c r="R116" s="3" t="e">
        <v>#N/A</v>
      </c>
      <c r="S116" s="3" t="e">
        <v>#N/A</v>
      </c>
      <c r="T116" s="3" t="e">
        <v>#N/A</v>
      </c>
      <c r="U116" s="3" t="e">
        <v>#N/A</v>
      </c>
      <c r="V116" s="3" t="e">
        <v>#N/A</v>
      </c>
      <c r="W116" s="3" t="e">
        <v>#N/A</v>
      </c>
      <c r="X116" s="3" t="e">
        <v>#N/A</v>
      </c>
      <c r="Y116" s="3" t="e">
        <v>#N/A</v>
      </c>
      <c r="Z116" s="3" t="e">
        <v>#N/A</v>
      </c>
      <c r="AA116" s="3" t="e">
        <v>#N/A</v>
      </c>
      <c r="AB116" s="3" t="e">
        <v>#N/A</v>
      </c>
      <c r="AC116" s="3" t="e">
        <v>#N/A</v>
      </c>
      <c r="AD116" s="3" t="e">
        <v>#N/A</v>
      </c>
      <c r="AE116" s="3" t="e">
        <v>#N/A</v>
      </c>
      <c r="AF116" s="3" t="e">
        <v>#N/A</v>
      </c>
      <c r="AG116" s="3" t="e">
        <v>#N/A</v>
      </c>
      <c r="AH116" s="3" t="e">
        <v>#N/A</v>
      </c>
      <c r="AI116" s="3" t="e">
        <v>#N/A</v>
      </c>
      <c r="AJ116" s="3" t="e">
        <v>#N/A</v>
      </c>
      <c r="AK116" s="3" t="e">
        <v>#N/A</v>
      </c>
      <c r="AL116" s="3" t="e">
        <v>#N/A</v>
      </c>
      <c r="AM116" s="3" t="e">
        <v>#N/A</v>
      </c>
      <c r="AN116" s="3" t="e">
        <v>#N/A</v>
      </c>
      <c r="AO116" s="3" t="e">
        <v>#N/A</v>
      </c>
      <c r="AP116" s="3" t="e">
        <v>#N/A</v>
      </c>
      <c r="AR116" s="3" t="e">
        <f t="shared" si="9"/>
        <v>#N/A</v>
      </c>
      <c r="AS116" s="3" t="e">
        <f t="shared" si="9"/>
        <v>#N/A</v>
      </c>
      <c r="AT116" s="3" t="e">
        <f t="shared" si="9"/>
        <v>#N/A</v>
      </c>
      <c r="AU116" s="3" t="e">
        <f t="shared" si="10"/>
        <v>#N/A</v>
      </c>
      <c r="AV116" s="3" t="e">
        <f t="shared" si="11"/>
        <v>#N/A</v>
      </c>
      <c r="AW116" s="3" t="e">
        <f t="shared" si="12"/>
        <v>#N/A</v>
      </c>
      <c r="AX116" s="3" t="e">
        <f t="shared" si="13"/>
        <v>#N/A</v>
      </c>
      <c r="AY116" s="3" t="e">
        <f t="shared" si="14"/>
        <v>#N/A</v>
      </c>
      <c r="AZ116" s="3" t="e">
        <f t="shared" si="15"/>
        <v>#N/A</v>
      </c>
      <c r="BA116" s="3" t="e">
        <f t="shared" si="16"/>
        <v>#N/A</v>
      </c>
      <c r="BB116" s="3" t="e">
        <f t="shared" si="17"/>
        <v>#N/A</v>
      </c>
    </row>
    <row r="117" spans="1:54" x14ac:dyDescent="0.25">
      <c r="A117" t="s">
        <v>728</v>
      </c>
      <c r="B117" s="21">
        <v>3.68</v>
      </c>
      <c r="C117" s="21">
        <v>4.0999999999999996</v>
      </c>
      <c r="D117" s="35">
        <v>1.075</v>
      </c>
      <c r="E117" s="3" t="e">
        <v>#N/A</v>
      </c>
      <c r="F117" s="3" t="e">
        <v>#N/A</v>
      </c>
      <c r="G117" s="3">
        <v>239228</v>
      </c>
      <c r="H117" s="3">
        <v>234715</v>
      </c>
      <c r="I117" s="4" t="e">
        <v>#N/A</v>
      </c>
      <c r="J117" s="3"/>
      <c r="K117" s="3" t="e">
        <v>#N/A</v>
      </c>
      <c r="L117" s="3" t="e">
        <v>#N/A</v>
      </c>
      <c r="M117" s="3" t="e">
        <v>#N/A</v>
      </c>
      <c r="N117" s="3" t="e">
        <v>#N/A</v>
      </c>
      <c r="O117" s="3" t="e">
        <v>#N/A</v>
      </c>
      <c r="P117" s="3" t="e">
        <v>#N/A</v>
      </c>
      <c r="Q117" s="3" t="e">
        <v>#N/A</v>
      </c>
      <c r="R117" s="3" t="e">
        <v>#N/A</v>
      </c>
      <c r="S117" s="3" t="e">
        <v>#N/A</v>
      </c>
      <c r="T117" s="3" t="e">
        <v>#N/A</v>
      </c>
      <c r="U117" s="3" t="e">
        <v>#N/A</v>
      </c>
      <c r="V117" s="3" t="e">
        <v>#N/A</v>
      </c>
      <c r="W117" s="3" t="e">
        <v>#N/A</v>
      </c>
      <c r="X117" s="3" t="e">
        <v>#N/A</v>
      </c>
      <c r="Y117" s="3" t="e">
        <v>#N/A</v>
      </c>
      <c r="Z117" s="3" t="e">
        <v>#N/A</v>
      </c>
      <c r="AA117" s="3" t="e">
        <v>#N/A</v>
      </c>
      <c r="AB117" s="3" t="e">
        <v>#N/A</v>
      </c>
      <c r="AC117" s="3" t="e">
        <v>#N/A</v>
      </c>
      <c r="AD117" s="3" t="e">
        <v>#N/A</v>
      </c>
      <c r="AE117" s="3" t="e">
        <v>#N/A</v>
      </c>
      <c r="AF117" s="3" t="e">
        <v>#N/A</v>
      </c>
      <c r="AG117" s="3" t="e">
        <v>#N/A</v>
      </c>
      <c r="AH117" s="3" t="e">
        <v>#N/A</v>
      </c>
      <c r="AI117" s="3" t="e">
        <v>#N/A</v>
      </c>
      <c r="AJ117" s="3" t="e">
        <v>#N/A</v>
      </c>
      <c r="AK117" s="3" t="e">
        <v>#N/A</v>
      </c>
      <c r="AL117" s="3" t="e">
        <v>#N/A</v>
      </c>
      <c r="AM117" s="3" t="e">
        <v>#N/A</v>
      </c>
      <c r="AN117" s="3" t="e">
        <v>#N/A</v>
      </c>
      <c r="AO117" s="3" t="e">
        <v>#N/A</v>
      </c>
      <c r="AP117" s="3" t="e">
        <v>#N/A</v>
      </c>
      <c r="AR117" s="3" t="e">
        <f t="shared" si="9"/>
        <v>#N/A</v>
      </c>
      <c r="AS117" s="3" t="e">
        <f t="shared" si="9"/>
        <v>#N/A</v>
      </c>
      <c r="AT117" s="3" t="e">
        <f t="shared" si="9"/>
        <v>#N/A</v>
      </c>
      <c r="AU117" s="3" t="e">
        <f t="shared" si="10"/>
        <v>#N/A</v>
      </c>
      <c r="AV117" s="3" t="e">
        <f t="shared" si="11"/>
        <v>#N/A</v>
      </c>
      <c r="AW117" s="3" t="e">
        <f t="shared" si="12"/>
        <v>#N/A</v>
      </c>
      <c r="AX117" s="3" t="e">
        <f t="shared" si="13"/>
        <v>#N/A</v>
      </c>
      <c r="AY117" s="3" t="e">
        <f t="shared" si="14"/>
        <v>#N/A</v>
      </c>
      <c r="AZ117" s="3" t="e">
        <f t="shared" si="15"/>
        <v>#N/A</v>
      </c>
      <c r="BA117" s="3" t="e">
        <f t="shared" si="16"/>
        <v>#N/A</v>
      </c>
      <c r="BB117" s="3" t="e">
        <f t="shared" si="17"/>
        <v>#N/A</v>
      </c>
    </row>
    <row r="118" spans="1:54" x14ac:dyDescent="0.25">
      <c r="A118" t="s">
        <v>729</v>
      </c>
      <c r="B118" s="21">
        <v>3.36</v>
      </c>
      <c r="C118" s="21">
        <v>3.83</v>
      </c>
      <c r="D118" s="35">
        <v>0.56818181818181823</v>
      </c>
      <c r="E118" s="3" t="e">
        <v>#N/A</v>
      </c>
      <c r="F118" s="3" t="e">
        <v>#N/A</v>
      </c>
      <c r="G118" s="3">
        <v>234784</v>
      </c>
      <c r="H118" s="3">
        <v>237570</v>
      </c>
      <c r="I118" s="4" t="e">
        <v>#N/A</v>
      </c>
      <c r="J118" s="3"/>
      <c r="K118" s="3" t="e">
        <v>#N/A</v>
      </c>
      <c r="L118" s="3" t="e">
        <v>#N/A</v>
      </c>
      <c r="M118" s="3" t="e">
        <v>#N/A</v>
      </c>
      <c r="N118" s="3" t="e">
        <v>#N/A</v>
      </c>
      <c r="O118" s="3" t="e">
        <v>#N/A</v>
      </c>
      <c r="P118" s="3" t="e">
        <v>#N/A</v>
      </c>
      <c r="Q118" s="3" t="e">
        <v>#N/A</v>
      </c>
      <c r="R118" s="3" t="e">
        <v>#N/A</v>
      </c>
      <c r="S118" s="3" t="e">
        <v>#N/A</v>
      </c>
      <c r="T118" s="3" t="e">
        <v>#N/A</v>
      </c>
      <c r="U118" s="3" t="e">
        <v>#N/A</v>
      </c>
      <c r="V118" s="3" t="e">
        <v>#N/A</v>
      </c>
      <c r="W118" s="3" t="e">
        <v>#N/A</v>
      </c>
      <c r="X118" s="3" t="e">
        <v>#N/A</v>
      </c>
      <c r="Y118" s="3" t="e">
        <v>#N/A</v>
      </c>
      <c r="Z118" s="3" t="e">
        <v>#N/A</v>
      </c>
      <c r="AA118" s="3" t="e">
        <v>#N/A</v>
      </c>
      <c r="AB118" s="3" t="e">
        <v>#N/A</v>
      </c>
      <c r="AC118" s="3" t="e">
        <v>#N/A</v>
      </c>
      <c r="AD118" s="3" t="e">
        <v>#N/A</v>
      </c>
      <c r="AE118" s="3" t="e">
        <v>#N/A</v>
      </c>
      <c r="AF118" s="3" t="e">
        <v>#N/A</v>
      </c>
      <c r="AG118" s="3" t="e">
        <v>#N/A</v>
      </c>
      <c r="AH118" s="3" t="e">
        <v>#N/A</v>
      </c>
      <c r="AI118" s="3" t="e">
        <v>#N/A</v>
      </c>
      <c r="AJ118" s="3" t="e">
        <v>#N/A</v>
      </c>
      <c r="AK118" s="3" t="e">
        <v>#N/A</v>
      </c>
      <c r="AL118" s="3" t="e">
        <v>#N/A</v>
      </c>
      <c r="AM118" s="3" t="e">
        <v>#N/A</v>
      </c>
      <c r="AN118" s="3" t="e">
        <v>#N/A</v>
      </c>
      <c r="AO118" s="3" t="e">
        <v>#N/A</v>
      </c>
      <c r="AP118" s="3" t="e">
        <v>#N/A</v>
      </c>
      <c r="AR118" s="3" t="e">
        <f t="shared" si="9"/>
        <v>#N/A</v>
      </c>
      <c r="AS118" s="3" t="e">
        <f t="shared" si="9"/>
        <v>#N/A</v>
      </c>
      <c r="AT118" s="3" t="e">
        <f t="shared" si="9"/>
        <v>#N/A</v>
      </c>
      <c r="AU118" s="3" t="e">
        <f t="shared" si="10"/>
        <v>#N/A</v>
      </c>
      <c r="AV118" s="3" t="e">
        <f t="shared" si="11"/>
        <v>#N/A</v>
      </c>
      <c r="AW118" s="3" t="e">
        <f t="shared" si="12"/>
        <v>#N/A</v>
      </c>
      <c r="AX118" s="3" t="e">
        <f t="shared" si="13"/>
        <v>#N/A</v>
      </c>
      <c r="AY118" s="3" t="e">
        <f t="shared" si="14"/>
        <v>#N/A</v>
      </c>
      <c r="AZ118" s="3" t="e">
        <f t="shared" si="15"/>
        <v>#N/A</v>
      </c>
      <c r="BA118" s="3" t="e">
        <f t="shared" si="16"/>
        <v>#N/A</v>
      </c>
      <c r="BB118" s="3" t="e">
        <f t="shared" si="17"/>
        <v>#N/A</v>
      </c>
    </row>
    <row r="119" spans="1:54" x14ac:dyDescent="0.25">
      <c r="A119" t="s">
        <v>730</v>
      </c>
      <c r="B119" s="21">
        <v>3.09</v>
      </c>
      <c r="C119" s="21">
        <v>3.62</v>
      </c>
      <c r="D119" s="35">
        <v>0.5</v>
      </c>
      <c r="E119" s="3" t="e">
        <v>#N/A</v>
      </c>
      <c r="F119" s="3" t="e">
        <v>#N/A</v>
      </c>
      <c r="G119" s="3">
        <v>235547</v>
      </c>
      <c r="H119" s="3">
        <v>234615</v>
      </c>
      <c r="I119" s="4" t="e">
        <v>#N/A</v>
      </c>
      <c r="J119" s="3"/>
      <c r="K119" s="3" t="e">
        <v>#N/A</v>
      </c>
      <c r="L119" s="3" t="e">
        <v>#N/A</v>
      </c>
      <c r="M119" s="3" t="e">
        <v>#N/A</v>
      </c>
      <c r="N119" s="3" t="e">
        <v>#N/A</v>
      </c>
      <c r="O119" s="3" t="e">
        <v>#N/A</v>
      </c>
      <c r="P119" s="3" t="e">
        <v>#N/A</v>
      </c>
      <c r="Q119" s="3" t="e">
        <v>#N/A</v>
      </c>
      <c r="R119" s="3" t="e">
        <v>#N/A</v>
      </c>
      <c r="S119" s="3" t="e">
        <v>#N/A</v>
      </c>
      <c r="T119" s="3" t="e">
        <v>#N/A</v>
      </c>
      <c r="U119" s="3" t="e">
        <v>#N/A</v>
      </c>
      <c r="V119" s="3" t="e">
        <v>#N/A</v>
      </c>
      <c r="W119" s="3" t="e">
        <v>#N/A</v>
      </c>
      <c r="X119" s="3" t="e">
        <v>#N/A</v>
      </c>
      <c r="Y119" s="3" t="e">
        <v>#N/A</v>
      </c>
      <c r="Z119" s="3" t="e">
        <v>#N/A</v>
      </c>
      <c r="AA119" s="3" t="e">
        <v>#N/A</v>
      </c>
      <c r="AB119" s="3" t="e">
        <v>#N/A</v>
      </c>
      <c r="AC119" s="3" t="e">
        <v>#N/A</v>
      </c>
      <c r="AD119" s="3" t="e">
        <v>#N/A</v>
      </c>
      <c r="AE119" s="3" t="e">
        <v>#N/A</v>
      </c>
      <c r="AF119" s="3" t="e">
        <v>#N/A</v>
      </c>
      <c r="AG119" s="3" t="e">
        <v>#N/A</v>
      </c>
      <c r="AH119" s="3" t="e">
        <v>#N/A</v>
      </c>
      <c r="AI119" s="3" t="e">
        <v>#N/A</v>
      </c>
      <c r="AJ119" s="3" t="e">
        <v>#N/A</v>
      </c>
      <c r="AK119" s="3" t="e">
        <v>#N/A</v>
      </c>
      <c r="AL119" s="3" t="e">
        <v>#N/A</v>
      </c>
      <c r="AM119" s="3" t="e">
        <v>#N/A</v>
      </c>
      <c r="AN119" s="3" t="e">
        <v>#N/A</v>
      </c>
      <c r="AO119" s="3" t="e">
        <v>#N/A</v>
      </c>
      <c r="AP119" s="3" t="e">
        <v>#N/A</v>
      </c>
      <c r="AR119" s="3" t="e">
        <f t="shared" si="9"/>
        <v>#N/A</v>
      </c>
      <c r="AS119" s="3" t="e">
        <f t="shared" si="9"/>
        <v>#N/A</v>
      </c>
      <c r="AT119" s="3" t="e">
        <f t="shared" si="9"/>
        <v>#N/A</v>
      </c>
      <c r="AU119" s="3" t="e">
        <f t="shared" si="10"/>
        <v>#N/A</v>
      </c>
      <c r="AV119" s="3" t="e">
        <f t="shared" si="11"/>
        <v>#N/A</v>
      </c>
      <c r="AW119" s="3" t="e">
        <f t="shared" si="12"/>
        <v>#N/A</v>
      </c>
      <c r="AX119" s="3" t="e">
        <f t="shared" si="13"/>
        <v>#N/A</v>
      </c>
      <c r="AY119" s="3" t="e">
        <f t="shared" si="14"/>
        <v>#N/A</v>
      </c>
      <c r="AZ119" s="3" t="e">
        <f t="shared" si="15"/>
        <v>#N/A</v>
      </c>
      <c r="BA119" s="3" t="e">
        <f t="shared" si="16"/>
        <v>#N/A</v>
      </c>
      <c r="BB119" s="3" t="e">
        <f t="shared" si="17"/>
        <v>#N/A</v>
      </c>
    </row>
    <row r="120" spans="1:54" x14ac:dyDescent="0.25">
      <c r="A120" t="s">
        <v>731</v>
      </c>
      <c r="B120" s="21">
        <v>2.98</v>
      </c>
      <c r="C120" s="21">
        <v>3.59</v>
      </c>
      <c r="D120" s="35">
        <v>0.5</v>
      </c>
      <c r="E120" s="3" t="e">
        <v>#N/A</v>
      </c>
      <c r="F120" s="3" t="e">
        <v>#N/A</v>
      </c>
      <c r="G120" s="3">
        <v>236283</v>
      </c>
      <c r="H120" s="3">
        <v>236222</v>
      </c>
      <c r="I120" s="4" t="e">
        <v>#N/A</v>
      </c>
      <c r="J120" s="3"/>
      <c r="K120" s="3" t="e">
        <v>#N/A</v>
      </c>
      <c r="L120" s="3" t="e">
        <v>#N/A</v>
      </c>
      <c r="M120" s="3" t="e">
        <v>#N/A</v>
      </c>
      <c r="N120" s="3" t="e">
        <v>#N/A</v>
      </c>
      <c r="O120" s="3" t="e">
        <v>#N/A</v>
      </c>
      <c r="P120" s="3" t="e">
        <v>#N/A</v>
      </c>
      <c r="Q120" s="3" t="e">
        <v>#N/A</v>
      </c>
      <c r="R120" s="3" t="e">
        <v>#N/A</v>
      </c>
      <c r="S120" s="3" t="e">
        <v>#N/A</v>
      </c>
      <c r="T120" s="3" t="e">
        <v>#N/A</v>
      </c>
      <c r="U120" s="3" t="e">
        <v>#N/A</v>
      </c>
      <c r="V120" s="3" t="e">
        <v>#N/A</v>
      </c>
      <c r="W120" s="3" t="e">
        <v>#N/A</v>
      </c>
      <c r="X120" s="3" t="e">
        <v>#N/A</v>
      </c>
      <c r="Y120" s="3" t="e">
        <v>#N/A</v>
      </c>
      <c r="Z120" s="3" t="e">
        <v>#N/A</v>
      </c>
      <c r="AA120" s="3" t="e">
        <v>#N/A</v>
      </c>
      <c r="AB120" s="3" t="e">
        <v>#N/A</v>
      </c>
      <c r="AC120" s="3" t="e">
        <v>#N/A</v>
      </c>
      <c r="AD120" s="3" t="e">
        <v>#N/A</v>
      </c>
      <c r="AE120" s="3" t="e">
        <v>#N/A</v>
      </c>
      <c r="AF120" s="3" t="e">
        <v>#N/A</v>
      </c>
      <c r="AG120" s="3" t="e">
        <v>#N/A</v>
      </c>
      <c r="AH120" s="3" t="e">
        <v>#N/A</v>
      </c>
      <c r="AI120" s="3" t="e">
        <v>#N/A</v>
      </c>
      <c r="AJ120" s="3" t="e">
        <v>#N/A</v>
      </c>
      <c r="AK120" s="3" t="e">
        <v>#N/A</v>
      </c>
      <c r="AL120" s="3" t="e">
        <v>#N/A</v>
      </c>
      <c r="AM120" s="3" t="e">
        <v>#N/A</v>
      </c>
      <c r="AN120" s="3" t="e">
        <v>#N/A</v>
      </c>
      <c r="AO120" s="3" t="e">
        <v>#N/A</v>
      </c>
      <c r="AP120" s="3" t="e">
        <v>#N/A</v>
      </c>
      <c r="AR120" s="3" t="e">
        <f t="shared" si="9"/>
        <v>#N/A</v>
      </c>
      <c r="AS120" s="3" t="e">
        <f t="shared" si="9"/>
        <v>#N/A</v>
      </c>
      <c r="AT120" s="3" t="e">
        <f t="shared" si="9"/>
        <v>#N/A</v>
      </c>
      <c r="AU120" s="3" t="e">
        <f t="shared" si="10"/>
        <v>#N/A</v>
      </c>
      <c r="AV120" s="3" t="e">
        <f t="shared" si="11"/>
        <v>#N/A</v>
      </c>
      <c r="AW120" s="3" t="e">
        <f t="shared" si="12"/>
        <v>#N/A</v>
      </c>
      <c r="AX120" s="3" t="e">
        <f t="shared" si="13"/>
        <v>#N/A</v>
      </c>
      <c r="AY120" s="3" t="e">
        <f t="shared" si="14"/>
        <v>#N/A</v>
      </c>
      <c r="AZ120" s="3" t="e">
        <f t="shared" si="15"/>
        <v>#N/A</v>
      </c>
      <c r="BA120" s="3" t="e">
        <f t="shared" si="16"/>
        <v>#N/A</v>
      </c>
      <c r="BB120" s="3" t="e">
        <f t="shared" si="17"/>
        <v>#N/A</v>
      </c>
    </row>
    <row r="121" spans="1:54" x14ac:dyDescent="0.25">
      <c r="A121" t="s">
        <v>732</v>
      </c>
      <c r="B121" s="21">
        <v>2.91</v>
      </c>
      <c r="C121" s="21">
        <v>3.59</v>
      </c>
      <c r="D121" s="35">
        <v>0.5</v>
      </c>
      <c r="E121" s="3" t="e">
        <v>#N/A</v>
      </c>
      <c r="F121" s="3" t="e">
        <v>#N/A</v>
      </c>
      <c r="G121" s="3">
        <v>236127</v>
      </c>
      <c r="H121" s="3">
        <v>240886</v>
      </c>
      <c r="I121" s="4" t="e">
        <v>#N/A</v>
      </c>
      <c r="J121" s="3"/>
      <c r="K121" s="3" t="e">
        <v>#N/A</v>
      </c>
      <c r="L121" s="3" t="e">
        <v>#N/A</v>
      </c>
      <c r="M121" s="3" t="e">
        <v>#N/A</v>
      </c>
      <c r="N121" s="3" t="e">
        <v>#N/A</v>
      </c>
      <c r="O121" s="3" t="e">
        <v>#N/A</v>
      </c>
      <c r="P121" s="3" t="e">
        <v>#N/A</v>
      </c>
      <c r="Q121" s="3" t="e">
        <v>#N/A</v>
      </c>
      <c r="R121" s="3" t="e">
        <v>#N/A</v>
      </c>
      <c r="S121" s="3" t="e">
        <v>#N/A</v>
      </c>
      <c r="T121" s="3" t="e">
        <v>#N/A</v>
      </c>
      <c r="U121" s="3" t="e">
        <v>#N/A</v>
      </c>
      <c r="V121" s="3" t="e">
        <v>#N/A</v>
      </c>
      <c r="W121" s="3" t="e">
        <v>#N/A</v>
      </c>
      <c r="X121" s="3" t="e">
        <v>#N/A</v>
      </c>
      <c r="Y121" s="3" t="e">
        <v>#N/A</v>
      </c>
      <c r="Z121" s="3" t="e">
        <v>#N/A</v>
      </c>
      <c r="AA121" s="3" t="e">
        <v>#N/A</v>
      </c>
      <c r="AB121" s="3" t="e">
        <v>#N/A</v>
      </c>
      <c r="AC121" s="3" t="e">
        <v>#N/A</v>
      </c>
      <c r="AD121" s="3" t="e">
        <v>#N/A</v>
      </c>
      <c r="AE121" s="3" t="e">
        <v>#N/A</v>
      </c>
      <c r="AF121" s="3" t="e">
        <v>#N/A</v>
      </c>
      <c r="AG121" s="3" t="e">
        <v>#N/A</v>
      </c>
      <c r="AH121" s="3" t="e">
        <v>#N/A</v>
      </c>
      <c r="AI121" s="3" t="e">
        <v>#N/A</v>
      </c>
      <c r="AJ121" s="3" t="e">
        <v>#N/A</v>
      </c>
      <c r="AK121" s="3" t="e">
        <v>#N/A</v>
      </c>
      <c r="AL121" s="3" t="e">
        <v>#N/A</v>
      </c>
      <c r="AM121" s="3" t="e">
        <v>#N/A</v>
      </c>
      <c r="AN121" s="3" t="e">
        <v>#N/A</v>
      </c>
      <c r="AO121" s="3" t="e">
        <v>#N/A</v>
      </c>
      <c r="AP121" s="3" t="e">
        <v>#N/A</v>
      </c>
      <c r="AR121" s="3" t="e">
        <f t="shared" si="9"/>
        <v>#N/A</v>
      </c>
      <c r="AS121" s="3" t="e">
        <f t="shared" si="9"/>
        <v>#N/A</v>
      </c>
      <c r="AT121" s="3" t="e">
        <f t="shared" si="9"/>
        <v>#N/A</v>
      </c>
      <c r="AU121" s="3" t="e">
        <f t="shared" si="10"/>
        <v>#N/A</v>
      </c>
      <c r="AV121" s="3" t="e">
        <f t="shared" si="11"/>
        <v>#N/A</v>
      </c>
      <c r="AW121" s="3" t="e">
        <f t="shared" si="12"/>
        <v>#N/A</v>
      </c>
      <c r="AX121" s="3" t="e">
        <f t="shared" si="13"/>
        <v>#N/A</v>
      </c>
      <c r="AY121" s="3" t="e">
        <f t="shared" si="14"/>
        <v>#N/A</v>
      </c>
      <c r="AZ121" s="3" t="e">
        <f t="shared" si="15"/>
        <v>#N/A</v>
      </c>
      <c r="BA121" s="3" t="e">
        <f t="shared" si="16"/>
        <v>#N/A</v>
      </c>
      <c r="BB121" s="3" t="e">
        <f t="shared" si="17"/>
        <v>#N/A</v>
      </c>
    </row>
    <row r="122" spans="1:54" x14ac:dyDescent="0.25">
      <c r="A122" t="s">
        <v>733</v>
      </c>
      <c r="B122" s="21">
        <v>2.8</v>
      </c>
      <c r="C122" s="21">
        <v>3.57</v>
      </c>
      <c r="D122" s="35">
        <v>0.5</v>
      </c>
      <c r="E122" s="3" t="e">
        <v>#N/A</v>
      </c>
      <c r="F122" s="3" t="e">
        <v>#N/A</v>
      </c>
      <c r="G122" s="3">
        <v>237043</v>
      </c>
      <c r="H122" s="3">
        <v>236560</v>
      </c>
      <c r="I122" s="4" t="e">
        <v>#N/A</v>
      </c>
      <c r="J122" s="3"/>
      <c r="K122" s="3" t="e">
        <v>#N/A</v>
      </c>
      <c r="L122" s="3" t="e">
        <v>#N/A</v>
      </c>
      <c r="M122" s="3" t="e">
        <v>#N/A</v>
      </c>
      <c r="N122" s="3" t="e">
        <v>#N/A</v>
      </c>
      <c r="O122" s="3" t="e">
        <v>#N/A</v>
      </c>
      <c r="P122" s="3" t="e">
        <v>#N/A</v>
      </c>
      <c r="Q122" s="3" t="e">
        <v>#N/A</v>
      </c>
      <c r="R122" s="3" t="e">
        <v>#N/A</v>
      </c>
      <c r="S122" s="3" t="e">
        <v>#N/A</v>
      </c>
      <c r="T122" s="3" t="e">
        <v>#N/A</v>
      </c>
      <c r="U122" s="3" t="e">
        <v>#N/A</v>
      </c>
      <c r="V122" s="3" t="e">
        <v>#N/A</v>
      </c>
      <c r="W122" s="3" t="e">
        <v>#N/A</v>
      </c>
      <c r="X122" s="3" t="e">
        <v>#N/A</v>
      </c>
      <c r="Y122" s="3" t="e">
        <v>#N/A</v>
      </c>
      <c r="Z122" s="3" t="e">
        <v>#N/A</v>
      </c>
      <c r="AA122" s="3" t="e">
        <v>#N/A</v>
      </c>
      <c r="AB122" s="3" t="e">
        <v>#N/A</v>
      </c>
      <c r="AC122" s="3" t="e">
        <v>#N/A</v>
      </c>
      <c r="AD122" s="3" t="e">
        <v>#N/A</v>
      </c>
      <c r="AE122" s="3" t="e">
        <v>#N/A</v>
      </c>
      <c r="AF122" s="3" t="e">
        <v>#N/A</v>
      </c>
      <c r="AG122" s="3" t="e">
        <v>#N/A</v>
      </c>
      <c r="AH122" s="3" t="e">
        <v>#N/A</v>
      </c>
      <c r="AI122" s="3" t="e">
        <v>#N/A</v>
      </c>
      <c r="AJ122" s="3" t="e">
        <v>#N/A</v>
      </c>
      <c r="AK122" s="3" t="e">
        <v>#N/A</v>
      </c>
      <c r="AL122" s="3" t="e">
        <v>#N/A</v>
      </c>
      <c r="AM122" s="3" t="e">
        <v>#N/A</v>
      </c>
      <c r="AN122" s="3" t="e">
        <v>#N/A</v>
      </c>
      <c r="AO122" s="3" t="e">
        <v>#N/A</v>
      </c>
      <c r="AP122" s="3" t="e">
        <v>#N/A</v>
      </c>
      <c r="AR122" s="3" t="e">
        <f t="shared" si="9"/>
        <v>#N/A</v>
      </c>
      <c r="AS122" s="3" t="e">
        <f t="shared" si="9"/>
        <v>#N/A</v>
      </c>
      <c r="AT122" s="3" t="e">
        <f t="shared" si="9"/>
        <v>#N/A</v>
      </c>
      <c r="AU122" s="3" t="e">
        <f t="shared" si="10"/>
        <v>#N/A</v>
      </c>
      <c r="AV122" s="3" t="e">
        <f t="shared" si="11"/>
        <v>#N/A</v>
      </c>
      <c r="AW122" s="3" t="e">
        <f t="shared" si="12"/>
        <v>#N/A</v>
      </c>
      <c r="AX122" s="3" t="e">
        <f t="shared" si="13"/>
        <v>#N/A</v>
      </c>
      <c r="AY122" s="3" t="e">
        <f t="shared" si="14"/>
        <v>#N/A</v>
      </c>
      <c r="AZ122" s="3" t="e">
        <f t="shared" si="15"/>
        <v>#N/A</v>
      </c>
      <c r="BA122" s="3" t="e">
        <f t="shared" si="16"/>
        <v>#N/A</v>
      </c>
      <c r="BB122" s="3" t="e">
        <f t="shared" si="17"/>
        <v>#N/A</v>
      </c>
    </row>
    <row r="123" spans="1:54" x14ac:dyDescent="0.25">
      <c r="A123" t="s">
        <v>734</v>
      </c>
      <c r="B123" s="21">
        <v>2.78</v>
      </c>
      <c r="C123" s="21">
        <v>3.58</v>
      </c>
      <c r="D123" s="35">
        <v>0.5</v>
      </c>
      <c r="E123" s="3" t="e">
        <v>#N/A</v>
      </c>
      <c r="F123" s="3" t="e">
        <v>#N/A</v>
      </c>
      <c r="G123" s="3">
        <v>237053</v>
      </c>
      <c r="H123" s="3">
        <v>234344</v>
      </c>
      <c r="I123" s="4" t="e">
        <v>#N/A</v>
      </c>
      <c r="J123" s="3"/>
      <c r="K123" s="3" t="e">
        <v>#N/A</v>
      </c>
      <c r="L123" s="3" t="e">
        <v>#N/A</v>
      </c>
      <c r="M123" s="3" t="e">
        <v>#N/A</v>
      </c>
      <c r="N123" s="3" t="e">
        <v>#N/A</v>
      </c>
      <c r="O123" s="3" t="e">
        <v>#N/A</v>
      </c>
      <c r="P123" s="3" t="e">
        <v>#N/A</v>
      </c>
      <c r="Q123" s="3" t="e">
        <v>#N/A</v>
      </c>
      <c r="R123" s="3" t="e">
        <v>#N/A</v>
      </c>
      <c r="S123" s="3" t="e">
        <v>#N/A</v>
      </c>
      <c r="T123" s="3" t="e">
        <v>#N/A</v>
      </c>
      <c r="U123" s="3" t="e">
        <v>#N/A</v>
      </c>
      <c r="V123" s="3" t="e">
        <v>#N/A</v>
      </c>
      <c r="W123" s="3" t="e">
        <v>#N/A</v>
      </c>
      <c r="X123" s="3" t="e">
        <v>#N/A</v>
      </c>
      <c r="Y123" s="3" t="e">
        <v>#N/A</v>
      </c>
      <c r="Z123" s="3" t="e">
        <v>#N/A</v>
      </c>
      <c r="AA123" s="3" t="e">
        <v>#N/A</v>
      </c>
      <c r="AB123" s="3" t="e">
        <v>#N/A</v>
      </c>
      <c r="AC123" s="3" t="e">
        <v>#N/A</v>
      </c>
      <c r="AD123" s="3" t="e">
        <v>#N/A</v>
      </c>
      <c r="AE123" s="3" t="e">
        <v>#N/A</v>
      </c>
      <c r="AF123" s="3" t="e">
        <v>#N/A</v>
      </c>
      <c r="AG123" s="3" t="e">
        <v>#N/A</v>
      </c>
      <c r="AH123" s="3" t="e">
        <v>#N/A</v>
      </c>
      <c r="AI123" s="3" t="e">
        <v>#N/A</v>
      </c>
      <c r="AJ123" s="3" t="e">
        <v>#N/A</v>
      </c>
      <c r="AK123" s="3" t="e">
        <v>#N/A</v>
      </c>
      <c r="AL123" s="3" t="e">
        <v>#N/A</v>
      </c>
      <c r="AM123" s="3" t="e">
        <v>#N/A</v>
      </c>
      <c r="AN123" s="3" t="e">
        <v>#N/A</v>
      </c>
      <c r="AO123" s="3" t="e">
        <v>#N/A</v>
      </c>
      <c r="AP123" s="3" t="e">
        <v>#N/A</v>
      </c>
      <c r="AR123" s="3" t="e">
        <f t="shared" si="9"/>
        <v>#N/A</v>
      </c>
      <c r="AS123" s="3" t="e">
        <f t="shared" si="9"/>
        <v>#N/A</v>
      </c>
      <c r="AT123" s="3" t="e">
        <f t="shared" si="9"/>
        <v>#N/A</v>
      </c>
      <c r="AU123" s="3" t="e">
        <f t="shared" si="10"/>
        <v>#N/A</v>
      </c>
      <c r="AV123" s="3" t="e">
        <f t="shared" si="11"/>
        <v>#N/A</v>
      </c>
      <c r="AW123" s="3" t="e">
        <f t="shared" si="12"/>
        <v>#N/A</v>
      </c>
      <c r="AX123" s="3" t="e">
        <f t="shared" si="13"/>
        <v>#N/A</v>
      </c>
      <c r="AY123" s="3" t="e">
        <f t="shared" si="14"/>
        <v>#N/A</v>
      </c>
      <c r="AZ123" s="3" t="e">
        <f t="shared" si="15"/>
        <v>#N/A</v>
      </c>
      <c r="BA123" s="3" t="e">
        <f t="shared" si="16"/>
        <v>#N/A</v>
      </c>
      <c r="BB123" s="3" t="e">
        <f t="shared" si="17"/>
        <v>#N/A</v>
      </c>
    </row>
    <row r="124" spans="1:54" x14ac:dyDescent="0.25">
      <c r="A124" t="s">
        <v>735</v>
      </c>
      <c r="B124" s="21">
        <v>2.75</v>
      </c>
      <c r="C124" s="21">
        <v>3.58</v>
      </c>
      <c r="D124" s="35">
        <v>0.5</v>
      </c>
      <c r="E124" s="3" t="e">
        <v>#N/A</v>
      </c>
      <c r="F124" s="3" t="e">
        <v>#N/A</v>
      </c>
      <c r="G124" s="3">
        <v>237124</v>
      </c>
      <c r="H124" s="3">
        <v>237745</v>
      </c>
      <c r="I124" s="4" t="e">
        <v>#N/A</v>
      </c>
      <c r="J124" s="3"/>
      <c r="K124" s="3" t="e">
        <v>#N/A</v>
      </c>
      <c r="L124" s="3" t="e">
        <v>#N/A</v>
      </c>
      <c r="M124" s="3" t="e">
        <v>#N/A</v>
      </c>
      <c r="N124" s="3" t="e">
        <v>#N/A</v>
      </c>
      <c r="O124" s="3" t="e">
        <v>#N/A</v>
      </c>
      <c r="P124" s="3" t="e">
        <v>#N/A</v>
      </c>
      <c r="Q124" s="3" t="e">
        <v>#N/A</v>
      </c>
      <c r="R124" s="3" t="e">
        <v>#N/A</v>
      </c>
      <c r="S124" s="3" t="e">
        <v>#N/A</v>
      </c>
      <c r="T124" s="3" t="e">
        <v>#N/A</v>
      </c>
      <c r="U124" s="3" t="e">
        <v>#N/A</v>
      </c>
      <c r="V124" s="3" t="e">
        <v>#N/A</v>
      </c>
      <c r="W124" s="3" t="e">
        <v>#N/A</v>
      </c>
      <c r="X124" s="3" t="e">
        <v>#N/A</v>
      </c>
      <c r="Y124" s="3" t="e">
        <v>#N/A</v>
      </c>
      <c r="Z124" s="3" t="e">
        <v>#N/A</v>
      </c>
      <c r="AA124" s="3" t="e">
        <v>#N/A</v>
      </c>
      <c r="AB124" s="3" t="e">
        <v>#N/A</v>
      </c>
      <c r="AC124" s="3" t="e">
        <v>#N/A</v>
      </c>
      <c r="AD124" s="3" t="e">
        <v>#N/A</v>
      </c>
      <c r="AE124" s="3" t="e">
        <v>#N/A</v>
      </c>
      <c r="AF124" s="3" t="e">
        <v>#N/A</v>
      </c>
      <c r="AG124" s="3" t="e">
        <v>#N/A</v>
      </c>
      <c r="AH124" s="3" t="e">
        <v>#N/A</v>
      </c>
      <c r="AI124" s="3" t="e">
        <v>#N/A</v>
      </c>
      <c r="AJ124" s="3" t="e">
        <v>#N/A</v>
      </c>
      <c r="AK124" s="3" t="e">
        <v>#N/A</v>
      </c>
      <c r="AL124" s="3" t="e">
        <v>#N/A</v>
      </c>
      <c r="AM124" s="3" t="e">
        <v>#N/A</v>
      </c>
      <c r="AN124" s="3" t="e">
        <v>#N/A</v>
      </c>
      <c r="AO124" s="3" t="e">
        <v>#N/A</v>
      </c>
      <c r="AP124" s="3" t="e">
        <v>#N/A</v>
      </c>
      <c r="AR124" s="3" t="e">
        <f t="shared" si="9"/>
        <v>#N/A</v>
      </c>
      <c r="AS124" s="3" t="e">
        <f t="shared" si="9"/>
        <v>#N/A</v>
      </c>
      <c r="AT124" s="3" t="e">
        <f t="shared" si="9"/>
        <v>#N/A</v>
      </c>
      <c r="AU124" s="3" t="e">
        <f t="shared" si="10"/>
        <v>#N/A</v>
      </c>
      <c r="AV124" s="3" t="e">
        <f t="shared" si="11"/>
        <v>#N/A</v>
      </c>
      <c r="AW124" s="3" t="e">
        <f t="shared" si="12"/>
        <v>#N/A</v>
      </c>
      <c r="AX124" s="3" t="e">
        <f t="shared" si="13"/>
        <v>#N/A</v>
      </c>
      <c r="AY124" s="3" t="e">
        <f t="shared" si="14"/>
        <v>#N/A</v>
      </c>
      <c r="AZ124" s="3" t="e">
        <f t="shared" si="15"/>
        <v>#N/A</v>
      </c>
      <c r="BA124" s="3" t="e">
        <f t="shared" si="16"/>
        <v>#N/A</v>
      </c>
      <c r="BB124" s="3" t="e">
        <f t="shared" si="17"/>
        <v>#N/A</v>
      </c>
    </row>
    <row r="125" spans="1:54" x14ac:dyDescent="0.25">
      <c r="A125" t="s">
        <v>736</v>
      </c>
      <c r="B125" s="21">
        <v>2.68</v>
      </c>
      <c r="C125" s="21">
        <v>3.56</v>
      </c>
      <c r="D125" s="35">
        <v>0.5</v>
      </c>
      <c r="E125" s="3" t="e">
        <v>#N/A</v>
      </c>
      <c r="F125" s="3" t="e">
        <v>#N/A</v>
      </c>
      <c r="G125" s="3">
        <v>238382</v>
      </c>
      <c r="H125" s="3">
        <v>235211</v>
      </c>
      <c r="I125" s="4" t="e">
        <v>#N/A</v>
      </c>
      <c r="J125" s="3"/>
      <c r="K125" s="3" t="e">
        <v>#N/A</v>
      </c>
      <c r="L125" s="3" t="e">
        <v>#N/A</v>
      </c>
      <c r="M125" s="3" t="e">
        <v>#N/A</v>
      </c>
      <c r="N125" s="3" t="e">
        <v>#N/A</v>
      </c>
      <c r="O125" s="3" t="e">
        <v>#N/A</v>
      </c>
      <c r="P125" s="3" t="e">
        <v>#N/A</v>
      </c>
      <c r="Q125" s="3" t="e">
        <v>#N/A</v>
      </c>
      <c r="R125" s="3" t="e">
        <v>#N/A</v>
      </c>
      <c r="S125" s="3" t="e">
        <v>#N/A</v>
      </c>
      <c r="T125" s="3" t="e">
        <v>#N/A</v>
      </c>
      <c r="U125" s="3" t="e">
        <v>#N/A</v>
      </c>
      <c r="V125" s="3" t="e">
        <v>#N/A</v>
      </c>
      <c r="W125" s="3" t="e">
        <v>#N/A</v>
      </c>
      <c r="X125" s="3" t="e">
        <v>#N/A</v>
      </c>
      <c r="Y125" s="3" t="e">
        <v>#N/A</v>
      </c>
      <c r="Z125" s="3" t="e">
        <v>#N/A</v>
      </c>
      <c r="AA125" s="3" t="e">
        <v>#N/A</v>
      </c>
      <c r="AB125" s="3" t="e">
        <v>#N/A</v>
      </c>
      <c r="AC125" s="3" t="e">
        <v>#N/A</v>
      </c>
      <c r="AD125" s="3" t="e">
        <v>#N/A</v>
      </c>
      <c r="AE125" s="3" t="e">
        <v>#N/A</v>
      </c>
      <c r="AF125" s="3" t="e">
        <v>#N/A</v>
      </c>
      <c r="AG125" s="3" t="e">
        <v>#N/A</v>
      </c>
      <c r="AH125" s="3" t="e">
        <v>#N/A</v>
      </c>
      <c r="AI125" s="3" t="e">
        <v>#N/A</v>
      </c>
      <c r="AJ125" s="3" t="e">
        <v>#N/A</v>
      </c>
      <c r="AK125" s="3" t="e">
        <v>#N/A</v>
      </c>
      <c r="AL125" s="3" t="e">
        <v>#N/A</v>
      </c>
      <c r="AM125" s="3" t="e">
        <v>#N/A</v>
      </c>
      <c r="AN125" s="3" t="e">
        <v>#N/A</v>
      </c>
      <c r="AO125" s="3" t="e">
        <v>#N/A</v>
      </c>
      <c r="AP125" s="3" t="e">
        <v>#N/A</v>
      </c>
      <c r="AR125" s="3" t="e">
        <f t="shared" si="9"/>
        <v>#N/A</v>
      </c>
      <c r="AS125" s="3" t="e">
        <f t="shared" si="9"/>
        <v>#N/A</v>
      </c>
      <c r="AT125" s="3" t="e">
        <f t="shared" si="9"/>
        <v>#N/A</v>
      </c>
      <c r="AU125" s="3" t="e">
        <f t="shared" si="10"/>
        <v>#N/A</v>
      </c>
      <c r="AV125" s="3" t="e">
        <f t="shared" si="11"/>
        <v>#N/A</v>
      </c>
      <c r="AW125" s="3" t="e">
        <f t="shared" si="12"/>
        <v>#N/A</v>
      </c>
      <c r="AX125" s="3" t="e">
        <f t="shared" si="13"/>
        <v>#N/A</v>
      </c>
      <c r="AY125" s="3" t="e">
        <f t="shared" si="14"/>
        <v>#N/A</v>
      </c>
      <c r="AZ125" s="3" t="e">
        <f t="shared" si="15"/>
        <v>#N/A</v>
      </c>
      <c r="BA125" s="3" t="e">
        <f t="shared" si="16"/>
        <v>#N/A</v>
      </c>
      <c r="BB125" s="3" t="e">
        <f t="shared" si="17"/>
        <v>#N/A</v>
      </c>
    </row>
    <row r="126" spans="1:54" x14ac:dyDescent="0.25">
      <c r="A126" t="s">
        <v>737</v>
      </c>
      <c r="B126" s="21">
        <v>2.64</v>
      </c>
      <c r="C126" s="21">
        <v>3.57</v>
      </c>
      <c r="D126" s="35">
        <v>0.5</v>
      </c>
      <c r="E126" s="3" t="e">
        <v>#N/A</v>
      </c>
      <c r="F126" s="3" t="e">
        <v>#N/A</v>
      </c>
      <c r="G126" s="3">
        <v>240082</v>
      </c>
      <c r="H126" s="3">
        <v>239299</v>
      </c>
      <c r="I126" s="4" t="e">
        <v>#N/A</v>
      </c>
      <c r="J126" s="3"/>
      <c r="K126" s="3" t="e">
        <v>#N/A</v>
      </c>
      <c r="L126" s="3" t="e">
        <v>#N/A</v>
      </c>
      <c r="M126" s="3" t="e">
        <v>#N/A</v>
      </c>
      <c r="N126" s="3" t="e">
        <v>#N/A</v>
      </c>
      <c r="O126" s="3" t="e">
        <v>#N/A</v>
      </c>
      <c r="P126" s="3" t="e">
        <v>#N/A</v>
      </c>
      <c r="Q126" s="3" t="e">
        <v>#N/A</v>
      </c>
      <c r="R126" s="3" t="e">
        <v>#N/A</v>
      </c>
      <c r="S126" s="3" t="e">
        <v>#N/A</v>
      </c>
      <c r="T126" s="3" t="e">
        <v>#N/A</v>
      </c>
      <c r="U126" s="3" t="e">
        <v>#N/A</v>
      </c>
      <c r="V126" s="3" t="e">
        <v>#N/A</v>
      </c>
      <c r="W126" s="3" t="e">
        <v>#N/A</v>
      </c>
      <c r="X126" s="3" t="e">
        <v>#N/A</v>
      </c>
      <c r="Y126" s="3" t="e">
        <v>#N/A</v>
      </c>
      <c r="Z126" s="3" t="e">
        <v>#N/A</v>
      </c>
      <c r="AA126" s="3" t="e">
        <v>#N/A</v>
      </c>
      <c r="AB126" s="3" t="e">
        <v>#N/A</v>
      </c>
      <c r="AC126" s="3" t="e">
        <v>#N/A</v>
      </c>
      <c r="AD126" s="3" t="e">
        <v>#N/A</v>
      </c>
      <c r="AE126" s="3" t="e">
        <v>#N/A</v>
      </c>
      <c r="AF126" s="3" t="e">
        <v>#N/A</v>
      </c>
      <c r="AG126" s="3" t="e">
        <v>#N/A</v>
      </c>
      <c r="AH126" s="3" t="e">
        <v>#N/A</v>
      </c>
      <c r="AI126" s="3" t="e">
        <v>#N/A</v>
      </c>
      <c r="AJ126" s="3" t="e">
        <v>#N/A</v>
      </c>
      <c r="AK126" s="3" t="e">
        <v>#N/A</v>
      </c>
      <c r="AL126" s="3" t="e">
        <v>#N/A</v>
      </c>
      <c r="AM126" s="3" t="e">
        <v>#N/A</v>
      </c>
      <c r="AN126" s="3" t="e">
        <v>#N/A</v>
      </c>
      <c r="AO126" s="3" t="e">
        <v>#N/A</v>
      </c>
      <c r="AP126" s="3" t="e">
        <v>#N/A</v>
      </c>
      <c r="AR126" s="3" t="e">
        <f t="shared" si="9"/>
        <v>#N/A</v>
      </c>
      <c r="AS126" s="3" t="e">
        <f t="shared" si="9"/>
        <v>#N/A</v>
      </c>
      <c r="AT126" s="3" t="e">
        <f t="shared" si="9"/>
        <v>#N/A</v>
      </c>
      <c r="AU126" s="3" t="e">
        <f t="shared" si="10"/>
        <v>#N/A</v>
      </c>
      <c r="AV126" s="3" t="e">
        <f t="shared" si="11"/>
        <v>#N/A</v>
      </c>
      <c r="AW126" s="3" t="e">
        <f t="shared" si="12"/>
        <v>#N/A</v>
      </c>
      <c r="AX126" s="3" t="e">
        <f t="shared" si="13"/>
        <v>#N/A</v>
      </c>
      <c r="AY126" s="3" t="e">
        <f t="shared" si="14"/>
        <v>#N/A</v>
      </c>
      <c r="AZ126" s="3" t="e">
        <f t="shared" si="15"/>
        <v>#N/A</v>
      </c>
      <c r="BA126" s="3" t="e">
        <f t="shared" si="16"/>
        <v>#N/A</v>
      </c>
      <c r="BB126" s="3" t="e">
        <f t="shared" si="17"/>
        <v>#N/A</v>
      </c>
    </row>
    <row r="127" spans="1:54" x14ac:dyDescent="0.25">
      <c r="A127" t="s">
        <v>738</v>
      </c>
      <c r="B127" s="21">
        <v>2.65</v>
      </c>
      <c r="C127" s="21">
        <v>3.59</v>
      </c>
      <c r="D127" s="35">
        <v>0.5</v>
      </c>
      <c r="E127" s="3" t="e">
        <v>#N/A</v>
      </c>
      <c r="F127" s="3" t="e">
        <v>#N/A</v>
      </c>
      <c r="G127" s="3">
        <v>240418</v>
      </c>
      <c r="H127" s="3">
        <v>246141</v>
      </c>
      <c r="I127" s="4" t="e">
        <v>#N/A</v>
      </c>
      <c r="J127" s="3"/>
      <c r="K127" s="3" t="e">
        <v>#N/A</v>
      </c>
      <c r="L127" s="3" t="e">
        <v>#N/A</v>
      </c>
      <c r="M127" s="3" t="e">
        <v>#N/A</v>
      </c>
      <c r="N127" s="3" t="e">
        <v>#N/A</v>
      </c>
      <c r="O127" s="3" t="e">
        <v>#N/A</v>
      </c>
      <c r="P127" s="3" t="e">
        <v>#N/A</v>
      </c>
      <c r="Q127" s="3" t="e">
        <v>#N/A</v>
      </c>
      <c r="R127" s="3" t="e">
        <v>#N/A</v>
      </c>
      <c r="S127" s="3" t="e">
        <v>#N/A</v>
      </c>
      <c r="T127" s="3" t="e">
        <v>#N/A</v>
      </c>
      <c r="U127" s="3" t="e">
        <v>#N/A</v>
      </c>
      <c r="V127" s="3" t="e">
        <v>#N/A</v>
      </c>
      <c r="W127" s="3" t="e">
        <v>#N/A</v>
      </c>
      <c r="X127" s="3" t="e">
        <v>#N/A</v>
      </c>
      <c r="Y127" s="3" t="e">
        <v>#N/A</v>
      </c>
      <c r="Z127" s="3" t="e">
        <v>#N/A</v>
      </c>
      <c r="AA127" s="3" t="e">
        <v>#N/A</v>
      </c>
      <c r="AB127" s="3" t="e">
        <v>#N/A</v>
      </c>
      <c r="AC127" s="3" t="e">
        <v>#N/A</v>
      </c>
      <c r="AD127" s="3" t="e">
        <v>#N/A</v>
      </c>
      <c r="AE127" s="3" t="e">
        <v>#N/A</v>
      </c>
      <c r="AF127" s="3" t="e">
        <v>#N/A</v>
      </c>
      <c r="AG127" s="3" t="e">
        <v>#N/A</v>
      </c>
      <c r="AH127" s="3" t="e">
        <v>#N/A</v>
      </c>
      <c r="AI127" s="3" t="e">
        <v>#N/A</v>
      </c>
      <c r="AJ127" s="3" t="e">
        <v>#N/A</v>
      </c>
      <c r="AK127" s="3" t="e">
        <v>#N/A</v>
      </c>
      <c r="AL127" s="3" t="e">
        <v>#N/A</v>
      </c>
      <c r="AM127" s="3" t="e">
        <v>#N/A</v>
      </c>
      <c r="AN127" s="3" t="e">
        <v>#N/A</v>
      </c>
      <c r="AO127" s="3" t="e">
        <v>#N/A</v>
      </c>
      <c r="AP127" s="3" t="e">
        <v>#N/A</v>
      </c>
      <c r="AR127" s="3" t="e">
        <f t="shared" si="9"/>
        <v>#N/A</v>
      </c>
      <c r="AS127" s="3" t="e">
        <f t="shared" si="9"/>
        <v>#N/A</v>
      </c>
      <c r="AT127" s="3" t="e">
        <f t="shared" si="9"/>
        <v>#N/A</v>
      </c>
      <c r="AU127" s="3" t="e">
        <f t="shared" si="10"/>
        <v>#N/A</v>
      </c>
      <c r="AV127" s="3" t="e">
        <f t="shared" si="11"/>
        <v>#N/A</v>
      </c>
      <c r="AW127" s="3" t="e">
        <f t="shared" si="12"/>
        <v>#N/A</v>
      </c>
      <c r="AX127" s="3" t="e">
        <f t="shared" si="13"/>
        <v>#N/A</v>
      </c>
      <c r="AY127" s="3" t="e">
        <f t="shared" si="14"/>
        <v>#N/A</v>
      </c>
      <c r="AZ127" s="3" t="e">
        <f t="shared" si="15"/>
        <v>#N/A</v>
      </c>
      <c r="BA127" s="3" t="e">
        <f t="shared" si="16"/>
        <v>#N/A</v>
      </c>
      <c r="BB127" s="3" t="e">
        <f t="shared" si="17"/>
        <v>#N/A</v>
      </c>
    </row>
    <row r="128" spans="1:54" x14ac:dyDescent="0.25">
      <c r="A128" t="s">
        <v>739</v>
      </c>
      <c r="B128" s="21">
        <v>2.77</v>
      </c>
      <c r="C128" s="21">
        <v>3.67</v>
      </c>
      <c r="D128" s="35">
        <v>0.5</v>
      </c>
      <c r="E128" s="3" t="e">
        <v>#N/A</v>
      </c>
      <c r="F128" s="3" t="e">
        <v>#N/A</v>
      </c>
      <c r="G128" s="3">
        <v>241420</v>
      </c>
      <c r="H128" s="3">
        <v>236169</v>
      </c>
      <c r="I128" s="4" t="e">
        <v>#N/A</v>
      </c>
      <c r="J128" s="3"/>
      <c r="K128" s="3" t="e">
        <v>#N/A</v>
      </c>
      <c r="L128" s="3" t="e">
        <v>#N/A</v>
      </c>
      <c r="M128" s="3" t="e">
        <v>#N/A</v>
      </c>
      <c r="N128" s="3" t="e">
        <v>#N/A</v>
      </c>
      <c r="O128" s="3" t="e">
        <v>#N/A</v>
      </c>
      <c r="P128" s="3" t="e">
        <v>#N/A</v>
      </c>
      <c r="Q128" s="3" t="e">
        <v>#N/A</v>
      </c>
      <c r="R128" s="3" t="e">
        <v>#N/A</v>
      </c>
      <c r="S128" s="3" t="e">
        <v>#N/A</v>
      </c>
      <c r="T128" s="3" t="e">
        <v>#N/A</v>
      </c>
      <c r="U128" s="3" t="e">
        <v>#N/A</v>
      </c>
      <c r="V128" s="3" t="e">
        <v>#N/A</v>
      </c>
      <c r="W128" s="3" t="e">
        <v>#N/A</v>
      </c>
      <c r="X128" s="3" t="e">
        <v>#N/A</v>
      </c>
      <c r="Y128" s="3" t="e">
        <v>#N/A</v>
      </c>
      <c r="Z128" s="3" t="e">
        <v>#N/A</v>
      </c>
      <c r="AA128" s="3" t="e">
        <v>#N/A</v>
      </c>
      <c r="AB128" s="3" t="e">
        <v>#N/A</v>
      </c>
      <c r="AC128" s="3" t="e">
        <v>#N/A</v>
      </c>
      <c r="AD128" s="3" t="e">
        <v>#N/A</v>
      </c>
      <c r="AE128" s="3" t="e">
        <v>#N/A</v>
      </c>
      <c r="AF128" s="3" t="e">
        <v>#N/A</v>
      </c>
      <c r="AG128" s="3" t="e">
        <v>#N/A</v>
      </c>
      <c r="AH128" s="3" t="e">
        <v>#N/A</v>
      </c>
      <c r="AI128" s="3" t="e">
        <v>#N/A</v>
      </c>
      <c r="AJ128" s="3" t="e">
        <v>#N/A</v>
      </c>
      <c r="AK128" s="3" t="e">
        <v>#N/A</v>
      </c>
      <c r="AL128" s="3" t="e">
        <v>#N/A</v>
      </c>
      <c r="AM128" s="3" t="e">
        <v>#N/A</v>
      </c>
      <c r="AN128" s="3" t="e">
        <v>#N/A</v>
      </c>
      <c r="AO128" s="3" t="e">
        <v>#N/A</v>
      </c>
      <c r="AP128" s="3" t="e">
        <v>#N/A</v>
      </c>
      <c r="AR128" s="3" t="e">
        <f t="shared" si="9"/>
        <v>#N/A</v>
      </c>
      <c r="AS128" s="3" t="e">
        <f t="shared" si="9"/>
        <v>#N/A</v>
      </c>
      <c r="AT128" s="3" t="e">
        <f t="shared" si="9"/>
        <v>#N/A</v>
      </c>
      <c r="AU128" s="3" t="e">
        <f t="shared" si="10"/>
        <v>#N/A</v>
      </c>
      <c r="AV128" s="3" t="e">
        <f t="shared" si="11"/>
        <v>#N/A</v>
      </c>
      <c r="AW128" s="3" t="e">
        <f t="shared" si="12"/>
        <v>#N/A</v>
      </c>
      <c r="AX128" s="3" t="e">
        <f t="shared" si="13"/>
        <v>#N/A</v>
      </c>
      <c r="AY128" s="3" t="e">
        <f t="shared" si="14"/>
        <v>#N/A</v>
      </c>
      <c r="AZ128" s="3" t="e">
        <f t="shared" si="15"/>
        <v>#N/A</v>
      </c>
      <c r="BA128" s="3" t="e">
        <f t="shared" si="16"/>
        <v>#N/A</v>
      </c>
      <c r="BB128" s="3" t="e">
        <f t="shared" si="17"/>
        <v>#N/A</v>
      </c>
    </row>
    <row r="129" spans="1:54" x14ac:dyDescent="0.25">
      <c r="A129" t="s">
        <v>740</v>
      </c>
      <c r="B129" s="21">
        <v>2.78</v>
      </c>
      <c r="C129" s="21">
        <v>3.67</v>
      </c>
      <c r="D129" s="35">
        <v>0.5</v>
      </c>
      <c r="E129" s="3" t="e">
        <v>#N/A</v>
      </c>
      <c r="F129" s="3" t="e">
        <v>#N/A</v>
      </c>
      <c r="G129" s="3">
        <v>242785</v>
      </c>
      <c r="H129" s="3">
        <v>238735</v>
      </c>
      <c r="I129" s="4" t="e">
        <v>#N/A</v>
      </c>
      <c r="J129" s="3"/>
      <c r="K129" s="3" t="e">
        <v>#N/A</v>
      </c>
      <c r="L129" s="3" t="e">
        <v>#N/A</v>
      </c>
      <c r="M129" s="3" t="e">
        <v>#N/A</v>
      </c>
      <c r="N129" s="3" t="e">
        <v>#N/A</v>
      </c>
      <c r="O129" s="3" t="e">
        <v>#N/A</v>
      </c>
      <c r="P129" s="3" t="e">
        <v>#N/A</v>
      </c>
      <c r="Q129" s="3" t="e">
        <v>#N/A</v>
      </c>
      <c r="R129" s="3" t="e">
        <v>#N/A</v>
      </c>
      <c r="S129" s="3" t="e">
        <v>#N/A</v>
      </c>
      <c r="T129" s="3" t="e">
        <v>#N/A</v>
      </c>
      <c r="U129" s="3" t="e">
        <v>#N/A</v>
      </c>
      <c r="V129" s="3" t="e">
        <v>#N/A</v>
      </c>
      <c r="W129" s="3" t="e">
        <v>#N/A</v>
      </c>
      <c r="X129" s="3" t="e">
        <v>#N/A</v>
      </c>
      <c r="Y129" s="3" t="e">
        <v>#N/A</v>
      </c>
      <c r="Z129" s="3" t="e">
        <v>#N/A</v>
      </c>
      <c r="AA129" s="3" t="e">
        <v>#N/A</v>
      </c>
      <c r="AB129" s="3" t="e">
        <v>#N/A</v>
      </c>
      <c r="AC129" s="3" t="e">
        <v>#N/A</v>
      </c>
      <c r="AD129" s="3" t="e">
        <v>#N/A</v>
      </c>
      <c r="AE129" s="3" t="e">
        <v>#N/A</v>
      </c>
      <c r="AF129" s="3" t="e">
        <v>#N/A</v>
      </c>
      <c r="AG129" s="3" t="e">
        <v>#N/A</v>
      </c>
      <c r="AH129" s="3" t="e">
        <v>#N/A</v>
      </c>
      <c r="AI129" s="3" t="e">
        <v>#N/A</v>
      </c>
      <c r="AJ129" s="3" t="e">
        <v>#N/A</v>
      </c>
      <c r="AK129" s="3" t="e">
        <v>#N/A</v>
      </c>
      <c r="AL129" s="3" t="e">
        <v>#N/A</v>
      </c>
      <c r="AM129" s="3" t="e">
        <v>#N/A</v>
      </c>
      <c r="AN129" s="3" t="e">
        <v>#N/A</v>
      </c>
      <c r="AO129" s="3" t="e">
        <v>#N/A</v>
      </c>
      <c r="AP129" s="3" t="e">
        <v>#N/A</v>
      </c>
      <c r="AR129" s="3" t="e">
        <f t="shared" si="9"/>
        <v>#N/A</v>
      </c>
      <c r="AS129" s="3" t="e">
        <f t="shared" si="9"/>
        <v>#N/A</v>
      </c>
      <c r="AT129" s="3" t="e">
        <f t="shared" si="9"/>
        <v>#N/A</v>
      </c>
      <c r="AU129" s="3" t="e">
        <f t="shared" si="10"/>
        <v>#N/A</v>
      </c>
      <c r="AV129" s="3" t="e">
        <f t="shared" si="11"/>
        <v>#N/A</v>
      </c>
      <c r="AW129" s="3" t="e">
        <f t="shared" si="12"/>
        <v>#N/A</v>
      </c>
      <c r="AX129" s="3" t="e">
        <f t="shared" si="13"/>
        <v>#N/A</v>
      </c>
      <c r="AY129" s="3" t="e">
        <f t="shared" si="14"/>
        <v>#N/A</v>
      </c>
      <c r="AZ129" s="3" t="e">
        <f t="shared" si="15"/>
        <v>#N/A</v>
      </c>
      <c r="BA129" s="3" t="e">
        <f t="shared" si="16"/>
        <v>#N/A</v>
      </c>
      <c r="BB129" s="3" t="e">
        <f t="shared" si="17"/>
        <v>#N/A</v>
      </c>
    </row>
    <row r="130" spans="1:54" x14ac:dyDescent="0.25">
      <c r="A130" t="s">
        <v>741</v>
      </c>
      <c r="B130" s="21">
        <v>2.81</v>
      </c>
      <c r="C130" s="21">
        <v>3.66</v>
      </c>
      <c r="D130" s="35">
        <v>0.5</v>
      </c>
      <c r="E130" s="3" t="e">
        <v>#N/A</v>
      </c>
      <c r="F130" s="3" t="e">
        <v>#N/A</v>
      </c>
      <c r="G130" s="3">
        <v>244198</v>
      </c>
      <c r="H130" s="3">
        <v>246895</v>
      </c>
      <c r="I130" s="4" t="e">
        <v>#N/A</v>
      </c>
      <c r="J130" s="3"/>
      <c r="K130" s="3" t="e">
        <v>#N/A</v>
      </c>
      <c r="L130" s="3" t="e">
        <v>#N/A</v>
      </c>
      <c r="M130" s="3" t="e">
        <v>#N/A</v>
      </c>
      <c r="N130" s="3" t="e">
        <v>#N/A</v>
      </c>
      <c r="O130" s="3" t="e">
        <v>#N/A</v>
      </c>
      <c r="P130" s="3" t="e">
        <v>#N/A</v>
      </c>
      <c r="Q130" s="3" t="e">
        <v>#N/A</v>
      </c>
      <c r="R130" s="3" t="e">
        <v>#N/A</v>
      </c>
      <c r="S130" s="3" t="e">
        <v>#N/A</v>
      </c>
      <c r="T130" s="3" t="e">
        <v>#N/A</v>
      </c>
      <c r="U130" s="3" t="e">
        <v>#N/A</v>
      </c>
      <c r="V130" s="3" t="e">
        <v>#N/A</v>
      </c>
      <c r="W130" s="3" t="e">
        <v>#N/A</v>
      </c>
      <c r="X130" s="3" t="e">
        <v>#N/A</v>
      </c>
      <c r="Y130" s="3" t="e">
        <v>#N/A</v>
      </c>
      <c r="Z130" s="3" t="e">
        <v>#N/A</v>
      </c>
      <c r="AA130" s="3" t="e">
        <v>#N/A</v>
      </c>
      <c r="AB130" s="3" t="e">
        <v>#N/A</v>
      </c>
      <c r="AC130" s="3" t="e">
        <v>#N/A</v>
      </c>
      <c r="AD130" s="3" t="e">
        <v>#N/A</v>
      </c>
      <c r="AE130" s="3" t="e">
        <v>#N/A</v>
      </c>
      <c r="AF130" s="3" t="e">
        <v>#N/A</v>
      </c>
      <c r="AG130" s="3" t="e">
        <v>#N/A</v>
      </c>
      <c r="AH130" s="3" t="e">
        <v>#N/A</v>
      </c>
      <c r="AI130" s="3" t="e">
        <v>#N/A</v>
      </c>
      <c r="AJ130" s="3" t="e">
        <v>#N/A</v>
      </c>
      <c r="AK130" s="3" t="e">
        <v>#N/A</v>
      </c>
      <c r="AL130" s="3" t="e">
        <v>#N/A</v>
      </c>
      <c r="AM130" s="3" t="e">
        <v>#N/A</v>
      </c>
      <c r="AN130" s="3" t="e">
        <v>#N/A</v>
      </c>
      <c r="AO130" s="3" t="e">
        <v>#N/A</v>
      </c>
      <c r="AP130" s="3" t="e">
        <v>#N/A</v>
      </c>
      <c r="AR130" s="3" t="e">
        <f t="shared" si="9"/>
        <v>#N/A</v>
      </c>
      <c r="AS130" s="3" t="e">
        <f t="shared" si="9"/>
        <v>#N/A</v>
      </c>
      <c r="AT130" s="3" t="e">
        <f t="shared" si="9"/>
        <v>#N/A</v>
      </c>
      <c r="AU130" s="3" t="e">
        <f t="shared" si="10"/>
        <v>#N/A</v>
      </c>
      <c r="AV130" s="3" t="e">
        <f t="shared" si="11"/>
        <v>#N/A</v>
      </c>
      <c r="AW130" s="3" t="e">
        <f t="shared" si="12"/>
        <v>#N/A</v>
      </c>
      <c r="AX130" s="3" t="e">
        <f t="shared" si="13"/>
        <v>#N/A</v>
      </c>
      <c r="AY130" s="3" t="e">
        <f t="shared" si="14"/>
        <v>#N/A</v>
      </c>
      <c r="AZ130" s="3" t="e">
        <f t="shared" si="15"/>
        <v>#N/A</v>
      </c>
      <c r="BA130" s="3" t="e">
        <f t="shared" si="16"/>
        <v>#N/A</v>
      </c>
      <c r="BB130" s="3" t="e">
        <f t="shared" si="17"/>
        <v>#N/A</v>
      </c>
    </row>
    <row r="131" spans="1:54" x14ac:dyDescent="0.25">
      <c r="A131" t="s">
        <v>742</v>
      </c>
      <c r="B131" s="21">
        <v>2.86</v>
      </c>
      <c r="C131" s="21">
        <v>3.67</v>
      </c>
      <c r="D131" s="35">
        <v>0.5</v>
      </c>
      <c r="E131" s="3" t="e">
        <v>#N/A</v>
      </c>
      <c r="F131" s="3" t="e">
        <v>#N/A</v>
      </c>
      <c r="G131" s="3">
        <v>241889</v>
      </c>
      <c r="H131" s="3">
        <v>239431</v>
      </c>
      <c r="I131" s="4" t="e">
        <v>#N/A</v>
      </c>
      <c r="J131" s="3"/>
      <c r="K131" s="3" t="e">
        <v>#N/A</v>
      </c>
      <c r="L131" s="3" t="e">
        <v>#N/A</v>
      </c>
      <c r="M131" s="3" t="e">
        <v>#N/A</v>
      </c>
      <c r="N131" s="3" t="e">
        <v>#N/A</v>
      </c>
      <c r="O131" s="3" t="e">
        <v>#N/A</v>
      </c>
      <c r="P131" s="3" t="e">
        <v>#N/A</v>
      </c>
      <c r="Q131" s="3" t="e">
        <v>#N/A</v>
      </c>
      <c r="R131" s="3" t="e">
        <v>#N/A</v>
      </c>
      <c r="S131" s="3" t="e">
        <v>#N/A</v>
      </c>
      <c r="T131" s="3" t="e">
        <v>#N/A</v>
      </c>
      <c r="U131" s="3" t="e">
        <v>#N/A</v>
      </c>
      <c r="V131" s="3" t="e">
        <v>#N/A</v>
      </c>
      <c r="W131" s="3" t="e">
        <v>#N/A</v>
      </c>
      <c r="X131" s="3" t="e">
        <v>#N/A</v>
      </c>
      <c r="Y131" s="3" t="e">
        <v>#N/A</v>
      </c>
      <c r="Z131" s="3" t="e">
        <v>#N/A</v>
      </c>
      <c r="AA131" s="3" t="e">
        <v>#N/A</v>
      </c>
      <c r="AB131" s="3" t="e">
        <v>#N/A</v>
      </c>
      <c r="AC131" s="3" t="e">
        <v>#N/A</v>
      </c>
      <c r="AD131" s="3" t="e">
        <v>#N/A</v>
      </c>
      <c r="AE131" s="3" t="e">
        <v>#N/A</v>
      </c>
      <c r="AF131" s="3" t="e">
        <v>#N/A</v>
      </c>
      <c r="AG131" s="3" t="e">
        <v>#N/A</v>
      </c>
      <c r="AH131" s="3" t="e">
        <v>#N/A</v>
      </c>
      <c r="AI131" s="3" t="e">
        <v>#N/A</v>
      </c>
      <c r="AJ131" s="3" t="e">
        <v>#N/A</v>
      </c>
      <c r="AK131" s="3" t="e">
        <v>#N/A</v>
      </c>
      <c r="AL131" s="3" t="e">
        <v>#N/A</v>
      </c>
      <c r="AM131" s="3" t="e">
        <v>#N/A</v>
      </c>
      <c r="AN131" s="3" t="e">
        <v>#N/A</v>
      </c>
      <c r="AO131" s="3" t="e">
        <v>#N/A</v>
      </c>
      <c r="AP131" s="3" t="e">
        <v>#N/A</v>
      </c>
      <c r="AR131" s="3" t="e">
        <f t="shared" si="9"/>
        <v>#N/A</v>
      </c>
      <c r="AS131" s="3" t="e">
        <f t="shared" si="9"/>
        <v>#N/A</v>
      </c>
      <c r="AT131" s="3" t="e">
        <f t="shared" si="9"/>
        <v>#N/A</v>
      </c>
      <c r="AU131" s="3" t="e">
        <f t="shared" si="10"/>
        <v>#N/A</v>
      </c>
      <c r="AV131" s="3" t="e">
        <f t="shared" si="11"/>
        <v>#N/A</v>
      </c>
      <c r="AW131" s="3" t="e">
        <f t="shared" si="12"/>
        <v>#N/A</v>
      </c>
      <c r="AX131" s="3" t="e">
        <f t="shared" si="13"/>
        <v>#N/A</v>
      </c>
      <c r="AY131" s="3" t="e">
        <f t="shared" si="14"/>
        <v>#N/A</v>
      </c>
      <c r="AZ131" s="3" t="e">
        <f t="shared" si="15"/>
        <v>#N/A</v>
      </c>
      <c r="BA131" s="3" t="e">
        <f t="shared" si="16"/>
        <v>#N/A</v>
      </c>
      <c r="BB131" s="3" t="e">
        <f t="shared" si="17"/>
        <v>#N/A</v>
      </c>
    </row>
    <row r="132" spans="1:54" x14ac:dyDescent="0.25">
      <c r="A132" t="s">
        <v>743</v>
      </c>
      <c r="B132" s="21">
        <v>2.85</v>
      </c>
      <c r="C132" s="21">
        <v>3.66</v>
      </c>
      <c r="D132" s="35">
        <v>0.5</v>
      </c>
      <c r="E132" s="3" t="e">
        <v>#N/A</v>
      </c>
      <c r="F132" s="3" t="e">
        <v>#N/A</v>
      </c>
      <c r="G132" s="3">
        <v>241825</v>
      </c>
      <c r="H132" s="3">
        <v>241487</v>
      </c>
      <c r="I132" s="4" t="e">
        <v>#N/A</v>
      </c>
      <c r="J132" s="3"/>
      <c r="K132" s="3" t="e">
        <v>#N/A</v>
      </c>
      <c r="L132" s="3" t="e">
        <v>#N/A</v>
      </c>
      <c r="M132" s="3" t="e">
        <v>#N/A</v>
      </c>
      <c r="N132" s="3" t="e">
        <v>#N/A</v>
      </c>
      <c r="O132" s="3" t="e">
        <v>#N/A</v>
      </c>
      <c r="P132" s="3" t="e">
        <v>#N/A</v>
      </c>
      <c r="Q132" s="3" t="e">
        <v>#N/A</v>
      </c>
      <c r="R132" s="3" t="e">
        <v>#N/A</v>
      </c>
      <c r="S132" s="3" t="e">
        <v>#N/A</v>
      </c>
      <c r="T132" s="3" t="e">
        <v>#N/A</v>
      </c>
      <c r="U132" s="3" t="e">
        <v>#N/A</v>
      </c>
      <c r="V132" s="3" t="e">
        <v>#N/A</v>
      </c>
      <c r="W132" s="3" t="e">
        <v>#N/A</v>
      </c>
      <c r="X132" s="3" t="e">
        <v>#N/A</v>
      </c>
      <c r="Y132" s="3" t="e">
        <v>#N/A</v>
      </c>
      <c r="Z132" s="3" t="e">
        <v>#N/A</v>
      </c>
      <c r="AA132" s="3" t="e">
        <v>#N/A</v>
      </c>
      <c r="AB132" s="3" t="e">
        <v>#N/A</v>
      </c>
      <c r="AC132" s="3" t="e">
        <v>#N/A</v>
      </c>
      <c r="AD132" s="3" t="e">
        <v>#N/A</v>
      </c>
      <c r="AE132" s="3" t="e">
        <v>#N/A</v>
      </c>
      <c r="AF132" s="3" t="e">
        <v>#N/A</v>
      </c>
      <c r="AG132" s="3" t="e">
        <v>#N/A</v>
      </c>
      <c r="AH132" s="3" t="e">
        <v>#N/A</v>
      </c>
      <c r="AI132" s="3" t="e">
        <v>#N/A</v>
      </c>
      <c r="AJ132" s="3" t="e">
        <v>#N/A</v>
      </c>
      <c r="AK132" s="3" t="e">
        <v>#N/A</v>
      </c>
      <c r="AL132" s="3" t="e">
        <v>#N/A</v>
      </c>
      <c r="AM132" s="3" t="e">
        <v>#N/A</v>
      </c>
      <c r="AN132" s="3" t="e">
        <v>#N/A</v>
      </c>
      <c r="AO132" s="3" t="e">
        <v>#N/A</v>
      </c>
      <c r="AP132" s="3" t="e">
        <v>#N/A</v>
      </c>
      <c r="AR132" s="3" t="e">
        <f t="shared" si="9"/>
        <v>#N/A</v>
      </c>
      <c r="AS132" s="3" t="e">
        <f t="shared" si="9"/>
        <v>#N/A</v>
      </c>
      <c r="AT132" s="3" t="e">
        <f t="shared" si="9"/>
        <v>#N/A</v>
      </c>
      <c r="AU132" s="3" t="e">
        <f t="shared" si="10"/>
        <v>#N/A</v>
      </c>
      <c r="AV132" s="3" t="e">
        <f t="shared" si="11"/>
        <v>#N/A</v>
      </c>
      <c r="AW132" s="3" t="e">
        <f t="shared" si="12"/>
        <v>#N/A</v>
      </c>
      <c r="AX132" s="3" t="e">
        <f t="shared" si="13"/>
        <v>#N/A</v>
      </c>
      <c r="AY132" s="3" t="e">
        <f t="shared" si="14"/>
        <v>#N/A</v>
      </c>
      <c r="AZ132" s="3" t="e">
        <f t="shared" si="15"/>
        <v>#N/A</v>
      </c>
      <c r="BA132" s="3" t="e">
        <f t="shared" si="16"/>
        <v>#N/A</v>
      </c>
      <c r="BB132" s="3" t="e">
        <f t="shared" si="17"/>
        <v>#N/A</v>
      </c>
    </row>
    <row r="133" spans="1:54" x14ac:dyDescent="0.25">
      <c r="A133" t="s">
        <v>744</v>
      </c>
      <c r="B133" s="21">
        <v>2.88</v>
      </c>
      <c r="C133" s="21">
        <v>3.65</v>
      </c>
      <c r="D133" s="35">
        <v>0.5</v>
      </c>
      <c r="E133" s="3" t="e">
        <v>#N/A</v>
      </c>
      <c r="F133" s="3" t="e">
        <v>#N/A</v>
      </c>
      <c r="G133" s="3">
        <v>243686</v>
      </c>
      <c r="H133" s="3">
        <v>247919</v>
      </c>
      <c r="I133" s="4" t="e">
        <v>#N/A</v>
      </c>
      <c r="J133" s="3"/>
      <c r="K133" s="3" t="e">
        <v>#N/A</v>
      </c>
      <c r="L133" s="3" t="e">
        <v>#N/A</v>
      </c>
      <c r="M133" s="3" t="e">
        <v>#N/A</v>
      </c>
      <c r="N133" s="3" t="e">
        <v>#N/A</v>
      </c>
      <c r="O133" s="3" t="e">
        <v>#N/A</v>
      </c>
      <c r="P133" s="3" t="e">
        <v>#N/A</v>
      </c>
      <c r="Q133" s="3" t="e">
        <v>#N/A</v>
      </c>
      <c r="R133" s="3" t="e">
        <v>#N/A</v>
      </c>
      <c r="S133" s="3" t="e">
        <v>#N/A</v>
      </c>
      <c r="T133" s="3" t="e">
        <v>#N/A</v>
      </c>
      <c r="U133" s="3" t="e">
        <v>#N/A</v>
      </c>
      <c r="V133" s="3" t="e">
        <v>#N/A</v>
      </c>
      <c r="W133" s="3" t="e">
        <v>#N/A</v>
      </c>
      <c r="X133" s="3" t="e">
        <v>#N/A</v>
      </c>
      <c r="Y133" s="3" t="e">
        <v>#N/A</v>
      </c>
      <c r="Z133" s="3" t="e">
        <v>#N/A</v>
      </c>
      <c r="AA133" s="3" t="e">
        <v>#N/A</v>
      </c>
      <c r="AB133" s="3" t="e">
        <v>#N/A</v>
      </c>
      <c r="AC133" s="3" t="e">
        <v>#N/A</v>
      </c>
      <c r="AD133" s="3" t="e">
        <v>#N/A</v>
      </c>
      <c r="AE133" s="3" t="e">
        <v>#N/A</v>
      </c>
      <c r="AF133" s="3" t="e">
        <v>#N/A</v>
      </c>
      <c r="AG133" s="3" t="e">
        <v>#N/A</v>
      </c>
      <c r="AH133" s="3" t="e">
        <v>#N/A</v>
      </c>
      <c r="AI133" s="3" t="e">
        <v>#N/A</v>
      </c>
      <c r="AJ133" s="3" t="e">
        <v>#N/A</v>
      </c>
      <c r="AK133" s="3" t="e">
        <v>#N/A</v>
      </c>
      <c r="AL133" s="3" t="e">
        <v>#N/A</v>
      </c>
      <c r="AM133" s="3" t="e">
        <v>#N/A</v>
      </c>
      <c r="AN133" s="3" t="e">
        <v>#N/A</v>
      </c>
      <c r="AO133" s="3" t="e">
        <v>#N/A</v>
      </c>
      <c r="AP133" s="3" t="e">
        <v>#N/A</v>
      </c>
      <c r="AR133" s="3" t="e">
        <f t="shared" si="9"/>
        <v>#N/A</v>
      </c>
      <c r="AS133" s="3" t="e">
        <f t="shared" si="9"/>
        <v>#N/A</v>
      </c>
      <c r="AT133" s="3" t="e">
        <f t="shared" si="9"/>
        <v>#N/A</v>
      </c>
      <c r="AU133" s="3" t="e">
        <f t="shared" si="10"/>
        <v>#N/A</v>
      </c>
      <c r="AV133" s="3" t="e">
        <f t="shared" si="11"/>
        <v>#N/A</v>
      </c>
      <c r="AW133" s="3" t="e">
        <f t="shared" si="12"/>
        <v>#N/A</v>
      </c>
      <c r="AX133" s="3" t="e">
        <f t="shared" si="13"/>
        <v>#N/A</v>
      </c>
      <c r="AY133" s="3" t="e">
        <f t="shared" si="14"/>
        <v>#N/A</v>
      </c>
      <c r="AZ133" s="3" t="e">
        <f t="shared" si="15"/>
        <v>#N/A</v>
      </c>
      <c r="BA133" s="3" t="e">
        <f t="shared" si="16"/>
        <v>#N/A</v>
      </c>
      <c r="BB133" s="3" t="e">
        <f t="shared" si="17"/>
        <v>#N/A</v>
      </c>
    </row>
    <row r="134" spans="1:54" x14ac:dyDescent="0.25">
      <c r="A134" t="s">
        <v>745</v>
      </c>
      <c r="B134" s="21">
        <v>2.88</v>
      </c>
      <c r="C134" s="21">
        <v>3.63</v>
      </c>
      <c r="D134" s="35">
        <v>0.5</v>
      </c>
      <c r="E134" s="3" t="e">
        <v>#N/A</v>
      </c>
      <c r="F134" s="3" t="e">
        <v>#N/A</v>
      </c>
      <c r="G134" s="3">
        <v>246480</v>
      </c>
      <c r="H134" s="3">
        <v>245392</v>
      </c>
      <c r="I134" s="4" t="e">
        <v>#N/A</v>
      </c>
      <c r="J134" s="3"/>
      <c r="K134" s="3" t="e">
        <v>#N/A</v>
      </c>
      <c r="L134" s="3" t="e">
        <v>#N/A</v>
      </c>
      <c r="M134" s="3" t="e">
        <v>#N/A</v>
      </c>
      <c r="N134" s="3" t="e">
        <v>#N/A</v>
      </c>
      <c r="O134" s="3" t="e">
        <v>#N/A</v>
      </c>
      <c r="P134" s="3" t="e">
        <v>#N/A</v>
      </c>
      <c r="Q134" s="3" t="e">
        <v>#N/A</v>
      </c>
      <c r="R134" s="3" t="e">
        <v>#N/A</v>
      </c>
      <c r="S134" s="3" t="e">
        <v>#N/A</v>
      </c>
      <c r="T134" s="3" t="e">
        <v>#N/A</v>
      </c>
      <c r="U134" s="3" t="e">
        <v>#N/A</v>
      </c>
      <c r="V134" s="3" t="e">
        <v>#N/A</v>
      </c>
      <c r="W134" s="3" t="e">
        <v>#N/A</v>
      </c>
      <c r="X134" s="3" t="e">
        <v>#N/A</v>
      </c>
      <c r="Y134" s="3" t="e">
        <v>#N/A</v>
      </c>
      <c r="Z134" s="3" t="e">
        <v>#N/A</v>
      </c>
      <c r="AA134" s="3" t="e">
        <v>#N/A</v>
      </c>
      <c r="AB134" s="3" t="e">
        <v>#N/A</v>
      </c>
      <c r="AC134" s="3" t="e">
        <v>#N/A</v>
      </c>
      <c r="AD134" s="3" t="e">
        <v>#N/A</v>
      </c>
      <c r="AE134" s="3" t="e">
        <v>#N/A</v>
      </c>
      <c r="AF134" s="3" t="e">
        <v>#N/A</v>
      </c>
      <c r="AG134" s="3" t="e">
        <v>#N/A</v>
      </c>
      <c r="AH134" s="3" t="e">
        <v>#N/A</v>
      </c>
      <c r="AI134" s="3" t="e">
        <v>#N/A</v>
      </c>
      <c r="AJ134" s="3" t="e">
        <v>#N/A</v>
      </c>
      <c r="AK134" s="3" t="e">
        <v>#N/A</v>
      </c>
      <c r="AL134" s="3" t="e">
        <v>#N/A</v>
      </c>
      <c r="AM134" s="3" t="e">
        <v>#N/A</v>
      </c>
      <c r="AN134" s="3" t="e">
        <v>#N/A</v>
      </c>
      <c r="AO134" s="3" t="e">
        <v>#N/A</v>
      </c>
      <c r="AP134" s="3" t="e">
        <v>#N/A</v>
      </c>
      <c r="AR134" s="3" t="e">
        <f t="shared" si="9"/>
        <v>#N/A</v>
      </c>
      <c r="AS134" s="3" t="e">
        <f t="shared" si="9"/>
        <v>#N/A</v>
      </c>
      <c r="AT134" s="3" t="e">
        <f t="shared" si="9"/>
        <v>#N/A</v>
      </c>
      <c r="AU134" s="3" t="e">
        <f t="shared" si="10"/>
        <v>#N/A</v>
      </c>
      <c r="AV134" s="3" t="e">
        <f t="shared" si="11"/>
        <v>#N/A</v>
      </c>
      <c r="AW134" s="3" t="e">
        <f t="shared" si="12"/>
        <v>#N/A</v>
      </c>
      <c r="AX134" s="3" t="e">
        <f t="shared" si="13"/>
        <v>#N/A</v>
      </c>
      <c r="AY134" s="3" t="e">
        <f t="shared" si="14"/>
        <v>#N/A</v>
      </c>
      <c r="AZ134" s="3" t="e">
        <f t="shared" si="15"/>
        <v>#N/A</v>
      </c>
      <c r="BA134" s="3" t="e">
        <f t="shared" si="16"/>
        <v>#N/A</v>
      </c>
      <c r="BB134" s="3" t="e">
        <f t="shared" si="17"/>
        <v>#N/A</v>
      </c>
    </row>
    <row r="135" spans="1:54" x14ac:dyDescent="0.25">
      <c r="A135" t="s">
        <v>746</v>
      </c>
      <c r="B135" s="21">
        <v>2.88</v>
      </c>
      <c r="C135" s="21">
        <v>3.55</v>
      </c>
      <c r="D135" s="35">
        <v>0.5</v>
      </c>
      <c r="E135" s="3" t="e">
        <v>#N/A</v>
      </c>
      <c r="F135" s="3" t="e">
        <v>#N/A</v>
      </c>
      <c r="G135" s="3">
        <v>246756</v>
      </c>
      <c r="H135" s="3">
        <v>244836</v>
      </c>
      <c r="I135" s="4" t="e">
        <v>#N/A</v>
      </c>
      <c r="J135" s="3"/>
      <c r="K135" s="3" t="e">
        <v>#N/A</v>
      </c>
      <c r="L135" s="3" t="e">
        <v>#N/A</v>
      </c>
      <c r="M135" s="3" t="e">
        <v>#N/A</v>
      </c>
      <c r="N135" s="3" t="e">
        <v>#N/A</v>
      </c>
      <c r="O135" s="3" t="e">
        <v>#N/A</v>
      </c>
      <c r="P135" s="3" t="e">
        <v>#N/A</v>
      </c>
      <c r="Q135" s="3" t="e">
        <v>#N/A</v>
      </c>
      <c r="R135" s="3" t="e">
        <v>#N/A</v>
      </c>
      <c r="S135" s="3" t="e">
        <v>#N/A</v>
      </c>
      <c r="T135" s="3" t="e">
        <v>#N/A</v>
      </c>
      <c r="U135" s="3" t="e">
        <v>#N/A</v>
      </c>
      <c r="V135" s="3" t="e">
        <v>#N/A</v>
      </c>
      <c r="W135" s="3" t="e">
        <v>#N/A</v>
      </c>
      <c r="X135" s="3" t="e">
        <v>#N/A</v>
      </c>
      <c r="Y135" s="3" t="e">
        <v>#N/A</v>
      </c>
      <c r="Z135" s="3" t="e">
        <v>#N/A</v>
      </c>
      <c r="AA135" s="3" t="e">
        <v>#N/A</v>
      </c>
      <c r="AB135" s="3" t="e">
        <v>#N/A</v>
      </c>
      <c r="AC135" s="3" t="e">
        <v>#N/A</v>
      </c>
      <c r="AD135" s="3" t="e">
        <v>#N/A</v>
      </c>
      <c r="AE135" s="3" t="e">
        <v>#N/A</v>
      </c>
      <c r="AF135" s="3" t="e">
        <v>#N/A</v>
      </c>
      <c r="AG135" s="3" t="e">
        <v>#N/A</v>
      </c>
      <c r="AH135" s="3" t="e">
        <v>#N/A</v>
      </c>
      <c r="AI135" s="3" t="e">
        <v>#N/A</v>
      </c>
      <c r="AJ135" s="3" t="e">
        <v>#N/A</v>
      </c>
      <c r="AK135" s="3" t="e">
        <v>#N/A</v>
      </c>
      <c r="AL135" s="3" t="e">
        <v>#N/A</v>
      </c>
      <c r="AM135" s="3" t="e">
        <v>#N/A</v>
      </c>
      <c r="AN135" s="3" t="e">
        <v>#N/A</v>
      </c>
      <c r="AO135" s="3" t="e">
        <v>#N/A</v>
      </c>
      <c r="AP135" s="3" t="e">
        <v>#N/A</v>
      </c>
      <c r="AR135" s="3" t="e">
        <f t="shared" si="9"/>
        <v>#N/A</v>
      </c>
      <c r="AS135" s="3" t="e">
        <f t="shared" si="9"/>
        <v>#N/A</v>
      </c>
      <c r="AT135" s="3" t="e">
        <f t="shared" si="9"/>
        <v>#N/A</v>
      </c>
      <c r="AU135" s="3" t="e">
        <f t="shared" si="10"/>
        <v>#N/A</v>
      </c>
      <c r="AV135" s="3" t="e">
        <f t="shared" si="11"/>
        <v>#N/A</v>
      </c>
      <c r="AW135" s="3" t="e">
        <f t="shared" si="12"/>
        <v>#N/A</v>
      </c>
      <c r="AX135" s="3" t="e">
        <f t="shared" si="13"/>
        <v>#N/A</v>
      </c>
      <c r="AY135" s="3" t="e">
        <f t="shared" si="14"/>
        <v>#N/A</v>
      </c>
      <c r="AZ135" s="3" t="e">
        <f t="shared" si="15"/>
        <v>#N/A</v>
      </c>
      <c r="BA135" s="3" t="e">
        <f t="shared" si="16"/>
        <v>#N/A</v>
      </c>
      <c r="BB135" s="3" t="e">
        <f t="shared" si="17"/>
        <v>#N/A</v>
      </c>
    </row>
    <row r="136" spans="1:54" x14ac:dyDescent="0.25">
      <c r="A136" t="s">
        <v>747</v>
      </c>
      <c r="B136" s="21">
        <v>2.9</v>
      </c>
      <c r="C136" s="21">
        <v>3.53</v>
      </c>
      <c r="D136" s="35">
        <v>0.5</v>
      </c>
      <c r="E136" s="3" t="e">
        <v>#N/A</v>
      </c>
      <c r="F136" s="3" t="e">
        <v>#N/A</v>
      </c>
      <c r="G136" s="3">
        <v>247486</v>
      </c>
      <c r="H136" s="3">
        <v>249268</v>
      </c>
      <c r="I136" s="4" t="e">
        <v>#N/A</v>
      </c>
      <c r="J136" s="3"/>
      <c r="K136" s="3" t="e">
        <v>#N/A</v>
      </c>
      <c r="L136" s="3" t="e">
        <v>#N/A</v>
      </c>
      <c r="M136" s="3" t="e">
        <v>#N/A</v>
      </c>
      <c r="N136" s="3" t="e">
        <v>#N/A</v>
      </c>
      <c r="O136" s="3" t="e">
        <v>#N/A</v>
      </c>
      <c r="P136" s="3" t="e">
        <v>#N/A</v>
      </c>
      <c r="Q136" s="3" t="e">
        <v>#N/A</v>
      </c>
      <c r="R136" s="3" t="e">
        <v>#N/A</v>
      </c>
      <c r="S136" s="3" t="e">
        <v>#N/A</v>
      </c>
      <c r="T136" s="3" t="e">
        <v>#N/A</v>
      </c>
      <c r="U136" s="3" t="e">
        <v>#N/A</v>
      </c>
      <c r="V136" s="3" t="e">
        <v>#N/A</v>
      </c>
      <c r="W136" s="3" t="e">
        <v>#N/A</v>
      </c>
      <c r="X136" s="3" t="e">
        <v>#N/A</v>
      </c>
      <c r="Y136" s="3" t="e">
        <v>#N/A</v>
      </c>
      <c r="Z136" s="3" t="e">
        <v>#N/A</v>
      </c>
      <c r="AA136" s="3" t="e">
        <v>#N/A</v>
      </c>
      <c r="AB136" s="3" t="e">
        <v>#N/A</v>
      </c>
      <c r="AC136" s="3" t="e">
        <v>#N/A</v>
      </c>
      <c r="AD136" s="3" t="e">
        <v>#N/A</v>
      </c>
      <c r="AE136" s="3" t="e">
        <v>#N/A</v>
      </c>
      <c r="AF136" s="3" t="e">
        <v>#N/A</v>
      </c>
      <c r="AG136" s="3" t="e">
        <v>#N/A</v>
      </c>
      <c r="AH136" s="3" t="e">
        <v>#N/A</v>
      </c>
      <c r="AI136" s="3" t="e">
        <v>#N/A</v>
      </c>
      <c r="AJ136" s="3" t="e">
        <v>#N/A</v>
      </c>
      <c r="AK136" s="3" t="e">
        <v>#N/A</v>
      </c>
      <c r="AL136" s="3" t="e">
        <v>#N/A</v>
      </c>
      <c r="AM136" s="3" t="e">
        <v>#N/A</v>
      </c>
      <c r="AN136" s="3" t="e">
        <v>#N/A</v>
      </c>
      <c r="AO136" s="3" t="e">
        <v>#N/A</v>
      </c>
      <c r="AP136" s="3" t="e">
        <v>#N/A</v>
      </c>
      <c r="AR136" s="3" t="e">
        <f t="shared" si="9"/>
        <v>#N/A</v>
      </c>
      <c r="AS136" s="3" t="e">
        <f t="shared" si="9"/>
        <v>#N/A</v>
      </c>
      <c r="AT136" s="3" t="e">
        <f t="shared" si="9"/>
        <v>#N/A</v>
      </c>
      <c r="AU136" s="3" t="e">
        <f t="shared" si="10"/>
        <v>#N/A</v>
      </c>
      <c r="AV136" s="3" t="e">
        <f t="shared" si="11"/>
        <v>#N/A</v>
      </c>
      <c r="AW136" s="3" t="e">
        <f t="shared" si="12"/>
        <v>#N/A</v>
      </c>
      <c r="AX136" s="3" t="e">
        <f t="shared" si="13"/>
        <v>#N/A</v>
      </c>
      <c r="AY136" s="3" t="e">
        <f t="shared" si="14"/>
        <v>#N/A</v>
      </c>
      <c r="AZ136" s="3" t="e">
        <f t="shared" si="15"/>
        <v>#N/A</v>
      </c>
      <c r="BA136" s="3" t="e">
        <f t="shared" si="16"/>
        <v>#N/A</v>
      </c>
      <c r="BB136" s="3" t="e">
        <f t="shared" si="17"/>
        <v>#N/A</v>
      </c>
    </row>
    <row r="137" spans="1:54" x14ac:dyDescent="0.25">
      <c r="A137" t="s">
        <v>748</v>
      </c>
      <c r="B137" s="21">
        <v>2.9</v>
      </c>
      <c r="C137" s="21">
        <v>3.51</v>
      </c>
      <c r="D137" s="35">
        <v>0.5</v>
      </c>
      <c r="E137" s="3" t="e">
        <v>#N/A</v>
      </c>
      <c r="F137" s="3" t="e">
        <v>#N/A</v>
      </c>
      <c r="G137" s="3">
        <v>247535</v>
      </c>
      <c r="H137" s="3">
        <v>244662</v>
      </c>
      <c r="I137" s="4" t="e">
        <v>#N/A</v>
      </c>
      <c r="J137" s="3"/>
      <c r="K137" s="3" t="e">
        <v>#N/A</v>
      </c>
      <c r="L137" s="3" t="e">
        <v>#N/A</v>
      </c>
      <c r="M137" s="3" t="e">
        <v>#N/A</v>
      </c>
      <c r="N137" s="3" t="e">
        <v>#N/A</v>
      </c>
      <c r="O137" s="3" t="e">
        <v>#N/A</v>
      </c>
      <c r="P137" s="3" t="e">
        <v>#N/A</v>
      </c>
      <c r="Q137" s="3" t="e">
        <v>#N/A</v>
      </c>
      <c r="R137" s="3" t="e">
        <v>#N/A</v>
      </c>
      <c r="S137" s="3" t="e">
        <v>#N/A</v>
      </c>
      <c r="T137" s="3" t="e">
        <v>#N/A</v>
      </c>
      <c r="U137" s="3" t="e">
        <v>#N/A</v>
      </c>
      <c r="V137" s="3" t="e">
        <v>#N/A</v>
      </c>
      <c r="W137" s="3" t="e">
        <v>#N/A</v>
      </c>
      <c r="X137" s="3" t="e">
        <v>#N/A</v>
      </c>
      <c r="Y137" s="3" t="e">
        <v>#N/A</v>
      </c>
      <c r="Z137" s="3" t="e">
        <v>#N/A</v>
      </c>
      <c r="AA137" s="3" t="e">
        <v>#N/A</v>
      </c>
      <c r="AB137" s="3" t="e">
        <v>#N/A</v>
      </c>
      <c r="AC137" s="3" t="e">
        <v>#N/A</v>
      </c>
      <c r="AD137" s="3" t="e">
        <v>#N/A</v>
      </c>
      <c r="AE137" s="3" t="e">
        <v>#N/A</v>
      </c>
      <c r="AF137" s="3" t="e">
        <v>#N/A</v>
      </c>
      <c r="AG137" s="3" t="e">
        <v>#N/A</v>
      </c>
      <c r="AH137" s="3" t="e">
        <v>#N/A</v>
      </c>
      <c r="AI137" s="3" t="e">
        <v>#N/A</v>
      </c>
      <c r="AJ137" s="3" t="e">
        <v>#N/A</v>
      </c>
      <c r="AK137" s="3" t="e">
        <v>#N/A</v>
      </c>
      <c r="AL137" s="3" t="e">
        <v>#N/A</v>
      </c>
      <c r="AM137" s="3" t="e">
        <v>#N/A</v>
      </c>
      <c r="AN137" s="3" t="e">
        <v>#N/A</v>
      </c>
      <c r="AO137" s="3" t="e">
        <v>#N/A</v>
      </c>
      <c r="AP137" s="3" t="e">
        <v>#N/A</v>
      </c>
      <c r="AR137" s="3" t="e">
        <f t="shared" ref="AR137:AT200" si="18">+M137+AC137</f>
        <v>#N/A</v>
      </c>
      <c r="AS137" s="3" t="e">
        <f t="shared" si="18"/>
        <v>#N/A</v>
      </c>
      <c r="AT137" s="3" t="e">
        <f t="shared" si="18"/>
        <v>#N/A</v>
      </c>
      <c r="AU137" s="3" t="e">
        <f t="shared" ref="AU137:AU200" si="19">+Q137+AG137</f>
        <v>#N/A</v>
      </c>
      <c r="AV137" s="3" t="e">
        <f t="shared" ref="AV137:AV200" si="20">+R137+AH137</f>
        <v>#N/A</v>
      </c>
      <c r="AW137" s="3" t="e">
        <f t="shared" ref="AW137:AW200" si="21">+S137+AI137</f>
        <v>#N/A</v>
      </c>
      <c r="AX137" s="3" t="e">
        <f t="shared" ref="AX137:AX200" si="22">+T137+AJ137</f>
        <v>#N/A</v>
      </c>
      <c r="AY137" s="3" t="e">
        <f t="shared" ref="AY137:AY200" si="23">+X137+AN137</f>
        <v>#N/A</v>
      </c>
      <c r="AZ137" s="3" t="e">
        <f t="shared" ref="AZ137:AZ200" si="24">+Y137+AO137</f>
        <v>#N/A</v>
      </c>
      <c r="BA137" s="3" t="e">
        <f t="shared" ref="BA137:BA200" si="25">+Z137+AP137</f>
        <v>#N/A</v>
      </c>
      <c r="BB137" s="3" t="e">
        <f t="shared" ref="BB137:BB200" si="26">SUM(Q137:T137,W137:Z137,AG137:AJ137,AM137:AP137)</f>
        <v>#N/A</v>
      </c>
    </row>
    <row r="138" spans="1:54" x14ac:dyDescent="0.25">
      <c r="A138" t="s">
        <v>749</v>
      </c>
      <c r="B138" s="21">
        <v>2.9</v>
      </c>
      <c r="C138" s="21">
        <v>3.51</v>
      </c>
      <c r="D138" s="35">
        <v>0.5</v>
      </c>
      <c r="E138" s="3" t="e">
        <v>#N/A</v>
      </c>
      <c r="F138" s="3" t="e">
        <v>#N/A</v>
      </c>
      <c r="G138" s="3">
        <v>248000</v>
      </c>
      <c r="H138" s="3">
        <v>247954</v>
      </c>
      <c r="I138" s="4" t="e">
        <v>#N/A</v>
      </c>
      <c r="J138" s="3"/>
      <c r="K138" s="3" t="e">
        <v>#N/A</v>
      </c>
      <c r="L138" s="3" t="e">
        <v>#N/A</v>
      </c>
      <c r="M138" s="3" t="e">
        <v>#N/A</v>
      </c>
      <c r="N138" s="3" t="e">
        <v>#N/A</v>
      </c>
      <c r="O138" s="3" t="e">
        <v>#N/A</v>
      </c>
      <c r="P138" s="3" t="e">
        <v>#N/A</v>
      </c>
      <c r="Q138" s="3" t="e">
        <v>#N/A</v>
      </c>
      <c r="R138" s="3" t="e">
        <v>#N/A</v>
      </c>
      <c r="S138" s="3" t="e">
        <v>#N/A</v>
      </c>
      <c r="T138" s="3" t="e">
        <v>#N/A</v>
      </c>
      <c r="U138" s="3" t="e">
        <v>#N/A</v>
      </c>
      <c r="V138" s="3" t="e">
        <v>#N/A</v>
      </c>
      <c r="W138" s="3" t="e">
        <v>#N/A</v>
      </c>
      <c r="X138" s="3" t="e">
        <v>#N/A</v>
      </c>
      <c r="Y138" s="3" t="e">
        <v>#N/A</v>
      </c>
      <c r="Z138" s="3" t="e">
        <v>#N/A</v>
      </c>
      <c r="AA138" s="3" t="e">
        <v>#N/A</v>
      </c>
      <c r="AB138" s="3" t="e">
        <v>#N/A</v>
      </c>
      <c r="AC138" s="3" t="e">
        <v>#N/A</v>
      </c>
      <c r="AD138" s="3" t="e">
        <v>#N/A</v>
      </c>
      <c r="AE138" s="3" t="e">
        <v>#N/A</v>
      </c>
      <c r="AF138" s="3" t="e">
        <v>#N/A</v>
      </c>
      <c r="AG138" s="3" t="e">
        <v>#N/A</v>
      </c>
      <c r="AH138" s="3" t="e">
        <v>#N/A</v>
      </c>
      <c r="AI138" s="3" t="e">
        <v>#N/A</v>
      </c>
      <c r="AJ138" s="3" t="e">
        <v>#N/A</v>
      </c>
      <c r="AK138" s="3" t="e">
        <v>#N/A</v>
      </c>
      <c r="AL138" s="3" t="e">
        <v>#N/A</v>
      </c>
      <c r="AM138" s="3" t="e">
        <v>#N/A</v>
      </c>
      <c r="AN138" s="3" t="e">
        <v>#N/A</v>
      </c>
      <c r="AO138" s="3" t="e">
        <v>#N/A</v>
      </c>
      <c r="AP138" s="3" t="e">
        <v>#N/A</v>
      </c>
      <c r="AR138" s="3" t="e">
        <f t="shared" si="18"/>
        <v>#N/A</v>
      </c>
      <c r="AS138" s="3" t="e">
        <f t="shared" si="18"/>
        <v>#N/A</v>
      </c>
      <c r="AT138" s="3" t="e">
        <f t="shared" si="18"/>
        <v>#N/A</v>
      </c>
      <c r="AU138" s="3" t="e">
        <f t="shared" si="19"/>
        <v>#N/A</v>
      </c>
      <c r="AV138" s="3" t="e">
        <f t="shared" si="20"/>
        <v>#N/A</v>
      </c>
      <c r="AW138" s="3" t="e">
        <f t="shared" si="21"/>
        <v>#N/A</v>
      </c>
      <c r="AX138" s="3" t="e">
        <f t="shared" si="22"/>
        <v>#N/A</v>
      </c>
      <c r="AY138" s="3" t="e">
        <f t="shared" si="23"/>
        <v>#N/A</v>
      </c>
      <c r="AZ138" s="3" t="e">
        <f t="shared" si="24"/>
        <v>#N/A</v>
      </c>
      <c r="BA138" s="3" t="e">
        <f t="shared" si="25"/>
        <v>#N/A</v>
      </c>
      <c r="BB138" s="3" t="e">
        <f t="shared" si="26"/>
        <v>#N/A</v>
      </c>
    </row>
    <row r="139" spans="1:54" x14ac:dyDescent="0.25">
      <c r="A139" t="s">
        <v>750</v>
      </c>
      <c r="B139" s="21">
        <v>2.91</v>
      </c>
      <c r="C139" s="21">
        <v>3.5</v>
      </c>
      <c r="D139" s="35">
        <v>0.5</v>
      </c>
      <c r="E139" s="3" t="e">
        <v>#N/A</v>
      </c>
      <c r="F139" s="3" t="e">
        <v>#N/A</v>
      </c>
      <c r="G139" s="3">
        <v>248326</v>
      </c>
      <c r="H139" s="3">
        <v>252847</v>
      </c>
      <c r="I139" s="4" t="e">
        <v>#N/A</v>
      </c>
      <c r="J139" s="3"/>
      <c r="K139" s="3" t="e">
        <v>#N/A</v>
      </c>
      <c r="L139" s="3" t="e">
        <v>#N/A</v>
      </c>
      <c r="M139" s="3" t="e">
        <v>#N/A</v>
      </c>
      <c r="N139" s="3" t="e">
        <v>#N/A</v>
      </c>
      <c r="O139" s="3" t="e">
        <v>#N/A</v>
      </c>
      <c r="P139" s="3" t="e">
        <v>#N/A</v>
      </c>
      <c r="Q139" s="3" t="e">
        <v>#N/A</v>
      </c>
      <c r="R139" s="3" t="e">
        <v>#N/A</v>
      </c>
      <c r="S139" s="3" t="e">
        <v>#N/A</v>
      </c>
      <c r="T139" s="3" t="e">
        <v>#N/A</v>
      </c>
      <c r="U139" s="3" t="e">
        <v>#N/A</v>
      </c>
      <c r="V139" s="3" t="e">
        <v>#N/A</v>
      </c>
      <c r="W139" s="3" t="e">
        <v>#N/A</v>
      </c>
      <c r="X139" s="3" t="e">
        <v>#N/A</v>
      </c>
      <c r="Y139" s="3" t="e">
        <v>#N/A</v>
      </c>
      <c r="Z139" s="3" t="e">
        <v>#N/A</v>
      </c>
      <c r="AA139" s="3" t="e">
        <v>#N/A</v>
      </c>
      <c r="AB139" s="3" t="e">
        <v>#N/A</v>
      </c>
      <c r="AC139" s="3" t="e">
        <v>#N/A</v>
      </c>
      <c r="AD139" s="3" t="e">
        <v>#N/A</v>
      </c>
      <c r="AE139" s="3" t="e">
        <v>#N/A</v>
      </c>
      <c r="AF139" s="3" t="e">
        <v>#N/A</v>
      </c>
      <c r="AG139" s="3" t="e">
        <v>#N/A</v>
      </c>
      <c r="AH139" s="3" t="e">
        <v>#N/A</v>
      </c>
      <c r="AI139" s="3" t="e">
        <v>#N/A</v>
      </c>
      <c r="AJ139" s="3" t="e">
        <v>#N/A</v>
      </c>
      <c r="AK139" s="3" t="e">
        <v>#N/A</v>
      </c>
      <c r="AL139" s="3" t="e">
        <v>#N/A</v>
      </c>
      <c r="AM139" s="3" t="e">
        <v>#N/A</v>
      </c>
      <c r="AN139" s="3" t="e">
        <v>#N/A</v>
      </c>
      <c r="AO139" s="3" t="e">
        <v>#N/A</v>
      </c>
      <c r="AP139" s="3" t="e">
        <v>#N/A</v>
      </c>
      <c r="AR139" s="3" t="e">
        <f t="shared" si="18"/>
        <v>#N/A</v>
      </c>
      <c r="AS139" s="3" t="e">
        <f t="shared" si="18"/>
        <v>#N/A</v>
      </c>
      <c r="AT139" s="3" t="e">
        <f t="shared" si="18"/>
        <v>#N/A</v>
      </c>
      <c r="AU139" s="3" t="e">
        <f t="shared" si="19"/>
        <v>#N/A</v>
      </c>
      <c r="AV139" s="3" t="e">
        <f t="shared" si="20"/>
        <v>#N/A</v>
      </c>
      <c r="AW139" s="3" t="e">
        <f t="shared" si="21"/>
        <v>#N/A</v>
      </c>
      <c r="AX139" s="3" t="e">
        <f t="shared" si="22"/>
        <v>#N/A</v>
      </c>
      <c r="AY139" s="3" t="e">
        <f t="shared" si="23"/>
        <v>#N/A</v>
      </c>
      <c r="AZ139" s="3" t="e">
        <f t="shared" si="24"/>
        <v>#N/A</v>
      </c>
      <c r="BA139" s="3" t="e">
        <f t="shared" si="25"/>
        <v>#N/A</v>
      </c>
      <c r="BB139" s="3" t="e">
        <f t="shared" si="26"/>
        <v>#N/A</v>
      </c>
    </row>
    <row r="140" spans="1:54" x14ac:dyDescent="0.25">
      <c r="A140" t="s">
        <v>751</v>
      </c>
      <c r="B140" s="21">
        <v>2.9</v>
      </c>
      <c r="C140" s="21">
        <v>3.5</v>
      </c>
      <c r="D140" s="35">
        <v>0.5</v>
      </c>
      <c r="E140" s="3" t="e">
        <v>#N/A</v>
      </c>
      <c r="F140" s="3" t="e">
        <v>#N/A</v>
      </c>
      <c r="G140" s="3">
        <v>245711</v>
      </c>
      <c r="H140" s="3">
        <v>240966</v>
      </c>
      <c r="I140" s="4" t="e">
        <v>#N/A</v>
      </c>
      <c r="J140" s="3"/>
      <c r="K140" s="3" t="e">
        <v>#N/A</v>
      </c>
      <c r="L140" s="3" t="e">
        <v>#N/A</v>
      </c>
      <c r="M140" s="3" t="e">
        <v>#N/A</v>
      </c>
      <c r="N140" s="3" t="e">
        <v>#N/A</v>
      </c>
      <c r="O140" s="3" t="e">
        <v>#N/A</v>
      </c>
      <c r="P140" s="3" t="e">
        <v>#N/A</v>
      </c>
      <c r="Q140" s="3" t="e">
        <v>#N/A</v>
      </c>
      <c r="R140" s="3" t="e">
        <v>#N/A</v>
      </c>
      <c r="S140" s="3" t="e">
        <v>#N/A</v>
      </c>
      <c r="T140" s="3" t="e">
        <v>#N/A</v>
      </c>
      <c r="U140" s="3" t="e">
        <v>#N/A</v>
      </c>
      <c r="V140" s="3" t="e">
        <v>#N/A</v>
      </c>
      <c r="W140" s="3" t="e">
        <v>#N/A</v>
      </c>
      <c r="X140" s="3" t="e">
        <v>#N/A</v>
      </c>
      <c r="Y140" s="3" t="e">
        <v>#N/A</v>
      </c>
      <c r="Z140" s="3" t="e">
        <v>#N/A</v>
      </c>
      <c r="AA140" s="3" t="e">
        <v>#N/A</v>
      </c>
      <c r="AB140" s="3" t="e">
        <v>#N/A</v>
      </c>
      <c r="AC140" s="3" t="e">
        <v>#N/A</v>
      </c>
      <c r="AD140" s="3" t="e">
        <v>#N/A</v>
      </c>
      <c r="AE140" s="3" t="e">
        <v>#N/A</v>
      </c>
      <c r="AF140" s="3" t="e">
        <v>#N/A</v>
      </c>
      <c r="AG140" s="3" t="e">
        <v>#N/A</v>
      </c>
      <c r="AH140" s="3" t="e">
        <v>#N/A</v>
      </c>
      <c r="AI140" s="3" t="e">
        <v>#N/A</v>
      </c>
      <c r="AJ140" s="3" t="e">
        <v>#N/A</v>
      </c>
      <c r="AK140" s="3" t="e">
        <v>#N/A</v>
      </c>
      <c r="AL140" s="3" t="e">
        <v>#N/A</v>
      </c>
      <c r="AM140" s="3" t="e">
        <v>#N/A</v>
      </c>
      <c r="AN140" s="3" t="e">
        <v>#N/A</v>
      </c>
      <c r="AO140" s="3" t="e">
        <v>#N/A</v>
      </c>
      <c r="AP140" s="3" t="e">
        <v>#N/A</v>
      </c>
      <c r="AR140" s="3" t="e">
        <f t="shared" si="18"/>
        <v>#N/A</v>
      </c>
      <c r="AS140" s="3" t="e">
        <f t="shared" si="18"/>
        <v>#N/A</v>
      </c>
      <c r="AT140" s="3" t="e">
        <f t="shared" si="18"/>
        <v>#N/A</v>
      </c>
      <c r="AU140" s="3" t="e">
        <f t="shared" si="19"/>
        <v>#N/A</v>
      </c>
      <c r="AV140" s="3" t="e">
        <f t="shared" si="20"/>
        <v>#N/A</v>
      </c>
      <c r="AW140" s="3" t="e">
        <f t="shared" si="21"/>
        <v>#N/A</v>
      </c>
      <c r="AX140" s="3" t="e">
        <f t="shared" si="22"/>
        <v>#N/A</v>
      </c>
      <c r="AY140" s="3" t="e">
        <f t="shared" si="23"/>
        <v>#N/A</v>
      </c>
      <c r="AZ140" s="3" t="e">
        <f t="shared" si="24"/>
        <v>#N/A</v>
      </c>
      <c r="BA140" s="3" t="e">
        <f t="shared" si="25"/>
        <v>#N/A</v>
      </c>
      <c r="BB140" s="3" t="e">
        <f t="shared" si="26"/>
        <v>#N/A</v>
      </c>
    </row>
    <row r="141" spans="1:54" x14ac:dyDescent="0.25">
      <c r="A141" t="s">
        <v>752</v>
      </c>
      <c r="B141" s="21">
        <v>2.92</v>
      </c>
      <c r="C141" s="21">
        <v>3.5</v>
      </c>
      <c r="D141" s="35">
        <v>0.5</v>
      </c>
      <c r="E141" s="3" t="e">
        <v>#N/A</v>
      </c>
      <c r="F141" s="3" t="e">
        <v>#N/A</v>
      </c>
      <c r="G141" s="3">
        <v>242131</v>
      </c>
      <c r="H141" s="3">
        <v>238623</v>
      </c>
      <c r="I141" s="4" t="e">
        <v>#N/A</v>
      </c>
      <c r="J141" s="3"/>
      <c r="K141" s="3" t="e">
        <v>#N/A</v>
      </c>
      <c r="L141" s="3" t="e">
        <v>#N/A</v>
      </c>
      <c r="M141" s="3" t="e">
        <v>#N/A</v>
      </c>
      <c r="N141" s="3" t="e">
        <v>#N/A</v>
      </c>
      <c r="O141" s="3" t="e">
        <v>#N/A</v>
      </c>
      <c r="P141" s="3" t="e">
        <v>#N/A</v>
      </c>
      <c r="Q141" s="3" t="e">
        <v>#N/A</v>
      </c>
      <c r="R141" s="3" t="e">
        <v>#N/A</v>
      </c>
      <c r="S141" s="3" t="e">
        <v>#N/A</v>
      </c>
      <c r="T141" s="3" t="e">
        <v>#N/A</v>
      </c>
      <c r="U141" s="3" t="e">
        <v>#N/A</v>
      </c>
      <c r="V141" s="3" t="e">
        <v>#N/A</v>
      </c>
      <c r="W141" s="3" t="e">
        <v>#N/A</v>
      </c>
      <c r="X141" s="3" t="e">
        <v>#N/A</v>
      </c>
      <c r="Y141" s="3" t="e">
        <v>#N/A</v>
      </c>
      <c r="Z141" s="3" t="e">
        <v>#N/A</v>
      </c>
      <c r="AA141" s="3" t="e">
        <v>#N/A</v>
      </c>
      <c r="AB141" s="3" t="e">
        <v>#N/A</v>
      </c>
      <c r="AC141" s="3" t="e">
        <v>#N/A</v>
      </c>
      <c r="AD141" s="3" t="e">
        <v>#N/A</v>
      </c>
      <c r="AE141" s="3" t="e">
        <v>#N/A</v>
      </c>
      <c r="AF141" s="3" t="e">
        <v>#N/A</v>
      </c>
      <c r="AG141" s="3" t="e">
        <v>#N/A</v>
      </c>
      <c r="AH141" s="3" t="e">
        <v>#N/A</v>
      </c>
      <c r="AI141" s="3" t="e">
        <v>#N/A</v>
      </c>
      <c r="AJ141" s="3" t="e">
        <v>#N/A</v>
      </c>
      <c r="AK141" s="3" t="e">
        <v>#N/A</v>
      </c>
      <c r="AL141" s="3" t="e">
        <v>#N/A</v>
      </c>
      <c r="AM141" s="3" t="e">
        <v>#N/A</v>
      </c>
      <c r="AN141" s="3" t="e">
        <v>#N/A</v>
      </c>
      <c r="AO141" s="3" t="e">
        <v>#N/A</v>
      </c>
      <c r="AP141" s="3" t="e">
        <v>#N/A</v>
      </c>
      <c r="AR141" s="3" t="e">
        <f t="shared" si="18"/>
        <v>#N/A</v>
      </c>
      <c r="AS141" s="3" t="e">
        <f t="shared" si="18"/>
        <v>#N/A</v>
      </c>
      <c r="AT141" s="3" t="e">
        <f t="shared" si="18"/>
        <v>#N/A</v>
      </c>
      <c r="AU141" s="3" t="e">
        <f t="shared" si="19"/>
        <v>#N/A</v>
      </c>
      <c r="AV141" s="3" t="e">
        <f t="shared" si="20"/>
        <v>#N/A</v>
      </c>
      <c r="AW141" s="3" t="e">
        <f t="shared" si="21"/>
        <v>#N/A</v>
      </c>
      <c r="AX141" s="3" t="e">
        <f t="shared" si="22"/>
        <v>#N/A</v>
      </c>
      <c r="AY141" s="3" t="e">
        <f t="shared" si="23"/>
        <v>#N/A</v>
      </c>
      <c r="AZ141" s="3" t="e">
        <f t="shared" si="24"/>
        <v>#N/A</v>
      </c>
      <c r="BA141" s="3" t="e">
        <f t="shared" si="25"/>
        <v>#N/A</v>
      </c>
      <c r="BB141" s="3" t="e">
        <f t="shared" si="26"/>
        <v>#N/A</v>
      </c>
    </row>
    <row r="142" spans="1:54" x14ac:dyDescent="0.25">
      <c r="A142" t="s">
        <v>753</v>
      </c>
      <c r="B142" s="21">
        <v>2.93</v>
      </c>
      <c r="C142" s="21">
        <v>3.49</v>
      </c>
      <c r="D142" s="35">
        <v>0.5</v>
      </c>
      <c r="E142" s="3" t="e">
        <v>#N/A</v>
      </c>
      <c r="F142" s="3" t="e">
        <v>#N/A</v>
      </c>
      <c r="G142" s="3">
        <v>246232</v>
      </c>
      <c r="H142" s="3">
        <v>249817</v>
      </c>
      <c r="I142" s="4" t="e">
        <v>#N/A</v>
      </c>
      <c r="J142" s="3"/>
      <c r="K142" s="3" t="e">
        <v>#N/A</v>
      </c>
      <c r="L142" s="3" t="e">
        <v>#N/A</v>
      </c>
      <c r="M142" s="3" t="e">
        <v>#N/A</v>
      </c>
      <c r="N142" s="3" t="e">
        <v>#N/A</v>
      </c>
      <c r="O142" s="3" t="e">
        <v>#N/A</v>
      </c>
      <c r="P142" s="3" t="e">
        <v>#N/A</v>
      </c>
      <c r="Q142" s="3" t="e">
        <v>#N/A</v>
      </c>
      <c r="R142" s="3" t="e">
        <v>#N/A</v>
      </c>
      <c r="S142" s="3" t="e">
        <v>#N/A</v>
      </c>
      <c r="T142" s="3" t="e">
        <v>#N/A</v>
      </c>
      <c r="U142" s="3" t="e">
        <v>#N/A</v>
      </c>
      <c r="V142" s="3" t="e">
        <v>#N/A</v>
      </c>
      <c r="W142" s="3" t="e">
        <v>#N/A</v>
      </c>
      <c r="X142" s="3" t="e">
        <v>#N/A</v>
      </c>
      <c r="Y142" s="3" t="e">
        <v>#N/A</v>
      </c>
      <c r="Z142" s="3" t="e">
        <v>#N/A</v>
      </c>
      <c r="AA142" s="3" t="e">
        <v>#N/A</v>
      </c>
      <c r="AB142" s="3" t="e">
        <v>#N/A</v>
      </c>
      <c r="AC142" s="3" t="e">
        <v>#N/A</v>
      </c>
      <c r="AD142" s="3" t="e">
        <v>#N/A</v>
      </c>
      <c r="AE142" s="3" t="e">
        <v>#N/A</v>
      </c>
      <c r="AF142" s="3" t="e">
        <v>#N/A</v>
      </c>
      <c r="AG142" s="3" t="e">
        <v>#N/A</v>
      </c>
      <c r="AH142" s="3" t="e">
        <v>#N/A</v>
      </c>
      <c r="AI142" s="3" t="e">
        <v>#N/A</v>
      </c>
      <c r="AJ142" s="3" t="e">
        <v>#N/A</v>
      </c>
      <c r="AK142" s="3" t="e">
        <v>#N/A</v>
      </c>
      <c r="AL142" s="3" t="e">
        <v>#N/A</v>
      </c>
      <c r="AM142" s="3" t="e">
        <v>#N/A</v>
      </c>
      <c r="AN142" s="3" t="e">
        <v>#N/A</v>
      </c>
      <c r="AO142" s="3" t="e">
        <v>#N/A</v>
      </c>
      <c r="AP142" s="3" t="e">
        <v>#N/A</v>
      </c>
      <c r="AR142" s="3" t="e">
        <f t="shared" si="18"/>
        <v>#N/A</v>
      </c>
      <c r="AS142" s="3" t="e">
        <f t="shared" si="18"/>
        <v>#N/A</v>
      </c>
      <c r="AT142" s="3" t="e">
        <f t="shared" si="18"/>
        <v>#N/A</v>
      </c>
      <c r="AU142" s="3" t="e">
        <f t="shared" si="19"/>
        <v>#N/A</v>
      </c>
      <c r="AV142" s="3" t="e">
        <f t="shared" si="20"/>
        <v>#N/A</v>
      </c>
      <c r="AW142" s="3" t="e">
        <f t="shared" si="21"/>
        <v>#N/A</v>
      </c>
      <c r="AX142" s="3" t="e">
        <f t="shared" si="22"/>
        <v>#N/A</v>
      </c>
      <c r="AY142" s="3" t="e">
        <f t="shared" si="23"/>
        <v>#N/A</v>
      </c>
      <c r="AZ142" s="3" t="e">
        <f t="shared" si="24"/>
        <v>#N/A</v>
      </c>
      <c r="BA142" s="3" t="e">
        <f t="shared" si="25"/>
        <v>#N/A</v>
      </c>
      <c r="BB142" s="3" t="e">
        <f t="shared" si="26"/>
        <v>#N/A</v>
      </c>
    </row>
    <row r="143" spans="1:54" x14ac:dyDescent="0.25">
      <c r="A143" t="s">
        <v>754</v>
      </c>
      <c r="B143" s="21">
        <v>2.92</v>
      </c>
      <c r="C143" s="21">
        <v>3.49</v>
      </c>
      <c r="D143" s="35">
        <v>0.5</v>
      </c>
      <c r="E143" s="3">
        <v>176930</v>
      </c>
      <c r="F143" s="3">
        <v>302231</v>
      </c>
      <c r="G143" s="3">
        <v>243436</v>
      </c>
      <c r="H143" s="3">
        <v>240320</v>
      </c>
      <c r="I143" s="4" t="e">
        <v>#N/A</v>
      </c>
      <c r="J143" s="3"/>
      <c r="K143" s="3" t="e">
        <v>#N/A</v>
      </c>
      <c r="L143" s="3" t="e">
        <v>#N/A</v>
      </c>
      <c r="M143" s="3" t="e">
        <v>#N/A</v>
      </c>
      <c r="N143" s="3" t="e">
        <v>#N/A</v>
      </c>
      <c r="O143" s="3" t="e">
        <v>#N/A</v>
      </c>
      <c r="P143" s="3" t="e">
        <v>#N/A</v>
      </c>
      <c r="Q143" s="3" t="e">
        <v>#N/A</v>
      </c>
      <c r="R143" s="3" t="e">
        <v>#N/A</v>
      </c>
      <c r="S143" s="3" t="e">
        <v>#N/A</v>
      </c>
      <c r="T143" s="3" t="e">
        <v>#N/A</v>
      </c>
      <c r="U143" s="3" t="e">
        <v>#N/A</v>
      </c>
      <c r="V143" s="3" t="e">
        <v>#N/A</v>
      </c>
      <c r="W143" s="3" t="e">
        <v>#N/A</v>
      </c>
      <c r="X143" s="3" t="e">
        <v>#N/A</v>
      </c>
      <c r="Y143" s="3" t="e">
        <v>#N/A</v>
      </c>
      <c r="Z143" s="3" t="e">
        <v>#N/A</v>
      </c>
      <c r="AA143" s="3" t="e">
        <v>#N/A</v>
      </c>
      <c r="AB143" s="3" t="e">
        <v>#N/A</v>
      </c>
      <c r="AC143" s="3" t="e">
        <v>#N/A</v>
      </c>
      <c r="AD143" s="3" t="e">
        <v>#N/A</v>
      </c>
      <c r="AE143" s="3" t="e">
        <v>#N/A</v>
      </c>
      <c r="AF143" s="3" t="e">
        <v>#N/A</v>
      </c>
      <c r="AG143" s="3" t="e">
        <v>#N/A</v>
      </c>
      <c r="AH143" s="3" t="e">
        <v>#N/A</v>
      </c>
      <c r="AI143" s="3" t="e">
        <v>#N/A</v>
      </c>
      <c r="AJ143" s="3" t="e">
        <v>#N/A</v>
      </c>
      <c r="AK143" s="3" t="e">
        <v>#N/A</v>
      </c>
      <c r="AL143" s="3" t="e">
        <v>#N/A</v>
      </c>
      <c r="AM143" s="3" t="e">
        <v>#N/A</v>
      </c>
      <c r="AN143" s="3" t="e">
        <v>#N/A</v>
      </c>
      <c r="AO143" s="3" t="e">
        <v>#N/A</v>
      </c>
      <c r="AP143" s="3" t="e">
        <v>#N/A</v>
      </c>
      <c r="AR143" s="3" t="e">
        <f t="shared" si="18"/>
        <v>#N/A</v>
      </c>
      <c r="AS143" s="3" t="e">
        <f t="shared" si="18"/>
        <v>#N/A</v>
      </c>
      <c r="AT143" s="3" t="e">
        <f t="shared" si="18"/>
        <v>#N/A</v>
      </c>
      <c r="AU143" s="3" t="e">
        <f t="shared" si="19"/>
        <v>#N/A</v>
      </c>
      <c r="AV143" s="3" t="e">
        <f t="shared" si="20"/>
        <v>#N/A</v>
      </c>
      <c r="AW143" s="3" t="e">
        <f t="shared" si="21"/>
        <v>#N/A</v>
      </c>
      <c r="AX143" s="3" t="e">
        <f t="shared" si="22"/>
        <v>#N/A</v>
      </c>
      <c r="AY143" s="3" t="e">
        <f t="shared" si="23"/>
        <v>#N/A</v>
      </c>
      <c r="AZ143" s="3" t="e">
        <f t="shared" si="24"/>
        <v>#N/A</v>
      </c>
      <c r="BA143" s="3" t="e">
        <f t="shared" si="25"/>
        <v>#N/A</v>
      </c>
      <c r="BB143" s="3" t="e">
        <f t="shared" si="26"/>
        <v>#N/A</v>
      </c>
    </row>
    <row r="144" spans="1:54" x14ac:dyDescent="0.25">
      <c r="A144" t="s">
        <v>755</v>
      </c>
      <c r="B144" s="21">
        <v>2.97</v>
      </c>
      <c r="C144" s="21">
        <v>3.47</v>
      </c>
      <c r="D144" s="35">
        <v>0.5</v>
      </c>
      <c r="E144" s="3">
        <v>175737</v>
      </c>
      <c r="F144" s="3">
        <v>298028</v>
      </c>
      <c r="G144" s="3">
        <v>245697</v>
      </c>
      <c r="H144" s="3">
        <v>245920</v>
      </c>
      <c r="I144" s="4" t="e">
        <v>#N/A</v>
      </c>
      <c r="J144" s="3"/>
      <c r="K144" s="3" t="e">
        <v>#N/A</v>
      </c>
      <c r="L144" s="3" t="e">
        <v>#N/A</v>
      </c>
      <c r="M144" s="3" t="e">
        <v>#N/A</v>
      </c>
      <c r="N144" s="3" t="e">
        <v>#N/A</v>
      </c>
      <c r="O144" s="3" t="e">
        <v>#N/A</v>
      </c>
      <c r="P144" s="3" t="e">
        <v>#N/A</v>
      </c>
      <c r="Q144" s="3" t="e">
        <v>#N/A</v>
      </c>
      <c r="R144" s="3" t="e">
        <v>#N/A</v>
      </c>
      <c r="S144" s="3" t="e">
        <v>#N/A</v>
      </c>
      <c r="T144" s="3" t="e">
        <v>#N/A</v>
      </c>
      <c r="U144" s="3" t="e">
        <v>#N/A</v>
      </c>
      <c r="V144" s="3" t="e">
        <v>#N/A</v>
      </c>
      <c r="W144" s="3" t="e">
        <v>#N/A</v>
      </c>
      <c r="X144" s="3" t="e">
        <v>#N/A</v>
      </c>
      <c r="Y144" s="3" t="e">
        <v>#N/A</v>
      </c>
      <c r="Z144" s="3" t="e">
        <v>#N/A</v>
      </c>
      <c r="AA144" s="3" t="e">
        <v>#N/A</v>
      </c>
      <c r="AB144" s="3" t="e">
        <v>#N/A</v>
      </c>
      <c r="AC144" s="3" t="e">
        <v>#N/A</v>
      </c>
      <c r="AD144" s="3" t="e">
        <v>#N/A</v>
      </c>
      <c r="AE144" s="3" t="e">
        <v>#N/A</v>
      </c>
      <c r="AF144" s="3" t="e">
        <v>#N/A</v>
      </c>
      <c r="AG144" s="3" t="e">
        <v>#N/A</v>
      </c>
      <c r="AH144" s="3" t="e">
        <v>#N/A</v>
      </c>
      <c r="AI144" s="3" t="e">
        <v>#N/A</v>
      </c>
      <c r="AJ144" s="3" t="e">
        <v>#N/A</v>
      </c>
      <c r="AK144" s="3" t="e">
        <v>#N/A</v>
      </c>
      <c r="AL144" s="3" t="e">
        <v>#N/A</v>
      </c>
      <c r="AM144" s="3" t="e">
        <v>#N/A</v>
      </c>
      <c r="AN144" s="3" t="e">
        <v>#N/A</v>
      </c>
      <c r="AO144" s="3" t="e">
        <v>#N/A</v>
      </c>
      <c r="AP144" s="3" t="e">
        <v>#N/A</v>
      </c>
      <c r="AR144" s="3" t="e">
        <f t="shared" si="18"/>
        <v>#N/A</v>
      </c>
      <c r="AS144" s="3" t="e">
        <f t="shared" si="18"/>
        <v>#N/A</v>
      </c>
      <c r="AT144" s="3" t="e">
        <f t="shared" si="18"/>
        <v>#N/A</v>
      </c>
      <c r="AU144" s="3" t="e">
        <f t="shared" si="19"/>
        <v>#N/A</v>
      </c>
      <c r="AV144" s="3" t="e">
        <f t="shared" si="20"/>
        <v>#N/A</v>
      </c>
      <c r="AW144" s="3" t="e">
        <f t="shared" si="21"/>
        <v>#N/A</v>
      </c>
      <c r="AX144" s="3" t="e">
        <f t="shared" si="22"/>
        <v>#N/A</v>
      </c>
      <c r="AY144" s="3" t="e">
        <f t="shared" si="23"/>
        <v>#N/A</v>
      </c>
      <c r="AZ144" s="3" t="e">
        <f t="shared" si="24"/>
        <v>#N/A</v>
      </c>
      <c r="BA144" s="3" t="e">
        <f t="shared" si="25"/>
        <v>#N/A</v>
      </c>
      <c r="BB144" s="3" t="e">
        <f t="shared" si="26"/>
        <v>#N/A</v>
      </c>
    </row>
    <row r="145" spans="1:54" x14ac:dyDescent="0.25">
      <c r="A145" t="s">
        <v>756</v>
      </c>
      <c r="B145" s="21">
        <v>2.96</v>
      </c>
      <c r="C145" s="21">
        <v>3.45</v>
      </c>
      <c r="D145" s="35">
        <v>0.5</v>
      </c>
      <c r="E145" s="3">
        <v>176774</v>
      </c>
      <c r="F145" s="3">
        <v>295122</v>
      </c>
      <c r="G145" s="3">
        <v>246897</v>
      </c>
      <c r="H145" s="3">
        <v>251566</v>
      </c>
      <c r="I145" s="4" t="e">
        <v>#N/A</v>
      </c>
      <c r="J145" s="3"/>
      <c r="K145" s="3" t="e">
        <v>#N/A</v>
      </c>
      <c r="L145" s="3" t="e">
        <v>#N/A</v>
      </c>
      <c r="M145" s="3" t="e">
        <v>#N/A</v>
      </c>
      <c r="N145" s="3" t="e">
        <v>#N/A</v>
      </c>
      <c r="O145" s="3" t="e">
        <v>#N/A</v>
      </c>
      <c r="P145" s="3" t="e">
        <v>#N/A</v>
      </c>
      <c r="Q145" s="3" t="e">
        <v>#N/A</v>
      </c>
      <c r="R145" s="3" t="e">
        <v>#N/A</v>
      </c>
      <c r="S145" s="3" t="e">
        <v>#N/A</v>
      </c>
      <c r="T145" s="3" t="e">
        <v>#N/A</v>
      </c>
      <c r="U145" s="3" t="e">
        <v>#N/A</v>
      </c>
      <c r="V145" s="3" t="e">
        <v>#N/A</v>
      </c>
      <c r="W145" s="3" t="e">
        <v>#N/A</v>
      </c>
      <c r="X145" s="3" t="e">
        <v>#N/A</v>
      </c>
      <c r="Y145" s="3" t="e">
        <v>#N/A</v>
      </c>
      <c r="Z145" s="3" t="e">
        <v>#N/A</v>
      </c>
      <c r="AA145" s="3" t="e">
        <v>#N/A</v>
      </c>
      <c r="AB145" s="3" t="e">
        <v>#N/A</v>
      </c>
      <c r="AC145" s="3" t="e">
        <v>#N/A</v>
      </c>
      <c r="AD145" s="3" t="e">
        <v>#N/A</v>
      </c>
      <c r="AE145" s="3" t="e">
        <v>#N/A</v>
      </c>
      <c r="AF145" s="3" t="e">
        <v>#N/A</v>
      </c>
      <c r="AG145" s="3" t="e">
        <v>#N/A</v>
      </c>
      <c r="AH145" s="3" t="e">
        <v>#N/A</v>
      </c>
      <c r="AI145" s="3" t="e">
        <v>#N/A</v>
      </c>
      <c r="AJ145" s="3" t="e">
        <v>#N/A</v>
      </c>
      <c r="AK145" s="3" t="e">
        <v>#N/A</v>
      </c>
      <c r="AL145" s="3" t="e">
        <v>#N/A</v>
      </c>
      <c r="AM145" s="3" t="e">
        <v>#N/A</v>
      </c>
      <c r="AN145" s="3" t="e">
        <v>#N/A</v>
      </c>
      <c r="AO145" s="3" t="e">
        <v>#N/A</v>
      </c>
      <c r="AP145" s="3" t="e">
        <v>#N/A</v>
      </c>
      <c r="AR145" s="3" t="e">
        <f t="shared" si="18"/>
        <v>#N/A</v>
      </c>
      <c r="AS145" s="3" t="e">
        <f t="shared" si="18"/>
        <v>#N/A</v>
      </c>
      <c r="AT145" s="3" t="e">
        <f t="shared" si="18"/>
        <v>#N/A</v>
      </c>
      <c r="AU145" s="3" t="e">
        <f t="shared" si="19"/>
        <v>#N/A</v>
      </c>
      <c r="AV145" s="3" t="e">
        <f t="shared" si="20"/>
        <v>#N/A</v>
      </c>
      <c r="AW145" s="3" t="e">
        <f t="shared" si="21"/>
        <v>#N/A</v>
      </c>
      <c r="AX145" s="3" t="e">
        <f t="shared" si="22"/>
        <v>#N/A</v>
      </c>
      <c r="AY145" s="3" t="e">
        <f t="shared" si="23"/>
        <v>#N/A</v>
      </c>
      <c r="AZ145" s="3" t="e">
        <f t="shared" si="24"/>
        <v>#N/A</v>
      </c>
      <c r="BA145" s="3" t="e">
        <f t="shared" si="25"/>
        <v>#N/A</v>
      </c>
      <c r="BB145" s="3" t="e">
        <f t="shared" si="26"/>
        <v>#N/A</v>
      </c>
    </row>
    <row r="146" spans="1:54" x14ac:dyDescent="0.25">
      <c r="A146" t="s">
        <v>757</v>
      </c>
      <c r="B146" s="21">
        <v>2.98</v>
      </c>
      <c r="C146" s="21">
        <v>3.43</v>
      </c>
      <c r="D146" s="35">
        <v>0.5</v>
      </c>
      <c r="E146" s="3">
        <v>177200</v>
      </c>
      <c r="F146" s="3">
        <v>295406</v>
      </c>
      <c r="G146" s="3">
        <v>245701</v>
      </c>
      <c r="H146" s="3">
        <v>244496</v>
      </c>
      <c r="I146" s="4" t="e">
        <v>#N/A</v>
      </c>
      <c r="J146" s="3"/>
      <c r="K146" s="3" t="e">
        <v>#N/A</v>
      </c>
      <c r="L146" s="3" t="e">
        <v>#N/A</v>
      </c>
      <c r="M146" s="3" t="e">
        <v>#N/A</v>
      </c>
      <c r="N146" s="3" t="e">
        <v>#N/A</v>
      </c>
      <c r="O146" s="3" t="e">
        <v>#N/A</v>
      </c>
      <c r="P146" s="3" t="e">
        <v>#N/A</v>
      </c>
      <c r="Q146" s="3" t="e">
        <v>#N/A</v>
      </c>
      <c r="R146" s="3" t="e">
        <v>#N/A</v>
      </c>
      <c r="S146" s="3" t="e">
        <v>#N/A</v>
      </c>
      <c r="T146" s="3" t="e">
        <v>#N/A</v>
      </c>
      <c r="U146" s="3" t="e">
        <v>#N/A</v>
      </c>
      <c r="V146" s="3" t="e">
        <v>#N/A</v>
      </c>
      <c r="W146" s="3" t="e">
        <v>#N/A</v>
      </c>
      <c r="X146" s="3" t="e">
        <v>#N/A</v>
      </c>
      <c r="Y146" s="3" t="e">
        <v>#N/A</v>
      </c>
      <c r="Z146" s="3" t="e">
        <v>#N/A</v>
      </c>
      <c r="AA146" s="3" t="e">
        <v>#N/A</v>
      </c>
      <c r="AB146" s="3" t="e">
        <v>#N/A</v>
      </c>
      <c r="AC146" s="3" t="e">
        <v>#N/A</v>
      </c>
      <c r="AD146" s="3" t="e">
        <v>#N/A</v>
      </c>
      <c r="AE146" s="3" t="e">
        <v>#N/A</v>
      </c>
      <c r="AF146" s="3" t="e">
        <v>#N/A</v>
      </c>
      <c r="AG146" s="3" t="e">
        <v>#N/A</v>
      </c>
      <c r="AH146" s="3" t="e">
        <v>#N/A</v>
      </c>
      <c r="AI146" s="3" t="e">
        <v>#N/A</v>
      </c>
      <c r="AJ146" s="3" t="e">
        <v>#N/A</v>
      </c>
      <c r="AK146" s="3" t="e">
        <v>#N/A</v>
      </c>
      <c r="AL146" s="3" t="e">
        <v>#N/A</v>
      </c>
      <c r="AM146" s="3" t="e">
        <v>#N/A</v>
      </c>
      <c r="AN146" s="3" t="e">
        <v>#N/A</v>
      </c>
      <c r="AO146" s="3" t="e">
        <v>#N/A</v>
      </c>
      <c r="AP146" s="3" t="e">
        <v>#N/A</v>
      </c>
      <c r="AR146" s="3" t="e">
        <f t="shared" si="18"/>
        <v>#N/A</v>
      </c>
      <c r="AS146" s="3" t="e">
        <f t="shared" si="18"/>
        <v>#N/A</v>
      </c>
      <c r="AT146" s="3" t="e">
        <f t="shared" si="18"/>
        <v>#N/A</v>
      </c>
      <c r="AU146" s="3" t="e">
        <f t="shared" si="19"/>
        <v>#N/A</v>
      </c>
      <c r="AV146" s="3" t="e">
        <f t="shared" si="20"/>
        <v>#N/A</v>
      </c>
      <c r="AW146" s="3" t="e">
        <f t="shared" si="21"/>
        <v>#N/A</v>
      </c>
      <c r="AX146" s="3" t="e">
        <f t="shared" si="22"/>
        <v>#N/A</v>
      </c>
      <c r="AY146" s="3" t="e">
        <f t="shared" si="23"/>
        <v>#N/A</v>
      </c>
      <c r="AZ146" s="3" t="e">
        <f t="shared" si="24"/>
        <v>#N/A</v>
      </c>
      <c r="BA146" s="3" t="e">
        <f t="shared" si="25"/>
        <v>#N/A</v>
      </c>
      <c r="BB146" s="3" t="e">
        <f t="shared" si="26"/>
        <v>#N/A</v>
      </c>
    </row>
    <row r="147" spans="1:54" x14ac:dyDescent="0.25">
      <c r="A147" t="s">
        <v>758</v>
      </c>
      <c r="B147" s="21">
        <v>3.01</v>
      </c>
      <c r="C147" s="21">
        <v>3.41</v>
      </c>
      <c r="D147" s="35">
        <v>0.5</v>
      </c>
      <c r="E147" s="3">
        <v>175540</v>
      </c>
      <c r="F147" s="3">
        <v>297861</v>
      </c>
      <c r="G147" s="3">
        <v>246092</v>
      </c>
      <c r="H147" s="3">
        <v>244084</v>
      </c>
      <c r="I147" s="4" t="e">
        <v>#N/A</v>
      </c>
      <c r="J147" s="3"/>
      <c r="K147" s="3" t="e">
        <v>#N/A</v>
      </c>
      <c r="L147" s="3" t="e">
        <v>#N/A</v>
      </c>
      <c r="M147" s="3" t="e">
        <v>#N/A</v>
      </c>
      <c r="N147" s="3" t="e">
        <v>#N/A</v>
      </c>
      <c r="O147" s="3" t="e">
        <v>#N/A</v>
      </c>
      <c r="P147" s="3" t="e">
        <v>#N/A</v>
      </c>
      <c r="Q147" s="3" t="e">
        <v>#N/A</v>
      </c>
      <c r="R147" s="3" t="e">
        <v>#N/A</v>
      </c>
      <c r="S147" s="3" t="e">
        <v>#N/A</v>
      </c>
      <c r="T147" s="3" t="e">
        <v>#N/A</v>
      </c>
      <c r="U147" s="3" t="e">
        <v>#N/A</v>
      </c>
      <c r="V147" s="3" t="e">
        <v>#N/A</v>
      </c>
      <c r="W147" s="3" t="e">
        <v>#N/A</v>
      </c>
      <c r="X147" s="3" t="e">
        <v>#N/A</v>
      </c>
      <c r="Y147" s="3" t="e">
        <v>#N/A</v>
      </c>
      <c r="Z147" s="3" t="e">
        <v>#N/A</v>
      </c>
      <c r="AA147" s="3" t="e">
        <v>#N/A</v>
      </c>
      <c r="AB147" s="3" t="e">
        <v>#N/A</v>
      </c>
      <c r="AC147" s="3" t="e">
        <v>#N/A</v>
      </c>
      <c r="AD147" s="3" t="e">
        <v>#N/A</v>
      </c>
      <c r="AE147" s="3" t="e">
        <v>#N/A</v>
      </c>
      <c r="AF147" s="3" t="e">
        <v>#N/A</v>
      </c>
      <c r="AG147" s="3" t="e">
        <v>#N/A</v>
      </c>
      <c r="AH147" s="3" t="e">
        <v>#N/A</v>
      </c>
      <c r="AI147" s="3" t="e">
        <v>#N/A</v>
      </c>
      <c r="AJ147" s="3" t="e">
        <v>#N/A</v>
      </c>
      <c r="AK147" s="3" t="e">
        <v>#N/A</v>
      </c>
      <c r="AL147" s="3" t="e">
        <v>#N/A</v>
      </c>
      <c r="AM147" s="3" t="e">
        <v>#N/A</v>
      </c>
      <c r="AN147" s="3" t="e">
        <v>#N/A</v>
      </c>
      <c r="AO147" s="3" t="e">
        <v>#N/A</v>
      </c>
      <c r="AP147" s="3" t="e">
        <v>#N/A</v>
      </c>
      <c r="AR147" s="3" t="e">
        <f t="shared" si="18"/>
        <v>#N/A</v>
      </c>
      <c r="AS147" s="3" t="e">
        <f t="shared" si="18"/>
        <v>#N/A</v>
      </c>
      <c r="AT147" s="3" t="e">
        <f t="shared" si="18"/>
        <v>#N/A</v>
      </c>
      <c r="AU147" s="3" t="e">
        <f t="shared" si="19"/>
        <v>#N/A</v>
      </c>
      <c r="AV147" s="3" t="e">
        <f t="shared" si="20"/>
        <v>#N/A</v>
      </c>
      <c r="AW147" s="3" t="e">
        <f t="shared" si="21"/>
        <v>#N/A</v>
      </c>
      <c r="AX147" s="3" t="e">
        <f t="shared" si="22"/>
        <v>#N/A</v>
      </c>
      <c r="AY147" s="3" t="e">
        <f t="shared" si="23"/>
        <v>#N/A</v>
      </c>
      <c r="AZ147" s="3" t="e">
        <f t="shared" si="24"/>
        <v>#N/A</v>
      </c>
      <c r="BA147" s="3" t="e">
        <f t="shared" si="25"/>
        <v>#N/A</v>
      </c>
      <c r="BB147" s="3" t="e">
        <f t="shared" si="26"/>
        <v>#N/A</v>
      </c>
    </row>
    <row r="148" spans="1:54" x14ac:dyDescent="0.25">
      <c r="A148" t="s">
        <v>759</v>
      </c>
      <c r="B148" s="21">
        <v>3</v>
      </c>
      <c r="C148" s="21">
        <v>3.36</v>
      </c>
      <c r="D148" s="35">
        <v>0.5</v>
      </c>
      <c r="E148" s="3">
        <v>174293</v>
      </c>
      <c r="F148" s="3">
        <v>298834</v>
      </c>
      <c r="G148" s="3">
        <v>249250</v>
      </c>
      <c r="H148" s="3">
        <v>249846</v>
      </c>
      <c r="I148" s="4" t="e">
        <v>#N/A</v>
      </c>
      <c r="J148" s="3"/>
      <c r="K148" s="3" t="e">
        <v>#N/A</v>
      </c>
      <c r="L148" s="3" t="e">
        <v>#N/A</v>
      </c>
      <c r="M148" s="3" t="e">
        <v>#N/A</v>
      </c>
      <c r="N148" s="3" t="e">
        <v>#N/A</v>
      </c>
      <c r="O148" s="3" t="e">
        <v>#N/A</v>
      </c>
      <c r="P148" s="3" t="e">
        <v>#N/A</v>
      </c>
      <c r="Q148" s="3" t="e">
        <v>#N/A</v>
      </c>
      <c r="R148" s="3" t="e">
        <v>#N/A</v>
      </c>
      <c r="S148" s="3" t="e">
        <v>#N/A</v>
      </c>
      <c r="T148" s="3" t="e">
        <v>#N/A</v>
      </c>
      <c r="U148" s="3" t="e">
        <v>#N/A</v>
      </c>
      <c r="V148" s="3" t="e">
        <v>#N/A</v>
      </c>
      <c r="W148" s="3" t="e">
        <v>#N/A</v>
      </c>
      <c r="X148" s="3" t="e">
        <v>#N/A</v>
      </c>
      <c r="Y148" s="3" t="e">
        <v>#N/A</v>
      </c>
      <c r="Z148" s="3" t="e">
        <v>#N/A</v>
      </c>
      <c r="AA148" s="3" t="e">
        <v>#N/A</v>
      </c>
      <c r="AB148" s="3" t="e">
        <v>#N/A</v>
      </c>
      <c r="AC148" s="3" t="e">
        <v>#N/A</v>
      </c>
      <c r="AD148" s="3" t="e">
        <v>#N/A</v>
      </c>
      <c r="AE148" s="3" t="e">
        <v>#N/A</v>
      </c>
      <c r="AF148" s="3" t="e">
        <v>#N/A</v>
      </c>
      <c r="AG148" s="3" t="e">
        <v>#N/A</v>
      </c>
      <c r="AH148" s="3" t="e">
        <v>#N/A</v>
      </c>
      <c r="AI148" s="3" t="e">
        <v>#N/A</v>
      </c>
      <c r="AJ148" s="3" t="e">
        <v>#N/A</v>
      </c>
      <c r="AK148" s="3" t="e">
        <v>#N/A</v>
      </c>
      <c r="AL148" s="3" t="e">
        <v>#N/A</v>
      </c>
      <c r="AM148" s="3" t="e">
        <v>#N/A</v>
      </c>
      <c r="AN148" s="3" t="e">
        <v>#N/A</v>
      </c>
      <c r="AO148" s="3" t="e">
        <v>#N/A</v>
      </c>
      <c r="AP148" s="3" t="e">
        <v>#N/A</v>
      </c>
      <c r="AR148" s="3" t="e">
        <f t="shared" si="18"/>
        <v>#N/A</v>
      </c>
      <c r="AS148" s="3" t="e">
        <f t="shared" si="18"/>
        <v>#N/A</v>
      </c>
      <c r="AT148" s="3" t="e">
        <f t="shared" si="18"/>
        <v>#N/A</v>
      </c>
      <c r="AU148" s="3" t="e">
        <f t="shared" si="19"/>
        <v>#N/A</v>
      </c>
      <c r="AV148" s="3" t="e">
        <f t="shared" si="20"/>
        <v>#N/A</v>
      </c>
      <c r="AW148" s="3" t="e">
        <f t="shared" si="21"/>
        <v>#N/A</v>
      </c>
      <c r="AX148" s="3" t="e">
        <f t="shared" si="22"/>
        <v>#N/A</v>
      </c>
      <c r="AY148" s="3" t="e">
        <f t="shared" si="23"/>
        <v>#N/A</v>
      </c>
      <c r="AZ148" s="3" t="e">
        <f t="shared" si="24"/>
        <v>#N/A</v>
      </c>
      <c r="BA148" s="3" t="e">
        <f t="shared" si="25"/>
        <v>#N/A</v>
      </c>
      <c r="BB148" s="3" t="e">
        <f t="shared" si="26"/>
        <v>#N/A</v>
      </c>
    </row>
    <row r="149" spans="1:54" x14ac:dyDescent="0.25">
      <c r="A149" t="s">
        <v>760</v>
      </c>
      <c r="B149" s="21">
        <v>3.03</v>
      </c>
      <c r="C149" s="21">
        <v>3.38</v>
      </c>
      <c r="D149" s="35">
        <v>0.5</v>
      </c>
      <c r="E149" s="3">
        <v>171648</v>
      </c>
      <c r="F149" s="3">
        <v>299930</v>
      </c>
      <c r="G149" s="3">
        <v>247692</v>
      </c>
      <c r="H149" s="3">
        <v>245478</v>
      </c>
      <c r="I149" s="4" t="e">
        <v>#N/A</v>
      </c>
      <c r="J149" s="3"/>
      <c r="K149" s="3" t="e">
        <v>#N/A</v>
      </c>
      <c r="L149" s="3" t="e">
        <v>#N/A</v>
      </c>
      <c r="M149" s="3" t="e">
        <v>#N/A</v>
      </c>
      <c r="N149" s="3" t="e">
        <v>#N/A</v>
      </c>
      <c r="O149" s="3" t="e">
        <v>#N/A</v>
      </c>
      <c r="P149" s="3" t="e">
        <v>#N/A</v>
      </c>
      <c r="Q149" s="3" t="e">
        <v>#N/A</v>
      </c>
      <c r="R149" s="3" t="e">
        <v>#N/A</v>
      </c>
      <c r="S149" s="3" t="e">
        <v>#N/A</v>
      </c>
      <c r="T149" s="3" t="e">
        <v>#N/A</v>
      </c>
      <c r="U149" s="3" t="e">
        <v>#N/A</v>
      </c>
      <c r="V149" s="3" t="e">
        <v>#N/A</v>
      </c>
      <c r="W149" s="3" t="e">
        <v>#N/A</v>
      </c>
      <c r="X149" s="3" t="e">
        <v>#N/A</v>
      </c>
      <c r="Y149" s="3" t="e">
        <v>#N/A</v>
      </c>
      <c r="Z149" s="3" t="e">
        <v>#N/A</v>
      </c>
      <c r="AA149" s="3" t="e">
        <v>#N/A</v>
      </c>
      <c r="AB149" s="3" t="e">
        <v>#N/A</v>
      </c>
      <c r="AC149" s="3" t="e">
        <v>#N/A</v>
      </c>
      <c r="AD149" s="3" t="e">
        <v>#N/A</v>
      </c>
      <c r="AE149" s="3" t="e">
        <v>#N/A</v>
      </c>
      <c r="AF149" s="3" t="e">
        <v>#N/A</v>
      </c>
      <c r="AG149" s="3" t="e">
        <v>#N/A</v>
      </c>
      <c r="AH149" s="3" t="e">
        <v>#N/A</v>
      </c>
      <c r="AI149" s="3" t="e">
        <v>#N/A</v>
      </c>
      <c r="AJ149" s="3" t="e">
        <v>#N/A</v>
      </c>
      <c r="AK149" s="3" t="e">
        <v>#N/A</v>
      </c>
      <c r="AL149" s="3" t="e">
        <v>#N/A</v>
      </c>
      <c r="AM149" s="3" t="e">
        <v>#N/A</v>
      </c>
      <c r="AN149" s="3" t="e">
        <v>#N/A</v>
      </c>
      <c r="AO149" s="3" t="e">
        <v>#N/A</v>
      </c>
      <c r="AP149" s="3" t="e">
        <v>#N/A</v>
      </c>
      <c r="AR149" s="3" t="e">
        <f t="shared" si="18"/>
        <v>#N/A</v>
      </c>
      <c r="AS149" s="3" t="e">
        <f t="shared" si="18"/>
        <v>#N/A</v>
      </c>
      <c r="AT149" s="3" t="e">
        <f t="shared" si="18"/>
        <v>#N/A</v>
      </c>
      <c r="AU149" s="3" t="e">
        <f t="shared" si="19"/>
        <v>#N/A</v>
      </c>
      <c r="AV149" s="3" t="e">
        <f t="shared" si="20"/>
        <v>#N/A</v>
      </c>
      <c r="AW149" s="3" t="e">
        <f t="shared" si="21"/>
        <v>#N/A</v>
      </c>
      <c r="AX149" s="3" t="e">
        <f t="shared" si="22"/>
        <v>#N/A</v>
      </c>
      <c r="AY149" s="3" t="e">
        <f t="shared" si="23"/>
        <v>#N/A</v>
      </c>
      <c r="AZ149" s="3" t="e">
        <f t="shared" si="24"/>
        <v>#N/A</v>
      </c>
      <c r="BA149" s="3" t="e">
        <f t="shared" si="25"/>
        <v>#N/A</v>
      </c>
      <c r="BB149" s="3" t="e">
        <f t="shared" si="26"/>
        <v>#N/A</v>
      </c>
    </row>
    <row r="150" spans="1:54" x14ac:dyDescent="0.25">
      <c r="A150" t="s">
        <v>761</v>
      </c>
      <c r="B150" s="21">
        <v>3.05</v>
      </c>
      <c r="C150" s="21">
        <v>3.36</v>
      </c>
      <c r="D150" s="35">
        <v>0.5</v>
      </c>
      <c r="E150" s="3">
        <v>171321</v>
      </c>
      <c r="F150" s="3">
        <v>300257</v>
      </c>
      <c r="G150" s="3">
        <v>247499</v>
      </c>
      <c r="H150" s="3">
        <v>247552</v>
      </c>
      <c r="I150" s="4" t="e">
        <v>#N/A</v>
      </c>
      <c r="J150" s="3"/>
      <c r="K150" s="3" t="e">
        <v>#N/A</v>
      </c>
      <c r="L150" s="3" t="e">
        <v>#N/A</v>
      </c>
      <c r="M150" s="3" t="e">
        <v>#N/A</v>
      </c>
      <c r="N150" s="3" t="e">
        <v>#N/A</v>
      </c>
      <c r="O150" s="3" t="e">
        <v>#N/A</v>
      </c>
      <c r="P150" s="3" t="e">
        <v>#N/A</v>
      </c>
      <c r="Q150" s="3" t="e">
        <v>#N/A</v>
      </c>
      <c r="R150" s="3" t="e">
        <v>#N/A</v>
      </c>
      <c r="S150" s="3" t="e">
        <v>#N/A</v>
      </c>
      <c r="T150" s="3" t="e">
        <v>#N/A</v>
      </c>
      <c r="U150" s="3" t="e">
        <v>#N/A</v>
      </c>
      <c r="V150" s="3" t="e">
        <v>#N/A</v>
      </c>
      <c r="W150" s="3" t="e">
        <v>#N/A</v>
      </c>
      <c r="X150" s="3" t="e">
        <v>#N/A</v>
      </c>
      <c r="Y150" s="3" t="e">
        <v>#N/A</v>
      </c>
      <c r="Z150" s="3" t="e">
        <v>#N/A</v>
      </c>
      <c r="AA150" s="3" t="e">
        <v>#N/A</v>
      </c>
      <c r="AB150" s="3" t="e">
        <v>#N/A</v>
      </c>
      <c r="AC150" s="3" t="e">
        <v>#N/A</v>
      </c>
      <c r="AD150" s="3" t="e">
        <v>#N/A</v>
      </c>
      <c r="AE150" s="3" t="e">
        <v>#N/A</v>
      </c>
      <c r="AF150" s="3" t="e">
        <v>#N/A</v>
      </c>
      <c r="AG150" s="3" t="e">
        <v>#N/A</v>
      </c>
      <c r="AH150" s="3" t="e">
        <v>#N/A</v>
      </c>
      <c r="AI150" s="3" t="e">
        <v>#N/A</v>
      </c>
      <c r="AJ150" s="3" t="e">
        <v>#N/A</v>
      </c>
      <c r="AK150" s="3" t="e">
        <v>#N/A</v>
      </c>
      <c r="AL150" s="3" t="e">
        <v>#N/A</v>
      </c>
      <c r="AM150" s="3" t="e">
        <v>#N/A</v>
      </c>
      <c r="AN150" s="3" t="e">
        <v>#N/A</v>
      </c>
      <c r="AO150" s="3" t="e">
        <v>#N/A</v>
      </c>
      <c r="AP150" s="3" t="e">
        <v>#N/A</v>
      </c>
      <c r="AR150" s="3" t="e">
        <f t="shared" si="18"/>
        <v>#N/A</v>
      </c>
      <c r="AS150" s="3" t="e">
        <f t="shared" si="18"/>
        <v>#N/A</v>
      </c>
      <c r="AT150" s="3" t="e">
        <f t="shared" si="18"/>
        <v>#N/A</v>
      </c>
      <c r="AU150" s="3" t="e">
        <f t="shared" si="19"/>
        <v>#N/A</v>
      </c>
      <c r="AV150" s="3" t="e">
        <f t="shared" si="20"/>
        <v>#N/A</v>
      </c>
      <c r="AW150" s="3" t="e">
        <f t="shared" si="21"/>
        <v>#N/A</v>
      </c>
      <c r="AX150" s="3" t="e">
        <f t="shared" si="22"/>
        <v>#N/A</v>
      </c>
      <c r="AY150" s="3" t="e">
        <f t="shared" si="23"/>
        <v>#N/A</v>
      </c>
      <c r="AZ150" s="3" t="e">
        <f t="shared" si="24"/>
        <v>#N/A</v>
      </c>
      <c r="BA150" s="3" t="e">
        <f t="shared" si="25"/>
        <v>#N/A</v>
      </c>
      <c r="BB150" s="3" t="e">
        <f t="shared" si="26"/>
        <v>#N/A</v>
      </c>
    </row>
    <row r="151" spans="1:54" x14ac:dyDescent="0.25">
      <c r="A151" t="s">
        <v>762</v>
      </c>
      <c r="B151" s="21">
        <v>3.07</v>
      </c>
      <c r="C151" s="21">
        <v>3.36</v>
      </c>
      <c r="D151" s="35">
        <v>0.5</v>
      </c>
      <c r="E151" s="3">
        <v>170757</v>
      </c>
      <c r="F151" s="3">
        <v>297497</v>
      </c>
      <c r="G151" s="3">
        <v>247332</v>
      </c>
      <c r="H151" s="3">
        <v>251268</v>
      </c>
      <c r="I151" s="4" t="e">
        <v>#N/A</v>
      </c>
      <c r="J151" s="3"/>
      <c r="K151" s="3" t="e">
        <v>#N/A</v>
      </c>
      <c r="L151" s="3" t="e">
        <v>#N/A</v>
      </c>
      <c r="M151" s="3" t="e">
        <v>#N/A</v>
      </c>
      <c r="N151" s="3" t="e">
        <v>#N/A</v>
      </c>
      <c r="O151" s="3" t="e">
        <v>#N/A</v>
      </c>
      <c r="P151" s="3" t="e">
        <v>#N/A</v>
      </c>
      <c r="Q151" s="3" t="e">
        <v>#N/A</v>
      </c>
      <c r="R151" s="3" t="e">
        <v>#N/A</v>
      </c>
      <c r="S151" s="3" t="e">
        <v>#N/A</v>
      </c>
      <c r="T151" s="3" t="e">
        <v>#N/A</v>
      </c>
      <c r="U151" s="3" t="e">
        <v>#N/A</v>
      </c>
      <c r="V151" s="3" t="e">
        <v>#N/A</v>
      </c>
      <c r="W151" s="3" t="e">
        <v>#N/A</v>
      </c>
      <c r="X151" s="3" t="e">
        <v>#N/A</v>
      </c>
      <c r="Y151" s="3" t="e">
        <v>#N/A</v>
      </c>
      <c r="Z151" s="3" t="e">
        <v>#N/A</v>
      </c>
      <c r="AA151" s="3" t="e">
        <v>#N/A</v>
      </c>
      <c r="AB151" s="3" t="e">
        <v>#N/A</v>
      </c>
      <c r="AC151" s="3" t="e">
        <v>#N/A</v>
      </c>
      <c r="AD151" s="3" t="e">
        <v>#N/A</v>
      </c>
      <c r="AE151" s="3" t="e">
        <v>#N/A</v>
      </c>
      <c r="AF151" s="3" t="e">
        <v>#N/A</v>
      </c>
      <c r="AG151" s="3" t="e">
        <v>#N/A</v>
      </c>
      <c r="AH151" s="3" t="e">
        <v>#N/A</v>
      </c>
      <c r="AI151" s="3" t="e">
        <v>#N/A</v>
      </c>
      <c r="AJ151" s="3" t="e">
        <v>#N/A</v>
      </c>
      <c r="AK151" s="3" t="e">
        <v>#N/A</v>
      </c>
      <c r="AL151" s="3" t="e">
        <v>#N/A</v>
      </c>
      <c r="AM151" s="3" t="e">
        <v>#N/A</v>
      </c>
      <c r="AN151" s="3" t="e">
        <v>#N/A</v>
      </c>
      <c r="AO151" s="3" t="e">
        <v>#N/A</v>
      </c>
      <c r="AP151" s="3" t="e">
        <v>#N/A</v>
      </c>
      <c r="AR151" s="3" t="e">
        <f t="shared" si="18"/>
        <v>#N/A</v>
      </c>
      <c r="AS151" s="3" t="e">
        <f t="shared" si="18"/>
        <v>#N/A</v>
      </c>
      <c r="AT151" s="3" t="e">
        <f t="shared" si="18"/>
        <v>#N/A</v>
      </c>
      <c r="AU151" s="3" t="e">
        <f t="shared" si="19"/>
        <v>#N/A</v>
      </c>
      <c r="AV151" s="3" t="e">
        <f t="shared" si="20"/>
        <v>#N/A</v>
      </c>
      <c r="AW151" s="3" t="e">
        <f t="shared" si="21"/>
        <v>#N/A</v>
      </c>
      <c r="AX151" s="3" t="e">
        <f t="shared" si="22"/>
        <v>#N/A</v>
      </c>
      <c r="AY151" s="3" t="e">
        <f t="shared" si="23"/>
        <v>#N/A</v>
      </c>
      <c r="AZ151" s="3" t="e">
        <f t="shared" si="24"/>
        <v>#N/A</v>
      </c>
      <c r="BA151" s="3" t="e">
        <f t="shared" si="25"/>
        <v>#N/A</v>
      </c>
      <c r="BB151" s="3" t="e">
        <f t="shared" si="26"/>
        <v>#N/A</v>
      </c>
    </row>
    <row r="152" spans="1:54" x14ac:dyDescent="0.25">
      <c r="A152" t="s">
        <v>763</v>
      </c>
      <c r="B152" s="21">
        <v>3.22</v>
      </c>
      <c r="C152" s="21">
        <v>3.38</v>
      </c>
      <c r="D152" s="35">
        <v>0.5</v>
      </c>
      <c r="E152" s="3">
        <v>170382</v>
      </c>
      <c r="F152" s="3">
        <v>293419</v>
      </c>
      <c r="G152" s="3">
        <v>248233</v>
      </c>
      <c r="H152" s="3">
        <v>244579</v>
      </c>
      <c r="I152" s="4" t="e">
        <v>#N/A</v>
      </c>
      <c r="J152" s="3"/>
      <c r="K152" s="3" t="e">
        <v>#N/A</v>
      </c>
      <c r="L152" s="3" t="e">
        <v>#N/A</v>
      </c>
      <c r="M152" s="3" t="e">
        <v>#N/A</v>
      </c>
      <c r="N152" s="3" t="e">
        <v>#N/A</v>
      </c>
      <c r="O152" s="3" t="e">
        <v>#N/A</v>
      </c>
      <c r="P152" s="3" t="e">
        <v>#N/A</v>
      </c>
      <c r="Q152" s="3" t="e">
        <v>#N/A</v>
      </c>
      <c r="R152" s="3" t="e">
        <v>#N/A</v>
      </c>
      <c r="S152" s="3" t="e">
        <v>#N/A</v>
      </c>
      <c r="T152" s="3" t="e">
        <v>#N/A</v>
      </c>
      <c r="U152" s="3" t="e">
        <v>#N/A</v>
      </c>
      <c r="V152" s="3" t="e">
        <v>#N/A</v>
      </c>
      <c r="W152" s="3" t="e">
        <v>#N/A</v>
      </c>
      <c r="X152" s="3" t="e">
        <v>#N/A</v>
      </c>
      <c r="Y152" s="3" t="e">
        <v>#N/A</v>
      </c>
      <c r="Z152" s="3" t="e">
        <v>#N/A</v>
      </c>
      <c r="AA152" s="3" t="e">
        <v>#N/A</v>
      </c>
      <c r="AB152" s="3" t="e">
        <v>#N/A</v>
      </c>
      <c r="AC152" s="3" t="e">
        <v>#N/A</v>
      </c>
      <c r="AD152" s="3" t="e">
        <v>#N/A</v>
      </c>
      <c r="AE152" s="3" t="e">
        <v>#N/A</v>
      </c>
      <c r="AF152" s="3" t="e">
        <v>#N/A</v>
      </c>
      <c r="AG152" s="3" t="e">
        <v>#N/A</v>
      </c>
      <c r="AH152" s="3" t="e">
        <v>#N/A</v>
      </c>
      <c r="AI152" s="3" t="e">
        <v>#N/A</v>
      </c>
      <c r="AJ152" s="3" t="e">
        <v>#N/A</v>
      </c>
      <c r="AK152" s="3" t="e">
        <v>#N/A</v>
      </c>
      <c r="AL152" s="3" t="e">
        <v>#N/A</v>
      </c>
      <c r="AM152" s="3" t="e">
        <v>#N/A</v>
      </c>
      <c r="AN152" s="3" t="e">
        <v>#N/A</v>
      </c>
      <c r="AO152" s="3" t="e">
        <v>#N/A</v>
      </c>
      <c r="AP152" s="3" t="e">
        <v>#N/A</v>
      </c>
      <c r="AR152" s="3" t="e">
        <f t="shared" si="18"/>
        <v>#N/A</v>
      </c>
      <c r="AS152" s="3" t="e">
        <f t="shared" si="18"/>
        <v>#N/A</v>
      </c>
      <c r="AT152" s="3" t="e">
        <f t="shared" si="18"/>
        <v>#N/A</v>
      </c>
      <c r="AU152" s="3" t="e">
        <f t="shared" si="19"/>
        <v>#N/A</v>
      </c>
      <c r="AV152" s="3" t="e">
        <f t="shared" si="20"/>
        <v>#N/A</v>
      </c>
      <c r="AW152" s="3" t="e">
        <f t="shared" si="21"/>
        <v>#N/A</v>
      </c>
      <c r="AX152" s="3" t="e">
        <f t="shared" si="22"/>
        <v>#N/A</v>
      </c>
      <c r="AY152" s="3" t="e">
        <f t="shared" si="23"/>
        <v>#N/A</v>
      </c>
      <c r="AZ152" s="3" t="e">
        <f t="shared" si="24"/>
        <v>#N/A</v>
      </c>
      <c r="BA152" s="3" t="e">
        <f t="shared" si="25"/>
        <v>#N/A</v>
      </c>
      <c r="BB152" s="3" t="e">
        <f t="shared" si="26"/>
        <v>#N/A</v>
      </c>
    </row>
    <row r="153" spans="1:54" x14ac:dyDescent="0.25">
      <c r="A153" t="s">
        <v>764</v>
      </c>
      <c r="B153" s="21">
        <v>3.25</v>
      </c>
      <c r="C153" s="21">
        <v>3.36</v>
      </c>
      <c r="D153" s="35">
        <v>0.5</v>
      </c>
      <c r="E153" s="3">
        <v>169753</v>
      </c>
      <c r="F153" s="3">
        <v>291875</v>
      </c>
      <c r="G153" s="3">
        <v>248499</v>
      </c>
      <c r="H153" s="3">
        <v>245564</v>
      </c>
      <c r="I153" s="4" t="e">
        <v>#N/A</v>
      </c>
      <c r="J153" s="3"/>
      <c r="K153" s="3" t="e">
        <v>#N/A</v>
      </c>
      <c r="L153" s="3" t="e">
        <v>#N/A</v>
      </c>
      <c r="M153" s="3" t="e">
        <v>#N/A</v>
      </c>
      <c r="N153" s="3" t="e">
        <v>#N/A</v>
      </c>
      <c r="O153" s="3" t="e">
        <v>#N/A</v>
      </c>
      <c r="P153" s="3" t="e">
        <v>#N/A</v>
      </c>
      <c r="Q153" s="3" t="e">
        <v>#N/A</v>
      </c>
      <c r="R153" s="3" t="e">
        <v>#N/A</v>
      </c>
      <c r="S153" s="3" t="e">
        <v>#N/A</v>
      </c>
      <c r="T153" s="3" t="e">
        <v>#N/A</v>
      </c>
      <c r="U153" s="3" t="e">
        <v>#N/A</v>
      </c>
      <c r="V153" s="3" t="e">
        <v>#N/A</v>
      </c>
      <c r="W153" s="3" t="e">
        <v>#N/A</v>
      </c>
      <c r="X153" s="3" t="e">
        <v>#N/A</v>
      </c>
      <c r="Y153" s="3" t="e">
        <v>#N/A</v>
      </c>
      <c r="Z153" s="3" t="e">
        <v>#N/A</v>
      </c>
      <c r="AA153" s="3" t="e">
        <v>#N/A</v>
      </c>
      <c r="AB153" s="3" t="e">
        <v>#N/A</v>
      </c>
      <c r="AC153" s="3" t="e">
        <v>#N/A</v>
      </c>
      <c r="AD153" s="3" t="e">
        <v>#N/A</v>
      </c>
      <c r="AE153" s="3" t="e">
        <v>#N/A</v>
      </c>
      <c r="AF153" s="3" t="e">
        <v>#N/A</v>
      </c>
      <c r="AG153" s="3" t="e">
        <v>#N/A</v>
      </c>
      <c r="AH153" s="3" t="e">
        <v>#N/A</v>
      </c>
      <c r="AI153" s="3" t="e">
        <v>#N/A</v>
      </c>
      <c r="AJ153" s="3" t="e">
        <v>#N/A</v>
      </c>
      <c r="AK153" s="3" t="e">
        <v>#N/A</v>
      </c>
      <c r="AL153" s="3" t="e">
        <v>#N/A</v>
      </c>
      <c r="AM153" s="3" t="e">
        <v>#N/A</v>
      </c>
      <c r="AN153" s="3" t="e">
        <v>#N/A</v>
      </c>
      <c r="AO153" s="3" t="e">
        <v>#N/A</v>
      </c>
      <c r="AP153" s="3" t="e">
        <v>#N/A</v>
      </c>
      <c r="AR153" s="3" t="e">
        <f t="shared" si="18"/>
        <v>#N/A</v>
      </c>
      <c r="AS153" s="3" t="e">
        <f t="shared" si="18"/>
        <v>#N/A</v>
      </c>
      <c r="AT153" s="3" t="e">
        <f t="shared" si="18"/>
        <v>#N/A</v>
      </c>
      <c r="AU153" s="3" t="e">
        <f t="shared" si="19"/>
        <v>#N/A</v>
      </c>
      <c r="AV153" s="3" t="e">
        <f t="shared" si="20"/>
        <v>#N/A</v>
      </c>
      <c r="AW153" s="3" t="e">
        <f t="shared" si="21"/>
        <v>#N/A</v>
      </c>
      <c r="AX153" s="3" t="e">
        <f t="shared" si="22"/>
        <v>#N/A</v>
      </c>
      <c r="AY153" s="3" t="e">
        <f t="shared" si="23"/>
        <v>#N/A</v>
      </c>
      <c r="AZ153" s="3" t="e">
        <f t="shared" si="24"/>
        <v>#N/A</v>
      </c>
      <c r="BA153" s="3" t="e">
        <f t="shared" si="25"/>
        <v>#N/A</v>
      </c>
      <c r="BB153" s="3" t="e">
        <f t="shared" si="26"/>
        <v>#N/A</v>
      </c>
    </row>
    <row r="154" spans="1:54" x14ac:dyDescent="0.25">
      <c r="A154" t="s">
        <v>765</v>
      </c>
      <c r="B154" s="21">
        <v>3.24</v>
      </c>
      <c r="C154" s="21">
        <v>3.36</v>
      </c>
      <c r="D154" s="35">
        <v>0.5</v>
      </c>
      <c r="E154" s="3">
        <v>168877</v>
      </c>
      <c r="F154" s="3">
        <v>289012</v>
      </c>
      <c r="G154" s="3">
        <v>249507</v>
      </c>
      <c r="H154" s="3">
        <v>251160</v>
      </c>
      <c r="I154" s="4" t="e">
        <v>#N/A</v>
      </c>
      <c r="J154" s="3"/>
      <c r="K154" s="3" t="e">
        <v>#N/A</v>
      </c>
      <c r="L154" s="3" t="e">
        <v>#N/A</v>
      </c>
      <c r="M154" s="3" t="e">
        <v>#N/A</v>
      </c>
      <c r="N154" s="3" t="e">
        <v>#N/A</v>
      </c>
      <c r="O154" s="3" t="e">
        <v>#N/A</v>
      </c>
      <c r="P154" s="3" t="e">
        <v>#N/A</v>
      </c>
      <c r="Q154" s="3" t="e">
        <v>#N/A</v>
      </c>
      <c r="R154" s="3" t="e">
        <v>#N/A</v>
      </c>
      <c r="S154" s="3" t="e">
        <v>#N/A</v>
      </c>
      <c r="T154" s="3" t="e">
        <v>#N/A</v>
      </c>
      <c r="U154" s="3" t="e">
        <v>#N/A</v>
      </c>
      <c r="V154" s="3" t="e">
        <v>#N/A</v>
      </c>
      <c r="W154" s="3" t="e">
        <v>#N/A</v>
      </c>
      <c r="X154" s="3" t="e">
        <v>#N/A</v>
      </c>
      <c r="Y154" s="3" t="e">
        <v>#N/A</v>
      </c>
      <c r="Z154" s="3" t="e">
        <v>#N/A</v>
      </c>
      <c r="AA154" s="3" t="e">
        <v>#N/A</v>
      </c>
      <c r="AB154" s="3" t="e">
        <v>#N/A</v>
      </c>
      <c r="AC154" s="3" t="e">
        <v>#N/A</v>
      </c>
      <c r="AD154" s="3" t="e">
        <v>#N/A</v>
      </c>
      <c r="AE154" s="3" t="e">
        <v>#N/A</v>
      </c>
      <c r="AF154" s="3" t="e">
        <v>#N/A</v>
      </c>
      <c r="AG154" s="3" t="e">
        <v>#N/A</v>
      </c>
      <c r="AH154" s="3" t="e">
        <v>#N/A</v>
      </c>
      <c r="AI154" s="3" t="e">
        <v>#N/A</v>
      </c>
      <c r="AJ154" s="3" t="e">
        <v>#N/A</v>
      </c>
      <c r="AK154" s="3" t="e">
        <v>#N/A</v>
      </c>
      <c r="AL154" s="3" t="e">
        <v>#N/A</v>
      </c>
      <c r="AM154" s="3" t="e">
        <v>#N/A</v>
      </c>
      <c r="AN154" s="3" t="e">
        <v>#N/A</v>
      </c>
      <c r="AO154" s="3" t="e">
        <v>#N/A</v>
      </c>
      <c r="AP154" s="3" t="e">
        <v>#N/A</v>
      </c>
      <c r="AR154" s="3" t="e">
        <f t="shared" si="18"/>
        <v>#N/A</v>
      </c>
      <c r="AS154" s="3" t="e">
        <f t="shared" si="18"/>
        <v>#N/A</v>
      </c>
      <c r="AT154" s="3" t="e">
        <f t="shared" si="18"/>
        <v>#N/A</v>
      </c>
      <c r="AU154" s="3" t="e">
        <f t="shared" si="19"/>
        <v>#N/A</v>
      </c>
      <c r="AV154" s="3" t="e">
        <f t="shared" si="20"/>
        <v>#N/A</v>
      </c>
      <c r="AW154" s="3" t="e">
        <f t="shared" si="21"/>
        <v>#N/A</v>
      </c>
      <c r="AX154" s="3" t="e">
        <f t="shared" si="22"/>
        <v>#N/A</v>
      </c>
      <c r="AY154" s="3" t="e">
        <f t="shared" si="23"/>
        <v>#N/A</v>
      </c>
      <c r="AZ154" s="3" t="e">
        <f t="shared" si="24"/>
        <v>#N/A</v>
      </c>
      <c r="BA154" s="3" t="e">
        <f t="shared" si="25"/>
        <v>#N/A</v>
      </c>
      <c r="BB154" s="3" t="e">
        <f t="shared" si="26"/>
        <v>#N/A</v>
      </c>
    </row>
    <row r="155" spans="1:54" x14ac:dyDescent="0.25">
      <c r="A155" t="s">
        <v>766</v>
      </c>
      <c r="B155" s="21">
        <v>3.24</v>
      </c>
      <c r="C155" s="21">
        <v>3.37</v>
      </c>
      <c r="D155" s="35">
        <v>0.5</v>
      </c>
      <c r="E155" s="3">
        <v>169413</v>
      </c>
      <c r="F155" s="3">
        <v>286071</v>
      </c>
      <c r="G155" s="3">
        <v>252771</v>
      </c>
      <c r="H155" s="3">
        <v>249656</v>
      </c>
      <c r="I155" s="4" t="e">
        <v>#N/A</v>
      </c>
      <c r="J155" s="3"/>
      <c r="K155" s="3" t="e">
        <v>#N/A</v>
      </c>
      <c r="L155" s="3" t="e">
        <v>#N/A</v>
      </c>
      <c r="M155" s="3" t="e">
        <v>#N/A</v>
      </c>
      <c r="N155" s="3" t="e">
        <v>#N/A</v>
      </c>
      <c r="O155" s="3" t="e">
        <v>#N/A</v>
      </c>
      <c r="P155" s="3" t="e">
        <v>#N/A</v>
      </c>
      <c r="Q155" s="3" t="e">
        <v>#N/A</v>
      </c>
      <c r="R155" s="3" t="e">
        <v>#N/A</v>
      </c>
      <c r="S155" s="3" t="e">
        <v>#N/A</v>
      </c>
      <c r="T155" s="3" t="e">
        <v>#N/A</v>
      </c>
      <c r="U155" s="3" t="e">
        <v>#N/A</v>
      </c>
      <c r="V155" s="3" t="e">
        <v>#N/A</v>
      </c>
      <c r="W155" s="3" t="e">
        <v>#N/A</v>
      </c>
      <c r="X155" s="3" t="e">
        <v>#N/A</v>
      </c>
      <c r="Y155" s="3" t="e">
        <v>#N/A</v>
      </c>
      <c r="Z155" s="3" t="e">
        <v>#N/A</v>
      </c>
      <c r="AA155" s="3" t="e">
        <v>#N/A</v>
      </c>
      <c r="AB155" s="3" t="e">
        <v>#N/A</v>
      </c>
      <c r="AC155" s="3" t="e">
        <v>#N/A</v>
      </c>
      <c r="AD155" s="3" t="e">
        <v>#N/A</v>
      </c>
      <c r="AE155" s="3" t="e">
        <v>#N/A</v>
      </c>
      <c r="AF155" s="3" t="e">
        <v>#N/A</v>
      </c>
      <c r="AG155" s="3" t="e">
        <v>#N/A</v>
      </c>
      <c r="AH155" s="3" t="e">
        <v>#N/A</v>
      </c>
      <c r="AI155" s="3" t="e">
        <v>#N/A</v>
      </c>
      <c r="AJ155" s="3" t="e">
        <v>#N/A</v>
      </c>
      <c r="AK155" s="3" t="e">
        <v>#N/A</v>
      </c>
      <c r="AL155" s="3" t="e">
        <v>#N/A</v>
      </c>
      <c r="AM155" s="3" t="e">
        <v>#N/A</v>
      </c>
      <c r="AN155" s="3" t="e">
        <v>#N/A</v>
      </c>
      <c r="AO155" s="3" t="e">
        <v>#N/A</v>
      </c>
      <c r="AP155" s="3" t="e">
        <v>#N/A</v>
      </c>
      <c r="AR155" s="3" t="e">
        <f t="shared" si="18"/>
        <v>#N/A</v>
      </c>
      <c r="AS155" s="3" t="e">
        <f t="shared" si="18"/>
        <v>#N/A</v>
      </c>
      <c r="AT155" s="3" t="e">
        <f t="shared" si="18"/>
        <v>#N/A</v>
      </c>
      <c r="AU155" s="3" t="e">
        <f t="shared" si="19"/>
        <v>#N/A</v>
      </c>
      <c r="AV155" s="3" t="e">
        <f t="shared" si="20"/>
        <v>#N/A</v>
      </c>
      <c r="AW155" s="3" t="e">
        <f t="shared" si="21"/>
        <v>#N/A</v>
      </c>
      <c r="AX155" s="3" t="e">
        <f t="shared" si="22"/>
        <v>#N/A</v>
      </c>
      <c r="AY155" s="3" t="e">
        <f t="shared" si="23"/>
        <v>#N/A</v>
      </c>
      <c r="AZ155" s="3" t="e">
        <f t="shared" si="24"/>
        <v>#N/A</v>
      </c>
      <c r="BA155" s="3" t="e">
        <f t="shared" si="25"/>
        <v>#N/A</v>
      </c>
      <c r="BB155" s="3" t="e">
        <f t="shared" si="26"/>
        <v>#N/A</v>
      </c>
    </row>
    <row r="156" spans="1:54" x14ac:dyDescent="0.25">
      <c r="A156" t="s">
        <v>767</v>
      </c>
      <c r="B156" s="21">
        <v>3.23</v>
      </c>
      <c r="C156" s="21">
        <v>3.39</v>
      </c>
      <c r="D156" s="35">
        <v>0.5</v>
      </c>
      <c r="E156" s="3">
        <v>168036</v>
      </c>
      <c r="F156" s="3">
        <v>285207</v>
      </c>
      <c r="G156" s="3">
        <v>254165</v>
      </c>
      <c r="H156" s="3">
        <v>255084</v>
      </c>
      <c r="I156" s="4" t="e">
        <v>#N/A</v>
      </c>
      <c r="J156" s="3"/>
      <c r="K156" s="3" t="e">
        <v>#N/A</v>
      </c>
      <c r="L156" s="3" t="e">
        <v>#N/A</v>
      </c>
      <c r="M156" s="3" t="e">
        <v>#N/A</v>
      </c>
      <c r="N156" s="3" t="e">
        <v>#N/A</v>
      </c>
      <c r="O156" s="3" t="e">
        <v>#N/A</v>
      </c>
      <c r="P156" s="3" t="e">
        <v>#N/A</v>
      </c>
      <c r="Q156" s="3" t="e">
        <v>#N/A</v>
      </c>
      <c r="R156" s="3" t="e">
        <v>#N/A</v>
      </c>
      <c r="S156" s="3" t="e">
        <v>#N/A</v>
      </c>
      <c r="T156" s="3" t="e">
        <v>#N/A</v>
      </c>
      <c r="U156" s="3" t="e">
        <v>#N/A</v>
      </c>
      <c r="V156" s="3" t="e">
        <v>#N/A</v>
      </c>
      <c r="W156" s="3" t="e">
        <v>#N/A</v>
      </c>
      <c r="X156" s="3" t="e">
        <v>#N/A</v>
      </c>
      <c r="Y156" s="3" t="e">
        <v>#N/A</v>
      </c>
      <c r="Z156" s="3" t="e">
        <v>#N/A</v>
      </c>
      <c r="AA156" s="3" t="e">
        <v>#N/A</v>
      </c>
      <c r="AB156" s="3" t="e">
        <v>#N/A</v>
      </c>
      <c r="AC156" s="3" t="e">
        <v>#N/A</v>
      </c>
      <c r="AD156" s="3" t="e">
        <v>#N/A</v>
      </c>
      <c r="AE156" s="3" t="e">
        <v>#N/A</v>
      </c>
      <c r="AF156" s="3" t="e">
        <v>#N/A</v>
      </c>
      <c r="AG156" s="3" t="e">
        <v>#N/A</v>
      </c>
      <c r="AH156" s="3" t="e">
        <v>#N/A</v>
      </c>
      <c r="AI156" s="3" t="e">
        <v>#N/A</v>
      </c>
      <c r="AJ156" s="3" t="e">
        <v>#N/A</v>
      </c>
      <c r="AK156" s="3" t="e">
        <v>#N/A</v>
      </c>
      <c r="AL156" s="3" t="e">
        <v>#N/A</v>
      </c>
      <c r="AM156" s="3" t="e">
        <v>#N/A</v>
      </c>
      <c r="AN156" s="3" t="e">
        <v>#N/A</v>
      </c>
      <c r="AO156" s="3" t="e">
        <v>#N/A</v>
      </c>
      <c r="AP156" s="3" t="e">
        <v>#N/A</v>
      </c>
      <c r="AR156" s="3" t="e">
        <f t="shared" si="18"/>
        <v>#N/A</v>
      </c>
      <c r="AS156" s="3" t="e">
        <f t="shared" si="18"/>
        <v>#N/A</v>
      </c>
      <c r="AT156" s="3" t="e">
        <f t="shared" si="18"/>
        <v>#N/A</v>
      </c>
      <c r="AU156" s="3" t="e">
        <f t="shared" si="19"/>
        <v>#N/A</v>
      </c>
      <c r="AV156" s="3" t="e">
        <f t="shared" si="20"/>
        <v>#N/A</v>
      </c>
      <c r="AW156" s="3" t="e">
        <f t="shared" si="21"/>
        <v>#N/A</v>
      </c>
      <c r="AX156" s="3" t="e">
        <f t="shared" si="22"/>
        <v>#N/A</v>
      </c>
      <c r="AY156" s="3" t="e">
        <f t="shared" si="23"/>
        <v>#N/A</v>
      </c>
      <c r="AZ156" s="3" t="e">
        <f t="shared" si="24"/>
        <v>#N/A</v>
      </c>
      <c r="BA156" s="3" t="e">
        <f t="shared" si="25"/>
        <v>#N/A</v>
      </c>
      <c r="BB156" s="3" t="e">
        <f t="shared" si="26"/>
        <v>#N/A</v>
      </c>
    </row>
    <row r="157" spans="1:54" x14ac:dyDescent="0.25">
      <c r="A157" t="s">
        <v>768</v>
      </c>
      <c r="B157" s="21">
        <v>3.24</v>
      </c>
      <c r="C157" s="21">
        <v>3.38</v>
      </c>
      <c r="D157" s="35">
        <v>0.5</v>
      </c>
      <c r="E157" s="3">
        <v>167941</v>
      </c>
      <c r="F157" s="3">
        <v>282534</v>
      </c>
      <c r="G157" s="3">
        <v>253978</v>
      </c>
      <c r="H157" s="3">
        <v>256411</v>
      </c>
      <c r="I157" s="4" t="e">
        <v>#N/A</v>
      </c>
      <c r="J157" s="3"/>
      <c r="K157" s="3" t="e">
        <v>#N/A</v>
      </c>
      <c r="L157" s="3" t="e">
        <v>#N/A</v>
      </c>
      <c r="M157" s="3" t="e">
        <v>#N/A</v>
      </c>
      <c r="N157" s="3" t="e">
        <v>#N/A</v>
      </c>
      <c r="O157" s="3" t="e">
        <v>#N/A</v>
      </c>
      <c r="P157" s="3" t="e">
        <v>#N/A</v>
      </c>
      <c r="Q157" s="3" t="e">
        <v>#N/A</v>
      </c>
      <c r="R157" s="3" t="e">
        <v>#N/A</v>
      </c>
      <c r="S157" s="3" t="e">
        <v>#N/A</v>
      </c>
      <c r="T157" s="3" t="e">
        <v>#N/A</v>
      </c>
      <c r="U157" s="3" t="e">
        <v>#N/A</v>
      </c>
      <c r="V157" s="3" t="e">
        <v>#N/A</v>
      </c>
      <c r="W157" s="3" t="e">
        <v>#N/A</v>
      </c>
      <c r="X157" s="3" t="e">
        <v>#N/A</v>
      </c>
      <c r="Y157" s="3" t="e">
        <v>#N/A</v>
      </c>
      <c r="Z157" s="3" t="e">
        <v>#N/A</v>
      </c>
      <c r="AA157" s="3" t="e">
        <v>#N/A</v>
      </c>
      <c r="AB157" s="3" t="e">
        <v>#N/A</v>
      </c>
      <c r="AC157" s="3" t="e">
        <v>#N/A</v>
      </c>
      <c r="AD157" s="3" t="e">
        <v>#N/A</v>
      </c>
      <c r="AE157" s="3" t="e">
        <v>#N/A</v>
      </c>
      <c r="AF157" s="3" t="e">
        <v>#N/A</v>
      </c>
      <c r="AG157" s="3" t="e">
        <v>#N/A</v>
      </c>
      <c r="AH157" s="3" t="e">
        <v>#N/A</v>
      </c>
      <c r="AI157" s="3" t="e">
        <v>#N/A</v>
      </c>
      <c r="AJ157" s="3" t="e">
        <v>#N/A</v>
      </c>
      <c r="AK157" s="3" t="e">
        <v>#N/A</v>
      </c>
      <c r="AL157" s="3" t="e">
        <v>#N/A</v>
      </c>
      <c r="AM157" s="3" t="e">
        <v>#N/A</v>
      </c>
      <c r="AN157" s="3" t="e">
        <v>#N/A</v>
      </c>
      <c r="AO157" s="3" t="e">
        <v>#N/A</v>
      </c>
      <c r="AP157" s="3" t="e">
        <v>#N/A</v>
      </c>
      <c r="AR157" s="3" t="e">
        <f t="shared" si="18"/>
        <v>#N/A</v>
      </c>
      <c r="AS157" s="3" t="e">
        <f t="shared" si="18"/>
        <v>#N/A</v>
      </c>
      <c r="AT157" s="3" t="e">
        <f t="shared" si="18"/>
        <v>#N/A</v>
      </c>
      <c r="AU157" s="3" t="e">
        <f t="shared" si="19"/>
        <v>#N/A</v>
      </c>
      <c r="AV157" s="3" t="e">
        <f t="shared" si="20"/>
        <v>#N/A</v>
      </c>
      <c r="AW157" s="3" t="e">
        <f t="shared" si="21"/>
        <v>#N/A</v>
      </c>
      <c r="AX157" s="3" t="e">
        <f t="shared" si="22"/>
        <v>#N/A</v>
      </c>
      <c r="AY157" s="3" t="e">
        <f t="shared" si="23"/>
        <v>#N/A</v>
      </c>
      <c r="AZ157" s="3" t="e">
        <f t="shared" si="24"/>
        <v>#N/A</v>
      </c>
      <c r="BA157" s="3" t="e">
        <f t="shared" si="25"/>
        <v>#N/A</v>
      </c>
      <c r="BB157" s="3" t="e">
        <f t="shared" si="26"/>
        <v>#N/A</v>
      </c>
    </row>
    <row r="158" spans="1:54" x14ac:dyDescent="0.25">
      <c r="A158" t="s">
        <v>769</v>
      </c>
      <c r="B158" s="21">
        <v>3.21</v>
      </c>
      <c r="C158" s="21">
        <v>3.38</v>
      </c>
      <c r="D158" s="35">
        <v>0.5</v>
      </c>
      <c r="E158" s="3">
        <v>166785</v>
      </c>
      <c r="F158" s="3">
        <v>283686</v>
      </c>
      <c r="G158" s="3">
        <v>254895</v>
      </c>
      <c r="H158" s="3">
        <v>254548</v>
      </c>
      <c r="I158" s="4" t="e">
        <v>#N/A</v>
      </c>
      <c r="J158" s="3"/>
      <c r="K158" s="3" t="e">
        <v>#N/A</v>
      </c>
      <c r="L158" s="3" t="e">
        <v>#N/A</v>
      </c>
      <c r="M158" s="3" t="e">
        <v>#N/A</v>
      </c>
      <c r="N158" s="3" t="e">
        <v>#N/A</v>
      </c>
      <c r="O158" s="3" t="e">
        <v>#N/A</v>
      </c>
      <c r="P158" s="3" t="e">
        <v>#N/A</v>
      </c>
      <c r="Q158" s="3" t="e">
        <v>#N/A</v>
      </c>
      <c r="R158" s="3" t="e">
        <v>#N/A</v>
      </c>
      <c r="S158" s="3" t="e">
        <v>#N/A</v>
      </c>
      <c r="T158" s="3" t="e">
        <v>#N/A</v>
      </c>
      <c r="U158" s="3" t="e">
        <v>#N/A</v>
      </c>
      <c r="V158" s="3" t="e">
        <v>#N/A</v>
      </c>
      <c r="W158" s="3" t="e">
        <v>#N/A</v>
      </c>
      <c r="X158" s="3" t="e">
        <v>#N/A</v>
      </c>
      <c r="Y158" s="3" t="e">
        <v>#N/A</v>
      </c>
      <c r="Z158" s="3" t="e">
        <v>#N/A</v>
      </c>
      <c r="AA158" s="3" t="e">
        <v>#N/A</v>
      </c>
      <c r="AB158" s="3" t="e">
        <v>#N/A</v>
      </c>
      <c r="AC158" s="3" t="e">
        <v>#N/A</v>
      </c>
      <c r="AD158" s="3" t="e">
        <v>#N/A</v>
      </c>
      <c r="AE158" s="3" t="e">
        <v>#N/A</v>
      </c>
      <c r="AF158" s="3" t="e">
        <v>#N/A</v>
      </c>
      <c r="AG158" s="3" t="e">
        <v>#N/A</v>
      </c>
      <c r="AH158" s="3" t="e">
        <v>#N/A</v>
      </c>
      <c r="AI158" s="3" t="e">
        <v>#N/A</v>
      </c>
      <c r="AJ158" s="3" t="e">
        <v>#N/A</v>
      </c>
      <c r="AK158" s="3" t="e">
        <v>#N/A</v>
      </c>
      <c r="AL158" s="3" t="e">
        <v>#N/A</v>
      </c>
      <c r="AM158" s="3" t="e">
        <v>#N/A</v>
      </c>
      <c r="AN158" s="3" t="e">
        <v>#N/A</v>
      </c>
      <c r="AO158" s="3" t="e">
        <v>#N/A</v>
      </c>
      <c r="AP158" s="3" t="e">
        <v>#N/A</v>
      </c>
      <c r="AR158" s="3" t="e">
        <f t="shared" si="18"/>
        <v>#N/A</v>
      </c>
      <c r="AS158" s="3" t="e">
        <f t="shared" si="18"/>
        <v>#N/A</v>
      </c>
      <c r="AT158" s="3" t="e">
        <f t="shared" si="18"/>
        <v>#N/A</v>
      </c>
      <c r="AU158" s="3" t="e">
        <f t="shared" si="19"/>
        <v>#N/A</v>
      </c>
      <c r="AV158" s="3" t="e">
        <f t="shared" si="20"/>
        <v>#N/A</v>
      </c>
      <c r="AW158" s="3" t="e">
        <f t="shared" si="21"/>
        <v>#N/A</v>
      </c>
      <c r="AX158" s="3" t="e">
        <f t="shared" si="22"/>
        <v>#N/A</v>
      </c>
      <c r="AY158" s="3" t="e">
        <f t="shared" si="23"/>
        <v>#N/A</v>
      </c>
      <c r="AZ158" s="3" t="e">
        <f t="shared" si="24"/>
        <v>#N/A</v>
      </c>
      <c r="BA158" s="3" t="e">
        <f t="shared" si="25"/>
        <v>#N/A</v>
      </c>
      <c r="BB158" s="3" t="e">
        <f t="shared" si="26"/>
        <v>#N/A</v>
      </c>
    </row>
    <row r="159" spans="1:54" x14ac:dyDescent="0.25">
      <c r="A159" t="s">
        <v>770</v>
      </c>
      <c r="B159" s="21">
        <v>3.18</v>
      </c>
      <c r="C159" s="21">
        <v>3.37</v>
      </c>
      <c r="D159" s="35">
        <v>0.5</v>
      </c>
      <c r="E159" s="3">
        <v>166181</v>
      </c>
      <c r="F159" s="3">
        <v>282350</v>
      </c>
      <c r="G159" s="3">
        <v>257141</v>
      </c>
      <c r="H159" s="3">
        <v>254688</v>
      </c>
      <c r="I159" s="4" t="e">
        <v>#N/A</v>
      </c>
      <c r="J159" s="3"/>
      <c r="K159" s="3" t="e">
        <v>#N/A</v>
      </c>
      <c r="L159" s="3" t="e">
        <v>#N/A</v>
      </c>
      <c r="M159" s="3" t="e">
        <v>#N/A</v>
      </c>
      <c r="N159" s="3" t="e">
        <v>#N/A</v>
      </c>
      <c r="O159" s="3" t="e">
        <v>#N/A</v>
      </c>
      <c r="P159" s="3" t="e">
        <v>#N/A</v>
      </c>
      <c r="Q159" s="3" t="e">
        <v>#N/A</v>
      </c>
      <c r="R159" s="3" t="e">
        <v>#N/A</v>
      </c>
      <c r="S159" s="3" t="e">
        <v>#N/A</v>
      </c>
      <c r="T159" s="3" t="e">
        <v>#N/A</v>
      </c>
      <c r="U159" s="3" t="e">
        <v>#N/A</v>
      </c>
      <c r="V159" s="3" t="e">
        <v>#N/A</v>
      </c>
      <c r="W159" s="3" t="e">
        <v>#N/A</v>
      </c>
      <c r="X159" s="3" t="e">
        <v>#N/A</v>
      </c>
      <c r="Y159" s="3" t="e">
        <v>#N/A</v>
      </c>
      <c r="Z159" s="3" t="e">
        <v>#N/A</v>
      </c>
      <c r="AA159" s="3" t="e">
        <v>#N/A</v>
      </c>
      <c r="AB159" s="3" t="e">
        <v>#N/A</v>
      </c>
      <c r="AC159" s="3" t="e">
        <v>#N/A</v>
      </c>
      <c r="AD159" s="3" t="e">
        <v>#N/A</v>
      </c>
      <c r="AE159" s="3" t="e">
        <v>#N/A</v>
      </c>
      <c r="AF159" s="3" t="e">
        <v>#N/A</v>
      </c>
      <c r="AG159" s="3" t="e">
        <v>#N/A</v>
      </c>
      <c r="AH159" s="3" t="e">
        <v>#N/A</v>
      </c>
      <c r="AI159" s="3" t="e">
        <v>#N/A</v>
      </c>
      <c r="AJ159" s="3" t="e">
        <v>#N/A</v>
      </c>
      <c r="AK159" s="3" t="e">
        <v>#N/A</v>
      </c>
      <c r="AL159" s="3" t="e">
        <v>#N/A</v>
      </c>
      <c r="AM159" s="3" t="e">
        <v>#N/A</v>
      </c>
      <c r="AN159" s="3" t="e">
        <v>#N/A</v>
      </c>
      <c r="AO159" s="3" t="e">
        <v>#N/A</v>
      </c>
      <c r="AP159" s="3" t="e">
        <v>#N/A</v>
      </c>
      <c r="AR159" s="3" t="e">
        <f t="shared" si="18"/>
        <v>#N/A</v>
      </c>
      <c r="AS159" s="3" t="e">
        <f t="shared" si="18"/>
        <v>#N/A</v>
      </c>
      <c r="AT159" s="3" t="e">
        <f t="shared" si="18"/>
        <v>#N/A</v>
      </c>
      <c r="AU159" s="3" t="e">
        <f t="shared" si="19"/>
        <v>#N/A</v>
      </c>
      <c r="AV159" s="3" t="e">
        <f t="shared" si="20"/>
        <v>#N/A</v>
      </c>
      <c r="AW159" s="3" t="e">
        <f t="shared" si="21"/>
        <v>#N/A</v>
      </c>
      <c r="AX159" s="3" t="e">
        <f t="shared" si="22"/>
        <v>#N/A</v>
      </c>
      <c r="AY159" s="3" t="e">
        <f t="shared" si="23"/>
        <v>#N/A</v>
      </c>
      <c r="AZ159" s="3" t="e">
        <f t="shared" si="24"/>
        <v>#N/A</v>
      </c>
      <c r="BA159" s="3" t="e">
        <f t="shared" si="25"/>
        <v>#N/A</v>
      </c>
      <c r="BB159" s="3" t="e">
        <f t="shared" si="26"/>
        <v>#N/A</v>
      </c>
    </row>
    <row r="160" spans="1:54" x14ac:dyDescent="0.25">
      <c r="A160" t="s">
        <v>771</v>
      </c>
      <c r="B160" s="21">
        <v>3.15</v>
      </c>
      <c r="C160" s="21">
        <v>3.37</v>
      </c>
      <c r="D160" s="35">
        <v>0.5</v>
      </c>
      <c r="E160" s="3">
        <v>165714</v>
      </c>
      <c r="F160" s="3">
        <v>280583</v>
      </c>
      <c r="G160" s="3">
        <v>258075</v>
      </c>
      <c r="H160" s="3">
        <v>258134</v>
      </c>
      <c r="I160" s="4" t="e">
        <v>#N/A</v>
      </c>
      <c r="J160" s="3"/>
      <c r="K160" s="3" t="e">
        <v>#N/A</v>
      </c>
      <c r="L160" s="3" t="e">
        <v>#N/A</v>
      </c>
      <c r="M160" s="3" t="e">
        <v>#N/A</v>
      </c>
      <c r="N160" s="3" t="e">
        <v>#N/A</v>
      </c>
      <c r="O160" s="3" t="e">
        <v>#N/A</v>
      </c>
      <c r="P160" s="3" t="e">
        <v>#N/A</v>
      </c>
      <c r="Q160" s="3" t="e">
        <v>#N/A</v>
      </c>
      <c r="R160" s="3" t="e">
        <v>#N/A</v>
      </c>
      <c r="S160" s="3" t="e">
        <v>#N/A</v>
      </c>
      <c r="T160" s="3" t="e">
        <v>#N/A</v>
      </c>
      <c r="U160" s="3" t="e">
        <v>#N/A</v>
      </c>
      <c r="V160" s="3" t="e">
        <v>#N/A</v>
      </c>
      <c r="W160" s="3" t="e">
        <v>#N/A</v>
      </c>
      <c r="X160" s="3" t="e">
        <v>#N/A</v>
      </c>
      <c r="Y160" s="3" t="e">
        <v>#N/A</v>
      </c>
      <c r="Z160" s="3" t="e">
        <v>#N/A</v>
      </c>
      <c r="AA160" s="3" t="e">
        <v>#N/A</v>
      </c>
      <c r="AB160" s="3" t="e">
        <v>#N/A</v>
      </c>
      <c r="AC160" s="3" t="e">
        <v>#N/A</v>
      </c>
      <c r="AD160" s="3" t="e">
        <v>#N/A</v>
      </c>
      <c r="AE160" s="3" t="e">
        <v>#N/A</v>
      </c>
      <c r="AF160" s="3" t="e">
        <v>#N/A</v>
      </c>
      <c r="AG160" s="3" t="e">
        <v>#N/A</v>
      </c>
      <c r="AH160" s="3" t="e">
        <v>#N/A</v>
      </c>
      <c r="AI160" s="3" t="e">
        <v>#N/A</v>
      </c>
      <c r="AJ160" s="3" t="e">
        <v>#N/A</v>
      </c>
      <c r="AK160" s="3" t="e">
        <v>#N/A</v>
      </c>
      <c r="AL160" s="3" t="e">
        <v>#N/A</v>
      </c>
      <c r="AM160" s="3" t="e">
        <v>#N/A</v>
      </c>
      <c r="AN160" s="3" t="e">
        <v>#N/A</v>
      </c>
      <c r="AO160" s="3" t="e">
        <v>#N/A</v>
      </c>
      <c r="AP160" s="3" t="e">
        <v>#N/A</v>
      </c>
      <c r="AR160" s="3" t="e">
        <f t="shared" si="18"/>
        <v>#N/A</v>
      </c>
      <c r="AS160" s="3" t="e">
        <f t="shared" si="18"/>
        <v>#N/A</v>
      </c>
      <c r="AT160" s="3" t="e">
        <f t="shared" si="18"/>
        <v>#N/A</v>
      </c>
      <c r="AU160" s="3" t="e">
        <f t="shared" si="19"/>
        <v>#N/A</v>
      </c>
      <c r="AV160" s="3" t="e">
        <f t="shared" si="20"/>
        <v>#N/A</v>
      </c>
      <c r="AW160" s="3" t="e">
        <f t="shared" si="21"/>
        <v>#N/A</v>
      </c>
      <c r="AX160" s="3" t="e">
        <f t="shared" si="22"/>
        <v>#N/A</v>
      </c>
      <c r="AY160" s="3" t="e">
        <f t="shared" si="23"/>
        <v>#N/A</v>
      </c>
      <c r="AZ160" s="3" t="e">
        <f t="shared" si="24"/>
        <v>#N/A</v>
      </c>
      <c r="BA160" s="3" t="e">
        <f t="shared" si="25"/>
        <v>#N/A</v>
      </c>
      <c r="BB160" s="3" t="e">
        <f t="shared" si="26"/>
        <v>#N/A</v>
      </c>
    </row>
    <row r="161" spans="1:54" x14ac:dyDescent="0.25">
      <c r="A161" t="s">
        <v>772</v>
      </c>
      <c r="B161" s="21">
        <v>3.09</v>
      </c>
      <c r="C161" s="21">
        <v>3.38</v>
      </c>
      <c r="D161" s="35">
        <v>0.5</v>
      </c>
      <c r="E161" s="3">
        <v>161845</v>
      </c>
      <c r="F161" s="3">
        <v>283362</v>
      </c>
      <c r="G161" s="3">
        <v>258369</v>
      </c>
      <c r="H161" s="3">
        <v>257171</v>
      </c>
      <c r="I161" s="4" t="e">
        <v>#N/A</v>
      </c>
      <c r="J161" s="3"/>
      <c r="K161" s="3" t="e">
        <v>#N/A</v>
      </c>
      <c r="L161" s="3" t="e">
        <v>#N/A</v>
      </c>
      <c r="M161" s="3" t="e">
        <v>#N/A</v>
      </c>
      <c r="N161" s="3" t="e">
        <v>#N/A</v>
      </c>
      <c r="O161" s="3" t="e">
        <v>#N/A</v>
      </c>
      <c r="P161" s="3" t="e">
        <v>#N/A</v>
      </c>
      <c r="Q161" s="3" t="e">
        <v>#N/A</v>
      </c>
      <c r="R161" s="3" t="e">
        <v>#N/A</v>
      </c>
      <c r="S161" s="3" t="e">
        <v>#N/A</v>
      </c>
      <c r="T161" s="3" t="e">
        <v>#N/A</v>
      </c>
      <c r="U161" s="3" t="e">
        <v>#N/A</v>
      </c>
      <c r="V161" s="3" t="e">
        <v>#N/A</v>
      </c>
      <c r="W161" s="3" t="e">
        <v>#N/A</v>
      </c>
      <c r="X161" s="3" t="e">
        <v>#N/A</v>
      </c>
      <c r="Y161" s="3" t="e">
        <v>#N/A</v>
      </c>
      <c r="Z161" s="3" t="e">
        <v>#N/A</v>
      </c>
      <c r="AA161" s="3" t="e">
        <v>#N/A</v>
      </c>
      <c r="AB161" s="3" t="e">
        <v>#N/A</v>
      </c>
      <c r="AC161" s="3" t="e">
        <v>#N/A</v>
      </c>
      <c r="AD161" s="3" t="e">
        <v>#N/A</v>
      </c>
      <c r="AE161" s="3" t="e">
        <v>#N/A</v>
      </c>
      <c r="AF161" s="3" t="e">
        <v>#N/A</v>
      </c>
      <c r="AG161" s="3" t="e">
        <v>#N/A</v>
      </c>
      <c r="AH161" s="3" t="e">
        <v>#N/A</v>
      </c>
      <c r="AI161" s="3" t="e">
        <v>#N/A</v>
      </c>
      <c r="AJ161" s="3" t="e">
        <v>#N/A</v>
      </c>
      <c r="AK161" s="3" t="e">
        <v>#N/A</v>
      </c>
      <c r="AL161" s="3" t="e">
        <v>#N/A</v>
      </c>
      <c r="AM161" s="3" t="e">
        <v>#N/A</v>
      </c>
      <c r="AN161" s="3" t="e">
        <v>#N/A</v>
      </c>
      <c r="AO161" s="3" t="e">
        <v>#N/A</v>
      </c>
      <c r="AP161" s="3" t="e">
        <v>#N/A</v>
      </c>
      <c r="AR161" s="3" t="e">
        <f t="shared" si="18"/>
        <v>#N/A</v>
      </c>
      <c r="AS161" s="3" t="e">
        <f t="shared" si="18"/>
        <v>#N/A</v>
      </c>
      <c r="AT161" s="3" t="e">
        <f t="shared" si="18"/>
        <v>#N/A</v>
      </c>
      <c r="AU161" s="3" t="e">
        <f t="shared" si="19"/>
        <v>#N/A</v>
      </c>
      <c r="AV161" s="3" t="e">
        <f t="shared" si="20"/>
        <v>#N/A</v>
      </c>
      <c r="AW161" s="3" t="e">
        <f t="shared" si="21"/>
        <v>#N/A</v>
      </c>
      <c r="AX161" s="3" t="e">
        <f t="shared" si="22"/>
        <v>#N/A</v>
      </c>
      <c r="AY161" s="3" t="e">
        <f t="shared" si="23"/>
        <v>#N/A</v>
      </c>
      <c r="AZ161" s="3" t="e">
        <f t="shared" si="24"/>
        <v>#N/A</v>
      </c>
      <c r="BA161" s="3" t="e">
        <f t="shared" si="25"/>
        <v>#N/A</v>
      </c>
      <c r="BB161" s="3" t="e">
        <f t="shared" si="26"/>
        <v>#N/A</v>
      </c>
    </row>
    <row r="162" spans="1:54" x14ac:dyDescent="0.25">
      <c r="A162" t="s">
        <v>773</v>
      </c>
      <c r="B162" s="21">
        <v>3.09</v>
      </c>
      <c r="C162" s="21">
        <v>3.38</v>
      </c>
      <c r="D162" s="35">
        <v>0.5</v>
      </c>
      <c r="E162" s="3">
        <v>161127</v>
      </c>
      <c r="F162" s="3">
        <v>280769</v>
      </c>
      <c r="G162" s="3">
        <v>259611</v>
      </c>
      <c r="H162" s="3">
        <v>259766</v>
      </c>
      <c r="I162" s="4" t="e">
        <v>#N/A</v>
      </c>
      <c r="J162" s="3"/>
      <c r="K162" s="3" t="e">
        <v>#N/A</v>
      </c>
      <c r="L162" s="3" t="e">
        <v>#N/A</v>
      </c>
      <c r="M162" s="3" t="e">
        <v>#N/A</v>
      </c>
      <c r="N162" s="3" t="e">
        <v>#N/A</v>
      </c>
      <c r="O162" s="3" t="e">
        <v>#N/A</v>
      </c>
      <c r="P162" s="3" t="e">
        <v>#N/A</v>
      </c>
      <c r="Q162" s="3" t="e">
        <v>#N/A</v>
      </c>
      <c r="R162" s="3" t="e">
        <v>#N/A</v>
      </c>
      <c r="S162" s="3" t="e">
        <v>#N/A</v>
      </c>
      <c r="T162" s="3" t="e">
        <v>#N/A</v>
      </c>
      <c r="U162" s="3" t="e">
        <v>#N/A</v>
      </c>
      <c r="V162" s="3" t="e">
        <v>#N/A</v>
      </c>
      <c r="W162" s="3" t="e">
        <v>#N/A</v>
      </c>
      <c r="X162" s="3" t="e">
        <v>#N/A</v>
      </c>
      <c r="Y162" s="3" t="e">
        <v>#N/A</v>
      </c>
      <c r="Z162" s="3" t="e">
        <v>#N/A</v>
      </c>
      <c r="AA162" s="3" t="e">
        <v>#N/A</v>
      </c>
      <c r="AB162" s="3" t="e">
        <v>#N/A</v>
      </c>
      <c r="AC162" s="3" t="e">
        <v>#N/A</v>
      </c>
      <c r="AD162" s="3" t="e">
        <v>#N/A</v>
      </c>
      <c r="AE162" s="3" t="e">
        <v>#N/A</v>
      </c>
      <c r="AF162" s="3" t="e">
        <v>#N/A</v>
      </c>
      <c r="AG162" s="3" t="e">
        <v>#N/A</v>
      </c>
      <c r="AH162" s="3" t="e">
        <v>#N/A</v>
      </c>
      <c r="AI162" s="3" t="e">
        <v>#N/A</v>
      </c>
      <c r="AJ162" s="3" t="e">
        <v>#N/A</v>
      </c>
      <c r="AK162" s="3" t="e">
        <v>#N/A</v>
      </c>
      <c r="AL162" s="3" t="e">
        <v>#N/A</v>
      </c>
      <c r="AM162" s="3" t="e">
        <v>#N/A</v>
      </c>
      <c r="AN162" s="3" t="e">
        <v>#N/A</v>
      </c>
      <c r="AO162" s="3" t="e">
        <v>#N/A</v>
      </c>
      <c r="AP162" s="3" t="e">
        <v>#N/A</v>
      </c>
      <c r="AR162" s="3" t="e">
        <f t="shared" si="18"/>
        <v>#N/A</v>
      </c>
      <c r="AS162" s="3" t="e">
        <f t="shared" si="18"/>
        <v>#N/A</v>
      </c>
      <c r="AT162" s="3" t="e">
        <f t="shared" si="18"/>
        <v>#N/A</v>
      </c>
      <c r="AU162" s="3" t="e">
        <f t="shared" si="19"/>
        <v>#N/A</v>
      </c>
      <c r="AV162" s="3" t="e">
        <f t="shared" si="20"/>
        <v>#N/A</v>
      </c>
      <c r="AW162" s="3" t="e">
        <f t="shared" si="21"/>
        <v>#N/A</v>
      </c>
      <c r="AX162" s="3" t="e">
        <f t="shared" si="22"/>
        <v>#N/A</v>
      </c>
      <c r="AY162" s="3" t="e">
        <f t="shared" si="23"/>
        <v>#N/A</v>
      </c>
      <c r="AZ162" s="3" t="e">
        <f t="shared" si="24"/>
        <v>#N/A</v>
      </c>
      <c r="BA162" s="3" t="e">
        <f t="shared" si="25"/>
        <v>#N/A</v>
      </c>
      <c r="BB162" s="3" t="e">
        <f t="shared" si="26"/>
        <v>#N/A</v>
      </c>
    </row>
    <row r="163" spans="1:54" x14ac:dyDescent="0.25">
      <c r="A163" t="s">
        <v>774</v>
      </c>
      <c r="B163" s="21">
        <v>3.08</v>
      </c>
      <c r="C163" s="21">
        <v>3.38</v>
      </c>
      <c r="D163" s="35">
        <v>0.5</v>
      </c>
      <c r="E163" s="3">
        <v>160422</v>
      </c>
      <c r="F163" s="3">
        <v>277438</v>
      </c>
      <c r="G163" s="3">
        <v>260679</v>
      </c>
      <c r="H163" s="3">
        <v>265029</v>
      </c>
      <c r="I163" s="4" t="e">
        <v>#N/A</v>
      </c>
      <c r="J163" s="3"/>
      <c r="K163" s="3" t="e">
        <v>#N/A</v>
      </c>
      <c r="L163" s="3" t="e">
        <v>#N/A</v>
      </c>
      <c r="M163" s="3" t="e">
        <v>#N/A</v>
      </c>
      <c r="N163" s="3" t="e">
        <v>#N/A</v>
      </c>
      <c r="O163" s="3" t="e">
        <v>#N/A</v>
      </c>
      <c r="P163" s="3" t="e">
        <v>#N/A</v>
      </c>
      <c r="Q163" s="3" t="e">
        <v>#N/A</v>
      </c>
      <c r="R163" s="3" t="e">
        <v>#N/A</v>
      </c>
      <c r="S163" s="3" t="e">
        <v>#N/A</v>
      </c>
      <c r="T163" s="3" t="e">
        <v>#N/A</v>
      </c>
      <c r="U163" s="3" t="e">
        <v>#N/A</v>
      </c>
      <c r="V163" s="3" t="e">
        <v>#N/A</v>
      </c>
      <c r="W163" s="3" t="e">
        <v>#N/A</v>
      </c>
      <c r="X163" s="3" t="e">
        <v>#N/A</v>
      </c>
      <c r="Y163" s="3" t="e">
        <v>#N/A</v>
      </c>
      <c r="Z163" s="3" t="e">
        <v>#N/A</v>
      </c>
      <c r="AA163" s="3" t="e">
        <v>#N/A</v>
      </c>
      <c r="AB163" s="3" t="e">
        <v>#N/A</v>
      </c>
      <c r="AC163" s="3" t="e">
        <v>#N/A</v>
      </c>
      <c r="AD163" s="3" t="e">
        <v>#N/A</v>
      </c>
      <c r="AE163" s="3" t="e">
        <v>#N/A</v>
      </c>
      <c r="AF163" s="3" t="e">
        <v>#N/A</v>
      </c>
      <c r="AG163" s="3" t="e">
        <v>#N/A</v>
      </c>
      <c r="AH163" s="3" t="e">
        <v>#N/A</v>
      </c>
      <c r="AI163" s="3" t="e">
        <v>#N/A</v>
      </c>
      <c r="AJ163" s="3" t="e">
        <v>#N/A</v>
      </c>
      <c r="AK163" s="3" t="e">
        <v>#N/A</v>
      </c>
      <c r="AL163" s="3" t="e">
        <v>#N/A</v>
      </c>
      <c r="AM163" s="3" t="e">
        <v>#N/A</v>
      </c>
      <c r="AN163" s="3" t="e">
        <v>#N/A</v>
      </c>
      <c r="AO163" s="3" t="e">
        <v>#N/A</v>
      </c>
      <c r="AP163" s="3" t="e">
        <v>#N/A</v>
      </c>
      <c r="AR163" s="3" t="e">
        <f t="shared" si="18"/>
        <v>#N/A</v>
      </c>
      <c r="AS163" s="3" t="e">
        <f t="shared" si="18"/>
        <v>#N/A</v>
      </c>
      <c r="AT163" s="3" t="e">
        <f t="shared" si="18"/>
        <v>#N/A</v>
      </c>
      <c r="AU163" s="3" t="e">
        <f t="shared" si="19"/>
        <v>#N/A</v>
      </c>
      <c r="AV163" s="3" t="e">
        <f t="shared" si="20"/>
        <v>#N/A</v>
      </c>
      <c r="AW163" s="3" t="e">
        <f t="shared" si="21"/>
        <v>#N/A</v>
      </c>
      <c r="AX163" s="3" t="e">
        <f t="shared" si="22"/>
        <v>#N/A</v>
      </c>
      <c r="AY163" s="3" t="e">
        <f t="shared" si="23"/>
        <v>#N/A</v>
      </c>
      <c r="AZ163" s="3" t="e">
        <f t="shared" si="24"/>
        <v>#N/A</v>
      </c>
      <c r="BA163" s="3" t="e">
        <f t="shared" si="25"/>
        <v>#N/A</v>
      </c>
      <c r="BB163" s="3" t="e">
        <f t="shared" si="26"/>
        <v>#N/A</v>
      </c>
    </row>
    <row r="164" spans="1:54" x14ac:dyDescent="0.25">
      <c r="A164" t="s">
        <v>775</v>
      </c>
      <c r="B164" s="21">
        <v>3.12</v>
      </c>
      <c r="C164" s="21">
        <v>3.37</v>
      </c>
      <c r="D164" s="35">
        <v>0.5</v>
      </c>
      <c r="E164" s="3">
        <v>160323</v>
      </c>
      <c r="F164" s="3">
        <v>279820</v>
      </c>
      <c r="G164" s="3">
        <v>267335</v>
      </c>
      <c r="H164" s="3">
        <v>264756</v>
      </c>
      <c r="I164" s="4" t="e">
        <v>#N/A</v>
      </c>
      <c r="J164" s="3"/>
      <c r="K164" s="3" t="e">
        <v>#N/A</v>
      </c>
      <c r="L164" s="3" t="e">
        <v>#N/A</v>
      </c>
      <c r="M164" s="3" t="e">
        <v>#N/A</v>
      </c>
      <c r="N164" s="3" t="e">
        <v>#N/A</v>
      </c>
      <c r="O164" s="3" t="e">
        <v>#N/A</v>
      </c>
      <c r="P164" s="3" t="e">
        <v>#N/A</v>
      </c>
      <c r="Q164" s="3" t="e">
        <v>#N/A</v>
      </c>
      <c r="R164" s="3" t="e">
        <v>#N/A</v>
      </c>
      <c r="S164" s="3" t="e">
        <v>#N/A</v>
      </c>
      <c r="T164" s="3" t="e">
        <v>#N/A</v>
      </c>
      <c r="U164" s="3" t="e">
        <v>#N/A</v>
      </c>
      <c r="V164" s="3" t="e">
        <v>#N/A</v>
      </c>
      <c r="W164" s="3" t="e">
        <v>#N/A</v>
      </c>
      <c r="X164" s="3" t="e">
        <v>#N/A</v>
      </c>
      <c r="Y164" s="3" t="e">
        <v>#N/A</v>
      </c>
      <c r="Z164" s="3" t="e">
        <v>#N/A</v>
      </c>
      <c r="AA164" s="3" t="e">
        <v>#N/A</v>
      </c>
      <c r="AB164" s="3" t="e">
        <v>#N/A</v>
      </c>
      <c r="AC164" s="3" t="e">
        <v>#N/A</v>
      </c>
      <c r="AD164" s="3" t="e">
        <v>#N/A</v>
      </c>
      <c r="AE164" s="3" t="e">
        <v>#N/A</v>
      </c>
      <c r="AF164" s="3" t="e">
        <v>#N/A</v>
      </c>
      <c r="AG164" s="3" t="e">
        <v>#N/A</v>
      </c>
      <c r="AH164" s="3" t="e">
        <v>#N/A</v>
      </c>
      <c r="AI164" s="3" t="e">
        <v>#N/A</v>
      </c>
      <c r="AJ164" s="3" t="e">
        <v>#N/A</v>
      </c>
      <c r="AK164" s="3" t="e">
        <v>#N/A</v>
      </c>
      <c r="AL164" s="3" t="e">
        <v>#N/A</v>
      </c>
      <c r="AM164" s="3" t="e">
        <v>#N/A</v>
      </c>
      <c r="AN164" s="3" t="e">
        <v>#N/A</v>
      </c>
      <c r="AO164" s="3" t="e">
        <v>#N/A</v>
      </c>
      <c r="AP164" s="3" t="e">
        <v>#N/A</v>
      </c>
      <c r="AR164" s="3" t="e">
        <f t="shared" si="18"/>
        <v>#N/A</v>
      </c>
      <c r="AS164" s="3" t="e">
        <f t="shared" si="18"/>
        <v>#N/A</v>
      </c>
      <c r="AT164" s="3" t="e">
        <f t="shared" si="18"/>
        <v>#N/A</v>
      </c>
      <c r="AU164" s="3" t="e">
        <f t="shared" si="19"/>
        <v>#N/A</v>
      </c>
      <c r="AV164" s="3" t="e">
        <f t="shared" si="20"/>
        <v>#N/A</v>
      </c>
      <c r="AW164" s="3" t="e">
        <f t="shared" si="21"/>
        <v>#N/A</v>
      </c>
      <c r="AX164" s="3" t="e">
        <f t="shared" si="22"/>
        <v>#N/A</v>
      </c>
      <c r="AY164" s="3" t="e">
        <f t="shared" si="23"/>
        <v>#N/A</v>
      </c>
      <c r="AZ164" s="3" t="e">
        <f t="shared" si="24"/>
        <v>#N/A</v>
      </c>
      <c r="BA164" s="3" t="e">
        <f t="shared" si="25"/>
        <v>#N/A</v>
      </c>
      <c r="BB164" s="3" t="e">
        <f t="shared" si="26"/>
        <v>#N/A</v>
      </c>
    </row>
    <row r="165" spans="1:54" x14ac:dyDescent="0.25">
      <c r="A165" t="s">
        <v>776</v>
      </c>
      <c r="B165" s="21">
        <v>3.09</v>
      </c>
      <c r="C165" s="21">
        <v>3.37</v>
      </c>
      <c r="D165" s="35">
        <v>0.5</v>
      </c>
      <c r="E165" s="3">
        <v>160225</v>
      </c>
      <c r="F165" s="3">
        <v>278474</v>
      </c>
      <c r="G165" s="3">
        <v>268245</v>
      </c>
      <c r="H165" s="3">
        <v>265973</v>
      </c>
      <c r="I165" s="4" t="e">
        <v>#N/A</v>
      </c>
      <c r="J165" s="3"/>
      <c r="K165" s="3" t="e">
        <v>#N/A</v>
      </c>
      <c r="L165" s="3" t="e">
        <v>#N/A</v>
      </c>
      <c r="M165" s="3" t="e">
        <v>#N/A</v>
      </c>
      <c r="N165" s="3" t="e">
        <v>#N/A</v>
      </c>
      <c r="O165" s="3" t="e">
        <v>#N/A</v>
      </c>
      <c r="P165" s="3" t="e">
        <v>#N/A</v>
      </c>
      <c r="Q165" s="3" t="e">
        <v>#N/A</v>
      </c>
      <c r="R165" s="3" t="e">
        <v>#N/A</v>
      </c>
      <c r="S165" s="3" t="e">
        <v>#N/A</v>
      </c>
      <c r="T165" s="3" t="e">
        <v>#N/A</v>
      </c>
      <c r="U165" s="3" t="e">
        <v>#N/A</v>
      </c>
      <c r="V165" s="3" t="e">
        <v>#N/A</v>
      </c>
      <c r="W165" s="3" t="e">
        <v>#N/A</v>
      </c>
      <c r="X165" s="3" t="e">
        <v>#N/A</v>
      </c>
      <c r="Y165" s="3" t="e">
        <v>#N/A</v>
      </c>
      <c r="Z165" s="3" t="e">
        <v>#N/A</v>
      </c>
      <c r="AA165" s="3" t="e">
        <v>#N/A</v>
      </c>
      <c r="AB165" s="3" t="e">
        <v>#N/A</v>
      </c>
      <c r="AC165" s="3" t="e">
        <v>#N/A</v>
      </c>
      <c r="AD165" s="3" t="e">
        <v>#N/A</v>
      </c>
      <c r="AE165" s="3" t="e">
        <v>#N/A</v>
      </c>
      <c r="AF165" s="3" t="e">
        <v>#N/A</v>
      </c>
      <c r="AG165" s="3" t="e">
        <v>#N/A</v>
      </c>
      <c r="AH165" s="3" t="e">
        <v>#N/A</v>
      </c>
      <c r="AI165" s="3" t="e">
        <v>#N/A</v>
      </c>
      <c r="AJ165" s="3" t="e">
        <v>#N/A</v>
      </c>
      <c r="AK165" s="3" t="e">
        <v>#N/A</v>
      </c>
      <c r="AL165" s="3" t="e">
        <v>#N/A</v>
      </c>
      <c r="AM165" s="3" t="e">
        <v>#N/A</v>
      </c>
      <c r="AN165" s="3" t="e">
        <v>#N/A</v>
      </c>
      <c r="AO165" s="3" t="e">
        <v>#N/A</v>
      </c>
      <c r="AP165" s="3" t="e">
        <v>#N/A</v>
      </c>
      <c r="AR165" s="3" t="e">
        <f t="shared" si="18"/>
        <v>#N/A</v>
      </c>
      <c r="AS165" s="3" t="e">
        <f t="shared" si="18"/>
        <v>#N/A</v>
      </c>
      <c r="AT165" s="3" t="e">
        <f t="shared" si="18"/>
        <v>#N/A</v>
      </c>
      <c r="AU165" s="3" t="e">
        <f t="shared" si="19"/>
        <v>#N/A</v>
      </c>
      <c r="AV165" s="3" t="e">
        <f t="shared" si="20"/>
        <v>#N/A</v>
      </c>
      <c r="AW165" s="3" t="e">
        <f t="shared" si="21"/>
        <v>#N/A</v>
      </c>
      <c r="AX165" s="3" t="e">
        <f t="shared" si="22"/>
        <v>#N/A</v>
      </c>
      <c r="AY165" s="3" t="e">
        <f t="shared" si="23"/>
        <v>#N/A</v>
      </c>
      <c r="AZ165" s="3" t="e">
        <f t="shared" si="24"/>
        <v>#N/A</v>
      </c>
      <c r="BA165" s="3" t="e">
        <f t="shared" si="25"/>
        <v>#N/A</v>
      </c>
      <c r="BB165" s="3" t="e">
        <f t="shared" si="26"/>
        <v>#N/A</v>
      </c>
    </row>
    <row r="166" spans="1:54" x14ac:dyDescent="0.25">
      <c r="A166" t="s">
        <v>777</v>
      </c>
      <c r="B166" s="21">
        <v>3.1</v>
      </c>
      <c r="C166" s="21">
        <v>3.36</v>
      </c>
      <c r="D166" s="35">
        <v>0.5</v>
      </c>
      <c r="E166" s="3">
        <v>159668</v>
      </c>
      <c r="F166" s="3">
        <v>278314</v>
      </c>
      <c r="G166" s="3">
        <v>268019</v>
      </c>
      <c r="H166" s="3">
        <v>269568</v>
      </c>
      <c r="I166" s="4" t="e">
        <v>#N/A</v>
      </c>
      <c r="J166" s="3"/>
      <c r="K166" s="3" t="e">
        <v>#N/A</v>
      </c>
      <c r="L166" s="3" t="e">
        <v>#N/A</v>
      </c>
      <c r="M166" s="3" t="e">
        <v>#N/A</v>
      </c>
      <c r="N166" s="3" t="e">
        <v>#N/A</v>
      </c>
      <c r="O166" s="3" t="e">
        <v>#N/A</v>
      </c>
      <c r="P166" s="3" t="e">
        <v>#N/A</v>
      </c>
      <c r="Q166" s="3" t="e">
        <v>#N/A</v>
      </c>
      <c r="R166" s="3" t="e">
        <v>#N/A</v>
      </c>
      <c r="S166" s="3" t="e">
        <v>#N/A</v>
      </c>
      <c r="T166" s="3" t="e">
        <v>#N/A</v>
      </c>
      <c r="U166" s="3" t="e">
        <v>#N/A</v>
      </c>
      <c r="V166" s="3" t="e">
        <v>#N/A</v>
      </c>
      <c r="W166" s="3" t="e">
        <v>#N/A</v>
      </c>
      <c r="X166" s="3" t="e">
        <v>#N/A</v>
      </c>
      <c r="Y166" s="3" t="e">
        <v>#N/A</v>
      </c>
      <c r="Z166" s="3" t="e">
        <v>#N/A</v>
      </c>
      <c r="AA166" s="3" t="e">
        <v>#N/A</v>
      </c>
      <c r="AB166" s="3" t="e">
        <v>#N/A</v>
      </c>
      <c r="AC166" s="3" t="e">
        <v>#N/A</v>
      </c>
      <c r="AD166" s="3" t="e">
        <v>#N/A</v>
      </c>
      <c r="AE166" s="3" t="e">
        <v>#N/A</v>
      </c>
      <c r="AF166" s="3" t="e">
        <v>#N/A</v>
      </c>
      <c r="AG166" s="3" t="e">
        <v>#N/A</v>
      </c>
      <c r="AH166" s="3" t="e">
        <v>#N/A</v>
      </c>
      <c r="AI166" s="3" t="e">
        <v>#N/A</v>
      </c>
      <c r="AJ166" s="3" t="e">
        <v>#N/A</v>
      </c>
      <c r="AK166" s="3" t="e">
        <v>#N/A</v>
      </c>
      <c r="AL166" s="3" t="e">
        <v>#N/A</v>
      </c>
      <c r="AM166" s="3" t="e">
        <v>#N/A</v>
      </c>
      <c r="AN166" s="3" t="e">
        <v>#N/A</v>
      </c>
      <c r="AO166" s="3" t="e">
        <v>#N/A</v>
      </c>
      <c r="AP166" s="3" t="e">
        <v>#N/A</v>
      </c>
      <c r="AR166" s="3" t="e">
        <f t="shared" si="18"/>
        <v>#N/A</v>
      </c>
      <c r="AS166" s="3" t="e">
        <f t="shared" si="18"/>
        <v>#N/A</v>
      </c>
      <c r="AT166" s="3" t="e">
        <f t="shared" si="18"/>
        <v>#N/A</v>
      </c>
      <c r="AU166" s="3" t="e">
        <f t="shared" si="19"/>
        <v>#N/A</v>
      </c>
      <c r="AV166" s="3" t="e">
        <f t="shared" si="20"/>
        <v>#N/A</v>
      </c>
      <c r="AW166" s="3" t="e">
        <f t="shared" si="21"/>
        <v>#N/A</v>
      </c>
      <c r="AX166" s="3" t="e">
        <f t="shared" si="22"/>
        <v>#N/A</v>
      </c>
      <c r="AY166" s="3" t="e">
        <f t="shared" si="23"/>
        <v>#N/A</v>
      </c>
      <c r="AZ166" s="3" t="e">
        <f t="shared" si="24"/>
        <v>#N/A</v>
      </c>
      <c r="BA166" s="3" t="e">
        <f t="shared" si="25"/>
        <v>#N/A</v>
      </c>
      <c r="BB166" s="3" t="e">
        <f t="shared" si="26"/>
        <v>#N/A</v>
      </c>
    </row>
    <row r="167" spans="1:54" x14ac:dyDescent="0.25">
      <c r="A167" t="s">
        <v>778</v>
      </c>
      <c r="B167" s="21">
        <v>3.12</v>
      </c>
      <c r="C167" s="21">
        <v>3.35</v>
      </c>
      <c r="D167" s="35">
        <v>0.5</v>
      </c>
      <c r="E167" s="3">
        <v>157914</v>
      </c>
      <c r="F167" s="3">
        <v>276519</v>
      </c>
      <c r="G167" s="3">
        <v>271629</v>
      </c>
      <c r="H167" s="3">
        <v>268985</v>
      </c>
      <c r="I167" s="4" t="e">
        <v>#N/A</v>
      </c>
      <c r="J167" s="3"/>
      <c r="K167" s="3" t="e">
        <v>#N/A</v>
      </c>
      <c r="L167" s="3" t="e">
        <v>#N/A</v>
      </c>
      <c r="M167" s="3" t="e">
        <v>#N/A</v>
      </c>
      <c r="N167" s="3" t="e">
        <v>#N/A</v>
      </c>
      <c r="O167" s="3" t="e">
        <v>#N/A</v>
      </c>
      <c r="P167" s="3" t="e">
        <v>#N/A</v>
      </c>
      <c r="Q167" s="3" t="e">
        <v>#N/A</v>
      </c>
      <c r="R167" s="3" t="e">
        <v>#N/A</v>
      </c>
      <c r="S167" s="3" t="e">
        <v>#N/A</v>
      </c>
      <c r="T167" s="3" t="e">
        <v>#N/A</v>
      </c>
      <c r="U167" s="3" t="e">
        <v>#N/A</v>
      </c>
      <c r="V167" s="3" t="e">
        <v>#N/A</v>
      </c>
      <c r="W167" s="3" t="e">
        <v>#N/A</v>
      </c>
      <c r="X167" s="3" t="e">
        <v>#N/A</v>
      </c>
      <c r="Y167" s="3" t="e">
        <v>#N/A</v>
      </c>
      <c r="Z167" s="3" t="e">
        <v>#N/A</v>
      </c>
      <c r="AA167" s="3" t="e">
        <v>#N/A</v>
      </c>
      <c r="AB167" s="3" t="e">
        <v>#N/A</v>
      </c>
      <c r="AC167" s="3" t="e">
        <v>#N/A</v>
      </c>
      <c r="AD167" s="3" t="e">
        <v>#N/A</v>
      </c>
      <c r="AE167" s="3" t="e">
        <v>#N/A</v>
      </c>
      <c r="AF167" s="3" t="e">
        <v>#N/A</v>
      </c>
      <c r="AG167" s="3" t="e">
        <v>#N/A</v>
      </c>
      <c r="AH167" s="3" t="e">
        <v>#N/A</v>
      </c>
      <c r="AI167" s="3" t="e">
        <v>#N/A</v>
      </c>
      <c r="AJ167" s="3" t="e">
        <v>#N/A</v>
      </c>
      <c r="AK167" s="3" t="e">
        <v>#N/A</v>
      </c>
      <c r="AL167" s="3" t="e">
        <v>#N/A</v>
      </c>
      <c r="AM167" s="3" t="e">
        <v>#N/A</v>
      </c>
      <c r="AN167" s="3" t="e">
        <v>#N/A</v>
      </c>
      <c r="AO167" s="3" t="e">
        <v>#N/A</v>
      </c>
      <c r="AP167" s="3" t="e">
        <v>#N/A</v>
      </c>
      <c r="AR167" s="3" t="e">
        <f t="shared" si="18"/>
        <v>#N/A</v>
      </c>
      <c r="AS167" s="3" t="e">
        <f t="shared" si="18"/>
        <v>#N/A</v>
      </c>
      <c r="AT167" s="3" t="e">
        <f t="shared" si="18"/>
        <v>#N/A</v>
      </c>
      <c r="AU167" s="3" t="e">
        <f t="shared" si="19"/>
        <v>#N/A</v>
      </c>
      <c r="AV167" s="3" t="e">
        <f t="shared" si="20"/>
        <v>#N/A</v>
      </c>
      <c r="AW167" s="3" t="e">
        <f t="shared" si="21"/>
        <v>#N/A</v>
      </c>
      <c r="AX167" s="3" t="e">
        <f t="shared" si="22"/>
        <v>#N/A</v>
      </c>
      <c r="AY167" s="3" t="e">
        <f t="shared" si="23"/>
        <v>#N/A</v>
      </c>
      <c r="AZ167" s="3" t="e">
        <f t="shared" si="24"/>
        <v>#N/A</v>
      </c>
      <c r="BA167" s="3" t="e">
        <f t="shared" si="25"/>
        <v>#N/A</v>
      </c>
      <c r="BB167" s="3" t="e">
        <f t="shared" si="26"/>
        <v>#N/A</v>
      </c>
    </row>
    <row r="168" spans="1:54" x14ac:dyDescent="0.25">
      <c r="A168" t="s">
        <v>779</v>
      </c>
      <c r="B168" s="21">
        <v>3.11</v>
      </c>
      <c r="C168" s="21">
        <v>3.35</v>
      </c>
      <c r="D168" s="35">
        <v>0.5</v>
      </c>
      <c r="E168" s="3">
        <v>154185</v>
      </c>
      <c r="F168" s="3">
        <v>272799</v>
      </c>
      <c r="G168" s="3">
        <v>273083</v>
      </c>
      <c r="H168" s="3">
        <v>272357</v>
      </c>
      <c r="I168" s="4" t="e">
        <v>#N/A</v>
      </c>
      <c r="J168" s="3"/>
      <c r="K168" s="3" t="e">
        <v>#N/A</v>
      </c>
      <c r="L168" s="3" t="e">
        <v>#N/A</v>
      </c>
      <c r="M168" s="3" t="e">
        <v>#N/A</v>
      </c>
      <c r="N168" s="3" t="e">
        <v>#N/A</v>
      </c>
      <c r="O168" s="3" t="e">
        <v>#N/A</v>
      </c>
      <c r="P168" s="3" t="e">
        <v>#N/A</v>
      </c>
      <c r="Q168" s="3" t="e">
        <v>#N/A</v>
      </c>
      <c r="R168" s="3" t="e">
        <v>#N/A</v>
      </c>
      <c r="S168" s="3" t="e">
        <v>#N/A</v>
      </c>
      <c r="T168" s="3" t="e">
        <v>#N/A</v>
      </c>
      <c r="U168" s="3" t="e">
        <v>#N/A</v>
      </c>
      <c r="V168" s="3" t="e">
        <v>#N/A</v>
      </c>
      <c r="W168" s="3" t="e">
        <v>#N/A</v>
      </c>
      <c r="X168" s="3" t="e">
        <v>#N/A</v>
      </c>
      <c r="Y168" s="3" t="e">
        <v>#N/A</v>
      </c>
      <c r="Z168" s="3" t="e">
        <v>#N/A</v>
      </c>
      <c r="AA168" s="3" t="e">
        <v>#N/A</v>
      </c>
      <c r="AB168" s="3" t="e">
        <v>#N/A</v>
      </c>
      <c r="AC168" s="3" t="e">
        <v>#N/A</v>
      </c>
      <c r="AD168" s="3" t="e">
        <v>#N/A</v>
      </c>
      <c r="AE168" s="3" t="e">
        <v>#N/A</v>
      </c>
      <c r="AF168" s="3" t="e">
        <v>#N/A</v>
      </c>
      <c r="AG168" s="3" t="e">
        <v>#N/A</v>
      </c>
      <c r="AH168" s="3" t="e">
        <v>#N/A</v>
      </c>
      <c r="AI168" s="3" t="e">
        <v>#N/A</v>
      </c>
      <c r="AJ168" s="3" t="e">
        <v>#N/A</v>
      </c>
      <c r="AK168" s="3" t="e">
        <v>#N/A</v>
      </c>
      <c r="AL168" s="3" t="e">
        <v>#N/A</v>
      </c>
      <c r="AM168" s="3" t="e">
        <v>#N/A</v>
      </c>
      <c r="AN168" s="3" t="e">
        <v>#N/A</v>
      </c>
      <c r="AO168" s="3" t="e">
        <v>#N/A</v>
      </c>
      <c r="AP168" s="3" t="e">
        <v>#N/A</v>
      </c>
      <c r="AR168" s="3" t="e">
        <f t="shared" si="18"/>
        <v>#N/A</v>
      </c>
      <c r="AS168" s="3" t="e">
        <f t="shared" si="18"/>
        <v>#N/A</v>
      </c>
      <c r="AT168" s="3" t="e">
        <f t="shared" si="18"/>
        <v>#N/A</v>
      </c>
      <c r="AU168" s="3" t="e">
        <f t="shared" si="19"/>
        <v>#N/A</v>
      </c>
      <c r="AV168" s="3" t="e">
        <f t="shared" si="20"/>
        <v>#N/A</v>
      </c>
      <c r="AW168" s="3" t="e">
        <f t="shared" si="21"/>
        <v>#N/A</v>
      </c>
      <c r="AX168" s="3" t="e">
        <f t="shared" si="22"/>
        <v>#N/A</v>
      </c>
      <c r="AY168" s="3" t="e">
        <f t="shared" si="23"/>
        <v>#N/A</v>
      </c>
      <c r="AZ168" s="3" t="e">
        <f t="shared" si="24"/>
        <v>#N/A</v>
      </c>
      <c r="BA168" s="3" t="e">
        <f t="shared" si="25"/>
        <v>#N/A</v>
      </c>
      <c r="BB168" s="3" t="e">
        <f t="shared" si="26"/>
        <v>#N/A</v>
      </c>
    </row>
    <row r="169" spans="1:54" x14ac:dyDescent="0.25">
      <c r="A169" t="s">
        <v>780</v>
      </c>
      <c r="B169" s="21">
        <v>3.1</v>
      </c>
      <c r="C169" s="21">
        <v>3.33</v>
      </c>
      <c r="D169" s="35">
        <v>0.5</v>
      </c>
      <c r="E169" s="3">
        <v>154952</v>
      </c>
      <c r="F169" s="3">
        <v>269541</v>
      </c>
      <c r="G169" s="3">
        <v>273963</v>
      </c>
      <c r="H169" s="3">
        <v>276010</v>
      </c>
      <c r="I169" s="4" t="e">
        <v>#N/A</v>
      </c>
      <c r="J169" s="3"/>
      <c r="K169" s="3" t="e">
        <v>#N/A</v>
      </c>
      <c r="L169" s="3" t="e">
        <v>#N/A</v>
      </c>
      <c r="M169" s="3" t="e">
        <v>#N/A</v>
      </c>
      <c r="N169" s="3" t="e">
        <v>#N/A</v>
      </c>
      <c r="O169" s="3" t="e">
        <v>#N/A</v>
      </c>
      <c r="P169" s="3" t="e">
        <v>#N/A</v>
      </c>
      <c r="Q169" s="3" t="e">
        <v>#N/A</v>
      </c>
      <c r="R169" s="3" t="e">
        <v>#N/A</v>
      </c>
      <c r="S169" s="3" t="e">
        <v>#N/A</v>
      </c>
      <c r="T169" s="3" t="e">
        <v>#N/A</v>
      </c>
      <c r="U169" s="3" t="e">
        <v>#N/A</v>
      </c>
      <c r="V169" s="3" t="e">
        <v>#N/A</v>
      </c>
      <c r="W169" s="3" t="e">
        <v>#N/A</v>
      </c>
      <c r="X169" s="3" t="e">
        <v>#N/A</v>
      </c>
      <c r="Y169" s="3" t="e">
        <v>#N/A</v>
      </c>
      <c r="Z169" s="3" t="e">
        <v>#N/A</v>
      </c>
      <c r="AA169" s="3" t="e">
        <v>#N/A</v>
      </c>
      <c r="AB169" s="3" t="e">
        <v>#N/A</v>
      </c>
      <c r="AC169" s="3" t="e">
        <v>#N/A</v>
      </c>
      <c r="AD169" s="3" t="e">
        <v>#N/A</v>
      </c>
      <c r="AE169" s="3" t="e">
        <v>#N/A</v>
      </c>
      <c r="AF169" s="3" t="e">
        <v>#N/A</v>
      </c>
      <c r="AG169" s="3" t="e">
        <v>#N/A</v>
      </c>
      <c r="AH169" s="3" t="e">
        <v>#N/A</v>
      </c>
      <c r="AI169" s="3" t="e">
        <v>#N/A</v>
      </c>
      <c r="AJ169" s="3" t="e">
        <v>#N/A</v>
      </c>
      <c r="AK169" s="3" t="e">
        <v>#N/A</v>
      </c>
      <c r="AL169" s="3" t="e">
        <v>#N/A</v>
      </c>
      <c r="AM169" s="3" t="e">
        <v>#N/A</v>
      </c>
      <c r="AN169" s="3" t="e">
        <v>#N/A</v>
      </c>
      <c r="AO169" s="3" t="e">
        <v>#N/A</v>
      </c>
      <c r="AP169" s="3" t="e">
        <v>#N/A</v>
      </c>
      <c r="AR169" s="3" t="e">
        <f t="shared" si="18"/>
        <v>#N/A</v>
      </c>
      <c r="AS169" s="3" t="e">
        <f t="shared" si="18"/>
        <v>#N/A</v>
      </c>
      <c r="AT169" s="3" t="e">
        <f t="shared" si="18"/>
        <v>#N/A</v>
      </c>
      <c r="AU169" s="3" t="e">
        <f t="shared" si="19"/>
        <v>#N/A</v>
      </c>
      <c r="AV169" s="3" t="e">
        <f t="shared" si="20"/>
        <v>#N/A</v>
      </c>
      <c r="AW169" s="3" t="e">
        <f t="shared" si="21"/>
        <v>#N/A</v>
      </c>
      <c r="AX169" s="3" t="e">
        <f t="shared" si="22"/>
        <v>#N/A</v>
      </c>
      <c r="AY169" s="3" t="e">
        <f t="shared" si="23"/>
        <v>#N/A</v>
      </c>
      <c r="AZ169" s="3" t="e">
        <f t="shared" si="24"/>
        <v>#N/A</v>
      </c>
      <c r="BA169" s="3" t="e">
        <f t="shared" si="25"/>
        <v>#N/A</v>
      </c>
      <c r="BB169" s="3" t="e">
        <f t="shared" si="26"/>
        <v>#N/A</v>
      </c>
    </row>
    <row r="170" spans="1:54" x14ac:dyDescent="0.25">
      <c r="A170" t="s">
        <v>781</v>
      </c>
      <c r="B170" s="21">
        <v>3.11</v>
      </c>
      <c r="C170" s="21">
        <v>3.33</v>
      </c>
      <c r="D170" s="35">
        <v>0.5</v>
      </c>
      <c r="E170" s="3">
        <v>155521</v>
      </c>
      <c r="F170" s="3">
        <v>270109</v>
      </c>
      <c r="G170" s="3">
        <v>275823</v>
      </c>
      <c r="H170" s="3">
        <v>275346</v>
      </c>
      <c r="I170" s="4" t="e">
        <v>#N/A</v>
      </c>
      <c r="J170" s="3"/>
      <c r="K170" s="3" t="e">
        <v>#N/A</v>
      </c>
      <c r="L170" s="3" t="e">
        <v>#N/A</v>
      </c>
      <c r="M170" s="3" t="e">
        <v>#N/A</v>
      </c>
      <c r="N170" s="3" t="e">
        <v>#N/A</v>
      </c>
      <c r="O170" s="3" t="e">
        <v>#N/A</v>
      </c>
      <c r="P170" s="3" t="e">
        <v>#N/A</v>
      </c>
      <c r="Q170" s="3" t="e">
        <v>#N/A</v>
      </c>
      <c r="R170" s="3" t="e">
        <v>#N/A</v>
      </c>
      <c r="S170" s="3" t="e">
        <v>#N/A</v>
      </c>
      <c r="T170" s="3" t="e">
        <v>#N/A</v>
      </c>
      <c r="U170" s="3" t="e">
        <v>#N/A</v>
      </c>
      <c r="V170" s="3" t="e">
        <v>#N/A</v>
      </c>
      <c r="W170" s="3" t="e">
        <v>#N/A</v>
      </c>
      <c r="X170" s="3" t="e">
        <v>#N/A</v>
      </c>
      <c r="Y170" s="3" t="e">
        <v>#N/A</v>
      </c>
      <c r="Z170" s="3" t="e">
        <v>#N/A</v>
      </c>
      <c r="AA170" s="3" t="e">
        <v>#N/A</v>
      </c>
      <c r="AB170" s="3" t="e">
        <v>#N/A</v>
      </c>
      <c r="AC170" s="3" t="e">
        <v>#N/A</v>
      </c>
      <c r="AD170" s="3" t="e">
        <v>#N/A</v>
      </c>
      <c r="AE170" s="3" t="e">
        <v>#N/A</v>
      </c>
      <c r="AF170" s="3" t="e">
        <v>#N/A</v>
      </c>
      <c r="AG170" s="3" t="e">
        <v>#N/A</v>
      </c>
      <c r="AH170" s="3" t="e">
        <v>#N/A</v>
      </c>
      <c r="AI170" s="3" t="e">
        <v>#N/A</v>
      </c>
      <c r="AJ170" s="3" t="e">
        <v>#N/A</v>
      </c>
      <c r="AK170" s="3" t="e">
        <v>#N/A</v>
      </c>
      <c r="AL170" s="3" t="e">
        <v>#N/A</v>
      </c>
      <c r="AM170" s="3" t="e">
        <v>#N/A</v>
      </c>
      <c r="AN170" s="3" t="e">
        <v>#N/A</v>
      </c>
      <c r="AO170" s="3" t="e">
        <v>#N/A</v>
      </c>
      <c r="AP170" s="3" t="e">
        <v>#N/A</v>
      </c>
      <c r="AR170" s="3" t="e">
        <f t="shared" si="18"/>
        <v>#N/A</v>
      </c>
      <c r="AS170" s="3" t="e">
        <f t="shared" si="18"/>
        <v>#N/A</v>
      </c>
      <c r="AT170" s="3" t="e">
        <f t="shared" si="18"/>
        <v>#N/A</v>
      </c>
      <c r="AU170" s="3" t="e">
        <f t="shared" si="19"/>
        <v>#N/A</v>
      </c>
      <c r="AV170" s="3" t="e">
        <f t="shared" si="20"/>
        <v>#N/A</v>
      </c>
      <c r="AW170" s="3" t="e">
        <f t="shared" si="21"/>
        <v>#N/A</v>
      </c>
      <c r="AX170" s="3" t="e">
        <f t="shared" si="22"/>
        <v>#N/A</v>
      </c>
      <c r="AY170" s="3" t="e">
        <f t="shared" si="23"/>
        <v>#N/A</v>
      </c>
      <c r="AZ170" s="3" t="e">
        <f t="shared" si="24"/>
        <v>#N/A</v>
      </c>
      <c r="BA170" s="3" t="e">
        <f t="shared" si="25"/>
        <v>#N/A</v>
      </c>
      <c r="BB170" s="3" t="e">
        <f t="shared" si="26"/>
        <v>#N/A</v>
      </c>
    </row>
    <row r="171" spans="1:54" x14ac:dyDescent="0.25">
      <c r="A171" t="s">
        <v>782</v>
      </c>
      <c r="B171" s="21">
        <v>3.12</v>
      </c>
      <c r="C171" s="21">
        <v>3.32</v>
      </c>
      <c r="D171" s="35">
        <v>0.5</v>
      </c>
      <c r="E171" s="3">
        <v>154272</v>
      </c>
      <c r="F171" s="3">
        <v>266166</v>
      </c>
      <c r="G171" s="3">
        <v>275837</v>
      </c>
      <c r="H171" s="3">
        <v>272755</v>
      </c>
      <c r="I171" s="4" t="e">
        <v>#N/A</v>
      </c>
      <c r="J171" s="3"/>
      <c r="K171" s="3" t="e">
        <v>#N/A</v>
      </c>
      <c r="L171" s="3" t="e">
        <v>#N/A</v>
      </c>
      <c r="M171" s="3" t="e">
        <v>#N/A</v>
      </c>
      <c r="N171" s="3" t="e">
        <v>#N/A</v>
      </c>
      <c r="O171" s="3" t="e">
        <v>#N/A</v>
      </c>
      <c r="P171" s="3" t="e">
        <v>#N/A</v>
      </c>
      <c r="Q171" s="3" t="e">
        <v>#N/A</v>
      </c>
      <c r="R171" s="3" t="e">
        <v>#N/A</v>
      </c>
      <c r="S171" s="3" t="e">
        <v>#N/A</v>
      </c>
      <c r="T171" s="3" t="e">
        <v>#N/A</v>
      </c>
      <c r="U171" s="3" t="e">
        <v>#N/A</v>
      </c>
      <c r="V171" s="3" t="e">
        <v>#N/A</v>
      </c>
      <c r="W171" s="3" t="e">
        <v>#N/A</v>
      </c>
      <c r="X171" s="3" t="e">
        <v>#N/A</v>
      </c>
      <c r="Y171" s="3" t="e">
        <v>#N/A</v>
      </c>
      <c r="Z171" s="3" t="e">
        <v>#N/A</v>
      </c>
      <c r="AA171" s="3" t="e">
        <v>#N/A</v>
      </c>
      <c r="AB171" s="3" t="e">
        <v>#N/A</v>
      </c>
      <c r="AC171" s="3" t="e">
        <v>#N/A</v>
      </c>
      <c r="AD171" s="3" t="e">
        <v>#N/A</v>
      </c>
      <c r="AE171" s="3" t="e">
        <v>#N/A</v>
      </c>
      <c r="AF171" s="3" t="e">
        <v>#N/A</v>
      </c>
      <c r="AG171" s="3" t="e">
        <v>#N/A</v>
      </c>
      <c r="AH171" s="3" t="e">
        <v>#N/A</v>
      </c>
      <c r="AI171" s="3" t="e">
        <v>#N/A</v>
      </c>
      <c r="AJ171" s="3" t="e">
        <v>#N/A</v>
      </c>
      <c r="AK171" s="3" t="e">
        <v>#N/A</v>
      </c>
      <c r="AL171" s="3" t="e">
        <v>#N/A</v>
      </c>
      <c r="AM171" s="3" t="e">
        <v>#N/A</v>
      </c>
      <c r="AN171" s="3" t="e">
        <v>#N/A</v>
      </c>
      <c r="AO171" s="3" t="e">
        <v>#N/A</v>
      </c>
      <c r="AP171" s="3" t="e">
        <v>#N/A</v>
      </c>
      <c r="AR171" s="3" t="e">
        <f t="shared" si="18"/>
        <v>#N/A</v>
      </c>
      <c r="AS171" s="3" t="e">
        <f t="shared" si="18"/>
        <v>#N/A</v>
      </c>
      <c r="AT171" s="3" t="e">
        <f t="shared" si="18"/>
        <v>#N/A</v>
      </c>
      <c r="AU171" s="3" t="e">
        <f t="shared" si="19"/>
        <v>#N/A</v>
      </c>
      <c r="AV171" s="3" t="e">
        <f t="shared" si="20"/>
        <v>#N/A</v>
      </c>
      <c r="AW171" s="3" t="e">
        <f t="shared" si="21"/>
        <v>#N/A</v>
      </c>
      <c r="AX171" s="3" t="e">
        <f t="shared" si="22"/>
        <v>#N/A</v>
      </c>
      <c r="AY171" s="3" t="e">
        <f t="shared" si="23"/>
        <v>#N/A</v>
      </c>
      <c r="AZ171" s="3" t="e">
        <f t="shared" si="24"/>
        <v>#N/A</v>
      </c>
      <c r="BA171" s="3" t="e">
        <f t="shared" si="25"/>
        <v>#N/A</v>
      </c>
      <c r="BB171" s="3" t="e">
        <f t="shared" si="26"/>
        <v>#N/A</v>
      </c>
    </row>
    <row r="172" spans="1:54" x14ac:dyDescent="0.25">
      <c r="A172" t="s">
        <v>783</v>
      </c>
      <c r="B172" s="21">
        <v>3.13</v>
      </c>
      <c r="C172" s="21">
        <v>3.3</v>
      </c>
      <c r="D172" s="35">
        <v>0.5</v>
      </c>
      <c r="E172" s="3">
        <v>153593</v>
      </c>
      <c r="F172" s="3">
        <v>264889</v>
      </c>
      <c r="G172" s="3">
        <v>276941</v>
      </c>
      <c r="H172" s="3">
        <v>277384</v>
      </c>
      <c r="I172" s="4" t="e">
        <v>#N/A</v>
      </c>
      <c r="J172" s="3"/>
      <c r="K172" s="3" t="e">
        <v>#N/A</v>
      </c>
      <c r="L172" s="3" t="e">
        <v>#N/A</v>
      </c>
      <c r="M172" s="3" t="e">
        <v>#N/A</v>
      </c>
      <c r="N172" s="3" t="e">
        <v>#N/A</v>
      </c>
      <c r="O172" s="3" t="e">
        <v>#N/A</v>
      </c>
      <c r="P172" s="3" t="e">
        <v>#N/A</v>
      </c>
      <c r="Q172" s="3" t="e">
        <v>#N/A</v>
      </c>
      <c r="R172" s="3" t="e">
        <v>#N/A</v>
      </c>
      <c r="S172" s="3" t="e">
        <v>#N/A</v>
      </c>
      <c r="T172" s="3" t="e">
        <v>#N/A</v>
      </c>
      <c r="U172" s="3" t="e">
        <v>#N/A</v>
      </c>
      <c r="V172" s="3" t="e">
        <v>#N/A</v>
      </c>
      <c r="W172" s="3" t="e">
        <v>#N/A</v>
      </c>
      <c r="X172" s="3" t="e">
        <v>#N/A</v>
      </c>
      <c r="Y172" s="3" t="e">
        <v>#N/A</v>
      </c>
      <c r="Z172" s="3" t="e">
        <v>#N/A</v>
      </c>
      <c r="AA172" s="3" t="e">
        <v>#N/A</v>
      </c>
      <c r="AB172" s="3" t="e">
        <v>#N/A</v>
      </c>
      <c r="AC172" s="3" t="e">
        <v>#N/A</v>
      </c>
      <c r="AD172" s="3" t="e">
        <v>#N/A</v>
      </c>
      <c r="AE172" s="3" t="e">
        <v>#N/A</v>
      </c>
      <c r="AF172" s="3" t="e">
        <v>#N/A</v>
      </c>
      <c r="AG172" s="3" t="e">
        <v>#N/A</v>
      </c>
      <c r="AH172" s="3" t="e">
        <v>#N/A</v>
      </c>
      <c r="AI172" s="3" t="e">
        <v>#N/A</v>
      </c>
      <c r="AJ172" s="3" t="e">
        <v>#N/A</v>
      </c>
      <c r="AK172" s="3" t="e">
        <v>#N/A</v>
      </c>
      <c r="AL172" s="3" t="e">
        <v>#N/A</v>
      </c>
      <c r="AM172" s="3" t="e">
        <v>#N/A</v>
      </c>
      <c r="AN172" s="3" t="e">
        <v>#N/A</v>
      </c>
      <c r="AO172" s="3" t="e">
        <v>#N/A</v>
      </c>
      <c r="AP172" s="3" t="e">
        <v>#N/A</v>
      </c>
      <c r="AR172" s="3" t="e">
        <f t="shared" si="18"/>
        <v>#N/A</v>
      </c>
      <c r="AS172" s="3" t="e">
        <f t="shared" si="18"/>
        <v>#N/A</v>
      </c>
      <c r="AT172" s="3" t="e">
        <f t="shared" si="18"/>
        <v>#N/A</v>
      </c>
      <c r="AU172" s="3" t="e">
        <f t="shared" si="19"/>
        <v>#N/A</v>
      </c>
      <c r="AV172" s="3" t="e">
        <f t="shared" si="20"/>
        <v>#N/A</v>
      </c>
      <c r="AW172" s="3" t="e">
        <f t="shared" si="21"/>
        <v>#N/A</v>
      </c>
      <c r="AX172" s="3" t="e">
        <f t="shared" si="22"/>
        <v>#N/A</v>
      </c>
      <c r="AY172" s="3" t="e">
        <f t="shared" si="23"/>
        <v>#N/A</v>
      </c>
      <c r="AZ172" s="3" t="e">
        <f t="shared" si="24"/>
        <v>#N/A</v>
      </c>
      <c r="BA172" s="3" t="e">
        <f t="shared" si="25"/>
        <v>#N/A</v>
      </c>
      <c r="BB172" s="3" t="e">
        <f t="shared" si="26"/>
        <v>#N/A</v>
      </c>
    </row>
    <row r="173" spans="1:54" x14ac:dyDescent="0.25">
      <c r="A173" t="s">
        <v>784</v>
      </c>
      <c r="B173" s="21">
        <v>3.12</v>
      </c>
      <c r="C173" s="21">
        <v>3.28</v>
      </c>
      <c r="D173" s="35">
        <v>0.5</v>
      </c>
      <c r="E173" s="3">
        <v>152929</v>
      </c>
      <c r="F173" s="3">
        <v>265698</v>
      </c>
      <c r="G173" s="3">
        <v>278055</v>
      </c>
      <c r="H173" s="3">
        <v>278291</v>
      </c>
      <c r="I173" s="4" t="e">
        <v>#N/A</v>
      </c>
      <c r="J173" s="3"/>
      <c r="K173" s="3" t="e">
        <v>#N/A</v>
      </c>
      <c r="L173" s="3" t="e">
        <v>#N/A</v>
      </c>
      <c r="M173" s="3" t="e">
        <v>#N/A</v>
      </c>
      <c r="N173" s="3" t="e">
        <v>#N/A</v>
      </c>
      <c r="O173" s="3" t="e">
        <v>#N/A</v>
      </c>
      <c r="P173" s="3" t="e">
        <v>#N/A</v>
      </c>
      <c r="Q173" s="3" t="e">
        <v>#N/A</v>
      </c>
      <c r="R173" s="3" t="e">
        <v>#N/A</v>
      </c>
      <c r="S173" s="3" t="e">
        <v>#N/A</v>
      </c>
      <c r="T173" s="3" t="e">
        <v>#N/A</v>
      </c>
      <c r="U173" s="3" t="e">
        <v>#N/A</v>
      </c>
      <c r="V173" s="3" t="e">
        <v>#N/A</v>
      </c>
      <c r="W173" s="3" t="e">
        <v>#N/A</v>
      </c>
      <c r="X173" s="3" t="e">
        <v>#N/A</v>
      </c>
      <c r="Y173" s="3" t="e">
        <v>#N/A</v>
      </c>
      <c r="Z173" s="3" t="e">
        <v>#N/A</v>
      </c>
      <c r="AA173" s="3" t="e">
        <v>#N/A</v>
      </c>
      <c r="AB173" s="3" t="e">
        <v>#N/A</v>
      </c>
      <c r="AC173" s="3" t="e">
        <v>#N/A</v>
      </c>
      <c r="AD173" s="3" t="e">
        <v>#N/A</v>
      </c>
      <c r="AE173" s="3" t="e">
        <v>#N/A</v>
      </c>
      <c r="AF173" s="3" t="e">
        <v>#N/A</v>
      </c>
      <c r="AG173" s="3" t="e">
        <v>#N/A</v>
      </c>
      <c r="AH173" s="3" t="e">
        <v>#N/A</v>
      </c>
      <c r="AI173" s="3" t="e">
        <v>#N/A</v>
      </c>
      <c r="AJ173" s="3" t="e">
        <v>#N/A</v>
      </c>
      <c r="AK173" s="3" t="e">
        <v>#N/A</v>
      </c>
      <c r="AL173" s="3" t="e">
        <v>#N/A</v>
      </c>
      <c r="AM173" s="3" t="e">
        <v>#N/A</v>
      </c>
      <c r="AN173" s="3" t="e">
        <v>#N/A</v>
      </c>
      <c r="AO173" s="3" t="e">
        <v>#N/A</v>
      </c>
      <c r="AP173" s="3" t="e">
        <v>#N/A</v>
      </c>
      <c r="AR173" s="3" t="e">
        <f t="shared" si="18"/>
        <v>#N/A</v>
      </c>
      <c r="AS173" s="3" t="e">
        <f t="shared" si="18"/>
        <v>#N/A</v>
      </c>
      <c r="AT173" s="3" t="e">
        <f t="shared" si="18"/>
        <v>#N/A</v>
      </c>
      <c r="AU173" s="3" t="e">
        <f t="shared" si="19"/>
        <v>#N/A</v>
      </c>
      <c r="AV173" s="3" t="e">
        <f t="shared" si="20"/>
        <v>#N/A</v>
      </c>
      <c r="AW173" s="3" t="e">
        <f t="shared" si="21"/>
        <v>#N/A</v>
      </c>
      <c r="AX173" s="3" t="e">
        <f t="shared" si="22"/>
        <v>#N/A</v>
      </c>
      <c r="AY173" s="3" t="e">
        <f t="shared" si="23"/>
        <v>#N/A</v>
      </c>
      <c r="AZ173" s="3" t="e">
        <f t="shared" si="24"/>
        <v>#N/A</v>
      </c>
      <c r="BA173" s="3" t="e">
        <f t="shared" si="25"/>
        <v>#N/A</v>
      </c>
      <c r="BB173" s="3" t="e">
        <f t="shared" si="26"/>
        <v>#N/A</v>
      </c>
    </row>
    <row r="174" spans="1:54" x14ac:dyDescent="0.25">
      <c r="A174" t="s">
        <v>785</v>
      </c>
      <c r="B174" s="21">
        <v>3.12</v>
      </c>
      <c r="C174" s="21">
        <v>3.29</v>
      </c>
      <c r="D174" s="35">
        <v>0.5</v>
      </c>
      <c r="E174" s="3">
        <v>152756</v>
      </c>
      <c r="F174" s="3">
        <v>264959</v>
      </c>
      <c r="G174" s="3">
        <v>282126</v>
      </c>
      <c r="H174" s="3">
        <v>282142</v>
      </c>
      <c r="I174" s="4" t="e">
        <v>#N/A</v>
      </c>
      <c r="J174" s="3"/>
      <c r="K174" s="3" t="e">
        <v>#N/A</v>
      </c>
      <c r="L174" s="3" t="e">
        <v>#N/A</v>
      </c>
      <c r="M174" s="3" t="e">
        <v>#N/A</v>
      </c>
      <c r="N174" s="3" t="e">
        <v>#N/A</v>
      </c>
      <c r="O174" s="3" t="e">
        <v>#N/A</v>
      </c>
      <c r="P174" s="3" t="e">
        <v>#N/A</v>
      </c>
      <c r="Q174" s="3" t="e">
        <v>#N/A</v>
      </c>
      <c r="R174" s="3" t="e">
        <v>#N/A</v>
      </c>
      <c r="S174" s="3" t="e">
        <v>#N/A</v>
      </c>
      <c r="T174" s="3" t="e">
        <v>#N/A</v>
      </c>
      <c r="U174" s="3" t="e">
        <v>#N/A</v>
      </c>
      <c r="V174" s="3" t="e">
        <v>#N/A</v>
      </c>
      <c r="W174" s="3" t="e">
        <v>#N/A</v>
      </c>
      <c r="X174" s="3" t="e">
        <v>#N/A</v>
      </c>
      <c r="Y174" s="3" t="e">
        <v>#N/A</v>
      </c>
      <c r="Z174" s="3" t="e">
        <v>#N/A</v>
      </c>
      <c r="AA174" s="3" t="e">
        <v>#N/A</v>
      </c>
      <c r="AB174" s="3" t="e">
        <v>#N/A</v>
      </c>
      <c r="AC174" s="3" t="e">
        <v>#N/A</v>
      </c>
      <c r="AD174" s="3" t="e">
        <v>#N/A</v>
      </c>
      <c r="AE174" s="3" t="e">
        <v>#N/A</v>
      </c>
      <c r="AF174" s="3" t="e">
        <v>#N/A</v>
      </c>
      <c r="AG174" s="3" t="e">
        <v>#N/A</v>
      </c>
      <c r="AH174" s="3" t="e">
        <v>#N/A</v>
      </c>
      <c r="AI174" s="3" t="e">
        <v>#N/A</v>
      </c>
      <c r="AJ174" s="3" t="e">
        <v>#N/A</v>
      </c>
      <c r="AK174" s="3" t="e">
        <v>#N/A</v>
      </c>
      <c r="AL174" s="3" t="e">
        <v>#N/A</v>
      </c>
      <c r="AM174" s="3" t="e">
        <v>#N/A</v>
      </c>
      <c r="AN174" s="3" t="e">
        <v>#N/A</v>
      </c>
      <c r="AO174" s="3" t="e">
        <v>#N/A</v>
      </c>
      <c r="AP174" s="3" t="e">
        <v>#N/A</v>
      </c>
      <c r="AR174" s="3" t="e">
        <f t="shared" si="18"/>
        <v>#N/A</v>
      </c>
      <c r="AS174" s="3" t="e">
        <f t="shared" si="18"/>
        <v>#N/A</v>
      </c>
      <c r="AT174" s="3" t="e">
        <f t="shared" si="18"/>
        <v>#N/A</v>
      </c>
      <c r="AU174" s="3" t="e">
        <f t="shared" si="19"/>
        <v>#N/A</v>
      </c>
      <c r="AV174" s="3" t="e">
        <f t="shared" si="20"/>
        <v>#N/A</v>
      </c>
      <c r="AW174" s="3" t="e">
        <f t="shared" si="21"/>
        <v>#N/A</v>
      </c>
      <c r="AX174" s="3" t="e">
        <f t="shared" si="22"/>
        <v>#N/A</v>
      </c>
      <c r="AY174" s="3" t="e">
        <f t="shared" si="23"/>
        <v>#N/A</v>
      </c>
      <c r="AZ174" s="3" t="e">
        <f t="shared" si="24"/>
        <v>#N/A</v>
      </c>
      <c r="BA174" s="3" t="e">
        <f t="shared" si="25"/>
        <v>#N/A</v>
      </c>
      <c r="BB174" s="3" t="e">
        <f t="shared" si="26"/>
        <v>#N/A</v>
      </c>
    </row>
    <row r="175" spans="1:54" x14ac:dyDescent="0.25">
      <c r="A175" t="s">
        <v>786</v>
      </c>
      <c r="B175" s="21">
        <v>3.1</v>
      </c>
      <c r="C175" s="21">
        <v>3.27</v>
      </c>
      <c r="D175" s="35">
        <v>0.5</v>
      </c>
      <c r="E175" s="3">
        <v>152823</v>
      </c>
      <c r="F175" s="3">
        <v>262781</v>
      </c>
      <c r="G175" s="3">
        <v>283670</v>
      </c>
      <c r="H175" s="3">
        <v>289433</v>
      </c>
      <c r="I175" s="4" t="e">
        <v>#N/A</v>
      </c>
      <c r="J175" s="3"/>
      <c r="K175" s="3" t="e">
        <v>#N/A</v>
      </c>
      <c r="L175" s="3" t="e">
        <v>#N/A</v>
      </c>
      <c r="M175" s="3" t="e">
        <v>#N/A</v>
      </c>
      <c r="N175" s="3" t="e">
        <v>#N/A</v>
      </c>
      <c r="O175" s="3" t="e">
        <v>#N/A</v>
      </c>
      <c r="P175" s="3" t="e">
        <v>#N/A</v>
      </c>
      <c r="Q175" s="3" t="e">
        <v>#N/A</v>
      </c>
      <c r="R175" s="3" t="e">
        <v>#N/A</v>
      </c>
      <c r="S175" s="3" t="e">
        <v>#N/A</v>
      </c>
      <c r="T175" s="3" t="e">
        <v>#N/A</v>
      </c>
      <c r="U175" s="3" t="e">
        <v>#N/A</v>
      </c>
      <c r="V175" s="3" t="e">
        <v>#N/A</v>
      </c>
      <c r="W175" s="3" t="e">
        <v>#N/A</v>
      </c>
      <c r="X175" s="3" t="e">
        <v>#N/A</v>
      </c>
      <c r="Y175" s="3" t="e">
        <v>#N/A</v>
      </c>
      <c r="Z175" s="3" t="e">
        <v>#N/A</v>
      </c>
      <c r="AA175" s="3" t="e">
        <v>#N/A</v>
      </c>
      <c r="AB175" s="3" t="e">
        <v>#N/A</v>
      </c>
      <c r="AC175" s="3" t="e">
        <v>#N/A</v>
      </c>
      <c r="AD175" s="3" t="e">
        <v>#N/A</v>
      </c>
      <c r="AE175" s="3" t="e">
        <v>#N/A</v>
      </c>
      <c r="AF175" s="3" t="e">
        <v>#N/A</v>
      </c>
      <c r="AG175" s="3" t="e">
        <v>#N/A</v>
      </c>
      <c r="AH175" s="3" t="e">
        <v>#N/A</v>
      </c>
      <c r="AI175" s="3" t="e">
        <v>#N/A</v>
      </c>
      <c r="AJ175" s="3" t="e">
        <v>#N/A</v>
      </c>
      <c r="AK175" s="3" t="e">
        <v>#N/A</v>
      </c>
      <c r="AL175" s="3" t="e">
        <v>#N/A</v>
      </c>
      <c r="AM175" s="3" t="e">
        <v>#N/A</v>
      </c>
      <c r="AN175" s="3" t="e">
        <v>#N/A</v>
      </c>
      <c r="AO175" s="3" t="e">
        <v>#N/A</v>
      </c>
      <c r="AP175" s="3" t="e">
        <v>#N/A</v>
      </c>
      <c r="AR175" s="3" t="e">
        <f t="shared" si="18"/>
        <v>#N/A</v>
      </c>
      <c r="AS175" s="3" t="e">
        <f t="shared" si="18"/>
        <v>#N/A</v>
      </c>
      <c r="AT175" s="3" t="e">
        <f t="shared" si="18"/>
        <v>#N/A</v>
      </c>
      <c r="AU175" s="3" t="e">
        <f t="shared" si="19"/>
        <v>#N/A</v>
      </c>
      <c r="AV175" s="3" t="e">
        <f t="shared" si="20"/>
        <v>#N/A</v>
      </c>
      <c r="AW175" s="3" t="e">
        <f t="shared" si="21"/>
        <v>#N/A</v>
      </c>
      <c r="AX175" s="3" t="e">
        <f t="shared" si="22"/>
        <v>#N/A</v>
      </c>
      <c r="AY175" s="3" t="e">
        <f t="shared" si="23"/>
        <v>#N/A</v>
      </c>
      <c r="AZ175" s="3" t="e">
        <f t="shared" si="24"/>
        <v>#N/A</v>
      </c>
      <c r="BA175" s="3" t="e">
        <f t="shared" si="25"/>
        <v>#N/A</v>
      </c>
      <c r="BB175" s="3" t="e">
        <f t="shared" si="26"/>
        <v>#N/A</v>
      </c>
    </row>
    <row r="176" spans="1:54" x14ac:dyDescent="0.25">
      <c r="A176" t="s">
        <v>787</v>
      </c>
      <c r="B176" s="21">
        <v>3.11</v>
      </c>
      <c r="C176" s="21">
        <v>3.26</v>
      </c>
      <c r="D176" s="35">
        <v>0.5</v>
      </c>
      <c r="E176" s="3">
        <v>157484</v>
      </c>
      <c r="F176" s="3">
        <v>257358</v>
      </c>
      <c r="G176" s="3">
        <v>285185</v>
      </c>
      <c r="H176" s="3">
        <v>281407</v>
      </c>
      <c r="I176" s="4" t="e">
        <v>#N/A</v>
      </c>
      <c r="J176" s="3"/>
      <c r="K176" s="3" t="e">
        <v>#N/A</v>
      </c>
      <c r="L176" s="3" t="e">
        <v>#N/A</v>
      </c>
      <c r="M176" s="3" t="e">
        <v>#N/A</v>
      </c>
      <c r="N176" s="3" t="e">
        <v>#N/A</v>
      </c>
      <c r="O176" s="3" t="e">
        <v>#N/A</v>
      </c>
      <c r="P176" s="3" t="e">
        <v>#N/A</v>
      </c>
      <c r="Q176" s="3" t="e">
        <v>#N/A</v>
      </c>
      <c r="R176" s="3" t="e">
        <v>#N/A</v>
      </c>
      <c r="S176" s="3" t="e">
        <v>#N/A</v>
      </c>
      <c r="T176" s="3" t="e">
        <v>#N/A</v>
      </c>
      <c r="U176" s="3" t="e">
        <v>#N/A</v>
      </c>
      <c r="V176" s="3" t="e">
        <v>#N/A</v>
      </c>
      <c r="W176" s="3" t="e">
        <v>#N/A</v>
      </c>
      <c r="X176" s="3" t="e">
        <v>#N/A</v>
      </c>
      <c r="Y176" s="3" t="e">
        <v>#N/A</v>
      </c>
      <c r="Z176" s="3" t="e">
        <v>#N/A</v>
      </c>
      <c r="AA176" s="3" t="e">
        <v>#N/A</v>
      </c>
      <c r="AB176" s="3" t="e">
        <v>#N/A</v>
      </c>
      <c r="AC176" s="3" t="e">
        <v>#N/A</v>
      </c>
      <c r="AD176" s="3" t="e">
        <v>#N/A</v>
      </c>
      <c r="AE176" s="3" t="e">
        <v>#N/A</v>
      </c>
      <c r="AF176" s="3" t="e">
        <v>#N/A</v>
      </c>
      <c r="AG176" s="3" t="e">
        <v>#N/A</v>
      </c>
      <c r="AH176" s="3" t="e">
        <v>#N/A</v>
      </c>
      <c r="AI176" s="3" t="e">
        <v>#N/A</v>
      </c>
      <c r="AJ176" s="3" t="e">
        <v>#N/A</v>
      </c>
      <c r="AK176" s="3" t="e">
        <v>#N/A</v>
      </c>
      <c r="AL176" s="3" t="e">
        <v>#N/A</v>
      </c>
      <c r="AM176" s="3" t="e">
        <v>#N/A</v>
      </c>
      <c r="AN176" s="3" t="e">
        <v>#N/A</v>
      </c>
      <c r="AO176" s="3" t="e">
        <v>#N/A</v>
      </c>
      <c r="AP176" s="3" t="e">
        <v>#N/A</v>
      </c>
      <c r="AR176" s="3" t="e">
        <f t="shared" si="18"/>
        <v>#N/A</v>
      </c>
      <c r="AS176" s="3" t="e">
        <f t="shared" si="18"/>
        <v>#N/A</v>
      </c>
      <c r="AT176" s="3" t="e">
        <f t="shared" si="18"/>
        <v>#N/A</v>
      </c>
      <c r="AU176" s="3" t="e">
        <f t="shared" si="19"/>
        <v>#N/A</v>
      </c>
      <c r="AV176" s="3" t="e">
        <f t="shared" si="20"/>
        <v>#N/A</v>
      </c>
      <c r="AW176" s="3" t="e">
        <f t="shared" si="21"/>
        <v>#N/A</v>
      </c>
      <c r="AX176" s="3" t="e">
        <f t="shared" si="22"/>
        <v>#N/A</v>
      </c>
      <c r="AY176" s="3" t="e">
        <f t="shared" si="23"/>
        <v>#N/A</v>
      </c>
      <c r="AZ176" s="3" t="e">
        <f t="shared" si="24"/>
        <v>#N/A</v>
      </c>
      <c r="BA176" s="3" t="e">
        <f t="shared" si="25"/>
        <v>#N/A</v>
      </c>
      <c r="BB176" s="3" t="e">
        <f t="shared" si="26"/>
        <v>#N/A</v>
      </c>
    </row>
    <row r="177" spans="1:54" x14ac:dyDescent="0.25">
      <c r="A177" t="s">
        <v>788</v>
      </c>
      <c r="B177" s="21">
        <v>3.11</v>
      </c>
      <c r="C177" s="21">
        <v>3.25</v>
      </c>
      <c r="D177" s="35">
        <v>0.5</v>
      </c>
      <c r="E177" s="3">
        <v>157567</v>
      </c>
      <c r="F177" s="3">
        <v>256506</v>
      </c>
      <c r="G177" s="3">
        <v>291560</v>
      </c>
      <c r="H177" s="3">
        <v>287339</v>
      </c>
      <c r="I177" s="4" t="e">
        <v>#N/A</v>
      </c>
      <c r="J177" s="3"/>
      <c r="K177" s="3" t="e">
        <v>#N/A</v>
      </c>
      <c r="L177" s="3" t="e">
        <v>#N/A</v>
      </c>
      <c r="M177" s="3" t="e">
        <v>#N/A</v>
      </c>
      <c r="N177" s="3" t="e">
        <v>#N/A</v>
      </c>
      <c r="O177" s="3" t="e">
        <v>#N/A</v>
      </c>
      <c r="P177" s="3" t="e">
        <v>#N/A</v>
      </c>
      <c r="Q177" s="3" t="e">
        <v>#N/A</v>
      </c>
      <c r="R177" s="3" t="e">
        <v>#N/A</v>
      </c>
      <c r="S177" s="3" t="e">
        <v>#N/A</v>
      </c>
      <c r="T177" s="3" t="e">
        <v>#N/A</v>
      </c>
      <c r="U177" s="3" t="e">
        <v>#N/A</v>
      </c>
      <c r="V177" s="3" t="e">
        <v>#N/A</v>
      </c>
      <c r="W177" s="3" t="e">
        <v>#N/A</v>
      </c>
      <c r="X177" s="3" t="e">
        <v>#N/A</v>
      </c>
      <c r="Y177" s="3" t="e">
        <v>#N/A</v>
      </c>
      <c r="Z177" s="3" t="e">
        <v>#N/A</v>
      </c>
      <c r="AA177" s="3" t="e">
        <v>#N/A</v>
      </c>
      <c r="AB177" s="3" t="e">
        <v>#N/A</v>
      </c>
      <c r="AC177" s="3" t="e">
        <v>#N/A</v>
      </c>
      <c r="AD177" s="3" t="e">
        <v>#N/A</v>
      </c>
      <c r="AE177" s="3" t="e">
        <v>#N/A</v>
      </c>
      <c r="AF177" s="3" t="e">
        <v>#N/A</v>
      </c>
      <c r="AG177" s="3" t="e">
        <v>#N/A</v>
      </c>
      <c r="AH177" s="3" t="e">
        <v>#N/A</v>
      </c>
      <c r="AI177" s="3" t="e">
        <v>#N/A</v>
      </c>
      <c r="AJ177" s="3" t="e">
        <v>#N/A</v>
      </c>
      <c r="AK177" s="3" t="e">
        <v>#N/A</v>
      </c>
      <c r="AL177" s="3" t="e">
        <v>#N/A</v>
      </c>
      <c r="AM177" s="3" t="e">
        <v>#N/A</v>
      </c>
      <c r="AN177" s="3" t="e">
        <v>#N/A</v>
      </c>
      <c r="AO177" s="3" t="e">
        <v>#N/A</v>
      </c>
      <c r="AP177" s="3" t="e">
        <v>#N/A</v>
      </c>
      <c r="AR177" s="3" t="e">
        <f t="shared" si="18"/>
        <v>#N/A</v>
      </c>
      <c r="AS177" s="3" t="e">
        <f t="shared" si="18"/>
        <v>#N/A</v>
      </c>
      <c r="AT177" s="3" t="e">
        <f t="shared" si="18"/>
        <v>#N/A</v>
      </c>
      <c r="AU177" s="3" t="e">
        <f t="shared" si="19"/>
        <v>#N/A</v>
      </c>
      <c r="AV177" s="3" t="e">
        <f t="shared" si="20"/>
        <v>#N/A</v>
      </c>
      <c r="AW177" s="3" t="e">
        <f t="shared" si="21"/>
        <v>#N/A</v>
      </c>
      <c r="AX177" s="3" t="e">
        <f t="shared" si="22"/>
        <v>#N/A</v>
      </c>
      <c r="AY177" s="3" t="e">
        <f t="shared" si="23"/>
        <v>#N/A</v>
      </c>
      <c r="AZ177" s="3" t="e">
        <f t="shared" si="24"/>
        <v>#N/A</v>
      </c>
      <c r="BA177" s="3" t="e">
        <f t="shared" si="25"/>
        <v>#N/A</v>
      </c>
      <c r="BB177" s="3" t="e">
        <f t="shared" si="26"/>
        <v>#N/A</v>
      </c>
    </row>
    <row r="178" spans="1:54" x14ac:dyDescent="0.25">
      <c r="A178" t="s">
        <v>789</v>
      </c>
      <c r="B178" s="21">
        <v>3.1</v>
      </c>
      <c r="C178" s="21">
        <v>3.24</v>
      </c>
      <c r="D178" s="35">
        <v>0.5</v>
      </c>
      <c r="E178" s="3">
        <v>155907</v>
      </c>
      <c r="F178" s="3">
        <v>253306</v>
      </c>
      <c r="G178" s="3">
        <v>291038</v>
      </c>
      <c r="H178" s="3">
        <v>292689</v>
      </c>
      <c r="I178" s="4" t="e">
        <v>#N/A</v>
      </c>
      <c r="J178" s="3"/>
      <c r="K178" s="3" t="e">
        <v>#N/A</v>
      </c>
      <c r="L178" s="3" t="e">
        <v>#N/A</v>
      </c>
      <c r="M178" s="3" t="e">
        <v>#N/A</v>
      </c>
      <c r="N178" s="3" t="e">
        <v>#N/A</v>
      </c>
      <c r="O178" s="3" t="e">
        <v>#N/A</v>
      </c>
      <c r="P178" s="3" t="e">
        <v>#N/A</v>
      </c>
      <c r="Q178" s="3" t="e">
        <v>#N/A</v>
      </c>
      <c r="R178" s="3" t="e">
        <v>#N/A</v>
      </c>
      <c r="S178" s="3" t="e">
        <v>#N/A</v>
      </c>
      <c r="T178" s="3" t="e">
        <v>#N/A</v>
      </c>
      <c r="U178" s="3" t="e">
        <v>#N/A</v>
      </c>
      <c r="V178" s="3" t="e">
        <v>#N/A</v>
      </c>
      <c r="W178" s="3" t="e">
        <v>#N/A</v>
      </c>
      <c r="X178" s="3" t="e">
        <v>#N/A</v>
      </c>
      <c r="Y178" s="3" t="e">
        <v>#N/A</v>
      </c>
      <c r="Z178" s="3" t="e">
        <v>#N/A</v>
      </c>
      <c r="AA178" s="3" t="e">
        <v>#N/A</v>
      </c>
      <c r="AB178" s="3" t="e">
        <v>#N/A</v>
      </c>
      <c r="AC178" s="3" t="e">
        <v>#N/A</v>
      </c>
      <c r="AD178" s="3" t="e">
        <v>#N/A</v>
      </c>
      <c r="AE178" s="3" t="e">
        <v>#N/A</v>
      </c>
      <c r="AF178" s="3" t="e">
        <v>#N/A</v>
      </c>
      <c r="AG178" s="3" t="e">
        <v>#N/A</v>
      </c>
      <c r="AH178" s="3" t="e">
        <v>#N/A</v>
      </c>
      <c r="AI178" s="3" t="e">
        <v>#N/A</v>
      </c>
      <c r="AJ178" s="3" t="e">
        <v>#N/A</v>
      </c>
      <c r="AK178" s="3" t="e">
        <v>#N/A</v>
      </c>
      <c r="AL178" s="3" t="e">
        <v>#N/A</v>
      </c>
      <c r="AM178" s="3" t="e">
        <v>#N/A</v>
      </c>
      <c r="AN178" s="3" t="e">
        <v>#N/A</v>
      </c>
      <c r="AO178" s="3" t="e">
        <v>#N/A</v>
      </c>
      <c r="AP178" s="3" t="e">
        <v>#N/A</v>
      </c>
      <c r="AR178" s="3" t="e">
        <f t="shared" si="18"/>
        <v>#N/A</v>
      </c>
      <c r="AS178" s="3" t="e">
        <f t="shared" si="18"/>
        <v>#N/A</v>
      </c>
      <c r="AT178" s="3" t="e">
        <f t="shared" si="18"/>
        <v>#N/A</v>
      </c>
      <c r="AU178" s="3" t="e">
        <f t="shared" si="19"/>
        <v>#N/A</v>
      </c>
      <c r="AV178" s="3" t="e">
        <f t="shared" si="20"/>
        <v>#N/A</v>
      </c>
      <c r="AW178" s="3" t="e">
        <f t="shared" si="21"/>
        <v>#N/A</v>
      </c>
      <c r="AX178" s="3" t="e">
        <f t="shared" si="22"/>
        <v>#N/A</v>
      </c>
      <c r="AY178" s="3" t="e">
        <f t="shared" si="23"/>
        <v>#N/A</v>
      </c>
      <c r="AZ178" s="3" t="e">
        <f t="shared" si="24"/>
        <v>#N/A</v>
      </c>
      <c r="BA178" s="3" t="e">
        <f t="shared" si="25"/>
        <v>#N/A</v>
      </c>
      <c r="BB178" s="3" t="e">
        <f t="shared" si="26"/>
        <v>#N/A</v>
      </c>
    </row>
    <row r="179" spans="1:54" x14ac:dyDescent="0.25">
      <c r="A179" t="s">
        <v>790</v>
      </c>
      <c r="B179" s="21">
        <v>3.13</v>
      </c>
      <c r="C179" s="21">
        <v>3.23</v>
      </c>
      <c r="D179" s="35">
        <v>0.5</v>
      </c>
      <c r="E179" s="3">
        <v>156106</v>
      </c>
      <c r="F179" s="3">
        <v>251449</v>
      </c>
      <c r="G179" s="3">
        <v>294014</v>
      </c>
      <c r="H179" s="3">
        <v>290899</v>
      </c>
      <c r="I179" s="4" t="e">
        <v>#N/A</v>
      </c>
      <c r="J179" s="3"/>
      <c r="K179" s="3" t="e">
        <v>#N/A</v>
      </c>
      <c r="L179" s="3" t="e">
        <v>#N/A</v>
      </c>
      <c r="M179" s="3" t="e">
        <v>#N/A</v>
      </c>
      <c r="N179" s="3" t="e">
        <v>#N/A</v>
      </c>
      <c r="O179" s="3" t="e">
        <v>#N/A</v>
      </c>
      <c r="P179" s="3" t="e">
        <v>#N/A</v>
      </c>
      <c r="Q179" s="3" t="e">
        <v>#N/A</v>
      </c>
      <c r="R179" s="3" t="e">
        <v>#N/A</v>
      </c>
      <c r="S179" s="3" t="e">
        <v>#N/A</v>
      </c>
      <c r="T179" s="3" t="e">
        <v>#N/A</v>
      </c>
      <c r="U179" s="3" t="e">
        <v>#N/A</v>
      </c>
      <c r="V179" s="3" t="e">
        <v>#N/A</v>
      </c>
      <c r="W179" s="3" t="e">
        <v>#N/A</v>
      </c>
      <c r="X179" s="3" t="e">
        <v>#N/A</v>
      </c>
      <c r="Y179" s="3" t="e">
        <v>#N/A</v>
      </c>
      <c r="Z179" s="3" t="e">
        <v>#N/A</v>
      </c>
      <c r="AA179" s="3" t="e">
        <v>#N/A</v>
      </c>
      <c r="AB179" s="3" t="e">
        <v>#N/A</v>
      </c>
      <c r="AC179" s="3" t="e">
        <v>#N/A</v>
      </c>
      <c r="AD179" s="3" t="e">
        <v>#N/A</v>
      </c>
      <c r="AE179" s="3" t="e">
        <v>#N/A</v>
      </c>
      <c r="AF179" s="3" t="e">
        <v>#N/A</v>
      </c>
      <c r="AG179" s="3" t="e">
        <v>#N/A</v>
      </c>
      <c r="AH179" s="3" t="e">
        <v>#N/A</v>
      </c>
      <c r="AI179" s="3" t="e">
        <v>#N/A</v>
      </c>
      <c r="AJ179" s="3" t="e">
        <v>#N/A</v>
      </c>
      <c r="AK179" s="3" t="e">
        <v>#N/A</v>
      </c>
      <c r="AL179" s="3" t="e">
        <v>#N/A</v>
      </c>
      <c r="AM179" s="3" t="e">
        <v>#N/A</v>
      </c>
      <c r="AN179" s="3" t="e">
        <v>#N/A</v>
      </c>
      <c r="AO179" s="3" t="e">
        <v>#N/A</v>
      </c>
      <c r="AP179" s="3" t="e">
        <v>#N/A</v>
      </c>
      <c r="AR179" s="3" t="e">
        <f t="shared" si="18"/>
        <v>#N/A</v>
      </c>
      <c r="AS179" s="3" t="e">
        <f t="shared" si="18"/>
        <v>#N/A</v>
      </c>
      <c r="AT179" s="3" t="e">
        <f t="shared" si="18"/>
        <v>#N/A</v>
      </c>
      <c r="AU179" s="3" t="e">
        <f t="shared" si="19"/>
        <v>#N/A</v>
      </c>
      <c r="AV179" s="3" t="e">
        <f t="shared" si="20"/>
        <v>#N/A</v>
      </c>
      <c r="AW179" s="3" t="e">
        <f t="shared" si="21"/>
        <v>#N/A</v>
      </c>
      <c r="AX179" s="3" t="e">
        <f t="shared" si="22"/>
        <v>#N/A</v>
      </c>
      <c r="AY179" s="3" t="e">
        <f t="shared" si="23"/>
        <v>#N/A</v>
      </c>
      <c r="AZ179" s="3" t="e">
        <f t="shared" si="24"/>
        <v>#N/A</v>
      </c>
      <c r="BA179" s="3" t="e">
        <f t="shared" si="25"/>
        <v>#N/A</v>
      </c>
      <c r="BB179" s="3" t="e">
        <f t="shared" si="26"/>
        <v>#N/A</v>
      </c>
    </row>
    <row r="180" spans="1:54" x14ac:dyDescent="0.25">
      <c r="A180" t="s">
        <v>791</v>
      </c>
      <c r="B180" s="21">
        <v>3.15</v>
      </c>
      <c r="C180" s="21">
        <v>3.24</v>
      </c>
      <c r="D180" s="35">
        <v>0.5</v>
      </c>
      <c r="E180" s="3">
        <v>157618</v>
      </c>
      <c r="F180" s="3">
        <v>252582</v>
      </c>
      <c r="G180" s="3">
        <v>295784</v>
      </c>
      <c r="H180" s="3">
        <v>293864</v>
      </c>
      <c r="I180" s="4" t="e">
        <v>#N/A</v>
      </c>
      <c r="J180" s="3"/>
      <c r="K180" s="3" t="e">
        <v>#N/A</v>
      </c>
      <c r="L180" s="3" t="e">
        <v>#N/A</v>
      </c>
      <c r="M180" s="3" t="e">
        <v>#N/A</v>
      </c>
      <c r="N180" s="3" t="e">
        <v>#N/A</v>
      </c>
      <c r="O180" s="3" t="e">
        <v>#N/A</v>
      </c>
      <c r="P180" s="3" t="e">
        <v>#N/A</v>
      </c>
      <c r="Q180" s="3" t="e">
        <v>#N/A</v>
      </c>
      <c r="R180" s="3" t="e">
        <v>#N/A</v>
      </c>
      <c r="S180" s="3" t="e">
        <v>#N/A</v>
      </c>
      <c r="T180" s="3" t="e">
        <v>#N/A</v>
      </c>
      <c r="U180" s="3" t="e">
        <v>#N/A</v>
      </c>
      <c r="V180" s="3" t="e">
        <v>#N/A</v>
      </c>
      <c r="W180" s="3" t="e">
        <v>#N/A</v>
      </c>
      <c r="X180" s="3" t="e">
        <v>#N/A</v>
      </c>
      <c r="Y180" s="3" t="e">
        <v>#N/A</v>
      </c>
      <c r="Z180" s="3" t="e">
        <v>#N/A</v>
      </c>
      <c r="AA180" s="3" t="e">
        <v>#N/A</v>
      </c>
      <c r="AB180" s="3" t="e">
        <v>#N/A</v>
      </c>
      <c r="AC180" s="3" t="e">
        <v>#N/A</v>
      </c>
      <c r="AD180" s="3" t="e">
        <v>#N/A</v>
      </c>
      <c r="AE180" s="3" t="e">
        <v>#N/A</v>
      </c>
      <c r="AF180" s="3" t="e">
        <v>#N/A</v>
      </c>
      <c r="AG180" s="3" t="e">
        <v>#N/A</v>
      </c>
      <c r="AH180" s="3" t="e">
        <v>#N/A</v>
      </c>
      <c r="AI180" s="3" t="e">
        <v>#N/A</v>
      </c>
      <c r="AJ180" s="3" t="e">
        <v>#N/A</v>
      </c>
      <c r="AK180" s="3" t="e">
        <v>#N/A</v>
      </c>
      <c r="AL180" s="3" t="e">
        <v>#N/A</v>
      </c>
      <c r="AM180" s="3" t="e">
        <v>#N/A</v>
      </c>
      <c r="AN180" s="3" t="e">
        <v>#N/A</v>
      </c>
      <c r="AO180" s="3" t="e">
        <v>#N/A</v>
      </c>
      <c r="AP180" s="3" t="e">
        <v>#N/A</v>
      </c>
      <c r="AR180" s="3" t="e">
        <f t="shared" si="18"/>
        <v>#N/A</v>
      </c>
      <c r="AS180" s="3" t="e">
        <f t="shared" si="18"/>
        <v>#N/A</v>
      </c>
      <c r="AT180" s="3" t="e">
        <f t="shared" si="18"/>
        <v>#N/A</v>
      </c>
      <c r="AU180" s="3" t="e">
        <f t="shared" si="19"/>
        <v>#N/A</v>
      </c>
      <c r="AV180" s="3" t="e">
        <f t="shared" si="20"/>
        <v>#N/A</v>
      </c>
      <c r="AW180" s="3" t="e">
        <f t="shared" si="21"/>
        <v>#N/A</v>
      </c>
      <c r="AX180" s="3" t="e">
        <f t="shared" si="22"/>
        <v>#N/A</v>
      </c>
      <c r="AY180" s="3" t="e">
        <f t="shared" si="23"/>
        <v>#N/A</v>
      </c>
      <c r="AZ180" s="3" t="e">
        <f t="shared" si="24"/>
        <v>#N/A</v>
      </c>
      <c r="BA180" s="3" t="e">
        <f t="shared" si="25"/>
        <v>#N/A</v>
      </c>
      <c r="BB180" s="3" t="e">
        <f t="shared" si="26"/>
        <v>#N/A</v>
      </c>
    </row>
    <row r="181" spans="1:54" x14ac:dyDescent="0.25">
      <c r="A181" t="s">
        <v>792</v>
      </c>
      <c r="B181" s="21">
        <v>3.13</v>
      </c>
      <c r="C181" s="21">
        <v>3.23</v>
      </c>
      <c r="D181" s="35">
        <v>0.5</v>
      </c>
      <c r="E181" s="3">
        <v>157574</v>
      </c>
      <c r="F181" s="3">
        <v>244940</v>
      </c>
      <c r="G181" s="3">
        <v>297900</v>
      </c>
      <c r="H181" s="3">
        <v>299968</v>
      </c>
      <c r="I181" s="4" t="e">
        <v>#N/A</v>
      </c>
      <c r="J181" s="3"/>
      <c r="K181" s="3" t="e">
        <v>#N/A</v>
      </c>
      <c r="L181" s="3" t="e">
        <v>#N/A</v>
      </c>
      <c r="M181" s="3" t="e">
        <v>#N/A</v>
      </c>
      <c r="N181" s="3" t="e">
        <v>#N/A</v>
      </c>
      <c r="O181" s="3" t="e">
        <v>#N/A</v>
      </c>
      <c r="P181" s="3" t="e">
        <v>#N/A</v>
      </c>
      <c r="Q181" s="3" t="e">
        <v>#N/A</v>
      </c>
      <c r="R181" s="3" t="e">
        <v>#N/A</v>
      </c>
      <c r="S181" s="3" t="e">
        <v>#N/A</v>
      </c>
      <c r="T181" s="3" t="e">
        <v>#N/A</v>
      </c>
      <c r="U181" s="3" t="e">
        <v>#N/A</v>
      </c>
      <c r="V181" s="3" t="e">
        <v>#N/A</v>
      </c>
      <c r="W181" s="3" t="e">
        <v>#N/A</v>
      </c>
      <c r="X181" s="3" t="e">
        <v>#N/A</v>
      </c>
      <c r="Y181" s="3" t="e">
        <v>#N/A</v>
      </c>
      <c r="Z181" s="3" t="e">
        <v>#N/A</v>
      </c>
      <c r="AA181" s="3" t="e">
        <v>#N/A</v>
      </c>
      <c r="AB181" s="3" t="e">
        <v>#N/A</v>
      </c>
      <c r="AC181" s="3" t="e">
        <v>#N/A</v>
      </c>
      <c r="AD181" s="3" t="e">
        <v>#N/A</v>
      </c>
      <c r="AE181" s="3" t="e">
        <v>#N/A</v>
      </c>
      <c r="AF181" s="3" t="e">
        <v>#N/A</v>
      </c>
      <c r="AG181" s="3" t="e">
        <v>#N/A</v>
      </c>
      <c r="AH181" s="3" t="e">
        <v>#N/A</v>
      </c>
      <c r="AI181" s="3" t="e">
        <v>#N/A</v>
      </c>
      <c r="AJ181" s="3" t="e">
        <v>#N/A</v>
      </c>
      <c r="AK181" s="3" t="e">
        <v>#N/A</v>
      </c>
      <c r="AL181" s="3" t="e">
        <v>#N/A</v>
      </c>
      <c r="AM181" s="3" t="e">
        <v>#N/A</v>
      </c>
      <c r="AN181" s="3" t="e">
        <v>#N/A</v>
      </c>
      <c r="AO181" s="3" t="e">
        <v>#N/A</v>
      </c>
      <c r="AP181" s="3" t="e">
        <v>#N/A</v>
      </c>
      <c r="AR181" s="3" t="e">
        <f t="shared" si="18"/>
        <v>#N/A</v>
      </c>
      <c r="AS181" s="3" t="e">
        <f t="shared" si="18"/>
        <v>#N/A</v>
      </c>
      <c r="AT181" s="3" t="e">
        <f t="shared" si="18"/>
        <v>#N/A</v>
      </c>
      <c r="AU181" s="3" t="e">
        <f t="shared" si="19"/>
        <v>#N/A</v>
      </c>
      <c r="AV181" s="3" t="e">
        <f t="shared" si="20"/>
        <v>#N/A</v>
      </c>
      <c r="AW181" s="3" t="e">
        <f t="shared" si="21"/>
        <v>#N/A</v>
      </c>
      <c r="AX181" s="3" t="e">
        <f t="shared" si="22"/>
        <v>#N/A</v>
      </c>
      <c r="AY181" s="3" t="e">
        <f t="shared" si="23"/>
        <v>#N/A</v>
      </c>
      <c r="AZ181" s="3" t="e">
        <f t="shared" si="24"/>
        <v>#N/A</v>
      </c>
      <c r="BA181" s="3" t="e">
        <f t="shared" si="25"/>
        <v>#N/A</v>
      </c>
      <c r="BB181" s="3" t="e">
        <f t="shared" si="26"/>
        <v>#N/A</v>
      </c>
    </row>
    <row r="182" spans="1:54" x14ac:dyDescent="0.25">
      <c r="A182" t="s">
        <v>793</v>
      </c>
      <c r="B182" s="21">
        <v>3.14</v>
      </c>
      <c r="C182" s="21">
        <v>3.22</v>
      </c>
      <c r="D182" s="35">
        <v>0.5</v>
      </c>
      <c r="E182" s="3">
        <v>156617</v>
      </c>
      <c r="F182" s="3">
        <v>247607</v>
      </c>
      <c r="G182" s="3">
        <v>299582</v>
      </c>
      <c r="H182" s="3">
        <v>300268</v>
      </c>
      <c r="I182" s="4" t="e">
        <v>#N/A</v>
      </c>
      <c r="J182" s="3"/>
      <c r="K182" s="3" t="e">
        <v>#N/A</v>
      </c>
      <c r="L182" s="3" t="e">
        <v>#N/A</v>
      </c>
      <c r="M182" s="3" t="e">
        <v>#N/A</v>
      </c>
      <c r="N182" s="3" t="e">
        <v>#N/A</v>
      </c>
      <c r="O182" s="3" t="e">
        <v>#N/A</v>
      </c>
      <c r="P182" s="3" t="e">
        <v>#N/A</v>
      </c>
      <c r="Q182" s="3" t="e">
        <v>#N/A</v>
      </c>
      <c r="R182" s="3" t="e">
        <v>#N/A</v>
      </c>
      <c r="S182" s="3" t="e">
        <v>#N/A</v>
      </c>
      <c r="T182" s="3" t="e">
        <v>#N/A</v>
      </c>
      <c r="U182" s="3" t="e">
        <v>#N/A</v>
      </c>
      <c r="V182" s="3" t="e">
        <v>#N/A</v>
      </c>
      <c r="W182" s="3" t="e">
        <v>#N/A</v>
      </c>
      <c r="X182" s="3" t="e">
        <v>#N/A</v>
      </c>
      <c r="Y182" s="3" t="e">
        <v>#N/A</v>
      </c>
      <c r="Z182" s="3" t="e">
        <v>#N/A</v>
      </c>
      <c r="AA182" s="3" t="e">
        <v>#N/A</v>
      </c>
      <c r="AB182" s="3" t="e">
        <v>#N/A</v>
      </c>
      <c r="AC182" s="3" t="e">
        <v>#N/A</v>
      </c>
      <c r="AD182" s="3" t="e">
        <v>#N/A</v>
      </c>
      <c r="AE182" s="3" t="e">
        <v>#N/A</v>
      </c>
      <c r="AF182" s="3" t="e">
        <v>#N/A</v>
      </c>
      <c r="AG182" s="3" t="e">
        <v>#N/A</v>
      </c>
      <c r="AH182" s="3" t="e">
        <v>#N/A</v>
      </c>
      <c r="AI182" s="3" t="e">
        <v>#N/A</v>
      </c>
      <c r="AJ182" s="3" t="e">
        <v>#N/A</v>
      </c>
      <c r="AK182" s="3" t="e">
        <v>#N/A</v>
      </c>
      <c r="AL182" s="3" t="e">
        <v>#N/A</v>
      </c>
      <c r="AM182" s="3" t="e">
        <v>#N/A</v>
      </c>
      <c r="AN182" s="3" t="e">
        <v>#N/A</v>
      </c>
      <c r="AO182" s="3" t="e">
        <v>#N/A</v>
      </c>
      <c r="AP182" s="3" t="e">
        <v>#N/A</v>
      </c>
      <c r="AR182" s="3" t="e">
        <f t="shared" si="18"/>
        <v>#N/A</v>
      </c>
      <c r="AS182" s="3" t="e">
        <f t="shared" si="18"/>
        <v>#N/A</v>
      </c>
      <c r="AT182" s="3" t="e">
        <f t="shared" si="18"/>
        <v>#N/A</v>
      </c>
      <c r="AU182" s="3" t="e">
        <f t="shared" si="19"/>
        <v>#N/A</v>
      </c>
      <c r="AV182" s="3" t="e">
        <f t="shared" si="20"/>
        <v>#N/A</v>
      </c>
      <c r="AW182" s="3" t="e">
        <f t="shared" si="21"/>
        <v>#N/A</v>
      </c>
      <c r="AX182" s="3" t="e">
        <f t="shared" si="22"/>
        <v>#N/A</v>
      </c>
      <c r="AY182" s="3" t="e">
        <f t="shared" si="23"/>
        <v>#N/A</v>
      </c>
      <c r="AZ182" s="3" t="e">
        <f t="shared" si="24"/>
        <v>#N/A</v>
      </c>
      <c r="BA182" s="3" t="e">
        <f t="shared" si="25"/>
        <v>#N/A</v>
      </c>
      <c r="BB182" s="3" t="e">
        <f t="shared" si="26"/>
        <v>#N/A</v>
      </c>
    </row>
    <row r="183" spans="1:54" x14ac:dyDescent="0.25">
      <c r="A183" t="s">
        <v>794</v>
      </c>
      <c r="B183" s="21">
        <v>3.14</v>
      </c>
      <c r="C183" s="21">
        <v>3.22</v>
      </c>
      <c r="D183" s="35">
        <v>0.5</v>
      </c>
      <c r="E183" s="3">
        <v>155876</v>
      </c>
      <c r="F183" s="3">
        <v>248924</v>
      </c>
      <c r="G183" s="3">
        <v>302006</v>
      </c>
      <c r="H183" s="3">
        <v>298859</v>
      </c>
      <c r="I183" s="4" t="e">
        <v>#N/A</v>
      </c>
      <c r="J183" s="3"/>
      <c r="K183" s="3" t="e">
        <v>#N/A</v>
      </c>
      <c r="L183" s="3" t="e">
        <v>#N/A</v>
      </c>
      <c r="M183" s="3" t="e">
        <v>#N/A</v>
      </c>
      <c r="N183" s="3" t="e">
        <v>#N/A</v>
      </c>
      <c r="O183" s="3" t="e">
        <v>#N/A</v>
      </c>
      <c r="P183" s="3" t="e">
        <v>#N/A</v>
      </c>
      <c r="Q183" s="3" t="e">
        <v>#N/A</v>
      </c>
      <c r="R183" s="3" t="e">
        <v>#N/A</v>
      </c>
      <c r="S183" s="3" t="e">
        <v>#N/A</v>
      </c>
      <c r="T183" s="3" t="e">
        <v>#N/A</v>
      </c>
      <c r="U183" s="3" t="e">
        <v>#N/A</v>
      </c>
      <c r="V183" s="3" t="e">
        <v>#N/A</v>
      </c>
      <c r="W183" s="3" t="e">
        <v>#N/A</v>
      </c>
      <c r="X183" s="3" t="e">
        <v>#N/A</v>
      </c>
      <c r="Y183" s="3" t="e">
        <v>#N/A</v>
      </c>
      <c r="Z183" s="3" t="e">
        <v>#N/A</v>
      </c>
      <c r="AA183" s="3" t="e">
        <v>#N/A</v>
      </c>
      <c r="AB183" s="3" t="e">
        <v>#N/A</v>
      </c>
      <c r="AC183" s="3" t="e">
        <v>#N/A</v>
      </c>
      <c r="AD183" s="3" t="e">
        <v>#N/A</v>
      </c>
      <c r="AE183" s="3" t="e">
        <v>#N/A</v>
      </c>
      <c r="AF183" s="3" t="e">
        <v>#N/A</v>
      </c>
      <c r="AG183" s="3" t="e">
        <v>#N/A</v>
      </c>
      <c r="AH183" s="3" t="e">
        <v>#N/A</v>
      </c>
      <c r="AI183" s="3" t="e">
        <v>#N/A</v>
      </c>
      <c r="AJ183" s="3" t="e">
        <v>#N/A</v>
      </c>
      <c r="AK183" s="3" t="e">
        <v>#N/A</v>
      </c>
      <c r="AL183" s="3" t="e">
        <v>#N/A</v>
      </c>
      <c r="AM183" s="3" t="e">
        <v>#N/A</v>
      </c>
      <c r="AN183" s="3" t="e">
        <v>#N/A</v>
      </c>
      <c r="AO183" s="3" t="e">
        <v>#N/A</v>
      </c>
      <c r="AP183" s="3" t="e">
        <v>#N/A</v>
      </c>
      <c r="AR183" s="3" t="e">
        <f t="shared" si="18"/>
        <v>#N/A</v>
      </c>
      <c r="AS183" s="3" t="e">
        <f t="shared" si="18"/>
        <v>#N/A</v>
      </c>
      <c r="AT183" s="3" t="e">
        <f t="shared" si="18"/>
        <v>#N/A</v>
      </c>
      <c r="AU183" s="3" t="e">
        <f t="shared" si="19"/>
        <v>#N/A</v>
      </c>
      <c r="AV183" s="3" t="e">
        <f t="shared" si="20"/>
        <v>#N/A</v>
      </c>
      <c r="AW183" s="3" t="e">
        <f t="shared" si="21"/>
        <v>#N/A</v>
      </c>
      <c r="AX183" s="3" t="e">
        <f t="shared" si="22"/>
        <v>#N/A</v>
      </c>
      <c r="AY183" s="3" t="e">
        <f t="shared" si="23"/>
        <v>#N/A</v>
      </c>
      <c r="AZ183" s="3" t="e">
        <f t="shared" si="24"/>
        <v>#N/A</v>
      </c>
      <c r="BA183" s="3" t="e">
        <f t="shared" si="25"/>
        <v>#N/A</v>
      </c>
      <c r="BB183" s="3" t="e">
        <f t="shared" si="26"/>
        <v>#N/A</v>
      </c>
    </row>
    <row r="184" spans="1:54" x14ac:dyDescent="0.25">
      <c r="A184" t="s">
        <v>795</v>
      </c>
      <c r="B184" s="21">
        <v>3.15</v>
      </c>
      <c r="C184" s="21">
        <v>3.2</v>
      </c>
      <c r="D184" s="35">
        <v>0.5</v>
      </c>
      <c r="E184" s="3">
        <v>157215</v>
      </c>
      <c r="F184" s="3">
        <v>244076</v>
      </c>
      <c r="G184" s="3">
        <v>302431</v>
      </c>
      <c r="H184" s="3">
        <v>303975</v>
      </c>
      <c r="I184" s="4" t="e">
        <v>#N/A</v>
      </c>
      <c r="J184" s="3"/>
      <c r="K184" s="3" t="e">
        <v>#N/A</v>
      </c>
      <c r="L184" s="3" t="e">
        <v>#N/A</v>
      </c>
      <c r="M184" s="3" t="e">
        <v>#N/A</v>
      </c>
      <c r="N184" s="3" t="e">
        <v>#N/A</v>
      </c>
      <c r="O184" s="3" t="e">
        <v>#N/A</v>
      </c>
      <c r="P184" s="3" t="e">
        <v>#N/A</v>
      </c>
      <c r="Q184" s="3" t="e">
        <v>#N/A</v>
      </c>
      <c r="R184" s="3" t="e">
        <v>#N/A</v>
      </c>
      <c r="S184" s="3" t="e">
        <v>#N/A</v>
      </c>
      <c r="T184" s="3" t="e">
        <v>#N/A</v>
      </c>
      <c r="U184" s="3" t="e">
        <v>#N/A</v>
      </c>
      <c r="V184" s="3" t="e">
        <v>#N/A</v>
      </c>
      <c r="W184" s="3" t="e">
        <v>#N/A</v>
      </c>
      <c r="X184" s="3" t="e">
        <v>#N/A</v>
      </c>
      <c r="Y184" s="3" t="e">
        <v>#N/A</v>
      </c>
      <c r="Z184" s="3" t="e">
        <v>#N/A</v>
      </c>
      <c r="AA184" s="3" t="e">
        <v>#N/A</v>
      </c>
      <c r="AB184" s="3" t="e">
        <v>#N/A</v>
      </c>
      <c r="AC184" s="3" t="e">
        <v>#N/A</v>
      </c>
      <c r="AD184" s="3" t="e">
        <v>#N/A</v>
      </c>
      <c r="AE184" s="3" t="e">
        <v>#N/A</v>
      </c>
      <c r="AF184" s="3" t="e">
        <v>#N/A</v>
      </c>
      <c r="AG184" s="3" t="e">
        <v>#N/A</v>
      </c>
      <c r="AH184" s="3" t="e">
        <v>#N/A</v>
      </c>
      <c r="AI184" s="3" t="e">
        <v>#N/A</v>
      </c>
      <c r="AJ184" s="3" t="e">
        <v>#N/A</v>
      </c>
      <c r="AK184" s="3" t="e">
        <v>#N/A</v>
      </c>
      <c r="AL184" s="3" t="e">
        <v>#N/A</v>
      </c>
      <c r="AM184" s="3" t="e">
        <v>#N/A</v>
      </c>
      <c r="AN184" s="3" t="e">
        <v>#N/A</v>
      </c>
      <c r="AO184" s="3" t="e">
        <v>#N/A</v>
      </c>
      <c r="AP184" s="3" t="e">
        <v>#N/A</v>
      </c>
      <c r="AR184" s="3" t="e">
        <f t="shared" si="18"/>
        <v>#N/A</v>
      </c>
      <c r="AS184" s="3" t="e">
        <f t="shared" si="18"/>
        <v>#N/A</v>
      </c>
      <c r="AT184" s="3" t="e">
        <f t="shared" si="18"/>
        <v>#N/A</v>
      </c>
      <c r="AU184" s="3" t="e">
        <f t="shared" si="19"/>
        <v>#N/A</v>
      </c>
      <c r="AV184" s="3" t="e">
        <f t="shared" si="20"/>
        <v>#N/A</v>
      </c>
      <c r="AW184" s="3" t="e">
        <f t="shared" si="21"/>
        <v>#N/A</v>
      </c>
      <c r="AX184" s="3" t="e">
        <f t="shared" si="22"/>
        <v>#N/A</v>
      </c>
      <c r="AY184" s="3" t="e">
        <f t="shared" si="23"/>
        <v>#N/A</v>
      </c>
      <c r="AZ184" s="3" t="e">
        <f t="shared" si="24"/>
        <v>#N/A</v>
      </c>
      <c r="BA184" s="3" t="e">
        <f t="shared" si="25"/>
        <v>#N/A</v>
      </c>
      <c r="BB184" s="3" t="e">
        <f t="shared" si="26"/>
        <v>#N/A</v>
      </c>
    </row>
    <row r="185" spans="1:54" x14ac:dyDescent="0.25">
      <c r="A185" t="s">
        <v>796</v>
      </c>
      <c r="B185" s="21">
        <v>3.15</v>
      </c>
      <c r="C185" s="21">
        <v>3.19</v>
      </c>
      <c r="D185" s="35">
        <v>0.5</v>
      </c>
      <c r="E185" s="3">
        <v>155955</v>
      </c>
      <c r="F185" s="3">
        <v>245420</v>
      </c>
      <c r="G185" s="3">
        <v>305556</v>
      </c>
      <c r="H185" s="3">
        <v>304691</v>
      </c>
      <c r="I185" s="4" t="e">
        <v>#N/A</v>
      </c>
      <c r="J185" s="3"/>
      <c r="K185" s="3" t="e">
        <v>#N/A</v>
      </c>
      <c r="L185" s="3" t="e">
        <v>#N/A</v>
      </c>
      <c r="M185" s="3" t="e">
        <v>#N/A</v>
      </c>
      <c r="N185" s="3" t="e">
        <v>#N/A</v>
      </c>
      <c r="O185" s="3" t="e">
        <v>#N/A</v>
      </c>
      <c r="P185" s="3" t="e">
        <v>#N/A</v>
      </c>
      <c r="Q185" s="3" t="e">
        <v>#N/A</v>
      </c>
      <c r="R185" s="3" t="e">
        <v>#N/A</v>
      </c>
      <c r="S185" s="3" t="e">
        <v>#N/A</v>
      </c>
      <c r="T185" s="3" t="e">
        <v>#N/A</v>
      </c>
      <c r="U185" s="3" t="e">
        <v>#N/A</v>
      </c>
      <c r="V185" s="3" t="e">
        <v>#N/A</v>
      </c>
      <c r="W185" s="3" t="e">
        <v>#N/A</v>
      </c>
      <c r="X185" s="3" t="e">
        <v>#N/A</v>
      </c>
      <c r="Y185" s="3" t="e">
        <v>#N/A</v>
      </c>
      <c r="Z185" s="3" t="e">
        <v>#N/A</v>
      </c>
      <c r="AA185" s="3" t="e">
        <v>#N/A</v>
      </c>
      <c r="AB185" s="3" t="e">
        <v>#N/A</v>
      </c>
      <c r="AC185" s="3" t="e">
        <v>#N/A</v>
      </c>
      <c r="AD185" s="3" t="e">
        <v>#N/A</v>
      </c>
      <c r="AE185" s="3" t="e">
        <v>#N/A</v>
      </c>
      <c r="AF185" s="3" t="e">
        <v>#N/A</v>
      </c>
      <c r="AG185" s="3" t="e">
        <v>#N/A</v>
      </c>
      <c r="AH185" s="3" t="e">
        <v>#N/A</v>
      </c>
      <c r="AI185" s="3" t="e">
        <v>#N/A</v>
      </c>
      <c r="AJ185" s="3" t="e">
        <v>#N/A</v>
      </c>
      <c r="AK185" s="3" t="e">
        <v>#N/A</v>
      </c>
      <c r="AL185" s="3" t="e">
        <v>#N/A</v>
      </c>
      <c r="AM185" s="3" t="e">
        <v>#N/A</v>
      </c>
      <c r="AN185" s="3" t="e">
        <v>#N/A</v>
      </c>
      <c r="AO185" s="3" t="e">
        <v>#N/A</v>
      </c>
      <c r="AP185" s="3" t="e">
        <v>#N/A</v>
      </c>
      <c r="AR185" s="3" t="e">
        <f t="shared" si="18"/>
        <v>#N/A</v>
      </c>
      <c r="AS185" s="3" t="e">
        <f t="shared" si="18"/>
        <v>#N/A</v>
      </c>
      <c r="AT185" s="3" t="e">
        <f t="shared" si="18"/>
        <v>#N/A</v>
      </c>
      <c r="AU185" s="3" t="e">
        <f t="shared" si="19"/>
        <v>#N/A</v>
      </c>
      <c r="AV185" s="3" t="e">
        <f t="shared" si="20"/>
        <v>#N/A</v>
      </c>
      <c r="AW185" s="3" t="e">
        <f t="shared" si="21"/>
        <v>#N/A</v>
      </c>
      <c r="AX185" s="3" t="e">
        <f t="shared" si="22"/>
        <v>#N/A</v>
      </c>
      <c r="AY185" s="3" t="e">
        <f t="shared" si="23"/>
        <v>#N/A</v>
      </c>
      <c r="AZ185" s="3" t="e">
        <f t="shared" si="24"/>
        <v>#N/A</v>
      </c>
      <c r="BA185" s="3" t="e">
        <f t="shared" si="25"/>
        <v>#N/A</v>
      </c>
      <c r="BB185" s="3" t="e">
        <f t="shared" si="26"/>
        <v>#N/A</v>
      </c>
    </row>
    <row r="186" spans="1:54" x14ac:dyDescent="0.25">
      <c r="A186" t="s">
        <v>797</v>
      </c>
      <c r="B186" s="21">
        <v>3.14</v>
      </c>
      <c r="C186" s="21">
        <v>3.19</v>
      </c>
      <c r="D186" s="35">
        <v>0.5</v>
      </c>
      <c r="E186" s="3">
        <v>156899</v>
      </c>
      <c r="F186" s="3">
        <v>243325</v>
      </c>
      <c r="G186" s="3">
        <v>307202</v>
      </c>
      <c r="H186" s="3">
        <v>307888</v>
      </c>
      <c r="I186" s="4" t="e">
        <v>#N/A</v>
      </c>
      <c r="J186" s="3"/>
      <c r="K186" s="3" t="e">
        <v>#N/A</v>
      </c>
      <c r="L186" s="3" t="e">
        <v>#N/A</v>
      </c>
      <c r="M186" s="3" t="e">
        <v>#N/A</v>
      </c>
      <c r="N186" s="3" t="e">
        <v>#N/A</v>
      </c>
      <c r="O186" s="3" t="e">
        <v>#N/A</v>
      </c>
      <c r="P186" s="3" t="e">
        <v>#N/A</v>
      </c>
      <c r="Q186" s="3" t="e">
        <v>#N/A</v>
      </c>
      <c r="R186" s="3" t="e">
        <v>#N/A</v>
      </c>
      <c r="S186" s="3" t="e">
        <v>#N/A</v>
      </c>
      <c r="T186" s="3" t="e">
        <v>#N/A</v>
      </c>
      <c r="U186" s="3" t="e">
        <v>#N/A</v>
      </c>
      <c r="V186" s="3" t="e">
        <v>#N/A</v>
      </c>
      <c r="W186" s="3" t="e">
        <v>#N/A</v>
      </c>
      <c r="X186" s="3" t="e">
        <v>#N/A</v>
      </c>
      <c r="Y186" s="3" t="e">
        <v>#N/A</v>
      </c>
      <c r="Z186" s="3" t="e">
        <v>#N/A</v>
      </c>
      <c r="AA186" s="3" t="e">
        <v>#N/A</v>
      </c>
      <c r="AB186" s="3" t="e">
        <v>#N/A</v>
      </c>
      <c r="AC186" s="3" t="e">
        <v>#N/A</v>
      </c>
      <c r="AD186" s="3" t="e">
        <v>#N/A</v>
      </c>
      <c r="AE186" s="3" t="e">
        <v>#N/A</v>
      </c>
      <c r="AF186" s="3" t="e">
        <v>#N/A</v>
      </c>
      <c r="AG186" s="3" t="e">
        <v>#N/A</v>
      </c>
      <c r="AH186" s="3" t="e">
        <v>#N/A</v>
      </c>
      <c r="AI186" s="3" t="e">
        <v>#N/A</v>
      </c>
      <c r="AJ186" s="3" t="e">
        <v>#N/A</v>
      </c>
      <c r="AK186" s="3" t="e">
        <v>#N/A</v>
      </c>
      <c r="AL186" s="3" t="e">
        <v>#N/A</v>
      </c>
      <c r="AM186" s="3" t="e">
        <v>#N/A</v>
      </c>
      <c r="AN186" s="3" t="e">
        <v>#N/A</v>
      </c>
      <c r="AO186" s="3" t="e">
        <v>#N/A</v>
      </c>
      <c r="AP186" s="3" t="e">
        <v>#N/A</v>
      </c>
      <c r="AR186" s="3" t="e">
        <f t="shared" si="18"/>
        <v>#N/A</v>
      </c>
      <c r="AS186" s="3" t="e">
        <f t="shared" si="18"/>
        <v>#N/A</v>
      </c>
      <c r="AT186" s="3" t="e">
        <f t="shared" si="18"/>
        <v>#N/A</v>
      </c>
      <c r="AU186" s="3" t="e">
        <f t="shared" si="19"/>
        <v>#N/A</v>
      </c>
      <c r="AV186" s="3" t="e">
        <f t="shared" si="20"/>
        <v>#N/A</v>
      </c>
      <c r="AW186" s="3" t="e">
        <f t="shared" si="21"/>
        <v>#N/A</v>
      </c>
      <c r="AX186" s="3" t="e">
        <f t="shared" si="22"/>
        <v>#N/A</v>
      </c>
      <c r="AY186" s="3" t="e">
        <f t="shared" si="23"/>
        <v>#N/A</v>
      </c>
      <c r="AZ186" s="3" t="e">
        <f t="shared" si="24"/>
        <v>#N/A</v>
      </c>
      <c r="BA186" s="3" t="e">
        <f t="shared" si="25"/>
        <v>#N/A</v>
      </c>
      <c r="BB186" s="3" t="e">
        <f t="shared" si="26"/>
        <v>#N/A</v>
      </c>
    </row>
    <row r="187" spans="1:54" x14ac:dyDescent="0.25">
      <c r="A187" t="s">
        <v>798</v>
      </c>
      <c r="B187" s="21">
        <v>3.15</v>
      </c>
      <c r="C187" s="21">
        <v>3.18</v>
      </c>
      <c r="D187" s="35">
        <v>0.5</v>
      </c>
      <c r="E187" s="3">
        <v>154686</v>
      </c>
      <c r="F187" s="3">
        <v>238628</v>
      </c>
      <c r="G187" s="3">
        <v>310956</v>
      </c>
      <c r="H187" s="3">
        <v>317408</v>
      </c>
      <c r="I187" s="4" t="e">
        <v>#N/A</v>
      </c>
      <c r="J187" s="3"/>
      <c r="K187" s="3" t="e">
        <v>#N/A</v>
      </c>
      <c r="L187" s="3" t="e">
        <v>#N/A</v>
      </c>
      <c r="M187" s="3" t="e">
        <v>#N/A</v>
      </c>
      <c r="N187" s="3" t="e">
        <v>#N/A</v>
      </c>
      <c r="O187" s="3" t="e">
        <v>#N/A</v>
      </c>
      <c r="P187" s="3" t="e">
        <v>#N/A</v>
      </c>
      <c r="Q187" s="3" t="e">
        <v>#N/A</v>
      </c>
      <c r="R187" s="3" t="e">
        <v>#N/A</v>
      </c>
      <c r="S187" s="3" t="e">
        <v>#N/A</v>
      </c>
      <c r="T187" s="3" t="e">
        <v>#N/A</v>
      </c>
      <c r="U187" s="3" t="e">
        <v>#N/A</v>
      </c>
      <c r="V187" s="3" t="e">
        <v>#N/A</v>
      </c>
      <c r="W187" s="3" t="e">
        <v>#N/A</v>
      </c>
      <c r="X187" s="3" t="e">
        <v>#N/A</v>
      </c>
      <c r="Y187" s="3" t="e">
        <v>#N/A</v>
      </c>
      <c r="Z187" s="3" t="e">
        <v>#N/A</v>
      </c>
      <c r="AA187" s="3" t="e">
        <v>#N/A</v>
      </c>
      <c r="AB187" s="3" t="e">
        <v>#N/A</v>
      </c>
      <c r="AC187" s="3" t="e">
        <v>#N/A</v>
      </c>
      <c r="AD187" s="3" t="e">
        <v>#N/A</v>
      </c>
      <c r="AE187" s="3" t="e">
        <v>#N/A</v>
      </c>
      <c r="AF187" s="3" t="e">
        <v>#N/A</v>
      </c>
      <c r="AG187" s="3" t="e">
        <v>#N/A</v>
      </c>
      <c r="AH187" s="3" t="e">
        <v>#N/A</v>
      </c>
      <c r="AI187" s="3" t="e">
        <v>#N/A</v>
      </c>
      <c r="AJ187" s="3" t="e">
        <v>#N/A</v>
      </c>
      <c r="AK187" s="3" t="e">
        <v>#N/A</v>
      </c>
      <c r="AL187" s="3" t="e">
        <v>#N/A</v>
      </c>
      <c r="AM187" s="3" t="e">
        <v>#N/A</v>
      </c>
      <c r="AN187" s="3" t="e">
        <v>#N/A</v>
      </c>
      <c r="AO187" s="3" t="e">
        <v>#N/A</v>
      </c>
      <c r="AP187" s="3" t="e">
        <v>#N/A</v>
      </c>
      <c r="AR187" s="3" t="e">
        <f t="shared" si="18"/>
        <v>#N/A</v>
      </c>
      <c r="AS187" s="3" t="e">
        <f t="shared" si="18"/>
        <v>#N/A</v>
      </c>
      <c r="AT187" s="3" t="e">
        <f t="shared" si="18"/>
        <v>#N/A</v>
      </c>
      <c r="AU187" s="3" t="e">
        <f t="shared" si="19"/>
        <v>#N/A</v>
      </c>
      <c r="AV187" s="3" t="e">
        <f t="shared" si="20"/>
        <v>#N/A</v>
      </c>
      <c r="AW187" s="3" t="e">
        <f t="shared" si="21"/>
        <v>#N/A</v>
      </c>
      <c r="AX187" s="3" t="e">
        <f t="shared" si="22"/>
        <v>#N/A</v>
      </c>
      <c r="AY187" s="3" t="e">
        <f t="shared" si="23"/>
        <v>#N/A</v>
      </c>
      <c r="AZ187" s="3" t="e">
        <f t="shared" si="24"/>
        <v>#N/A</v>
      </c>
      <c r="BA187" s="3" t="e">
        <f t="shared" si="25"/>
        <v>#N/A</v>
      </c>
      <c r="BB187" s="3" t="e">
        <f t="shared" si="26"/>
        <v>#N/A</v>
      </c>
    </row>
    <row r="188" spans="1:54" x14ac:dyDescent="0.25">
      <c r="A188" t="s">
        <v>799</v>
      </c>
      <c r="B188" s="21">
        <v>3.16</v>
      </c>
      <c r="C188" s="21">
        <v>3.17</v>
      </c>
      <c r="D188" s="35">
        <v>0.5</v>
      </c>
      <c r="E188" s="3">
        <v>154742</v>
      </c>
      <c r="F188" s="3">
        <v>238435</v>
      </c>
      <c r="G188" s="3">
        <v>315083</v>
      </c>
      <c r="H188" s="3">
        <v>310432</v>
      </c>
      <c r="I188" s="4" t="e">
        <v>#N/A</v>
      </c>
      <c r="J188" s="3"/>
      <c r="K188" s="3" t="e">
        <v>#N/A</v>
      </c>
      <c r="L188" s="3" t="e">
        <v>#N/A</v>
      </c>
      <c r="M188" s="3" t="e">
        <v>#N/A</v>
      </c>
      <c r="N188" s="3" t="e">
        <v>#N/A</v>
      </c>
      <c r="O188" s="3" t="e">
        <v>#N/A</v>
      </c>
      <c r="P188" s="3" t="e">
        <v>#N/A</v>
      </c>
      <c r="Q188" s="3" t="e">
        <v>#N/A</v>
      </c>
      <c r="R188" s="3" t="e">
        <v>#N/A</v>
      </c>
      <c r="S188" s="3" t="e">
        <v>#N/A</v>
      </c>
      <c r="T188" s="3" t="e">
        <v>#N/A</v>
      </c>
      <c r="U188" s="3" t="e">
        <v>#N/A</v>
      </c>
      <c r="V188" s="3" t="e">
        <v>#N/A</v>
      </c>
      <c r="W188" s="3" t="e">
        <v>#N/A</v>
      </c>
      <c r="X188" s="3" t="e">
        <v>#N/A</v>
      </c>
      <c r="Y188" s="3" t="e">
        <v>#N/A</v>
      </c>
      <c r="Z188" s="3" t="e">
        <v>#N/A</v>
      </c>
      <c r="AA188" s="3" t="e">
        <v>#N/A</v>
      </c>
      <c r="AB188" s="3" t="e">
        <v>#N/A</v>
      </c>
      <c r="AC188" s="3" t="e">
        <v>#N/A</v>
      </c>
      <c r="AD188" s="3" t="e">
        <v>#N/A</v>
      </c>
      <c r="AE188" s="3" t="e">
        <v>#N/A</v>
      </c>
      <c r="AF188" s="3" t="e">
        <v>#N/A</v>
      </c>
      <c r="AG188" s="3" t="e">
        <v>#N/A</v>
      </c>
      <c r="AH188" s="3" t="e">
        <v>#N/A</v>
      </c>
      <c r="AI188" s="3" t="e">
        <v>#N/A</v>
      </c>
      <c r="AJ188" s="3" t="e">
        <v>#N/A</v>
      </c>
      <c r="AK188" s="3" t="e">
        <v>#N/A</v>
      </c>
      <c r="AL188" s="3" t="e">
        <v>#N/A</v>
      </c>
      <c r="AM188" s="3" t="e">
        <v>#N/A</v>
      </c>
      <c r="AN188" s="3" t="e">
        <v>#N/A</v>
      </c>
      <c r="AO188" s="3" t="e">
        <v>#N/A</v>
      </c>
      <c r="AP188" s="3" t="e">
        <v>#N/A</v>
      </c>
      <c r="AR188" s="3" t="e">
        <f t="shared" si="18"/>
        <v>#N/A</v>
      </c>
      <c r="AS188" s="3" t="e">
        <f t="shared" si="18"/>
        <v>#N/A</v>
      </c>
      <c r="AT188" s="3" t="e">
        <f t="shared" si="18"/>
        <v>#N/A</v>
      </c>
      <c r="AU188" s="3" t="e">
        <f t="shared" si="19"/>
        <v>#N/A</v>
      </c>
      <c r="AV188" s="3" t="e">
        <f t="shared" si="20"/>
        <v>#N/A</v>
      </c>
      <c r="AW188" s="3" t="e">
        <f t="shared" si="21"/>
        <v>#N/A</v>
      </c>
      <c r="AX188" s="3" t="e">
        <f t="shared" si="22"/>
        <v>#N/A</v>
      </c>
      <c r="AY188" s="3" t="e">
        <f t="shared" si="23"/>
        <v>#N/A</v>
      </c>
      <c r="AZ188" s="3" t="e">
        <f t="shared" si="24"/>
        <v>#N/A</v>
      </c>
      <c r="BA188" s="3" t="e">
        <f t="shared" si="25"/>
        <v>#N/A</v>
      </c>
      <c r="BB188" s="3" t="e">
        <f t="shared" si="26"/>
        <v>#N/A</v>
      </c>
    </row>
    <row r="189" spans="1:54" x14ac:dyDescent="0.25">
      <c r="A189" t="s">
        <v>800</v>
      </c>
      <c r="B189" s="21">
        <v>3.15</v>
      </c>
      <c r="C189" s="21">
        <v>3.15</v>
      </c>
      <c r="D189" s="35">
        <v>0.5</v>
      </c>
      <c r="E189" s="3">
        <v>154406</v>
      </c>
      <c r="F189" s="3">
        <v>240233</v>
      </c>
      <c r="G189" s="3">
        <v>316523</v>
      </c>
      <c r="H189" s="3">
        <v>310851</v>
      </c>
      <c r="I189" s="4" t="e">
        <v>#N/A</v>
      </c>
      <c r="J189" s="3"/>
      <c r="K189" s="3" t="e">
        <v>#N/A</v>
      </c>
      <c r="L189" s="3" t="e">
        <v>#N/A</v>
      </c>
      <c r="M189" s="3" t="e">
        <v>#N/A</v>
      </c>
      <c r="N189" s="3" t="e">
        <v>#N/A</v>
      </c>
      <c r="O189" s="3" t="e">
        <v>#N/A</v>
      </c>
      <c r="P189" s="3" t="e">
        <v>#N/A</v>
      </c>
      <c r="Q189" s="3" t="e">
        <v>#N/A</v>
      </c>
      <c r="R189" s="3" t="e">
        <v>#N/A</v>
      </c>
      <c r="S189" s="3" t="e">
        <v>#N/A</v>
      </c>
      <c r="T189" s="3" t="e">
        <v>#N/A</v>
      </c>
      <c r="U189" s="3" t="e">
        <v>#N/A</v>
      </c>
      <c r="V189" s="3" t="e">
        <v>#N/A</v>
      </c>
      <c r="W189" s="3" t="e">
        <v>#N/A</v>
      </c>
      <c r="X189" s="3" t="e">
        <v>#N/A</v>
      </c>
      <c r="Y189" s="3" t="e">
        <v>#N/A</v>
      </c>
      <c r="Z189" s="3" t="e">
        <v>#N/A</v>
      </c>
      <c r="AA189" s="3" t="e">
        <v>#N/A</v>
      </c>
      <c r="AB189" s="3" t="e">
        <v>#N/A</v>
      </c>
      <c r="AC189" s="3" t="e">
        <v>#N/A</v>
      </c>
      <c r="AD189" s="3" t="e">
        <v>#N/A</v>
      </c>
      <c r="AE189" s="3" t="e">
        <v>#N/A</v>
      </c>
      <c r="AF189" s="3" t="e">
        <v>#N/A</v>
      </c>
      <c r="AG189" s="3" t="e">
        <v>#N/A</v>
      </c>
      <c r="AH189" s="3" t="e">
        <v>#N/A</v>
      </c>
      <c r="AI189" s="3" t="e">
        <v>#N/A</v>
      </c>
      <c r="AJ189" s="3" t="e">
        <v>#N/A</v>
      </c>
      <c r="AK189" s="3" t="e">
        <v>#N/A</v>
      </c>
      <c r="AL189" s="3" t="e">
        <v>#N/A</v>
      </c>
      <c r="AM189" s="3" t="e">
        <v>#N/A</v>
      </c>
      <c r="AN189" s="3" t="e">
        <v>#N/A</v>
      </c>
      <c r="AO189" s="3" t="e">
        <v>#N/A</v>
      </c>
      <c r="AP189" s="3" t="e">
        <v>#N/A</v>
      </c>
      <c r="AR189" s="3" t="e">
        <f t="shared" si="18"/>
        <v>#N/A</v>
      </c>
      <c r="AS189" s="3" t="e">
        <f t="shared" si="18"/>
        <v>#N/A</v>
      </c>
      <c r="AT189" s="3" t="e">
        <f t="shared" si="18"/>
        <v>#N/A</v>
      </c>
      <c r="AU189" s="3" t="e">
        <f t="shared" si="19"/>
        <v>#N/A</v>
      </c>
      <c r="AV189" s="3" t="e">
        <f t="shared" si="20"/>
        <v>#N/A</v>
      </c>
      <c r="AW189" s="3" t="e">
        <f t="shared" si="21"/>
        <v>#N/A</v>
      </c>
      <c r="AX189" s="3" t="e">
        <f t="shared" si="22"/>
        <v>#N/A</v>
      </c>
      <c r="AY189" s="3" t="e">
        <f t="shared" si="23"/>
        <v>#N/A</v>
      </c>
      <c r="AZ189" s="3" t="e">
        <f t="shared" si="24"/>
        <v>#N/A</v>
      </c>
      <c r="BA189" s="3" t="e">
        <f t="shared" si="25"/>
        <v>#N/A</v>
      </c>
      <c r="BB189" s="3" t="e">
        <f t="shared" si="26"/>
        <v>#N/A</v>
      </c>
    </row>
    <row r="190" spans="1:54" x14ac:dyDescent="0.25">
      <c r="A190" t="s">
        <v>801</v>
      </c>
      <c r="B190" s="21">
        <v>3.15</v>
      </c>
      <c r="C190" s="21">
        <v>3.14</v>
      </c>
      <c r="D190" s="35">
        <v>0.5</v>
      </c>
      <c r="E190" s="3">
        <v>155513</v>
      </c>
      <c r="F190" s="3">
        <v>242908</v>
      </c>
      <c r="G190" s="3">
        <v>323654</v>
      </c>
      <c r="H190" s="3">
        <v>326003</v>
      </c>
      <c r="I190" s="4" t="e">
        <v>#N/A</v>
      </c>
      <c r="J190" s="3"/>
      <c r="K190" s="3" t="e">
        <v>#N/A</v>
      </c>
      <c r="L190" s="3" t="e">
        <v>#N/A</v>
      </c>
      <c r="M190" s="3" t="e">
        <v>#N/A</v>
      </c>
      <c r="N190" s="3" t="e">
        <v>#N/A</v>
      </c>
      <c r="O190" s="3" t="e">
        <v>#N/A</v>
      </c>
      <c r="P190" s="3" t="e">
        <v>#N/A</v>
      </c>
      <c r="Q190" s="3" t="e">
        <v>#N/A</v>
      </c>
      <c r="R190" s="3" t="e">
        <v>#N/A</v>
      </c>
      <c r="S190" s="3" t="e">
        <v>#N/A</v>
      </c>
      <c r="T190" s="3" t="e">
        <v>#N/A</v>
      </c>
      <c r="U190" s="3" t="e">
        <v>#N/A</v>
      </c>
      <c r="V190" s="3" t="e">
        <v>#N/A</v>
      </c>
      <c r="W190" s="3" t="e">
        <v>#N/A</v>
      </c>
      <c r="X190" s="3" t="e">
        <v>#N/A</v>
      </c>
      <c r="Y190" s="3" t="e">
        <v>#N/A</v>
      </c>
      <c r="Z190" s="3" t="e">
        <v>#N/A</v>
      </c>
      <c r="AA190" s="3" t="e">
        <v>#N/A</v>
      </c>
      <c r="AB190" s="3" t="e">
        <v>#N/A</v>
      </c>
      <c r="AC190" s="3" t="e">
        <v>#N/A</v>
      </c>
      <c r="AD190" s="3" t="e">
        <v>#N/A</v>
      </c>
      <c r="AE190" s="3" t="e">
        <v>#N/A</v>
      </c>
      <c r="AF190" s="3" t="e">
        <v>#N/A</v>
      </c>
      <c r="AG190" s="3" t="e">
        <v>#N/A</v>
      </c>
      <c r="AH190" s="3" t="e">
        <v>#N/A</v>
      </c>
      <c r="AI190" s="3" t="e">
        <v>#N/A</v>
      </c>
      <c r="AJ190" s="3" t="e">
        <v>#N/A</v>
      </c>
      <c r="AK190" s="3" t="e">
        <v>#N/A</v>
      </c>
      <c r="AL190" s="3" t="e">
        <v>#N/A</v>
      </c>
      <c r="AM190" s="3" t="e">
        <v>#N/A</v>
      </c>
      <c r="AN190" s="3" t="e">
        <v>#N/A</v>
      </c>
      <c r="AO190" s="3" t="e">
        <v>#N/A</v>
      </c>
      <c r="AP190" s="3" t="e">
        <v>#N/A</v>
      </c>
      <c r="AR190" s="3" t="e">
        <f t="shared" si="18"/>
        <v>#N/A</v>
      </c>
      <c r="AS190" s="3" t="e">
        <f t="shared" si="18"/>
        <v>#N/A</v>
      </c>
      <c r="AT190" s="3" t="e">
        <f t="shared" si="18"/>
        <v>#N/A</v>
      </c>
      <c r="AU190" s="3" t="e">
        <f t="shared" si="19"/>
        <v>#N/A</v>
      </c>
      <c r="AV190" s="3" t="e">
        <f t="shared" si="20"/>
        <v>#N/A</v>
      </c>
      <c r="AW190" s="3" t="e">
        <f t="shared" si="21"/>
        <v>#N/A</v>
      </c>
      <c r="AX190" s="3" t="e">
        <f t="shared" si="22"/>
        <v>#N/A</v>
      </c>
      <c r="AY190" s="3" t="e">
        <f t="shared" si="23"/>
        <v>#N/A</v>
      </c>
      <c r="AZ190" s="3" t="e">
        <f t="shared" si="24"/>
        <v>#N/A</v>
      </c>
      <c r="BA190" s="3" t="e">
        <f t="shared" si="25"/>
        <v>#N/A</v>
      </c>
      <c r="BB190" s="3" t="e">
        <f t="shared" si="26"/>
        <v>#N/A</v>
      </c>
    </row>
    <row r="191" spans="1:54" x14ac:dyDescent="0.25">
      <c r="A191" t="s">
        <v>802</v>
      </c>
      <c r="B191" s="21">
        <v>3.13</v>
      </c>
      <c r="C191" s="21">
        <v>3.12</v>
      </c>
      <c r="D191" s="35">
        <v>0.5</v>
      </c>
      <c r="E191" s="3">
        <v>156999</v>
      </c>
      <c r="F191" s="3">
        <v>238996</v>
      </c>
      <c r="G191" s="3">
        <v>322110</v>
      </c>
      <c r="H191" s="3">
        <v>319569</v>
      </c>
      <c r="I191" s="4" t="e">
        <v>#N/A</v>
      </c>
      <c r="J191" s="3"/>
      <c r="K191" s="3" t="e">
        <v>#N/A</v>
      </c>
      <c r="L191" s="3" t="e">
        <v>#N/A</v>
      </c>
      <c r="M191" s="3" t="e">
        <v>#N/A</v>
      </c>
      <c r="N191" s="3" t="e">
        <v>#N/A</v>
      </c>
      <c r="O191" s="3" t="e">
        <v>#N/A</v>
      </c>
      <c r="P191" s="3" t="e">
        <v>#N/A</v>
      </c>
      <c r="Q191" s="3" t="e">
        <v>#N/A</v>
      </c>
      <c r="R191" s="3" t="e">
        <v>#N/A</v>
      </c>
      <c r="S191" s="3" t="e">
        <v>#N/A</v>
      </c>
      <c r="T191" s="3" t="e">
        <v>#N/A</v>
      </c>
      <c r="U191" s="3" t="e">
        <v>#N/A</v>
      </c>
      <c r="V191" s="3" t="e">
        <v>#N/A</v>
      </c>
      <c r="W191" s="3" t="e">
        <v>#N/A</v>
      </c>
      <c r="X191" s="3" t="e">
        <v>#N/A</v>
      </c>
      <c r="Y191" s="3" t="e">
        <v>#N/A</v>
      </c>
      <c r="Z191" s="3" t="e">
        <v>#N/A</v>
      </c>
      <c r="AA191" s="3" t="e">
        <v>#N/A</v>
      </c>
      <c r="AB191" s="3" t="e">
        <v>#N/A</v>
      </c>
      <c r="AC191" s="3" t="e">
        <v>#N/A</v>
      </c>
      <c r="AD191" s="3" t="e">
        <v>#N/A</v>
      </c>
      <c r="AE191" s="3" t="e">
        <v>#N/A</v>
      </c>
      <c r="AF191" s="3" t="e">
        <v>#N/A</v>
      </c>
      <c r="AG191" s="3" t="e">
        <v>#N/A</v>
      </c>
      <c r="AH191" s="3" t="e">
        <v>#N/A</v>
      </c>
      <c r="AI191" s="3" t="e">
        <v>#N/A</v>
      </c>
      <c r="AJ191" s="3" t="e">
        <v>#N/A</v>
      </c>
      <c r="AK191" s="3" t="e">
        <v>#N/A</v>
      </c>
      <c r="AL191" s="3" t="e">
        <v>#N/A</v>
      </c>
      <c r="AM191" s="3" t="e">
        <v>#N/A</v>
      </c>
      <c r="AN191" s="3" t="e">
        <v>#N/A</v>
      </c>
      <c r="AO191" s="3" t="e">
        <v>#N/A</v>
      </c>
      <c r="AP191" s="3" t="e">
        <v>#N/A</v>
      </c>
      <c r="AR191" s="3" t="e">
        <f t="shared" si="18"/>
        <v>#N/A</v>
      </c>
      <c r="AS191" s="3" t="e">
        <f t="shared" si="18"/>
        <v>#N/A</v>
      </c>
      <c r="AT191" s="3" t="e">
        <f t="shared" si="18"/>
        <v>#N/A</v>
      </c>
      <c r="AU191" s="3" t="e">
        <f t="shared" si="19"/>
        <v>#N/A</v>
      </c>
      <c r="AV191" s="3" t="e">
        <f t="shared" si="20"/>
        <v>#N/A</v>
      </c>
      <c r="AW191" s="3" t="e">
        <f t="shared" si="21"/>
        <v>#N/A</v>
      </c>
      <c r="AX191" s="3" t="e">
        <f t="shared" si="22"/>
        <v>#N/A</v>
      </c>
      <c r="AY191" s="3" t="e">
        <f t="shared" si="23"/>
        <v>#N/A</v>
      </c>
      <c r="AZ191" s="3" t="e">
        <f t="shared" si="24"/>
        <v>#N/A</v>
      </c>
      <c r="BA191" s="3" t="e">
        <f t="shared" si="25"/>
        <v>#N/A</v>
      </c>
      <c r="BB191" s="3" t="e">
        <f t="shared" si="26"/>
        <v>#N/A</v>
      </c>
    </row>
    <row r="192" spans="1:54" x14ac:dyDescent="0.25">
      <c r="A192" t="s">
        <v>803</v>
      </c>
      <c r="B192" s="21">
        <v>3.14</v>
      </c>
      <c r="C192" s="21">
        <v>3.11</v>
      </c>
      <c r="D192" s="35">
        <v>0.5</v>
      </c>
      <c r="E192" s="3">
        <v>151231</v>
      </c>
      <c r="F192" s="3">
        <v>244322</v>
      </c>
      <c r="G192" s="3">
        <v>324191</v>
      </c>
      <c r="H192" s="3">
        <v>321362</v>
      </c>
      <c r="I192" s="4" t="e">
        <v>#N/A</v>
      </c>
      <c r="J192" s="3"/>
      <c r="K192" s="3" t="e">
        <v>#N/A</v>
      </c>
      <c r="L192" s="3" t="e">
        <v>#N/A</v>
      </c>
      <c r="M192" s="3" t="e">
        <v>#N/A</v>
      </c>
      <c r="N192" s="3" t="e">
        <v>#N/A</v>
      </c>
      <c r="O192" s="3" t="e">
        <v>#N/A</v>
      </c>
      <c r="P192" s="3" t="e">
        <v>#N/A</v>
      </c>
      <c r="Q192" s="3" t="e">
        <v>#N/A</v>
      </c>
      <c r="R192" s="3" t="e">
        <v>#N/A</v>
      </c>
      <c r="S192" s="3" t="e">
        <v>#N/A</v>
      </c>
      <c r="T192" s="3" t="e">
        <v>#N/A</v>
      </c>
      <c r="U192" s="3" t="e">
        <v>#N/A</v>
      </c>
      <c r="V192" s="3" t="e">
        <v>#N/A</v>
      </c>
      <c r="W192" s="3" t="e">
        <v>#N/A</v>
      </c>
      <c r="X192" s="3" t="e">
        <v>#N/A</v>
      </c>
      <c r="Y192" s="3" t="e">
        <v>#N/A</v>
      </c>
      <c r="Z192" s="3" t="e">
        <v>#N/A</v>
      </c>
      <c r="AA192" s="3" t="e">
        <v>#N/A</v>
      </c>
      <c r="AB192" s="3" t="e">
        <v>#N/A</v>
      </c>
      <c r="AC192" s="3" t="e">
        <v>#N/A</v>
      </c>
      <c r="AD192" s="3" t="e">
        <v>#N/A</v>
      </c>
      <c r="AE192" s="3" t="e">
        <v>#N/A</v>
      </c>
      <c r="AF192" s="3" t="e">
        <v>#N/A</v>
      </c>
      <c r="AG192" s="3" t="e">
        <v>#N/A</v>
      </c>
      <c r="AH192" s="3" t="e">
        <v>#N/A</v>
      </c>
      <c r="AI192" s="3" t="e">
        <v>#N/A</v>
      </c>
      <c r="AJ192" s="3" t="e">
        <v>#N/A</v>
      </c>
      <c r="AK192" s="3" t="e">
        <v>#N/A</v>
      </c>
      <c r="AL192" s="3" t="e">
        <v>#N/A</v>
      </c>
      <c r="AM192" s="3" t="e">
        <v>#N/A</v>
      </c>
      <c r="AN192" s="3" t="e">
        <v>#N/A</v>
      </c>
      <c r="AO192" s="3" t="e">
        <v>#N/A</v>
      </c>
      <c r="AP192" s="3" t="e">
        <v>#N/A</v>
      </c>
      <c r="AR192" s="3" t="e">
        <f t="shared" si="18"/>
        <v>#N/A</v>
      </c>
      <c r="AS192" s="3" t="e">
        <f t="shared" si="18"/>
        <v>#N/A</v>
      </c>
      <c r="AT192" s="3" t="e">
        <f t="shared" si="18"/>
        <v>#N/A</v>
      </c>
      <c r="AU192" s="3" t="e">
        <f t="shared" si="19"/>
        <v>#N/A</v>
      </c>
      <c r="AV192" s="3" t="e">
        <f t="shared" si="20"/>
        <v>#N/A</v>
      </c>
      <c r="AW192" s="3" t="e">
        <f t="shared" si="21"/>
        <v>#N/A</v>
      </c>
      <c r="AX192" s="3" t="e">
        <f t="shared" si="22"/>
        <v>#N/A</v>
      </c>
      <c r="AY192" s="3" t="e">
        <f t="shared" si="23"/>
        <v>#N/A</v>
      </c>
      <c r="AZ192" s="3" t="e">
        <f t="shared" si="24"/>
        <v>#N/A</v>
      </c>
      <c r="BA192" s="3" t="e">
        <f t="shared" si="25"/>
        <v>#N/A</v>
      </c>
      <c r="BB192" s="3" t="e">
        <f t="shared" si="26"/>
        <v>#N/A</v>
      </c>
    </row>
    <row r="193" spans="1:54" x14ac:dyDescent="0.25">
      <c r="A193" t="s">
        <v>804</v>
      </c>
      <c r="B193" s="21">
        <v>3.14</v>
      </c>
      <c r="C193" s="21">
        <v>3.09</v>
      </c>
      <c r="D193" s="35">
        <v>0.5</v>
      </c>
      <c r="E193" s="3">
        <v>151255</v>
      </c>
      <c r="F193" s="3">
        <v>240888</v>
      </c>
      <c r="G193" s="3">
        <v>325790</v>
      </c>
      <c r="H193" s="3">
        <v>328787</v>
      </c>
      <c r="I193" s="4" t="e">
        <v>#N/A</v>
      </c>
      <c r="J193" s="3"/>
      <c r="K193" s="3" t="e">
        <v>#N/A</v>
      </c>
      <c r="L193" s="3" t="e">
        <v>#N/A</v>
      </c>
      <c r="M193" s="3" t="e">
        <v>#N/A</v>
      </c>
      <c r="N193" s="3" t="e">
        <v>#N/A</v>
      </c>
      <c r="O193" s="3" t="e">
        <v>#N/A</v>
      </c>
      <c r="P193" s="3" t="e">
        <v>#N/A</v>
      </c>
      <c r="Q193" s="3" t="e">
        <v>#N/A</v>
      </c>
      <c r="R193" s="3" t="e">
        <v>#N/A</v>
      </c>
      <c r="S193" s="3" t="e">
        <v>#N/A</v>
      </c>
      <c r="T193" s="3" t="e">
        <v>#N/A</v>
      </c>
      <c r="U193" s="3" t="e">
        <v>#N/A</v>
      </c>
      <c r="V193" s="3" t="e">
        <v>#N/A</v>
      </c>
      <c r="W193" s="3" t="e">
        <v>#N/A</v>
      </c>
      <c r="X193" s="3" t="e">
        <v>#N/A</v>
      </c>
      <c r="Y193" s="3" t="e">
        <v>#N/A</v>
      </c>
      <c r="Z193" s="3" t="e">
        <v>#N/A</v>
      </c>
      <c r="AA193" s="3" t="e">
        <v>#N/A</v>
      </c>
      <c r="AB193" s="3" t="e">
        <v>#N/A</v>
      </c>
      <c r="AC193" s="3" t="e">
        <v>#N/A</v>
      </c>
      <c r="AD193" s="3" t="e">
        <v>#N/A</v>
      </c>
      <c r="AE193" s="3" t="e">
        <v>#N/A</v>
      </c>
      <c r="AF193" s="3" t="e">
        <v>#N/A</v>
      </c>
      <c r="AG193" s="3" t="e">
        <v>#N/A</v>
      </c>
      <c r="AH193" s="3" t="e">
        <v>#N/A</v>
      </c>
      <c r="AI193" s="3" t="e">
        <v>#N/A</v>
      </c>
      <c r="AJ193" s="3" t="e">
        <v>#N/A</v>
      </c>
      <c r="AK193" s="3" t="e">
        <v>#N/A</v>
      </c>
      <c r="AL193" s="3" t="e">
        <v>#N/A</v>
      </c>
      <c r="AM193" s="3" t="e">
        <v>#N/A</v>
      </c>
      <c r="AN193" s="3" t="e">
        <v>#N/A</v>
      </c>
      <c r="AO193" s="3" t="e">
        <v>#N/A</v>
      </c>
      <c r="AP193" s="3" t="e">
        <v>#N/A</v>
      </c>
      <c r="AR193" s="3" t="e">
        <f t="shared" si="18"/>
        <v>#N/A</v>
      </c>
      <c r="AS193" s="3" t="e">
        <f t="shared" si="18"/>
        <v>#N/A</v>
      </c>
      <c r="AT193" s="3" t="e">
        <f t="shared" si="18"/>
        <v>#N/A</v>
      </c>
      <c r="AU193" s="3" t="e">
        <f t="shared" si="19"/>
        <v>#N/A</v>
      </c>
      <c r="AV193" s="3" t="e">
        <f t="shared" si="20"/>
        <v>#N/A</v>
      </c>
      <c r="AW193" s="3" t="e">
        <f t="shared" si="21"/>
        <v>#N/A</v>
      </c>
      <c r="AX193" s="3" t="e">
        <f t="shared" si="22"/>
        <v>#N/A</v>
      </c>
      <c r="AY193" s="3" t="e">
        <f t="shared" si="23"/>
        <v>#N/A</v>
      </c>
      <c r="AZ193" s="3" t="e">
        <f t="shared" si="24"/>
        <v>#N/A</v>
      </c>
      <c r="BA193" s="3" t="e">
        <f t="shared" si="25"/>
        <v>#N/A</v>
      </c>
      <c r="BB193" s="3" t="e">
        <f t="shared" si="26"/>
        <v>#N/A</v>
      </c>
    </row>
    <row r="194" spans="1:54" x14ac:dyDescent="0.25">
      <c r="A194" t="s">
        <v>805</v>
      </c>
      <c r="B194" s="21">
        <v>3.13</v>
      </c>
      <c r="C194" s="21">
        <v>3.07</v>
      </c>
      <c r="D194" s="35">
        <v>0.5</v>
      </c>
      <c r="E194" s="3">
        <v>152303</v>
      </c>
      <c r="F194" s="3">
        <v>241054</v>
      </c>
      <c r="G194" s="3">
        <v>331255</v>
      </c>
      <c r="H194" s="3">
        <v>330372</v>
      </c>
      <c r="I194" s="4" t="e">
        <v>#N/A</v>
      </c>
      <c r="J194" s="3"/>
      <c r="K194" s="3" t="e">
        <v>#N/A</v>
      </c>
      <c r="L194" s="3" t="e">
        <v>#N/A</v>
      </c>
      <c r="M194" s="3" t="e">
        <v>#N/A</v>
      </c>
      <c r="N194" s="3" t="e">
        <v>#N/A</v>
      </c>
      <c r="O194" s="3" t="e">
        <v>#N/A</v>
      </c>
      <c r="P194" s="3" t="e">
        <v>#N/A</v>
      </c>
      <c r="Q194" s="3" t="e">
        <v>#N/A</v>
      </c>
      <c r="R194" s="3" t="e">
        <v>#N/A</v>
      </c>
      <c r="S194" s="3" t="e">
        <v>#N/A</v>
      </c>
      <c r="T194" s="3" t="e">
        <v>#N/A</v>
      </c>
      <c r="U194" s="3" t="e">
        <v>#N/A</v>
      </c>
      <c r="V194" s="3" t="e">
        <v>#N/A</v>
      </c>
      <c r="W194" s="3" t="e">
        <v>#N/A</v>
      </c>
      <c r="X194" s="3" t="e">
        <v>#N/A</v>
      </c>
      <c r="Y194" s="3" t="e">
        <v>#N/A</v>
      </c>
      <c r="Z194" s="3" t="e">
        <v>#N/A</v>
      </c>
      <c r="AA194" s="3" t="e">
        <v>#N/A</v>
      </c>
      <c r="AB194" s="3" t="e">
        <v>#N/A</v>
      </c>
      <c r="AC194" s="3" t="e">
        <v>#N/A</v>
      </c>
      <c r="AD194" s="3" t="e">
        <v>#N/A</v>
      </c>
      <c r="AE194" s="3" t="e">
        <v>#N/A</v>
      </c>
      <c r="AF194" s="3" t="e">
        <v>#N/A</v>
      </c>
      <c r="AG194" s="3" t="e">
        <v>#N/A</v>
      </c>
      <c r="AH194" s="3" t="e">
        <v>#N/A</v>
      </c>
      <c r="AI194" s="3" t="e">
        <v>#N/A</v>
      </c>
      <c r="AJ194" s="3" t="e">
        <v>#N/A</v>
      </c>
      <c r="AK194" s="3" t="e">
        <v>#N/A</v>
      </c>
      <c r="AL194" s="3" t="e">
        <v>#N/A</v>
      </c>
      <c r="AM194" s="3" t="e">
        <v>#N/A</v>
      </c>
      <c r="AN194" s="3" t="e">
        <v>#N/A</v>
      </c>
      <c r="AO194" s="3" t="e">
        <v>#N/A</v>
      </c>
      <c r="AP194" s="3" t="e">
        <v>#N/A</v>
      </c>
      <c r="AR194" s="3" t="e">
        <f t="shared" si="18"/>
        <v>#N/A</v>
      </c>
      <c r="AS194" s="3" t="e">
        <f t="shared" si="18"/>
        <v>#N/A</v>
      </c>
      <c r="AT194" s="3" t="e">
        <f t="shared" si="18"/>
        <v>#N/A</v>
      </c>
      <c r="AU194" s="3" t="e">
        <f t="shared" si="19"/>
        <v>#N/A</v>
      </c>
      <c r="AV194" s="3" t="e">
        <f t="shared" si="20"/>
        <v>#N/A</v>
      </c>
      <c r="AW194" s="3" t="e">
        <f t="shared" si="21"/>
        <v>#N/A</v>
      </c>
      <c r="AX194" s="3" t="e">
        <f t="shared" si="22"/>
        <v>#N/A</v>
      </c>
      <c r="AY194" s="3" t="e">
        <f t="shared" si="23"/>
        <v>#N/A</v>
      </c>
      <c r="AZ194" s="3" t="e">
        <f t="shared" si="24"/>
        <v>#N/A</v>
      </c>
      <c r="BA194" s="3" t="e">
        <f t="shared" si="25"/>
        <v>#N/A</v>
      </c>
      <c r="BB194" s="3" t="e">
        <f t="shared" si="26"/>
        <v>#N/A</v>
      </c>
    </row>
    <row r="195" spans="1:54" x14ac:dyDescent="0.25">
      <c r="A195" t="s">
        <v>806</v>
      </c>
      <c r="B195" s="21">
        <v>3.14</v>
      </c>
      <c r="C195" s="21">
        <v>3.06</v>
      </c>
      <c r="D195" s="35">
        <v>0.5</v>
      </c>
      <c r="E195" s="3">
        <v>151503</v>
      </c>
      <c r="F195" s="3">
        <v>243318</v>
      </c>
      <c r="G195" s="3">
        <v>331845</v>
      </c>
      <c r="H195" s="3">
        <v>329060</v>
      </c>
      <c r="I195" s="4" t="e">
        <v>#N/A</v>
      </c>
      <c r="J195" s="3"/>
      <c r="K195" s="3" t="e">
        <v>#N/A</v>
      </c>
      <c r="L195" s="3" t="e">
        <v>#N/A</v>
      </c>
      <c r="M195" s="3" t="e">
        <v>#N/A</v>
      </c>
      <c r="N195" s="3" t="e">
        <v>#N/A</v>
      </c>
      <c r="O195" s="3" t="e">
        <v>#N/A</v>
      </c>
      <c r="P195" s="3" t="e">
        <v>#N/A</v>
      </c>
      <c r="Q195" s="3" t="e">
        <v>#N/A</v>
      </c>
      <c r="R195" s="3" t="e">
        <v>#N/A</v>
      </c>
      <c r="S195" s="3" t="e">
        <v>#N/A</v>
      </c>
      <c r="T195" s="3" t="e">
        <v>#N/A</v>
      </c>
      <c r="U195" s="3" t="e">
        <v>#N/A</v>
      </c>
      <c r="V195" s="3" t="e">
        <v>#N/A</v>
      </c>
      <c r="W195" s="3" t="e">
        <v>#N/A</v>
      </c>
      <c r="X195" s="3" t="e">
        <v>#N/A</v>
      </c>
      <c r="Y195" s="3" t="e">
        <v>#N/A</v>
      </c>
      <c r="Z195" s="3" t="e">
        <v>#N/A</v>
      </c>
      <c r="AA195" s="3" t="e">
        <v>#N/A</v>
      </c>
      <c r="AB195" s="3" t="e">
        <v>#N/A</v>
      </c>
      <c r="AC195" s="3" t="e">
        <v>#N/A</v>
      </c>
      <c r="AD195" s="3" t="e">
        <v>#N/A</v>
      </c>
      <c r="AE195" s="3" t="e">
        <v>#N/A</v>
      </c>
      <c r="AF195" s="3" t="e">
        <v>#N/A</v>
      </c>
      <c r="AG195" s="3" t="e">
        <v>#N/A</v>
      </c>
      <c r="AH195" s="3" t="e">
        <v>#N/A</v>
      </c>
      <c r="AI195" s="3" t="e">
        <v>#N/A</v>
      </c>
      <c r="AJ195" s="3" t="e">
        <v>#N/A</v>
      </c>
      <c r="AK195" s="3" t="e">
        <v>#N/A</v>
      </c>
      <c r="AL195" s="3" t="e">
        <v>#N/A</v>
      </c>
      <c r="AM195" s="3" t="e">
        <v>#N/A</v>
      </c>
      <c r="AN195" s="3" t="e">
        <v>#N/A</v>
      </c>
      <c r="AO195" s="3" t="e">
        <v>#N/A</v>
      </c>
      <c r="AP195" s="3" t="e">
        <v>#N/A</v>
      </c>
      <c r="AR195" s="3" t="e">
        <f t="shared" si="18"/>
        <v>#N/A</v>
      </c>
      <c r="AS195" s="3" t="e">
        <f t="shared" si="18"/>
        <v>#N/A</v>
      </c>
      <c r="AT195" s="3" t="e">
        <f t="shared" si="18"/>
        <v>#N/A</v>
      </c>
      <c r="AU195" s="3" t="e">
        <f t="shared" si="19"/>
        <v>#N/A</v>
      </c>
      <c r="AV195" s="3" t="e">
        <f t="shared" si="20"/>
        <v>#N/A</v>
      </c>
      <c r="AW195" s="3" t="e">
        <f t="shared" si="21"/>
        <v>#N/A</v>
      </c>
      <c r="AX195" s="3" t="e">
        <f t="shared" si="22"/>
        <v>#N/A</v>
      </c>
      <c r="AY195" s="3" t="e">
        <f t="shared" si="23"/>
        <v>#N/A</v>
      </c>
      <c r="AZ195" s="3" t="e">
        <f t="shared" si="24"/>
        <v>#N/A</v>
      </c>
      <c r="BA195" s="3" t="e">
        <f t="shared" si="25"/>
        <v>#N/A</v>
      </c>
      <c r="BB195" s="3" t="e">
        <f t="shared" si="26"/>
        <v>#N/A</v>
      </c>
    </row>
    <row r="196" spans="1:54" x14ac:dyDescent="0.25">
      <c r="A196" t="s">
        <v>807</v>
      </c>
      <c r="B196" s="21">
        <v>3.12</v>
      </c>
      <c r="C196" s="21">
        <v>3.04</v>
      </c>
      <c r="D196" s="35">
        <v>0.5</v>
      </c>
      <c r="E196" s="3">
        <v>151386</v>
      </c>
      <c r="F196" s="3">
        <v>242321</v>
      </c>
      <c r="G196" s="3">
        <v>336749</v>
      </c>
      <c r="H196" s="3">
        <v>338666</v>
      </c>
      <c r="I196" s="4" t="e">
        <v>#N/A</v>
      </c>
      <c r="J196" s="3"/>
      <c r="K196" s="3" t="e">
        <v>#N/A</v>
      </c>
      <c r="L196" s="3" t="e">
        <v>#N/A</v>
      </c>
      <c r="M196" s="3" t="e">
        <v>#N/A</v>
      </c>
      <c r="N196" s="3" t="e">
        <v>#N/A</v>
      </c>
      <c r="O196" s="3" t="e">
        <v>#N/A</v>
      </c>
      <c r="P196" s="3" t="e">
        <v>#N/A</v>
      </c>
      <c r="Q196" s="3" t="e">
        <v>#N/A</v>
      </c>
      <c r="R196" s="3" t="e">
        <v>#N/A</v>
      </c>
      <c r="S196" s="3" t="e">
        <v>#N/A</v>
      </c>
      <c r="T196" s="3" t="e">
        <v>#N/A</v>
      </c>
      <c r="U196" s="3" t="e">
        <v>#N/A</v>
      </c>
      <c r="V196" s="3" t="e">
        <v>#N/A</v>
      </c>
      <c r="W196" s="3" t="e">
        <v>#N/A</v>
      </c>
      <c r="X196" s="3" t="e">
        <v>#N/A</v>
      </c>
      <c r="Y196" s="3" t="e">
        <v>#N/A</v>
      </c>
      <c r="Z196" s="3" t="e">
        <v>#N/A</v>
      </c>
      <c r="AA196" s="3" t="e">
        <v>#N/A</v>
      </c>
      <c r="AB196" s="3" t="e">
        <v>#N/A</v>
      </c>
      <c r="AC196" s="3" t="e">
        <v>#N/A</v>
      </c>
      <c r="AD196" s="3" t="e">
        <v>#N/A</v>
      </c>
      <c r="AE196" s="3" t="e">
        <v>#N/A</v>
      </c>
      <c r="AF196" s="3" t="e">
        <v>#N/A</v>
      </c>
      <c r="AG196" s="3" t="e">
        <v>#N/A</v>
      </c>
      <c r="AH196" s="3" t="e">
        <v>#N/A</v>
      </c>
      <c r="AI196" s="3" t="e">
        <v>#N/A</v>
      </c>
      <c r="AJ196" s="3" t="e">
        <v>#N/A</v>
      </c>
      <c r="AK196" s="3" t="e">
        <v>#N/A</v>
      </c>
      <c r="AL196" s="3" t="e">
        <v>#N/A</v>
      </c>
      <c r="AM196" s="3" t="e">
        <v>#N/A</v>
      </c>
      <c r="AN196" s="3" t="e">
        <v>#N/A</v>
      </c>
      <c r="AO196" s="3" t="e">
        <v>#N/A</v>
      </c>
      <c r="AP196" s="3" t="e">
        <v>#N/A</v>
      </c>
      <c r="AR196" s="3" t="e">
        <f t="shared" si="18"/>
        <v>#N/A</v>
      </c>
      <c r="AS196" s="3" t="e">
        <f t="shared" si="18"/>
        <v>#N/A</v>
      </c>
      <c r="AT196" s="3" t="e">
        <f t="shared" si="18"/>
        <v>#N/A</v>
      </c>
      <c r="AU196" s="3" t="e">
        <f t="shared" si="19"/>
        <v>#N/A</v>
      </c>
      <c r="AV196" s="3" t="e">
        <f t="shared" si="20"/>
        <v>#N/A</v>
      </c>
      <c r="AW196" s="3" t="e">
        <f t="shared" si="21"/>
        <v>#N/A</v>
      </c>
      <c r="AX196" s="3" t="e">
        <f t="shared" si="22"/>
        <v>#N/A</v>
      </c>
      <c r="AY196" s="3" t="e">
        <f t="shared" si="23"/>
        <v>#N/A</v>
      </c>
      <c r="AZ196" s="3" t="e">
        <f t="shared" si="24"/>
        <v>#N/A</v>
      </c>
      <c r="BA196" s="3" t="e">
        <f t="shared" si="25"/>
        <v>#N/A</v>
      </c>
      <c r="BB196" s="3" t="e">
        <f t="shared" si="26"/>
        <v>#N/A</v>
      </c>
    </row>
    <row r="197" spans="1:54" x14ac:dyDescent="0.25">
      <c r="A197" t="s">
        <v>808</v>
      </c>
      <c r="B197" s="21">
        <v>3.12</v>
      </c>
      <c r="C197" s="21">
        <v>3.03</v>
      </c>
      <c r="D197" s="35">
        <v>0.5</v>
      </c>
      <c r="E197" s="3">
        <v>151735</v>
      </c>
      <c r="F197" s="3">
        <v>244043</v>
      </c>
      <c r="G197" s="3">
        <v>341435</v>
      </c>
      <c r="H197" s="3">
        <v>340294</v>
      </c>
      <c r="I197" s="4" t="e">
        <v>#N/A</v>
      </c>
      <c r="J197" s="3"/>
      <c r="K197" s="3" t="e">
        <v>#N/A</v>
      </c>
      <c r="L197" s="3" t="e">
        <v>#N/A</v>
      </c>
      <c r="M197" s="3" t="e">
        <v>#N/A</v>
      </c>
      <c r="N197" s="3" t="e">
        <v>#N/A</v>
      </c>
      <c r="O197" s="3" t="e">
        <v>#N/A</v>
      </c>
      <c r="P197" s="3" t="e">
        <v>#N/A</v>
      </c>
      <c r="Q197" s="3" t="e">
        <v>#N/A</v>
      </c>
      <c r="R197" s="3" t="e">
        <v>#N/A</v>
      </c>
      <c r="S197" s="3" t="e">
        <v>#N/A</v>
      </c>
      <c r="T197" s="3" t="e">
        <v>#N/A</v>
      </c>
      <c r="U197" s="3" t="e">
        <v>#N/A</v>
      </c>
      <c r="V197" s="3" t="e">
        <v>#N/A</v>
      </c>
      <c r="W197" s="3" t="e">
        <v>#N/A</v>
      </c>
      <c r="X197" s="3" t="e">
        <v>#N/A</v>
      </c>
      <c r="Y197" s="3" t="e">
        <v>#N/A</v>
      </c>
      <c r="Z197" s="3" t="e">
        <v>#N/A</v>
      </c>
      <c r="AA197" s="3" t="e">
        <v>#N/A</v>
      </c>
      <c r="AB197" s="3" t="e">
        <v>#N/A</v>
      </c>
      <c r="AC197" s="3" t="e">
        <v>#N/A</v>
      </c>
      <c r="AD197" s="3" t="e">
        <v>#N/A</v>
      </c>
      <c r="AE197" s="3" t="e">
        <v>#N/A</v>
      </c>
      <c r="AF197" s="3" t="e">
        <v>#N/A</v>
      </c>
      <c r="AG197" s="3" t="e">
        <v>#N/A</v>
      </c>
      <c r="AH197" s="3" t="e">
        <v>#N/A</v>
      </c>
      <c r="AI197" s="3" t="e">
        <v>#N/A</v>
      </c>
      <c r="AJ197" s="3" t="e">
        <v>#N/A</v>
      </c>
      <c r="AK197" s="3" t="e">
        <v>#N/A</v>
      </c>
      <c r="AL197" s="3" t="e">
        <v>#N/A</v>
      </c>
      <c r="AM197" s="3" t="e">
        <v>#N/A</v>
      </c>
      <c r="AN197" s="3" t="e">
        <v>#N/A</v>
      </c>
      <c r="AO197" s="3" t="e">
        <v>#N/A</v>
      </c>
      <c r="AP197" s="3" t="e">
        <v>#N/A</v>
      </c>
      <c r="AR197" s="3" t="e">
        <f t="shared" si="18"/>
        <v>#N/A</v>
      </c>
      <c r="AS197" s="3" t="e">
        <f t="shared" si="18"/>
        <v>#N/A</v>
      </c>
      <c r="AT197" s="3" t="e">
        <f t="shared" si="18"/>
        <v>#N/A</v>
      </c>
      <c r="AU197" s="3" t="e">
        <f t="shared" si="19"/>
        <v>#N/A</v>
      </c>
      <c r="AV197" s="3" t="e">
        <f t="shared" si="20"/>
        <v>#N/A</v>
      </c>
      <c r="AW197" s="3" t="e">
        <f t="shared" si="21"/>
        <v>#N/A</v>
      </c>
      <c r="AX197" s="3" t="e">
        <f t="shared" si="22"/>
        <v>#N/A</v>
      </c>
      <c r="AY197" s="3" t="e">
        <f t="shared" si="23"/>
        <v>#N/A</v>
      </c>
      <c r="AZ197" s="3" t="e">
        <f t="shared" si="24"/>
        <v>#N/A</v>
      </c>
      <c r="BA197" s="3" t="e">
        <f t="shared" si="25"/>
        <v>#N/A</v>
      </c>
      <c r="BB197" s="3" t="e">
        <f t="shared" si="26"/>
        <v>#N/A</v>
      </c>
    </row>
    <row r="198" spans="1:54" x14ac:dyDescent="0.25">
      <c r="A198" t="s">
        <v>809</v>
      </c>
      <c r="B198" s="21">
        <v>3.12</v>
      </c>
      <c r="C198" s="21">
        <v>3.01</v>
      </c>
      <c r="D198" s="35">
        <v>0.5</v>
      </c>
      <c r="E198" s="3">
        <v>150489</v>
      </c>
      <c r="F198" s="3">
        <v>244154</v>
      </c>
      <c r="G198" s="3">
        <v>346425</v>
      </c>
      <c r="H198" s="3">
        <v>348174</v>
      </c>
      <c r="I198" s="4" t="e">
        <v>#N/A</v>
      </c>
      <c r="J198" s="3"/>
      <c r="K198" s="3" t="e">
        <v>#N/A</v>
      </c>
      <c r="L198" s="3" t="e">
        <v>#N/A</v>
      </c>
      <c r="M198" s="3" t="e">
        <v>#N/A</v>
      </c>
      <c r="N198" s="3" t="e">
        <v>#N/A</v>
      </c>
      <c r="O198" s="3" t="e">
        <v>#N/A</v>
      </c>
      <c r="P198" s="3" t="e">
        <v>#N/A</v>
      </c>
      <c r="Q198" s="3" t="e">
        <v>#N/A</v>
      </c>
      <c r="R198" s="3" t="e">
        <v>#N/A</v>
      </c>
      <c r="S198" s="3" t="e">
        <v>#N/A</v>
      </c>
      <c r="T198" s="3" t="e">
        <v>#N/A</v>
      </c>
      <c r="U198" s="3" t="e">
        <v>#N/A</v>
      </c>
      <c r="V198" s="3" t="e">
        <v>#N/A</v>
      </c>
      <c r="W198" s="3" t="e">
        <v>#N/A</v>
      </c>
      <c r="X198" s="3" t="e">
        <v>#N/A</v>
      </c>
      <c r="Y198" s="3" t="e">
        <v>#N/A</v>
      </c>
      <c r="Z198" s="3" t="e">
        <v>#N/A</v>
      </c>
      <c r="AA198" s="3" t="e">
        <v>#N/A</v>
      </c>
      <c r="AB198" s="3" t="e">
        <v>#N/A</v>
      </c>
      <c r="AC198" s="3" t="e">
        <v>#N/A</v>
      </c>
      <c r="AD198" s="3" t="e">
        <v>#N/A</v>
      </c>
      <c r="AE198" s="3" t="e">
        <v>#N/A</v>
      </c>
      <c r="AF198" s="3" t="e">
        <v>#N/A</v>
      </c>
      <c r="AG198" s="3" t="e">
        <v>#N/A</v>
      </c>
      <c r="AH198" s="3" t="e">
        <v>#N/A</v>
      </c>
      <c r="AI198" s="3" t="e">
        <v>#N/A</v>
      </c>
      <c r="AJ198" s="3" t="e">
        <v>#N/A</v>
      </c>
      <c r="AK198" s="3" t="e">
        <v>#N/A</v>
      </c>
      <c r="AL198" s="3" t="e">
        <v>#N/A</v>
      </c>
      <c r="AM198" s="3" t="e">
        <v>#N/A</v>
      </c>
      <c r="AN198" s="3" t="e">
        <v>#N/A</v>
      </c>
      <c r="AO198" s="3" t="e">
        <v>#N/A</v>
      </c>
      <c r="AP198" s="3" t="e">
        <v>#N/A</v>
      </c>
      <c r="AR198" s="3" t="e">
        <f t="shared" si="18"/>
        <v>#N/A</v>
      </c>
      <c r="AS198" s="3" t="e">
        <f t="shared" si="18"/>
        <v>#N/A</v>
      </c>
      <c r="AT198" s="3" t="e">
        <f t="shared" si="18"/>
        <v>#N/A</v>
      </c>
      <c r="AU198" s="3" t="e">
        <f t="shared" si="19"/>
        <v>#N/A</v>
      </c>
      <c r="AV198" s="3" t="e">
        <f t="shared" si="20"/>
        <v>#N/A</v>
      </c>
      <c r="AW198" s="3" t="e">
        <f t="shared" si="21"/>
        <v>#N/A</v>
      </c>
      <c r="AX198" s="3" t="e">
        <f t="shared" si="22"/>
        <v>#N/A</v>
      </c>
      <c r="AY198" s="3" t="e">
        <f t="shared" si="23"/>
        <v>#N/A</v>
      </c>
      <c r="AZ198" s="3" t="e">
        <f t="shared" si="24"/>
        <v>#N/A</v>
      </c>
      <c r="BA198" s="3" t="e">
        <f t="shared" si="25"/>
        <v>#N/A</v>
      </c>
      <c r="BB198" s="3" t="e">
        <f t="shared" si="26"/>
        <v>#N/A</v>
      </c>
    </row>
    <row r="199" spans="1:54" x14ac:dyDescent="0.25">
      <c r="A199" t="s">
        <v>810</v>
      </c>
      <c r="B199" s="21">
        <v>3.13</v>
      </c>
      <c r="C199" s="21">
        <v>2.99</v>
      </c>
      <c r="D199" s="35">
        <v>0.5</v>
      </c>
      <c r="E199" s="3">
        <v>152041</v>
      </c>
      <c r="F199" s="3">
        <v>241360</v>
      </c>
      <c r="G199" s="3">
        <v>343353</v>
      </c>
      <c r="H199" s="3">
        <v>352158</v>
      </c>
      <c r="I199" s="4" t="e">
        <v>#N/A</v>
      </c>
      <c r="J199" s="3"/>
      <c r="K199" s="3" t="e">
        <v>#N/A</v>
      </c>
      <c r="L199" s="3" t="e">
        <v>#N/A</v>
      </c>
      <c r="M199" s="3" t="e">
        <v>#N/A</v>
      </c>
      <c r="N199" s="3" t="e">
        <v>#N/A</v>
      </c>
      <c r="O199" s="3" t="e">
        <v>#N/A</v>
      </c>
      <c r="P199" s="3" t="e">
        <v>#N/A</v>
      </c>
      <c r="Q199" s="3" t="e">
        <v>#N/A</v>
      </c>
      <c r="R199" s="3" t="e">
        <v>#N/A</v>
      </c>
      <c r="S199" s="3" t="e">
        <v>#N/A</v>
      </c>
      <c r="T199" s="3" t="e">
        <v>#N/A</v>
      </c>
      <c r="U199" s="3" t="e">
        <v>#N/A</v>
      </c>
      <c r="V199" s="3" t="e">
        <v>#N/A</v>
      </c>
      <c r="W199" s="3" t="e">
        <v>#N/A</v>
      </c>
      <c r="X199" s="3" t="e">
        <v>#N/A</v>
      </c>
      <c r="Y199" s="3" t="e">
        <v>#N/A</v>
      </c>
      <c r="Z199" s="3" t="e">
        <v>#N/A</v>
      </c>
      <c r="AA199" s="3" t="e">
        <v>#N/A</v>
      </c>
      <c r="AB199" s="3" t="e">
        <v>#N/A</v>
      </c>
      <c r="AC199" s="3" t="e">
        <v>#N/A</v>
      </c>
      <c r="AD199" s="3" t="e">
        <v>#N/A</v>
      </c>
      <c r="AE199" s="3" t="e">
        <v>#N/A</v>
      </c>
      <c r="AF199" s="3" t="e">
        <v>#N/A</v>
      </c>
      <c r="AG199" s="3" t="e">
        <v>#N/A</v>
      </c>
      <c r="AH199" s="3" t="e">
        <v>#N/A</v>
      </c>
      <c r="AI199" s="3" t="e">
        <v>#N/A</v>
      </c>
      <c r="AJ199" s="3" t="e">
        <v>#N/A</v>
      </c>
      <c r="AK199" s="3" t="e">
        <v>#N/A</v>
      </c>
      <c r="AL199" s="3" t="e">
        <v>#N/A</v>
      </c>
      <c r="AM199" s="3" t="e">
        <v>#N/A</v>
      </c>
      <c r="AN199" s="3" t="e">
        <v>#N/A</v>
      </c>
      <c r="AO199" s="3" t="e">
        <v>#N/A</v>
      </c>
      <c r="AP199" s="3" t="e">
        <v>#N/A</v>
      </c>
      <c r="AR199" s="3" t="e">
        <f t="shared" si="18"/>
        <v>#N/A</v>
      </c>
      <c r="AS199" s="3" t="e">
        <f t="shared" si="18"/>
        <v>#N/A</v>
      </c>
      <c r="AT199" s="3" t="e">
        <f t="shared" si="18"/>
        <v>#N/A</v>
      </c>
      <c r="AU199" s="3" t="e">
        <f t="shared" si="19"/>
        <v>#N/A</v>
      </c>
      <c r="AV199" s="3" t="e">
        <f t="shared" si="20"/>
        <v>#N/A</v>
      </c>
      <c r="AW199" s="3" t="e">
        <f t="shared" si="21"/>
        <v>#N/A</v>
      </c>
      <c r="AX199" s="3" t="e">
        <f t="shared" si="22"/>
        <v>#N/A</v>
      </c>
      <c r="AY199" s="3" t="e">
        <f t="shared" si="23"/>
        <v>#N/A</v>
      </c>
      <c r="AZ199" s="3" t="e">
        <f t="shared" si="24"/>
        <v>#N/A</v>
      </c>
      <c r="BA199" s="3" t="e">
        <f t="shared" si="25"/>
        <v>#N/A</v>
      </c>
      <c r="BB199" s="3" t="e">
        <f t="shared" si="26"/>
        <v>#N/A</v>
      </c>
    </row>
    <row r="200" spans="1:54" x14ac:dyDescent="0.25">
      <c r="A200" t="s">
        <v>811</v>
      </c>
      <c r="B200" s="21">
        <v>3.16</v>
      </c>
      <c r="C200" s="21">
        <v>2.96</v>
      </c>
      <c r="D200" s="35">
        <v>0.5</v>
      </c>
      <c r="E200" s="3">
        <v>150819</v>
      </c>
      <c r="F200" s="3">
        <v>247584</v>
      </c>
      <c r="G200" s="3">
        <v>347433</v>
      </c>
      <c r="H200" s="3">
        <v>342278</v>
      </c>
      <c r="I200" s="4" t="e">
        <v>#N/A</v>
      </c>
      <c r="J200" s="3"/>
      <c r="K200" s="3">
        <v>11900</v>
      </c>
      <c r="L200" s="3">
        <v>837</v>
      </c>
      <c r="M200" s="3">
        <v>8049</v>
      </c>
      <c r="N200" s="3">
        <v>2362</v>
      </c>
      <c r="O200" s="3">
        <v>16155</v>
      </c>
      <c r="P200" s="3">
        <v>9485</v>
      </c>
      <c r="Q200" s="3">
        <v>13301</v>
      </c>
      <c r="R200" s="3">
        <v>10283</v>
      </c>
      <c r="S200" s="3">
        <v>6220</v>
      </c>
      <c r="T200" s="3">
        <v>60996</v>
      </c>
      <c r="U200" s="3">
        <v>48391</v>
      </c>
      <c r="V200" s="3">
        <v>2485</v>
      </c>
      <c r="W200" s="3">
        <v>687</v>
      </c>
      <c r="X200" s="3">
        <v>3411</v>
      </c>
      <c r="Y200" s="3">
        <v>12741</v>
      </c>
      <c r="Z200" s="3">
        <v>3877</v>
      </c>
      <c r="AA200" s="3">
        <v>2365</v>
      </c>
      <c r="AB200" s="3">
        <v>4780</v>
      </c>
      <c r="AC200" s="3">
        <v>19604</v>
      </c>
      <c r="AD200" s="3">
        <v>11651</v>
      </c>
      <c r="AE200" s="3">
        <v>15752</v>
      </c>
      <c r="AF200" s="3">
        <v>6055</v>
      </c>
      <c r="AG200" s="3">
        <v>24233</v>
      </c>
      <c r="AH200" s="3">
        <v>11540</v>
      </c>
      <c r="AI200" s="3">
        <v>22319</v>
      </c>
      <c r="AJ200" s="3">
        <v>108296</v>
      </c>
      <c r="AK200" s="3">
        <v>77618</v>
      </c>
      <c r="AL200" s="3">
        <v>3958</v>
      </c>
      <c r="AM200" s="3">
        <v>8927</v>
      </c>
      <c r="AN200" s="3">
        <v>6849</v>
      </c>
      <c r="AO200" s="3">
        <v>7061</v>
      </c>
      <c r="AP200" s="3">
        <v>4207</v>
      </c>
      <c r="AR200" s="3">
        <f t="shared" si="18"/>
        <v>27653</v>
      </c>
      <c r="AS200" s="3">
        <f t="shared" si="18"/>
        <v>14013</v>
      </c>
      <c r="AT200" s="3">
        <f t="shared" si="18"/>
        <v>31907</v>
      </c>
      <c r="AU200" s="3">
        <f t="shared" si="19"/>
        <v>37534</v>
      </c>
      <c r="AV200" s="3">
        <f t="shared" si="20"/>
        <v>21823</v>
      </c>
      <c r="AW200" s="3">
        <f t="shared" si="21"/>
        <v>28539</v>
      </c>
      <c r="AX200" s="3">
        <f t="shared" si="22"/>
        <v>169292</v>
      </c>
      <c r="AY200" s="3">
        <f t="shared" si="23"/>
        <v>10260</v>
      </c>
      <c r="AZ200" s="3">
        <f t="shared" si="24"/>
        <v>19802</v>
      </c>
      <c r="BA200" s="3">
        <f t="shared" si="25"/>
        <v>8084</v>
      </c>
      <c r="BB200" s="3">
        <f t="shared" si="26"/>
        <v>304948</v>
      </c>
    </row>
    <row r="201" spans="1:54" x14ac:dyDescent="0.25">
      <c r="A201" t="s">
        <v>812</v>
      </c>
      <c r="B201" s="21">
        <v>3.15</v>
      </c>
      <c r="C201" s="21">
        <v>2.95</v>
      </c>
      <c r="D201" s="35">
        <v>0.5</v>
      </c>
      <c r="E201" s="3">
        <v>149262</v>
      </c>
      <c r="F201" s="3">
        <v>253175</v>
      </c>
      <c r="G201" s="3">
        <v>347792</v>
      </c>
      <c r="H201" s="3">
        <v>341106</v>
      </c>
      <c r="I201" s="4" t="e">
        <v>#N/A</v>
      </c>
      <c r="J201" s="3"/>
      <c r="K201" s="3">
        <v>11809</v>
      </c>
      <c r="L201" s="3">
        <v>911</v>
      </c>
      <c r="M201" s="3">
        <v>8068</v>
      </c>
      <c r="N201" s="3">
        <v>2466</v>
      </c>
      <c r="O201" s="3">
        <v>15929</v>
      </c>
      <c r="P201" s="3">
        <v>9464</v>
      </c>
      <c r="Q201" s="3">
        <v>13534</v>
      </c>
      <c r="R201" s="3">
        <v>9873</v>
      </c>
      <c r="S201" s="3">
        <v>6232</v>
      </c>
      <c r="T201" s="3">
        <v>59761</v>
      </c>
      <c r="U201" s="3">
        <v>47102</v>
      </c>
      <c r="V201" s="3">
        <v>2493</v>
      </c>
      <c r="W201" s="3">
        <v>699</v>
      </c>
      <c r="X201" s="3">
        <v>3422</v>
      </c>
      <c r="Y201" s="3">
        <v>12684</v>
      </c>
      <c r="Z201" s="3">
        <v>3874</v>
      </c>
      <c r="AA201" s="3">
        <v>2407</v>
      </c>
      <c r="AB201" s="3">
        <v>4886</v>
      </c>
      <c r="AC201" s="3">
        <v>20297</v>
      </c>
      <c r="AD201" s="3">
        <v>12039</v>
      </c>
      <c r="AE201" s="3">
        <v>17050</v>
      </c>
      <c r="AF201" s="3">
        <v>6794</v>
      </c>
      <c r="AG201" s="3">
        <v>25949</v>
      </c>
      <c r="AH201" s="3">
        <v>11981</v>
      </c>
      <c r="AI201" s="3">
        <v>22083</v>
      </c>
      <c r="AJ201" s="3">
        <v>109666</v>
      </c>
      <c r="AK201" s="3">
        <v>78681</v>
      </c>
      <c r="AL201" s="3">
        <v>3331</v>
      </c>
      <c r="AM201" s="3">
        <v>8558</v>
      </c>
      <c r="AN201" s="3">
        <v>6890</v>
      </c>
      <c r="AO201" s="3">
        <v>7143</v>
      </c>
      <c r="AP201" s="3">
        <v>4228</v>
      </c>
      <c r="AR201" s="3">
        <f t="shared" ref="AR201:AT264" si="27">+M201+AC201</f>
        <v>28365</v>
      </c>
      <c r="AS201" s="3">
        <f t="shared" si="27"/>
        <v>14505</v>
      </c>
      <c r="AT201" s="3">
        <f t="shared" si="27"/>
        <v>32979</v>
      </c>
      <c r="AU201" s="3">
        <f t="shared" ref="AU201:AU264" si="28">+Q201+AG201</f>
        <v>39483</v>
      </c>
      <c r="AV201" s="3">
        <f t="shared" ref="AV201:AV264" si="29">+R201+AH201</f>
        <v>21854</v>
      </c>
      <c r="AW201" s="3">
        <f t="shared" ref="AW201:AW264" si="30">+S201+AI201</f>
        <v>28315</v>
      </c>
      <c r="AX201" s="3">
        <f t="shared" ref="AX201:AX264" si="31">+T201+AJ201</f>
        <v>169427</v>
      </c>
      <c r="AY201" s="3">
        <f t="shared" ref="AY201:AY264" si="32">+X201+AN201</f>
        <v>10312</v>
      </c>
      <c r="AZ201" s="3">
        <f t="shared" ref="AZ201:AZ264" si="33">+Y201+AO201</f>
        <v>19827</v>
      </c>
      <c r="BA201" s="3">
        <f t="shared" ref="BA201:BA264" si="34">+Z201+AP201</f>
        <v>8102</v>
      </c>
      <c r="BB201" s="3">
        <f t="shared" ref="BB201:BB264" si="35">SUM(Q201:T201,W201:Z201,AG201:AJ201,AM201:AP201)</f>
        <v>306577</v>
      </c>
    </row>
    <row r="202" spans="1:54" x14ac:dyDescent="0.25">
      <c r="A202" t="s">
        <v>813</v>
      </c>
      <c r="B202" s="21">
        <v>3.13</v>
      </c>
      <c r="C202" s="21">
        <v>2.94</v>
      </c>
      <c r="D202" s="35">
        <v>0.5</v>
      </c>
      <c r="E202" s="3">
        <v>149119</v>
      </c>
      <c r="F202" s="3">
        <v>251484</v>
      </c>
      <c r="G202" s="3">
        <v>349767</v>
      </c>
      <c r="H202" s="3">
        <v>352929</v>
      </c>
      <c r="I202" s="4" t="e">
        <v>#N/A</v>
      </c>
      <c r="J202" s="3"/>
      <c r="K202" s="3">
        <v>11870</v>
      </c>
      <c r="L202" s="3">
        <v>942</v>
      </c>
      <c r="M202" s="3">
        <v>8083</v>
      </c>
      <c r="N202" s="3">
        <v>2372</v>
      </c>
      <c r="O202" s="3">
        <v>15501</v>
      </c>
      <c r="P202" s="3">
        <v>9002</v>
      </c>
      <c r="Q202" s="3">
        <v>13394</v>
      </c>
      <c r="R202" s="3">
        <v>9937</v>
      </c>
      <c r="S202" s="3">
        <v>5934</v>
      </c>
      <c r="T202" s="3">
        <v>60288</v>
      </c>
      <c r="U202" s="3">
        <v>47380</v>
      </c>
      <c r="V202" s="3">
        <v>2487</v>
      </c>
      <c r="W202" s="3">
        <v>696</v>
      </c>
      <c r="X202" s="3">
        <v>3522</v>
      </c>
      <c r="Y202" s="3">
        <v>12735</v>
      </c>
      <c r="Z202" s="3">
        <v>3844</v>
      </c>
      <c r="AA202" s="3">
        <v>2421</v>
      </c>
      <c r="AB202" s="3">
        <v>4845</v>
      </c>
      <c r="AC202" s="3">
        <v>20043</v>
      </c>
      <c r="AD202" s="3">
        <v>12398</v>
      </c>
      <c r="AE202" s="3">
        <v>15614</v>
      </c>
      <c r="AF202" s="3">
        <v>5467</v>
      </c>
      <c r="AG202" s="3">
        <v>25925</v>
      </c>
      <c r="AH202" s="3">
        <v>12165</v>
      </c>
      <c r="AI202" s="3">
        <v>19389</v>
      </c>
      <c r="AJ202" s="3">
        <v>112834</v>
      </c>
      <c r="AK202" s="3">
        <v>81102</v>
      </c>
      <c r="AL202" s="3">
        <v>3773</v>
      </c>
      <c r="AM202" s="3">
        <v>7568</v>
      </c>
      <c r="AN202" s="3">
        <v>6794</v>
      </c>
      <c r="AO202" s="3">
        <v>7125</v>
      </c>
      <c r="AP202" s="3">
        <v>4364</v>
      </c>
      <c r="AR202" s="3">
        <f t="shared" si="27"/>
        <v>28126</v>
      </c>
      <c r="AS202" s="3">
        <f t="shared" si="27"/>
        <v>14770</v>
      </c>
      <c r="AT202" s="3">
        <f t="shared" si="27"/>
        <v>31115</v>
      </c>
      <c r="AU202" s="3">
        <f t="shared" si="28"/>
        <v>39319</v>
      </c>
      <c r="AV202" s="3">
        <f t="shared" si="29"/>
        <v>22102</v>
      </c>
      <c r="AW202" s="3">
        <f t="shared" si="30"/>
        <v>25323</v>
      </c>
      <c r="AX202" s="3">
        <f t="shared" si="31"/>
        <v>173122</v>
      </c>
      <c r="AY202" s="3">
        <f t="shared" si="32"/>
        <v>10316</v>
      </c>
      <c r="AZ202" s="3">
        <f t="shared" si="33"/>
        <v>19860</v>
      </c>
      <c r="BA202" s="3">
        <f t="shared" si="34"/>
        <v>8208</v>
      </c>
      <c r="BB202" s="3">
        <f t="shared" si="35"/>
        <v>306514</v>
      </c>
    </row>
    <row r="203" spans="1:54" x14ac:dyDescent="0.25">
      <c r="A203" t="s">
        <v>814</v>
      </c>
      <c r="B203" s="21">
        <v>3.13</v>
      </c>
      <c r="C203" s="21">
        <v>2.92</v>
      </c>
      <c r="D203" s="35">
        <v>0.5</v>
      </c>
      <c r="E203" s="3">
        <v>149218</v>
      </c>
      <c r="F203" s="3">
        <v>250251</v>
      </c>
      <c r="G203" s="3">
        <v>345227</v>
      </c>
      <c r="H203" s="3">
        <v>339566</v>
      </c>
      <c r="I203" s="4" t="e">
        <v>#N/A</v>
      </c>
      <c r="J203" s="3"/>
      <c r="K203" s="3">
        <v>11937</v>
      </c>
      <c r="L203" s="3">
        <v>899</v>
      </c>
      <c r="M203" s="3">
        <v>8136</v>
      </c>
      <c r="N203" s="3">
        <v>2382</v>
      </c>
      <c r="O203" s="3">
        <v>15341</v>
      </c>
      <c r="P203" s="3">
        <v>8843</v>
      </c>
      <c r="Q203" s="3">
        <v>13357</v>
      </c>
      <c r="R203" s="3">
        <v>9986</v>
      </c>
      <c r="S203" s="3">
        <v>5911</v>
      </c>
      <c r="T203" s="3">
        <v>60204</v>
      </c>
      <c r="U203" s="3">
        <v>47279</v>
      </c>
      <c r="V203" s="3">
        <v>2545</v>
      </c>
      <c r="W203" s="3">
        <v>797</v>
      </c>
      <c r="X203" s="3">
        <v>3543</v>
      </c>
      <c r="Y203" s="3">
        <v>12881</v>
      </c>
      <c r="Z203" s="3">
        <v>3844</v>
      </c>
      <c r="AA203" s="3">
        <v>2363</v>
      </c>
      <c r="AB203" s="3">
        <v>4680</v>
      </c>
      <c r="AC203" s="3">
        <v>20244</v>
      </c>
      <c r="AD203" s="3">
        <v>12395</v>
      </c>
      <c r="AE203" s="3">
        <v>15768</v>
      </c>
      <c r="AF203" s="3">
        <v>5569</v>
      </c>
      <c r="AG203" s="3">
        <v>25590</v>
      </c>
      <c r="AH203" s="3">
        <v>12262</v>
      </c>
      <c r="AI203" s="3">
        <v>18324</v>
      </c>
      <c r="AJ203" s="3">
        <v>112350</v>
      </c>
      <c r="AK203" s="3">
        <v>80164</v>
      </c>
      <c r="AL203" s="3">
        <v>3783</v>
      </c>
      <c r="AM203" s="3">
        <v>8424</v>
      </c>
      <c r="AN203" s="3">
        <v>6835</v>
      </c>
      <c r="AO203" s="3">
        <v>6716</v>
      </c>
      <c r="AP203" s="3">
        <v>4299</v>
      </c>
      <c r="AR203" s="3">
        <f t="shared" si="27"/>
        <v>28380</v>
      </c>
      <c r="AS203" s="3">
        <f t="shared" si="27"/>
        <v>14777</v>
      </c>
      <c r="AT203" s="3">
        <f t="shared" si="27"/>
        <v>31109</v>
      </c>
      <c r="AU203" s="3">
        <f t="shared" si="28"/>
        <v>38947</v>
      </c>
      <c r="AV203" s="3">
        <f t="shared" si="29"/>
        <v>22248</v>
      </c>
      <c r="AW203" s="3">
        <f t="shared" si="30"/>
        <v>24235</v>
      </c>
      <c r="AX203" s="3">
        <f t="shared" si="31"/>
        <v>172554</v>
      </c>
      <c r="AY203" s="3">
        <f t="shared" si="32"/>
        <v>10378</v>
      </c>
      <c r="AZ203" s="3">
        <f t="shared" si="33"/>
        <v>19597</v>
      </c>
      <c r="BA203" s="3">
        <f t="shared" si="34"/>
        <v>8143</v>
      </c>
      <c r="BB203" s="3">
        <f t="shared" si="35"/>
        <v>305323</v>
      </c>
    </row>
    <row r="204" spans="1:54" x14ac:dyDescent="0.25">
      <c r="A204" t="s">
        <v>815</v>
      </c>
      <c r="B204" s="21">
        <v>3.13</v>
      </c>
      <c r="C204" s="21">
        <v>2.9</v>
      </c>
      <c r="D204" s="35">
        <v>0.5</v>
      </c>
      <c r="E204" s="3">
        <v>149728</v>
      </c>
      <c r="F204" s="3">
        <v>252812</v>
      </c>
      <c r="G204" s="3">
        <v>346739</v>
      </c>
      <c r="H204" s="3">
        <v>344473</v>
      </c>
      <c r="I204" s="4" t="e">
        <v>#N/A</v>
      </c>
      <c r="J204" s="3"/>
      <c r="K204" s="3">
        <v>11980</v>
      </c>
      <c r="L204" s="3">
        <v>951</v>
      </c>
      <c r="M204" s="3">
        <v>8292</v>
      </c>
      <c r="N204" s="3">
        <v>2422</v>
      </c>
      <c r="O204" s="3">
        <v>15483</v>
      </c>
      <c r="P204" s="3">
        <v>8820</v>
      </c>
      <c r="Q204" s="3">
        <v>13373</v>
      </c>
      <c r="R204" s="3">
        <v>9987</v>
      </c>
      <c r="S204" s="3">
        <v>5961</v>
      </c>
      <c r="T204" s="3">
        <v>60283</v>
      </c>
      <c r="U204" s="3">
        <v>47344</v>
      </c>
      <c r="V204" s="3">
        <v>2508</v>
      </c>
      <c r="W204" s="3">
        <v>763</v>
      </c>
      <c r="X204" s="3">
        <v>3573</v>
      </c>
      <c r="Y204" s="3">
        <v>12813</v>
      </c>
      <c r="Z204" s="3">
        <v>3846</v>
      </c>
      <c r="AA204" s="3">
        <v>2340</v>
      </c>
      <c r="AB204" s="3">
        <v>4828</v>
      </c>
      <c r="AC204" s="3">
        <v>22188</v>
      </c>
      <c r="AD204" s="3">
        <v>12158</v>
      </c>
      <c r="AE204" s="3">
        <v>15995</v>
      </c>
      <c r="AF204" s="3">
        <v>5551</v>
      </c>
      <c r="AG204" s="3">
        <v>25588</v>
      </c>
      <c r="AH204" s="3">
        <v>12638</v>
      </c>
      <c r="AI204" s="3">
        <v>18393</v>
      </c>
      <c r="AJ204" s="3">
        <v>112227</v>
      </c>
      <c r="AK204" s="3">
        <v>79988</v>
      </c>
      <c r="AL204" s="3">
        <v>3909</v>
      </c>
      <c r="AM204" s="3">
        <v>8535</v>
      </c>
      <c r="AN204" s="3">
        <v>6722</v>
      </c>
      <c r="AO204" s="3">
        <v>6967</v>
      </c>
      <c r="AP204" s="3">
        <v>4232</v>
      </c>
      <c r="AR204" s="3">
        <f t="shared" si="27"/>
        <v>30480</v>
      </c>
      <c r="AS204" s="3">
        <f t="shared" si="27"/>
        <v>14580</v>
      </c>
      <c r="AT204" s="3">
        <f t="shared" si="27"/>
        <v>31478</v>
      </c>
      <c r="AU204" s="3">
        <f t="shared" si="28"/>
        <v>38961</v>
      </c>
      <c r="AV204" s="3">
        <f t="shared" si="29"/>
        <v>22625</v>
      </c>
      <c r="AW204" s="3">
        <f t="shared" si="30"/>
        <v>24354</v>
      </c>
      <c r="AX204" s="3">
        <f t="shared" si="31"/>
        <v>172510</v>
      </c>
      <c r="AY204" s="3">
        <f t="shared" si="32"/>
        <v>10295</v>
      </c>
      <c r="AZ204" s="3">
        <f t="shared" si="33"/>
        <v>19780</v>
      </c>
      <c r="BA204" s="3">
        <f t="shared" si="34"/>
        <v>8078</v>
      </c>
      <c r="BB204" s="3">
        <f t="shared" si="35"/>
        <v>305901</v>
      </c>
    </row>
    <row r="205" spans="1:54" x14ac:dyDescent="0.25">
      <c r="A205" t="s">
        <v>816</v>
      </c>
      <c r="B205" s="21">
        <v>3.14</v>
      </c>
      <c r="C205" s="21">
        <v>2.89</v>
      </c>
      <c r="D205" s="35">
        <v>0.5</v>
      </c>
      <c r="E205" s="3">
        <v>149473</v>
      </c>
      <c r="F205" s="3">
        <v>256544</v>
      </c>
      <c r="G205" s="3">
        <v>350230</v>
      </c>
      <c r="H205" s="3">
        <v>354713</v>
      </c>
      <c r="I205" s="4" t="e">
        <v>#N/A</v>
      </c>
      <c r="J205" s="3"/>
      <c r="K205" s="3">
        <v>12077</v>
      </c>
      <c r="L205" s="3">
        <v>1107</v>
      </c>
      <c r="M205" s="3">
        <v>8019</v>
      </c>
      <c r="N205" s="3">
        <v>2365</v>
      </c>
      <c r="O205" s="3">
        <v>15347</v>
      </c>
      <c r="P205" s="3">
        <v>8860</v>
      </c>
      <c r="Q205" s="3">
        <v>13445</v>
      </c>
      <c r="R205" s="3">
        <v>9965</v>
      </c>
      <c r="S205" s="3">
        <v>5934</v>
      </c>
      <c r="T205" s="3">
        <v>60340</v>
      </c>
      <c r="U205" s="3">
        <v>47246</v>
      </c>
      <c r="V205" s="3">
        <v>2487</v>
      </c>
      <c r="W205" s="3">
        <v>682</v>
      </c>
      <c r="X205" s="3">
        <v>3546</v>
      </c>
      <c r="Y205" s="3">
        <v>12838</v>
      </c>
      <c r="Z205" s="3">
        <v>3809</v>
      </c>
      <c r="AA205" s="3">
        <v>2422</v>
      </c>
      <c r="AB205" s="3">
        <v>5750</v>
      </c>
      <c r="AC205" s="3">
        <v>22350</v>
      </c>
      <c r="AD205" s="3">
        <v>12087</v>
      </c>
      <c r="AE205" s="3">
        <v>15405</v>
      </c>
      <c r="AF205" s="3">
        <v>5522</v>
      </c>
      <c r="AG205" s="3">
        <v>26444</v>
      </c>
      <c r="AH205" s="3">
        <v>12571</v>
      </c>
      <c r="AI205" s="3">
        <v>19279</v>
      </c>
      <c r="AJ205" s="3">
        <v>114440</v>
      </c>
      <c r="AK205" s="3">
        <v>81061</v>
      </c>
      <c r="AL205" s="3">
        <v>3826</v>
      </c>
      <c r="AM205" s="3">
        <v>7845</v>
      </c>
      <c r="AN205" s="3">
        <v>6753</v>
      </c>
      <c r="AO205" s="3">
        <v>7139</v>
      </c>
      <c r="AP205" s="3">
        <v>4061</v>
      </c>
      <c r="AR205" s="3">
        <f t="shared" si="27"/>
        <v>30369</v>
      </c>
      <c r="AS205" s="3">
        <f t="shared" si="27"/>
        <v>14452</v>
      </c>
      <c r="AT205" s="3">
        <f t="shared" si="27"/>
        <v>30752</v>
      </c>
      <c r="AU205" s="3">
        <f t="shared" si="28"/>
        <v>39889</v>
      </c>
      <c r="AV205" s="3">
        <f t="shared" si="29"/>
        <v>22536</v>
      </c>
      <c r="AW205" s="3">
        <f t="shared" si="30"/>
        <v>25213</v>
      </c>
      <c r="AX205" s="3">
        <f t="shared" si="31"/>
        <v>174780</v>
      </c>
      <c r="AY205" s="3">
        <f t="shared" si="32"/>
        <v>10299</v>
      </c>
      <c r="AZ205" s="3">
        <f t="shared" si="33"/>
        <v>19977</v>
      </c>
      <c r="BA205" s="3">
        <f t="shared" si="34"/>
        <v>7870</v>
      </c>
      <c r="BB205" s="3">
        <f t="shared" si="35"/>
        <v>309091</v>
      </c>
    </row>
    <row r="206" spans="1:54" x14ac:dyDescent="0.25">
      <c r="A206" t="s">
        <v>817</v>
      </c>
      <c r="B206" s="21">
        <v>3.13</v>
      </c>
      <c r="C206" s="21">
        <v>2.88</v>
      </c>
      <c r="D206" s="35">
        <v>0.5</v>
      </c>
      <c r="E206" s="3">
        <v>149740</v>
      </c>
      <c r="F206" s="3">
        <v>258535</v>
      </c>
      <c r="G206" s="3">
        <v>352760</v>
      </c>
      <c r="H206" s="3">
        <v>350983</v>
      </c>
      <c r="I206" s="4" t="e">
        <v>#N/A</v>
      </c>
      <c r="J206" s="3"/>
      <c r="K206" s="3">
        <v>12097</v>
      </c>
      <c r="L206" s="3">
        <v>985</v>
      </c>
      <c r="M206" s="3">
        <v>8073</v>
      </c>
      <c r="N206" s="3">
        <v>2373</v>
      </c>
      <c r="O206" s="3">
        <v>15404</v>
      </c>
      <c r="P206" s="3">
        <v>8872</v>
      </c>
      <c r="Q206" s="3">
        <v>13421</v>
      </c>
      <c r="R206" s="3">
        <v>9956</v>
      </c>
      <c r="S206" s="3">
        <v>6036</v>
      </c>
      <c r="T206" s="3">
        <v>60511</v>
      </c>
      <c r="U206" s="3">
        <v>47302</v>
      </c>
      <c r="V206" s="3">
        <v>2508</v>
      </c>
      <c r="W206" s="3">
        <v>591</v>
      </c>
      <c r="X206" s="3">
        <v>3598</v>
      </c>
      <c r="Y206" s="3">
        <v>12892</v>
      </c>
      <c r="Z206" s="3">
        <v>3808</v>
      </c>
      <c r="AA206" s="3">
        <v>2482</v>
      </c>
      <c r="AB206" s="3">
        <v>5412</v>
      </c>
      <c r="AC206" s="3">
        <v>21676</v>
      </c>
      <c r="AD206" s="3">
        <v>12452</v>
      </c>
      <c r="AE206" s="3">
        <v>15757</v>
      </c>
      <c r="AF206" s="3">
        <v>5589</v>
      </c>
      <c r="AG206" s="3">
        <v>26364</v>
      </c>
      <c r="AH206" s="3">
        <v>12710</v>
      </c>
      <c r="AI206" s="3">
        <v>20108</v>
      </c>
      <c r="AJ206" s="3">
        <v>115083</v>
      </c>
      <c r="AK206" s="3">
        <v>80751</v>
      </c>
      <c r="AL206" s="3">
        <v>4021</v>
      </c>
      <c r="AM206" s="3">
        <v>8359</v>
      </c>
      <c r="AN206" s="3">
        <v>6851</v>
      </c>
      <c r="AO206" s="3">
        <v>7184</v>
      </c>
      <c r="AP206" s="3">
        <v>4091</v>
      </c>
      <c r="AR206" s="3">
        <f t="shared" si="27"/>
        <v>29749</v>
      </c>
      <c r="AS206" s="3">
        <f t="shared" si="27"/>
        <v>14825</v>
      </c>
      <c r="AT206" s="3">
        <f t="shared" si="27"/>
        <v>31161</v>
      </c>
      <c r="AU206" s="3">
        <f t="shared" si="28"/>
        <v>39785</v>
      </c>
      <c r="AV206" s="3">
        <f t="shared" si="29"/>
        <v>22666</v>
      </c>
      <c r="AW206" s="3">
        <f t="shared" si="30"/>
        <v>26144</v>
      </c>
      <c r="AX206" s="3">
        <f t="shared" si="31"/>
        <v>175594</v>
      </c>
      <c r="AY206" s="3">
        <f t="shared" si="32"/>
        <v>10449</v>
      </c>
      <c r="AZ206" s="3">
        <f t="shared" si="33"/>
        <v>20076</v>
      </c>
      <c r="BA206" s="3">
        <f t="shared" si="34"/>
        <v>7899</v>
      </c>
      <c r="BB206" s="3">
        <f t="shared" si="35"/>
        <v>311563</v>
      </c>
    </row>
    <row r="207" spans="1:54" x14ac:dyDescent="0.25">
      <c r="A207" t="s">
        <v>818</v>
      </c>
      <c r="B207" s="21">
        <v>3.03</v>
      </c>
      <c r="C207" s="21">
        <v>2.84</v>
      </c>
      <c r="D207" s="35">
        <v>0.28260869565217389</v>
      </c>
      <c r="E207" s="3">
        <v>149385</v>
      </c>
      <c r="F207" s="3">
        <v>259281</v>
      </c>
      <c r="G207" s="3">
        <v>355987</v>
      </c>
      <c r="H207" s="3">
        <v>355048</v>
      </c>
      <c r="I207" s="4" t="e">
        <v>#N/A</v>
      </c>
      <c r="J207" s="3"/>
      <c r="K207" s="3">
        <v>12125</v>
      </c>
      <c r="L207" s="3">
        <v>982</v>
      </c>
      <c r="M207" s="3">
        <v>7941</v>
      </c>
      <c r="N207" s="3">
        <v>2417</v>
      </c>
      <c r="O207" s="3">
        <v>15412</v>
      </c>
      <c r="P207" s="3">
        <v>8866</v>
      </c>
      <c r="Q207" s="3">
        <v>13360</v>
      </c>
      <c r="R207" s="3">
        <v>9949</v>
      </c>
      <c r="S207" s="3">
        <v>5999</v>
      </c>
      <c r="T207" s="3">
        <v>60410</v>
      </c>
      <c r="U207" s="3">
        <v>47239</v>
      </c>
      <c r="V207" s="3">
        <v>2503</v>
      </c>
      <c r="W207" s="3">
        <v>580</v>
      </c>
      <c r="X207" s="3">
        <v>3574</v>
      </c>
      <c r="Y207" s="3">
        <v>12832</v>
      </c>
      <c r="Z207" s="3">
        <v>3804</v>
      </c>
      <c r="AA207" s="3">
        <v>2487</v>
      </c>
      <c r="AB207" s="3">
        <v>5429</v>
      </c>
      <c r="AC207" s="3">
        <v>21634</v>
      </c>
      <c r="AD207" s="3">
        <v>12774</v>
      </c>
      <c r="AE207" s="3">
        <v>15920</v>
      </c>
      <c r="AF207" s="3">
        <v>5497</v>
      </c>
      <c r="AG207" s="3">
        <v>26924</v>
      </c>
      <c r="AH207" s="3">
        <v>12793</v>
      </c>
      <c r="AI207" s="3">
        <v>19563</v>
      </c>
      <c r="AJ207" s="3">
        <v>115590</v>
      </c>
      <c r="AK207" s="3">
        <v>80918</v>
      </c>
      <c r="AL207" s="3">
        <v>3671</v>
      </c>
      <c r="AM207" s="3">
        <v>8251</v>
      </c>
      <c r="AN207" s="3">
        <v>6864</v>
      </c>
      <c r="AO207" s="3">
        <v>7065</v>
      </c>
      <c r="AP207" s="3">
        <v>3987</v>
      </c>
      <c r="AR207" s="3">
        <f t="shared" si="27"/>
        <v>29575</v>
      </c>
      <c r="AS207" s="3">
        <f t="shared" si="27"/>
        <v>15191</v>
      </c>
      <c r="AT207" s="3">
        <f t="shared" si="27"/>
        <v>31332</v>
      </c>
      <c r="AU207" s="3">
        <f t="shared" si="28"/>
        <v>40284</v>
      </c>
      <c r="AV207" s="3">
        <f t="shared" si="29"/>
        <v>22742</v>
      </c>
      <c r="AW207" s="3">
        <f t="shared" si="30"/>
        <v>25562</v>
      </c>
      <c r="AX207" s="3">
        <f t="shared" si="31"/>
        <v>176000</v>
      </c>
      <c r="AY207" s="3">
        <f t="shared" si="32"/>
        <v>10438</v>
      </c>
      <c r="AZ207" s="3">
        <f t="shared" si="33"/>
        <v>19897</v>
      </c>
      <c r="BA207" s="3">
        <f t="shared" si="34"/>
        <v>7791</v>
      </c>
      <c r="BB207" s="3">
        <f t="shared" si="35"/>
        <v>311545</v>
      </c>
    </row>
    <row r="208" spans="1:54" x14ac:dyDescent="0.25">
      <c r="A208" t="s">
        <v>819</v>
      </c>
      <c r="B208" s="21">
        <v>2.99</v>
      </c>
      <c r="C208" s="21">
        <v>2.74</v>
      </c>
      <c r="D208" s="35">
        <v>0.25</v>
      </c>
      <c r="E208" s="3">
        <v>150689</v>
      </c>
      <c r="F208" s="3">
        <v>261264</v>
      </c>
      <c r="G208" s="3">
        <v>358565</v>
      </c>
      <c r="H208" s="3">
        <v>360640</v>
      </c>
      <c r="I208" s="4" t="e">
        <v>#N/A</v>
      </c>
      <c r="J208" s="3"/>
      <c r="K208" s="3">
        <v>12439</v>
      </c>
      <c r="L208" s="3">
        <v>1315</v>
      </c>
      <c r="M208" s="3">
        <v>8395</v>
      </c>
      <c r="N208" s="3">
        <v>2490</v>
      </c>
      <c r="O208" s="3">
        <v>15522</v>
      </c>
      <c r="P208" s="3">
        <v>9091</v>
      </c>
      <c r="Q208" s="3">
        <v>13139</v>
      </c>
      <c r="R208" s="3">
        <v>10008</v>
      </c>
      <c r="S208" s="3">
        <v>6244</v>
      </c>
      <c r="T208" s="3">
        <v>60118</v>
      </c>
      <c r="U208" s="3">
        <v>46453</v>
      </c>
      <c r="V208" s="3">
        <v>2433</v>
      </c>
      <c r="W208" s="3">
        <v>525</v>
      </c>
      <c r="X208" s="3">
        <v>3549</v>
      </c>
      <c r="Y208" s="3">
        <v>12968</v>
      </c>
      <c r="Z208" s="3">
        <v>3978</v>
      </c>
      <c r="AA208" s="3">
        <v>2193</v>
      </c>
      <c r="AB208" s="3">
        <v>6619</v>
      </c>
      <c r="AC208" s="3">
        <v>21963</v>
      </c>
      <c r="AD208" s="3">
        <v>12602</v>
      </c>
      <c r="AE208" s="3">
        <v>16248</v>
      </c>
      <c r="AF208" s="3">
        <v>5695</v>
      </c>
      <c r="AG208" s="3">
        <v>25932</v>
      </c>
      <c r="AH208" s="3">
        <v>12888</v>
      </c>
      <c r="AI208" s="3">
        <v>19807</v>
      </c>
      <c r="AJ208" s="3">
        <v>116603</v>
      </c>
      <c r="AK208" s="3">
        <v>80901</v>
      </c>
      <c r="AL208" s="3">
        <v>4069</v>
      </c>
      <c r="AM208" s="3">
        <v>8714</v>
      </c>
      <c r="AN208" s="3">
        <v>6724</v>
      </c>
      <c r="AO208" s="3">
        <v>6886</v>
      </c>
      <c r="AP208" s="3">
        <v>4086</v>
      </c>
      <c r="AR208" s="3">
        <f t="shared" si="27"/>
        <v>30358</v>
      </c>
      <c r="AS208" s="3">
        <f t="shared" si="27"/>
        <v>15092</v>
      </c>
      <c r="AT208" s="3">
        <f t="shared" si="27"/>
        <v>31770</v>
      </c>
      <c r="AU208" s="3">
        <f t="shared" si="28"/>
        <v>39071</v>
      </c>
      <c r="AV208" s="3">
        <f t="shared" si="29"/>
        <v>22896</v>
      </c>
      <c r="AW208" s="3">
        <f t="shared" si="30"/>
        <v>26051</v>
      </c>
      <c r="AX208" s="3">
        <f t="shared" si="31"/>
        <v>176721</v>
      </c>
      <c r="AY208" s="3">
        <f t="shared" si="32"/>
        <v>10273</v>
      </c>
      <c r="AZ208" s="3">
        <f t="shared" si="33"/>
        <v>19854</v>
      </c>
      <c r="BA208" s="3">
        <f t="shared" si="34"/>
        <v>8064</v>
      </c>
      <c r="BB208" s="3">
        <f t="shared" si="35"/>
        <v>312169</v>
      </c>
    </row>
    <row r="209" spans="1:54" x14ac:dyDescent="0.25">
      <c r="A209" t="s">
        <v>820</v>
      </c>
      <c r="B209" s="21">
        <v>2.96</v>
      </c>
      <c r="C209" s="21">
        <v>2.71</v>
      </c>
      <c r="D209" s="35">
        <v>0.25</v>
      </c>
      <c r="E209" s="3">
        <v>150457</v>
      </c>
      <c r="F209" s="3">
        <v>263250</v>
      </c>
      <c r="G209" s="3">
        <v>359546</v>
      </c>
      <c r="H209" s="3">
        <v>358938</v>
      </c>
      <c r="I209" s="4" t="e">
        <v>#N/A</v>
      </c>
      <c r="J209" s="3"/>
      <c r="K209" s="3">
        <v>12495</v>
      </c>
      <c r="L209" s="3">
        <v>1453</v>
      </c>
      <c r="M209" s="3">
        <v>8365</v>
      </c>
      <c r="N209" s="3">
        <v>2457</v>
      </c>
      <c r="O209" s="3">
        <v>15486</v>
      </c>
      <c r="P209" s="3">
        <v>9101</v>
      </c>
      <c r="Q209" s="3">
        <v>13091</v>
      </c>
      <c r="R209" s="3">
        <v>10062</v>
      </c>
      <c r="S209" s="3">
        <v>6246</v>
      </c>
      <c r="T209" s="3">
        <v>59831</v>
      </c>
      <c r="U209" s="3">
        <v>46386</v>
      </c>
      <c r="V209" s="3">
        <v>2401</v>
      </c>
      <c r="W209" s="3">
        <v>470</v>
      </c>
      <c r="X209" s="3">
        <v>3575</v>
      </c>
      <c r="Y209" s="3">
        <v>12974</v>
      </c>
      <c r="Z209" s="3">
        <v>3951</v>
      </c>
      <c r="AA209" s="3">
        <v>2184</v>
      </c>
      <c r="AB209" s="3">
        <v>7212</v>
      </c>
      <c r="AC209" s="3">
        <v>22199</v>
      </c>
      <c r="AD209" s="3">
        <v>12503</v>
      </c>
      <c r="AE209" s="3">
        <v>16628</v>
      </c>
      <c r="AF209" s="3">
        <v>5697</v>
      </c>
      <c r="AG209" s="3">
        <v>26382</v>
      </c>
      <c r="AH209" s="3">
        <v>12842</v>
      </c>
      <c r="AI209" s="3">
        <v>20284</v>
      </c>
      <c r="AJ209" s="3">
        <v>116472</v>
      </c>
      <c r="AK209" s="3">
        <v>80765</v>
      </c>
      <c r="AL209" s="3">
        <v>3720</v>
      </c>
      <c r="AM209" s="3">
        <v>8602</v>
      </c>
      <c r="AN209" s="3">
        <v>6622</v>
      </c>
      <c r="AO209" s="3">
        <v>7082</v>
      </c>
      <c r="AP209" s="3">
        <v>4238</v>
      </c>
      <c r="AR209" s="3">
        <f t="shared" si="27"/>
        <v>30564</v>
      </c>
      <c r="AS209" s="3">
        <f t="shared" si="27"/>
        <v>14960</v>
      </c>
      <c r="AT209" s="3">
        <f t="shared" si="27"/>
        <v>32114</v>
      </c>
      <c r="AU209" s="3">
        <f t="shared" si="28"/>
        <v>39473</v>
      </c>
      <c r="AV209" s="3">
        <f t="shared" si="29"/>
        <v>22904</v>
      </c>
      <c r="AW209" s="3">
        <f t="shared" si="30"/>
        <v>26530</v>
      </c>
      <c r="AX209" s="3">
        <f t="shared" si="31"/>
        <v>176303</v>
      </c>
      <c r="AY209" s="3">
        <f t="shared" si="32"/>
        <v>10197</v>
      </c>
      <c r="AZ209" s="3">
        <f t="shared" si="33"/>
        <v>20056</v>
      </c>
      <c r="BA209" s="3">
        <f t="shared" si="34"/>
        <v>8189</v>
      </c>
      <c r="BB209" s="3">
        <f t="shared" si="35"/>
        <v>312724</v>
      </c>
    </row>
    <row r="210" spans="1:54" x14ac:dyDescent="0.25">
      <c r="A210" t="s">
        <v>821</v>
      </c>
      <c r="B210" s="21">
        <v>2.96</v>
      </c>
      <c r="C210" s="21">
        <v>2.68</v>
      </c>
      <c r="D210" s="35">
        <v>0.25</v>
      </c>
      <c r="E210" s="3">
        <v>150727</v>
      </c>
      <c r="F210" s="3">
        <v>261907</v>
      </c>
      <c r="G210" s="3">
        <v>359015</v>
      </c>
      <c r="H210" s="3">
        <v>362543</v>
      </c>
      <c r="I210" s="4" t="e">
        <v>#N/A</v>
      </c>
      <c r="J210" s="3"/>
      <c r="K210" s="3">
        <v>12536</v>
      </c>
      <c r="L210" s="3">
        <v>1493</v>
      </c>
      <c r="M210" s="3">
        <v>8271</v>
      </c>
      <c r="N210" s="3">
        <v>2450</v>
      </c>
      <c r="O210" s="3">
        <v>15581</v>
      </c>
      <c r="P210" s="3">
        <v>9164</v>
      </c>
      <c r="Q210" s="3">
        <v>13120</v>
      </c>
      <c r="R210" s="3">
        <v>10072</v>
      </c>
      <c r="S210" s="3">
        <v>6108</v>
      </c>
      <c r="T210" s="3">
        <v>60136</v>
      </c>
      <c r="U210" s="3">
        <v>46481</v>
      </c>
      <c r="V210" s="3">
        <v>2399</v>
      </c>
      <c r="W210" s="3">
        <v>457</v>
      </c>
      <c r="X210" s="3">
        <v>3543</v>
      </c>
      <c r="Y210" s="3">
        <v>12952</v>
      </c>
      <c r="Z210" s="3">
        <v>4007</v>
      </c>
      <c r="AA210" s="3">
        <v>2175</v>
      </c>
      <c r="AB210" s="3">
        <v>7383</v>
      </c>
      <c r="AC210" s="3">
        <v>21708</v>
      </c>
      <c r="AD210" s="3">
        <v>12294</v>
      </c>
      <c r="AE210" s="3">
        <v>16789</v>
      </c>
      <c r="AF210" s="3">
        <v>5658</v>
      </c>
      <c r="AG210" s="3">
        <v>26361</v>
      </c>
      <c r="AH210" s="3">
        <v>12846</v>
      </c>
      <c r="AI210" s="3">
        <v>19983</v>
      </c>
      <c r="AJ210" s="3">
        <v>115722</v>
      </c>
      <c r="AK210" s="3">
        <v>80624</v>
      </c>
      <c r="AL210" s="3">
        <v>3356</v>
      </c>
      <c r="AM210" s="3">
        <v>8626</v>
      </c>
      <c r="AN210" s="3">
        <v>6580</v>
      </c>
      <c r="AO210" s="3">
        <v>6994</v>
      </c>
      <c r="AP210" s="3">
        <v>4445</v>
      </c>
      <c r="AR210" s="3">
        <f t="shared" si="27"/>
        <v>29979</v>
      </c>
      <c r="AS210" s="3">
        <f t="shared" si="27"/>
        <v>14744</v>
      </c>
      <c r="AT210" s="3">
        <f t="shared" si="27"/>
        <v>32370</v>
      </c>
      <c r="AU210" s="3">
        <f t="shared" si="28"/>
        <v>39481</v>
      </c>
      <c r="AV210" s="3">
        <f t="shared" si="29"/>
        <v>22918</v>
      </c>
      <c r="AW210" s="3">
        <f t="shared" si="30"/>
        <v>26091</v>
      </c>
      <c r="AX210" s="3">
        <f t="shared" si="31"/>
        <v>175858</v>
      </c>
      <c r="AY210" s="3">
        <f t="shared" si="32"/>
        <v>10123</v>
      </c>
      <c r="AZ210" s="3">
        <f t="shared" si="33"/>
        <v>19946</v>
      </c>
      <c r="BA210" s="3">
        <f t="shared" si="34"/>
        <v>8452</v>
      </c>
      <c r="BB210" s="3">
        <f t="shared" si="35"/>
        <v>311952</v>
      </c>
    </row>
    <row r="211" spans="1:54" x14ac:dyDescent="0.25">
      <c r="A211" t="s">
        <v>822</v>
      </c>
      <c r="B211" s="21">
        <v>2.94</v>
      </c>
      <c r="C211" s="21">
        <v>2.67</v>
      </c>
      <c r="D211" s="35">
        <v>0.25</v>
      </c>
      <c r="E211" s="3">
        <v>153253</v>
      </c>
      <c r="F211" s="3">
        <v>258020</v>
      </c>
      <c r="G211" s="3">
        <v>362472</v>
      </c>
      <c r="H211" s="3">
        <v>369197</v>
      </c>
      <c r="I211" s="4" t="e">
        <v>#N/A</v>
      </c>
      <c r="J211" s="3"/>
      <c r="K211" s="3">
        <v>12592</v>
      </c>
      <c r="L211" s="3">
        <v>1125</v>
      </c>
      <c r="M211" s="3">
        <v>8367</v>
      </c>
      <c r="N211" s="3">
        <v>2509</v>
      </c>
      <c r="O211" s="3">
        <v>15422</v>
      </c>
      <c r="P211" s="3">
        <v>9110</v>
      </c>
      <c r="Q211" s="3">
        <v>13209</v>
      </c>
      <c r="R211" s="3">
        <v>10321</v>
      </c>
      <c r="S211" s="3">
        <v>5992</v>
      </c>
      <c r="T211" s="3">
        <v>62622</v>
      </c>
      <c r="U211" s="3">
        <v>48485</v>
      </c>
      <c r="V211" s="3">
        <v>2428</v>
      </c>
      <c r="W211" s="3">
        <v>445</v>
      </c>
      <c r="X211" s="3">
        <v>3541</v>
      </c>
      <c r="Y211" s="3">
        <v>13049</v>
      </c>
      <c r="Z211" s="3">
        <v>4059</v>
      </c>
      <c r="AA211" s="3">
        <v>2175</v>
      </c>
      <c r="AB211" s="3">
        <v>7854</v>
      </c>
      <c r="AC211" s="3">
        <v>22043</v>
      </c>
      <c r="AD211" s="3">
        <v>12188</v>
      </c>
      <c r="AE211" s="3">
        <v>15448</v>
      </c>
      <c r="AF211" s="3">
        <v>5352</v>
      </c>
      <c r="AG211" s="3">
        <v>25774</v>
      </c>
      <c r="AH211" s="3">
        <v>12850</v>
      </c>
      <c r="AI211" s="3">
        <v>19616</v>
      </c>
      <c r="AJ211" s="3">
        <v>114058</v>
      </c>
      <c r="AK211" s="3">
        <v>79602</v>
      </c>
      <c r="AL211" s="3">
        <v>2999</v>
      </c>
      <c r="AM211" s="3">
        <v>8474</v>
      </c>
      <c r="AN211" s="3">
        <v>6557</v>
      </c>
      <c r="AO211" s="3">
        <v>6344</v>
      </c>
      <c r="AP211" s="3">
        <v>4639</v>
      </c>
      <c r="AR211" s="3">
        <f t="shared" si="27"/>
        <v>30410</v>
      </c>
      <c r="AS211" s="3">
        <f t="shared" si="27"/>
        <v>14697</v>
      </c>
      <c r="AT211" s="3">
        <f t="shared" si="27"/>
        <v>30870</v>
      </c>
      <c r="AU211" s="3">
        <f t="shared" si="28"/>
        <v>38983</v>
      </c>
      <c r="AV211" s="3">
        <f t="shared" si="29"/>
        <v>23171</v>
      </c>
      <c r="AW211" s="3">
        <f t="shared" si="30"/>
        <v>25608</v>
      </c>
      <c r="AX211" s="3">
        <f t="shared" si="31"/>
        <v>176680</v>
      </c>
      <c r="AY211" s="3">
        <f t="shared" si="32"/>
        <v>10098</v>
      </c>
      <c r="AZ211" s="3">
        <f t="shared" si="33"/>
        <v>19393</v>
      </c>
      <c r="BA211" s="3">
        <f t="shared" si="34"/>
        <v>8698</v>
      </c>
      <c r="BB211" s="3">
        <f t="shared" si="35"/>
        <v>311550</v>
      </c>
    </row>
    <row r="212" spans="1:54" x14ac:dyDescent="0.25">
      <c r="A212" t="s">
        <v>823</v>
      </c>
      <c r="B212" s="21">
        <v>2.93</v>
      </c>
      <c r="C212" s="21">
        <v>2.64</v>
      </c>
      <c r="D212" s="35">
        <v>0.25</v>
      </c>
      <c r="E212" s="3">
        <v>152072</v>
      </c>
      <c r="F212" s="3">
        <v>261263</v>
      </c>
      <c r="G212" s="3">
        <v>364162</v>
      </c>
      <c r="H212" s="3">
        <v>359926</v>
      </c>
      <c r="I212" s="4" t="e">
        <v>#N/A</v>
      </c>
      <c r="J212" s="3"/>
      <c r="K212" s="3">
        <v>12654</v>
      </c>
      <c r="L212" s="3">
        <v>1129</v>
      </c>
      <c r="M212" s="3">
        <v>8130</v>
      </c>
      <c r="N212" s="3">
        <v>2431</v>
      </c>
      <c r="O212" s="3">
        <v>15589</v>
      </c>
      <c r="P212" s="3">
        <v>9449</v>
      </c>
      <c r="Q212" s="3">
        <v>13025</v>
      </c>
      <c r="R212" s="3">
        <v>10443</v>
      </c>
      <c r="S212" s="3">
        <v>5662</v>
      </c>
      <c r="T212" s="3">
        <v>62110</v>
      </c>
      <c r="U212" s="3">
        <v>48655</v>
      </c>
      <c r="V212" s="3">
        <v>2205</v>
      </c>
      <c r="W212" s="3">
        <v>487</v>
      </c>
      <c r="X212" s="3">
        <v>3445</v>
      </c>
      <c r="Y212" s="3">
        <v>12933</v>
      </c>
      <c r="Z212" s="3">
        <v>4033</v>
      </c>
      <c r="AA212" s="3">
        <v>2157</v>
      </c>
      <c r="AB212" s="3">
        <v>8052</v>
      </c>
      <c r="AC212" s="3">
        <v>21221</v>
      </c>
      <c r="AD212" s="3">
        <v>12374</v>
      </c>
      <c r="AE212" s="3">
        <v>16248</v>
      </c>
      <c r="AF212" s="3">
        <v>5343</v>
      </c>
      <c r="AG212" s="3">
        <v>26132</v>
      </c>
      <c r="AH212" s="3">
        <v>12903</v>
      </c>
      <c r="AI212" s="3">
        <v>19351</v>
      </c>
      <c r="AJ212" s="3">
        <v>113772</v>
      </c>
      <c r="AK212" s="3">
        <v>79104</v>
      </c>
      <c r="AL212" s="3">
        <v>2541</v>
      </c>
      <c r="AM212" s="3">
        <v>11000</v>
      </c>
      <c r="AN212" s="3">
        <v>6641</v>
      </c>
      <c r="AO212" s="3">
        <v>6750</v>
      </c>
      <c r="AP212" s="3">
        <v>4663</v>
      </c>
      <c r="AR212" s="3">
        <f t="shared" si="27"/>
        <v>29351</v>
      </c>
      <c r="AS212" s="3">
        <f t="shared" si="27"/>
        <v>14805</v>
      </c>
      <c r="AT212" s="3">
        <f t="shared" si="27"/>
        <v>31837</v>
      </c>
      <c r="AU212" s="3">
        <f t="shared" si="28"/>
        <v>39157</v>
      </c>
      <c r="AV212" s="3">
        <f t="shared" si="29"/>
        <v>23346</v>
      </c>
      <c r="AW212" s="3">
        <f t="shared" si="30"/>
        <v>25013</v>
      </c>
      <c r="AX212" s="3">
        <f t="shared" si="31"/>
        <v>175882</v>
      </c>
      <c r="AY212" s="3">
        <f t="shared" si="32"/>
        <v>10086</v>
      </c>
      <c r="AZ212" s="3">
        <f t="shared" si="33"/>
        <v>19683</v>
      </c>
      <c r="BA212" s="3">
        <f t="shared" si="34"/>
        <v>8696</v>
      </c>
      <c r="BB212" s="3">
        <f t="shared" si="35"/>
        <v>313350</v>
      </c>
    </row>
    <row r="213" spans="1:54" x14ac:dyDescent="0.25">
      <c r="A213" t="s">
        <v>824</v>
      </c>
      <c r="B213" s="21">
        <v>2.94</v>
      </c>
      <c r="C213" s="21">
        <v>2.63</v>
      </c>
      <c r="D213" s="35">
        <v>0.25</v>
      </c>
      <c r="E213" s="3">
        <v>152848</v>
      </c>
      <c r="F213" s="3">
        <v>259672</v>
      </c>
      <c r="G213" s="3">
        <v>366516</v>
      </c>
      <c r="H213" s="3">
        <v>360020</v>
      </c>
      <c r="I213" s="4" t="e">
        <v>#N/A</v>
      </c>
      <c r="J213" s="3"/>
      <c r="K213" s="3">
        <v>12705</v>
      </c>
      <c r="L213" s="3">
        <v>1101</v>
      </c>
      <c r="M213" s="3">
        <v>8144</v>
      </c>
      <c r="N213" s="3">
        <v>2475</v>
      </c>
      <c r="O213" s="3">
        <v>15628</v>
      </c>
      <c r="P213" s="3">
        <v>9422</v>
      </c>
      <c r="Q213" s="3">
        <v>13307</v>
      </c>
      <c r="R213" s="3">
        <v>10488</v>
      </c>
      <c r="S213" s="3">
        <v>5750</v>
      </c>
      <c r="T213" s="3">
        <v>62371</v>
      </c>
      <c r="U213" s="3">
        <v>48918</v>
      </c>
      <c r="V213" s="3">
        <v>2196</v>
      </c>
      <c r="W213" s="3">
        <v>542</v>
      </c>
      <c r="X213" s="3">
        <v>3439</v>
      </c>
      <c r="Y213" s="3">
        <v>12867</v>
      </c>
      <c r="Z213" s="3">
        <v>4031</v>
      </c>
      <c r="AA213" s="3">
        <v>2180</v>
      </c>
      <c r="AB213" s="3">
        <v>7970</v>
      </c>
      <c r="AC213" s="3">
        <v>20899</v>
      </c>
      <c r="AD213" s="3">
        <v>12179</v>
      </c>
      <c r="AE213" s="3">
        <v>16678</v>
      </c>
      <c r="AF213" s="3">
        <v>5442</v>
      </c>
      <c r="AG213" s="3">
        <v>27595</v>
      </c>
      <c r="AH213" s="3">
        <v>13290</v>
      </c>
      <c r="AI213" s="3">
        <v>19132</v>
      </c>
      <c r="AJ213" s="3">
        <v>113594</v>
      </c>
      <c r="AK213" s="3">
        <v>79064</v>
      </c>
      <c r="AL213" s="3">
        <v>2539</v>
      </c>
      <c r="AM213" s="3">
        <v>8161</v>
      </c>
      <c r="AN213" s="3">
        <v>6577</v>
      </c>
      <c r="AO213" s="3">
        <v>6841</v>
      </c>
      <c r="AP213" s="3">
        <v>4576</v>
      </c>
      <c r="AR213" s="3">
        <f t="shared" si="27"/>
        <v>29043</v>
      </c>
      <c r="AS213" s="3">
        <f t="shared" si="27"/>
        <v>14654</v>
      </c>
      <c r="AT213" s="3">
        <f t="shared" si="27"/>
        <v>32306</v>
      </c>
      <c r="AU213" s="3">
        <f t="shared" si="28"/>
        <v>40902</v>
      </c>
      <c r="AV213" s="3">
        <f t="shared" si="29"/>
        <v>23778</v>
      </c>
      <c r="AW213" s="3">
        <f t="shared" si="30"/>
        <v>24882</v>
      </c>
      <c r="AX213" s="3">
        <f t="shared" si="31"/>
        <v>175965</v>
      </c>
      <c r="AY213" s="3">
        <f t="shared" si="32"/>
        <v>10016</v>
      </c>
      <c r="AZ213" s="3">
        <f t="shared" si="33"/>
        <v>19708</v>
      </c>
      <c r="BA213" s="3">
        <f t="shared" si="34"/>
        <v>8607</v>
      </c>
      <c r="BB213" s="3">
        <f t="shared" si="35"/>
        <v>312561</v>
      </c>
    </row>
    <row r="214" spans="1:54" x14ac:dyDescent="0.25">
      <c r="A214" t="s">
        <v>825</v>
      </c>
      <c r="B214" s="21">
        <v>2.92</v>
      </c>
      <c r="C214" s="21">
        <v>2.61</v>
      </c>
      <c r="D214" s="35">
        <v>0.25</v>
      </c>
      <c r="E214" s="3">
        <v>151537</v>
      </c>
      <c r="F214" s="3">
        <v>261442</v>
      </c>
      <c r="G214" s="3">
        <v>372600</v>
      </c>
      <c r="H214" s="3">
        <v>373302</v>
      </c>
      <c r="I214" s="4" t="e">
        <v>#N/A</v>
      </c>
      <c r="J214" s="3"/>
      <c r="K214" s="3">
        <v>12803</v>
      </c>
      <c r="L214" s="3">
        <v>960</v>
      </c>
      <c r="M214" s="3">
        <v>8075</v>
      </c>
      <c r="N214" s="3">
        <v>2544</v>
      </c>
      <c r="O214" s="3">
        <v>15446</v>
      </c>
      <c r="P214" s="3">
        <v>9284</v>
      </c>
      <c r="Q214" s="3">
        <v>13289</v>
      </c>
      <c r="R214" s="3">
        <v>10083</v>
      </c>
      <c r="S214" s="3">
        <v>5820</v>
      </c>
      <c r="T214" s="3">
        <v>61654</v>
      </c>
      <c r="U214" s="3">
        <v>48575</v>
      </c>
      <c r="V214" s="3">
        <v>2163</v>
      </c>
      <c r="W214" s="3">
        <v>552</v>
      </c>
      <c r="X214" s="3">
        <v>3419</v>
      </c>
      <c r="Y214" s="3">
        <v>12941</v>
      </c>
      <c r="Z214" s="3">
        <v>3951</v>
      </c>
      <c r="AA214" s="3">
        <v>2161</v>
      </c>
      <c r="AB214" s="3">
        <v>7623</v>
      </c>
      <c r="AC214" s="3">
        <v>21424</v>
      </c>
      <c r="AD214" s="3">
        <v>13336</v>
      </c>
      <c r="AE214" s="3">
        <v>16907</v>
      </c>
      <c r="AF214" s="3">
        <v>5658</v>
      </c>
      <c r="AG214" s="3">
        <v>27227</v>
      </c>
      <c r="AH214" s="3">
        <v>13545</v>
      </c>
      <c r="AI214" s="3">
        <v>19247</v>
      </c>
      <c r="AJ214" s="3">
        <v>113566</v>
      </c>
      <c r="AK214" s="3">
        <v>79855</v>
      </c>
      <c r="AL214" s="3">
        <v>2565</v>
      </c>
      <c r="AM214" s="3">
        <v>8128</v>
      </c>
      <c r="AN214" s="3">
        <v>6583</v>
      </c>
      <c r="AO214" s="3">
        <v>6880</v>
      </c>
      <c r="AP214" s="3">
        <v>4815</v>
      </c>
      <c r="AR214" s="3">
        <f t="shared" si="27"/>
        <v>29499</v>
      </c>
      <c r="AS214" s="3">
        <f t="shared" si="27"/>
        <v>15880</v>
      </c>
      <c r="AT214" s="3">
        <f t="shared" si="27"/>
        <v>32353</v>
      </c>
      <c r="AU214" s="3">
        <f t="shared" si="28"/>
        <v>40516</v>
      </c>
      <c r="AV214" s="3">
        <f t="shared" si="29"/>
        <v>23628</v>
      </c>
      <c r="AW214" s="3">
        <f t="shared" si="30"/>
        <v>25067</v>
      </c>
      <c r="AX214" s="3">
        <f t="shared" si="31"/>
        <v>175220</v>
      </c>
      <c r="AY214" s="3">
        <f t="shared" si="32"/>
        <v>10002</v>
      </c>
      <c r="AZ214" s="3">
        <f t="shared" si="33"/>
        <v>19821</v>
      </c>
      <c r="BA214" s="3">
        <f t="shared" si="34"/>
        <v>8766</v>
      </c>
      <c r="BB214" s="3">
        <f t="shared" si="35"/>
        <v>311700</v>
      </c>
    </row>
    <row r="215" spans="1:54" x14ac:dyDescent="0.25">
      <c r="A215" t="s">
        <v>826</v>
      </c>
      <c r="B215" s="21">
        <v>2.9</v>
      </c>
      <c r="C215" s="21">
        <v>2.61</v>
      </c>
      <c r="D215" s="35">
        <v>0.25</v>
      </c>
      <c r="E215" s="3">
        <v>151178</v>
      </c>
      <c r="F215" s="3">
        <v>263438</v>
      </c>
      <c r="G215" s="3">
        <v>376274</v>
      </c>
      <c r="H215" s="3">
        <v>369402</v>
      </c>
      <c r="I215" s="4" t="e">
        <v>#N/A</v>
      </c>
      <c r="J215" s="3"/>
      <c r="K215" s="3">
        <v>12763</v>
      </c>
      <c r="L215" s="3">
        <v>880</v>
      </c>
      <c r="M215" s="3">
        <v>7901</v>
      </c>
      <c r="N215" s="3">
        <v>2506</v>
      </c>
      <c r="O215" s="3">
        <v>15321</v>
      </c>
      <c r="P215" s="3">
        <v>9312</v>
      </c>
      <c r="Q215" s="3">
        <v>13103</v>
      </c>
      <c r="R215" s="3">
        <v>10106</v>
      </c>
      <c r="S215" s="3">
        <v>5741</v>
      </c>
      <c r="T215" s="3">
        <v>61961</v>
      </c>
      <c r="U215" s="3">
        <v>48740</v>
      </c>
      <c r="V215" s="3">
        <v>2121</v>
      </c>
      <c r="W215" s="3">
        <v>532</v>
      </c>
      <c r="X215" s="3">
        <v>3404</v>
      </c>
      <c r="Y215" s="3">
        <v>12982</v>
      </c>
      <c r="Z215" s="3">
        <v>3977</v>
      </c>
      <c r="AA215" s="3">
        <v>2290</v>
      </c>
      <c r="AB215" s="3">
        <v>5570</v>
      </c>
      <c r="AC215" s="3">
        <v>21441</v>
      </c>
      <c r="AD215" s="3">
        <v>13359</v>
      </c>
      <c r="AE215" s="3">
        <v>16881</v>
      </c>
      <c r="AF215" s="3">
        <v>5698</v>
      </c>
      <c r="AG215" s="3">
        <v>28392</v>
      </c>
      <c r="AH215" s="3">
        <v>13648</v>
      </c>
      <c r="AI215" s="3">
        <v>19194</v>
      </c>
      <c r="AJ215" s="3">
        <v>114111</v>
      </c>
      <c r="AK215" s="3">
        <v>80206</v>
      </c>
      <c r="AL215" s="3">
        <v>2598</v>
      </c>
      <c r="AM215" s="3">
        <v>10317</v>
      </c>
      <c r="AN215" s="3">
        <v>6708</v>
      </c>
      <c r="AO215" s="3">
        <v>6563</v>
      </c>
      <c r="AP215" s="3">
        <v>4964</v>
      </c>
      <c r="AR215" s="3">
        <f t="shared" si="27"/>
        <v>29342</v>
      </c>
      <c r="AS215" s="3">
        <f t="shared" si="27"/>
        <v>15865</v>
      </c>
      <c r="AT215" s="3">
        <f t="shared" si="27"/>
        <v>32202</v>
      </c>
      <c r="AU215" s="3">
        <f t="shared" si="28"/>
        <v>41495</v>
      </c>
      <c r="AV215" s="3">
        <f t="shared" si="29"/>
        <v>23754</v>
      </c>
      <c r="AW215" s="3">
        <f t="shared" si="30"/>
        <v>24935</v>
      </c>
      <c r="AX215" s="3">
        <f t="shared" si="31"/>
        <v>176072</v>
      </c>
      <c r="AY215" s="3">
        <f t="shared" si="32"/>
        <v>10112</v>
      </c>
      <c r="AZ215" s="3">
        <f t="shared" si="33"/>
        <v>19545</v>
      </c>
      <c r="BA215" s="3">
        <f t="shared" si="34"/>
        <v>8941</v>
      </c>
      <c r="BB215" s="3">
        <f t="shared" si="35"/>
        <v>315703</v>
      </c>
    </row>
    <row r="216" spans="1:54" x14ac:dyDescent="0.25">
      <c r="A216" t="s">
        <v>827</v>
      </c>
      <c r="B216" s="21">
        <v>2.89</v>
      </c>
      <c r="C216" s="21">
        <v>2.58</v>
      </c>
      <c r="D216" s="35">
        <v>0.25</v>
      </c>
      <c r="E216" s="3">
        <v>151299</v>
      </c>
      <c r="F216" s="3">
        <v>266917</v>
      </c>
      <c r="G216" s="3">
        <v>379101</v>
      </c>
      <c r="H216" s="3">
        <v>376117</v>
      </c>
      <c r="I216" s="4" t="e">
        <v>#N/A</v>
      </c>
      <c r="J216" s="3"/>
      <c r="K216" s="3">
        <v>12865</v>
      </c>
      <c r="L216" s="3">
        <v>882</v>
      </c>
      <c r="M216" s="3">
        <v>7891</v>
      </c>
      <c r="N216" s="3">
        <v>2474</v>
      </c>
      <c r="O216" s="3">
        <v>15402</v>
      </c>
      <c r="P216" s="3">
        <v>9301</v>
      </c>
      <c r="Q216" s="3">
        <v>13143</v>
      </c>
      <c r="R216" s="3">
        <v>10064</v>
      </c>
      <c r="S216" s="3">
        <v>5805</v>
      </c>
      <c r="T216" s="3">
        <v>62079</v>
      </c>
      <c r="U216" s="3">
        <v>48792</v>
      </c>
      <c r="V216" s="3">
        <v>2131</v>
      </c>
      <c r="W216" s="3">
        <v>448</v>
      </c>
      <c r="X216" s="3">
        <v>3361</v>
      </c>
      <c r="Y216" s="3">
        <v>12923</v>
      </c>
      <c r="Z216" s="3">
        <v>3963</v>
      </c>
      <c r="AA216" s="3">
        <v>2291</v>
      </c>
      <c r="AB216" s="3">
        <v>5482</v>
      </c>
      <c r="AC216" s="3">
        <v>22940</v>
      </c>
      <c r="AD216" s="3">
        <v>13169</v>
      </c>
      <c r="AE216" s="3">
        <v>16967</v>
      </c>
      <c r="AF216" s="3">
        <v>5711</v>
      </c>
      <c r="AG216" s="3">
        <v>29847</v>
      </c>
      <c r="AH216" s="3">
        <v>13868</v>
      </c>
      <c r="AI216" s="3">
        <v>19299</v>
      </c>
      <c r="AJ216" s="3">
        <v>115011</v>
      </c>
      <c r="AK216" s="3">
        <v>80354</v>
      </c>
      <c r="AL216" s="3">
        <v>2630</v>
      </c>
      <c r="AM216" s="3">
        <v>9658</v>
      </c>
      <c r="AN216" s="3">
        <v>6559</v>
      </c>
      <c r="AO216" s="3">
        <v>6750</v>
      </c>
      <c r="AP216" s="3">
        <v>5076</v>
      </c>
      <c r="AR216" s="3">
        <f t="shared" si="27"/>
        <v>30831</v>
      </c>
      <c r="AS216" s="3">
        <f t="shared" si="27"/>
        <v>15643</v>
      </c>
      <c r="AT216" s="3">
        <f t="shared" si="27"/>
        <v>32369</v>
      </c>
      <c r="AU216" s="3">
        <f t="shared" si="28"/>
        <v>42990</v>
      </c>
      <c r="AV216" s="3">
        <f t="shared" si="29"/>
        <v>23932</v>
      </c>
      <c r="AW216" s="3">
        <f t="shared" si="30"/>
        <v>25104</v>
      </c>
      <c r="AX216" s="3">
        <f t="shared" si="31"/>
        <v>177090</v>
      </c>
      <c r="AY216" s="3">
        <f t="shared" si="32"/>
        <v>9920</v>
      </c>
      <c r="AZ216" s="3">
        <f t="shared" si="33"/>
        <v>19673</v>
      </c>
      <c r="BA216" s="3">
        <f t="shared" si="34"/>
        <v>9039</v>
      </c>
      <c r="BB216" s="3">
        <f t="shared" si="35"/>
        <v>317854</v>
      </c>
    </row>
    <row r="217" spans="1:54" x14ac:dyDescent="0.25">
      <c r="A217" t="s">
        <v>828</v>
      </c>
      <c r="B217" s="21">
        <v>2.87</v>
      </c>
      <c r="C217" s="21">
        <v>2.57</v>
      </c>
      <c r="D217" s="35">
        <v>0.25</v>
      </c>
      <c r="E217" s="3">
        <v>152580</v>
      </c>
      <c r="F217" s="3">
        <v>267506</v>
      </c>
      <c r="G217" s="3">
        <v>384147</v>
      </c>
      <c r="H217" s="3">
        <v>387269</v>
      </c>
      <c r="I217" s="4" t="e">
        <v>#N/A</v>
      </c>
      <c r="J217" s="3"/>
      <c r="K217" s="3">
        <v>12921</v>
      </c>
      <c r="L217" s="3">
        <v>934</v>
      </c>
      <c r="M217" s="3">
        <v>8515</v>
      </c>
      <c r="N217" s="3">
        <v>2573</v>
      </c>
      <c r="O217" s="3">
        <v>15546</v>
      </c>
      <c r="P217" s="3">
        <v>9310</v>
      </c>
      <c r="Q217" s="3">
        <v>13273</v>
      </c>
      <c r="R217" s="3">
        <v>10173</v>
      </c>
      <c r="S217" s="3">
        <v>5910</v>
      </c>
      <c r="T217" s="3">
        <v>62154</v>
      </c>
      <c r="U217" s="3">
        <v>48715</v>
      </c>
      <c r="V217" s="3">
        <v>2123</v>
      </c>
      <c r="W217" s="3">
        <v>447</v>
      </c>
      <c r="X217" s="3">
        <v>3336</v>
      </c>
      <c r="Y217" s="3">
        <v>12848</v>
      </c>
      <c r="Z217" s="3">
        <v>3951</v>
      </c>
      <c r="AA217" s="3">
        <v>2289</v>
      </c>
      <c r="AB217" s="3">
        <v>5454</v>
      </c>
      <c r="AC217" s="3">
        <v>26368</v>
      </c>
      <c r="AD217" s="3">
        <v>13314</v>
      </c>
      <c r="AE217" s="3">
        <v>16114</v>
      </c>
      <c r="AF217" s="3">
        <v>5651</v>
      </c>
      <c r="AG217" s="3">
        <v>29923</v>
      </c>
      <c r="AH217" s="3">
        <v>13945</v>
      </c>
      <c r="AI217" s="3">
        <v>19076</v>
      </c>
      <c r="AJ217" s="3">
        <v>114821</v>
      </c>
      <c r="AK217" s="3">
        <v>80305</v>
      </c>
      <c r="AL217" s="3">
        <v>2591</v>
      </c>
      <c r="AM217" s="3">
        <v>7807</v>
      </c>
      <c r="AN217" s="3">
        <v>6532</v>
      </c>
      <c r="AO217" s="3">
        <v>6951</v>
      </c>
      <c r="AP217" s="3">
        <v>4913</v>
      </c>
      <c r="AR217" s="3">
        <f t="shared" si="27"/>
        <v>34883</v>
      </c>
      <c r="AS217" s="3">
        <f t="shared" si="27"/>
        <v>15887</v>
      </c>
      <c r="AT217" s="3">
        <f t="shared" si="27"/>
        <v>31660</v>
      </c>
      <c r="AU217" s="3">
        <f t="shared" si="28"/>
        <v>43196</v>
      </c>
      <c r="AV217" s="3">
        <f t="shared" si="29"/>
        <v>24118</v>
      </c>
      <c r="AW217" s="3">
        <f t="shared" si="30"/>
        <v>24986</v>
      </c>
      <c r="AX217" s="3">
        <f t="shared" si="31"/>
        <v>176975</v>
      </c>
      <c r="AY217" s="3">
        <f t="shared" si="32"/>
        <v>9868</v>
      </c>
      <c r="AZ217" s="3">
        <f t="shared" si="33"/>
        <v>19799</v>
      </c>
      <c r="BA217" s="3">
        <f t="shared" si="34"/>
        <v>8864</v>
      </c>
      <c r="BB217" s="3">
        <f t="shared" si="35"/>
        <v>316060</v>
      </c>
    </row>
    <row r="218" spans="1:54" x14ac:dyDescent="0.25">
      <c r="A218" t="s">
        <v>829</v>
      </c>
      <c r="B218" s="21">
        <v>2.78</v>
      </c>
      <c r="C218" s="21">
        <v>2.5499999999999998</v>
      </c>
      <c r="D218" s="35">
        <v>0.25</v>
      </c>
      <c r="E218" s="3">
        <v>152519</v>
      </c>
      <c r="F218" s="3">
        <v>276032</v>
      </c>
      <c r="G218" s="3">
        <v>379497</v>
      </c>
      <c r="H218" s="3">
        <v>377933</v>
      </c>
      <c r="I218" s="4" t="e">
        <v>#N/A</v>
      </c>
      <c r="J218" s="3"/>
      <c r="K218" s="3">
        <v>12937</v>
      </c>
      <c r="L218" s="3">
        <v>885</v>
      </c>
      <c r="M218" s="3">
        <v>8801</v>
      </c>
      <c r="N218" s="3">
        <v>2536</v>
      </c>
      <c r="O218" s="3">
        <v>15512</v>
      </c>
      <c r="P218" s="3">
        <v>9259</v>
      </c>
      <c r="Q218" s="3">
        <v>13271</v>
      </c>
      <c r="R218" s="3">
        <v>10200</v>
      </c>
      <c r="S218" s="3">
        <v>5882</v>
      </c>
      <c r="T218" s="3">
        <v>61918</v>
      </c>
      <c r="U218" s="3">
        <v>48649</v>
      </c>
      <c r="V218" s="3">
        <v>2088</v>
      </c>
      <c r="W218" s="3">
        <v>459</v>
      </c>
      <c r="X218" s="3">
        <v>3373</v>
      </c>
      <c r="Y218" s="3">
        <v>12826</v>
      </c>
      <c r="Z218" s="3">
        <v>3919</v>
      </c>
      <c r="AA218" s="3">
        <v>2298</v>
      </c>
      <c r="AB218" s="3">
        <v>5380</v>
      </c>
      <c r="AC218" s="3">
        <v>33261</v>
      </c>
      <c r="AD218" s="3">
        <v>13484</v>
      </c>
      <c r="AE218" s="3">
        <v>16278</v>
      </c>
      <c r="AF218" s="3">
        <v>5863</v>
      </c>
      <c r="AG218" s="3">
        <v>29639</v>
      </c>
      <c r="AH218" s="3">
        <v>13959</v>
      </c>
      <c r="AI218" s="3">
        <v>19783</v>
      </c>
      <c r="AJ218" s="3">
        <v>113429</v>
      </c>
      <c r="AK218" s="3">
        <v>79262</v>
      </c>
      <c r="AL218" s="3">
        <v>2572</v>
      </c>
      <c r="AM218" s="3">
        <v>10071</v>
      </c>
      <c r="AN218" s="3">
        <v>6567</v>
      </c>
      <c r="AO218" s="3">
        <v>6925</v>
      </c>
      <c r="AP218" s="3">
        <v>4959</v>
      </c>
      <c r="AR218" s="3">
        <f t="shared" si="27"/>
        <v>42062</v>
      </c>
      <c r="AS218" s="3">
        <f t="shared" si="27"/>
        <v>16020</v>
      </c>
      <c r="AT218" s="3">
        <f t="shared" si="27"/>
        <v>31790</v>
      </c>
      <c r="AU218" s="3">
        <f t="shared" si="28"/>
        <v>42910</v>
      </c>
      <c r="AV218" s="3">
        <f t="shared" si="29"/>
        <v>24159</v>
      </c>
      <c r="AW218" s="3">
        <f t="shared" si="30"/>
        <v>25665</v>
      </c>
      <c r="AX218" s="3">
        <f t="shared" si="31"/>
        <v>175347</v>
      </c>
      <c r="AY218" s="3">
        <f t="shared" si="32"/>
        <v>9940</v>
      </c>
      <c r="AZ218" s="3">
        <f t="shared" si="33"/>
        <v>19751</v>
      </c>
      <c r="BA218" s="3">
        <f t="shared" si="34"/>
        <v>8878</v>
      </c>
      <c r="BB218" s="3">
        <f t="shared" si="35"/>
        <v>317180</v>
      </c>
    </row>
    <row r="219" spans="1:54" x14ac:dyDescent="0.25">
      <c r="A219" t="s">
        <v>830</v>
      </c>
      <c r="B219" s="21">
        <v>2.79</v>
      </c>
      <c r="C219" s="21">
        <v>2.5299999999999998</v>
      </c>
      <c r="D219" s="35">
        <v>0.25</v>
      </c>
      <c r="E219" s="3">
        <v>151772</v>
      </c>
      <c r="F219" s="3">
        <v>272820</v>
      </c>
      <c r="G219" s="3">
        <v>384008</v>
      </c>
      <c r="H219" s="3">
        <v>385418</v>
      </c>
      <c r="I219" s="4" t="e">
        <v>#N/A</v>
      </c>
      <c r="J219" s="3"/>
      <c r="K219" s="3">
        <v>12959</v>
      </c>
      <c r="L219" s="3">
        <v>928</v>
      </c>
      <c r="M219" s="3">
        <v>8543</v>
      </c>
      <c r="N219" s="3">
        <v>2470</v>
      </c>
      <c r="O219" s="3">
        <v>15482</v>
      </c>
      <c r="P219" s="3">
        <v>9220</v>
      </c>
      <c r="Q219" s="3">
        <v>13378</v>
      </c>
      <c r="R219" s="3">
        <v>10261</v>
      </c>
      <c r="S219" s="3">
        <v>5984</v>
      </c>
      <c r="T219" s="3">
        <v>61158</v>
      </c>
      <c r="U219" s="3">
        <v>47869</v>
      </c>
      <c r="V219" s="3">
        <v>2064</v>
      </c>
      <c r="W219" s="3">
        <v>452</v>
      </c>
      <c r="X219" s="3">
        <v>3387</v>
      </c>
      <c r="Y219" s="3">
        <v>12852</v>
      </c>
      <c r="Z219" s="3">
        <v>3917</v>
      </c>
      <c r="AA219" s="3">
        <v>2251</v>
      </c>
      <c r="AB219" s="3">
        <v>5680</v>
      </c>
      <c r="AC219" s="3">
        <v>27591</v>
      </c>
      <c r="AD219" s="3">
        <v>13804</v>
      </c>
      <c r="AE219" s="3">
        <v>16342</v>
      </c>
      <c r="AF219" s="3">
        <v>5725</v>
      </c>
      <c r="AG219" s="3">
        <v>30903</v>
      </c>
      <c r="AH219" s="3">
        <v>14034</v>
      </c>
      <c r="AI219" s="3">
        <v>20253</v>
      </c>
      <c r="AJ219" s="3">
        <v>113261</v>
      </c>
      <c r="AK219" s="3">
        <v>79083</v>
      </c>
      <c r="AL219" s="3">
        <v>2613</v>
      </c>
      <c r="AM219" s="3">
        <v>10019</v>
      </c>
      <c r="AN219" s="3">
        <v>6600</v>
      </c>
      <c r="AO219" s="3">
        <v>7151</v>
      </c>
      <c r="AP219" s="3">
        <v>4929</v>
      </c>
      <c r="AR219" s="3">
        <f t="shared" si="27"/>
        <v>36134</v>
      </c>
      <c r="AS219" s="3">
        <f t="shared" si="27"/>
        <v>16274</v>
      </c>
      <c r="AT219" s="3">
        <f t="shared" si="27"/>
        <v>31824</v>
      </c>
      <c r="AU219" s="3">
        <f t="shared" si="28"/>
        <v>44281</v>
      </c>
      <c r="AV219" s="3">
        <f t="shared" si="29"/>
        <v>24295</v>
      </c>
      <c r="AW219" s="3">
        <f t="shared" si="30"/>
        <v>26237</v>
      </c>
      <c r="AX219" s="3">
        <f t="shared" si="31"/>
        <v>174419</v>
      </c>
      <c r="AY219" s="3">
        <f t="shared" si="32"/>
        <v>9987</v>
      </c>
      <c r="AZ219" s="3">
        <f t="shared" si="33"/>
        <v>20003</v>
      </c>
      <c r="BA219" s="3">
        <f t="shared" si="34"/>
        <v>8846</v>
      </c>
      <c r="BB219" s="3">
        <f t="shared" si="35"/>
        <v>318539</v>
      </c>
    </row>
    <row r="220" spans="1:54" x14ac:dyDescent="0.25">
      <c r="A220" t="s">
        <v>831</v>
      </c>
      <c r="B220" s="21">
        <v>2.81</v>
      </c>
      <c r="C220" s="21">
        <v>2.52</v>
      </c>
      <c r="D220" s="35">
        <v>0.25</v>
      </c>
      <c r="E220" s="3">
        <v>152563</v>
      </c>
      <c r="F220" s="3">
        <v>268100</v>
      </c>
      <c r="G220" s="3">
        <v>389067</v>
      </c>
      <c r="H220" s="3">
        <v>391167</v>
      </c>
      <c r="I220" s="4" t="e">
        <v>#N/A</v>
      </c>
      <c r="J220" s="3"/>
      <c r="K220" s="3">
        <v>13054</v>
      </c>
      <c r="L220" s="3">
        <v>1036</v>
      </c>
      <c r="M220" s="3">
        <v>8472</v>
      </c>
      <c r="N220" s="3">
        <v>2544</v>
      </c>
      <c r="O220" s="3">
        <v>15533</v>
      </c>
      <c r="P220" s="3">
        <v>9255</v>
      </c>
      <c r="Q220" s="3">
        <v>13243</v>
      </c>
      <c r="R220" s="3">
        <v>10357</v>
      </c>
      <c r="S220" s="3">
        <v>6066</v>
      </c>
      <c r="T220" s="3">
        <v>61621</v>
      </c>
      <c r="U220" s="3">
        <v>48257</v>
      </c>
      <c r="V220" s="3">
        <v>2055</v>
      </c>
      <c r="W220" s="3">
        <v>437</v>
      </c>
      <c r="X220" s="3">
        <v>3418</v>
      </c>
      <c r="Y220" s="3">
        <v>12890</v>
      </c>
      <c r="Z220" s="3">
        <v>3890</v>
      </c>
      <c r="AA220" s="3">
        <v>2202</v>
      </c>
      <c r="AB220" s="3">
        <v>6168</v>
      </c>
      <c r="AC220" s="3">
        <v>25824</v>
      </c>
      <c r="AD220" s="3">
        <v>13507</v>
      </c>
      <c r="AE220" s="3">
        <v>16200</v>
      </c>
      <c r="AF220" s="3">
        <v>5629</v>
      </c>
      <c r="AG220" s="3">
        <v>29426</v>
      </c>
      <c r="AH220" s="3">
        <v>13490</v>
      </c>
      <c r="AI220" s="3">
        <v>20336</v>
      </c>
      <c r="AJ220" s="3">
        <v>113769</v>
      </c>
      <c r="AK220" s="3">
        <v>79732</v>
      </c>
      <c r="AL220" s="3">
        <v>2732</v>
      </c>
      <c r="AM220" s="3">
        <v>9356</v>
      </c>
      <c r="AN220" s="3">
        <v>6469</v>
      </c>
      <c r="AO220" s="3">
        <v>6496</v>
      </c>
      <c r="AP220" s="3">
        <v>4857</v>
      </c>
      <c r="AR220" s="3">
        <f t="shared" si="27"/>
        <v>34296</v>
      </c>
      <c r="AS220" s="3">
        <f t="shared" si="27"/>
        <v>16051</v>
      </c>
      <c r="AT220" s="3">
        <f t="shared" si="27"/>
        <v>31733</v>
      </c>
      <c r="AU220" s="3">
        <f t="shared" si="28"/>
        <v>42669</v>
      </c>
      <c r="AV220" s="3">
        <f t="shared" si="29"/>
        <v>23847</v>
      </c>
      <c r="AW220" s="3">
        <f t="shared" si="30"/>
        <v>26402</v>
      </c>
      <c r="AX220" s="3">
        <f t="shared" si="31"/>
        <v>175390</v>
      </c>
      <c r="AY220" s="3">
        <f t="shared" si="32"/>
        <v>9887</v>
      </c>
      <c r="AZ220" s="3">
        <f t="shared" si="33"/>
        <v>19386</v>
      </c>
      <c r="BA220" s="3">
        <f t="shared" si="34"/>
        <v>8747</v>
      </c>
      <c r="BB220" s="3">
        <f t="shared" si="35"/>
        <v>316121</v>
      </c>
    </row>
    <row r="221" spans="1:54" x14ac:dyDescent="0.25">
      <c r="A221" t="s">
        <v>832</v>
      </c>
      <c r="B221" s="21">
        <v>2.82</v>
      </c>
      <c r="C221" s="21">
        <v>2.5</v>
      </c>
      <c r="D221" s="35">
        <v>0.25</v>
      </c>
      <c r="E221" s="3">
        <v>152409</v>
      </c>
      <c r="F221" s="3">
        <v>268491</v>
      </c>
      <c r="G221" s="3">
        <v>390045</v>
      </c>
      <c r="H221" s="3">
        <v>390847</v>
      </c>
      <c r="I221" s="4">
        <v>-0.8</v>
      </c>
      <c r="J221" s="3"/>
      <c r="K221" s="3">
        <v>13045</v>
      </c>
      <c r="L221" s="3">
        <v>1085</v>
      </c>
      <c r="M221" s="3">
        <v>8455</v>
      </c>
      <c r="N221" s="3">
        <v>2543</v>
      </c>
      <c r="O221" s="3">
        <v>15371</v>
      </c>
      <c r="P221" s="3">
        <v>9098</v>
      </c>
      <c r="Q221" s="3">
        <v>13282</v>
      </c>
      <c r="R221" s="3">
        <v>10232</v>
      </c>
      <c r="S221" s="3">
        <v>6154</v>
      </c>
      <c r="T221" s="3">
        <v>61529</v>
      </c>
      <c r="U221" s="3">
        <v>48210</v>
      </c>
      <c r="V221" s="3">
        <v>2053</v>
      </c>
      <c r="W221" s="3">
        <v>490</v>
      </c>
      <c r="X221" s="3">
        <v>3417</v>
      </c>
      <c r="Y221" s="3">
        <v>12907</v>
      </c>
      <c r="Z221" s="3">
        <v>3899</v>
      </c>
      <c r="AA221" s="3">
        <v>2194</v>
      </c>
      <c r="AB221" s="3">
        <v>6230</v>
      </c>
      <c r="AC221" s="3">
        <v>25798</v>
      </c>
      <c r="AD221" s="3">
        <v>13455</v>
      </c>
      <c r="AE221" s="3">
        <v>16382</v>
      </c>
      <c r="AF221" s="3">
        <v>5662</v>
      </c>
      <c r="AG221" s="3">
        <v>29390</v>
      </c>
      <c r="AH221" s="3">
        <v>13894</v>
      </c>
      <c r="AI221" s="3">
        <v>20902</v>
      </c>
      <c r="AJ221" s="3">
        <v>113052</v>
      </c>
      <c r="AK221" s="3">
        <v>78720</v>
      </c>
      <c r="AL221" s="3">
        <v>2658</v>
      </c>
      <c r="AM221" s="3">
        <v>9294</v>
      </c>
      <c r="AN221" s="3">
        <v>6324</v>
      </c>
      <c r="AO221" s="3">
        <v>6747</v>
      </c>
      <c r="AP221" s="3">
        <v>4828</v>
      </c>
      <c r="AR221" s="3">
        <f t="shared" si="27"/>
        <v>34253</v>
      </c>
      <c r="AS221" s="3">
        <f t="shared" si="27"/>
        <v>15998</v>
      </c>
      <c r="AT221" s="3">
        <f t="shared" si="27"/>
        <v>31753</v>
      </c>
      <c r="AU221" s="3">
        <f t="shared" si="28"/>
        <v>42672</v>
      </c>
      <c r="AV221" s="3">
        <f t="shared" si="29"/>
        <v>24126</v>
      </c>
      <c r="AW221" s="3">
        <f t="shared" si="30"/>
        <v>27056</v>
      </c>
      <c r="AX221" s="3">
        <f t="shared" si="31"/>
        <v>174581</v>
      </c>
      <c r="AY221" s="3">
        <f t="shared" si="32"/>
        <v>9741</v>
      </c>
      <c r="AZ221" s="3">
        <f t="shared" si="33"/>
        <v>19654</v>
      </c>
      <c r="BA221" s="3">
        <f t="shared" si="34"/>
        <v>8727</v>
      </c>
      <c r="BB221" s="3">
        <f t="shared" si="35"/>
        <v>316341</v>
      </c>
    </row>
    <row r="222" spans="1:54" x14ac:dyDescent="0.25">
      <c r="A222" t="s">
        <v>833</v>
      </c>
      <c r="B222" s="21">
        <v>2.91</v>
      </c>
      <c r="C222" s="21">
        <v>2.5</v>
      </c>
      <c r="D222" s="35">
        <v>0.48863636363636365</v>
      </c>
      <c r="E222" s="3">
        <v>152757</v>
      </c>
      <c r="F222" s="3">
        <v>265825</v>
      </c>
      <c r="G222" s="3">
        <v>393924</v>
      </c>
      <c r="H222" s="3">
        <v>399901</v>
      </c>
      <c r="I222" s="4">
        <v>-0.8</v>
      </c>
      <c r="J222" s="3"/>
      <c r="K222" s="3">
        <v>13152</v>
      </c>
      <c r="L222" s="3">
        <v>1004</v>
      </c>
      <c r="M222" s="3">
        <v>8501</v>
      </c>
      <c r="N222" s="3">
        <v>2651</v>
      </c>
      <c r="O222" s="3">
        <v>15486</v>
      </c>
      <c r="P222" s="3">
        <v>9132</v>
      </c>
      <c r="Q222" s="3">
        <v>13184</v>
      </c>
      <c r="R222" s="3">
        <v>10306</v>
      </c>
      <c r="S222" s="3">
        <v>6074</v>
      </c>
      <c r="T222" s="3">
        <v>61683</v>
      </c>
      <c r="U222" s="3">
        <v>48322</v>
      </c>
      <c r="V222" s="3">
        <v>2044</v>
      </c>
      <c r="W222" s="3">
        <v>556</v>
      </c>
      <c r="X222" s="3">
        <v>3423</v>
      </c>
      <c r="Y222" s="3">
        <v>12908</v>
      </c>
      <c r="Z222" s="3">
        <v>3828</v>
      </c>
      <c r="AA222" s="3">
        <v>2202</v>
      </c>
      <c r="AB222" s="3">
        <v>5970</v>
      </c>
      <c r="AC222" s="3">
        <v>25466</v>
      </c>
      <c r="AD222" s="3">
        <v>13542</v>
      </c>
      <c r="AE222" s="3">
        <v>16541</v>
      </c>
      <c r="AF222" s="3">
        <v>5573</v>
      </c>
      <c r="AG222" s="3">
        <v>28168</v>
      </c>
      <c r="AH222" s="3">
        <v>13933</v>
      </c>
      <c r="AI222" s="3">
        <v>19799</v>
      </c>
      <c r="AJ222" s="3">
        <v>112756</v>
      </c>
      <c r="AK222" s="3">
        <v>78965</v>
      </c>
      <c r="AL222" s="3">
        <v>2698</v>
      </c>
      <c r="AM222" s="3">
        <v>9354</v>
      </c>
      <c r="AN222" s="3">
        <v>6312</v>
      </c>
      <c r="AO222" s="3">
        <v>6977</v>
      </c>
      <c r="AP222" s="3">
        <v>4805</v>
      </c>
      <c r="AR222" s="3">
        <f t="shared" si="27"/>
        <v>33967</v>
      </c>
      <c r="AS222" s="3">
        <f t="shared" si="27"/>
        <v>16193</v>
      </c>
      <c r="AT222" s="3">
        <f t="shared" si="27"/>
        <v>32027</v>
      </c>
      <c r="AU222" s="3">
        <f t="shared" si="28"/>
        <v>41352</v>
      </c>
      <c r="AV222" s="3">
        <f t="shared" si="29"/>
        <v>24239</v>
      </c>
      <c r="AW222" s="3">
        <f t="shared" si="30"/>
        <v>25873</v>
      </c>
      <c r="AX222" s="3">
        <f t="shared" si="31"/>
        <v>174439</v>
      </c>
      <c r="AY222" s="3">
        <f t="shared" si="32"/>
        <v>9735</v>
      </c>
      <c r="AZ222" s="3">
        <f t="shared" si="33"/>
        <v>19885</v>
      </c>
      <c r="BA222" s="3">
        <f t="shared" si="34"/>
        <v>8633</v>
      </c>
      <c r="BB222" s="3">
        <f t="shared" si="35"/>
        <v>314066</v>
      </c>
    </row>
    <row r="223" spans="1:54" x14ac:dyDescent="0.25">
      <c r="A223" t="s">
        <v>834</v>
      </c>
      <c r="B223" s="21">
        <v>2.96</v>
      </c>
      <c r="C223" s="21">
        <v>2.5499999999999998</v>
      </c>
      <c r="D223" s="35">
        <v>0.5</v>
      </c>
      <c r="E223" s="3">
        <v>152793</v>
      </c>
      <c r="F223" s="3">
        <v>266731</v>
      </c>
      <c r="G223" s="3">
        <v>392951</v>
      </c>
      <c r="H223" s="3">
        <v>399964</v>
      </c>
      <c r="I223" s="4" t="e">
        <v>#N/A</v>
      </c>
      <c r="J223" s="3"/>
      <c r="K223" s="3">
        <v>13198</v>
      </c>
      <c r="L223" s="3">
        <v>962</v>
      </c>
      <c r="M223" s="3">
        <v>8588</v>
      </c>
      <c r="N223" s="3">
        <v>2716</v>
      </c>
      <c r="O223" s="3">
        <v>15146</v>
      </c>
      <c r="P223" s="3">
        <v>8820</v>
      </c>
      <c r="Q223" s="3">
        <v>13201</v>
      </c>
      <c r="R223" s="3">
        <v>10281</v>
      </c>
      <c r="S223" s="3">
        <v>6162</v>
      </c>
      <c r="T223" s="3">
        <v>61687</v>
      </c>
      <c r="U223" s="3">
        <v>48253</v>
      </c>
      <c r="V223" s="3">
        <v>2031</v>
      </c>
      <c r="W223" s="3">
        <v>622</v>
      </c>
      <c r="X223" s="3">
        <v>3373</v>
      </c>
      <c r="Y223" s="3">
        <v>12936</v>
      </c>
      <c r="Z223" s="3">
        <v>3922</v>
      </c>
      <c r="AA223" s="3">
        <v>2243</v>
      </c>
      <c r="AB223" s="3">
        <v>5968</v>
      </c>
      <c r="AC223" s="3">
        <v>25769</v>
      </c>
      <c r="AD223" s="3">
        <v>13866</v>
      </c>
      <c r="AE223" s="3">
        <v>15910</v>
      </c>
      <c r="AF223" s="3">
        <v>5649</v>
      </c>
      <c r="AG223" s="3">
        <v>28310</v>
      </c>
      <c r="AH223" s="3">
        <v>14698</v>
      </c>
      <c r="AI223" s="3">
        <v>20296</v>
      </c>
      <c r="AJ223" s="3">
        <v>111989</v>
      </c>
      <c r="AK223" s="3">
        <v>79516</v>
      </c>
      <c r="AL223" s="3">
        <v>2621</v>
      </c>
      <c r="AM223" s="3">
        <v>9810</v>
      </c>
      <c r="AN223" s="3">
        <v>6387</v>
      </c>
      <c r="AO223" s="3">
        <v>6437</v>
      </c>
      <c r="AP223" s="3">
        <v>5049</v>
      </c>
      <c r="AR223" s="3">
        <f t="shared" si="27"/>
        <v>34357</v>
      </c>
      <c r="AS223" s="3">
        <f t="shared" si="27"/>
        <v>16582</v>
      </c>
      <c r="AT223" s="3">
        <f t="shared" si="27"/>
        <v>31056</v>
      </c>
      <c r="AU223" s="3">
        <f t="shared" si="28"/>
        <v>41511</v>
      </c>
      <c r="AV223" s="3">
        <f t="shared" si="29"/>
        <v>24979</v>
      </c>
      <c r="AW223" s="3">
        <f t="shared" si="30"/>
        <v>26458</v>
      </c>
      <c r="AX223" s="3">
        <f t="shared" si="31"/>
        <v>173676</v>
      </c>
      <c r="AY223" s="3">
        <f t="shared" si="32"/>
        <v>9760</v>
      </c>
      <c r="AZ223" s="3">
        <f t="shared" si="33"/>
        <v>19373</v>
      </c>
      <c r="BA223" s="3">
        <f t="shared" si="34"/>
        <v>8971</v>
      </c>
      <c r="BB223" s="3">
        <f t="shared" si="35"/>
        <v>315160</v>
      </c>
    </row>
    <row r="224" spans="1:54" x14ac:dyDescent="0.25">
      <c r="A224" t="s">
        <v>835</v>
      </c>
      <c r="B224" s="21">
        <v>3.05</v>
      </c>
      <c r="C224" s="21">
        <v>2.5299999999999998</v>
      </c>
      <c r="D224" s="35">
        <v>0.5</v>
      </c>
      <c r="E224" s="3">
        <v>152747</v>
      </c>
      <c r="F224" s="3">
        <v>263595</v>
      </c>
      <c r="G224" s="3">
        <v>394807</v>
      </c>
      <c r="H224" s="3">
        <v>389987</v>
      </c>
      <c r="I224" s="4">
        <v>-0.6</v>
      </c>
      <c r="J224" s="3"/>
      <c r="K224" s="3">
        <v>13103</v>
      </c>
      <c r="L224" s="3">
        <v>950</v>
      </c>
      <c r="M224" s="3">
        <v>8759</v>
      </c>
      <c r="N224" s="3">
        <v>2735</v>
      </c>
      <c r="O224" s="3">
        <v>15133</v>
      </c>
      <c r="P224" s="3">
        <v>8802</v>
      </c>
      <c r="Q224" s="3">
        <v>13074</v>
      </c>
      <c r="R224" s="3">
        <v>10467</v>
      </c>
      <c r="S224" s="3">
        <v>6035</v>
      </c>
      <c r="T224" s="3">
        <v>61725</v>
      </c>
      <c r="U224" s="3">
        <v>48248</v>
      </c>
      <c r="V224" s="3">
        <v>2043</v>
      </c>
      <c r="W224" s="3">
        <v>588</v>
      </c>
      <c r="X224" s="3">
        <v>3314</v>
      </c>
      <c r="Y224" s="3">
        <v>12973</v>
      </c>
      <c r="Z224" s="3">
        <v>3892</v>
      </c>
      <c r="AA224" s="3">
        <v>2268</v>
      </c>
      <c r="AB224" s="3">
        <v>5646</v>
      </c>
      <c r="AC224" s="3">
        <v>25886</v>
      </c>
      <c r="AD224" s="3">
        <v>14062</v>
      </c>
      <c r="AE224" s="3">
        <v>16148</v>
      </c>
      <c r="AF224" s="3">
        <v>5688</v>
      </c>
      <c r="AG224" s="3">
        <v>28087</v>
      </c>
      <c r="AH224" s="3">
        <v>14328</v>
      </c>
      <c r="AI224" s="3">
        <v>19850</v>
      </c>
      <c r="AJ224" s="3">
        <v>111551</v>
      </c>
      <c r="AK224" s="3">
        <v>79634</v>
      </c>
      <c r="AL224" s="3">
        <v>2591</v>
      </c>
      <c r="AM224" s="3">
        <v>7922</v>
      </c>
      <c r="AN224" s="3">
        <v>6377</v>
      </c>
      <c r="AO224" s="3">
        <v>6556</v>
      </c>
      <c r="AP224" s="3">
        <v>4913</v>
      </c>
      <c r="AR224" s="3">
        <f t="shared" si="27"/>
        <v>34645</v>
      </c>
      <c r="AS224" s="3">
        <f t="shared" si="27"/>
        <v>16797</v>
      </c>
      <c r="AT224" s="3">
        <f t="shared" si="27"/>
        <v>31281</v>
      </c>
      <c r="AU224" s="3">
        <f t="shared" si="28"/>
        <v>41161</v>
      </c>
      <c r="AV224" s="3">
        <f t="shared" si="29"/>
        <v>24795</v>
      </c>
      <c r="AW224" s="3">
        <f t="shared" si="30"/>
        <v>25885</v>
      </c>
      <c r="AX224" s="3">
        <f t="shared" si="31"/>
        <v>173276</v>
      </c>
      <c r="AY224" s="3">
        <f t="shared" si="32"/>
        <v>9691</v>
      </c>
      <c r="AZ224" s="3">
        <f t="shared" si="33"/>
        <v>19529</v>
      </c>
      <c r="BA224" s="3">
        <f t="shared" si="34"/>
        <v>8805</v>
      </c>
      <c r="BB224" s="3">
        <f t="shared" si="35"/>
        <v>311652</v>
      </c>
    </row>
    <row r="225" spans="1:54" x14ac:dyDescent="0.25">
      <c r="A225" t="s">
        <v>836</v>
      </c>
      <c r="B225" s="21">
        <v>3.06</v>
      </c>
      <c r="C225" s="21">
        <v>2.52</v>
      </c>
      <c r="D225" s="35">
        <v>0.5</v>
      </c>
      <c r="E225" s="3">
        <v>153211</v>
      </c>
      <c r="F225" s="3">
        <v>267586</v>
      </c>
      <c r="G225" s="3">
        <v>397088</v>
      </c>
      <c r="H225" s="3">
        <v>389625</v>
      </c>
      <c r="I225" s="4">
        <v>-0.7</v>
      </c>
      <c r="J225" s="3"/>
      <c r="K225" s="3">
        <v>13064</v>
      </c>
      <c r="L225" s="3">
        <v>1091</v>
      </c>
      <c r="M225" s="3">
        <v>8665</v>
      </c>
      <c r="N225" s="3">
        <v>2809</v>
      </c>
      <c r="O225" s="3">
        <v>15196</v>
      </c>
      <c r="P225" s="3">
        <v>8784</v>
      </c>
      <c r="Q225" s="3">
        <v>13331</v>
      </c>
      <c r="R225" s="3">
        <v>10523</v>
      </c>
      <c r="S225" s="3">
        <v>6103</v>
      </c>
      <c r="T225" s="3">
        <v>61675</v>
      </c>
      <c r="U225" s="3">
        <v>48257</v>
      </c>
      <c r="V225" s="3">
        <v>1987</v>
      </c>
      <c r="W225" s="3">
        <v>615</v>
      </c>
      <c r="X225" s="3">
        <v>3322</v>
      </c>
      <c r="Y225" s="3">
        <v>12918</v>
      </c>
      <c r="Z225" s="3">
        <v>3901</v>
      </c>
      <c r="AA225" s="3">
        <v>2318</v>
      </c>
      <c r="AB225" s="3">
        <v>6124</v>
      </c>
      <c r="AC225" s="3">
        <v>25477</v>
      </c>
      <c r="AD225" s="3">
        <v>14283</v>
      </c>
      <c r="AE225" s="3">
        <v>16714</v>
      </c>
      <c r="AF225" s="3">
        <v>5939</v>
      </c>
      <c r="AG225" s="3">
        <v>30127</v>
      </c>
      <c r="AH225" s="3">
        <v>14666</v>
      </c>
      <c r="AI225" s="3">
        <v>19649</v>
      </c>
      <c r="AJ225" s="3">
        <v>111632</v>
      </c>
      <c r="AK225" s="3">
        <v>79683</v>
      </c>
      <c r="AL225" s="3">
        <v>2508</v>
      </c>
      <c r="AM225" s="3">
        <v>8539</v>
      </c>
      <c r="AN225" s="3">
        <v>6266</v>
      </c>
      <c r="AO225" s="3">
        <v>6833</v>
      </c>
      <c r="AP225" s="3">
        <v>4959</v>
      </c>
      <c r="AR225" s="3">
        <f t="shared" si="27"/>
        <v>34142</v>
      </c>
      <c r="AS225" s="3">
        <f t="shared" si="27"/>
        <v>17092</v>
      </c>
      <c r="AT225" s="3">
        <f t="shared" si="27"/>
        <v>31910</v>
      </c>
      <c r="AU225" s="3">
        <f t="shared" si="28"/>
        <v>43458</v>
      </c>
      <c r="AV225" s="3">
        <f t="shared" si="29"/>
        <v>25189</v>
      </c>
      <c r="AW225" s="3">
        <f t="shared" si="30"/>
        <v>25752</v>
      </c>
      <c r="AX225" s="3">
        <f t="shared" si="31"/>
        <v>173307</v>
      </c>
      <c r="AY225" s="3">
        <f t="shared" si="32"/>
        <v>9588</v>
      </c>
      <c r="AZ225" s="3">
        <f t="shared" si="33"/>
        <v>19751</v>
      </c>
      <c r="BA225" s="3">
        <f t="shared" si="34"/>
        <v>8860</v>
      </c>
      <c r="BB225" s="3">
        <f t="shared" si="35"/>
        <v>315059</v>
      </c>
    </row>
    <row r="226" spans="1:54" x14ac:dyDescent="0.25">
      <c r="A226" t="s">
        <v>837</v>
      </c>
      <c r="B226" s="21">
        <v>3.09</v>
      </c>
      <c r="C226" s="21">
        <v>2.5099999999999998</v>
      </c>
      <c r="D226" s="35">
        <v>0.5</v>
      </c>
      <c r="E226" s="3">
        <v>153197</v>
      </c>
      <c r="F226" s="3">
        <v>271366</v>
      </c>
      <c r="G226" s="3">
        <v>397011</v>
      </c>
      <c r="H226" s="3">
        <v>396090</v>
      </c>
      <c r="I226" s="4" t="e">
        <v>#N/A</v>
      </c>
      <c r="J226" s="3"/>
      <c r="K226" s="3">
        <v>13062</v>
      </c>
      <c r="L226" s="3">
        <v>1044</v>
      </c>
      <c r="M226" s="3">
        <v>8540</v>
      </c>
      <c r="N226" s="3">
        <v>2822</v>
      </c>
      <c r="O226" s="3">
        <v>15117</v>
      </c>
      <c r="P226" s="3">
        <v>8757</v>
      </c>
      <c r="Q226" s="3">
        <v>13264</v>
      </c>
      <c r="R226" s="3">
        <v>10373</v>
      </c>
      <c r="S226" s="3">
        <v>6106</v>
      </c>
      <c r="T226" s="3">
        <v>62077</v>
      </c>
      <c r="U226" s="3">
        <v>48530</v>
      </c>
      <c r="V226" s="3">
        <v>1993</v>
      </c>
      <c r="W226" s="3">
        <v>682</v>
      </c>
      <c r="X226" s="3">
        <v>3331</v>
      </c>
      <c r="Y226" s="3">
        <v>12900</v>
      </c>
      <c r="Z226" s="3">
        <v>3879</v>
      </c>
      <c r="AA226" s="3">
        <v>2395</v>
      </c>
      <c r="AB226" s="3">
        <v>6107</v>
      </c>
      <c r="AC226" s="3">
        <v>25710</v>
      </c>
      <c r="AD226" s="3">
        <v>14087</v>
      </c>
      <c r="AE226" s="3">
        <v>16654</v>
      </c>
      <c r="AF226" s="3">
        <v>6116</v>
      </c>
      <c r="AG226" s="3">
        <v>30139</v>
      </c>
      <c r="AH226" s="3">
        <v>14494</v>
      </c>
      <c r="AI226" s="3">
        <v>19372</v>
      </c>
      <c r="AJ226" s="3">
        <v>112278</v>
      </c>
      <c r="AK226" s="3">
        <v>79884</v>
      </c>
      <c r="AL226" s="3">
        <v>2510</v>
      </c>
      <c r="AM226" s="3">
        <v>12385</v>
      </c>
      <c r="AN226" s="3">
        <v>6325</v>
      </c>
      <c r="AO226" s="3">
        <v>6775</v>
      </c>
      <c r="AP226" s="3">
        <v>4647</v>
      </c>
      <c r="AR226" s="3">
        <f t="shared" si="27"/>
        <v>34250</v>
      </c>
      <c r="AS226" s="3">
        <f t="shared" si="27"/>
        <v>16909</v>
      </c>
      <c r="AT226" s="3">
        <f t="shared" si="27"/>
        <v>31771</v>
      </c>
      <c r="AU226" s="3">
        <f t="shared" si="28"/>
        <v>43403</v>
      </c>
      <c r="AV226" s="3">
        <f t="shared" si="29"/>
        <v>24867</v>
      </c>
      <c r="AW226" s="3">
        <f t="shared" si="30"/>
        <v>25478</v>
      </c>
      <c r="AX226" s="3">
        <f t="shared" si="31"/>
        <v>174355</v>
      </c>
      <c r="AY226" s="3">
        <f t="shared" si="32"/>
        <v>9656</v>
      </c>
      <c r="AZ226" s="3">
        <f t="shared" si="33"/>
        <v>19675</v>
      </c>
      <c r="BA226" s="3">
        <f t="shared" si="34"/>
        <v>8526</v>
      </c>
      <c r="BB226" s="3">
        <f t="shared" si="35"/>
        <v>319027</v>
      </c>
    </row>
    <row r="227" spans="1:54" x14ac:dyDescent="0.25">
      <c r="A227" t="s">
        <v>838</v>
      </c>
      <c r="B227" s="21">
        <v>3.18</v>
      </c>
      <c r="C227" s="21">
        <v>2.4900000000000002</v>
      </c>
      <c r="D227" s="35">
        <v>0.5</v>
      </c>
      <c r="E227" s="3">
        <v>152577</v>
      </c>
      <c r="F227" s="3">
        <v>269011</v>
      </c>
      <c r="G227" s="3">
        <v>404718</v>
      </c>
      <c r="H227" s="3">
        <v>397329</v>
      </c>
      <c r="I227" s="4">
        <v>-0.7</v>
      </c>
      <c r="J227" s="3"/>
      <c r="K227" s="3">
        <v>13230</v>
      </c>
      <c r="L227" s="3">
        <v>1010</v>
      </c>
      <c r="M227" s="3">
        <v>8427</v>
      </c>
      <c r="N227" s="3">
        <v>2803</v>
      </c>
      <c r="O227" s="3">
        <v>15155</v>
      </c>
      <c r="P227" s="3">
        <v>8775</v>
      </c>
      <c r="Q227" s="3">
        <v>13171</v>
      </c>
      <c r="R227" s="3">
        <v>10339</v>
      </c>
      <c r="S227" s="3">
        <v>6074</v>
      </c>
      <c r="T227" s="3">
        <v>61798</v>
      </c>
      <c r="U227" s="3">
        <v>48140</v>
      </c>
      <c r="V227" s="3">
        <v>2191</v>
      </c>
      <c r="W227" s="3">
        <v>618</v>
      </c>
      <c r="X227" s="3">
        <v>3273</v>
      </c>
      <c r="Y227" s="3">
        <v>12769</v>
      </c>
      <c r="Z227" s="3">
        <v>3907</v>
      </c>
      <c r="AA227" s="3">
        <v>2207</v>
      </c>
      <c r="AB227" s="3">
        <v>6395</v>
      </c>
      <c r="AC227" s="3">
        <v>25948</v>
      </c>
      <c r="AD227" s="3">
        <v>14288</v>
      </c>
      <c r="AE227" s="3">
        <v>16503</v>
      </c>
      <c r="AF227" s="3">
        <v>6208</v>
      </c>
      <c r="AG227" s="3">
        <v>30297</v>
      </c>
      <c r="AH227" s="3">
        <v>14444</v>
      </c>
      <c r="AI227" s="3">
        <v>19079</v>
      </c>
      <c r="AJ227" s="3">
        <v>112640</v>
      </c>
      <c r="AK227" s="3">
        <v>79323</v>
      </c>
      <c r="AL227" s="3">
        <v>3414</v>
      </c>
      <c r="AM227" s="3">
        <v>9538</v>
      </c>
      <c r="AN227" s="3">
        <v>6349</v>
      </c>
      <c r="AO227" s="3">
        <v>6911</v>
      </c>
      <c r="AP227" s="3">
        <v>4411</v>
      </c>
      <c r="AR227" s="3">
        <f t="shared" si="27"/>
        <v>34375</v>
      </c>
      <c r="AS227" s="3">
        <f t="shared" si="27"/>
        <v>17091</v>
      </c>
      <c r="AT227" s="3">
        <f t="shared" si="27"/>
        <v>31658</v>
      </c>
      <c r="AU227" s="3">
        <f t="shared" si="28"/>
        <v>43468</v>
      </c>
      <c r="AV227" s="3">
        <f t="shared" si="29"/>
        <v>24783</v>
      </c>
      <c r="AW227" s="3">
        <f t="shared" si="30"/>
        <v>25153</v>
      </c>
      <c r="AX227" s="3">
        <f t="shared" si="31"/>
        <v>174438</v>
      </c>
      <c r="AY227" s="3">
        <f t="shared" si="32"/>
        <v>9622</v>
      </c>
      <c r="AZ227" s="3">
        <f t="shared" si="33"/>
        <v>19680</v>
      </c>
      <c r="BA227" s="3">
        <f t="shared" si="34"/>
        <v>8318</v>
      </c>
      <c r="BB227" s="3">
        <f t="shared" si="35"/>
        <v>315618</v>
      </c>
    </row>
    <row r="228" spans="1:54" x14ac:dyDescent="0.25">
      <c r="A228" t="s">
        <v>839</v>
      </c>
      <c r="B228" s="21">
        <v>3.19</v>
      </c>
      <c r="C228" s="21">
        <v>2.48</v>
      </c>
      <c r="D228" s="35">
        <v>0.5</v>
      </c>
      <c r="E228" s="3">
        <v>153271</v>
      </c>
      <c r="F228" s="3">
        <v>268797</v>
      </c>
      <c r="G228" s="3">
        <v>408391</v>
      </c>
      <c r="H228" s="3">
        <v>406531</v>
      </c>
      <c r="I228" s="4" t="e">
        <v>#N/A</v>
      </c>
      <c r="J228" s="3"/>
      <c r="K228" s="3">
        <v>13323</v>
      </c>
      <c r="L228" s="3">
        <v>980</v>
      </c>
      <c r="M228" s="3">
        <v>8591</v>
      </c>
      <c r="N228" s="3">
        <v>2783</v>
      </c>
      <c r="O228" s="3">
        <v>15146</v>
      </c>
      <c r="P228" s="3">
        <v>8787</v>
      </c>
      <c r="Q228" s="3">
        <v>13212</v>
      </c>
      <c r="R228" s="3">
        <v>10308</v>
      </c>
      <c r="S228" s="3">
        <v>6145</v>
      </c>
      <c r="T228" s="3">
        <v>62228</v>
      </c>
      <c r="U228" s="3">
        <v>48507</v>
      </c>
      <c r="V228" s="3">
        <v>2266</v>
      </c>
      <c r="W228" s="3">
        <v>659</v>
      </c>
      <c r="X228" s="3">
        <v>3263</v>
      </c>
      <c r="Y228" s="3">
        <v>12748</v>
      </c>
      <c r="Z228" s="3">
        <v>3886</v>
      </c>
      <c r="AA228" s="3">
        <v>2221</v>
      </c>
      <c r="AB228" s="3">
        <v>6805</v>
      </c>
      <c r="AC228" s="3">
        <v>26565</v>
      </c>
      <c r="AD228" s="3">
        <v>14180</v>
      </c>
      <c r="AE228" s="3">
        <v>16478</v>
      </c>
      <c r="AF228" s="3">
        <v>6151</v>
      </c>
      <c r="AG228" s="3">
        <v>29765</v>
      </c>
      <c r="AH228" s="3">
        <v>14988</v>
      </c>
      <c r="AI228" s="3">
        <v>19254</v>
      </c>
      <c r="AJ228" s="3">
        <v>112822</v>
      </c>
      <c r="AK228" s="3">
        <v>79906</v>
      </c>
      <c r="AL228" s="3">
        <v>3449</v>
      </c>
      <c r="AM228" s="3">
        <v>8169</v>
      </c>
      <c r="AN228" s="3">
        <v>6316</v>
      </c>
      <c r="AO228" s="3">
        <v>7055</v>
      </c>
      <c r="AP228" s="3">
        <v>4178</v>
      </c>
      <c r="AR228" s="3">
        <f t="shared" si="27"/>
        <v>35156</v>
      </c>
      <c r="AS228" s="3">
        <f t="shared" si="27"/>
        <v>16963</v>
      </c>
      <c r="AT228" s="3">
        <f t="shared" si="27"/>
        <v>31624</v>
      </c>
      <c r="AU228" s="3">
        <f t="shared" si="28"/>
        <v>42977</v>
      </c>
      <c r="AV228" s="3">
        <f t="shared" si="29"/>
        <v>25296</v>
      </c>
      <c r="AW228" s="3">
        <f t="shared" si="30"/>
        <v>25399</v>
      </c>
      <c r="AX228" s="3">
        <f t="shared" si="31"/>
        <v>175050</v>
      </c>
      <c r="AY228" s="3">
        <f t="shared" si="32"/>
        <v>9579</v>
      </c>
      <c r="AZ228" s="3">
        <f t="shared" si="33"/>
        <v>19803</v>
      </c>
      <c r="BA228" s="3">
        <f t="shared" si="34"/>
        <v>8064</v>
      </c>
      <c r="BB228" s="3">
        <f t="shared" si="35"/>
        <v>314996</v>
      </c>
    </row>
    <row r="229" spans="1:54" x14ac:dyDescent="0.25">
      <c r="A229" t="s">
        <v>840</v>
      </c>
      <c r="B229" s="21">
        <v>3.22</v>
      </c>
      <c r="C229" s="21">
        <v>2.48</v>
      </c>
      <c r="D229" s="35">
        <v>0.5</v>
      </c>
      <c r="E229" s="3">
        <v>154169</v>
      </c>
      <c r="F229" s="3">
        <v>269355</v>
      </c>
      <c r="G229" s="3">
        <v>409566</v>
      </c>
      <c r="H229" s="3">
        <v>412314</v>
      </c>
      <c r="I229" s="4">
        <v>-0.7</v>
      </c>
      <c r="J229" s="3"/>
      <c r="K229" s="3">
        <v>13291</v>
      </c>
      <c r="L229" s="3">
        <v>1110</v>
      </c>
      <c r="M229" s="3">
        <v>8890</v>
      </c>
      <c r="N229" s="3">
        <v>2813</v>
      </c>
      <c r="O229" s="3">
        <v>15043</v>
      </c>
      <c r="P229" s="3">
        <v>8693</v>
      </c>
      <c r="Q229" s="3">
        <v>13163</v>
      </c>
      <c r="R229" s="3">
        <v>10301</v>
      </c>
      <c r="S229" s="3">
        <v>6074</v>
      </c>
      <c r="T229" s="3">
        <v>62818</v>
      </c>
      <c r="U229" s="3">
        <v>48968</v>
      </c>
      <c r="V229" s="3">
        <v>2299</v>
      </c>
      <c r="W229" s="3">
        <v>656</v>
      </c>
      <c r="X229" s="3">
        <v>3265</v>
      </c>
      <c r="Y229" s="3">
        <v>12857</v>
      </c>
      <c r="Z229" s="3">
        <v>3888</v>
      </c>
      <c r="AA229" s="3">
        <v>2294</v>
      </c>
      <c r="AB229" s="3">
        <v>6849</v>
      </c>
      <c r="AC229" s="3">
        <v>28309</v>
      </c>
      <c r="AD229" s="3">
        <v>14500</v>
      </c>
      <c r="AE229" s="3">
        <v>16064</v>
      </c>
      <c r="AF229" s="3">
        <v>6246</v>
      </c>
      <c r="AG229" s="3">
        <v>29841</v>
      </c>
      <c r="AH229" s="3">
        <v>14860</v>
      </c>
      <c r="AI229" s="3">
        <v>19166</v>
      </c>
      <c r="AJ229" s="3">
        <v>112015</v>
      </c>
      <c r="AK229" s="3">
        <v>78545</v>
      </c>
      <c r="AL229" s="3">
        <v>3404</v>
      </c>
      <c r="AM229" s="3">
        <v>8050</v>
      </c>
      <c r="AN229" s="3">
        <v>6342</v>
      </c>
      <c r="AO229" s="3">
        <v>6717</v>
      </c>
      <c r="AP229" s="3">
        <v>4347</v>
      </c>
      <c r="AR229" s="3">
        <f t="shared" si="27"/>
        <v>37199</v>
      </c>
      <c r="AS229" s="3">
        <f t="shared" si="27"/>
        <v>17313</v>
      </c>
      <c r="AT229" s="3">
        <f t="shared" si="27"/>
        <v>31107</v>
      </c>
      <c r="AU229" s="3">
        <f t="shared" si="28"/>
        <v>43004</v>
      </c>
      <c r="AV229" s="3">
        <f t="shared" si="29"/>
        <v>25161</v>
      </c>
      <c r="AW229" s="3">
        <f t="shared" si="30"/>
        <v>25240</v>
      </c>
      <c r="AX229" s="3">
        <f t="shared" si="31"/>
        <v>174833</v>
      </c>
      <c r="AY229" s="3">
        <f t="shared" si="32"/>
        <v>9607</v>
      </c>
      <c r="AZ229" s="3">
        <f t="shared" si="33"/>
        <v>19574</v>
      </c>
      <c r="BA229" s="3">
        <f t="shared" si="34"/>
        <v>8235</v>
      </c>
      <c r="BB229" s="3">
        <f t="shared" si="35"/>
        <v>314360</v>
      </c>
    </row>
    <row r="230" spans="1:54" x14ac:dyDescent="0.25">
      <c r="A230" t="s">
        <v>841</v>
      </c>
      <c r="B230" s="21">
        <v>3.2</v>
      </c>
      <c r="C230" s="21">
        <v>2.46</v>
      </c>
      <c r="D230" s="35">
        <v>0.5</v>
      </c>
      <c r="E230" s="3">
        <v>154088</v>
      </c>
      <c r="F230" s="3">
        <v>271875</v>
      </c>
      <c r="G230" s="3">
        <v>411523</v>
      </c>
      <c r="H230" s="3">
        <v>411197</v>
      </c>
      <c r="I230" s="4">
        <v>-0.7</v>
      </c>
      <c r="J230" s="3"/>
      <c r="K230" s="3">
        <v>13295</v>
      </c>
      <c r="L230" s="3">
        <v>964</v>
      </c>
      <c r="M230" s="3">
        <v>8829</v>
      </c>
      <c r="N230" s="3">
        <v>2823</v>
      </c>
      <c r="O230" s="3">
        <v>14920</v>
      </c>
      <c r="P230" s="3">
        <v>8477</v>
      </c>
      <c r="Q230" s="3">
        <v>13191</v>
      </c>
      <c r="R230" s="3">
        <v>10359</v>
      </c>
      <c r="S230" s="3">
        <v>6026</v>
      </c>
      <c r="T230" s="3">
        <v>63165</v>
      </c>
      <c r="U230" s="3">
        <v>49494</v>
      </c>
      <c r="V230" s="3">
        <v>2269</v>
      </c>
      <c r="W230" s="3">
        <v>617</v>
      </c>
      <c r="X230" s="3">
        <v>3249</v>
      </c>
      <c r="Y230" s="3">
        <v>12772</v>
      </c>
      <c r="Z230" s="3">
        <v>3878</v>
      </c>
      <c r="AA230" s="3">
        <v>2303</v>
      </c>
      <c r="AB230" s="3">
        <v>6234</v>
      </c>
      <c r="AC230" s="3">
        <v>28392</v>
      </c>
      <c r="AD230" s="3">
        <v>14515</v>
      </c>
      <c r="AE230" s="3">
        <v>15967</v>
      </c>
      <c r="AF230" s="3">
        <v>5850</v>
      </c>
      <c r="AG230" s="3">
        <v>30010</v>
      </c>
      <c r="AH230" s="3">
        <v>15314</v>
      </c>
      <c r="AI230" s="3">
        <v>19192</v>
      </c>
      <c r="AJ230" s="3">
        <v>112550</v>
      </c>
      <c r="AK230" s="3">
        <v>78495</v>
      </c>
      <c r="AL230" s="3">
        <v>3421</v>
      </c>
      <c r="AM230" s="3">
        <v>9636</v>
      </c>
      <c r="AN230" s="3">
        <v>6494</v>
      </c>
      <c r="AO230" s="3">
        <v>6862</v>
      </c>
      <c r="AP230" s="3">
        <v>4406</v>
      </c>
      <c r="AR230" s="3">
        <f t="shared" si="27"/>
        <v>37221</v>
      </c>
      <c r="AS230" s="3">
        <f t="shared" si="27"/>
        <v>17338</v>
      </c>
      <c r="AT230" s="3">
        <f t="shared" si="27"/>
        <v>30887</v>
      </c>
      <c r="AU230" s="3">
        <f t="shared" si="28"/>
        <v>43201</v>
      </c>
      <c r="AV230" s="3">
        <f t="shared" si="29"/>
        <v>25673</v>
      </c>
      <c r="AW230" s="3">
        <f t="shared" si="30"/>
        <v>25218</v>
      </c>
      <c r="AX230" s="3">
        <f t="shared" si="31"/>
        <v>175715</v>
      </c>
      <c r="AY230" s="3">
        <f t="shared" si="32"/>
        <v>9743</v>
      </c>
      <c r="AZ230" s="3">
        <f t="shared" si="33"/>
        <v>19634</v>
      </c>
      <c r="BA230" s="3">
        <f t="shared" si="34"/>
        <v>8284</v>
      </c>
      <c r="BB230" s="3">
        <f t="shared" si="35"/>
        <v>317721</v>
      </c>
    </row>
    <row r="231" spans="1:54" x14ac:dyDescent="0.25">
      <c r="A231" t="s">
        <v>842</v>
      </c>
      <c r="B231" s="21">
        <v>3.26</v>
      </c>
      <c r="C231" s="21">
        <v>2.4500000000000002</v>
      </c>
      <c r="D231" s="35">
        <v>0.73913043478260865</v>
      </c>
      <c r="E231" s="3">
        <v>154072</v>
      </c>
      <c r="F231" s="3">
        <v>274137</v>
      </c>
      <c r="G231" s="3">
        <v>412988</v>
      </c>
      <c r="H231" s="3">
        <v>413214</v>
      </c>
      <c r="I231" s="4">
        <v>-0.7</v>
      </c>
      <c r="J231" s="3"/>
      <c r="K231" s="3">
        <v>13298</v>
      </c>
      <c r="L231" s="3">
        <v>1006</v>
      </c>
      <c r="M231" s="3">
        <v>8842</v>
      </c>
      <c r="N231" s="3">
        <v>2833</v>
      </c>
      <c r="O231" s="3">
        <v>14369</v>
      </c>
      <c r="P231" s="3">
        <v>7972</v>
      </c>
      <c r="Q231" s="3">
        <v>13156</v>
      </c>
      <c r="R231" s="3">
        <v>10339</v>
      </c>
      <c r="S231" s="3">
        <v>6008</v>
      </c>
      <c r="T231" s="3">
        <v>63797</v>
      </c>
      <c r="U231" s="3">
        <v>50029</v>
      </c>
      <c r="V231" s="3">
        <v>2301</v>
      </c>
      <c r="W231" s="3">
        <v>613</v>
      </c>
      <c r="X231" s="3">
        <v>3228</v>
      </c>
      <c r="Y231" s="3">
        <v>12726</v>
      </c>
      <c r="Z231" s="3">
        <v>3857</v>
      </c>
      <c r="AA231" s="3">
        <v>2358</v>
      </c>
      <c r="AB231" s="3">
        <v>6097</v>
      </c>
      <c r="AC231" s="3">
        <v>29000</v>
      </c>
      <c r="AD231" s="3">
        <v>14726</v>
      </c>
      <c r="AE231" s="3">
        <v>15880</v>
      </c>
      <c r="AF231" s="3">
        <v>5932</v>
      </c>
      <c r="AG231" s="3">
        <v>29615</v>
      </c>
      <c r="AH231" s="3">
        <v>14995</v>
      </c>
      <c r="AI231" s="3">
        <v>19391</v>
      </c>
      <c r="AJ231" s="3">
        <v>114008</v>
      </c>
      <c r="AK231" s="3">
        <v>79713</v>
      </c>
      <c r="AL231" s="3">
        <v>3461</v>
      </c>
      <c r="AM231" s="3">
        <v>10375</v>
      </c>
      <c r="AN231" s="3">
        <v>6520</v>
      </c>
      <c r="AO231" s="3">
        <v>6863</v>
      </c>
      <c r="AP231" s="3">
        <v>4309</v>
      </c>
      <c r="AR231" s="3">
        <f t="shared" si="27"/>
        <v>37842</v>
      </c>
      <c r="AS231" s="3">
        <f t="shared" si="27"/>
        <v>17559</v>
      </c>
      <c r="AT231" s="3">
        <f t="shared" si="27"/>
        <v>30249</v>
      </c>
      <c r="AU231" s="3">
        <f t="shared" si="28"/>
        <v>42771</v>
      </c>
      <c r="AV231" s="3">
        <f t="shared" si="29"/>
        <v>25334</v>
      </c>
      <c r="AW231" s="3">
        <f t="shared" si="30"/>
        <v>25399</v>
      </c>
      <c r="AX231" s="3">
        <f t="shared" si="31"/>
        <v>177805</v>
      </c>
      <c r="AY231" s="3">
        <f t="shared" si="32"/>
        <v>9748</v>
      </c>
      <c r="AZ231" s="3">
        <f t="shared" si="33"/>
        <v>19589</v>
      </c>
      <c r="BA231" s="3">
        <f t="shared" si="34"/>
        <v>8166</v>
      </c>
      <c r="BB231" s="3">
        <f t="shared" si="35"/>
        <v>319800</v>
      </c>
    </row>
    <row r="232" spans="1:54" x14ac:dyDescent="0.25">
      <c r="A232" t="s">
        <v>843</v>
      </c>
      <c r="B232" s="21">
        <v>3.3</v>
      </c>
      <c r="C232" s="21">
        <v>2.5299999999999998</v>
      </c>
      <c r="D232" s="35">
        <v>0.75</v>
      </c>
      <c r="E232" s="3">
        <v>154745</v>
      </c>
      <c r="F232" s="3">
        <v>272184</v>
      </c>
      <c r="G232" s="3">
        <v>411346</v>
      </c>
      <c r="H232" s="3">
        <v>414079</v>
      </c>
      <c r="I232" s="4" t="e">
        <v>#N/A</v>
      </c>
      <c r="J232" s="3"/>
      <c r="K232" s="3">
        <v>13459</v>
      </c>
      <c r="L232" s="3">
        <v>995</v>
      </c>
      <c r="M232" s="3">
        <v>8778</v>
      </c>
      <c r="N232" s="3">
        <v>2802</v>
      </c>
      <c r="O232" s="3">
        <v>14415</v>
      </c>
      <c r="P232" s="3">
        <v>8040</v>
      </c>
      <c r="Q232" s="3">
        <v>13078</v>
      </c>
      <c r="R232" s="3">
        <v>10399</v>
      </c>
      <c r="S232" s="3">
        <v>5990</v>
      </c>
      <c r="T232" s="3">
        <v>64385</v>
      </c>
      <c r="U232" s="3">
        <v>50403</v>
      </c>
      <c r="V232" s="3">
        <v>2457</v>
      </c>
      <c r="W232" s="3">
        <v>598</v>
      </c>
      <c r="X232" s="3">
        <v>3295</v>
      </c>
      <c r="Y232" s="3">
        <v>12685</v>
      </c>
      <c r="Z232" s="3">
        <v>3866</v>
      </c>
      <c r="AA232" s="3">
        <v>2523</v>
      </c>
      <c r="AB232" s="3">
        <v>6108</v>
      </c>
      <c r="AC232" s="3">
        <v>28621</v>
      </c>
      <c r="AD232" s="3">
        <v>13974</v>
      </c>
      <c r="AE232" s="3">
        <v>15848</v>
      </c>
      <c r="AF232" s="3">
        <v>5974</v>
      </c>
      <c r="AG232" s="3">
        <v>29813</v>
      </c>
      <c r="AH232" s="3">
        <v>14721</v>
      </c>
      <c r="AI232" s="3">
        <v>19400</v>
      </c>
      <c r="AJ232" s="3">
        <v>114582</v>
      </c>
      <c r="AK232" s="3">
        <v>80627</v>
      </c>
      <c r="AL232" s="3">
        <v>3535</v>
      </c>
      <c r="AM232" s="3">
        <v>9229</v>
      </c>
      <c r="AN232" s="3">
        <v>6389</v>
      </c>
      <c r="AO232" s="3">
        <v>6878</v>
      </c>
      <c r="AP232" s="3">
        <v>4100</v>
      </c>
      <c r="AR232" s="3">
        <f t="shared" si="27"/>
        <v>37399</v>
      </c>
      <c r="AS232" s="3">
        <f t="shared" si="27"/>
        <v>16776</v>
      </c>
      <c r="AT232" s="3">
        <f t="shared" si="27"/>
        <v>30263</v>
      </c>
      <c r="AU232" s="3">
        <f t="shared" si="28"/>
        <v>42891</v>
      </c>
      <c r="AV232" s="3">
        <f t="shared" si="29"/>
        <v>25120</v>
      </c>
      <c r="AW232" s="3">
        <f t="shared" si="30"/>
        <v>25390</v>
      </c>
      <c r="AX232" s="3">
        <f t="shared" si="31"/>
        <v>178967</v>
      </c>
      <c r="AY232" s="3">
        <f t="shared" si="32"/>
        <v>9684</v>
      </c>
      <c r="AZ232" s="3">
        <f t="shared" si="33"/>
        <v>19563</v>
      </c>
      <c r="BA232" s="3">
        <f t="shared" si="34"/>
        <v>7966</v>
      </c>
      <c r="BB232" s="3">
        <f t="shared" si="35"/>
        <v>319408</v>
      </c>
    </row>
    <row r="233" spans="1:54" x14ac:dyDescent="0.25">
      <c r="A233" t="s">
        <v>844</v>
      </c>
      <c r="B233" s="21">
        <v>3.3</v>
      </c>
      <c r="C233" s="21">
        <v>2.5</v>
      </c>
      <c r="D233" s="35">
        <v>0.75</v>
      </c>
      <c r="E233" s="3">
        <v>153470</v>
      </c>
      <c r="F233" s="3">
        <v>274119</v>
      </c>
      <c r="G233" s="3">
        <v>414056</v>
      </c>
      <c r="H233" s="3">
        <v>414875</v>
      </c>
      <c r="I233" s="4">
        <v>-0.6</v>
      </c>
      <c r="J233" s="3"/>
      <c r="K233" s="3">
        <v>13432</v>
      </c>
      <c r="L233" s="3">
        <v>889</v>
      </c>
      <c r="M233" s="3">
        <v>8411</v>
      </c>
      <c r="N233" s="3">
        <v>2833</v>
      </c>
      <c r="O233" s="3">
        <v>14395</v>
      </c>
      <c r="P233" s="3">
        <v>7947</v>
      </c>
      <c r="Q233" s="3">
        <v>12810</v>
      </c>
      <c r="R233" s="3">
        <v>10409</v>
      </c>
      <c r="S233" s="3">
        <v>5876</v>
      </c>
      <c r="T233" s="3">
        <v>64232</v>
      </c>
      <c r="U233" s="3">
        <v>50319</v>
      </c>
      <c r="V233" s="3">
        <v>2507</v>
      </c>
      <c r="W233" s="3">
        <v>609</v>
      </c>
      <c r="X233" s="3">
        <v>3188</v>
      </c>
      <c r="Y233" s="3">
        <v>12509</v>
      </c>
      <c r="Z233" s="3">
        <v>3877</v>
      </c>
      <c r="AA233" s="3">
        <v>2436</v>
      </c>
      <c r="AB233" s="3">
        <v>6116</v>
      </c>
      <c r="AC233" s="3">
        <v>29377</v>
      </c>
      <c r="AD233" s="3">
        <v>14153</v>
      </c>
      <c r="AE233" s="3">
        <v>16070</v>
      </c>
      <c r="AF233" s="3">
        <v>5975</v>
      </c>
      <c r="AG233" s="3">
        <v>29294</v>
      </c>
      <c r="AH233" s="3">
        <v>14461</v>
      </c>
      <c r="AI233" s="3">
        <v>19857</v>
      </c>
      <c r="AJ233" s="3">
        <v>115423</v>
      </c>
      <c r="AK233" s="3">
        <v>80623</v>
      </c>
      <c r="AL233" s="3">
        <v>3490</v>
      </c>
      <c r="AM233" s="3">
        <v>9149</v>
      </c>
      <c r="AN233" s="3">
        <v>6215</v>
      </c>
      <c r="AO233" s="3">
        <v>7423</v>
      </c>
      <c r="AP233" s="3">
        <v>4145</v>
      </c>
      <c r="AR233" s="3">
        <f t="shared" si="27"/>
        <v>37788</v>
      </c>
      <c r="AS233" s="3">
        <f t="shared" si="27"/>
        <v>16986</v>
      </c>
      <c r="AT233" s="3">
        <f t="shared" si="27"/>
        <v>30465</v>
      </c>
      <c r="AU233" s="3">
        <f t="shared" si="28"/>
        <v>42104</v>
      </c>
      <c r="AV233" s="3">
        <f t="shared" si="29"/>
        <v>24870</v>
      </c>
      <c r="AW233" s="3">
        <f t="shared" si="30"/>
        <v>25733</v>
      </c>
      <c r="AX233" s="3">
        <f t="shared" si="31"/>
        <v>179655</v>
      </c>
      <c r="AY233" s="3">
        <f t="shared" si="32"/>
        <v>9403</v>
      </c>
      <c r="AZ233" s="3">
        <f t="shared" si="33"/>
        <v>19932</v>
      </c>
      <c r="BA233" s="3">
        <f t="shared" si="34"/>
        <v>8022</v>
      </c>
      <c r="BB233" s="3">
        <f t="shared" si="35"/>
        <v>319477</v>
      </c>
    </row>
    <row r="234" spans="1:54" x14ac:dyDescent="0.25">
      <c r="A234" t="s">
        <v>845</v>
      </c>
      <c r="B234" s="21">
        <v>3.27</v>
      </c>
      <c r="C234" s="21">
        <v>2.5</v>
      </c>
      <c r="D234" s="35">
        <v>0.75</v>
      </c>
      <c r="E234" s="3">
        <v>153739</v>
      </c>
      <c r="F234" s="3">
        <v>276866</v>
      </c>
      <c r="G234" s="3">
        <v>414516</v>
      </c>
      <c r="H234" s="3">
        <v>419249</v>
      </c>
      <c r="I234" s="4">
        <v>-0.5</v>
      </c>
      <c r="J234" s="3"/>
      <c r="K234" s="3">
        <v>13480</v>
      </c>
      <c r="L234" s="3">
        <v>874</v>
      </c>
      <c r="M234" s="3">
        <v>8477</v>
      </c>
      <c r="N234" s="3">
        <v>2767</v>
      </c>
      <c r="O234" s="3">
        <v>14405</v>
      </c>
      <c r="P234" s="3">
        <v>7918</v>
      </c>
      <c r="Q234" s="3">
        <v>12846</v>
      </c>
      <c r="R234" s="3">
        <v>10417</v>
      </c>
      <c r="S234" s="3">
        <v>5953</v>
      </c>
      <c r="T234" s="3">
        <v>64404</v>
      </c>
      <c r="U234" s="3">
        <v>50443</v>
      </c>
      <c r="V234" s="3">
        <v>2473</v>
      </c>
      <c r="W234" s="3">
        <v>569</v>
      </c>
      <c r="X234" s="3">
        <v>3188</v>
      </c>
      <c r="Y234" s="3">
        <v>12470</v>
      </c>
      <c r="Z234" s="3">
        <v>3891</v>
      </c>
      <c r="AA234" s="3">
        <v>2549</v>
      </c>
      <c r="AB234" s="3">
        <v>5707</v>
      </c>
      <c r="AC234" s="3">
        <v>29993</v>
      </c>
      <c r="AD234" s="3">
        <v>14003</v>
      </c>
      <c r="AE234" s="3">
        <v>16258</v>
      </c>
      <c r="AF234" s="3">
        <v>5949</v>
      </c>
      <c r="AG234" s="3">
        <v>29524</v>
      </c>
      <c r="AH234" s="3">
        <v>14322</v>
      </c>
      <c r="AI234" s="3">
        <v>20254</v>
      </c>
      <c r="AJ234" s="3">
        <v>117391</v>
      </c>
      <c r="AK234" s="3">
        <v>80789</v>
      </c>
      <c r="AL234" s="3">
        <v>3733</v>
      </c>
      <c r="AM234" s="3">
        <v>9012</v>
      </c>
      <c r="AN234" s="3">
        <v>6338</v>
      </c>
      <c r="AO234" s="3">
        <v>7301</v>
      </c>
      <c r="AP234" s="3">
        <v>4214</v>
      </c>
      <c r="AR234" s="3">
        <f t="shared" si="27"/>
        <v>38470</v>
      </c>
      <c r="AS234" s="3">
        <f t="shared" si="27"/>
        <v>16770</v>
      </c>
      <c r="AT234" s="3">
        <f t="shared" si="27"/>
        <v>30663</v>
      </c>
      <c r="AU234" s="3">
        <f t="shared" si="28"/>
        <v>42370</v>
      </c>
      <c r="AV234" s="3">
        <f t="shared" si="29"/>
        <v>24739</v>
      </c>
      <c r="AW234" s="3">
        <f t="shared" si="30"/>
        <v>26207</v>
      </c>
      <c r="AX234" s="3">
        <f t="shared" si="31"/>
        <v>181795</v>
      </c>
      <c r="AY234" s="3">
        <f t="shared" si="32"/>
        <v>9526</v>
      </c>
      <c r="AZ234" s="3">
        <f t="shared" si="33"/>
        <v>19771</v>
      </c>
      <c r="BA234" s="3">
        <f t="shared" si="34"/>
        <v>8105</v>
      </c>
      <c r="BB234" s="3">
        <f t="shared" si="35"/>
        <v>322094</v>
      </c>
    </row>
    <row r="235" spans="1:54" x14ac:dyDescent="0.25">
      <c r="A235" t="s">
        <v>846</v>
      </c>
      <c r="B235" s="21">
        <v>3.31</v>
      </c>
      <c r="C235" s="21">
        <v>2.48</v>
      </c>
      <c r="D235" s="35">
        <v>0.75</v>
      </c>
      <c r="E235" s="3">
        <v>153912</v>
      </c>
      <c r="F235" s="3">
        <v>274028</v>
      </c>
      <c r="G235" s="3">
        <v>417396</v>
      </c>
      <c r="H235" s="3">
        <v>424636</v>
      </c>
      <c r="I235" s="4" t="e">
        <v>#N/A</v>
      </c>
      <c r="J235" s="3"/>
      <c r="K235" s="3">
        <v>13506</v>
      </c>
      <c r="L235" s="3">
        <v>898</v>
      </c>
      <c r="M235" s="3">
        <v>8644</v>
      </c>
      <c r="N235" s="3">
        <v>2849</v>
      </c>
      <c r="O235" s="3">
        <v>14235</v>
      </c>
      <c r="P235" s="3">
        <v>7864</v>
      </c>
      <c r="Q235" s="3">
        <v>12893</v>
      </c>
      <c r="R235" s="3">
        <v>10496</v>
      </c>
      <c r="S235" s="3">
        <v>6030</v>
      </c>
      <c r="T235" s="3">
        <v>64272</v>
      </c>
      <c r="U235" s="3">
        <v>50701</v>
      </c>
      <c r="V235" s="3">
        <v>2507</v>
      </c>
      <c r="W235" s="3">
        <v>571</v>
      </c>
      <c r="X235" s="3">
        <v>3218</v>
      </c>
      <c r="Y235" s="3">
        <v>12414</v>
      </c>
      <c r="Z235" s="3">
        <v>3888</v>
      </c>
      <c r="AA235" s="3">
        <v>2549</v>
      </c>
      <c r="AB235" s="3">
        <v>5567</v>
      </c>
      <c r="AC235" s="3">
        <v>30157</v>
      </c>
      <c r="AD235" s="3">
        <v>14875</v>
      </c>
      <c r="AE235" s="3">
        <v>15156</v>
      </c>
      <c r="AF235" s="3">
        <v>5900</v>
      </c>
      <c r="AG235" s="3">
        <v>30045</v>
      </c>
      <c r="AH235" s="3">
        <v>14717</v>
      </c>
      <c r="AI235" s="3">
        <v>19279</v>
      </c>
      <c r="AJ235" s="3">
        <v>116553</v>
      </c>
      <c r="AK235" s="3">
        <v>81244</v>
      </c>
      <c r="AL235" s="3">
        <v>3498</v>
      </c>
      <c r="AM235" s="3">
        <v>8003</v>
      </c>
      <c r="AN235" s="3">
        <v>6287</v>
      </c>
      <c r="AO235" s="3">
        <v>7058</v>
      </c>
      <c r="AP235" s="3">
        <v>3784</v>
      </c>
      <c r="AR235" s="3">
        <f t="shared" si="27"/>
        <v>38801</v>
      </c>
      <c r="AS235" s="3">
        <f t="shared" si="27"/>
        <v>17724</v>
      </c>
      <c r="AT235" s="3">
        <f t="shared" si="27"/>
        <v>29391</v>
      </c>
      <c r="AU235" s="3">
        <f t="shared" si="28"/>
        <v>42938</v>
      </c>
      <c r="AV235" s="3">
        <f t="shared" si="29"/>
        <v>25213</v>
      </c>
      <c r="AW235" s="3">
        <f t="shared" si="30"/>
        <v>25309</v>
      </c>
      <c r="AX235" s="3">
        <f t="shared" si="31"/>
        <v>180825</v>
      </c>
      <c r="AY235" s="3">
        <f t="shared" si="32"/>
        <v>9505</v>
      </c>
      <c r="AZ235" s="3">
        <f t="shared" si="33"/>
        <v>19472</v>
      </c>
      <c r="BA235" s="3">
        <f t="shared" si="34"/>
        <v>7672</v>
      </c>
      <c r="BB235" s="3">
        <f t="shared" si="35"/>
        <v>319508</v>
      </c>
    </row>
    <row r="236" spans="1:54" x14ac:dyDescent="0.25">
      <c r="A236" t="s">
        <v>847</v>
      </c>
      <c r="B236" s="21">
        <v>3.35</v>
      </c>
      <c r="C236" s="21">
        <v>2.48</v>
      </c>
      <c r="D236" s="35">
        <v>0.75</v>
      </c>
      <c r="E236" s="3">
        <v>153927</v>
      </c>
      <c r="F236" s="3">
        <v>278162</v>
      </c>
      <c r="G236" s="3">
        <v>417188</v>
      </c>
      <c r="H236" s="3">
        <v>413531</v>
      </c>
      <c r="I236" s="4">
        <v>-0.5</v>
      </c>
      <c r="J236" s="3"/>
      <c r="K236" s="3">
        <v>13549</v>
      </c>
      <c r="L236" s="3">
        <v>788</v>
      </c>
      <c r="M236" s="3">
        <v>8713</v>
      </c>
      <c r="N236" s="3">
        <v>2946</v>
      </c>
      <c r="O236" s="3">
        <v>14128</v>
      </c>
      <c r="P236" s="3">
        <v>7788</v>
      </c>
      <c r="Q236" s="3">
        <v>12793</v>
      </c>
      <c r="R236" s="3">
        <v>10416</v>
      </c>
      <c r="S236" s="3">
        <v>6067</v>
      </c>
      <c r="T236" s="3">
        <v>64302</v>
      </c>
      <c r="U236" s="3">
        <v>50844</v>
      </c>
      <c r="V236" s="3">
        <v>2381</v>
      </c>
      <c r="W236" s="3">
        <v>655</v>
      </c>
      <c r="X236" s="3">
        <v>3198</v>
      </c>
      <c r="Y236" s="3">
        <v>12464</v>
      </c>
      <c r="Z236" s="3">
        <v>3907</v>
      </c>
      <c r="AA236" s="3">
        <v>2582</v>
      </c>
      <c r="AB236" s="3">
        <v>5325</v>
      </c>
      <c r="AC236" s="3">
        <v>31095</v>
      </c>
      <c r="AD236" s="3">
        <v>15648</v>
      </c>
      <c r="AE236" s="3">
        <v>15621</v>
      </c>
      <c r="AF236" s="3">
        <v>5901</v>
      </c>
      <c r="AG236" s="3">
        <v>30528</v>
      </c>
      <c r="AH236" s="3">
        <v>15085</v>
      </c>
      <c r="AI236" s="3">
        <v>20158</v>
      </c>
      <c r="AJ236" s="3">
        <v>116698</v>
      </c>
      <c r="AK236" s="3">
        <v>80887</v>
      </c>
      <c r="AL236" s="3">
        <v>3069</v>
      </c>
      <c r="AM236" s="3">
        <v>8194</v>
      </c>
      <c r="AN236" s="3">
        <v>6149</v>
      </c>
      <c r="AO236" s="3">
        <v>7282</v>
      </c>
      <c r="AP236" s="3">
        <v>3798</v>
      </c>
      <c r="AR236" s="3">
        <f t="shared" si="27"/>
        <v>39808</v>
      </c>
      <c r="AS236" s="3">
        <f t="shared" si="27"/>
        <v>18594</v>
      </c>
      <c r="AT236" s="3">
        <f t="shared" si="27"/>
        <v>29749</v>
      </c>
      <c r="AU236" s="3">
        <f t="shared" si="28"/>
        <v>43321</v>
      </c>
      <c r="AV236" s="3">
        <f t="shared" si="29"/>
        <v>25501</v>
      </c>
      <c r="AW236" s="3">
        <f t="shared" si="30"/>
        <v>26225</v>
      </c>
      <c r="AX236" s="3">
        <f t="shared" si="31"/>
        <v>181000</v>
      </c>
      <c r="AY236" s="3">
        <f t="shared" si="32"/>
        <v>9347</v>
      </c>
      <c r="AZ236" s="3">
        <f t="shared" si="33"/>
        <v>19746</v>
      </c>
      <c r="BA236" s="3">
        <f t="shared" si="34"/>
        <v>7705</v>
      </c>
      <c r="BB236" s="3">
        <f t="shared" si="35"/>
        <v>321694</v>
      </c>
    </row>
    <row r="237" spans="1:54" x14ac:dyDescent="0.25">
      <c r="A237" t="s">
        <v>848</v>
      </c>
      <c r="B237" s="21">
        <v>3.34</v>
      </c>
      <c r="C237" s="21">
        <v>2.46</v>
      </c>
      <c r="D237" s="35">
        <v>0.75</v>
      </c>
      <c r="E237" s="3">
        <v>153751</v>
      </c>
      <c r="F237" s="3">
        <v>280773</v>
      </c>
      <c r="G237" s="3">
        <v>415695</v>
      </c>
      <c r="H237" s="3">
        <v>409409</v>
      </c>
      <c r="I237" s="4">
        <v>-0.5</v>
      </c>
      <c r="J237" s="3"/>
      <c r="K237" s="3">
        <v>13517</v>
      </c>
      <c r="L237" s="3">
        <v>778</v>
      </c>
      <c r="M237" s="3">
        <v>8871</v>
      </c>
      <c r="N237" s="3">
        <v>2765</v>
      </c>
      <c r="O237" s="3">
        <v>14246</v>
      </c>
      <c r="P237" s="3">
        <v>7895</v>
      </c>
      <c r="Q237" s="3">
        <v>13198</v>
      </c>
      <c r="R237" s="3">
        <v>10374</v>
      </c>
      <c r="S237" s="3">
        <v>6036</v>
      </c>
      <c r="T237" s="3">
        <v>64002</v>
      </c>
      <c r="U237" s="3">
        <v>50491</v>
      </c>
      <c r="V237" s="3">
        <v>2527</v>
      </c>
      <c r="W237" s="3">
        <v>474</v>
      </c>
      <c r="X237" s="3">
        <v>3172</v>
      </c>
      <c r="Y237" s="3">
        <v>12423</v>
      </c>
      <c r="Z237" s="3">
        <v>3896</v>
      </c>
      <c r="AA237" s="3">
        <v>2525</v>
      </c>
      <c r="AB237" s="3">
        <v>4994</v>
      </c>
      <c r="AC237" s="3">
        <v>31509</v>
      </c>
      <c r="AD237" s="3">
        <v>15707</v>
      </c>
      <c r="AE237" s="3">
        <v>16163</v>
      </c>
      <c r="AF237" s="3">
        <v>6141</v>
      </c>
      <c r="AG237" s="3">
        <v>31927</v>
      </c>
      <c r="AH237" s="3">
        <v>15446</v>
      </c>
      <c r="AI237" s="3">
        <v>19716</v>
      </c>
      <c r="AJ237" s="3">
        <v>116621</v>
      </c>
      <c r="AK237" s="3">
        <v>81100</v>
      </c>
      <c r="AL237" s="3">
        <v>3562</v>
      </c>
      <c r="AM237" s="3">
        <v>8897</v>
      </c>
      <c r="AN237" s="3">
        <v>6023</v>
      </c>
      <c r="AO237" s="3">
        <v>7403</v>
      </c>
      <c r="AP237" s="3">
        <v>3844</v>
      </c>
      <c r="AR237" s="3">
        <f t="shared" si="27"/>
        <v>40380</v>
      </c>
      <c r="AS237" s="3">
        <f t="shared" si="27"/>
        <v>18472</v>
      </c>
      <c r="AT237" s="3">
        <f t="shared" si="27"/>
        <v>30409</v>
      </c>
      <c r="AU237" s="3">
        <f t="shared" si="28"/>
        <v>45125</v>
      </c>
      <c r="AV237" s="3">
        <f t="shared" si="29"/>
        <v>25820</v>
      </c>
      <c r="AW237" s="3">
        <f t="shared" si="30"/>
        <v>25752</v>
      </c>
      <c r="AX237" s="3">
        <f t="shared" si="31"/>
        <v>180623</v>
      </c>
      <c r="AY237" s="3">
        <f t="shared" si="32"/>
        <v>9195</v>
      </c>
      <c r="AZ237" s="3">
        <f t="shared" si="33"/>
        <v>19826</v>
      </c>
      <c r="BA237" s="3">
        <f t="shared" si="34"/>
        <v>7740</v>
      </c>
      <c r="BB237" s="3">
        <f t="shared" si="35"/>
        <v>323452</v>
      </c>
    </row>
    <row r="238" spans="1:54" x14ac:dyDescent="0.25">
      <c r="A238" t="s">
        <v>849</v>
      </c>
      <c r="B238" s="21">
        <v>3.34</v>
      </c>
      <c r="C238" s="21">
        <v>2.4500000000000002</v>
      </c>
      <c r="D238" s="35">
        <v>0.75</v>
      </c>
      <c r="E238" s="3">
        <v>154032</v>
      </c>
      <c r="F238" s="3">
        <v>279940</v>
      </c>
      <c r="G238" s="3">
        <v>416369</v>
      </c>
      <c r="H238" s="3">
        <v>414548</v>
      </c>
      <c r="I238" s="4" t="e">
        <v>#N/A</v>
      </c>
      <c r="J238" s="3"/>
      <c r="K238" s="3">
        <v>13524</v>
      </c>
      <c r="L238" s="3">
        <v>853</v>
      </c>
      <c r="M238" s="3">
        <v>8575</v>
      </c>
      <c r="N238" s="3">
        <v>2684</v>
      </c>
      <c r="O238" s="3">
        <v>14095</v>
      </c>
      <c r="P238" s="3">
        <v>7801</v>
      </c>
      <c r="Q238" s="3">
        <v>13093</v>
      </c>
      <c r="R238" s="3">
        <v>10408</v>
      </c>
      <c r="S238" s="3">
        <v>6094</v>
      </c>
      <c r="T238" s="3">
        <v>64511</v>
      </c>
      <c r="U238" s="3">
        <v>50936</v>
      </c>
      <c r="V238" s="3">
        <v>2438</v>
      </c>
      <c r="W238" s="3">
        <v>648</v>
      </c>
      <c r="X238" s="3">
        <v>3159</v>
      </c>
      <c r="Y238" s="3">
        <v>12442</v>
      </c>
      <c r="Z238" s="3">
        <v>3943</v>
      </c>
      <c r="AA238" s="3">
        <v>2437</v>
      </c>
      <c r="AB238" s="3">
        <v>5639</v>
      </c>
      <c r="AC238" s="3">
        <v>29104</v>
      </c>
      <c r="AD238" s="3">
        <v>15303</v>
      </c>
      <c r="AE238" s="3">
        <v>16044</v>
      </c>
      <c r="AF238" s="3">
        <v>6139</v>
      </c>
      <c r="AG238" s="3">
        <v>32402</v>
      </c>
      <c r="AH238" s="3">
        <v>15063</v>
      </c>
      <c r="AI238" s="3">
        <v>19299</v>
      </c>
      <c r="AJ238" s="3">
        <v>118201</v>
      </c>
      <c r="AK238" s="3">
        <v>81971</v>
      </c>
      <c r="AL238" s="3">
        <v>3360</v>
      </c>
      <c r="AM238" s="3">
        <v>9432</v>
      </c>
      <c r="AN238" s="3">
        <v>6023</v>
      </c>
      <c r="AO238" s="3">
        <v>7179</v>
      </c>
      <c r="AP238" s="3">
        <v>3812</v>
      </c>
      <c r="AR238" s="3">
        <f t="shared" si="27"/>
        <v>37679</v>
      </c>
      <c r="AS238" s="3">
        <f t="shared" si="27"/>
        <v>17987</v>
      </c>
      <c r="AT238" s="3">
        <f t="shared" si="27"/>
        <v>30139</v>
      </c>
      <c r="AU238" s="3">
        <f t="shared" si="28"/>
        <v>45495</v>
      </c>
      <c r="AV238" s="3">
        <f t="shared" si="29"/>
        <v>25471</v>
      </c>
      <c r="AW238" s="3">
        <f t="shared" si="30"/>
        <v>25393</v>
      </c>
      <c r="AX238" s="3">
        <f t="shared" si="31"/>
        <v>182712</v>
      </c>
      <c r="AY238" s="3">
        <f t="shared" si="32"/>
        <v>9182</v>
      </c>
      <c r="AZ238" s="3">
        <f t="shared" si="33"/>
        <v>19621</v>
      </c>
      <c r="BA238" s="3">
        <f t="shared" si="34"/>
        <v>7755</v>
      </c>
      <c r="BB238" s="3">
        <f t="shared" si="35"/>
        <v>325709</v>
      </c>
    </row>
    <row r="239" spans="1:54" x14ac:dyDescent="0.25">
      <c r="A239" t="s">
        <v>850</v>
      </c>
      <c r="B239" s="21">
        <v>3.34</v>
      </c>
      <c r="C239" s="21">
        <v>2.4500000000000002</v>
      </c>
      <c r="D239" s="35">
        <v>0.75</v>
      </c>
      <c r="E239" s="3">
        <v>153419</v>
      </c>
      <c r="F239" s="3">
        <v>277078</v>
      </c>
      <c r="G239" s="3">
        <v>417156</v>
      </c>
      <c r="H239" s="3">
        <v>410588</v>
      </c>
      <c r="I239" s="4">
        <v>-0.5</v>
      </c>
      <c r="J239" s="3"/>
      <c r="K239" s="3">
        <v>13532</v>
      </c>
      <c r="L239" s="3">
        <v>855</v>
      </c>
      <c r="M239" s="3">
        <v>8748</v>
      </c>
      <c r="N239" s="3">
        <v>2739</v>
      </c>
      <c r="O239" s="3">
        <v>14182</v>
      </c>
      <c r="P239" s="3">
        <v>7839</v>
      </c>
      <c r="Q239" s="3">
        <v>12404</v>
      </c>
      <c r="R239" s="3">
        <v>10406</v>
      </c>
      <c r="S239" s="3">
        <v>6173</v>
      </c>
      <c r="T239" s="3">
        <v>64320</v>
      </c>
      <c r="U239" s="3">
        <v>50923</v>
      </c>
      <c r="V239" s="3">
        <v>2448</v>
      </c>
      <c r="W239" s="3">
        <v>611</v>
      </c>
      <c r="X239" s="3">
        <v>3112</v>
      </c>
      <c r="Y239" s="3">
        <v>12403</v>
      </c>
      <c r="Z239" s="3">
        <v>3936</v>
      </c>
      <c r="AA239" s="3">
        <v>2447</v>
      </c>
      <c r="AB239" s="3">
        <v>5447</v>
      </c>
      <c r="AC239" s="3">
        <v>31101</v>
      </c>
      <c r="AD239" s="3">
        <v>15361</v>
      </c>
      <c r="AE239" s="3">
        <v>15864</v>
      </c>
      <c r="AF239" s="3">
        <v>5872</v>
      </c>
      <c r="AG239" s="3">
        <v>29622</v>
      </c>
      <c r="AH239" s="3">
        <v>15058</v>
      </c>
      <c r="AI239" s="3">
        <v>19559</v>
      </c>
      <c r="AJ239" s="3">
        <v>117713</v>
      </c>
      <c r="AK239" s="3">
        <v>82159</v>
      </c>
      <c r="AL239" s="3">
        <v>3420</v>
      </c>
      <c r="AM239" s="3">
        <v>7782</v>
      </c>
      <c r="AN239" s="3">
        <v>6071</v>
      </c>
      <c r="AO239" s="3">
        <v>7270</v>
      </c>
      <c r="AP239" s="3">
        <v>3783</v>
      </c>
      <c r="AR239" s="3">
        <f t="shared" si="27"/>
        <v>39849</v>
      </c>
      <c r="AS239" s="3">
        <f t="shared" si="27"/>
        <v>18100</v>
      </c>
      <c r="AT239" s="3">
        <f t="shared" si="27"/>
        <v>30046</v>
      </c>
      <c r="AU239" s="3">
        <f t="shared" si="28"/>
        <v>42026</v>
      </c>
      <c r="AV239" s="3">
        <f t="shared" si="29"/>
        <v>25464</v>
      </c>
      <c r="AW239" s="3">
        <f t="shared" si="30"/>
        <v>25732</v>
      </c>
      <c r="AX239" s="3">
        <f t="shared" si="31"/>
        <v>182033</v>
      </c>
      <c r="AY239" s="3">
        <f t="shared" si="32"/>
        <v>9183</v>
      </c>
      <c r="AZ239" s="3">
        <f t="shared" si="33"/>
        <v>19673</v>
      </c>
      <c r="BA239" s="3">
        <f t="shared" si="34"/>
        <v>7719</v>
      </c>
      <c r="BB239" s="3">
        <f t="shared" si="35"/>
        <v>320223</v>
      </c>
    </row>
    <row r="240" spans="1:54" x14ac:dyDescent="0.25">
      <c r="A240" t="s">
        <v>851</v>
      </c>
      <c r="B240" s="21">
        <v>3.32</v>
      </c>
      <c r="C240" s="21">
        <v>2.4300000000000002</v>
      </c>
      <c r="D240" s="35">
        <v>0.75</v>
      </c>
      <c r="E240" s="3">
        <v>154394</v>
      </c>
      <c r="F240" s="3">
        <v>280786</v>
      </c>
      <c r="G240" s="3">
        <v>420131</v>
      </c>
      <c r="H240" s="3">
        <v>416061</v>
      </c>
      <c r="I240" s="4">
        <v>-0.5</v>
      </c>
      <c r="J240" s="3"/>
      <c r="K240" s="3">
        <v>13563</v>
      </c>
      <c r="L240" s="3">
        <v>865</v>
      </c>
      <c r="M240" s="3">
        <v>8728</v>
      </c>
      <c r="N240" s="3">
        <v>2868</v>
      </c>
      <c r="O240" s="3">
        <v>14208</v>
      </c>
      <c r="P240" s="3">
        <v>7908</v>
      </c>
      <c r="Q240" s="3">
        <v>12374</v>
      </c>
      <c r="R240" s="3">
        <v>10373</v>
      </c>
      <c r="S240" s="3">
        <v>6270</v>
      </c>
      <c r="T240" s="3">
        <v>64943</v>
      </c>
      <c r="U240" s="3">
        <v>51481</v>
      </c>
      <c r="V240" s="3">
        <v>2462</v>
      </c>
      <c r="W240" s="3">
        <v>626</v>
      </c>
      <c r="X240" s="3">
        <v>3157</v>
      </c>
      <c r="Y240" s="3">
        <v>12496</v>
      </c>
      <c r="Z240" s="3">
        <v>3921</v>
      </c>
      <c r="AA240" s="3">
        <v>2466</v>
      </c>
      <c r="AB240" s="3">
        <v>5749</v>
      </c>
      <c r="AC240" s="3">
        <v>32019</v>
      </c>
      <c r="AD240" s="3">
        <v>15280</v>
      </c>
      <c r="AE240" s="3">
        <v>16297</v>
      </c>
      <c r="AF240" s="3">
        <v>5875</v>
      </c>
      <c r="AG240" s="3">
        <v>29404</v>
      </c>
      <c r="AH240" s="3">
        <v>15097</v>
      </c>
      <c r="AI240" s="3">
        <v>20124</v>
      </c>
      <c r="AJ240" s="3">
        <v>118738</v>
      </c>
      <c r="AK240" s="3">
        <v>82637</v>
      </c>
      <c r="AL240" s="3">
        <v>3600</v>
      </c>
      <c r="AM240" s="3">
        <v>8865</v>
      </c>
      <c r="AN240" s="3">
        <v>5841</v>
      </c>
      <c r="AO240" s="3">
        <v>7230</v>
      </c>
      <c r="AP240" s="3">
        <v>3675</v>
      </c>
      <c r="AR240" s="3">
        <f t="shared" si="27"/>
        <v>40747</v>
      </c>
      <c r="AS240" s="3">
        <f t="shared" si="27"/>
        <v>18148</v>
      </c>
      <c r="AT240" s="3">
        <f t="shared" si="27"/>
        <v>30505</v>
      </c>
      <c r="AU240" s="3">
        <f t="shared" si="28"/>
        <v>41778</v>
      </c>
      <c r="AV240" s="3">
        <f t="shared" si="29"/>
        <v>25470</v>
      </c>
      <c r="AW240" s="3">
        <f t="shared" si="30"/>
        <v>26394</v>
      </c>
      <c r="AX240" s="3">
        <f t="shared" si="31"/>
        <v>183681</v>
      </c>
      <c r="AY240" s="3">
        <f t="shared" si="32"/>
        <v>8998</v>
      </c>
      <c r="AZ240" s="3">
        <f t="shared" si="33"/>
        <v>19726</v>
      </c>
      <c r="BA240" s="3">
        <f t="shared" si="34"/>
        <v>7596</v>
      </c>
      <c r="BB240" s="3">
        <f t="shared" si="35"/>
        <v>323134</v>
      </c>
    </row>
    <row r="241" spans="1:54" x14ac:dyDescent="0.25">
      <c r="A241" t="s">
        <v>852</v>
      </c>
      <c r="B241" s="21">
        <v>3.31</v>
      </c>
      <c r="C241" s="21">
        <v>2.4300000000000002</v>
      </c>
      <c r="D241" s="35">
        <v>0.75</v>
      </c>
      <c r="E241" s="3">
        <v>155576</v>
      </c>
      <c r="F241" s="3">
        <v>280839</v>
      </c>
      <c r="G241" s="3">
        <v>414313</v>
      </c>
      <c r="H241" s="3">
        <v>417084</v>
      </c>
      <c r="I241" s="4" t="e">
        <v>#N/A</v>
      </c>
      <c r="J241" s="3"/>
      <c r="K241" s="3">
        <v>13579</v>
      </c>
      <c r="L241" s="3">
        <v>830</v>
      </c>
      <c r="M241" s="3">
        <v>8884</v>
      </c>
      <c r="N241" s="3">
        <v>2917</v>
      </c>
      <c r="O241" s="3">
        <v>14247</v>
      </c>
      <c r="P241" s="3">
        <v>7915</v>
      </c>
      <c r="Q241" s="3">
        <v>12564</v>
      </c>
      <c r="R241" s="3">
        <v>10565</v>
      </c>
      <c r="S241" s="3">
        <v>6234</v>
      </c>
      <c r="T241" s="3">
        <v>65132</v>
      </c>
      <c r="U241" s="3">
        <v>51590</v>
      </c>
      <c r="V241" s="3">
        <v>2478</v>
      </c>
      <c r="W241" s="3">
        <v>931</v>
      </c>
      <c r="X241" s="3">
        <v>3195</v>
      </c>
      <c r="Y241" s="3">
        <v>12526</v>
      </c>
      <c r="Z241" s="3">
        <v>3972</v>
      </c>
      <c r="AA241" s="3">
        <v>2389</v>
      </c>
      <c r="AB241" s="3">
        <v>5754</v>
      </c>
      <c r="AC241" s="3">
        <v>31641</v>
      </c>
      <c r="AD241" s="3">
        <v>15968</v>
      </c>
      <c r="AE241" s="3">
        <v>15627</v>
      </c>
      <c r="AF241" s="3">
        <v>6100</v>
      </c>
      <c r="AG241" s="3">
        <v>30242</v>
      </c>
      <c r="AH241" s="3">
        <v>14931</v>
      </c>
      <c r="AI241" s="3">
        <v>19922</v>
      </c>
      <c r="AJ241" s="3">
        <v>119601</v>
      </c>
      <c r="AK241" s="3">
        <v>83291</v>
      </c>
      <c r="AL241" s="3">
        <v>4042</v>
      </c>
      <c r="AM241" s="3">
        <v>7929</v>
      </c>
      <c r="AN241" s="3">
        <v>5904</v>
      </c>
      <c r="AO241" s="3">
        <v>7228</v>
      </c>
      <c r="AP241" s="3">
        <v>3705</v>
      </c>
      <c r="AR241" s="3">
        <f t="shared" si="27"/>
        <v>40525</v>
      </c>
      <c r="AS241" s="3">
        <f t="shared" si="27"/>
        <v>18885</v>
      </c>
      <c r="AT241" s="3">
        <f t="shared" si="27"/>
        <v>29874</v>
      </c>
      <c r="AU241" s="3">
        <f t="shared" si="28"/>
        <v>42806</v>
      </c>
      <c r="AV241" s="3">
        <f t="shared" si="29"/>
        <v>25496</v>
      </c>
      <c r="AW241" s="3">
        <f t="shared" si="30"/>
        <v>26156</v>
      </c>
      <c r="AX241" s="3">
        <f t="shared" si="31"/>
        <v>184733</v>
      </c>
      <c r="AY241" s="3">
        <f t="shared" si="32"/>
        <v>9099</v>
      </c>
      <c r="AZ241" s="3">
        <f t="shared" si="33"/>
        <v>19754</v>
      </c>
      <c r="BA241" s="3">
        <f t="shared" si="34"/>
        <v>7677</v>
      </c>
      <c r="BB241" s="3">
        <f t="shared" si="35"/>
        <v>324581</v>
      </c>
    </row>
    <row r="242" spans="1:54" x14ac:dyDescent="0.25">
      <c r="A242" t="s">
        <v>853</v>
      </c>
      <c r="B242" s="21">
        <v>3.3</v>
      </c>
      <c r="C242" s="21">
        <v>2.42</v>
      </c>
      <c r="D242" s="35">
        <v>0.75</v>
      </c>
      <c r="E242" s="3">
        <v>154847</v>
      </c>
      <c r="F242" s="3">
        <v>279327</v>
      </c>
      <c r="G242" s="3">
        <v>419391</v>
      </c>
      <c r="H242" s="3">
        <v>419070</v>
      </c>
      <c r="I242" s="4">
        <v>-0.4</v>
      </c>
      <c r="J242" s="3"/>
      <c r="K242" s="3">
        <v>13600</v>
      </c>
      <c r="L242" s="3">
        <v>895</v>
      </c>
      <c r="M242" s="3">
        <v>8562</v>
      </c>
      <c r="N242" s="3">
        <v>2889</v>
      </c>
      <c r="O242" s="3">
        <v>14219</v>
      </c>
      <c r="P242" s="3">
        <v>7918</v>
      </c>
      <c r="Q242" s="3">
        <v>12475</v>
      </c>
      <c r="R242" s="3">
        <v>10557</v>
      </c>
      <c r="S242" s="3">
        <v>6215</v>
      </c>
      <c r="T242" s="3">
        <v>65099</v>
      </c>
      <c r="U242" s="3">
        <v>51568</v>
      </c>
      <c r="V242" s="3">
        <v>2484</v>
      </c>
      <c r="W242" s="3">
        <v>773</v>
      </c>
      <c r="X242" s="3">
        <v>3169</v>
      </c>
      <c r="Y242" s="3">
        <v>12465</v>
      </c>
      <c r="Z242" s="3">
        <v>3929</v>
      </c>
      <c r="AA242" s="3">
        <v>2391</v>
      </c>
      <c r="AB242" s="3">
        <v>5433</v>
      </c>
      <c r="AC242" s="3">
        <v>31143</v>
      </c>
      <c r="AD242" s="3">
        <v>16102</v>
      </c>
      <c r="AE242" s="3">
        <v>16336</v>
      </c>
      <c r="AF242" s="3">
        <v>6661</v>
      </c>
      <c r="AG242" s="3">
        <v>29605</v>
      </c>
      <c r="AH242" s="3">
        <v>14709</v>
      </c>
      <c r="AI242" s="3">
        <v>20675</v>
      </c>
      <c r="AJ242" s="3">
        <v>119564</v>
      </c>
      <c r="AK242" s="3">
        <v>82515</v>
      </c>
      <c r="AL242" s="3">
        <v>4071</v>
      </c>
      <c r="AM242" s="3">
        <v>6665</v>
      </c>
      <c r="AN242" s="3">
        <v>5921</v>
      </c>
      <c r="AO242" s="3">
        <v>7099</v>
      </c>
      <c r="AP242" s="3">
        <v>3684</v>
      </c>
      <c r="AR242" s="3">
        <f t="shared" si="27"/>
        <v>39705</v>
      </c>
      <c r="AS242" s="3">
        <f t="shared" si="27"/>
        <v>18991</v>
      </c>
      <c r="AT242" s="3">
        <f t="shared" si="27"/>
        <v>30555</v>
      </c>
      <c r="AU242" s="3">
        <f t="shared" si="28"/>
        <v>42080</v>
      </c>
      <c r="AV242" s="3">
        <f t="shared" si="29"/>
        <v>25266</v>
      </c>
      <c r="AW242" s="3">
        <f t="shared" si="30"/>
        <v>26890</v>
      </c>
      <c r="AX242" s="3">
        <f t="shared" si="31"/>
        <v>184663</v>
      </c>
      <c r="AY242" s="3">
        <f t="shared" si="32"/>
        <v>9090</v>
      </c>
      <c r="AZ242" s="3">
        <f t="shared" si="33"/>
        <v>19564</v>
      </c>
      <c r="BA242" s="3">
        <f t="shared" si="34"/>
        <v>7613</v>
      </c>
      <c r="BB242" s="3">
        <f t="shared" si="35"/>
        <v>322604</v>
      </c>
    </row>
    <row r="243" spans="1:54" x14ac:dyDescent="0.25">
      <c r="A243" t="s">
        <v>854</v>
      </c>
      <c r="B243" s="21">
        <v>3.27</v>
      </c>
      <c r="C243" s="21">
        <v>2.42</v>
      </c>
      <c r="D243" s="35">
        <v>0.75</v>
      </c>
      <c r="E243" s="3">
        <v>155091</v>
      </c>
      <c r="F243" s="3">
        <v>281746</v>
      </c>
      <c r="G243" s="3">
        <v>421653</v>
      </c>
      <c r="H243" s="3">
        <v>421466</v>
      </c>
      <c r="I243" s="4">
        <v>-0.4</v>
      </c>
      <c r="J243" s="3"/>
      <c r="K243" s="3">
        <v>13554</v>
      </c>
      <c r="L243" s="3">
        <v>882</v>
      </c>
      <c r="M243" s="3">
        <v>8539</v>
      </c>
      <c r="N243" s="3">
        <v>3009</v>
      </c>
      <c r="O243" s="3">
        <v>14169</v>
      </c>
      <c r="P243" s="3">
        <v>7909</v>
      </c>
      <c r="Q243" s="3">
        <v>12499</v>
      </c>
      <c r="R243" s="3">
        <v>10517</v>
      </c>
      <c r="S243" s="3">
        <v>6247</v>
      </c>
      <c r="T243" s="3">
        <v>65326</v>
      </c>
      <c r="U243" s="3">
        <v>51748</v>
      </c>
      <c r="V243" s="3">
        <v>2484</v>
      </c>
      <c r="W243" s="3">
        <v>810</v>
      </c>
      <c r="X243" s="3">
        <v>3148</v>
      </c>
      <c r="Y243" s="3">
        <v>12476</v>
      </c>
      <c r="Z243" s="3">
        <v>3917</v>
      </c>
      <c r="AA243" s="3">
        <v>2458</v>
      </c>
      <c r="AB243" s="3">
        <v>5457</v>
      </c>
      <c r="AC243" s="3">
        <v>30383</v>
      </c>
      <c r="AD243" s="3">
        <v>16440</v>
      </c>
      <c r="AE243" s="3">
        <v>16667</v>
      </c>
      <c r="AF243" s="3">
        <v>6687</v>
      </c>
      <c r="AG243" s="3">
        <v>29633</v>
      </c>
      <c r="AH243" s="3">
        <v>14483</v>
      </c>
      <c r="AI243" s="3">
        <v>20625</v>
      </c>
      <c r="AJ243" s="3">
        <v>120970</v>
      </c>
      <c r="AK243" s="3">
        <v>83261</v>
      </c>
      <c r="AL243" s="3">
        <v>4043</v>
      </c>
      <c r="AM243" s="3">
        <v>7821</v>
      </c>
      <c r="AN243" s="3">
        <v>5978</v>
      </c>
      <c r="AO243" s="3">
        <v>7163</v>
      </c>
      <c r="AP243" s="3">
        <v>3668</v>
      </c>
      <c r="AR243" s="3">
        <f t="shared" si="27"/>
        <v>38922</v>
      </c>
      <c r="AS243" s="3">
        <f t="shared" si="27"/>
        <v>19449</v>
      </c>
      <c r="AT243" s="3">
        <f t="shared" si="27"/>
        <v>30836</v>
      </c>
      <c r="AU243" s="3">
        <f t="shared" si="28"/>
        <v>42132</v>
      </c>
      <c r="AV243" s="3">
        <f t="shared" si="29"/>
        <v>25000</v>
      </c>
      <c r="AW243" s="3">
        <f t="shared" si="30"/>
        <v>26872</v>
      </c>
      <c r="AX243" s="3">
        <f t="shared" si="31"/>
        <v>186296</v>
      </c>
      <c r="AY243" s="3">
        <f t="shared" si="32"/>
        <v>9126</v>
      </c>
      <c r="AZ243" s="3">
        <f t="shared" si="33"/>
        <v>19639</v>
      </c>
      <c r="BA243" s="3">
        <f t="shared" si="34"/>
        <v>7585</v>
      </c>
      <c r="BB243" s="3">
        <f t="shared" si="35"/>
        <v>325281</v>
      </c>
    </row>
    <row r="244" spans="1:54" x14ac:dyDescent="0.25">
      <c r="A244" t="s">
        <v>855</v>
      </c>
      <c r="B244" s="21">
        <v>3.27</v>
      </c>
      <c r="C244" s="21">
        <v>2.4</v>
      </c>
      <c r="D244" s="35">
        <v>0.75</v>
      </c>
      <c r="E244" s="3">
        <v>154755</v>
      </c>
      <c r="F244" s="3">
        <v>283055</v>
      </c>
      <c r="G244" s="3">
        <v>421639</v>
      </c>
      <c r="H244" s="3">
        <v>425317</v>
      </c>
      <c r="I244" s="4" t="e">
        <v>#N/A</v>
      </c>
      <c r="J244" s="3"/>
      <c r="K244" s="3">
        <v>13449</v>
      </c>
      <c r="L244" s="3">
        <v>921</v>
      </c>
      <c r="M244" s="3">
        <v>8420</v>
      </c>
      <c r="N244" s="3">
        <v>3034</v>
      </c>
      <c r="O244" s="3">
        <v>14028</v>
      </c>
      <c r="P244" s="3">
        <v>7839</v>
      </c>
      <c r="Q244" s="3">
        <v>12674</v>
      </c>
      <c r="R244" s="3">
        <v>10617</v>
      </c>
      <c r="S244" s="3">
        <v>6394</v>
      </c>
      <c r="T244" s="3">
        <v>65365</v>
      </c>
      <c r="U244" s="3">
        <v>51788</v>
      </c>
      <c r="V244" s="3">
        <v>2478</v>
      </c>
      <c r="W244" s="3">
        <v>393</v>
      </c>
      <c r="X244" s="3">
        <v>3039</v>
      </c>
      <c r="Y244" s="3">
        <v>12505</v>
      </c>
      <c r="Z244" s="3">
        <v>3913</v>
      </c>
      <c r="AA244" s="3">
        <v>2654</v>
      </c>
      <c r="AB244" s="3">
        <v>6268</v>
      </c>
      <c r="AC244" s="3">
        <v>29401</v>
      </c>
      <c r="AD244" s="3">
        <v>16529</v>
      </c>
      <c r="AE244" s="3">
        <v>16134</v>
      </c>
      <c r="AF244" s="3">
        <v>6385</v>
      </c>
      <c r="AG244" s="3">
        <v>30865</v>
      </c>
      <c r="AH244" s="3">
        <v>14902</v>
      </c>
      <c r="AI244" s="3">
        <v>21278</v>
      </c>
      <c r="AJ244" s="3">
        <v>121129</v>
      </c>
      <c r="AK244" s="3">
        <v>84232</v>
      </c>
      <c r="AL244" s="3">
        <v>4114</v>
      </c>
      <c r="AM244" s="3">
        <v>7163</v>
      </c>
      <c r="AN244" s="3">
        <v>6179</v>
      </c>
      <c r="AO244" s="3">
        <v>7083</v>
      </c>
      <c r="AP244" s="3">
        <v>3471</v>
      </c>
      <c r="AR244" s="3">
        <f t="shared" si="27"/>
        <v>37821</v>
      </c>
      <c r="AS244" s="3">
        <f t="shared" si="27"/>
        <v>19563</v>
      </c>
      <c r="AT244" s="3">
        <f t="shared" si="27"/>
        <v>30162</v>
      </c>
      <c r="AU244" s="3">
        <f t="shared" si="28"/>
        <v>43539</v>
      </c>
      <c r="AV244" s="3">
        <f t="shared" si="29"/>
        <v>25519</v>
      </c>
      <c r="AW244" s="3">
        <f t="shared" si="30"/>
        <v>27672</v>
      </c>
      <c r="AX244" s="3">
        <f t="shared" si="31"/>
        <v>186494</v>
      </c>
      <c r="AY244" s="3">
        <f t="shared" si="32"/>
        <v>9218</v>
      </c>
      <c r="AZ244" s="3">
        <f t="shared" si="33"/>
        <v>19588</v>
      </c>
      <c r="BA244" s="3">
        <f t="shared" si="34"/>
        <v>7384</v>
      </c>
      <c r="BB244" s="3">
        <f t="shared" si="35"/>
        <v>326970</v>
      </c>
    </row>
    <row r="245" spans="1:54" x14ac:dyDescent="0.25">
      <c r="A245" t="s">
        <v>856</v>
      </c>
      <c r="B245" s="21">
        <v>3.26</v>
      </c>
      <c r="C245" s="21">
        <v>2.39</v>
      </c>
      <c r="D245" s="35">
        <v>0.75</v>
      </c>
      <c r="E245" s="3">
        <v>154663</v>
      </c>
      <c r="F245" s="3">
        <v>283606</v>
      </c>
      <c r="G245" s="3">
        <v>422164</v>
      </c>
      <c r="H245" s="3">
        <v>424791</v>
      </c>
      <c r="I245" s="4">
        <v>-0.5</v>
      </c>
      <c r="J245" s="3"/>
      <c r="K245" s="3">
        <v>13453</v>
      </c>
      <c r="L245" s="3">
        <v>835</v>
      </c>
      <c r="M245" s="3">
        <v>8573</v>
      </c>
      <c r="N245" s="3">
        <v>3149</v>
      </c>
      <c r="O245" s="3">
        <v>14039</v>
      </c>
      <c r="P245" s="3">
        <v>7868</v>
      </c>
      <c r="Q245" s="3">
        <v>12616</v>
      </c>
      <c r="R245" s="3">
        <v>10719</v>
      </c>
      <c r="S245" s="3">
        <v>6408</v>
      </c>
      <c r="T245" s="3">
        <v>65208</v>
      </c>
      <c r="U245" s="3">
        <v>51591</v>
      </c>
      <c r="V245" s="3">
        <v>2461</v>
      </c>
      <c r="W245" s="3">
        <v>359</v>
      </c>
      <c r="X245" s="3">
        <v>2986</v>
      </c>
      <c r="Y245" s="3">
        <v>12425</v>
      </c>
      <c r="Z245" s="3">
        <v>3893</v>
      </c>
      <c r="AA245" s="3">
        <v>2652</v>
      </c>
      <c r="AB245" s="3">
        <v>5592</v>
      </c>
      <c r="AC245" s="3">
        <v>29719</v>
      </c>
      <c r="AD245" s="3">
        <v>16867</v>
      </c>
      <c r="AE245" s="3">
        <v>16099</v>
      </c>
      <c r="AF245" s="3">
        <v>6495</v>
      </c>
      <c r="AG245" s="3">
        <v>30202</v>
      </c>
      <c r="AH245" s="3">
        <v>15307</v>
      </c>
      <c r="AI245" s="3">
        <v>21099</v>
      </c>
      <c r="AJ245" s="3">
        <v>120644</v>
      </c>
      <c r="AK245" s="3">
        <v>84694</v>
      </c>
      <c r="AL245" s="3">
        <v>3861</v>
      </c>
      <c r="AM245" s="3">
        <v>8795</v>
      </c>
      <c r="AN245" s="3">
        <v>5999</v>
      </c>
      <c r="AO245" s="3">
        <v>7118</v>
      </c>
      <c r="AP245" s="3">
        <v>3513</v>
      </c>
      <c r="AR245" s="3">
        <f t="shared" si="27"/>
        <v>38292</v>
      </c>
      <c r="AS245" s="3">
        <f t="shared" si="27"/>
        <v>20016</v>
      </c>
      <c r="AT245" s="3">
        <f t="shared" si="27"/>
        <v>30138</v>
      </c>
      <c r="AU245" s="3">
        <f t="shared" si="28"/>
        <v>42818</v>
      </c>
      <c r="AV245" s="3">
        <f t="shared" si="29"/>
        <v>26026</v>
      </c>
      <c r="AW245" s="3">
        <f t="shared" si="30"/>
        <v>27507</v>
      </c>
      <c r="AX245" s="3">
        <f t="shared" si="31"/>
        <v>185852</v>
      </c>
      <c r="AY245" s="3">
        <f t="shared" si="32"/>
        <v>8985</v>
      </c>
      <c r="AZ245" s="3">
        <f t="shared" si="33"/>
        <v>19543</v>
      </c>
      <c r="BA245" s="3">
        <f t="shared" si="34"/>
        <v>7406</v>
      </c>
      <c r="BB245" s="3">
        <f t="shared" si="35"/>
        <v>327291</v>
      </c>
    </row>
    <row r="246" spans="1:54" x14ac:dyDescent="0.25">
      <c r="A246" t="s">
        <v>857</v>
      </c>
      <c r="B246" s="21">
        <v>3.24</v>
      </c>
      <c r="C246" s="21">
        <v>2.4</v>
      </c>
      <c r="D246" s="35">
        <v>0.75</v>
      </c>
      <c r="E246" s="3">
        <v>156417</v>
      </c>
      <c r="F246" s="3">
        <v>286084</v>
      </c>
      <c r="G246" s="3">
        <v>425151</v>
      </c>
      <c r="H246" s="3">
        <v>429104</v>
      </c>
      <c r="I246" s="4">
        <v>-1</v>
      </c>
      <c r="J246" s="3"/>
      <c r="K246" s="3">
        <v>13598</v>
      </c>
      <c r="L246" s="3">
        <v>813</v>
      </c>
      <c r="M246" s="3">
        <v>8314</v>
      </c>
      <c r="N246" s="3">
        <v>3154</v>
      </c>
      <c r="O246" s="3">
        <v>13975</v>
      </c>
      <c r="P246" s="3">
        <v>7797</v>
      </c>
      <c r="Q246" s="3">
        <v>12562</v>
      </c>
      <c r="R246" s="3">
        <v>10756</v>
      </c>
      <c r="S246" s="3">
        <v>6560</v>
      </c>
      <c r="T246" s="3">
        <v>66394</v>
      </c>
      <c r="U246" s="3">
        <v>52823</v>
      </c>
      <c r="V246" s="3">
        <v>2478</v>
      </c>
      <c r="W246" s="3">
        <v>865</v>
      </c>
      <c r="X246" s="3">
        <v>3111</v>
      </c>
      <c r="Y246" s="3">
        <v>12376</v>
      </c>
      <c r="Z246" s="3">
        <v>3937</v>
      </c>
      <c r="AA246" s="3">
        <v>2534</v>
      </c>
      <c r="AB246" s="3">
        <v>5522</v>
      </c>
      <c r="AC246" s="3">
        <v>28364</v>
      </c>
      <c r="AD246" s="3">
        <v>17166</v>
      </c>
      <c r="AE246" s="3">
        <v>16459</v>
      </c>
      <c r="AF246" s="3">
        <v>6675</v>
      </c>
      <c r="AG246" s="3">
        <v>29865</v>
      </c>
      <c r="AH246" s="3">
        <v>15014</v>
      </c>
      <c r="AI246" s="3">
        <v>21037</v>
      </c>
      <c r="AJ246" s="3">
        <v>122369</v>
      </c>
      <c r="AK246" s="3">
        <v>85846</v>
      </c>
      <c r="AL246" s="3">
        <v>3858</v>
      </c>
      <c r="AM246" s="3">
        <v>11023</v>
      </c>
      <c r="AN246" s="3">
        <v>6030</v>
      </c>
      <c r="AO246" s="3">
        <v>7241</v>
      </c>
      <c r="AP246" s="3">
        <v>3460</v>
      </c>
      <c r="AR246" s="3">
        <f t="shared" si="27"/>
        <v>36678</v>
      </c>
      <c r="AS246" s="3">
        <f t="shared" si="27"/>
        <v>20320</v>
      </c>
      <c r="AT246" s="3">
        <f t="shared" si="27"/>
        <v>30434</v>
      </c>
      <c r="AU246" s="3">
        <f t="shared" si="28"/>
        <v>42427</v>
      </c>
      <c r="AV246" s="3">
        <f t="shared" si="29"/>
        <v>25770</v>
      </c>
      <c r="AW246" s="3">
        <f t="shared" si="30"/>
        <v>27597</v>
      </c>
      <c r="AX246" s="3">
        <f t="shared" si="31"/>
        <v>188763</v>
      </c>
      <c r="AY246" s="3">
        <f t="shared" si="32"/>
        <v>9141</v>
      </c>
      <c r="AZ246" s="3">
        <f t="shared" si="33"/>
        <v>19617</v>
      </c>
      <c r="BA246" s="3">
        <f t="shared" si="34"/>
        <v>7397</v>
      </c>
      <c r="BB246" s="3">
        <f t="shared" si="35"/>
        <v>332600</v>
      </c>
    </row>
    <row r="247" spans="1:54" x14ac:dyDescent="0.25">
      <c r="A247" t="s">
        <v>858</v>
      </c>
      <c r="B247" s="21">
        <v>3.28</v>
      </c>
      <c r="C247" s="21">
        <v>2.37</v>
      </c>
      <c r="D247" s="35">
        <v>0.75</v>
      </c>
      <c r="E247" s="3">
        <v>156211</v>
      </c>
      <c r="F247" s="3">
        <v>286780</v>
      </c>
      <c r="G247" s="3">
        <v>425654</v>
      </c>
      <c r="H247" s="3">
        <v>433553</v>
      </c>
      <c r="I247" s="4" t="e">
        <v>#N/A</v>
      </c>
      <c r="J247" s="3"/>
      <c r="K247" s="3">
        <v>13602</v>
      </c>
      <c r="L247" s="3">
        <v>827</v>
      </c>
      <c r="M247" s="3">
        <v>8476</v>
      </c>
      <c r="N247" s="3">
        <v>3290</v>
      </c>
      <c r="O247" s="3">
        <v>13810</v>
      </c>
      <c r="P247" s="3">
        <v>7740</v>
      </c>
      <c r="Q247" s="3">
        <v>12562</v>
      </c>
      <c r="R247" s="3">
        <v>10775</v>
      </c>
      <c r="S247" s="3">
        <v>6516</v>
      </c>
      <c r="T247" s="3">
        <v>66001</v>
      </c>
      <c r="U247" s="3">
        <v>52798</v>
      </c>
      <c r="V247" s="3">
        <v>2364</v>
      </c>
      <c r="W247" s="3">
        <v>865</v>
      </c>
      <c r="X247" s="3">
        <v>3129</v>
      </c>
      <c r="Y247" s="3">
        <v>12398</v>
      </c>
      <c r="Z247" s="3">
        <v>3962</v>
      </c>
      <c r="AA247" s="3">
        <v>2369</v>
      </c>
      <c r="AB247" s="3">
        <v>5901</v>
      </c>
      <c r="AC247" s="3">
        <v>29202</v>
      </c>
      <c r="AD247" s="3">
        <v>17906</v>
      </c>
      <c r="AE247" s="3">
        <v>15433</v>
      </c>
      <c r="AF247" s="3">
        <v>6455</v>
      </c>
      <c r="AG247" s="3">
        <v>29789</v>
      </c>
      <c r="AH247" s="3">
        <v>14931</v>
      </c>
      <c r="AI247" s="3">
        <v>20046</v>
      </c>
      <c r="AJ247" s="3">
        <v>122280</v>
      </c>
      <c r="AK247" s="3">
        <v>86451</v>
      </c>
      <c r="AL247" s="3">
        <v>3997</v>
      </c>
      <c r="AM247" s="3">
        <v>12124</v>
      </c>
      <c r="AN247" s="3">
        <v>6060</v>
      </c>
      <c r="AO247" s="3">
        <v>7144</v>
      </c>
      <c r="AP247" s="3">
        <v>3595</v>
      </c>
      <c r="AR247" s="3">
        <f t="shared" si="27"/>
        <v>37678</v>
      </c>
      <c r="AS247" s="3">
        <f t="shared" si="27"/>
        <v>21196</v>
      </c>
      <c r="AT247" s="3">
        <f t="shared" si="27"/>
        <v>29243</v>
      </c>
      <c r="AU247" s="3">
        <f t="shared" si="28"/>
        <v>42351</v>
      </c>
      <c r="AV247" s="3">
        <f t="shared" si="29"/>
        <v>25706</v>
      </c>
      <c r="AW247" s="3">
        <f t="shared" si="30"/>
        <v>26562</v>
      </c>
      <c r="AX247" s="3">
        <f t="shared" si="31"/>
        <v>188281</v>
      </c>
      <c r="AY247" s="3">
        <f t="shared" si="32"/>
        <v>9189</v>
      </c>
      <c r="AZ247" s="3">
        <f t="shared" si="33"/>
        <v>19542</v>
      </c>
      <c r="BA247" s="3">
        <f t="shared" si="34"/>
        <v>7557</v>
      </c>
      <c r="BB247" s="3">
        <f t="shared" si="35"/>
        <v>332177</v>
      </c>
    </row>
    <row r="248" spans="1:54" x14ac:dyDescent="0.25">
      <c r="A248" t="s">
        <v>859</v>
      </c>
      <c r="B248" s="21">
        <v>3.29</v>
      </c>
      <c r="C248" s="21">
        <v>2.37</v>
      </c>
      <c r="D248" s="35">
        <v>0.75</v>
      </c>
      <c r="E248" s="3">
        <v>155550</v>
      </c>
      <c r="F248" s="3">
        <v>282191</v>
      </c>
      <c r="G248" s="3">
        <v>426743</v>
      </c>
      <c r="H248" s="3">
        <v>420981</v>
      </c>
      <c r="I248" s="4">
        <v>-1.1000000000000001</v>
      </c>
      <c r="J248" s="3"/>
      <c r="K248" s="3">
        <v>13611</v>
      </c>
      <c r="L248" s="3">
        <v>829</v>
      </c>
      <c r="M248" s="3">
        <v>8257</v>
      </c>
      <c r="N248" s="3">
        <v>3200</v>
      </c>
      <c r="O248" s="3">
        <v>13887</v>
      </c>
      <c r="P248" s="3">
        <v>7730</v>
      </c>
      <c r="Q248" s="3">
        <v>12449</v>
      </c>
      <c r="R248" s="3">
        <v>10736</v>
      </c>
      <c r="S248" s="3">
        <v>6715</v>
      </c>
      <c r="T248" s="3">
        <v>66250</v>
      </c>
      <c r="U248" s="3">
        <v>53078</v>
      </c>
      <c r="V248" s="3">
        <v>2346</v>
      </c>
      <c r="W248" s="3">
        <v>385</v>
      </c>
      <c r="X248" s="3">
        <v>3096</v>
      </c>
      <c r="Y248" s="3">
        <v>12192</v>
      </c>
      <c r="Z248" s="3">
        <v>3942</v>
      </c>
      <c r="AA248" s="3">
        <v>2292</v>
      </c>
      <c r="AB248" s="3">
        <v>5793</v>
      </c>
      <c r="AC248" s="3">
        <v>27725</v>
      </c>
      <c r="AD248" s="3">
        <v>17835</v>
      </c>
      <c r="AE248" s="3">
        <v>15955</v>
      </c>
      <c r="AF248" s="3">
        <v>6428</v>
      </c>
      <c r="AG248" s="3">
        <v>29586</v>
      </c>
      <c r="AH248" s="3">
        <v>15225</v>
      </c>
      <c r="AI248" s="3">
        <v>20589</v>
      </c>
      <c r="AJ248" s="3">
        <v>122372</v>
      </c>
      <c r="AK248" s="3">
        <v>85954</v>
      </c>
      <c r="AL248" s="3">
        <v>4135</v>
      </c>
      <c r="AM248" s="3">
        <v>8438</v>
      </c>
      <c r="AN248" s="3">
        <v>6060</v>
      </c>
      <c r="AO248" s="3">
        <v>6800</v>
      </c>
      <c r="AP248" s="3">
        <v>3520</v>
      </c>
      <c r="AR248" s="3">
        <f t="shared" si="27"/>
        <v>35982</v>
      </c>
      <c r="AS248" s="3">
        <f t="shared" si="27"/>
        <v>21035</v>
      </c>
      <c r="AT248" s="3">
        <f t="shared" si="27"/>
        <v>29842</v>
      </c>
      <c r="AU248" s="3">
        <f t="shared" si="28"/>
        <v>42035</v>
      </c>
      <c r="AV248" s="3">
        <f t="shared" si="29"/>
        <v>25961</v>
      </c>
      <c r="AW248" s="3">
        <f t="shared" si="30"/>
        <v>27304</v>
      </c>
      <c r="AX248" s="3">
        <f t="shared" si="31"/>
        <v>188622</v>
      </c>
      <c r="AY248" s="3">
        <f t="shared" si="32"/>
        <v>9156</v>
      </c>
      <c r="AZ248" s="3">
        <f t="shared" si="33"/>
        <v>18992</v>
      </c>
      <c r="BA248" s="3">
        <f t="shared" si="34"/>
        <v>7462</v>
      </c>
      <c r="BB248" s="3">
        <f t="shared" si="35"/>
        <v>328355</v>
      </c>
    </row>
    <row r="249" spans="1:54" x14ac:dyDescent="0.25">
      <c r="A249" t="s">
        <v>860</v>
      </c>
      <c r="B249" s="21">
        <v>3.3</v>
      </c>
      <c r="C249" s="21">
        <v>2.37</v>
      </c>
      <c r="D249" s="35">
        <v>0.75</v>
      </c>
      <c r="E249" s="3">
        <v>155490</v>
      </c>
      <c r="F249" s="3">
        <v>283376</v>
      </c>
      <c r="G249" s="3">
        <v>430867</v>
      </c>
      <c r="H249" s="3">
        <v>421306</v>
      </c>
      <c r="I249" s="4" t="e">
        <v>#N/A</v>
      </c>
      <c r="J249" s="3"/>
      <c r="K249" s="3">
        <v>13571</v>
      </c>
      <c r="L249" s="3">
        <v>782</v>
      </c>
      <c r="M249" s="3">
        <v>8216</v>
      </c>
      <c r="N249" s="3">
        <v>3283</v>
      </c>
      <c r="O249" s="3">
        <v>13874</v>
      </c>
      <c r="P249" s="3">
        <v>7758</v>
      </c>
      <c r="Q249" s="3">
        <v>12485</v>
      </c>
      <c r="R249" s="3">
        <v>10697</v>
      </c>
      <c r="S249" s="3">
        <v>6891</v>
      </c>
      <c r="T249" s="3">
        <v>65963</v>
      </c>
      <c r="U249" s="3">
        <v>53051</v>
      </c>
      <c r="V249" s="3">
        <v>2369</v>
      </c>
      <c r="W249" s="3">
        <v>394</v>
      </c>
      <c r="X249" s="3">
        <v>3134</v>
      </c>
      <c r="Y249" s="3">
        <v>12140</v>
      </c>
      <c r="Z249" s="3">
        <v>4060</v>
      </c>
      <c r="AA249" s="3">
        <v>2357</v>
      </c>
      <c r="AB249" s="3">
        <v>5972</v>
      </c>
      <c r="AC249" s="3">
        <v>27180</v>
      </c>
      <c r="AD249" s="3">
        <v>17661</v>
      </c>
      <c r="AE249" s="3">
        <v>16323</v>
      </c>
      <c r="AF249" s="3">
        <v>6422</v>
      </c>
      <c r="AG249" s="3">
        <v>30488</v>
      </c>
      <c r="AH249" s="3">
        <v>15267</v>
      </c>
      <c r="AI249" s="3">
        <v>20857</v>
      </c>
      <c r="AJ249" s="3">
        <v>121423</v>
      </c>
      <c r="AK249" s="3">
        <v>85823</v>
      </c>
      <c r="AL249" s="3">
        <v>4054</v>
      </c>
      <c r="AM249" s="3">
        <v>9281</v>
      </c>
      <c r="AN249" s="3">
        <v>5997</v>
      </c>
      <c r="AO249" s="3">
        <v>7065</v>
      </c>
      <c r="AP249" s="3">
        <v>3505</v>
      </c>
      <c r="AR249" s="3">
        <f t="shared" si="27"/>
        <v>35396</v>
      </c>
      <c r="AS249" s="3">
        <f t="shared" si="27"/>
        <v>20944</v>
      </c>
      <c r="AT249" s="3">
        <f t="shared" si="27"/>
        <v>30197</v>
      </c>
      <c r="AU249" s="3">
        <f t="shared" si="28"/>
        <v>42973</v>
      </c>
      <c r="AV249" s="3">
        <f t="shared" si="29"/>
        <v>25964</v>
      </c>
      <c r="AW249" s="3">
        <f t="shared" si="30"/>
        <v>27748</v>
      </c>
      <c r="AX249" s="3">
        <f t="shared" si="31"/>
        <v>187386</v>
      </c>
      <c r="AY249" s="3">
        <f t="shared" si="32"/>
        <v>9131</v>
      </c>
      <c r="AZ249" s="3">
        <f t="shared" si="33"/>
        <v>19205</v>
      </c>
      <c r="BA249" s="3">
        <f t="shared" si="34"/>
        <v>7565</v>
      </c>
      <c r="BB249" s="3">
        <f t="shared" si="35"/>
        <v>329647</v>
      </c>
    </row>
    <row r="250" spans="1:54" x14ac:dyDescent="0.25">
      <c r="A250" t="s">
        <v>861</v>
      </c>
      <c r="B250" s="21">
        <v>3.21</v>
      </c>
      <c r="C250" s="21">
        <v>2.33</v>
      </c>
      <c r="D250" s="35">
        <v>0.34772727272727261</v>
      </c>
      <c r="E250" s="3">
        <v>157709</v>
      </c>
      <c r="F250" s="3">
        <v>315014</v>
      </c>
      <c r="G250" s="3">
        <v>455382</v>
      </c>
      <c r="H250" s="3">
        <v>454604</v>
      </c>
      <c r="I250" s="4">
        <v>-1.2</v>
      </c>
      <c r="J250" s="3"/>
      <c r="K250" s="3">
        <v>13599</v>
      </c>
      <c r="L250" s="3">
        <v>866</v>
      </c>
      <c r="M250" s="3">
        <v>8787</v>
      </c>
      <c r="N250" s="3">
        <v>3298</v>
      </c>
      <c r="O250" s="3">
        <v>13962</v>
      </c>
      <c r="P250" s="3">
        <v>7811</v>
      </c>
      <c r="Q250" s="3">
        <v>12670</v>
      </c>
      <c r="R250" s="3">
        <v>10963</v>
      </c>
      <c r="S250" s="3">
        <v>7325</v>
      </c>
      <c r="T250" s="3">
        <v>65872</v>
      </c>
      <c r="U250" s="3">
        <v>52674</v>
      </c>
      <c r="V250" s="3">
        <v>2365</v>
      </c>
      <c r="W250" s="3">
        <v>806</v>
      </c>
      <c r="X250" s="3">
        <v>3256</v>
      </c>
      <c r="Y250" s="3">
        <v>12203</v>
      </c>
      <c r="Z250" s="3">
        <v>4101</v>
      </c>
      <c r="AA250" s="3">
        <v>2312</v>
      </c>
      <c r="AB250" s="3">
        <v>6259</v>
      </c>
      <c r="AC250" s="3">
        <v>32951</v>
      </c>
      <c r="AD250" s="3">
        <v>18845</v>
      </c>
      <c r="AE250" s="3">
        <v>19163</v>
      </c>
      <c r="AF250" s="3">
        <v>7136</v>
      </c>
      <c r="AG250" s="3">
        <v>34249</v>
      </c>
      <c r="AH250" s="3">
        <v>17471</v>
      </c>
      <c r="AI250" s="3">
        <v>25880</v>
      </c>
      <c r="AJ250" s="3">
        <v>128707</v>
      </c>
      <c r="AK250" s="3">
        <v>89384</v>
      </c>
      <c r="AL250" s="3">
        <v>4238</v>
      </c>
      <c r="AM250" s="3">
        <v>11070</v>
      </c>
      <c r="AN250" s="3">
        <v>6624</v>
      </c>
      <c r="AO250" s="3">
        <v>7253</v>
      </c>
      <c r="AP250" s="3">
        <v>4229</v>
      </c>
      <c r="AR250" s="3">
        <f t="shared" si="27"/>
        <v>41738</v>
      </c>
      <c r="AS250" s="3">
        <f t="shared" si="27"/>
        <v>22143</v>
      </c>
      <c r="AT250" s="3">
        <f t="shared" si="27"/>
        <v>33125</v>
      </c>
      <c r="AU250" s="3">
        <f t="shared" si="28"/>
        <v>46919</v>
      </c>
      <c r="AV250" s="3">
        <f t="shared" si="29"/>
        <v>28434</v>
      </c>
      <c r="AW250" s="3">
        <f t="shared" si="30"/>
        <v>33205</v>
      </c>
      <c r="AX250" s="3">
        <f t="shared" si="31"/>
        <v>194579</v>
      </c>
      <c r="AY250" s="3">
        <f t="shared" si="32"/>
        <v>9880</v>
      </c>
      <c r="AZ250" s="3">
        <f t="shared" si="33"/>
        <v>19456</v>
      </c>
      <c r="BA250" s="3">
        <f t="shared" si="34"/>
        <v>8330</v>
      </c>
      <c r="BB250" s="3">
        <f t="shared" si="35"/>
        <v>352679</v>
      </c>
    </row>
    <row r="251" spans="1:54" x14ac:dyDescent="0.25">
      <c r="A251" t="s">
        <v>862</v>
      </c>
      <c r="B251" s="21">
        <v>2.98</v>
      </c>
      <c r="C251" s="21">
        <v>2.21</v>
      </c>
      <c r="D251" s="35">
        <v>0.10000000000000003</v>
      </c>
      <c r="E251" s="3">
        <v>159008</v>
      </c>
      <c r="F251" s="3">
        <v>328103</v>
      </c>
      <c r="G251" s="3">
        <v>476368</v>
      </c>
      <c r="H251" s="3">
        <v>470804</v>
      </c>
      <c r="I251" s="4">
        <v>-4</v>
      </c>
      <c r="J251" s="3"/>
      <c r="K251" s="3">
        <v>13538</v>
      </c>
      <c r="L251" s="3">
        <v>728</v>
      </c>
      <c r="M251" s="3">
        <v>8823</v>
      </c>
      <c r="N251" s="3">
        <v>3443</v>
      </c>
      <c r="O251" s="3">
        <v>13636</v>
      </c>
      <c r="P251" s="3">
        <v>7656</v>
      </c>
      <c r="Q251" s="3">
        <v>12474</v>
      </c>
      <c r="R251" s="3">
        <v>11012</v>
      </c>
      <c r="S251" s="3">
        <v>7342</v>
      </c>
      <c r="T251" s="3">
        <v>64965</v>
      </c>
      <c r="U251" s="3">
        <v>51807</v>
      </c>
      <c r="V251" s="3">
        <v>2325</v>
      </c>
      <c r="W251" s="3">
        <v>3713</v>
      </c>
      <c r="X251" s="3">
        <v>3155</v>
      </c>
      <c r="Y251" s="3">
        <v>12107</v>
      </c>
      <c r="Z251" s="3">
        <v>4071</v>
      </c>
      <c r="AA251" s="3">
        <v>2101</v>
      </c>
      <c r="AB251" s="3">
        <v>5587</v>
      </c>
      <c r="AC251" s="3">
        <v>34173</v>
      </c>
      <c r="AD251" s="3">
        <v>18975</v>
      </c>
      <c r="AE251" s="3">
        <v>18634</v>
      </c>
      <c r="AF251" s="3">
        <v>6892</v>
      </c>
      <c r="AG251" s="3">
        <v>32044</v>
      </c>
      <c r="AH251" s="3">
        <v>16718</v>
      </c>
      <c r="AI251" s="3">
        <v>25854</v>
      </c>
      <c r="AJ251" s="3">
        <v>123251</v>
      </c>
      <c r="AK251" s="3">
        <v>85687</v>
      </c>
      <c r="AL251" s="3">
        <v>3949</v>
      </c>
      <c r="AM251" s="3">
        <v>33037</v>
      </c>
      <c r="AN251" s="3">
        <v>6506</v>
      </c>
      <c r="AO251" s="3">
        <v>7011</v>
      </c>
      <c r="AP251" s="3">
        <v>4212</v>
      </c>
      <c r="AR251" s="3">
        <f t="shared" si="27"/>
        <v>42996</v>
      </c>
      <c r="AS251" s="3">
        <f t="shared" si="27"/>
        <v>22418</v>
      </c>
      <c r="AT251" s="3">
        <f t="shared" si="27"/>
        <v>32270</v>
      </c>
      <c r="AU251" s="3">
        <f t="shared" si="28"/>
        <v>44518</v>
      </c>
      <c r="AV251" s="3">
        <f t="shared" si="29"/>
        <v>27730</v>
      </c>
      <c r="AW251" s="3">
        <f t="shared" si="30"/>
        <v>33196</v>
      </c>
      <c r="AX251" s="3">
        <f t="shared" si="31"/>
        <v>188216</v>
      </c>
      <c r="AY251" s="3">
        <f t="shared" si="32"/>
        <v>9661</v>
      </c>
      <c r="AZ251" s="3">
        <f t="shared" si="33"/>
        <v>19118</v>
      </c>
      <c r="BA251" s="3">
        <f t="shared" si="34"/>
        <v>8283</v>
      </c>
      <c r="BB251" s="3">
        <f t="shared" si="35"/>
        <v>367472</v>
      </c>
    </row>
    <row r="252" spans="1:54" x14ac:dyDescent="0.25">
      <c r="A252" t="s">
        <v>863</v>
      </c>
      <c r="B252" s="21">
        <v>2.86</v>
      </c>
      <c r="C252" s="21">
        <v>2.17</v>
      </c>
      <c r="D252" s="35">
        <v>0.10000000000000002</v>
      </c>
      <c r="E252" s="3">
        <v>179310</v>
      </c>
      <c r="F252" s="3">
        <v>319006</v>
      </c>
      <c r="G252" s="3">
        <v>503178</v>
      </c>
      <c r="H252" s="3">
        <v>497383</v>
      </c>
      <c r="I252" s="4">
        <v>-4.7</v>
      </c>
      <c r="J252" s="3"/>
      <c r="K252" s="3">
        <v>13900</v>
      </c>
      <c r="L252" s="3">
        <v>754</v>
      </c>
      <c r="M252" s="3">
        <v>9915</v>
      </c>
      <c r="N252" s="3">
        <v>3528</v>
      </c>
      <c r="O252" s="3">
        <v>16804</v>
      </c>
      <c r="P252" s="3">
        <v>7952</v>
      </c>
      <c r="Q252" s="3">
        <v>16915</v>
      </c>
      <c r="R252" s="3">
        <v>13062</v>
      </c>
      <c r="S252" s="3">
        <v>8931</v>
      </c>
      <c r="T252" s="3">
        <v>69971</v>
      </c>
      <c r="U252" s="3">
        <v>52748</v>
      </c>
      <c r="V252" s="3">
        <v>2824</v>
      </c>
      <c r="W252" s="3">
        <v>4056</v>
      </c>
      <c r="X252" s="3">
        <v>3484</v>
      </c>
      <c r="Y252" s="3">
        <v>12827</v>
      </c>
      <c r="Z252" s="3">
        <v>5164</v>
      </c>
      <c r="AA252" s="3">
        <v>2105</v>
      </c>
      <c r="AB252" s="3">
        <v>5360</v>
      </c>
      <c r="AC252" s="3">
        <v>32623</v>
      </c>
      <c r="AD252" s="3">
        <v>18382</v>
      </c>
      <c r="AE252" s="3">
        <v>18246</v>
      </c>
      <c r="AF252" s="3">
        <v>6802</v>
      </c>
      <c r="AG252" s="3">
        <v>30934</v>
      </c>
      <c r="AH252" s="3">
        <v>16412</v>
      </c>
      <c r="AI252" s="3">
        <v>25799</v>
      </c>
      <c r="AJ252" s="3">
        <v>123411</v>
      </c>
      <c r="AK252" s="3">
        <v>86889</v>
      </c>
      <c r="AL252" s="3">
        <v>3981</v>
      </c>
      <c r="AM252" s="3">
        <v>27975</v>
      </c>
      <c r="AN252" s="3">
        <v>6478</v>
      </c>
      <c r="AO252" s="3">
        <v>7122</v>
      </c>
      <c r="AP252" s="3">
        <v>4159</v>
      </c>
      <c r="AR252" s="3">
        <f t="shared" si="27"/>
        <v>42538</v>
      </c>
      <c r="AS252" s="3">
        <f t="shared" si="27"/>
        <v>21910</v>
      </c>
      <c r="AT252" s="3">
        <f t="shared" si="27"/>
        <v>35050</v>
      </c>
      <c r="AU252" s="3">
        <f t="shared" si="28"/>
        <v>47849</v>
      </c>
      <c r="AV252" s="3">
        <f t="shared" si="29"/>
        <v>29474</v>
      </c>
      <c r="AW252" s="3">
        <f t="shared" si="30"/>
        <v>34730</v>
      </c>
      <c r="AX252" s="3">
        <f t="shared" si="31"/>
        <v>193382</v>
      </c>
      <c r="AY252" s="3">
        <f t="shared" si="32"/>
        <v>9962</v>
      </c>
      <c r="AZ252" s="3">
        <f t="shared" si="33"/>
        <v>19949</v>
      </c>
      <c r="BA252" s="3">
        <f t="shared" si="34"/>
        <v>9323</v>
      </c>
      <c r="BB252" s="3">
        <f t="shared" si="35"/>
        <v>376700</v>
      </c>
    </row>
    <row r="253" spans="1:54" x14ac:dyDescent="0.25">
      <c r="A253" t="s">
        <v>864</v>
      </c>
      <c r="B253" s="21">
        <v>2.79</v>
      </c>
      <c r="C253" s="21">
        <v>2.17</v>
      </c>
      <c r="D253" s="35">
        <v>0.10000000000000003</v>
      </c>
      <c r="E253" s="3">
        <v>189861</v>
      </c>
      <c r="F253" s="3">
        <v>303184</v>
      </c>
      <c r="G253" s="3">
        <v>510678</v>
      </c>
      <c r="H253" s="3">
        <v>515944</v>
      </c>
      <c r="I253" s="4" t="e">
        <v>#N/A</v>
      </c>
      <c r="J253" s="3"/>
      <c r="K253" s="3">
        <v>14263</v>
      </c>
      <c r="L253" s="3">
        <v>726</v>
      </c>
      <c r="M253" s="3">
        <v>10610</v>
      </c>
      <c r="N253" s="3">
        <v>3503</v>
      </c>
      <c r="O253" s="3">
        <v>18896</v>
      </c>
      <c r="P253" s="3">
        <v>8229</v>
      </c>
      <c r="Q253" s="3">
        <v>18773</v>
      </c>
      <c r="R253" s="3">
        <v>14066</v>
      </c>
      <c r="S253" s="3">
        <v>9380</v>
      </c>
      <c r="T253" s="3">
        <v>72863</v>
      </c>
      <c r="U253" s="3">
        <v>53715</v>
      </c>
      <c r="V253" s="3">
        <v>3088</v>
      </c>
      <c r="W253" s="3">
        <v>4019</v>
      </c>
      <c r="X253" s="3">
        <v>3573</v>
      </c>
      <c r="Y253" s="3">
        <v>13294</v>
      </c>
      <c r="Z253" s="3">
        <v>5895</v>
      </c>
      <c r="AA253" s="3">
        <v>2101</v>
      </c>
      <c r="AB253" s="3">
        <v>5424</v>
      </c>
      <c r="AC253" s="3">
        <v>30486</v>
      </c>
      <c r="AD253" s="3">
        <v>17772</v>
      </c>
      <c r="AE253" s="3">
        <v>17208</v>
      </c>
      <c r="AF253" s="3">
        <v>6713</v>
      </c>
      <c r="AG253" s="3">
        <v>31114</v>
      </c>
      <c r="AH253" s="3">
        <v>16309</v>
      </c>
      <c r="AI253" s="3">
        <v>24364</v>
      </c>
      <c r="AJ253" s="3">
        <v>120582</v>
      </c>
      <c r="AK253" s="3">
        <v>85676</v>
      </c>
      <c r="AL253" s="3">
        <v>4027</v>
      </c>
      <c r="AM253" s="3">
        <v>20657</v>
      </c>
      <c r="AN253" s="3">
        <v>6214</v>
      </c>
      <c r="AO253" s="3">
        <v>7019</v>
      </c>
      <c r="AP253" s="3">
        <v>3936</v>
      </c>
      <c r="AR253" s="3">
        <f t="shared" si="27"/>
        <v>41096</v>
      </c>
      <c r="AS253" s="3">
        <f t="shared" si="27"/>
        <v>21275</v>
      </c>
      <c r="AT253" s="3">
        <f t="shared" si="27"/>
        <v>36104</v>
      </c>
      <c r="AU253" s="3">
        <f t="shared" si="28"/>
        <v>49887</v>
      </c>
      <c r="AV253" s="3">
        <f t="shared" si="29"/>
        <v>30375</v>
      </c>
      <c r="AW253" s="3">
        <f t="shared" si="30"/>
        <v>33744</v>
      </c>
      <c r="AX253" s="3">
        <f t="shared" si="31"/>
        <v>193445</v>
      </c>
      <c r="AY253" s="3">
        <f t="shared" si="32"/>
        <v>9787</v>
      </c>
      <c r="AZ253" s="3">
        <f t="shared" si="33"/>
        <v>20313</v>
      </c>
      <c r="BA253" s="3">
        <f t="shared" si="34"/>
        <v>9831</v>
      </c>
      <c r="BB253" s="3">
        <f t="shared" si="35"/>
        <v>372058</v>
      </c>
    </row>
    <row r="254" spans="1:54" x14ac:dyDescent="0.25">
      <c r="A254" t="s">
        <v>865</v>
      </c>
      <c r="B254" s="21">
        <v>2.66</v>
      </c>
      <c r="C254" s="21">
        <v>2.16</v>
      </c>
      <c r="D254" s="35">
        <v>0.10000000000000003</v>
      </c>
      <c r="E254" s="3">
        <v>194949</v>
      </c>
      <c r="F254" s="3">
        <v>294728</v>
      </c>
      <c r="G254" s="3">
        <v>525238</v>
      </c>
      <c r="H254" s="3">
        <v>524571</v>
      </c>
      <c r="I254" s="4">
        <v>-5</v>
      </c>
      <c r="J254" s="3"/>
      <c r="K254" s="3">
        <v>14462</v>
      </c>
      <c r="L254" s="3">
        <v>701</v>
      </c>
      <c r="M254" s="3">
        <v>10933</v>
      </c>
      <c r="N254" s="3">
        <v>3797</v>
      </c>
      <c r="O254" s="3">
        <v>19831</v>
      </c>
      <c r="P254" s="3">
        <v>8305</v>
      </c>
      <c r="Q254" s="3">
        <v>19447</v>
      </c>
      <c r="R254" s="3">
        <v>14668</v>
      </c>
      <c r="S254" s="3">
        <v>9590</v>
      </c>
      <c r="T254" s="3">
        <v>74203</v>
      </c>
      <c r="U254" s="3">
        <v>54074</v>
      </c>
      <c r="V254" s="3">
        <v>3185</v>
      </c>
      <c r="W254" s="3">
        <v>3780</v>
      </c>
      <c r="X254" s="3">
        <v>3668</v>
      </c>
      <c r="Y254" s="3">
        <v>13528</v>
      </c>
      <c r="Z254" s="3">
        <v>6342</v>
      </c>
      <c r="AA254" s="3">
        <v>2128</v>
      </c>
      <c r="AB254" s="3">
        <v>5116</v>
      </c>
      <c r="AC254" s="3">
        <v>28934</v>
      </c>
      <c r="AD254" s="3">
        <v>18968</v>
      </c>
      <c r="AE254" s="3">
        <v>16672</v>
      </c>
      <c r="AF254" s="3">
        <v>6594</v>
      </c>
      <c r="AG254" s="3">
        <v>29306</v>
      </c>
      <c r="AH254" s="3">
        <v>15540</v>
      </c>
      <c r="AI254" s="3">
        <v>23593</v>
      </c>
      <c r="AJ254" s="3">
        <v>118810</v>
      </c>
      <c r="AK254" s="3">
        <v>83863</v>
      </c>
      <c r="AL254" s="3">
        <v>4051</v>
      </c>
      <c r="AM254" s="3">
        <v>19085</v>
      </c>
      <c r="AN254" s="3">
        <v>5823</v>
      </c>
      <c r="AO254" s="3">
        <v>6867</v>
      </c>
      <c r="AP254" s="3">
        <v>3884</v>
      </c>
      <c r="AR254" s="3">
        <f t="shared" si="27"/>
        <v>39867</v>
      </c>
      <c r="AS254" s="3">
        <f t="shared" si="27"/>
        <v>22765</v>
      </c>
      <c r="AT254" s="3">
        <f t="shared" si="27"/>
        <v>36503</v>
      </c>
      <c r="AU254" s="3">
        <f t="shared" si="28"/>
        <v>48753</v>
      </c>
      <c r="AV254" s="3">
        <f t="shared" si="29"/>
        <v>30208</v>
      </c>
      <c r="AW254" s="3">
        <f t="shared" si="30"/>
        <v>33183</v>
      </c>
      <c r="AX254" s="3">
        <f t="shared" si="31"/>
        <v>193013</v>
      </c>
      <c r="AY254" s="3">
        <f t="shared" si="32"/>
        <v>9491</v>
      </c>
      <c r="AZ254" s="3">
        <f t="shared" si="33"/>
        <v>20395</v>
      </c>
      <c r="BA254" s="3">
        <f t="shared" si="34"/>
        <v>10226</v>
      </c>
      <c r="BB254" s="3">
        <f t="shared" si="35"/>
        <v>368134</v>
      </c>
    </row>
    <row r="255" spans="1:54" x14ac:dyDescent="0.25">
      <c r="A255" t="s">
        <v>866</v>
      </c>
      <c r="B255" s="21">
        <v>2.5299999999999998</v>
      </c>
      <c r="C255" s="21">
        <v>2.14</v>
      </c>
      <c r="D255" s="35">
        <v>0.10000000000000002</v>
      </c>
      <c r="E255" s="3">
        <v>197580</v>
      </c>
      <c r="F255" s="3">
        <v>294830</v>
      </c>
      <c r="G255" s="3">
        <v>525230</v>
      </c>
      <c r="H255" s="3">
        <v>525195</v>
      </c>
      <c r="I255" s="4">
        <v>-4.5999999999999996</v>
      </c>
      <c r="J255" s="3"/>
      <c r="K255" s="3">
        <v>14507</v>
      </c>
      <c r="L255" s="3">
        <v>810</v>
      </c>
      <c r="M255" s="3">
        <v>11169</v>
      </c>
      <c r="N255" s="3">
        <v>3755</v>
      </c>
      <c r="O255" s="3">
        <v>20216</v>
      </c>
      <c r="P255" s="3">
        <v>8301</v>
      </c>
      <c r="Q255" s="3">
        <v>19818</v>
      </c>
      <c r="R255" s="3">
        <v>14842</v>
      </c>
      <c r="S255" s="3">
        <v>9811</v>
      </c>
      <c r="T255" s="3">
        <v>74913</v>
      </c>
      <c r="U255" s="3">
        <v>54204</v>
      </c>
      <c r="V255" s="3">
        <v>3226</v>
      </c>
      <c r="W255" s="3">
        <v>3824</v>
      </c>
      <c r="X255" s="3">
        <v>3744</v>
      </c>
      <c r="Y255" s="3">
        <v>13634</v>
      </c>
      <c r="Z255" s="3">
        <v>6537</v>
      </c>
      <c r="AA255" s="3">
        <v>2095</v>
      </c>
      <c r="AB255" s="3">
        <v>5407</v>
      </c>
      <c r="AC255" s="3">
        <v>28710</v>
      </c>
      <c r="AD255" s="3">
        <v>19153</v>
      </c>
      <c r="AE255" s="3">
        <v>16159</v>
      </c>
      <c r="AF255" s="3">
        <v>6632</v>
      </c>
      <c r="AG255" s="3">
        <v>28826</v>
      </c>
      <c r="AH255" s="3">
        <v>15466</v>
      </c>
      <c r="AI255" s="3">
        <v>23274</v>
      </c>
      <c r="AJ255" s="3">
        <v>117989</v>
      </c>
      <c r="AK255" s="3">
        <v>84059</v>
      </c>
      <c r="AL255" s="3">
        <v>4098</v>
      </c>
      <c r="AM255" s="3">
        <v>20804</v>
      </c>
      <c r="AN255" s="3">
        <v>5812</v>
      </c>
      <c r="AO255" s="3">
        <v>7306</v>
      </c>
      <c r="AP255" s="3">
        <v>3828</v>
      </c>
      <c r="AR255" s="3">
        <f t="shared" si="27"/>
        <v>39879</v>
      </c>
      <c r="AS255" s="3">
        <f t="shared" si="27"/>
        <v>22908</v>
      </c>
      <c r="AT255" s="3">
        <f t="shared" si="27"/>
        <v>36375</v>
      </c>
      <c r="AU255" s="3">
        <f t="shared" si="28"/>
        <v>48644</v>
      </c>
      <c r="AV255" s="3">
        <f t="shared" si="29"/>
        <v>30308</v>
      </c>
      <c r="AW255" s="3">
        <f t="shared" si="30"/>
        <v>33085</v>
      </c>
      <c r="AX255" s="3">
        <f t="shared" si="31"/>
        <v>192902</v>
      </c>
      <c r="AY255" s="3">
        <f t="shared" si="32"/>
        <v>9556</v>
      </c>
      <c r="AZ255" s="3">
        <f t="shared" si="33"/>
        <v>20940</v>
      </c>
      <c r="BA255" s="3">
        <f t="shared" si="34"/>
        <v>10365</v>
      </c>
      <c r="BB255" s="3">
        <f t="shared" si="35"/>
        <v>370428</v>
      </c>
    </row>
    <row r="256" spans="1:54" x14ac:dyDescent="0.25">
      <c r="A256" t="s">
        <v>867</v>
      </c>
      <c r="B256" s="21">
        <v>2.52</v>
      </c>
      <c r="C256" s="21">
        <v>2.13</v>
      </c>
      <c r="D256" s="35">
        <v>0.10000000000000003</v>
      </c>
      <c r="E256" s="3">
        <v>200373</v>
      </c>
      <c r="F256" s="3">
        <v>289415</v>
      </c>
      <c r="G256" s="3">
        <v>529249</v>
      </c>
      <c r="H256" s="3">
        <v>535862</v>
      </c>
      <c r="I256" s="4" t="e">
        <v>#N/A</v>
      </c>
      <c r="J256" s="3"/>
      <c r="K256" s="3">
        <v>14632</v>
      </c>
      <c r="L256" s="3">
        <v>901</v>
      </c>
      <c r="M256" s="3">
        <v>11251</v>
      </c>
      <c r="N256" s="3">
        <v>3587</v>
      </c>
      <c r="O256" s="3">
        <v>20629</v>
      </c>
      <c r="P256" s="3">
        <v>8382</v>
      </c>
      <c r="Q256" s="3">
        <v>20513</v>
      </c>
      <c r="R256" s="3">
        <v>15121</v>
      </c>
      <c r="S256" s="3">
        <v>10119</v>
      </c>
      <c r="T256" s="3">
        <v>75722</v>
      </c>
      <c r="U256" s="3">
        <v>54431</v>
      </c>
      <c r="V256" s="3">
        <v>3263</v>
      </c>
      <c r="W256" s="3">
        <v>3604</v>
      </c>
      <c r="X256" s="3">
        <v>3773</v>
      </c>
      <c r="Y256" s="3">
        <v>13770</v>
      </c>
      <c r="Z256" s="3">
        <v>6749</v>
      </c>
      <c r="AA256" s="3">
        <v>2098</v>
      </c>
      <c r="AB256" s="3">
        <v>6140</v>
      </c>
      <c r="AC256" s="3">
        <v>27873</v>
      </c>
      <c r="AD256" s="3">
        <v>18852</v>
      </c>
      <c r="AE256" s="3">
        <v>15623</v>
      </c>
      <c r="AF256" s="3">
        <v>6458</v>
      </c>
      <c r="AG256" s="3">
        <v>27813</v>
      </c>
      <c r="AH256" s="3">
        <v>15492</v>
      </c>
      <c r="AI256" s="3">
        <v>24128</v>
      </c>
      <c r="AJ256" s="3">
        <v>118233</v>
      </c>
      <c r="AK256" s="3">
        <v>84615</v>
      </c>
      <c r="AL256" s="3">
        <v>4238</v>
      </c>
      <c r="AM256" s="3">
        <v>16579</v>
      </c>
      <c r="AN256" s="3">
        <v>5832</v>
      </c>
      <c r="AO256" s="3">
        <v>7042</v>
      </c>
      <c r="AP256" s="3">
        <v>3710</v>
      </c>
      <c r="AR256" s="3">
        <f t="shared" si="27"/>
        <v>39124</v>
      </c>
      <c r="AS256" s="3">
        <f t="shared" si="27"/>
        <v>22439</v>
      </c>
      <c r="AT256" s="3">
        <f t="shared" si="27"/>
        <v>36252</v>
      </c>
      <c r="AU256" s="3">
        <f t="shared" si="28"/>
        <v>48326</v>
      </c>
      <c r="AV256" s="3">
        <f t="shared" si="29"/>
        <v>30613</v>
      </c>
      <c r="AW256" s="3">
        <f t="shared" si="30"/>
        <v>34247</v>
      </c>
      <c r="AX256" s="3">
        <f t="shared" si="31"/>
        <v>193955</v>
      </c>
      <c r="AY256" s="3">
        <f t="shared" si="32"/>
        <v>9605</v>
      </c>
      <c r="AZ256" s="3">
        <f t="shared" si="33"/>
        <v>20812</v>
      </c>
      <c r="BA256" s="3">
        <f t="shared" si="34"/>
        <v>10459</v>
      </c>
      <c r="BB256" s="3">
        <f t="shared" si="35"/>
        <v>368200</v>
      </c>
    </row>
    <row r="257" spans="1:54" x14ac:dyDescent="0.25">
      <c r="A257" t="s">
        <v>868</v>
      </c>
      <c r="B257" s="21">
        <v>2.46</v>
      </c>
      <c r="C257" s="21">
        <v>2.12</v>
      </c>
      <c r="D257" s="35">
        <v>0.10000000000000003</v>
      </c>
      <c r="E257" s="3">
        <v>202208</v>
      </c>
      <c r="F257" s="3">
        <v>282372</v>
      </c>
      <c r="G257" s="3">
        <v>540612</v>
      </c>
      <c r="H257" s="3">
        <v>540388</v>
      </c>
      <c r="I257" s="4">
        <v>-3.8</v>
      </c>
      <c r="J257" s="3"/>
      <c r="K257" s="3">
        <v>14726</v>
      </c>
      <c r="L257" s="3">
        <v>799</v>
      </c>
      <c r="M257" s="3">
        <v>11260</v>
      </c>
      <c r="N257" s="3">
        <v>3628</v>
      </c>
      <c r="O257" s="3">
        <v>20820</v>
      </c>
      <c r="P257" s="3">
        <v>8338</v>
      </c>
      <c r="Q257" s="3">
        <v>20722</v>
      </c>
      <c r="R257" s="3">
        <v>15350</v>
      </c>
      <c r="S257" s="3">
        <v>10449</v>
      </c>
      <c r="T257" s="3">
        <v>76295</v>
      </c>
      <c r="U257" s="3">
        <v>54539</v>
      </c>
      <c r="V257" s="3">
        <v>3300</v>
      </c>
      <c r="W257" s="3">
        <v>3442</v>
      </c>
      <c r="X257" s="3">
        <v>3839</v>
      </c>
      <c r="Y257" s="3">
        <v>13850</v>
      </c>
      <c r="Z257" s="3">
        <v>7028</v>
      </c>
      <c r="AA257" s="3">
        <v>2085</v>
      </c>
      <c r="AB257" s="3">
        <v>5154</v>
      </c>
      <c r="AC257" s="3">
        <v>25811</v>
      </c>
      <c r="AD257" s="3">
        <v>18349</v>
      </c>
      <c r="AE257" s="3">
        <v>15385</v>
      </c>
      <c r="AF257" s="3">
        <v>6434</v>
      </c>
      <c r="AG257" s="3">
        <v>27303</v>
      </c>
      <c r="AH257" s="3">
        <v>15374</v>
      </c>
      <c r="AI257" s="3">
        <v>23375</v>
      </c>
      <c r="AJ257" s="3">
        <v>116853</v>
      </c>
      <c r="AK257" s="3">
        <v>84099</v>
      </c>
      <c r="AL257" s="3">
        <v>4171</v>
      </c>
      <c r="AM257" s="3">
        <v>16668</v>
      </c>
      <c r="AN257" s="3">
        <v>5723</v>
      </c>
      <c r="AO257" s="3">
        <v>6718</v>
      </c>
      <c r="AP257" s="3">
        <v>3576</v>
      </c>
      <c r="AR257" s="3">
        <f t="shared" si="27"/>
        <v>37071</v>
      </c>
      <c r="AS257" s="3">
        <f t="shared" si="27"/>
        <v>21977</v>
      </c>
      <c r="AT257" s="3">
        <f t="shared" si="27"/>
        <v>36205</v>
      </c>
      <c r="AU257" s="3">
        <f t="shared" si="28"/>
        <v>48025</v>
      </c>
      <c r="AV257" s="3">
        <f t="shared" si="29"/>
        <v>30724</v>
      </c>
      <c r="AW257" s="3">
        <f t="shared" si="30"/>
        <v>33824</v>
      </c>
      <c r="AX257" s="3">
        <f t="shared" si="31"/>
        <v>193148</v>
      </c>
      <c r="AY257" s="3">
        <f t="shared" si="32"/>
        <v>9562</v>
      </c>
      <c r="AZ257" s="3">
        <f t="shared" si="33"/>
        <v>20568</v>
      </c>
      <c r="BA257" s="3">
        <f t="shared" si="34"/>
        <v>10604</v>
      </c>
      <c r="BB257" s="3">
        <f t="shared" si="35"/>
        <v>366565</v>
      </c>
    </row>
    <row r="258" spans="1:54" x14ac:dyDescent="0.25">
      <c r="A258" t="s">
        <v>869</v>
      </c>
      <c r="B258" s="21">
        <v>2.4500000000000002</v>
      </c>
      <c r="C258" s="21">
        <v>2.12</v>
      </c>
      <c r="D258" s="35">
        <v>0.10000000000000002</v>
      </c>
      <c r="E258" s="3">
        <v>203857</v>
      </c>
      <c r="F258" s="3">
        <v>281306</v>
      </c>
      <c r="G258" s="3">
        <v>542612</v>
      </c>
      <c r="H258" s="3">
        <v>547972</v>
      </c>
      <c r="I258" s="4">
        <v>-4</v>
      </c>
      <c r="J258" s="3"/>
      <c r="K258" s="3">
        <v>14791</v>
      </c>
      <c r="L258" s="3">
        <v>766</v>
      </c>
      <c r="M258" s="3">
        <v>11350</v>
      </c>
      <c r="N258" s="3">
        <v>3642</v>
      </c>
      <c r="O258" s="3">
        <v>21058</v>
      </c>
      <c r="P258" s="3">
        <v>8291</v>
      </c>
      <c r="Q258" s="3">
        <v>20964</v>
      </c>
      <c r="R258" s="3">
        <v>15433</v>
      </c>
      <c r="S258" s="3">
        <v>10809</v>
      </c>
      <c r="T258" s="3">
        <v>76793</v>
      </c>
      <c r="U258" s="3">
        <v>54613</v>
      </c>
      <c r="V258" s="3">
        <v>3311</v>
      </c>
      <c r="W258" s="3">
        <v>3435</v>
      </c>
      <c r="X258" s="3">
        <v>3874</v>
      </c>
      <c r="Y258" s="3">
        <v>13790</v>
      </c>
      <c r="Z258" s="3">
        <v>7153</v>
      </c>
      <c r="AA258" s="3">
        <v>2050</v>
      </c>
      <c r="AB258" s="3">
        <v>5617</v>
      </c>
      <c r="AC258" s="3">
        <v>24898</v>
      </c>
      <c r="AD258" s="3">
        <v>18475</v>
      </c>
      <c r="AE258" s="3">
        <v>15299</v>
      </c>
      <c r="AF258" s="3">
        <v>6337</v>
      </c>
      <c r="AG258" s="3">
        <v>27795</v>
      </c>
      <c r="AH258" s="3">
        <v>15287</v>
      </c>
      <c r="AI258" s="3">
        <v>23651</v>
      </c>
      <c r="AJ258" s="3">
        <v>115569</v>
      </c>
      <c r="AK258" s="3">
        <v>83532</v>
      </c>
      <c r="AL258" s="3">
        <v>4130</v>
      </c>
      <c r="AM258" s="3">
        <v>16159</v>
      </c>
      <c r="AN258" s="3">
        <v>5719</v>
      </c>
      <c r="AO258" s="3">
        <v>7120</v>
      </c>
      <c r="AP258" s="3">
        <v>3667</v>
      </c>
      <c r="AR258" s="3">
        <f t="shared" si="27"/>
        <v>36248</v>
      </c>
      <c r="AS258" s="3">
        <f t="shared" si="27"/>
        <v>22117</v>
      </c>
      <c r="AT258" s="3">
        <f t="shared" si="27"/>
        <v>36357</v>
      </c>
      <c r="AU258" s="3">
        <f t="shared" si="28"/>
        <v>48759</v>
      </c>
      <c r="AV258" s="3">
        <f t="shared" si="29"/>
        <v>30720</v>
      </c>
      <c r="AW258" s="3">
        <f t="shared" si="30"/>
        <v>34460</v>
      </c>
      <c r="AX258" s="3">
        <f t="shared" si="31"/>
        <v>192362</v>
      </c>
      <c r="AY258" s="3">
        <f t="shared" si="32"/>
        <v>9593</v>
      </c>
      <c r="AZ258" s="3">
        <f t="shared" si="33"/>
        <v>20910</v>
      </c>
      <c r="BA258" s="3">
        <f t="shared" si="34"/>
        <v>10820</v>
      </c>
      <c r="BB258" s="3">
        <f t="shared" si="35"/>
        <v>367218</v>
      </c>
    </row>
    <row r="259" spans="1:54" x14ac:dyDescent="0.25">
      <c r="A259" t="s">
        <v>870</v>
      </c>
      <c r="B259" s="21">
        <v>2.4500000000000002</v>
      </c>
      <c r="C259" s="21">
        <v>2.12</v>
      </c>
      <c r="D259" s="35">
        <v>0.10000000000000003</v>
      </c>
      <c r="E259" s="3">
        <v>204928</v>
      </c>
      <c r="F259" s="3">
        <v>282787</v>
      </c>
      <c r="G259" s="3">
        <v>545039</v>
      </c>
      <c r="H259" s="3">
        <v>556139</v>
      </c>
      <c r="I259" s="4" t="e">
        <v>#N/A</v>
      </c>
      <c r="J259" s="3"/>
      <c r="K259" s="3">
        <v>14795</v>
      </c>
      <c r="L259" s="3">
        <v>807</v>
      </c>
      <c r="M259" s="3">
        <v>11361</v>
      </c>
      <c r="N259" s="3">
        <v>3686</v>
      </c>
      <c r="O259" s="3">
        <v>21105</v>
      </c>
      <c r="P259" s="3">
        <v>8359</v>
      </c>
      <c r="Q259" s="3">
        <v>21201</v>
      </c>
      <c r="R259" s="3">
        <v>15655</v>
      </c>
      <c r="S259" s="3">
        <v>10710</v>
      </c>
      <c r="T259" s="3">
        <v>77628</v>
      </c>
      <c r="U259" s="3">
        <v>55100</v>
      </c>
      <c r="V259" s="3">
        <v>3327</v>
      </c>
      <c r="W259" s="3">
        <v>2901</v>
      </c>
      <c r="X259" s="3">
        <v>3891</v>
      </c>
      <c r="Y259" s="3">
        <v>13856</v>
      </c>
      <c r="Z259" s="3">
        <v>7331</v>
      </c>
      <c r="AA259" s="3">
        <v>2105</v>
      </c>
      <c r="AB259" s="3">
        <v>6611</v>
      </c>
      <c r="AC259" s="3">
        <v>25237</v>
      </c>
      <c r="AD259" s="3">
        <v>18593</v>
      </c>
      <c r="AE259" s="3">
        <v>14897</v>
      </c>
      <c r="AF259" s="3">
        <v>6168</v>
      </c>
      <c r="AG259" s="3">
        <v>28377</v>
      </c>
      <c r="AH259" s="3">
        <v>15583</v>
      </c>
      <c r="AI259" s="3">
        <v>23075</v>
      </c>
      <c r="AJ259" s="3">
        <v>115294</v>
      </c>
      <c r="AK259" s="3">
        <v>83365</v>
      </c>
      <c r="AL259" s="3">
        <v>4027</v>
      </c>
      <c r="AM259" s="3">
        <v>16835</v>
      </c>
      <c r="AN259" s="3">
        <v>5733</v>
      </c>
      <c r="AO259" s="3">
        <v>6854</v>
      </c>
      <c r="AP259" s="3">
        <v>3592</v>
      </c>
      <c r="AR259" s="3">
        <f t="shared" si="27"/>
        <v>36598</v>
      </c>
      <c r="AS259" s="3">
        <f t="shared" si="27"/>
        <v>22279</v>
      </c>
      <c r="AT259" s="3">
        <f t="shared" si="27"/>
        <v>36002</v>
      </c>
      <c r="AU259" s="3">
        <f t="shared" si="28"/>
        <v>49578</v>
      </c>
      <c r="AV259" s="3">
        <f t="shared" si="29"/>
        <v>31238</v>
      </c>
      <c r="AW259" s="3">
        <f t="shared" si="30"/>
        <v>33785</v>
      </c>
      <c r="AX259" s="3">
        <f t="shared" si="31"/>
        <v>192922</v>
      </c>
      <c r="AY259" s="3">
        <f t="shared" si="32"/>
        <v>9624</v>
      </c>
      <c r="AZ259" s="3">
        <f t="shared" si="33"/>
        <v>20710</v>
      </c>
      <c r="BA259" s="3">
        <f t="shared" si="34"/>
        <v>10923</v>
      </c>
      <c r="BB259" s="3">
        <f t="shared" si="35"/>
        <v>368516</v>
      </c>
    </row>
    <row r="260" spans="1:54" x14ac:dyDescent="0.25">
      <c r="A260" t="s">
        <v>871</v>
      </c>
      <c r="B260" s="21">
        <v>2.41</v>
      </c>
      <c r="C260" s="21">
        <v>2.09</v>
      </c>
      <c r="D260" s="35">
        <v>0.10000000000000002</v>
      </c>
      <c r="E260" s="3">
        <v>205512</v>
      </c>
      <c r="F260" s="3">
        <v>279493</v>
      </c>
      <c r="G260" s="3">
        <v>556985</v>
      </c>
      <c r="H260" s="3">
        <v>548353</v>
      </c>
      <c r="I260" s="4">
        <v>-3.8</v>
      </c>
      <c r="J260" s="3"/>
      <c r="K260" s="3">
        <v>14800</v>
      </c>
      <c r="L260" s="3">
        <v>805</v>
      </c>
      <c r="M260" s="3">
        <v>11191</v>
      </c>
      <c r="N260" s="3">
        <v>3713</v>
      </c>
      <c r="O260" s="3">
        <v>21297</v>
      </c>
      <c r="P260" s="3">
        <v>8346</v>
      </c>
      <c r="Q260" s="3">
        <v>21178</v>
      </c>
      <c r="R260" s="3">
        <v>15672</v>
      </c>
      <c r="S260" s="3">
        <v>10792</v>
      </c>
      <c r="T260" s="3">
        <v>78069</v>
      </c>
      <c r="U260" s="3">
        <v>55375</v>
      </c>
      <c r="V260" s="3">
        <v>3316</v>
      </c>
      <c r="W260" s="3">
        <v>2885</v>
      </c>
      <c r="X260" s="3">
        <v>3890</v>
      </c>
      <c r="Y260" s="3">
        <v>13845</v>
      </c>
      <c r="Z260" s="3">
        <v>7373</v>
      </c>
      <c r="AA260" s="3">
        <v>2117</v>
      </c>
      <c r="AB260" s="3">
        <v>5407</v>
      </c>
      <c r="AC260" s="3">
        <v>22572</v>
      </c>
      <c r="AD260" s="3">
        <v>18880</v>
      </c>
      <c r="AE260" s="3">
        <v>15266</v>
      </c>
      <c r="AF260" s="3">
        <v>6315</v>
      </c>
      <c r="AG260" s="3">
        <v>28197</v>
      </c>
      <c r="AH260" s="3">
        <v>15724</v>
      </c>
      <c r="AI260" s="3">
        <v>22822</v>
      </c>
      <c r="AJ260" s="3">
        <v>114972</v>
      </c>
      <c r="AK260" s="3">
        <v>83036</v>
      </c>
      <c r="AL260" s="3">
        <v>4079</v>
      </c>
      <c r="AM260" s="3">
        <v>17177</v>
      </c>
      <c r="AN260" s="3">
        <v>5743</v>
      </c>
      <c r="AO260" s="3">
        <v>7032</v>
      </c>
      <c r="AP260" s="3">
        <v>3585</v>
      </c>
      <c r="AR260" s="3">
        <f t="shared" si="27"/>
        <v>33763</v>
      </c>
      <c r="AS260" s="3">
        <f t="shared" si="27"/>
        <v>22593</v>
      </c>
      <c r="AT260" s="3">
        <f t="shared" si="27"/>
        <v>36563</v>
      </c>
      <c r="AU260" s="3">
        <f t="shared" si="28"/>
        <v>49375</v>
      </c>
      <c r="AV260" s="3">
        <f t="shared" si="29"/>
        <v>31396</v>
      </c>
      <c r="AW260" s="3">
        <f t="shared" si="30"/>
        <v>33614</v>
      </c>
      <c r="AX260" s="3">
        <f t="shared" si="31"/>
        <v>193041</v>
      </c>
      <c r="AY260" s="3">
        <f t="shared" si="32"/>
        <v>9633</v>
      </c>
      <c r="AZ260" s="3">
        <f t="shared" si="33"/>
        <v>20877</v>
      </c>
      <c r="BA260" s="3">
        <f t="shared" si="34"/>
        <v>10958</v>
      </c>
      <c r="BB260" s="3">
        <f t="shared" si="35"/>
        <v>368956</v>
      </c>
    </row>
    <row r="261" spans="1:54" x14ac:dyDescent="0.25">
      <c r="A261" t="s">
        <v>872</v>
      </c>
      <c r="B261" s="21">
        <v>2.4300000000000002</v>
      </c>
      <c r="C261" s="21">
        <v>2.09</v>
      </c>
      <c r="D261" s="35">
        <v>0.10000000000000002</v>
      </c>
      <c r="E261" s="3">
        <v>206368</v>
      </c>
      <c r="F261" s="3">
        <v>280460</v>
      </c>
      <c r="G261" s="3">
        <v>556435</v>
      </c>
      <c r="H261" s="3">
        <v>544287</v>
      </c>
      <c r="I261" s="4">
        <v>-3.9</v>
      </c>
      <c r="J261" s="3"/>
      <c r="K261" s="3">
        <v>14817</v>
      </c>
      <c r="L261" s="3">
        <v>766</v>
      </c>
      <c r="M261" s="3">
        <v>11302</v>
      </c>
      <c r="N261" s="3">
        <v>3709</v>
      </c>
      <c r="O261" s="3">
        <v>21388</v>
      </c>
      <c r="P261" s="3">
        <v>8335</v>
      </c>
      <c r="Q261" s="3">
        <v>21302</v>
      </c>
      <c r="R261" s="3">
        <v>15677</v>
      </c>
      <c r="S261" s="3">
        <v>10915</v>
      </c>
      <c r="T261" s="3">
        <v>78393</v>
      </c>
      <c r="U261" s="3">
        <v>55339</v>
      </c>
      <c r="V261" s="3">
        <v>3327</v>
      </c>
      <c r="W261" s="3">
        <v>2866</v>
      </c>
      <c r="X261" s="3">
        <v>3900</v>
      </c>
      <c r="Y261" s="3">
        <v>13812</v>
      </c>
      <c r="Z261" s="3">
        <v>7521</v>
      </c>
      <c r="AA261" s="3">
        <v>2140</v>
      </c>
      <c r="AB261" s="3">
        <v>4880</v>
      </c>
      <c r="AC261" s="3">
        <v>22850</v>
      </c>
      <c r="AD261" s="3">
        <v>19882</v>
      </c>
      <c r="AE261" s="3">
        <v>14953</v>
      </c>
      <c r="AF261" s="3">
        <v>6200</v>
      </c>
      <c r="AG261" s="3">
        <v>30584</v>
      </c>
      <c r="AH261" s="3">
        <v>15074</v>
      </c>
      <c r="AI261" s="3">
        <v>22513</v>
      </c>
      <c r="AJ261" s="3">
        <v>115486</v>
      </c>
      <c r="AK261" s="3">
        <v>83616</v>
      </c>
      <c r="AL261" s="3">
        <v>4129</v>
      </c>
      <c r="AM261" s="3">
        <v>15557</v>
      </c>
      <c r="AN261" s="3">
        <v>5753</v>
      </c>
      <c r="AO261" s="3">
        <v>7208</v>
      </c>
      <c r="AP261" s="3">
        <v>3580</v>
      </c>
      <c r="AR261" s="3">
        <f t="shared" si="27"/>
        <v>34152</v>
      </c>
      <c r="AS261" s="3">
        <f t="shared" si="27"/>
        <v>23591</v>
      </c>
      <c r="AT261" s="3">
        <f t="shared" si="27"/>
        <v>36341</v>
      </c>
      <c r="AU261" s="3">
        <f t="shared" si="28"/>
        <v>51886</v>
      </c>
      <c r="AV261" s="3">
        <f t="shared" si="29"/>
        <v>30751</v>
      </c>
      <c r="AW261" s="3">
        <f t="shared" si="30"/>
        <v>33428</v>
      </c>
      <c r="AX261" s="3">
        <f t="shared" si="31"/>
        <v>193879</v>
      </c>
      <c r="AY261" s="3">
        <f t="shared" si="32"/>
        <v>9653</v>
      </c>
      <c r="AZ261" s="3">
        <f t="shared" si="33"/>
        <v>21020</v>
      </c>
      <c r="BA261" s="3">
        <f t="shared" si="34"/>
        <v>11101</v>
      </c>
      <c r="BB261" s="3">
        <f t="shared" si="35"/>
        <v>370141</v>
      </c>
    </row>
    <row r="262" spans="1:54" x14ac:dyDescent="0.25">
      <c r="A262" t="s">
        <v>873</v>
      </c>
      <c r="B262" s="21">
        <v>2.44</v>
      </c>
      <c r="C262" s="21">
        <v>2.09</v>
      </c>
      <c r="D262" s="35">
        <v>0.10000000000000003</v>
      </c>
      <c r="E262" s="3">
        <v>207531</v>
      </c>
      <c r="F262" s="3">
        <v>281763</v>
      </c>
      <c r="G262" s="3">
        <v>557431</v>
      </c>
      <c r="H262" s="3">
        <v>556057</v>
      </c>
      <c r="I262" s="4" t="e">
        <v>#N/A</v>
      </c>
      <c r="J262" s="3"/>
      <c r="K262" s="3">
        <v>14849</v>
      </c>
      <c r="L262" s="3">
        <v>867</v>
      </c>
      <c r="M262" s="3">
        <v>11259</v>
      </c>
      <c r="N262" s="3">
        <v>3799</v>
      </c>
      <c r="O262" s="3">
        <v>21406</v>
      </c>
      <c r="P262" s="3">
        <v>8249</v>
      </c>
      <c r="Q262" s="3">
        <v>21443</v>
      </c>
      <c r="R262" s="3">
        <v>15725</v>
      </c>
      <c r="S262" s="3">
        <v>11204</v>
      </c>
      <c r="T262" s="3">
        <v>79157</v>
      </c>
      <c r="U262" s="3">
        <v>55748</v>
      </c>
      <c r="V262" s="3">
        <v>3454</v>
      </c>
      <c r="W262" s="3">
        <v>2235</v>
      </c>
      <c r="X262" s="3">
        <v>3882</v>
      </c>
      <c r="Y262" s="3">
        <v>14047</v>
      </c>
      <c r="Z262" s="3">
        <v>7659</v>
      </c>
      <c r="AA262" s="3">
        <v>2227</v>
      </c>
      <c r="AB262" s="3">
        <v>5753</v>
      </c>
      <c r="AC262" s="3">
        <v>22771</v>
      </c>
      <c r="AD262" s="3">
        <v>19701</v>
      </c>
      <c r="AE262" s="3">
        <v>14952</v>
      </c>
      <c r="AF262" s="3">
        <v>6290</v>
      </c>
      <c r="AG262" s="3">
        <v>31218</v>
      </c>
      <c r="AH262" s="3">
        <v>15057</v>
      </c>
      <c r="AI262" s="3">
        <v>23855</v>
      </c>
      <c r="AJ262" s="3">
        <v>116543</v>
      </c>
      <c r="AK262" s="3">
        <v>84375</v>
      </c>
      <c r="AL262" s="3">
        <v>4404</v>
      </c>
      <c r="AM262" s="3">
        <v>12849</v>
      </c>
      <c r="AN262" s="3">
        <v>5736</v>
      </c>
      <c r="AO262" s="3">
        <v>7414</v>
      </c>
      <c r="AP262" s="3">
        <v>3687</v>
      </c>
      <c r="AR262" s="3">
        <f t="shared" si="27"/>
        <v>34030</v>
      </c>
      <c r="AS262" s="3">
        <f t="shared" si="27"/>
        <v>23500</v>
      </c>
      <c r="AT262" s="3">
        <f t="shared" si="27"/>
        <v>36358</v>
      </c>
      <c r="AU262" s="3">
        <f t="shared" si="28"/>
        <v>52661</v>
      </c>
      <c r="AV262" s="3">
        <f t="shared" si="29"/>
        <v>30782</v>
      </c>
      <c r="AW262" s="3">
        <f t="shared" si="30"/>
        <v>35059</v>
      </c>
      <c r="AX262" s="3">
        <f t="shared" si="31"/>
        <v>195700</v>
      </c>
      <c r="AY262" s="3">
        <f t="shared" si="32"/>
        <v>9618</v>
      </c>
      <c r="AZ262" s="3">
        <f t="shared" si="33"/>
        <v>21461</v>
      </c>
      <c r="BA262" s="3">
        <f t="shared" si="34"/>
        <v>11346</v>
      </c>
      <c r="BB262" s="3">
        <f t="shared" si="35"/>
        <v>371711</v>
      </c>
    </row>
    <row r="263" spans="1:54" x14ac:dyDescent="0.25">
      <c r="A263" t="s">
        <v>874</v>
      </c>
      <c r="B263" s="21">
        <v>2.42</v>
      </c>
      <c r="C263" s="21">
        <v>2.0699999999999998</v>
      </c>
      <c r="D263" s="35">
        <v>0.10000000000000003</v>
      </c>
      <c r="E263" s="3">
        <v>206969</v>
      </c>
      <c r="F263" s="3">
        <v>276750</v>
      </c>
      <c r="G263" s="3">
        <v>561235</v>
      </c>
      <c r="H263" s="3">
        <v>552317</v>
      </c>
      <c r="I263" s="4">
        <v>-3.7</v>
      </c>
      <c r="J263" s="3"/>
      <c r="K263" s="3">
        <v>14841</v>
      </c>
      <c r="L263" s="3">
        <v>805</v>
      </c>
      <c r="M263" s="3">
        <v>11300</v>
      </c>
      <c r="N263" s="3">
        <v>3820</v>
      </c>
      <c r="O263" s="3">
        <v>21296</v>
      </c>
      <c r="P263" s="3">
        <v>8165</v>
      </c>
      <c r="Q263" s="3">
        <v>21441</v>
      </c>
      <c r="R263" s="3">
        <v>15689</v>
      </c>
      <c r="S263" s="3">
        <v>11219</v>
      </c>
      <c r="T263" s="3">
        <v>79027</v>
      </c>
      <c r="U263" s="3">
        <v>55798</v>
      </c>
      <c r="V263" s="3">
        <v>3490</v>
      </c>
      <c r="W263" s="3">
        <v>2050</v>
      </c>
      <c r="X263" s="3">
        <v>3902</v>
      </c>
      <c r="Y263" s="3">
        <v>13873</v>
      </c>
      <c r="Z263" s="3">
        <v>7706</v>
      </c>
      <c r="AA263" s="3">
        <v>2257</v>
      </c>
      <c r="AB263" s="3">
        <v>4833</v>
      </c>
      <c r="AC263" s="3">
        <v>22984</v>
      </c>
      <c r="AD263" s="3">
        <v>19361</v>
      </c>
      <c r="AE263" s="3">
        <v>14753</v>
      </c>
      <c r="AF263" s="3">
        <v>6107</v>
      </c>
      <c r="AG263" s="3">
        <v>29559</v>
      </c>
      <c r="AH263" s="3">
        <v>14814</v>
      </c>
      <c r="AI263" s="3">
        <v>23569</v>
      </c>
      <c r="AJ263" s="3">
        <v>115599</v>
      </c>
      <c r="AK263" s="3">
        <v>84067</v>
      </c>
      <c r="AL263" s="3">
        <v>4088</v>
      </c>
      <c r="AM263" s="3">
        <v>13079</v>
      </c>
      <c r="AN263" s="3">
        <v>5662</v>
      </c>
      <c r="AO263" s="3">
        <v>6615</v>
      </c>
      <c r="AP263" s="3">
        <v>3666</v>
      </c>
      <c r="AR263" s="3">
        <f t="shared" si="27"/>
        <v>34284</v>
      </c>
      <c r="AS263" s="3">
        <f t="shared" si="27"/>
        <v>23181</v>
      </c>
      <c r="AT263" s="3">
        <f t="shared" si="27"/>
        <v>36049</v>
      </c>
      <c r="AU263" s="3">
        <f t="shared" si="28"/>
        <v>51000</v>
      </c>
      <c r="AV263" s="3">
        <f t="shared" si="29"/>
        <v>30503</v>
      </c>
      <c r="AW263" s="3">
        <f t="shared" si="30"/>
        <v>34788</v>
      </c>
      <c r="AX263" s="3">
        <f t="shared" si="31"/>
        <v>194626</v>
      </c>
      <c r="AY263" s="3">
        <f t="shared" si="32"/>
        <v>9564</v>
      </c>
      <c r="AZ263" s="3">
        <f t="shared" si="33"/>
        <v>20488</v>
      </c>
      <c r="BA263" s="3">
        <f t="shared" si="34"/>
        <v>11372</v>
      </c>
      <c r="BB263" s="3">
        <f t="shared" si="35"/>
        <v>367470</v>
      </c>
    </row>
    <row r="264" spans="1:54" x14ac:dyDescent="0.25">
      <c r="A264" t="s">
        <v>875</v>
      </c>
      <c r="B264" s="21">
        <v>2.5</v>
      </c>
      <c r="C264" s="21">
        <v>2.0699999999999998</v>
      </c>
      <c r="D264" s="35">
        <v>0.10000000000000002</v>
      </c>
      <c r="E264" s="3">
        <v>205882</v>
      </c>
      <c r="F264" s="3">
        <v>277551</v>
      </c>
      <c r="G264" s="3">
        <v>561962</v>
      </c>
      <c r="H264" s="3">
        <v>556001</v>
      </c>
      <c r="I264" s="4">
        <v>-2.5</v>
      </c>
      <c r="J264" s="3"/>
      <c r="K264" s="3">
        <v>14852</v>
      </c>
      <c r="L264" s="3">
        <v>823</v>
      </c>
      <c r="M264" s="3">
        <v>11163</v>
      </c>
      <c r="N264" s="3">
        <v>3877</v>
      </c>
      <c r="O264" s="3">
        <v>21251</v>
      </c>
      <c r="P264" s="3">
        <v>8109</v>
      </c>
      <c r="Q264" s="3">
        <v>21110</v>
      </c>
      <c r="R264" s="3">
        <v>15518</v>
      </c>
      <c r="S264" s="3">
        <v>11212</v>
      </c>
      <c r="T264" s="3">
        <v>79347</v>
      </c>
      <c r="U264" s="3">
        <v>56042</v>
      </c>
      <c r="V264" s="3">
        <v>3481</v>
      </c>
      <c r="W264" s="3">
        <v>1626</v>
      </c>
      <c r="X264" s="3">
        <v>3857</v>
      </c>
      <c r="Y264" s="3">
        <v>13676</v>
      </c>
      <c r="Z264" s="3">
        <v>7569</v>
      </c>
      <c r="AA264" s="3">
        <v>2304</v>
      </c>
      <c r="AB264" s="3">
        <v>4775</v>
      </c>
      <c r="AC264" s="3">
        <v>22652</v>
      </c>
      <c r="AD264" s="3">
        <v>18955</v>
      </c>
      <c r="AE264" s="3">
        <v>15002</v>
      </c>
      <c r="AF264" s="3">
        <v>6087</v>
      </c>
      <c r="AG264" s="3">
        <v>28950</v>
      </c>
      <c r="AH264" s="3">
        <v>15055</v>
      </c>
      <c r="AI264" s="3">
        <v>23372</v>
      </c>
      <c r="AJ264" s="3">
        <v>117337</v>
      </c>
      <c r="AK264" s="3">
        <v>85160</v>
      </c>
      <c r="AL264" s="3">
        <v>4183</v>
      </c>
      <c r="AM264" s="3">
        <v>13037</v>
      </c>
      <c r="AN264" s="3">
        <v>5538</v>
      </c>
      <c r="AO264" s="3">
        <v>6937</v>
      </c>
      <c r="AP264" s="3">
        <v>3637</v>
      </c>
      <c r="AR264" s="3">
        <f t="shared" si="27"/>
        <v>33815</v>
      </c>
      <c r="AS264" s="3">
        <f t="shared" si="27"/>
        <v>22832</v>
      </c>
      <c r="AT264" s="3">
        <f t="shared" si="27"/>
        <v>36253</v>
      </c>
      <c r="AU264" s="3">
        <f t="shared" si="28"/>
        <v>50060</v>
      </c>
      <c r="AV264" s="3">
        <f t="shared" si="29"/>
        <v>30573</v>
      </c>
      <c r="AW264" s="3">
        <f t="shared" si="30"/>
        <v>34584</v>
      </c>
      <c r="AX264" s="3">
        <f t="shared" si="31"/>
        <v>196684</v>
      </c>
      <c r="AY264" s="3">
        <f t="shared" si="32"/>
        <v>9395</v>
      </c>
      <c r="AZ264" s="3">
        <f t="shared" si="33"/>
        <v>20613</v>
      </c>
      <c r="BA264" s="3">
        <f t="shared" si="34"/>
        <v>11206</v>
      </c>
      <c r="BB264" s="3">
        <f t="shared" si="35"/>
        <v>367778</v>
      </c>
    </row>
    <row r="265" spans="1:54" x14ac:dyDescent="0.25">
      <c r="A265" t="s">
        <v>876</v>
      </c>
      <c r="B265" s="21">
        <v>2.5499999999999998</v>
      </c>
      <c r="C265" s="21">
        <v>2.08</v>
      </c>
      <c r="D265" s="35">
        <v>0.10000000000000003</v>
      </c>
      <c r="E265" s="3">
        <v>205239</v>
      </c>
      <c r="F265" s="3">
        <v>281793</v>
      </c>
      <c r="G265" s="3">
        <v>568234</v>
      </c>
      <c r="H265" s="3">
        <v>573634</v>
      </c>
      <c r="I265" s="4" t="e">
        <v>#N/A</v>
      </c>
      <c r="J265" s="3"/>
      <c r="K265" s="3">
        <v>14886</v>
      </c>
      <c r="L265" s="3">
        <v>855</v>
      </c>
      <c r="M265" s="3">
        <v>11199</v>
      </c>
      <c r="N265" s="3">
        <v>4538</v>
      </c>
      <c r="O265" s="3">
        <v>20915</v>
      </c>
      <c r="P265" s="3">
        <v>8007</v>
      </c>
      <c r="Q265" s="3">
        <v>20588</v>
      </c>
      <c r="R265" s="3">
        <v>15398</v>
      </c>
      <c r="S265" s="3">
        <v>11128</v>
      </c>
      <c r="T265" s="3">
        <v>79251</v>
      </c>
      <c r="U265" s="3">
        <v>56120</v>
      </c>
      <c r="V265" s="3">
        <v>3491</v>
      </c>
      <c r="W265" s="3">
        <v>1525</v>
      </c>
      <c r="X265" s="3">
        <v>3820</v>
      </c>
      <c r="Y265" s="3">
        <v>13617</v>
      </c>
      <c r="Z265" s="3">
        <v>7521</v>
      </c>
      <c r="AA265" s="3">
        <v>2306</v>
      </c>
      <c r="AB265" s="3">
        <v>5372</v>
      </c>
      <c r="AC265" s="3">
        <v>23010</v>
      </c>
      <c r="AD265" s="3">
        <v>24704</v>
      </c>
      <c r="AE265" s="3">
        <v>14537</v>
      </c>
      <c r="AF265" s="3">
        <v>6045</v>
      </c>
      <c r="AG265" s="3">
        <v>28541</v>
      </c>
      <c r="AH265" s="3">
        <v>14791</v>
      </c>
      <c r="AI265" s="3">
        <v>24395</v>
      </c>
      <c r="AJ265" s="3">
        <v>117242</v>
      </c>
      <c r="AK265" s="3">
        <v>85066</v>
      </c>
      <c r="AL265" s="3">
        <v>4164</v>
      </c>
      <c r="AM265" s="3">
        <v>10947</v>
      </c>
      <c r="AN265" s="3">
        <v>5504</v>
      </c>
      <c r="AO265" s="3">
        <v>6830</v>
      </c>
      <c r="AP265" s="3">
        <v>3613</v>
      </c>
      <c r="AR265" s="3">
        <f t="shared" ref="AR265:AT274" si="36">+M265+AC265</f>
        <v>34209</v>
      </c>
      <c r="AS265" s="3">
        <f t="shared" si="36"/>
        <v>29242</v>
      </c>
      <c r="AT265" s="3">
        <f t="shared" si="36"/>
        <v>35452</v>
      </c>
      <c r="AU265" s="3">
        <f t="shared" ref="AU265:AU274" si="37">+Q265+AG265</f>
        <v>49129</v>
      </c>
      <c r="AV265" s="3">
        <f t="shared" ref="AV265:AV274" si="38">+R265+AH265</f>
        <v>30189</v>
      </c>
      <c r="AW265" s="3">
        <f t="shared" ref="AW265:AW274" si="39">+S265+AI265</f>
        <v>35523</v>
      </c>
      <c r="AX265" s="3">
        <f t="shared" ref="AX265:AX274" si="40">+T265+AJ265</f>
        <v>196493</v>
      </c>
      <c r="AY265" s="3">
        <f t="shared" ref="AY265:AY274" si="41">+X265+AN265</f>
        <v>9324</v>
      </c>
      <c r="AZ265" s="3">
        <f t="shared" ref="AZ265:AZ274" si="42">+Y265+AO265</f>
        <v>20447</v>
      </c>
      <c r="BA265" s="3">
        <f t="shared" ref="BA265:BA274" si="43">+Z265+AP265</f>
        <v>11134</v>
      </c>
      <c r="BB265" s="3">
        <f t="shared" ref="BB265:BB274" si="44">SUM(Q265:T265,W265:Z265,AG265:AJ265,AM265:AP265)</f>
        <v>364711</v>
      </c>
    </row>
    <row r="266" spans="1:54" x14ac:dyDescent="0.25">
      <c r="A266" t="s">
        <v>877</v>
      </c>
      <c r="B266" s="21">
        <v>2.5499999999999998</v>
      </c>
      <c r="C266" s="21">
        <v>2.0499999999999998</v>
      </c>
      <c r="D266" s="35">
        <v>0.10000000000000003</v>
      </c>
      <c r="E266" s="3">
        <v>203863</v>
      </c>
      <c r="F266" s="3">
        <v>285324</v>
      </c>
      <c r="G266" s="3">
        <v>560853</v>
      </c>
      <c r="H266" s="3">
        <v>559194</v>
      </c>
      <c r="I266" s="4">
        <v>-2.1</v>
      </c>
      <c r="J266" s="3"/>
      <c r="K266" s="3">
        <v>14858</v>
      </c>
      <c r="L266" s="3">
        <v>821</v>
      </c>
      <c r="M266" s="3">
        <v>11004</v>
      </c>
      <c r="N266" s="3">
        <v>4722</v>
      </c>
      <c r="O266" s="3">
        <v>20876</v>
      </c>
      <c r="P266" s="3">
        <v>7949</v>
      </c>
      <c r="Q266" s="3">
        <v>20356</v>
      </c>
      <c r="R266" s="3">
        <v>15358</v>
      </c>
      <c r="S266" s="3">
        <v>11116</v>
      </c>
      <c r="T266" s="3">
        <v>78610</v>
      </c>
      <c r="U266" s="3">
        <v>55718</v>
      </c>
      <c r="V266" s="3">
        <v>3522</v>
      </c>
      <c r="W266" s="3">
        <v>1483</v>
      </c>
      <c r="X266" s="3">
        <v>3811</v>
      </c>
      <c r="Y266" s="3">
        <v>13452</v>
      </c>
      <c r="Z266" s="3">
        <v>7396</v>
      </c>
      <c r="AA266" s="3">
        <v>2325</v>
      </c>
      <c r="AB266" s="3">
        <v>5051</v>
      </c>
      <c r="AC266" s="3">
        <v>23751</v>
      </c>
      <c r="AD266" s="3">
        <v>25877</v>
      </c>
      <c r="AE266" s="3">
        <v>14399</v>
      </c>
      <c r="AF266" s="3">
        <v>5991</v>
      </c>
      <c r="AG266" s="3">
        <v>29418</v>
      </c>
      <c r="AH266" s="3">
        <v>14638</v>
      </c>
      <c r="AI266" s="3">
        <v>24027</v>
      </c>
      <c r="AJ266" s="3">
        <v>117196</v>
      </c>
      <c r="AK266" s="3">
        <v>84582</v>
      </c>
      <c r="AL266" s="3">
        <v>4282</v>
      </c>
      <c r="AM266" s="3">
        <v>12954</v>
      </c>
      <c r="AN266" s="3">
        <v>5541</v>
      </c>
      <c r="AO266" s="3">
        <v>6703</v>
      </c>
      <c r="AP266" s="3">
        <v>3445</v>
      </c>
      <c r="AR266" s="3">
        <f t="shared" si="36"/>
        <v>34755</v>
      </c>
      <c r="AS266" s="3">
        <f t="shared" si="36"/>
        <v>30599</v>
      </c>
      <c r="AT266" s="3">
        <f t="shared" si="36"/>
        <v>35275</v>
      </c>
      <c r="AU266" s="3">
        <f t="shared" si="37"/>
        <v>49774</v>
      </c>
      <c r="AV266" s="3">
        <f t="shared" si="38"/>
        <v>29996</v>
      </c>
      <c r="AW266" s="3">
        <f t="shared" si="39"/>
        <v>35143</v>
      </c>
      <c r="AX266" s="3">
        <f t="shared" si="40"/>
        <v>195806</v>
      </c>
      <c r="AY266" s="3">
        <f t="shared" si="41"/>
        <v>9352</v>
      </c>
      <c r="AZ266" s="3">
        <f t="shared" si="42"/>
        <v>20155</v>
      </c>
      <c r="BA266" s="3">
        <f t="shared" si="43"/>
        <v>10841</v>
      </c>
      <c r="BB266" s="3">
        <f t="shared" si="44"/>
        <v>365504</v>
      </c>
    </row>
    <row r="267" spans="1:54" x14ac:dyDescent="0.25">
      <c r="A267" t="s">
        <v>878</v>
      </c>
      <c r="B267" s="21">
        <v>2.65</v>
      </c>
      <c r="C267" s="21">
        <v>2.06</v>
      </c>
      <c r="D267" s="35">
        <v>0.10000000000000003</v>
      </c>
      <c r="E267" s="3">
        <v>202785</v>
      </c>
      <c r="F267" s="3">
        <v>284857</v>
      </c>
      <c r="G267" s="3">
        <v>562186</v>
      </c>
      <c r="H267" s="3">
        <v>564259</v>
      </c>
      <c r="I267" s="4">
        <v>-1.8</v>
      </c>
      <c r="J267" s="3"/>
      <c r="K267" s="3">
        <v>14800</v>
      </c>
      <c r="L267" s="3">
        <v>786</v>
      </c>
      <c r="M267" s="3">
        <v>11125</v>
      </c>
      <c r="N267" s="3">
        <v>4723</v>
      </c>
      <c r="O267" s="3">
        <v>20734</v>
      </c>
      <c r="P267" s="3">
        <v>7883</v>
      </c>
      <c r="Q267" s="3">
        <v>20168</v>
      </c>
      <c r="R267" s="3">
        <v>15185</v>
      </c>
      <c r="S267" s="3">
        <v>10939</v>
      </c>
      <c r="T267" s="3">
        <v>78477</v>
      </c>
      <c r="U267" s="3">
        <v>55726</v>
      </c>
      <c r="V267" s="3">
        <v>3486</v>
      </c>
      <c r="W267" s="3">
        <v>1388</v>
      </c>
      <c r="X267" s="3">
        <v>3780</v>
      </c>
      <c r="Y267" s="3">
        <v>13347</v>
      </c>
      <c r="Z267" s="3">
        <v>7334</v>
      </c>
      <c r="AA267" s="3">
        <v>2386</v>
      </c>
      <c r="AB267" s="3">
        <v>4735</v>
      </c>
      <c r="AC267" s="3">
        <v>24798</v>
      </c>
      <c r="AD267" s="3">
        <v>25931</v>
      </c>
      <c r="AE267" s="3">
        <v>14497</v>
      </c>
      <c r="AF267" s="3">
        <v>5988</v>
      </c>
      <c r="AG267" s="3">
        <v>28837</v>
      </c>
      <c r="AH267" s="3">
        <v>14604</v>
      </c>
      <c r="AI267" s="3">
        <v>23904</v>
      </c>
      <c r="AJ267" s="3">
        <v>116899</v>
      </c>
      <c r="AK267" s="3">
        <v>84552</v>
      </c>
      <c r="AL267" s="3">
        <v>4282</v>
      </c>
      <c r="AM267" s="3">
        <v>12138</v>
      </c>
      <c r="AN267" s="3">
        <v>5523</v>
      </c>
      <c r="AO267" s="3">
        <v>7003</v>
      </c>
      <c r="AP267" s="3">
        <v>3602</v>
      </c>
      <c r="AR267" s="3">
        <f t="shared" si="36"/>
        <v>35923</v>
      </c>
      <c r="AS267" s="3">
        <f t="shared" si="36"/>
        <v>30654</v>
      </c>
      <c r="AT267" s="3">
        <f t="shared" si="36"/>
        <v>35231</v>
      </c>
      <c r="AU267" s="3">
        <f t="shared" si="37"/>
        <v>49005</v>
      </c>
      <c r="AV267" s="3">
        <f t="shared" si="38"/>
        <v>29789</v>
      </c>
      <c r="AW267" s="3">
        <f t="shared" si="39"/>
        <v>34843</v>
      </c>
      <c r="AX267" s="3">
        <f t="shared" si="40"/>
        <v>195376</v>
      </c>
      <c r="AY267" s="3">
        <f t="shared" si="41"/>
        <v>9303</v>
      </c>
      <c r="AZ267" s="3">
        <f t="shared" si="42"/>
        <v>20350</v>
      </c>
      <c r="BA267" s="3">
        <f t="shared" si="43"/>
        <v>10936</v>
      </c>
      <c r="BB267" s="3">
        <f t="shared" si="44"/>
        <v>363128</v>
      </c>
    </row>
    <row r="268" spans="1:54" x14ac:dyDescent="0.25">
      <c r="A268" t="s">
        <v>879</v>
      </c>
      <c r="B268" s="21">
        <v>2.65</v>
      </c>
      <c r="C268" s="21">
        <v>2.0499999999999998</v>
      </c>
      <c r="D268" s="35">
        <v>0.10000000000000003</v>
      </c>
      <c r="E268" s="3">
        <v>202600</v>
      </c>
      <c r="F268" s="3">
        <v>281499</v>
      </c>
      <c r="G268" s="3">
        <v>566619</v>
      </c>
      <c r="H268" s="3">
        <v>576437</v>
      </c>
      <c r="I268" s="4" t="e">
        <v>#N/A</v>
      </c>
      <c r="J268" s="3"/>
      <c r="K268" s="3">
        <v>14750</v>
      </c>
      <c r="L268" s="3">
        <v>847</v>
      </c>
      <c r="M268" s="3">
        <v>11092</v>
      </c>
      <c r="N268" s="3">
        <v>4780</v>
      </c>
      <c r="O268" s="3">
        <v>20685</v>
      </c>
      <c r="P268" s="3">
        <v>7868</v>
      </c>
      <c r="Q268" s="3">
        <v>20198</v>
      </c>
      <c r="R268" s="3">
        <v>15079</v>
      </c>
      <c r="S268" s="3">
        <v>10891</v>
      </c>
      <c r="T268" s="3">
        <v>78662</v>
      </c>
      <c r="U268" s="3">
        <v>56071</v>
      </c>
      <c r="V268" s="3">
        <v>3467</v>
      </c>
      <c r="W268" s="3">
        <v>1301</v>
      </c>
      <c r="X268" s="3">
        <v>3747</v>
      </c>
      <c r="Y268" s="3">
        <v>13292</v>
      </c>
      <c r="Z268" s="3">
        <v>7277</v>
      </c>
      <c r="AA268" s="3">
        <v>2401</v>
      </c>
      <c r="AB268" s="3">
        <v>5129</v>
      </c>
      <c r="AC268" s="3">
        <v>24452</v>
      </c>
      <c r="AD268" s="3">
        <v>26303</v>
      </c>
      <c r="AE268" s="3">
        <v>14033</v>
      </c>
      <c r="AF268" s="3">
        <v>5920</v>
      </c>
      <c r="AG268" s="3">
        <v>28847</v>
      </c>
      <c r="AH268" s="3">
        <v>14449</v>
      </c>
      <c r="AI268" s="3">
        <v>22991</v>
      </c>
      <c r="AJ268" s="3">
        <v>116567</v>
      </c>
      <c r="AK268" s="3">
        <v>83819</v>
      </c>
      <c r="AL268" s="3">
        <v>4332</v>
      </c>
      <c r="AM268" s="3">
        <v>10329</v>
      </c>
      <c r="AN268" s="3">
        <v>5493</v>
      </c>
      <c r="AO268" s="3">
        <v>7004</v>
      </c>
      <c r="AP268" s="3">
        <v>3500</v>
      </c>
      <c r="AR268" s="3">
        <f t="shared" si="36"/>
        <v>35544</v>
      </c>
      <c r="AS268" s="3">
        <f t="shared" si="36"/>
        <v>31083</v>
      </c>
      <c r="AT268" s="3">
        <f t="shared" si="36"/>
        <v>34718</v>
      </c>
      <c r="AU268" s="3">
        <f t="shared" si="37"/>
        <v>49045</v>
      </c>
      <c r="AV268" s="3">
        <f t="shared" si="38"/>
        <v>29528</v>
      </c>
      <c r="AW268" s="3">
        <f t="shared" si="39"/>
        <v>33882</v>
      </c>
      <c r="AX268" s="3">
        <f t="shared" si="40"/>
        <v>195229</v>
      </c>
      <c r="AY268" s="3">
        <f t="shared" si="41"/>
        <v>9240</v>
      </c>
      <c r="AZ268" s="3">
        <f t="shared" si="42"/>
        <v>20296</v>
      </c>
      <c r="BA268" s="3">
        <f t="shared" si="43"/>
        <v>10777</v>
      </c>
      <c r="BB268" s="3">
        <f t="shared" si="44"/>
        <v>359627</v>
      </c>
    </row>
    <row r="269" spans="1:54" x14ac:dyDescent="0.25">
      <c r="A269" t="s">
        <v>880</v>
      </c>
      <c r="B269" s="21">
        <v>2.66</v>
      </c>
      <c r="C269" s="21">
        <v>2.0299999999999998</v>
      </c>
      <c r="D269" s="35">
        <v>0.10000000000000002</v>
      </c>
      <c r="E269" s="3">
        <v>201779</v>
      </c>
      <c r="F269" s="3">
        <v>284806</v>
      </c>
      <c r="G269" s="3">
        <v>571792</v>
      </c>
      <c r="H269" s="3">
        <v>571628</v>
      </c>
      <c r="I269" s="4">
        <v>-1.3</v>
      </c>
      <c r="J269" s="3"/>
      <c r="K269" s="3">
        <v>14572</v>
      </c>
      <c r="L269" s="3">
        <v>723</v>
      </c>
      <c r="M269" s="3">
        <v>10815</v>
      </c>
      <c r="N269" s="3">
        <v>5006</v>
      </c>
      <c r="O269" s="3">
        <v>20877</v>
      </c>
      <c r="P269" s="3">
        <v>7949</v>
      </c>
      <c r="Q269" s="3">
        <v>19851</v>
      </c>
      <c r="R269" s="3">
        <v>14969</v>
      </c>
      <c r="S269" s="3">
        <v>10963</v>
      </c>
      <c r="T269" s="3">
        <v>78886</v>
      </c>
      <c r="U269" s="3">
        <v>56117</v>
      </c>
      <c r="V269" s="3">
        <v>3581</v>
      </c>
      <c r="W269" s="3">
        <v>1125</v>
      </c>
      <c r="X269" s="3">
        <v>3684</v>
      </c>
      <c r="Y269" s="3">
        <v>13208</v>
      </c>
      <c r="Z269" s="3">
        <v>7101</v>
      </c>
      <c r="AA269" s="3">
        <v>1949</v>
      </c>
      <c r="AB269" s="3">
        <v>4075</v>
      </c>
      <c r="AC269" s="3">
        <v>24083</v>
      </c>
      <c r="AD269" s="3">
        <v>26979</v>
      </c>
      <c r="AE269" s="3">
        <v>15336</v>
      </c>
      <c r="AF269" s="3">
        <v>6686</v>
      </c>
      <c r="AG269" s="3">
        <v>27958</v>
      </c>
      <c r="AH269" s="3">
        <v>14598</v>
      </c>
      <c r="AI269" s="3">
        <v>23014</v>
      </c>
      <c r="AJ269" s="3">
        <v>119237</v>
      </c>
      <c r="AK269" s="3">
        <v>85035</v>
      </c>
      <c r="AL269" s="3">
        <v>5300</v>
      </c>
      <c r="AM269" s="3">
        <v>11738</v>
      </c>
      <c r="AN269" s="3">
        <v>5284</v>
      </c>
      <c r="AO269" s="3">
        <v>7038</v>
      </c>
      <c r="AP269" s="3">
        <v>3519</v>
      </c>
      <c r="AR269" s="3">
        <f t="shared" si="36"/>
        <v>34898</v>
      </c>
      <c r="AS269" s="3">
        <f t="shared" si="36"/>
        <v>31985</v>
      </c>
      <c r="AT269" s="3">
        <f t="shared" si="36"/>
        <v>36213</v>
      </c>
      <c r="AU269" s="3">
        <f t="shared" si="37"/>
        <v>47809</v>
      </c>
      <c r="AV269" s="3">
        <f t="shared" si="38"/>
        <v>29567</v>
      </c>
      <c r="AW269" s="3">
        <f t="shared" si="39"/>
        <v>33977</v>
      </c>
      <c r="AX269" s="3">
        <f t="shared" si="40"/>
        <v>198123</v>
      </c>
      <c r="AY269" s="3">
        <f t="shared" si="41"/>
        <v>8968</v>
      </c>
      <c r="AZ269" s="3">
        <f t="shared" si="42"/>
        <v>20246</v>
      </c>
      <c r="BA269" s="3">
        <f t="shared" si="43"/>
        <v>10620</v>
      </c>
      <c r="BB269" s="3">
        <f t="shared" si="44"/>
        <v>362173</v>
      </c>
    </row>
    <row r="270" spans="1:54" x14ac:dyDescent="0.25">
      <c r="A270" t="s">
        <v>881</v>
      </c>
      <c r="B270" s="21">
        <v>2.7</v>
      </c>
      <c r="C270" s="21">
        <v>2.02</v>
      </c>
      <c r="D270" s="35">
        <v>0.10000000000000003</v>
      </c>
      <c r="E270" s="3">
        <v>201451</v>
      </c>
      <c r="F270" s="3">
        <v>286296</v>
      </c>
      <c r="G270" s="3">
        <v>575639</v>
      </c>
      <c r="H270" s="3">
        <v>582565</v>
      </c>
      <c r="I270" s="4">
        <v>-1</v>
      </c>
      <c r="J270" s="3"/>
      <c r="K270" s="3">
        <v>14549</v>
      </c>
      <c r="L270" s="3">
        <v>783</v>
      </c>
      <c r="M270" s="3">
        <v>10768</v>
      </c>
      <c r="N270" s="3">
        <v>5035</v>
      </c>
      <c r="O270" s="3">
        <v>20749</v>
      </c>
      <c r="P270" s="3">
        <v>7893</v>
      </c>
      <c r="Q270" s="3">
        <v>20012</v>
      </c>
      <c r="R270" s="3">
        <v>14910</v>
      </c>
      <c r="S270" s="3">
        <v>10878</v>
      </c>
      <c r="T270" s="3">
        <v>78873</v>
      </c>
      <c r="U270" s="3">
        <v>56252</v>
      </c>
      <c r="V270" s="3">
        <v>3575</v>
      </c>
      <c r="W270" s="3">
        <v>1065</v>
      </c>
      <c r="X270" s="3">
        <v>3666</v>
      </c>
      <c r="Y270" s="3">
        <v>13091</v>
      </c>
      <c r="Z270" s="3">
        <v>7071</v>
      </c>
      <c r="AA270" s="3">
        <v>1987</v>
      </c>
      <c r="AB270" s="3">
        <v>4216</v>
      </c>
      <c r="AC270" s="3">
        <v>23963</v>
      </c>
      <c r="AD270" s="3">
        <v>26667</v>
      </c>
      <c r="AE270" s="3">
        <v>15217</v>
      </c>
      <c r="AF270" s="3">
        <v>6583</v>
      </c>
      <c r="AG270" s="3">
        <v>29505</v>
      </c>
      <c r="AH270" s="3">
        <v>14433</v>
      </c>
      <c r="AI270" s="3">
        <v>22935</v>
      </c>
      <c r="AJ270" s="3">
        <v>118612</v>
      </c>
      <c r="AK270" s="3">
        <v>84739</v>
      </c>
      <c r="AL270" s="3">
        <v>5289</v>
      </c>
      <c r="AM270" s="3">
        <v>12894</v>
      </c>
      <c r="AN270" s="3">
        <v>5245</v>
      </c>
      <c r="AO270" s="3">
        <v>7085</v>
      </c>
      <c r="AP270" s="3">
        <v>3537</v>
      </c>
      <c r="AR270" s="3">
        <f t="shared" si="36"/>
        <v>34731</v>
      </c>
      <c r="AS270" s="3">
        <f t="shared" si="36"/>
        <v>31702</v>
      </c>
      <c r="AT270" s="3">
        <f t="shared" si="36"/>
        <v>35966</v>
      </c>
      <c r="AU270" s="3">
        <f t="shared" si="37"/>
        <v>49517</v>
      </c>
      <c r="AV270" s="3">
        <f t="shared" si="38"/>
        <v>29343</v>
      </c>
      <c r="AW270" s="3">
        <f t="shared" si="39"/>
        <v>33813</v>
      </c>
      <c r="AX270" s="3">
        <f t="shared" si="40"/>
        <v>197485</v>
      </c>
      <c r="AY270" s="3">
        <f t="shared" si="41"/>
        <v>8911</v>
      </c>
      <c r="AZ270" s="3">
        <f t="shared" si="42"/>
        <v>20176</v>
      </c>
      <c r="BA270" s="3">
        <f t="shared" si="43"/>
        <v>10608</v>
      </c>
      <c r="BB270" s="3">
        <f t="shared" si="44"/>
        <v>363812</v>
      </c>
    </row>
    <row r="271" spans="1:54" x14ac:dyDescent="0.25">
      <c r="A271" t="s">
        <v>882</v>
      </c>
      <c r="B271" s="21">
        <v>2.75</v>
      </c>
      <c r="C271" s="21">
        <v>2.0099999999999998</v>
      </c>
      <c r="D271" s="35">
        <v>0.17826086956521739</v>
      </c>
      <c r="E271" s="3">
        <v>200481</v>
      </c>
      <c r="F271" s="3">
        <v>289138</v>
      </c>
      <c r="G271" s="3">
        <v>577308</v>
      </c>
      <c r="H271" s="3">
        <v>585231</v>
      </c>
      <c r="I271" s="4" t="e">
        <v>#N/A</v>
      </c>
      <c r="J271" s="3"/>
      <c r="K271" s="3">
        <v>14505</v>
      </c>
      <c r="L271" s="3">
        <v>922</v>
      </c>
      <c r="M271" s="3">
        <v>10496</v>
      </c>
      <c r="N271" s="3">
        <v>4970</v>
      </c>
      <c r="O271" s="3">
        <v>20512</v>
      </c>
      <c r="P271" s="3">
        <v>7846</v>
      </c>
      <c r="Q271" s="3">
        <v>20123</v>
      </c>
      <c r="R271" s="3">
        <v>14833</v>
      </c>
      <c r="S271" s="3">
        <v>10744</v>
      </c>
      <c r="T271" s="3">
        <v>78787</v>
      </c>
      <c r="U271" s="3">
        <v>56351</v>
      </c>
      <c r="V271" s="3">
        <v>3789</v>
      </c>
      <c r="W271" s="3">
        <v>1085</v>
      </c>
      <c r="X271" s="3">
        <v>3598</v>
      </c>
      <c r="Y271" s="3">
        <v>12997</v>
      </c>
      <c r="Z271" s="3">
        <v>6909</v>
      </c>
      <c r="AA271" s="3">
        <v>2049</v>
      </c>
      <c r="AB271" s="3">
        <v>4751</v>
      </c>
      <c r="AC271" s="3">
        <v>23636</v>
      </c>
      <c r="AD271" s="3">
        <v>26004</v>
      </c>
      <c r="AE271" s="3">
        <v>14759</v>
      </c>
      <c r="AF271" s="3">
        <v>6529</v>
      </c>
      <c r="AG271" s="3">
        <v>31628</v>
      </c>
      <c r="AH271" s="3">
        <v>14799</v>
      </c>
      <c r="AI271" s="3">
        <v>23054</v>
      </c>
      <c r="AJ271" s="3">
        <v>120707</v>
      </c>
      <c r="AK271" s="3">
        <v>86104</v>
      </c>
      <c r="AL271" s="3">
        <v>5284</v>
      </c>
      <c r="AM271" s="3">
        <v>12115</v>
      </c>
      <c r="AN271" s="3">
        <v>5315</v>
      </c>
      <c r="AO271" s="3">
        <v>6958</v>
      </c>
      <c r="AP271" s="3">
        <v>3365</v>
      </c>
      <c r="AR271" s="3">
        <f t="shared" si="36"/>
        <v>34132</v>
      </c>
      <c r="AS271" s="3">
        <f t="shared" si="36"/>
        <v>30974</v>
      </c>
      <c r="AT271" s="3">
        <f t="shared" si="36"/>
        <v>35271</v>
      </c>
      <c r="AU271" s="3">
        <f t="shared" si="37"/>
        <v>51751</v>
      </c>
      <c r="AV271" s="3">
        <f t="shared" si="38"/>
        <v>29632</v>
      </c>
      <c r="AW271" s="3">
        <f t="shared" si="39"/>
        <v>33798</v>
      </c>
      <c r="AX271" s="3">
        <f t="shared" si="40"/>
        <v>199494</v>
      </c>
      <c r="AY271" s="3">
        <f t="shared" si="41"/>
        <v>8913</v>
      </c>
      <c r="AZ271" s="3">
        <f t="shared" si="42"/>
        <v>19955</v>
      </c>
      <c r="BA271" s="3">
        <f t="shared" si="43"/>
        <v>10274</v>
      </c>
      <c r="BB271" s="3">
        <f t="shared" si="44"/>
        <v>367017</v>
      </c>
    </row>
    <row r="272" spans="1:54" x14ac:dyDescent="0.25">
      <c r="A272" t="s">
        <v>883</v>
      </c>
      <c r="B272" s="21">
        <v>2.81</v>
      </c>
      <c r="C272" s="21">
        <v>2.0099999999999998</v>
      </c>
      <c r="D272" s="35">
        <v>0.25</v>
      </c>
      <c r="E272" s="3">
        <v>198782</v>
      </c>
      <c r="F272" s="3">
        <v>286064</v>
      </c>
      <c r="G272" s="3">
        <v>582151</v>
      </c>
      <c r="H272" s="3">
        <v>573712</v>
      </c>
      <c r="I272" s="4">
        <v>-1</v>
      </c>
      <c r="J272" s="3"/>
      <c r="K272" s="3">
        <v>14423</v>
      </c>
      <c r="L272" s="3">
        <v>741</v>
      </c>
      <c r="M272" s="3">
        <v>10354</v>
      </c>
      <c r="N272" s="3">
        <v>4921</v>
      </c>
      <c r="O272" s="3">
        <v>20378</v>
      </c>
      <c r="P272" s="3">
        <v>7761</v>
      </c>
      <c r="Q272" s="3">
        <v>20015</v>
      </c>
      <c r="R272" s="3">
        <v>14731</v>
      </c>
      <c r="S272" s="3">
        <v>10723</v>
      </c>
      <c r="T272" s="3">
        <v>78293</v>
      </c>
      <c r="U272" s="3">
        <v>56087</v>
      </c>
      <c r="V272" s="3">
        <v>3822</v>
      </c>
      <c r="W272" s="3">
        <v>950</v>
      </c>
      <c r="X272" s="3">
        <v>3541</v>
      </c>
      <c r="Y272" s="3">
        <v>12886</v>
      </c>
      <c r="Z272" s="3">
        <v>6827</v>
      </c>
      <c r="AA272" s="3">
        <v>2006</v>
      </c>
      <c r="AB272" s="3">
        <v>3912</v>
      </c>
      <c r="AC272" s="3">
        <v>23414</v>
      </c>
      <c r="AD272" s="3">
        <v>25797</v>
      </c>
      <c r="AE272" s="3">
        <v>15152</v>
      </c>
      <c r="AF272" s="3">
        <v>6610</v>
      </c>
      <c r="AG272" s="3">
        <v>30935</v>
      </c>
      <c r="AH272" s="3">
        <v>14337</v>
      </c>
      <c r="AI272" s="3">
        <v>23410</v>
      </c>
      <c r="AJ272" s="3">
        <v>121234</v>
      </c>
      <c r="AK272" s="3">
        <v>85952</v>
      </c>
      <c r="AL272" s="3">
        <v>5570</v>
      </c>
      <c r="AM272" s="3">
        <v>10333</v>
      </c>
      <c r="AN272" s="3">
        <v>5288</v>
      </c>
      <c r="AO272" s="3">
        <v>6890</v>
      </c>
      <c r="AP272" s="3">
        <v>3356</v>
      </c>
      <c r="AR272" s="3">
        <f t="shared" si="36"/>
        <v>33768</v>
      </c>
      <c r="AS272" s="3">
        <f t="shared" si="36"/>
        <v>30718</v>
      </c>
      <c r="AT272" s="3">
        <f t="shared" si="36"/>
        <v>35530</v>
      </c>
      <c r="AU272" s="3">
        <f t="shared" si="37"/>
        <v>50950</v>
      </c>
      <c r="AV272" s="3">
        <f t="shared" si="38"/>
        <v>29068</v>
      </c>
      <c r="AW272" s="3">
        <f t="shared" si="39"/>
        <v>34133</v>
      </c>
      <c r="AX272" s="3">
        <f t="shared" si="40"/>
        <v>199527</v>
      </c>
      <c r="AY272" s="3">
        <f t="shared" si="41"/>
        <v>8829</v>
      </c>
      <c r="AZ272" s="3">
        <f t="shared" si="42"/>
        <v>19776</v>
      </c>
      <c r="BA272" s="3">
        <f t="shared" si="43"/>
        <v>10183</v>
      </c>
      <c r="BB272" s="3">
        <f t="shared" si="44"/>
        <v>363749</v>
      </c>
    </row>
    <row r="273" spans="1:54" x14ac:dyDescent="0.25">
      <c r="A273" t="s">
        <v>884</v>
      </c>
      <c r="B273" s="21">
        <v>2.95</v>
      </c>
      <c r="C273" s="21">
        <v>2.02</v>
      </c>
      <c r="D273" s="35">
        <v>0.47499999999999998</v>
      </c>
      <c r="E273" s="3">
        <v>199670</v>
      </c>
      <c r="F273" s="3">
        <v>288944</v>
      </c>
      <c r="G273" s="3">
        <v>583881</v>
      </c>
      <c r="H273" s="3">
        <v>571811</v>
      </c>
      <c r="I273" s="4">
        <v>-1</v>
      </c>
      <c r="J273" s="3"/>
      <c r="K273" s="3">
        <v>14414</v>
      </c>
      <c r="L273" s="3">
        <v>826</v>
      </c>
      <c r="M273" s="3">
        <v>10446</v>
      </c>
      <c r="N273" s="3">
        <v>5087</v>
      </c>
      <c r="O273" s="3">
        <v>20390</v>
      </c>
      <c r="P273" s="3">
        <v>7773</v>
      </c>
      <c r="Q273" s="3">
        <v>20167</v>
      </c>
      <c r="R273" s="3">
        <v>14695</v>
      </c>
      <c r="S273" s="3">
        <v>10646</v>
      </c>
      <c r="T273" s="3">
        <v>78828</v>
      </c>
      <c r="U273" s="3">
        <v>56706</v>
      </c>
      <c r="V273" s="3">
        <v>3808</v>
      </c>
      <c r="W273" s="3">
        <v>794</v>
      </c>
      <c r="X273" s="3">
        <v>3500</v>
      </c>
      <c r="Y273" s="3">
        <v>13039</v>
      </c>
      <c r="Z273" s="3">
        <v>6836</v>
      </c>
      <c r="AA273" s="3">
        <v>2018</v>
      </c>
      <c r="AB273" s="3">
        <v>4465</v>
      </c>
      <c r="AC273" s="3">
        <v>23994</v>
      </c>
      <c r="AD273" s="3">
        <v>25303</v>
      </c>
      <c r="AE273" s="3">
        <v>15454</v>
      </c>
      <c r="AF273" s="3">
        <v>6662</v>
      </c>
      <c r="AG273" s="3">
        <v>32765</v>
      </c>
      <c r="AH273" s="3">
        <v>14637</v>
      </c>
      <c r="AI273" s="3">
        <v>22873</v>
      </c>
      <c r="AJ273" s="3">
        <v>121595</v>
      </c>
      <c r="AK273" s="3">
        <v>85998</v>
      </c>
      <c r="AL273" s="3">
        <v>5654</v>
      </c>
      <c r="AM273" s="3">
        <v>10163</v>
      </c>
      <c r="AN273" s="3">
        <v>5241</v>
      </c>
      <c r="AO273" s="3">
        <v>6998</v>
      </c>
      <c r="AP273" s="3">
        <v>3436</v>
      </c>
      <c r="AR273" s="3">
        <f t="shared" si="36"/>
        <v>34440</v>
      </c>
      <c r="AS273" s="3">
        <f t="shared" si="36"/>
        <v>30390</v>
      </c>
      <c r="AT273" s="3">
        <f t="shared" si="36"/>
        <v>35844</v>
      </c>
      <c r="AU273" s="3">
        <f t="shared" si="37"/>
        <v>52932</v>
      </c>
      <c r="AV273" s="3">
        <f t="shared" si="38"/>
        <v>29332</v>
      </c>
      <c r="AW273" s="3">
        <f t="shared" si="39"/>
        <v>33519</v>
      </c>
      <c r="AX273" s="3">
        <f t="shared" si="40"/>
        <v>200423</v>
      </c>
      <c r="AY273" s="3">
        <f t="shared" si="41"/>
        <v>8741</v>
      </c>
      <c r="AZ273" s="3">
        <f t="shared" si="42"/>
        <v>20037</v>
      </c>
      <c r="BA273" s="3">
        <f t="shared" si="43"/>
        <v>10272</v>
      </c>
      <c r="BB273" s="3">
        <f t="shared" si="44"/>
        <v>366213</v>
      </c>
    </row>
    <row r="274" spans="1:54" x14ac:dyDescent="0.25">
      <c r="A274" t="s">
        <v>885</v>
      </c>
      <c r="B274" s="21">
        <v>3.05</v>
      </c>
      <c r="C274" s="21">
        <v>2.0499999999999998</v>
      </c>
      <c r="D274" s="35">
        <v>0.61956521739130432</v>
      </c>
      <c r="E274" s="3">
        <v>199418</v>
      </c>
      <c r="F274" s="3">
        <v>293054</v>
      </c>
      <c r="G274" s="3">
        <v>589607</v>
      </c>
      <c r="H274" s="3">
        <v>590243</v>
      </c>
      <c r="I274" s="4">
        <v>-2</v>
      </c>
      <c r="J274" s="3"/>
      <c r="K274" s="3">
        <v>14395</v>
      </c>
      <c r="L274" s="3">
        <v>895</v>
      </c>
      <c r="M274" s="3">
        <v>10505</v>
      </c>
      <c r="N274" s="3">
        <v>5124</v>
      </c>
      <c r="O274" s="3">
        <v>19901</v>
      </c>
      <c r="P274" s="3">
        <v>7507</v>
      </c>
      <c r="Q274" s="3">
        <v>20136</v>
      </c>
      <c r="R274" s="3">
        <v>14571</v>
      </c>
      <c r="S274" s="3">
        <v>10598</v>
      </c>
      <c r="T274" s="3">
        <v>79589</v>
      </c>
      <c r="U274" s="3">
        <v>57571</v>
      </c>
      <c r="V274" s="3">
        <v>3757</v>
      </c>
      <c r="W274" s="3">
        <v>539</v>
      </c>
      <c r="X274" s="3">
        <v>3478</v>
      </c>
      <c r="Y274" s="3">
        <v>13010</v>
      </c>
      <c r="Z274" s="3">
        <v>6676</v>
      </c>
      <c r="AA274" s="3">
        <v>2035</v>
      </c>
      <c r="AB274" s="3">
        <v>6061</v>
      </c>
      <c r="AC274" s="3">
        <v>24166</v>
      </c>
      <c r="AD274" s="3">
        <v>25351</v>
      </c>
      <c r="AE274" s="3">
        <v>16626</v>
      </c>
      <c r="AF274" s="3">
        <v>7056</v>
      </c>
      <c r="AG274" s="3">
        <v>33962</v>
      </c>
      <c r="AH274" s="3">
        <v>14416</v>
      </c>
      <c r="AI274" s="3">
        <v>23729</v>
      </c>
      <c r="AJ274" s="3">
        <v>122340</v>
      </c>
      <c r="AK274" s="3">
        <v>85546</v>
      </c>
      <c r="AL274" s="3">
        <v>5585</v>
      </c>
      <c r="AM274" s="3">
        <v>8956</v>
      </c>
      <c r="AN274" s="3">
        <v>5269</v>
      </c>
      <c r="AO274" s="3">
        <v>6820</v>
      </c>
      <c r="AP274" s="3">
        <v>3324</v>
      </c>
      <c r="AR274" s="3">
        <f t="shared" si="36"/>
        <v>34671</v>
      </c>
      <c r="AS274" s="3">
        <f t="shared" si="36"/>
        <v>30475</v>
      </c>
      <c r="AT274" s="3">
        <f t="shared" si="36"/>
        <v>36527</v>
      </c>
      <c r="AU274" s="3">
        <f t="shared" si="37"/>
        <v>54098</v>
      </c>
      <c r="AV274" s="3">
        <f t="shared" si="38"/>
        <v>28987</v>
      </c>
      <c r="AW274" s="3">
        <f t="shared" si="39"/>
        <v>34327</v>
      </c>
      <c r="AX274" s="3">
        <f t="shared" si="40"/>
        <v>201929</v>
      </c>
      <c r="AY274" s="3">
        <f t="shared" si="41"/>
        <v>8747</v>
      </c>
      <c r="AZ274" s="3">
        <f t="shared" si="42"/>
        <v>19830</v>
      </c>
      <c r="BA274" s="3">
        <f t="shared" si="43"/>
        <v>10000</v>
      </c>
      <c r="BB274" s="3">
        <f t="shared" si="44"/>
        <v>367413</v>
      </c>
    </row>
    <row r="275" spans="1:54" x14ac:dyDescent="0.25">
      <c r="A275" t="s">
        <v>1015</v>
      </c>
      <c r="B275" s="21">
        <v>3.15</v>
      </c>
      <c r="C275" s="21">
        <v>2.0499999999999998</v>
      </c>
      <c r="D275" s="35">
        <v>0.75</v>
      </c>
      <c r="E275" s="3">
        <v>198015</v>
      </c>
      <c r="F275" s="3">
        <v>291434</v>
      </c>
      <c r="G275" s="3">
        <v>587443</v>
      </c>
      <c r="H275" s="3">
        <v>577439</v>
      </c>
      <c r="I275" s="4">
        <v>-2</v>
      </c>
      <c r="J275" s="3"/>
      <c r="K275" s="3">
        <v>14423</v>
      </c>
      <c r="L275" s="3">
        <v>751</v>
      </c>
      <c r="M275" s="3">
        <v>10646</v>
      </c>
      <c r="N275" s="3">
        <v>5030</v>
      </c>
      <c r="O275" s="3">
        <v>19646</v>
      </c>
      <c r="P275" s="3">
        <v>7365</v>
      </c>
      <c r="Q275" s="3">
        <v>19658</v>
      </c>
      <c r="R275" s="3">
        <v>14345</v>
      </c>
      <c r="S275" s="3">
        <v>10704</v>
      </c>
      <c r="T275" s="3">
        <v>79373</v>
      </c>
      <c r="U275" s="3">
        <v>57636</v>
      </c>
      <c r="V275" s="3">
        <v>3796</v>
      </c>
      <c r="W275" s="3">
        <v>513</v>
      </c>
      <c r="X275" s="3">
        <v>3442</v>
      </c>
      <c r="Y275" s="3">
        <v>12938</v>
      </c>
      <c r="Z275" s="3">
        <v>6548</v>
      </c>
      <c r="AA275" s="3">
        <v>2024</v>
      </c>
      <c r="AB275" s="3">
        <v>4791</v>
      </c>
      <c r="AC275" s="3">
        <v>25336</v>
      </c>
      <c r="AD275" s="3">
        <v>25362</v>
      </c>
      <c r="AE275" s="3">
        <v>16217</v>
      </c>
      <c r="AF275" s="3">
        <v>6706</v>
      </c>
      <c r="AG275" s="3">
        <v>31954</v>
      </c>
      <c r="AH275" s="3">
        <v>14019</v>
      </c>
      <c r="AI275" s="3">
        <v>24170</v>
      </c>
      <c r="AJ275" s="3">
        <v>123235</v>
      </c>
      <c r="AK275" s="3">
        <v>86553</v>
      </c>
      <c r="AL275" s="3">
        <v>5629</v>
      </c>
      <c r="AM275" s="3">
        <v>9210</v>
      </c>
      <c r="AN275" s="3">
        <v>5199</v>
      </c>
      <c r="AO275" s="3">
        <v>6768</v>
      </c>
      <c r="AP275" s="3">
        <v>3147</v>
      </c>
      <c r="AR275" s="3">
        <f t="shared" ref="AR275:AR294" si="45">+M275+AC275</f>
        <v>35982</v>
      </c>
      <c r="AS275" s="3">
        <f t="shared" ref="AS275:AS294" si="46">+N275+AD275</f>
        <v>30392</v>
      </c>
      <c r="AT275" s="3">
        <f t="shared" ref="AT275:AT294" si="47">+O275+AE275</f>
        <v>35863</v>
      </c>
      <c r="AU275" s="3">
        <f t="shared" ref="AU275:AU294" si="48">+Q275+AG275</f>
        <v>51612</v>
      </c>
      <c r="AV275" s="3">
        <f t="shared" ref="AV275:AV294" si="49">+R275+AH275</f>
        <v>28364</v>
      </c>
      <c r="AW275" s="3">
        <f t="shared" ref="AW275:AW294" si="50">+S275+AI275</f>
        <v>34874</v>
      </c>
      <c r="AX275" s="3">
        <f t="shared" ref="AX275:AX294" si="51">+T275+AJ275</f>
        <v>202608</v>
      </c>
      <c r="AY275" s="3">
        <f t="shared" ref="AY275:AY294" si="52">+X275+AN275</f>
        <v>8641</v>
      </c>
      <c r="AZ275" s="3">
        <f t="shared" ref="AZ275:AZ294" si="53">+Y275+AO275</f>
        <v>19706</v>
      </c>
      <c r="BA275" s="3">
        <f t="shared" ref="BA275:BA294" si="54">+Z275+AP275</f>
        <v>9695</v>
      </c>
      <c r="BB275" s="3">
        <f t="shared" ref="BB275:BB294" si="55">SUM(Q275:T275,W275:Z275,AG275:AJ275,AM275:AP275)</f>
        <v>365223</v>
      </c>
    </row>
    <row r="276" spans="1:54" x14ac:dyDescent="0.25">
      <c r="A276" t="s">
        <v>1019</v>
      </c>
      <c r="B276" s="21">
        <v>3.35</v>
      </c>
      <c r="C276" s="21">
        <v>2.08</v>
      </c>
      <c r="D276" s="35">
        <v>0.96590909090909094</v>
      </c>
      <c r="E276" s="3">
        <v>196845</v>
      </c>
      <c r="F276" s="3">
        <v>292253</v>
      </c>
      <c r="G276" s="3">
        <v>594591</v>
      </c>
      <c r="H276" s="3">
        <v>591102</v>
      </c>
      <c r="I276" s="4">
        <v>-2</v>
      </c>
      <c r="J276" s="3"/>
      <c r="K276" s="3">
        <v>14380</v>
      </c>
      <c r="L276" s="3">
        <v>824</v>
      </c>
      <c r="M276" s="3">
        <v>10574</v>
      </c>
      <c r="N276" s="3">
        <v>5056</v>
      </c>
      <c r="O276" s="3">
        <v>19487</v>
      </c>
      <c r="P276" s="3">
        <v>7273</v>
      </c>
      <c r="Q276" s="3">
        <v>19607</v>
      </c>
      <c r="R276" s="3">
        <v>14115</v>
      </c>
      <c r="S276" s="3">
        <v>10664</v>
      </c>
      <c r="T276" s="3">
        <v>78781</v>
      </c>
      <c r="U276" s="3">
        <v>57224</v>
      </c>
      <c r="V276" s="3">
        <v>3758</v>
      </c>
      <c r="W276" s="3">
        <v>535</v>
      </c>
      <c r="X276" s="3">
        <v>3399</v>
      </c>
      <c r="Y276" s="3">
        <v>12941</v>
      </c>
      <c r="Z276" s="3">
        <v>6481</v>
      </c>
      <c r="AA276" s="3">
        <v>2061</v>
      </c>
      <c r="AB276" s="3">
        <v>4957</v>
      </c>
      <c r="AC276" s="3">
        <v>25801</v>
      </c>
      <c r="AD276" s="3">
        <v>25495</v>
      </c>
      <c r="AE276" s="3">
        <v>15871</v>
      </c>
      <c r="AF276" s="3">
        <v>6795</v>
      </c>
      <c r="AG276" s="3">
        <v>32288</v>
      </c>
      <c r="AH276" s="3">
        <v>13993</v>
      </c>
      <c r="AI276" s="3">
        <v>24774</v>
      </c>
      <c r="AJ276" s="3">
        <v>123277</v>
      </c>
      <c r="AK276" s="3">
        <v>86916</v>
      </c>
      <c r="AL276" s="3">
        <v>5706</v>
      </c>
      <c r="AM276" s="3">
        <v>8808</v>
      </c>
      <c r="AN276" s="3">
        <v>4923</v>
      </c>
      <c r="AO276" s="3">
        <v>6904</v>
      </c>
      <c r="AP276" s="3">
        <v>3099</v>
      </c>
      <c r="AR276" s="3">
        <f t="shared" si="45"/>
        <v>36375</v>
      </c>
      <c r="AS276" s="3">
        <f t="shared" si="46"/>
        <v>30551</v>
      </c>
      <c r="AT276" s="3">
        <f t="shared" si="47"/>
        <v>35358</v>
      </c>
      <c r="AU276" s="3">
        <f t="shared" si="48"/>
        <v>51895</v>
      </c>
      <c r="AV276" s="3">
        <f t="shared" si="49"/>
        <v>28108</v>
      </c>
      <c r="AW276" s="3">
        <f t="shared" si="50"/>
        <v>35438</v>
      </c>
      <c r="AX276" s="3">
        <f t="shared" si="51"/>
        <v>202058</v>
      </c>
      <c r="AY276" s="3">
        <f t="shared" si="52"/>
        <v>8322</v>
      </c>
      <c r="AZ276" s="3">
        <f t="shared" si="53"/>
        <v>19845</v>
      </c>
      <c r="BA276" s="3">
        <f t="shared" si="54"/>
        <v>9580</v>
      </c>
      <c r="BB276" s="3">
        <f t="shared" si="55"/>
        <v>364589</v>
      </c>
    </row>
    <row r="277" spans="1:54" x14ac:dyDescent="0.25">
      <c r="A277" t="s">
        <v>1020</v>
      </c>
      <c r="B277" s="21">
        <v>3.48</v>
      </c>
      <c r="C277" s="21">
        <v>2.12</v>
      </c>
      <c r="D277" s="35">
        <v>1.125</v>
      </c>
      <c r="E277" s="3">
        <v>195270</v>
      </c>
      <c r="F277" s="3">
        <v>297340</v>
      </c>
      <c r="G277" s="3">
        <v>587965</v>
      </c>
      <c r="H277" s="3">
        <v>595654</v>
      </c>
      <c r="I277" s="4" t="e">
        <v>#N/A</v>
      </c>
      <c r="J277" s="3"/>
      <c r="K277" s="3">
        <v>14383</v>
      </c>
      <c r="L277" s="3">
        <v>953</v>
      </c>
      <c r="M277" s="3">
        <v>10477</v>
      </c>
      <c r="N277" s="3">
        <v>4748</v>
      </c>
      <c r="O277" s="3">
        <v>19262</v>
      </c>
      <c r="P277" s="3">
        <v>7246</v>
      </c>
      <c r="Q277" s="3">
        <v>19065</v>
      </c>
      <c r="R277" s="3">
        <v>13981</v>
      </c>
      <c r="S277" s="3">
        <v>10835</v>
      </c>
      <c r="T277" s="3">
        <v>78532</v>
      </c>
      <c r="U277" s="3">
        <v>57364</v>
      </c>
      <c r="V277" s="3">
        <v>3733</v>
      </c>
      <c r="W277" s="3">
        <v>492</v>
      </c>
      <c r="X277" s="3">
        <v>3357</v>
      </c>
      <c r="Y277" s="3">
        <v>12855</v>
      </c>
      <c r="Z277" s="3">
        <v>6331</v>
      </c>
      <c r="AA277" s="3">
        <v>2072</v>
      </c>
      <c r="AB277" s="3">
        <v>5909</v>
      </c>
      <c r="AC277" s="3">
        <v>26198</v>
      </c>
      <c r="AD277" s="3">
        <v>22957</v>
      </c>
      <c r="AE277" s="3">
        <v>15591</v>
      </c>
      <c r="AF277" s="3">
        <v>6659</v>
      </c>
      <c r="AG277" s="3">
        <v>32418</v>
      </c>
      <c r="AH277" s="3">
        <v>13889</v>
      </c>
      <c r="AI277" s="3">
        <v>26222</v>
      </c>
      <c r="AJ277" s="3">
        <v>126946</v>
      </c>
      <c r="AK277" s="3">
        <v>88130</v>
      </c>
      <c r="AL277" s="3">
        <v>5926</v>
      </c>
      <c r="AM277" s="3">
        <v>9936</v>
      </c>
      <c r="AN277" s="3">
        <v>5102</v>
      </c>
      <c r="AO277" s="3">
        <v>6861</v>
      </c>
      <c r="AP277" s="3">
        <v>3239</v>
      </c>
      <c r="AR277" s="3">
        <f t="shared" si="45"/>
        <v>36675</v>
      </c>
      <c r="AS277" s="3">
        <f t="shared" si="46"/>
        <v>27705</v>
      </c>
      <c r="AT277" s="3">
        <f t="shared" si="47"/>
        <v>34853</v>
      </c>
      <c r="AU277" s="3">
        <f t="shared" si="48"/>
        <v>51483</v>
      </c>
      <c r="AV277" s="3">
        <f t="shared" si="49"/>
        <v>27870</v>
      </c>
      <c r="AW277" s="3">
        <f t="shared" si="50"/>
        <v>37057</v>
      </c>
      <c r="AX277" s="3">
        <f t="shared" si="51"/>
        <v>205478</v>
      </c>
      <c r="AY277" s="3">
        <f t="shared" si="52"/>
        <v>8459</v>
      </c>
      <c r="AZ277" s="3">
        <f t="shared" si="53"/>
        <v>19716</v>
      </c>
      <c r="BA277" s="3">
        <f t="shared" si="54"/>
        <v>9570</v>
      </c>
      <c r="BB277" s="3">
        <f t="shared" si="55"/>
        <v>370061</v>
      </c>
    </row>
    <row r="278" spans="1:54" x14ac:dyDescent="0.25">
      <c r="A278" t="s">
        <v>1021</v>
      </c>
      <c r="B278" s="21">
        <v>3.56</v>
      </c>
      <c r="C278" s="21">
        <v>2.13</v>
      </c>
      <c r="D278" s="35">
        <v>1.25</v>
      </c>
      <c r="E278" s="3">
        <v>194529</v>
      </c>
      <c r="F278" s="3">
        <v>296266</v>
      </c>
      <c r="G278" s="3">
        <v>585595</v>
      </c>
      <c r="H278" s="3">
        <v>583717</v>
      </c>
      <c r="I278" s="4">
        <v>-2</v>
      </c>
      <c r="J278" s="3"/>
      <c r="K278" s="3">
        <v>14346</v>
      </c>
      <c r="L278" s="3">
        <v>793</v>
      </c>
      <c r="M278" s="3">
        <v>10498</v>
      </c>
      <c r="N278" s="3">
        <v>4814</v>
      </c>
      <c r="O278" s="3">
        <v>19102</v>
      </c>
      <c r="P278" s="3">
        <v>7170</v>
      </c>
      <c r="Q278" s="3">
        <v>19188</v>
      </c>
      <c r="R278" s="3">
        <v>13904</v>
      </c>
      <c r="S278" s="3">
        <v>10692</v>
      </c>
      <c r="T278" s="3">
        <v>78227</v>
      </c>
      <c r="U278" s="3">
        <v>57197</v>
      </c>
      <c r="V278" s="3">
        <v>3716</v>
      </c>
      <c r="W278" s="3">
        <v>547</v>
      </c>
      <c r="X278" s="3">
        <v>3343</v>
      </c>
      <c r="Y278" s="3">
        <v>12854</v>
      </c>
      <c r="Z278" s="3">
        <v>6220</v>
      </c>
      <c r="AA278" s="3">
        <v>2042</v>
      </c>
      <c r="AB278" s="3">
        <v>4740</v>
      </c>
      <c r="AC278" s="3">
        <v>26454</v>
      </c>
      <c r="AD278" s="3">
        <v>23531</v>
      </c>
      <c r="AE278" s="3">
        <v>15583</v>
      </c>
      <c r="AF278" s="3">
        <v>6618</v>
      </c>
      <c r="AG278" s="3">
        <v>31216</v>
      </c>
      <c r="AH278" s="3">
        <v>13300</v>
      </c>
      <c r="AI278" s="3">
        <v>26185</v>
      </c>
      <c r="AJ278" s="3">
        <v>127820</v>
      </c>
      <c r="AK278" s="3">
        <v>88624</v>
      </c>
      <c r="AL278" s="3">
        <v>6035</v>
      </c>
      <c r="AM278" s="3">
        <v>10141</v>
      </c>
      <c r="AN278" s="3">
        <v>5009</v>
      </c>
      <c r="AO278" s="3">
        <v>6953</v>
      </c>
      <c r="AP278" s="3">
        <v>3294</v>
      </c>
      <c r="AR278" s="3">
        <f t="shared" si="45"/>
        <v>36952</v>
      </c>
      <c r="AS278" s="3">
        <f t="shared" si="46"/>
        <v>28345</v>
      </c>
      <c r="AT278" s="3">
        <f t="shared" si="47"/>
        <v>34685</v>
      </c>
      <c r="AU278" s="3">
        <f t="shared" si="48"/>
        <v>50404</v>
      </c>
      <c r="AV278" s="3">
        <f t="shared" si="49"/>
        <v>27204</v>
      </c>
      <c r="AW278" s="3">
        <f t="shared" si="50"/>
        <v>36877</v>
      </c>
      <c r="AX278" s="3">
        <f t="shared" si="51"/>
        <v>206047</v>
      </c>
      <c r="AY278" s="3">
        <f t="shared" si="52"/>
        <v>8352</v>
      </c>
      <c r="AZ278" s="3">
        <f t="shared" si="53"/>
        <v>19807</v>
      </c>
      <c r="BA278" s="3">
        <f t="shared" si="54"/>
        <v>9514</v>
      </c>
      <c r="BB278" s="3">
        <f t="shared" si="55"/>
        <v>368893</v>
      </c>
    </row>
    <row r="279" spans="1:54" x14ac:dyDescent="0.25">
      <c r="A279" t="s">
        <v>1022</v>
      </c>
      <c r="B279" s="21">
        <v>3.87</v>
      </c>
      <c r="C279" s="21">
        <v>2.1800000000000002</v>
      </c>
      <c r="D279" s="35">
        <v>1.6847826086956521</v>
      </c>
      <c r="E279" s="3">
        <v>193661</v>
      </c>
      <c r="F279" s="3">
        <v>303689</v>
      </c>
      <c r="G279" s="3">
        <v>589162</v>
      </c>
      <c r="H279" s="3">
        <v>591127</v>
      </c>
      <c r="I279" s="4">
        <v>-2</v>
      </c>
      <c r="J279" s="3"/>
      <c r="K279" s="3">
        <v>14303</v>
      </c>
      <c r="L279" s="3">
        <v>783</v>
      </c>
      <c r="M279" s="3">
        <v>10520</v>
      </c>
      <c r="N279" s="3">
        <v>5090</v>
      </c>
      <c r="O279" s="3">
        <v>18936</v>
      </c>
      <c r="P279" s="3">
        <v>7072</v>
      </c>
      <c r="Q279" s="3">
        <v>19130</v>
      </c>
      <c r="R279" s="3">
        <v>13715</v>
      </c>
      <c r="S279" s="3">
        <v>10897</v>
      </c>
      <c r="T279" s="3">
        <v>77644</v>
      </c>
      <c r="U279" s="3">
        <v>56959</v>
      </c>
      <c r="V279" s="3">
        <v>3659</v>
      </c>
      <c r="W279" s="3">
        <v>619</v>
      </c>
      <c r="X279" s="3">
        <v>3234</v>
      </c>
      <c r="Y279" s="3">
        <v>12697</v>
      </c>
      <c r="Z279" s="3">
        <v>6094</v>
      </c>
      <c r="AA279" s="3">
        <v>2041</v>
      </c>
      <c r="AB279" s="3">
        <v>5810</v>
      </c>
      <c r="AC279" s="3">
        <v>27576</v>
      </c>
      <c r="AD279" s="3">
        <v>25511</v>
      </c>
      <c r="AE279" s="3">
        <v>15774</v>
      </c>
      <c r="AF279" s="3">
        <v>6548</v>
      </c>
      <c r="AG279" s="3">
        <v>32644</v>
      </c>
      <c r="AH279" s="3">
        <v>13832</v>
      </c>
      <c r="AI279" s="3">
        <v>26834</v>
      </c>
      <c r="AJ279" s="3">
        <v>128011</v>
      </c>
      <c r="AK279" s="3">
        <v>88933</v>
      </c>
      <c r="AL279" s="3">
        <v>5974</v>
      </c>
      <c r="AM279" s="3">
        <v>9925</v>
      </c>
      <c r="AN279" s="3">
        <v>5132</v>
      </c>
      <c r="AO279" s="3">
        <v>7265</v>
      </c>
      <c r="AP279" s="3">
        <v>3333</v>
      </c>
      <c r="AR279" s="3">
        <f t="shared" si="45"/>
        <v>38096</v>
      </c>
      <c r="AS279" s="3">
        <f t="shared" si="46"/>
        <v>30601</v>
      </c>
      <c r="AT279" s="3">
        <f t="shared" si="47"/>
        <v>34710</v>
      </c>
      <c r="AU279" s="3">
        <f t="shared" si="48"/>
        <v>51774</v>
      </c>
      <c r="AV279" s="3">
        <f t="shared" si="49"/>
        <v>27547</v>
      </c>
      <c r="AW279" s="3">
        <f t="shared" si="50"/>
        <v>37731</v>
      </c>
      <c r="AX279" s="3">
        <f t="shared" si="51"/>
        <v>205655</v>
      </c>
      <c r="AY279" s="3">
        <f t="shared" si="52"/>
        <v>8366</v>
      </c>
      <c r="AZ279" s="3">
        <f t="shared" si="53"/>
        <v>19962</v>
      </c>
      <c r="BA279" s="3">
        <f t="shared" si="54"/>
        <v>9427</v>
      </c>
      <c r="BB279" s="3">
        <f t="shared" si="55"/>
        <v>371006</v>
      </c>
    </row>
    <row r="280" spans="1:54" x14ac:dyDescent="0.25">
      <c r="A280" t="s">
        <v>1023</v>
      </c>
      <c r="B280" s="21">
        <v>4.08</v>
      </c>
      <c r="C280" s="21">
        <v>2.25</v>
      </c>
      <c r="D280" s="35">
        <v>1.9090909090909092</v>
      </c>
      <c r="E280" s="3">
        <v>193282</v>
      </c>
      <c r="F280" s="3">
        <v>306856</v>
      </c>
      <c r="G280" s="3">
        <v>588050</v>
      </c>
      <c r="H280" s="3">
        <v>595452</v>
      </c>
      <c r="I280" s="4" t="e">
        <v>#N/A</v>
      </c>
      <c r="J280" s="3"/>
      <c r="K280" s="3">
        <v>14272</v>
      </c>
      <c r="L280" s="3">
        <v>983</v>
      </c>
      <c r="M280" s="3">
        <v>10403</v>
      </c>
      <c r="N280" s="3">
        <v>5043</v>
      </c>
      <c r="O280" s="3">
        <v>18629</v>
      </c>
      <c r="P280" s="3">
        <v>6980</v>
      </c>
      <c r="Q280" s="3">
        <v>18903</v>
      </c>
      <c r="R280" s="3">
        <v>13615</v>
      </c>
      <c r="S280" s="3">
        <v>11050</v>
      </c>
      <c r="T280" s="3">
        <v>77813</v>
      </c>
      <c r="U280" s="3">
        <v>57228</v>
      </c>
      <c r="V280" s="3">
        <v>3575</v>
      </c>
      <c r="W280" s="3">
        <v>603</v>
      </c>
      <c r="X280" s="3">
        <v>3237</v>
      </c>
      <c r="Y280" s="3">
        <v>12670</v>
      </c>
      <c r="Z280" s="3">
        <v>6062</v>
      </c>
      <c r="AA280" s="3">
        <v>2050</v>
      </c>
      <c r="AB280" s="3">
        <v>7153</v>
      </c>
      <c r="AC280" s="3">
        <v>26865</v>
      </c>
      <c r="AD280" s="3">
        <v>25755</v>
      </c>
      <c r="AE280" s="3">
        <v>15692</v>
      </c>
      <c r="AF280" s="3">
        <v>6482</v>
      </c>
      <c r="AG280" s="3">
        <v>34011</v>
      </c>
      <c r="AH280" s="3">
        <v>14081</v>
      </c>
      <c r="AI280" s="3">
        <v>28131</v>
      </c>
      <c r="AJ280" s="3">
        <v>128647</v>
      </c>
      <c r="AK280" s="3">
        <v>89410</v>
      </c>
      <c r="AL280" s="3">
        <v>5819</v>
      </c>
      <c r="AM280" s="3">
        <v>8931</v>
      </c>
      <c r="AN280" s="3">
        <v>5076</v>
      </c>
      <c r="AO280" s="3">
        <v>7098</v>
      </c>
      <c r="AP280" s="3">
        <v>3365</v>
      </c>
      <c r="AR280" s="3">
        <f t="shared" si="45"/>
        <v>37268</v>
      </c>
      <c r="AS280" s="3">
        <f t="shared" si="46"/>
        <v>30798</v>
      </c>
      <c r="AT280" s="3">
        <f t="shared" si="47"/>
        <v>34321</v>
      </c>
      <c r="AU280" s="3">
        <f t="shared" si="48"/>
        <v>52914</v>
      </c>
      <c r="AV280" s="3">
        <f t="shared" si="49"/>
        <v>27696</v>
      </c>
      <c r="AW280" s="3">
        <f t="shared" si="50"/>
        <v>39181</v>
      </c>
      <c r="AX280" s="3">
        <f t="shared" si="51"/>
        <v>206460</v>
      </c>
      <c r="AY280" s="3">
        <f t="shared" si="52"/>
        <v>8313</v>
      </c>
      <c r="AZ280" s="3">
        <f t="shared" si="53"/>
        <v>19768</v>
      </c>
      <c r="BA280" s="3">
        <f t="shared" si="54"/>
        <v>9427</v>
      </c>
      <c r="BB280" s="3">
        <f t="shared" si="55"/>
        <v>373293</v>
      </c>
    </row>
    <row r="281" spans="1:54" x14ac:dyDescent="0.25">
      <c r="A281" t="s">
        <v>1024</v>
      </c>
      <c r="B281" s="21">
        <v>4.33</v>
      </c>
      <c r="C281" s="21">
        <v>2.29</v>
      </c>
      <c r="D281" s="35">
        <v>2.25</v>
      </c>
      <c r="E281" s="3">
        <v>190977</v>
      </c>
      <c r="F281" s="3">
        <v>301919</v>
      </c>
      <c r="G281" s="3">
        <v>586304</v>
      </c>
      <c r="H281" s="3">
        <v>586683</v>
      </c>
      <c r="I281" s="4">
        <v>-3</v>
      </c>
      <c r="J281" s="3"/>
      <c r="K281" s="3">
        <v>14204</v>
      </c>
      <c r="L281" s="3">
        <v>752</v>
      </c>
      <c r="M281" s="3">
        <v>10119</v>
      </c>
      <c r="N281" s="3">
        <v>4878</v>
      </c>
      <c r="O281" s="3">
        <v>18223</v>
      </c>
      <c r="P281" s="3">
        <v>6847</v>
      </c>
      <c r="Q281" s="3">
        <v>18811</v>
      </c>
      <c r="R281" s="3">
        <v>13414</v>
      </c>
      <c r="S281" s="3">
        <v>10608</v>
      </c>
      <c r="T281" s="3">
        <v>77616</v>
      </c>
      <c r="U281" s="3">
        <v>57305</v>
      </c>
      <c r="V281" s="3">
        <v>3482</v>
      </c>
      <c r="W281" s="3">
        <v>517</v>
      </c>
      <c r="X281" s="3">
        <v>3140</v>
      </c>
      <c r="Y281" s="3">
        <v>12703</v>
      </c>
      <c r="Z281" s="3">
        <v>5991</v>
      </c>
      <c r="AA281" s="3">
        <v>2029</v>
      </c>
      <c r="AB281" s="3">
        <v>5106</v>
      </c>
      <c r="AC281" s="3">
        <v>25681</v>
      </c>
      <c r="AD281" s="3">
        <v>25885</v>
      </c>
      <c r="AE281" s="3">
        <v>15570</v>
      </c>
      <c r="AF281" s="3">
        <v>6402</v>
      </c>
      <c r="AG281" s="3">
        <v>32751</v>
      </c>
      <c r="AH281" s="3">
        <v>14021</v>
      </c>
      <c r="AI281" s="3">
        <v>26279</v>
      </c>
      <c r="AJ281" s="3">
        <v>129950</v>
      </c>
      <c r="AK281" s="3">
        <v>90077</v>
      </c>
      <c r="AL281" s="3">
        <v>5742</v>
      </c>
      <c r="AM281" s="3">
        <v>9548</v>
      </c>
      <c r="AN281" s="3">
        <v>4768</v>
      </c>
      <c r="AO281" s="3">
        <v>6830</v>
      </c>
      <c r="AP281" s="3">
        <v>3501</v>
      </c>
      <c r="AR281" s="3">
        <f t="shared" si="45"/>
        <v>35800</v>
      </c>
      <c r="AS281" s="3">
        <f t="shared" si="46"/>
        <v>30763</v>
      </c>
      <c r="AT281" s="3">
        <f t="shared" si="47"/>
        <v>33793</v>
      </c>
      <c r="AU281" s="3">
        <f t="shared" si="48"/>
        <v>51562</v>
      </c>
      <c r="AV281" s="3">
        <f t="shared" si="49"/>
        <v>27435</v>
      </c>
      <c r="AW281" s="3">
        <f t="shared" si="50"/>
        <v>36887</v>
      </c>
      <c r="AX281" s="3">
        <f t="shared" si="51"/>
        <v>207566</v>
      </c>
      <c r="AY281" s="3">
        <f t="shared" si="52"/>
        <v>7908</v>
      </c>
      <c r="AZ281" s="3">
        <f t="shared" si="53"/>
        <v>19533</v>
      </c>
      <c r="BA281" s="3">
        <f t="shared" si="54"/>
        <v>9492</v>
      </c>
      <c r="BB281" s="3">
        <f t="shared" si="55"/>
        <v>370448</v>
      </c>
    </row>
    <row r="282" spans="1:54" x14ac:dyDescent="0.25">
      <c r="A282" t="s">
        <v>1025</v>
      </c>
      <c r="B282" s="21">
        <v>4.82</v>
      </c>
      <c r="C282" s="21">
        <v>2.39</v>
      </c>
      <c r="D282" s="35">
        <v>2.9318181818181817</v>
      </c>
      <c r="E282" s="3">
        <v>189860</v>
      </c>
      <c r="F282" s="3">
        <v>302654</v>
      </c>
      <c r="G282" s="3">
        <v>579762</v>
      </c>
      <c r="H282" s="3">
        <v>586328</v>
      </c>
      <c r="I282" s="4">
        <v>-3</v>
      </c>
      <c r="J282" s="3"/>
      <c r="K282" s="3">
        <v>14118</v>
      </c>
      <c r="L282" s="3">
        <v>814</v>
      </c>
      <c r="M282" s="3">
        <v>10102</v>
      </c>
      <c r="N282" s="3">
        <v>4928</v>
      </c>
      <c r="O282" s="3">
        <v>17935</v>
      </c>
      <c r="P282" s="3">
        <v>6673</v>
      </c>
      <c r="Q282" s="3">
        <v>18403</v>
      </c>
      <c r="R282" s="3">
        <v>13421</v>
      </c>
      <c r="S282" s="3">
        <v>10360</v>
      </c>
      <c r="T282" s="3">
        <v>77609</v>
      </c>
      <c r="U282" s="3">
        <v>57462</v>
      </c>
      <c r="V282" s="3">
        <v>3458</v>
      </c>
      <c r="W282" s="3">
        <v>517</v>
      </c>
      <c r="X282" s="3">
        <v>3109</v>
      </c>
      <c r="Y282" s="3">
        <v>12629</v>
      </c>
      <c r="Z282" s="3">
        <v>5915</v>
      </c>
      <c r="AA282" s="3">
        <v>2002</v>
      </c>
      <c r="AB282" s="3">
        <v>5172</v>
      </c>
      <c r="AC282" s="3">
        <v>25797</v>
      </c>
      <c r="AD282" s="3">
        <v>26122</v>
      </c>
      <c r="AE282" s="3">
        <v>15596</v>
      </c>
      <c r="AF282" s="3">
        <v>6349</v>
      </c>
      <c r="AG282" s="3">
        <v>32092</v>
      </c>
      <c r="AH282" s="3">
        <v>14056</v>
      </c>
      <c r="AI282" s="3">
        <v>26139</v>
      </c>
      <c r="AJ282" s="3">
        <v>130532</v>
      </c>
      <c r="AK282" s="3">
        <v>90364</v>
      </c>
      <c r="AL282" s="3">
        <v>5830</v>
      </c>
      <c r="AM282" s="3">
        <v>9921</v>
      </c>
      <c r="AN282" s="3">
        <v>4839</v>
      </c>
      <c r="AO282" s="3">
        <v>7025</v>
      </c>
      <c r="AP282" s="3">
        <v>3361</v>
      </c>
      <c r="AR282" s="3">
        <f t="shared" si="45"/>
        <v>35899</v>
      </c>
      <c r="AS282" s="3">
        <f t="shared" si="46"/>
        <v>31050</v>
      </c>
      <c r="AT282" s="3">
        <f t="shared" si="47"/>
        <v>33531</v>
      </c>
      <c r="AU282" s="3">
        <f t="shared" si="48"/>
        <v>50495</v>
      </c>
      <c r="AV282" s="3">
        <f t="shared" si="49"/>
        <v>27477</v>
      </c>
      <c r="AW282" s="3">
        <f t="shared" si="50"/>
        <v>36499</v>
      </c>
      <c r="AX282" s="3">
        <f t="shared" si="51"/>
        <v>208141</v>
      </c>
      <c r="AY282" s="3">
        <f t="shared" si="52"/>
        <v>7948</v>
      </c>
      <c r="AZ282" s="3">
        <f t="shared" si="53"/>
        <v>19654</v>
      </c>
      <c r="BA282" s="3">
        <f t="shared" si="54"/>
        <v>9276</v>
      </c>
      <c r="BB282" s="3">
        <f t="shared" si="55"/>
        <v>369928</v>
      </c>
    </row>
    <row r="283" spans="1:54" x14ac:dyDescent="0.25">
      <c r="A283" t="s">
        <v>1026</v>
      </c>
      <c r="B283" s="21">
        <v>5.14</v>
      </c>
      <c r="C283" s="21">
        <v>2.5099999999999998</v>
      </c>
      <c r="D283" s="35">
        <v>3.2727272727272729</v>
      </c>
      <c r="E283" s="3">
        <v>188482</v>
      </c>
      <c r="F283" s="3">
        <v>308216</v>
      </c>
      <c r="G283" s="3">
        <v>576162</v>
      </c>
      <c r="H283" s="3">
        <v>582157</v>
      </c>
      <c r="I283" s="4" t="e">
        <v>#N/A</v>
      </c>
      <c r="J283" s="3"/>
      <c r="K283" s="3">
        <v>14044</v>
      </c>
      <c r="L283" s="3">
        <v>1041</v>
      </c>
      <c r="M283" s="3">
        <v>10171</v>
      </c>
      <c r="N283" s="3">
        <v>5097</v>
      </c>
      <c r="O283" s="3">
        <v>17456</v>
      </c>
      <c r="P283" s="3">
        <v>6571</v>
      </c>
      <c r="Q283" s="3">
        <v>17949</v>
      </c>
      <c r="R283" s="3">
        <v>13285</v>
      </c>
      <c r="S283" s="3">
        <v>10130</v>
      </c>
      <c r="T283" s="3">
        <v>77347</v>
      </c>
      <c r="U283" s="3">
        <v>57493</v>
      </c>
      <c r="V283" s="3">
        <v>3389</v>
      </c>
      <c r="W283" s="3">
        <v>481</v>
      </c>
      <c r="X283" s="3">
        <v>3103</v>
      </c>
      <c r="Y283" s="3">
        <v>12579</v>
      </c>
      <c r="Z283" s="3">
        <v>5798</v>
      </c>
      <c r="AA283" s="3">
        <v>2010</v>
      </c>
      <c r="AB283" s="3">
        <v>6560</v>
      </c>
      <c r="AC283" s="3">
        <v>26672</v>
      </c>
      <c r="AD283" s="3">
        <v>26993</v>
      </c>
      <c r="AE283" s="3">
        <v>15242</v>
      </c>
      <c r="AF283" s="3">
        <v>6207</v>
      </c>
      <c r="AG283" s="3">
        <v>32945</v>
      </c>
      <c r="AH283" s="3">
        <v>14104</v>
      </c>
      <c r="AI283" s="3">
        <v>26566</v>
      </c>
      <c r="AJ283" s="3">
        <v>132293</v>
      </c>
      <c r="AK283" s="3">
        <v>91811</v>
      </c>
      <c r="AL283" s="3">
        <v>5472</v>
      </c>
      <c r="AM283" s="3">
        <v>9849</v>
      </c>
      <c r="AN283" s="3">
        <v>4840</v>
      </c>
      <c r="AO283" s="3">
        <v>6846</v>
      </c>
      <c r="AP283" s="3">
        <v>3295</v>
      </c>
      <c r="AR283" s="3">
        <f t="shared" si="45"/>
        <v>36843</v>
      </c>
      <c r="AS283" s="3">
        <f t="shared" si="46"/>
        <v>32090</v>
      </c>
      <c r="AT283" s="3">
        <f t="shared" si="47"/>
        <v>32698</v>
      </c>
      <c r="AU283" s="3">
        <f t="shared" si="48"/>
        <v>50894</v>
      </c>
      <c r="AV283" s="3">
        <f t="shared" si="49"/>
        <v>27389</v>
      </c>
      <c r="AW283" s="3">
        <f t="shared" si="50"/>
        <v>36696</v>
      </c>
      <c r="AX283" s="3">
        <f t="shared" si="51"/>
        <v>209640</v>
      </c>
      <c r="AY283" s="3">
        <f t="shared" si="52"/>
        <v>7943</v>
      </c>
      <c r="AZ283" s="3">
        <f t="shared" si="53"/>
        <v>19425</v>
      </c>
      <c r="BA283" s="3">
        <f t="shared" si="54"/>
        <v>9093</v>
      </c>
      <c r="BB283" s="3">
        <f t="shared" si="55"/>
        <v>371410</v>
      </c>
    </row>
    <row r="284" spans="1:54" x14ac:dyDescent="0.25">
      <c r="A284" t="s">
        <v>1027</v>
      </c>
      <c r="B284" s="21">
        <v>5.3</v>
      </c>
      <c r="C284" s="21">
        <v>2.5499999999999998</v>
      </c>
      <c r="D284" s="35">
        <v>3.5</v>
      </c>
      <c r="E284" s="3">
        <v>185955</v>
      </c>
      <c r="F284" s="3">
        <v>300380</v>
      </c>
      <c r="G284" s="3">
        <v>578613</v>
      </c>
      <c r="H284" s="3">
        <v>571788</v>
      </c>
      <c r="I284" s="4">
        <v>-3</v>
      </c>
      <c r="J284" s="3"/>
      <c r="K284" s="3">
        <v>13931</v>
      </c>
      <c r="L284" s="3">
        <v>890</v>
      </c>
      <c r="M284" s="3">
        <v>9930</v>
      </c>
      <c r="N284" s="3">
        <v>4703</v>
      </c>
      <c r="O284" s="3">
        <v>17207</v>
      </c>
      <c r="P284" s="3">
        <v>6467</v>
      </c>
      <c r="Q284" s="3">
        <v>17570</v>
      </c>
      <c r="R284" s="3">
        <v>13068</v>
      </c>
      <c r="S284" s="3">
        <v>10015</v>
      </c>
      <c r="T284" s="3">
        <v>77038</v>
      </c>
      <c r="U284" s="3">
        <v>57563</v>
      </c>
      <c r="V284" s="3">
        <v>3365</v>
      </c>
      <c r="W284" s="3">
        <v>509</v>
      </c>
      <c r="X284" s="3">
        <v>3065</v>
      </c>
      <c r="Y284" s="3">
        <v>12383</v>
      </c>
      <c r="Z284" s="3">
        <v>5645</v>
      </c>
      <c r="AA284" s="3">
        <v>1984</v>
      </c>
      <c r="AB284" s="3">
        <v>5522</v>
      </c>
      <c r="AC284" s="3">
        <v>26072</v>
      </c>
      <c r="AD284" s="3">
        <v>24561</v>
      </c>
      <c r="AE284" s="3">
        <v>15609</v>
      </c>
      <c r="AF284" s="3">
        <v>6147</v>
      </c>
      <c r="AG284" s="3">
        <v>31008</v>
      </c>
      <c r="AH284" s="3">
        <v>14040</v>
      </c>
      <c r="AI284" s="3">
        <v>26588</v>
      </c>
      <c r="AJ284" s="3">
        <v>131310</v>
      </c>
      <c r="AK284" s="3">
        <v>91813</v>
      </c>
      <c r="AL284" s="3">
        <v>5407</v>
      </c>
      <c r="AM284" s="3">
        <v>8893</v>
      </c>
      <c r="AN284" s="3">
        <v>4730</v>
      </c>
      <c r="AO284" s="3">
        <v>6922</v>
      </c>
      <c r="AP284" s="3">
        <v>3142</v>
      </c>
      <c r="AR284" s="3">
        <f t="shared" si="45"/>
        <v>36002</v>
      </c>
      <c r="AS284" s="3">
        <f t="shared" si="46"/>
        <v>29264</v>
      </c>
      <c r="AT284" s="3">
        <f t="shared" si="47"/>
        <v>32816</v>
      </c>
      <c r="AU284" s="3">
        <f t="shared" si="48"/>
        <v>48578</v>
      </c>
      <c r="AV284" s="3">
        <f t="shared" si="49"/>
        <v>27108</v>
      </c>
      <c r="AW284" s="3">
        <f t="shared" si="50"/>
        <v>36603</v>
      </c>
      <c r="AX284" s="3">
        <f t="shared" si="51"/>
        <v>208348</v>
      </c>
      <c r="AY284" s="3">
        <f t="shared" si="52"/>
        <v>7795</v>
      </c>
      <c r="AZ284" s="3">
        <f t="shared" si="53"/>
        <v>19305</v>
      </c>
      <c r="BA284" s="3">
        <f t="shared" si="54"/>
        <v>8787</v>
      </c>
      <c r="BB284" s="3">
        <f t="shared" si="55"/>
        <v>365926</v>
      </c>
    </row>
    <row r="285" spans="1:54" x14ac:dyDescent="0.25">
      <c r="A285" t="s">
        <v>1029</v>
      </c>
      <c r="B285" s="21">
        <v>5.65</v>
      </c>
      <c r="C285" s="21">
        <v>2.65</v>
      </c>
      <c r="D285" s="35">
        <v>3.9750000000000001</v>
      </c>
      <c r="E285" s="3">
        <v>185544</v>
      </c>
      <c r="F285" s="3">
        <v>300845</v>
      </c>
      <c r="G285" s="3">
        <v>575731</v>
      </c>
      <c r="H285" s="3">
        <v>565605</v>
      </c>
      <c r="I285" s="4">
        <v>-3</v>
      </c>
      <c r="J285" s="3"/>
      <c r="K285" s="3">
        <v>13871</v>
      </c>
      <c r="L285" s="3">
        <v>883</v>
      </c>
      <c r="M285" s="3">
        <v>10016</v>
      </c>
      <c r="N285" s="3">
        <v>4860</v>
      </c>
      <c r="O285" s="3">
        <v>17129</v>
      </c>
      <c r="P285" s="3">
        <v>6430</v>
      </c>
      <c r="Q285" s="3">
        <v>17412</v>
      </c>
      <c r="R285" s="3">
        <v>13093</v>
      </c>
      <c r="S285" s="3">
        <v>10149</v>
      </c>
      <c r="T285" s="3">
        <v>76646</v>
      </c>
      <c r="U285" s="3">
        <v>57330</v>
      </c>
      <c r="V285" s="3">
        <v>3302</v>
      </c>
      <c r="W285" s="3">
        <v>513</v>
      </c>
      <c r="X285" s="3">
        <v>3032</v>
      </c>
      <c r="Y285" s="3">
        <v>12338</v>
      </c>
      <c r="Z285" s="3">
        <v>5602</v>
      </c>
      <c r="AA285" s="3">
        <v>1947</v>
      </c>
      <c r="AB285" s="3">
        <v>5913</v>
      </c>
      <c r="AC285" s="3">
        <v>26137</v>
      </c>
      <c r="AD285" s="3">
        <v>25077</v>
      </c>
      <c r="AE285" s="3">
        <v>15586</v>
      </c>
      <c r="AF285" s="3">
        <v>6145</v>
      </c>
      <c r="AG285" s="3">
        <v>31372</v>
      </c>
      <c r="AH285" s="3">
        <v>14175</v>
      </c>
      <c r="AI285" s="3">
        <v>26458</v>
      </c>
      <c r="AJ285" s="3">
        <v>131284</v>
      </c>
      <c r="AK285" s="3">
        <v>91902</v>
      </c>
      <c r="AL285" s="3">
        <v>5278</v>
      </c>
      <c r="AM285" s="3">
        <v>7956</v>
      </c>
      <c r="AN285" s="3">
        <v>4686</v>
      </c>
      <c r="AO285" s="3">
        <v>7148</v>
      </c>
      <c r="AP285" s="3">
        <v>3106</v>
      </c>
      <c r="AR285" s="3">
        <f t="shared" si="45"/>
        <v>36153</v>
      </c>
      <c r="AS285" s="3">
        <f t="shared" si="46"/>
        <v>29937</v>
      </c>
      <c r="AT285" s="3">
        <f t="shared" si="47"/>
        <v>32715</v>
      </c>
      <c r="AU285" s="3">
        <f t="shared" si="48"/>
        <v>48784</v>
      </c>
      <c r="AV285" s="3">
        <f t="shared" si="49"/>
        <v>27268</v>
      </c>
      <c r="AW285" s="3">
        <f t="shared" si="50"/>
        <v>36607</v>
      </c>
      <c r="AX285" s="3">
        <f t="shared" si="51"/>
        <v>207930</v>
      </c>
      <c r="AY285" s="3">
        <f t="shared" si="52"/>
        <v>7718</v>
      </c>
      <c r="AZ285" s="3">
        <f t="shared" si="53"/>
        <v>19486</v>
      </c>
      <c r="BA285" s="3">
        <f t="shared" si="54"/>
        <v>8708</v>
      </c>
      <c r="BB285" s="3">
        <f t="shared" si="55"/>
        <v>364970</v>
      </c>
    </row>
    <row r="286" spans="1:54" x14ac:dyDescent="0.25">
      <c r="A286" t="s">
        <v>1030</v>
      </c>
      <c r="B286" s="21">
        <v>5.79</v>
      </c>
      <c r="C286" s="21">
        <v>2.75</v>
      </c>
      <c r="D286" s="35">
        <v>4.0760869565217392</v>
      </c>
      <c r="E286" s="3">
        <v>184746</v>
      </c>
      <c r="F286" s="3">
        <v>305775</v>
      </c>
      <c r="G286" s="3">
        <v>570773</v>
      </c>
      <c r="H286" s="3">
        <v>568475</v>
      </c>
      <c r="I286" s="4" t="e">
        <v>#N/A</v>
      </c>
      <c r="J286" s="3"/>
      <c r="K286" s="3">
        <v>13907</v>
      </c>
      <c r="L286" s="3">
        <v>980</v>
      </c>
      <c r="M286" s="3">
        <v>9989</v>
      </c>
      <c r="N286" s="3">
        <v>4910</v>
      </c>
      <c r="O286" s="3">
        <v>16729</v>
      </c>
      <c r="P286" s="3">
        <v>6302</v>
      </c>
      <c r="Q286" s="3">
        <v>17214</v>
      </c>
      <c r="R286" s="3">
        <v>13022</v>
      </c>
      <c r="S286" s="3">
        <v>9953</v>
      </c>
      <c r="T286" s="3">
        <v>76455</v>
      </c>
      <c r="U286" s="3">
        <v>57365</v>
      </c>
      <c r="V286" s="3">
        <v>3258</v>
      </c>
      <c r="W286" s="3">
        <v>603</v>
      </c>
      <c r="X286" s="3">
        <v>3026</v>
      </c>
      <c r="Y286" s="3">
        <v>12425</v>
      </c>
      <c r="Z286" s="3">
        <v>5533</v>
      </c>
      <c r="AA286" s="3">
        <v>1964</v>
      </c>
      <c r="AB286" s="3">
        <v>6274</v>
      </c>
      <c r="AC286" s="3">
        <v>25438</v>
      </c>
      <c r="AD286" s="3">
        <v>26453</v>
      </c>
      <c r="AE286" s="3">
        <v>16003</v>
      </c>
      <c r="AF286" s="3">
        <v>6310</v>
      </c>
      <c r="AG286" s="3">
        <v>32236</v>
      </c>
      <c r="AH286" s="3">
        <v>14107</v>
      </c>
      <c r="AI286" s="3">
        <v>26374</v>
      </c>
      <c r="AJ286" s="3">
        <v>131955</v>
      </c>
      <c r="AK286" s="3">
        <v>92577</v>
      </c>
      <c r="AL286" s="3">
        <v>5182</v>
      </c>
      <c r="AM286" s="3">
        <v>9814</v>
      </c>
      <c r="AN286" s="3">
        <v>4671</v>
      </c>
      <c r="AO286" s="3">
        <v>7050</v>
      </c>
      <c r="AP286" s="3">
        <v>3436</v>
      </c>
      <c r="AR286" s="3">
        <f t="shared" si="45"/>
        <v>35427</v>
      </c>
      <c r="AS286" s="3">
        <f t="shared" si="46"/>
        <v>31363</v>
      </c>
      <c r="AT286" s="3">
        <f t="shared" si="47"/>
        <v>32732</v>
      </c>
      <c r="AU286" s="3">
        <f t="shared" si="48"/>
        <v>49450</v>
      </c>
      <c r="AV286" s="3">
        <f t="shared" si="49"/>
        <v>27129</v>
      </c>
      <c r="AW286" s="3">
        <f t="shared" si="50"/>
        <v>36327</v>
      </c>
      <c r="AX286" s="3">
        <f t="shared" si="51"/>
        <v>208410</v>
      </c>
      <c r="AY286" s="3">
        <f t="shared" si="52"/>
        <v>7697</v>
      </c>
      <c r="AZ286" s="3">
        <f t="shared" si="53"/>
        <v>19475</v>
      </c>
      <c r="BA286" s="3">
        <f t="shared" si="54"/>
        <v>8969</v>
      </c>
      <c r="BB286" s="3">
        <f t="shared" si="55"/>
        <v>367874</v>
      </c>
    </row>
    <row r="287" spans="1:54" x14ac:dyDescent="0.25">
      <c r="A287" t="s">
        <v>1046</v>
      </c>
      <c r="B287" s="21">
        <v>5.91</v>
      </c>
      <c r="C287" s="21">
        <v>2.76</v>
      </c>
      <c r="D287" s="35">
        <v>4.25</v>
      </c>
      <c r="E287" s="3">
        <v>183259</v>
      </c>
      <c r="F287" s="3">
        <v>304427</v>
      </c>
      <c r="G287" s="3">
        <v>568313</v>
      </c>
      <c r="H287" s="3">
        <v>558898</v>
      </c>
      <c r="I287" s="4">
        <v>-3</v>
      </c>
      <c r="J287" s="3"/>
      <c r="K287" s="3">
        <v>13824</v>
      </c>
      <c r="L287" s="3">
        <v>832</v>
      </c>
      <c r="M287" s="3">
        <v>10010</v>
      </c>
      <c r="N287" s="3">
        <v>4901</v>
      </c>
      <c r="O287" s="3">
        <v>16554</v>
      </c>
      <c r="P287" s="3">
        <v>6360</v>
      </c>
      <c r="Q287" s="3">
        <v>17038</v>
      </c>
      <c r="R287" s="3">
        <v>12904</v>
      </c>
      <c r="S287" s="3">
        <v>9699</v>
      </c>
      <c r="T287" s="3">
        <v>76024</v>
      </c>
      <c r="U287" s="3">
        <v>57124</v>
      </c>
      <c r="V287" s="3">
        <v>3250</v>
      </c>
      <c r="W287" s="3">
        <v>592</v>
      </c>
      <c r="X287" s="3">
        <v>2999</v>
      </c>
      <c r="Y287" s="3">
        <v>12409</v>
      </c>
      <c r="Z287" s="3">
        <v>5473</v>
      </c>
      <c r="AA287" s="3">
        <v>1970</v>
      </c>
      <c r="AB287" s="3">
        <v>5577</v>
      </c>
      <c r="AC287" s="3">
        <v>26129</v>
      </c>
      <c r="AD287" s="3">
        <v>25827</v>
      </c>
      <c r="AE287" s="3">
        <v>16170</v>
      </c>
      <c r="AF287" s="3">
        <v>6415</v>
      </c>
      <c r="AG287" s="3">
        <v>30499</v>
      </c>
      <c r="AH287" s="3">
        <v>14068</v>
      </c>
      <c r="AI287" s="3">
        <v>26221</v>
      </c>
      <c r="AJ287" s="3">
        <v>132623</v>
      </c>
      <c r="AK287" s="3">
        <v>93674</v>
      </c>
      <c r="AL287" s="3">
        <v>5261</v>
      </c>
      <c r="AM287" s="3">
        <v>10014</v>
      </c>
      <c r="AN287" s="3">
        <v>4695</v>
      </c>
      <c r="AO287" s="3">
        <v>7155</v>
      </c>
      <c r="AP287" s="3">
        <v>3480</v>
      </c>
      <c r="AR287" s="3">
        <f t="shared" si="45"/>
        <v>36139</v>
      </c>
      <c r="AS287" s="3">
        <f t="shared" si="46"/>
        <v>30728</v>
      </c>
      <c r="AT287" s="3">
        <f t="shared" si="47"/>
        <v>32724</v>
      </c>
      <c r="AU287" s="3">
        <f t="shared" si="48"/>
        <v>47537</v>
      </c>
      <c r="AV287" s="3">
        <f t="shared" si="49"/>
        <v>26972</v>
      </c>
      <c r="AW287" s="3">
        <f t="shared" si="50"/>
        <v>35920</v>
      </c>
      <c r="AX287" s="3">
        <f t="shared" si="51"/>
        <v>208647</v>
      </c>
      <c r="AY287" s="3">
        <f t="shared" si="52"/>
        <v>7694</v>
      </c>
      <c r="AZ287" s="3">
        <f t="shared" si="53"/>
        <v>19564</v>
      </c>
      <c r="BA287" s="3">
        <f t="shared" si="54"/>
        <v>8953</v>
      </c>
      <c r="BB287" s="3">
        <f t="shared" si="55"/>
        <v>365893</v>
      </c>
    </row>
    <row r="288" spans="1:54" x14ac:dyDescent="0.25">
      <c r="A288" t="s">
        <v>1047</v>
      </c>
      <c r="B288" s="21">
        <v>6.04</v>
      </c>
      <c r="C288" s="21">
        <v>2.83</v>
      </c>
      <c r="D288" s="35">
        <v>4.4130434782608692</v>
      </c>
      <c r="E288" s="3">
        <v>182388</v>
      </c>
      <c r="F288" s="3">
        <v>305821</v>
      </c>
      <c r="G288" s="3">
        <v>566071</v>
      </c>
      <c r="H288" s="3">
        <v>563218</v>
      </c>
      <c r="I288" s="4">
        <v>-3</v>
      </c>
      <c r="J288" s="3"/>
      <c r="K288" s="3">
        <v>13768</v>
      </c>
      <c r="L288" s="3">
        <v>851</v>
      </c>
      <c r="M288" s="3">
        <v>9853</v>
      </c>
      <c r="N288" s="3">
        <v>4893</v>
      </c>
      <c r="O288" s="3">
        <v>16401</v>
      </c>
      <c r="P288" s="3">
        <v>6233</v>
      </c>
      <c r="Q288" s="3">
        <v>16814</v>
      </c>
      <c r="R288" s="3">
        <v>12732</v>
      </c>
      <c r="S288" s="3">
        <v>9730</v>
      </c>
      <c r="T288" s="3">
        <v>75973</v>
      </c>
      <c r="U288" s="3">
        <v>57333</v>
      </c>
      <c r="V288" s="3">
        <v>3161</v>
      </c>
      <c r="W288" s="3">
        <v>664</v>
      </c>
      <c r="X288" s="3">
        <v>2975</v>
      </c>
      <c r="Y288" s="3">
        <v>12320</v>
      </c>
      <c r="Z288" s="3">
        <v>5413</v>
      </c>
      <c r="AA288" s="3">
        <v>1960</v>
      </c>
      <c r="AB288" s="3">
        <v>5275</v>
      </c>
      <c r="AC288" s="3">
        <v>25575</v>
      </c>
      <c r="AD288" s="3">
        <v>25952</v>
      </c>
      <c r="AE288" s="3">
        <v>16534</v>
      </c>
      <c r="AF288" s="3">
        <v>6544</v>
      </c>
      <c r="AG288" s="3">
        <v>31447</v>
      </c>
      <c r="AH288" s="3">
        <v>14223</v>
      </c>
      <c r="AI288" s="3">
        <v>26419</v>
      </c>
      <c r="AJ288" s="3">
        <v>133282</v>
      </c>
      <c r="AK288" s="3">
        <v>94405</v>
      </c>
      <c r="AL288" s="3">
        <v>5054</v>
      </c>
      <c r="AM288" s="3">
        <v>9908</v>
      </c>
      <c r="AN288" s="3">
        <v>4622</v>
      </c>
      <c r="AO288" s="3">
        <v>7205</v>
      </c>
      <c r="AP288" s="3">
        <v>3418</v>
      </c>
      <c r="AR288" s="3">
        <f t="shared" si="45"/>
        <v>35428</v>
      </c>
      <c r="AS288" s="3">
        <f t="shared" si="46"/>
        <v>30845</v>
      </c>
      <c r="AT288" s="3">
        <f t="shared" si="47"/>
        <v>32935</v>
      </c>
      <c r="AU288" s="3">
        <f t="shared" si="48"/>
        <v>48261</v>
      </c>
      <c r="AV288" s="3">
        <f t="shared" si="49"/>
        <v>26955</v>
      </c>
      <c r="AW288" s="3">
        <f t="shared" si="50"/>
        <v>36149</v>
      </c>
      <c r="AX288" s="3">
        <f t="shared" si="51"/>
        <v>209255</v>
      </c>
      <c r="AY288" s="3">
        <f t="shared" si="52"/>
        <v>7597</v>
      </c>
      <c r="AZ288" s="3">
        <f t="shared" si="53"/>
        <v>19525</v>
      </c>
      <c r="BA288" s="3">
        <f t="shared" si="54"/>
        <v>8831</v>
      </c>
      <c r="BB288" s="3">
        <f t="shared" si="55"/>
        <v>367145</v>
      </c>
    </row>
    <row r="289" spans="1:54" x14ac:dyDescent="0.25">
      <c r="A289" t="s">
        <v>1048</v>
      </c>
      <c r="B289" s="21">
        <v>6.32</v>
      </c>
      <c r="C289" s="21">
        <v>2.93</v>
      </c>
      <c r="D289" s="35">
        <v>4.6590909090909092</v>
      </c>
      <c r="E289" s="3">
        <v>181079</v>
      </c>
      <c r="F289" s="3">
        <v>301224</v>
      </c>
      <c r="G289" s="3">
        <v>560816</v>
      </c>
      <c r="H289" s="3">
        <v>565088</v>
      </c>
      <c r="I289" s="4" t="e">
        <v>#N/A</v>
      </c>
      <c r="J289" s="3"/>
      <c r="K289" s="3">
        <v>13749</v>
      </c>
      <c r="L289" s="3">
        <v>886</v>
      </c>
      <c r="M289" s="3">
        <v>9807</v>
      </c>
      <c r="N289" s="3">
        <v>4796</v>
      </c>
      <c r="O289" s="3">
        <v>16245</v>
      </c>
      <c r="P289" s="3">
        <v>6274</v>
      </c>
      <c r="Q289" s="3">
        <v>16589</v>
      </c>
      <c r="R289" s="3">
        <v>12573</v>
      </c>
      <c r="S289" s="3">
        <v>9431</v>
      </c>
      <c r="T289" s="3">
        <v>75841</v>
      </c>
      <c r="U289" s="3">
        <v>57474</v>
      </c>
      <c r="V289" s="3">
        <v>3102</v>
      </c>
      <c r="W289" s="3">
        <v>622</v>
      </c>
      <c r="X289" s="3">
        <v>2956</v>
      </c>
      <c r="Y289" s="3">
        <v>12330</v>
      </c>
      <c r="Z289" s="3">
        <v>5254</v>
      </c>
      <c r="AA289" s="3">
        <v>1998</v>
      </c>
      <c r="AB289" s="3">
        <v>5586</v>
      </c>
      <c r="AC289" s="3">
        <v>25053</v>
      </c>
      <c r="AD289" s="3">
        <v>26028</v>
      </c>
      <c r="AE289" s="3">
        <v>16036</v>
      </c>
      <c r="AF289" s="3">
        <v>6391</v>
      </c>
      <c r="AG289" s="3">
        <v>30326</v>
      </c>
      <c r="AH289" s="3">
        <v>14287</v>
      </c>
      <c r="AI289" s="3">
        <v>25534</v>
      </c>
      <c r="AJ289" s="3">
        <v>132602</v>
      </c>
      <c r="AK289" s="3">
        <v>95069</v>
      </c>
      <c r="AL289" s="3">
        <v>4950</v>
      </c>
      <c r="AM289" s="3">
        <v>8878</v>
      </c>
      <c r="AN289" s="3">
        <v>4650</v>
      </c>
      <c r="AO289" s="3">
        <v>7118</v>
      </c>
      <c r="AP289" s="3">
        <v>3129</v>
      </c>
      <c r="AR289" s="3">
        <f t="shared" si="45"/>
        <v>34860</v>
      </c>
      <c r="AS289" s="3">
        <f t="shared" si="46"/>
        <v>30824</v>
      </c>
      <c r="AT289" s="3">
        <f t="shared" si="47"/>
        <v>32281</v>
      </c>
      <c r="AU289" s="3">
        <f t="shared" si="48"/>
        <v>46915</v>
      </c>
      <c r="AV289" s="3">
        <f t="shared" si="49"/>
        <v>26860</v>
      </c>
      <c r="AW289" s="3">
        <f t="shared" si="50"/>
        <v>34965</v>
      </c>
      <c r="AX289" s="3">
        <f t="shared" si="51"/>
        <v>208443</v>
      </c>
      <c r="AY289" s="3">
        <f t="shared" si="52"/>
        <v>7606</v>
      </c>
      <c r="AZ289" s="3">
        <f t="shared" si="53"/>
        <v>19448</v>
      </c>
      <c r="BA289" s="3">
        <f t="shared" si="54"/>
        <v>8383</v>
      </c>
      <c r="BB289" s="3">
        <f t="shared" si="55"/>
        <v>362120</v>
      </c>
    </row>
    <row r="290" spans="1:54" x14ac:dyDescent="0.25">
      <c r="A290" t="s">
        <v>1049</v>
      </c>
      <c r="B290" s="21">
        <v>6.51</v>
      </c>
      <c r="C290" s="21">
        <v>2.98</v>
      </c>
      <c r="D290" s="35">
        <v>5</v>
      </c>
      <c r="E290" s="3">
        <v>179840</v>
      </c>
      <c r="F290" s="3">
        <v>302611</v>
      </c>
      <c r="G290" s="3">
        <v>560802</v>
      </c>
      <c r="H290" s="3">
        <v>559416</v>
      </c>
      <c r="I290" s="4">
        <v>-3</v>
      </c>
      <c r="J290" s="3"/>
      <c r="K290" s="3">
        <v>13712</v>
      </c>
      <c r="L290" s="3">
        <v>787</v>
      </c>
      <c r="M290" s="3">
        <v>9557</v>
      </c>
      <c r="N290" s="3">
        <v>4835</v>
      </c>
      <c r="O290" s="3">
        <v>16106</v>
      </c>
      <c r="P290" s="3">
        <v>6189</v>
      </c>
      <c r="Q290" s="3">
        <v>16393</v>
      </c>
      <c r="R290" s="3">
        <v>12432</v>
      </c>
      <c r="S290" s="3">
        <v>9467</v>
      </c>
      <c r="T290" s="3">
        <v>75544</v>
      </c>
      <c r="U290" s="3">
        <v>57423</v>
      </c>
      <c r="V290" s="3">
        <v>3056</v>
      </c>
      <c r="W290" s="3">
        <v>605</v>
      </c>
      <c r="X290" s="3">
        <v>2969</v>
      </c>
      <c r="Y290" s="3">
        <v>12295</v>
      </c>
      <c r="Z290" s="3">
        <v>5138</v>
      </c>
      <c r="AA290" s="3">
        <v>1994</v>
      </c>
      <c r="AB290" s="3">
        <v>5032</v>
      </c>
      <c r="AC290" s="3">
        <v>24798</v>
      </c>
      <c r="AD290" s="3">
        <v>26706</v>
      </c>
      <c r="AE290" s="3">
        <v>16226</v>
      </c>
      <c r="AF290" s="3">
        <v>6396</v>
      </c>
      <c r="AG290" s="3">
        <v>30068</v>
      </c>
      <c r="AH290" s="3">
        <v>14345</v>
      </c>
      <c r="AI290" s="3">
        <v>25899</v>
      </c>
      <c r="AJ290" s="3">
        <v>133556</v>
      </c>
      <c r="AK290" s="3">
        <v>95385</v>
      </c>
      <c r="AL290" s="3">
        <v>4930</v>
      </c>
      <c r="AM290" s="3">
        <v>8800</v>
      </c>
      <c r="AN290" s="3">
        <v>4871</v>
      </c>
      <c r="AO290" s="3">
        <v>6886</v>
      </c>
      <c r="AP290" s="3">
        <v>3431</v>
      </c>
      <c r="AR290" s="3">
        <f t="shared" si="45"/>
        <v>34355</v>
      </c>
      <c r="AS290" s="3">
        <f t="shared" si="46"/>
        <v>31541</v>
      </c>
      <c r="AT290" s="3">
        <f t="shared" si="47"/>
        <v>32332</v>
      </c>
      <c r="AU290" s="3">
        <f t="shared" si="48"/>
        <v>46461</v>
      </c>
      <c r="AV290" s="3">
        <f t="shared" si="49"/>
        <v>26777</v>
      </c>
      <c r="AW290" s="3">
        <f t="shared" si="50"/>
        <v>35366</v>
      </c>
      <c r="AX290" s="3">
        <f t="shared" si="51"/>
        <v>209100</v>
      </c>
      <c r="AY290" s="3">
        <f t="shared" si="52"/>
        <v>7840</v>
      </c>
      <c r="AZ290" s="3">
        <f t="shared" si="53"/>
        <v>19181</v>
      </c>
      <c r="BA290" s="3">
        <f t="shared" si="54"/>
        <v>8569</v>
      </c>
      <c r="BB290" s="3">
        <f t="shared" si="55"/>
        <v>362699</v>
      </c>
    </row>
    <row r="291" spans="1:54" x14ac:dyDescent="0.25">
      <c r="A291" t="s">
        <v>1050</v>
      </c>
      <c r="B291" s="21">
        <v>6.71</v>
      </c>
      <c r="C291" s="21">
        <v>3.07</v>
      </c>
      <c r="D291" s="35">
        <v>5.2282608695652177</v>
      </c>
      <c r="E291" s="3">
        <v>179198</v>
      </c>
      <c r="F291" s="3">
        <v>304581</v>
      </c>
      <c r="G291" s="3">
        <v>559861</v>
      </c>
      <c r="H291" s="3">
        <v>563901</v>
      </c>
      <c r="I291" s="4">
        <v>-3</v>
      </c>
      <c r="J291" s="3"/>
      <c r="K291" s="3">
        <v>13633</v>
      </c>
      <c r="L291" s="3">
        <v>764</v>
      </c>
      <c r="M291" s="3">
        <v>9485</v>
      </c>
      <c r="N291" s="3">
        <v>4746</v>
      </c>
      <c r="O291" s="3">
        <v>16072</v>
      </c>
      <c r="P291" s="3">
        <v>6231</v>
      </c>
      <c r="Q291" s="3">
        <v>16266</v>
      </c>
      <c r="R291" s="3">
        <v>12359</v>
      </c>
      <c r="S291" s="3">
        <v>9515</v>
      </c>
      <c r="T291" s="3">
        <v>75635</v>
      </c>
      <c r="U291" s="3">
        <v>57560</v>
      </c>
      <c r="V291" s="3">
        <v>3109</v>
      </c>
      <c r="W291" s="3">
        <v>556</v>
      </c>
      <c r="X291" s="3">
        <v>2898</v>
      </c>
      <c r="Y291" s="3">
        <v>12271</v>
      </c>
      <c r="Z291" s="3">
        <v>4999</v>
      </c>
      <c r="AA291" s="3">
        <v>1976</v>
      </c>
      <c r="AB291" s="3">
        <v>5101</v>
      </c>
      <c r="AC291" s="3">
        <v>24610</v>
      </c>
      <c r="AD291" s="3">
        <v>27106</v>
      </c>
      <c r="AE291" s="3">
        <v>16422</v>
      </c>
      <c r="AF291" s="3">
        <v>6505</v>
      </c>
      <c r="AG291" s="3">
        <v>29324</v>
      </c>
      <c r="AH291" s="3">
        <v>14292</v>
      </c>
      <c r="AI291" s="3">
        <v>25968</v>
      </c>
      <c r="AJ291" s="3">
        <v>135360</v>
      </c>
      <c r="AK291" s="3">
        <v>96277</v>
      </c>
      <c r="AL291" s="3">
        <v>5013</v>
      </c>
      <c r="AM291" s="3">
        <v>9034</v>
      </c>
      <c r="AN291" s="3">
        <v>4801</v>
      </c>
      <c r="AO291" s="3">
        <v>7157</v>
      </c>
      <c r="AP291" s="3">
        <v>3429</v>
      </c>
      <c r="AR291" s="3">
        <f t="shared" si="45"/>
        <v>34095</v>
      </c>
      <c r="AS291" s="3">
        <f t="shared" si="46"/>
        <v>31852</v>
      </c>
      <c r="AT291" s="3">
        <f t="shared" si="47"/>
        <v>32494</v>
      </c>
      <c r="AU291" s="3">
        <f t="shared" si="48"/>
        <v>45590</v>
      </c>
      <c r="AV291" s="3">
        <f t="shared" si="49"/>
        <v>26651</v>
      </c>
      <c r="AW291" s="3">
        <f t="shared" si="50"/>
        <v>35483</v>
      </c>
      <c r="AX291" s="3">
        <f t="shared" si="51"/>
        <v>210995</v>
      </c>
      <c r="AY291" s="3">
        <f t="shared" si="52"/>
        <v>7699</v>
      </c>
      <c r="AZ291" s="3">
        <f t="shared" si="53"/>
        <v>19428</v>
      </c>
      <c r="BA291" s="3">
        <f t="shared" si="54"/>
        <v>8428</v>
      </c>
      <c r="BB291" s="3">
        <f t="shared" si="55"/>
        <v>363864</v>
      </c>
    </row>
    <row r="292" spans="1:54" x14ac:dyDescent="0.25">
      <c r="A292" t="s">
        <v>1053</v>
      </c>
      <c r="B292" s="21">
        <v>6.81</v>
      </c>
      <c r="C292" s="21">
        <v>3.16</v>
      </c>
      <c r="D292" s="35">
        <v>5.25</v>
      </c>
      <c r="E292" s="3">
        <v>178686</v>
      </c>
      <c r="F292" s="3">
        <v>309325</v>
      </c>
      <c r="G292" s="3">
        <v>558213</v>
      </c>
      <c r="H292" s="3">
        <v>564014</v>
      </c>
      <c r="I292" s="4" t="e">
        <v>#N/A</v>
      </c>
      <c r="J292" s="3"/>
      <c r="K292" s="3">
        <v>13639</v>
      </c>
      <c r="L292" s="3">
        <v>836</v>
      </c>
      <c r="M292" s="3">
        <v>9440</v>
      </c>
      <c r="N292" s="3">
        <v>4848</v>
      </c>
      <c r="O292" s="3">
        <v>15840</v>
      </c>
      <c r="P292" s="3">
        <v>6195</v>
      </c>
      <c r="Q292" s="3">
        <v>16123</v>
      </c>
      <c r="R292" s="3">
        <v>12340</v>
      </c>
      <c r="S292" s="3">
        <v>9341</v>
      </c>
      <c r="T292" s="3">
        <v>75625</v>
      </c>
      <c r="U292" s="3">
        <v>57677</v>
      </c>
      <c r="V292" s="3">
        <v>3080</v>
      </c>
      <c r="W292" s="3">
        <v>648</v>
      </c>
      <c r="X292" s="3">
        <v>2894</v>
      </c>
      <c r="Y292" s="3">
        <v>12204</v>
      </c>
      <c r="Z292" s="3">
        <v>4908</v>
      </c>
      <c r="AA292" s="3">
        <v>1965</v>
      </c>
      <c r="AB292" s="3">
        <v>5976</v>
      </c>
      <c r="AC292" s="3">
        <v>25440</v>
      </c>
      <c r="AD292" s="3">
        <v>28661</v>
      </c>
      <c r="AE292" s="3">
        <v>16357</v>
      </c>
      <c r="AF292" s="3">
        <v>6466</v>
      </c>
      <c r="AG292" s="3">
        <v>30570</v>
      </c>
      <c r="AH292" s="3">
        <v>14271</v>
      </c>
      <c r="AI292" s="3">
        <v>25478</v>
      </c>
      <c r="AJ292" s="3">
        <v>136265</v>
      </c>
      <c r="AK292" s="3">
        <v>96532</v>
      </c>
      <c r="AL292" s="3">
        <v>5095</v>
      </c>
      <c r="AM292" s="3">
        <v>8997</v>
      </c>
      <c r="AN292" s="3">
        <v>4834</v>
      </c>
      <c r="AO292" s="3">
        <v>6930</v>
      </c>
      <c r="AP292" s="3">
        <v>3582</v>
      </c>
      <c r="AR292" s="3">
        <f t="shared" si="45"/>
        <v>34880</v>
      </c>
      <c r="AS292" s="3">
        <f t="shared" si="46"/>
        <v>33509</v>
      </c>
      <c r="AT292" s="3">
        <f t="shared" si="47"/>
        <v>32197</v>
      </c>
      <c r="AU292" s="3">
        <f t="shared" si="48"/>
        <v>46693</v>
      </c>
      <c r="AV292" s="3">
        <f t="shared" si="49"/>
        <v>26611</v>
      </c>
      <c r="AW292" s="3">
        <f t="shared" si="50"/>
        <v>34819</v>
      </c>
      <c r="AX292" s="3">
        <f t="shared" si="51"/>
        <v>211890</v>
      </c>
      <c r="AY292" s="3">
        <f t="shared" si="52"/>
        <v>7728</v>
      </c>
      <c r="AZ292" s="3">
        <f t="shared" si="53"/>
        <v>19134</v>
      </c>
      <c r="BA292" s="3">
        <f t="shared" si="54"/>
        <v>8490</v>
      </c>
      <c r="BB292" s="3">
        <f t="shared" si="55"/>
        <v>365010</v>
      </c>
    </row>
    <row r="293" spans="1:54" x14ac:dyDescent="0.25">
      <c r="A293" t="s">
        <v>1054</v>
      </c>
      <c r="B293" s="21">
        <v>6.78</v>
      </c>
      <c r="C293" s="21">
        <v>3.22</v>
      </c>
      <c r="D293" s="35">
        <v>5.25</v>
      </c>
      <c r="E293" s="3">
        <v>177489</v>
      </c>
      <c r="F293" s="3">
        <v>310182</v>
      </c>
      <c r="G293" s="3">
        <v>557412</v>
      </c>
      <c r="H293" s="3">
        <v>559452</v>
      </c>
      <c r="I293" s="4">
        <v>-3</v>
      </c>
      <c r="J293" s="3"/>
      <c r="K293" s="3">
        <v>13556</v>
      </c>
      <c r="L293" s="3">
        <v>879</v>
      </c>
      <c r="M293" s="3">
        <v>9351</v>
      </c>
      <c r="N293" s="3">
        <v>4889</v>
      </c>
      <c r="O293" s="3">
        <v>15713</v>
      </c>
      <c r="P293" s="3">
        <v>6162</v>
      </c>
      <c r="Q293" s="3">
        <v>15544</v>
      </c>
      <c r="R293" s="3">
        <v>12079</v>
      </c>
      <c r="S293" s="3">
        <v>9336</v>
      </c>
      <c r="T293" s="3">
        <v>75556</v>
      </c>
      <c r="U293" s="3">
        <v>57756</v>
      </c>
      <c r="V293" s="3">
        <v>3096</v>
      </c>
      <c r="W293" s="3">
        <v>615</v>
      </c>
      <c r="X293" s="3">
        <v>2912</v>
      </c>
      <c r="Y293" s="3">
        <v>12261</v>
      </c>
      <c r="Z293" s="3">
        <v>4798</v>
      </c>
      <c r="AA293" s="3">
        <v>2054</v>
      </c>
      <c r="AB293" s="3">
        <v>5462</v>
      </c>
      <c r="AC293" s="3">
        <v>25426</v>
      </c>
      <c r="AD293" s="3">
        <v>28267</v>
      </c>
      <c r="AE293" s="3">
        <v>16627</v>
      </c>
      <c r="AF293" s="3">
        <v>6457</v>
      </c>
      <c r="AG293" s="3">
        <v>28679</v>
      </c>
      <c r="AH293" s="3">
        <v>14639</v>
      </c>
      <c r="AI293" s="3">
        <v>25763</v>
      </c>
      <c r="AJ293" s="3">
        <v>138544</v>
      </c>
      <c r="AK293" s="3">
        <v>98115</v>
      </c>
      <c r="AL293" s="3">
        <v>5339</v>
      </c>
      <c r="AM293" s="3">
        <v>9214</v>
      </c>
      <c r="AN293" s="3">
        <v>4796</v>
      </c>
      <c r="AO293" s="3">
        <v>6944</v>
      </c>
      <c r="AP293" s="3">
        <v>3767</v>
      </c>
      <c r="AR293" s="3">
        <f t="shared" si="45"/>
        <v>34777</v>
      </c>
      <c r="AS293" s="3">
        <f t="shared" si="46"/>
        <v>33156</v>
      </c>
      <c r="AT293" s="3">
        <f t="shared" si="47"/>
        <v>32340</v>
      </c>
      <c r="AU293" s="3">
        <f t="shared" si="48"/>
        <v>44223</v>
      </c>
      <c r="AV293" s="3">
        <f t="shared" si="49"/>
        <v>26718</v>
      </c>
      <c r="AW293" s="3">
        <f t="shared" si="50"/>
        <v>35099</v>
      </c>
      <c r="AX293" s="3">
        <f t="shared" si="51"/>
        <v>214100</v>
      </c>
      <c r="AY293" s="3">
        <f t="shared" si="52"/>
        <v>7708</v>
      </c>
      <c r="AZ293" s="3">
        <f t="shared" si="53"/>
        <v>19205</v>
      </c>
      <c r="BA293" s="3">
        <f t="shared" si="54"/>
        <v>8565</v>
      </c>
      <c r="BB293" s="3">
        <f t="shared" si="55"/>
        <v>365447</v>
      </c>
    </row>
    <row r="294" spans="1:54" x14ac:dyDescent="0.25">
      <c r="A294" t="s">
        <v>1055</v>
      </c>
      <c r="B294" s="21">
        <v>6.8</v>
      </c>
      <c r="C294" s="21">
        <v>3.28</v>
      </c>
      <c r="D294" s="35">
        <v>5.25</v>
      </c>
      <c r="E294" s="3">
        <v>176678</v>
      </c>
      <c r="F294" s="3">
        <v>308837</v>
      </c>
      <c r="G294" s="3">
        <v>557434</v>
      </c>
      <c r="H294" s="3">
        <v>565616</v>
      </c>
      <c r="I294" s="4">
        <v>-3</v>
      </c>
      <c r="J294" s="3"/>
      <c r="K294" s="3">
        <v>13502</v>
      </c>
      <c r="L294" s="3">
        <v>858</v>
      </c>
      <c r="M294" s="3">
        <v>9177</v>
      </c>
      <c r="N294" s="3">
        <v>4948</v>
      </c>
      <c r="O294" s="3">
        <v>15663</v>
      </c>
      <c r="P294" s="3">
        <v>6168</v>
      </c>
      <c r="Q294" s="3">
        <v>15320</v>
      </c>
      <c r="R294" s="3">
        <v>11917</v>
      </c>
      <c r="S294" s="3">
        <v>9329</v>
      </c>
      <c r="T294" s="3">
        <v>75458</v>
      </c>
      <c r="U294" s="3">
        <v>57814</v>
      </c>
      <c r="V294" s="3">
        <v>3109</v>
      </c>
      <c r="W294" s="3">
        <v>719</v>
      </c>
      <c r="X294" s="3">
        <v>2902</v>
      </c>
      <c r="Y294" s="3">
        <v>12173</v>
      </c>
      <c r="Z294" s="3">
        <v>4713</v>
      </c>
      <c r="AA294" s="3">
        <v>2042</v>
      </c>
      <c r="AB294" s="3">
        <v>5456</v>
      </c>
      <c r="AC294" s="3">
        <v>24741</v>
      </c>
      <c r="AD294" s="3">
        <v>27591</v>
      </c>
      <c r="AE294" s="3">
        <v>16476</v>
      </c>
      <c r="AF294" s="3">
        <v>6402</v>
      </c>
      <c r="AG294" s="3">
        <v>27862</v>
      </c>
      <c r="AH294" s="3">
        <v>14554</v>
      </c>
      <c r="AI294" s="3">
        <v>25749</v>
      </c>
      <c r="AJ294" s="3">
        <v>139693</v>
      </c>
      <c r="AK294" s="3">
        <v>99190</v>
      </c>
      <c r="AL294" s="3">
        <v>5462</v>
      </c>
      <c r="AM294" s="3">
        <v>9016</v>
      </c>
      <c r="AN294" s="3">
        <v>4801</v>
      </c>
      <c r="AO294" s="3">
        <v>7105</v>
      </c>
      <c r="AP294" s="3">
        <v>3752</v>
      </c>
      <c r="AR294" s="3">
        <f t="shared" si="45"/>
        <v>33918</v>
      </c>
      <c r="AS294" s="3">
        <f t="shared" si="46"/>
        <v>32539</v>
      </c>
      <c r="AT294" s="3">
        <f t="shared" si="47"/>
        <v>32139</v>
      </c>
      <c r="AU294" s="3">
        <f t="shared" si="48"/>
        <v>43182</v>
      </c>
      <c r="AV294" s="3">
        <f t="shared" si="49"/>
        <v>26471</v>
      </c>
      <c r="AW294" s="3">
        <f t="shared" si="50"/>
        <v>35078</v>
      </c>
      <c r="AX294" s="3">
        <f t="shared" si="51"/>
        <v>215151</v>
      </c>
      <c r="AY294" s="3">
        <f t="shared" si="52"/>
        <v>7703</v>
      </c>
      <c r="AZ294" s="3">
        <f t="shared" si="53"/>
        <v>19278</v>
      </c>
      <c r="BA294" s="3">
        <f t="shared" si="54"/>
        <v>8465</v>
      </c>
      <c r="BB294" s="3">
        <f t="shared" si="55"/>
        <v>365063</v>
      </c>
    </row>
    <row r="295" spans="1:54" x14ac:dyDescent="0.25">
      <c r="A295" t="s">
        <v>1069</v>
      </c>
      <c r="B295" s="21">
        <v>6.82</v>
      </c>
      <c r="C295" s="21">
        <v>3.37</v>
      </c>
      <c r="D295" s="35">
        <v>5.25</v>
      </c>
      <c r="E295" s="3">
        <v>175361</v>
      </c>
      <c r="F295" s="3">
        <v>311811</v>
      </c>
      <c r="G295" s="3">
        <v>556245</v>
      </c>
      <c r="H295" s="3">
        <v>561559</v>
      </c>
      <c r="I295" s="4" t="e">
        <v>#N/A</v>
      </c>
      <c r="J295" s="3"/>
      <c r="K295" s="3">
        <v>13475</v>
      </c>
      <c r="L295" s="3">
        <v>836</v>
      </c>
      <c r="M295" s="3">
        <v>9021</v>
      </c>
      <c r="N295" s="3">
        <v>4889</v>
      </c>
      <c r="O295" s="3">
        <v>15401</v>
      </c>
      <c r="P295" s="3">
        <v>6132</v>
      </c>
      <c r="Q295" s="3">
        <v>15026</v>
      </c>
      <c r="R295" s="3">
        <v>11809</v>
      </c>
      <c r="S295" s="3">
        <v>9113</v>
      </c>
      <c r="T295" s="3">
        <v>75453</v>
      </c>
      <c r="U295" s="3">
        <v>57983</v>
      </c>
      <c r="V295" s="3">
        <v>3114</v>
      </c>
      <c r="W295" s="3">
        <v>710</v>
      </c>
      <c r="X295" s="3">
        <v>2833</v>
      </c>
      <c r="Y295" s="3">
        <v>12087</v>
      </c>
      <c r="Z295" s="3">
        <v>4708</v>
      </c>
      <c r="AA295" s="3">
        <v>2065</v>
      </c>
      <c r="AB295" s="3">
        <v>4972</v>
      </c>
      <c r="AC295" s="3">
        <v>25010</v>
      </c>
      <c r="AD295" s="3">
        <v>28438</v>
      </c>
      <c r="AE295" s="3">
        <v>16310</v>
      </c>
      <c r="AF295" s="3">
        <v>6531</v>
      </c>
      <c r="AG295" s="3">
        <v>28276</v>
      </c>
      <c r="AH295" s="3">
        <v>14501</v>
      </c>
      <c r="AI295" s="3">
        <v>25755</v>
      </c>
      <c r="AJ295" s="3">
        <v>141371</v>
      </c>
      <c r="AK295" s="3">
        <v>100368</v>
      </c>
      <c r="AL295" s="3">
        <v>5556</v>
      </c>
      <c r="AM295" s="3">
        <v>9505</v>
      </c>
      <c r="AN295" s="3">
        <v>4819</v>
      </c>
      <c r="AO295" s="3">
        <v>6998</v>
      </c>
      <c r="AP295" s="3">
        <v>3792</v>
      </c>
      <c r="AR295" s="3">
        <f t="shared" ref="AR295:AR298" si="56">+M295+AC295</f>
        <v>34031</v>
      </c>
      <c r="AS295" s="3">
        <f t="shared" ref="AS295:AS298" si="57">+N295+AD295</f>
        <v>33327</v>
      </c>
      <c r="AT295" s="3">
        <f t="shared" ref="AT295:AT298" si="58">+O295+AE295</f>
        <v>31711</v>
      </c>
      <c r="AU295" s="3">
        <f t="shared" ref="AU295:AU298" si="59">+Q295+AG295</f>
        <v>43302</v>
      </c>
      <c r="AV295" s="3">
        <f t="shared" ref="AV295:AV298" si="60">+R295+AH295</f>
        <v>26310</v>
      </c>
      <c r="AW295" s="3">
        <f t="shared" ref="AW295:AW298" si="61">+S295+AI295</f>
        <v>34868</v>
      </c>
      <c r="AX295" s="3">
        <f t="shared" ref="AX295:AX298" si="62">+T295+AJ295</f>
        <v>216824</v>
      </c>
      <c r="AY295" s="3">
        <f t="shared" ref="AY295:AY298" si="63">+X295+AN295</f>
        <v>7652</v>
      </c>
      <c r="AZ295" s="3">
        <f t="shared" ref="AZ295:AZ298" si="64">+Y295+AO295</f>
        <v>19085</v>
      </c>
      <c r="BA295" s="3">
        <f t="shared" ref="BA295:BA298" si="65">+Z295+AP295</f>
        <v>8500</v>
      </c>
      <c r="BB295" s="3">
        <f t="shared" ref="BB295:BB298" si="66">SUM(Q295:T295,W295:Z295,AG295:AJ295,AM295:AP295)</f>
        <v>366756</v>
      </c>
    </row>
    <row r="296" spans="1:54" x14ac:dyDescent="0.25">
      <c r="A296" t="s">
        <v>1168</v>
      </c>
      <c r="B296" s="21">
        <v>6.84</v>
      </c>
      <c r="C296" s="21">
        <v>3.42</v>
      </c>
      <c r="D296" s="35">
        <v>5.25</v>
      </c>
      <c r="E296" s="3">
        <v>174138</v>
      </c>
      <c r="F296" s="3">
        <v>309661</v>
      </c>
      <c r="G296" s="3">
        <v>552971</v>
      </c>
      <c r="H296" s="3">
        <v>546190</v>
      </c>
      <c r="I296" s="4">
        <v>-2</v>
      </c>
      <c r="J296" s="3"/>
      <c r="K296" s="3">
        <v>13381</v>
      </c>
      <c r="L296" s="3">
        <v>731</v>
      </c>
      <c r="M296" s="3">
        <v>8867</v>
      </c>
      <c r="N296" s="3">
        <v>5056</v>
      </c>
      <c r="O296" s="3">
        <v>15241</v>
      </c>
      <c r="P296" s="3">
        <v>6092</v>
      </c>
      <c r="Q296" s="3">
        <v>14675</v>
      </c>
      <c r="R296" s="3">
        <v>11646</v>
      </c>
      <c r="S296" s="3">
        <v>9160</v>
      </c>
      <c r="T296" s="3">
        <v>75405</v>
      </c>
      <c r="U296" s="3">
        <v>58018</v>
      </c>
      <c r="V296" s="3">
        <v>3093</v>
      </c>
      <c r="W296" s="3">
        <v>719</v>
      </c>
      <c r="X296" s="3">
        <v>2794</v>
      </c>
      <c r="Y296" s="3">
        <v>11871</v>
      </c>
      <c r="Z296" s="3">
        <v>4593</v>
      </c>
      <c r="AA296" s="3">
        <v>1824</v>
      </c>
      <c r="AB296" s="3">
        <v>4639</v>
      </c>
      <c r="AC296" s="3">
        <v>24404</v>
      </c>
      <c r="AD296" s="3">
        <v>28945</v>
      </c>
      <c r="AE296" s="3">
        <v>16507</v>
      </c>
      <c r="AF296" s="3">
        <v>6598</v>
      </c>
      <c r="AG296" s="3">
        <v>26683</v>
      </c>
      <c r="AH296" s="3">
        <v>14171</v>
      </c>
      <c r="AI296" s="3">
        <v>27030</v>
      </c>
      <c r="AJ296" s="3">
        <v>141362</v>
      </c>
      <c r="AK296" s="3">
        <v>100695</v>
      </c>
      <c r="AL296" s="3">
        <v>5540</v>
      </c>
      <c r="AM296" s="3">
        <v>9113</v>
      </c>
      <c r="AN296" s="3">
        <v>4625</v>
      </c>
      <c r="AO296" s="3">
        <v>6690</v>
      </c>
      <c r="AP296" s="3">
        <v>3668</v>
      </c>
      <c r="AR296" s="3">
        <f t="shared" si="56"/>
        <v>33271</v>
      </c>
      <c r="AS296" s="3">
        <f t="shared" si="57"/>
        <v>34001</v>
      </c>
      <c r="AT296" s="3">
        <f t="shared" si="58"/>
        <v>31748</v>
      </c>
      <c r="AU296" s="3">
        <f t="shared" si="59"/>
        <v>41358</v>
      </c>
      <c r="AV296" s="3">
        <f t="shared" si="60"/>
        <v>25817</v>
      </c>
      <c r="AW296" s="3">
        <f t="shared" si="61"/>
        <v>36190</v>
      </c>
      <c r="AX296" s="3">
        <f t="shared" si="62"/>
        <v>216767</v>
      </c>
      <c r="AY296" s="3">
        <f t="shared" si="63"/>
        <v>7419</v>
      </c>
      <c r="AZ296" s="3">
        <f t="shared" si="64"/>
        <v>18561</v>
      </c>
      <c r="BA296" s="3">
        <f t="shared" si="65"/>
        <v>8261</v>
      </c>
      <c r="BB296" s="3">
        <f t="shared" si="66"/>
        <v>364205</v>
      </c>
    </row>
    <row r="297" spans="1:54" x14ac:dyDescent="0.25">
      <c r="A297" t="s">
        <v>1171</v>
      </c>
      <c r="B297" s="21">
        <v>6.85</v>
      </c>
      <c r="C297" s="21">
        <v>3.49</v>
      </c>
      <c r="D297" s="35">
        <v>5.25</v>
      </c>
      <c r="E297" s="3">
        <v>174333</v>
      </c>
      <c r="F297" s="3">
        <v>309561</v>
      </c>
      <c r="G297" s="3">
        <v>554370</v>
      </c>
      <c r="H297" s="3">
        <v>546605</v>
      </c>
      <c r="I297" s="4">
        <v>-2</v>
      </c>
      <c r="J297" s="3"/>
      <c r="K297" s="3">
        <v>13342</v>
      </c>
      <c r="L297" s="3">
        <v>710</v>
      </c>
      <c r="M297" s="3">
        <v>8836</v>
      </c>
      <c r="N297" s="3">
        <v>5126</v>
      </c>
      <c r="O297" s="3">
        <v>15169</v>
      </c>
      <c r="P297" s="3">
        <v>6030</v>
      </c>
      <c r="Q297" s="3">
        <v>14481</v>
      </c>
      <c r="R297" s="3">
        <v>11635</v>
      </c>
      <c r="S297" s="3">
        <v>8951</v>
      </c>
      <c r="T297" s="3">
        <v>76220</v>
      </c>
      <c r="U297" s="3">
        <v>58801</v>
      </c>
      <c r="V297" s="3">
        <v>3106</v>
      </c>
      <c r="W297" s="3">
        <v>745</v>
      </c>
      <c r="X297" s="3">
        <v>2739</v>
      </c>
      <c r="Y297" s="3">
        <v>11851</v>
      </c>
      <c r="Z297" s="3">
        <v>4528</v>
      </c>
      <c r="AA297" s="3">
        <v>1857</v>
      </c>
      <c r="AB297" s="3">
        <v>4905</v>
      </c>
      <c r="AC297" s="3">
        <v>24441</v>
      </c>
      <c r="AD297" s="3">
        <v>29421</v>
      </c>
      <c r="AE297" s="3">
        <v>16682</v>
      </c>
      <c r="AF297" s="3">
        <v>6643</v>
      </c>
      <c r="AG297" s="3">
        <v>26069</v>
      </c>
      <c r="AH297" s="3">
        <v>14417</v>
      </c>
      <c r="AI297" s="3">
        <v>26535</v>
      </c>
      <c r="AJ297" s="3">
        <v>141194</v>
      </c>
      <c r="AK297" s="3">
        <v>99651</v>
      </c>
      <c r="AL297" s="3">
        <v>5578</v>
      </c>
      <c r="AM297" s="3">
        <v>8885</v>
      </c>
      <c r="AN297" s="3">
        <v>4659</v>
      </c>
      <c r="AO297" s="3">
        <v>6977</v>
      </c>
      <c r="AP297" s="3">
        <v>3517</v>
      </c>
      <c r="AR297" s="3">
        <f t="shared" si="56"/>
        <v>33277</v>
      </c>
      <c r="AS297" s="3">
        <f t="shared" si="57"/>
        <v>34547</v>
      </c>
      <c r="AT297" s="3">
        <f t="shared" si="58"/>
        <v>31851</v>
      </c>
      <c r="AU297" s="3">
        <f t="shared" si="59"/>
        <v>40550</v>
      </c>
      <c r="AV297" s="3">
        <f t="shared" si="60"/>
        <v>26052</v>
      </c>
      <c r="AW297" s="3">
        <f t="shared" si="61"/>
        <v>35486</v>
      </c>
      <c r="AX297" s="3">
        <f t="shared" si="62"/>
        <v>217414</v>
      </c>
      <c r="AY297" s="3">
        <f t="shared" si="63"/>
        <v>7398</v>
      </c>
      <c r="AZ297" s="3">
        <f t="shared" si="64"/>
        <v>18828</v>
      </c>
      <c r="BA297" s="3">
        <f t="shared" si="65"/>
        <v>8045</v>
      </c>
      <c r="BB297" s="3">
        <f t="shared" si="66"/>
        <v>363403</v>
      </c>
    </row>
    <row r="298" spans="1:54" x14ac:dyDescent="0.25">
      <c r="A298" t="s">
        <v>1172</v>
      </c>
      <c r="B298" s="21">
        <v>6.88</v>
      </c>
      <c r="C298" s="21">
        <v>3.51</v>
      </c>
      <c r="D298" s="35">
        <v>5.25</v>
      </c>
      <c r="E298" s="3">
        <v>173997</v>
      </c>
      <c r="F298" s="3">
        <v>313202</v>
      </c>
      <c r="G298" s="3">
        <v>553959</v>
      </c>
      <c r="H298" s="3">
        <v>550409</v>
      </c>
      <c r="I298" s="4" t="e">
        <v>#N/A</v>
      </c>
      <c r="J298" s="3"/>
      <c r="K298" s="3">
        <v>13374</v>
      </c>
      <c r="L298" s="3">
        <v>788</v>
      </c>
      <c r="M298" s="3">
        <v>8844</v>
      </c>
      <c r="N298" s="3">
        <v>5210</v>
      </c>
      <c r="O298" s="3">
        <v>14950</v>
      </c>
      <c r="P298" s="3">
        <v>6011</v>
      </c>
      <c r="Q298" s="3">
        <v>14445</v>
      </c>
      <c r="R298" s="3">
        <v>11536</v>
      </c>
      <c r="S298" s="3">
        <v>8784</v>
      </c>
      <c r="T298" s="3">
        <v>76227</v>
      </c>
      <c r="U298" s="3">
        <v>58910</v>
      </c>
      <c r="V298" s="3">
        <v>3088</v>
      </c>
      <c r="W298" s="3">
        <v>768</v>
      </c>
      <c r="X298" s="3">
        <v>2672</v>
      </c>
      <c r="Y298" s="3">
        <v>11906</v>
      </c>
      <c r="Z298" s="3">
        <v>4494</v>
      </c>
      <c r="AA298" s="3">
        <v>1854</v>
      </c>
      <c r="AB298" s="3">
        <v>5434</v>
      </c>
      <c r="AC298" s="3">
        <v>24971</v>
      </c>
      <c r="AD298" s="3">
        <v>29939</v>
      </c>
      <c r="AE298" s="3">
        <v>17111</v>
      </c>
      <c r="AF298" s="3">
        <v>6706</v>
      </c>
      <c r="AG298" s="3">
        <v>27194</v>
      </c>
      <c r="AH298" s="3">
        <v>14608</v>
      </c>
      <c r="AI298" s="3">
        <v>26637</v>
      </c>
      <c r="AJ298" s="3">
        <v>141419</v>
      </c>
      <c r="AK298" s="3">
        <v>99609</v>
      </c>
      <c r="AL298" s="3">
        <v>5663</v>
      </c>
      <c r="AM298" s="3">
        <v>8475</v>
      </c>
      <c r="AN298" s="3">
        <v>4745</v>
      </c>
      <c r="AO298" s="3">
        <v>6881</v>
      </c>
      <c r="AP298" s="3">
        <v>3934</v>
      </c>
      <c r="AR298" s="3">
        <f t="shared" si="56"/>
        <v>33815</v>
      </c>
      <c r="AS298" s="3">
        <f t="shared" si="57"/>
        <v>35149</v>
      </c>
      <c r="AT298" s="3">
        <f t="shared" si="58"/>
        <v>32061</v>
      </c>
      <c r="AU298" s="3">
        <f t="shared" si="59"/>
        <v>41639</v>
      </c>
      <c r="AV298" s="3">
        <f t="shared" si="60"/>
        <v>26144</v>
      </c>
      <c r="AW298" s="3">
        <f t="shared" si="61"/>
        <v>35421</v>
      </c>
      <c r="AX298" s="3">
        <f t="shared" si="62"/>
        <v>217646</v>
      </c>
      <c r="AY298" s="3">
        <f t="shared" si="63"/>
        <v>7417</v>
      </c>
      <c r="AZ298" s="3">
        <f t="shared" si="64"/>
        <v>18787</v>
      </c>
      <c r="BA298" s="3">
        <f t="shared" si="65"/>
        <v>8428</v>
      </c>
      <c r="BB298" s="3">
        <f t="shared" si="66"/>
        <v>364725</v>
      </c>
    </row>
    <row r="299" spans="1:54" x14ac:dyDescent="0.25">
      <c r="A299" t="s">
        <v>1173</v>
      </c>
      <c r="B299" s="21">
        <v>6.87</v>
      </c>
      <c r="C299" s="21">
        <v>3.58</v>
      </c>
      <c r="D299" s="35">
        <v>5.25</v>
      </c>
      <c r="E299" s="3">
        <v>173027</v>
      </c>
      <c r="F299" s="3">
        <v>311049</v>
      </c>
      <c r="G299" s="3">
        <v>559892</v>
      </c>
      <c r="H299" s="3">
        <v>553007</v>
      </c>
      <c r="I299" s="4">
        <v>-2</v>
      </c>
      <c r="J299" s="3"/>
      <c r="K299" s="3">
        <v>13320</v>
      </c>
      <c r="L299" s="3">
        <v>668</v>
      </c>
      <c r="M299" s="3">
        <v>8800</v>
      </c>
      <c r="N299" s="3">
        <v>5224</v>
      </c>
      <c r="O299" s="3">
        <v>14903</v>
      </c>
      <c r="P299" s="3">
        <v>5994</v>
      </c>
      <c r="Q299" s="3">
        <v>14260</v>
      </c>
      <c r="R299" s="3">
        <v>11411</v>
      </c>
      <c r="S299" s="3">
        <v>8628</v>
      </c>
      <c r="T299" s="3">
        <v>76139</v>
      </c>
      <c r="U299" s="3">
        <v>58928</v>
      </c>
      <c r="V299" s="3">
        <v>3049</v>
      </c>
      <c r="W299" s="3">
        <v>788</v>
      </c>
      <c r="X299" s="3">
        <v>2629</v>
      </c>
      <c r="Y299" s="3">
        <v>11809</v>
      </c>
      <c r="Z299" s="3">
        <v>4448</v>
      </c>
      <c r="AA299" s="3">
        <v>1851</v>
      </c>
      <c r="AB299" s="3">
        <v>4446</v>
      </c>
      <c r="AC299" s="3">
        <v>25019</v>
      </c>
      <c r="AD299" s="3">
        <v>30403</v>
      </c>
      <c r="AE299" s="3">
        <v>17377</v>
      </c>
      <c r="AF299" s="3">
        <v>6928</v>
      </c>
      <c r="AG299" s="3">
        <v>26225</v>
      </c>
      <c r="AH299" s="3">
        <v>14450</v>
      </c>
      <c r="AI299" s="3">
        <v>26203</v>
      </c>
      <c r="AJ299" s="3">
        <v>142241</v>
      </c>
      <c r="AK299" s="3">
        <v>100199</v>
      </c>
      <c r="AL299" s="3">
        <v>5707</v>
      </c>
      <c r="AM299" s="3">
        <v>7241</v>
      </c>
      <c r="AN299" s="3">
        <v>4680</v>
      </c>
      <c r="AO299" s="3">
        <v>7043</v>
      </c>
      <c r="AP299" s="3">
        <v>3868</v>
      </c>
      <c r="AR299" s="3">
        <f t="shared" ref="AR299:AR303" si="67">+M299+AC299</f>
        <v>33819</v>
      </c>
      <c r="AS299" s="3">
        <f t="shared" ref="AS299:AS303" si="68">+N299+AD299</f>
        <v>35627</v>
      </c>
      <c r="AT299" s="3">
        <f t="shared" ref="AT299:AT303" si="69">+O299+AE299</f>
        <v>32280</v>
      </c>
      <c r="AU299" s="3">
        <f t="shared" ref="AU299:AU303" si="70">+Q299+AG299</f>
        <v>40485</v>
      </c>
      <c r="AV299" s="3">
        <f t="shared" ref="AV299:AV303" si="71">+R299+AH299</f>
        <v>25861</v>
      </c>
      <c r="AW299" s="3">
        <f t="shared" ref="AW299:AW303" si="72">+S299+AI299</f>
        <v>34831</v>
      </c>
      <c r="AX299" s="3">
        <f t="shared" ref="AX299:AX303" si="73">+T299+AJ299</f>
        <v>218380</v>
      </c>
      <c r="AY299" s="3">
        <f t="shared" ref="AY299:AY303" si="74">+X299+AN299</f>
        <v>7309</v>
      </c>
      <c r="AZ299" s="3">
        <f t="shared" ref="AZ299:AZ303" si="75">+Y299+AO299</f>
        <v>18852</v>
      </c>
      <c r="BA299" s="3">
        <f t="shared" ref="BA299:BA303" si="76">+Z299+AP299</f>
        <v>8316</v>
      </c>
      <c r="BB299" s="3">
        <f t="shared" ref="BB299:BB303" si="77">SUM(Q299:T299,W299:Z299,AG299:AJ299,AM299:AP299)</f>
        <v>362063</v>
      </c>
    </row>
    <row r="300" spans="1:54" x14ac:dyDescent="0.25">
      <c r="A300" t="s">
        <v>1174</v>
      </c>
      <c r="B300" s="21">
        <v>6.88</v>
      </c>
      <c r="C300" s="21">
        <v>3.62</v>
      </c>
      <c r="D300" s="35">
        <v>5.25</v>
      </c>
      <c r="E300" s="3">
        <v>171184</v>
      </c>
      <c r="F300" s="3">
        <v>312833</v>
      </c>
      <c r="G300" s="3">
        <v>560638</v>
      </c>
      <c r="H300" s="3">
        <v>557767</v>
      </c>
      <c r="I300" s="4">
        <v>-2</v>
      </c>
      <c r="J300" s="3"/>
      <c r="K300" s="3">
        <v>13296</v>
      </c>
      <c r="L300" s="3">
        <v>714</v>
      </c>
      <c r="M300" s="3">
        <v>8725</v>
      </c>
      <c r="N300" s="3">
        <v>5094</v>
      </c>
      <c r="O300" s="3">
        <v>13763</v>
      </c>
      <c r="P300" s="3">
        <v>4929</v>
      </c>
      <c r="Q300" s="3">
        <v>14064</v>
      </c>
      <c r="R300" s="3">
        <v>11326</v>
      </c>
      <c r="S300" s="3">
        <v>8700</v>
      </c>
      <c r="T300" s="3">
        <v>75892</v>
      </c>
      <c r="U300" s="3">
        <v>59354</v>
      </c>
      <c r="V300" s="3">
        <v>3028</v>
      </c>
      <c r="W300" s="3">
        <v>764</v>
      </c>
      <c r="X300" s="3">
        <v>2582</v>
      </c>
      <c r="Y300" s="3">
        <v>11870</v>
      </c>
      <c r="Z300" s="3">
        <v>4392</v>
      </c>
      <c r="AA300" s="3">
        <v>1924</v>
      </c>
      <c r="AB300" s="3">
        <v>4562</v>
      </c>
      <c r="AC300" s="3">
        <v>24862</v>
      </c>
      <c r="AD300" s="3">
        <v>30162</v>
      </c>
      <c r="AE300" s="3">
        <v>17433</v>
      </c>
      <c r="AF300" s="3">
        <v>6912</v>
      </c>
      <c r="AG300" s="3">
        <v>26115</v>
      </c>
      <c r="AH300" s="3">
        <v>14814</v>
      </c>
      <c r="AI300" s="3">
        <v>26621</v>
      </c>
      <c r="AJ300" s="3">
        <v>144266</v>
      </c>
      <c r="AK300" s="3">
        <v>101914</v>
      </c>
      <c r="AL300" s="3">
        <v>5748</v>
      </c>
      <c r="AM300" s="3">
        <v>6856</v>
      </c>
      <c r="AN300" s="3">
        <v>4518</v>
      </c>
      <c r="AO300" s="3">
        <v>7044</v>
      </c>
      <c r="AP300" s="3">
        <v>3656</v>
      </c>
      <c r="AR300" s="3">
        <f t="shared" si="67"/>
        <v>33587</v>
      </c>
      <c r="AS300" s="3">
        <f t="shared" si="68"/>
        <v>35256</v>
      </c>
      <c r="AT300" s="3">
        <f t="shared" si="69"/>
        <v>31196</v>
      </c>
      <c r="AU300" s="3">
        <f t="shared" si="70"/>
        <v>40179</v>
      </c>
      <c r="AV300" s="3">
        <f t="shared" si="71"/>
        <v>26140</v>
      </c>
      <c r="AW300" s="3">
        <f t="shared" si="72"/>
        <v>35321</v>
      </c>
      <c r="AX300" s="3">
        <f t="shared" si="73"/>
        <v>220158</v>
      </c>
      <c r="AY300" s="3">
        <f t="shared" si="74"/>
        <v>7100</v>
      </c>
      <c r="AZ300" s="3">
        <f t="shared" si="75"/>
        <v>18914</v>
      </c>
      <c r="BA300" s="3">
        <f t="shared" si="76"/>
        <v>8048</v>
      </c>
      <c r="BB300" s="3">
        <f t="shared" si="77"/>
        <v>363480</v>
      </c>
    </row>
    <row r="301" spans="1:54" x14ac:dyDescent="0.25">
      <c r="A301" t="s">
        <v>1182</v>
      </c>
      <c r="B301" s="21">
        <v>6.92</v>
      </c>
      <c r="C301" s="21">
        <v>3.66</v>
      </c>
      <c r="D301" s="35">
        <v>5.25</v>
      </c>
      <c r="E301" s="3">
        <v>171858</v>
      </c>
      <c r="F301" s="3">
        <v>315957</v>
      </c>
      <c r="G301" s="3">
        <v>558587</v>
      </c>
      <c r="H301" s="3">
        <v>561361</v>
      </c>
      <c r="I301" s="4" t="e">
        <v>#N/A</v>
      </c>
      <c r="J301" s="3"/>
      <c r="K301" s="3">
        <v>13431</v>
      </c>
      <c r="L301" s="3">
        <v>802</v>
      </c>
      <c r="M301" s="3">
        <v>8772</v>
      </c>
      <c r="N301" s="3">
        <v>5458</v>
      </c>
      <c r="O301" s="3">
        <v>13504</v>
      </c>
      <c r="P301" s="3">
        <v>4834</v>
      </c>
      <c r="Q301" s="3">
        <v>14171</v>
      </c>
      <c r="R301" s="3">
        <v>11337</v>
      </c>
      <c r="S301" s="3">
        <v>8646</v>
      </c>
      <c r="T301" s="3">
        <v>76089</v>
      </c>
      <c r="U301" s="3">
        <v>59792</v>
      </c>
      <c r="V301" s="3">
        <v>3068</v>
      </c>
      <c r="W301" s="3">
        <v>805</v>
      </c>
      <c r="X301" s="3">
        <v>2551</v>
      </c>
      <c r="Y301" s="3">
        <v>11951</v>
      </c>
      <c r="Z301" s="3">
        <v>4341</v>
      </c>
      <c r="AA301" s="3">
        <v>1945</v>
      </c>
      <c r="AB301" s="3">
        <v>5183</v>
      </c>
      <c r="AC301" s="3">
        <v>24879</v>
      </c>
      <c r="AD301" s="3">
        <v>31510</v>
      </c>
      <c r="AE301" s="3">
        <v>17305</v>
      </c>
      <c r="AF301" s="3">
        <v>7020</v>
      </c>
      <c r="AG301" s="3">
        <v>27731</v>
      </c>
      <c r="AH301" s="3">
        <v>14403</v>
      </c>
      <c r="AI301" s="3">
        <v>26465</v>
      </c>
      <c r="AJ301" s="3">
        <v>144294</v>
      </c>
      <c r="AK301" s="3">
        <v>102481</v>
      </c>
      <c r="AL301" s="3">
        <v>5913</v>
      </c>
      <c r="AM301" s="3">
        <v>7063</v>
      </c>
      <c r="AN301" s="3">
        <v>4534</v>
      </c>
      <c r="AO301" s="3">
        <v>7058</v>
      </c>
      <c r="AP301" s="3">
        <v>3589</v>
      </c>
      <c r="AR301" s="3">
        <f t="shared" si="67"/>
        <v>33651</v>
      </c>
      <c r="AS301" s="3">
        <f t="shared" si="68"/>
        <v>36968</v>
      </c>
      <c r="AT301" s="3">
        <f t="shared" si="69"/>
        <v>30809</v>
      </c>
      <c r="AU301" s="3">
        <f t="shared" si="70"/>
        <v>41902</v>
      </c>
      <c r="AV301" s="3">
        <f t="shared" si="71"/>
        <v>25740</v>
      </c>
      <c r="AW301" s="3">
        <f t="shared" si="72"/>
        <v>35111</v>
      </c>
      <c r="AX301" s="3">
        <f t="shared" si="73"/>
        <v>220383</v>
      </c>
      <c r="AY301" s="3">
        <f t="shared" si="74"/>
        <v>7085</v>
      </c>
      <c r="AZ301" s="3">
        <f t="shared" si="75"/>
        <v>19009</v>
      </c>
      <c r="BA301" s="3">
        <f t="shared" si="76"/>
        <v>7930</v>
      </c>
      <c r="BB301" s="3">
        <f t="shared" si="77"/>
        <v>365028</v>
      </c>
    </row>
    <row r="302" spans="1:54" x14ac:dyDescent="0.25">
      <c r="A302" t="s">
        <v>1183</v>
      </c>
      <c r="B302" s="21">
        <v>6.88</v>
      </c>
      <c r="C302" s="21">
        <v>3.7</v>
      </c>
      <c r="D302" s="35">
        <v>5.25</v>
      </c>
      <c r="E302" s="3">
        <v>170987</v>
      </c>
      <c r="F302" s="3">
        <v>313726</v>
      </c>
      <c r="G302" s="3">
        <v>559019</v>
      </c>
      <c r="H302" s="3">
        <v>559067</v>
      </c>
      <c r="I302" s="4">
        <v>-2</v>
      </c>
      <c r="J302" s="3"/>
      <c r="K302" s="3">
        <v>13387</v>
      </c>
      <c r="L302" s="3">
        <v>691</v>
      </c>
      <c r="M302" s="3">
        <v>8895</v>
      </c>
      <c r="N302" s="3">
        <v>5388</v>
      </c>
      <c r="O302" s="3">
        <v>13440</v>
      </c>
      <c r="P302" s="3">
        <v>4818</v>
      </c>
      <c r="Q302" s="3">
        <v>13935</v>
      </c>
      <c r="R302" s="3">
        <v>11243</v>
      </c>
      <c r="S302" s="3">
        <v>8639</v>
      </c>
      <c r="T302" s="3">
        <v>75806</v>
      </c>
      <c r="U302" s="3">
        <v>59744</v>
      </c>
      <c r="V302" s="3">
        <v>2998</v>
      </c>
      <c r="W302" s="3">
        <v>778</v>
      </c>
      <c r="X302" s="3">
        <v>2554</v>
      </c>
      <c r="Y302" s="3">
        <v>11888</v>
      </c>
      <c r="Z302" s="3">
        <v>4341</v>
      </c>
      <c r="AA302" s="3">
        <v>1925</v>
      </c>
      <c r="AB302" s="3">
        <v>4787</v>
      </c>
      <c r="AC302" s="3">
        <v>24324</v>
      </c>
      <c r="AD302" s="3">
        <v>31421</v>
      </c>
      <c r="AE302" s="3">
        <v>17201</v>
      </c>
      <c r="AF302" s="3">
        <v>6888</v>
      </c>
      <c r="AG302" s="3">
        <v>25969</v>
      </c>
      <c r="AH302" s="3">
        <v>14140</v>
      </c>
      <c r="AI302" s="3">
        <v>26419</v>
      </c>
      <c r="AJ302" s="3">
        <v>144721</v>
      </c>
      <c r="AK302" s="3">
        <v>102848</v>
      </c>
      <c r="AL302" s="3">
        <v>5837</v>
      </c>
      <c r="AM302" s="3">
        <v>7545</v>
      </c>
      <c r="AN302" s="3">
        <v>4467</v>
      </c>
      <c r="AO302" s="3">
        <v>7102</v>
      </c>
      <c r="AP302" s="3">
        <v>3705</v>
      </c>
      <c r="AR302" s="3">
        <f t="shared" si="67"/>
        <v>33219</v>
      </c>
      <c r="AS302" s="3">
        <f t="shared" si="68"/>
        <v>36809</v>
      </c>
      <c r="AT302" s="3">
        <f t="shared" si="69"/>
        <v>30641</v>
      </c>
      <c r="AU302" s="3">
        <f t="shared" si="70"/>
        <v>39904</v>
      </c>
      <c r="AV302" s="3">
        <f t="shared" si="71"/>
        <v>25383</v>
      </c>
      <c r="AW302" s="3">
        <f t="shared" si="72"/>
        <v>35058</v>
      </c>
      <c r="AX302" s="3">
        <f t="shared" si="73"/>
        <v>220527</v>
      </c>
      <c r="AY302" s="3">
        <f t="shared" si="74"/>
        <v>7021</v>
      </c>
      <c r="AZ302" s="3">
        <f t="shared" si="75"/>
        <v>18990</v>
      </c>
      <c r="BA302" s="3">
        <f t="shared" si="76"/>
        <v>8046</v>
      </c>
      <c r="BB302" s="3">
        <f t="shared" si="77"/>
        <v>363252</v>
      </c>
    </row>
    <row r="303" spans="1:54" x14ac:dyDescent="0.25">
      <c r="A303" t="s">
        <v>1184</v>
      </c>
      <c r="B303" s="21">
        <v>6.77</v>
      </c>
      <c r="C303" s="21">
        <v>3.73</v>
      </c>
      <c r="D303" s="35">
        <v>5</v>
      </c>
      <c r="E303" s="3">
        <v>170131</v>
      </c>
      <c r="F303" s="3">
        <v>319660</v>
      </c>
      <c r="G303" s="3">
        <v>556998</v>
      </c>
      <c r="H303" s="3">
        <v>557110</v>
      </c>
      <c r="I303" s="4">
        <v>-2</v>
      </c>
      <c r="J303" s="3"/>
      <c r="K303" s="3">
        <v>13358</v>
      </c>
      <c r="L303" s="3">
        <v>781</v>
      </c>
      <c r="M303" s="3">
        <v>8631</v>
      </c>
      <c r="N303" s="3">
        <v>5327</v>
      </c>
      <c r="O303" s="3">
        <v>13334</v>
      </c>
      <c r="P303" s="3">
        <v>4837</v>
      </c>
      <c r="Q303" s="3">
        <v>13817</v>
      </c>
      <c r="R303" s="3">
        <v>11154</v>
      </c>
      <c r="S303" s="3">
        <v>8600</v>
      </c>
      <c r="T303" s="3">
        <v>75683</v>
      </c>
      <c r="U303" s="3">
        <v>59672</v>
      </c>
      <c r="V303" s="3">
        <v>3028</v>
      </c>
      <c r="W303" s="3">
        <v>812</v>
      </c>
      <c r="X303" s="3">
        <v>2526</v>
      </c>
      <c r="Y303" s="3">
        <v>11821</v>
      </c>
      <c r="Z303" s="3">
        <v>4287</v>
      </c>
      <c r="AA303" s="3">
        <v>1923</v>
      </c>
      <c r="AB303" s="3">
        <v>4948</v>
      </c>
      <c r="AC303" s="3">
        <v>23930</v>
      </c>
      <c r="AD303" s="3">
        <v>31746</v>
      </c>
      <c r="AE303" s="3">
        <v>17689</v>
      </c>
      <c r="AF303" s="3">
        <v>6964</v>
      </c>
      <c r="AG303" s="3">
        <v>26593</v>
      </c>
      <c r="AH303" s="3">
        <v>13931</v>
      </c>
      <c r="AI303" s="3">
        <v>27965</v>
      </c>
      <c r="AJ303" s="3">
        <v>146882</v>
      </c>
      <c r="AK303" s="3">
        <v>104053</v>
      </c>
      <c r="AL303" s="3">
        <v>5890</v>
      </c>
      <c r="AM303" s="3">
        <v>8415</v>
      </c>
      <c r="AN303" s="3">
        <v>4702</v>
      </c>
      <c r="AO303" s="3">
        <v>7212</v>
      </c>
      <c r="AP303" s="3">
        <v>3724</v>
      </c>
      <c r="AR303" s="3">
        <f t="shared" si="67"/>
        <v>32561</v>
      </c>
      <c r="AS303" s="3">
        <f t="shared" si="68"/>
        <v>37073</v>
      </c>
      <c r="AT303" s="3">
        <f t="shared" si="69"/>
        <v>31023</v>
      </c>
      <c r="AU303" s="3">
        <f t="shared" si="70"/>
        <v>40410</v>
      </c>
      <c r="AV303" s="3">
        <f t="shared" si="71"/>
        <v>25085</v>
      </c>
      <c r="AW303" s="3">
        <f t="shared" si="72"/>
        <v>36565</v>
      </c>
      <c r="AX303" s="3">
        <f t="shared" si="73"/>
        <v>222565</v>
      </c>
      <c r="AY303" s="3">
        <f t="shared" si="74"/>
        <v>7228</v>
      </c>
      <c r="AZ303" s="3">
        <f t="shared" si="75"/>
        <v>19033</v>
      </c>
      <c r="BA303" s="3">
        <f t="shared" si="76"/>
        <v>8011</v>
      </c>
      <c r="BB303" s="3">
        <f t="shared" si="77"/>
        <v>368124</v>
      </c>
    </row>
    <row r="304" spans="1:54" x14ac:dyDescent="0.25">
      <c r="A304" t="s">
        <v>1321</v>
      </c>
      <c r="D304" s="35">
        <v>5</v>
      </c>
    </row>
  </sheetData>
  <hyperlinks>
    <hyperlink ref="B2" r:id="rId1" xr:uid="{C930CD19-7501-4DDE-A44E-BC4BBCD55FF3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0B22-73AA-4152-B8B0-4EE20149F3FD}">
  <sheetPr codeName="Sheet19"/>
  <dimension ref="A1:I337"/>
  <sheetViews>
    <sheetView workbookViewId="0">
      <pane xSplit="1" ySplit="4" topLeftCell="B44" activePane="bottomRight" state="frozen"/>
      <selection pane="topRight" activeCell="B1" sqref="B1"/>
      <selection pane="bottomLeft" activeCell="A8" sqref="A8"/>
      <selection pane="bottomRight" activeCell="D105" sqref="D105"/>
    </sheetView>
  </sheetViews>
  <sheetFormatPr defaultRowHeight="15" x14ac:dyDescent="0.25"/>
  <cols>
    <col min="1" max="1" width="16.28515625" customWidth="1"/>
    <col min="2" max="2" width="18.5703125" bestFit="1" customWidth="1"/>
    <col min="3" max="3" width="18.42578125" bestFit="1" customWidth="1"/>
    <col min="4" max="4" width="25.5703125" customWidth="1"/>
    <col min="5" max="5" width="26.42578125" customWidth="1"/>
    <col min="6" max="6" width="25.5703125" bestFit="1" customWidth="1"/>
    <col min="258" max="258" width="18.5703125" bestFit="1" customWidth="1"/>
    <col min="259" max="259" width="18.42578125" bestFit="1" customWidth="1"/>
    <col min="260" max="260" width="25.5703125" customWidth="1"/>
    <col min="261" max="261" width="26.42578125" customWidth="1"/>
    <col min="262" max="262" width="25.5703125" bestFit="1" customWidth="1"/>
    <col min="514" max="514" width="18.5703125" bestFit="1" customWidth="1"/>
    <col min="515" max="515" width="18.42578125" bestFit="1" customWidth="1"/>
    <col min="516" max="516" width="25.5703125" customWidth="1"/>
    <col min="517" max="517" width="26.42578125" customWidth="1"/>
    <col min="518" max="518" width="25.5703125" bestFit="1" customWidth="1"/>
    <col min="770" max="770" width="18.5703125" bestFit="1" customWidth="1"/>
    <col min="771" max="771" width="18.42578125" bestFit="1" customWidth="1"/>
    <col min="772" max="772" width="25.5703125" customWidth="1"/>
    <col min="773" max="773" width="26.42578125" customWidth="1"/>
    <col min="774" max="774" width="25.5703125" bestFit="1" customWidth="1"/>
    <col min="1026" max="1026" width="18.5703125" bestFit="1" customWidth="1"/>
    <col min="1027" max="1027" width="18.42578125" bestFit="1" customWidth="1"/>
    <col min="1028" max="1028" width="25.5703125" customWidth="1"/>
    <col min="1029" max="1029" width="26.42578125" customWidth="1"/>
    <col min="1030" max="1030" width="25.5703125" bestFit="1" customWidth="1"/>
    <col min="1282" max="1282" width="18.5703125" bestFit="1" customWidth="1"/>
    <col min="1283" max="1283" width="18.42578125" bestFit="1" customWidth="1"/>
    <col min="1284" max="1284" width="25.5703125" customWidth="1"/>
    <col min="1285" max="1285" width="26.42578125" customWidth="1"/>
    <col min="1286" max="1286" width="25.5703125" bestFit="1" customWidth="1"/>
    <col min="1538" max="1538" width="18.5703125" bestFit="1" customWidth="1"/>
    <col min="1539" max="1539" width="18.42578125" bestFit="1" customWidth="1"/>
    <col min="1540" max="1540" width="25.5703125" customWidth="1"/>
    <col min="1541" max="1541" width="26.42578125" customWidth="1"/>
    <col min="1542" max="1542" width="25.5703125" bestFit="1" customWidth="1"/>
    <col min="1794" max="1794" width="18.5703125" bestFit="1" customWidth="1"/>
    <col min="1795" max="1795" width="18.42578125" bestFit="1" customWidth="1"/>
    <col min="1796" max="1796" width="25.5703125" customWidth="1"/>
    <col min="1797" max="1797" width="26.42578125" customWidth="1"/>
    <col min="1798" max="1798" width="25.5703125" bestFit="1" customWidth="1"/>
    <col min="2050" max="2050" width="18.5703125" bestFit="1" customWidth="1"/>
    <col min="2051" max="2051" width="18.42578125" bestFit="1" customWidth="1"/>
    <col min="2052" max="2052" width="25.5703125" customWidth="1"/>
    <col min="2053" max="2053" width="26.42578125" customWidth="1"/>
    <col min="2054" max="2054" width="25.5703125" bestFit="1" customWidth="1"/>
    <col min="2306" max="2306" width="18.5703125" bestFit="1" customWidth="1"/>
    <col min="2307" max="2307" width="18.42578125" bestFit="1" customWidth="1"/>
    <col min="2308" max="2308" width="25.5703125" customWidth="1"/>
    <col min="2309" max="2309" width="26.42578125" customWidth="1"/>
    <col min="2310" max="2310" width="25.5703125" bestFit="1" customWidth="1"/>
    <col min="2562" max="2562" width="18.5703125" bestFit="1" customWidth="1"/>
    <col min="2563" max="2563" width="18.42578125" bestFit="1" customWidth="1"/>
    <col min="2564" max="2564" width="25.5703125" customWidth="1"/>
    <col min="2565" max="2565" width="26.42578125" customWidth="1"/>
    <col min="2566" max="2566" width="25.5703125" bestFit="1" customWidth="1"/>
    <col min="2818" max="2818" width="18.5703125" bestFit="1" customWidth="1"/>
    <col min="2819" max="2819" width="18.42578125" bestFit="1" customWidth="1"/>
    <col min="2820" max="2820" width="25.5703125" customWidth="1"/>
    <col min="2821" max="2821" width="26.42578125" customWidth="1"/>
    <col min="2822" max="2822" width="25.5703125" bestFit="1" customWidth="1"/>
    <col min="3074" max="3074" width="18.5703125" bestFit="1" customWidth="1"/>
    <col min="3075" max="3075" width="18.42578125" bestFit="1" customWidth="1"/>
    <col min="3076" max="3076" width="25.5703125" customWidth="1"/>
    <col min="3077" max="3077" width="26.42578125" customWidth="1"/>
    <col min="3078" max="3078" width="25.5703125" bestFit="1" customWidth="1"/>
    <col min="3330" max="3330" width="18.5703125" bestFit="1" customWidth="1"/>
    <col min="3331" max="3331" width="18.42578125" bestFit="1" customWidth="1"/>
    <col min="3332" max="3332" width="25.5703125" customWidth="1"/>
    <col min="3333" max="3333" width="26.42578125" customWidth="1"/>
    <col min="3334" max="3334" width="25.5703125" bestFit="1" customWidth="1"/>
    <col min="3586" max="3586" width="18.5703125" bestFit="1" customWidth="1"/>
    <col min="3587" max="3587" width="18.42578125" bestFit="1" customWidth="1"/>
    <col min="3588" max="3588" width="25.5703125" customWidth="1"/>
    <col min="3589" max="3589" width="26.42578125" customWidth="1"/>
    <col min="3590" max="3590" width="25.5703125" bestFit="1" customWidth="1"/>
    <col min="3842" max="3842" width="18.5703125" bestFit="1" customWidth="1"/>
    <col min="3843" max="3843" width="18.42578125" bestFit="1" customWidth="1"/>
    <col min="3844" max="3844" width="25.5703125" customWidth="1"/>
    <col min="3845" max="3845" width="26.42578125" customWidth="1"/>
    <col min="3846" max="3846" width="25.5703125" bestFit="1" customWidth="1"/>
    <col min="4098" max="4098" width="18.5703125" bestFit="1" customWidth="1"/>
    <col min="4099" max="4099" width="18.42578125" bestFit="1" customWidth="1"/>
    <col min="4100" max="4100" width="25.5703125" customWidth="1"/>
    <col min="4101" max="4101" width="26.42578125" customWidth="1"/>
    <col min="4102" max="4102" width="25.5703125" bestFit="1" customWidth="1"/>
    <col min="4354" max="4354" width="18.5703125" bestFit="1" customWidth="1"/>
    <col min="4355" max="4355" width="18.42578125" bestFit="1" customWidth="1"/>
    <col min="4356" max="4356" width="25.5703125" customWidth="1"/>
    <col min="4357" max="4357" width="26.42578125" customWidth="1"/>
    <col min="4358" max="4358" width="25.5703125" bestFit="1" customWidth="1"/>
    <col min="4610" max="4610" width="18.5703125" bestFit="1" customWidth="1"/>
    <col min="4611" max="4611" width="18.42578125" bestFit="1" customWidth="1"/>
    <col min="4612" max="4612" width="25.5703125" customWidth="1"/>
    <col min="4613" max="4613" width="26.42578125" customWidth="1"/>
    <col min="4614" max="4614" width="25.5703125" bestFit="1" customWidth="1"/>
    <col min="4866" max="4866" width="18.5703125" bestFit="1" customWidth="1"/>
    <col min="4867" max="4867" width="18.42578125" bestFit="1" customWidth="1"/>
    <col min="4868" max="4868" width="25.5703125" customWidth="1"/>
    <col min="4869" max="4869" width="26.42578125" customWidth="1"/>
    <col min="4870" max="4870" width="25.5703125" bestFit="1" customWidth="1"/>
    <col min="5122" max="5122" width="18.5703125" bestFit="1" customWidth="1"/>
    <col min="5123" max="5123" width="18.42578125" bestFit="1" customWidth="1"/>
    <col min="5124" max="5124" width="25.5703125" customWidth="1"/>
    <col min="5125" max="5125" width="26.42578125" customWidth="1"/>
    <col min="5126" max="5126" width="25.5703125" bestFit="1" customWidth="1"/>
    <col min="5378" max="5378" width="18.5703125" bestFit="1" customWidth="1"/>
    <col min="5379" max="5379" width="18.42578125" bestFit="1" customWidth="1"/>
    <col min="5380" max="5380" width="25.5703125" customWidth="1"/>
    <col min="5381" max="5381" width="26.42578125" customWidth="1"/>
    <col min="5382" max="5382" width="25.5703125" bestFit="1" customWidth="1"/>
    <col min="5634" max="5634" width="18.5703125" bestFit="1" customWidth="1"/>
    <col min="5635" max="5635" width="18.42578125" bestFit="1" customWidth="1"/>
    <col min="5636" max="5636" width="25.5703125" customWidth="1"/>
    <col min="5637" max="5637" width="26.42578125" customWidth="1"/>
    <col min="5638" max="5638" width="25.5703125" bestFit="1" customWidth="1"/>
    <col min="5890" max="5890" width="18.5703125" bestFit="1" customWidth="1"/>
    <col min="5891" max="5891" width="18.42578125" bestFit="1" customWidth="1"/>
    <col min="5892" max="5892" width="25.5703125" customWidth="1"/>
    <col min="5893" max="5893" width="26.42578125" customWidth="1"/>
    <col min="5894" max="5894" width="25.5703125" bestFit="1" customWidth="1"/>
    <col min="6146" max="6146" width="18.5703125" bestFit="1" customWidth="1"/>
    <col min="6147" max="6147" width="18.42578125" bestFit="1" customWidth="1"/>
    <col min="6148" max="6148" width="25.5703125" customWidth="1"/>
    <col min="6149" max="6149" width="26.42578125" customWidth="1"/>
    <col min="6150" max="6150" width="25.5703125" bestFit="1" customWidth="1"/>
    <col min="6402" max="6402" width="18.5703125" bestFit="1" customWidth="1"/>
    <col min="6403" max="6403" width="18.42578125" bestFit="1" customWidth="1"/>
    <col min="6404" max="6404" width="25.5703125" customWidth="1"/>
    <col min="6405" max="6405" width="26.42578125" customWidth="1"/>
    <col min="6406" max="6406" width="25.5703125" bestFit="1" customWidth="1"/>
    <col min="6658" max="6658" width="18.5703125" bestFit="1" customWidth="1"/>
    <col min="6659" max="6659" width="18.42578125" bestFit="1" customWidth="1"/>
    <col min="6660" max="6660" width="25.5703125" customWidth="1"/>
    <col min="6661" max="6661" width="26.42578125" customWidth="1"/>
    <col min="6662" max="6662" width="25.5703125" bestFit="1" customWidth="1"/>
    <col min="6914" max="6914" width="18.5703125" bestFit="1" customWidth="1"/>
    <col min="6915" max="6915" width="18.42578125" bestFit="1" customWidth="1"/>
    <col min="6916" max="6916" width="25.5703125" customWidth="1"/>
    <col min="6917" max="6917" width="26.42578125" customWidth="1"/>
    <col min="6918" max="6918" width="25.5703125" bestFit="1" customWidth="1"/>
    <col min="7170" max="7170" width="18.5703125" bestFit="1" customWidth="1"/>
    <col min="7171" max="7171" width="18.42578125" bestFit="1" customWidth="1"/>
    <col min="7172" max="7172" width="25.5703125" customWidth="1"/>
    <col min="7173" max="7173" width="26.42578125" customWidth="1"/>
    <col min="7174" max="7174" width="25.5703125" bestFit="1" customWidth="1"/>
    <col min="7426" max="7426" width="18.5703125" bestFit="1" customWidth="1"/>
    <col min="7427" max="7427" width="18.42578125" bestFit="1" customWidth="1"/>
    <col min="7428" max="7428" width="25.5703125" customWidth="1"/>
    <col min="7429" max="7429" width="26.42578125" customWidth="1"/>
    <col min="7430" max="7430" width="25.5703125" bestFit="1" customWidth="1"/>
    <col min="7682" max="7682" width="18.5703125" bestFit="1" customWidth="1"/>
    <col min="7683" max="7683" width="18.42578125" bestFit="1" customWidth="1"/>
    <col min="7684" max="7684" width="25.5703125" customWidth="1"/>
    <col min="7685" max="7685" width="26.42578125" customWidth="1"/>
    <col min="7686" max="7686" width="25.5703125" bestFit="1" customWidth="1"/>
    <col min="7938" max="7938" width="18.5703125" bestFit="1" customWidth="1"/>
    <col min="7939" max="7939" width="18.42578125" bestFit="1" customWidth="1"/>
    <col min="7940" max="7940" width="25.5703125" customWidth="1"/>
    <col min="7941" max="7941" width="26.42578125" customWidth="1"/>
    <col min="7942" max="7942" width="25.5703125" bestFit="1" customWidth="1"/>
    <col min="8194" max="8194" width="18.5703125" bestFit="1" customWidth="1"/>
    <col min="8195" max="8195" width="18.42578125" bestFit="1" customWidth="1"/>
    <col min="8196" max="8196" width="25.5703125" customWidth="1"/>
    <col min="8197" max="8197" width="26.42578125" customWidth="1"/>
    <col min="8198" max="8198" width="25.5703125" bestFit="1" customWidth="1"/>
    <col min="8450" max="8450" width="18.5703125" bestFit="1" customWidth="1"/>
    <col min="8451" max="8451" width="18.42578125" bestFit="1" customWidth="1"/>
    <col min="8452" max="8452" width="25.5703125" customWidth="1"/>
    <col min="8453" max="8453" width="26.42578125" customWidth="1"/>
    <col min="8454" max="8454" width="25.5703125" bestFit="1" customWidth="1"/>
    <col min="8706" max="8706" width="18.5703125" bestFit="1" customWidth="1"/>
    <col min="8707" max="8707" width="18.42578125" bestFit="1" customWidth="1"/>
    <col min="8708" max="8708" width="25.5703125" customWidth="1"/>
    <col min="8709" max="8709" width="26.42578125" customWidth="1"/>
    <col min="8710" max="8710" width="25.5703125" bestFit="1" customWidth="1"/>
    <col min="8962" max="8962" width="18.5703125" bestFit="1" customWidth="1"/>
    <col min="8963" max="8963" width="18.42578125" bestFit="1" customWidth="1"/>
    <col min="8964" max="8964" width="25.5703125" customWidth="1"/>
    <col min="8965" max="8965" width="26.42578125" customWidth="1"/>
    <col min="8966" max="8966" width="25.5703125" bestFit="1" customWidth="1"/>
    <col min="9218" max="9218" width="18.5703125" bestFit="1" customWidth="1"/>
    <col min="9219" max="9219" width="18.42578125" bestFit="1" customWidth="1"/>
    <col min="9220" max="9220" width="25.5703125" customWidth="1"/>
    <col min="9221" max="9221" width="26.42578125" customWidth="1"/>
    <col min="9222" max="9222" width="25.5703125" bestFit="1" customWidth="1"/>
    <col min="9474" max="9474" width="18.5703125" bestFit="1" customWidth="1"/>
    <col min="9475" max="9475" width="18.42578125" bestFit="1" customWidth="1"/>
    <col min="9476" max="9476" width="25.5703125" customWidth="1"/>
    <col min="9477" max="9477" width="26.42578125" customWidth="1"/>
    <col min="9478" max="9478" width="25.5703125" bestFit="1" customWidth="1"/>
    <col min="9730" max="9730" width="18.5703125" bestFit="1" customWidth="1"/>
    <col min="9731" max="9731" width="18.42578125" bestFit="1" customWidth="1"/>
    <col min="9732" max="9732" width="25.5703125" customWidth="1"/>
    <col min="9733" max="9733" width="26.42578125" customWidth="1"/>
    <col min="9734" max="9734" width="25.5703125" bestFit="1" customWidth="1"/>
    <col min="9986" max="9986" width="18.5703125" bestFit="1" customWidth="1"/>
    <col min="9987" max="9987" width="18.42578125" bestFit="1" customWidth="1"/>
    <col min="9988" max="9988" width="25.5703125" customWidth="1"/>
    <col min="9989" max="9989" width="26.42578125" customWidth="1"/>
    <col min="9990" max="9990" width="25.5703125" bestFit="1" customWidth="1"/>
    <col min="10242" max="10242" width="18.5703125" bestFit="1" customWidth="1"/>
    <col min="10243" max="10243" width="18.42578125" bestFit="1" customWidth="1"/>
    <col min="10244" max="10244" width="25.5703125" customWidth="1"/>
    <col min="10245" max="10245" width="26.42578125" customWidth="1"/>
    <col min="10246" max="10246" width="25.5703125" bestFit="1" customWidth="1"/>
    <col min="10498" max="10498" width="18.5703125" bestFit="1" customWidth="1"/>
    <col min="10499" max="10499" width="18.42578125" bestFit="1" customWidth="1"/>
    <col min="10500" max="10500" width="25.5703125" customWidth="1"/>
    <col min="10501" max="10501" width="26.42578125" customWidth="1"/>
    <col min="10502" max="10502" width="25.5703125" bestFit="1" customWidth="1"/>
    <col min="10754" max="10754" width="18.5703125" bestFit="1" customWidth="1"/>
    <col min="10755" max="10755" width="18.42578125" bestFit="1" customWidth="1"/>
    <col min="10756" max="10756" width="25.5703125" customWidth="1"/>
    <col min="10757" max="10757" width="26.42578125" customWidth="1"/>
    <col min="10758" max="10758" width="25.5703125" bestFit="1" customWidth="1"/>
    <col min="11010" max="11010" width="18.5703125" bestFit="1" customWidth="1"/>
    <col min="11011" max="11011" width="18.42578125" bestFit="1" customWidth="1"/>
    <col min="11012" max="11012" width="25.5703125" customWidth="1"/>
    <col min="11013" max="11013" width="26.42578125" customWidth="1"/>
    <col min="11014" max="11014" width="25.5703125" bestFit="1" customWidth="1"/>
    <col min="11266" max="11266" width="18.5703125" bestFit="1" customWidth="1"/>
    <col min="11267" max="11267" width="18.42578125" bestFit="1" customWidth="1"/>
    <col min="11268" max="11268" width="25.5703125" customWidth="1"/>
    <col min="11269" max="11269" width="26.42578125" customWidth="1"/>
    <col min="11270" max="11270" width="25.5703125" bestFit="1" customWidth="1"/>
    <col min="11522" max="11522" width="18.5703125" bestFit="1" customWidth="1"/>
    <col min="11523" max="11523" width="18.42578125" bestFit="1" customWidth="1"/>
    <col min="11524" max="11524" width="25.5703125" customWidth="1"/>
    <col min="11525" max="11525" width="26.42578125" customWidth="1"/>
    <col min="11526" max="11526" width="25.5703125" bestFit="1" customWidth="1"/>
    <col min="11778" max="11778" width="18.5703125" bestFit="1" customWidth="1"/>
    <col min="11779" max="11779" width="18.42578125" bestFit="1" customWidth="1"/>
    <col min="11780" max="11780" width="25.5703125" customWidth="1"/>
    <col min="11781" max="11781" width="26.42578125" customWidth="1"/>
    <col min="11782" max="11782" width="25.5703125" bestFit="1" customWidth="1"/>
    <col min="12034" max="12034" width="18.5703125" bestFit="1" customWidth="1"/>
    <col min="12035" max="12035" width="18.42578125" bestFit="1" customWidth="1"/>
    <col min="12036" max="12036" width="25.5703125" customWidth="1"/>
    <col min="12037" max="12037" width="26.42578125" customWidth="1"/>
    <col min="12038" max="12038" width="25.5703125" bestFit="1" customWidth="1"/>
    <col min="12290" max="12290" width="18.5703125" bestFit="1" customWidth="1"/>
    <col min="12291" max="12291" width="18.42578125" bestFit="1" customWidth="1"/>
    <col min="12292" max="12292" width="25.5703125" customWidth="1"/>
    <col min="12293" max="12293" width="26.42578125" customWidth="1"/>
    <col min="12294" max="12294" width="25.5703125" bestFit="1" customWidth="1"/>
    <col min="12546" max="12546" width="18.5703125" bestFit="1" customWidth="1"/>
    <col min="12547" max="12547" width="18.42578125" bestFit="1" customWidth="1"/>
    <col min="12548" max="12548" width="25.5703125" customWidth="1"/>
    <col min="12549" max="12549" width="26.42578125" customWidth="1"/>
    <col min="12550" max="12550" width="25.5703125" bestFit="1" customWidth="1"/>
    <col min="12802" max="12802" width="18.5703125" bestFit="1" customWidth="1"/>
    <col min="12803" max="12803" width="18.42578125" bestFit="1" customWidth="1"/>
    <col min="12804" max="12804" width="25.5703125" customWidth="1"/>
    <col min="12805" max="12805" width="26.42578125" customWidth="1"/>
    <col min="12806" max="12806" width="25.5703125" bestFit="1" customWidth="1"/>
    <col min="13058" max="13058" width="18.5703125" bestFit="1" customWidth="1"/>
    <col min="13059" max="13059" width="18.42578125" bestFit="1" customWidth="1"/>
    <col min="13060" max="13060" width="25.5703125" customWidth="1"/>
    <col min="13061" max="13061" width="26.42578125" customWidth="1"/>
    <col min="13062" max="13062" width="25.5703125" bestFit="1" customWidth="1"/>
    <col min="13314" max="13314" width="18.5703125" bestFit="1" customWidth="1"/>
    <col min="13315" max="13315" width="18.42578125" bestFit="1" customWidth="1"/>
    <col min="13316" max="13316" width="25.5703125" customWidth="1"/>
    <col min="13317" max="13317" width="26.42578125" customWidth="1"/>
    <col min="13318" max="13318" width="25.5703125" bestFit="1" customWidth="1"/>
    <col min="13570" max="13570" width="18.5703125" bestFit="1" customWidth="1"/>
    <col min="13571" max="13571" width="18.42578125" bestFit="1" customWidth="1"/>
    <col min="13572" max="13572" width="25.5703125" customWidth="1"/>
    <col min="13573" max="13573" width="26.42578125" customWidth="1"/>
    <col min="13574" max="13574" width="25.5703125" bestFit="1" customWidth="1"/>
    <col min="13826" max="13826" width="18.5703125" bestFit="1" customWidth="1"/>
    <col min="13827" max="13827" width="18.42578125" bestFit="1" customWidth="1"/>
    <col min="13828" max="13828" width="25.5703125" customWidth="1"/>
    <col min="13829" max="13829" width="26.42578125" customWidth="1"/>
    <col min="13830" max="13830" width="25.5703125" bestFit="1" customWidth="1"/>
    <col min="14082" max="14082" width="18.5703125" bestFit="1" customWidth="1"/>
    <col min="14083" max="14083" width="18.42578125" bestFit="1" customWidth="1"/>
    <col min="14084" max="14084" width="25.5703125" customWidth="1"/>
    <col min="14085" max="14085" width="26.42578125" customWidth="1"/>
    <col min="14086" max="14086" width="25.5703125" bestFit="1" customWidth="1"/>
    <col min="14338" max="14338" width="18.5703125" bestFit="1" customWidth="1"/>
    <col min="14339" max="14339" width="18.42578125" bestFit="1" customWidth="1"/>
    <col min="14340" max="14340" width="25.5703125" customWidth="1"/>
    <col min="14341" max="14341" width="26.42578125" customWidth="1"/>
    <col min="14342" max="14342" width="25.5703125" bestFit="1" customWidth="1"/>
    <col min="14594" max="14594" width="18.5703125" bestFit="1" customWidth="1"/>
    <col min="14595" max="14595" width="18.42578125" bestFit="1" customWidth="1"/>
    <col min="14596" max="14596" width="25.5703125" customWidth="1"/>
    <col min="14597" max="14597" width="26.42578125" customWidth="1"/>
    <col min="14598" max="14598" width="25.5703125" bestFit="1" customWidth="1"/>
    <col min="14850" max="14850" width="18.5703125" bestFit="1" customWidth="1"/>
    <col min="14851" max="14851" width="18.42578125" bestFit="1" customWidth="1"/>
    <col min="14852" max="14852" width="25.5703125" customWidth="1"/>
    <col min="14853" max="14853" width="26.42578125" customWidth="1"/>
    <col min="14854" max="14854" width="25.5703125" bestFit="1" customWidth="1"/>
    <col min="15106" max="15106" width="18.5703125" bestFit="1" customWidth="1"/>
    <col min="15107" max="15107" width="18.42578125" bestFit="1" customWidth="1"/>
    <col min="15108" max="15108" width="25.5703125" customWidth="1"/>
    <col min="15109" max="15109" width="26.42578125" customWidth="1"/>
    <col min="15110" max="15110" width="25.5703125" bestFit="1" customWidth="1"/>
    <col min="15362" max="15362" width="18.5703125" bestFit="1" customWidth="1"/>
    <col min="15363" max="15363" width="18.42578125" bestFit="1" customWidth="1"/>
    <col min="15364" max="15364" width="25.5703125" customWidth="1"/>
    <col min="15365" max="15365" width="26.42578125" customWidth="1"/>
    <col min="15366" max="15366" width="25.5703125" bestFit="1" customWidth="1"/>
    <col min="15618" max="15618" width="18.5703125" bestFit="1" customWidth="1"/>
    <col min="15619" max="15619" width="18.42578125" bestFit="1" customWidth="1"/>
    <col min="15620" max="15620" width="25.5703125" customWidth="1"/>
    <col min="15621" max="15621" width="26.42578125" customWidth="1"/>
    <col min="15622" max="15622" width="25.5703125" bestFit="1" customWidth="1"/>
    <col min="15874" max="15874" width="18.5703125" bestFit="1" customWidth="1"/>
    <col min="15875" max="15875" width="18.42578125" bestFit="1" customWidth="1"/>
    <col min="15876" max="15876" width="25.5703125" customWidth="1"/>
    <col min="15877" max="15877" width="26.42578125" customWidth="1"/>
    <col min="15878" max="15878" width="25.5703125" bestFit="1" customWidth="1"/>
    <col min="16130" max="16130" width="18.5703125" bestFit="1" customWidth="1"/>
    <col min="16131" max="16131" width="18.42578125" bestFit="1" customWidth="1"/>
    <col min="16132" max="16132" width="25.5703125" customWidth="1"/>
    <col min="16133" max="16133" width="26.42578125" customWidth="1"/>
    <col min="16134" max="16134" width="25.5703125" bestFit="1" customWidth="1"/>
  </cols>
  <sheetData>
    <row r="1" spans="1:9" ht="19.5" x14ac:dyDescent="0.3">
      <c r="A1" s="45" t="s">
        <v>1269</v>
      </c>
    </row>
    <row r="2" spans="1:9" ht="15.75" x14ac:dyDescent="0.25">
      <c r="A2" s="46" t="s">
        <v>1270</v>
      </c>
      <c r="B2" s="47"/>
      <c r="C2" s="47"/>
      <c r="D2" s="47"/>
      <c r="E2" s="47"/>
      <c r="F2" s="47"/>
    </row>
    <row r="3" spans="1:9" ht="47.25" x14ac:dyDescent="0.25">
      <c r="A3" s="48" t="s">
        <v>1271</v>
      </c>
      <c r="B3" s="48" t="s">
        <v>1272</v>
      </c>
      <c r="C3" s="48" t="s">
        <v>1273</v>
      </c>
      <c r="D3" s="48" t="s">
        <v>1274</v>
      </c>
      <c r="E3" s="48" t="s">
        <v>1275</v>
      </c>
      <c r="F3" s="48" t="s">
        <v>1276</v>
      </c>
    </row>
    <row r="4" spans="1:9" ht="31.5" x14ac:dyDescent="0.25">
      <c r="A4" s="49" t="s">
        <v>1277</v>
      </c>
      <c r="B4" s="48" t="s">
        <v>111</v>
      </c>
      <c r="C4" s="48" t="s">
        <v>112</v>
      </c>
      <c r="D4" s="48" t="s">
        <v>113</v>
      </c>
      <c r="E4" s="48" t="s">
        <v>114</v>
      </c>
      <c r="F4" s="48" t="s">
        <v>115</v>
      </c>
    </row>
    <row r="5" spans="1:9" x14ac:dyDescent="0.25">
      <c r="A5" s="8" t="s">
        <v>116</v>
      </c>
      <c r="B5" s="8">
        <v>35462</v>
      </c>
      <c r="C5" s="8">
        <v>3307</v>
      </c>
      <c r="D5" s="8">
        <v>6875</v>
      </c>
      <c r="E5" s="8">
        <v>16312</v>
      </c>
      <c r="F5" s="8">
        <v>10942</v>
      </c>
    </row>
    <row r="6" spans="1:9" x14ac:dyDescent="0.25">
      <c r="A6" s="8" t="s">
        <v>117</v>
      </c>
      <c r="B6" s="8">
        <v>37021</v>
      </c>
      <c r="C6" s="8">
        <v>3395</v>
      </c>
      <c r="D6" s="8">
        <v>7275</v>
      </c>
      <c r="E6" s="8">
        <v>16964</v>
      </c>
      <c r="F6" s="8">
        <v>11445</v>
      </c>
    </row>
    <row r="7" spans="1:9" x14ac:dyDescent="0.25">
      <c r="A7" s="8" t="s">
        <v>118</v>
      </c>
      <c r="B7" s="8">
        <v>39279</v>
      </c>
      <c r="C7" s="8">
        <v>3620</v>
      </c>
      <c r="D7" s="8">
        <v>7865</v>
      </c>
      <c r="E7" s="8">
        <v>17880</v>
      </c>
      <c r="F7" s="8">
        <v>11965</v>
      </c>
    </row>
    <row r="8" spans="1:9" x14ac:dyDescent="0.25">
      <c r="A8" s="9" t="s">
        <v>119</v>
      </c>
      <c r="B8" s="9">
        <v>40300</v>
      </c>
      <c r="C8" s="9">
        <v>3473</v>
      </c>
      <c r="D8" s="9">
        <v>8030</v>
      </c>
      <c r="E8" s="9">
        <v>18864</v>
      </c>
      <c r="F8" s="9">
        <v>12302</v>
      </c>
    </row>
    <row r="9" spans="1:9" x14ac:dyDescent="0.25">
      <c r="A9" s="8" t="s">
        <v>120</v>
      </c>
      <c r="B9" s="8">
        <v>40946</v>
      </c>
      <c r="C9" s="8">
        <v>4120</v>
      </c>
      <c r="D9" s="8">
        <v>7773</v>
      </c>
      <c r="E9" s="8">
        <v>18637</v>
      </c>
      <c r="F9" s="8">
        <v>12584</v>
      </c>
      <c r="I9" t="s">
        <v>216</v>
      </c>
    </row>
    <row r="10" spans="1:9" x14ac:dyDescent="0.25">
      <c r="A10" s="8" t="s">
        <v>121</v>
      </c>
      <c r="B10" s="8">
        <v>40781</v>
      </c>
      <c r="C10" s="8">
        <v>3679</v>
      </c>
      <c r="D10" s="8">
        <v>7928</v>
      </c>
      <c r="E10" s="8">
        <v>18339</v>
      </c>
      <c r="F10" s="8">
        <v>12711</v>
      </c>
    </row>
    <row r="11" spans="1:9" x14ac:dyDescent="0.25">
      <c r="A11" s="8" t="s">
        <v>122</v>
      </c>
      <c r="B11" s="8">
        <v>40414</v>
      </c>
      <c r="C11" s="8">
        <v>3561</v>
      </c>
      <c r="D11" s="8">
        <v>7693</v>
      </c>
      <c r="E11" s="8">
        <v>18724</v>
      </c>
      <c r="F11" s="8">
        <v>12971</v>
      </c>
    </row>
    <row r="12" spans="1:9" x14ac:dyDescent="0.25">
      <c r="A12" s="9" t="s">
        <v>123</v>
      </c>
      <c r="B12" s="9">
        <v>41424</v>
      </c>
      <c r="C12" s="9">
        <v>3991</v>
      </c>
      <c r="D12" s="9">
        <v>7863</v>
      </c>
      <c r="E12" s="9">
        <v>19362</v>
      </c>
      <c r="F12" s="9">
        <v>13153</v>
      </c>
    </row>
    <row r="13" spans="1:9" x14ac:dyDescent="0.25">
      <c r="A13" s="8" t="s">
        <v>124</v>
      </c>
      <c r="B13" s="8">
        <v>41135</v>
      </c>
      <c r="C13" s="8">
        <v>4152</v>
      </c>
      <c r="D13" s="8">
        <v>8171</v>
      </c>
      <c r="E13" s="8">
        <v>18141</v>
      </c>
      <c r="F13" s="8">
        <v>12813</v>
      </c>
    </row>
    <row r="14" spans="1:9" x14ac:dyDescent="0.25">
      <c r="A14" s="8" t="s">
        <v>125</v>
      </c>
      <c r="B14" s="8">
        <v>41175</v>
      </c>
      <c r="C14" s="8">
        <v>3655</v>
      </c>
      <c r="D14" s="8">
        <v>7908</v>
      </c>
      <c r="E14" s="8">
        <v>18649</v>
      </c>
      <c r="F14" s="8">
        <v>12633</v>
      </c>
    </row>
    <row r="15" spans="1:9" x14ac:dyDescent="0.25">
      <c r="A15" s="8" t="s">
        <v>126</v>
      </c>
      <c r="B15" s="8">
        <v>42369</v>
      </c>
      <c r="C15" s="8">
        <v>3911</v>
      </c>
      <c r="D15" s="8">
        <v>8699</v>
      </c>
      <c r="E15" s="8">
        <v>18985</v>
      </c>
      <c r="F15" s="8">
        <v>12819</v>
      </c>
    </row>
    <row r="16" spans="1:9" x14ac:dyDescent="0.25">
      <c r="A16" s="9" t="s">
        <v>127</v>
      </c>
      <c r="B16" s="9">
        <v>41945</v>
      </c>
      <c r="C16" s="9">
        <v>4028</v>
      </c>
      <c r="D16" s="9">
        <v>7825</v>
      </c>
      <c r="E16" s="9">
        <v>19915</v>
      </c>
      <c r="F16" s="9">
        <v>12923</v>
      </c>
    </row>
    <row r="17" spans="1:6" x14ac:dyDescent="0.25">
      <c r="A17" s="8" t="s">
        <v>128</v>
      </c>
      <c r="B17" s="8">
        <v>43624</v>
      </c>
      <c r="C17" s="8">
        <v>3292</v>
      </c>
      <c r="D17" s="8">
        <v>9140</v>
      </c>
      <c r="E17" s="8">
        <v>19616</v>
      </c>
      <c r="F17" s="8">
        <v>13602</v>
      </c>
    </row>
    <row r="18" spans="1:6" x14ac:dyDescent="0.25">
      <c r="A18" s="8" t="s">
        <v>129</v>
      </c>
      <c r="B18" s="8">
        <v>46153</v>
      </c>
      <c r="C18" s="8">
        <v>3428</v>
      </c>
      <c r="D18" s="8">
        <v>11605</v>
      </c>
      <c r="E18" s="8">
        <v>17831</v>
      </c>
      <c r="F18" s="8">
        <v>13847</v>
      </c>
    </row>
    <row r="19" spans="1:6" x14ac:dyDescent="0.25">
      <c r="A19" s="8" t="s">
        <v>130</v>
      </c>
      <c r="B19" s="8">
        <v>43061</v>
      </c>
      <c r="C19" s="8">
        <v>3278</v>
      </c>
      <c r="D19" s="8">
        <v>9458</v>
      </c>
      <c r="E19" s="8">
        <v>17671</v>
      </c>
      <c r="F19" s="8">
        <v>13702</v>
      </c>
    </row>
    <row r="20" spans="1:6" x14ac:dyDescent="0.25">
      <c r="A20" s="9" t="s">
        <v>131</v>
      </c>
      <c r="B20" s="9">
        <v>44611</v>
      </c>
      <c r="C20" s="9">
        <v>3794</v>
      </c>
      <c r="D20" s="9">
        <v>9514</v>
      </c>
      <c r="E20" s="9">
        <v>19243</v>
      </c>
      <c r="F20" s="9">
        <v>13826</v>
      </c>
    </row>
    <row r="21" spans="1:6" x14ac:dyDescent="0.25">
      <c r="A21" s="8" t="s">
        <v>132</v>
      </c>
      <c r="B21" s="8">
        <v>44343</v>
      </c>
      <c r="C21" s="8">
        <v>3510</v>
      </c>
      <c r="D21" s="8">
        <v>10231</v>
      </c>
      <c r="E21" s="8">
        <v>18801</v>
      </c>
      <c r="F21" s="8">
        <v>13473</v>
      </c>
    </row>
    <row r="22" spans="1:6" x14ac:dyDescent="0.25">
      <c r="A22" s="8" t="s">
        <v>133</v>
      </c>
      <c r="B22" s="8">
        <v>44742</v>
      </c>
      <c r="C22" s="8">
        <v>4707</v>
      </c>
      <c r="D22" s="8">
        <v>9518</v>
      </c>
      <c r="E22" s="8">
        <v>18481</v>
      </c>
      <c r="F22" s="8">
        <v>13588</v>
      </c>
    </row>
    <row r="23" spans="1:6" x14ac:dyDescent="0.25">
      <c r="A23" s="8" t="s">
        <v>134</v>
      </c>
      <c r="B23" s="8">
        <v>44742</v>
      </c>
      <c r="C23" s="8">
        <v>4289</v>
      </c>
      <c r="D23" s="8">
        <v>9892</v>
      </c>
      <c r="E23" s="8">
        <v>16910</v>
      </c>
      <c r="F23" s="8">
        <v>13529</v>
      </c>
    </row>
    <row r="24" spans="1:6" x14ac:dyDescent="0.25">
      <c r="A24" s="9" t="s">
        <v>135</v>
      </c>
      <c r="B24" s="9">
        <v>42863</v>
      </c>
      <c r="C24" s="9">
        <v>3700</v>
      </c>
      <c r="D24" s="9">
        <v>10135</v>
      </c>
      <c r="E24" s="9">
        <v>15658</v>
      </c>
      <c r="F24" s="9">
        <v>13586</v>
      </c>
    </row>
    <row r="25" spans="1:6" x14ac:dyDescent="0.25">
      <c r="A25" s="8" t="s">
        <v>136</v>
      </c>
      <c r="B25" s="8">
        <v>42091</v>
      </c>
      <c r="C25" s="8">
        <v>3969</v>
      </c>
      <c r="D25" s="8">
        <v>9990</v>
      </c>
      <c r="E25" s="8">
        <v>15408</v>
      </c>
      <c r="F25" s="8">
        <v>13344</v>
      </c>
    </row>
    <row r="26" spans="1:6" x14ac:dyDescent="0.25">
      <c r="A26" s="8" t="s">
        <v>137</v>
      </c>
      <c r="B26" s="8">
        <v>41670</v>
      </c>
      <c r="C26" s="8">
        <v>4562</v>
      </c>
      <c r="D26" s="8">
        <v>10353</v>
      </c>
      <c r="E26" s="8">
        <v>14068</v>
      </c>
      <c r="F26" s="8">
        <v>13300</v>
      </c>
    </row>
    <row r="27" spans="1:6" x14ac:dyDescent="0.25">
      <c r="A27" s="8" t="s">
        <v>138</v>
      </c>
      <c r="B27" s="8">
        <v>43962</v>
      </c>
      <c r="C27" s="8">
        <v>4486</v>
      </c>
      <c r="D27" s="8">
        <v>9816</v>
      </c>
      <c r="E27" s="8">
        <v>14617</v>
      </c>
      <c r="F27" s="8">
        <v>13791</v>
      </c>
    </row>
    <row r="28" spans="1:6" x14ac:dyDescent="0.25">
      <c r="A28" s="9" t="s">
        <v>139</v>
      </c>
      <c r="B28" s="9">
        <v>45720</v>
      </c>
      <c r="C28" s="9">
        <v>4580</v>
      </c>
      <c r="D28" s="9">
        <v>10239</v>
      </c>
      <c r="E28" s="9">
        <v>17189</v>
      </c>
      <c r="F28" s="9">
        <v>13984</v>
      </c>
    </row>
    <row r="29" spans="1:6" x14ac:dyDescent="0.25">
      <c r="A29" s="8" t="s">
        <v>140</v>
      </c>
      <c r="B29" s="8">
        <v>45673</v>
      </c>
      <c r="C29" s="8">
        <v>4343</v>
      </c>
      <c r="D29" s="8">
        <v>9977</v>
      </c>
      <c r="E29" s="8">
        <v>18135</v>
      </c>
      <c r="F29" s="8">
        <v>14226</v>
      </c>
    </row>
    <row r="30" spans="1:6" x14ac:dyDescent="0.25">
      <c r="A30" s="8" t="s">
        <v>141</v>
      </c>
      <c r="B30" s="8">
        <v>41335</v>
      </c>
      <c r="C30" s="8">
        <v>3669</v>
      </c>
      <c r="D30" s="8">
        <v>8807</v>
      </c>
      <c r="E30" s="8">
        <v>15850</v>
      </c>
      <c r="F30" s="8">
        <v>14688</v>
      </c>
    </row>
    <row r="31" spans="1:6" x14ac:dyDescent="0.25">
      <c r="A31" s="8" t="s">
        <v>142</v>
      </c>
      <c r="B31" s="8">
        <v>42368</v>
      </c>
      <c r="C31" s="8">
        <v>4228</v>
      </c>
      <c r="D31" s="8">
        <v>9072</v>
      </c>
      <c r="E31" s="8">
        <v>14217</v>
      </c>
      <c r="F31" s="8">
        <v>14634</v>
      </c>
    </row>
    <row r="32" spans="1:6" x14ac:dyDescent="0.25">
      <c r="A32" s="9" t="s">
        <v>143</v>
      </c>
      <c r="B32" s="9">
        <v>42114</v>
      </c>
      <c r="C32" s="9">
        <v>3984</v>
      </c>
      <c r="D32" s="9">
        <v>8578</v>
      </c>
      <c r="E32" s="9">
        <v>15879</v>
      </c>
      <c r="F32" s="9">
        <v>14520</v>
      </c>
    </row>
    <row r="33" spans="1:6" x14ac:dyDescent="0.25">
      <c r="A33" s="8" t="s">
        <v>144</v>
      </c>
      <c r="B33" s="8">
        <v>42450</v>
      </c>
      <c r="C33" s="8">
        <v>3847</v>
      </c>
      <c r="D33" s="8">
        <v>8634</v>
      </c>
      <c r="E33" s="8">
        <v>16468</v>
      </c>
      <c r="F33" s="8">
        <v>14597</v>
      </c>
    </row>
    <row r="34" spans="1:6" x14ac:dyDescent="0.25">
      <c r="A34" s="8" t="s">
        <v>145</v>
      </c>
      <c r="B34" s="8">
        <v>39055</v>
      </c>
      <c r="C34" s="8">
        <v>3887</v>
      </c>
      <c r="D34" s="8">
        <v>9156</v>
      </c>
      <c r="E34" s="8">
        <v>12400</v>
      </c>
      <c r="F34" s="8">
        <v>14743</v>
      </c>
    </row>
    <row r="35" spans="1:6" x14ac:dyDescent="0.25">
      <c r="A35" s="8" t="s">
        <v>146</v>
      </c>
      <c r="B35" s="8">
        <v>41359</v>
      </c>
      <c r="C35" s="8">
        <v>3770</v>
      </c>
      <c r="D35" s="8">
        <v>9163</v>
      </c>
      <c r="E35" s="8">
        <v>13156</v>
      </c>
      <c r="F35" s="8">
        <v>15284</v>
      </c>
    </row>
    <row r="36" spans="1:6" x14ac:dyDescent="0.25">
      <c r="A36" s="9" t="s">
        <v>147</v>
      </c>
      <c r="B36" s="9">
        <v>42269</v>
      </c>
      <c r="C36" s="9">
        <v>3673</v>
      </c>
      <c r="D36" s="9">
        <v>9082</v>
      </c>
      <c r="E36" s="9">
        <v>14234</v>
      </c>
      <c r="F36" s="9">
        <v>15482</v>
      </c>
    </row>
    <row r="37" spans="1:6" x14ac:dyDescent="0.25">
      <c r="A37" s="8" t="s">
        <v>148</v>
      </c>
      <c r="B37" s="8">
        <v>42057</v>
      </c>
      <c r="C37" s="8">
        <v>3578</v>
      </c>
      <c r="D37" s="8">
        <v>8643</v>
      </c>
      <c r="E37" s="8">
        <v>14078</v>
      </c>
      <c r="F37" s="8">
        <v>15972</v>
      </c>
    </row>
    <row r="38" spans="1:6" x14ac:dyDescent="0.25">
      <c r="A38" s="8" t="s">
        <v>149</v>
      </c>
      <c r="B38" s="8">
        <v>65442</v>
      </c>
      <c r="C38" s="8">
        <v>3924</v>
      </c>
      <c r="D38" s="8">
        <v>27667</v>
      </c>
      <c r="E38" s="8">
        <v>14585</v>
      </c>
      <c r="F38" s="8">
        <v>16254</v>
      </c>
    </row>
    <row r="39" spans="1:6" x14ac:dyDescent="0.25">
      <c r="A39" s="8" t="s">
        <v>150</v>
      </c>
      <c r="B39" s="8">
        <v>44370</v>
      </c>
      <c r="C39" s="8">
        <v>3724</v>
      </c>
      <c r="D39" s="8">
        <v>10571</v>
      </c>
      <c r="E39" s="8">
        <v>13856</v>
      </c>
      <c r="F39" s="8">
        <v>16174</v>
      </c>
    </row>
    <row r="40" spans="1:6" x14ac:dyDescent="0.25">
      <c r="A40" s="9" t="s">
        <v>151</v>
      </c>
      <c r="B40" s="9">
        <v>44148</v>
      </c>
      <c r="C40" s="9">
        <v>3917</v>
      </c>
      <c r="D40" s="9">
        <v>10556</v>
      </c>
      <c r="E40" s="9">
        <v>13884</v>
      </c>
      <c r="F40" s="9">
        <v>16413</v>
      </c>
    </row>
    <row r="41" spans="1:6" x14ac:dyDescent="0.25">
      <c r="A41" s="8" t="s">
        <v>152</v>
      </c>
      <c r="B41" s="8">
        <v>46400</v>
      </c>
      <c r="C41" s="8">
        <v>4457</v>
      </c>
      <c r="D41" s="8">
        <v>10691</v>
      </c>
      <c r="E41" s="8">
        <v>14287</v>
      </c>
      <c r="F41" s="8">
        <v>16171</v>
      </c>
    </row>
    <row r="42" spans="1:6" x14ac:dyDescent="0.25">
      <c r="A42" s="8" t="s">
        <v>153</v>
      </c>
      <c r="B42" s="8">
        <v>44590</v>
      </c>
      <c r="C42" s="8">
        <v>3778</v>
      </c>
      <c r="D42" s="8">
        <v>10948</v>
      </c>
      <c r="E42" s="8">
        <v>14944</v>
      </c>
      <c r="F42" s="8">
        <v>16091</v>
      </c>
    </row>
    <row r="43" spans="1:6" x14ac:dyDescent="0.25">
      <c r="A43" s="8" t="s">
        <v>154</v>
      </c>
      <c r="B43" s="8">
        <v>48023</v>
      </c>
      <c r="C43" s="8">
        <v>4810</v>
      </c>
      <c r="D43" s="8">
        <v>11712</v>
      </c>
      <c r="E43" s="8">
        <v>15288</v>
      </c>
      <c r="F43" s="8">
        <v>16134</v>
      </c>
    </row>
    <row r="44" spans="1:6" x14ac:dyDescent="0.25">
      <c r="A44" s="9" t="s">
        <v>155</v>
      </c>
      <c r="B44" s="9">
        <v>48119</v>
      </c>
      <c r="C44" s="9">
        <v>4723</v>
      </c>
      <c r="D44" s="9">
        <v>11545</v>
      </c>
      <c r="E44" s="9">
        <v>15426</v>
      </c>
      <c r="F44" s="9">
        <v>16372</v>
      </c>
    </row>
    <row r="45" spans="1:6" x14ac:dyDescent="0.25">
      <c r="A45" s="8" t="s">
        <v>156</v>
      </c>
      <c r="B45" s="8">
        <v>50429</v>
      </c>
      <c r="C45" s="8">
        <v>4840</v>
      </c>
      <c r="D45" s="8">
        <v>12087</v>
      </c>
      <c r="E45" s="8">
        <v>15735</v>
      </c>
      <c r="F45" s="8">
        <v>16525</v>
      </c>
    </row>
    <row r="46" spans="1:6" x14ac:dyDescent="0.25">
      <c r="A46" s="8" t="s">
        <v>157</v>
      </c>
      <c r="B46" s="8">
        <v>51135</v>
      </c>
      <c r="C46" s="8">
        <v>4715</v>
      </c>
      <c r="D46" s="8">
        <v>12668</v>
      </c>
      <c r="E46" s="8">
        <v>17592</v>
      </c>
      <c r="F46" s="8">
        <v>16618</v>
      </c>
    </row>
    <row r="47" spans="1:6" x14ac:dyDescent="0.25">
      <c r="A47" s="8" t="s">
        <v>158</v>
      </c>
      <c r="B47" s="8">
        <v>48885</v>
      </c>
      <c r="C47" s="8">
        <v>4571</v>
      </c>
      <c r="D47" s="8">
        <v>13068</v>
      </c>
      <c r="E47" s="8">
        <v>14742</v>
      </c>
      <c r="F47" s="8">
        <v>16545</v>
      </c>
    </row>
    <row r="48" spans="1:6" x14ac:dyDescent="0.25">
      <c r="A48" s="9" t="s">
        <v>159</v>
      </c>
      <c r="B48" s="9">
        <v>52991</v>
      </c>
      <c r="C48" s="9">
        <v>4310</v>
      </c>
      <c r="D48" s="9">
        <v>14093</v>
      </c>
      <c r="E48" s="9">
        <v>17676</v>
      </c>
      <c r="F48" s="9">
        <v>17141</v>
      </c>
    </row>
    <row r="49" spans="1:6" x14ac:dyDescent="0.25">
      <c r="A49" s="8" t="s">
        <v>160</v>
      </c>
      <c r="B49" s="8">
        <v>49124</v>
      </c>
      <c r="C49" s="8">
        <v>4063</v>
      </c>
      <c r="D49" s="8">
        <v>12653</v>
      </c>
      <c r="E49" s="8">
        <v>15201</v>
      </c>
      <c r="F49" s="8">
        <v>17185</v>
      </c>
    </row>
    <row r="50" spans="1:6" x14ac:dyDescent="0.25">
      <c r="A50" s="8" t="s">
        <v>161</v>
      </c>
      <c r="B50" s="8">
        <v>50990</v>
      </c>
      <c r="C50" s="8">
        <v>5101</v>
      </c>
      <c r="D50" s="8">
        <v>13149</v>
      </c>
      <c r="E50" s="8">
        <v>15748</v>
      </c>
      <c r="F50" s="8">
        <v>17311</v>
      </c>
    </row>
    <row r="51" spans="1:6" x14ac:dyDescent="0.25">
      <c r="A51" s="8" t="s">
        <v>162</v>
      </c>
      <c r="B51" s="8">
        <v>49052</v>
      </c>
      <c r="C51" s="8">
        <v>4158</v>
      </c>
      <c r="D51" s="8">
        <v>12426</v>
      </c>
      <c r="E51" s="8">
        <v>14709</v>
      </c>
      <c r="F51" s="8">
        <v>17474</v>
      </c>
    </row>
    <row r="52" spans="1:6" x14ac:dyDescent="0.25">
      <c r="A52" s="9" t="s">
        <v>163</v>
      </c>
      <c r="B52" s="9">
        <v>47384</v>
      </c>
      <c r="C52" s="9">
        <v>4251</v>
      </c>
      <c r="D52" s="9">
        <v>11165</v>
      </c>
      <c r="E52" s="9">
        <v>14269</v>
      </c>
      <c r="F52" s="9">
        <v>17494</v>
      </c>
    </row>
    <row r="53" spans="1:6" x14ac:dyDescent="0.25">
      <c r="A53" s="8" t="s">
        <v>164</v>
      </c>
      <c r="B53" s="8">
        <v>43119</v>
      </c>
      <c r="C53" s="8">
        <v>3932</v>
      </c>
      <c r="D53" s="8">
        <v>10432</v>
      </c>
      <c r="E53" s="8">
        <v>11343</v>
      </c>
      <c r="F53" s="8">
        <v>17386</v>
      </c>
    </row>
    <row r="54" spans="1:6" x14ac:dyDescent="0.25">
      <c r="A54" s="8" t="s">
        <v>165</v>
      </c>
      <c r="B54" s="8">
        <v>40877</v>
      </c>
      <c r="C54" s="8">
        <v>4289</v>
      </c>
      <c r="D54" s="8">
        <v>8444</v>
      </c>
      <c r="E54" s="8">
        <v>10867</v>
      </c>
      <c r="F54" s="8">
        <v>17508</v>
      </c>
    </row>
    <row r="55" spans="1:6" x14ac:dyDescent="0.25">
      <c r="A55" s="8" t="s">
        <v>166</v>
      </c>
      <c r="B55" s="8">
        <v>39978</v>
      </c>
      <c r="C55" s="8">
        <v>3974</v>
      </c>
      <c r="D55" s="8">
        <v>8258</v>
      </c>
      <c r="E55" s="8">
        <v>10400</v>
      </c>
      <c r="F55" s="8">
        <v>17448</v>
      </c>
    </row>
    <row r="56" spans="1:6" x14ac:dyDescent="0.25">
      <c r="A56" s="9" t="s">
        <v>167</v>
      </c>
      <c r="B56" s="9">
        <v>39618</v>
      </c>
      <c r="C56" s="9">
        <v>3438</v>
      </c>
      <c r="D56" s="9">
        <v>8419</v>
      </c>
      <c r="E56" s="9">
        <v>10005</v>
      </c>
      <c r="F56" s="9">
        <v>17772</v>
      </c>
    </row>
    <row r="57" spans="1:6" x14ac:dyDescent="0.25">
      <c r="A57" s="8" t="s">
        <v>168</v>
      </c>
      <c r="B57" s="8">
        <v>41479</v>
      </c>
      <c r="C57" s="8">
        <v>4149</v>
      </c>
      <c r="D57" s="8">
        <v>8597</v>
      </c>
      <c r="E57" s="8">
        <v>10405</v>
      </c>
      <c r="F57" s="8">
        <v>18123</v>
      </c>
    </row>
    <row r="58" spans="1:6" x14ac:dyDescent="0.25">
      <c r="A58" s="8" t="s">
        <v>169</v>
      </c>
      <c r="B58" s="8">
        <v>40858</v>
      </c>
      <c r="C58" s="8">
        <v>3693</v>
      </c>
      <c r="D58" s="8">
        <v>8721</v>
      </c>
      <c r="E58" s="8">
        <v>10447</v>
      </c>
      <c r="F58" s="8">
        <v>18194</v>
      </c>
    </row>
    <row r="59" spans="1:6" x14ac:dyDescent="0.25">
      <c r="A59" s="8" t="s">
        <v>170</v>
      </c>
      <c r="B59" s="8">
        <v>42697</v>
      </c>
      <c r="C59" s="8">
        <v>4193</v>
      </c>
      <c r="D59" s="8">
        <v>9213</v>
      </c>
      <c r="E59" s="8">
        <v>10886</v>
      </c>
      <c r="F59" s="8">
        <v>18564</v>
      </c>
    </row>
    <row r="60" spans="1:6" x14ac:dyDescent="0.25">
      <c r="A60" s="9" t="s">
        <v>171</v>
      </c>
      <c r="B60" s="9">
        <v>45515</v>
      </c>
      <c r="C60" s="9">
        <v>6558</v>
      </c>
      <c r="D60" s="9">
        <v>9426</v>
      </c>
      <c r="E60" s="9">
        <v>10591</v>
      </c>
      <c r="F60" s="9">
        <v>18705</v>
      </c>
    </row>
    <row r="61" spans="1:6" x14ac:dyDescent="0.25">
      <c r="A61" s="8" t="s">
        <v>172</v>
      </c>
      <c r="B61" s="8">
        <v>42330</v>
      </c>
      <c r="C61" s="8">
        <v>3194</v>
      </c>
      <c r="D61" s="8">
        <v>9263</v>
      </c>
      <c r="E61" s="8">
        <v>11535</v>
      </c>
      <c r="F61" s="8">
        <v>18671</v>
      </c>
    </row>
    <row r="62" spans="1:6" x14ac:dyDescent="0.25">
      <c r="A62" s="8" t="s">
        <v>173</v>
      </c>
      <c r="B62" s="8">
        <v>44742</v>
      </c>
      <c r="C62" s="8">
        <v>3849</v>
      </c>
      <c r="D62" s="8">
        <v>10385</v>
      </c>
      <c r="E62" s="8">
        <v>12031</v>
      </c>
      <c r="F62" s="8">
        <v>18768</v>
      </c>
    </row>
    <row r="63" spans="1:6" x14ac:dyDescent="0.25">
      <c r="A63" s="8" t="s">
        <v>174</v>
      </c>
      <c r="B63" s="8">
        <v>46218</v>
      </c>
      <c r="C63" s="8">
        <v>3038</v>
      </c>
      <c r="D63" s="8">
        <v>10867</v>
      </c>
      <c r="E63" s="8">
        <v>12765</v>
      </c>
      <c r="F63" s="8">
        <v>19160</v>
      </c>
    </row>
    <row r="64" spans="1:6" x14ac:dyDescent="0.25">
      <c r="A64" s="9" t="s">
        <v>175</v>
      </c>
      <c r="B64" s="9">
        <v>47373</v>
      </c>
      <c r="C64" s="9">
        <v>4619</v>
      </c>
      <c r="D64" s="9">
        <v>11494</v>
      </c>
      <c r="E64" s="9">
        <v>12510</v>
      </c>
      <c r="F64" s="9">
        <v>19252</v>
      </c>
    </row>
    <row r="65" spans="1:6" x14ac:dyDescent="0.25">
      <c r="A65" s="8" t="s">
        <v>176</v>
      </c>
      <c r="B65" s="8">
        <v>49127</v>
      </c>
      <c r="C65" s="8">
        <v>8528</v>
      </c>
      <c r="D65" s="8">
        <v>11344</v>
      </c>
      <c r="E65" s="8">
        <v>12660</v>
      </c>
      <c r="F65" s="8">
        <v>19101</v>
      </c>
    </row>
    <row r="66" spans="1:6" x14ac:dyDescent="0.25">
      <c r="A66" s="8" t="s">
        <v>177</v>
      </c>
      <c r="B66" s="8">
        <v>47014</v>
      </c>
      <c r="C66" s="8">
        <v>2609</v>
      </c>
      <c r="D66" s="8">
        <v>11258</v>
      </c>
      <c r="E66" s="8">
        <v>13711</v>
      </c>
      <c r="F66" s="8">
        <v>19215</v>
      </c>
    </row>
    <row r="67" spans="1:6" x14ac:dyDescent="0.25">
      <c r="A67" s="8" t="s">
        <v>178</v>
      </c>
      <c r="B67" s="8">
        <v>47249</v>
      </c>
      <c r="C67" s="8">
        <v>645</v>
      </c>
      <c r="D67" s="8">
        <v>11580</v>
      </c>
      <c r="E67" s="8">
        <v>14657</v>
      </c>
      <c r="F67" s="8">
        <v>19338</v>
      </c>
    </row>
    <row r="68" spans="1:6" x14ac:dyDescent="0.25">
      <c r="A68" s="9" t="s">
        <v>179</v>
      </c>
      <c r="B68" s="9">
        <v>49989</v>
      </c>
      <c r="C68" s="9">
        <v>2998</v>
      </c>
      <c r="D68" s="9">
        <v>12315</v>
      </c>
      <c r="E68" s="9">
        <v>15375</v>
      </c>
      <c r="F68" s="9">
        <v>19800</v>
      </c>
    </row>
    <row r="69" spans="1:6" x14ac:dyDescent="0.25">
      <c r="A69" s="8" t="s">
        <v>180</v>
      </c>
      <c r="B69" s="8">
        <v>48539</v>
      </c>
      <c r="C69" s="8">
        <v>2321</v>
      </c>
      <c r="D69" s="8">
        <v>11805</v>
      </c>
      <c r="E69" s="8">
        <v>14837</v>
      </c>
      <c r="F69" s="8">
        <v>20242</v>
      </c>
    </row>
    <row r="70" spans="1:6" x14ac:dyDescent="0.25">
      <c r="A70" s="8" t="s">
        <v>181</v>
      </c>
      <c r="B70" s="8">
        <v>49510</v>
      </c>
      <c r="C70" s="8">
        <v>2810</v>
      </c>
      <c r="D70" s="8">
        <v>11539</v>
      </c>
      <c r="E70" s="8">
        <v>15297</v>
      </c>
      <c r="F70" s="8">
        <v>20376</v>
      </c>
    </row>
    <row r="71" spans="1:6" x14ac:dyDescent="0.25">
      <c r="A71" s="8" t="s">
        <v>182</v>
      </c>
      <c r="B71" s="8">
        <v>51243</v>
      </c>
      <c r="C71" s="8">
        <v>4079</v>
      </c>
      <c r="D71" s="8">
        <v>11897</v>
      </c>
      <c r="E71" s="8">
        <v>15511</v>
      </c>
      <c r="F71" s="8">
        <v>20185</v>
      </c>
    </row>
    <row r="72" spans="1:6" x14ac:dyDescent="0.25">
      <c r="A72" s="9" t="s">
        <v>183</v>
      </c>
      <c r="B72" s="9">
        <v>51038</v>
      </c>
      <c r="C72" s="9">
        <v>3898</v>
      </c>
      <c r="D72" s="9">
        <v>11885</v>
      </c>
      <c r="E72" s="9">
        <v>15294</v>
      </c>
      <c r="F72" s="9">
        <v>20269</v>
      </c>
    </row>
    <row r="73" spans="1:6" x14ac:dyDescent="0.25">
      <c r="A73" s="8" t="s">
        <v>184</v>
      </c>
      <c r="B73" s="8">
        <v>52059</v>
      </c>
      <c r="C73" s="8">
        <v>4355</v>
      </c>
      <c r="D73" s="8">
        <v>12042</v>
      </c>
      <c r="E73" s="8">
        <v>15126</v>
      </c>
      <c r="F73" s="8">
        <v>20487</v>
      </c>
    </row>
    <row r="74" spans="1:6" x14ac:dyDescent="0.25">
      <c r="A74" s="8" t="s">
        <v>185</v>
      </c>
      <c r="B74" s="8">
        <v>52215</v>
      </c>
      <c r="C74" s="8">
        <v>4796</v>
      </c>
      <c r="D74" s="8">
        <v>12940</v>
      </c>
      <c r="E74" s="8">
        <v>14823</v>
      </c>
      <c r="F74" s="8">
        <v>20476</v>
      </c>
    </row>
    <row r="75" spans="1:6" x14ac:dyDescent="0.25">
      <c r="A75" s="8" t="s">
        <v>186</v>
      </c>
      <c r="B75" s="8">
        <v>52581</v>
      </c>
      <c r="C75" s="8">
        <v>4393</v>
      </c>
      <c r="D75" s="8">
        <v>12942</v>
      </c>
      <c r="E75" s="8">
        <v>14882</v>
      </c>
      <c r="F75" s="8">
        <v>20456</v>
      </c>
    </row>
    <row r="76" spans="1:6" x14ac:dyDescent="0.25">
      <c r="A76" s="9" t="s">
        <v>187</v>
      </c>
      <c r="B76" s="9">
        <v>54474</v>
      </c>
      <c r="C76" s="9">
        <v>4745</v>
      </c>
      <c r="D76" s="9">
        <v>12791</v>
      </c>
      <c r="E76" s="9">
        <v>15611</v>
      </c>
      <c r="F76" s="9">
        <v>21333</v>
      </c>
    </row>
    <row r="77" spans="1:6" x14ac:dyDescent="0.25">
      <c r="A77" s="8" t="s">
        <v>188</v>
      </c>
      <c r="B77" s="8">
        <v>57960</v>
      </c>
      <c r="C77" s="8">
        <v>8564</v>
      </c>
      <c r="D77" s="8">
        <v>12070</v>
      </c>
      <c r="E77" s="8">
        <v>16782</v>
      </c>
      <c r="F77" s="8">
        <v>20821</v>
      </c>
    </row>
    <row r="78" spans="1:6" x14ac:dyDescent="0.25">
      <c r="A78" s="8" t="s">
        <v>189</v>
      </c>
      <c r="B78" s="8">
        <v>56395</v>
      </c>
      <c r="C78" s="8">
        <v>4768</v>
      </c>
      <c r="D78" s="8">
        <v>12326</v>
      </c>
      <c r="E78" s="8">
        <v>17957</v>
      </c>
      <c r="F78" s="8">
        <v>21628</v>
      </c>
    </row>
    <row r="79" spans="1:6" x14ac:dyDescent="0.25">
      <c r="A79" s="8" t="s">
        <v>190</v>
      </c>
      <c r="B79" s="8">
        <v>56508</v>
      </c>
      <c r="C79" s="8">
        <v>4499</v>
      </c>
      <c r="D79" s="8">
        <v>13004</v>
      </c>
      <c r="E79" s="8">
        <v>17939</v>
      </c>
      <c r="F79" s="8">
        <v>21412</v>
      </c>
    </row>
    <row r="80" spans="1:6" x14ac:dyDescent="0.25">
      <c r="A80" s="9" t="s">
        <v>191</v>
      </c>
      <c r="B80" s="9">
        <v>60238</v>
      </c>
      <c r="C80" s="9">
        <v>5688</v>
      </c>
      <c r="D80" s="9">
        <v>13680</v>
      </c>
      <c r="E80" s="9">
        <v>19124</v>
      </c>
      <c r="F80" s="9">
        <v>21564</v>
      </c>
    </row>
    <row r="81" spans="1:6" x14ac:dyDescent="0.25">
      <c r="A81" s="8" t="s">
        <v>192</v>
      </c>
      <c r="B81" s="8">
        <v>61684</v>
      </c>
      <c r="C81" s="8">
        <v>7729</v>
      </c>
      <c r="D81" s="8">
        <v>13686</v>
      </c>
      <c r="E81" s="8">
        <v>18932</v>
      </c>
      <c r="F81" s="8">
        <v>21958</v>
      </c>
    </row>
    <row r="82" spans="1:6" x14ac:dyDescent="0.25">
      <c r="A82" s="8" t="s">
        <v>193</v>
      </c>
      <c r="B82" s="8">
        <v>61499</v>
      </c>
      <c r="C82" s="8">
        <v>7146</v>
      </c>
      <c r="D82" s="8">
        <v>13678</v>
      </c>
      <c r="E82" s="8">
        <v>19405</v>
      </c>
      <c r="F82" s="8">
        <v>22124</v>
      </c>
    </row>
    <row r="83" spans="1:6" x14ac:dyDescent="0.25">
      <c r="A83" s="8" t="s">
        <v>194</v>
      </c>
      <c r="B83" s="8">
        <v>62975</v>
      </c>
      <c r="C83" s="8">
        <v>7752</v>
      </c>
      <c r="D83" s="8">
        <v>13763</v>
      </c>
      <c r="E83" s="8">
        <v>19289</v>
      </c>
      <c r="F83" s="8">
        <v>22269</v>
      </c>
    </row>
    <row r="84" spans="1:6" x14ac:dyDescent="0.25">
      <c r="A84" s="9" t="s">
        <v>195</v>
      </c>
      <c r="B84" s="9">
        <v>60645</v>
      </c>
      <c r="C84" s="9">
        <v>5111</v>
      </c>
      <c r="D84" s="9">
        <v>13218</v>
      </c>
      <c r="E84" s="9">
        <v>18903</v>
      </c>
      <c r="F84" s="9">
        <v>22299</v>
      </c>
    </row>
    <row r="85" spans="1:6" x14ac:dyDescent="0.25">
      <c r="A85" s="8" t="s">
        <v>196</v>
      </c>
      <c r="B85" s="8">
        <v>62040</v>
      </c>
      <c r="C85" s="8">
        <v>6207</v>
      </c>
      <c r="D85" s="8">
        <v>13754</v>
      </c>
      <c r="E85" s="8">
        <v>18998</v>
      </c>
      <c r="F85" s="8">
        <v>22292</v>
      </c>
    </row>
    <row r="86" spans="1:6" x14ac:dyDescent="0.25">
      <c r="A86" s="8" t="s">
        <v>197</v>
      </c>
      <c r="B86" s="8">
        <v>61730</v>
      </c>
      <c r="C86" s="8">
        <v>7221</v>
      </c>
      <c r="D86" s="8">
        <v>13781</v>
      </c>
      <c r="E86" s="8">
        <v>18067</v>
      </c>
      <c r="F86" s="8">
        <v>22625</v>
      </c>
    </row>
    <row r="87" spans="1:6" x14ac:dyDescent="0.25">
      <c r="A87" s="8" t="s">
        <v>198</v>
      </c>
      <c r="B87" s="8">
        <v>60681</v>
      </c>
      <c r="C87" s="8">
        <v>6625</v>
      </c>
      <c r="D87" s="8">
        <v>13769</v>
      </c>
      <c r="E87" s="8">
        <v>17850</v>
      </c>
      <c r="F87" s="8">
        <v>23099</v>
      </c>
    </row>
    <row r="88" spans="1:6" x14ac:dyDescent="0.25">
      <c r="A88" s="9" t="s">
        <v>199</v>
      </c>
      <c r="B88" s="9">
        <v>61713</v>
      </c>
      <c r="C88" s="9">
        <v>7213</v>
      </c>
      <c r="D88" s="9">
        <v>13799</v>
      </c>
      <c r="E88" s="9">
        <v>17850</v>
      </c>
      <c r="F88" s="9">
        <v>23510</v>
      </c>
    </row>
    <row r="89" spans="1:6" x14ac:dyDescent="0.25">
      <c r="A89" s="8" t="s">
        <v>200</v>
      </c>
      <c r="B89" s="8">
        <v>61342</v>
      </c>
      <c r="C89" s="8">
        <v>5286</v>
      </c>
      <c r="D89" s="8">
        <v>14159</v>
      </c>
      <c r="E89" s="8">
        <v>18439</v>
      </c>
      <c r="F89" s="8">
        <v>23442</v>
      </c>
    </row>
    <row r="90" spans="1:6" x14ac:dyDescent="0.25">
      <c r="A90" s="8" t="s">
        <v>201</v>
      </c>
      <c r="B90" s="8">
        <v>60055</v>
      </c>
      <c r="C90" s="8">
        <v>3146</v>
      </c>
      <c r="D90" s="8">
        <v>13910</v>
      </c>
      <c r="E90" s="8">
        <v>18771</v>
      </c>
      <c r="F90" s="8">
        <v>23639</v>
      </c>
    </row>
    <row r="91" spans="1:6" x14ac:dyDescent="0.25">
      <c r="A91" s="8" t="s">
        <v>202</v>
      </c>
      <c r="B91" s="8">
        <v>60115</v>
      </c>
      <c r="C91" s="8">
        <v>5537</v>
      </c>
      <c r="D91" s="8">
        <v>13771</v>
      </c>
      <c r="E91" s="8">
        <v>18752</v>
      </c>
      <c r="F91" s="8">
        <v>23205</v>
      </c>
    </row>
    <row r="92" spans="1:6" x14ac:dyDescent="0.25">
      <c r="A92" s="8" t="s">
        <v>203</v>
      </c>
      <c r="B92" s="8">
        <v>60536</v>
      </c>
      <c r="C92" s="8">
        <v>5730</v>
      </c>
      <c r="D92" s="8">
        <v>13199</v>
      </c>
      <c r="E92" s="8">
        <v>19596</v>
      </c>
      <c r="F92" s="8">
        <v>23154</v>
      </c>
    </row>
    <row r="93" spans="1:6" x14ac:dyDescent="0.25">
      <c r="A93" s="10" t="s">
        <v>204</v>
      </c>
      <c r="B93" s="10">
        <v>61201</v>
      </c>
      <c r="C93" s="10">
        <v>5200</v>
      </c>
      <c r="D93" s="10">
        <v>13146</v>
      </c>
      <c r="E93" s="10">
        <v>20282</v>
      </c>
      <c r="F93" s="10">
        <v>23788</v>
      </c>
    </row>
    <row r="94" spans="1:6" x14ac:dyDescent="0.25">
      <c r="A94" s="8" t="s">
        <v>205</v>
      </c>
      <c r="B94" s="8">
        <v>62181</v>
      </c>
      <c r="C94" s="8">
        <v>5704</v>
      </c>
      <c r="D94" s="8">
        <v>13352</v>
      </c>
      <c r="E94" s="8">
        <v>20140</v>
      </c>
      <c r="F94" s="8">
        <v>23934</v>
      </c>
    </row>
    <row r="95" spans="1:6" x14ac:dyDescent="0.25">
      <c r="A95" s="8" t="s">
        <v>206</v>
      </c>
      <c r="B95" s="8">
        <v>61932</v>
      </c>
      <c r="C95" s="8">
        <v>5112</v>
      </c>
      <c r="D95" s="8">
        <v>12808</v>
      </c>
      <c r="E95" s="8">
        <v>19516</v>
      </c>
      <c r="F95" s="8">
        <v>24382</v>
      </c>
    </row>
    <row r="96" spans="1:6" x14ac:dyDescent="0.25">
      <c r="A96" s="8" t="s">
        <v>207</v>
      </c>
      <c r="B96" s="8">
        <v>61994</v>
      </c>
      <c r="C96" s="8">
        <v>4365</v>
      </c>
      <c r="D96" s="8">
        <v>12785</v>
      </c>
      <c r="E96" s="8">
        <v>20023</v>
      </c>
      <c r="F96" s="8">
        <v>24606</v>
      </c>
    </row>
    <row r="97" spans="1:6" x14ac:dyDescent="0.25">
      <c r="A97" s="10" t="s">
        <v>208</v>
      </c>
      <c r="B97" s="10">
        <v>60599</v>
      </c>
      <c r="C97" s="10">
        <v>4784</v>
      </c>
      <c r="D97" s="10">
        <v>12776</v>
      </c>
      <c r="E97" s="10">
        <v>18617</v>
      </c>
      <c r="F97" s="10">
        <v>24827</v>
      </c>
    </row>
    <row r="98" spans="1:6" x14ac:dyDescent="0.25">
      <c r="A98" s="8" t="s">
        <v>209</v>
      </c>
      <c r="B98" s="8">
        <v>48951</v>
      </c>
      <c r="C98" s="8">
        <v>1926</v>
      </c>
      <c r="D98" s="8">
        <v>9328</v>
      </c>
      <c r="E98" s="8">
        <v>15586</v>
      </c>
      <c r="F98" s="8">
        <v>22805</v>
      </c>
    </row>
    <row r="99" spans="1:6" x14ac:dyDescent="0.25">
      <c r="A99" s="8" t="s">
        <v>210</v>
      </c>
      <c r="B99" s="8">
        <v>54710</v>
      </c>
      <c r="C99" s="8">
        <v>5158</v>
      </c>
      <c r="D99" s="8">
        <v>10588</v>
      </c>
      <c r="E99" s="8">
        <v>15976</v>
      </c>
      <c r="F99" s="8">
        <v>23108</v>
      </c>
    </row>
    <row r="100" spans="1:6" x14ac:dyDescent="0.25">
      <c r="A100" s="8" t="s">
        <v>211</v>
      </c>
      <c r="B100" s="8">
        <v>57775</v>
      </c>
      <c r="C100" s="8">
        <v>6213</v>
      </c>
      <c r="D100" s="8">
        <v>11930</v>
      </c>
      <c r="E100" s="8">
        <v>16390</v>
      </c>
      <c r="F100" s="8">
        <v>23284</v>
      </c>
    </row>
    <row r="101" spans="1:6" x14ac:dyDescent="0.25">
      <c r="A101" s="10" t="s">
        <v>212</v>
      </c>
      <c r="B101" s="10">
        <v>53828</v>
      </c>
      <c r="C101" s="10">
        <v>3337</v>
      </c>
      <c r="D101" s="10">
        <v>12234</v>
      </c>
      <c r="E101" s="10">
        <v>15190</v>
      </c>
      <c r="F101" s="10">
        <v>23309</v>
      </c>
    </row>
    <row r="102" spans="1:6" x14ac:dyDescent="0.25">
      <c r="A102" s="8" t="s">
        <v>213</v>
      </c>
      <c r="B102" s="8">
        <v>57987</v>
      </c>
      <c r="C102" s="8">
        <v>3285</v>
      </c>
      <c r="D102" s="8">
        <v>12335</v>
      </c>
      <c r="E102" s="8">
        <v>17157</v>
      </c>
      <c r="F102" s="8">
        <v>25406</v>
      </c>
    </row>
    <row r="103" spans="1:6" x14ac:dyDescent="0.25">
      <c r="A103" s="8" t="s">
        <v>214</v>
      </c>
      <c r="B103" s="8">
        <v>56998</v>
      </c>
      <c r="C103" s="8">
        <v>4099</v>
      </c>
      <c r="D103" s="8">
        <v>12874</v>
      </c>
      <c r="E103" s="8">
        <v>16339</v>
      </c>
      <c r="F103" s="8">
        <v>23862</v>
      </c>
    </row>
    <row r="104" spans="1:6" x14ac:dyDescent="0.25">
      <c r="A104" s="8" t="s">
        <v>215</v>
      </c>
      <c r="B104" s="8">
        <v>57178</v>
      </c>
      <c r="C104" s="8">
        <v>4875</v>
      </c>
      <c r="D104" s="8">
        <v>12327</v>
      </c>
      <c r="E104" s="8">
        <v>16117</v>
      </c>
      <c r="F104" s="8">
        <v>23939</v>
      </c>
    </row>
    <row r="105" spans="1:6" x14ac:dyDescent="0.25">
      <c r="A105" s="10" t="s">
        <v>345</v>
      </c>
      <c r="B105" s="10">
        <v>58902</v>
      </c>
      <c r="C105" s="10">
        <v>4253</v>
      </c>
      <c r="D105" s="10">
        <v>13621</v>
      </c>
      <c r="E105" s="10">
        <v>17192</v>
      </c>
      <c r="F105" s="10">
        <v>23833</v>
      </c>
    </row>
    <row r="106" spans="1:6" x14ac:dyDescent="0.25">
      <c r="A106" s="8" t="s">
        <v>346</v>
      </c>
      <c r="B106" s="8">
        <v>60332</v>
      </c>
      <c r="C106" s="8">
        <v>6400</v>
      </c>
      <c r="D106" s="8">
        <v>14053</v>
      </c>
      <c r="E106" s="8">
        <v>16578</v>
      </c>
      <c r="F106" s="8">
        <v>23301</v>
      </c>
    </row>
    <row r="107" spans="1:6" x14ac:dyDescent="0.25">
      <c r="A107" s="8" t="s">
        <v>347</v>
      </c>
      <c r="B107" s="8">
        <v>60887</v>
      </c>
      <c r="C107" s="8">
        <v>6283</v>
      </c>
      <c r="D107" s="8">
        <v>14340</v>
      </c>
      <c r="E107" s="8">
        <v>16606</v>
      </c>
      <c r="F107" s="8">
        <v>23658</v>
      </c>
    </row>
    <row r="108" spans="1:6" x14ac:dyDescent="0.25">
      <c r="A108" s="8" t="s">
        <v>348</v>
      </c>
      <c r="B108" s="8">
        <v>59248</v>
      </c>
      <c r="C108" s="8">
        <v>6882</v>
      </c>
      <c r="D108" s="8">
        <v>13239</v>
      </c>
      <c r="E108" s="8">
        <v>15674</v>
      </c>
      <c r="F108" s="8">
        <v>23453</v>
      </c>
    </row>
    <row r="109" spans="1:6" x14ac:dyDescent="0.25">
      <c r="A109" s="10" t="s">
        <v>349</v>
      </c>
      <c r="B109" s="10">
        <v>62482</v>
      </c>
      <c r="C109" s="10">
        <v>7589</v>
      </c>
      <c r="D109" s="10">
        <v>14165</v>
      </c>
      <c r="E109" s="10">
        <v>16879</v>
      </c>
      <c r="F109" s="10">
        <v>23849</v>
      </c>
    </row>
    <row r="110" spans="1:6" x14ac:dyDescent="0.25">
      <c r="A110" s="8" t="s">
        <v>350</v>
      </c>
      <c r="B110" s="8">
        <v>62152</v>
      </c>
      <c r="C110" s="8">
        <v>8314</v>
      </c>
      <c r="D110" s="8">
        <v>14041</v>
      </c>
      <c r="E110" s="8">
        <v>15639</v>
      </c>
      <c r="F110" s="8">
        <v>24158</v>
      </c>
    </row>
    <row r="111" spans="1:6" x14ac:dyDescent="0.25">
      <c r="A111" s="8" t="s">
        <v>351</v>
      </c>
      <c r="B111" s="8">
        <v>60296</v>
      </c>
      <c r="C111" s="8">
        <v>7755</v>
      </c>
      <c r="D111" s="8">
        <v>13672</v>
      </c>
      <c r="E111" s="8">
        <v>15138</v>
      </c>
      <c r="F111" s="8">
        <v>23731</v>
      </c>
    </row>
    <row r="112" spans="1:6" x14ac:dyDescent="0.25">
      <c r="A112" s="8" t="s">
        <v>352</v>
      </c>
      <c r="B112" s="8">
        <v>61021</v>
      </c>
      <c r="C112" s="8">
        <v>8018</v>
      </c>
      <c r="D112" s="8">
        <v>13487</v>
      </c>
      <c r="E112" s="8">
        <v>16032</v>
      </c>
      <c r="F112" s="8">
        <v>23484</v>
      </c>
    </row>
    <row r="113" spans="1:6" x14ac:dyDescent="0.25">
      <c r="A113" s="10" t="s">
        <v>353</v>
      </c>
      <c r="B113" s="10">
        <v>61370</v>
      </c>
      <c r="C113" s="10">
        <v>7879</v>
      </c>
      <c r="D113" s="10">
        <v>14143</v>
      </c>
      <c r="E113" s="10">
        <v>16092</v>
      </c>
      <c r="F113" s="10">
        <v>23256</v>
      </c>
    </row>
    <row r="114" spans="1:6" x14ac:dyDescent="0.25">
      <c r="A114" s="10" t="s">
        <v>354</v>
      </c>
      <c r="B114" s="10">
        <v>62250</v>
      </c>
      <c r="C114" s="10">
        <v>8566</v>
      </c>
      <c r="D114" s="10">
        <v>13217</v>
      </c>
      <c r="E114" s="10">
        <v>16788</v>
      </c>
      <c r="F114" s="10">
        <v>23679</v>
      </c>
    </row>
    <row r="115" spans="1:6" x14ac:dyDescent="0.25">
      <c r="A115" s="7"/>
      <c r="B115" s="11"/>
      <c r="C115" s="7"/>
      <c r="D115" s="7"/>
      <c r="E115" s="7"/>
      <c r="F115" s="7"/>
    </row>
    <row r="116" spans="1:6" x14ac:dyDescent="0.25">
      <c r="A116" s="7" t="s">
        <v>1278</v>
      </c>
      <c r="B116" s="11"/>
      <c r="C116" s="7"/>
      <c r="D116" s="7"/>
      <c r="E116" s="7"/>
      <c r="F116" s="7"/>
    </row>
    <row r="117" spans="1:6" x14ac:dyDescent="0.25">
      <c r="A117" s="7" t="s">
        <v>1271</v>
      </c>
      <c r="B117" s="11" t="s">
        <v>1272</v>
      </c>
      <c r="C117" s="7" t="s">
        <v>1273</v>
      </c>
      <c r="D117" s="7" t="s">
        <v>1274</v>
      </c>
      <c r="E117" s="7" t="s">
        <v>1275</v>
      </c>
      <c r="F117" s="7" t="s">
        <v>1276</v>
      </c>
    </row>
    <row r="118" spans="1:6" x14ac:dyDescent="0.25">
      <c r="A118" s="7" t="s">
        <v>1277</v>
      </c>
      <c r="B118" s="11" t="s">
        <v>111</v>
      </c>
      <c r="C118" s="7" t="s">
        <v>1279</v>
      </c>
      <c r="D118" s="7" t="s">
        <v>1279</v>
      </c>
      <c r="E118" s="7" t="s">
        <v>1279</v>
      </c>
      <c r="F118" s="7" t="s">
        <v>1279</v>
      </c>
    </row>
    <row r="119" spans="1:6" x14ac:dyDescent="0.25">
      <c r="A119" s="7" t="s">
        <v>117</v>
      </c>
      <c r="B119" s="7">
        <v>4.4000000000000004</v>
      </c>
      <c r="C119" s="7">
        <v>2.7</v>
      </c>
      <c r="D119" s="7">
        <v>5.8</v>
      </c>
      <c r="E119" s="7">
        <v>4</v>
      </c>
      <c r="F119" s="7">
        <v>4.5999999999999996</v>
      </c>
    </row>
    <row r="120" spans="1:6" x14ac:dyDescent="0.25">
      <c r="A120" s="7" t="s">
        <v>118</v>
      </c>
      <c r="B120" s="7">
        <v>6.1</v>
      </c>
      <c r="C120" s="7">
        <v>6.6</v>
      </c>
      <c r="D120" s="7">
        <v>8.1</v>
      </c>
      <c r="E120" s="7">
        <v>5.4</v>
      </c>
      <c r="F120" s="7">
        <v>4.5</v>
      </c>
    </row>
    <row r="121" spans="1:6" x14ac:dyDescent="0.25">
      <c r="A121" s="7" t="s">
        <v>119</v>
      </c>
      <c r="B121" s="7">
        <v>2.6</v>
      </c>
      <c r="C121" s="7">
        <v>-4.0999999999999996</v>
      </c>
      <c r="D121" s="7">
        <v>2.1</v>
      </c>
      <c r="E121" s="7">
        <v>5.5</v>
      </c>
      <c r="F121" s="7">
        <v>2.8</v>
      </c>
    </row>
    <row r="122" spans="1:6" x14ac:dyDescent="0.25">
      <c r="A122" t="s">
        <v>120</v>
      </c>
      <c r="B122">
        <v>1.6</v>
      </c>
      <c r="C122">
        <v>18.600000000000001</v>
      </c>
      <c r="D122">
        <v>-3.2</v>
      </c>
      <c r="E122">
        <v>-1.2</v>
      </c>
      <c r="F122">
        <v>2.2999999999999998</v>
      </c>
    </row>
    <row r="123" spans="1:6" x14ac:dyDescent="0.25">
      <c r="A123" t="s">
        <v>121</v>
      </c>
      <c r="B123">
        <v>-0.4</v>
      </c>
      <c r="C123">
        <v>-10.7</v>
      </c>
      <c r="D123">
        <v>2</v>
      </c>
      <c r="E123">
        <v>-1.6</v>
      </c>
      <c r="F123">
        <v>1</v>
      </c>
    </row>
    <row r="124" spans="1:6" x14ac:dyDescent="0.25">
      <c r="A124" t="s">
        <v>122</v>
      </c>
      <c r="B124">
        <v>-0.9</v>
      </c>
      <c r="C124">
        <v>-3.2</v>
      </c>
      <c r="D124">
        <v>-3</v>
      </c>
      <c r="E124">
        <v>2.1</v>
      </c>
      <c r="F124">
        <v>2</v>
      </c>
    </row>
    <row r="125" spans="1:6" x14ac:dyDescent="0.25">
      <c r="A125" t="s">
        <v>123</v>
      </c>
      <c r="B125">
        <v>2.5</v>
      </c>
      <c r="C125">
        <v>12.1</v>
      </c>
      <c r="D125">
        <v>2.2000000000000002</v>
      </c>
      <c r="E125">
        <v>3.4</v>
      </c>
      <c r="F125">
        <v>1.4</v>
      </c>
    </row>
    <row r="126" spans="1:6" x14ac:dyDescent="0.25">
      <c r="A126" t="s">
        <v>124</v>
      </c>
      <c r="B126">
        <v>-0.7</v>
      </c>
      <c r="C126">
        <v>4</v>
      </c>
      <c r="D126">
        <v>3.9</v>
      </c>
      <c r="E126">
        <v>-6.3</v>
      </c>
      <c r="F126">
        <v>-2.6</v>
      </c>
    </row>
    <row r="127" spans="1:6" x14ac:dyDescent="0.25">
      <c r="A127" t="s">
        <v>125</v>
      </c>
      <c r="B127">
        <v>0.1</v>
      </c>
      <c r="C127">
        <v>-12</v>
      </c>
      <c r="D127">
        <v>-3.2</v>
      </c>
      <c r="E127">
        <v>2.8</v>
      </c>
      <c r="F127">
        <v>-1.4</v>
      </c>
    </row>
    <row r="128" spans="1:6" x14ac:dyDescent="0.25">
      <c r="A128" t="s">
        <v>126</v>
      </c>
      <c r="B128">
        <v>2.9</v>
      </c>
      <c r="C128">
        <v>7</v>
      </c>
      <c r="D128">
        <v>10</v>
      </c>
      <c r="E128">
        <v>1.8</v>
      </c>
      <c r="F128">
        <v>1.5</v>
      </c>
    </row>
    <row r="129" spans="1:6" x14ac:dyDescent="0.25">
      <c r="A129" t="s">
        <v>127</v>
      </c>
      <c r="B129">
        <v>-1</v>
      </c>
      <c r="C129">
        <v>3</v>
      </c>
      <c r="D129">
        <v>-10</v>
      </c>
      <c r="E129">
        <v>4.9000000000000004</v>
      </c>
      <c r="F129">
        <v>0.8</v>
      </c>
    </row>
    <row r="130" spans="1:6" x14ac:dyDescent="0.25">
      <c r="A130" t="s">
        <v>128</v>
      </c>
      <c r="B130">
        <v>4</v>
      </c>
      <c r="C130">
        <v>-18.3</v>
      </c>
      <c r="D130">
        <v>16.8</v>
      </c>
      <c r="E130">
        <v>-1.5</v>
      </c>
      <c r="F130">
        <v>5.3</v>
      </c>
    </row>
    <row r="131" spans="1:6" x14ac:dyDescent="0.25">
      <c r="A131" t="s">
        <v>129</v>
      </c>
      <c r="B131">
        <v>5.8</v>
      </c>
      <c r="C131">
        <v>4.0999999999999996</v>
      </c>
      <c r="D131">
        <v>27</v>
      </c>
      <c r="E131">
        <v>-9.1</v>
      </c>
      <c r="F131">
        <v>1.8</v>
      </c>
    </row>
    <row r="132" spans="1:6" x14ac:dyDescent="0.25">
      <c r="A132" t="s">
        <v>130</v>
      </c>
      <c r="B132">
        <v>-6.7</v>
      </c>
      <c r="C132">
        <v>-4.4000000000000004</v>
      </c>
      <c r="D132">
        <v>-18.5</v>
      </c>
      <c r="E132">
        <v>-0.9</v>
      </c>
      <c r="F132">
        <v>-1</v>
      </c>
    </row>
    <row r="133" spans="1:6" x14ac:dyDescent="0.25">
      <c r="A133" t="s">
        <v>131</v>
      </c>
      <c r="B133">
        <v>3.6</v>
      </c>
      <c r="C133">
        <v>15.7</v>
      </c>
      <c r="D133">
        <v>0.6</v>
      </c>
      <c r="E133">
        <v>8.9</v>
      </c>
      <c r="F133">
        <v>0.9</v>
      </c>
    </row>
    <row r="134" spans="1:6" x14ac:dyDescent="0.25">
      <c r="A134" t="s">
        <v>132</v>
      </c>
      <c r="B134">
        <v>-0.6</v>
      </c>
      <c r="C134">
        <v>-7.5</v>
      </c>
      <c r="D134">
        <v>7.5</v>
      </c>
      <c r="E134">
        <v>-2.2999999999999998</v>
      </c>
      <c r="F134">
        <v>-2.6</v>
      </c>
    </row>
    <row r="135" spans="1:6" x14ac:dyDescent="0.25">
      <c r="A135" t="s">
        <v>133</v>
      </c>
      <c r="B135">
        <v>0.9</v>
      </c>
      <c r="C135">
        <v>34.1</v>
      </c>
      <c r="D135">
        <v>-7</v>
      </c>
      <c r="E135">
        <v>-1.7</v>
      </c>
      <c r="F135">
        <v>0.9</v>
      </c>
    </row>
    <row r="136" spans="1:6" x14ac:dyDescent="0.25">
      <c r="A136" t="s">
        <v>134</v>
      </c>
      <c r="B136">
        <v>0</v>
      </c>
      <c r="C136">
        <v>-8.9</v>
      </c>
      <c r="D136">
        <v>3.9</v>
      </c>
      <c r="E136">
        <v>-8.5</v>
      </c>
      <c r="F136">
        <v>-0.4</v>
      </c>
    </row>
    <row r="137" spans="1:6" x14ac:dyDescent="0.25">
      <c r="A137" t="s">
        <v>135</v>
      </c>
      <c r="B137">
        <v>-4.2</v>
      </c>
      <c r="C137">
        <v>-13.7</v>
      </c>
      <c r="D137">
        <v>2.5</v>
      </c>
      <c r="E137">
        <v>-7.4</v>
      </c>
      <c r="F137">
        <v>0.4</v>
      </c>
    </row>
    <row r="138" spans="1:6" x14ac:dyDescent="0.25">
      <c r="A138" t="s">
        <v>136</v>
      </c>
      <c r="B138">
        <v>-1.8</v>
      </c>
      <c r="C138">
        <v>7.3</v>
      </c>
      <c r="D138">
        <v>-1.4</v>
      </c>
      <c r="E138">
        <v>-1.6</v>
      </c>
      <c r="F138">
        <v>-1.8</v>
      </c>
    </row>
    <row r="139" spans="1:6" x14ac:dyDescent="0.25">
      <c r="A139" t="s">
        <v>137</v>
      </c>
      <c r="B139">
        <v>-1</v>
      </c>
      <c r="C139">
        <v>14.9</v>
      </c>
      <c r="D139">
        <v>3.6</v>
      </c>
      <c r="E139">
        <v>-8.6999999999999993</v>
      </c>
      <c r="F139">
        <v>-0.3</v>
      </c>
    </row>
    <row r="140" spans="1:6" x14ac:dyDescent="0.25">
      <c r="A140" t="s">
        <v>138</v>
      </c>
      <c r="B140">
        <v>5.5</v>
      </c>
      <c r="C140">
        <v>-1.7</v>
      </c>
      <c r="D140">
        <v>-5.2</v>
      </c>
      <c r="E140">
        <v>3.9</v>
      </c>
      <c r="F140">
        <v>3.7</v>
      </c>
    </row>
    <row r="141" spans="1:6" x14ac:dyDescent="0.25">
      <c r="A141" t="s">
        <v>139</v>
      </c>
      <c r="B141">
        <v>4</v>
      </c>
      <c r="C141">
        <v>2.1</v>
      </c>
      <c r="D141">
        <v>4.3</v>
      </c>
      <c r="E141">
        <v>17.600000000000001</v>
      </c>
      <c r="F141">
        <v>1.4</v>
      </c>
    </row>
    <row r="142" spans="1:6" x14ac:dyDescent="0.25">
      <c r="A142" t="s">
        <v>140</v>
      </c>
      <c r="B142">
        <v>-0.1</v>
      </c>
      <c r="C142">
        <v>-5.2</v>
      </c>
      <c r="D142">
        <v>-2.6</v>
      </c>
      <c r="E142">
        <v>5.5</v>
      </c>
      <c r="F142">
        <v>1.7</v>
      </c>
    </row>
    <row r="143" spans="1:6" x14ac:dyDescent="0.25">
      <c r="A143" t="s">
        <v>141</v>
      </c>
      <c r="B143">
        <v>-9.5</v>
      </c>
      <c r="C143">
        <v>-15.5</v>
      </c>
      <c r="D143">
        <v>-11.7</v>
      </c>
      <c r="E143">
        <v>-12.6</v>
      </c>
      <c r="F143">
        <v>3.2</v>
      </c>
    </row>
    <row r="144" spans="1:6" x14ac:dyDescent="0.25">
      <c r="A144" t="s">
        <v>142</v>
      </c>
      <c r="B144">
        <v>2.5</v>
      </c>
      <c r="C144">
        <v>15.2</v>
      </c>
      <c r="D144">
        <v>3</v>
      </c>
      <c r="E144">
        <v>-10.3</v>
      </c>
      <c r="F144">
        <v>-0.4</v>
      </c>
    </row>
    <row r="145" spans="1:6" x14ac:dyDescent="0.25">
      <c r="A145" t="s">
        <v>143</v>
      </c>
      <c r="B145">
        <v>-0.6</v>
      </c>
      <c r="C145">
        <v>-5.8</v>
      </c>
      <c r="D145">
        <v>-5.4</v>
      </c>
      <c r="E145">
        <v>11.7</v>
      </c>
      <c r="F145">
        <v>-0.8</v>
      </c>
    </row>
    <row r="146" spans="1:6" x14ac:dyDescent="0.25">
      <c r="A146" t="s">
        <v>144</v>
      </c>
      <c r="B146">
        <v>0.8</v>
      </c>
      <c r="C146">
        <v>-3.4</v>
      </c>
      <c r="D146">
        <v>0.7</v>
      </c>
      <c r="E146">
        <v>3.7</v>
      </c>
      <c r="F146">
        <v>0.5</v>
      </c>
    </row>
    <row r="147" spans="1:6" x14ac:dyDescent="0.25">
      <c r="A147" t="s">
        <v>145</v>
      </c>
      <c r="B147">
        <v>-8</v>
      </c>
      <c r="C147">
        <v>1</v>
      </c>
      <c r="D147">
        <v>6</v>
      </c>
      <c r="E147">
        <v>-24.7</v>
      </c>
      <c r="F147">
        <v>1</v>
      </c>
    </row>
    <row r="148" spans="1:6" x14ac:dyDescent="0.25">
      <c r="A148" t="s">
        <v>146</v>
      </c>
      <c r="B148">
        <v>5.9</v>
      </c>
      <c r="C148">
        <v>-3</v>
      </c>
      <c r="D148">
        <v>0.1</v>
      </c>
      <c r="E148">
        <v>6.1</v>
      </c>
      <c r="F148">
        <v>3.7</v>
      </c>
    </row>
    <row r="149" spans="1:6" x14ac:dyDescent="0.25">
      <c r="A149" t="s">
        <v>147</v>
      </c>
      <c r="B149">
        <v>2.2000000000000002</v>
      </c>
      <c r="C149">
        <v>-2.6</v>
      </c>
      <c r="D149">
        <v>-0.9</v>
      </c>
      <c r="E149">
        <v>8.1999999999999993</v>
      </c>
      <c r="F149">
        <v>1.3</v>
      </c>
    </row>
    <row r="150" spans="1:6" x14ac:dyDescent="0.25">
      <c r="A150" t="s">
        <v>148</v>
      </c>
      <c r="B150">
        <v>-0.5</v>
      </c>
      <c r="C150">
        <v>-2.6</v>
      </c>
      <c r="D150">
        <v>-4.8</v>
      </c>
      <c r="E150">
        <v>-1.1000000000000001</v>
      </c>
      <c r="F150">
        <v>3.2</v>
      </c>
    </row>
    <row r="151" spans="1:6" x14ac:dyDescent="0.25">
      <c r="A151" t="s">
        <v>149</v>
      </c>
      <c r="B151">
        <v>55.6</v>
      </c>
      <c r="C151">
        <v>9.6999999999999993</v>
      </c>
      <c r="D151">
        <v>220.1</v>
      </c>
      <c r="E151">
        <v>3.6</v>
      </c>
      <c r="F151">
        <v>1.8</v>
      </c>
    </row>
    <row r="152" spans="1:6" x14ac:dyDescent="0.25">
      <c r="A152" t="s">
        <v>150</v>
      </c>
      <c r="B152">
        <v>-32.200000000000003</v>
      </c>
      <c r="C152">
        <v>-5.0999999999999996</v>
      </c>
      <c r="D152">
        <v>-61.8</v>
      </c>
      <c r="E152">
        <v>-5</v>
      </c>
      <c r="F152">
        <v>-0.5</v>
      </c>
    </row>
    <row r="153" spans="1:6" x14ac:dyDescent="0.25">
      <c r="A153" t="s">
        <v>151</v>
      </c>
      <c r="B153">
        <v>-0.5</v>
      </c>
      <c r="C153">
        <v>5.2</v>
      </c>
      <c r="D153">
        <v>-0.1</v>
      </c>
      <c r="E153">
        <v>0.2</v>
      </c>
      <c r="F153">
        <v>1.5</v>
      </c>
    </row>
    <row r="154" spans="1:6" x14ac:dyDescent="0.25">
      <c r="A154" t="s">
        <v>152</v>
      </c>
      <c r="B154">
        <v>5.0999999999999996</v>
      </c>
      <c r="C154">
        <v>13.8</v>
      </c>
      <c r="D154">
        <v>1.3</v>
      </c>
      <c r="E154">
        <v>2.9</v>
      </c>
      <c r="F154">
        <v>-1.5</v>
      </c>
    </row>
    <row r="155" spans="1:6" x14ac:dyDescent="0.25">
      <c r="A155" t="s">
        <v>153</v>
      </c>
      <c r="B155">
        <v>-3.9</v>
      </c>
      <c r="C155">
        <v>-15.2</v>
      </c>
      <c r="D155">
        <v>2.4</v>
      </c>
      <c r="E155">
        <v>4.5999999999999996</v>
      </c>
      <c r="F155">
        <v>-0.5</v>
      </c>
    </row>
    <row r="156" spans="1:6" x14ac:dyDescent="0.25">
      <c r="A156" t="s">
        <v>154</v>
      </c>
      <c r="B156">
        <v>7.7</v>
      </c>
      <c r="C156">
        <v>27.3</v>
      </c>
      <c r="D156">
        <v>7</v>
      </c>
      <c r="E156">
        <v>2.2999999999999998</v>
      </c>
      <c r="F156">
        <v>0.3</v>
      </c>
    </row>
    <row r="157" spans="1:6" x14ac:dyDescent="0.25">
      <c r="A157" t="s">
        <v>155</v>
      </c>
      <c r="B157">
        <v>0.2</v>
      </c>
      <c r="C157">
        <v>-1.8</v>
      </c>
      <c r="D157">
        <v>-1.4</v>
      </c>
      <c r="E157">
        <v>0.9</v>
      </c>
      <c r="F157">
        <v>1.5</v>
      </c>
    </row>
    <row r="158" spans="1:6" x14ac:dyDescent="0.25">
      <c r="A158" t="s">
        <v>156</v>
      </c>
      <c r="B158">
        <v>4.8</v>
      </c>
      <c r="C158">
        <v>2.5</v>
      </c>
      <c r="D158">
        <v>4.7</v>
      </c>
      <c r="E158">
        <v>2</v>
      </c>
      <c r="F158">
        <v>0.9</v>
      </c>
    </row>
    <row r="159" spans="1:6" x14ac:dyDescent="0.25">
      <c r="A159" t="s">
        <v>157</v>
      </c>
      <c r="B159">
        <v>1.4</v>
      </c>
      <c r="C159">
        <v>-2.6</v>
      </c>
      <c r="D159">
        <v>4.8</v>
      </c>
      <c r="E159">
        <v>11.8</v>
      </c>
      <c r="F159">
        <v>0.6</v>
      </c>
    </row>
    <row r="160" spans="1:6" x14ac:dyDescent="0.25">
      <c r="A160" t="s">
        <v>158</v>
      </c>
      <c r="B160">
        <v>-4.4000000000000004</v>
      </c>
      <c r="C160">
        <v>-3.1</v>
      </c>
      <c r="D160">
        <v>3.2</v>
      </c>
      <c r="E160">
        <v>-16.2</v>
      </c>
      <c r="F160">
        <v>-0.4</v>
      </c>
    </row>
    <row r="161" spans="1:6" x14ac:dyDescent="0.25">
      <c r="A161" t="s">
        <v>159</v>
      </c>
      <c r="B161">
        <v>8.4</v>
      </c>
      <c r="C161">
        <v>-5.7</v>
      </c>
      <c r="D161">
        <v>7.8</v>
      </c>
      <c r="E161">
        <v>19.899999999999999</v>
      </c>
      <c r="F161">
        <v>3.6</v>
      </c>
    </row>
    <row r="162" spans="1:6" x14ac:dyDescent="0.25">
      <c r="A162" t="s">
        <v>160</v>
      </c>
      <c r="B162">
        <v>-7.3</v>
      </c>
      <c r="C162">
        <v>-5.7</v>
      </c>
      <c r="D162">
        <v>-10.199999999999999</v>
      </c>
      <c r="E162">
        <v>-14</v>
      </c>
      <c r="F162">
        <v>0.3</v>
      </c>
    </row>
    <row r="163" spans="1:6" x14ac:dyDescent="0.25">
      <c r="A163" t="s">
        <v>161</v>
      </c>
      <c r="B163">
        <v>3.8</v>
      </c>
      <c r="C163">
        <v>25.5</v>
      </c>
      <c r="D163">
        <v>3.9</v>
      </c>
      <c r="E163">
        <v>3.6</v>
      </c>
      <c r="F163">
        <v>0.7</v>
      </c>
    </row>
    <row r="164" spans="1:6" x14ac:dyDescent="0.25">
      <c r="A164" t="s">
        <v>162</v>
      </c>
      <c r="B164">
        <v>-3.8</v>
      </c>
      <c r="C164">
        <v>-18.5</v>
      </c>
      <c r="D164">
        <v>-5.5</v>
      </c>
      <c r="E164">
        <v>-6.6</v>
      </c>
      <c r="F164">
        <v>0.9</v>
      </c>
    </row>
    <row r="165" spans="1:6" x14ac:dyDescent="0.25">
      <c r="A165" t="s">
        <v>163</v>
      </c>
      <c r="B165">
        <v>-3.4</v>
      </c>
      <c r="C165">
        <v>2.2000000000000002</v>
      </c>
      <c r="D165">
        <v>-10.1</v>
      </c>
      <c r="E165">
        <v>-3</v>
      </c>
      <c r="F165">
        <v>0.1</v>
      </c>
    </row>
    <row r="166" spans="1:6" x14ac:dyDescent="0.25">
      <c r="A166" t="s">
        <v>164</v>
      </c>
      <c r="B166">
        <v>-9</v>
      </c>
      <c r="C166">
        <v>-7.5</v>
      </c>
      <c r="D166">
        <v>-6.6</v>
      </c>
      <c r="E166">
        <v>-20.5</v>
      </c>
      <c r="F166">
        <v>-0.6</v>
      </c>
    </row>
    <row r="167" spans="1:6" x14ac:dyDescent="0.25">
      <c r="A167" t="s">
        <v>165</v>
      </c>
      <c r="B167">
        <v>-5.2</v>
      </c>
      <c r="C167">
        <v>9.1</v>
      </c>
      <c r="D167">
        <v>-19.100000000000001</v>
      </c>
      <c r="E167">
        <v>-4.2</v>
      </c>
      <c r="F167">
        <v>0.7</v>
      </c>
    </row>
    <row r="168" spans="1:6" x14ac:dyDescent="0.25">
      <c r="A168" t="s">
        <v>166</v>
      </c>
      <c r="B168">
        <v>-2.2000000000000002</v>
      </c>
      <c r="C168">
        <v>-7.3</v>
      </c>
      <c r="D168">
        <v>-2.2000000000000002</v>
      </c>
      <c r="E168">
        <v>-4.3</v>
      </c>
      <c r="F168">
        <v>-0.3</v>
      </c>
    </row>
    <row r="169" spans="1:6" x14ac:dyDescent="0.25">
      <c r="A169" t="s">
        <v>167</v>
      </c>
      <c r="B169">
        <v>-0.9</v>
      </c>
      <c r="C169">
        <v>-13.5</v>
      </c>
      <c r="D169">
        <v>1.9</v>
      </c>
      <c r="E169">
        <v>-3.8</v>
      </c>
      <c r="F169">
        <v>1.9</v>
      </c>
    </row>
    <row r="170" spans="1:6" x14ac:dyDescent="0.25">
      <c r="A170" t="s">
        <v>168</v>
      </c>
      <c r="B170">
        <v>4.7</v>
      </c>
      <c r="C170">
        <v>20.7</v>
      </c>
      <c r="D170">
        <v>2.1</v>
      </c>
      <c r="E170">
        <v>4</v>
      </c>
      <c r="F170">
        <v>2</v>
      </c>
    </row>
    <row r="171" spans="1:6" x14ac:dyDescent="0.25">
      <c r="A171" t="s">
        <v>169</v>
      </c>
      <c r="B171">
        <v>-1.5</v>
      </c>
      <c r="C171">
        <v>-11</v>
      </c>
      <c r="D171">
        <v>1.4</v>
      </c>
      <c r="E171">
        <v>0.4</v>
      </c>
      <c r="F171">
        <v>0.4</v>
      </c>
    </row>
    <row r="172" spans="1:6" x14ac:dyDescent="0.25">
      <c r="A172" t="s">
        <v>170</v>
      </c>
      <c r="B172">
        <v>4.5</v>
      </c>
      <c r="C172">
        <v>13.5</v>
      </c>
      <c r="D172">
        <v>5.6</v>
      </c>
      <c r="E172">
        <v>4.2</v>
      </c>
      <c r="F172">
        <v>2</v>
      </c>
    </row>
    <row r="173" spans="1:6" x14ac:dyDescent="0.25">
      <c r="A173" t="s">
        <v>171</v>
      </c>
      <c r="B173">
        <v>6.6</v>
      </c>
      <c r="C173">
        <v>56.4</v>
      </c>
      <c r="D173">
        <v>2.2999999999999998</v>
      </c>
      <c r="E173">
        <v>-2.7</v>
      </c>
      <c r="F173">
        <v>0.8</v>
      </c>
    </row>
    <row r="174" spans="1:6" x14ac:dyDescent="0.25">
      <c r="A174" t="s">
        <v>172</v>
      </c>
      <c r="B174">
        <v>-7</v>
      </c>
      <c r="C174">
        <v>-51.3</v>
      </c>
      <c r="D174">
        <v>-1.7</v>
      </c>
      <c r="E174">
        <v>8.9</v>
      </c>
      <c r="F174">
        <v>-0.2</v>
      </c>
    </row>
    <row r="175" spans="1:6" x14ac:dyDescent="0.25">
      <c r="A175" t="s">
        <v>173</v>
      </c>
      <c r="B175">
        <v>5.7</v>
      </c>
      <c r="C175">
        <v>20.5</v>
      </c>
      <c r="D175">
        <v>12.1</v>
      </c>
      <c r="E175">
        <v>4.3</v>
      </c>
      <c r="F175">
        <v>0.5</v>
      </c>
    </row>
    <row r="176" spans="1:6" x14ac:dyDescent="0.25">
      <c r="A176" t="s">
        <v>174</v>
      </c>
      <c r="B176">
        <v>3.3</v>
      </c>
      <c r="C176">
        <v>-21.1</v>
      </c>
      <c r="D176">
        <v>4.5999999999999996</v>
      </c>
      <c r="E176">
        <v>6.1</v>
      </c>
      <c r="F176">
        <v>2.1</v>
      </c>
    </row>
    <row r="177" spans="1:6" x14ac:dyDescent="0.25">
      <c r="A177" t="s">
        <v>175</v>
      </c>
      <c r="B177">
        <v>2.5</v>
      </c>
      <c r="C177">
        <v>52</v>
      </c>
      <c r="D177">
        <v>5.8</v>
      </c>
      <c r="E177">
        <v>-2</v>
      </c>
      <c r="F177">
        <v>0.5</v>
      </c>
    </row>
    <row r="178" spans="1:6" x14ac:dyDescent="0.25">
      <c r="A178" t="s">
        <v>176</v>
      </c>
      <c r="B178">
        <v>3.7</v>
      </c>
      <c r="C178">
        <v>84.6</v>
      </c>
      <c r="D178">
        <v>-1.3</v>
      </c>
      <c r="E178">
        <v>1.2</v>
      </c>
      <c r="F178">
        <v>-0.8</v>
      </c>
    </row>
    <row r="179" spans="1:6" x14ac:dyDescent="0.25">
      <c r="A179" t="s">
        <v>177</v>
      </c>
      <c r="B179">
        <v>-4.3</v>
      </c>
      <c r="C179">
        <v>-69.400000000000006</v>
      </c>
      <c r="D179">
        <v>-0.8</v>
      </c>
      <c r="E179">
        <v>8.3000000000000007</v>
      </c>
      <c r="F179">
        <v>0.6</v>
      </c>
    </row>
    <row r="180" spans="1:6" x14ac:dyDescent="0.25">
      <c r="A180" t="s">
        <v>178</v>
      </c>
      <c r="B180">
        <v>0.5</v>
      </c>
      <c r="C180">
        <v>-75.3</v>
      </c>
      <c r="D180">
        <v>2.9</v>
      </c>
      <c r="E180">
        <v>6.9</v>
      </c>
      <c r="F180">
        <v>0.6</v>
      </c>
    </row>
    <row r="181" spans="1:6" x14ac:dyDescent="0.25">
      <c r="A181" t="s">
        <v>179</v>
      </c>
      <c r="B181">
        <v>5.8</v>
      </c>
      <c r="C181">
        <v>364.8</v>
      </c>
      <c r="D181">
        <v>6.3</v>
      </c>
      <c r="E181">
        <v>4.9000000000000004</v>
      </c>
      <c r="F181">
        <v>2.4</v>
      </c>
    </row>
    <row r="182" spans="1:6" x14ac:dyDescent="0.25">
      <c r="A182" t="s">
        <v>180</v>
      </c>
      <c r="B182">
        <v>-2.9</v>
      </c>
      <c r="C182">
        <v>-22.6</v>
      </c>
      <c r="D182">
        <v>-4.0999999999999996</v>
      </c>
      <c r="E182">
        <v>-3.5</v>
      </c>
      <c r="F182">
        <v>2.2000000000000002</v>
      </c>
    </row>
    <row r="183" spans="1:6" x14ac:dyDescent="0.25">
      <c r="A183" t="s">
        <v>181</v>
      </c>
      <c r="B183">
        <v>2</v>
      </c>
      <c r="C183">
        <v>21.1</v>
      </c>
      <c r="D183">
        <v>-2.2999999999999998</v>
      </c>
      <c r="E183">
        <v>3.1</v>
      </c>
      <c r="F183">
        <v>0.7</v>
      </c>
    </row>
    <row r="184" spans="1:6" x14ac:dyDescent="0.25">
      <c r="A184" t="s">
        <v>182</v>
      </c>
      <c r="B184">
        <v>3.5</v>
      </c>
      <c r="C184">
        <v>45.2</v>
      </c>
      <c r="D184">
        <v>3.1</v>
      </c>
      <c r="E184">
        <v>1.4</v>
      </c>
      <c r="F184">
        <v>-0.9</v>
      </c>
    </row>
    <row r="185" spans="1:6" x14ac:dyDescent="0.25">
      <c r="A185" t="s">
        <v>183</v>
      </c>
      <c r="B185">
        <v>-0.4</v>
      </c>
      <c r="C185">
        <v>-4.4000000000000004</v>
      </c>
      <c r="D185">
        <v>-0.1</v>
      </c>
      <c r="E185">
        <v>-1.4</v>
      </c>
      <c r="F185">
        <v>0.4</v>
      </c>
    </row>
    <row r="186" spans="1:6" x14ac:dyDescent="0.25">
      <c r="A186" t="s">
        <v>184</v>
      </c>
      <c r="B186">
        <v>2</v>
      </c>
      <c r="C186">
        <v>11.7</v>
      </c>
      <c r="D186">
        <v>1.3</v>
      </c>
      <c r="E186">
        <v>-1.1000000000000001</v>
      </c>
      <c r="F186">
        <v>1.1000000000000001</v>
      </c>
    </row>
    <row r="187" spans="1:6" x14ac:dyDescent="0.25">
      <c r="A187" t="s">
        <v>185</v>
      </c>
      <c r="B187">
        <v>0.3</v>
      </c>
      <c r="C187">
        <v>10.1</v>
      </c>
      <c r="D187">
        <v>7.5</v>
      </c>
      <c r="E187">
        <v>-2</v>
      </c>
      <c r="F187">
        <v>-0.1</v>
      </c>
    </row>
    <row r="188" spans="1:6" x14ac:dyDescent="0.25">
      <c r="A188" t="s">
        <v>186</v>
      </c>
      <c r="B188">
        <v>0.7</v>
      </c>
      <c r="C188">
        <v>-8.4</v>
      </c>
      <c r="D188">
        <v>0</v>
      </c>
      <c r="E188">
        <v>0.4</v>
      </c>
      <c r="F188">
        <v>-0.1</v>
      </c>
    </row>
    <row r="189" spans="1:6" x14ac:dyDescent="0.25">
      <c r="A189" t="s">
        <v>187</v>
      </c>
      <c r="B189">
        <v>3.6</v>
      </c>
      <c r="C189">
        <v>8</v>
      </c>
      <c r="D189">
        <v>-1.2</v>
      </c>
      <c r="E189">
        <v>4.9000000000000004</v>
      </c>
      <c r="F189">
        <v>4.3</v>
      </c>
    </row>
    <row r="190" spans="1:6" x14ac:dyDescent="0.25">
      <c r="A190" t="s">
        <v>188</v>
      </c>
      <c r="B190">
        <v>6.4</v>
      </c>
      <c r="C190">
        <v>80.5</v>
      </c>
      <c r="D190">
        <v>-5.6</v>
      </c>
      <c r="E190">
        <v>7.5</v>
      </c>
      <c r="F190">
        <v>-2.4</v>
      </c>
    </row>
    <row r="191" spans="1:6" x14ac:dyDescent="0.25">
      <c r="A191" t="s">
        <v>189</v>
      </c>
      <c r="B191">
        <v>-2.7</v>
      </c>
      <c r="C191">
        <v>-44.3</v>
      </c>
      <c r="D191">
        <v>2.1</v>
      </c>
      <c r="E191">
        <v>7</v>
      </c>
      <c r="F191">
        <v>3.9</v>
      </c>
    </row>
    <row r="192" spans="1:6" x14ac:dyDescent="0.25">
      <c r="A192" t="s">
        <v>190</v>
      </c>
      <c r="B192">
        <v>0.2</v>
      </c>
      <c r="C192">
        <v>-5.6</v>
      </c>
      <c r="D192">
        <v>5.5</v>
      </c>
      <c r="E192">
        <v>-0.1</v>
      </c>
      <c r="F192">
        <v>-1</v>
      </c>
    </row>
    <row r="193" spans="1:6" x14ac:dyDescent="0.25">
      <c r="A193" t="s">
        <v>191</v>
      </c>
      <c r="B193">
        <v>6.6</v>
      </c>
      <c r="C193">
        <v>26.4</v>
      </c>
      <c r="D193">
        <v>5.2</v>
      </c>
      <c r="E193">
        <v>6.6</v>
      </c>
      <c r="F193">
        <v>0.7</v>
      </c>
    </row>
    <row r="194" spans="1:6" x14ac:dyDescent="0.25">
      <c r="A194" t="s">
        <v>192</v>
      </c>
      <c r="B194">
        <v>2.4</v>
      </c>
      <c r="C194">
        <v>35.9</v>
      </c>
      <c r="D194">
        <v>0</v>
      </c>
      <c r="E194">
        <v>-1</v>
      </c>
      <c r="F194">
        <v>1.8</v>
      </c>
    </row>
    <row r="195" spans="1:6" x14ac:dyDescent="0.25">
      <c r="A195" t="s">
        <v>193</v>
      </c>
      <c r="B195">
        <v>-0.3</v>
      </c>
      <c r="C195">
        <v>-7.5</v>
      </c>
      <c r="D195">
        <v>-0.1</v>
      </c>
      <c r="E195">
        <v>2.5</v>
      </c>
      <c r="F195">
        <v>0.8</v>
      </c>
    </row>
    <row r="196" spans="1:6" x14ac:dyDescent="0.25">
      <c r="A196" t="s">
        <v>194</v>
      </c>
      <c r="B196">
        <v>2.4</v>
      </c>
      <c r="C196">
        <v>8.5</v>
      </c>
      <c r="D196">
        <v>0.6</v>
      </c>
      <c r="E196">
        <v>-0.6</v>
      </c>
      <c r="F196">
        <v>0.7</v>
      </c>
    </row>
    <row r="197" spans="1:6" x14ac:dyDescent="0.25">
      <c r="A197" t="s">
        <v>195</v>
      </c>
      <c r="B197">
        <v>-3.7</v>
      </c>
      <c r="C197">
        <v>-34.1</v>
      </c>
      <c r="D197">
        <v>-4</v>
      </c>
      <c r="E197">
        <v>-2</v>
      </c>
      <c r="F197">
        <v>0.1</v>
      </c>
    </row>
    <row r="198" spans="1:6" x14ac:dyDescent="0.25">
      <c r="A198" t="s">
        <v>196</v>
      </c>
      <c r="B198">
        <v>2.2999999999999998</v>
      </c>
      <c r="C198">
        <v>21.4</v>
      </c>
      <c r="D198">
        <v>4.0999999999999996</v>
      </c>
      <c r="E198">
        <v>0.5</v>
      </c>
      <c r="F198">
        <v>0</v>
      </c>
    </row>
    <row r="199" spans="1:6" x14ac:dyDescent="0.25">
      <c r="A199" t="s">
        <v>197</v>
      </c>
      <c r="B199">
        <v>-0.5</v>
      </c>
      <c r="C199">
        <v>16.3</v>
      </c>
      <c r="D199">
        <v>0.2</v>
      </c>
      <c r="E199">
        <v>-4.9000000000000004</v>
      </c>
      <c r="F199">
        <v>1.5</v>
      </c>
    </row>
    <row r="200" spans="1:6" x14ac:dyDescent="0.25">
      <c r="A200" t="s">
        <v>198</v>
      </c>
      <c r="B200">
        <v>-1.7</v>
      </c>
      <c r="C200">
        <v>-8.3000000000000007</v>
      </c>
      <c r="D200">
        <v>-0.1</v>
      </c>
      <c r="E200">
        <v>-1.2</v>
      </c>
      <c r="F200">
        <v>2.1</v>
      </c>
    </row>
    <row r="201" spans="1:6" x14ac:dyDescent="0.25">
      <c r="A201" t="s">
        <v>199</v>
      </c>
      <c r="B201">
        <v>1.7</v>
      </c>
      <c r="C201">
        <v>8.9</v>
      </c>
      <c r="D201">
        <v>0.2</v>
      </c>
      <c r="E201">
        <v>0</v>
      </c>
      <c r="F201">
        <v>1.8</v>
      </c>
    </row>
    <row r="202" spans="1:6" x14ac:dyDescent="0.25">
      <c r="A202" t="s">
        <v>200</v>
      </c>
      <c r="B202">
        <v>-0.6</v>
      </c>
      <c r="C202">
        <v>-26.7</v>
      </c>
      <c r="D202">
        <v>2.6</v>
      </c>
      <c r="E202">
        <v>3.3</v>
      </c>
      <c r="F202">
        <v>-0.3</v>
      </c>
    </row>
    <row r="203" spans="1:6" x14ac:dyDescent="0.25">
      <c r="A203" t="s">
        <v>201</v>
      </c>
      <c r="B203">
        <v>-2.1</v>
      </c>
      <c r="C203">
        <v>-40.5</v>
      </c>
      <c r="D203">
        <v>-1.8</v>
      </c>
      <c r="E203">
        <v>1.8</v>
      </c>
      <c r="F203">
        <v>0.8</v>
      </c>
    </row>
    <row r="204" spans="1:6" x14ac:dyDescent="0.25">
      <c r="A204" t="s">
        <v>202</v>
      </c>
      <c r="B204">
        <v>0.1</v>
      </c>
      <c r="C204">
        <v>76</v>
      </c>
      <c r="D204">
        <v>-1</v>
      </c>
      <c r="E204">
        <v>-0.1</v>
      </c>
      <c r="F204">
        <v>-1.8</v>
      </c>
    </row>
    <row r="205" spans="1:6" x14ac:dyDescent="0.25">
      <c r="A205" t="s">
        <v>203</v>
      </c>
      <c r="B205">
        <v>0.7</v>
      </c>
      <c r="C205">
        <v>3.5</v>
      </c>
      <c r="D205">
        <v>-4.2</v>
      </c>
      <c r="E205">
        <v>4.5</v>
      </c>
      <c r="F205">
        <v>-0.2</v>
      </c>
    </row>
    <row r="206" spans="1:6" x14ac:dyDescent="0.25">
      <c r="A206" t="s">
        <v>204</v>
      </c>
      <c r="B206">
        <v>1.1000000000000001</v>
      </c>
      <c r="C206">
        <v>-9.1999999999999993</v>
      </c>
      <c r="D206">
        <v>-0.4</v>
      </c>
      <c r="E206">
        <v>3.5</v>
      </c>
      <c r="F206">
        <v>2.7</v>
      </c>
    </row>
    <row r="207" spans="1:6" x14ac:dyDescent="0.25">
      <c r="A207" t="s">
        <v>205</v>
      </c>
      <c r="B207">
        <v>1.6</v>
      </c>
      <c r="C207">
        <v>9.6999999999999993</v>
      </c>
      <c r="D207">
        <v>1.6</v>
      </c>
      <c r="E207">
        <v>-0.7</v>
      </c>
      <c r="F207">
        <v>0.6</v>
      </c>
    </row>
    <row r="208" spans="1:6" x14ac:dyDescent="0.25">
      <c r="A208" t="s">
        <v>206</v>
      </c>
      <c r="B208">
        <v>-0.4</v>
      </c>
      <c r="C208">
        <v>-10.4</v>
      </c>
      <c r="D208">
        <v>-4.0999999999999996</v>
      </c>
      <c r="E208">
        <v>-3.1</v>
      </c>
      <c r="F208">
        <v>1.9</v>
      </c>
    </row>
    <row r="209" spans="1:6" x14ac:dyDescent="0.25">
      <c r="A209" t="s">
        <v>207</v>
      </c>
      <c r="B209">
        <v>0.1</v>
      </c>
      <c r="C209">
        <v>-14.6</v>
      </c>
      <c r="D209">
        <v>-0.2</v>
      </c>
      <c r="E209">
        <v>2.6</v>
      </c>
      <c r="F209">
        <v>0.9</v>
      </c>
    </row>
    <row r="210" spans="1:6" x14ac:dyDescent="0.25">
      <c r="A210" t="s">
        <v>208</v>
      </c>
      <c r="B210">
        <v>-2.2999999999999998</v>
      </c>
      <c r="C210">
        <v>9.6</v>
      </c>
      <c r="D210">
        <v>-0.1</v>
      </c>
      <c r="E210">
        <v>-7</v>
      </c>
      <c r="F210">
        <v>0.9</v>
      </c>
    </row>
    <row r="211" spans="1:6" x14ac:dyDescent="0.25">
      <c r="A211" t="s">
        <v>209</v>
      </c>
      <c r="B211">
        <v>-19.2</v>
      </c>
      <c r="C211">
        <v>-59.7</v>
      </c>
      <c r="D211">
        <v>-27</v>
      </c>
      <c r="E211">
        <v>-16.3</v>
      </c>
      <c r="F211">
        <v>-8.1</v>
      </c>
    </row>
    <row r="212" spans="1:6" x14ac:dyDescent="0.25">
      <c r="A212" t="s">
        <v>210</v>
      </c>
      <c r="B212">
        <v>11.8</v>
      </c>
      <c r="C212">
        <v>167.8</v>
      </c>
      <c r="D212">
        <v>13.5</v>
      </c>
      <c r="E212">
        <v>2.5</v>
      </c>
      <c r="F212">
        <v>1.3</v>
      </c>
    </row>
    <row r="213" spans="1:6" x14ac:dyDescent="0.25">
      <c r="A213" t="s">
        <v>211</v>
      </c>
      <c r="B213">
        <v>5.6</v>
      </c>
      <c r="C213">
        <v>20.5</v>
      </c>
      <c r="D213">
        <v>12.7</v>
      </c>
      <c r="E213">
        <v>2.6</v>
      </c>
      <c r="F213">
        <v>0.8</v>
      </c>
    </row>
    <row r="214" spans="1:6" x14ac:dyDescent="0.25">
      <c r="A214" t="s">
        <v>212</v>
      </c>
      <c r="B214">
        <v>-6.8</v>
      </c>
      <c r="C214">
        <v>-46.3</v>
      </c>
      <c r="D214">
        <v>2.5</v>
      </c>
      <c r="E214">
        <v>-7.3</v>
      </c>
      <c r="F214">
        <v>0.1</v>
      </c>
    </row>
    <row r="215" spans="1:6" x14ac:dyDescent="0.25">
      <c r="A215" t="s">
        <v>213</v>
      </c>
      <c r="B215">
        <v>7.7</v>
      </c>
      <c r="C215">
        <v>-1.6</v>
      </c>
      <c r="D215">
        <v>0.8</v>
      </c>
      <c r="E215">
        <v>12.9</v>
      </c>
      <c r="F215">
        <v>9</v>
      </c>
    </row>
    <row r="216" spans="1:6" x14ac:dyDescent="0.25">
      <c r="A216" t="s">
        <v>214</v>
      </c>
      <c r="B216">
        <v>-1.7</v>
      </c>
      <c r="C216">
        <v>24.8</v>
      </c>
      <c r="D216">
        <v>4.4000000000000004</v>
      </c>
      <c r="E216">
        <v>-4.8</v>
      </c>
      <c r="F216">
        <v>-6.1</v>
      </c>
    </row>
    <row r="217" spans="1:6" x14ac:dyDescent="0.25">
      <c r="A217" t="s">
        <v>215</v>
      </c>
      <c r="B217">
        <v>0.3</v>
      </c>
      <c r="C217">
        <v>18.899999999999999</v>
      </c>
      <c r="D217">
        <v>-4.2</v>
      </c>
      <c r="E217">
        <v>-1.4</v>
      </c>
      <c r="F217">
        <v>0.3</v>
      </c>
    </row>
    <row r="218" spans="1:6" x14ac:dyDescent="0.25">
      <c r="A218" t="s">
        <v>345</v>
      </c>
      <c r="B218">
        <v>3</v>
      </c>
      <c r="C218">
        <v>-12.8</v>
      </c>
      <c r="D218">
        <v>10.5</v>
      </c>
      <c r="E218">
        <v>6.7</v>
      </c>
      <c r="F218">
        <v>-0.4</v>
      </c>
    </row>
    <row r="219" spans="1:6" x14ac:dyDescent="0.25">
      <c r="A219" t="s">
        <v>346</v>
      </c>
      <c r="B219">
        <v>2.4</v>
      </c>
      <c r="C219">
        <v>50.5</v>
      </c>
      <c r="D219">
        <v>3.2</v>
      </c>
      <c r="E219">
        <v>-3.6</v>
      </c>
      <c r="F219">
        <v>-2.2000000000000002</v>
      </c>
    </row>
    <row r="220" spans="1:6" x14ac:dyDescent="0.25">
      <c r="A220" t="s">
        <v>347</v>
      </c>
      <c r="B220">
        <v>0.9</v>
      </c>
      <c r="C220">
        <v>-1.8</v>
      </c>
      <c r="D220">
        <v>2</v>
      </c>
      <c r="E220">
        <v>0.2</v>
      </c>
      <c r="F220">
        <v>1.5</v>
      </c>
    </row>
    <row r="221" spans="1:6" x14ac:dyDescent="0.25">
      <c r="A221" t="s">
        <v>348</v>
      </c>
      <c r="B221">
        <v>-2.7</v>
      </c>
      <c r="C221">
        <v>9.5</v>
      </c>
      <c r="D221">
        <v>-7.7</v>
      </c>
      <c r="E221">
        <v>-5.6</v>
      </c>
      <c r="F221">
        <v>-0.9</v>
      </c>
    </row>
    <row r="222" spans="1:6" x14ac:dyDescent="0.25">
      <c r="A222" t="s">
        <v>349</v>
      </c>
      <c r="B222">
        <v>5.5</v>
      </c>
      <c r="C222">
        <v>10.3</v>
      </c>
      <c r="D222">
        <v>7</v>
      </c>
      <c r="E222">
        <v>7.7</v>
      </c>
      <c r="F222">
        <v>1.7</v>
      </c>
    </row>
    <row r="223" spans="1:6" x14ac:dyDescent="0.25">
      <c r="A223" t="s">
        <v>350</v>
      </c>
      <c r="B223">
        <v>-0.5</v>
      </c>
      <c r="C223">
        <v>9.6</v>
      </c>
      <c r="D223">
        <v>-0.9</v>
      </c>
      <c r="E223">
        <v>-7.3</v>
      </c>
      <c r="F223">
        <v>1.3</v>
      </c>
    </row>
    <row r="224" spans="1:6" x14ac:dyDescent="0.25">
      <c r="A224" t="s">
        <v>351</v>
      </c>
      <c r="B224">
        <v>-3</v>
      </c>
      <c r="C224">
        <v>-6.7</v>
      </c>
      <c r="D224">
        <v>-2.6</v>
      </c>
      <c r="E224">
        <v>-3.2</v>
      </c>
      <c r="F224">
        <v>-1.8</v>
      </c>
    </row>
    <row r="225" spans="1:6" x14ac:dyDescent="0.25">
      <c r="A225" t="s">
        <v>352</v>
      </c>
      <c r="B225">
        <v>1.2</v>
      </c>
      <c r="C225">
        <v>3.4</v>
      </c>
      <c r="D225">
        <v>-1.4</v>
      </c>
      <c r="E225">
        <v>5.9</v>
      </c>
      <c r="F225">
        <v>-1</v>
      </c>
    </row>
    <row r="226" spans="1:6" x14ac:dyDescent="0.25">
      <c r="A226" t="s">
        <v>353</v>
      </c>
      <c r="B226">
        <v>0.6</v>
      </c>
      <c r="C226">
        <v>-1.7</v>
      </c>
      <c r="D226">
        <v>4.9000000000000004</v>
      </c>
      <c r="E226">
        <v>0.4</v>
      </c>
      <c r="F226">
        <v>-1</v>
      </c>
    </row>
    <row r="227" spans="1:6" x14ac:dyDescent="0.25">
      <c r="A227" t="s">
        <v>354</v>
      </c>
      <c r="B227">
        <v>1.4</v>
      </c>
      <c r="C227">
        <v>8.6999999999999993</v>
      </c>
      <c r="D227">
        <v>-6.5</v>
      </c>
      <c r="E227">
        <v>4.3</v>
      </c>
      <c r="F227">
        <v>1.8</v>
      </c>
    </row>
    <row r="229" spans="1:6" x14ac:dyDescent="0.25">
      <c r="A229" t="s">
        <v>1280</v>
      </c>
    </row>
    <row r="230" spans="1:6" x14ac:dyDescent="0.25">
      <c r="A230" t="s">
        <v>1271</v>
      </c>
      <c r="B230" t="s">
        <v>1272</v>
      </c>
      <c r="C230" t="s">
        <v>1273</v>
      </c>
      <c r="D230" t="s">
        <v>1274</v>
      </c>
      <c r="E230" t="s">
        <v>1275</v>
      </c>
      <c r="F230" t="s">
        <v>1276</v>
      </c>
    </row>
    <row r="231" spans="1:6" x14ac:dyDescent="0.25">
      <c r="A231" t="s">
        <v>1277</v>
      </c>
      <c r="B231" t="s">
        <v>111</v>
      </c>
      <c r="C231" t="s">
        <v>1279</v>
      </c>
      <c r="D231" t="s">
        <v>1279</v>
      </c>
      <c r="E231" t="s">
        <v>1279</v>
      </c>
      <c r="F231" t="s">
        <v>1279</v>
      </c>
    </row>
    <row r="232" spans="1:6" x14ac:dyDescent="0.25">
      <c r="A232" t="s">
        <v>120</v>
      </c>
      <c r="B232">
        <v>15.5</v>
      </c>
      <c r="C232">
        <v>24.6</v>
      </c>
      <c r="D232">
        <v>13.1</v>
      </c>
      <c r="E232">
        <v>14.3</v>
      </c>
      <c r="F232">
        <v>15</v>
      </c>
    </row>
    <row r="233" spans="1:6" x14ac:dyDescent="0.25">
      <c r="A233" t="s">
        <v>121</v>
      </c>
      <c r="B233">
        <v>10.199999999999999</v>
      </c>
      <c r="C233">
        <v>8.4</v>
      </c>
      <c r="D233">
        <v>9</v>
      </c>
      <c r="E233">
        <v>8.1</v>
      </c>
      <c r="F233">
        <v>11.1</v>
      </c>
    </row>
    <row r="234" spans="1:6" x14ac:dyDescent="0.25">
      <c r="A234" t="s">
        <v>122</v>
      </c>
      <c r="B234">
        <v>2.9</v>
      </c>
      <c r="C234">
        <v>-1.6</v>
      </c>
      <c r="D234">
        <v>-2.2000000000000002</v>
      </c>
      <c r="E234">
        <v>4.7</v>
      </c>
      <c r="F234">
        <v>8.4</v>
      </c>
    </row>
    <row r="235" spans="1:6" x14ac:dyDescent="0.25">
      <c r="A235" t="s">
        <v>123</v>
      </c>
      <c r="B235">
        <v>2.8</v>
      </c>
      <c r="C235">
        <v>14.9</v>
      </c>
      <c r="D235">
        <v>-2.1</v>
      </c>
      <c r="E235">
        <v>2.6</v>
      </c>
      <c r="F235">
        <v>6.9</v>
      </c>
    </row>
    <row r="236" spans="1:6" x14ac:dyDescent="0.25">
      <c r="A236" t="s">
        <v>124</v>
      </c>
      <c r="B236">
        <v>0.5</v>
      </c>
      <c r="C236">
        <v>0.8</v>
      </c>
      <c r="D236">
        <v>5.0999999999999996</v>
      </c>
      <c r="E236">
        <v>-2.7</v>
      </c>
      <c r="F236">
        <v>1.8</v>
      </c>
    </row>
    <row r="237" spans="1:6" x14ac:dyDescent="0.25">
      <c r="A237" t="s">
        <v>125</v>
      </c>
      <c r="B237">
        <v>1</v>
      </c>
      <c r="C237">
        <v>-0.7</v>
      </c>
      <c r="D237">
        <v>-0.3</v>
      </c>
      <c r="E237">
        <v>1.7</v>
      </c>
      <c r="F237">
        <v>-0.6</v>
      </c>
    </row>
    <row r="238" spans="1:6" x14ac:dyDescent="0.25">
      <c r="A238" t="s">
        <v>126</v>
      </c>
      <c r="B238">
        <v>4.8</v>
      </c>
      <c r="C238">
        <v>9.8000000000000007</v>
      </c>
      <c r="D238">
        <v>13.1</v>
      </c>
      <c r="E238">
        <v>1.4</v>
      </c>
      <c r="F238">
        <v>-1.2</v>
      </c>
    </row>
    <row r="239" spans="1:6" x14ac:dyDescent="0.25">
      <c r="A239" t="s">
        <v>127</v>
      </c>
      <c r="B239">
        <v>1.3</v>
      </c>
      <c r="C239">
        <v>0.9</v>
      </c>
      <c r="D239">
        <v>-0.5</v>
      </c>
      <c r="E239">
        <v>2.9</v>
      </c>
      <c r="F239">
        <v>-1.7</v>
      </c>
    </row>
    <row r="240" spans="1:6" x14ac:dyDescent="0.25">
      <c r="A240" t="s">
        <v>128</v>
      </c>
      <c r="B240">
        <v>6.1</v>
      </c>
      <c r="C240">
        <v>-20.7</v>
      </c>
      <c r="D240">
        <v>11.9</v>
      </c>
      <c r="E240">
        <v>8.1</v>
      </c>
      <c r="F240">
        <v>6.2</v>
      </c>
    </row>
    <row r="241" spans="1:6" x14ac:dyDescent="0.25">
      <c r="A241" t="s">
        <v>129</v>
      </c>
      <c r="B241">
        <v>12.1</v>
      </c>
      <c r="C241">
        <v>-6.2</v>
      </c>
      <c r="D241">
        <v>46.8</v>
      </c>
      <c r="E241">
        <v>-4.4000000000000004</v>
      </c>
      <c r="F241">
        <v>9.6</v>
      </c>
    </row>
    <row r="242" spans="1:6" x14ac:dyDescent="0.25">
      <c r="A242" t="s">
        <v>130</v>
      </c>
      <c r="B242">
        <v>1.6</v>
      </c>
      <c r="C242">
        <v>-16.2</v>
      </c>
      <c r="D242">
        <v>8.6999999999999993</v>
      </c>
      <c r="E242">
        <v>-6.9</v>
      </c>
      <c r="F242">
        <v>6.9</v>
      </c>
    </row>
    <row r="243" spans="1:6" x14ac:dyDescent="0.25">
      <c r="A243" t="s">
        <v>131</v>
      </c>
      <c r="B243">
        <v>6.4</v>
      </c>
      <c r="C243">
        <v>-5.8</v>
      </c>
      <c r="D243">
        <v>21.6</v>
      </c>
      <c r="E243">
        <v>-3.4</v>
      </c>
      <c r="F243">
        <v>7</v>
      </c>
    </row>
    <row r="244" spans="1:6" x14ac:dyDescent="0.25">
      <c r="A244" t="s">
        <v>132</v>
      </c>
      <c r="B244">
        <v>1.6</v>
      </c>
      <c r="C244">
        <v>6.6</v>
      </c>
      <c r="D244">
        <v>11.9</v>
      </c>
      <c r="E244">
        <v>-4.2</v>
      </c>
      <c r="F244">
        <v>-0.9</v>
      </c>
    </row>
    <row r="245" spans="1:6" x14ac:dyDescent="0.25">
      <c r="A245" t="s">
        <v>133</v>
      </c>
      <c r="B245">
        <v>-3.1</v>
      </c>
      <c r="C245">
        <v>37.299999999999997</v>
      </c>
      <c r="D245">
        <v>-18</v>
      </c>
      <c r="E245">
        <v>3.6</v>
      </c>
      <c r="F245">
        <v>-1.9</v>
      </c>
    </row>
    <row r="246" spans="1:6" x14ac:dyDescent="0.25">
      <c r="A246" t="s">
        <v>134</v>
      </c>
      <c r="B246">
        <v>3.9</v>
      </c>
      <c r="C246">
        <v>30.8</v>
      </c>
      <c r="D246">
        <v>4.5999999999999996</v>
      </c>
      <c r="E246">
        <v>-4.3</v>
      </c>
      <c r="F246">
        <v>-1.3</v>
      </c>
    </row>
    <row r="247" spans="1:6" x14ac:dyDescent="0.25">
      <c r="A247" t="s">
        <v>135</v>
      </c>
      <c r="B247">
        <v>-3.9</v>
      </c>
      <c r="C247">
        <v>-2.5</v>
      </c>
      <c r="D247">
        <v>6.5</v>
      </c>
      <c r="E247">
        <v>-18.600000000000001</v>
      </c>
      <c r="F247">
        <v>-1.7</v>
      </c>
    </row>
    <row r="248" spans="1:6" x14ac:dyDescent="0.25">
      <c r="A248" t="s">
        <v>136</v>
      </c>
      <c r="B248">
        <v>-5.0999999999999996</v>
      </c>
      <c r="C248">
        <v>13.1</v>
      </c>
      <c r="D248">
        <v>-2.4</v>
      </c>
      <c r="E248">
        <v>-18</v>
      </c>
      <c r="F248">
        <v>-1</v>
      </c>
    </row>
    <row r="249" spans="1:6" x14ac:dyDescent="0.25">
      <c r="A249" t="s">
        <v>137</v>
      </c>
      <c r="B249">
        <v>-6.9</v>
      </c>
      <c r="C249">
        <v>-3.1</v>
      </c>
      <c r="D249">
        <v>8.8000000000000007</v>
      </c>
      <c r="E249">
        <v>-23.9</v>
      </c>
      <c r="F249">
        <v>-2.1</v>
      </c>
    </row>
    <row r="250" spans="1:6" x14ac:dyDescent="0.25">
      <c r="A250" t="s">
        <v>138</v>
      </c>
      <c r="B250">
        <v>-1.7</v>
      </c>
      <c r="C250">
        <v>4.5999999999999996</v>
      </c>
      <c r="D250">
        <v>-0.8</v>
      </c>
      <c r="E250">
        <v>-13.6</v>
      </c>
      <c r="F250">
        <v>1.9</v>
      </c>
    </row>
    <row r="251" spans="1:6" x14ac:dyDescent="0.25">
      <c r="A251" t="s">
        <v>139</v>
      </c>
      <c r="B251">
        <v>6.7</v>
      </c>
      <c r="C251">
        <v>23.8</v>
      </c>
      <c r="D251">
        <v>1</v>
      </c>
      <c r="E251">
        <v>9.8000000000000007</v>
      </c>
      <c r="F251">
        <v>2.9</v>
      </c>
    </row>
    <row r="252" spans="1:6" x14ac:dyDescent="0.25">
      <c r="A252" t="s">
        <v>140</v>
      </c>
      <c r="B252">
        <v>8.5</v>
      </c>
      <c r="C252">
        <v>9.4</v>
      </c>
      <c r="D252">
        <v>-0.1</v>
      </c>
      <c r="E252">
        <v>17.7</v>
      </c>
      <c r="F252">
        <v>6.6</v>
      </c>
    </row>
    <row r="253" spans="1:6" x14ac:dyDescent="0.25">
      <c r="A253" t="s">
        <v>141</v>
      </c>
      <c r="B253">
        <v>-0.8</v>
      </c>
      <c r="C253">
        <v>-19.600000000000001</v>
      </c>
      <c r="D253">
        <v>-14.9</v>
      </c>
      <c r="E253">
        <v>12.7</v>
      </c>
      <c r="F253">
        <v>10.4</v>
      </c>
    </row>
    <row r="254" spans="1:6" x14ac:dyDescent="0.25">
      <c r="A254" t="s">
        <v>142</v>
      </c>
      <c r="B254">
        <v>-3.6</v>
      </c>
      <c r="C254">
        <v>-5.8</v>
      </c>
      <c r="D254">
        <v>-7.6</v>
      </c>
      <c r="E254">
        <v>-2.7</v>
      </c>
      <c r="F254">
        <v>6.1</v>
      </c>
    </row>
    <row r="255" spans="1:6" x14ac:dyDescent="0.25">
      <c r="A255" t="s">
        <v>143</v>
      </c>
      <c r="B255">
        <v>-7.9</v>
      </c>
      <c r="C255">
        <v>-13</v>
      </c>
      <c r="D255">
        <v>-16.2</v>
      </c>
      <c r="E255">
        <v>-7.6</v>
      </c>
      <c r="F255">
        <v>3.8</v>
      </c>
    </row>
    <row r="256" spans="1:6" x14ac:dyDescent="0.25">
      <c r="A256" t="s">
        <v>144</v>
      </c>
      <c r="B256">
        <v>-7.1</v>
      </c>
      <c r="C256">
        <v>-11.4</v>
      </c>
      <c r="D256">
        <v>-13.5</v>
      </c>
      <c r="E256">
        <v>-9.1999999999999993</v>
      </c>
      <c r="F256">
        <v>2.6</v>
      </c>
    </row>
    <row r="257" spans="1:6" x14ac:dyDescent="0.25">
      <c r="A257" t="s">
        <v>145</v>
      </c>
      <c r="B257">
        <v>-5.5</v>
      </c>
      <c r="C257">
        <v>5.9</v>
      </c>
      <c r="D257">
        <v>4</v>
      </c>
      <c r="E257">
        <v>-21.8</v>
      </c>
      <c r="F257">
        <v>0.4</v>
      </c>
    </row>
    <row r="258" spans="1:6" x14ac:dyDescent="0.25">
      <c r="A258" t="s">
        <v>146</v>
      </c>
      <c r="B258">
        <v>-2.4</v>
      </c>
      <c r="C258">
        <v>-10.8</v>
      </c>
      <c r="D258">
        <v>1</v>
      </c>
      <c r="E258">
        <v>-7.5</v>
      </c>
      <c r="F258">
        <v>4.4000000000000004</v>
      </c>
    </row>
    <row r="259" spans="1:6" x14ac:dyDescent="0.25">
      <c r="A259" t="s">
        <v>147</v>
      </c>
      <c r="B259">
        <v>0.4</v>
      </c>
      <c r="C259">
        <v>-7.8</v>
      </c>
      <c r="D259">
        <v>5.9</v>
      </c>
      <c r="E259">
        <v>-10.4</v>
      </c>
      <c r="F259">
        <v>6.6</v>
      </c>
    </row>
    <row r="260" spans="1:6" x14ac:dyDescent="0.25">
      <c r="A260" t="s">
        <v>148</v>
      </c>
      <c r="B260">
        <v>-0.9</v>
      </c>
      <c r="C260">
        <v>-7</v>
      </c>
      <c r="D260">
        <v>0.1</v>
      </c>
      <c r="E260">
        <v>-14.5</v>
      </c>
      <c r="F260">
        <v>9.4</v>
      </c>
    </row>
    <row r="261" spans="1:6" x14ac:dyDescent="0.25">
      <c r="A261" t="s">
        <v>149</v>
      </c>
      <c r="B261">
        <v>67.599999999999994</v>
      </c>
      <c r="C261">
        <v>1</v>
      </c>
      <c r="D261">
        <v>202.2</v>
      </c>
      <c r="E261">
        <v>17.600000000000001</v>
      </c>
      <c r="F261">
        <v>10.199999999999999</v>
      </c>
    </row>
    <row r="262" spans="1:6" x14ac:dyDescent="0.25">
      <c r="A262" t="s">
        <v>150</v>
      </c>
      <c r="B262">
        <v>7.3</v>
      </c>
      <c r="C262">
        <v>-1.2</v>
      </c>
      <c r="D262">
        <v>15.4</v>
      </c>
      <c r="E262">
        <v>5.3</v>
      </c>
      <c r="F262">
        <v>5.8</v>
      </c>
    </row>
    <row r="263" spans="1:6" x14ac:dyDescent="0.25">
      <c r="A263" t="s">
        <v>151</v>
      </c>
      <c r="B263">
        <v>4.4000000000000004</v>
      </c>
      <c r="C263">
        <v>6.6</v>
      </c>
      <c r="D263">
        <v>16.2</v>
      </c>
      <c r="E263">
        <v>-2.5</v>
      </c>
      <c r="F263">
        <v>6</v>
      </c>
    </row>
    <row r="264" spans="1:6" x14ac:dyDescent="0.25">
      <c r="A264" t="s">
        <v>152</v>
      </c>
      <c r="B264">
        <v>10.3</v>
      </c>
      <c r="C264">
        <v>24.6</v>
      </c>
      <c r="D264">
        <v>23.7</v>
      </c>
      <c r="E264">
        <v>1.5</v>
      </c>
      <c r="F264">
        <v>1.2</v>
      </c>
    </row>
    <row r="265" spans="1:6" x14ac:dyDescent="0.25">
      <c r="A265" t="s">
        <v>153</v>
      </c>
      <c r="B265">
        <v>-31.9</v>
      </c>
      <c r="C265">
        <v>-3.7</v>
      </c>
      <c r="D265">
        <v>-60.4</v>
      </c>
      <c r="E265">
        <v>2.5</v>
      </c>
      <c r="F265">
        <v>-1</v>
      </c>
    </row>
    <row r="266" spans="1:6" x14ac:dyDescent="0.25">
      <c r="A266" t="s">
        <v>154</v>
      </c>
      <c r="B266">
        <v>8.1999999999999993</v>
      </c>
      <c r="C266">
        <v>29.2</v>
      </c>
      <c r="D266">
        <v>10.8</v>
      </c>
      <c r="E266">
        <v>10.3</v>
      </c>
      <c r="F266">
        <v>-0.2</v>
      </c>
    </row>
    <row r="267" spans="1:6" x14ac:dyDescent="0.25">
      <c r="A267" t="s">
        <v>155</v>
      </c>
      <c r="B267">
        <v>9</v>
      </c>
      <c r="C267">
        <v>20.6</v>
      </c>
      <c r="D267">
        <v>9.4</v>
      </c>
      <c r="E267">
        <v>11.1</v>
      </c>
      <c r="F267">
        <v>-0.2</v>
      </c>
    </row>
    <row r="268" spans="1:6" x14ac:dyDescent="0.25">
      <c r="A268" t="s">
        <v>156</v>
      </c>
      <c r="B268">
        <v>8.6999999999999993</v>
      </c>
      <c r="C268">
        <v>8.6</v>
      </c>
      <c r="D268">
        <v>13.1</v>
      </c>
      <c r="E268">
        <v>10.1</v>
      </c>
      <c r="F268">
        <v>2.2000000000000002</v>
      </c>
    </row>
    <row r="269" spans="1:6" x14ac:dyDescent="0.25">
      <c r="A269" t="s">
        <v>157</v>
      </c>
      <c r="B269">
        <v>14.7</v>
      </c>
      <c r="C269">
        <v>24.8</v>
      </c>
      <c r="D269">
        <v>15.7</v>
      </c>
      <c r="E269">
        <v>17.7</v>
      </c>
      <c r="F269">
        <v>3.3</v>
      </c>
    </row>
    <row r="270" spans="1:6" x14ac:dyDescent="0.25">
      <c r="A270" t="s">
        <v>158</v>
      </c>
      <c r="B270">
        <v>1.8</v>
      </c>
      <c r="C270">
        <v>-5</v>
      </c>
      <c r="D270">
        <v>11.6</v>
      </c>
      <c r="E270">
        <v>-3.6</v>
      </c>
      <c r="F270">
        <v>2.5</v>
      </c>
    </row>
    <row r="271" spans="1:6" x14ac:dyDescent="0.25">
      <c r="A271" t="s">
        <v>159</v>
      </c>
      <c r="B271">
        <v>10.1</v>
      </c>
      <c r="C271">
        <v>-8.6999999999999993</v>
      </c>
      <c r="D271">
        <v>22.1</v>
      </c>
      <c r="E271">
        <v>14.6</v>
      </c>
      <c r="F271">
        <v>4.7</v>
      </c>
    </row>
    <row r="272" spans="1:6" x14ac:dyDescent="0.25">
      <c r="A272" t="s">
        <v>160</v>
      </c>
      <c r="B272">
        <v>-2.6</v>
      </c>
      <c r="C272">
        <v>-16.100000000000001</v>
      </c>
      <c r="D272">
        <v>4.7</v>
      </c>
      <c r="E272">
        <v>-3.4</v>
      </c>
      <c r="F272">
        <v>4</v>
      </c>
    </row>
    <row r="273" spans="1:6" x14ac:dyDescent="0.25">
      <c r="A273" t="s">
        <v>161</v>
      </c>
      <c r="B273">
        <v>-0.3</v>
      </c>
      <c r="C273">
        <v>8.1999999999999993</v>
      </c>
      <c r="D273">
        <v>3.8</v>
      </c>
      <c r="E273">
        <v>-10.5</v>
      </c>
      <c r="F273">
        <v>4.2</v>
      </c>
    </row>
    <row r="274" spans="1:6" x14ac:dyDescent="0.25">
      <c r="A274" t="s">
        <v>162</v>
      </c>
      <c r="B274">
        <v>0.3</v>
      </c>
      <c r="C274">
        <v>-9</v>
      </c>
      <c r="D274">
        <v>-4.9000000000000004</v>
      </c>
      <c r="E274">
        <v>-0.2</v>
      </c>
      <c r="F274">
        <v>5.6</v>
      </c>
    </row>
    <row r="275" spans="1:6" x14ac:dyDescent="0.25">
      <c r="A275" t="s">
        <v>163</v>
      </c>
      <c r="B275">
        <v>-10.6</v>
      </c>
      <c r="C275">
        <v>-1.4</v>
      </c>
      <c r="D275">
        <v>-20.8</v>
      </c>
      <c r="E275">
        <v>-19.3</v>
      </c>
      <c r="F275">
        <v>2.1</v>
      </c>
    </row>
    <row r="276" spans="1:6" x14ac:dyDescent="0.25">
      <c r="A276" t="s">
        <v>164</v>
      </c>
      <c r="B276">
        <v>-12.2</v>
      </c>
      <c r="C276">
        <v>-3.2</v>
      </c>
      <c r="D276">
        <v>-17.600000000000001</v>
      </c>
      <c r="E276">
        <v>-25.4</v>
      </c>
      <c r="F276">
        <v>1.2</v>
      </c>
    </row>
    <row r="277" spans="1:6" x14ac:dyDescent="0.25">
      <c r="A277" t="s">
        <v>165</v>
      </c>
      <c r="B277">
        <v>-19.8</v>
      </c>
      <c r="C277">
        <v>-15.9</v>
      </c>
      <c r="D277">
        <v>-35.799999999999997</v>
      </c>
      <c r="E277">
        <v>-31</v>
      </c>
      <c r="F277">
        <v>1.1000000000000001</v>
      </c>
    </row>
    <row r="278" spans="1:6" x14ac:dyDescent="0.25">
      <c r="A278" t="s">
        <v>166</v>
      </c>
      <c r="B278">
        <v>-18.5</v>
      </c>
      <c r="C278">
        <v>-4.4000000000000004</v>
      </c>
      <c r="D278">
        <v>-33.5</v>
      </c>
      <c r="E278">
        <v>-29.3</v>
      </c>
      <c r="F278">
        <v>-0.1</v>
      </c>
    </row>
    <row r="279" spans="1:6" x14ac:dyDescent="0.25">
      <c r="A279" t="s">
        <v>167</v>
      </c>
      <c r="B279">
        <v>-16.399999999999999</v>
      </c>
      <c r="C279">
        <v>-19.100000000000001</v>
      </c>
      <c r="D279">
        <v>-24.6</v>
      </c>
      <c r="E279">
        <v>-29.9</v>
      </c>
      <c r="F279">
        <v>1.6</v>
      </c>
    </row>
    <row r="280" spans="1:6" x14ac:dyDescent="0.25">
      <c r="A280" t="s">
        <v>168</v>
      </c>
      <c r="B280">
        <v>-3.8</v>
      </c>
      <c r="C280">
        <v>5.5</v>
      </c>
      <c r="D280">
        <v>-17.600000000000001</v>
      </c>
      <c r="E280">
        <v>-8.3000000000000007</v>
      </c>
      <c r="F280">
        <v>4.2</v>
      </c>
    </row>
    <row r="281" spans="1:6" x14ac:dyDescent="0.25">
      <c r="A281" t="s">
        <v>169</v>
      </c>
      <c r="B281">
        <v>0</v>
      </c>
      <c r="C281">
        <v>-13.9</v>
      </c>
      <c r="D281">
        <v>3.3</v>
      </c>
      <c r="E281">
        <v>-3.9</v>
      </c>
      <c r="F281">
        <v>3.9</v>
      </c>
    </row>
    <row r="282" spans="1:6" x14ac:dyDescent="0.25">
      <c r="A282" t="s">
        <v>170</v>
      </c>
      <c r="B282">
        <v>6.8</v>
      </c>
      <c r="C282">
        <v>5.5</v>
      </c>
      <c r="D282">
        <v>11.6</v>
      </c>
      <c r="E282">
        <v>4.7</v>
      </c>
      <c r="F282">
        <v>6.4</v>
      </c>
    </row>
    <row r="283" spans="1:6" x14ac:dyDescent="0.25">
      <c r="A283" t="s">
        <v>171</v>
      </c>
      <c r="B283">
        <v>14.9</v>
      </c>
      <c r="C283">
        <v>90.8</v>
      </c>
      <c r="D283">
        <v>12</v>
      </c>
      <c r="E283">
        <v>5.9</v>
      </c>
      <c r="F283">
        <v>5.2</v>
      </c>
    </row>
    <row r="284" spans="1:6" x14ac:dyDescent="0.25">
      <c r="A284" t="s">
        <v>172</v>
      </c>
      <c r="B284">
        <v>2.1</v>
      </c>
      <c r="C284">
        <v>-23</v>
      </c>
      <c r="D284">
        <v>7.7</v>
      </c>
      <c r="E284">
        <v>10.9</v>
      </c>
      <c r="F284">
        <v>3</v>
      </c>
    </row>
    <row r="285" spans="1:6" x14ac:dyDescent="0.25">
      <c r="A285" t="s">
        <v>173</v>
      </c>
      <c r="B285">
        <v>9.5</v>
      </c>
      <c r="C285">
        <v>4.2</v>
      </c>
      <c r="D285">
        <v>19.100000000000001</v>
      </c>
      <c r="E285">
        <v>15.2</v>
      </c>
      <c r="F285">
        <v>3.2</v>
      </c>
    </row>
    <row r="286" spans="1:6" x14ac:dyDescent="0.25">
      <c r="A286" t="s">
        <v>174</v>
      </c>
      <c r="B286">
        <v>8.1999999999999993</v>
      </c>
      <c r="C286">
        <v>-27.5</v>
      </c>
      <c r="D286">
        <v>18</v>
      </c>
      <c r="E286">
        <v>17.3</v>
      </c>
      <c r="F286">
        <v>3.2</v>
      </c>
    </row>
    <row r="287" spans="1:6" x14ac:dyDescent="0.25">
      <c r="A287" t="s">
        <v>175</v>
      </c>
      <c r="B287">
        <v>4.0999999999999996</v>
      </c>
      <c r="C287">
        <v>-29.6</v>
      </c>
      <c r="D287">
        <v>21.9</v>
      </c>
      <c r="E287">
        <v>18.100000000000001</v>
      </c>
      <c r="F287">
        <v>2.9</v>
      </c>
    </row>
    <row r="288" spans="1:6" x14ac:dyDescent="0.25">
      <c r="A288" t="s">
        <v>176</v>
      </c>
      <c r="B288">
        <v>16.100000000000001</v>
      </c>
      <c r="C288">
        <v>167</v>
      </c>
      <c r="D288">
        <v>22.5</v>
      </c>
      <c r="E288">
        <v>9.8000000000000007</v>
      </c>
      <c r="F288">
        <v>2.2999999999999998</v>
      </c>
    </row>
    <row r="289" spans="1:6" x14ac:dyDescent="0.25">
      <c r="A289" t="s">
        <v>177</v>
      </c>
      <c r="B289">
        <v>5.0999999999999996</v>
      </c>
      <c r="C289">
        <v>-32.200000000000003</v>
      </c>
      <c r="D289">
        <v>8.4</v>
      </c>
      <c r="E289">
        <v>14</v>
      </c>
      <c r="F289">
        <v>2.4</v>
      </c>
    </row>
    <row r="290" spans="1:6" x14ac:dyDescent="0.25">
      <c r="A290" t="s">
        <v>178</v>
      </c>
      <c r="B290">
        <v>2.2000000000000002</v>
      </c>
      <c r="C290">
        <v>-78.8</v>
      </c>
      <c r="D290">
        <v>6.6</v>
      </c>
      <c r="E290">
        <v>14.8</v>
      </c>
      <c r="F290">
        <v>0.9</v>
      </c>
    </row>
    <row r="291" spans="1:6" x14ac:dyDescent="0.25">
      <c r="A291" t="s">
        <v>179</v>
      </c>
      <c r="B291">
        <v>5.5</v>
      </c>
      <c r="C291">
        <v>-35.1</v>
      </c>
      <c r="D291">
        <v>7.1</v>
      </c>
      <c r="E291">
        <v>22.9</v>
      </c>
      <c r="F291">
        <v>2.8</v>
      </c>
    </row>
    <row r="292" spans="1:6" x14ac:dyDescent="0.25">
      <c r="A292" t="s">
        <v>180</v>
      </c>
      <c r="B292">
        <v>-1.2</v>
      </c>
      <c r="C292">
        <v>-72.8</v>
      </c>
      <c r="D292">
        <v>4.0999999999999996</v>
      </c>
      <c r="E292">
        <v>17.2</v>
      </c>
      <c r="F292">
        <v>6</v>
      </c>
    </row>
    <row r="293" spans="1:6" x14ac:dyDescent="0.25">
      <c r="A293" t="s">
        <v>181</v>
      </c>
      <c r="B293">
        <v>5.3</v>
      </c>
      <c r="C293">
        <v>7.7</v>
      </c>
      <c r="D293">
        <v>2.5</v>
      </c>
      <c r="E293">
        <v>11.6</v>
      </c>
      <c r="F293">
        <v>6</v>
      </c>
    </row>
    <row r="294" spans="1:6" x14ac:dyDescent="0.25">
      <c r="A294" t="s">
        <v>182</v>
      </c>
      <c r="B294">
        <v>8.5</v>
      </c>
      <c r="C294">
        <v>532.4</v>
      </c>
      <c r="D294">
        <v>2.7</v>
      </c>
      <c r="E294">
        <v>5.8</v>
      </c>
      <c r="F294">
        <v>4.4000000000000004</v>
      </c>
    </row>
    <row r="295" spans="1:6" x14ac:dyDescent="0.25">
      <c r="A295" t="s">
        <v>183</v>
      </c>
      <c r="B295">
        <v>2.1</v>
      </c>
      <c r="C295">
        <v>30</v>
      </c>
      <c r="D295">
        <v>-3.5</v>
      </c>
      <c r="E295">
        <v>-0.5</v>
      </c>
      <c r="F295">
        <v>2.4</v>
      </c>
    </row>
    <row r="296" spans="1:6" x14ac:dyDescent="0.25">
      <c r="A296" t="s">
        <v>184</v>
      </c>
      <c r="B296">
        <v>7.3</v>
      </c>
      <c r="C296">
        <v>87.6</v>
      </c>
      <c r="D296">
        <v>2</v>
      </c>
      <c r="E296">
        <v>1.9</v>
      </c>
      <c r="F296">
        <v>1.2</v>
      </c>
    </row>
    <row r="297" spans="1:6" x14ac:dyDescent="0.25">
      <c r="A297" t="s">
        <v>185</v>
      </c>
      <c r="B297">
        <v>5.5</v>
      </c>
      <c r="C297">
        <v>70.7</v>
      </c>
      <c r="D297">
        <v>12.1</v>
      </c>
      <c r="E297">
        <v>-3.1</v>
      </c>
      <c r="F297">
        <v>0.5</v>
      </c>
    </row>
    <row r="298" spans="1:6" x14ac:dyDescent="0.25">
      <c r="A298" t="s">
        <v>186</v>
      </c>
      <c r="B298">
        <v>2.6</v>
      </c>
      <c r="C298">
        <v>7.7</v>
      </c>
      <c r="D298">
        <v>8.8000000000000007</v>
      </c>
      <c r="E298">
        <v>-4.0999999999999996</v>
      </c>
      <c r="F298">
        <v>1.3</v>
      </c>
    </row>
    <row r="299" spans="1:6" x14ac:dyDescent="0.25">
      <c r="A299" t="s">
        <v>187</v>
      </c>
      <c r="B299">
        <v>6.7</v>
      </c>
      <c r="C299">
        <v>21.7</v>
      </c>
      <c r="D299">
        <v>7.6</v>
      </c>
      <c r="E299">
        <v>2.1</v>
      </c>
      <c r="F299">
        <v>5.2</v>
      </c>
    </row>
    <row r="300" spans="1:6" x14ac:dyDescent="0.25">
      <c r="A300" t="s">
        <v>188</v>
      </c>
      <c r="B300">
        <v>11.3</v>
      </c>
      <c r="C300">
        <v>96.6</v>
      </c>
      <c r="D300">
        <v>0.2</v>
      </c>
      <c r="E300">
        <v>10.9</v>
      </c>
      <c r="F300">
        <v>1.6</v>
      </c>
    </row>
    <row r="301" spans="1:6" x14ac:dyDescent="0.25">
      <c r="A301" t="s">
        <v>189</v>
      </c>
      <c r="B301">
        <v>8</v>
      </c>
      <c r="C301">
        <v>-0.6</v>
      </c>
      <c r="D301">
        <v>-4.7</v>
      </c>
      <c r="E301">
        <v>21.1</v>
      </c>
      <c r="F301">
        <v>5.6</v>
      </c>
    </row>
    <row r="302" spans="1:6" x14ac:dyDescent="0.25">
      <c r="A302" t="s">
        <v>190</v>
      </c>
      <c r="B302">
        <v>7.5</v>
      </c>
      <c r="C302">
        <v>2.4</v>
      </c>
      <c r="D302">
        <v>0.5</v>
      </c>
      <c r="E302">
        <v>20.5</v>
      </c>
      <c r="F302">
        <v>4.7</v>
      </c>
    </row>
    <row r="303" spans="1:6" x14ac:dyDescent="0.25">
      <c r="A303" t="s">
        <v>191</v>
      </c>
      <c r="B303">
        <v>10.6</v>
      </c>
      <c r="C303">
        <v>19.899999999999999</v>
      </c>
      <c r="D303">
        <v>7</v>
      </c>
      <c r="E303">
        <v>22.5</v>
      </c>
      <c r="F303">
        <v>1.1000000000000001</v>
      </c>
    </row>
    <row r="304" spans="1:6" x14ac:dyDescent="0.25">
      <c r="A304" t="s">
        <v>192</v>
      </c>
      <c r="B304">
        <v>6.4</v>
      </c>
      <c r="C304">
        <v>-9.8000000000000007</v>
      </c>
      <c r="D304">
        <v>13.4</v>
      </c>
      <c r="E304">
        <v>12.8</v>
      </c>
      <c r="F304">
        <v>5.5</v>
      </c>
    </row>
    <row r="305" spans="1:6" x14ac:dyDescent="0.25">
      <c r="A305" t="s">
        <v>193</v>
      </c>
      <c r="B305">
        <v>9.1</v>
      </c>
      <c r="C305">
        <v>49.9</v>
      </c>
      <c r="D305">
        <v>11</v>
      </c>
      <c r="E305">
        <v>8.1</v>
      </c>
      <c r="F305">
        <v>2.2999999999999998</v>
      </c>
    </row>
    <row r="306" spans="1:6" x14ac:dyDescent="0.25">
      <c r="A306" t="s">
        <v>194</v>
      </c>
      <c r="B306">
        <v>11.4</v>
      </c>
      <c r="C306">
        <v>72.3</v>
      </c>
      <c r="D306">
        <v>5.8</v>
      </c>
      <c r="E306">
        <v>7.5</v>
      </c>
      <c r="F306">
        <v>4</v>
      </c>
    </row>
    <row r="307" spans="1:6" x14ac:dyDescent="0.25">
      <c r="A307" t="s">
        <v>195</v>
      </c>
      <c r="B307">
        <v>0.7</v>
      </c>
      <c r="C307">
        <v>-10.1</v>
      </c>
      <c r="D307">
        <v>-3.4</v>
      </c>
      <c r="E307">
        <v>-1.2</v>
      </c>
      <c r="F307">
        <v>3.4</v>
      </c>
    </row>
    <row r="308" spans="1:6" x14ac:dyDescent="0.25">
      <c r="A308" t="s">
        <v>196</v>
      </c>
      <c r="B308">
        <v>0.6</v>
      </c>
      <c r="C308">
        <v>-19.7</v>
      </c>
      <c r="D308">
        <v>0.5</v>
      </c>
      <c r="E308">
        <v>0.3</v>
      </c>
      <c r="F308">
        <v>1.5</v>
      </c>
    </row>
    <row r="309" spans="1:6" x14ac:dyDescent="0.25">
      <c r="A309" t="s">
        <v>197</v>
      </c>
      <c r="B309">
        <v>0.4</v>
      </c>
      <c r="C309">
        <v>1</v>
      </c>
      <c r="D309">
        <v>0.8</v>
      </c>
      <c r="E309">
        <v>-6.9</v>
      </c>
      <c r="F309">
        <v>2.2999999999999998</v>
      </c>
    </row>
    <row r="310" spans="1:6" x14ac:dyDescent="0.25">
      <c r="A310" t="s">
        <v>198</v>
      </c>
      <c r="B310">
        <v>-3.6</v>
      </c>
      <c r="C310">
        <v>-14.5</v>
      </c>
      <c r="D310">
        <v>0</v>
      </c>
      <c r="E310">
        <v>-7.5</v>
      </c>
      <c r="F310">
        <v>3.7</v>
      </c>
    </row>
    <row r="311" spans="1:6" x14ac:dyDescent="0.25">
      <c r="A311" t="s">
        <v>199</v>
      </c>
      <c r="B311">
        <v>1.8</v>
      </c>
      <c r="C311">
        <v>41.1</v>
      </c>
      <c r="D311">
        <v>4.4000000000000004</v>
      </c>
      <c r="E311">
        <v>-5.6</v>
      </c>
      <c r="F311">
        <v>5.4</v>
      </c>
    </row>
    <row r="312" spans="1:6" x14ac:dyDescent="0.25">
      <c r="A312" t="s">
        <v>200</v>
      </c>
      <c r="B312">
        <v>-1.1000000000000001</v>
      </c>
      <c r="C312">
        <v>-14.8</v>
      </c>
      <c r="D312">
        <v>2.9</v>
      </c>
      <c r="E312">
        <v>-2.9</v>
      </c>
      <c r="F312">
        <v>5.2</v>
      </c>
    </row>
    <row r="313" spans="1:6" x14ac:dyDescent="0.25">
      <c r="A313" t="s">
        <v>201</v>
      </c>
      <c r="B313">
        <v>-2.7</v>
      </c>
      <c r="C313">
        <v>-56.4</v>
      </c>
      <c r="D313">
        <v>0.9</v>
      </c>
      <c r="E313">
        <v>3.9</v>
      </c>
      <c r="F313">
        <v>4.5</v>
      </c>
    </row>
    <row r="314" spans="1:6" x14ac:dyDescent="0.25">
      <c r="A314" t="s">
        <v>202</v>
      </c>
      <c r="B314">
        <v>-0.9</v>
      </c>
      <c r="C314">
        <v>-16.399999999999999</v>
      </c>
      <c r="D314">
        <v>0</v>
      </c>
      <c r="E314">
        <v>5.0999999999999996</v>
      </c>
      <c r="F314">
        <v>0.5</v>
      </c>
    </row>
    <row r="315" spans="1:6" x14ac:dyDescent="0.25">
      <c r="A315" t="s">
        <v>203</v>
      </c>
      <c r="B315">
        <v>-1.9</v>
      </c>
      <c r="C315">
        <v>-20.6</v>
      </c>
      <c r="D315">
        <v>-4.3</v>
      </c>
      <c r="E315">
        <v>9.8000000000000007</v>
      </c>
      <c r="F315">
        <v>-1.5</v>
      </c>
    </row>
    <row r="316" spans="1:6" x14ac:dyDescent="0.25">
      <c r="A316" t="s">
        <v>204</v>
      </c>
      <c r="B316">
        <v>-0.2</v>
      </c>
      <c r="C316">
        <v>-1.6</v>
      </c>
      <c r="D316">
        <v>-7.2</v>
      </c>
      <c r="E316">
        <v>10</v>
      </c>
      <c r="F316">
        <v>1.5</v>
      </c>
    </row>
    <row r="317" spans="1:6" x14ac:dyDescent="0.25">
      <c r="A317" t="s">
        <v>205</v>
      </c>
      <c r="B317">
        <v>3.5</v>
      </c>
      <c r="C317">
        <v>81.3</v>
      </c>
      <c r="D317">
        <v>-4</v>
      </c>
      <c r="E317">
        <v>7.3</v>
      </c>
      <c r="F317">
        <v>1.2</v>
      </c>
    </row>
    <row r="318" spans="1:6" x14ac:dyDescent="0.25">
      <c r="A318" t="s">
        <v>206</v>
      </c>
      <c r="B318">
        <v>3</v>
      </c>
      <c r="C318">
        <v>-7.7</v>
      </c>
      <c r="D318">
        <v>-7</v>
      </c>
      <c r="E318">
        <v>4.0999999999999996</v>
      </c>
      <c r="F318">
        <v>5.0999999999999996</v>
      </c>
    </row>
    <row r="319" spans="1:6" x14ac:dyDescent="0.25">
      <c r="A319" t="s">
        <v>207</v>
      </c>
      <c r="B319">
        <v>2.4</v>
      </c>
      <c r="C319">
        <v>-23.8</v>
      </c>
      <c r="D319">
        <v>-3.1</v>
      </c>
      <c r="E319">
        <v>2.2000000000000002</v>
      </c>
      <c r="F319">
        <v>6.3</v>
      </c>
    </row>
    <row r="320" spans="1:6" x14ac:dyDescent="0.25">
      <c r="A320" t="s">
        <v>208</v>
      </c>
      <c r="B320">
        <v>-1</v>
      </c>
      <c r="C320">
        <v>-8</v>
      </c>
      <c r="D320">
        <v>-2.8</v>
      </c>
      <c r="E320">
        <v>-8.1999999999999993</v>
      </c>
      <c r="F320">
        <v>4.4000000000000004</v>
      </c>
    </row>
    <row r="321" spans="1:6" x14ac:dyDescent="0.25">
      <c r="A321" t="s">
        <v>209</v>
      </c>
      <c r="B321">
        <v>-21.3</v>
      </c>
      <c r="C321">
        <v>-66.2</v>
      </c>
      <c r="D321">
        <v>-30.1</v>
      </c>
      <c r="E321">
        <v>-22.6</v>
      </c>
      <c r="F321">
        <v>-4.7</v>
      </c>
    </row>
    <row r="322" spans="1:6" x14ac:dyDescent="0.25">
      <c r="A322" t="s">
        <v>210</v>
      </c>
      <c r="B322">
        <v>-11.7</v>
      </c>
      <c r="C322">
        <v>0.9</v>
      </c>
      <c r="D322">
        <v>-17.3</v>
      </c>
      <c r="E322">
        <v>-18.100000000000001</v>
      </c>
      <c r="F322">
        <v>-5.2</v>
      </c>
    </row>
    <row r="323" spans="1:6" x14ac:dyDescent="0.25">
      <c r="A323" t="s">
        <v>211</v>
      </c>
      <c r="B323">
        <v>-6.8</v>
      </c>
      <c r="C323">
        <v>42.3</v>
      </c>
      <c r="D323">
        <v>-6.7</v>
      </c>
      <c r="E323">
        <v>-18.100000000000001</v>
      </c>
      <c r="F323">
        <v>-5.4</v>
      </c>
    </row>
    <row r="324" spans="1:6" x14ac:dyDescent="0.25">
      <c r="A324" t="s">
        <v>212</v>
      </c>
      <c r="B324">
        <v>-11.2</v>
      </c>
      <c r="C324">
        <v>-30.2</v>
      </c>
      <c r="D324">
        <v>-4.2</v>
      </c>
      <c r="E324">
        <v>-18.399999999999999</v>
      </c>
      <c r="F324">
        <v>-6.1</v>
      </c>
    </row>
    <row r="325" spans="1:6" x14ac:dyDescent="0.25">
      <c r="A325" t="s">
        <v>213</v>
      </c>
      <c r="B325">
        <v>18.5</v>
      </c>
      <c r="C325">
        <v>70.599999999999994</v>
      </c>
      <c r="D325">
        <v>32.200000000000003</v>
      </c>
      <c r="E325">
        <v>10.1</v>
      </c>
      <c r="F325">
        <v>11.4</v>
      </c>
    </row>
    <row r="326" spans="1:6" x14ac:dyDescent="0.25">
      <c r="A326" t="s">
        <v>214</v>
      </c>
      <c r="B326">
        <v>4.2</v>
      </c>
      <c r="C326">
        <v>-20.5</v>
      </c>
      <c r="D326">
        <v>21.6</v>
      </c>
      <c r="E326">
        <v>2.2999999999999998</v>
      </c>
      <c r="F326">
        <v>3.3</v>
      </c>
    </row>
    <row r="327" spans="1:6" x14ac:dyDescent="0.25">
      <c r="A327" t="s">
        <v>215</v>
      </c>
      <c r="B327">
        <v>-1</v>
      </c>
      <c r="C327">
        <v>-21.5</v>
      </c>
      <c r="D327">
        <v>3.3</v>
      </c>
      <c r="E327">
        <v>-1.7</v>
      </c>
      <c r="F327">
        <v>2.8</v>
      </c>
    </row>
    <row r="328" spans="1:6" x14ac:dyDescent="0.25">
      <c r="A328" t="s">
        <v>345</v>
      </c>
      <c r="B328">
        <v>9.4</v>
      </c>
      <c r="C328">
        <v>27.4</v>
      </c>
      <c r="D328">
        <v>11.3</v>
      </c>
      <c r="E328">
        <v>13.2</v>
      </c>
      <c r="F328">
        <v>2.2000000000000002</v>
      </c>
    </row>
    <row r="329" spans="1:6" x14ac:dyDescent="0.25">
      <c r="A329" t="s">
        <v>346</v>
      </c>
      <c r="B329">
        <v>4</v>
      </c>
      <c r="C329">
        <v>94.8</v>
      </c>
      <c r="D329">
        <v>13.9</v>
      </c>
      <c r="E329">
        <v>-3.4</v>
      </c>
      <c r="F329">
        <v>-8.3000000000000007</v>
      </c>
    </row>
    <row r="330" spans="1:6" x14ac:dyDescent="0.25">
      <c r="A330" t="s">
        <v>347</v>
      </c>
      <c r="B330">
        <v>6.8</v>
      </c>
      <c r="C330">
        <v>53.3</v>
      </c>
      <c r="D330">
        <v>11.4</v>
      </c>
      <c r="E330">
        <v>1.6</v>
      </c>
      <c r="F330">
        <v>-0.9</v>
      </c>
    </row>
    <row r="331" spans="1:6" x14ac:dyDescent="0.25">
      <c r="A331" t="s">
        <v>348</v>
      </c>
      <c r="B331">
        <v>3.6</v>
      </c>
      <c r="C331">
        <v>41.2</v>
      </c>
      <c r="D331">
        <v>7.4</v>
      </c>
      <c r="E331">
        <v>-2.7</v>
      </c>
      <c r="F331">
        <v>-2</v>
      </c>
    </row>
    <row r="332" spans="1:6" x14ac:dyDescent="0.25">
      <c r="A332" t="s">
        <v>349</v>
      </c>
      <c r="B332">
        <v>6.1</v>
      </c>
      <c r="C332">
        <v>78.400000000000006</v>
      </c>
      <c r="D332">
        <v>4</v>
      </c>
      <c r="E332">
        <v>-1.8</v>
      </c>
      <c r="F332">
        <v>0.1</v>
      </c>
    </row>
    <row r="333" spans="1:6" x14ac:dyDescent="0.25">
      <c r="A333" t="s">
        <v>350</v>
      </c>
      <c r="B333">
        <v>3</v>
      </c>
      <c r="C333">
        <v>29.9</v>
      </c>
      <c r="D333">
        <v>-0.1</v>
      </c>
      <c r="E333">
        <v>-5.7</v>
      </c>
      <c r="F333">
        <v>3.7</v>
      </c>
    </row>
    <row r="334" spans="1:6" x14ac:dyDescent="0.25">
      <c r="A334" t="s">
        <v>351</v>
      </c>
      <c r="B334">
        <v>-1</v>
      </c>
      <c r="C334">
        <v>23.4</v>
      </c>
      <c r="D334">
        <v>-4.7</v>
      </c>
      <c r="E334">
        <v>-8.8000000000000007</v>
      </c>
      <c r="F334">
        <v>0.3</v>
      </c>
    </row>
    <row r="335" spans="1:6" x14ac:dyDescent="0.25">
      <c r="A335" t="s">
        <v>352</v>
      </c>
      <c r="B335">
        <v>3</v>
      </c>
      <c r="C335">
        <v>16.5</v>
      </c>
      <c r="D335">
        <v>1.9</v>
      </c>
      <c r="E335">
        <v>2.2999999999999998</v>
      </c>
      <c r="F335">
        <v>0.1</v>
      </c>
    </row>
    <row r="336" spans="1:6" x14ac:dyDescent="0.25">
      <c r="A336" t="s">
        <v>353</v>
      </c>
      <c r="B336">
        <v>-1.8</v>
      </c>
      <c r="C336">
        <v>3.8</v>
      </c>
      <c r="D336">
        <v>-0.2</v>
      </c>
      <c r="E336">
        <v>-4.7</v>
      </c>
      <c r="F336">
        <v>-2.5</v>
      </c>
    </row>
    <row r="337" spans="1:6" x14ac:dyDescent="0.25">
      <c r="A337" t="s">
        <v>354</v>
      </c>
      <c r="B337">
        <v>0.2</v>
      </c>
      <c r="C337">
        <v>3</v>
      </c>
      <c r="D337">
        <v>-5.9</v>
      </c>
      <c r="E337">
        <v>7.3</v>
      </c>
      <c r="F337">
        <v>-2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1801-D5D5-4228-8F1B-34248211D674}">
  <sheetPr codeName="Sheet20"/>
  <dimension ref="A1:P114"/>
  <sheetViews>
    <sheetView workbookViewId="0">
      <pane ySplit="4" topLeftCell="A41" activePane="bottomLeft" state="frozen"/>
      <selection pane="bottomLeft" activeCell="C114" sqref="C114"/>
    </sheetView>
  </sheetViews>
  <sheetFormatPr defaultColWidth="9.140625" defaultRowHeight="15.75" x14ac:dyDescent="0.25"/>
  <cols>
    <col min="1" max="1" width="40" customWidth="1"/>
    <col min="2" max="9" width="18.7109375" customWidth="1"/>
    <col min="10" max="16384" width="9.140625" style="23"/>
  </cols>
  <sheetData>
    <row r="1" spans="1:16" ht="19.5" x14ac:dyDescent="0.3">
      <c r="A1" s="50" t="s">
        <v>1281</v>
      </c>
      <c r="B1" s="51"/>
      <c r="C1" s="51"/>
      <c r="D1" s="51"/>
      <c r="E1" s="51"/>
      <c r="F1" s="51"/>
      <c r="G1" s="51"/>
      <c r="H1" s="51"/>
      <c r="I1" s="51"/>
    </row>
    <row r="2" spans="1:16" ht="15" x14ac:dyDescent="0.2">
      <c r="A2" s="52" t="s">
        <v>1282</v>
      </c>
      <c r="B2" s="51"/>
      <c r="C2" s="51"/>
      <c r="D2" s="51"/>
      <c r="E2" s="51"/>
      <c r="F2" s="51"/>
      <c r="G2" s="51"/>
      <c r="H2" s="51"/>
      <c r="I2" s="51"/>
    </row>
    <row r="3" spans="1:16" ht="49.5" x14ac:dyDescent="0.2">
      <c r="A3" s="53" t="s">
        <v>1271</v>
      </c>
      <c r="B3" s="53" t="s">
        <v>1283</v>
      </c>
      <c r="C3" s="53" t="s">
        <v>1284</v>
      </c>
      <c r="D3" s="53" t="s">
        <v>1285</v>
      </c>
      <c r="E3" s="53" t="s">
        <v>1286</v>
      </c>
      <c r="F3" s="53" t="s">
        <v>1287</v>
      </c>
      <c r="G3" s="53" t="s">
        <v>1288</v>
      </c>
      <c r="H3" s="53" t="s">
        <v>1289</v>
      </c>
      <c r="I3" s="53" t="s">
        <v>1290</v>
      </c>
    </row>
    <row r="4" spans="1:16" ht="16.5" x14ac:dyDescent="0.25">
      <c r="A4" s="54" t="s">
        <v>1291</v>
      </c>
      <c r="B4" s="54" t="s">
        <v>602</v>
      </c>
      <c r="C4" s="54" t="s">
        <v>603</v>
      </c>
      <c r="D4" s="54" t="s">
        <v>604</v>
      </c>
      <c r="E4" s="54" t="s">
        <v>605</v>
      </c>
      <c r="F4" s="54" t="s">
        <v>606</v>
      </c>
      <c r="G4" s="54" t="s">
        <v>607</v>
      </c>
      <c r="H4" s="54" t="s">
        <v>608</v>
      </c>
      <c r="I4" s="54" t="s">
        <v>609</v>
      </c>
      <c r="J4" s="24"/>
      <c r="K4" s="24"/>
      <c r="L4" s="24"/>
      <c r="M4" s="24"/>
      <c r="N4" s="24"/>
      <c r="O4" s="24"/>
      <c r="P4" s="24"/>
    </row>
    <row r="5" spans="1:16" x14ac:dyDescent="0.25">
      <c r="A5" s="33" t="s">
        <v>116</v>
      </c>
      <c r="B5" s="34">
        <v>5669</v>
      </c>
      <c r="C5" s="34">
        <v>4285</v>
      </c>
      <c r="D5" s="34">
        <v>9351</v>
      </c>
      <c r="E5" s="34">
        <v>7473</v>
      </c>
      <c r="F5" s="34">
        <v>26424</v>
      </c>
      <c r="G5" s="34">
        <v>26209</v>
      </c>
      <c r="H5" s="34">
        <v>35806</v>
      </c>
      <c r="I5" s="34">
        <v>35462</v>
      </c>
      <c r="J5" s="25"/>
      <c r="K5" s="23" t="s">
        <v>1034</v>
      </c>
      <c r="L5" s="25"/>
      <c r="M5" s="25"/>
    </row>
    <row r="6" spans="1:16" x14ac:dyDescent="0.25">
      <c r="A6" s="33" t="s">
        <v>117</v>
      </c>
      <c r="B6" s="34">
        <v>3217</v>
      </c>
      <c r="C6" s="34">
        <v>4007</v>
      </c>
      <c r="D6" s="34">
        <v>5379</v>
      </c>
      <c r="E6" s="34">
        <v>6524</v>
      </c>
      <c r="F6" s="34">
        <v>26636</v>
      </c>
      <c r="G6" s="34">
        <v>27026</v>
      </c>
      <c r="H6" s="34">
        <v>36501</v>
      </c>
      <c r="I6" s="34">
        <v>37021</v>
      </c>
      <c r="J6" s="25"/>
      <c r="K6" s="25"/>
      <c r="L6" s="25"/>
      <c r="M6" s="25"/>
    </row>
    <row r="7" spans="1:16" x14ac:dyDescent="0.25">
      <c r="A7" s="33" t="s">
        <v>118</v>
      </c>
      <c r="B7" s="34">
        <v>4043</v>
      </c>
      <c r="C7" s="34">
        <v>4586</v>
      </c>
      <c r="D7" s="34">
        <v>6754</v>
      </c>
      <c r="E7" s="34">
        <v>7561</v>
      </c>
      <c r="F7" s="34">
        <v>28140</v>
      </c>
      <c r="G7" s="34">
        <v>28661</v>
      </c>
      <c r="H7" s="34">
        <v>38342</v>
      </c>
      <c r="I7" s="34">
        <v>39279</v>
      </c>
      <c r="J7" s="25"/>
      <c r="K7" s="25"/>
      <c r="L7" s="25"/>
      <c r="M7" s="25"/>
    </row>
    <row r="8" spans="1:16" x14ac:dyDescent="0.25">
      <c r="A8" s="33" t="s">
        <v>119</v>
      </c>
      <c r="B8" s="34">
        <v>4245</v>
      </c>
      <c r="C8" s="34">
        <v>4296</v>
      </c>
      <c r="D8" s="34">
        <v>7091</v>
      </c>
      <c r="E8" s="34">
        <v>7017</v>
      </c>
      <c r="F8" s="34">
        <v>30387</v>
      </c>
      <c r="G8" s="34">
        <v>29691</v>
      </c>
      <c r="H8" s="34">
        <v>41413</v>
      </c>
      <c r="I8" s="34">
        <v>40300</v>
      </c>
      <c r="J8" s="25"/>
      <c r="K8" s="25"/>
      <c r="L8" s="25"/>
      <c r="M8" s="25"/>
    </row>
    <row r="9" spans="1:16" x14ac:dyDescent="0.25">
      <c r="A9" s="33" t="s">
        <v>120</v>
      </c>
      <c r="B9" s="34">
        <v>6266</v>
      </c>
      <c r="C9" s="34">
        <v>4645</v>
      </c>
      <c r="D9" s="34">
        <v>10344</v>
      </c>
      <c r="E9" s="34">
        <v>7859</v>
      </c>
      <c r="F9" s="34">
        <v>30370</v>
      </c>
      <c r="G9" s="34">
        <v>30095</v>
      </c>
      <c r="H9" s="34">
        <v>41345</v>
      </c>
      <c r="I9" s="34">
        <v>40946</v>
      </c>
      <c r="J9" s="25"/>
      <c r="K9" s="25"/>
      <c r="L9" s="25"/>
      <c r="M9" s="25"/>
    </row>
    <row r="10" spans="1:16" x14ac:dyDescent="0.25">
      <c r="A10" s="33" t="s">
        <v>121</v>
      </c>
      <c r="B10" s="34">
        <v>3494</v>
      </c>
      <c r="C10" s="34">
        <v>4537</v>
      </c>
      <c r="D10" s="34">
        <v>5704</v>
      </c>
      <c r="E10" s="34">
        <v>7576</v>
      </c>
      <c r="F10" s="34">
        <v>28966</v>
      </c>
      <c r="G10" s="34">
        <v>29732</v>
      </c>
      <c r="H10" s="34">
        <v>39514</v>
      </c>
      <c r="I10" s="34">
        <v>40781</v>
      </c>
      <c r="J10" s="25"/>
      <c r="K10" s="25"/>
      <c r="L10" s="25"/>
      <c r="M10" s="25"/>
    </row>
    <row r="11" spans="1:16" x14ac:dyDescent="0.25">
      <c r="A11" s="33" t="s">
        <v>122</v>
      </c>
      <c r="B11" s="34">
        <v>4274</v>
      </c>
      <c r="C11" s="34">
        <v>4736</v>
      </c>
      <c r="D11" s="34">
        <v>6962</v>
      </c>
      <c r="E11" s="34">
        <v>7644</v>
      </c>
      <c r="F11" s="34">
        <v>28975</v>
      </c>
      <c r="G11" s="34">
        <v>29391</v>
      </c>
      <c r="H11" s="34">
        <v>39501</v>
      </c>
      <c r="I11" s="34">
        <v>40414</v>
      </c>
      <c r="J11" s="25"/>
      <c r="K11" s="25"/>
      <c r="L11" s="25"/>
      <c r="M11" s="25"/>
    </row>
    <row r="12" spans="1:16" x14ac:dyDescent="0.25">
      <c r="A12" s="33" t="s">
        <v>123</v>
      </c>
      <c r="B12" s="34">
        <v>4649</v>
      </c>
      <c r="C12" s="34">
        <v>4765</v>
      </c>
      <c r="D12" s="34">
        <v>7598</v>
      </c>
      <c r="E12" s="34">
        <v>7529</v>
      </c>
      <c r="F12" s="34">
        <v>31784</v>
      </c>
      <c r="G12" s="34">
        <v>30877</v>
      </c>
      <c r="H12" s="34">
        <v>43205</v>
      </c>
      <c r="I12" s="34">
        <v>41424</v>
      </c>
      <c r="J12" s="25"/>
      <c r="K12" s="25"/>
      <c r="L12" s="25"/>
      <c r="M12" s="25"/>
    </row>
    <row r="13" spans="1:16" x14ac:dyDescent="0.25">
      <c r="A13" s="33" t="s">
        <v>124</v>
      </c>
      <c r="B13" s="34">
        <v>6355</v>
      </c>
      <c r="C13" s="34">
        <v>4829</v>
      </c>
      <c r="D13" s="34">
        <v>10406</v>
      </c>
      <c r="E13" s="34">
        <v>8207</v>
      </c>
      <c r="F13" s="34">
        <v>31342</v>
      </c>
      <c r="G13" s="34">
        <v>31213</v>
      </c>
      <c r="H13" s="34">
        <v>41608</v>
      </c>
      <c r="I13" s="34">
        <v>41135</v>
      </c>
      <c r="J13" s="25"/>
      <c r="K13" s="25"/>
      <c r="L13" s="25"/>
      <c r="M13" s="25"/>
    </row>
    <row r="14" spans="1:16" x14ac:dyDescent="0.25">
      <c r="A14" s="33" t="s">
        <v>125</v>
      </c>
      <c r="B14" s="34">
        <v>3712</v>
      </c>
      <c r="C14" s="34">
        <v>4777</v>
      </c>
      <c r="D14" s="34">
        <v>5939</v>
      </c>
      <c r="E14" s="34">
        <v>7616</v>
      </c>
      <c r="F14" s="34">
        <v>29792</v>
      </c>
      <c r="G14" s="34">
        <v>30235</v>
      </c>
      <c r="H14" s="34">
        <v>40278</v>
      </c>
      <c r="I14" s="34">
        <v>41175</v>
      </c>
      <c r="J14" s="25"/>
      <c r="K14" s="25"/>
      <c r="L14" s="25"/>
      <c r="M14" s="25"/>
    </row>
    <row r="15" spans="1:16" x14ac:dyDescent="0.25">
      <c r="A15" s="33" t="s">
        <v>126</v>
      </c>
      <c r="B15" s="34">
        <v>4174</v>
      </c>
      <c r="C15" s="34">
        <v>4605</v>
      </c>
      <c r="D15" s="34">
        <v>6539</v>
      </c>
      <c r="E15" s="34">
        <v>7144</v>
      </c>
      <c r="F15" s="34">
        <v>31024</v>
      </c>
      <c r="G15" s="34">
        <v>31628</v>
      </c>
      <c r="H15" s="34">
        <v>41474</v>
      </c>
      <c r="I15" s="34">
        <v>42369</v>
      </c>
      <c r="J15" s="25"/>
      <c r="K15" s="25"/>
      <c r="L15" s="25"/>
      <c r="M15" s="25"/>
    </row>
    <row r="16" spans="1:16" x14ac:dyDescent="0.25">
      <c r="A16" s="33" t="s">
        <v>127</v>
      </c>
      <c r="B16" s="34">
        <v>4321</v>
      </c>
      <c r="C16" s="34">
        <v>4351</v>
      </c>
      <c r="D16" s="34">
        <v>6849</v>
      </c>
      <c r="E16" s="34">
        <v>6765</v>
      </c>
      <c r="F16" s="34">
        <v>32227</v>
      </c>
      <c r="G16" s="34">
        <v>31309</v>
      </c>
      <c r="H16" s="34">
        <v>43264</v>
      </c>
      <c r="I16" s="34">
        <v>41945</v>
      </c>
      <c r="J16" s="25"/>
      <c r="K16" s="25"/>
      <c r="L16" s="25"/>
      <c r="M16" s="25"/>
    </row>
    <row r="17" spans="1:13" x14ac:dyDescent="0.25">
      <c r="A17" s="33" t="s">
        <v>128</v>
      </c>
      <c r="B17" s="34">
        <v>6231</v>
      </c>
      <c r="C17" s="34">
        <v>5080</v>
      </c>
      <c r="D17" s="34">
        <v>9705</v>
      </c>
      <c r="E17" s="34">
        <v>7144</v>
      </c>
      <c r="F17" s="34">
        <v>32676</v>
      </c>
      <c r="G17" s="34">
        <v>32148</v>
      </c>
      <c r="H17" s="34">
        <v>43875</v>
      </c>
      <c r="I17" s="34">
        <v>43624</v>
      </c>
      <c r="J17" s="25"/>
      <c r="K17" s="25"/>
      <c r="L17" s="25"/>
      <c r="M17" s="25"/>
    </row>
    <row r="18" spans="1:13" x14ac:dyDescent="0.25">
      <c r="A18" s="33" t="s">
        <v>129</v>
      </c>
      <c r="B18" s="34">
        <v>3802</v>
      </c>
      <c r="C18" s="34">
        <v>4883</v>
      </c>
      <c r="D18" s="34">
        <v>5892</v>
      </c>
      <c r="E18" s="34">
        <v>8166</v>
      </c>
      <c r="F18" s="34">
        <v>34228</v>
      </c>
      <c r="G18" s="34">
        <v>35115</v>
      </c>
      <c r="H18" s="34">
        <v>45553</v>
      </c>
      <c r="I18" s="34">
        <v>46153</v>
      </c>
      <c r="J18" s="25"/>
      <c r="K18" s="25"/>
      <c r="L18" s="25"/>
      <c r="M18" s="25"/>
    </row>
    <row r="19" spans="1:13" x14ac:dyDescent="0.25">
      <c r="A19" s="33" t="s">
        <v>130</v>
      </c>
      <c r="B19" s="34">
        <v>4162</v>
      </c>
      <c r="C19" s="34">
        <v>4263</v>
      </c>
      <c r="D19" s="34">
        <v>6754</v>
      </c>
      <c r="E19" s="34">
        <v>7088</v>
      </c>
      <c r="F19" s="34">
        <v>31495</v>
      </c>
      <c r="G19" s="34">
        <v>32146</v>
      </c>
      <c r="H19" s="34">
        <v>41707</v>
      </c>
      <c r="I19" s="34">
        <v>43061</v>
      </c>
      <c r="J19" s="25"/>
      <c r="K19" s="25"/>
      <c r="L19" s="25"/>
      <c r="M19" s="25"/>
    </row>
    <row r="20" spans="1:13" x14ac:dyDescent="0.25">
      <c r="A20" s="33" t="s">
        <v>131</v>
      </c>
      <c r="B20" s="34">
        <v>4790</v>
      </c>
      <c r="C20" s="34">
        <v>4759</v>
      </c>
      <c r="D20" s="34">
        <v>7284</v>
      </c>
      <c r="E20" s="34">
        <v>7237</v>
      </c>
      <c r="F20" s="34">
        <v>34841</v>
      </c>
      <c r="G20" s="34">
        <v>33831</v>
      </c>
      <c r="H20" s="34">
        <v>46314</v>
      </c>
      <c r="I20" s="34">
        <v>44611</v>
      </c>
      <c r="J20" s="25"/>
      <c r="K20" s="25"/>
      <c r="L20" s="25"/>
      <c r="M20" s="25"/>
    </row>
    <row r="21" spans="1:13" x14ac:dyDescent="0.25">
      <c r="A21" s="33" t="s">
        <v>132</v>
      </c>
      <c r="B21" s="34">
        <v>6455</v>
      </c>
      <c r="C21" s="34">
        <v>4574</v>
      </c>
      <c r="D21" s="34">
        <v>9800</v>
      </c>
      <c r="E21" s="34">
        <v>7194</v>
      </c>
      <c r="F21" s="34">
        <v>34231</v>
      </c>
      <c r="G21" s="34">
        <v>34338</v>
      </c>
      <c r="H21" s="34">
        <v>45021</v>
      </c>
      <c r="I21" s="34">
        <v>44343</v>
      </c>
      <c r="J21" s="25"/>
      <c r="K21" s="25"/>
      <c r="L21" s="25"/>
      <c r="M21" s="25"/>
    </row>
    <row r="22" spans="1:13" x14ac:dyDescent="0.25">
      <c r="A22" s="33" t="s">
        <v>133</v>
      </c>
      <c r="B22" s="34">
        <v>4777</v>
      </c>
      <c r="C22" s="34">
        <v>6143</v>
      </c>
      <c r="D22" s="34">
        <v>7105</v>
      </c>
      <c r="E22" s="34">
        <v>9546</v>
      </c>
      <c r="F22" s="34">
        <v>34187</v>
      </c>
      <c r="G22" s="34">
        <v>34130</v>
      </c>
      <c r="H22" s="34">
        <v>44919</v>
      </c>
      <c r="I22" s="34">
        <v>44742</v>
      </c>
      <c r="J22" s="25"/>
      <c r="K22" s="25"/>
      <c r="L22" s="25"/>
      <c r="M22" s="25"/>
    </row>
    <row r="23" spans="1:13" x14ac:dyDescent="0.25">
      <c r="A23" s="33" t="s">
        <v>134</v>
      </c>
      <c r="B23" s="34">
        <v>5709</v>
      </c>
      <c r="C23" s="34">
        <v>6088</v>
      </c>
      <c r="D23" s="34">
        <v>8689</v>
      </c>
      <c r="E23" s="34">
        <v>8916</v>
      </c>
      <c r="F23" s="34">
        <v>32540</v>
      </c>
      <c r="G23" s="34">
        <v>33140</v>
      </c>
      <c r="H23" s="34">
        <v>43169</v>
      </c>
      <c r="I23" s="34">
        <v>44742</v>
      </c>
      <c r="J23" s="25"/>
      <c r="K23" s="25"/>
      <c r="L23" s="25"/>
      <c r="M23" s="25"/>
    </row>
    <row r="24" spans="1:13" x14ac:dyDescent="0.25">
      <c r="A24" s="33" t="s">
        <v>135</v>
      </c>
      <c r="B24" s="34">
        <v>6046</v>
      </c>
      <c r="C24" s="34">
        <v>6182</v>
      </c>
      <c r="D24" s="34">
        <v>9041</v>
      </c>
      <c r="E24" s="34">
        <v>8978</v>
      </c>
      <c r="F24" s="34">
        <v>32566</v>
      </c>
      <c r="G24" s="34">
        <v>31916</v>
      </c>
      <c r="H24" s="34">
        <v>43581</v>
      </c>
      <c r="I24" s="34">
        <v>42863</v>
      </c>
      <c r="J24" s="25"/>
      <c r="K24" s="25"/>
      <c r="L24" s="25"/>
      <c r="M24" s="25"/>
    </row>
    <row r="25" spans="1:13" x14ac:dyDescent="0.25">
      <c r="A25" s="33" t="s">
        <v>136</v>
      </c>
      <c r="B25" s="34">
        <v>7577</v>
      </c>
      <c r="C25" s="34">
        <v>5865</v>
      </c>
      <c r="D25" s="34">
        <v>11181</v>
      </c>
      <c r="E25" s="34">
        <v>8736</v>
      </c>
      <c r="F25" s="34">
        <v>31679</v>
      </c>
      <c r="G25" s="34">
        <v>31911</v>
      </c>
      <c r="H25" s="34">
        <v>41770</v>
      </c>
      <c r="I25" s="34">
        <v>42091</v>
      </c>
      <c r="J25" s="25"/>
      <c r="K25" s="25"/>
      <c r="L25" s="25"/>
      <c r="M25" s="25"/>
    </row>
    <row r="26" spans="1:13" x14ac:dyDescent="0.25">
      <c r="A26" s="33" t="s">
        <v>137</v>
      </c>
      <c r="B26" s="34">
        <v>5143</v>
      </c>
      <c r="C26" s="34">
        <v>6394</v>
      </c>
      <c r="D26" s="34">
        <v>7775</v>
      </c>
      <c r="E26" s="34">
        <v>9758</v>
      </c>
      <c r="F26" s="34">
        <v>32590</v>
      </c>
      <c r="G26" s="34">
        <v>31989</v>
      </c>
      <c r="H26" s="34">
        <v>42873</v>
      </c>
      <c r="I26" s="34">
        <v>41670</v>
      </c>
      <c r="J26" s="25"/>
      <c r="K26" s="25"/>
      <c r="L26" s="25"/>
      <c r="M26" s="25"/>
    </row>
    <row r="27" spans="1:13" x14ac:dyDescent="0.25">
      <c r="A27" s="33" t="s">
        <v>138</v>
      </c>
      <c r="B27" s="34">
        <v>6260</v>
      </c>
      <c r="C27" s="34">
        <v>6575</v>
      </c>
      <c r="D27" s="34">
        <v>9123</v>
      </c>
      <c r="E27" s="34">
        <v>9582</v>
      </c>
      <c r="F27" s="34">
        <v>32575</v>
      </c>
      <c r="G27" s="34">
        <v>33518</v>
      </c>
      <c r="H27" s="34">
        <v>42254</v>
      </c>
      <c r="I27" s="34">
        <v>43962</v>
      </c>
      <c r="J27" s="25"/>
      <c r="K27" s="25"/>
      <c r="L27" s="25"/>
      <c r="M27" s="25"/>
    </row>
    <row r="28" spans="1:13" x14ac:dyDescent="0.25">
      <c r="A28" s="33" t="s">
        <v>139</v>
      </c>
      <c r="B28" s="34">
        <v>6621</v>
      </c>
      <c r="C28" s="34">
        <v>6767</v>
      </c>
      <c r="D28" s="34">
        <v>9866</v>
      </c>
      <c r="E28" s="34">
        <v>9869</v>
      </c>
      <c r="F28" s="34">
        <v>35106</v>
      </c>
      <c r="G28" s="34">
        <v>34532</v>
      </c>
      <c r="H28" s="34">
        <v>46546</v>
      </c>
      <c r="I28" s="34">
        <v>45720</v>
      </c>
      <c r="J28" s="25"/>
      <c r="K28" s="25"/>
      <c r="L28" s="25"/>
      <c r="M28" s="25"/>
    </row>
    <row r="29" spans="1:13" x14ac:dyDescent="0.25">
      <c r="A29" s="33" t="s">
        <v>140</v>
      </c>
      <c r="B29" s="34">
        <v>9335</v>
      </c>
      <c r="C29" s="34">
        <v>7517</v>
      </c>
      <c r="D29" s="34">
        <v>13976</v>
      </c>
      <c r="E29" s="34">
        <v>11182</v>
      </c>
      <c r="F29" s="34">
        <v>34243</v>
      </c>
      <c r="G29" s="34">
        <v>34691</v>
      </c>
      <c r="H29" s="34">
        <v>45122</v>
      </c>
      <c r="I29" s="34">
        <v>45673</v>
      </c>
      <c r="J29" s="25"/>
      <c r="K29" s="25"/>
      <c r="L29" s="25"/>
      <c r="M29" s="25"/>
    </row>
    <row r="30" spans="1:13" x14ac:dyDescent="0.25">
      <c r="A30" s="33" t="s">
        <v>141</v>
      </c>
      <c r="B30" s="34">
        <v>5566</v>
      </c>
      <c r="C30" s="34">
        <v>6844</v>
      </c>
      <c r="D30" s="34">
        <v>8391</v>
      </c>
      <c r="E30" s="34">
        <v>10981</v>
      </c>
      <c r="F30" s="34">
        <v>32122</v>
      </c>
      <c r="G30" s="34">
        <v>32326</v>
      </c>
      <c r="H30" s="34">
        <v>41808</v>
      </c>
      <c r="I30" s="34">
        <v>41335</v>
      </c>
      <c r="J30" s="25"/>
      <c r="K30" s="25"/>
      <c r="L30" s="25"/>
      <c r="M30" s="25"/>
    </row>
    <row r="31" spans="1:13" x14ac:dyDescent="0.25">
      <c r="A31" s="33" t="s">
        <v>142</v>
      </c>
      <c r="B31" s="34">
        <v>6424</v>
      </c>
      <c r="C31" s="34">
        <v>6859</v>
      </c>
      <c r="D31" s="34">
        <v>9848</v>
      </c>
      <c r="E31" s="34">
        <v>10322</v>
      </c>
      <c r="F31" s="34">
        <v>32054</v>
      </c>
      <c r="G31" s="34">
        <v>32489</v>
      </c>
      <c r="H31" s="34">
        <v>41410</v>
      </c>
      <c r="I31" s="34">
        <v>42368</v>
      </c>
      <c r="J31" s="25"/>
      <c r="K31" s="25"/>
      <c r="L31" s="25"/>
      <c r="M31" s="25"/>
    </row>
    <row r="32" spans="1:13" x14ac:dyDescent="0.25">
      <c r="A32" s="33" t="s">
        <v>143</v>
      </c>
      <c r="B32" s="34">
        <v>6768</v>
      </c>
      <c r="C32" s="34">
        <v>6873</v>
      </c>
      <c r="D32" s="34">
        <v>10355</v>
      </c>
      <c r="E32" s="34">
        <v>10085</v>
      </c>
      <c r="F32" s="34">
        <v>33315</v>
      </c>
      <c r="G32" s="34">
        <v>32228</v>
      </c>
      <c r="H32" s="34">
        <v>43150</v>
      </c>
      <c r="I32" s="34">
        <v>42114</v>
      </c>
      <c r="J32" s="25"/>
      <c r="K32" s="25"/>
      <c r="L32" s="25"/>
      <c r="M32" s="25"/>
    </row>
    <row r="33" spans="1:13" x14ac:dyDescent="0.25">
      <c r="A33" s="33" t="s">
        <v>144</v>
      </c>
      <c r="B33" s="34">
        <v>10221</v>
      </c>
      <c r="C33" s="34">
        <v>8611</v>
      </c>
      <c r="D33" s="34">
        <v>14744</v>
      </c>
      <c r="E33" s="34">
        <v>11527</v>
      </c>
      <c r="F33" s="34">
        <v>32393</v>
      </c>
      <c r="G33" s="34">
        <v>32329</v>
      </c>
      <c r="H33" s="34">
        <v>42311</v>
      </c>
      <c r="I33" s="34">
        <v>42450</v>
      </c>
      <c r="J33" s="25"/>
      <c r="K33" s="25"/>
      <c r="L33" s="25"/>
      <c r="M33" s="25"/>
    </row>
    <row r="34" spans="1:13" x14ac:dyDescent="0.25">
      <c r="A34" s="33" t="s">
        <v>145</v>
      </c>
      <c r="B34" s="34">
        <v>7275</v>
      </c>
      <c r="C34" s="34">
        <v>8585</v>
      </c>
      <c r="D34" s="34">
        <v>10427</v>
      </c>
      <c r="E34" s="34">
        <v>13049</v>
      </c>
      <c r="F34" s="34">
        <v>30026</v>
      </c>
      <c r="G34" s="34">
        <v>30420</v>
      </c>
      <c r="H34" s="34">
        <v>39195</v>
      </c>
      <c r="I34" s="34">
        <v>39055</v>
      </c>
      <c r="J34" s="25"/>
      <c r="K34" s="25"/>
      <c r="L34" s="25"/>
      <c r="M34" s="25"/>
    </row>
    <row r="35" spans="1:13" x14ac:dyDescent="0.25">
      <c r="A35" s="33" t="s">
        <v>146</v>
      </c>
      <c r="B35" s="34">
        <v>8041</v>
      </c>
      <c r="C35" s="34">
        <v>8335</v>
      </c>
      <c r="D35" s="34">
        <v>11645</v>
      </c>
      <c r="E35" s="34">
        <v>12279</v>
      </c>
      <c r="F35" s="34">
        <v>31085</v>
      </c>
      <c r="G35" s="34">
        <v>31540</v>
      </c>
      <c r="H35" s="34">
        <v>40583</v>
      </c>
      <c r="I35" s="34">
        <v>41359</v>
      </c>
      <c r="J35" s="25"/>
      <c r="K35" s="25"/>
      <c r="L35" s="25"/>
      <c r="M35" s="25"/>
    </row>
    <row r="36" spans="1:13" x14ac:dyDescent="0.25">
      <c r="A36" s="33" t="s">
        <v>147</v>
      </c>
      <c r="B36" s="34">
        <v>8648</v>
      </c>
      <c r="C36" s="34">
        <v>8654</v>
      </c>
      <c r="D36" s="34">
        <v>12366</v>
      </c>
      <c r="E36" s="34">
        <v>12328</v>
      </c>
      <c r="F36" s="34">
        <v>32648</v>
      </c>
      <c r="G36" s="34">
        <v>31863</v>
      </c>
      <c r="H36" s="34">
        <v>43044</v>
      </c>
      <c r="I36" s="34">
        <v>42269</v>
      </c>
      <c r="J36" s="25"/>
      <c r="K36" s="25"/>
      <c r="L36" s="25"/>
      <c r="M36" s="25"/>
    </row>
    <row r="37" spans="1:13" x14ac:dyDescent="0.25">
      <c r="A37" s="33" t="s">
        <v>148</v>
      </c>
      <c r="B37" s="34">
        <v>12913</v>
      </c>
      <c r="C37" s="34">
        <v>9632</v>
      </c>
      <c r="D37" s="34">
        <v>18382</v>
      </c>
      <c r="E37" s="34">
        <v>14559</v>
      </c>
      <c r="F37" s="34">
        <v>31225</v>
      </c>
      <c r="G37" s="34">
        <v>32176</v>
      </c>
      <c r="H37" s="34">
        <v>40992</v>
      </c>
      <c r="I37" s="34">
        <v>42057</v>
      </c>
      <c r="J37" s="25"/>
      <c r="K37" s="25"/>
      <c r="L37" s="25"/>
      <c r="M37" s="25"/>
    </row>
    <row r="38" spans="1:13" x14ac:dyDescent="0.25">
      <c r="A38" s="33" t="s">
        <v>149</v>
      </c>
      <c r="B38" s="34">
        <v>6913</v>
      </c>
      <c r="C38" s="34">
        <v>9593</v>
      </c>
      <c r="D38" s="34">
        <v>5647</v>
      </c>
      <c r="E38" s="34">
        <v>8394</v>
      </c>
      <c r="F38" s="34">
        <v>34297</v>
      </c>
      <c r="G38" s="34">
        <v>33315</v>
      </c>
      <c r="H38" s="34">
        <v>47550</v>
      </c>
      <c r="I38" s="34">
        <v>48109</v>
      </c>
      <c r="J38" s="25"/>
      <c r="K38" s="25"/>
      <c r="L38" s="25"/>
      <c r="M38" s="25"/>
    </row>
    <row r="39" spans="1:13" x14ac:dyDescent="0.25">
      <c r="A39" s="33" t="s">
        <v>150</v>
      </c>
      <c r="B39" s="34">
        <v>8516</v>
      </c>
      <c r="C39" s="34">
        <v>9047</v>
      </c>
      <c r="D39" s="34">
        <v>11737</v>
      </c>
      <c r="E39" s="34">
        <v>12783</v>
      </c>
      <c r="F39" s="34">
        <v>33430</v>
      </c>
      <c r="G39" s="34">
        <v>33812</v>
      </c>
      <c r="H39" s="34">
        <v>44655</v>
      </c>
      <c r="I39" s="34">
        <v>44370</v>
      </c>
      <c r="J39" s="25"/>
      <c r="K39" s="25"/>
      <c r="L39" s="25"/>
      <c r="M39" s="25"/>
    </row>
    <row r="40" spans="1:13" x14ac:dyDescent="0.25">
      <c r="A40" s="33" t="s">
        <v>151</v>
      </c>
      <c r="B40" s="34">
        <v>8879</v>
      </c>
      <c r="C40" s="34">
        <v>8949</v>
      </c>
      <c r="D40" s="34">
        <v>11935</v>
      </c>
      <c r="E40" s="34">
        <v>11965</v>
      </c>
      <c r="F40" s="34">
        <v>34394</v>
      </c>
      <c r="G40" s="34">
        <v>34043</v>
      </c>
      <c r="H40" s="34">
        <v>45487</v>
      </c>
      <c r="I40" s="34">
        <v>44148</v>
      </c>
      <c r="J40" s="25"/>
      <c r="K40" s="25"/>
      <c r="L40" s="25"/>
      <c r="M40" s="25"/>
    </row>
    <row r="41" spans="1:13" x14ac:dyDescent="0.25">
      <c r="A41" s="33" t="s">
        <v>152</v>
      </c>
      <c r="B41" s="34">
        <v>12108</v>
      </c>
      <c r="C41" s="34">
        <v>8740</v>
      </c>
      <c r="D41" s="34">
        <v>15954</v>
      </c>
      <c r="E41" s="34">
        <v>11415</v>
      </c>
      <c r="F41" s="34">
        <v>34584</v>
      </c>
      <c r="G41" s="34">
        <v>35611</v>
      </c>
      <c r="H41" s="34">
        <v>45111</v>
      </c>
      <c r="I41" s="34">
        <v>46400</v>
      </c>
      <c r="J41" s="25"/>
      <c r="K41" s="25"/>
      <c r="L41" s="25"/>
      <c r="M41" s="25"/>
    </row>
    <row r="42" spans="1:13" x14ac:dyDescent="0.25">
      <c r="A42" s="33" t="s">
        <v>153</v>
      </c>
      <c r="B42" s="34">
        <v>7189</v>
      </c>
      <c r="C42" s="34">
        <v>9690</v>
      </c>
      <c r="D42" s="34">
        <v>9347</v>
      </c>
      <c r="E42" s="34">
        <v>13253</v>
      </c>
      <c r="F42" s="34">
        <v>34633</v>
      </c>
      <c r="G42" s="34">
        <v>34906</v>
      </c>
      <c r="H42" s="34">
        <v>44693</v>
      </c>
      <c r="I42" s="34">
        <v>44590</v>
      </c>
      <c r="J42" s="25"/>
      <c r="K42" s="25"/>
      <c r="L42" s="25"/>
      <c r="M42" s="25"/>
    </row>
    <row r="43" spans="1:13" x14ac:dyDescent="0.25">
      <c r="A43" s="33" t="s">
        <v>154</v>
      </c>
      <c r="B43" s="34">
        <v>8897</v>
      </c>
      <c r="C43" s="34">
        <v>9740</v>
      </c>
      <c r="D43" s="34">
        <v>11443</v>
      </c>
      <c r="E43" s="34">
        <v>12378</v>
      </c>
      <c r="F43" s="34">
        <v>36795</v>
      </c>
      <c r="G43" s="34">
        <v>36524</v>
      </c>
      <c r="H43" s="34">
        <v>48038</v>
      </c>
      <c r="I43" s="34">
        <v>48023</v>
      </c>
      <c r="J43" s="25"/>
      <c r="K43" s="25"/>
      <c r="L43" s="25"/>
      <c r="M43" s="25"/>
    </row>
    <row r="44" spans="1:13" x14ac:dyDescent="0.25">
      <c r="A44" s="33" t="s">
        <v>155</v>
      </c>
      <c r="B44" s="34">
        <v>9582</v>
      </c>
      <c r="C44" s="34">
        <v>9606</v>
      </c>
      <c r="D44" s="34">
        <v>12234</v>
      </c>
      <c r="E44" s="34">
        <v>11932</v>
      </c>
      <c r="F44" s="34">
        <v>37666</v>
      </c>
      <c r="G44" s="34">
        <v>36637</v>
      </c>
      <c r="H44" s="34">
        <v>49290</v>
      </c>
      <c r="I44" s="34">
        <v>48119</v>
      </c>
      <c r="J44" s="25"/>
      <c r="K44" s="25"/>
      <c r="L44" s="25"/>
      <c r="M44" s="25"/>
    </row>
    <row r="45" spans="1:13" x14ac:dyDescent="0.25">
      <c r="A45" s="33" t="s">
        <v>156</v>
      </c>
      <c r="B45" s="34">
        <v>12814</v>
      </c>
      <c r="C45" s="34">
        <v>9047</v>
      </c>
      <c r="D45" s="34">
        <v>16265</v>
      </c>
      <c r="E45" s="34">
        <v>11085</v>
      </c>
      <c r="F45" s="34">
        <v>37694</v>
      </c>
      <c r="G45" s="34">
        <v>38345</v>
      </c>
      <c r="H45" s="34">
        <v>48963</v>
      </c>
      <c r="I45" s="34">
        <v>50429</v>
      </c>
      <c r="J45" s="25"/>
      <c r="K45" s="25"/>
      <c r="L45" s="25"/>
      <c r="M45" s="25"/>
    </row>
    <row r="46" spans="1:13" x14ac:dyDescent="0.25">
      <c r="A46" s="33" t="s">
        <v>157</v>
      </c>
      <c r="B46" s="34">
        <v>7324</v>
      </c>
      <c r="C46" s="34">
        <v>10102</v>
      </c>
      <c r="D46" s="34">
        <v>9270</v>
      </c>
      <c r="E46" s="34">
        <v>13158</v>
      </c>
      <c r="F46" s="34">
        <v>39272</v>
      </c>
      <c r="G46" s="34">
        <v>39875</v>
      </c>
      <c r="H46" s="34">
        <v>50644</v>
      </c>
      <c r="I46" s="34">
        <v>51135</v>
      </c>
      <c r="J46" s="25"/>
      <c r="K46" s="25"/>
      <c r="L46" s="25"/>
      <c r="M46" s="25"/>
    </row>
    <row r="47" spans="1:13" x14ac:dyDescent="0.25">
      <c r="A47" s="33" t="s">
        <v>158</v>
      </c>
      <c r="B47" s="34">
        <v>8545</v>
      </c>
      <c r="C47" s="34">
        <v>9545</v>
      </c>
      <c r="D47" s="34">
        <v>10674</v>
      </c>
      <c r="E47" s="34">
        <v>11790</v>
      </c>
      <c r="F47" s="34">
        <v>37737</v>
      </c>
      <c r="G47" s="34">
        <v>37665</v>
      </c>
      <c r="H47" s="34">
        <v>48961</v>
      </c>
      <c r="I47" s="34">
        <v>48885</v>
      </c>
      <c r="J47" s="25"/>
      <c r="K47" s="25"/>
      <c r="L47" s="25"/>
      <c r="M47" s="25"/>
    </row>
    <row r="48" spans="1:13" x14ac:dyDescent="0.25">
      <c r="A48" s="33" t="s">
        <v>159</v>
      </c>
      <c r="B48" s="34">
        <v>11159</v>
      </c>
      <c r="C48" s="34">
        <v>11148</v>
      </c>
      <c r="D48" s="34">
        <v>13725</v>
      </c>
      <c r="E48" s="34">
        <v>13900</v>
      </c>
      <c r="F48" s="34">
        <v>42506</v>
      </c>
      <c r="G48" s="34">
        <v>41324</v>
      </c>
      <c r="H48" s="34">
        <v>54872</v>
      </c>
      <c r="I48" s="34">
        <v>52991</v>
      </c>
      <c r="J48" s="25"/>
      <c r="K48" s="25"/>
      <c r="L48" s="25"/>
      <c r="M48" s="25"/>
    </row>
    <row r="49" spans="1:13" x14ac:dyDescent="0.25">
      <c r="A49" s="33" t="s">
        <v>160</v>
      </c>
      <c r="B49" s="34">
        <v>15523</v>
      </c>
      <c r="C49" s="34">
        <v>12058</v>
      </c>
      <c r="D49" s="34">
        <v>18830</v>
      </c>
      <c r="E49" s="34">
        <v>14053</v>
      </c>
      <c r="F49" s="34">
        <v>37575</v>
      </c>
      <c r="G49" s="34">
        <v>38400</v>
      </c>
      <c r="H49" s="34">
        <v>48226</v>
      </c>
      <c r="I49" s="34">
        <v>49124</v>
      </c>
      <c r="J49" s="25"/>
      <c r="K49" s="25"/>
      <c r="L49" s="25"/>
      <c r="M49" s="25"/>
    </row>
    <row r="50" spans="1:13" x14ac:dyDescent="0.25">
      <c r="A50" s="33" t="s">
        <v>161</v>
      </c>
      <c r="B50" s="34">
        <v>9067</v>
      </c>
      <c r="C50" s="34">
        <v>11633</v>
      </c>
      <c r="D50" s="34">
        <v>10963</v>
      </c>
      <c r="E50" s="34">
        <v>14461</v>
      </c>
      <c r="F50" s="34">
        <v>40185</v>
      </c>
      <c r="G50" s="34">
        <v>40661</v>
      </c>
      <c r="H50" s="34">
        <v>50227</v>
      </c>
      <c r="I50" s="34">
        <v>50990</v>
      </c>
      <c r="J50" s="25"/>
      <c r="K50" s="25"/>
      <c r="L50" s="25"/>
      <c r="M50" s="25"/>
    </row>
    <row r="51" spans="1:13" x14ac:dyDescent="0.25">
      <c r="A51" s="33" t="s">
        <v>162</v>
      </c>
      <c r="B51" s="34">
        <v>10988</v>
      </c>
      <c r="C51" s="34">
        <v>11875</v>
      </c>
      <c r="D51" s="34">
        <v>13320</v>
      </c>
      <c r="E51" s="34">
        <v>14475</v>
      </c>
      <c r="F51" s="34">
        <v>39360</v>
      </c>
      <c r="G51" s="34">
        <v>39181</v>
      </c>
      <c r="H51" s="34">
        <v>49216</v>
      </c>
      <c r="I51" s="34">
        <v>49052</v>
      </c>
      <c r="J51" s="25"/>
      <c r="K51" s="25"/>
      <c r="L51" s="25"/>
      <c r="M51" s="25"/>
    </row>
    <row r="52" spans="1:13" x14ac:dyDescent="0.25">
      <c r="A52" s="33" t="s">
        <v>163</v>
      </c>
      <c r="B52" s="34">
        <v>12721</v>
      </c>
      <c r="C52" s="34">
        <v>12733</v>
      </c>
      <c r="D52" s="34">
        <v>15422</v>
      </c>
      <c r="E52" s="34">
        <v>15546</v>
      </c>
      <c r="F52" s="34">
        <v>39409</v>
      </c>
      <c r="G52" s="34">
        <v>38287</v>
      </c>
      <c r="H52" s="34">
        <v>48881</v>
      </c>
      <c r="I52" s="34">
        <v>47384</v>
      </c>
      <c r="J52" s="25"/>
      <c r="K52" s="25"/>
      <c r="L52" s="25"/>
      <c r="M52" s="25"/>
    </row>
    <row r="53" spans="1:13" x14ac:dyDescent="0.25">
      <c r="A53" s="33" t="s">
        <v>164</v>
      </c>
      <c r="B53" s="34">
        <v>17434</v>
      </c>
      <c r="C53" s="34">
        <v>13271</v>
      </c>
      <c r="D53" s="34">
        <v>21051</v>
      </c>
      <c r="E53" s="34">
        <v>15857</v>
      </c>
      <c r="F53" s="34">
        <v>34802</v>
      </c>
      <c r="G53" s="34">
        <v>35041</v>
      </c>
      <c r="H53" s="34">
        <v>42647</v>
      </c>
      <c r="I53" s="34">
        <v>43119</v>
      </c>
      <c r="J53" s="25"/>
      <c r="K53" s="25"/>
      <c r="L53" s="25"/>
      <c r="M53" s="25"/>
    </row>
    <row r="54" spans="1:13" x14ac:dyDescent="0.25">
      <c r="A54" s="33" t="s">
        <v>165</v>
      </c>
      <c r="B54" s="34">
        <v>9386</v>
      </c>
      <c r="C54" s="34">
        <v>12265</v>
      </c>
      <c r="D54" s="34">
        <v>11379</v>
      </c>
      <c r="E54" s="34">
        <v>15175</v>
      </c>
      <c r="F54" s="34">
        <v>32904</v>
      </c>
      <c r="G54" s="34">
        <v>33478</v>
      </c>
      <c r="H54" s="34">
        <v>40196</v>
      </c>
      <c r="I54" s="34">
        <v>40877</v>
      </c>
      <c r="J54" s="25"/>
      <c r="K54" s="25"/>
      <c r="L54" s="25"/>
      <c r="M54" s="25"/>
    </row>
    <row r="55" spans="1:13" x14ac:dyDescent="0.25">
      <c r="A55" s="33" t="s">
        <v>166</v>
      </c>
      <c r="B55" s="34">
        <v>12557</v>
      </c>
      <c r="C55" s="34">
        <v>13498</v>
      </c>
      <c r="D55" s="34">
        <v>15381</v>
      </c>
      <c r="E55" s="34">
        <v>16450</v>
      </c>
      <c r="F55" s="34">
        <v>32579</v>
      </c>
      <c r="G55" s="34">
        <v>32541</v>
      </c>
      <c r="H55" s="34">
        <v>40034</v>
      </c>
      <c r="I55" s="34">
        <v>39978</v>
      </c>
      <c r="J55" s="25"/>
      <c r="K55" s="25"/>
      <c r="L55" s="25"/>
      <c r="M55" s="25"/>
    </row>
    <row r="56" spans="1:13" x14ac:dyDescent="0.25">
      <c r="A56" s="33" t="s">
        <v>167</v>
      </c>
      <c r="B56" s="34">
        <v>12846</v>
      </c>
      <c r="C56" s="34">
        <v>13189</v>
      </c>
      <c r="D56" s="34">
        <v>15890</v>
      </c>
      <c r="E56" s="34">
        <v>16220</v>
      </c>
      <c r="F56" s="34">
        <v>32824</v>
      </c>
      <c r="G56" s="34">
        <v>32049</v>
      </c>
      <c r="H56" s="34">
        <v>40715</v>
      </c>
      <c r="I56" s="34">
        <v>39618</v>
      </c>
      <c r="J56" s="25"/>
      <c r="K56" s="25"/>
      <c r="L56" s="25"/>
      <c r="M56" s="25"/>
    </row>
    <row r="57" spans="1:13" x14ac:dyDescent="0.25">
      <c r="A57" s="33" t="s">
        <v>168</v>
      </c>
      <c r="B57" s="34">
        <v>17775</v>
      </c>
      <c r="C57" s="34">
        <v>13272</v>
      </c>
      <c r="D57" s="34">
        <v>22175</v>
      </c>
      <c r="E57" s="34">
        <v>17177</v>
      </c>
      <c r="F57" s="34">
        <v>33102</v>
      </c>
      <c r="G57" s="34">
        <v>33507</v>
      </c>
      <c r="H57" s="34">
        <v>40734</v>
      </c>
      <c r="I57" s="34">
        <v>41479</v>
      </c>
      <c r="J57" s="25"/>
      <c r="K57" s="25"/>
      <c r="L57" s="25"/>
      <c r="M57" s="25"/>
    </row>
    <row r="58" spans="1:13" x14ac:dyDescent="0.25">
      <c r="A58" s="33" t="s">
        <v>169</v>
      </c>
      <c r="B58" s="34">
        <v>9803</v>
      </c>
      <c r="C58" s="34">
        <v>12714</v>
      </c>
      <c r="D58" s="34">
        <v>12228</v>
      </c>
      <c r="E58" s="34">
        <v>15700</v>
      </c>
      <c r="F58" s="34">
        <v>32209</v>
      </c>
      <c r="G58" s="34">
        <v>32808</v>
      </c>
      <c r="H58" s="34">
        <v>40235</v>
      </c>
      <c r="I58" s="34">
        <v>40858</v>
      </c>
      <c r="J58" s="25"/>
      <c r="K58" s="25"/>
      <c r="L58" s="25"/>
      <c r="M58" s="25"/>
    </row>
    <row r="59" spans="1:13" x14ac:dyDescent="0.25">
      <c r="A59" s="33" t="s">
        <v>170</v>
      </c>
      <c r="B59" s="34">
        <v>11931</v>
      </c>
      <c r="C59" s="34">
        <v>13003</v>
      </c>
      <c r="D59" s="34">
        <v>14919</v>
      </c>
      <c r="E59" s="34">
        <v>15983</v>
      </c>
      <c r="F59" s="34">
        <v>34015</v>
      </c>
      <c r="G59" s="34">
        <v>34068</v>
      </c>
      <c r="H59" s="34">
        <v>42613</v>
      </c>
      <c r="I59" s="34">
        <v>42697</v>
      </c>
      <c r="J59" s="25"/>
      <c r="K59" s="25"/>
      <c r="L59" s="25"/>
      <c r="M59" s="25"/>
    </row>
    <row r="60" spans="1:13" x14ac:dyDescent="0.25">
      <c r="A60" s="33" t="s">
        <v>171</v>
      </c>
      <c r="B60" s="34">
        <v>12068</v>
      </c>
      <c r="C60" s="34">
        <v>12588</v>
      </c>
      <c r="D60" s="34">
        <v>15442</v>
      </c>
      <c r="E60" s="34">
        <v>15903</v>
      </c>
      <c r="F60" s="34">
        <v>37371</v>
      </c>
      <c r="G60" s="34">
        <v>36314</v>
      </c>
      <c r="H60" s="34">
        <v>46967</v>
      </c>
      <c r="I60" s="34">
        <v>45515</v>
      </c>
      <c r="J60" s="25"/>
      <c r="K60" s="25"/>
      <c r="L60" s="25"/>
      <c r="M60" s="25"/>
    </row>
    <row r="61" spans="1:13" x14ac:dyDescent="0.25">
      <c r="A61" s="33" t="s">
        <v>172</v>
      </c>
      <c r="B61" s="34">
        <v>17738</v>
      </c>
      <c r="C61" s="34">
        <v>13122</v>
      </c>
      <c r="D61" s="34">
        <v>22055</v>
      </c>
      <c r="E61" s="34">
        <v>16841</v>
      </c>
      <c r="F61" s="34">
        <v>33712</v>
      </c>
      <c r="G61" s="34">
        <v>34031</v>
      </c>
      <c r="H61" s="34">
        <v>41878</v>
      </c>
      <c r="I61" s="34">
        <v>42330</v>
      </c>
      <c r="J61" s="25"/>
      <c r="K61" s="25"/>
      <c r="L61" s="25"/>
      <c r="M61" s="25"/>
    </row>
    <row r="62" spans="1:13" x14ac:dyDescent="0.25">
      <c r="A62" s="33" t="s">
        <v>173</v>
      </c>
      <c r="B62" s="34">
        <v>8587</v>
      </c>
      <c r="C62" s="34">
        <v>11475</v>
      </c>
      <c r="D62" s="34">
        <v>10624</v>
      </c>
      <c r="E62" s="34">
        <v>14079</v>
      </c>
      <c r="F62" s="34">
        <v>34837</v>
      </c>
      <c r="G62" s="34">
        <v>36011</v>
      </c>
      <c r="H62" s="34">
        <v>43345</v>
      </c>
      <c r="I62" s="34">
        <v>44742</v>
      </c>
      <c r="J62" s="25"/>
      <c r="K62" s="25"/>
      <c r="L62" s="25"/>
      <c r="M62" s="25"/>
    </row>
    <row r="63" spans="1:13" x14ac:dyDescent="0.25">
      <c r="A63" s="33" t="s">
        <v>174</v>
      </c>
      <c r="B63" s="34">
        <v>10802</v>
      </c>
      <c r="C63" s="34">
        <v>11891</v>
      </c>
      <c r="D63" s="34">
        <v>13297</v>
      </c>
      <c r="E63" s="34">
        <v>14389</v>
      </c>
      <c r="F63" s="34">
        <v>37214</v>
      </c>
      <c r="G63" s="34">
        <v>37307</v>
      </c>
      <c r="H63" s="34">
        <v>45983</v>
      </c>
      <c r="I63" s="34">
        <v>46218</v>
      </c>
      <c r="J63" s="25"/>
      <c r="K63" s="25"/>
      <c r="L63" s="25"/>
      <c r="M63" s="25"/>
    </row>
    <row r="64" spans="1:13" x14ac:dyDescent="0.25">
      <c r="A64" s="33" t="s">
        <v>175</v>
      </c>
      <c r="B64" s="34">
        <v>10912</v>
      </c>
      <c r="C64" s="34">
        <v>11551</v>
      </c>
      <c r="D64" s="34">
        <v>13347</v>
      </c>
      <c r="E64" s="34">
        <v>14015</v>
      </c>
      <c r="F64" s="34">
        <v>39963</v>
      </c>
      <c r="G64" s="34">
        <v>38377</v>
      </c>
      <c r="H64" s="34">
        <v>49457</v>
      </c>
      <c r="I64" s="34">
        <v>47373</v>
      </c>
      <c r="J64" s="25"/>
      <c r="K64" s="25"/>
      <c r="L64" s="25"/>
      <c r="M64" s="25"/>
    </row>
    <row r="65" spans="1:13" x14ac:dyDescent="0.25">
      <c r="A65" s="33" t="s">
        <v>176</v>
      </c>
      <c r="B65" s="34">
        <v>16347</v>
      </c>
      <c r="C65" s="34">
        <v>11710</v>
      </c>
      <c r="D65" s="34">
        <v>19791</v>
      </c>
      <c r="E65" s="34">
        <v>14435</v>
      </c>
      <c r="F65" s="34">
        <v>39363</v>
      </c>
      <c r="G65" s="34">
        <v>39894</v>
      </c>
      <c r="H65" s="34">
        <v>48612</v>
      </c>
      <c r="I65" s="34">
        <v>49127</v>
      </c>
      <c r="J65" s="25"/>
      <c r="K65" s="25"/>
      <c r="L65" s="25"/>
      <c r="M65" s="25"/>
    </row>
    <row r="66" spans="1:13" x14ac:dyDescent="0.25">
      <c r="A66" s="33" t="s">
        <v>177</v>
      </c>
      <c r="B66" s="34">
        <v>9124</v>
      </c>
      <c r="C66" s="34">
        <v>11725</v>
      </c>
      <c r="D66" s="34">
        <v>10950</v>
      </c>
      <c r="E66" s="34">
        <v>14117</v>
      </c>
      <c r="F66" s="34">
        <v>37230</v>
      </c>
      <c r="G66" s="34">
        <v>38328</v>
      </c>
      <c r="H66" s="34">
        <v>45679</v>
      </c>
      <c r="I66" s="34">
        <v>47014</v>
      </c>
      <c r="J66" s="25"/>
      <c r="K66" s="25"/>
      <c r="L66" s="25"/>
      <c r="M66" s="25"/>
    </row>
    <row r="67" spans="1:13" x14ac:dyDescent="0.25">
      <c r="A67" s="33" t="s">
        <v>178</v>
      </c>
      <c r="B67" s="34">
        <v>9630</v>
      </c>
      <c r="C67" s="34">
        <v>11019</v>
      </c>
      <c r="D67" s="34">
        <v>11485</v>
      </c>
      <c r="E67" s="34">
        <v>12875</v>
      </c>
      <c r="F67" s="34">
        <v>37953</v>
      </c>
      <c r="G67" s="34">
        <v>38191</v>
      </c>
      <c r="H67" s="34">
        <v>46577</v>
      </c>
      <c r="I67" s="34">
        <v>47249</v>
      </c>
      <c r="J67" s="25"/>
      <c r="K67" s="25"/>
      <c r="L67" s="25"/>
      <c r="M67" s="25"/>
    </row>
    <row r="68" spans="1:13" x14ac:dyDescent="0.25">
      <c r="A68" s="33" t="s">
        <v>179</v>
      </c>
      <c r="B68" s="34">
        <v>10151</v>
      </c>
      <c r="C68" s="34">
        <v>10798</v>
      </c>
      <c r="D68" s="34">
        <v>12063</v>
      </c>
      <c r="E68" s="34">
        <v>12862</v>
      </c>
      <c r="F68" s="34">
        <v>42559</v>
      </c>
      <c r="G68" s="34">
        <v>40692</v>
      </c>
      <c r="H68" s="34">
        <v>52511</v>
      </c>
      <c r="I68" s="34">
        <v>49989</v>
      </c>
      <c r="J68" s="25"/>
      <c r="K68" s="25"/>
      <c r="L68" s="25"/>
      <c r="M68" s="25"/>
    </row>
    <row r="69" spans="1:13" x14ac:dyDescent="0.25">
      <c r="A69" s="33" t="s">
        <v>180</v>
      </c>
      <c r="B69" s="34">
        <v>14819</v>
      </c>
      <c r="C69" s="34">
        <v>10116</v>
      </c>
      <c r="D69" s="34">
        <v>17463</v>
      </c>
      <c r="E69" s="34">
        <v>12103</v>
      </c>
      <c r="F69" s="34">
        <v>39109</v>
      </c>
      <c r="G69" s="34">
        <v>39885</v>
      </c>
      <c r="H69" s="34">
        <v>47022</v>
      </c>
      <c r="I69" s="34">
        <v>48539</v>
      </c>
      <c r="J69" s="25"/>
      <c r="K69" s="25"/>
      <c r="L69" s="25"/>
      <c r="M69" s="25"/>
    </row>
    <row r="70" spans="1:13" x14ac:dyDescent="0.25">
      <c r="A70" s="33" t="s">
        <v>181</v>
      </c>
      <c r="B70" s="34">
        <v>8084</v>
      </c>
      <c r="C70" s="34">
        <v>10792</v>
      </c>
      <c r="D70" s="34">
        <v>9463</v>
      </c>
      <c r="E70" s="34">
        <v>12502</v>
      </c>
      <c r="F70" s="34">
        <v>39983</v>
      </c>
      <c r="G70" s="34">
        <v>40717</v>
      </c>
      <c r="H70" s="34">
        <v>48549</v>
      </c>
      <c r="I70" s="34">
        <v>49510</v>
      </c>
      <c r="J70" s="25"/>
      <c r="K70" s="25"/>
      <c r="L70" s="25"/>
      <c r="M70" s="25"/>
    </row>
    <row r="71" spans="1:13" x14ac:dyDescent="0.25">
      <c r="A71" s="33" t="s">
        <v>182</v>
      </c>
      <c r="B71" s="34">
        <v>9925</v>
      </c>
      <c r="C71" s="34">
        <v>11124</v>
      </c>
      <c r="D71" s="34">
        <v>11525</v>
      </c>
      <c r="E71" s="34">
        <v>12927</v>
      </c>
      <c r="F71" s="34">
        <v>42319</v>
      </c>
      <c r="G71" s="34">
        <v>42846</v>
      </c>
      <c r="H71" s="34">
        <v>50725</v>
      </c>
      <c r="I71" s="34">
        <v>51243</v>
      </c>
      <c r="J71" s="25"/>
      <c r="K71" s="25"/>
      <c r="L71" s="25"/>
      <c r="M71" s="25"/>
    </row>
    <row r="72" spans="1:13" x14ac:dyDescent="0.25">
      <c r="A72" s="33" t="s">
        <v>183</v>
      </c>
      <c r="B72" s="34">
        <v>10740</v>
      </c>
      <c r="C72" s="34">
        <v>11536</v>
      </c>
      <c r="D72" s="34">
        <v>12371</v>
      </c>
      <c r="E72" s="34">
        <v>13289</v>
      </c>
      <c r="F72" s="34">
        <v>44706</v>
      </c>
      <c r="G72" s="34">
        <v>42669</v>
      </c>
      <c r="H72" s="34">
        <v>54034</v>
      </c>
      <c r="I72" s="34">
        <v>51038</v>
      </c>
      <c r="J72" s="25"/>
      <c r="K72" s="25"/>
      <c r="L72" s="25"/>
      <c r="M72" s="25"/>
    </row>
    <row r="73" spans="1:13" x14ac:dyDescent="0.25">
      <c r="A73" s="33" t="s">
        <v>184</v>
      </c>
      <c r="B73" s="34">
        <v>17622</v>
      </c>
      <c r="C73" s="34">
        <v>12460</v>
      </c>
      <c r="D73" s="34">
        <v>20076</v>
      </c>
      <c r="E73" s="34">
        <v>14458</v>
      </c>
      <c r="F73" s="34">
        <v>42023</v>
      </c>
      <c r="G73" s="34">
        <v>43245</v>
      </c>
      <c r="H73" s="34">
        <v>50348</v>
      </c>
      <c r="I73" s="34">
        <v>52059</v>
      </c>
      <c r="J73" s="25"/>
      <c r="K73" s="25"/>
      <c r="L73" s="25"/>
      <c r="M73" s="25"/>
    </row>
    <row r="74" spans="1:13" x14ac:dyDescent="0.25">
      <c r="A74" s="33" t="s">
        <v>185</v>
      </c>
      <c r="B74" s="34">
        <v>9089</v>
      </c>
      <c r="C74" s="34">
        <v>11907</v>
      </c>
      <c r="D74" s="34">
        <v>10265</v>
      </c>
      <c r="E74" s="34">
        <v>13576</v>
      </c>
      <c r="F74" s="34">
        <v>43199</v>
      </c>
      <c r="G74" s="34">
        <v>43623</v>
      </c>
      <c r="H74" s="34">
        <v>51760</v>
      </c>
      <c r="I74" s="34">
        <v>52215</v>
      </c>
      <c r="J74" s="25"/>
      <c r="K74" s="25"/>
      <c r="L74" s="25"/>
      <c r="M74" s="25"/>
    </row>
    <row r="75" spans="1:13" x14ac:dyDescent="0.25">
      <c r="A75" s="33" t="s">
        <v>186</v>
      </c>
      <c r="B75" s="34">
        <v>11367</v>
      </c>
      <c r="C75" s="34">
        <v>12703</v>
      </c>
      <c r="D75" s="34">
        <v>12884</v>
      </c>
      <c r="E75" s="34">
        <v>14268</v>
      </c>
      <c r="F75" s="34">
        <v>43385</v>
      </c>
      <c r="G75" s="34">
        <v>43957</v>
      </c>
      <c r="H75" s="34">
        <v>52139</v>
      </c>
      <c r="I75" s="34">
        <v>52581</v>
      </c>
      <c r="J75" s="25"/>
      <c r="K75" s="25"/>
      <c r="L75" s="25"/>
      <c r="M75" s="25"/>
    </row>
    <row r="76" spans="1:13" x14ac:dyDescent="0.25">
      <c r="A76" s="33" t="s">
        <v>187</v>
      </c>
      <c r="B76" s="34">
        <v>12116</v>
      </c>
      <c r="C76" s="34">
        <v>13124</v>
      </c>
      <c r="D76" s="34">
        <v>13716</v>
      </c>
      <c r="E76" s="34">
        <v>14639</v>
      </c>
      <c r="F76" s="34">
        <v>47188</v>
      </c>
      <c r="G76" s="34">
        <v>44970</v>
      </c>
      <c r="H76" s="34">
        <v>57082</v>
      </c>
      <c r="I76" s="34">
        <v>54474</v>
      </c>
      <c r="J76" s="25"/>
      <c r="K76" s="25"/>
      <c r="L76" s="25"/>
      <c r="M76" s="25"/>
    </row>
    <row r="77" spans="1:13" x14ac:dyDescent="0.25">
      <c r="A77" s="33" t="s">
        <v>188</v>
      </c>
      <c r="B77" s="34">
        <v>17963</v>
      </c>
      <c r="C77" s="34">
        <v>12892</v>
      </c>
      <c r="D77" s="34">
        <v>20247</v>
      </c>
      <c r="E77" s="34">
        <v>14961</v>
      </c>
      <c r="F77" s="34">
        <v>46706</v>
      </c>
      <c r="G77" s="34">
        <v>48423</v>
      </c>
      <c r="H77" s="34">
        <v>55880</v>
      </c>
      <c r="I77" s="34">
        <v>57960</v>
      </c>
      <c r="J77" s="25"/>
      <c r="K77" s="25"/>
      <c r="L77" s="25"/>
      <c r="M77" s="25"/>
    </row>
    <row r="78" spans="1:13" x14ac:dyDescent="0.25">
      <c r="A78" s="33" t="s">
        <v>189</v>
      </c>
      <c r="B78" s="34">
        <v>10660</v>
      </c>
      <c r="C78" s="34">
        <v>13433</v>
      </c>
      <c r="D78" s="34">
        <v>11928</v>
      </c>
      <c r="E78" s="34">
        <v>14946</v>
      </c>
      <c r="F78" s="34">
        <v>46882</v>
      </c>
      <c r="G78" s="34">
        <v>47240</v>
      </c>
      <c r="H78" s="34">
        <v>55782</v>
      </c>
      <c r="I78" s="34">
        <v>56395</v>
      </c>
      <c r="J78" s="25"/>
      <c r="K78" s="25"/>
      <c r="L78" s="25"/>
      <c r="M78" s="25"/>
    </row>
    <row r="79" spans="1:13" x14ac:dyDescent="0.25">
      <c r="A79" s="33" t="s">
        <v>190</v>
      </c>
      <c r="B79" s="34">
        <v>11543</v>
      </c>
      <c r="C79" s="34">
        <v>12792</v>
      </c>
      <c r="D79" s="34">
        <v>12916</v>
      </c>
      <c r="E79" s="34">
        <v>14169</v>
      </c>
      <c r="F79" s="34">
        <v>46866</v>
      </c>
      <c r="G79" s="34">
        <v>47458</v>
      </c>
      <c r="H79" s="34">
        <v>55933</v>
      </c>
      <c r="I79" s="34">
        <v>56508</v>
      </c>
      <c r="J79" s="25"/>
      <c r="K79" s="25"/>
      <c r="L79" s="25"/>
      <c r="M79" s="25"/>
    </row>
    <row r="80" spans="1:13" x14ac:dyDescent="0.25">
      <c r="A80" s="33" t="s">
        <v>191</v>
      </c>
      <c r="B80" s="34">
        <v>11499</v>
      </c>
      <c r="C80" s="34">
        <v>12548</v>
      </c>
      <c r="D80" s="34">
        <v>12828</v>
      </c>
      <c r="E80" s="34">
        <v>13843</v>
      </c>
      <c r="F80" s="34">
        <v>52660</v>
      </c>
      <c r="G80" s="34">
        <v>49993</v>
      </c>
      <c r="H80" s="34">
        <v>63506</v>
      </c>
      <c r="I80" s="34">
        <v>60238</v>
      </c>
      <c r="J80" s="25"/>
      <c r="K80" s="25"/>
      <c r="L80" s="25"/>
      <c r="M80" s="25"/>
    </row>
    <row r="81" spans="1:13" x14ac:dyDescent="0.25">
      <c r="A81" s="33" t="s">
        <v>192</v>
      </c>
      <c r="B81" s="34">
        <v>17049</v>
      </c>
      <c r="C81" s="34">
        <v>12629</v>
      </c>
      <c r="D81" s="34">
        <v>18279</v>
      </c>
      <c r="E81" s="34">
        <v>13483</v>
      </c>
      <c r="F81" s="34">
        <v>50846</v>
      </c>
      <c r="G81" s="34">
        <v>51679</v>
      </c>
      <c r="H81" s="34">
        <v>60297</v>
      </c>
      <c r="I81" s="34">
        <v>61684</v>
      </c>
      <c r="J81" s="25"/>
      <c r="K81" s="25"/>
      <c r="L81" s="25"/>
      <c r="M81" s="25"/>
    </row>
    <row r="82" spans="1:13" x14ac:dyDescent="0.25">
      <c r="A82" s="33" t="s">
        <v>193</v>
      </c>
      <c r="B82" s="34">
        <v>10269</v>
      </c>
      <c r="C82" s="34">
        <v>12718</v>
      </c>
      <c r="D82" s="34">
        <v>11257</v>
      </c>
      <c r="E82" s="34">
        <v>13914</v>
      </c>
      <c r="F82" s="34">
        <v>52084</v>
      </c>
      <c r="G82" s="34">
        <v>52156</v>
      </c>
      <c r="H82" s="34">
        <v>61425</v>
      </c>
      <c r="I82" s="34">
        <v>61499</v>
      </c>
      <c r="J82" s="25"/>
      <c r="K82" s="25"/>
      <c r="L82" s="25"/>
      <c r="M82" s="25"/>
    </row>
    <row r="83" spans="1:13" x14ac:dyDescent="0.25">
      <c r="A83" s="33" t="s">
        <v>194</v>
      </c>
      <c r="B83" s="34">
        <v>12121</v>
      </c>
      <c r="C83" s="34">
        <v>13063</v>
      </c>
      <c r="D83" s="34">
        <v>13232</v>
      </c>
      <c r="E83" s="34">
        <v>14276</v>
      </c>
      <c r="F83" s="34">
        <v>52495</v>
      </c>
      <c r="G83" s="34">
        <v>53914</v>
      </c>
      <c r="H83" s="34">
        <v>61922</v>
      </c>
      <c r="I83" s="34">
        <v>62975</v>
      </c>
      <c r="J83" s="25"/>
      <c r="K83" s="25"/>
      <c r="L83" s="25"/>
      <c r="M83" s="25"/>
    </row>
    <row r="84" spans="1:13" x14ac:dyDescent="0.25">
      <c r="A84" s="33" t="s">
        <v>195</v>
      </c>
      <c r="B84" s="34">
        <v>12035</v>
      </c>
      <c r="C84" s="34">
        <v>13064</v>
      </c>
      <c r="D84" s="34">
        <v>13124</v>
      </c>
      <c r="E84" s="34">
        <v>14219</v>
      </c>
      <c r="F84" s="34">
        <v>54546</v>
      </c>
      <c r="G84" s="34">
        <v>52222</v>
      </c>
      <c r="H84" s="34">
        <v>63159</v>
      </c>
      <c r="I84" s="34">
        <v>60645</v>
      </c>
      <c r="J84" s="25"/>
      <c r="K84" s="25"/>
      <c r="L84" s="25"/>
      <c r="M84" s="25"/>
    </row>
    <row r="85" spans="1:13" x14ac:dyDescent="0.25">
      <c r="A85" s="33" t="s">
        <v>196</v>
      </c>
      <c r="B85" s="34">
        <v>17228</v>
      </c>
      <c r="C85" s="34">
        <v>12874</v>
      </c>
      <c r="D85" s="34">
        <v>18653</v>
      </c>
      <c r="E85" s="34">
        <v>14304</v>
      </c>
      <c r="F85" s="34">
        <v>52226</v>
      </c>
      <c r="G85" s="34">
        <v>53842</v>
      </c>
      <c r="H85" s="34">
        <v>59946</v>
      </c>
      <c r="I85" s="34">
        <v>62040</v>
      </c>
      <c r="J85" s="25"/>
      <c r="K85" s="25"/>
      <c r="L85" s="25"/>
      <c r="M85" s="25"/>
    </row>
    <row r="86" spans="1:13" x14ac:dyDescent="0.25">
      <c r="A86" s="33" t="s">
        <v>197</v>
      </c>
      <c r="B86" s="34">
        <v>12360</v>
      </c>
      <c r="C86" s="34">
        <v>14750</v>
      </c>
      <c r="D86" s="34">
        <v>13400</v>
      </c>
      <c r="E86" s="34">
        <v>16121</v>
      </c>
      <c r="F86" s="34">
        <v>52944</v>
      </c>
      <c r="G86" s="34">
        <v>54354</v>
      </c>
      <c r="H86" s="34">
        <v>60609</v>
      </c>
      <c r="I86" s="34">
        <v>61730</v>
      </c>
      <c r="J86" s="25"/>
      <c r="K86" s="25"/>
      <c r="L86" s="25"/>
      <c r="M86" s="25"/>
    </row>
    <row r="87" spans="1:13" x14ac:dyDescent="0.25">
      <c r="A87" s="33" t="s">
        <v>198</v>
      </c>
      <c r="B87" s="34">
        <v>13816</v>
      </c>
      <c r="C87" s="34">
        <v>14853</v>
      </c>
      <c r="D87" s="34">
        <v>14914</v>
      </c>
      <c r="E87" s="34">
        <v>15702</v>
      </c>
      <c r="F87" s="34">
        <v>52807</v>
      </c>
      <c r="G87" s="34">
        <v>53416</v>
      </c>
      <c r="H87" s="34">
        <v>59932</v>
      </c>
      <c r="I87" s="34">
        <v>60681</v>
      </c>
      <c r="J87" s="25"/>
      <c r="K87" s="25"/>
      <c r="L87" s="25"/>
      <c r="M87" s="25"/>
    </row>
    <row r="88" spans="1:13" x14ac:dyDescent="0.25">
      <c r="A88" s="33" t="s">
        <v>199</v>
      </c>
      <c r="B88" s="34">
        <v>13996</v>
      </c>
      <c r="C88" s="34">
        <v>14923</v>
      </c>
      <c r="D88" s="34">
        <v>15003</v>
      </c>
      <c r="E88" s="34">
        <v>15843</v>
      </c>
      <c r="F88" s="34">
        <v>58447</v>
      </c>
      <c r="G88" s="34">
        <v>54812</v>
      </c>
      <c r="H88" s="34">
        <v>65677</v>
      </c>
      <c r="I88" s="34">
        <v>61713</v>
      </c>
      <c r="J88" s="25"/>
      <c r="K88" s="25"/>
      <c r="L88" s="25"/>
      <c r="M88" s="25"/>
    </row>
    <row r="89" spans="1:13" x14ac:dyDescent="0.25">
      <c r="A89" s="33" t="s">
        <v>200</v>
      </c>
      <c r="B89" s="34">
        <v>19040</v>
      </c>
      <c r="C89" s="34">
        <v>14270</v>
      </c>
      <c r="D89" s="34">
        <v>20327</v>
      </c>
      <c r="E89" s="34">
        <v>16065</v>
      </c>
      <c r="F89" s="34">
        <v>52123</v>
      </c>
      <c r="G89" s="34">
        <v>54746</v>
      </c>
      <c r="H89" s="34">
        <v>58434</v>
      </c>
      <c r="I89" s="34">
        <v>61342</v>
      </c>
      <c r="J89" s="25"/>
      <c r="K89" s="25"/>
      <c r="L89" s="25"/>
      <c r="M89" s="25"/>
    </row>
    <row r="90" spans="1:13" x14ac:dyDescent="0.25">
      <c r="A90" s="33" t="s">
        <v>201</v>
      </c>
      <c r="B90" s="34">
        <v>11555</v>
      </c>
      <c r="C90" s="34">
        <v>14295</v>
      </c>
      <c r="D90" s="34">
        <v>12361</v>
      </c>
      <c r="E90" s="34">
        <v>14892</v>
      </c>
      <c r="F90" s="34">
        <v>51343</v>
      </c>
      <c r="G90" s="34">
        <v>53197</v>
      </c>
      <c r="H90" s="34">
        <v>58039</v>
      </c>
      <c r="I90" s="34">
        <v>60055</v>
      </c>
      <c r="J90" s="25"/>
      <c r="K90" s="25"/>
      <c r="L90" s="25"/>
      <c r="M90" s="25"/>
    </row>
    <row r="91" spans="1:13" x14ac:dyDescent="0.25">
      <c r="A91" s="33" t="s">
        <v>202</v>
      </c>
      <c r="B91" s="34">
        <v>14005</v>
      </c>
      <c r="C91" s="34">
        <v>15046</v>
      </c>
      <c r="D91" s="34">
        <v>14759</v>
      </c>
      <c r="E91" s="34">
        <v>15562</v>
      </c>
      <c r="F91" s="34">
        <v>54527</v>
      </c>
      <c r="G91" s="34">
        <v>54231</v>
      </c>
      <c r="H91" s="34">
        <v>60251</v>
      </c>
      <c r="I91" s="34">
        <v>60115</v>
      </c>
      <c r="J91" s="25"/>
      <c r="K91" s="25"/>
      <c r="L91" s="25"/>
      <c r="M91" s="25"/>
    </row>
    <row r="92" spans="1:13" x14ac:dyDescent="0.25">
      <c r="A92" s="33" t="s">
        <v>203</v>
      </c>
      <c r="B92" s="34">
        <v>13846</v>
      </c>
      <c r="C92" s="34">
        <v>14835</v>
      </c>
      <c r="D92" s="34">
        <v>14510</v>
      </c>
      <c r="E92" s="34">
        <v>15438</v>
      </c>
      <c r="F92" s="34">
        <v>59644</v>
      </c>
      <c r="G92" s="34">
        <v>55463</v>
      </c>
      <c r="H92" s="34">
        <v>65324</v>
      </c>
      <c r="I92" s="34">
        <v>60536</v>
      </c>
      <c r="J92" s="25"/>
      <c r="K92" s="25"/>
      <c r="L92" s="25"/>
      <c r="M92" s="25"/>
    </row>
    <row r="93" spans="1:13" x14ac:dyDescent="0.25">
      <c r="A93" s="33" t="s">
        <v>204</v>
      </c>
      <c r="B93" s="34">
        <v>20662</v>
      </c>
      <c r="C93" s="34">
        <v>15712</v>
      </c>
      <c r="D93" s="34">
        <v>21501</v>
      </c>
      <c r="E93" s="34">
        <v>16750</v>
      </c>
      <c r="F93" s="34">
        <v>55595</v>
      </c>
      <c r="G93" s="34">
        <v>56513</v>
      </c>
      <c r="H93" s="34">
        <v>60161</v>
      </c>
      <c r="I93" s="34">
        <v>61201</v>
      </c>
      <c r="J93" s="25"/>
      <c r="K93" s="25"/>
      <c r="L93" s="25"/>
      <c r="M93" s="25"/>
    </row>
    <row r="94" spans="1:13" x14ac:dyDescent="0.25">
      <c r="A94" s="33" t="s">
        <v>205</v>
      </c>
      <c r="B94" s="34">
        <v>12200</v>
      </c>
      <c r="C94" s="34">
        <v>15118</v>
      </c>
      <c r="D94" s="34">
        <v>12542</v>
      </c>
      <c r="E94" s="34">
        <v>15561</v>
      </c>
      <c r="F94" s="34">
        <v>55664</v>
      </c>
      <c r="G94" s="34">
        <v>57668</v>
      </c>
      <c r="H94" s="34">
        <v>60009</v>
      </c>
      <c r="I94" s="34">
        <v>62181</v>
      </c>
      <c r="J94" s="25"/>
      <c r="K94" s="25"/>
      <c r="L94" s="25"/>
      <c r="M94" s="25"/>
    </row>
    <row r="95" spans="1:13" x14ac:dyDescent="0.25">
      <c r="A95" s="33" t="s">
        <v>206</v>
      </c>
      <c r="B95" s="34">
        <v>14548</v>
      </c>
      <c r="C95" s="34">
        <v>15694</v>
      </c>
      <c r="D95" s="34">
        <v>14738</v>
      </c>
      <c r="E95" s="34">
        <v>15639</v>
      </c>
      <c r="F95" s="34">
        <v>56735</v>
      </c>
      <c r="G95" s="34">
        <v>57242</v>
      </c>
      <c r="H95" s="34">
        <v>61295</v>
      </c>
      <c r="I95" s="34">
        <v>61932</v>
      </c>
      <c r="J95" s="25"/>
      <c r="K95" s="25"/>
      <c r="L95" s="25"/>
      <c r="M95" s="25"/>
    </row>
    <row r="96" spans="1:13" x14ac:dyDescent="0.25">
      <c r="A96" s="33" t="s">
        <v>207</v>
      </c>
      <c r="B96" s="34">
        <v>14729</v>
      </c>
      <c r="C96" s="34">
        <v>15615</v>
      </c>
      <c r="D96" s="34">
        <v>14871</v>
      </c>
      <c r="E96" s="34">
        <v>15702</v>
      </c>
      <c r="F96" s="34">
        <v>60586</v>
      </c>
      <c r="G96" s="34">
        <v>57157</v>
      </c>
      <c r="H96" s="34">
        <v>65843</v>
      </c>
      <c r="I96" s="34">
        <v>61994</v>
      </c>
      <c r="J96" s="25"/>
      <c r="K96" s="25"/>
      <c r="L96" s="25"/>
      <c r="M96" s="25"/>
    </row>
    <row r="97" spans="1:13" x14ac:dyDescent="0.25">
      <c r="A97" s="33" t="s">
        <v>208</v>
      </c>
      <c r="B97" s="34">
        <v>19873</v>
      </c>
      <c r="C97" s="34">
        <v>15073</v>
      </c>
      <c r="D97" s="34">
        <v>21246</v>
      </c>
      <c r="E97" s="34">
        <v>15772</v>
      </c>
      <c r="F97" s="34">
        <v>55137</v>
      </c>
      <c r="G97" s="34">
        <v>56991</v>
      </c>
      <c r="H97" s="34">
        <v>58933</v>
      </c>
      <c r="I97" s="34">
        <v>60599</v>
      </c>
      <c r="J97" s="25"/>
      <c r="K97" s="25"/>
      <c r="L97" s="25"/>
      <c r="M97" s="25"/>
    </row>
    <row r="98" spans="1:13" x14ac:dyDescent="0.25">
      <c r="A98" s="33" t="s">
        <v>209</v>
      </c>
      <c r="B98" s="34">
        <v>13963</v>
      </c>
      <c r="C98" s="34">
        <v>16751</v>
      </c>
      <c r="D98" s="34">
        <v>14635</v>
      </c>
      <c r="E98" s="34">
        <v>17944</v>
      </c>
      <c r="F98" s="34">
        <v>45026</v>
      </c>
      <c r="G98" s="34">
        <v>46692</v>
      </c>
      <c r="H98" s="34">
        <v>47874</v>
      </c>
      <c r="I98" s="34">
        <v>48951</v>
      </c>
      <c r="J98" s="25"/>
      <c r="K98" s="25"/>
      <c r="L98" s="25"/>
      <c r="M98" s="25"/>
    </row>
    <row r="99" spans="1:13" x14ac:dyDescent="0.25">
      <c r="A99" s="33" t="s">
        <v>210</v>
      </c>
      <c r="B99" s="34">
        <v>15902</v>
      </c>
      <c r="C99" s="34">
        <v>16901</v>
      </c>
      <c r="D99" s="34">
        <v>16894</v>
      </c>
      <c r="E99" s="34">
        <v>18096</v>
      </c>
      <c r="F99" s="34">
        <v>50414</v>
      </c>
      <c r="G99" s="34">
        <v>51030</v>
      </c>
      <c r="H99" s="34">
        <v>53675</v>
      </c>
      <c r="I99" s="34">
        <v>54710</v>
      </c>
      <c r="J99" s="25"/>
      <c r="K99" s="25"/>
      <c r="L99" s="25"/>
      <c r="M99" s="25"/>
    </row>
    <row r="100" spans="1:13" x14ac:dyDescent="0.25">
      <c r="A100" s="33" t="s">
        <v>211</v>
      </c>
      <c r="B100" s="34">
        <v>16348</v>
      </c>
      <c r="C100" s="34">
        <v>17361</v>
      </c>
      <c r="D100" s="34">
        <v>17791</v>
      </c>
      <c r="E100" s="34">
        <v>18754</v>
      </c>
      <c r="F100" s="34">
        <v>56507</v>
      </c>
      <c r="G100" s="34">
        <v>52371</v>
      </c>
      <c r="H100" s="34">
        <v>61553</v>
      </c>
      <c r="I100" s="34">
        <v>57775</v>
      </c>
      <c r="J100" s="25"/>
      <c r="K100" s="25"/>
      <c r="L100" s="25"/>
      <c r="M100" s="25"/>
    </row>
    <row r="101" spans="1:13" x14ac:dyDescent="0.25">
      <c r="A101" s="33" t="s">
        <v>212</v>
      </c>
      <c r="B101" s="34">
        <v>23246</v>
      </c>
      <c r="C101" s="34">
        <v>17139</v>
      </c>
      <c r="D101" s="34">
        <v>25972</v>
      </c>
      <c r="E101" s="34">
        <v>18171</v>
      </c>
      <c r="F101" s="34">
        <v>49525</v>
      </c>
      <c r="G101" s="34">
        <v>49448</v>
      </c>
      <c r="H101" s="34">
        <v>51781</v>
      </c>
      <c r="I101" s="34">
        <v>53828</v>
      </c>
      <c r="J101" s="25"/>
      <c r="K101" s="25"/>
      <c r="L101" s="25"/>
      <c r="M101" s="25"/>
    </row>
    <row r="102" spans="1:13" x14ac:dyDescent="0.25">
      <c r="A102" s="33" t="s">
        <v>213</v>
      </c>
      <c r="B102" s="34">
        <v>14818</v>
      </c>
      <c r="C102" s="34">
        <v>17974</v>
      </c>
      <c r="D102" s="34">
        <v>15641</v>
      </c>
      <c r="E102" s="34">
        <v>19642</v>
      </c>
      <c r="F102" s="34">
        <v>51279</v>
      </c>
      <c r="G102" s="34">
        <v>52246</v>
      </c>
      <c r="H102" s="34">
        <v>57616</v>
      </c>
      <c r="I102" s="34">
        <v>57987</v>
      </c>
      <c r="J102" s="25"/>
      <c r="K102" s="25"/>
      <c r="L102" s="25"/>
      <c r="M102" s="25"/>
    </row>
    <row r="103" spans="1:13" x14ac:dyDescent="0.25">
      <c r="A103" s="33" t="s">
        <v>214</v>
      </c>
      <c r="B103" s="34">
        <v>16685</v>
      </c>
      <c r="C103" s="34">
        <v>18338</v>
      </c>
      <c r="D103" s="34">
        <v>17993</v>
      </c>
      <c r="E103" s="34">
        <v>19918</v>
      </c>
      <c r="F103" s="34">
        <v>55977</v>
      </c>
      <c r="G103" s="34">
        <v>56788</v>
      </c>
      <c r="H103" s="34">
        <v>56049</v>
      </c>
      <c r="I103" s="34">
        <v>56998</v>
      </c>
      <c r="J103" s="25"/>
      <c r="K103" s="25"/>
      <c r="L103" s="25"/>
      <c r="M103" s="25"/>
    </row>
    <row r="104" spans="1:13" x14ac:dyDescent="0.25">
      <c r="A104" s="33" t="s">
        <v>215</v>
      </c>
      <c r="B104" s="34">
        <v>16859</v>
      </c>
      <c r="C104" s="34">
        <v>18157</v>
      </c>
      <c r="D104" s="34">
        <v>18017</v>
      </c>
      <c r="E104" s="34">
        <v>19892</v>
      </c>
      <c r="F104" s="34">
        <v>58699</v>
      </c>
      <c r="G104" s="34">
        <v>56998</v>
      </c>
      <c r="H104" s="34">
        <v>60545</v>
      </c>
      <c r="I104" s="34">
        <v>57178</v>
      </c>
      <c r="J104" s="25"/>
      <c r="K104" s="25"/>
      <c r="L104" s="25"/>
      <c r="M104" s="25"/>
    </row>
    <row r="105" spans="1:13" x14ac:dyDescent="0.25">
      <c r="A105" s="33" t="s">
        <v>345</v>
      </c>
      <c r="B105" s="34">
        <v>27472</v>
      </c>
      <c r="C105" s="34">
        <v>19153</v>
      </c>
      <c r="D105" s="34">
        <v>29123</v>
      </c>
      <c r="E105" s="34">
        <v>20140</v>
      </c>
      <c r="F105" s="34">
        <v>53329</v>
      </c>
      <c r="G105" s="34">
        <v>57907</v>
      </c>
      <c r="H105" s="34">
        <v>60852</v>
      </c>
      <c r="I105" s="34">
        <v>58903</v>
      </c>
      <c r="J105" s="25"/>
      <c r="K105" s="25"/>
      <c r="L105" s="25"/>
    </row>
    <row r="106" spans="1:13" x14ac:dyDescent="0.25">
      <c r="A106" s="33" t="s">
        <v>346</v>
      </c>
      <c r="B106" s="34">
        <v>13847</v>
      </c>
      <c r="C106" s="34">
        <v>18253</v>
      </c>
      <c r="D106" s="34">
        <v>14463</v>
      </c>
      <c r="E106" s="34">
        <v>18894</v>
      </c>
      <c r="F106" s="34">
        <v>59221</v>
      </c>
      <c r="G106" s="34">
        <v>59826</v>
      </c>
      <c r="H106" s="34">
        <v>58749</v>
      </c>
      <c r="I106" s="34">
        <v>60332</v>
      </c>
      <c r="J106" s="25"/>
      <c r="K106" s="25"/>
      <c r="L106" s="25"/>
    </row>
    <row r="107" spans="1:13" x14ac:dyDescent="0.25">
      <c r="A107" s="33" t="s">
        <v>347</v>
      </c>
      <c r="B107" s="33">
        <v>17194</v>
      </c>
      <c r="C107" s="33">
        <v>19320</v>
      </c>
      <c r="D107" s="33">
        <v>16321</v>
      </c>
      <c r="E107" s="33">
        <v>18801</v>
      </c>
      <c r="F107" s="33">
        <v>61059</v>
      </c>
      <c r="G107" s="33">
        <v>60839</v>
      </c>
      <c r="H107" s="33">
        <v>58966</v>
      </c>
      <c r="I107" s="33">
        <v>60887</v>
      </c>
    </row>
    <row r="108" spans="1:13" x14ac:dyDescent="0.25">
      <c r="A108" s="33" t="s">
        <v>348</v>
      </c>
      <c r="B108" s="33">
        <v>19023</v>
      </c>
      <c r="C108" s="33">
        <v>20810</v>
      </c>
      <c r="D108" s="33">
        <v>17629</v>
      </c>
      <c r="E108" s="33">
        <v>19702</v>
      </c>
      <c r="F108" s="33">
        <v>65760</v>
      </c>
      <c r="G108" s="33">
        <v>60797</v>
      </c>
      <c r="H108" s="33">
        <v>60803</v>
      </c>
      <c r="I108" s="33">
        <v>59248</v>
      </c>
    </row>
    <row r="109" spans="1:13" x14ac:dyDescent="0.25">
      <c r="A109" s="33" t="s">
        <v>349</v>
      </c>
      <c r="B109" s="33">
        <v>30713</v>
      </c>
      <c r="C109" s="33">
        <v>21938</v>
      </c>
      <c r="D109" s="33">
        <v>27863</v>
      </c>
      <c r="E109" s="33">
        <v>20023</v>
      </c>
      <c r="F109" s="33">
        <v>63828</v>
      </c>
      <c r="G109" s="33">
        <v>64528</v>
      </c>
      <c r="H109" s="33">
        <v>61211</v>
      </c>
      <c r="I109" s="33">
        <v>62482</v>
      </c>
    </row>
    <row r="110" spans="1:13" x14ac:dyDescent="0.25">
      <c r="A110" s="33" t="s">
        <v>350</v>
      </c>
      <c r="B110" s="33">
        <v>16345</v>
      </c>
      <c r="C110" s="33">
        <v>21376</v>
      </c>
      <c r="D110" s="33">
        <v>14837</v>
      </c>
      <c r="E110" s="33">
        <v>19563</v>
      </c>
      <c r="F110" s="33">
        <v>64355</v>
      </c>
      <c r="G110" s="33">
        <v>64991</v>
      </c>
      <c r="H110" s="33">
        <v>61669</v>
      </c>
      <c r="I110" s="33">
        <v>62152</v>
      </c>
    </row>
    <row r="111" spans="1:13" x14ac:dyDescent="0.25">
      <c r="A111" s="33" t="s">
        <v>351</v>
      </c>
      <c r="B111" s="33">
        <v>19952</v>
      </c>
      <c r="C111" s="33">
        <v>22098</v>
      </c>
      <c r="D111" s="33">
        <v>18036</v>
      </c>
      <c r="E111" s="33">
        <v>19997</v>
      </c>
      <c r="F111" s="33">
        <v>62150</v>
      </c>
      <c r="G111" s="33">
        <v>63419</v>
      </c>
      <c r="H111" s="33">
        <v>59111</v>
      </c>
      <c r="I111" s="33">
        <v>60296</v>
      </c>
    </row>
    <row r="112" spans="1:13" x14ac:dyDescent="0.25">
      <c r="A112" s="33" t="s">
        <v>352</v>
      </c>
      <c r="B112" s="33">
        <v>21227</v>
      </c>
      <c r="C112" s="33">
        <v>22825</v>
      </c>
      <c r="D112" s="33">
        <v>19275</v>
      </c>
      <c r="E112" s="33">
        <v>20428</v>
      </c>
      <c r="F112" s="33">
        <v>66778</v>
      </c>
      <c r="G112" s="33">
        <v>64173</v>
      </c>
      <c r="H112" s="33">
        <v>63960</v>
      </c>
      <c r="I112" s="33">
        <v>61021</v>
      </c>
    </row>
    <row r="113" spans="1:9" x14ac:dyDescent="0.25">
      <c r="A113" s="33" t="s">
        <v>353</v>
      </c>
      <c r="B113" s="33">
        <v>33305</v>
      </c>
      <c r="C113" s="33">
        <v>22926</v>
      </c>
      <c r="D113" s="33">
        <v>29839</v>
      </c>
      <c r="E113" s="33">
        <v>20010</v>
      </c>
      <c r="F113" s="33">
        <v>61714</v>
      </c>
      <c r="G113" s="33">
        <v>64523</v>
      </c>
      <c r="H113" s="33">
        <v>58876</v>
      </c>
      <c r="I113" s="33">
        <v>61370</v>
      </c>
    </row>
    <row r="114" spans="1:9" x14ac:dyDescent="0.25">
      <c r="A114" s="33" t="s">
        <v>354</v>
      </c>
      <c r="B114" s="33">
        <v>17806</v>
      </c>
      <c r="C114" s="33">
        <v>22812</v>
      </c>
      <c r="D114" s="33">
        <v>16085</v>
      </c>
      <c r="E114" s="33">
        <v>20427</v>
      </c>
      <c r="F114" s="33">
        <v>65026</v>
      </c>
      <c r="G114" s="33">
        <v>66307</v>
      </c>
      <c r="H114" s="33">
        <v>61711</v>
      </c>
      <c r="I114" s="33">
        <v>62250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21CC-96AA-48A9-ACCB-93A401999EE0}">
  <sheetPr codeName="Sheet21"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28</vt:i4>
      </vt:variant>
      <vt:variant>
        <vt:lpstr>Named Ranges</vt:lpstr>
      </vt:variant>
      <vt:variant>
        <vt:i4>4</vt:i4>
      </vt:variant>
    </vt:vector>
  </HeadingPairs>
  <TitlesOfParts>
    <vt:vector size="44" baseType="lpstr">
      <vt:lpstr>&gt;&gt; CHARTS</vt:lpstr>
      <vt:lpstr>&gt;&gt; DATA</vt:lpstr>
      <vt:lpstr>Chart Data</vt:lpstr>
      <vt:lpstr>DataQ</vt:lpstr>
      <vt:lpstr>DataA</vt:lpstr>
      <vt:lpstr>GMWQ</vt:lpstr>
      <vt:lpstr>GMWA</vt:lpstr>
      <vt:lpstr>HAVERQ</vt:lpstr>
      <vt:lpstr>HAVERM</vt:lpstr>
      <vt:lpstr>ONS CVM_SA_(Quarterly)</vt:lpstr>
      <vt:lpstr>IPNR ex BNFL</vt:lpstr>
      <vt:lpstr>&gt;&gt; NOT USED</vt:lpstr>
      <vt:lpstr>Chart - IPNR &amp; CGEAR (4QMA)</vt:lpstr>
      <vt:lpstr>Chart - IPNR revisions</vt:lpstr>
      <vt:lpstr>Chart - IPNR by asset % 2016</vt:lpstr>
      <vt:lpstr>Chart - CBI invest constraints</vt:lpstr>
      <vt:lpstr>Chart - Corporate deposits</vt:lpstr>
      <vt:lpstr>Chart - Interest rates change</vt:lpstr>
      <vt:lpstr>Chart - Stock of loans</vt:lpstr>
      <vt:lpstr>Chart - Cred Con &amp; invest</vt:lpstr>
      <vt:lpstr>Chart - IPNR vs surveys</vt:lpstr>
      <vt:lpstr>Chart - IPNR G7 forecast</vt:lpstr>
      <vt:lpstr>Chart - IPNR &amp; CGEAR</vt:lpstr>
      <vt:lpstr>Chart - Capital stock</vt:lpstr>
      <vt:lpstr>Chart - IPNR revisions 2022=100</vt:lpstr>
      <vt:lpstr>Chart - IPNR by asset % Q419</vt:lpstr>
      <vt:lpstr>Chart - IPNR by sector % Q419</vt:lpstr>
      <vt:lpstr>Chart - IPNR by asset % Q121</vt:lpstr>
      <vt:lpstr>IPNR G7 history</vt:lpstr>
      <vt:lpstr>Chart - IF by asset</vt:lpstr>
      <vt:lpstr>Chart - IPNR by asset £bn</vt:lpstr>
      <vt:lpstr>Chart - IPNR and P&amp;M</vt:lpstr>
      <vt:lpstr>IPNR by sector diff Q419 ser v2</vt:lpstr>
      <vt:lpstr>IPNR by sector Q419=100</vt:lpstr>
      <vt:lpstr>IPNR by sector diff Q419 ser v1</vt:lpstr>
      <vt:lpstr>IPNR by sector £bn</vt:lpstr>
      <vt:lpstr>IPNR by asset Q419=100</vt:lpstr>
      <vt:lpstr>Chart - Interest rates</vt:lpstr>
      <vt:lpstr>Chart - IPNR vs debt</vt:lpstr>
      <vt:lpstr>Chart - IPNR forecasts</vt:lpstr>
      <vt:lpstr>_DLX1.INC</vt:lpstr>
      <vt:lpstr>_DLX2.INC</vt:lpstr>
      <vt:lpstr>GMWA!Annual_Data</vt:lpstr>
      <vt:lpstr>GMWQ!Annual_Data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2022-04-25T10:00:14Z</dcterms:created>
  <dcterms:modified xsi:type="dcterms:W3CDTF">2024-10-16T08:03:40Z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2023-10-05T16:11:52Z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2ddaee52-0660-4f3f-bee6-e7ed1130c79b</vt:lpwstr>
  </property>
  <property fmtid="{D5CDD505-2E9C-101B-9397-08002B2CF9AE}" pid="8" name="MSIP_Label_231f5784-19ed-4d1e-9a93-4ea41014d730_ContentBits">
    <vt:lpwstr>0</vt:lpwstr>
  </property>
</Properties>
</file>