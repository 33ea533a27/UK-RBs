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1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F748D3B6-DC48-49DA-9241-072A525E4FF9}" xr6:coauthVersionLast="47" xr6:coauthVersionMax="47" xr10:uidLastSave="{00000000-0000-0000-0000-000000000000}"/>
  <bookViews>
    <workbookView xWindow="-120" yWindow="-120" windowWidth="29040" windowHeight="15840" activeTab="5" xr2:uid="{FD26564F-3238-468E-A827-18BDC3920937}"/>
  </bookViews>
  <sheets>
    <sheet name="Chart - Policy decisions" sheetId="3" r:id="rId1"/>
    <sheet name="Chart - Fiscal rules" sheetId="4" r:id="rId2"/>
    <sheet name="Chart - Fiscal rules (2)" sheetId="8" r:id="rId3"/>
    <sheet name="Chart - PSNI" sheetId="10" r:id="rId4"/>
    <sheet name="Chart - Fiscal impulse" sheetId="11" r:id="rId5"/>
    <sheet name="Chart Data" sheetId="1" r:id="rId6"/>
    <sheet name="GMW" sheetId="13" r:id="rId7"/>
    <sheet name="DataQ" sheetId="16" r:id="rId8"/>
    <sheet name="DataFY" sheetId="17" r:id="rId9"/>
    <sheet name="DataCY" sheetId="18" r:id="rId10"/>
    <sheet name="HAVERA" sheetId="9" r:id="rId11"/>
    <sheet name="Aggregates (% GDP) Mar24" sheetId="6" r:id="rId12"/>
    <sheet name="Aggregates (% GDP) Oct24" sheetId="24" r:id="rId13"/>
    <sheet name="HMT - Table 5.1" sheetId="20" r:id="rId14"/>
    <sheet name="T5.3" sheetId="7" r:id="rId15"/>
    <sheet name="C6.11" sheetId="22" r:id="rId16"/>
  </sheets>
  <definedNames>
    <definedName name="_DLX1.INC">HAVERA!$A$2:$BN$7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1" l="1"/>
  <c r="AK29" i="1"/>
  <c r="AK30" i="1"/>
  <c r="AK31" i="1"/>
  <c r="AK32" i="1"/>
  <c r="AK28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4" i="1"/>
  <c r="AH33" i="1"/>
  <c r="AI33" i="1" s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4" i="1"/>
  <c r="AA33" i="1"/>
  <c r="AB33" i="1" s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4" i="1"/>
  <c r="AC33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4" i="1"/>
  <c r="J33" i="1"/>
  <c r="K4" i="1" a="1"/>
  <c r="K4" i="1" s="1"/>
  <c r="M17" i="1" l="1"/>
  <c r="N21" i="1"/>
  <c r="N11" i="1"/>
  <c r="M29" i="1"/>
  <c r="M19" i="1"/>
  <c r="M5" i="1"/>
  <c r="L33" i="1"/>
  <c r="Q33" i="1" s="1"/>
  <c r="W4" i="1" s="1"/>
  <c r="L31" i="1"/>
  <c r="L29" i="1"/>
  <c r="L27" i="1"/>
  <c r="L25" i="1"/>
  <c r="L23" i="1"/>
  <c r="L21" i="1"/>
  <c r="L19" i="1"/>
  <c r="L17" i="1"/>
  <c r="L15" i="1"/>
  <c r="L13" i="1"/>
  <c r="L11" i="1"/>
  <c r="L9" i="1"/>
  <c r="L7" i="1"/>
  <c r="L5" i="1"/>
  <c r="N27" i="1"/>
  <c r="N13" i="1"/>
  <c r="M27" i="1"/>
  <c r="M7" i="1"/>
  <c r="K33" i="1"/>
  <c r="K31" i="1"/>
  <c r="K29" i="1"/>
  <c r="K27" i="1"/>
  <c r="K25" i="1"/>
  <c r="K23" i="1"/>
  <c r="K21" i="1"/>
  <c r="K19" i="1"/>
  <c r="K17" i="1"/>
  <c r="K15" i="1"/>
  <c r="K13" i="1"/>
  <c r="K11" i="1"/>
  <c r="K9" i="1"/>
  <c r="K7" i="1"/>
  <c r="K5" i="1"/>
  <c r="N31" i="1"/>
  <c r="N23" i="1"/>
  <c r="N15" i="1"/>
  <c r="M33" i="1"/>
  <c r="R33" i="1" s="1"/>
  <c r="X4" i="1" s="1"/>
  <c r="M9" i="1"/>
  <c r="N32" i="1"/>
  <c r="N30" i="1"/>
  <c r="N28" i="1"/>
  <c r="N26" i="1"/>
  <c r="N24" i="1"/>
  <c r="N22" i="1"/>
  <c r="N20" i="1"/>
  <c r="N18" i="1"/>
  <c r="N16" i="1"/>
  <c r="N14" i="1"/>
  <c r="N12" i="1"/>
  <c r="N10" i="1"/>
  <c r="N8" i="1"/>
  <c r="N6" i="1"/>
  <c r="N4" i="1"/>
  <c r="N25" i="1"/>
  <c r="N9" i="1"/>
  <c r="M31" i="1"/>
  <c r="M21" i="1"/>
  <c r="M11" i="1"/>
  <c r="M32" i="1"/>
  <c r="M30" i="1"/>
  <c r="M28" i="1"/>
  <c r="M26" i="1"/>
  <c r="M24" i="1"/>
  <c r="M22" i="1"/>
  <c r="M20" i="1"/>
  <c r="M18" i="1"/>
  <c r="M16" i="1"/>
  <c r="M14" i="1"/>
  <c r="M12" i="1"/>
  <c r="M10" i="1"/>
  <c r="M8" i="1"/>
  <c r="M6" i="1"/>
  <c r="M4" i="1"/>
  <c r="N29" i="1"/>
  <c r="N17" i="1"/>
  <c r="N7" i="1"/>
  <c r="M25" i="1"/>
  <c r="M13" i="1"/>
  <c r="L32" i="1"/>
  <c r="L30" i="1"/>
  <c r="L28" i="1"/>
  <c r="L26" i="1"/>
  <c r="L24" i="1"/>
  <c r="L22" i="1"/>
  <c r="L20" i="1"/>
  <c r="L18" i="1"/>
  <c r="L16" i="1"/>
  <c r="L14" i="1"/>
  <c r="L12" i="1"/>
  <c r="L10" i="1"/>
  <c r="L8" i="1"/>
  <c r="L6" i="1"/>
  <c r="L4" i="1"/>
  <c r="N33" i="1"/>
  <c r="S33" i="1" s="1"/>
  <c r="Y4" i="1" s="1"/>
  <c r="N19" i="1"/>
  <c r="N5" i="1"/>
  <c r="M23" i="1"/>
  <c r="M15" i="1"/>
  <c r="K32" i="1"/>
  <c r="K30" i="1"/>
  <c r="K28" i="1"/>
  <c r="K26" i="1"/>
  <c r="K24" i="1"/>
  <c r="K22" i="1"/>
  <c r="K20" i="1"/>
  <c r="K18" i="1"/>
  <c r="K16" i="1"/>
  <c r="K14" i="1"/>
  <c r="K12" i="1"/>
  <c r="K10" i="1"/>
  <c r="K8" i="1"/>
  <c r="K6" i="1"/>
  <c r="E5" i="1"/>
  <c r="E15" i="1" s="1"/>
  <c r="F5" i="1"/>
  <c r="F15" i="1" s="1"/>
  <c r="G9" i="1"/>
  <c r="C9" i="1"/>
  <c r="D9" i="1"/>
  <c r="E9" i="1"/>
  <c r="F9" i="1"/>
  <c r="B9" i="1"/>
  <c r="C6" i="1"/>
  <c r="C16" i="1" s="1"/>
  <c r="D6" i="1"/>
  <c r="D16" i="1" s="1"/>
  <c r="E6" i="1"/>
  <c r="E16" i="1" s="1"/>
  <c r="F6" i="1"/>
  <c r="F16" i="1" s="1"/>
  <c r="G6" i="1"/>
  <c r="G16" i="1" s="1"/>
  <c r="B6" i="1"/>
  <c r="B16" i="1" s="1"/>
  <c r="C4" i="1"/>
  <c r="C14" i="1" s="1"/>
  <c r="D4" i="1"/>
  <c r="D14" i="1" s="1"/>
  <c r="E4" i="1"/>
  <c r="E14" i="1" s="1"/>
  <c r="F4" i="1"/>
  <c r="F14" i="1" s="1"/>
  <c r="G4" i="1"/>
  <c r="G14" i="1" s="1"/>
  <c r="B4" i="1"/>
  <c r="B14" i="1" s="1"/>
  <c r="K34" i="20"/>
  <c r="J34" i="20"/>
  <c r="I34" i="20"/>
  <c r="H34" i="20"/>
  <c r="G34" i="20"/>
  <c r="C210" i="16"/>
  <c r="A8" i="18"/>
  <c r="M5" i="18"/>
  <c r="L5" i="18"/>
  <c r="K5" i="18"/>
  <c r="J5" i="18"/>
  <c r="I5" i="18"/>
  <c r="H5" i="18"/>
  <c r="G5" i="18"/>
  <c r="F5" i="18"/>
  <c r="E5" i="18"/>
  <c r="D5" i="18"/>
  <c r="C5" i="18"/>
  <c r="B5" i="18"/>
  <c r="M4" i="18"/>
  <c r="L4" i="18"/>
  <c r="K4" i="18"/>
  <c r="J4" i="18"/>
  <c r="I4" i="18"/>
  <c r="H4" i="18"/>
  <c r="G4" i="18"/>
  <c r="F4" i="18"/>
  <c r="E4" i="18"/>
  <c r="D4" i="18"/>
  <c r="C4" i="18"/>
  <c r="B4" i="18"/>
  <c r="M3" i="18"/>
  <c r="L3" i="18"/>
  <c r="K3" i="18"/>
  <c r="J3" i="18"/>
  <c r="I3" i="18"/>
  <c r="H3" i="18"/>
  <c r="G3" i="18"/>
  <c r="F3" i="18"/>
  <c r="E3" i="18"/>
  <c r="D3" i="18"/>
  <c r="C3" i="18"/>
  <c r="B3" i="18"/>
  <c r="M2" i="18"/>
  <c r="L2" i="18"/>
  <c r="K2" i="18"/>
  <c r="J2" i="18"/>
  <c r="I2" i="18"/>
  <c r="H2" i="18"/>
  <c r="G2" i="18"/>
  <c r="F2" i="18"/>
  <c r="E2" i="18"/>
  <c r="D2" i="18"/>
  <c r="C2" i="18"/>
  <c r="B2" i="18"/>
  <c r="M1" i="18"/>
  <c r="L1" i="18"/>
  <c r="K1" i="18"/>
  <c r="J1" i="18"/>
  <c r="I1" i="18"/>
  <c r="H1" i="18"/>
  <c r="G1" i="18"/>
  <c r="F1" i="18"/>
  <c r="E1" i="18"/>
  <c r="D1" i="18"/>
  <c r="C1" i="18"/>
  <c r="B1" i="18"/>
  <c r="C18" i="16"/>
  <c r="C22" i="16" s="1"/>
  <c r="C26" i="16" s="1"/>
  <c r="C30" i="16" s="1"/>
  <c r="C34" i="16" s="1"/>
  <c r="C38" i="16" s="1"/>
  <c r="C42" i="16" s="1"/>
  <c r="C46" i="16" s="1"/>
  <c r="C50" i="16" s="1"/>
  <c r="C54" i="16" s="1"/>
  <c r="C58" i="16" s="1"/>
  <c r="C62" i="16" s="1"/>
  <c r="C66" i="16" s="1"/>
  <c r="C70" i="16" s="1"/>
  <c r="C74" i="16" s="1"/>
  <c r="C78" i="16" s="1"/>
  <c r="C82" i="16" s="1"/>
  <c r="C86" i="16" s="1"/>
  <c r="C90" i="16" s="1"/>
  <c r="C94" i="16" s="1"/>
  <c r="C98" i="16" s="1"/>
  <c r="C102" i="16" s="1"/>
  <c r="C106" i="16" s="1"/>
  <c r="C110" i="16" s="1"/>
  <c r="C114" i="16" s="1"/>
  <c r="C118" i="16" s="1"/>
  <c r="C122" i="16" s="1"/>
  <c r="C126" i="16" s="1"/>
  <c r="C130" i="16" s="1"/>
  <c r="C134" i="16" s="1"/>
  <c r="C138" i="16" s="1"/>
  <c r="C142" i="16" s="1"/>
  <c r="C146" i="16" s="1"/>
  <c r="C150" i="16" s="1"/>
  <c r="C154" i="16" s="1"/>
  <c r="C158" i="16" s="1"/>
  <c r="C162" i="16" s="1"/>
  <c r="C166" i="16" s="1"/>
  <c r="C170" i="16" s="1"/>
  <c r="C174" i="16" s="1"/>
  <c r="C178" i="16" s="1"/>
  <c r="C182" i="16" s="1"/>
  <c r="C186" i="16" s="1"/>
  <c r="C190" i="16" s="1"/>
  <c r="C194" i="16" s="1"/>
  <c r="C198" i="16" s="1"/>
  <c r="C202" i="16" s="1"/>
  <c r="C206" i="16" s="1"/>
  <c r="C17" i="16"/>
  <c r="C21" i="16" s="1"/>
  <c r="C25" i="16" s="1"/>
  <c r="C29" i="16" s="1"/>
  <c r="C33" i="16" s="1"/>
  <c r="C37" i="16" s="1"/>
  <c r="C41" i="16" s="1"/>
  <c r="C45" i="16" s="1"/>
  <c r="C49" i="16" s="1"/>
  <c r="C53" i="16" s="1"/>
  <c r="C57" i="16" s="1"/>
  <c r="C61" i="16" s="1"/>
  <c r="C65" i="16" s="1"/>
  <c r="C69" i="16" s="1"/>
  <c r="C73" i="16" s="1"/>
  <c r="C77" i="16" s="1"/>
  <c r="C81" i="16" s="1"/>
  <c r="C85" i="16" s="1"/>
  <c r="C89" i="16" s="1"/>
  <c r="C93" i="16" s="1"/>
  <c r="C97" i="16" s="1"/>
  <c r="C101" i="16" s="1"/>
  <c r="C105" i="16" s="1"/>
  <c r="C109" i="16" s="1"/>
  <c r="C113" i="16" s="1"/>
  <c r="C117" i="16" s="1"/>
  <c r="C121" i="16" s="1"/>
  <c r="C125" i="16" s="1"/>
  <c r="C129" i="16" s="1"/>
  <c r="C133" i="16" s="1"/>
  <c r="C137" i="16" s="1"/>
  <c r="C141" i="16" s="1"/>
  <c r="C145" i="16" s="1"/>
  <c r="C149" i="16" s="1"/>
  <c r="C153" i="16" s="1"/>
  <c r="C157" i="16" s="1"/>
  <c r="C161" i="16" s="1"/>
  <c r="C165" i="16" s="1"/>
  <c r="C169" i="16" s="1"/>
  <c r="C173" i="16" s="1"/>
  <c r="C177" i="16" s="1"/>
  <c r="C181" i="16" s="1"/>
  <c r="C185" i="16" s="1"/>
  <c r="C189" i="16" s="1"/>
  <c r="C193" i="16" s="1"/>
  <c r="C197" i="16" s="1"/>
  <c r="C201" i="16" s="1"/>
  <c r="C205" i="16" s="1"/>
  <c r="C209" i="16" s="1"/>
  <c r="C14" i="16"/>
  <c r="C13" i="16"/>
  <c r="C12" i="16"/>
  <c r="C16" i="16" s="1"/>
  <c r="C20" i="16" s="1"/>
  <c r="C24" i="16" s="1"/>
  <c r="C28" i="16" s="1"/>
  <c r="C32" i="16" s="1"/>
  <c r="C36" i="16" s="1"/>
  <c r="C40" i="16" s="1"/>
  <c r="C44" i="16" s="1"/>
  <c r="C48" i="16" s="1"/>
  <c r="C52" i="16" s="1"/>
  <c r="C56" i="16" s="1"/>
  <c r="C60" i="16" s="1"/>
  <c r="C64" i="16" s="1"/>
  <c r="C68" i="16" s="1"/>
  <c r="C72" i="16" s="1"/>
  <c r="C76" i="16" s="1"/>
  <c r="C80" i="16" s="1"/>
  <c r="C84" i="16" s="1"/>
  <c r="C88" i="16" s="1"/>
  <c r="C92" i="16" s="1"/>
  <c r="C96" i="16" s="1"/>
  <c r="C100" i="16" s="1"/>
  <c r="C104" i="16" s="1"/>
  <c r="C108" i="16" s="1"/>
  <c r="C112" i="16" s="1"/>
  <c r="C116" i="16" s="1"/>
  <c r="C120" i="16" s="1"/>
  <c r="C124" i="16" s="1"/>
  <c r="C128" i="16" s="1"/>
  <c r="C132" i="16" s="1"/>
  <c r="C136" i="16" s="1"/>
  <c r="C140" i="16" s="1"/>
  <c r="C144" i="16" s="1"/>
  <c r="C148" i="16" s="1"/>
  <c r="C152" i="16" s="1"/>
  <c r="C156" i="16" s="1"/>
  <c r="C160" i="16" s="1"/>
  <c r="C164" i="16" s="1"/>
  <c r="C168" i="16" s="1"/>
  <c r="C172" i="16" s="1"/>
  <c r="C176" i="16" s="1"/>
  <c r="C180" i="16" s="1"/>
  <c r="C184" i="16" s="1"/>
  <c r="C188" i="16" s="1"/>
  <c r="C192" i="16" s="1"/>
  <c r="C196" i="16" s="1"/>
  <c r="C200" i="16" s="1"/>
  <c r="C204" i="16" s="1"/>
  <c r="C208" i="16" s="1"/>
  <c r="C11" i="16"/>
  <c r="C15" i="16" s="1"/>
  <c r="C19" i="16" s="1"/>
  <c r="C23" i="16" s="1"/>
  <c r="C27" i="16" s="1"/>
  <c r="C31" i="16" s="1"/>
  <c r="C35" i="16" s="1"/>
  <c r="C39" i="16" s="1"/>
  <c r="C43" i="16" s="1"/>
  <c r="C47" i="16" s="1"/>
  <c r="C51" i="16" s="1"/>
  <c r="C55" i="16" s="1"/>
  <c r="C59" i="16" s="1"/>
  <c r="C63" i="16" s="1"/>
  <c r="C67" i="16" s="1"/>
  <c r="C71" i="16" s="1"/>
  <c r="C75" i="16" s="1"/>
  <c r="C79" i="16" s="1"/>
  <c r="C83" i="16" s="1"/>
  <c r="C87" i="16" s="1"/>
  <c r="C91" i="16" s="1"/>
  <c r="C95" i="16" s="1"/>
  <c r="C99" i="16" s="1"/>
  <c r="C103" i="16" s="1"/>
  <c r="C107" i="16" s="1"/>
  <c r="C111" i="16" s="1"/>
  <c r="C115" i="16" s="1"/>
  <c r="C119" i="16" s="1"/>
  <c r="C123" i="16" s="1"/>
  <c r="C127" i="16" s="1"/>
  <c r="C131" i="16" s="1"/>
  <c r="C135" i="16" s="1"/>
  <c r="C139" i="16" s="1"/>
  <c r="C143" i="16" s="1"/>
  <c r="C147" i="16" s="1"/>
  <c r="C151" i="16" s="1"/>
  <c r="C155" i="16" s="1"/>
  <c r="C159" i="16" s="1"/>
  <c r="C163" i="16" s="1"/>
  <c r="C167" i="16" s="1"/>
  <c r="C171" i="16" s="1"/>
  <c r="C175" i="16" s="1"/>
  <c r="C179" i="16" s="1"/>
  <c r="C183" i="16" s="1"/>
  <c r="C187" i="16" s="1"/>
  <c r="C191" i="16" s="1"/>
  <c r="C195" i="16" s="1"/>
  <c r="C199" i="16" s="1"/>
  <c r="C203" i="16" s="1"/>
  <c r="C207" i="16" s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B2" i="17"/>
  <c r="C2" i="17"/>
  <c r="D2" i="17"/>
  <c r="E2" i="17"/>
  <c r="F2" i="17"/>
  <c r="G2" i="17"/>
  <c r="H2" i="17"/>
  <c r="I2" i="17"/>
  <c r="J2" i="17"/>
  <c r="K2" i="17"/>
  <c r="L2" i="17"/>
  <c r="M2" i="17"/>
  <c r="B3" i="17"/>
  <c r="C3" i="17"/>
  <c r="D3" i="17"/>
  <c r="E3" i="17"/>
  <c r="F3" i="17"/>
  <c r="G3" i="17"/>
  <c r="H3" i="17"/>
  <c r="I3" i="17"/>
  <c r="J3" i="17"/>
  <c r="K3" i="17"/>
  <c r="L3" i="17"/>
  <c r="M3" i="17"/>
  <c r="B4" i="17"/>
  <c r="C4" i="17"/>
  <c r="D4" i="17"/>
  <c r="E4" i="17"/>
  <c r="F4" i="17"/>
  <c r="G4" i="17"/>
  <c r="H4" i="17"/>
  <c r="I4" i="17"/>
  <c r="J4" i="17"/>
  <c r="K4" i="17"/>
  <c r="L4" i="17"/>
  <c r="M4" i="17"/>
  <c r="B5" i="17"/>
  <c r="C5" i="17"/>
  <c r="D5" i="17"/>
  <c r="E5" i="17"/>
  <c r="F5" i="17"/>
  <c r="G5" i="17"/>
  <c r="H5" i="17"/>
  <c r="I5" i="17"/>
  <c r="J5" i="17"/>
  <c r="K5" i="17"/>
  <c r="L5" i="17"/>
  <c r="M5" i="17"/>
  <c r="G1" i="17"/>
  <c r="H1" i="17"/>
  <c r="B1" i="17"/>
  <c r="M1" i="16"/>
  <c r="N1" i="16"/>
  <c r="O1" i="16"/>
  <c r="L1" i="17" s="1"/>
  <c r="P1" i="16"/>
  <c r="M1" i="17" s="1"/>
  <c r="L1" i="16"/>
  <c r="I1" i="17" s="1"/>
  <c r="K8" i="16" a="1"/>
  <c r="K8" i="16" s="1"/>
  <c r="N7" i="16" a="1"/>
  <c r="N7" i="16" s="1"/>
  <c r="M7" i="16" a="1"/>
  <c r="M7" i="16" s="1"/>
  <c r="K7" i="16" a="1"/>
  <c r="K7" i="16" s="1"/>
  <c r="J1" i="16"/>
  <c r="I7" i="16" a="1"/>
  <c r="I7" i="16" s="1"/>
  <c r="G1" i="16"/>
  <c r="D1" i="17" s="1"/>
  <c r="E7" i="16" a="1"/>
  <c r="E7" i="16" s="1"/>
  <c r="H1" i="16"/>
  <c r="I1" i="16"/>
  <c r="F1" i="16"/>
  <c r="D13" i="16"/>
  <c r="D17" i="16" s="1"/>
  <c r="D21" i="16" s="1"/>
  <c r="D25" i="16" s="1"/>
  <c r="D29" i="16" s="1"/>
  <c r="D33" i="16" s="1"/>
  <c r="D37" i="16" s="1"/>
  <c r="D41" i="16" s="1"/>
  <c r="D45" i="16" s="1"/>
  <c r="D49" i="16" s="1"/>
  <c r="D53" i="16" s="1"/>
  <c r="D57" i="16" s="1"/>
  <c r="D61" i="16" s="1"/>
  <c r="D65" i="16" s="1"/>
  <c r="D69" i="16" s="1"/>
  <c r="D73" i="16" s="1"/>
  <c r="D77" i="16" s="1"/>
  <c r="D81" i="16" s="1"/>
  <c r="D85" i="16" s="1"/>
  <c r="D89" i="16" s="1"/>
  <c r="D93" i="16" s="1"/>
  <c r="D97" i="16" s="1"/>
  <c r="D101" i="16" s="1"/>
  <c r="D105" i="16" s="1"/>
  <c r="D109" i="16" s="1"/>
  <c r="D113" i="16" s="1"/>
  <c r="D117" i="16" s="1"/>
  <c r="D121" i="16" s="1"/>
  <c r="D125" i="16" s="1"/>
  <c r="D129" i="16" s="1"/>
  <c r="D133" i="16" s="1"/>
  <c r="D137" i="16" s="1"/>
  <c r="D141" i="16" s="1"/>
  <c r="D145" i="16" s="1"/>
  <c r="D149" i="16" s="1"/>
  <c r="D153" i="16" s="1"/>
  <c r="D157" i="16" s="1"/>
  <c r="D161" i="16" s="1"/>
  <c r="D165" i="16" s="1"/>
  <c r="D169" i="16" s="1"/>
  <c r="D173" i="16" s="1"/>
  <c r="D177" i="16" s="1"/>
  <c r="D181" i="16" s="1"/>
  <c r="D185" i="16" s="1"/>
  <c r="D189" i="16" s="1"/>
  <c r="D193" i="16" s="1"/>
  <c r="D197" i="16" s="1"/>
  <c r="D201" i="16" s="1"/>
  <c r="D205" i="16" s="1"/>
  <c r="D209" i="16" s="1"/>
  <c r="D14" i="16"/>
  <c r="D18" i="16" s="1"/>
  <c r="D22" i="16" s="1"/>
  <c r="D26" i="16" s="1"/>
  <c r="D30" i="16" s="1"/>
  <c r="D34" i="16" s="1"/>
  <c r="D38" i="16" s="1"/>
  <c r="D42" i="16" s="1"/>
  <c r="D46" i="16" s="1"/>
  <c r="D50" i="16" s="1"/>
  <c r="D54" i="16" s="1"/>
  <c r="D58" i="16" s="1"/>
  <c r="D62" i="16" s="1"/>
  <c r="D66" i="16" s="1"/>
  <c r="D70" i="16" s="1"/>
  <c r="D74" i="16" s="1"/>
  <c r="D78" i="16" s="1"/>
  <c r="D82" i="16" s="1"/>
  <c r="D86" i="16" s="1"/>
  <c r="D90" i="16" s="1"/>
  <c r="D94" i="16" s="1"/>
  <c r="D98" i="16" s="1"/>
  <c r="D102" i="16" s="1"/>
  <c r="D106" i="16" s="1"/>
  <c r="D110" i="16" s="1"/>
  <c r="D114" i="16" s="1"/>
  <c r="D118" i="16" s="1"/>
  <c r="D122" i="16" s="1"/>
  <c r="D126" i="16" s="1"/>
  <c r="D130" i="16" s="1"/>
  <c r="D134" i="16" s="1"/>
  <c r="D138" i="16" s="1"/>
  <c r="D142" i="16" s="1"/>
  <c r="D146" i="16" s="1"/>
  <c r="D150" i="16" s="1"/>
  <c r="D154" i="16" s="1"/>
  <c r="D158" i="16" s="1"/>
  <c r="D162" i="16" s="1"/>
  <c r="D166" i="16" s="1"/>
  <c r="D170" i="16" s="1"/>
  <c r="D174" i="16" s="1"/>
  <c r="D178" i="16" s="1"/>
  <c r="D182" i="16" s="1"/>
  <c r="D186" i="16" s="1"/>
  <c r="D190" i="16" s="1"/>
  <c r="D194" i="16" s="1"/>
  <c r="D198" i="16" s="1"/>
  <c r="D202" i="16" s="1"/>
  <c r="D206" i="16" s="1"/>
  <c r="D210" i="16" s="1"/>
  <c r="D15" i="16"/>
  <c r="D19" i="16" s="1"/>
  <c r="D23" i="16" s="1"/>
  <c r="D27" i="16" s="1"/>
  <c r="D31" i="16" s="1"/>
  <c r="D35" i="16" s="1"/>
  <c r="D39" i="16" s="1"/>
  <c r="D43" i="16" s="1"/>
  <c r="D47" i="16" s="1"/>
  <c r="D51" i="16" s="1"/>
  <c r="D55" i="16" s="1"/>
  <c r="D59" i="16" s="1"/>
  <c r="D63" i="16" s="1"/>
  <c r="D67" i="16" s="1"/>
  <c r="D71" i="16" s="1"/>
  <c r="D75" i="16" s="1"/>
  <c r="D79" i="16" s="1"/>
  <c r="D83" i="16" s="1"/>
  <c r="D87" i="16" s="1"/>
  <c r="D91" i="16" s="1"/>
  <c r="D95" i="16" s="1"/>
  <c r="D99" i="16" s="1"/>
  <c r="D103" i="16" s="1"/>
  <c r="D107" i="16" s="1"/>
  <c r="D111" i="16" s="1"/>
  <c r="D115" i="16" s="1"/>
  <c r="D119" i="16" s="1"/>
  <c r="D123" i="16" s="1"/>
  <c r="D127" i="16" s="1"/>
  <c r="D131" i="16" s="1"/>
  <c r="D135" i="16" s="1"/>
  <c r="D139" i="16" s="1"/>
  <c r="D143" i="16" s="1"/>
  <c r="D147" i="16" s="1"/>
  <c r="D151" i="16" s="1"/>
  <c r="D155" i="16" s="1"/>
  <c r="D159" i="16" s="1"/>
  <c r="D163" i="16" s="1"/>
  <c r="D167" i="16" s="1"/>
  <c r="D171" i="16" s="1"/>
  <c r="D175" i="16" s="1"/>
  <c r="D179" i="16" s="1"/>
  <c r="D183" i="16" s="1"/>
  <c r="D187" i="16" s="1"/>
  <c r="D191" i="16" s="1"/>
  <c r="D195" i="16" s="1"/>
  <c r="D199" i="16" s="1"/>
  <c r="D203" i="16" s="1"/>
  <c r="D207" i="16" s="1"/>
  <c r="D12" i="16"/>
  <c r="B8" i="16"/>
  <c r="B9" i="16" s="1"/>
  <c r="D5" i="1" l="1"/>
  <c r="D15" i="1" s="1"/>
  <c r="C5" i="1"/>
  <c r="C15" i="1" s="1"/>
  <c r="B5" i="1"/>
  <c r="B15" i="1" s="1"/>
  <c r="P33" i="1"/>
  <c r="V4" i="1" s="1"/>
  <c r="G5" i="1"/>
  <c r="G15" i="1" s="1"/>
  <c r="A9" i="18"/>
  <c r="B10" i="16"/>
  <c r="M9" i="16" a="1"/>
  <c r="M9" i="16" s="1"/>
  <c r="K9" i="16" a="1"/>
  <c r="K9" i="16" s="1"/>
  <c r="E9" i="16" a="1"/>
  <c r="E9" i="16" s="1"/>
  <c r="D16" i="16"/>
  <c r="M8" i="16" a="1"/>
  <c r="M8" i="16" s="1"/>
  <c r="C1" i="17"/>
  <c r="F1" i="17"/>
  <c r="E8" i="16" a="1"/>
  <c r="E8" i="16" s="1"/>
  <c r="E1" i="17"/>
  <c r="J1" i="17"/>
  <c r="K1" i="17"/>
  <c r="J10" i="16" a="1"/>
  <c r="J10" i="16" s="1"/>
  <c r="J9" i="16" a="1"/>
  <c r="J9" i="16" s="1"/>
  <c r="J8" i="16" a="1"/>
  <c r="J8" i="16" s="1"/>
  <c r="J7" i="16" a="1"/>
  <c r="J7" i="16" s="1"/>
  <c r="G8" i="16" a="1"/>
  <c r="G8" i="16" s="1"/>
  <c r="G10" i="16" a="1"/>
  <c r="G10" i="16" s="1"/>
  <c r="G9" i="16" a="1"/>
  <c r="G9" i="16" s="1"/>
  <c r="H7" i="16" a="1"/>
  <c r="H7" i="16" s="1"/>
  <c r="H8" i="16" a="1"/>
  <c r="H8" i="16" s="1"/>
  <c r="H10" i="16" a="1"/>
  <c r="H10" i="16" s="1"/>
  <c r="H9" i="16" a="1"/>
  <c r="H9" i="16" s="1"/>
  <c r="G7" i="16" a="1"/>
  <c r="G7" i="16" s="1"/>
  <c r="F8" i="16" a="1"/>
  <c r="F8" i="16" s="1"/>
  <c r="F10" i="16" a="1"/>
  <c r="F10" i="16" s="1"/>
  <c r="F9" i="16" a="1"/>
  <c r="F9" i="16" s="1"/>
  <c r="F7" i="16" a="1"/>
  <c r="F7" i="16" s="1"/>
  <c r="I9" i="16" a="1"/>
  <c r="I9" i="16" s="1"/>
  <c r="I8" i="16" a="1"/>
  <c r="I8" i="16" s="1"/>
  <c r="F7" i="18" s="1"/>
  <c r="I10" i="16" a="1"/>
  <c r="I10" i="16" s="1"/>
  <c r="N9" i="16" a="1"/>
  <c r="N9" i="16" s="1"/>
  <c r="P9" i="16" a="1"/>
  <c r="P9" i="16" s="1"/>
  <c r="L7" i="16" a="1"/>
  <c r="L7" i="16" s="1"/>
  <c r="P7" i="16" a="1"/>
  <c r="P7" i="16" s="1"/>
  <c r="N8" i="16" a="1"/>
  <c r="N8" i="16" s="1"/>
  <c r="L9" i="16" a="1"/>
  <c r="L9" i="16" s="1"/>
  <c r="P10" i="16" a="1"/>
  <c r="P10" i="16" s="1"/>
  <c r="O8" i="16" a="1"/>
  <c r="O8" i="16" s="1"/>
  <c r="L10" i="16" a="1"/>
  <c r="L10" i="16" s="1"/>
  <c r="L8" i="16" a="1"/>
  <c r="L8" i="16" s="1"/>
  <c r="P8" i="16" a="1"/>
  <c r="P8" i="16" s="1"/>
  <c r="N10" i="16" a="1"/>
  <c r="N10" i="16" s="1"/>
  <c r="O7" i="16" a="1"/>
  <c r="O7" i="16" s="1"/>
  <c r="O9" i="16" a="1"/>
  <c r="O9" i="16" s="1"/>
  <c r="O10" i="16" a="1"/>
  <c r="O10" i="16" s="1"/>
  <c r="L7" i="18" l="1"/>
  <c r="G7" i="18"/>
  <c r="D7" i="18"/>
  <c r="K7" i="18"/>
  <c r="C7" i="18"/>
  <c r="E7" i="18"/>
  <c r="M7" i="18"/>
  <c r="I7" i="18"/>
  <c r="A10" i="18"/>
  <c r="B11" i="16"/>
  <c r="M10" i="16" a="1"/>
  <c r="M10" i="16" s="1"/>
  <c r="K10" i="16" a="1"/>
  <c r="K10" i="16" s="1"/>
  <c r="E10" i="16" a="1"/>
  <c r="E10" i="16" s="1"/>
  <c r="B7" i="18" s="1"/>
  <c r="D20" i="16"/>
  <c r="H7" i="18" l="1"/>
  <c r="J7" i="18"/>
  <c r="A11" i="18"/>
  <c r="B12" i="16"/>
  <c r="M11" i="16" a="1"/>
  <c r="M11" i="16" s="1"/>
  <c r="K11" i="16" a="1"/>
  <c r="K11" i="16" s="1"/>
  <c r="E11" i="16" a="1"/>
  <c r="E11" i="16" s="1"/>
  <c r="G11" i="16" a="1"/>
  <c r="G11" i="16" s="1"/>
  <c r="H11" i="16" a="1"/>
  <c r="H11" i="16" s="1"/>
  <c r="F11" i="16" a="1"/>
  <c r="F11" i="16" s="1"/>
  <c r="O11" i="16" a="1"/>
  <c r="O11" i="16" s="1"/>
  <c r="P11" i="16" a="1"/>
  <c r="P11" i="16" s="1"/>
  <c r="I11" i="16" a="1"/>
  <c r="I11" i="16" s="1"/>
  <c r="N11" i="16" a="1"/>
  <c r="N11" i="16" s="1"/>
  <c r="L11" i="16" a="1"/>
  <c r="L11" i="16" s="1"/>
  <c r="J11" i="16" a="1"/>
  <c r="J11" i="16" s="1"/>
  <c r="D24" i="16"/>
  <c r="M7" i="17" l="1"/>
  <c r="L7" i="17"/>
  <c r="I7" i="17"/>
  <c r="J7" i="17"/>
  <c r="K7" i="17"/>
  <c r="A12" i="18"/>
  <c r="D28" i="16"/>
  <c r="B13" i="16"/>
  <c r="E12" i="16" a="1"/>
  <c r="E12" i="16" s="1"/>
  <c r="M12" i="16" a="1"/>
  <c r="M12" i="16" s="1"/>
  <c r="K12" i="16" a="1"/>
  <c r="K12" i="16" s="1"/>
  <c r="H12" i="16" a="1"/>
  <c r="H12" i="16" s="1"/>
  <c r="G12" i="16" a="1"/>
  <c r="G12" i="16" s="1"/>
  <c r="I12" i="16" a="1"/>
  <c r="I12" i="16" s="1"/>
  <c r="O12" i="16" a="1"/>
  <c r="O12" i="16" s="1"/>
  <c r="L12" i="16" a="1"/>
  <c r="L12" i="16" s="1"/>
  <c r="J12" i="16" a="1"/>
  <c r="J12" i="16" s="1"/>
  <c r="P12" i="16" a="1"/>
  <c r="P12" i="16" s="1"/>
  <c r="N12" i="16" a="1"/>
  <c r="N12" i="16" s="1"/>
  <c r="F12" i="16" a="1"/>
  <c r="F12" i="16" s="1"/>
  <c r="A13" i="18" l="1"/>
  <c r="B14" i="16"/>
  <c r="E13" i="16" a="1"/>
  <c r="E13" i="16" s="1"/>
  <c r="M13" i="16" a="1"/>
  <c r="M13" i="16" s="1"/>
  <c r="K13" i="16" a="1"/>
  <c r="K13" i="16" s="1"/>
  <c r="N13" i="16" a="1"/>
  <c r="N13" i="16" s="1"/>
  <c r="J13" i="16" a="1"/>
  <c r="J13" i="16" s="1"/>
  <c r="G13" i="16" a="1"/>
  <c r="G13" i="16" s="1"/>
  <c r="H13" i="16" a="1"/>
  <c r="H13" i="16" s="1"/>
  <c r="P13" i="16" a="1"/>
  <c r="P13" i="16" s="1"/>
  <c r="I13" i="16" a="1"/>
  <c r="I13" i="16" s="1"/>
  <c r="O13" i="16" a="1"/>
  <c r="O13" i="16" s="1"/>
  <c r="F13" i="16" a="1"/>
  <c r="F13" i="16" s="1"/>
  <c r="L13" i="16" a="1"/>
  <c r="L13" i="16" s="1"/>
  <c r="D32" i="16"/>
  <c r="A14" i="18" l="1"/>
  <c r="D36" i="16"/>
  <c r="B15" i="16"/>
  <c r="M14" i="16" a="1"/>
  <c r="M14" i="16" s="1"/>
  <c r="J8" i="18" s="1"/>
  <c r="E14" i="16" a="1"/>
  <c r="E14" i="16" s="1"/>
  <c r="K14" i="16" a="1"/>
  <c r="K14" i="16" s="1"/>
  <c r="J14" i="16" a="1"/>
  <c r="J14" i="16" s="1"/>
  <c r="G14" i="16" a="1"/>
  <c r="G14" i="16" s="1"/>
  <c r="H14" i="16" a="1"/>
  <c r="H14" i="16" s="1"/>
  <c r="E8" i="18" s="1"/>
  <c r="F14" i="16" a="1"/>
  <c r="F14" i="16" s="1"/>
  <c r="C8" i="18" s="1"/>
  <c r="P14" i="16" a="1"/>
  <c r="P14" i="16" s="1"/>
  <c r="M8" i="18" s="1"/>
  <c r="N14" i="16" a="1"/>
  <c r="N14" i="16" s="1"/>
  <c r="O14" i="16" a="1"/>
  <c r="O14" i="16" s="1"/>
  <c r="I14" i="16" a="1"/>
  <c r="I14" i="16" s="1"/>
  <c r="L14" i="16" a="1"/>
  <c r="L14" i="16" s="1"/>
  <c r="I8" i="18" s="1"/>
  <c r="H8" i="18" l="1"/>
  <c r="A15" i="18"/>
  <c r="B16" i="16"/>
  <c r="M15" i="16" a="1"/>
  <c r="M15" i="16" s="1"/>
  <c r="J8" i="17" s="1"/>
  <c r="K15" i="16" a="1"/>
  <c r="K15" i="16" s="1"/>
  <c r="E15" i="16" a="1"/>
  <c r="E15" i="16" s="1"/>
  <c r="N15" i="16" a="1"/>
  <c r="N15" i="16" s="1"/>
  <c r="K8" i="17" s="1"/>
  <c r="J15" i="16" a="1"/>
  <c r="J15" i="16" s="1"/>
  <c r="L15" i="16" a="1"/>
  <c r="L15" i="16" s="1"/>
  <c r="O15" i="16" a="1"/>
  <c r="O15" i="16" s="1"/>
  <c r="L8" i="17" s="1"/>
  <c r="P15" i="16" a="1"/>
  <c r="P15" i="16" s="1"/>
  <c r="M8" i="17" s="1"/>
  <c r="F15" i="16" a="1"/>
  <c r="F15" i="16" s="1"/>
  <c r="I15" i="16" a="1"/>
  <c r="I15" i="16" s="1"/>
  <c r="G15" i="16" a="1"/>
  <c r="G15" i="16" s="1"/>
  <c r="H15" i="16" a="1"/>
  <c r="H15" i="16" s="1"/>
  <c r="D40" i="16"/>
  <c r="I8" i="17" l="1"/>
  <c r="A16" i="18"/>
  <c r="D44" i="16"/>
  <c r="B17" i="16"/>
  <c r="E16" i="16" a="1"/>
  <c r="E16" i="16" s="1"/>
  <c r="M16" i="16" a="1"/>
  <c r="M16" i="16" s="1"/>
  <c r="K16" i="16" a="1"/>
  <c r="K16" i="16" s="1"/>
  <c r="J16" i="16" a="1"/>
  <c r="J16" i="16" s="1"/>
  <c r="G16" i="16" a="1"/>
  <c r="G16" i="16" s="1"/>
  <c r="N16" i="16" a="1"/>
  <c r="N16" i="16" s="1"/>
  <c r="I16" i="16" a="1"/>
  <c r="I16" i="16" s="1"/>
  <c r="H16" i="16" a="1"/>
  <c r="H16" i="16" s="1"/>
  <c r="L16" i="16" a="1"/>
  <c r="L16" i="16" s="1"/>
  <c r="O16" i="16" a="1"/>
  <c r="O16" i="16" s="1"/>
  <c r="F16" i="16" a="1"/>
  <c r="F16" i="16" s="1"/>
  <c r="P16" i="16" a="1"/>
  <c r="P16" i="16" s="1"/>
  <c r="A17" i="18" l="1"/>
  <c r="B18" i="16"/>
  <c r="K17" i="16" a="1"/>
  <c r="K17" i="16" s="1"/>
  <c r="E17" i="16" a="1"/>
  <c r="E17" i="16" s="1"/>
  <c r="J17" i="16" a="1"/>
  <c r="J17" i="16" s="1"/>
  <c r="G17" i="16" a="1"/>
  <c r="G17" i="16" s="1"/>
  <c r="H17" i="16" a="1"/>
  <c r="H17" i="16" s="1"/>
  <c r="F17" i="16" a="1"/>
  <c r="F17" i="16" s="1"/>
  <c r="P17" i="16" a="1"/>
  <c r="P17" i="16" s="1"/>
  <c r="O17" i="16" a="1"/>
  <c r="O17" i="16" s="1"/>
  <c r="I17" i="16" a="1"/>
  <c r="I17" i="16" s="1"/>
  <c r="L17" i="16" a="1"/>
  <c r="L17" i="16" s="1"/>
  <c r="M17" i="16" a="1"/>
  <c r="M17" i="16" s="1"/>
  <c r="N17" i="16" a="1"/>
  <c r="N17" i="16" s="1"/>
  <c r="D48" i="16"/>
  <c r="D52" i="16" s="1"/>
  <c r="D56" i="16" s="1"/>
  <c r="D60" i="16" s="1"/>
  <c r="D64" i="16" s="1"/>
  <c r="D68" i="16" s="1"/>
  <c r="D72" i="16" s="1"/>
  <c r="D76" i="16" s="1"/>
  <c r="D80" i="16" s="1"/>
  <c r="D84" i="16" s="1"/>
  <c r="D88" i="16" s="1"/>
  <c r="D92" i="16" s="1"/>
  <c r="D96" i="16" s="1"/>
  <c r="D100" i="16" s="1"/>
  <c r="D104" i="16" s="1"/>
  <c r="D108" i="16" s="1"/>
  <c r="D112" i="16" s="1"/>
  <c r="D116" i="16" s="1"/>
  <c r="D120" i="16" s="1"/>
  <c r="D124" i="16" s="1"/>
  <c r="D128" i="16" s="1"/>
  <c r="D132" i="16" s="1"/>
  <c r="D136" i="16" s="1"/>
  <c r="D140" i="16" s="1"/>
  <c r="D144" i="16" s="1"/>
  <c r="D148" i="16" s="1"/>
  <c r="D152" i="16" s="1"/>
  <c r="D156" i="16" s="1"/>
  <c r="D160" i="16" s="1"/>
  <c r="D164" i="16" s="1"/>
  <c r="D168" i="16" s="1"/>
  <c r="D172" i="16" s="1"/>
  <c r="D176" i="16" s="1"/>
  <c r="D180" i="16" s="1"/>
  <c r="D184" i="16" s="1"/>
  <c r="D188" i="16" s="1"/>
  <c r="D192" i="16" s="1"/>
  <c r="D196" i="16" s="1"/>
  <c r="D200" i="16" s="1"/>
  <c r="D204" i="16" s="1"/>
  <c r="D208" i="16" s="1"/>
  <c r="A18" i="18" l="1"/>
  <c r="B19" i="16"/>
  <c r="M18" i="16" a="1"/>
  <c r="M18" i="16" s="1"/>
  <c r="K18" i="16" a="1"/>
  <c r="K18" i="16" s="1"/>
  <c r="E18" i="16" a="1"/>
  <c r="E18" i="16" s="1"/>
  <c r="J18" i="16" a="1"/>
  <c r="J18" i="16" s="1"/>
  <c r="G9" i="18" s="1"/>
  <c r="G18" i="16" a="1"/>
  <c r="G18" i="16" s="1"/>
  <c r="H18" i="16" a="1"/>
  <c r="H18" i="16" s="1"/>
  <c r="E9" i="18" s="1"/>
  <c r="F18" i="16" a="1"/>
  <c r="F18" i="16" s="1"/>
  <c r="L18" i="16" a="1"/>
  <c r="L18" i="16" s="1"/>
  <c r="P18" i="16" a="1"/>
  <c r="P18" i="16" s="1"/>
  <c r="O18" i="16" a="1"/>
  <c r="O18" i="16" s="1"/>
  <c r="I18" i="16" a="1"/>
  <c r="I18" i="16" s="1"/>
  <c r="N18" i="16" a="1"/>
  <c r="N18" i="16" s="1"/>
  <c r="B7" i="17"/>
  <c r="G7" i="17"/>
  <c r="E7" i="17"/>
  <c r="F7" i="17"/>
  <c r="D7" i="17"/>
  <c r="C7" i="17"/>
  <c r="D8" i="17"/>
  <c r="C8" i="17"/>
  <c r="K9" i="18" l="1"/>
  <c r="J9" i="18"/>
  <c r="M9" i="18"/>
  <c r="A19" i="18"/>
  <c r="B20" i="16"/>
  <c r="M19" i="16" a="1"/>
  <c r="M19" i="16" s="1"/>
  <c r="K19" i="16" a="1"/>
  <c r="K19" i="16" s="1"/>
  <c r="E19" i="16" a="1"/>
  <c r="E19" i="16" s="1"/>
  <c r="H19" i="16" a="1"/>
  <c r="H19" i="16" s="1"/>
  <c r="G19" i="16" a="1"/>
  <c r="G19" i="16" s="1"/>
  <c r="J19" i="16" a="1"/>
  <c r="J19" i="16" s="1"/>
  <c r="F19" i="16" a="1"/>
  <c r="F19" i="16" s="1"/>
  <c r="L19" i="16" a="1"/>
  <c r="L19" i="16" s="1"/>
  <c r="I9" i="17" s="1"/>
  <c r="I19" i="16" a="1"/>
  <c r="I19" i="16" s="1"/>
  <c r="O19" i="16" a="1"/>
  <c r="O19" i="16" s="1"/>
  <c r="N19" i="16" a="1"/>
  <c r="N19" i="16" s="1"/>
  <c r="P19" i="16" a="1"/>
  <c r="P19" i="16" s="1"/>
  <c r="L9" i="17" l="1"/>
  <c r="E9" i="17"/>
  <c r="A20" i="18"/>
  <c r="B21" i="16"/>
  <c r="E20" i="16" a="1"/>
  <c r="E20" i="16" s="1"/>
  <c r="M20" i="16" a="1"/>
  <c r="M20" i="16" s="1"/>
  <c r="K20" i="16" a="1"/>
  <c r="K20" i="16" s="1"/>
  <c r="J20" i="16" a="1"/>
  <c r="J20" i="16" s="1"/>
  <c r="G20" i="16" a="1"/>
  <c r="G20" i="16" s="1"/>
  <c r="H20" i="16" a="1"/>
  <c r="H20" i="16" s="1"/>
  <c r="I20" i="16" a="1"/>
  <c r="I20" i="16" s="1"/>
  <c r="N20" i="16" a="1"/>
  <c r="N20" i="16" s="1"/>
  <c r="P20" i="16" a="1"/>
  <c r="P20" i="16" s="1"/>
  <c r="L20" i="16" a="1"/>
  <c r="L20" i="16" s="1"/>
  <c r="F20" i="16" a="1"/>
  <c r="F20" i="16" s="1"/>
  <c r="O20" i="16" a="1"/>
  <c r="O20" i="16" s="1"/>
  <c r="A21" i="18" l="1"/>
  <c r="B22" i="16"/>
  <c r="E21" i="16" a="1"/>
  <c r="E21" i="16" s="1"/>
  <c r="M21" i="16" a="1"/>
  <c r="M21" i="16" s="1"/>
  <c r="K21" i="16" a="1"/>
  <c r="K21" i="16" s="1"/>
  <c r="G21" i="16" a="1"/>
  <c r="G21" i="16" s="1"/>
  <c r="J21" i="16" a="1"/>
  <c r="J21" i="16" s="1"/>
  <c r="H21" i="16" a="1"/>
  <c r="H21" i="16" s="1"/>
  <c r="F21" i="16" a="1"/>
  <c r="F21" i="16" s="1"/>
  <c r="I21" i="16" a="1"/>
  <c r="I21" i="16" s="1"/>
  <c r="O21" i="16" a="1"/>
  <c r="O21" i="16" s="1"/>
  <c r="L21" i="16" a="1"/>
  <c r="L21" i="16" s="1"/>
  <c r="P21" i="16" a="1"/>
  <c r="P21" i="16" s="1"/>
  <c r="N21" i="16" a="1"/>
  <c r="N21" i="16" s="1"/>
  <c r="A22" i="18" l="1"/>
  <c r="B23" i="16"/>
  <c r="E22" i="16" a="1"/>
  <c r="E22" i="16" s="1"/>
  <c r="K22" i="16" a="1"/>
  <c r="K22" i="16" s="1"/>
  <c r="H10" i="18" s="1"/>
  <c r="J22" i="16" a="1"/>
  <c r="J22" i="16" s="1"/>
  <c r="G22" i="16" a="1"/>
  <c r="G22" i="16" s="1"/>
  <c r="N22" i="16" a="1"/>
  <c r="N22" i="16" s="1"/>
  <c r="P22" i="16" a="1"/>
  <c r="P22" i="16" s="1"/>
  <c r="H22" i="16" a="1"/>
  <c r="H22" i="16" s="1"/>
  <c r="E10" i="18" s="1"/>
  <c r="M22" i="16" a="1"/>
  <c r="M22" i="16" s="1"/>
  <c r="O22" i="16" a="1"/>
  <c r="O22" i="16" s="1"/>
  <c r="F22" i="16" a="1"/>
  <c r="F22" i="16" s="1"/>
  <c r="L22" i="16" a="1"/>
  <c r="L22" i="16" s="1"/>
  <c r="I22" i="16" a="1"/>
  <c r="I22" i="16" s="1"/>
  <c r="A23" i="18" l="1"/>
  <c r="B24" i="16"/>
  <c r="K23" i="16" a="1"/>
  <c r="K23" i="16" s="1"/>
  <c r="H10" i="17" s="1"/>
  <c r="E23" i="16" a="1"/>
  <c r="E23" i="16" s="1"/>
  <c r="J23" i="16" a="1"/>
  <c r="J23" i="16" s="1"/>
  <c r="H23" i="16" a="1"/>
  <c r="H23" i="16" s="1"/>
  <c r="F23" i="16" a="1"/>
  <c r="F23" i="16" s="1"/>
  <c r="M23" i="16" a="1"/>
  <c r="M23" i="16" s="1"/>
  <c r="O23" i="16" a="1"/>
  <c r="O23" i="16" s="1"/>
  <c r="G23" i="16" a="1"/>
  <c r="G23" i="16" s="1"/>
  <c r="N23" i="16" a="1"/>
  <c r="N23" i="16" s="1"/>
  <c r="K10" i="17" s="1"/>
  <c r="L23" i="16" a="1"/>
  <c r="L23" i="16" s="1"/>
  <c r="I23" i="16" a="1"/>
  <c r="I23" i="16" s="1"/>
  <c r="P23" i="16" a="1"/>
  <c r="P23" i="16" s="1"/>
  <c r="J10" i="17" l="1"/>
  <c r="L10" i="17"/>
  <c r="A24" i="18"/>
  <c r="B25" i="16"/>
  <c r="M24" i="16" a="1"/>
  <c r="M24" i="16" s="1"/>
  <c r="K24" i="16" a="1"/>
  <c r="K24" i="16" s="1"/>
  <c r="E24" i="16" a="1"/>
  <c r="E24" i="16" s="1"/>
  <c r="J24" i="16" a="1"/>
  <c r="J24" i="16" s="1"/>
  <c r="G24" i="16" a="1"/>
  <c r="G24" i="16" s="1"/>
  <c r="H24" i="16" a="1"/>
  <c r="H24" i="16" s="1"/>
  <c r="L24" i="16" a="1"/>
  <c r="L24" i="16" s="1"/>
  <c r="F24" i="16" a="1"/>
  <c r="F24" i="16" s="1"/>
  <c r="O24" i="16" a="1"/>
  <c r="O24" i="16" s="1"/>
  <c r="N24" i="16" a="1"/>
  <c r="N24" i="16" s="1"/>
  <c r="I24" i="16" a="1"/>
  <c r="I24" i="16" s="1"/>
  <c r="P24" i="16" a="1"/>
  <c r="P24" i="16" s="1"/>
  <c r="A25" i="18" l="1"/>
  <c r="B26" i="16"/>
  <c r="E25" i="16" a="1"/>
  <c r="E25" i="16" s="1"/>
  <c r="K25" i="16" a="1"/>
  <c r="K25" i="16" s="1"/>
  <c r="J25" i="16" a="1"/>
  <c r="J25" i="16" s="1"/>
  <c r="G25" i="16" a="1"/>
  <c r="G25" i="16" s="1"/>
  <c r="H25" i="16" a="1"/>
  <c r="H25" i="16" s="1"/>
  <c r="F25" i="16" a="1"/>
  <c r="F25" i="16" s="1"/>
  <c r="P25" i="16" a="1"/>
  <c r="P25" i="16" s="1"/>
  <c r="L25" i="16" a="1"/>
  <c r="L25" i="16" s="1"/>
  <c r="M25" i="16" a="1"/>
  <c r="M25" i="16" s="1"/>
  <c r="N25" i="16" a="1"/>
  <c r="N25" i="16" s="1"/>
  <c r="I25" i="16" a="1"/>
  <c r="I25" i="16" s="1"/>
  <c r="O25" i="16" a="1"/>
  <c r="O25" i="16" s="1"/>
  <c r="A26" i="18" l="1"/>
  <c r="B27" i="16"/>
  <c r="K26" i="16" a="1"/>
  <c r="K26" i="16" s="1"/>
  <c r="E26" i="16" a="1"/>
  <c r="E26" i="16" s="1"/>
  <c r="J26" i="16" a="1"/>
  <c r="J26" i="16" s="1"/>
  <c r="G26" i="16" a="1"/>
  <c r="G26" i="16" s="1"/>
  <c r="H26" i="16" a="1"/>
  <c r="H26" i="16" s="1"/>
  <c r="E11" i="18" s="1"/>
  <c r="P26" i="16" a="1"/>
  <c r="P26" i="16" s="1"/>
  <c r="F26" i="16" a="1"/>
  <c r="F26" i="16" s="1"/>
  <c r="M26" i="16" a="1"/>
  <c r="M26" i="16" s="1"/>
  <c r="I26" i="16" a="1"/>
  <c r="I26" i="16" s="1"/>
  <c r="L26" i="16" a="1"/>
  <c r="L26" i="16" s="1"/>
  <c r="N26" i="16" a="1"/>
  <c r="N26" i="16" s="1"/>
  <c r="O26" i="16" a="1"/>
  <c r="O26" i="16" s="1"/>
  <c r="I11" i="18" l="1"/>
  <c r="A27" i="18"/>
  <c r="B28" i="16"/>
  <c r="M27" i="16" a="1"/>
  <c r="M27" i="16" s="1"/>
  <c r="J11" i="17" s="1"/>
  <c r="K27" i="16" a="1"/>
  <c r="K27" i="16" s="1"/>
  <c r="H11" i="17" s="1"/>
  <c r="E27" i="16" a="1"/>
  <c r="E27" i="16" s="1"/>
  <c r="J27" i="16" a="1"/>
  <c r="J27" i="16" s="1"/>
  <c r="G27" i="16" a="1"/>
  <c r="G27" i="16" s="1"/>
  <c r="O27" i="16" a="1"/>
  <c r="O27" i="16" s="1"/>
  <c r="P27" i="16" a="1"/>
  <c r="P27" i="16" s="1"/>
  <c r="F27" i="16" a="1"/>
  <c r="F27" i="16" s="1"/>
  <c r="H27" i="16" a="1"/>
  <c r="H27" i="16" s="1"/>
  <c r="E11" i="17" s="1"/>
  <c r="I27" i="16" a="1"/>
  <c r="I27" i="16" s="1"/>
  <c r="L27" i="16" a="1"/>
  <c r="L27" i="16" s="1"/>
  <c r="N27" i="16" a="1"/>
  <c r="N27" i="16" s="1"/>
  <c r="B11" i="17"/>
  <c r="K11" i="17" l="1"/>
  <c r="G11" i="17"/>
  <c r="M11" i="17"/>
  <c r="A28" i="18"/>
  <c r="B29" i="16"/>
  <c r="E28" i="16" a="1"/>
  <c r="E28" i="16" s="1"/>
  <c r="M28" i="16" a="1"/>
  <c r="M28" i="16" s="1"/>
  <c r="K28" i="16" a="1"/>
  <c r="K28" i="16" s="1"/>
  <c r="G28" i="16" a="1"/>
  <c r="G28" i="16" s="1"/>
  <c r="H28" i="16" a="1"/>
  <c r="H28" i="16" s="1"/>
  <c r="I28" i="16" a="1"/>
  <c r="I28" i="16" s="1"/>
  <c r="J28" i="16" a="1"/>
  <c r="J28" i="16" s="1"/>
  <c r="O28" i="16" a="1"/>
  <c r="O28" i="16" s="1"/>
  <c r="N28" i="16" a="1"/>
  <c r="N28" i="16" s="1"/>
  <c r="L28" i="16" a="1"/>
  <c r="L28" i="16" s="1"/>
  <c r="F28" i="16" a="1"/>
  <c r="F28" i="16" s="1"/>
  <c r="P28" i="16" a="1"/>
  <c r="P28" i="16" s="1"/>
  <c r="A29" i="18" l="1"/>
  <c r="B30" i="16"/>
  <c r="K29" i="16" a="1"/>
  <c r="K29" i="16" s="1"/>
  <c r="E29" i="16" a="1"/>
  <c r="E29" i="16" s="1"/>
  <c r="J29" i="16" a="1"/>
  <c r="J29" i="16" s="1"/>
  <c r="G29" i="16" a="1"/>
  <c r="G29" i="16" s="1"/>
  <c r="I29" i="16" a="1"/>
  <c r="I29" i="16" s="1"/>
  <c r="F29" i="16" a="1"/>
  <c r="F29" i="16" s="1"/>
  <c r="N29" i="16" a="1"/>
  <c r="N29" i="16" s="1"/>
  <c r="H29" i="16" a="1"/>
  <c r="H29" i="16" s="1"/>
  <c r="P29" i="16" a="1"/>
  <c r="P29" i="16" s="1"/>
  <c r="M29" i="16" a="1"/>
  <c r="M29" i="16" s="1"/>
  <c r="O29" i="16" a="1"/>
  <c r="O29" i="16" s="1"/>
  <c r="L29" i="16" a="1"/>
  <c r="L29" i="16" s="1"/>
  <c r="A30" i="18" l="1"/>
  <c r="B31" i="16"/>
  <c r="K30" i="16" a="1"/>
  <c r="K30" i="16" s="1"/>
  <c r="H12" i="18" s="1"/>
  <c r="E30" i="16" a="1"/>
  <c r="E30" i="16" s="1"/>
  <c r="I30" i="16" a="1"/>
  <c r="I30" i="16" s="1"/>
  <c r="H30" i="16" a="1"/>
  <c r="H30" i="16" s="1"/>
  <c r="G30" i="16" a="1"/>
  <c r="G30" i="16" s="1"/>
  <c r="J30" i="16" a="1"/>
  <c r="J30" i="16" s="1"/>
  <c r="O30" i="16" a="1"/>
  <c r="O30" i="16" s="1"/>
  <c r="N30" i="16" a="1"/>
  <c r="N30" i="16" s="1"/>
  <c r="F30" i="16" a="1"/>
  <c r="F30" i="16" s="1"/>
  <c r="P30" i="16" a="1"/>
  <c r="P30" i="16" s="1"/>
  <c r="M12" i="18" s="1"/>
  <c r="L30" i="16" a="1"/>
  <c r="L30" i="16" s="1"/>
  <c r="M30" i="16" a="1"/>
  <c r="M30" i="16" s="1"/>
  <c r="J12" i="18" s="1"/>
  <c r="A31" i="18" l="1"/>
  <c r="B32" i="16"/>
  <c r="L31" i="16" a="1"/>
  <c r="L31" i="16" s="1"/>
  <c r="E31" i="16" a="1"/>
  <c r="E31" i="16" s="1"/>
  <c r="K31" i="16" a="1"/>
  <c r="K31" i="16" s="1"/>
  <c r="G31" i="16" a="1"/>
  <c r="G31" i="16" s="1"/>
  <c r="H31" i="16" a="1"/>
  <c r="H31" i="16" s="1"/>
  <c r="N31" i="16" a="1"/>
  <c r="N31" i="16" s="1"/>
  <c r="F31" i="16" a="1"/>
  <c r="F31" i="16" s="1"/>
  <c r="J31" i="16" a="1"/>
  <c r="J31" i="16" s="1"/>
  <c r="I31" i="16" a="1"/>
  <c r="I31" i="16" s="1"/>
  <c r="M31" i="16" a="1"/>
  <c r="M31" i="16" s="1"/>
  <c r="O31" i="16" a="1"/>
  <c r="O31" i="16" s="1"/>
  <c r="P31" i="16" a="1"/>
  <c r="P31" i="16" s="1"/>
  <c r="M12" i="17" s="1"/>
  <c r="J12" i="17" l="1"/>
  <c r="K12" i="17"/>
  <c r="L12" i="17"/>
  <c r="H12" i="17"/>
  <c r="A32" i="18"/>
  <c r="B33" i="16"/>
  <c r="K32" i="16" a="1"/>
  <c r="K32" i="16" s="1"/>
  <c r="E32" i="16" a="1"/>
  <c r="E32" i="16" s="1"/>
  <c r="G32" i="16" a="1"/>
  <c r="G32" i="16" s="1"/>
  <c r="H32" i="16" a="1"/>
  <c r="H32" i="16" s="1"/>
  <c r="J32" i="16" a="1"/>
  <c r="J32" i="16" s="1"/>
  <c r="F32" i="16" a="1"/>
  <c r="F32" i="16" s="1"/>
  <c r="I32" i="16" a="1"/>
  <c r="I32" i="16" s="1"/>
  <c r="L32" i="16" a="1"/>
  <c r="L32" i="16" s="1"/>
  <c r="N32" i="16" a="1"/>
  <c r="N32" i="16" s="1"/>
  <c r="O32" i="16" a="1"/>
  <c r="O32" i="16" s="1"/>
  <c r="P32" i="16" a="1"/>
  <c r="P32" i="16" s="1"/>
  <c r="M32" i="16" a="1"/>
  <c r="M32" i="16" s="1"/>
  <c r="A33" i="18" l="1"/>
  <c r="B34" i="16"/>
  <c r="K33" i="16" a="1"/>
  <c r="K33" i="16" s="1"/>
  <c r="E33" i="16" a="1"/>
  <c r="E33" i="16" s="1"/>
  <c r="H33" i="16" a="1"/>
  <c r="H33" i="16" s="1"/>
  <c r="G33" i="16" a="1"/>
  <c r="G33" i="16" s="1"/>
  <c r="M33" i="16" a="1"/>
  <c r="M33" i="16" s="1"/>
  <c r="N33" i="16" a="1"/>
  <c r="N33" i="16" s="1"/>
  <c r="F33" i="16" a="1"/>
  <c r="F33" i="16" s="1"/>
  <c r="I33" i="16" a="1"/>
  <c r="I33" i="16" s="1"/>
  <c r="J33" i="16" a="1"/>
  <c r="J33" i="16" s="1"/>
  <c r="L33" i="16" a="1"/>
  <c r="L33" i="16" s="1"/>
  <c r="P33" i="16" a="1"/>
  <c r="P33" i="16" s="1"/>
  <c r="O33" i="16" a="1"/>
  <c r="O33" i="16" s="1"/>
  <c r="A34" i="18" l="1"/>
  <c r="B35" i="16"/>
  <c r="K34" i="16" a="1"/>
  <c r="K34" i="16" s="1"/>
  <c r="H13" i="18" s="1"/>
  <c r="E34" i="16" a="1"/>
  <c r="E34" i="16" s="1"/>
  <c r="H34" i="16" a="1"/>
  <c r="H34" i="16" s="1"/>
  <c r="G34" i="16" a="1"/>
  <c r="G34" i="16" s="1"/>
  <c r="D13" i="18" s="1"/>
  <c r="J34" i="16" a="1"/>
  <c r="J34" i="16" s="1"/>
  <c r="L34" i="16" a="1"/>
  <c r="L34" i="16" s="1"/>
  <c r="F34" i="16" a="1"/>
  <c r="F34" i="16" s="1"/>
  <c r="M34" i="16" a="1"/>
  <c r="M34" i="16" s="1"/>
  <c r="J13" i="18" s="1"/>
  <c r="N34" i="16" a="1"/>
  <c r="N34" i="16" s="1"/>
  <c r="I34" i="16" a="1"/>
  <c r="I34" i="16" s="1"/>
  <c r="F13" i="18" s="1"/>
  <c r="O34" i="16" a="1"/>
  <c r="O34" i="16" s="1"/>
  <c r="P34" i="16" a="1"/>
  <c r="P34" i="16" s="1"/>
  <c r="L13" i="18" l="1"/>
  <c r="M13" i="18"/>
  <c r="A35" i="18"/>
  <c r="B36" i="16"/>
  <c r="K35" i="16" a="1"/>
  <c r="K35" i="16" s="1"/>
  <c r="E35" i="16" a="1"/>
  <c r="E35" i="16" s="1"/>
  <c r="J35" i="16" a="1"/>
  <c r="J35" i="16" s="1"/>
  <c r="H35" i="16" a="1"/>
  <c r="H35" i="16" s="1"/>
  <c r="G35" i="16" a="1"/>
  <c r="G35" i="16" s="1"/>
  <c r="M35" i="16" a="1"/>
  <c r="M35" i="16" s="1"/>
  <c r="L35" i="16" a="1"/>
  <c r="L35" i="16" s="1"/>
  <c r="F35" i="16" a="1"/>
  <c r="F35" i="16" s="1"/>
  <c r="I35" i="16" a="1"/>
  <c r="I35" i="16" s="1"/>
  <c r="P35" i="16" a="1"/>
  <c r="P35" i="16" s="1"/>
  <c r="O35" i="16" a="1"/>
  <c r="O35" i="16" s="1"/>
  <c r="N35" i="16" a="1"/>
  <c r="N35" i="16" s="1"/>
  <c r="J13" i="17" l="1"/>
  <c r="I13" i="17"/>
  <c r="K13" i="17"/>
  <c r="H13" i="17"/>
  <c r="A36" i="18"/>
  <c r="B37" i="16"/>
  <c r="E36" i="16" a="1"/>
  <c r="E36" i="16" s="1"/>
  <c r="K36" i="16" a="1"/>
  <c r="K36" i="16" s="1"/>
  <c r="H36" i="16" a="1"/>
  <c r="H36" i="16" s="1"/>
  <c r="J36" i="16" a="1"/>
  <c r="J36" i="16" s="1"/>
  <c r="O36" i="16" a="1"/>
  <c r="O36" i="16" s="1"/>
  <c r="N36" i="16" a="1"/>
  <c r="N36" i="16" s="1"/>
  <c r="L36" i="16" a="1"/>
  <c r="L36" i="16" s="1"/>
  <c r="G36" i="16" a="1"/>
  <c r="G36" i="16" s="1"/>
  <c r="F36" i="16" a="1"/>
  <c r="F36" i="16" s="1"/>
  <c r="M36" i="16" a="1"/>
  <c r="M36" i="16" s="1"/>
  <c r="P36" i="16" a="1"/>
  <c r="P36" i="16" s="1"/>
  <c r="I36" i="16" a="1"/>
  <c r="I36" i="16" s="1"/>
  <c r="A37" i="18" l="1"/>
  <c r="B38" i="16"/>
  <c r="E37" i="16" a="1"/>
  <c r="E37" i="16" s="1"/>
  <c r="K37" i="16" a="1"/>
  <c r="K37" i="16" s="1"/>
  <c r="M37" i="16" a="1"/>
  <c r="M37" i="16" s="1"/>
  <c r="G37" i="16" a="1"/>
  <c r="G37" i="16" s="1"/>
  <c r="J37" i="16" a="1"/>
  <c r="J37" i="16" s="1"/>
  <c r="H37" i="16" a="1"/>
  <c r="H37" i="16" s="1"/>
  <c r="L37" i="16" a="1"/>
  <c r="L37" i="16" s="1"/>
  <c r="I37" i="16" a="1"/>
  <c r="I37" i="16" s="1"/>
  <c r="N37" i="16" a="1"/>
  <c r="N37" i="16" s="1"/>
  <c r="P37" i="16" a="1"/>
  <c r="P37" i="16" s="1"/>
  <c r="O37" i="16" a="1"/>
  <c r="O37" i="16" s="1"/>
  <c r="F37" i="16" a="1"/>
  <c r="F37" i="16" s="1"/>
  <c r="A38" i="18" l="1"/>
  <c r="B39" i="16"/>
  <c r="K38" i="16" a="1"/>
  <c r="K38" i="16" s="1"/>
  <c r="H14" i="18" s="1"/>
  <c r="E38" i="16" a="1"/>
  <c r="E38" i="16" s="1"/>
  <c r="G38" i="16" a="1"/>
  <c r="G38" i="16" s="1"/>
  <c r="H38" i="16" a="1"/>
  <c r="H38" i="16" s="1"/>
  <c r="J38" i="16" a="1"/>
  <c r="J38" i="16" s="1"/>
  <c r="G14" i="18" s="1"/>
  <c r="M38" i="16" a="1"/>
  <c r="M38" i="16" s="1"/>
  <c r="F38" i="16" a="1"/>
  <c r="F38" i="16" s="1"/>
  <c r="C14" i="18" s="1"/>
  <c r="P38" i="16" a="1"/>
  <c r="P38" i="16" s="1"/>
  <c r="I38" i="16" a="1"/>
  <c r="I38" i="16" s="1"/>
  <c r="O38" i="16" a="1"/>
  <c r="O38" i="16" s="1"/>
  <c r="L38" i="16" a="1"/>
  <c r="L38" i="16" s="1"/>
  <c r="N38" i="16" a="1"/>
  <c r="N38" i="16" s="1"/>
  <c r="A39" i="18" l="1"/>
  <c r="B40" i="16"/>
  <c r="K39" i="16" a="1"/>
  <c r="K39" i="16" s="1"/>
  <c r="E39" i="16" a="1"/>
  <c r="E39" i="16" s="1"/>
  <c r="G39" i="16" a="1"/>
  <c r="G39" i="16" s="1"/>
  <c r="H39" i="16" a="1"/>
  <c r="H39" i="16" s="1"/>
  <c r="J39" i="16" a="1"/>
  <c r="J39" i="16" s="1"/>
  <c r="I39" i="16" a="1"/>
  <c r="I39" i="16" s="1"/>
  <c r="M39" i="16" a="1"/>
  <c r="M39" i="16" s="1"/>
  <c r="L39" i="16" a="1"/>
  <c r="L39" i="16" s="1"/>
  <c r="O39" i="16" a="1"/>
  <c r="O39" i="16" s="1"/>
  <c r="P39" i="16" a="1"/>
  <c r="P39" i="16" s="1"/>
  <c r="N39" i="16" a="1"/>
  <c r="N39" i="16" s="1"/>
  <c r="F39" i="16" a="1"/>
  <c r="F39" i="16" s="1"/>
  <c r="H14" i="17" l="1"/>
  <c r="A40" i="18"/>
  <c r="B41" i="16"/>
  <c r="K40" i="16" a="1"/>
  <c r="K40" i="16" s="1"/>
  <c r="E40" i="16" a="1"/>
  <c r="E40" i="16" s="1"/>
  <c r="M40" i="16" a="1"/>
  <c r="M40" i="16" s="1"/>
  <c r="H40" i="16" a="1"/>
  <c r="H40" i="16" s="1"/>
  <c r="G40" i="16" a="1"/>
  <c r="G40" i="16" s="1"/>
  <c r="J40" i="16" a="1"/>
  <c r="J40" i="16" s="1"/>
  <c r="I40" i="16" a="1"/>
  <c r="I40" i="16" s="1"/>
  <c r="L40" i="16" a="1"/>
  <c r="L40" i="16" s="1"/>
  <c r="N40" i="16" a="1"/>
  <c r="N40" i="16" s="1"/>
  <c r="O40" i="16" a="1"/>
  <c r="O40" i="16" s="1"/>
  <c r="F40" i="16" a="1"/>
  <c r="F40" i="16" s="1"/>
  <c r="P40" i="16" a="1"/>
  <c r="P40" i="16" s="1"/>
  <c r="A41" i="18" l="1"/>
  <c r="B42" i="16"/>
  <c r="K41" i="16" a="1"/>
  <c r="K41" i="16" s="1"/>
  <c r="E41" i="16" a="1"/>
  <c r="E41" i="16" s="1"/>
  <c r="G41" i="16" a="1"/>
  <c r="G41" i="16" s="1"/>
  <c r="J41" i="16" a="1"/>
  <c r="J41" i="16" s="1"/>
  <c r="H41" i="16" a="1"/>
  <c r="H41" i="16" s="1"/>
  <c r="M41" i="16" a="1"/>
  <c r="M41" i="16" s="1"/>
  <c r="F41" i="16" a="1"/>
  <c r="F41" i="16" s="1"/>
  <c r="P41" i="16" a="1"/>
  <c r="P41" i="16" s="1"/>
  <c r="N41" i="16" a="1"/>
  <c r="N41" i="16" s="1"/>
  <c r="O41" i="16" a="1"/>
  <c r="O41" i="16" s="1"/>
  <c r="I41" i="16" a="1"/>
  <c r="I41" i="16" s="1"/>
  <c r="L41" i="16" a="1"/>
  <c r="L41" i="16" s="1"/>
  <c r="A42" i="18" l="1"/>
  <c r="B43" i="16"/>
  <c r="K42" i="16" a="1"/>
  <c r="K42" i="16" s="1"/>
  <c r="E42" i="16" a="1"/>
  <c r="E42" i="16" s="1"/>
  <c r="G42" i="16" a="1"/>
  <c r="G42" i="16" s="1"/>
  <c r="D15" i="18" s="1"/>
  <c r="H42" i="16" a="1"/>
  <c r="H42" i="16" s="1"/>
  <c r="J42" i="16" a="1"/>
  <c r="J42" i="16" s="1"/>
  <c r="I42" i="16" a="1"/>
  <c r="I42" i="16" s="1"/>
  <c r="F15" i="18" s="1"/>
  <c r="M42" i="16" a="1"/>
  <c r="M42" i="16" s="1"/>
  <c r="P42" i="16" a="1"/>
  <c r="P42" i="16" s="1"/>
  <c r="M15" i="18" s="1"/>
  <c r="O42" i="16" a="1"/>
  <c r="O42" i="16" s="1"/>
  <c r="L15" i="18" s="1"/>
  <c r="N42" i="16" a="1"/>
  <c r="N42" i="16" s="1"/>
  <c r="L42" i="16" a="1"/>
  <c r="L42" i="16" s="1"/>
  <c r="F42" i="16" a="1"/>
  <c r="F42" i="16" s="1"/>
  <c r="A43" i="18" l="1"/>
  <c r="B44" i="16"/>
  <c r="E43" i="16" a="1"/>
  <c r="E43" i="16" s="1"/>
  <c r="K43" i="16" a="1"/>
  <c r="K43" i="16" s="1"/>
  <c r="M43" i="16" a="1"/>
  <c r="M43" i="16" s="1"/>
  <c r="J43" i="16" a="1"/>
  <c r="J43" i="16" s="1"/>
  <c r="G43" i="16" a="1"/>
  <c r="G43" i="16" s="1"/>
  <c r="H43" i="16" a="1"/>
  <c r="H43" i="16" s="1"/>
  <c r="P43" i="16" a="1"/>
  <c r="P43" i="16" s="1"/>
  <c r="I43" i="16" a="1"/>
  <c r="I43" i="16" s="1"/>
  <c r="L43" i="16" a="1"/>
  <c r="L43" i="16" s="1"/>
  <c r="O43" i="16" a="1"/>
  <c r="O43" i="16" s="1"/>
  <c r="N43" i="16" a="1"/>
  <c r="N43" i="16" s="1"/>
  <c r="F43" i="16" a="1"/>
  <c r="F43" i="16" s="1"/>
  <c r="M15" i="17" l="1"/>
  <c r="J15" i="17"/>
  <c r="A44" i="18"/>
  <c r="B45" i="16"/>
  <c r="K44" i="16" a="1"/>
  <c r="K44" i="16" s="1"/>
  <c r="E44" i="16" a="1"/>
  <c r="E44" i="16" s="1"/>
  <c r="H44" i="16" a="1"/>
  <c r="H44" i="16" s="1"/>
  <c r="G44" i="16" a="1"/>
  <c r="G44" i="16" s="1"/>
  <c r="J44" i="16" a="1"/>
  <c r="J44" i="16" s="1"/>
  <c r="P44" i="16" a="1"/>
  <c r="P44" i="16" s="1"/>
  <c r="M44" i="16" a="1"/>
  <c r="M44" i="16" s="1"/>
  <c r="I44" i="16" a="1"/>
  <c r="I44" i="16" s="1"/>
  <c r="N44" i="16" a="1"/>
  <c r="N44" i="16" s="1"/>
  <c r="F44" i="16" a="1"/>
  <c r="F44" i="16" s="1"/>
  <c r="O44" i="16" a="1"/>
  <c r="O44" i="16" s="1"/>
  <c r="L44" i="16" a="1"/>
  <c r="L44" i="16" s="1"/>
  <c r="A45" i="18" l="1"/>
  <c r="B46" i="16"/>
  <c r="K45" i="16" a="1"/>
  <c r="K45" i="16" s="1"/>
  <c r="E45" i="16" a="1"/>
  <c r="E45" i="16" s="1"/>
  <c r="J45" i="16" a="1"/>
  <c r="J45" i="16" s="1"/>
  <c r="G45" i="16" a="1"/>
  <c r="G45" i="16" s="1"/>
  <c r="H45" i="16" a="1"/>
  <c r="H45" i="16" s="1"/>
  <c r="F45" i="16" a="1"/>
  <c r="F45" i="16" s="1"/>
  <c r="O45" i="16" a="1"/>
  <c r="O45" i="16" s="1"/>
  <c r="I45" i="16" a="1"/>
  <c r="I45" i="16" s="1"/>
  <c r="M45" i="16" a="1"/>
  <c r="M45" i="16" s="1"/>
  <c r="P45" i="16" a="1"/>
  <c r="P45" i="16" s="1"/>
  <c r="N45" i="16" a="1"/>
  <c r="N45" i="16" s="1"/>
  <c r="L45" i="16" a="1"/>
  <c r="L45" i="16" s="1"/>
  <c r="A46" i="18" l="1"/>
  <c r="B47" i="16"/>
  <c r="K46" i="16" a="1"/>
  <c r="K46" i="16" s="1"/>
  <c r="E46" i="16" a="1"/>
  <c r="E46" i="16" s="1"/>
  <c r="J46" i="16" a="1"/>
  <c r="J46" i="16" s="1"/>
  <c r="G16" i="18" s="1"/>
  <c r="G46" i="16" a="1"/>
  <c r="G46" i="16" s="1"/>
  <c r="F46" i="16" a="1"/>
  <c r="F46" i="16" s="1"/>
  <c r="N46" i="16" a="1"/>
  <c r="N46" i="16" s="1"/>
  <c r="K16" i="18" s="1"/>
  <c r="O46" i="16" a="1"/>
  <c r="O46" i="16" s="1"/>
  <c r="I46" i="16" a="1"/>
  <c r="I46" i="16" s="1"/>
  <c r="M46" i="16" a="1"/>
  <c r="M46" i="16" s="1"/>
  <c r="L46" i="16" a="1"/>
  <c r="L46" i="16" s="1"/>
  <c r="P46" i="16" a="1"/>
  <c r="P46" i="16" s="1"/>
  <c r="H46" i="16" a="1"/>
  <c r="H46" i="16" s="1"/>
  <c r="E16" i="18" s="1"/>
  <c r="M16" i="18" l="1"/>
  <c r="J16" i="18"/>
  <c r="A47" i="18"/>
  <c r="B48" i="16"/>
  <c r="L47" i="16" a="1"/>
  <c r="L47" i="16" s="1"/>
  <c r="K47" i="16" a="1"/>
  <c r="K47" i="16" s="1"/>
  <c r="H16" i="17" s="1"/>
  <c r="E47" i="16" a="1"/>
  <c r="E47" i="16" s="1"/>
  <c r="G47" i="16" a="1"/>
  <c r="G47" i="16" s="1"/>
  <c r="J47" i="16" a="1"/>
  <c r="J47" i="16" s="1"/>
  <c r="H47" i="16" a="1"/>
  <c r="H47" i="16" s="1"/>
  <c r="M47" i="16" a="1"/>
  <c r="M47" i="16" s="1"/>
  <c r="O47" i="16" a="1"/>
  <c r="O47" i="16" s="1"/>
  <c r="N47" i="16" a="1"/>
  <c r="N47" i="16" s="1"/>
  <c r="K16" i="17" s="1"/>
  <c r="F47" i="16" a="1"/>
  <c r="F47" i="16" s="1"/>
  <c r="P47" i="16" a="1"/>
  <c r="P47" i="16" s="1"/>
  <c r="I47" i="16" a="1"/>
  <c r="I47" i="16" s="1"/>
  <c r="A48" i="18" l="1"/>
  <c r="B49" i="16"/>
  <c r="K48" i="16" a="1"/>
  <c r="K48" i="16" s="1"/>
  <c r="E48" i="16" a="1"/>
  <c r="E48" i="16" s="1"/>
  <c r="G48" i="16" a="1"/>
  <c r="G48" i="16" s="1"/>
  <c r="H48" i="16" a="1"/>
  <c r="H48" i="16" s="1"/>
  <c r="J48" i="16" a="1"/>
  <c r="J48" i="16" s="1"/>
  <c r="L48" i="16" a="1"/>
  <c r="L48" i="16" s="1"/>
  <c r="O48" i="16" a="1"/>
  <c r="O48" i="16" s="1"/>
  <c r="F48" i="16" a="1"/>
  <c r="F48" i="16" s="1"/>
  <c r="M48" i="16" a="1"/>
  <c r="M48" i="16" s="1"/>
  <c r="I48" i="16" a="1"/>
  <c r="I48" i="16" s="1"/>
  <c r="N48" i="16" a="1"/>
  <c r="N48" i="16" s="1"/>
  <c r="P48" i="16" a="1"/>
  <c r="P48" i="16" s="1"/>
  <c r="A49" i="18" l="1"/>
  <c r="B50" i="16"/>
  <c r="K49" i="16" a="1"/>
  <c r="K49" i="16" s="1"/>
  <c r="E49" i="16" a="1"/>
  <c r="E49" i="16" s="1"/>
  <c r="H49" i="16" a="1"/>
  <c r="H49" i="16" s="1"/>
  <c r="J49" i="16" a="1"/>
  <c r="J49" i="16" s="1"/>
  <c r="G49" i="16" a="1"/>
  <c r="G49" i="16" s="1"/>
  <c r="L49" i="16" a="1"/>
  <c r="L49" i="16" s="1"/>
  <c r="N49" i="16" a="1"/>
  <c r="N49" i="16" s="1"/>
  <c r="F49" i="16" a="1"/>
  <c r="F49" i="16" s="1"/>
  <c r="I49" i="16" a="1"/>
  <c r="I49" i="16" s="1"/>
  <c r="P49" i="16" a="1"/>
  <c r="P49" i="16" s="1"/>
  <c r="M49" i="16" a="1"/>
  <c r="M49" i="16" s="1"/>
  <c r="O49" i="16" a="1"/>
  <c r="O49" i="16" s="1"/>
  <c r="A50" i="18" l="1"/>
  <c r="B51" i="16"/>
  <c r="K50" i="16" a="1"/>
  <c r="K50" i="16" s="1"/>
  <c r="H17" i="18" s="1"/>
  <c r="E50" i="16" a="1"/>
  <c r="E50" i="16" s="1"/>
  <c r="H50" i="16" a="1"/>
  <c r="H50" i="16" s="1"/>
  <c r="J50" i="16" a="1"/>
  <c r="J50" i="16" s="1"/>
  <c r="G50" i="16" a="1"/>
  <c r="G50" i="16" s="1"/>
  <c r="I50" i="16" a="1"/>
  <c r="I50" i="16" s="1"/>
  <c r="P50" i="16" a="1"/>
  <c r="P50" i="16" s="1"/>
  <c r="F50" i="16" a="1"/>
  <c r="F50" i="16" s="1"/>
  <c r="M50" i="16" a="1"/>
  <c r="M50" i="16" s="1"/>
  <c r="J17" i="18" s="1"/>
  <c r="O50" i="16" a="1"/>
  <c r="O50" i="16" s="1"/>
  <c r="L50" i="16" a="1"/>
  <c r="L50" i="16" s="1"/>
  <c r="I17" i="18" s="1"/>
  <c r="N50" i="16" a="1"/>
  <c r="N50" i="16" s="1"/>
  <c r="K17" i="18" s="1"/>
  <c r="L17" i="18" l="1"/>
  <c r="A51" i="18"/>
  <c r="B52" i="16"/>
  <c r="K51" i="16" a="1"/>
  <c r="K51" i="16" s="1"/>
  <c r="H17" i="17" s="1"/>
  <c r="E51" i="16" a="1"/>
  <c r="E51" i="16" s="1"/>
  <c r="M51" i="16" a="1"/>
  <c r="M51" i="16" s="1"/>
  <c r="J51" i="16" a="1"/>
  <c r="J51" i="16" s="1"/>
  <c r="G51" i="16" a="1"/>
  <c r="G51" i="16" s="1"/>
  <c r="H51" i="16" a="1"/>
  <c r="H51" i="16" s="1"/>
  <c r="O51" i="16" a="1"/>
  <c r="O51" i="16" s="1"/>
  <c r="P51" i="16" a="1"/>
  <c r="P51" i="16" s="1"/>
  <c r="M17" i="17" s="1"/>
  <c r="F51" i="16" a="1"/>
  <c r="F51" i="16" s="1"/>
  <c r="I51" i="16" a="1"/>
  <c r="I51" i="16" s="1"/>
  <c r="L51" i="16" a="1"/>
  <c r="L51" i="16" s="1"/>
  <c r="I17" i="17" s="1"/>
  <c r="N51" i="16" a="1"/>
  <c r="N51" i="16" s="1"/>
  <c r="K17" i="17" l="1"/>
  <c r="J17" i="17"/>
  <c r="A52" i="18"/>
  <c r="B53" i="16"/>
  <c r="K52" i="16" a="1"/>
  <c r="K52" i="16" s="1"/>
  <c r="E52" i="16" a="1"/>
  <c r="E52" i="16" s="1"/>
  <c r="H52" i="16" a="1"/>
  <c r="H52" i="16" s="1"/>
  <c r="J52" i="16" a="1"/>
  <c r="J52" i="16" s="1"/>
  <c r="N52" i="16" a="1"/>
  <c r="N52" i="16" s="1"/>
  <c r="L52" i="16" a="1"/>
  <c r="L52" i="16" s="1"/>
  <c r="F52" i="16" a="1"/>
  <c r="F52" i="16" s="1"/>
  <c r="O52" i="16" a="1"/>
  <c r="O52" i="16" s="1"/>
  <c r="G52" i="16" a="1"/>
  <c r="G52" i="16" s="1"/>
  <c r="I52" i="16" a="1"/>
  <c r="I52" i="16" s="1"/>
  <c r="P52" i="16" a="1"/>
  <c r="P52" i="16" s="1"/>
  <c r="M52" i="16" a="1"/>
  <c r="M52" i="16" s="1"/>
  <c r="A53" i="18" l="1"/>
  <c r="B54" i="16"/>
  <c r="K53" i="16" a="1"/>
  <c r="K53" i="16" s="1"/>
  <c r="E53" i="16" a="1"/>
  <c r="E53" i="16" s="1"/>
  <c r="H53" i="16" a="1"/>
  <c r="H53" i="16" s="1"/>
  <c r="J53" i="16" a="1"/>
  <c r="J53" i="16" s="1"/>
  <c r="O53" i="16" a="1"/>
  <c r="O53" i="16" s="1"/>
  <c r="G53" i="16" a="1"/>
  <c r="G53" i="16" s="1"/>
  <c r="F53" i="16" a="1"/>
  <c r="F53" i="16" s="1"/>
  <c r="I53" i="16" a="1"/>
  <c r="I53" i="16" s="1"/>
  <c r="N53" i="16" a="1"/>
  <c r="N53" i="16" s="1"/>
  <c r="M53" i="16" a="1"/>
  <c r="M53" i="16" s="1"/>
  <c r="P53" i="16" a="1"/>
  <c r="P53" i="16" s="1"/>
  <c r="L53" i="16" a="1"/>
  <c r="L53" i="16" s="1"/>
  <c r="A54" i="18" l="1"/>
  <c r="B55" i="16"/>
  <c r="K54" i="16" a="1"/>
  <c r="K54" i="16" s="1"/>
  <c r="E54" i="16" a="1"/>
  <c r="E54" i="16" s="1"/>
  <c r="J54" i="16" a="1"/>
  <c r="J54" i="16" s="1"/>
  <c r="G54" i="16" a="1"/>
  <c r="G54" i="16" s="1"/>
  <c r="H54" i="16" a="1"/>
  <c r="H54" i="16" s="1"/>
  <c r="F54" i="16" a="1"/>
  <c r="F54" i="16" s="1"/>
  <c r="O54" i="16" a="1"/>
  <c r="O54" i="16" s="1"/>
  <c r="I54" i="16" a="1"/>
  <c r="I54" i="16" s="1"/>
  <c r="N54" i="16" a="1"/>
  <c r="N54" i="16" s="1"/>
  <c r="K18" i="18" s="1"/>
  <c r="P54" i="16" a="1"/>
  <c r="P54" i="16" s="1"/>
  <c r="L54" i="16" a="1"/>
  <c r="L54" i="16" s="1"/>
  <c r="M54" i="16" a="1"/>
  <c r="M54" i="16" s="1"/>
  <c r="J18" i="18" s="1"/>
  <c r="I18" i="18" l="1"/>
  <c r="A55" i="18"/>
  <c r="B56" i="16"/>
  <c r="K55" i="16" a="1"/>
  <c r="K55" i="16" s="1"/>
  <c r="E55" i="16" a="1"/>
  <c r="E55" i="16" s="1"/>
  <c r="J55" i="16" a="1"/>
  <c r="J55" i="16" s="1"/>
  <c r="G55" i="16" a="1"/>
  <c r="G55" i="16" s="1"/>
  <c r="H55" i="16" a="1"/>
  <c r="H55" i="16" s="1"/>
  <c r="F55" i="16" a="1"/>
  <c r="F55" i="16" s="1"/>
  <c r="I55" i="16" a="1"/>
  <c r="I55" i="16" s="1"/>
  <c r="N55" i="16" a="1"/>
  <c r="N55" i="16" s="1"/>
  <c r="L55" i="16" a="1"/>
  <c r="L55" i="16" s="1"/>
  <c r="O55" i="16" a="1"/>
  <c r="O55" i="16" s="1"/>
  <c r="P55" i="16" a="1"/>
  <c r="P55" i="16" s="1"/>
  <c r="M55" i="16" a="1"/>
  <c r="M55" i="16" s="1"/>
  <c r="J18" i="17" l="1"/>
  <c r="H18" i="17"/>
  <c r="M18" i="17"/>
  <c r="A56" i="18"/>
  <c r="B57" i="16"/>
  <c r="K56" i="16" a="1"/>
  <c r="K56" i="16" s="1"/>
  <c r="E56" i="16" a="1"/>
  <c r="E56" i="16" s="1"/>
  <c r="H56" i="16" a="1"/>
  <c r="H56" i="16" s="1"/>
  <c r="J56" i="16" a="1"/>
  <c r="J56" i="16" s="1"/>
  <c r="I56" i="16" a="1"/>
  <c r="I56" i="16" s="1"/>
  <c r="G56" i="16" a="1"/>
  <c r="G56" i="16" s="1"/>
  <c r="L56" i="16" a="1"/>
  <c r="L56" i="16" s="1"/>
  <c r="N56" i="16" a="1"/>
  <c r="N56" i="16" s="1"/>
  <c r="M56" i="16" a="1"/>
  <c r="M56" i="16" s="1"/>
  <c r="P56" i="16" a="1"/>
  <c r="P56" i="16" s="1"/>
  <c r="F56" i="16" a="1"/>
  <c r="F56" i="16" s="1"/>
  <c r="O56" i="16" a="1"/>
  <c r="O56" i="16" s="1"/>
  <c r="A57" i="18" l="1"/>
  <c r="B58" i="16"/>
  <c r="E57" i="16" a="1"/>
  <c r="E57" i="16" s="1"/>
  <c r="P57" i="16" a="1"/>
  <c r="P57" i="16" s="1"/>
  <c r="F57" i="16" a="1"/>
  <c r="F57" i="16" s="1"/>
  <c r="H57" i="16" a="1"/>
  <c r="H57" i="16" s="1"/>
  <c r="J57" i="16" a="1"/>
  <c r="J57" i="16" s="1"/>
  <c r="G57" i="16" a="1"/>
  <c r="G57" i="16" s="1"/>
  <c r="I57" i="16" a="1"/>
  <c r="I57" i="16" s="1"/>
  <c r="K57" i="16" a="1"/>
  <c r="K57" i="16" s="1"/>
  <c r="M57" i="16" a="1"/>
  <c r="M57" i="16" s="1"/>
  <c r="L57" i="16" a="1"/>
  <c r="L57" i="16" s="1"/>
  <c r="O57" i="16" a="1"/>
  <c r="O57" i="16" s="1"/>
  <c r="N57" i="16" a="1"/>
  <c r="N57" i="16" s="1"/>
  <c r="B59" i="16" l="1"/>
  <c r="E58" i="16" a="1"/>
  <c r="E58" i="16" s="1"/>
  <c r="H58" i="16" a="1"/>
  <c r="H58" i="16" s="1"/>
  <c r="J58" i="16" a="1"/>
  <c r="J58" i="16" s="1"/>
  <c r="I58" i="16" a="1"/>
  <c r="I58" i="16" s="1"/>
  <c r="M58" i="16" a="1"/>
  <c r="M58" i="16" s="1"/>
  <c r="J19" i="18" s="1"/>
  <c r="G58" i="16" a="1"/>
  <c r="G58" i="16" s="1"/>
  <c r="K58" i="16" a="1"/>
  <c r="K58" i="16" s="1"/>
  <c r="P58" i="16" a="1"/>
  <c r="P58" i="16" s="1"/>
  <c r="M19" i="18" s="1"/>
  <c r="L58" i="16" a="1"/>
  <c r="L58" i="16" s="1"/>
  <c r="I19" i="18" s="1"/>
  <c r="N58" i="16" a="1"/>
  <c r="N58" i="16" s="1"/>
  <c r="F58" i="16" a="1"/>
  <c r="F58" i="16" s="1"/>
  <c r="O58" i="16" a="1"/>
  <c r="O58" i="16" s="1"/>
  <c r="B60" i="16" l="1"/>
  <c r="E59" i="16" a="1"/>
  <c r="E59" i="16" s="1"/>
  <c r="J59" i="16" a="1"/>
  <c r="J59" i="16" s="1"/>
  <c r="H59" i="16" a="1"/>
  <c r="H59" i="16" s="1"/>
  <c r="L59" i="16" a="1"/>
  <c r="L59" i="16" s="1"/>
  <c r="M59" i="16" a="1"/>
  <c r="M59" i="16" s="1"/>
  <c r="J19" i="17" s="1"/>
  <c r="F59" i="16" a="1"/>
  <c r="F59" i="16" s="1"/>
  <c r="G59" i="16" a="1"/>
  <c r="G59" i="16" s="1"/>
  <c r="I59" i="16" a="1"/>
  <c r="I59" i="16" s="1"/>
  <c r="O59" i="16" a="1"/>
  <c r="O59" i="16" s="1"/>
  <c r="P59" i="16" a="1"/>
  <c r="P59" i="16" s="1"/>
  <c r="K59" i="16" a="1"/>
  <c r="K59" i="16" s="1"/>
  <c r="H19" i="17" s="1"/>
  <c r="N59" i="16" a="1"/>
  <c r="N59" i="16" s="1"/>
  <c r="M19" i="17" l="1"/>
  <c r="B61" i="16"/>
  <c r="E60" i="16" a="1"/>
  <c r="E60" i="16" s="1"/>
  <c r="H60" i="16" a="1"/>
  <c r="H60" i="16" s="1"/>
  <c r="G60" i="16" a="1"/>
  <c r="G60" i="16" s="1"/>
  <c r="J60" i="16" a="1"/>
  <c r="J60" i="16" s="1"/>
  <c r="P60" i="16" a="1"/>
  <c r="P60" i="16" s="1"/>
  <c r="F60" i="16" a="1"/>
  <c r="F60" i="16" s="1"/>
  <c r="I60" i="16" a="1"/>
  <c r="I60" i="16" s="1"/>
  <c r="L60" i="16" a="1"/>
  <c r="L60" i="16" s="1"/>
  <c r="O60" i="16" a="1"/>
  <c r="O60" i="16" s="1"/>
  <c r="N60" i="16" a="1"/>
  <c r="N60" i="16" s="1"/>
  <c r="K60" i="16" a="1"/>
  <c r="K60" i="16" s="1"/>
  <c r="M60" i="16" a="1"/>
  <c r="M60" i="16" s="1"/>
  <c r="B62" i="16" l="1"/>
  <c r="K61" i="16" a="1"/>
  <c r="K61" i="16" s="1"/>
  <c r="E61" i="16" a="1"/>
  <c r="E61" i="16" s="1"/>
  <c r="I61" i="16" a="1"/>
  <c r="I61" i="16" s="1"/>
  <c r="H61" i="16" a="1"/>
  <c r="H61" i="16" s="1"/>
  <c r="G61" i="16" a="1"/>
  <c r="G61" i="16" s="1"/>
  <c r="O61" i="16" a="1"/>
  <c r="O61" i="16" s="1"/>
  <c r="P61" i="16" a="1"/>
  <c r="P61" i="16" s="1"/>
  <c r="F61" i="16" a="1"/>
  <c r="F61" i="16" s="1"/>
  <c r="J61" i="16" a="1"/>
  <c r="J61" i="16" s="1"/>
  <c r="M61" i="16" a="1"/>
  <c r="M61" i="16" s="1"/>
  <c r="L61" i="16" a="1"/>
  <c r="L61" i="16" s="1"/>
  <c r="N61" i="16" a="1"/>
  <c r="N61" i="16" s="1"/>
  <c r="B63" i="16" l="1"/>
  <c r="K62" i="16" a="1"/>
  <c r="K62" i="16" s="1"/>
  <c r="E62" i="16" a="1"/>
  <c r="E62" i="16" s="1"/>
  <c r="B20" i="18" s="1"/>
  <c r="J62" i="16" a="1"/>
  <c r="J62" i="16" s="1"/>
  <c r="G62" i="16" a="1"/>
  <c r="G62" i="16" s="1"/>
  <c r="H62" i="16" a="1"/>
  <c r="H62" i="16" s="1"/>
  <c r="O62" i="16" a="1"/>
  <c r="O62" i="16" s="1"/>
  <c r="I62" i="16" a="1"/>
  <c r="I62" i="16" s="1"/>
  <c r="P62" i="16" a="1"/>
  <c r="P62" i="16" s="1"/>
  <c r="F62" i="16" a="1"/>
  <c r="F62" i="16" s="1"/>
  <c r="L62" i="16" a="1"/>
  <c r="L62" i="16" s="1"/>
  <c r="M62" i="16" a="1"/>
  <c r="M62" i="16" s="1"/>
  <c r="N62" i="16" a="1"/>
  <c r="N62" i="16" s="1"/>
  <c r="I20" i="18" l="1"/>
  <c r="K20" i="18"/>
  <c r="B64" i="16"/>
  <c r="E63" i="16" a="1"/>
  <c r="E63" i="16" s="1"/>
  <c r="H63" i="16" a="1"/>
  <c r="H63" i="16" s="1"/>
  <c r="J63" i="16" a="1"/>
  <c r="J63" i="16" s="1"/>
  <c r="M63" i="16" a="1"/>
  <c r="M63" i="16" s="1"/>
  <c r="G63" i="16" a="1"/>
  <c r="G63" i="16" s="1"/>
  <c r="N63" i="16" a="1"/>
  <c r="N63" i="16" s="1"/>
  <c r="F63" i="16" a="1"/>
  <c r="F63" i="16" s="1"/>
  <c r="O63" i="16" a="1"/>
  <c r="O63" i="16" s="1"/>
  <c r="L63" i="16" a="1"/>
  <c r="L63" i="16" s="1"/>
  <c r="I63" i="16" a="1"/>
  <c r="I63" i="16" s="1"/>
  <c r="K63" i="16" a="1"/>
  <c r="K63" i="16" s="1"/>
  <c r="H20" i="17" s="1"/>
  <c r="P63" i="16" a="1"/>
  <c r="P63" i="16" s="1"/>
  <c r="M20" i="17" l="1"/>
  <c r="L20" i="17"/>
  <c r="J20" i="17"/>
  <c r="B65" i="16"/>
  <c r="E64" i="16" a="1"/>
  <c r="E64" i="16" s="1"/>
  <c r="J64" i="16" a="1"/>
  <c r="J64" i="16" s="1"/>
  <c r="G64" i="16" a="1"/>
  <c r="G64" i="16" s="1"/>
  <c r="F64" i="16" a="1"/>
  <c r="F64" i="16" s="1"/>
  <c r="L64" i="16" a="1"/>
  <c r="L64" i="16" s="1"/>
  <c r="H64" i="16" a="1"/>
  <c r="H64" i="16" s="1"/>
  <c r="N64" i="16" a="1"/>
  <c r="N64" i="16" s="1"/>
  <c r="I64" i="16" a="1"/>
  <c r="I64" i="16" s="1"/>
  <c r="M64" i="16" a="1"/>
  <c r="M64" i="16" s="1"/>
  <c r="O64" i="16" a="1"/>
  <c r="O64" i="16" s="1"/>
  <c r="K64" i="16" a="1"/>
  <c r="K64" i="16" s="1"/>
  <c r="P64" i="16" a="1"/>
  <c r="P64" i="16" s="1"/>
  <c r="B66" i="16" l="1"/>
  <c r="E65" i="16" a="1"/>
  <c r="E65" i="16" s="1"/>
  <c r="G65" i="16" a="1"/>
  <c r="G65" i="16" s="1"/>
  <c r="I65" i="16" a="1"/>
  <c r="I65" i="16" s="1"/>
  <c r="J65" i="16" a="1"/>
  <c r="J65" i="16" s="1"/>
  <c r="H65" i="16" a="1"/>
  <c r="H65" i="16" s="1"/>
  <c r="L65" i="16" a="1"/>
  <c r="L65" i="16" s="1"/>
  <c r="K65" i="16" a="1"/>
  <c r="K65" i="16" s="1"/>
  <c r="P65" i="16" a="1"/>
  <c r="P65" i="16" s="1"/>
  <c r="M65" i="16" a="1"/>
  <c r="M65" i="16" s="1"/>
  <c r="F65" i="16" a="1"/>
  <c r="F65" i="16" s="1"/>
  <c r="O65" i="16" a="1"/>
  <c r="O65" i="16" s="1"/>
  <c r="N65" i="16" a="1"/>
  <c r="N65" i="16" s="1"/>
  <c r="B67" i="16" l="1"/>
  <c r="E66" i="16" a="1"/>
  <c r="E66" i="16" s="1"/>
  <c r="J66" i="16" a="1"/>
  <c r="J66" i="16" s="1"/>
  <c r="H66" i="16" a="1"/>
  <c r="H66" i="16" s="1"/>
  <c r="G66" i="16" a="1"/>
  <c r="G66" i="16" s="1"/>
  <c r="D21" i="18" s="1"/>
  <c r="F66" i="16" a="1"/>
  <c r="F66" i="16" s="1"/>
  <c r="K66" i="16" a="1"/>
  <c r="K66" i="16" s="1"/>
  <c r="P66" i="16" a="1"/>
  <c r="P66" i="16" s="1"/>
  <c r="M21" i="18" s="1"/>
  <c r="O66" i="16" a="1"/>
  <c r="O66" i="16" s="1"/>
  <c r="I66" i="16" a="1"/>
  <c r="I66" i="16" s="1"/>
  <c r="L66" i="16" a="1"/>
  <c r="L66" i="16" s="1"/>
  <c r="M66" i="16" a="1"/>
  <c r="M66" i="16" s="1"/>
  <c r="N66" i="16" a="1"/>
  <c r="N66" i="16" s="1"/>
  <c r="K21" i="18" l="1"/>
  <c r="B68" i="16"/>
  <c r="E67" i="16" a="1"/>
  <c r="E67" i="16" s="1"/>
  <c r="J67" i="16" a="1"/>
  <c r="J67" i="16" s="1"/>
  <c r="G67" i="16" a="1"/>
  <c r="G67" i="16" s="1"/>
  <c r="H67" i="16" a="1"/>
  <c r="H67" i="16" s="1"/>
  <c r="M67" i="16" a="1"/>
  <c r="M67" i="16" s="1"/>
  <c r="J21" i="17" s="1"/>
  <c r="I67" i="16" a="1"/>
  <c r="I67" i="16" s="1"/>
  <c r="P67" i="16" a="1"/>
  <c r="P67" i="16" s="1"/>
  <c r="L67" i="16" a="1"/>
  <c r="L67" i="16" s="1"/>
  <c r="O67" i="16" a="1"/>
  <c r="O67" i="16" s="1"/>
  <c r="K67" i="16" a="1"/>
  <c r="K67" i="16" s="1"/>
  <c r="N67" i="16" a="1"/>
  <c r="N67" i="16" s="1"/>
  <c r="F67" i="16" a="1"/>
  <c r="F67" i="16" s="1"/>
  <c r="I21" i="17" l="1"/>
  <c r="M21" i="17"/>
  <c r="L21" i="17"/>
  <c r="H21" i="17"/>
  <c r="B69" i="16"/>
  <c r="E68" i="16" a="1"/>
  <c r="E68" i="16" s="1"/>
  <c r="H68" i="16" a="1"/>
  <c r="H68" i="16" s="1"/>
  <c r="G68" i="16" a="1"/>
  <c r="G68" i="16" s="1"/>
  <c r="J68" i="16" a="1"/>
  <c r="J68" i="16" s="1"/>
  <c r="K68" i="16" a="1"/>
  <c r="K68" i="16" s="1"/>
  <c r="P68" i="16" a="1"/>
  <c r="P68" i="16" s="1"/>
  <c r="L68" i="16" a="1"/>
  <c r="L68" i="16" s="1"/>
  <c r="F68" i="16" a="1"/>
  <c r="F68" i="16" s="1"/>
  <c r="I68" i="16" a="1"/>
  <c r="I68" i="16" s="1"/>
  <c r="N68" i="16" a="1"/>
  <c r="N68" i="16" s="1"/>
  <c r="O68" i="16" a="1"/>
  <c r="O68" i="16" s="1"/>
  <c r="M68" i="16" a="1"/>
  <c r="M68" i="16" s="1"/>
  <c r="B70" i="16" l="1"/>
  <c r="E69" i="16" a="1"/>
  <c r="E69" i="16" s="1"/>
  <c r="J69" i="16" a="1"/>
  <c r="J69" i="16" s="1"/>
  <c r="G69" i="16" a="1"/>
  <c r="G69" i="16" s="1"/>
  <c r="H69" i="16" a="1"/>
  <c r="H69" i="16" s="1"/>
  <c r="O69" i="16" a="1"/>
  <c r="O69" i="16" s="1"/>
  <c r="K69" i="16" a="1"/>
  <c r="K69" i="16" s="1"/>
  <c r="F69" i="16" a="1"/>
  <c r="F69" i="16" s="1"/>
  <c r="I69" i="16" a="1"/>
  <c r="I69" i="16" s="1"/>
  <c r="P69" i="16" a="1"/>
  <c r="P69" i="16" s="1"/>
  <c r="M69" i="16" a="1"/>
  <c r="M69" i="16" s="1"/>
  <c r="L69" i="16" a="1"/>
  <c r="L69" i="16" s="1"/>
  <c r="N69" i="16" a="1"/>
  <c r="N69" i="16" s="1"/>
  <c r="B71" i="16" l="1"/>
  <c r="E70" i="16" a="1"/>
  <c r="E70" i="16" s="1"/>
  <c r="F70" i="16" a="1"/>
  <c r="F70" i="16" s="1"/>
  <c r="C22" i="18" s="1"/>
  <c r="J70" i="16" a="1"/>
  <c r="J70" i="16" s="1"/>
  <c r="M70" i="16" a="1"/>
  <c r="M70" i="16" s="1"/>
  <c r="J22" i="18" s="1"/>
  <c r="H70" i="16" a="1"/>
  <c r="H70" i="16" s="1"/>
  <c r="I70" i="16" a="1"/>
  <c r="I70" i="16" s="1"/>
  <c r="N70" i="16" a="1"/>
  <c r="N70" i="16" s="1"/>
  <c r="O70" i="16" a="1"/>
  <c r="O70" i="16" s="1"/>
  <c r="K70" i="16" a="1"/>
  <c r="K70" i="16" s="1"/>
  <c r="H22" i="18" s="1"/>
  <c r="G70" i="16" a="1"/>
  <c r="G70" i="16" s="1"/>
  <c r="P70" i="16" a="1"/>
  <c r="P70" i="16" s="1"/>
  <c r="L70" i="16" a="1"/>
  <c r="L70" i="16" s="1"/>
  <c r="L22" i="18" l="1"/>
  <c r="I22" i="18"/>
  <c r="B72" i="16"/>
  <c r="L71" i="16" a="1"/>
  <c r="L71" i="16" s="1"/>
  <c r="E71" i="16" a="1"/>
  <c r="E71" i="16" s="1"/>
  <c r="H71" i="16" a="1"/>
  <c r="H71" i="16" s="1"/>
  <c r="J71" i="16" a="1"/>
  <c r="J71" i="16" s="1"/>
  <c r="G71" i="16" a="1"/>
  <c r="G71" i="16" s="1"/>
  <c r="M71" i="16" a="1"/>
  <c r="M71" i="16" s="1"/>
  <c r="J22" i="17" s="1"/>
  <c r="F71" i="16" a="1"/>
  <c r="F71" i="16" s="1"/>
  <c r="N71" i="16" a="1"/>
  <c r="N71" i="16" s="1"/>
  <c r="K22" i="17" s="1"/>
  <c r="O71" i="16" a="1"/>
  <c r="O71" i="16" s="1"/>
  <c r="K71" i="16" a="1"/>
  <c r="K71" i="16" s="1"/>
  <c r="I71" i="16" a="1"/>
  <c r="I71" i="16" s="1"/>
  <c r="P71" i="16" a="1"/>
  <c r="P71" i="16" s="1"/>
  <c r="M22" i="17" s="1"/>
  <c r="I22" i="17" l="1"/>
  <c r="B73" i="16"/>
  <c r="E72" i="16" a="1"/>
  <c r="E72" i="16" s="1"/>
  <c r="J72" i="16" a="1"/>
  <c r="J72" i="16" s="1"/>
  <c r="F72" i="16" a="1"/>
  <c r="F72" i="16" s="1"/>
  <c r="G72" i="16" a="1"/>
  <c r="G72" i="16" s="1"/>
  <c r="H72" i="16" a="1"/>
  <c r="H72" i="16" s="1"/>
  <c r="I72" i="16" a="1"/>
  <c r="I72" i="16" s="1"/>
  <c r="L72" i="16" a="1"/>
  <c r="L72" i="16" s="1"/>
  <c r="M72" i="16" a="1"/>
  <c r="M72" i="16" s="1"/>
  <c r="O72" i="16" a="1"/>
  <c r="O72" i="16" s="1"/>
  <c r="K72" i="16" a="1"/>
  <c r="K72" i="16" s="1"/>
  <c r="P72" i="16" a="1"/>
  <c r="P72" i="16" s="1"/>
  <c r="N72" i="16" a="1"/>
  <c r="N72" i="16" s="1"/>
  <c r="B74" i="16" l="1"/>
  <c r="E73" i="16" a="1"/>
  <c r="E73" i="16" s="1"/>
  <c r="P73" i="16" a="1"/>
  <c r="P73" i="16" s="1"/>
  <c r="J73" i="16" a="1"/>
  <c r="J73" i="16" s="1"/>
  <c r="G73" i="16" a="1"/>
  <c r="G73" i="16" s="1"/>
  <c r="H73" i="16" a="1"/>
  <c r="H73" i="16" s="1"/>
  <c r="K73" i="16" a="1"/>
  <c r="K73" i="16" s="1"/>
  <c r="L73" i="16" a="1"/>
  <c r="L73" i="16" s="1"/>
  <c r="I73" i="16" a="1"/>
  <c r="I73" i="16" s="1"/>
  <c r="F73" i="16" a="1"/>
  <c r="F73" i="16" s="1"/>
  <c r="N73" i="16" a="1"/>
  <c r="N73" i="16" s="1"/>
  <c r="O73" i="16" a="1"/>
  <c r="O73" i="16" s="1"/>
  <c r="M73" i="16" a="1"/>
  <c r="M73" i="16" s="1"/>
  <c r="B75" i="16" l="1"/>
  <c r="E74" i="16" a="1"/>
  <c r="E74" i="16" s="1"/>
  <c r="B23" i="18" s="1"/>
  <c r="J74" i="16" a="1"/>
  <c r="J74" i="16" s="1"/>
  <c r="H74" i="16" a="1"/>
  <c r="H74" i="16" s="1"/>
  <c r="G74" i="16" a="1"/>
  <c r="G74" i="16" s="1"/>
  <c r="M74" i="16" a="1"/>
  <c r="M74" i="16" s="1"/>
  <c r="J23" i="18" s="1"/>
  <c r="F74" i="16" a="1"/>
  <c r="F74" i="16" s="1"/>
  <c r="K74" i="16" a="1"/>
  <c r="K74" i="16" s="1"/>
  <c r="P74" i="16" a="1"/>
  <c r="P74" i="16" s="1"/>
  <c r="M23" i="18" s="1"/>
  <c r="L74" i="16" a="1"/>
  <c r="L74" i="16" s="1"/>
  <c r="N74" i="16" a="1"/>
  <c r="N74" i="16" s="1"/>
  <c r="I74" i="16" a="1"/>
  <c r="I74" i="16" s="1"/>
  <c r="O74" i="16" a="1"/>
  <c r="O74" i="16" s="1"/>
  <c r="I23" i="18" l="1"/>
  <c r="B76" i="16"/>
  <c r="E75" i="16" a="1"/>
  <c r="E75" i="16" s="1"/>
  <c r="J75" i="16" a="1"/>
  <c r="J75" i="16" s="1"/>
  <c r="H75" i="16" a="1"/>
  <c r="H75" i="16" s="1"/>
  <c r="G75" i="16" a="1"/>
  <c r="G75" i="16" s="1"/>
  <c r="F75" i="16" a="1"/>
  <c r="F75" i="16" s="1"/>
  <c r="K75" i="16" a="1"/>
  <c r="K75" i="16" s="1"/>
  <c r="M75" i="16" a="1"/>
  <c r="M75" i="16" s="1"/>
  <c r="I75" i="16" a="1"/>
  <c r="I75" i="16" s="1"/>
  <c r="P75" i="16" a="1"/>
  <c r="P75" i="16" s="1"/>
  <c r="M23" i="17" s="1"/>
  <c r="O75" i="16" a="1"/>
  <c r="O75" i="16" s="1"/>
  <c r="L75" i="16" a="1"/>
  <c r="L75" i="16" s="1"/>
  <c r="N75" i="16" a="1"/>
  <c r="N75" i="16" s="1"/>
  <c r="J23" i="17" l="1"/>
  <c r="K23" i="17"/>
  <c r="L23" i="17"/>
  <c r="B77" i="16"/>
  <c r="E76" i="16" a="1"/>
  <c r="E76" i="16" s="1"/>
  <c r="G76" i="16" a="1"/>
  <c r="G76" i="16" s="1"/>
  <c r="J76" i="16" a="1"/>
  <c r="J76" i="16" s="1"/>
  <c r="H76" i="16" a="1"/>
  <c r="H76" i="16" s="1"/>
  <c r="N76" i="16" a="1"/>
  <c r="N76" i="16" s="1"/>
  <c r="I76" i="16" a="1"/>
  <c r="I76" i="16" s="1"/>
  <c r="K76" i="16" a="1"/>
  <c r="K76" i="16" s="1"/>
  <c r="P76" i="16" a="1"/>
  <c r="P76" i="16" s="1"/>
  <c r="L76" i="16" a="1"/>
  <c r="L76" i="16" s="1"/>
  <c r="M76" i="16" a="1"/>
  <c r="M76" i="16" s="1"/>
  <c r="O76" i="16" a="1"/>
  <c r="O76" i="16" s="1"/>
  <c r="F76" i="16" a="1"/>
  <c r="F76" i="16" s="1"/>
  <c r="B78" i="16" l="1"/>
  <c r="E77" i="16" a="1"/>
  <c r="E77" i="16" s="1"/>
  <c r="I77" i="16" a="1"/>
  <c r="I77" i="16" s="1"/>
  <c r="F77" i="16" a="1"/>
  <c r="F77" i="16" s="1"/>
  <c r="H77" i="16" a="1"/>
  <c r="H77" i="16" s="1"/>
  <c r="G77" i="16" a="1"/>
  <c r="G77" i="16" s="1"/>
  <c r="N77" i="16" a="1"/>
  <c r="N77" i="16" s="1"/>
  <c r="P77" i="16" a="1"/>
  <c r="P77" i="16" s="1"/>
  <c r="J77" i="16" a="1"/>
  <c r="J77" i="16" s="1"/>
  <c r="O77" i="16" a="1"/>
  <c r="O77" i="16" s="1"/>
  <c r="K77" i="16" a="1"/>
  <c r="K77" i="16" s="1"/>
  <c r="L77" i="16" a="1"/>
  <c r="L77" i="16" s="1"/>
  <c r="M77" i="16" a="1"/>
  <c r="M77" i="16" s="1"/>
  <c r="B79" i="16" l="1"/>
  <c r="E78" i="16" a="1"/>
  <c r="E78" i="16" s="1"/>
  <c r="J78" i="16" a="1"/>
  <c r="J78" i="16" s="1"/>
  <c r="G78" i="16" a="1"/>
  <c r="G78" i="16" s="1"/>
  <c r="H78" i="16" a="1"/>
  <c r="H78" i="16" s="1"/>
  <c r="M78" i="16" a="1"/>
  <c r="M78" i="16" s="1"/>
  <c r="I78" i="16" a="1"/>
  <c r="I78" i="16" s="1"/>
  <c r="F78" i="16" a="1"/>
  <c r="F78" i="16" s="1"/>
  <c r="O78" i="16" a="1"/>
  <c r="O78" i="16" s="1"/>
  <c r="K78" i="16" a="1"/>
  <c r="K78" i="16" s="1"/>
  <c r="N78" i="16" a="1"/>
  <c r="N78" i="16" s="1"/>
  <c r="K24" i="18" s="1"/>
  <c r="P78" i="16" a="1"/>
  <c r="P78" i="16" s="1"/>
  <c r="M24" i="18" s="1"/>
  <c r="L78" i="16" a="1"/>
  <c r="L78" i="16" s="1"/>
  <c r="H24" i="18" l="1"/>
  <c r="B80" i="16"/>
  <c r="E79" i="16" a="1"/>
  <c r="E79" i="16" s="1"/>
  <c r="J79" i="16" a="1"/>
  <c r="J79" i="16" s="1"/>
  <c r="H79" i="16" a="1"/>
  <c r="H79" i="16" s="1"/>
  <c r="M79" i="16" a="1"/>
  <c r="M79" i="16" s="1"/>
  <c r="I79" i="16" a="1"/>
  <c r="I79" i="16" s="1"/>
  <c r="L79" i="16" a="1"/>
  <c r="L79" i="16" s="1"/>
  <c r="N79" i="16" a="1"/>
  <c r="N79" i="16" s="1"/>
  <c r="G79" i="16" a="1"/>
  <c r="G79" i="16" s="1"/>
  <c r="P79" i="16" a="1"/>
  <c r="P79" i="16" s="1"/>
  <c r="M24" i="17" s="1"/>
  <c r="O79" i="16" a="1"/>
  <c r="O79" i="16" s="1"/>
  <c r="K79" i="16" a="1"/>
  <c r="K79" i="16" s="1"/>
  <c r="F79" i="16" a="1"/>
  <c r="F79" i="16" s="1"/>
  <c r="K24" i="17" l="1"/>
  <c r="I24" i="17"/>
  <c r="L24" i="17"/>
  <c r="J24" i="17"/>
  <c r="B81" i="16"/>
  <c r="E80" i="16" a="1"/>
  <c r="E80" i="16" s="1"/>
  <c r="J80" i="16" a="1"/>
  <c r="J80" i="16" s="1"/>
  <c r="G80" i="16" a="1"/>
  <c r="G80" i="16" s="1"/>
  <c r="I80" i="16" a="1"/>
  <c r="I80" i="16" s="1"/>
  <c r="N80" i="16" a="1"/>
  <c r="N80" i="16" s="1"/>
  <c r="L80" i="16" a="1"/>
  <c r="L80" i="16" s="1"/>
  <c r="H80" i="16" a="1"/>
  <c r="H80" i="16" s="1"/>
  <c r="F80" i="16" a="1"/>
  <c r="F80" i="16" s="1"/>
  <c r="O80" i="16" a="1"/>
  <c r="O80" i="16" s="1"/>
  <c r="K80" i="16" a="1"/>
  <c r="K80" i="16" s="1"/>
  <c r="P80" i="16" a="1"/>
  <c r="P80" i="16" s="1"/>
  <c r="M80" i="16" a="1"/>
  <c r="M80" i="16" s="1"/>
  <c r="B82" i="16" l="1"/>
  <c r="E81" i="16" a="1"/>
  <c r="E81" i="16" s="1"/>
  <c r="G81" i="16" a="1"/>
  <c r="G81" i="16" s="1"/>
  <c r="J81" i="16" a="1"/>
  <c r="J81" i="16" s="1"/>
  <c r="F81" i="16" a="1"/>
  <c r="F81" i="16" s="1"/>
  <c r="H81" i="16" a="1"/>
  <c r="H81" i="16" s="1"/>
  <c r="N81" i="16" a="1"/>
  <c r="N81" i="16" s="1"/>
  <c r="I81" i="16" a="1"/>
  <c r="I81" i="16" s="1"/>
  <c r="P81" i="16" a="1"/>
  <c r="P81" i="16" s="1"/>
  <c r="K81" i="16" a="1"/>
  <c r="K81" i="16" s="1"/>
  <c r="M81" i="16" a="1"/>
  <c r="M81" i="16" s="1"/>
  <c r="L81" i="16" a="1"/>
  <c r="L81" i="16" s="1"/>
  <c r="O81" i="16" a="1"/>
  <c r="O81" i="16" s="1"/>
  <c r="B83" i="16" l="1"/>
  <c r="E82" i="16" a="1"/>
  <c r="E82" i="16" s="1"/>
  <c r="G82" i="16" a="1"/>
  <c r="G82" i="16" s="1"/>
  <c r="D25" i="18" s="1"/>
  <c r="H82" i="16" a="1"/>
  <c r="H82" i="16" s="1"/>
  <c r="J82" i="16" a="1"/>
  <c r="J82" i="16" s="1"/>
  <c r="L82" i="16" a="1"/>
  <c r="L82" i="16" s="1"/>
  <c r="I25" i="18" s="1"/>
  <c r="M82" i="16" a="1"/>
  <c r="M82" i="16" s="1"/>
  <c r="I82" i="16" a="1"/>
  <c r="I82" i="16" s="1"/>
  <c r="F82" i="16" a="1"/>
  <c r="F82" i="16" s="1"/>
  <c r="K82" i="16" a="1"/>
  <c r="K82" i="16" s="1"/>
  <c r="P82" i="16" a="1"/>
  <c r="P82" i="16" s="1"/>
  <c r="N82" i="16" a="1"/>
  <c r="N82" i="16" s="1"/>
  <c r="O82" i="16" a="1"/>
  <c r="O82" i="16" s="1"/>
  <c r="J25" i="18" l="1"/>
  <c r="K25" i="18"/>
  <c r="B84" i="16"/>
  <c r="E83" i="16" a="1"/>
  <c r="E83" i="16" s="1"/>
  <c r="F83" i="16" a="1"/>
  <c r="F83" i="16" s="1"/>
  <c r="H83" i="16" a="1"/>
  <c r="H83" i="16" s="1"/>
  <c r="G83" i="16" a="1"/>
  <c r="G83" i="16" s="1"/>
  <c r="J83" i="16" a="1"/>
  <c r="J83" i="16" s="1"/>
  <c r="K83" i="16" a="1"/>
  <c r="K83" i="16" s="1"/>
  <c r="L83" i="16" a="1"/>
  <c r="L83" i="16" s="1"/>
  <c r="M83" i="16" a="1"/>
  <c r="M83" i="16" s="1"/>
  <c r="O83" i="16" a="1"/>
  <c r="O83" i="16" s="1"/>
  <c r="L25" i="17" s="1"/>
  <c r="I83" i="16" a="1"/>
  <c r="I83" i="16" s="1"/>
  <c r="N83" i="16" a="1"/>
  <c r="N83" i="16" s="1"/>
  <c r="P83" i="16" a="1"/>
  <c r="P83" i="16" s="1"/>
  <c r="I25" i="17" l="1"/>
  <c r="M25" i="17"/>
  <c r="H25" i="17"/>
  <c r="B85" i="16"/>
  <c r="E84" i="16" a="1"/>
  <c r="E84" i="16" s="1"/>
  <c r="L84" i="16" a="1"/>
  <c r="L84" i="16" s="1"/>
  <c r="J84" i="16" a="1"/>
  <c r="J84" i="16" s="1"/>
  <c r="H84" i="16" a="1"/>
  <c r="H84" i="16" s="1"/>
  <c r="G84" i="16" a="1"/>
  <c r="G84" i="16" s="1"/>
  <c r="I84" i="16" a="1"/>
  <c r="I84" i="16" s="1"/>
  <c r="P84" i="16" a="1"/>
  <c r="P84" i="16" s="1"/>
  <c r="F84" i="16" a="1"/>
  <c r="F84" i="16" s="1"/>
  <c r="M84" i="16" a="1"/>
  <c r="M84" i="16" s="1"/>
  <c r="O84" i="16" a="1"/>
  <c r="O84" i="16" s="1"/>
  <c r="K84" i="16" a="1"/>
  <c r="K84" i="16" s="1"/>
  <c r="N84" i="16" a="1"/>
  <c r="N84" i="16" s="1"/>
  <c r="B86" i="16" l="1"/>
  <c r="E85" i="16" a="1"/>
  <c r="E85" i="16" s="1"/>
  <c r="G85" i="16" a="1"/>
  <c r="G85" i="16" s="1"/>
  <c r="J85" i="16" a="1"/>
  <c r="J85" i="16" s="1"/>
  <c r="H85" i="16" a="1"/>
  <c r="H85" i="16" s="1"/>
  <c r="L85" i="16" a="1"/>
  <c r="L85" i="16" s="1"/>
  <c r="O85" i="16" a="1"/>
  <c r="O85" i="16" s="1"/>
  <c r="M85" i="16" a="1"/>
  <c r="M85" i="16" s="1"/>
  <c r="F85" i="16" a="1"/>
  <c r="F85" i="16" s="1"/>
  <c r="I85" i="16" a="1"/>
  <c r="I85" i="16" s="1"/>
  <c r="N85" i="16" a="1"/>
  <c r="N85" i="16" s="1"/>
  <c r="P85" i="16" a="1"/>
  <c r="P85" i="16" s="1"/>
  <c r="K85" i="16" a="1"/>
  <c r="K85" i="16" s="1"/>
  <c r="B87" i="16" l="1"/>
  <c r="E86" i="16" a="1"/>
  <c r="E86" i="16" s="1"/>
  <c r="B26" i="18" s="1"/>
  <c r="J86" i="16" a="1"/>
  <c r="J86" i="16" s="1"/>
  <c r="H86" i="16" a="1"/>
  <c r="H86" i="16" s="1"/>
  <c r="N86" i="16" a="1"/>
  <c r="N86" i="16" s="1"/>
  <c r="P86" i="16" a="1"/>
  <c r="P86" i="16" s="1"/>
  <c r="O86" i="16" a="1"/>
  <c r="O86" i="16" s="1"/>
  <c r="I86" i="16" a="1"/>
  <c r="I86" i="16" s="1"/>
  <c r="F26" i="18" s="1"/>
  <c r="L86" i="16" a="1"/>
  <c r="L86" i="16" s="1"/>
  <c r="I26" i="18" s="1"/>
  <c r="M86" i="16" a="1"/>
  <c r="M86" i="16" s="1"/>
  <c r="G86" i="16" a="1"/>
  <c r="G86" i="16" s="1"/>
  <c r="D26" i="18" s="1"/>
  <c r="K86" i="16" a="1"/>
  <c r="K86" i="16" s="1"/>
  <c r="H26" i="18" s="1"/>
  <c r="F86" i="16" a="1"/>
  <c r="F86" i="16" s="1"/>
  <c r="M26" i="18" l="1"/>
  <c r="B88" i="16"/>
  <c r="E87" i="16" a="1"/>
  <c r="E87" i="16" s="1"/>
  <c r="J87" i="16" a="1"/>
  <c r="J87" i="16" s="1"/>
  <c r="I87" i="16" a="1"/>
  <c r="I87" i="16" s="1"/>
  <c r="H87" i="16" a="1"/>
  <c r="H87" i="16" s="1"/>
  <c r="G87" i="16" a="1"/>
  <c r="G87" i="16" s="1"/>
  <c r="F87" i="16" a="1"/>
  <c r="F87" i="16" s="1"/>
  <c r="O87" i="16" a="1"/>
  <c r="O87" i="16" s="1"/>
  <c r="P87" i="16" a="1"/>
  <c r="P87" i="16" s="1"/>
  <c r="K87" i="16" a="1"/>
  <c r="K87" i="16" s="1"/>
  <c r="L87" i="16" a="1"/>
  <c r="L87" i="16" s="1"/>
  <c r="I26" i="17" s="1"/>
  <c r="M87" i="16" a="1"/>
  <c r="M87" i="16" s="1"/>
  <c r="J26" i="17" s="1"/>
  <c r="N87" i="16" a="1"/>
  <c r="N87" i="16" s="1"/>
  <c r="H26" i="17" l="1"/>
  <c r="L26" i="17"/>
  <c r="B89" i="16"/>
  <c r="K88" i="16" a="1"/>
  <c r="K88" i="16" s="1"/>
  <c r="E88" i="16" a="1"/>
  <c r="E88" i="16" s="1"/>
  <c r="F88" i="16" a="1"/>
  <c r="F88" i="16" s="1"/>
  <c r="J88" i="16" a="1"/>
  <c r="J88" i="16" s="1"/>
  <c r="G88" i="16" a="1"/>
  <c r="G88" i="16" s="1"/>
  <c r="H88" i="16" a="1"/>
  <c r="H88" i="16" s="1"/>
  <c r="P88" i="16" a="1"/>
  <c r="P88" i="16" s="1"/>
  <c r="I88" i="16" a="1"/>
  <c r="I88" i="16" s="1"/>
  <c r="L88" i="16" a="1"/>
  <c r="L88" i="16" s="1"/>
  <c r="M88" i="16" a="1"/>
  <c r="M88" i="16" s="1"/>
  <c r="O88" i="16" a="1"/>
  <c r="O88" i="16" s="1"/>
  <c r="N88" i="16" a="1"/>
  <c r="N88" i="16" s="1"/>
  <c r="B90" i="16" l="1"/>
  <c r="E89" i="16" a="1"/>
  <c r="E89" i="16" s="1"/>
  <c r="J89" i="16" a="1"/>
  <c r="J89" i="16" s="1"/>
  <c r="G89" i="16" a="1"/>
  <c r="G89" i="16" s="1"/>
  <c r="O89" i="16" a="1"/>
  <c r="O89" i="16" s="1"/>
  <c r="L89" i="16" a="1"/>
  <c r="L89" i="16" s="1"/>
  <c r="M89" i="16" a="1"/>
  <c r="M89" i="16" s="1"/>
  <c r="K89" i="16" a="1"/>
  <c r="K89" i="16" s="1"/>
  <c r="H89" i="16" a="1"/>
  <c r="H89" i="16" s="1"/>
  <c r="F89" i="16" a="1"/>
  <c r="F89" i="16" s="1"/>
  <c r="P89" i="16" a="1"/>
  <c r="P89" i="16" s="1"/>
  <c r="I89" i="16" a="1"/>
  <c r="I89" i="16" s="1"/>
  <c r="N89" i="16" a="1"/>
  <c r="N89" i="16" s="1"/>
  <c r="B91" i="16" l="1"/>
  <c r="E90" i="16" a="1"/>
  <c r="E90" i="16" s="1"/>
  <c r="J90" i="16" a="1"/>
  <c r="J90" i="16" s="1"/>
  <c r="G27" i="18" s="1"/>
  <c r="H90" i="16" a="1"/>
  <c r="H90" i="16" s="1"/>
  <c r="G90" i="16" a="1"/>
  <c r="G90" i="16" s="1"/>
  <c r="F90" i="16" a="1"/>
  <c r="F90" i="16" s="1"/>
  <c r="P90" i="16" a="1"/>
  <c r="P90" i="16" s="1"/>
  <c r="M90" i="16" a="1"/>
  <c r="M90" i="16" s="1"/>
  <c r="J27" i="18" s="1"/>
  <c r="L90" i="16" a="1"/>
  <c r="L90" i="16" s="1"/>
  <c r="N90" i="16" a="1"/>
  <c r="N90" i="16" s="1"/>
  <c r="O90" i="16" a="1"/>
  <c r="O90" i="16" s="1"/>
  <c r="K90" i="16" a="1"/>
  <c r="K90" i="16" s="1"/>
  <c r="I90" i="16" a="1"/>
  <c r="I90" i="16" s="1"/>
  <c r="I27" i="18" l="1"/>
  <c r="H27" i="18"/>
  <c r="B92" i="16"/>
  <c r="E91" i="16" a="1"/>
  <c r="E91" i="16" s="1"/>
  <c r="I91" i="16" a="1"/>
  <c r="I91" i="16" s="1"/>
  <c r="G91" i="16" a="1"/>
  <c r="G91" i="16" s="1"/>
  <c r="J91" i="16" a="1"/>
  <c r="J91" i="16" s="1"/>
  <c r="H91" i="16" a="1"/>
  <c r="H91" i="16" s="1"/>
  <c r="P91" i="16" a="1"/>
  <c r="P91" i="16" s="1"/>
  <c r="F91" i="16" a="1"/>
  <c r="F91" i="16" s="1"/>
  <c r="K91" i="16" a="1"/>
  <c r="K91" i="16" s="1"/>
  <c r="O91" i="16" a="1"/>
  <c r="O91" i="16" s="1"/>
  <c r="L27" i="17" s="1"/>
  <c r="L91" i="16" a="1"/>
  <c r="L91" i="16" s="1"/>
  <c r="N91" i="16" a="1"/>
  <c r="N91" i="16" s="1"/>
  <c r="M91" i="16" a="1"/>
  <c r="M91" i="16" s="1"/>
  <c r="M27" i="17" l="1"/>
  <c r="K27" i="17"/>
  <c r="B93" i="16"/>
  <c r="E92" i="16" a="1"/>
  <c r="E92" i="16" s="1"/>
  <c r="G92" i="16" a="1"/>
  <c r="G92" i="16" s="1"/>
  <c r="H92" i="16" a="1"/>
  <c r="H92" i="16" s="1"/>
  <c r="J92" i="16" a="1"/>
  <c r="J92" i="16" s="1"/>
  <c r="P92" i="16" a="1"/>
  <c r="P92" i="16" s="1"/>
  <c r="L92" i="16" a="1"/>
  <c r="L92" i="16" s="1"/>
  <c r="I92" i="16" a="1"/>
  <c r="I92" i="16" s="1"/>
  <c r="O92" i="16" a="1"/>
  <c r="O92" i="16" s="1"/>
  <c r="K92" i="16" a="1"/>
  <c r="K92" i="16" s="1"/>
  <c r="F92" i="16" a="1"/>
  <c r="F92" i="16" s="1"/>
  <c r="N92" i="16" a="1"/>
  <c r="N92" i="16" s="1"/>
  <c r="M92" i="16" a="1"/>
  <c r="M92" i="16" s="1"/>
  <c r="B94" i="16" l="1"/>
  <c r="J93" i="16" a="1"/>
  <c r="J93" i="16" s="1"/>
  <c r="E93" i="16" a="1"/>
  <c r="E93" i="16" s="1"/>
  <c r="H93" i="16" a="1"/>
  <c r="H93" i="16" s="1"/>
  <c r="F93" i="16" a="1"/>
  <c r="F93" i="16" s="1"/>
  <c r="L93" i="16" a="1"/>
  <c r="L93" i="16" s="1"/>
  <c r="K93" i="16" a="1"/>
  <c r="K93" i="16" s="1"/>
  <c r="G93" i="16" a="1"/>
  <c r="G93" i="16" s="1"/>
  <c r="I93" i="16" a="1"/>
  <c r="I93" i="16" s="1"/>
  <c r="M93" i="16" a="1"/>
  <c r="M93" i="16" s="1"/>
  <c r="N93" i="16" a="1"/>
  <c r="N93" i="16" s="1"/>
  <c r="P93" i="16" a="1"/>
  <c r="P93" i="16" s="1"/>
  <c r="O93" i="16" a="1"/>
  <c r="O93" i="16" s="1"/>
  <c r="B95" i="16" l="1"/>
  <c r="E94" i="16" a="1"/>
  <c r="E94" i="16" s="1"/>
  <c r="B28" i="18" s="1"/>
  <c r="G94" i="16" a="1"/>
  <c r="G94" i="16" s="1"/>
  <c r="J94" i="16" a="1"/>
  <c r="J94" i="16" s="1"/>
  <c r="O94" i="16" a="1"/>
  <c r="O94" i="16" s="1"/>
  <c r="L28" i="18" s="1"/>
  <c r="F94" i="16" a="1"/>
  <c r="F94" i="16" s="1"/>
  <c r="P94" i="16" a="1"/>
  <c r="P94" i="16" s="1"/>
  <c r="M28" i="18" s="1"/>
  <c r="I94" i="16" a="1"/>
  <c r="I94" i="16" s="1"/>
  <c r="K94" i="16" a="1"/>
  <c r="K94" i="16" s="1"/>
  <c r="N94" i="16" a="1"/>
  <c r="N94" i="16" s="1"/>
  <c r="H94" i="16" a="1"/>
  <c r="H94" i="16" s="1"/>
  <c r="M94" i="16" a="1"/>
  <c r="M94" i="16" s="1"/>
  <c r="J28" i="18" s="1"/>
  <c r="L94" i="16" a="1"/>
  <c r="L94" i="16" s="1"/>
  <c r="H28" i="18" l="1"/>
  <c r="I28" i="18"/>
  <c r="B96" i="16"/>
  <c r="M95" i="16" a="1"/>
  <c r="M95" i="16" s="1"/>
  <c r="E95" i="16" a="1"/>
  <c r="E95" i="16" s="1"/>
  <c r="F95" i="16" a="1"/>
  <c r="F95" i="16" s="1"/>
  <c r="G95" i="16" a="1"/>
  <c r="G95" i="16" s="1"/>
  <c r="P95" i="16" a="1"/>
  <c r="P95" i="16" s="1"/>
  <c r="M28" i="17" s="1"/>
  <c r="O95" i="16" a="1"/>
  <c r="O95" i="16" s="1"/>
  <c r="L95" i="16" a="1"/>
  <c r="L95" i="16" s="1"/>
  <c r="J95" i="16" a="1"/>
  <c r="J95" i="16" s="1"/>
  <c r="I95" i="16" a="1"/>
  <c r="I95" i="16" s="1"/>
  <c r="H95" i="16" a="1"/>
  <c r="H95" i="16" s="1"/>
  <c r="K95" i="16" a="1"/>
  <c r="K95" i="16" s="1"/>
  <c r="N95" i="16" a="1"/>
  <c r="N95" i="16" s="1"/>
  <c r="K28" i="17" s="1"/>
  <c r="L28" i="17" l="1"/>
  <c r="B97" i="16"/>
  <c r="E96" i="16" a="1"/>
  <c r="E96" i="16" s="1"/>
  <c r="I96" i="16" a="1"/>
  <c r="I96" i="16" s="1"/>
  <c r="G96" i="16" a="1"/>
  <c r="G96" i="16" s="1"/>
  <c r="H96" i="16" a="1"/>
  <c r="H96" i="16" s="1"/>
  <c r="J96" i="16" a="1"/>
  <c r="J96" i="16" s="1"/>
  <c r="M96" i="16" a="1"/>
  <c r="M96" i="16" s="1"/>
  <c r="O96" i="16" a="1"/>
  <c r="O96" i="16" s="1"/>
  <c r="P96" i="16" a="1"/>
  <c r="P96" i="16" s="1"/>
  <c r="L96" i="16" a="1"/>
  <c r="L96" i="16" s="1"/>
  <c r="F96" i="16" a="1"/>
  <c r="F96" i="16" s="1"/>
  <c r="K96" i="16" a="1"/>
  <c r="K96" i="16" s="1"/>
  <c r="N96" i="16" a="1"/>
  <c r="N96" i="16" s="1"/>
  <c r="B98" i="16" l="1"/>
  <c r="E97" i="16" a="1"/>
  <c r="E97" i="16" s="1"/>
  <c r="F97" i="16" a="1"/>
  <c r="F97" i="16" s="1"/>
  <c r="H97" i="16" a="1"/>
  <c r="H97" i="16" s="1"/>
  <c r="G97" i="16" a="1"/>
  <c r="G97" i="16" s="1"/>
  <c r="L97" i="16" a="1"/>
  <c r="L97" i="16" s="1"/>
  <c r="M97" i="16" a="1"/>
  <c r="M97" i="16" s="1"/>
  <c r="J97" i="16" a="1"/>
  <c r="J97" i="16" s="1"/>
  <c r="O97" i="16" a="1"/>
  <c r="O97" i="16" s="1"/>
  <c r="I97" i="16" a="1"/>
  <c r="I97" i="16" s="1"/>
  <c r="N97" i="16" a="1"/>
  <c r="N97" i="16" s="1"/>
  <c r="P97" i="16" a="1"/>
  <c r="P97" i="16" s="1"/>
  <c r="K97" i="16" a="1"/>
  <c r="K97" i="16" s="1"/>
  <c r="B99" i="16" l="1"/>
  <c r="E98" i="16" a="1"/>
  <c r="E98" i="16" s="1"/>
  <c r="B29" i="18" s="1"/>
  <c r="I98" i="16" a="1"/>
  <c r="I98" i="16" s="1"/>
  <c r="F29" i="18" s="1"/>
  <c r="H98" i="16" a="1"/>
  <c r="H98" i="16" s="1"/>
  <c r="E29" i="18" s="1"/>
  <c r="G98" i="16" a="1"/>
  <c r="G98" i="16" s="1"/>
  <c r="J98" i="16" a="1"/>
  <c r="J98" i="16" s="1"/>
  <c r="K98" i="16" a="1"/>
  <c r="K98" i="16" s="1"/>
  <c r="L98" i="16" a="1"/>
  <c r="L98" i="16" s="1"/>
  <c r="O98" i="16" a="1"/>
  <c r="O98" i="16" s="1"/>
  <c r="P98" i="16" a="1"/>
  <c r="P98" i="16" s="1"/>
  <c r="M98" i="16" a="1"/>
  <c r="M98" i="16" s="1"/>
  <c r="F98" i="16" a="1"/>
  <c r="F98" i="16" s="1"/>
  <c r="N98" i="16" a="1"/>
  <c r="N98" i="16" s="1"/>
  <c r="I29" i="18" l="1"/>
  <c r="M29" i="18"/>
  <c r="L29" i="18"/>
  <c r="B100" i="16"/>
  <c r="E99" i="16" a="1"/>
  <c r="E99" i="16" s="1"/>
  <c r="J99" i="16" a="1"/>
  <c r="J99" i="16" s="1"/>
  <c r="G99" i="16" a="1"/>
  <c r="G99" i="16" s="1"/>
  <c r="H99" i="16" a="1"/>
  <c r="H99" i="16" s="1"/>
  <c r="L99" i="16" a="1"/>
  <c r="L99" i="16" s="1"/>
  <c r="K99" i="16" a="1"/>
  <c r="K99" i="16" s="1"/>
  <c r="O99" i="16" a="1"/>
  <c r="O99" i="16" s="1"/>
  <c r="P99" i="16" a="1"/>
  <c r="P99" i="16" s="1"/>
  <c r="I99" i="16" a="1"/>
  <c r="I99" i="16" s="1"/>
  <c r="F99" i="16" a="1"/>
  <c r="F99" i="16" s="1"/>
  <c r="N99" i="16" a="1"/>
  <c r="N99" i="16" s="1"/>
  <c r="M99" i="16" a="1"/>
  <c r="M99" i="16" s="1"/>
  <c r="H29" i="17" l="1"/>
  <c r="B101" i="16"/>
  <c r="E100" i="16" a="1"/>
  <c r="E100" i="16" s="1"/>
  <c r="H100" i="16" a="1"/>
  <c r="H100" i="16" s="1"/>
  <c r="J100" i="16" a="1"/>
  <c r="J100" i="16" s="1"/>
  <c r="O100" i="16" a="1"/>
  <c r="O100" i="16" s="1"/>
  <c r="G100" i="16" a="1"/>
  <c r="G100" i="16" s="1"/>
  <c r="F100" i="16" a="1"/>
  <c r="F100" i="16" s="1"/>
  <c r="L100" i="16" a="1"/>
  <c r="L100" i="16" s="1"/>
  <c r="N100" i="16" a="1"/>
  <c r="N100" i="16" s="1"/>
  <c r="M100" i="16" a="1"/>
  <c r="M100" i="16" s="1"/>
  <c r="I100" i="16" a="1"/>
  <c r="I100" i="16" s="1"/>
  <c r="P100" i="16" a="1"/>
  <c r="P100" i="16" s="1"/>
  <c r="K100" i="16" a="1"/>
  <c r="K100" i="16" s="1"/>
  <c r="B102" i="16" l="1"/>
  <c r="E101" i="16" a="1"/>
  <c r="E101" i="16" s="1"/>
  <c r="I101" i="16" a="1"/>
  <c r="I101" i="16" s="1"/>
  <c r="J101" i="16" a="1"/>
  <c r="J101" i="16" s="1"/>
  <c r="G101" i="16" a="1"/>
  <c r="G101" i="16" s="1"/>
  <c r="K101" i="16" a="1"/>
  <c r="K101" i="16" s="1"/>
  <c r="H101" i="16" a="1"/>
  <c r="H101" i="16" s="1"/>
  <c r="N101" i="16" a="1"/>
  <c r="N101" i="16" s="1"/>
  <c r="O101" i="16" a="1"/>
  <c r="O101" i="16" s="1"/>
  <c r="P101" i="16" a="1"/>
  <c r="P101" i="16" s="1"/>
  <c r="M101" i="16" a="1"/>
  <c r="M101" i="16" s="1"/>
  <c r="F101" i="16" a="1"/>
  <c r="F101" i="16" s="1"/>
  <c r="L101" i="16" a="1"/>
  <c r="L101" i="16" s="1"/>
  <c r="J30" i="18" l="1"/>
  <c r="B103" i="16"/>
  <c r="E102" i="16" a="1"/>
  <c r="E102" i="16" s="1"/>
  <c r="G102" i="16" a="1"/>
  <c r="G102" i="16" s="1"/>
  <c r="D30" i="18" s="1"/>
  <c r="J102" i="16" a="1"/>
  <c r="J102" i="16" s="1"/>
  <c r="H102" i="16" a="1"/>
  <c r="H102" i="16" s="1"/>
  <c r="F102" i="16" a="1"/>
  <c r="F102" i="16" s="1"/>
  <c r="P102" i="16" a="1"/>
  <c r="P102" i="16" s="1"/>
  <c r="L102" i="16" a="1"/>
  <c r="L102" i="16" s="1"/>
  <c r="M102" i="16" a="1"/>
  <c r="M102" i="16" s="1"/>
  <c r="K102" i="16" a="1"/>
  <c r="K102" i="16" s="1"/>
  <c r="I102" i="16" a="1"/>
  <c r="I102" i="16" s="1"/>
  <c r="N102" i="16" a="1"/>
  <c r="N102" i="16" s="1"/>
  <c r="O102" i="16" a="1"/>
  <c r="O102" i="16" s="1"/>
  <c r="I30" i="18" l="1"/>
  <c r="H30" i="18"/>
  <c r="B104" i="16"/>
  <c r="E103" i="16" a="1"/>
  <c r="E103" i="16" s="1"/>
  <c r="H103" i="16" a="1"/>
  <c r="H103" i="16" s="1"/>
  <c r="J103" i="16" a="1"/>
  <c r="J103" i="16" s="1"/>
  <c r="G103" i="16" a="1"/>
  <c r="G103" i="16" s="1"/>
  <c r="F103" i="16" a="1"/>
  <c r="F103" i="16" s="1"/>
  <c r="I103" i="16" a="1"/>
  <c r="I103" i="16" s="1"/>
  <c r="O103" i="16" a="1"/>
  <c r="O103" i="16" s="1"/>
  <c r="L103" i="16" a="1"/>
  <c r="L103" i="16" s="1"/>
  <c r="K103" i="16" a="1"/>
  <c r="K103" i="16" s="1"/>
  <c r="P103" i="16" a="1"/>
  <c r="P103" i="16" s="1"/>
  <c r="M30" i="17" s="1"/>
  <c r="M103" i="16" a="1"/>
  <c r="M103" i="16" s="1"/>
  <c r="J30" i="17" s="1"/>
  <c r="N103" i="16" a="1"/>
  <c r="N103" i="16" s="1"/>
  <c r="L30" i="17" l="1"/>
  <c r="B105" i="16"/>
  <c r="E104" i="16" a="1"/>
  <c r="E104" i="16" s="1"/>
  <c r="I104" i="16" a="1"/>
  <c r="I104" i="16" s="1"/>
  <c r="G104" i="16" a="1"/>
  <c r="G104" i="16" s="1"/>
  <c r="H104" i="16" a="1"/>
  <c r="H104" i="16" s="1"/>
  <c r="J104" i="16" a="1"/>
  <c r="J104" i="16" s="1"/>
  <c r="F104" i="16" a="1"/>
  <c r="F104" i="16" s="1"/>
  <c r="O104" i="16" a="1"/>
  <c r="O104" i="16" s="1"/>
  <c r="P104" i="16" a="1"/>
  <c r="P104" i="16" s="1"/>
  <c r="M104" i="16" a="1"/>
  <c r="M104" i="16" s="1"/>
  <c r="N104" i="16" a="1"/>
  <c r="N104" i="16" s="1"/>
  <c r="L104" i="16" a="1"/>
  <c r="L104" i="16" s="1"/>
  <c r="K104" i="16" a="1"/>
  <c r="K104" i="16" s="1"/>
  <c r="B106" i="16" l="1"/>
  <c r="E105" i="16" a="1"/>
  <c r="E105" i="16" s="1"/>
  <c r="J105" i="16" a="1"/>
  <c r="J105" i="16" s="1"/>
  <c r="G105" i="16" a="1"/>
  <c r="G105" i="16" s="1"/>
  <c r="H105" i="16" a="1"/>
  <c r="H105" i="16" s="1"/>
  <c r="F105" i="16" a="1"/>
  <c r="F105" i="16" s="1"/>
  <c r="L105" i="16" a="1"/>
  <c r="L105" i="16" s="1"/>
  <c r="N105" i="16" a="1"/>
  <c r="N105" i="16" s="1"/>
  <c r="O105" i="16" a="1"/>
  <c r="O105" i="16" s="1"/>
  <c r="P105" i="16" a="1"/>
  <c r="P105" i="16" s="1"/>
  <c r="I105" i="16" a="1"/>
  <c r="I105" i="16" s="1"/>
  <c r="K105" i="16" a="1"/>
  <c r="K105" i="16" s="1"/>
  <c r="M105" i="16" a="1"/>
  <c r="M105" i="16" s="1"/>
  <c r="B107" i="16" l="1"/>
  <c r="E106" i="16" a="1"/>
  <c r="E106" i="16" s="1"/>
  <c r="H106" i="16" a="1"/>
  <c r="H106" i="16" s="1"/>
  <c r="G106" i="16" a="1"/>
  <c r="G106" i="16" s="1"/>
  <c r="J106" i="16" a="1"/>
  <c r="J106" i="16" s="1"/>
  <c r="G31" i="18" s="1"/>
  <c r="L106" i="16" a="1"/>
  <c r="L106" i="16" s="1"/>
  <c r="F106" i="16" a="1"/>
  <c r="F106" i="16" s="1"/>
  <c r="I106" i="16" a="1"/>
  <c r="I106" i="16" s="1"/>
  <c r="P106" i="16" a="1"/>
  <c r="P106" i="16" s="1"/>
  <c r="K106" i="16" a="1"/>
  <c r="K106" i="16" s="1"/>
  <c r="H31" i="18" s="1"/>
  <c r="N106" i="16" a="1"/>
  <c r="N106" i="16" s="1"/>
  <c r="K31" i="18" s="1"/>
  <c r="M106" i="16" a="1"/>
  <c r="M106" i="16" s="1"/>
  <c r="O106" i="16" a="1"/>
  <c r="O106" i="16" s="1"/>
  <c r="L31" i="18" s="1"/>
  <c r="J31" i="18" l="1"/>
  <c r="B108" i="16"/>
  <c r="E107" i="16" a="1"/>
  <c r="E107" i="16" s="1"/>
  <c r="J107" i="16" a="1"/>
  <c r="J107" i="16" s="1"/>
  <c r="G107" i="16" a="1"/>
  <c r="G107" i="16" s="1"/>
  <c r="H107" i="16" a="1"/>
  <c r="H107" i="16" s="1"/>
  <c r="F107" i="16" a="1"/>
  <c r="F107" i="16" s="1"/>
  <c r="I107" i="16" a="1"/>
  <c r="I107" i="16" s="1"/>
  <c r="K107" i="16" a="1"/>
  <c r="K107" i="16" s="1"/>
  <c r="M107" i="16" a="1"/>
  <c r="M107" i="16" s="1"/>
  <c r="P107" i="16" a="1"/>
  <c r="P107" i="16" s="1"/>
  <c r="M31" i="17" s="1"/>
  <c r="O107" i="16" a="1"/>
  <c r="O107" i="16" s="1"/>
  <c r="L31" i="17" s="1"/>
  <c r="L107" i="16" a="1"/>
  <c r="L107" i="16" s="1"/>
  <c r="N107" i="16" a="1"/>
  <c r="N107" i="16" s="1"/>
  <c r="H31" i="17" l="1"/>
  <c r="B109" i="16"/>
  <c r="E108" i="16" a="1"/>
  <c r="E108" i="16" s="1"/>
  <c r="H108" i="16" a="1"/>
  <c r="H108" i="16" s="1"/>
  <c r="J108" i="16" a="1"/>
  <c r="J108" i="16" s="1"/>
  <c r="F108" i="16" a="1"/>
  <c r="F108" i="16" s="1"/>
  <c r="G108" i="16" a="1"/>
  <c r="G108" i="16" s="1"/>
  <c r="K108" i="16" a="1"/>
  <c r="K108" i="16" s="1"/>
  <c r="M108" i="16" a="1"/>
  <c r="M108" i="16" s="1"/>
  <c r="P108" i="16" a="1"/>
  <c r="P108" i="16" s="1"/>
  <c r="L108" i="16" a="1"/>
  <c r="L108" i="16" s="1"/>
  <c r="O108" i="16" a="1"/>
  <c r="O108" i="16" s="1"/>
  <c r="I108" i="16" a="1"/>
  <c r="I108" i="16" s="1"/>
  <c r="N108" i="16" a="1"/>
  <c r="N108" i="16" s="1"/>
  <c r="B110" i="16" l="1"/>
  <c r="E109" i="16" a="1"/>
  <c r="E109" i="16" s="1"/>
  <c r="G109" i="16" a="1"/>
  <c r="G109" i="16" s="1"/>
  <c r="H109" i="16" a="1"/>
  <c r="H109" i="16" s="1"/>
  <c r="F109" i="16" a="1"/>
  <c r="F109" i="16" s="1"/>
  <c r="J109" i="16" a="1"/>
  <c r="J109" i="16" s="1"/>
  <c r="L109" i="16" a="1"/>
  <c r="L109" i="16" s="1"/>
  <c r="K109" i="16" a="1"/>
  <c r="K109" i="16" s="1"/>
  <c r="O109" i="16" a="1"/>
  <c r="O109" i="16" s="1"/>
  <c r="P109" i="16" a="1"/>
  <c r="P109" i="16" s="1"/>
  <c r="I109" i="16" a="1"/>
  <c r="I109" i="16" s="1"/>
  <c r="M109" i="16" a="1"/>
  <c r="M109" i="16" s="1"/>
  <c r="N109" i="16" a="1"/>
  <c r="N109" i="16" s="1"/>
  <c r="B111" i="16" l="1"/>
  <c r="E110" i="16" a="1"/>
  <c r="E110" i="16" s="1"/>
  <c r="B32" i="18" s="1"/>
  <c r="I110" i="16" a="1"/>
  <c r="I110" i="16" s="1"/>
  <c r="H110" i="16" a="1"/>
  <c r="H110" i="16" s="1"/>
  <c r="G110" i="16" a="1"/>
  <c r="G110" i="16" s="1"/>
  <c r="J110" i="16" a="1"/>
  <c r="J110" i="16" s="1"/>
  <c r="F110" i="16" a="1"/>
  <c r="F110" i="16" s="1"/>
  <c r="L110" i="16" a="1"/>
  <c r="L110" i="16" s="1"/>
  <c r="I32" i="18" s="1"/>
  <c r="M110" i="16" a="1"/>
  <c r="M110" i="16" s="1"/>
  <c r="J32" i="18" s="1"/>
  <c r="K110" i="16" a="1"/>
  <c r="K110" i="16" s="1"/>
  <c r="O110" i="16" a="1"/>
  <c r="O110" i="16" s="1"/>
  <c r="P110" i="16" a="1"/>
  <c r="P110" i="16" s="1"/>
  <c r="M32" i="18" s="1"/>
  <c r="N110" i="16" a="1"/>
  <c r="N110" i="16" s="1"/>
  <c r="H32" i="18" l="1"/>
  <c r="B112" i="16"/>
  <c r="E111" i="16" a="1"/>
  <c r="E111" i="16" s="1"/>
  <c r="J111" i="16" a="1"/>
  <c r="J111" i="16" s="1"/>
  <c r="G111" i="16" a="1"/>
  <c r="G111" i="16" s="1"/>
  <c r="M111" i="16" a="1"/>
  <c r="M111" i="16" s="1"/>
  <c r="J32" i="17" s="1"/>
  <c r="K111" i="16" a="1"/>
  <c r="K111" i="16" s="1"/>
  <c r="F111" i="16" a="1"/>
  <c r="F111" i="16" s="1"/>
  <c r="O111" i="16" a="1"/>
  <c r="O111" i="16" s="1"/>
  <c r="H111" i="16" a="1"/>
  <c r="H111" i="16" s="1"/>
  <c r="P111" i="16" a="1"/>
  <c r="P111" i="16" s="1"/>
  <c r="N111" i="16" a="1"/>
  <c r="N111" i="16" s="1"/>
  <c r="I111" i="16" a="1"/>
  <c r="I111" i="16" s="1"/>
  <c r="L111" i="16" a="1"/>
  <c r="L111" i="16" s="1"/>
  <c r="I32" i="17" s="1"/>
  <c r="M32" i="17" l="1"/>
  <c r="K32" i="17"/>
  <c r="B113" i="16"/>
  <c r="E112" i="16" a="1"/>
  <c r="E112" i="16" s="1"/>
  <c r="H112" i="16" a="1"/>
  <c r="H112" i="16" s="1"/>
  <c r="G112" i="16" a="1"/>
  <c r="G112" i="16" s="1"/>
  <c r="J112" i="16" a="1"/>
  <c r="J112" i="16" s="1"/>
  <c r="K112" i="16" a="1"/>
  <c r="K112" i="16" s="1"/>
  <c r="F112" i="16" a="1"/>
  <c r="F112" i="16" s="1"/>
  <c r="P112" i="16" a="1"/>
  <c r="P112" i="16" s="1"/>
  <c r="L112" i="16" a="1"/>
  <c r="L112" i="16" s="1"/>
  <c r="I112" i="16" a="1"/>
  <c r="I112" i="16" s="1"/>
  <c r="M112" i="16" a="1"/>
  <c r="M112" i="16" s="1"/>
  <c r="N112" i="16" a="1"/>
  <c r="N112" i="16" s="1"/>
  <c r="O112" i="16" a="1"/>
  <c r="O112" i="16" s="1"/>
  <c r="B114" i="16" l="1"/>
  <c r="E113" i="16" a="1"/>
  <c r="E113" i="16" s="1"/>
  <c r="I113" i="16" a="1"/>
  <c r="I113" i="16" s="1"/>
  <c r="H113" i="16" a="1"/>
  <c r="H113" i="16" s="1"/>
  <c r="J113" i="16" a="1"/>
  <c r="J113" i="16" s="1"/>
  <c r="G113" i="16" a="1"/>
  <c r="G113" i="16" s="1"/>
  <c r="F113" i="16" a="1"/>
  <c r="F113" i="16" s="1"/>
  <c r="P113" i="16" a="1"/>
  <c r="P113" i="16" s="1"/>
  <c r="O113" i="16" a="1"/>
  <c r="O113" i="16" s="1"/>
  <c r="L113" i="16" a="1"/>
  <c r="L113" i="16" s="1"/>
  <c r="K113" i="16" a="1"/>
  <c r="K113" i="16" s="1"/>
  <c r="M113" i="16" a="1"/>
  <c r="M113" i="16" s="1"/>
  <c r="N113" i="16" a="1"/>
  <c r="N113" i="16" s="1"/>
  <c r="B115" i="16" l="1"/>
  <c r="E114" i="16" a="1"/>
  <c r="E114" i="16" s="1"/>
  <c r="H114" i="16" a="1"/>
  <c r="H114" i="16" s="1"/>
  <c r="J114" i="16" a="1"/>
  <c r="J114" i="16" s="1"/>
  <c r="I114" i="16" a="1"/>
  <c r="I114" i="16" s="1"/>
  <c r="F114" i="16" a="1"/>
  <c r="F114" i="16" s="1"/>
  <c r="O114" i="16" a="1"/>
  <c r="O114" i="16" s="1"/>
  <c r="L33" i="18" s="1"/>
  <c r="P114" i="16" a="1"/>
  <c r="P114" i="16" s="1"/>
  <c r="M33" i="18" s="1"/>
  <c r="L114" i="16" a="1"/>
  <c r="L114" i="16" s="1"/>
  <c r="I33" i="18" s="1"/>
  <c r="G114" i="16" a="1"/>
  <c r="G114" i="16" s="1"/>
  <c r="K114" i="16" a="1"/>
  <c r="K114" i="16" s="1"/>
  <c r="H33" i="18" s="1"/>
  <c r="N114" i="16" a="1"/>
  <c r="N114" i="16" s="1"/>
  <c r="M114" i="16" a="1"/>
  <c r="M114" i="16" s="1"/>
  <c r="B116" i="16" l="1"/>
  <c r="E115" i="16" a="1"/>
  <c r="E115" i="16" s="1"/>
  <c r="J115" i="16" a="1"/>
  <c r="J115" i="16" s="1"/>
  <c r="H115" i="16" a="1"/>
  <c r="H115" i="16" s="1"/>
  <c r="I115" i="16" a="1"/>
  <c r="I115" i="16" s="1"/>
  <c r="O115" i="16" a="1"/>
  <c r="O115" i="16" s="1"/>
  <c r="L33" i="17" s="1"/>
  <c r="M115" i="16" a="1"/>
  <c r="M115" i="16" s="1"/>
  <c r="G115" i="16" a="1"/>
  <c r="G115" i="16" s="1"/>
  <c r="F115" i="16" a="1"/>
  <c r="F115" i="16" s="1"/>
  <c r="K115" i="16" a="1"/>
  <c r="K115" i="16" s="1"/>
  <c r="N115" i="16" a="1"/>
  <c r="N115" i="16" s="1"/>
  <c r="P115" i="16" a="1"/>
  <c r="P115" i="16" s="1"/>
  <c r="M33" i="17" s="1"/>
  <c r="L115" i="16" a="1"/>
  <c r="L115" i="16" s="1"/>
  <c r="H33" i="17" l="1"/>
  <c r="I33" i="17"/>
  <c r="K33" i="17"/>
  <c r="J33" i="17"/>
  <c r="B117" i="16"/>
  <c r="E116" i="16" a="1"/>
  <c r="E116" i="16" s="1"/>
  <c r="J116" i="16" a="1"/>
  <c r="J116" i="16" s="1"/>
  <c r="G116" i="16" a="1"/>
  <c r="G116" i="16" s="1"/>
  <c r="H116" i="16" a="1"/>
  <c r="H116" i="16" s="1"/>
  <c r="I116" i="16" a="1"/>
  <c r="I116" i="16" s="1"/>
  <c r="K116" i="16" a="1"/>
  <c r="K116" i="16" s="1"/>
  <c r="F116" i="16" a="1"/>
  <c r="F116" i="16" s="1"/>
  <c r="P116" i="16" a="1"/>
  <c r="P116" i="16" s="1"/>
  <c r="L116" i="16" a="1"/>
  <c r="L116" i="16" s="1"/>
  <c r="O116" i="16" a="1"/>
  <c r="O116" i="16" s="1"/>
  <c r="M116" i="16" a="1"/>
  <c r="M116" i="16" s="1"/>
  <c r="N116" i="16" a="1"/>
  <c r="N116" i="16" s="1"/>
  <c r="B118" i="16" l="1"/>
  <c r="E117" i="16" a="1"/>
  <c r="E117" i="16" s="1"/>
  <c r="F117" i="16" a="1"/>
  <c r="F117" i="16" s="1"/>
  <c r="J117" i="16" a="1"/>
  <c r="J117" i="16" s="1"/>
  <c r="H117" i="16" a="1"/>
  <c r="H117" i="16" s="1"/>
  <c r="G117" i="16" a="1"/>
  <c r="G117" i="16" s="1"/>
  <c r="L117" i="16" a="1"/>
  <c r="L117" i="16" s="1"/>
  <c r="O117" i="16" a="1"/>
  <c r="O117" i="16" s="1"/>
  <c r="I117" i="16" a="1"/>
  <c r="I117" i="16" s="1"/>
  <c r="P117" i="16" a="1"/>
  <c r="P117" i="16" s="1"/>
  <c r="K117" i="16" a="1"/>
  <c r="K117" i="16" s="1"/>
  <c r="M117" i="16" a="1"/>
  <c r="M117" i="16" s="1"/>
  <c r="N117" i="16" a="1"/>
  <c r="N117" i="16" s="1"/>
  <c r="B119" i="16" l="1"/>
  <c r="E118" i="16" a="1"/>
  <c r="E118" i="16" s="1"/>
  <c r="I118" i="16" a="1"/>
  <c r="I118" i="16" s="1"/>
  <c r="G118" i="16" a="1"/>
  <c r="G118" i="16" s="1"/>
  <c r="J118" i="16" a="1"/>
  <c r="J118" i="16" s="1"/>
  <c r="H118" i="16" a="1"/>
  <c r="H118" i="16" s="1"/>
  <c r="F118" i="16" a="1"/>
  <c r="F118" i="16" s="1"/>
  <c r="C34" i="18" s="1"/>
  <c r="O118" i="16" a="1"/>
  <c r="O118" i="16" s="1"/>
  <c r="L118" i="16" a="1"/>
  <c r="L118" i="16" s="1"/>
  <c r="P118" i="16" a="1"/>
  <c r="P118" i="16" s="1"/>
  <c r="K118" i="16" a="1"/>
  <c r="K118" i="16" s="1"/>
  <c r="H34" i="18" s="1"/>
  <c r="N118" i="16" a="1"/>
  <c r="N118" i="16" s="1"/>
  <c r="K34" i="18" s="1"/>
  <c r="M118" i="16" a="1"/>
  <c r="M118" i="16" s="1"/>
  <c r="I34" i="18" l="1"/>
  <c r="B120" i="16"/>
  <c r="E119" i="16" a="1"/>
  <c r="E119" i="16" s="1"/>
  <c r="G119" i="16" a="1"/>
  <c r="G119" i="16" s="1"/>
  <c r="J119" i="16" a="1"/>
  <c r="J119" i="16" s="1"/>
  <c r="P119" i="16" a="1"/>
  <c r="P119" i="16" s="1"/>
  <c r="M34" i="17" s="1"/>
  <c r="I119" i="16" a="1"/>
  <c r="I119" i="16" s="1"/>
  <c r="O119" i="16" a="1"/>
  <c r="O119" i="16" s="1"/>
  <c r="H119" i="16" a="1"/>
  <c r="H119" i="16" s="1"/>
  <c r="F119" i="16" a="1"/>
  <c r="F119" i="16" s="1"/>
  <c r="N119" i="16" a="1"/>
  <c r="N119" i="16" s="1"/>
  <c r="K34" i="17" s="1"/>
  <c r="L119" i="16" a="1"/>
  <c r="L119" i="16" s="1"/>
  <c r="K119" i="16" a="1"/>
  <c r="K119" i="16" s="1"/>
  <c r="M119" i="16" a="1"/>
  <c r="M119" i="16" s="1"/>
  <c r="L34" i="17" l="1"/>
  <c r="B121" i="16"/>
  <c r="E120" i="16" a="1"/>
  <c r="E120" i="16" s="1"/>
  <c r="G120" i="16" a="1"/>
  <c r="G120" i="16" s="1"/>
  <c r="F120" i="16" a="1"/>
  <c r="F120" i="16" s="1"/>
  <c r="J120" i="16" a="1"/>
  <c r="J120" i="16" s="1"/>
  <c r="H120" i="16" a="1"/>
  <c r="H120" i="16" s="1"/>
  <c r="I120" i="16" a="1"/>
  <c r="I120" i="16" s="1"/>
  <c r="K120" i="16" a="1"/>
  <c r="K120" i="16" s="1"/>
  <c r="O120" i="16" a="1"/>
  <c r="O120" i="16" s="1"/>
  <c r="N120" i="16" a="1"/>
  <c r="N120" i="16" s="1"/>
  <c r="L120" i="16" a="1"/>
  <c r="L120" i="16" s="1"/>
  <c r="P120" i="16" a="1"/>
  <c r="P120" i="16" s="1"/>
  <c r="M120" i="16" a="1"/>
  <c r="M120" i="16" s="1"/>
  <c r="B122" i="16" l="1"/>
  <c r="E121" i="16" a="1"/>
  <c r="E121" i="16" s="1"/>
  <c r="J121" i="16" a="1"/>
  <c r="J121" i="16" s="1"/>
  <c r="G121" i="16" a="1"/>
  <c r="G121" i="16" s="1"/>
  <c r="I121" i="16" a="1"/>
  <c r="I121" i="16" s="1"/>
  <c r="F121" i="16" a="1"/>
  <c r="F121" i="16" s="1"/>
  <c r="H121" i="16" a="1"/>
  <c r="H121" i="16" s="1"/>
  <c r="P121" i="16" a="1"/>
  <c r="P121" i="16" s="1"/>
  <c r="K121" i="16" a="1"/>
  <c r="K121" i="16" s="1"/>
  <c r="O121" i="16" a="1"/>
  <c r="O121" i="16" s="1"/>
  <c r="L121" i="16" a="1"/>
  <c r="L121" i="16" s="1"/>
  <c r="M121" i="16" a="1"/>
  <c r="M121" i="16" s="1"/>
  <c r="N121" i="16" a="1"/>
  <c r="N121" i="16" s="1"/>
  <c r="B123" i="16" l="1"/>
  <c r="E122" i="16" a="1"/>
  <c r="E122" i="16" s="1"/>
  <c r="G122" i="16" a="1"/>
  <c r="G122" i="16" s="1"/>
  <c r="H122" i="16" a="1"/>
  <c r="H122" i="16" s="1"/>
  <c r="J122" i="16" a="1"/>
  <c r="J122" i="16" s="1"/>
  <c r="I122" i="16" a="1"/>
  <c r="I122" i="16" s="1"/>
  <c r="F122" i="16" a="1"/>
  <c r="F122" i="16" s="1"/>
  <c r="P122" i="16" a="1"/>
  <c r="P122" i="16" s="1"/>
  <c r="L122" i="16" a="1"/>
  <c r="L122" i="16" s="1"/>
  <c r="K122" i="16" a="1"/>
  <c r="K122" i="16" s="1"/>
  <c r="H35" i="18" s="1"/>
  <c r="O122" i="16" a="1"/>
  <c r="O122" i="16" s="1"/>
  <c r="L35" i="18" s="1"/>
  <c r="M122" i="16" a="1"/>
  <c r="M122" i="16" s="1"/>
  <c r="N122" i="16" a="1"/>
  <c r="N122" i="16" s="1"/>
  <c r="K35" i="18" s="1"/>
  <c r="B124" i="16" l="1"/>
  <c r="E123" i="16" a="1"/>
  <c r="E123" i="16" s="1"/>
  <c r="J123" i="16" a="1"/>
  <c r="J123" i="16" s="1"/>
  <c r="G123" i="16" a="1"/>
  <c r="G123" i="16" s="1"/>
  <c r="H123" i="16" a="1"/>
  <c r="H123" i="16" s="1"/>
  <c r="F123" i="16" a="1"/>
  <c r="F123" i="16" s="1"/>
  <c r="M123" i="16" a="1"/>
  <c r="M123" i="16" s="1"/>
  <c r="K123" i="16" a="1"/>
  <c r="K123" i="16" s="1"/>
  <c r="O123" i="16" a="1"/>
  <c r="O123" i="16" s="1"/>
  <c r="P123" i="16" a="1"/>
  <c r="P123" i="16" s="1"/>
  <c r="L123" i="16" a="1"/>
  <c r="L123" i="16" s="1"/>
  <c r="I123" i="16" a="1"/>
  <c r="I123" i="16" s="1"/>
  <c r="N123" i="16" a="1"/>
  <c r="N123" i="16" s="1"/>
  <c r="H35" i="17" l="1"/>
  <c r="L35" i="17"/>
  <c r="M35" i="17"/>
  <c r="B125" i="16"/>
  <c r="E124" i="16" a="1"/>
  <c r="E124" i="16" s="1"/>
  <c r="J124" i="16" a="1"/>
  <c r="J124" i="16" s="1"/>
  <c r="H124" i="16" a="1"/>
  <c r="H124" i="16" s="1"/>
  <c r="M124" i="16" a="1"/>
  <c r="M124" i="16" s="1"/>
  <c r="K124" i="16" a="1"/>
  <c r="K124" i="16" s="1"/>
  <c r="F124" i="16" a="1"/>
  <c r="F124" i="16" s="1"/>
  <c r="I124" i="16" a="1"/>
  <c r="I124" i="16" s="1"/>
  <c r="O124" i="16" a="1"/>
  <c r="O124" i="16" s="1"/>
  <c r="P124" i="16" a="1"/>
  <c r="P124" i="16" s="1"/>
  <c r="L124" i="16" a="1"/>
  <c r="L124" i="16" s="1"/>
  <c r="G124" i="16" a="1"/>
  <c r="G124" i="16" s="1"/>
  <c r="N124" i="16" a="1"/>
  <c r="N124" i="16" s="1"/>
  <c r="B126" i="16" l="1"/>
  <c r="E125" i="16" a="1"/>
  <c r="E125" i="16" s="1"/>
  <c r="G125" i="16" a="1"/>
  <c r="G125" i="16" s="1"/>
  <c r="F125" i="16" a="1"/>
  <c r="F125" i="16" s="1"/>
  <c r="H125" i="16" a="1"/>
  <c r="H125" i="16" s="1"/>
  <c r="J125" i="16" a="1"/>
  <c r="J125" i="16" s="1"/>
  <c r="K125" i="16" a="1"/>
  <c r="K125" i="16" s="1"/>
  <c r="I125" i="16" a="1"/>
  <c r="I125" i="16" s="1"/>
  <c r="O125" i="16" a="1"/>
  <c r="O125" i="16" s="1"/>
  <c r="P125" i="16" a="1"/>
  <c r="P125" i="16" s="1"/>
  <c r="M125" i="16" a="1"/>
  <c r="M125" i="16" s="1"/>
  <c r="N125" i="16" a="1"/>
  <c r="N125" i="16" s="1"/>
  <c r="L125" i="16" a="1"/>
  <c r="L125" i="16" s="1"/>
  <c r="L36" i="18" l="1"/>
  <c r="B127" i="16"/>
  <c r="E126" i="16" a="1"/>
  <c r="E126" i="16" s="1"/>
  <c r="G126" i="16" a="1"/>
  <c r="G126" i="16" s="1"/>
  <c r="D36" i="18" s="1"/>
  <c r="F126" i="16" a="1"/>
  <c r="F126" i="16" s="1"/>
  <c r="J126" i="16" a="1"/>
  <c r="J126" i="16" s="1"/>
  <c r="H126" i="16" a="1"/>
  <c r="H126" i="16" s="1"/>
  <c r="K126" i="16" a="1"/>
  <c r="K126" i="16" s="1"/>
  <c r="I126" i="16" a="1"/>
  <c r="I126" i="16" s="1"/>
  <c r="O126" i="16" a="1"/>
  <c r="O126" i="16" s="1"/>
  <c r="P126" i="16" a="1"/>
  <c r="P126" i="16" s="1"/>
  <c r="L126" i="16" a="1"/>
  <c r="L126" i="16" s="1"/>
  <c r="I36" i="18" s="1"/>
  <c r="N126" i="16" a="1"/>
  <c r="N126" i="16" s="1"/>
  <c r="M126" i="16" a="1"/>
  <c r="M126" i="16" s="1"/>
  <c r="J36" i="18" s="1"/>
  <c r="B128" i="16" l="1"/>
  <c r="E127" i="16" a="1"/>
  <c r="E127" i="16" s="1"/>
  <c r="N127" i="16" a="1"/>
  <c r="N127" i="16" s="1"/>
  <c r="J127" i="16" a="1"/>
  <c r="J127" i="16" s="1"/>
  <c r="G127" i="16" a="1"/>
  <c r="G127" i="16" s="1"/>
  <c r="O127" i="16" a="1"/>
  <c r="O127" i="16" s="1"/>
  <c r="H127" i="16" a="1"/>
  <c r="H127" i="16" s="1"/>
  <c r="F127" i="16" a="1"/>
  <c r="F127" i="16" s="1"/>
  <c r="P127" i="16" a="1"/>
  <c r="P127" i="16" s="1"/>
  <c r="M36" i="17" s="1"/>
  <c r="L127" i="16" a="1"/>
  <c r="L127" i="16" s="1"/>
  <c r="I127" i="16" a="1"/>
  <c r="I127" i="16" s="1"/>
  <c r="K127" i="16" a="1"/>
  <c r="K127" i="16" s="1"/>
  <c r="M127" i="16" a="1"/>
  <c r="M127" i="16" s="1"/>
  <c r="J36" i="17" s="1"/>
  <c r="F36" i="17"/>
  <c r="I36" i="17" l="1"/>
  <c r="K36" i="17"/>
  <c r="B129" i="16"/>
  <c r="E128" i="16" a="1"/>
  <c r="E128" i="16" s="1"/>
  <c r="G128" i="16" a="1"/>
  <c r="G128" i="16" s="1"/>
  <c r="J128" i="16" a="1"/>
  <c r="J128" i="16" s="1"/>
  <c r="H128" i="16" a="1"/>
  <c r="H128" i="16" s="1"/>
  <c r="I128" i="16" a="1"/>
  <c r="I128" i="16" s="1"/>
  <c r="P128" i="16" a="1"/>
  <c r="P128" i="16" s="1"/>
  <c r="L128" i="16" a="1"/>
  <c r="L128" i="16" s="1"/>
  <c r="F128" i="16" a="1"/>
  <c r="F128" i="16" s="1"/>
  <c r="M128" i="16" a="1"/>
  <c r="M128" i="16" s="1"/>
  <c r="K128" i="16" a="1"/>
  <c r="K128" i="16" s="1"/>
  <c r="O128" i="16" a="1"/>
  <c r="O128" i="16" s="1"/>
  <c r="N128" i="16" a="1"/>
  <c r="N128" i="16" s="1"/>
  <c r="B130" i="16" l="1"/>
  <c r="E129" i="16" a="1"/>
  <c r="E129" i="16" s="1"/>
  <c r="P129" i="16" a="1"/>
  <c r="P129" i="16" s="1"/>
  <c r="G129" i="16" a="1"/>
  <c r="G129" i="16" s="1"/>
  <c r="H129" i="16" a="1"/>
  <c r="H129" i="16" s="1"/>
  <c r="F129" i="16" a="1"/>
  <c r="F129" i="16" s="1"/>
  <c r="J129" i="16" a="1"/>
  <c r="J129" i="16" s="1"/>
  <c r="I129" i="16" a="1"/>
  <c r="I129" i="16" s="1"/>
  <c r="L129" i="16" a="1"/>
  <c r="L129" i="16" s="1"/>
  <c r="K129" i="16" a="1"/>
  <c r="K129" i="16" s="1"/>
  <c r="M129" i="16" a="1"/>
  <c r="M129" i="16" s="1"/>
  <c r="O129" i="16" a="1"/>
  <c r="O129" i="16" s="1"/>
  <c r="N129" i="16" a="1"/>
  <c r="N129" i="16" s="1"/>
  <c r="B131" i="16" l="1"/>
  <c r="E130" i="16" a="1"/>
  <c r="E130" i="16" s="1"/>
  <c r="J130" i="16" a="1"/>
  <c r="J130" i="16" s="1"/>
  <c r="G130" i="16" a="1"/>
  <c r="G130" i="16" s="1"/>
  <c r="H130" i="16" a="1"/>
  <c r="H130" i="16" s="1"/>
  <c r="I130" i="16" a="1"/>
  <c r="I130" i="16" s="1"/>
  <c r="O130" i="16" a="1"/>
  <c r="O130" i="16" s="1"/>
  <c r="L130" i="16" a="1"/>
  <c r="L130" i="16" s="1"/>
  <c r="I37" i="18" s="1"/>
  <c r="M130" i="16" a="1"/>
  <c r="M130" i="16" s="1"/>
  <c r="F130" i="16" a="1"/>
  <c r="F130" i="16" s="1"/>
  <c r="K130" i="16" a="1"/>
  <c r="K130" i="16" s="1"/>
  <c r="N130" i="16" a="1"/>
  <c r="N130" i="16" s="1"/>
  <c r="P130" i="16" a="1"/>
  <c r="P130" i="16" s="1"/>
  <c r="M37" i="18" s="1"/>
  <c r="K37" i="18" l="1"/>
  <c r="B132" i="16"/>
  <c r="E131" i="16" a="1"/>
  <c r="E131" i="16" s="1"/>
  <c r="J131" i="16" a="1"/>
  <c r="J131" i="16" s="1"/>
  <c r="G131" i="16" a="1"/>
  <c r="G131" i="16" s="1"/>
  <c r="H131" i="16" a="1"/>
  <c r="H131" i="16" s="1"/>
  <c r="P131" i="16" a="1"/>
  <c r="P131" i="16" s="1"/>
  <c r="O131" i="16" a="1"/>
  <c r="O131" i="16" s="1"/>
  <c r="M131" i="16" a="1"/>
  <c r="M131" i="16" s="1"/>
  <c r="I131" i="16" a="1"/>
  <c r="I131" i="16" s="1"/>
  <c r="K131" i="16" a="1"/>
  <c r="K131" i="16" s="1"/>
  <c r="H37" i="17" s="1"/>
  <c r="F131" i="16" a="1"/>
  <c r="F131" i="16" s="1"/>
  <c r="L131" i="16" a="1"/>
  <c r="L131" i="16" s="1"/>
  <c r="I37" i="17" s="1"/>
  <c r="N131" i="16" a="1"/>
  <c r="N131" i="16" s="1"/>
  <c r="M37" i="17" l="1"/>
  <c r="J37" i="17"/>
  <c r="L37" i="17"/>
  <c r="B133" i="16"/>
  <c r="E132" i="16" a="1"/>
  <c r="E132" i="16" s="1"/>
  <c r="F132" i="16" a="1"/>
  <c r="F132" i="16" s="1"/>
  <c r="G132" i="16" a="1"/>
  <c r="G132" i="16" s="1"/>
  <c r="L132" i="16" a="1"/>
  <c r="L132" i="16" s="1"/>
  <c r="H132" i="16" a="1"/>
  <c r="H132" i="16" s="1"/>
  <c r="I132" i="16" a="1"/>
  <c r="I132" i="16" s="1"/>
  <c r="M132" i="16" a="1"/>
  <c r="M132" i="16" s="1"/>
  <c r="P132" i="16" a="1"/>
  <c r="P132" i="16" s="1"/>
  <c r="K132" i="16" a="1"/>
  <c r="K132" i="16" s="1"/>
  <c r="J132" i="16" a="1"/>
  <c r="J132" i="16" s="1"/>
  <c r="O132" i="16" a="1"/>
  <c r="O132" i="16" s="1"/>
  <c r="N132" i="16" a="1"/>
  <c r="N132" i="16" s="1"/>
  <c r="B134" i="16" l="1"/>
  <c r="E133" i="16" a="1"/>
  <c r="E133" i="16" s="1"/>
  <c r="G133" i="16" a="1"/>
  <c r="G133" i="16" s="1"/>
  <c r="H133" i="16" a="1"/>
  <c r="H133" i="16" s="1"/>
  <c r="O133" i="16" a="1"/>
  <c r="O133" i="16" s="1"/>
  <c r="P133" i="16" a="1"/>
  <c r="P133" i="16" s="1"/>
  <c r="L133" i="16" a="1"/>
  <c r="L133" i="16" s="1"/>
  <c r="K133" i="16" a="1"/>
  <c r="K133" i="16" s="1"/>
  <c r="F133" i="16" a="1"/>
  <c r="F133" i="16" s="1"/>
  <c r="J133" i="16" a="1"/>
  <c r="J133" i="16" s="1"/>
  <c r="M133" i="16" a="1"/>
  <c r="M133" i="16" s="1"/>
  <c r="N133" i="16" a="1"/>
  <c r="N133" i="16" s="1"/>
  <c r="I133" i="16" a="1"/>
  <c r="I133" i="16" s="1"/>
  <c r="B135" i="16" l="1"/>
  <c r="E134" i="16" a="1"/>
  <c r="E134" i="16" s="1"/>
  <c r="J134" i="16" a="1"/>
  <c r="J134" i="16" s="1"/>
  <c r="G134" i="16" a="1"/>
  <c r="G134" i="16" s="1"/>
  <c r="P134" i="16" a="1"/>
  <c r="P134" i="16" s="1"/>
  <c r="M134" i="16" a="1"/>
  <c r="M134" i="16" s="1"/>
  <c r="J38" i="18" s="1"/>
  <c r="L134" i="16" a="1"/>
  <c r="L134" i="16" s="1"/>
  <c r="I134" i="16" a="1"/>
  <c r="I134" i="16" s="1"/>
  <c r="F38" i="18" s="1"/>
  <c r="O134" i="16" a="1"/>
  <c r="O134" i="16" s="1"/>
  <c r="H134" i="16" a="1"/>
  <c r="H134" i="16" s="1"/>
  <c r="N134" i="16" a="1"/>
  <c r="N134" i="16" s="1"/>
  <c r="K134" i="16" a="1"/>
  <c r="K134" i="16" s="1"/>
  <c r="H38" i="18" s="1"/>
  <c r="F134" i="16" a="1"/>
  <c r="F134" i="16" s="1"/>
  <c r="K38" i="18" l="1"/>
  <c r="B136" i="16"/>
  <c r="E135" i="16" a="1"/>
  <c r="E135" i="16" s="1"/>
  <c r="G135" i="16" a="1"/>
  <c r="G135" i="16" s="1"/>
  <c r="J135" i="16" a="1"/>
  <c r="J135" i="16" s="1"/>
  <c r="H135" i="16" a="1"/>
  <c r="H135" i="16" s="1"/>
  <c r="P135" i="16" a="1"/>
  <c r="P135" i="16" s="1"/>
  <c r="O135" i="16" a="1"/>
  <c r="O135" i="16" s="1"/>
  <c r="K135" i="16" a="1"/>
  <c r="K135" i="16" s="1"/>
  <c r="F135" i="16" a="1"/>
  <c r="F135" i="16" s="1"/>
  <c r="I135" i="16" a="1"/>
  <c r="I135" i="16" s="1"/>
  <c r="L135" i="16" a="1"/>
  <c r="L135" i="16" s="1"/>
  <c r="N135" i="16" a="1"/>
  <c r="N135" i="16" s="1"/>
  <c r="M135" i="16" a="1"/>
  <c r="M135" i="16" s="1"/>
  <c r="J38" i="17" s="1"/>
  <c r="L38" i="17" l="1"/>
  <c r="H38" i="17"/>
  <c r="B137" i="16"/>
  <c r="E136" i="16" a="1"/>
  <c r="E136" i="16" s="1"/>
  <c r="J136" i="16" a="1"/>
  <c r="J136" i="16" s="1"/>
  <c r="G136" i="16" a="1"/>
  <c r="G136" i="16" s="1"/>
  <c r="L136" i="16" a="1"/>
  <c r="L136" i="16" s="1"/>
  <c r="O136" i="16" a="1"/>
  <c r="O136" i="16" s="1"/>
  <c r="P136" i="16" a="1"/>
  <c r="P136" i="16" s="1"/>
  <c r="I136" i="16" a="1"/>
  <c r="I136" i="16" s="1"/>
  <c r="F136" i="16" a="1"/>
  <c r="F136" i="16" s="1"/>
  <c r="M136" i="16" a="1"/>
  <c r="M136" i="16" s="1"/>
  <c r="K136" i="16" a="1"/>
  <c r="K136" i="16" s="1"/>
  <c r="N136" i="16" a="1"/>
  <c r="N136" i="16" s="1"/>
  <c r="H136" i="16" a="1"/>
  <c r="H136" i="16" s="1"/>
  <c r="B138" i="16" l="1"/>
  <c r="E137" i="16" a="1"/>
  <c r="E137" i="16" s="1"/>
  <c r="H137" i="16" a="1"/>
  <c r="H137" i="16" s="1"/>
  <c r="J137" i="16" a="1"/>
  <c r="J137" i="16" s="1"/>
  <c r="G137" i="16" a="1"/>
  <c r="G137" i="16" s="1"/>
  <c r="P137" i="16" a="1"/>
  <c r="P137" i="16" s="1"/>
  <c r="O137" i="16" a="1"/>
  <c r="O137" i="16" s="1"/>
  <c r="L137" i="16" a="1"/>
  <c r="L137" i="16" s="1"/>
  <c r="I137" i="16" a="1"/>
  <c r="I137" i="16" s="1"/>
  <c r="K137" i="16" a="1"/>
  <c r="K137" i="16" s="1"/>
  <c r="F137" i="16" a="1"/>
  <c r="F137" i="16" s="1"/>
  <c r="N137" i="16" a="1"/>
  <c r="N137" i="16" s="1"/>
  <c r="M137" i="16" a="1"/>
  <c r="M137" i="16" s="1"/>
  <c r="B139" i="16" l="1"/>
  <c r="F138" i="16" a="1"/>
  <c r="F138" i="16" s="1"/>
  <c r="C39" i="18" s="1"/>
  <c r="E138" i="16" a="1"/>
  <c r="E138" i="16" s="1"/>
  <c r="G138" i="16" a="1"/>
  <c r="G138" i="16" s="1"/>
  <c r="J138" i="16" a="1"/>
  <c r="J138" i="16" s="1"/>
  <c r="H138" i="16" a="1"/>
  <c r="H138" i="16" s="1"/>
  <c r="K138" i="16" a="1"/>
  <c r="K138" i="16" s="1"/>
  <c r="I138" i="16" a="1"/>
  <c r="I138" i="16" s="1"/>
  <c r="L138" i="16" a="1"/>
  <c r="L138" i="16" s="1"/>
  <c r="N138" i="16" a="1"/>
  <c r="N138" i="16" s="1"/>
  <c r="M138" i="16" a="1"/>
  <c r="M138" i="16" s="1"/>
  <c r="J39" i="18" s="1"/>
  <c r="P138" i="16" a="1"/>
  <c r="P138" i="16" s="1"/>
  <c r="O138" i="16" a="1"/>
  <c r="O138" i="16" s="1"/>
  <c r="B140" i="16" l="1"/>
  <c r="E139" i="16" a="1"/>
  <c r="E139" i="16" s="1"/>
  <c r="J139" i="16" a="1"/>
  <c r="J139" i="16" s="1"/>
  <c r="O139" i="16" a="1"/>
  <c r="O139" i="16" s="1"/>
  <c r="L39" i="17" s="1"/>
  <c r="P139" i="16" a="1"/>
  <c r="P139" i="16" s="1"/>
  <c r="M39" i="17" s="1"/>
  <c r="L139" i="16" a="1"/>
  <c r="L139" i="16" s="1"/>
  <c r="I39" i="17" s="1"/>
  <c r="F139" i="16" a="1"/>
  <c r="F139" i="16" s="1"/>
  <c r="K139" i="16" a="1"/>
  <c r="K139" i="16" s="1"/>
  <c r="I139" i="16" a="1"/>
  <c r="I139" i="16" s="1"/>
  <c r="M139" i="16" a="1"/>
  <c r="M139" i="16" s="1"/>
  <c r="G139" i="16" a="1"/>
  <c r="G139" i="16" s="1"/>
  <c r="H139" i="16" a="1"/>
  <c r="H139" i="16" s="1"/>
  <c r="N139" i="16" a="1"/>
  <c r="N139" i="16" s="1"/>
  <c r="K39" i="17" s="1"/>
  <c r="B141" i="16" l="1"/>
  <c r="E140" i="16" a="1"/>
  <c r="E140" i="16" s="1"/>
  <c r="G140" i="16" a="1"/>
  <c r="G140" i="16" s="1"/>
  <c r="J140" i="16" a="1"/>
  <c r="J140" i="16" s="1"/>
  <c r="H140" i="16" a="1"/>
  <c r="H140" i="16" s="1"/>
  <c r="O140" i="16" a="1"/>
  <c r="O140" i="16" s="1"/>
  <c r="M140" i="16" a="1"/>
  <c r="M140" i="16" s="1"/>
  <c r="L140" i="16" a="1"/>
  <c r="L140" i="16" s="1"/>
  <c r="I140" i="16" a="1"/>
  <c r="I140" i="16" s="1"/>
  <c r="P140" i="16" a="1"/>
  <c r="P140" i="16" s="1"/>
  <c r="F140" i="16" a="1"/>
  <c r="F140" i="16" s="1"/>
  <c r="N140" i="16" a="1"/>
  <c r="N140" i="16" s="1"/>
  <c r="K140" i="16" a="1"/>
  <c r="K140" i="16" s="1"/>
  <c r="B142" i="16" l="1"/>
  <c r="E141" i="16" a="1"/>
  <c r="E141" i="16" s="1"/>
  <c r="G141" i="16" a="1"/>
  <c r="G141" i="16" s="1"/>
  <c r="J141" i="16" a="1"/>
  <c r="J141" i="16" s="1"/>
  <c r="H141" i="16" a="1"/>
  <c r="H141" i="16" s="1"/>
  <c r="F141" i="16" a="1"/>
  <c r="F141" i="16" s="1"/>
  <c r="I141" i="16" a="1"/>
  <c r="I141" i="16" s="1"/>
  <c r="K141" i="16" a="1"/>
  <c r="K141" i="16" s="1"/>
  <c r="O141" i="16" a="1"/>
  <c r="O141" i="16" s="1"/>
  <c r="M141" i="16" a="1"/>
  <c r="M141" i="16" s="1"/>
  <c r="N141" i="16" a="1"/>
  <c r="N141" i="16" s="1"/>
  <c r="L141" i="16" a="1"/>
  <c r="L141" i="16" s="1"/>
  <c r="P141" i="16" a="1"/>
  <c r="P141" i="16" s="1"/>
  <c r="B143" i="16" l="1"/>
  <c r="E142" i="16" a="1"/>
  <c r="E142" i="16" s="1"/>
  <c r="J142" i="16" a="1"/>
  <c r="J142" i="16" s="1"/>
  <c r="H142" i="16" a="1"/>
  <c r="H142" i="16" s="1"/>
  <c r="I142" i="16" a="1"/>
  <c r="I142" i="16" s="1"/>
  <c r="P142" i="16" a="1"/>
  <c r="P142" i="16" s="1"/>
  <c r="K142" i="16" a="1"/>
  <c r="K142" i="16" s="1"/>
  <c r="G142" i="16" a="1"/>
  <c r="G142" i="16" s="1"/>
  <c r="L142" i="16" a="1"/>
  <c r="L142" i="16" s="1"/>
  <c r="M142" i="16" a="1"/>
  <c r="M142" i="16" s="1"/>
  <c r="O142" i="16" a="1"/>
  <c r="O142" i="16" s="1"/>
  <c r="F142" i="16" a="1"/>
  <c r="F142" i="16" s="1"/>
  <c r="N142" i="16" a="1"/>
  <c r="N142" i="16" s="1"/>
  <c r="K40" i="18" s="1"/>
  <c r="I40" i="18" l="1"/>
  <c r="M40" i="18"/>
  <c r="B144" i="16"/>
  <c r="E143" i="16" a="1"/>
  <c r="E143" i="16" s="1"/>
  <c r="J143" i="16" a="1"/>
  <c r="J143" i="16" s="1"/>
  <c r="G143" i="16" a="1"/>
  <c r="G143" i="16" s="1"/>
  <c r="I143" i="16" a="1"/>
  <c r="I143" i="16" s="1"/>
  <c r="P143" i="16" a="1"/>
  <c r="P143" i="16" s="1"/>
  <c r="L143" i="16" a="1"/>
  <c r="L143" i="16" s="1"/>
  <c r="F143" i="16" a="1"/>
  <c r="F143" i="16" s="1"/>
  <c r="O143" i="16" a="1"/>
  <c r="O143" i="16" s="1"/>
  <c r="M143" i="16" a="1"/>
  <c r="M143" i="16" s="1"/>
  <c r="H143" i="16" a="1"/>
  <c r="H143" i="16" s="1"/>
  <c r="N143" i="16" a="1"/>
  <c r="N143" i="16" s="1"/>
  <c r="K143" i="16" a="1"/>
  <c r="K143" i="16" s="1"/>
  <c r="J40" i="17" l="1"/>
  <c r="I40" i="17"/>
  <c r="L40" i="17"/>
  <c r="K40" i="17"/>
  <c r="H40" i="17"/>
  <c r="B145" i="16"/>
  <c r="F144" i="16" a="1"/>
  <c r="F144" i="16" s="1"/>
  <c r="E144" i="16" a="1"/>
  <c r="E144" i="16" s="1"/>
  <c r="J144" i="16" a="1"/>
  <c r="J144" i="16" s="1"/>
  <c r="H144" i="16" a="1"/>
  <c r="H144" i="16" s="1"/>
  <c r="G144" i="16" a="1"/>
  <c r="G144" i="16" s="1"/>
  <c r="K144" i="16" a="1"/>
  <c r="K144" i="16" s="1"/>
  <c r="P144" i="16" a="1"/>
  <c r="P144" i="16" s="1"/>
  <c r="M144" i="16" a="1"/>
  <c r="M144" i="16" s="1"/>
  <c r="O144" i="16" a="1"/>
  <c r="O144" i="16" s="1"/>
  <c r="L144" i="16" a="1"/>
  <c r="L144" i="16" s="1"/>
  <c r="I144" i="16" a="1"/>
  <c r="I144" i="16" s="1"/>
  <c r="N144" i="16" a="1"/>
  <c r="N144" i="16" s="1"/>
  <c r="B146" i="16" l="1"/>
  <c r="E145" i="16" a="1"/>
  <c r="E145" i="16" s="1"/>
  <c r="J145" i="16" a="1"/>
  <c r="J145" i="16" s="1"/>
  <c r="I145" i="16" a="1"/>
  <c r="I145" i="16" s="1"/>
  <c r="O145" i="16" a="1"/>
  <c r="O145" i="16" s="1"/>
  <c r="K145" i="16" a="1"/>
  <c r="K145" i="16" s="1"/>
  <c r="H145" i="16" a="1"/>
  <c r="H145" i="16" s="1"/>
  <c r="G145" i="16" a="1"/>
  <c r="G145" i="16" s="1"/>
  <c r="F145" i="16" a="1"/>
  <c r="F145" i="16" s="1"/>
  <c r="P145" i="16" a="1"/>
  <c r="P145" i="16" s="1"/>
  <c r="N145" i="16" a="1"/>
  <c r="N145" i="16" s="1"/>
  <c r="L145" i="16" a="1"/>
  <c r="L145" i="16" s="1"/>
  <c r="M145" i="16" a="1"/>
  <c r="M145" i="16" s="1"/>
  <c r="B147" i="16" l="1"/>
  <c r="E146" i="16" a="1"/>
  <c r="E146" i="16" s="1"/>
  <c r="H146" i="16" a="1"/>
  <c r="H146" i="16" s="1"/>
  <c r="J146" i="16" a="1"/>
  <c r="J146" i="16" s="1"/>
  <c r="G41" i="18" s="1"/>
  <c r="G146" i="16" a="1"/>
  <c r="G146" i="16" s="1"/>
  <c r="D41" i="18" s="1"/>
  <c r="I146" i="16" a="1"/>
  <c r="I146" i="16" s="1"/>
  <c r="P146" i="16" a="1"/>
  <c r="P146" i="16" s="1"/>
  <c r="K146" i="16" a="1"/>
  <c r="K146" i="16" s="1"/>
  <c r="H41" i="18" s="1"/>
  <c r="L146" i="16" a="1"/>
  <c r="L146" i="16" s="1"/>
  <c r="M146" i="16" a="1"/>
  <c r="M146" i="16" s="1"/>
  <c r="N146" i="16" a="1"/>
  <c r="N146" i="16" s="1"/>
  <c r="K41" i="18" s="1"/>
  <c r="O146" i="16" a="1"/>
  <c r="O146" i="16" s="1"/>
  <c r="F146" i="16" a="1"/>
  <c r="F146" i="16" s="1"/>
  <c r="I41" i="18" l="1"/>
  <c r="L41" i="18"/>
  <c r="B148" i="16"/>
  <c r="E147" i="16" a="1"/>
  <c r="E147" i="16" s="1"/>
  <c r="F147" i="16" a="1"/>
  <c r="F147" i="16" s="1"/>
  <c r="J147" i="16" a="1"/>
  <c r="J147" i="16" s="1"/>
  <c r="G147" i="16" a="1"/>
  <c r="G147" i="16" s="1"/>
  <c r="H147" i="16" a="1"/>
  <c r="H147" i="16" s="1"/>
  <c r="P147" i="16" a="1"/>
  <c r="P147" i="16" s="1"/>
  <c r="L147" i="16" a="1"/>
  <c r="L147" i="16" s="1"/>
  <c r="M147" i="16" a="1"/>
  <c r="M147" i="16" s="1"/>
  <c r="K147" i="16" a="1"/>
  <c r="K147" i="16" s="1"/>
  <c r="H41" i="17" s="1"/>
  <c r="I147" i="16" a="1"/>
  <c r="I147" i="16" s="1"/>
  <c r="O147" i="16" a="1"/>
  <c r="O147" i="16" s="1"/>
  <c r="N147" i="16" a="1"/>
  <c r="N147" i="16" s="1"/>
  <c r="K41" i="17" s="1"/>
  <c r="M41" i="17" l="1"/>
  <c r="B149" i="16"/>
  <c r="E148" i="16" a="1"/>
  <c r="E148" i="16" s="1"/>
  <c r="I148" i="16" a="1"/>
  <c r="I148" i="16" s="1"/>
  <c r="O148" i="16" a="1"/>
  <c r="O148" i="16" s="1"/>
  <c r="K148" i="16" a="1"/>
  <c r="K148" i="16" s="1"/>
  <c r="M148" i="16" a="1"/>
  <c r="M148" i="16" s="1"/>
  <c r="J148" i="16" a="1"/>
  <c r="J148" i="16" s="1"/>
  <c r="H148" i="16" a="1"/>
  <c r="H148" i="16" s="1"/>
  <c r="F148" i="16" a="1"/>
  <c r="F148" i="16" s="1"/>
  <c r="G148" i="16" a="1"/>
  <c r="G148" i="16" s="1"/>
  <c r="L148" i="16" a="1"/>
  <c r="L148" i="16" s="1"/>
  <c r="P148" i="16" a="1"/>
  <c r="P148" i="16" s="1"/>
  <c r="N148" i="16" a="1"/>
  <c r="N148" i="16" s="1"/>
  <c r="B150" i="16" l="1"/>
  <c r="E149" i="16" a="1"/>
  <c r="E149" i="16" s="1"/>
  <c r="J149" i="16" a="1"/>
  <c r="J149" i="16" s="1"/>
  <c r="G149" i="16" a="1"/>
  <c r="G149" i="16" s="1"/>
  <c r="H149" i="16" a="1"/>
  <c r="H149" i="16" s="1"/>
  <c r="I149" i="16" a="1"/>
  <c r="I149" i="16" s="1"/>
  <c r="O149" i="16" a="1"/>
  <c r="O149" i="16" s="1"/>
  <c r="P149" i="16" a="1"/>
  <c r="P149" i="16" s="1"/>
  <c r="L149" i="16" a="1"/>
  <c r="L149" i="16" s="1"/>
  <c r="M149" i="16" a="1"/>
  <c r="M149" i="16" s="1"/>
  <c r="K149" i="16" a="1"/>
  <c r="K149" i="16" s="1"/>
  <c r="N149" i="16" a="1"/>
  <c r="N149" i="16" s="1"/>
  <c r="F149" i="16" a="1"/>
  <c r="F149" i="16" s="1"/>
  <c r="B42" i="18" l="1"/>
  <c r="B151" i="16"/>
  <c r="G150" i="16" a="1"/>
  <c r="G150" i="16" s="1"/>
  <c r="E150" i="16" a="1"/>
  <c r="E150" i="16" s="1"/>
  <c r="J150" i="16" a="1"/>
  <c r="J150" i="16" s="1"/>
  <c r="G42" i="18" s="1"/>
  <c r="F150" i="16" a="1"/>
  <c r="F150" i="16" s="1"/>
  <c r="H150" i="16" a="1"/>
  <c r="H150" i="16" s="1"/>
  <c r="O150" i="16" a="1"/>
  <c r="O150" i="16" s="1"/>
  <c r="P150" i="16" a="1"/>
  <c r="P150" i="16" s="1"/>
  <c r="L150" i="16" a="1"/>
  <c r="L150" i="16" s="1"/>
  <c r="K150" i="16" a="1"/>
  <c r="K150" i="16" s="1"/>
  <c r="I150" i="16" a="1"/>
  <c r="I150" i="16" s="1"/>
  <c r="M150" i="16" a="1"/>
  <c r="M150" i="16" s="1"/>
  <c r="J42" i="18" s="1"/>
  <c r="N150" i="16" a="1"/>
  <c r="N150" i="16" s="1"/>
  <c r="K42" i="18" l="1"/>
  <c r="B152" i="16"/>
  <c r="E151" i="16" a="1"/>
  <c r="E151" i="16" s="1"/>
  <c r="J151" i="16" a="1"/>
  <c r="J151" i="16" s="1"/>
  <c r="M151" i="16" a="1"/>
  <c r="M151" i="16" s="1"/>
  <c r="H151" i="16" a="1"/>
  <c r="H151" i="16" s="1"/>
  <c r="O151" i="16" a="1"/>
  <c r="O151" i="16" s="1"/>
  <c r="K151" i="16" a="1"/>
  <c r="K151" i="16" s="1"/>
  <c r="I151" i="16" a="1"/>
  <c r="I151" i="16" s="1"/>
  <c r="G151" i="16" a="1"/>
  <c r="G151" i="16" s="1"/>
  <c r="F151" i="16" a="1"/>
  <c r="F151" i="16" s="1"/>
  <c r="P151" i="16" a="1"/>
  <c r="P151" i="16" s="1"/>
  <c r="M42" i="17" s="1"/>
  <c r="L151" i="16" a="1"/>
  <c r="L151" i="16" s="1"/>
  <c r="N151" i="16" a="1"/>
  <c r="N151" i="16" s="1"/>
  <c r="H42" i="17" l="1"/>
  <c r="J42" i="17"/>
  <c r="L42" i="17"/>
  <c r="B153" i="16"/>
  <c r="E152" i="16" a="1"/>
  <c r="E152" i="16" s="1"/>
  <c r="J152" i="16" a="1"/>
  <c r="J152" i="16" s="1"/>
  <c r="H152" i="16" a="1"/>
  <c r="H152" i="16" s="1"/>
  <c r="G152" i="16" a="1"/>
  <c r="G152" i="16" s="1"/>
  <c r="I152" i="16" a="1"/>
  <c r="I152" i="16" s="1"/>
  <c r="L152" i="16" a="1"/>
  <c r="L152" i="16" s="1"/>
  <c r="O152" i="16" a="1"/>
  <c r="O152" i="16" s="1"/>
  <c r="N152" i="16" a="1"/>
  <c r="N152" i="16" s="1"/>
  <c r="F152" i="16" a="1"/>
  <c r="F152" i="16" s="1"/>
  <c r="K152" i="16" a="1"/>
  <c r="K152" i="16" s="1"/>
  <c r="P152" i="16" a="1"/>
  <c r="P152" i="16" s="1"/>
  <c r="M152" i="16" a="1"/>
  <c r="M152" i="16" s="1"/>
  <c r="B154" i="16" l="1"/>
  <c r="E153" i="16" a="1"/>
  <c r="E153" i="16" s="1"/>
  <c r="F153" i="16" a="1"/>
  <c r="F153" i="16" s="1"/>
  <c r="J153" i="16" a="1"/>
  <c r="J153" i="16" s="1"/>
  <c r="G153" i="16" a="1"/>
  <c r="G153" i="16" s="1"/>
  <c r="H153" i="16" a="1"/>
  <c r="H153" i="16" s="1"/>
  <c r="O153" i="16" a="1"/>
  <c r="O153" i="16" s="1"/>
  <c r="K153" i="16" a="1"/>
  <c r="K153" i="16" s="1"/>
  <c r="L153" i="16" a="1"/>
  <c r="L153" i="16" s="1"/>
  <c r="M153" i="16" a="1"/>
  <c r="M153" i="16" s="1"/>
  <c r="P153" i="16" a="1"/>
  <c r="P153" i="16" s="1"/>
  <c r="N153" i="16" a="1"/>
  <c r="N153" i="16" s="1"/>
  <c r="I153" i="16" a="1"/>
  <c r="I153" i="16" s="1"/>
  <c r="B155" i="16" l="1"/>
  <c r="E154" i="16" a="1"/>
  <c r="E154" i="16" s="1"/>
  <c r="J154" i="16" a="1"/>
  <c r="J154" i="16" s="1"/>
  <c r="H154" i="16" a="1"/>
  <c r="H154" i="16" s="1"/>
  <c r="I154" i="16" a="1"/>
  <c r="I154" i="16" s="1"/>
  <c r="F43" i="18" s="1"/>
  <c r="G154" i="16" a="1"/>
  <c r="G154" i="16" s="1"/>
  <c r="K154" i="16" a="1"/>
  <c r="K154" i="16" s="1"/>
  <c r="P154" i="16" a="1"/>
  <c r="P154" i="16" s="1"/>
  <c r="O154" i="16" a="1"/>
  <c r="O154" i="16" s="1"/>
  <c r="L43" i="18" s="1"/>
  <c r="M154" i="16" a="1"/>
  <c r="M154" i="16" s="1"/>
  <c r="N154" i="16" a="1"/>
  <c r="N154" i="16" s="1"/>
  <c r="K43" i="18" s="1"/>
  <c r="F154" i="16" a="1"/>
  <c r="F154" i="16" s="1"/>
  <c r="L154" i="16" a="1"/>
  <c r="L154" i="16" s="1"/>
  <c r="I43" i="18" l="1"/>
  <c r="J43" i="18"/>
  <c r="B156" i="16"/>
  <c r="E155" i="16" a="1"/>
  <c r="E155" i="16" s="1"/>
  <c r="J155" i="16" a="1"/>
  <c r="J155" i="16" s="1"/>
  <c r="G155" i="16" a="1"/>
  <c r="G155" i="16" s="1"/>
  <c r="H155" i="16" a="1"/>
  <c r="H155" i="16" s="1"/>
  <c r="L155" i="16" a="1"/>
  <c r="L155" i="16" s="1"/>
  <c r="K155" i="16" a="1"/>
  <c r="K155" i="16" s="1"/>
  <c r="O155" i="16" a="1"/>
  <c r="O155" i="16" s="1"/>
  <c r="P155" i="16" a="1"/>
  <c r="P155" i="16" s="1"/>
  <c r="I155" i="16" a="1"/>
  <c r="I155" i="16" s="1"/>
  <c r="F155" i="16" a="1"/>
  <c r="F155" i="16" s="1"/>
  <c r="M155" i="16" a="1"/>
  <c r="M155" i="16" s="1"/>
  <c r="N155" i="16" a="1"/>
  <c r="N155" i="16" s="1"/>
  <c r="K43" i="17" s="1"/>
  <c r="L43" i="17" l="1"/>
  <c r="H43" i="17"/>
  <c r="M43" i="17"/>
  <c r="B157" i="16"/>
  <c r="G156" i="16" a="1"/>
  <c r="G156" i="16" s="1"/>
  <c r="E156" i="16" a="1"/>
  <c r="E156" i="16" s="1"/>
  <c r="J156" i="16" a="1"/>
  <c r="J156" i="16" s="1"/>
  <c r="F156" i="16" a="1"/>
  <c r="F156" i="16" s="1"/>
  <c r="O156" i="16" a="1"/>
  <c r="O156" i="16" s="1"/>
  <c r="L156" i="16" a="1"/>
  <c r="L156" i="16" s="1"/>
  <c r="K156" i="16" a="1"/>
  <c r="K156" i="16" s="1"/>
  <c r="P156" i="16" a="1"/>
  <c r="P156" i="16" s="1"/>
  <c r="I156" i="16" a="1"/>
  <c r="I156" i="16" s="1"/>
  <c r="M156" i="16" a="1"/>
  <c r="M156" i="16" s="1"/>
  <c r="N156" i="16" a="1"/>
  <c r="N156" i="16" s="1"/>
  <c r="H156" i="16" a="1"/>
  <c r="H156" i="16" s="1"/>
  <c r="B158" i="16" l="1"/>
  <c r="E157" i="16" a="1"/>
  <c r="E157" i="16" s="1"/>
  <c r="G157" i="16" a="1"/>
  <c r="G157" i="16" s="1"/>
  <c r="I157" i="16" a="1"/>
  <c r="I157" i="16" s="1"/>
  <c r="L157" i="16" a="1"/>
  <c r="L157" i="16" s="1"/>
  <c r="H157" i="16" a="1"/>
  <c r="H157" i="16" s="1"/>
  <c r="J157" i="16" a="1"/>
  <c r="J157" i="16" s="1"/>
  <c r="K157" i="16" a="1"/>
  <c r="K157" i="16" s="1"/>
  <c r="P157" i="16" a="1"/>
  <c r="P157" i="16" s="1"/>
  <c r="M157" i="16" a="1"/>
  <c r="M157" i="16" s="1"/>
  <c r="F157" i="16" a="1"/>
  <c r="F157" i="16" s="1"/>
  <c r="N157" i="16" a="1"/>
  <c r="N157" i="16" s="1"/>
  <c r="O157" i="16" a="1"/>
  <c r="O157" i="16" s="1"/>
  <c r="D44" i="18" l="1"/>
  <c r="B159" i="16"/>
  <c r="E158" i="16" a="1"/>
  <c r="E158" i="16" s="1"/>
  <c r="G158" i="16" a="1"/>
  <c r="G158" i="16" s="1"/>
  <c r="F158" i="16" a="1"/>
  <c r="F158" i="16" s="1"/>
  <c r="O158" i="16" a="1"/>
  <c r="O158" i="16" s="1"/>
  <c r="L158" i="16" a="1"/>
  <c r="L158" i="16" s="1"/>
  <c r="K158" i="16" a="1"/>
  <c r="K158" i="16" s="1"/>
  <c r="P158" i="16" a="1"/>
  <c r="P158" i="16" s="1"/>
  <c r="H158" i="16" a="1"/>
  <c r="H158" i="16" s="1"/>
  <c r="I158" i="16" a="1"/>
  <c r="I158" i="16" s="1"/>
  <c r="N158" i="16" a="1"/>
  <c r="N158" i="16" s="1"/>
  <c r="J158" i="16" a="1"/>
  <c r="J158" i="16" s="1"/>
  <c r="M158" i="16" a="1"/>
  <c r="M158" i="16" s="1"/>
  <c r="J44" i="18" s="1"/>
  <c r="I44" i="18" l="1"/>
  <c r="L44" i="18"/>
  <c r="B160" i="16"/>
  <c r="E159" i="16" a="1"/>
  <c r="E159" i="16" s="1"/>
  <c r="F159" i="16" a="1"/>
  <c r="F159" i="16" s="1"/>
  <c r="G159" i="16" a="1"/>
  <c r="G159" i="16" s="1"/>
  <c r="L159" i="16" a="1"/>
  <c r="L159" i="16" s="1"/>
  <c r="H159" i="16" a="1"/>
  <c r="H159" i="16" s="1"/>
  <c r="J159" i="16" a="1"/>
  <c r="J159" i="16" s="1"/>
  <c r="K159" i="16" a="1"/>
  <c r="K159" i="16" s="1"/>
  <c r="P159" i="16" a="1"/>
  <c r="P159" i="16" s="1"/>
  <c r="I159" i="16" a="1"/>
  <c r="I159" i="16" s="1"/>
  <c r="O159" i="16" a="1"/>
  <c r="O159" i="16" s="1"/>
  <c r="M159" i="16" a="1"/>
  <c r="M159" i="16" s="1"/>
  <c r="J44" i="17" s="1"/>
  <c r="N159" i="16" a="1"/>
  <c r="N159" i="16" s="1"/>
  <c r="H44" i="17" l="1"/>
  <c r="M44" i="17"/>
  <c r="B161" i="16"/>
  <c r="E160" i="16" a="1"/>
  <c r="E160" i="16" s="1"/>
  <c r="G160" i="16" a="1"/>
  <c r="G160" i="16" s="1"/>
  <c r="H160" i="16" a="1"/>
  <c r="H160" i="16" s="1"/>
  <c r="F160" i="16" a="1"/>
  <c r="F160" i="16" s="1"/>
  <c r="I160" i="16" a="1"/>
  <c r="I160" i="16" s="1"/>
  <c r="O160" i="16" a="1"/>
  <c r="O160" i="16" s="1"/>
  <c r="L160" i="16" a="1"/>
  <c r="L160" i="16" s="1"/>
  <c r="P160" i="16" a="1"/>
  <c r="P160" i="16" s="1"/>
  <c r="K160" i="16" a="1"/>
  <c r="K160" i="16" s="1"/>
  <c r="J160" i="16" a="1"/>
  <c r="J160" i="16" s="1"/>
  <c r="N160" i="16" a="1"/>
  <c r="N160" i="16" s="1"/>
  <c r="M160" i="16" a="1"/>
  <c r="M160" i="16" s="1"/>
  <c r="B162" i="16" l="1"/>
  <c r="E161" i="16" a="1"/>
  <c r="E161" i="16" s="1"/>
  <c r="H161" i="16" a="1"/>
  <c r="H161" i="16" s="1"/>
  <c r="G161" i="16" a="1"/>
  <c r="G161" i="16" s="1"/>
  <c r="F161" i="16" a="1"/>
  <c r="F161" i="16" s="1"/>
  <c r="K161" i="16" a="1"/>
  <c r="K161" i="16" s="1"/>
  <c r="J161" i="16" a="1"/>
  <c r="J161" i="16" s="1"/>
  <c r="P161" i="16" a="1"/>
  <c r="P161" i="16" s="1"/>
  <c r="M161" i="16" a="1"/>
  <c r="M161" i="16" s="1"/>
  <c r="N161" i="16" a="1"/>
  <c r="N161" i="16" s="1"/>
  <c r="O161" i="16" a="1"/>
  <c r="O161" i="16" s="1"/>
  <c r="L161" i="16" a="1"/>
  <c r="L161" i="16" s="1"/>
  <c r="I161" i="16" a="1"/>
  <c r="I161" i="16" s="1"/>
  <c r="B163" i="16" l="1"/>
  <c r="E162" i="16" a="1"/>
  <c r="E162" i="16" s="1"/>
  <c r="J162" i="16" a="1"/>
  <c r="J162" i="16" s="1"/>
  <c r="I162" i="16" a="1"/>
  <c r="I162" i="16" s="1"/>
  <c r="F45" i="18" s="1"/>
  <c r="G162" i="16" a="1"/>
  <c r="G162" i="16" s="1"/>
  <c r="H162" i="16" a="1"/>
  <c r="H162" i="16" s="1"/>
  <c r="P162" i="16" a="1"/>
  <c r="P162" i="16" s="1"/>
  <c r="K162" i="16" a="1"/>
  <c r="K162" i="16" s="1"/>
  <c r="M162" i="16" a="1"/>
  <c r="M162" i="16" s="1"/>
  <c r="J45" i="18" s="1"/>
  <c r="L162" i="16" a="1"/>
  <c r="L162" i="16" s="1"/>
  <c r="N162" i="16" a="1"/>
  <c r="N162" i="16" s="1"/>
  <c r="O162" i="16" a="1"/>
  <c r="O162" i="16" s="1"/>
  <c r="L45" i="18" s="1"/>
  <c r="F162" i="16" a="1"/>
  <c r="F162" i="16" s="1"/>
  <c r="M45" i="18" l="1"/>
  <c r="B164" i="16"/>
  <c r="E163" i="16" a="1"/>
  <c r="E163" i="16" s="1"/>
  <c r="J163" i="16" a="1"/>
  <c r="J163" i="16" s="1"/>
  <c r="G163" i="16" a="1"/>
  <c r="G163" i="16" s="1"/>
  <c r="H163" i="16" a="1"/>
  <c r="H163" i="16" s="1"/>
  <c r="F163" i="16" a="1"/>
  <c r="F163" i="16" s="1"/>
  <c r="P163" i="16" a="1"/>
  <c r="P163" i="16" s="1"/>
  <c r="K163" i="16" a="1"/>
  <c r="K163" i="16" s="1"/>
  <c r="L163" i="16" a="1"/>
  <c r="L163" i="16" s="1"/>
  <c r="I163" i="16" a="1"/>
  <c r="I163" i="16" s="1"/>
  <c r="O163" i="16" a="1"/>
  <c r="O163" i="16" s="1"/>
  <c r="N163" i="16" a="1"/>
  <c r="N163" i="16" s="1"/>
  <c r="K45" i="17" s="1"/>
  <c r="M163" i="16" a="1"/>
  <c r="M163" i="16" s="1"/>
  <c r="J45" i="17" s="1"/>
  <c r="I45" i="17" l="1"/>
  <c r="H45" i="17"/>
  <c r="B165" i="16"/>
  <c r="E164" i="16" a="1"/>
  <c r="E164" i="16" s="1"/>
  <c r="J164" i="16" a="1"/>
  <c r="J164" i="16" s="1"/>
  <c r="H164" i="16" a="1"/>
  <c r="H164" i="16" s="1"/>
  <c r="G164" i="16" a="1"/>
  <c r="G164" i="16" s="1"/>
  <c r="M164" i="16" a="1"/>
  <c r="M164" i="16" s="1"/>
  <c r="O164" i="16" a="1"/>
  <c r="O164" i="16" s="1"/>
  <c r="I164" i="16" a="1"/>
  <c r="I164" i="16" s="1"/>
  <c r="L164" i="16" a="1"/>
  <c r="L164" i="16" s="1"/>
  <c r="P164" i="16" a="1"/>
  <c r="P164" i="16" s="1"/>
  <c r="K164" i="16" a="1"/>
  <c r="K164" i="16" s="1"/>
  <c r="F164" i="16" a="1"/>
  <c r="F164" i="16" s="1"/>
  <c r="N164" i="16" a="1"/>
  <c r="N164" i="16" s="1"/>
  <c r="B166" i="16" l="1"/>
  <c r="E165" i="16" a="1"/>
  <c r="E165" i="16" s="1"/>
  <c r="J165" i="16" a="1"/>
  <c r="J165" i="16" s="1"/>
  <c r="G165" i="16" a="1"/>
  <c r="G165" i="16" s="1"/>
  <c r="H165" i="16" a="1"/>
  <c r="H165" i="16" s="1"/>
  <c r="I165" i="16" a="1"/>
  <c r="I165" i="16" s="1"/>
  <c r="M165" i="16" a="1"/>
  <c r="M165" i="16" s="1"/>
  <c r="O165" i="16" a="1"/>
  <c r="O165" i="16" s="1"/>
  <c r="L165" i="16" a="1"/>
  <c r="L165" i="16" s="1"/>
  <c r="P165" i="16" a="1"/>
  <c r="P165" i="16" s="1"/>
  <c r="F165" i="16" a="1"/>
  <c r="F165" i="16" s="1"/>
  <c r="K165" i="16" a="1"/>
  <c r="K165" i="16" s="1"/>
  <c r="N165" i="16" a="1"/>
  <c r="N165" i="16" s="1"/>
  <c r="B167" i="16" l="1"/>
  <c r="E166" i="16" a="1"/>
  <c r="E166" i="16" s="1"/>
  <c r="H166" i="16" a="1"/>
  <c r="H166" i="16" s="1"/>
  <c r="J166" i="16" a="1"/>
  <c r="J166" i="16" s="1"/>
  <c r="I166" i="16" a="1"/>
  <c r="I166" i="16" s="1"/>
  <c r="G166" i="16" a="1"/>
  <c r="G166" i="16" s="1"/>
  <c r="F166" i="16" a="1"/>
  <c r="F166" i="16" s="1"/>
  <c r="C46" i="18" s="1"/>
  <c r="O166" i="16" a="1"/>
  <c r="O166" i="16" s="1"/>
  <c r="L166" i="16" a="1"/>
  <c r="L166" i="16" s="1"/>
  <c r="K166" i="16" a="1"/>
  <c r="K166" i="16" s="1"/>
  <c r="P166" i="16" a="1"/>
  <c r="P166" i="16" s="1"/>
  <c r="M46" i="18" s="1"/>
  <c r="N166" i="16" a="1"/>
  <c r="N166" i="16" s="1"/>
  <c r="M166" i="16" a="1"/>
  <c r="M166" i="16" s="1"/>
  <c r="J46" i="18" s="1"/>
  <c r="L46" i="18" l="1"/>
  <c r="K46" i="18"/>
  <c r="I46" i="18"/>
  <c r="B168" i="16"/>
  <c r="E167" i="16" a="1"/>
  <c r="E167" i="16" s="1"/>
  <c r="G167" i="16" a="1"/>
  <c r="G167" i="16" s="1"/>
  <c r="H167" i="16" a="1"/>
  <c r="H167" i="16" s="1"/>
  <c r="J167" i="16" a="1"/>
  <c r="J167" i="16" s="1"/>
  <c r="M167" i="16" a="1"/>
  <c r="M167" i="16" s="1"/>
  <c r="J46" i="17" s="1"/>
  <c r="O167" i="16" a="1"/>
  <c r="O167" i="16" s="1"/>
  <c r="L167" i="16" a="1"/>
  <c r="L167" i="16" s="1"/>
  <c r="I46" i="17" s="1"/>
  <c r="K167" i="16" a="1"/>
  <c r="K167" i="16" s="1"/>
  <c r="I167" i="16" a="1"/>
  <c r="I167" i="16" s="1"/>
  <c r="P167" i="16" a="1"/>
  <c r="P167" i="16" s="1"/>
  <c r="F167" i="16" a="1"/>
  <c r="F167" i="16" s="1"/>
  <c r="N167" i="16" a="1"/>
  <c r="N167" i="16" s="1"/>
  <c r="H46" i="17" l="1"/>
  <c r="B46" i="17"/>
  <c r="B169" i="16"/>
  <c r="E168" i="16" a="1"/>
  <c r="E168" i="16" s="1"/>
  <c r="I168" i="16" a="1"/>
  <c r="I168" i="16" s="1"/>
  <c r="H168" i="16" a="1"/>
  <c r="H168" i="16" s="1"/>
  <c r="G168" i="16" a="1"/>
  <c r="G168" i="16" s="1"/>
  <c r="J168" i="16" a="1"/>
  <c r="J168" i="16" s="1"/>
  <c r="O168" i="16" a="1"/>
  <c r="O168" i="16" s="1"/>
  <c r="F168" i="16" a="1"/>
  <c r="F168" i="16" s="1"/>
  <c r="L168" i="16" a="1"/>
  <c r="L168" i="16" s="1"/>
  <c r="K168" i="16" a="1"/>
  <c r="K168" i="16" s="1"/>
  <c r="P168" i="16" a="1"/>
  <c r="P168" i="16" s="1"/>
  <c r="N168" i="16" a="1"/>
  <c r="N168" i="16" s="1"/>
  <c r="M168" i="16" a="1"/>
  <c r="M168" i="16" s="1"/>
  <c r="B170" i="16" l="1"/>
  <c r="E169" i="16" a="1"/>
  <c r="E169" i="16" s="1"/>
  <c r="F169" i="16" a="1"/>
  <c r="F169" i="16" s="1"/>
  <c r="H169" i="16" a="1"/>
  <c r="H169" i="16" s="1"/>
  <c r="J169" i="16" a="1"/>
  <c r="J169" i="16" s="1"/>
  <c r="G169" i="16" a="1"/>
  <c r="G169" i="16" s="1"/>
  <c r="I169" i="16" a="1"/>
  <c r="I169" i="16" s="1"/>
  <c r="L169" i="16" a="1"/>
  <c r="L169" i="16" s="1"/>
  <c r="K169" i="16" a="1"/>
  <c r="K169" i="16" s="1"/>
  <c r="P169" i="16" a="1"/>
  <c r="P169" i="16" s="1"/>
  <c r="O169" i="16" a="1"/>
  <c r="O169" i="16" s="1"/>
  <c r="M169" i="16" a="1"/>
  <c r="M169" i="16" s="1"/>
  <c r="N169" i="16" a="1"/>
  <c r="N169" i="16" s="1"/>
  <c r="B171" i="16" l="1"/>
  <c r="E170" i="16" a="1"/>
  <c r="E170" i="16" s="1"/>
  <c r="J170" i="16" a="1"/>
  <c r="J170" i="16" s="1"/>
  <c r="I170" i="16" a="1"/>
  <c r="I170" i="16" s="1"/>
  <c r="F47" i="18" s="1"/>
  <c r="F170" i="16" a="1"/>
  <c r="F170" i="16" s="1"/>
  <c r="L170" i="16" a="1"/>
  <c r="L170" i="16" s="1"/>
  <c r="K170" i="16" a="1"/>
  <c r="K170" i="16" s="1"/>
  <c r="P170" i="16" a="1"/>
  <c r="P170" i="16" s="1"/>
  <c r="O170" i="16" a="1"/>
  <c r="O170" i="16" s="1"/>
  <c r="M170" i="16" a="1"/>
  <c r="M170" i="16" s="1"/>
  <c r="J47" i="18" s="1"/>
  <c r="N170" i="16" a="1"/>
  <c r="N170" i="16" s="1"/>
  <c r="K47" i="18" s="1"/>
  <c r="G170" i="16" a="1"/>
  <c r="G170" i="16" s="1"/>
  <c r="H170" i="16" a="1"/>
  <c r="H170" i="16" s="1"/>
  <c r="L47" i="18" l="1"/>
  <c r="B172" i="16"/>
  <c r="E171" i="16" a="1"/>
  <c r="E171" i="16" s="1"/>
  <c r="J171" i="16" a="1"/>
  <c r="J171" i="16" s="1"/>
  <c r="G171" i="16" a="1"/>
  <c r="G171" i="16" s="1"/>
  <c r="K171" i="16" a="1"/>
  <c r="K171" i="16" s="1"/>
  <c r="H47" i="17" s="1"/>
  <c r="F171" i="16" a="1"/>
  <c r="F171" i="16" s="1"/>
  <c r="P171" i="16" a="1"/>
  <c r="P171" i="16" s="1"/>
  <c r="H171" i="16" a="1"/>
  <c r="H171" i="16" s="1"/>
  <c r="O171" i="16" a="1"/>
  <c r="O171" i="16" s="1"/>
  <c r="M171" i="16" a="1"/>
  <c r="M171" i="16" s="1"/>
  <c r="L171" i="16" a="1"/>
  <c r="L171" i="16" s="1"/>
  <c r="N171" i="16" a="1"/>
  <c r="N171" i="16" s="1"/>
  <c r="I171" i="16" a="1"/>
  <c r="I171" i="16" s="1"/>
  <c r="J47" i="17" l="1"/>
  <c r="K47" i="17"/>
  <c r="I47" i="17"/>
  <c r="B173" i="16"/>
  <c r="E172" i="16" a="1"/>
  <c r="E172" i="16" s="1"/>
  <c r="G172" i="16" a="1"/>
  <c r="G172" i="16" s="1"/>
  <c r="F172" i="16" a="1"/>
  <c r="F172" i="16" s="1"/>
  <c r="H172" i="16" a="1"/>
  <c r="H172" i="16" s="1"/>
  <c r="J172" i="16" a="1"/>
  <c r="J172" i="16" s="1"/>
  <c r="K172" i="16" a="1"/>
  <c r="K172" i="16" s="1"/>
  <c r="M172" i="16" a="1"/>
  <c r="M172" i="16" s="1"/>
  <c r="P172" i="16" a="1"/>
  <c r="P172" i="16" s="1"/>
  <c r="I172" i="16" a="1"/>
  <c r="I172" i="16" s="1"/>
  <c r="N172" i="16" a="1"/>
  <c r="N172" i="16" s="1"/>
  <c r="O172" i="16" a="1"/>
  <c r="O172" i="16" s="1"/>
  <c r="L172" i="16" a="1"/>
  <c r="L172" i="16" s="1"/>
  <c r="B174" i="16" l="1"/>
  <c r="E173" i="16" a="1"/>
  <c r="E173" i="16" s="1"/>
  <c r="I173" i="16" a="1"/>
  <c r="I173" i="16" s="1"/>
  <c r="G173" i="16" a="1"/>
  <c r="G173" i="16" s="1"/>
  <c r="J173" i="16" a="1"/>
  <c r="J173" i="16" s="1"/>
  <c r="F173" i="16" a="1"/>
  <c r="F173" i="16" s="1"/>
  <c r="P173" i="16" a="1"/>
  <c r="P173" i="16" s="1"/>
  <c r="H173" i="16" a="1"/>
  <c r="H173" i="16" s="1"/>
  <c r="O173" i="16" a="1"/>
  <c r="O173" i="16" s="1"/>
  <c r="M173" i="16" a="1"/>
  <c r="M173" i="16" s="1"/>
  <c r="N173" i="16" a="1"/>
  <c r="N173" i="16" s="1"/>
  <c r="K173" i="16" a="1"/>
  <c r="K173" i="16" s="1"/>
  <c r="L173" i="16" a="1"/>
  <c r="L173" i="16" s="1"/>
  <c r="B175" i="16" l="1"/>
  <c r="E174" i="16" a="1"/>
  <c r="E174" i="16" s="1"/>
  <c r="G174" i="16" a="1"/>
  <c r="G174" i="16" s="1"/>
  <c r="H174" i="16" a="1"/>
  <c r="H174" i="16" s="1"/>
  <c r="J174" i="16" a="1"/>
  <c r="J174" i="16" s="1"/>
  <c r="I174" i="16" a="1"/>
  <c r="I174" i="16" s="1"/>
  <c r="K174" i="16" a="1"/>
  <c r="K174" i="16" s="1"/>
  <c r="F174" i="16" a="1"/>
  <c r="F174" i="16" s="1"/>
  <c r="P174" i="16" a="1"/>
  <c r="P174" i="16" s="1"/>
  <c r="M174" i="16" a="1"/>
  <c r="M174" i="16" s="1"/>
  <c r="J48" i="18" s="1"/>
  <c r="N174" i="16" a="1"/>
  <c r="N174" i="16" s="1"/>
  <c r="L174" i="16" a="1"/>
  <c r="L174" i="16" s="1"/>
  <c r="I48" i="18" s="1"/>
  <c r="O174" i="16" a="1"/>
  <c r="O174" i="16" s="1"/>
  <c r="L48" i="18" s="1"/>
  <c r="H48" i="18" l="1"/>
  <c r="B176" i="16"/>
  <c r="E175" i="16" a="1"/>
  <c r="E175" i="16" s="1"/>
  <c r="G175" i="16" a="1"/>
  <c r="G175" i="16" s="1"/>
  <c r="J175" i="16" a="1"/>
  <c r="J175" i="16" s="1"/>
  <c r="K175" i="16" a="1"/>
  <c r="K175" i="16" s="1"/>
  <c r="P175" i="16" a="1"/>
  <c r="P175" i="16" s="1"/>
  <c r="O175" i="16" a="1"/>
  <c r="O175" i="16" s="1"/>
  <c r="L48" i="17" s="1"/>
  <c r="M175" i="16" a="1"/>
  <c r="M175" i="16" s="1"/>
  <c r="L175" i="16" a="1"/>
  <c r="L175" i="16" s="1"/>
  <c r="N175" i="16" a="1"/>
  <c r="N175" i="16" s="1"/>
  <c r="F175" i="16" a="1"/>
  <c r="F175" i="16" s="1"/>
  <c r="H175" i="16" a="1"/>
  <c r="H175" i="16" s="1"/>
  <c r="I175" i="16" a="1"/>
  <c r="I175" i="16" s="1"/>
  <c r="J48" i="17" l="1"/>
  <c r="K48" i="17"/>
  <c r="I48" i="17"/>
  <c r="B177" i="16"/>
  <c r="E176" i="16" a="1"/>
  <c r="E176" i="16" s="1"/>
  <c r="H176" i="16" a="1"/>
  <c r="H176" i="16" s="1"/>
  <c r="J176" i="16" a="1"/>
  <c r="J176" i="16" s="1"/>
  <c r="G176" i="16" a="1"/>
  <c r="G176" i="16" s="1"/>
  <c r="P176" i="16" a="1"/>
  <c r="P176" i="16" s="1"/>
  <c r="F176" i="16" a="1"/>
  <c r="F176" i="16" s="1"/>
  <c r="I176" i="16" a="1"/>
  <c r="I176" i="16" s="1"/>
  <c r="M176" i="16" a="1"/>
  <c r="M176" i="16" s="1"/>
  <c r="K176" i="16" a="1"/>
  <c r="K176" i="16" s="1"/>
  <c r="N176" i="16" a="1"/>
  <c r="N176" i="16" s="1"/>
  <c r="O176" i="16" a="1"/>
  <c r="O176" i="16" s="1"/>
  <c r="L176" i="16" a="1"/>
  <c r="L176" i="16" s="1"/>
  <c r="B178" i="16" l="1"/>
  <c r="E177" i="16" a="1"/>
  <c r="E177" i="16" s="1"/>
  <c r="J177" i="16" a="1"/>
  <c r="J177" i="16" s="1"/>
  <c r="F177" i="16" a="1"/>
  <c r="F177" i="16" s="1"/>
  <c r="P177" i="16" a="1"/>
  <c r="P177" i="16" s="1"/>
  <c r="H177" i="16" a="1"/>
  <c r="H177" i="16" s="1"/>
  <c r="I177" i="16" a="1"/>
  <c r="I177" i="16" s="1"/>
  <c r="M177" i="16" a="1"/>
  <c r="M177" i="16" s="1"/>
  <c r="K177" i="16" a="1"/>
  <c r="K177" i="16" s="1"/>
  <c r="O177" i="16" a="1"/>
  <c r="O177" i="16" s="1"/>
  <c r="L177" i="16" a="1"/>
  <c r="L177" i="16" s="1"/>
  <c r="N177" i="16" a="1"/>
  <c r="N177" i="16" s="1"/>
  <c r="G177" i="16" a="1"/>
  <c r="G177" i="16" s="1"/>
  <c r="B49" i="18" l="1"/>
  <c r="B179" i="16"/>
  <c r="E178" i="16" a="1"/>
  <c r="E178" i="16" s="1"/>
  <c r="J178" i="16" a="1"/>
  <c r="J178" i="16" s="1"/>
  <c r="I178" i="16" a="1"/>
  <c r="I178" i="16" s="1"/>
  <c r="G178" i="16" a="1"/>
  <c r="G178" i="16" s="1"/>
  <c r="H178" i="16" a="1"/>
  <c r="H178" i="16" s="1"/>
  <c r="F178" i="16" a="1"/>
  <c r="F178" i="16" s="1"/>
  <c r="C49" i="18" s="1"/>
  <c r="L178" i="16" a="1"/>
  <c r="L178" i="16" s="1"/>
  <c r="I49" i="18" s="1"/>
  <c r="M178" i="16" a="1"/>
  <c r="M178" i="16" s="1"/>
  <c r="O178" i="16" a="1"/>
  <c r="O178" i="16" s="1"/>
  <c r="K178" i="16" a="1"/>
  <c r="K178" i="16" s="1"/>
  <c r="P178" i="16" a="1"/>
  <c r="P178" i="16" s="1"/>
  <c r="M49" i="18" s="1"/>
  <c r="N178" i="16" a="1"/>
  <c r="N178" i="16" s="1"/>
  <c r="J49" i="18" l="1"/>
  <c r="I49" i="17"/>
  <c r="B180" i="16"/>
  <c r="E179" i="16" a="1"/>
  <c r="E179" i="16" s="1"/>
  <c r="J179" i="16" a="1"/>
  <c r="J179" i="16" s="1"/>
  <c r="H179" i="16" a="1"/>
  <c r="H179" i="16" s="1"/>
  <c r="M179" i="16" a="1"/>
  <c r="M179" i="16" s="1"/>
  <c r="F179" i="16" a="1"/>
  <c r="F179" i="16" s="1"/>
  <c r="O179" i="16" a="1"/>
  <c r="O179" i="16" s="1"/>
  <c r="G179" i="16" a="1"/>
  <c r="G179" i="16" s="1"/>
  <c r="L179" i="16" a="1"/>
  <c r="L179" i="16" s="1"/>
  <c r="P179" i="16" a="1"/>
  <c r="P179" i="16" s="1"/>
  <c r="K179" i="16" a="1"/>
  <c r="K179" i="16" s="1"/>
  <c r="H49" i="17" s="1"/>
  <c r="N179" i="16" a="1"/>
  <c r="N179" i="16" s="1"/>
  <c r="I179" i="16" a="1"/>
  <c r="I179" i="16" s="1"/>
  <c r="E49" i="17"/>
  <c r="M49" i="17" l="1"/>
  <c r="L49" i="17"/>
  <c r="K49" i="17"/>
  <c r="B181" i="16"/>
  <c r="E180" i="16" a="1"/>
  <c r="E180" i="16" s="1"/>
  <c r="H180" i="16" a="1"/>
  <c r="H180" i="16" s="1"/>
  <c r="J180" i="16" a="1"/>
  <c r="J180" i="16" s="1"/>
  <c r="M180" i="16" a="1"/>
  <c r="M180" i="16" s="1"/>
  <c r="O180" i="16" a="1"/>
  <c r="O180" i="16" s="1"/>
  <c r="L180" i="16" a="1"/>
  <c r="L180" i="16" s="1"/>
  <c r="F180" i="16" a="1"/>
  <c r="F180" i="16" s="1"/>
  <c r="P180" i="16" a="1"/>
  <c r="P180" i="16" s="1"/>
  <c r="K180" i="16" a="1"/>
  <c r="K180" i="16" s="1"/>
  <c r="I180" i="16" a="1"/>
  <c r="I180" i="16" s="1"/>
  <c r="N180" i="16" a="1"/>
  <c r="N180" i="16" s="1"/>
  <c r="G180" i="16" a="1"/>
  <c r="G180" i="16" s="1"/>
  <c r="B182" i="16" l="1"/>
  <c r="E181" i="16" a="1"/>
  <c r="E181" i="16" s="1"/>
  <c r="J181" i="16" a="1"/>
  <c r="J181" i="16" s="1"/>
  <c r="G181" i="16" a="1"/>
  <c r="G181" i="16" s="1"/>
  <c r="H181" i="16" a="1"/>
  <c r="H181" i="16" s="1"/>
  <c r="I181" i="16" a="1"/>
  <c r="I181" i="16" s="1"/>
  <c r="F181" i="16" a="1"/>
  <c r="F181" i="16" s="1"/>
  <c r="O181" i="16" a="1"/>
  <c r="O181" i="16" s="1"/>
  <c r="L181" i="16" a="1"/>
  <c r="L181" i="16" s="1"/>
  <c r="P181" i="16" a="1"/>
  <c r="P181" i="16" s="1"/>
  <c r="K181" i="16" a="1"/>
  <c r="K181" i="16" s="1"/>
  <c r="M181" i="16" a="1"/>
  <c r="M181" i="16" s="1"/>
  <c r="N181" i="16" a="1"/>
  <c r="N181" i="16" s="1"/>
  <c r="B183" i="16" l="1"/>
  <c r="E182" i="16" a="1"/>
  <c r="E182" i="16" s="1"/>
  <c r="G182" i="16" a="1"/>
  <c r="G182" i="16" s="1"/>
  <c r="H182" i="16" a="1"/>
  <c r="H182" i="16" s="1"/>
  <c r="J182" i="16" a="1"/>
  <c r="J182" i="16" s="1"/>
  <c r="O182" i="16" a="1"/>
  <c r="O182" i="16" s="1"/>
  <c r="L50" i="18" s="1"/>
  <c r="L182" i="16" a="1"/>
  <c r="L182" i="16" s="1"/>
  <c r="I182" i="16" a="1"/>
  <c r="I182" i="16" s="1"/>
  <c r="F50" i="18" s="1"/>
  <c r="F182" i="16" a="1"/>
  <c r="F182" i="16" s="1"/>
  <c r="K182" i="16" a="1"/>
  <c r="K182" i="16" s="1"/>
  <c r="P182" i="16" a="1"/>
  <c r="P182" i="16" s="1"/>
  <c r="N182" i="16" a="1"/>
  <c r="N182" i="16" s="1"/>
  <c r="K50" i="18" s="1"/>
  <c r="M182" i="16" a="1"/>
  <c r="M182" i="16" s="1"/>
  <c r="M50" i="18" l="1"/>
  <c r="I50" i="18"/>
  <c r="B184" i="16"/>
  <c r="E183" i="16" a="1"/>
  <c r="E183" i="16" s="1"/>
  <c r="B50" i="17" s="1"/>
  <c r="H183" i="16" a="1"/>
  <c r="H183" i="16" s="1"/>
  <c r="J183" i="16" a="1"/>
  <c r="J183" i="16" s="1"/>
  <c r="G183" i="16" a="1"/>
  <c r="G183" i="16" s="1"/>
  <c r="L183" i="16" a="1"/>
  <c r="L183" i="16" s="1"/>
  <c r="K183" i="16" a="1"/>
  <c r="K183" i="16" s="1"/>
  <c r="P183" i="16" a="1"/>
  <c r="P183" i="16" s="1"/>
  <c r="F183" i="16" a="1"/>
  <c r="F183" i="16" s="1"/>
  <c r="N183" i="16" a="1"/>
  <c r="N183" i="16" s="1"/>
  <c r="I183" i="16" a="1"/>
  <c r="I183" i="16" s="1"/>
  <c r="O183" i="16" a="1"/>
  <c r="O183" i="16" s="1"/>
  <c r="L50" i="17" s="1"/>
  <c r="M183" i="16" a="1"/>
  <c r="M183" i="16" s="1"/>
  <c r="H50" i="17" l="1"/>
  <c r="J50" i="17"/>
  <c r="K50" i="17"/>
  <c r="B185" i="16"/>
  <c r="E184" i="16" a="1"/>
  <c r="E184" i="16" s="1"/>
  <c r="I184" i="16" a="1"/>
  <c r="I184" i="16" s="1"/>
  <c r="H184" i="16" a="1"/>
  <c r="H184" i="16" s="1"/>
  <c r="J184" i="16" a="1"/>
  <c r="J184" i="16" s="1"/>
  <c r="G184" i="16" a="1"/>
  <c r="G184" i="16" s="1"/>
  <c r="K184" i="16" a="1"/>
  <c r="K184" i="16" s="1"/>
  <c r="F184" i="16" a="1"/>
  <c r="F184" i="16" s="1"/>
  <c r="P184" i="16" a="1"/>
  <c r="P184" i="16" s="1"/>
  <c r="M184" i="16" a="1"/>
  <c r="M184" i="16" s="1"/>
  <c r="N184" i="16" a="1"/>
  <c r="N184" i="16" s="1"/>
  <c r="O184" i="16" a="1"/>
  <c r="O184" i="16" s="1"/>
  <c r="L184" i="16" a="1"/>
  <c r="L184" i="16" s="1"/>
  <c r="B186" i="16" l="1"/>
  <c r="E185" i="16" a="1"/>
  <c r="E185" i="16" s="1"/>
  <c r="G185" i="16" a="1"/>
  <c r="G185" i="16" s="1"/>
  <c r="J185" i="16" a="1"/>
  <c r="J185" i="16" s="1"/>
  <c r="I185" i="16" a="1"/>
  <c r="I185" i="16" s="1"/>
  <c r="K185" i="16" a="1"/>
  <c r="K185" i="16" s="1"/>
  <c r="P185" i="16" a="1"/>
  <c r="P185" i="16" s="1"/>
  <c r="H185" i="16" a="1"/>
  <c r="H185" i="16" s="1"/>
  <c r="F185" i="16" a="1"/>
  <c r="F185" i="16" s="1"/>
  <c r="M185" i="16" a="1"/>
  <c r="M185" i="16" s="1"/>
  <c r="O185" i="16" a="1"/>
  <c r="O185" i="16" s="1"/>
  <c r="L185" i="16" a="1"/>
  <c r="L185" i="16" s="1"/>
  <c r="N185" i="16" a="1"/>
  <c r="N185" i="16" s="1"/>
  <c r="J51" i="18" l="1"/>
  <c r="B187" i="16"/>
  <c r="E186" i="16" a="1"/>
  <c r="E186" i="16" s="1"/>
  <c r="J186" i="16" a="1"/>
  <c r="J186" i="16" s="1"/>
  <c r="G186" i="16" a="1"/>
  <c r="G186" i="16" s="1"/>
  <c r="D51" i="18" s="1"/>
  <c r="H186" i="16" a="1"/>
  <c r="H186" i="16" s="1"/>
  <c r="P186" i="16" a="1"/>
  <c r="P186" i="16" s="1"/>
  <c r="M51" i="18" s="1"/>
  <c r="O186" i="16" a="1"/>
  <c r="O186" i="16" s="1"/>
  <c r="L51" i="18" s="1"/>
  <c r="I186" i="16" a="1"/>
  <c r="I186" i="16" s="1"/>
  <c r="M186" i="16" a="1"/>
  <c r="M186" i="16" s="1"/>
  <c r="F186" i="16" a="1"/>
  <c r="F186" i="16" s="1"/>
  <c r="K186" i="16" a="1"/>
  <c r="K186" i="16" s="1"/>
  <c r="L186" i="16" a="1"/>
  <c r="L186" i="16" s="1"/>
  <c r="N186" i="16" a="1"/>
  <c r="N186" i="16" s="1"/>
  <c r="I51" i="18" l="1"/>
  <c r="AW4" i="1" s="1"/>
  <c r="B188" i="16"/>
  <c r="F187" i="16" a="1"/>
  <c r="F187" i="16" s="1"/>
  <c r="E187" i="16" a="1"/>
  <c r="E187" i="16" s="1"/>
  <c r="B51" i="17" s="1"/>
  <c r="J187" i="16" a="1"/>
  <c r="J187" i="16" s="1"/>
  <c r="H187" i="16" a="1"/>
  <c r="H187" i="16" s="1"/>
  <c r="I187" i="16" a="1"/>
  <c r="I187" i="16" s="1"/>
  <c r="G187" i="16" a="1"/>
  <c r="G187" i="16" s="1"/>
  <c r="O187" i="16" a="1"/>
  <c r="O187" i="16" s="1"/>
  <c r="M187" i="16" a="1"/>
  <c r="M187" i="16" s="1"/>
  <c r="J51" i="17" s="1"/>
  <c r="L187" i="16" a="1"/>
  <c r="L187" i="16" s="1"/>
  <c r="K187" i="16" a="1"/>
  <c r="K187" i="16" s="1"/>
  <c r="H51" i="17" s="1"/>
  <c r="N187" i="16" a="1"/>
  <c r="N187" i="16" s="1"/>
  <c r="P187" i="16" a="1"/>
  <c r="P187" i="16" s="1"/>
  <c r="L51" i="17" l="1"/>
  <c r="K51" i="17"/>
  <c r="B189" i="16"/>
  <c r="E188" i="16" a="1"/>
  <c r="E188" i="16" s="1"/>
  <c r="I188" i="16" a="1"/>
  <c r="I188" i="16" s="1"/>
  <c r="J188" i="16" a="1"/>
  <c r="J188" i="16" s="1"/>
  <c r="H188" i="16" a="1"/>
  <c r="H188" i="16" s="1"/>
  <c r="G188" i="16" a="1"/>
  <c r="G188" i="16" s="1"/>
  <c r="P188" i="16" a="1"/>
  <c r="P188" i="16" s="1"/>
  <c r="F188" i="16" a="1"/>
  <c r="F188" i="16" s="1"/>
  <c r="M188" i="16" a="1"/>
  <c r="M188" i="16" s="1"/>
  <c r="O188" i="16" a="1"/>
  <c r="O188" i="16" s="1"/>
  <c r="L188" i="16" a="1"/>
  <c r="L188" i="16" s="1"/>
  <c r="K188" i="16" a="1"/>
  <c r="K188" i="16" s="1"/>
  <c r="N188" i="16" a="1"/>
  <c r="N188" i="16" s="1"/>
  <c r="B190" i="16" l="1"/>
  <c r="E189" i="16" a="1"/>
  <c r="E189" i="16" s="1"/>
  <c r="J189" i="16" a="1"/>
  <c r="J189" i="16" s="1"/>
  <c r="G189" i="16" a="1"/>
  <c r="G189" i="16" s="1"/>
  <c r="H189" i="16" a="1"/>
  <c r="H189" i="16" s="1"/>
  <c r="F189" i="16" a="1"/>
  <c r="F189" i="16" s="1"/>
  <c r="O189" i="16" a="1"/>
  <c r="O189" i="16" s="1"/>
  <c r="M189" i="16" a="1"/>
  <c r="M189" i="16" s="1"/>
  <c r="P189" i="16" a="1"/>
  <c r="P189" i="16" s="1"/>
  <c r="L189" i="16" a="1"/>
  <c r="L189" i="16" s="1"/>
  <c r="K189" i="16" a="1"/>
  <c r="K189" i="16" s="1"/>
  <c r="I189" i="16" a="1"/>
  <c r="I189" i="16" s="1"/>
  <c r="N189" i="16" a="1"/>
  <c r="N189" i="16" s="1"/>
  <c r="B52" i="18" l="1"/>
  <c r="B191" i="16"/>
  <c r="E190" i="16" a="1"/>
  <c r="E190" i="16" s="1"/>
  <c r="H190" i="16" a="1"/>
  <c r="H190" i="16" s="1"/>
  <c r="J190" i="16" a="1"/>
  <c r="J190" i="16" s="1"/>
  <c r="G52" i="18" s="1"/>
  <c r="G190" i="16" a="1"/>
  <c r="G190" i="16" s="1"/>
  <c r="P190" i="16" a="1"/>
  <c r="P190" i="16" s="1"/>
  <c r="I190" i="16" a="1"/>
  <c r="I190" i="16" s="1"/>
  <c r="M190" i="16" a="1"/>
  <c r="M190" i="16" s="1"/>
  <c r="O190" i="16" a="1"/>
  <c r="O190" i="16" s="1"/>
  <c r="L190" i="16" a="1"/>
  <c r="L190" i="16" s="1"/>
  <c r="I52" i="18" s="1"/>
  <c r="AW5" i="1" s="1"/>
  <c r="K190" i="16" a="1"/>
  <c r="K190" i="16" s="1"/>
  <c r="H52" i="18" s="1"/>
  <c r="F190" i="16" a="1"/>
  <c r="F190" i="16" s="1"/>
  <c r="N190" i="16" a="1"/>
  <c r="N190" i="16" s="1"/>
  <c r="M52" i="18" l="1"/>
  <c r="B52" i="17"/>
  <c r="B192" i="16"/>
  <c r="E191" i="16" a="1"/>
  <c r="E191" i="16" s="1"/>
  <c r="G191" i="16" a="1"/>
  <c r="G191" i="16" s="1"/>
  <c r="F191" i="16" a="1"/>
  <c r="F191" i="16" s="1"/>
  <c r="H191" i="16" a="1"/>
  <c r="H191" i="16" s="1"/>
  <c r="I191" i="16" a="1"/>
  <c r="I191" i="16" s="1"/>
  <c r="O191" i="16" a="1"/>
  <c r="O191" i="16" s="1"/>
  <c r="L52" i="17" s="1"/>
  <c r="M191" i="16" a="1"/>
  <c r="M191" i="16" s="1"/>
  <c r="L191" i="16" a="1"/>
  <c r="L191" i="16" s="1"/>
  <c r="P191" i="16" a="1"/>
  <c r="P191" i="16" s="1"/>
  <c r="J191" i="16" a="1"/>
  <c r="J191" i="16" s="1"/>
  <c r="N191" i="16" a="1"/>
  <c r="N191" i="16" s="1"/>
  <c r="K191" i="16" a="1"/>
  <c r="K191" i="16" s="1"/>
  <c r="H52" i="17" s="1"/>
  <c r="K52" i="17" l="1"/>
  <c r="B193" i="16"/>
  <c r="G192" i="16" a="1"/>
  <c r="G192" i="16" s="1"/>
  <c r="E192" i="16" a="1"/>
  <c r="E192" i="16" s="1"/>
  <c r="J192" i="16" a="1"/>
  <c r="J192" i="16" s="1"/>
  <c r="I192" i="16" a="1"/>
  <c r="I192" i="16" s="1"/>
  <c r="M192" i="16" a="1"/>
  <c r="M192" i="16" s="1"/>
  <c r="H192" i="16" a="1"/>
  <c r="H192" i="16" s="1"/>
  <c r="F192" i="16" a="1"/>
  <c r="F192" i="16" s="1"/>
  <c r="O192" i="16" a="1"/>
  <c r="O192" i="16" s="1"/>
  <c r="K192" i="16" a="1"/>
  <c r="K192" i="16" s="1"/>
  <c r="L192" i="16" a="1"/>
  <c r="L192" i="16" s="1"/>
  <c r="P192" i="16" a="1"/>
  <c r="P192" i="16" s="1"/>
  <c r="N192" i="16" a="1"/>
  <c r="N192" i="16" s="1"/>
  <c r="B194" i="16" l="1"/>
  <c r="E193" i="16" a="1"/>
  <c r="E193" i="16" s="1"/>
  <c r="I193" i="16" a="1"/>
  <c r="I193" i="16" s="1"/>
  <c r="J193" i="16" a="1"/>
  <c r="J193" i="16" s="1"/>
  <c r="F193" i="16" a="1"/>
  <c r="F193" i="16" s="1"/>
  <c r="H193" i="16" a="1"/>
  <c r="H193" i="16" s="1"/>
  <c r="K193" i="16" a="1"/>
  <c r="K193" i="16" s="1"/>
  <c r="M193" i="16" a="1"/>
  <c r="M193" i="16" s="1"/>
  <c r="O193" i="16" a="1"/>
  <c r="O193" i="16" s="1"/>
  <c r="L193" i="16" a="1"/>
  <c r="L193" i="16" s="1"/>
  <c r="N193" i="16" a="1"/>
  <c r="N193" i="16" s="1"/>
  <c r="G193" i="16" a="1"/>
  <c r="G193" i="16" s="1"/>
  <c r="P193" i="16" a="1"/>
  <c r="P193" i="16" s="1"/>
  <c r="B195" i="16" l="1"/>
  <c r="E194" i="16" a="1"/>
  <c r="E194" i="16" s="1"/>
  <c r="G194" i="16" a="1"/>
  <c r="G194" i="16" s="1"/>
  <c r="M194" i="16" a="1"/>
  <c r="M194" i="16" s="1"/>
  <c r="H194" i="16" a="1"/>
  <c r="H194" i="16" s="1"/>
  <c r="O194" i="16" a="1"/>
  <c r="O194" i="16" s="1"/>
  <c r="L53" i="18" s="1"/>
  <c r="I194" i="16" a="1"/>
  <c r="I194" i="16" s="1"/>
  <c r="F53" i="18" s="1"/>
  <c r="P194" i="16" a="1"/>
  <c r="P194" i="16" s="1"/>
  <c r="K194" i="16" a="1"/>
  <c r="K194" i="16" s="1"/>
  <c r="L194" i="16" a="1"/>
  <c r="L194" i="16" s="1"/>
  <c r="I53" i="18" s="1"/>
  <c r="AW6" i="1" s="1"/>
  <c r="J194" i="16" a="1"/>
  <c r="J194" i="16" s="1"/>
  <c r="N194" i="16" a="1"/>
  <c r="N194" i="16" s="1"/>
  <c r="F194" i="16" a="1"/>
  <c r="F194" i="16" s="1"/>
  <c r="K53" i="18" l="1"/>
  <c r="BA6" i="1" s="1"/>
  <c r="J53" i="18"/>
  <c r="H53" i="17"/>
  <c r="B196" i="16"/>
  <c r="E195" i="16" a="1"/>
  <c r="E195" i="16" s="1"/>
  <c r="G195" i="16" a="1"/>
  <c r="G195" i="16" s="1"/>
  <c r="H195" i="16" a="1"/>
  <c r="H195" i="16" s="1"/>
  <c r="F195" i="16" a="1"/>
  <c r="F195" i="16" s="1"/>
  <c r="O195" i="16" a="1"/>
  <c r="O195" i="16" s="1"/>
  <c r="L195" i="16" a="1"/>
  <c r="L195" i="16" s="1"/>
  <c r="I53" i="17" s="1"/>
  <c r="P195" i="16" a="1"/>
  <c r="P195" i="16" s="1"/>
  <c r="M53" i="17" s="1"/>
  <c r="BE6" i="1" s="1"/>
  <c r="K195" i="16" a="1"/>
  <c r="K195" i="16" s="1"/>
  <c r="I195" i="16" a="1"/>
  <c r="I195" i="16" s="1"/>
  <c r="J195" i="16" a="1"/>
  <c r="J195" i="16" s="1"/>
  <c r="M195" i="16" a="1"/>
  <c r="M195" i="16" s="1"/>
  <c r="N195" i="16" a="1"/>
  <c r="N195" i="16" s="1"/>
  <c r="B197" i="16" l="1"/>
  <c r="E196" i="16" a="1"/>
  <c r="E196" i="16" s="1"/>
  <c r="G196" i="16" a="1"/>
  <c r="G196" i="16" s="1"/>
  <c r="H196" i="16" a="1"/>
  <c r="H196" i="16" s="1"/>
  <c r="J196" i="16" a="1"/>
  <c r="J196" i="16" s="1"/>
  <c r="O196" i="16" a="1"/>
  <c r="O196" i="16" s="1"/>
  <c r="I196" i="16" a="1"/>
  <c r="I196" i="16" s="1"/>
  <c r="F196" i="16" a="1"/>
  <c r="F196" i="16" s="1"/>
  <c r="L196" i="16" a="1"/>
  <c r="L196" i="16" s="1"/>
  <c r="P196" i="16" a="1"/>
  <c r="P196" i="16" s="1"/>
  <c r="K196" i="16" a="1"/>
  <c r="K196" i="16" s="1"/>
  <c r="M196" i="16" a="1"/>
  <c r="M196" i="16" s="1"/>
  <c r="N196" i="16" a="1"/>
  <c r="N196" i="16" s="1"/>
  <c r="B198" i="16" l="1"/>
  <c r="I197" i="16" a="1"/>
  <c r="I197" i="16" s="1"/>
  <c r="E197" i="16" a="1"/>
  <c r="E197" i="16" s="1"/>
  <c r="G197" i="16" a="1"/>
  <c r="G197" i="16" s="1"/>
  <c r="F197" i="16" a="1"/>
  <c r="F197" i="16" s="1"/>
  <c r="H197" i="16" a="1"/>
  <c r="H197" i="16" s="1"/>
  <c r="L197" i="16" a="1"/>
  <c r="L197" i="16" s="1"/>
  <c r="P197" i="16" a="1"/>
  <c r="P197" i="16" s="1"/>
  <c r="K197" i="16" a="1"/>
  <c r="K197" i="16" s="1"/>
  <c r="M197" i="16" a="1"/>
  <c r="M197" i="16" s="1"/>
  <c r="J197" i="16" a="1"/>
  <c r="J197" i="16" s="1"/>
  <c r="N197" i="16" a="1"/>
  <c r="N197" i="16" s="1"/>
  <c r="O197" i="16" a="1"/>
  <c r="O197" i="16" s="1"/>
  <c r="B199" i="16" l="1"/>
  <c r="F198" i="16" a="1"/>
  <c r="F198" i="16" s="1"/>
  <c r="E198" i="16" a="1"/>
  <c r="E198" i="16" s="1"/>
  <c r="B54" i="18" s="1"/>
  <c r="I198" i="16" a="1"/>
  <c r="I198" i="16" s="1"/>
  <c r="H198" i="16" a="1"/>
  <c r="H198" i="16" s="1"/>
  <c r="G198" i="16" a="1"/>
  <c r="G198" i="16" s="1"/>
  <c r="K198" i="16" a="1"/>
  <c r="K198" i="16" s="1"/>
  <c r="H54" i="18" s="1"/>
  <c r="P198" i="16" a="1"/>
  <c r="P198" i="16" s="1"/>
  <c r="L198" i="16" a="1"/>
  <c r="L198" i="16" s="1"/>
  <c r="I54" i="18" s="1"/>
  <c r="AW7" i="1" s="1"/>
  <c r="N198" i="16" a="1"/>
  <c r="N198" i="16" s="1"/>
  <c r="K54" i="18" s="1"/>
  <c r="BA7" i="1" s="1"/>
  <c r="O198" i="16" a="1"/>
  <c r="O198" i="16" s="1"/>
  <c r="L54" i="18" s="1"/>
  <c r="M198" i="16" a="1"/>
  <c r="M198" i="16" s="1"/>
  <c r="J198" i="16" a="1"/>
  <c r="J198" i="16" s="1"/>
  <c r="B200" i="16" l="1"/>
  <c r="E199" i="16" a="1"/>
  <c r="E199" i="16" s="1"/>
  <c r="G199" i="16" a="1"/>
  <c r="G199" i="16" s="1"/>
  <c r="I199" i="16" a="1"/>
  <c r="I199" i="16" s="1"/>
  <c r="H199" i="16" a="1"/>
  <c r="H199" i="16" s="1"/>
  <c r="K199" i="16" a="1"/>
  <c r="K199" i="16" s="1"/>
  <c r="H54" i="17" s="1"/>
  <c r="P199" i="16" a="1"/>
  <c r="P199" i="16" s="1"/>
  <c r="F199" i="16" a="1"/>
  <c r="F199" i="16" s="1"/>
  <c r="M199" i="16" a="1"/>
  <c r="M199" i="16" s="1"/>
  <c r="O199" i="16" a="1"/>
  <c r="O199" i="16" s="1"/>
  <c r="L199" i="16" a="1"/>
  <c r="L199" i="16" s="1"/>
  <c r="N199" i="16" a="1"/>
  <c r="N199" i="16" s="1"/>
  <c r="K54" i="17" s="1"/>
  <c r="J199" i="16" a="1"/>
  <c r="J199" i="16" s="1"/>
  <c r="J54" i="17" l="1"/>
  <c r="M54" i="17"/>
  <c r="BE7" i="1" s="1"/>
  <c r="B201" i="16"/>
  <c r="G200" i="16" a="1"/>
  <c r="G200" i="16" s="1"/>
  <c r="E200" i="16" a="1"/>
  <c r="E200" i="16" s="1"/>
  <c r="J200" i="16" a="1"/>
  <c r="J200" i="16" s="1"/>
  <c r="P200" i="16" a="1"/>
  <c r="P200" i="16" s="1"/>
  <c r="I200" i="16" a="1"/>
  <c r="I200" i="16" s="1"/>
  <c r="F200" i="16" a="1"/>
  <c r="F200" i="16" s="1"/>
  <c r="M200" i="16" a="1"/>
  <c r="M200" i="16" s="1"/>
  <c r="H200" i="16" a="1"/>
  <c r="H200" i="16" s="1"/>
  <c r="O200" i="16" a="1"/>
  <c r="O200" i="16" s="1"/>
  <c r="L200" i="16" a="1"/>
  <c r="L200" i="16" s="1"/>
  <c r="K200" i="16" a="1"/>
  <c r="K200" i="16" s="1"/>
  <c r="N200" i="16" a="1"/>
  <c r="N200" i="16" s="1"/>
  <c r="B202" i="16" l="1"/>
  <c r="E201" i="16" a="1"/>
  <c r="E201" i="16" s="1"/>
  <c r="G201" i="16" a="1"/>
  <c r="G201" i="16" s="1"/>
  <c r="I201" i="16" a="1"/>
  <c r="I201" i="16" s="1"/>
  <c r="H201" i="16" a="1"/>
  <c r="H201" i="16" s="1"/>
  <c r="F201" i="16" a="1"/>
  <c r="F201" i="16" s="1"/>
  <c r="M201" i="16" a="1"/>
  <c r="M201" i="16" s="1"/>
  <c r="O201" i="16" a="1"/>
  <c r="O201" i="16" s="1"/>
  <c r="L201" i="16" a="1"/>
  <c r="L201" i="16" s="1"/>
  <c r="P201" i="16" a="1"/>
  <c r="P201" i="16" s="1"/>
  <c r="J201" i="16" a="1"/>
  <c r="J201" i="16" s="1"/>
  <c r="N201" i="16" a="1"/>
  <c r="N201" i="16" s="1"/>
  <c r="K201" i="16" a="1"/>
  <c r="K201" i="16" s="1"/>
  <c r="H55" i="18" l="1"/>
  <c r="AO8" i="1" s="1"/>
  <c r="B203" i="16"/>
  <c r="E202" i="16" a="1"/>
  <c r="E202" i="16" s="1"/>
  <c r="F202" i="16" a="1"/>
  <c r="F202" i="16" s="1"/>
  <c r="H202" i="16" a="1"/>
  <c r="H202" i="16" s="1"/>
  <c r="G202" i="16" a="1"/>
  <c r="G202" i="16" s="1"/>
  <c r="M202" i="16" a="1"/>
  <c r="M202" i="16" s="1"/>
  <c r="O202" i="16" a="1"/>
  <c r="O202" i="16" s="1"/>
  <c r="L202" i="16" a="1"/>
  <c r="L202" i="16" s="1"/>
  <c r="K202" i="16" a="1"/>
  <c r="K202" i="16" s="1"/>
  <c r="I202" i="16" a="1"/>
  <c r="I202" i="16" s="1"/>
  <c r="J202" i="16" a="1"/>
  <c r="J202" i="16" s="1"/>
  <c r="P202" i="16" a="1"/>
  <c r="P202" i="16" s="1"/>
  <c r="M55" i="18" s="1"/>
  <c r="N202" i="16" a="1"/>
  <c r="N202" i="16" s="1"/>
  <c r="K55" i="18" l="1"/>
  <c r="BA8" i="1" s="1"/>
  <c r="L55" i="18"/>
  <c r="B55" i="17"/>
  <c r="B204" i="16"/>
  <c r="E203" i="16" a="1"/>
  <c r="E203" i="16" s="1"/>
  <c r="G203" i="16" a="1"/>
  <c r="G203" i="16" s="1"/>
  <c r="I203" i="16" a="1"/>
  <c r="I203" i="16" s="1"/>
  <c r="H203" i="16" a="1"/>
  <c r="H203" i="16" s="1"/>
  <c r="O203" i="16" a="1"/>
  <c r="O203" i="16" s="1"/>
  <c r="L55" i="17" s="1"/>
  <c r="M203" i="16" a="1"/>
  <c r="M203" i="16" s="1"/>
  <c r="L203" i="16" a="1"/>
  <c r="L203" i="16" s="1"/>
  <c r="I55" i="17" s="1"/>
  <c r="K203" i="16" a="1"/>
  <c r="K203" i="16" s="1"/>
  <c r="F203" i="16" a="1"/>
  <c r="F203" i="16" s="1"/>
  <c r="P203" i="16" a="1"/>
  <c r="P203" i="16" s="1"/>
  <c r="M55" i="17" s="1"/>
  <c r="BE8" i="1" s="1"/>
  <c r="N203" i="16" a="1"/>
  <c r="N203" i="16" s="1"/>
  <c r="J203" i="16" a="1"/>
  <c r="J203" i="16" s="1"/>
  <c r="H55" i="17" l="1"/>
  <c r="D55" i="17"/>
  <c r="B205" i="16"/>
  <c r="E204" i="16" a="1"/>
  <c r="E204" i="16" s="1"/>
  <c r="F204" i="16" a="1"/>
  <c r="F204" i="16" s="1"/>
  <c r="J204" i="16" a="1"/>
  <c r="J204" i="16" s="1"/>
  <c r="I204" i="16" a="1"/>
  <c r="I204" i="16" s="1"/>
  <c r="M204" i="16" a="1"/>
  <c r="M204" i="16" s="1"/>
  <c r="O204" i="16" a="1"/>
  <c r="O204" i="16" s="1"/>
  <c r="P204" i="16" a="1"/>
  <c r="P204" i="16" s="1"/>
  <c r="L204" i="16" a="1"/>
  <c r="L204" i="16" s="1"/>
  <c r="K204" i="16" a="1"/>
  <c r="K204" i="16" s="1"/>
  <c r="G204" i="16" a="1"/>
  <c r="G204" i="16" s="1"/>
  <c r="H204" i="16" a="1"/>
  <c r="H204" i="16" s="1"/>
  <c r="N204" i="16" a="1"/>
  <c r="N204" i="16" s="1"/>
  <c r="B206" i="16" l="1"/>
  <c r="E205" i="16" a="1"/>
  <c r="E205" i="16" s="1"/>
  <c r="I205" i="16" a="1"/>
  <c r="I205" i="16" s="1"/>
  <c r="G205" i="16" a="1"/>
  <c r="G205" i="16" s="1"/>
  <c r="H205" i="16" a="1"/>
  <c r="H205" i="16" s="1"/>
  <c r="O205" i="16" a="1"/>
  <c r="O205" i="16" s="1"/>
  <c r="M205" i="16" a="1"/>
  <c r="M205" i="16" s="1"/>
  <c r="L205" i="16" a="1"/>
  <c r="L205" i="16" s="1"/>
  <c r="K205" i="16" a="1"/>
  <c r="K205" i="16" s="1"/>
  <c r="F205" i="16" a="1"/>
  <c r="F205" i="16" s="1"/>
  <c r="P205" i="16" a="1"/>
  <c r="P205" i="16" s="1"/>
  <c r="J205" i="16" a="1"/>
  <c r="J205" i="16" s="1"/>
  <c r="N205" i="16" a="1"/>
  <c r="N205" i="16" s="1"/>
  <c r="B56" i="18" l="1"/>
  <c r="B207" i="16"/>
  <c r="E206" i="16" a="1"/>
  <c r="E206" i="16" s="1"/>
  <c r="H206" i="16" a="1"/>
  <c r="H206" i="16" s="1"/>
  <c r="E56" i="18" s="1"/>
  <c r="AZ9" i="1" s="1"/>
  <c r="I206" i="16" a="1"/>
  <c r="I206" i="16" s="1"/>
  <c r="M206" i="16" a="1"/>
  <c r="M206" i="16" s="1"/>
  <c r="O206" i="16" a="1"/>
  <c r="O206" i="16" s="1"/>
  <c r="L206" i="16" a="1"/>
  <c r="L206" i="16" s="1"/>
  <c r="G206" i="16" a="1"/>
  <c r="G206" i="16" s="1"/>
  <c r="K206" i="16" a="1"/>
  <c r="K206" i="16" s="1"/>
  <c r="J206" i="16" a="1"/>
  <c r="J206" i="16" s="1"/>
  <c r="F206" i="16" a="1"/>
  <c r="F206" i="16" s="1"/>
  <c r="C56" i="18" s="1"/>
  <c r="AV9" i="1" s="1"/>
  <c r="P206" i="16" a="1"/>
  <c r="P206" i="16" s="1"/>
  <c r="M56" i="18" s="1"/>
  <c r="N206" i="16" a="1"/>
  <c r="N206" i="16" s="1"/>
  <c r="K56" i="18" l="1"/>
  <c r="BA9" i="1" s="1"/>
  <c r="BB9" i="1" s="1"/>
  <c r="B56" i="17"/>
  <c r="B208" i="16"/>
  <c r="F207" i="16" a="1"/>
  <c r="F207" i="16" s="1"/>
  <c r="E207" i="16" a="1"/>
  <c r="E207" i="16" s="1"/>
  <c r="I207" i="16" a="1"/>
  <c r="I207" i="16" s="1"/>
  <c r="G207" i="16" a="1"/>
  <c r="G207" i="16" s="1"/>
  <c r="O207" i="16" a="1"/>
  <c r="O207" i="16" s="1"/>
  <c r="L56" i="17" s="1"/>
  <c r="M207" i="16" a="1"/>
  <c r="M207" i="16" s="1"/>
  <c r="L207" i="16" a="1"/>
  <c r="L207" i="16" s="1"/>
  <c r="K207" i="16" a="1"/>
  <c r="K207" i="16" s="1"/>
  <c r="H56" i="17" s="1"/>
  <c r="H207" i="16" a="1"/>
  <c r="H207" i="16" s="1"/>
  <c r="P207" i="16" a="1"/>
  <c r="P207" i="16" s="1"/>
  <c r="M56" i="17" s="1"/>
  <c r="BE9" i="1" s="1"/>
  <c r="J207" i="16" a="1"/>
  <c r="J207" i="16" s="1"/>
  <c r="N207" i="16" a="1"/>
  <c r="N207" i="16" s="1"/>
  <c r="F56" i="17" l="1"/>
  <c r="I56" i="17"/>
  <c r="B209" i="16"/>
  <c r="E208" i="16" a="1"/>
  <c r="E208" i="16" s="1"/>
  <c r="I208" i="16" a="1"/>
  <c r="I208" i="16" s="1"/>
  <c r="H208" i="16" a="1"/>
  <c r="H208" i="16" s="1"/>
  <c r="J208" i="16" a="1"/>
  <c r="J208" i="16" s="1"/>
  <c r="F208" i="16" a="1"/>
  <c r="F208" i="16" s="1"/>
  <c r="G208" i="16" a="1"/>
  <c r="G208" i="16" s="1"/>
  <c r="K208" i="16" a="1"/>
  <c r="K208" i="16" s="1"/>
  <c r="M208" i="16" a="1"/>
  <c r="M208" i="16" s="1"/>
  <c r="O208" i="16" a="1"/>
  <c r="O208" i="16" s="1"/>
  <c r="L208" i="16" a="1"/>
  <c r="L208" i="16" s="1"/>
  <c r="P208" i="16" a="1"/>
  <c r="P208" i="16" s="1"/>
  <c r="N208" i="16" a="1"/>
  <c r="N208" i="16" s="1"/>
  <c r="B210" i="16" l="1"/>
  <c r="E209" i="16" a="1"/>
  <c r="E209" i="16" s="1"/>
  <c r="G209" i="16" a="1"/>
  <c r="G209" i="16" s="1"/>
  <c r="I209" i="16" a="1"/>
  <c r="I209" i="16" s="1"/>
  <c r="H209" i="16" a="1"/>
  <c r="H209" i="16" s="1"/>
  <c r="O209" i="16" a="1"/>
  <c r="O209" i="16" s="1"/>
  <c r="P209" i="16" a="1"/>
  <c r="P209" i="16" s="1"/>
  <c r="L209" i="16" a="1"/>
  <c r="L209" i="16" s="1"/>
  <c r="M209" i="16" a="1"/>
  <c r="M209" i="16" s="1"/>
  <c r="K209" i="16" a="1"/>
  <c r="K209" i="16" s="1"/>
  <c r="F209" i="16" a="1"/>
  <c r="F209" i="16" s="1"/>
  <c r="N209" i="16" a="1"/>
  <c r="N209" i="16" s="1"/>
  <c r="J209" i="16" a="1"/>
  <c r="J209" i="16" s="1"/>
  <c r="B6" i="16" l="1"/>
  <c r="E210" i="16" a="1"/>
  <c r="E210" i="16" s="1"/>
  <c r="H210" i="16" a="1"/>
  <c r="H210" i="16" s="1"/>
  <c r="G210" i="16" a="1"/>
  <c r="G210" i="16" s="1"/>
  <c r="D57" i="18" s="1"/>
  <c r="J210" i="16" a="1"/>
  <c r="J210" i="16" s="1"/>
  <c r="G57" i="18" s="1"/>
  <c r="F210" i="16" a="1"/>
  <c r="F210" i="16" s="1"/>
  <c r="C57" i="18" s="1"/>
  <c r="AV10" i="1" s="1"/>
  <c r="K210" i="16" a="1"/>
  <c r="K210" i="16" s="1"/>
  <c r="H57" i="17" s="1"/>
  <c r="L210" i="16" a="1"/>
  <c r="L210" i="16" s="1"/>
  <c r="M210" i="16" a="1"/>
  <c r="M210" i="16" s="1"/>
  <c r="J57" i="18" s="1"/>
  <c r="I210" i="16" a="1"/>
  <c r="I210" i="16" s="1"/>
  <c r="F57" i="18" s="1"/>
  <c r="P210" i="16" a="1"/>
  <c r="P210" i="16" s="1"/>
  <c r="N210" i="16" a="1"/>
  <c r="N210" i="16" s="1"/>
  <c r="O210" i="16" a="1"/>
  <c r="O210" i="16" s="1"/>
  <c r="L57" i="17" s="1"/>
  <c r="H36" i="17" l="1"/>
  <c r="H7" i="17"/>
  <c r="H8" i="17"/>
  <c r="H9" i="18"/>
  <c r="H9" i="17"/>
  <c r="H11" i="18"/>
  <c r="H15" i="18"/>
  <c r="H15" i="17"/>
  <c r="H16" i="18"/>
  <c r="H18" i="18"/>
  <c r="H19" i="18"/>
  <c r="H20" i="18"/>
  <c r="H21" i="18"/>
  <c r="H22" i="17"/>
  <c r="H23" i="18"/>
  <c r="H23" i="17"/>
  <c r="H24" i="17"/>
  <c r="H25" i="18"/>
  <c r="H27" i="17"/>
  <c r="H28" i="17"/>
  <c r="H29" i="18"/>
  <c r="H30" i="17"/>
  <c r="H32" i="17"/>
  <c r="H34" i="17"/>
  <c r="H36" i="18"/>
  <c r="H37" i="18"/>
  <c r="H39" i="18"/>
  <c r="H39" i="17"/>
  <c r="H40" i="18"/>
  <c r="H42" i="18"/>
  <c r="H43" i="18"/>
  <c r="H44" i="18"/>
  <c r="H45" i="18"/>
  <c r="H46" i="18"/>
  <c r="H47" i="18"/>
  <c r="H48" i="17"/>
  <c r="H49" i="18"/>
  <c r="H50" i="18"/>
  <c r="H51" i="18"/>
  <c r="H53" i="18"/>
  <c r="H56" i="18"/>
  <c r="AO9" i="1" s="1"/>
  <c r="I9" i="18"/>
  <c r="I10" i="18"/>
  <c r="I10" i="17"/>
  <c r="I11" i="17"/>
  <c r="I12" i="18"/>
  <c r="I12" i="17"/>
  <c r="I13" i="18"/>
  <c r="I14" i="18"/>
  <c r="I15" i="18"/>
  <c r="I16" i="18"/>
  <c r="I16" i="17"/>
  <c r="I18" i="17"/>
  <c r="I19" i="17"/>
  <c r="I20" i="17"/>
  <c r="I21" i="18"/>
  <c r="I23" i="17"/>
  <c r="I24" i="18"/>
  <c r="I27" i="17"/>
  <c r="I28" i="17"/>
  <c r="I29" i="17"/>
  <c r="I30" i="17"/>
  <c r="I31" i="18"/>
  <c r="I31" i="17"/>
  <c r="I34" i="17"/>
  <c r="I35" i="18"/>
  <c r="I38" i="18"/>
  <c r="I39" i="18"/>
  <c r="I41" i="17"/>
  <c r="I42" i="18"/>
  <c r="I43" i="17"/>
  <c r="I44" i="17"/>
  <c r="I45" i="18"/>
  <c r="I47" i="18"/>
  <c r="I50" i="17"/>
  <c r="I51" i="17"/>
  <c r="I55" i="18"/>
  <c r="AW8" i="1" s="1"/>
  <c r="I56" i="18"/>
  <c r="AW9" i="1" s="1"/>
  <c r="AX9" i="1" s="1"/>
  <c r="C57" i="17"/>
  <c r="C9" i="18"/>
  <c r="C10" i="18"/>
  <c r="C11" i="18"/>
  <c r="C12" i="18"/>
  <c r="C13" i="18"/>
  <c r="C15" i="18"/>
  <c r="C16" i="18"/>
  <c r="C17" i="18"/>
  <c r="C18" i="18"/>
  <c r="C19" i="18"/>
  <c r="C20" i="18"/>
  <c r="C21" i="18"/>
  <c r="C23" i="18"/>
  <c r="C24" i="18"/>
  <c r="C25" i="18"/>
  <c r="C26" i="18"/>
  <c r="C27" i="18"/>
  <c r="C28" i="18"/>
  <c r="C29" i="18"/>
  <c r="C30" i="18"/>
  <c r="C31" i="18"/>
  <c r="C32" i="18"/>
  <c r="C33" i="18"/>
  <c r="C35" i="18"/>
  <c r="C36" i="18"/>
  <c r="C37" i="18"/>
  <c r="C38" i="18"/>
  <c r="C40" i="18"/>
  <c r="C41" i="18"/>
  <c r="C42" i="18"/>
  <c r="C43" i="18"/>
  <c r="C44" i="18"/>
  <c r="C45" i="18"/>
  <c r="C47" i="18"/>
  <c r="C48" i="18"/>
  <c r="C50" i="18"/>
  <c r="C51" i="18"/>
  <c r="AV4" i="1" s="1"/>
  <c r="AX4" i="1" s="1"/>
  <c r="C52" i="18"/>
  <c r="AV5" i="1" s="1"/>
  <c r="AX5" i="1" s="1"/>
  <c r="C53" i="18"/>
  <c r="AV6" i="1" s="1"/>
  <c r="AX6" i="1" s="1"/>
  <c r="C54" i="18"/>
  <c r="AV7" i="1" s="1"/>
  <c r="AX7" i="1" s="1"/>
  <c r="C55" i="18"/>
  <c r="AV8" i="1" s="1"/>
  <c r="L57" i="18"/>
  <c r="G57" i="17"/>
  <c r="G8" i="18"/>
  <c r="G10" i="18"/>
  <c r="G11" i="18"/>
  <c r="G12" i="18"/>
  <c r="G13" i="18"/>
  <c r="G15" i="18"/>
  <c r="G17" i="18"/>
  <c r="G18" i="18"/>
  <c r="G19" i="18"/>
  <c r="G20" i="18"/>
  <c r="G21" i="18"/>
  <c r="G22" i="18"/>
  <c r="G23" i="18"/>
  <c r="G24" i="18"/>
  <c r="G25" i="18"/>
  <c r="G26" i="18"/>
  <c r="G28" i="18"/>
  <c r="G29" i="18"/>
  <c r="G30" i="18"/>
  <c r="G32" i="18"/>
  <c r="G33" i="18"/>
  <c r="G34" i="18"/>
  <c r="G35" i="18"/>
  <c r="G36" i="18"/>
  <c r="G37" i="18"/>
  <c r="G38" i="18"/>
  <c r="G39" i="18"/>
  <c r="G40" i="18"/>
  <c r="G43" i="18"/>
  <c r="G44" i="18"/>
  <c r="G45" i="18"/>
  <c r="G46" i="18"/>
  <c r="G47" i="18"/>
  <c r="G48" i="18"/>
  <c r="G49" i="18"/>
  <c r="G50" i="18"/>
  <c r="G51" i="18"/>
  <c r="G53" i="18"/>
  <c r="G54" i="18"/>
  <c r="G55" i="18"/>
  <c r="G56" i="18"/>
  <c r="H57" i="18"/>
  <c r="AO10" i="1" s="1"/>
  <c r="K8" i="18"/>
  <c r="K9" i="17"/>
  <c r="K10" i="18"/>
  <c r="K11" i="18"/>
  <c r="K12" i="18"/>
  <c r="K13" i="18"/>
  <c r="K14" i="18"/>
  <c r="K15" i="18"/>
  <c r="K18" i="17"/>
  <c r="K19" i="18"/>
  <c r="K20" i="17"/>
  <c r="K21" i="17"/>
  <c r="K22" i="18"/>
  <c r="K23" i="18"/>
  <c r="K25" i="17"/>
  <c r="K26" i="18"/>
  <c r="K27" i="18"/>
  <c r="K28" i="18"/>
  <c r="K29" i="18"/>
  <c r="K30" i="18"/>
  <c r="K30" i="17"/>
  <c r="K31" i="17"/>
  <c r="K32" i="18"/>
  <c r="K33" i="18"/>
  <c r="K36" i="18"/>
  <c r="K37" i="17"/>
  <c r="K38" i="17"/>
  <c r="K39" i="18"/>
  <c r="K42" i="17"/>
  <c r="K44" i="18"/>
  <c r="K45" i="18"/>
  <c r="K46" i="17"/>
  <c r="K48" i="18"/>
  <c r="K49" i="18"/>
  <c r="K51" i="18"/>
  <c r="BA4" i="1" s="1"/>
  <c r="K52" i="18"/>
  <c r="BA5" i="1" s="1"/>
  <c r="K53" i="17"/>
  <c r="K55" i="17"/>
  <c r="K56" i="17"/>
  <c r="D57" i="17"/>
  <c r="D8" i="18"/>
  <c r="D9" i="18"/>
  <c r="D10" i="18"/>
  <c r="D11" i="18"/>
  <c r="D12" i="18"/>
  <c r="D14" i="18"/>
  <c r="D16" i="18"/>
  <c r="D17" i="18"/>
  <c r="D18" i="18"/>
  <c r="D19" i="18"/>
  <c r="D20" i="18"/>
  <c r="D22" i="18"/>
  <c r="D23" i="18"/>
  <c r="D24" i="18"/>
  <c r="D27" i="18"/>
  <c r="D28" i="18"/>
  <c r="D29" i="18"/>
  <c r="D31" i="18"/>
  <c r="D32" i="18"/>
  <c r="D33" i="18"/>
  <c r="D34" i="18"/>
  <c r="D35" i="18"/>
  <c r="D37" i="18"/>
  <c r="D38" i="18"/>
  <c r="D39" i="18"/>
  <c r="D40" i="18"/>
  <c r="D42" i="18"/>
  <c r="D43" i="18"/>
  <c r="D45" i="18"/>
  <c r="D46" i="18"/>
  <c r="D47" i="18"/>
  <c r="D48" i="18"/>
  <c r="D49" i="18"/>
  <c r="D50" i="18"/>
  <c r="AR4" i="1" s="1"/>
  <c r="D52" i="18"/>
  <c r="AR5" i="1" s="1"/>
  <c r="D53" i="18"/>
  <c r="D54" i="18"/>
  <c r="D55" i="18"/>
  <c r="AR8" i="1" s="1"/>
  <c r="D56" i="18"/>
  <c r="AR9" i="1" s="1"/>
  <c r="K57" i="18"/>
  <c r="BA10" i="1" s="1"/>
  <c r="I57" i="18"/>
  <c r="AW10" i="1" s="1"/>
  <c r="AX10" i="1" s="1"/>
  <c r="M9" i="17"/>
  <c r="M10" i="18"/>
  <c r="M10" i="17"/>
  <c r="M11" i="18"/>
  <c r="M13" i="17"/>
  <c r="M14" i="18"/>
  <c r="M16" i="17"/>
  <c r="M17" i="18"/>
  <c r="M18" i="18"/>
  <c r="M20" i="18"/>
  <c r="M22" i="18"/>
  <c r="M25" i="18"/>
  <c r="M26" i="17"/>
  <c r="M27" i="18"/>
  <c r="M29" i="17"/>
  <c r="M30" i="18"/>
  <c r="M31" i="18"/>
  <c r="M34" i="18"/>
  <c r="M35" i="18"/>
  <c r="M36" i="18"/>
  <c r="M38" i="18"/>
  <c r="M39" i="18"/>
  <c r="M40" i="17"/>
  <c r="M41" i="18"/>
  <c r="M42" i="18"/>
  <c r="M43" i="18"/>
  <c r="M44" i="18"/>
  <c r="M45" i="17"/>
  <c r="M47" i="18"/>
  <c r="M48" i="18"/>
  <c r="M48" i="17"/>
  <c r="M50" i="17"/>
  <c r="M51" i="17"/>
  <c r="BE4" i="1" s="1"/>
  <c r="M52" i="17"/>
  <c r="BE5" i="1" s="1"/>
  <c r="M53" i="18"/>
  <c r="M54" i="18"/>
  <c r="E12" i="18"/>
  <c r="E13" i="18"/>
  <c r="E14" i="18"/>
  <c r="E15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AZ4" i="1" s="1"/>
  <c r="E52" i="18"/>
  <c r="AZ5" i="1" s="1"/>
  <c r="E53" i="18"/>
  <c r="AZ6" i="1" s="1"/>
  <c r="BB6" i="1" s="1"/>
  <c r="E54" i="18"/>
  <c r="AZ7" i="1" s="1"/>
  <c r="BB7" i="1" s="1"/>
  <c r="E55" i="18"/>
  <c r="AZ8" i="1" s="1"/>
  <c r="BB8" i="1" s="1"/>
  <c r="E57" i="18"/>
  <c r="AZ10" i="1" s="1"/>
  <c r="F8" i="18"/>
  <c r="F9" i="18"/>
  <c r="F10" i="18"/>
  <c r="F11" i="18"/>
  <c r="F12" i="18"/>
  <c r="F14" i="18"/>
  <c r="F16" i="18"/>
  <c r="F17" i="18"/>
  <c r="F18" i="18"/>
  <c r="F19" i="18"/>
  <c r="F20" i="18"/>
  <c r="F21" i="18"/>
  <c r="F22" i="18"/>
  <c r="F23" i="18"/>
  <c r="F24" i="18"/>
  <c r="F25" i="18"/>
  <c r="F27" i="18"/>
  <c r="F28" i="18"/>
  <c r="F30" i="18"/>
  <c r="F31" i="18"/>
  <c r="F32" i="18"/>
  <c r="F33" i="18"/>
  <c r="F34" i="18"/>
  <c r="F35" i="18"/>
  <c r="F36" i="18"/>
  <c r="F37" i="18"/>
  <c r="F39" i="18"/>
  <c r="F40" i="18"/>
  <c r="F41" i="18"/>
  <c r="F42" i="18"/>
  <c r="F44" i="18"/>
  <c r="F46" i="18"/>
  <c r="F48" i="18"/>
  <c r="F49" i="18"/>
  <c r="F51" i="18"/>
  <c r="F52" i="18"/>
  <c r="F54" i="18"/>
  <c r="F55" i="18"/>
  <c r="F56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1" i="18"/>
  <c r="B22" i="18"/>
  <c r="B24" i="18"/>
  <c r="B25" i="18"/>
  <c r="B27" i="18"/>
  <c r="B30" i="18"/>
  <c r="B31" i="18"/>
  <c r="B33" i="18"/>
  <c r="B34" i="18"/>
  <c r="B35" i="18"/>
  <c r="B36" i="18"/>
  <c r="B37" i="18"/>
  <c r="B38" i="18"/>
  <c r="B39" i="18"/>
  <c r="B40" i="18"/>
  <c r="B41" i="18"/>
  <c r="B43" i="18"/>
  <c r="B44" i="18"/>
  <c r="B45" i="18"/>
  <c r="B46" i="18"/>
  <c r="B47" i="18"/>
  <c r="B48" i="18"/>
  <c r="B50" i="18"/>
  <c r="B51" i="18"/>
  <c r="B53" i="18"/>
  <c r="B55" i="18"/>
  <c r="B57" i="18"/>
  <c r="AN10" i="1" s="1"/>
  <c r="L8" i="18"/>
  <c r="L9" i="18"/>
  <c r="L10" i="18"/>
  <c r="L11" i="18"/>
  <c r="L11" i="17"/>
  <c r="L12" i="18"/>
  <c r="L13" i="17"/>
  <c r="L14" i="18"/>
  <c r="L16" i="18"/>
  <c r="L17" i="17"/>
  <c r="L18" i="18"/>
  <c r="L19" i="18"/>
  <c r="L19" i="17"/>
  <c r="L20" i="18"/>
  <c r="L21" i="18"/>
  <c r="L22" i="17"/>
  <c r="L23" i="18"/>
  <c r="L24" i="18"/>
  <c r="L25" i="18"/>
  <c r="L26" i="18"/>
  <c r="L27" i="18"/>
  <c r="L29" i="17"/>
  <c r="L30" i="18"/>
  <c r="L32" i="18"/>
  <c r="L34" i="18"/>
  <c r="L36" i="17"/>
  <c r="L37" i="18"/>
  <c r="L38" i="18"/>
  <c r="L39" i="18"/>
  <c r="L40" i="18"/>
  <c r="L41" i="17"/>
  <c r="L42" i="18"/>
  <c r="L44" i="17"/>
  <c r="L45" i="17"/>
  <c r="L46" i="17"/>
  <c r="L47" i="17"/>
  <c r="L49" i="18"/>
  <c r="L52" i="18"/>
  <c r="L53" i="17"/>
  <c r="L54" i="17"/>
  <c r="L56" i="18"/>
  <c r="J9" i="17"/>
  <c r="J10" i="18"/>
  <c r="J11" i="18"/>
  <c r="J14" i="18"/>
  <c r="J15" i="18"/>
  <c r="J16" i="17"/>
  <c r="J20" i="18"/>
  <c r="J21" i="18"/>
  <c r="J24" i="18"/>
  <c r="J25" i="17"/>
  <c r="J26" i="18"/>
  <c r="J27" i="17"/>
  <c r="J28" i="17"/>
  <c r="J29" i="18"/>
  <c r="J31" i="17"/>
  <c r="J33" i="18"/>
  <c r="J34" i="18"/>
  <c r="J34" i="17"/>
  <c r="J35" i="18"/>
  <c r="J37" i="18"/>
  <c r="J40" i="18"/>
  <c r="J41" i="18"/>
  <c r="J43" i="17"/>
  <c r="J49" i="17"/>
  <c r="J50" i="18"/>
  <c r="AS4" i="1" s="1"/>
  <c r="J52" i="18"/>
  <c r="J52" i="17"/>
  <c r="J53" i="17"/>
  <c r="J54" i="18"/>
  <c r="AS7" i="1" s="1"/>
  <c r="J55" i="18"/>
  <c r="J56" i="18"/>
  <c r="AS9" i="1" s="1"/>
  <c r="AT9" i="1" s="1"/>
  <c r="J56" i="17"/>
  <c r="J57" i="17"/>
  <c r="K57" i="17"/>
  <c r="M57" i="18"/>
  <c r="J14" i="17"/>
  <c r="J39" i="17"/>
  <c r="J35" i="17"/>
  <c r="J29" i="17"/>
  <c r="J41" i="17"/>
  <c r="J55" i="17"/>
  <c r="E6" i="16" a="1"/>
  <c r="E6" i="16" s="1"/>
  <c r="L6" i="16" a="1"/>
  <c r="L6" i="16" s="1"/>
  <c r="H6" i="16" a="1"/>
  <c r="H6" i="16" s="1"/>
  <c r="K6" i="16" a="1"/>
  <c r="K6" i="16" s="1"/>
  <c r="G6" i="16" a="1"/>
  <c r="G6" i="16" s="1"/>
  <c r="F6" i="16" a="1"/>
  <c r="F6" i="16" s="1"/>
  <c r="J6" i="16" a="1"/>
  <c r="J6" i="16" s="1"/>
  <c r="P6" i="16" a="1"/>
  <c r="P6" i="16" s="1"/>
  <c r="O6" i="16" a="1"/>
  <c r="O6" i="16" s="1"/>
  <c r="M6" i="16" a="1"/>
  <c r="M6" i="16" s="1"/>
  <c r="N6" i="16" a="1"/>
  <c r="N6" i="16" s="1"/>
  <c r="I6" i="16" a="1"/>
  <c r="I6" i="16" s="1"/>
  <c r="M14" i="17"/>
  <c r="M47" i="17"/>
  <c r="M46" i="17"/>
  <c r="M57" i="17"/>
  <c r="M38" i="17"/>
  <c r="E8" i="17"/>
  <c r="E15" i="17"/>
  <c r="E14" i="17"/>
  <c r="E47" i="17"/>
  <c r="E25" i="17"/>
  <c r="E39" i="17"/>
  <c r="E52" i="17"/>
  <c r="E45" i="17"/>
  <c r="E32" i="17"/>
  <c r="E34" i="17"/>
  <c r="E55" i="17"/>
  <c r="E56" i="17"/>
  <c r="E46" i="17"/>
  <c r="E10" i="17"/>
  <c r="E12" i="17"/>
  <c r="E13" i="17"/>
  <c r="E16" i="17"/>
  <c r="E17" i="17"/>
  <c r="E18" i="17"/>
  <c r="E19" i="17"/>
  <c r="E20" i="17"/>
  <c r="E21" i="17"/>
  <c r="E22" i="17"/>
  <c r="E23" i="17"/>
  <c r="E24" i="17"/>
  <c r="E26" i="17"/>
  <c r="E27" i="17"/>
  <c r="E28" i="17"/>
  <c r="E29" i="17"/>
  <c r="E30" i="17"/>
  <c r="E31" i="17"/>
  <c r="E33" i="17"/>
  <c r="E35" i="17"/>
  <c r="E36" i="17"/>
  <c r="E37" i="17"/>
  <c r="E38" i="17"/>
  <c r="E40" i="17"/>
  <c r="E41" i="17"/>
  <c r="E42" i="17"/>
  <c r="E43" i="17"/>
  <c r="E44" i="17"/>
  <c r="E48" i="17"/>
  <c r="E50" i="17"/>
  <c r="E51" i="17"/>
  <c r="E53" i="17"/>
  <c r="E54" i="17"/>
  <c r="K15" i="17"/>
  <c r="K14" i="17"/>
  <c r="K26" i="17"/>
  <c r="K35" i="17"/>
  <c r="K19" i="17"/>
  <c r="K29" i="17"/>
  <c r="K44" i="17"/>
  <c r="F8" i="17"/>
  <c r="F37" i="17"/>
  <c r="F53" i="17"/>
  <c r="F44" i="17"/>
  <c r="F27" i="17"/>
  <c r="F26" i="17"/>
  <c r="F55" i="17"/>
  <c r="F41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8" i="17"/>
  <c r="F29" i="17"/>
  <c r="F30" i="17"/>
  <c r="F31" i="17"/>
  <c r="F32" i="17"/>
  <c r="F33" i="17"/>
  <c r="F34" i="17"/>
  <c r="F35" i="17"/>
  <c r="F38" i="17"/>
  <c r="F39" i="17"/>
  <c r="F40" i="17"/>
  <c r="F42" i="17"/>
  <c r="F43" i="17"/>
  <c r="F45" i="17"/>
  <c r="F46" i="17"/>
  <c r="F47" i="17"/>
  <c r="F48" i="17"/>
  <c r="F49" i="17"/>
  <c r="F50" i="17"/>
  <c r="F51" i="17"/>
  <c r="F52" i="17"/>
  <c r="F54" i="17"/>
  <c r="B8" i="17"/>
  <c r="B15" i="17"/>
  <c r="B14" i="17"/>
  <c r="B26" i="17"/>
  <c r="B24" i="17"/>
  <c r="B53" i="17"/>
  <c r="B21" i="17"/>
  <c r="B18" i="17"/>
  <c r="B9" i="17"/>
  <c r="B10" i="17"/>
  <c r="B12" i="17"/>
  <c r="B13" i="17"/>
  <c r="B16" i="17"/>
  <c r="B17" i="17"/>
  <c r="B19" i="17"/>
  <c r="B20" i="17"/>
  <c r="B22" i="17"/>
  <c r="B23" i="17"/>
  <c r="B25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7" i="17"/>
  <c r="B48" i="17"/>
  <c r="B49" i="17"/>
  <c r="B54" i="17"/>
  <c r="B57" i="17"/>
  <c r="I15" i="17"/>
  <c r="I14" i="17"/>
  <c r="I54" i="17"/>
  <c r="I42" i="17"/>
  <c r="I35" i="17"/>
  <c r="I57" i="17"/>
  <c r="I38" i="17"/>
  <c r="I52" i="17"/>
  <c r="C14" i="17"/>
  <c r="C16" i="17"/>
  <c r="C52" i="17"/>
  <c r="C23" i="17"/>
  <c r="C54" i="17"/>
  <c r="C33" i="17"/>
  <c r="C44" i="17"/>
  <c r="C45" i="17"/>
  <c r="C9" i="17"/>
  <c r="C10" i="17"/>
  <c r="C11" i="17"/>
  <c r="C12" i="17"/>
  <c r="C13" i="17"/>
  <c r="C15" i="17"/>
  <c r="C17" i="17"/>
  <c r="C18" i="17"/>
  <c r="C19" i="17"/>
  <c r="C20" i="17"/>
  <c r="C21" i="17"/>
  <c r="C22" i="17"/>
  <c r="C24" i="17"/>
  <c r="C25" i="17"/>
  <c r="C26" i="17"/>
  <c r="C27" i="17"/>
  <c r="C28" i="17"/>
  <c r="C29" i="17"/>
  <c r="C30" i="17"/>
  <c r="C31" i="17"/>
  <c r="C32" i="17"/>
  <c r="C34" i="17"/>
  <c r="C35" i="17"/>
  <c r="C36" i="17"/>
  <c r="C37" i="17"/>
  <c r="C38" i="17"/>
  <c r="C39" i="17"/>
  <c r="C40" i="17"/>
  <c r="C41" i="17"/>
  <c r="C42" i="17"/>
  <c r="C43" i="17"/>
  <c r="C46" i="17"/>
  <c r="C47" i="17"/>
  <c r="C48" i="17"/>
  <c r="C49" i="17"/>
  <c r="C50" i="17"/>
  <c r="C51" i="17"/>
  <c r="C53" i="17"/>
  <c r="C55" i="17"/>
  <c r="C56" i="17"/>
  <c r="L14" i="17"/>
  <c r="L15" i="17"/>
  <c r="L32" i="17"/>
  <c r="L16" i="17"/>
  <c r="L18" i="17"/>
  <c r="G8" i="17"/>
  <c r="G15" i="17"/>
  <c r="G14" i="17"/>
  <c r="G51" i="17"/>
  <c r="BD4" i="1" s="1"/>
  <c r="G50" i="17"/>
  <c r="G47" i="17"/>
  <c r="G30" i="17"/>
  <c r="G29" i="17"/>
  <c r="G33" i="17"/>
  <c r="G53" i="17"/>
  <c r="BD6" i="1" s="1"/>
  <c r="BF6" i="1" s="1"/>
  <c r="G9" i="17"/>
  <c r="G10" i="17"/>
  <c r="G12" i="17"/>
  <c r="G13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31" i="17"/>
  <c r="G32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8" i="17"/>
  <c r="G49" i="17"/>
  <c r="G52" i="17"/>
  <c r="BD5" i="1" s="1"/>
  <c r="G54" i="17"/>
  <c r="BD7" i="1" s="1"/>
  <c r="BF7" i="1" s="1"/>
  <c r="G55" i="17"/>
  <c r="BD8" i="1" s="1"/>
  <c r="BF8" i="1" s="1"/>
  <c r="G56" i="17"/>
  <c r="BD9" i="1" s="1"/>
  <c r="BF9" i="1" s="1"/>
  <c r="F57" i="17"/>
  <c r="D15" i="17"/>
  <c r="D34" i="17"/>
  <c r="D43" i="17"/>
  <c r="D41" i="17"/>
  <c r="D46" i="17"/>
  <c r="D32" i="17"/>
  <c r="D56" i="17"/>
  <c r="D40" i="17"/>
  <c r="D22" i="17"/>
  <c r="D9" i="17"/>
  <c r="D10" i="17"/>
  <c r="D11" i="17"/>
  <c r="D12" i="17"/>
  <c r="D13" i="17"/>
  <c r="D14" i="17"/>
  <c r="D16" i="17"/>
  <c r="D17" i="17"/>
  <c r="D18" i="17"/>
  <c r="D19" i="17"/>
  <c r="D20" i="17"/>
  <c r="D21" i="17"/>
  <c r="D23" i="17"/>
  <c r="D24" i="17"/>
  <c r="D25" i="17"/>
  <c r="D26" i="17"/>
  <c r="D27" i="17"/>
  <c r="D28" i="17"/>
  <c r="D29" i="17"/>
  <c r="D30" i="17"/>
  <c r="D31" i="17"/>
  <c r="D33" i="17"/>
  <c r="D35" i="17"/>
  <c r="D36" i="17"/>
  <c r="D37" i="17"/>
  <c r="D38" i="17"/>
  <c r="D39" i="17"/>
  <c r="D42" i="17"/>
  <c r="D44" i="17"/>
  <c r="D45" i="17"/>
  <c r="D47" i="17"/>
  <c r="D48" i="17"/>
  <c r="D49" i="17"/>
  <c r="D50" i="17"/>
  <c r="D51" i="17"/>
  <c r="D52" i="17"/>
  <c r="D53" i="17"/>
  <c r="D54" i="17"/>
  <c r="E57" i="17"/>
  <c r="AS8" i="1" l="1"/>
  <c r="AT8" i="1" s="1"/>
  <c r="AR7" i="1"/>
  <c r="AT7" i="1" s="1"/>
  <c r="AS5" i="1"/>
  <c r="AT5" i="1" s="1"/>
  <c r="AS6" i="1"/>
  <c r="AT4" i="1"/>
  <c r="BF4" i="1"/>
  <c r="AR6" i="1"/>
  <c r="AS10" i="1"/>
  <c r="BF5" i="1"/>
  <c r="AR10" i="1"/>
  <c r="E6" i="17"/>
  <c r="E6" i="18"/>
  <c r="AN6" i="1"/>
  <c r="AN7" i="1"/>
  <c r="BB5" i="1"/>
  <c r="AO6" i="1"/>
  <c r="AO7" i="1"/>
  <c r="J6" i="17"/>
  <c r="J6" i="18"/>
  <c r="I6" i="17"/>
  <c r="I6" i="18"/>
  <c r="AN4" i="1"/>
  <c r="AN5" i="1"/>
  <c r="BB4" i="1"/>
  <c r="AO4" i="1"/>
  <c r="AO5" i="1"/>
  <c r="L6" i="17"/>
  <c r="L6" i="18"/>
  <c r="B6" i="17"/>
  <c r="B6" i="18"/>
  <c r="K6" i="17"/>
  <c r="K6" i="18"/>
  <c r="M6" i="17"/>
  <c r="M6" i="18"/>
  <c r="AX8" i="1"/>
  <c r="G6" i="17"/>
  <c r="G6" i="18"/>
  <c r="BB10" i="1"/>
  <c r="AP10" i="1"/>
  <c r="C6" i="17"/>
  <c r="C6" i="18"/>
  <c r="D6" i="17"/>
  <c r="D6" i="18"/>
  <c r="F6" i="17"/>
  <c r="F6" i="18"/>
  <c r="H6" i="17"/>
  <c r="H6" i="18"/>
  <c r="AN8" i="1"/>
  <c r="AP8" i="1" s="1"/>
  <c r="AN9" i="1"/>
  <c r="AP9" i="1"/>
  <c r="AT6" i="1" l="1"/>
  <c r="AP5" i="1"/>
  <c r="AP4" i="1"/>
  <c r="AP7" i="1"/>
  <c r="AP6" i="1"/>
  <c r="AT10" i="1"/>
  <c r="AI5" i="1" l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4" i="1"/>
  <c r="CP30" i="9"/>
  <c r="CQ30" i="9"/>
  <c r="BN30" i="9"/>
  <c r="BO30" i="9"/>
  <c r="BP30" i="9"/>
  <c r="BQ30" i="9"/>
  <c r="BR30" i="9"/>
  <c r="BS30" i="9"/>
  <c r="BT30" i="9"/>
  <c r="BU30" i="9"/>
  <c r="BV30" i="9"/>
  <c r="BW30" i="9"/>
  <c r="BX30" i="9"/>
  <c r="BY30" i="9"/>
  <c r="BZ30" i="9"/>
  <c r="CA30" i="9"/>
  <c r="CB30" i="9"/>
  <c r="CC30" i="9"/>
  <c r="CD30" i="9"/>
  <c r="CE30" i="9"/>
  <c r="CF30" i="9"/>
  <c r="CG30" i="9"/>
  <c r="CH30" i="9"/>
  <c r="CI30" i="9"/>
  <c r="CJ30" i="9"/>
  <c r="CK30" i="9"/>
  <c r="CL30" i="9"/>
  <c r="CM30" i="9"/>
  <c r="CN30" i="9"/>
  <c r="CO30" i="9"/>
  <c r="BM30" i="9"/>
  <c r="AD5" i="1" l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4" i="1"/>
  <c r="S6" i="1"/>
  <c r="R12" i="1"/>
  <c r="R13" i="1"/>
  <c r="S14" i="1"/>
  <c r="R16" i="1"/>
  <c r="R17" i="1"/>
  <c r="S18" i="1"/>
  <c r="R20" i="1"/>
  <c r="R21" i="1"/>
  <c r="R23" i="1"/>
  <c r="R24" i="1"/>
  <c r="R25" i="1"/>
  <c r="R28" i="1"/>
  <c r="S27" i="1"/>
  <c r="R29" i="1"/>
  <c r="S30" i="1"/>
  <c r="R32" i="1"/>
  <c r="Y9" i="1" s="1"/>
  <c r="Q6" i="1"/>
  <c r="Q13" i="1"/>
  <c r="Q15" i="1"/>
  <c r="Q16" i="1"/>
  <c r="Q21" i="1"/>
  <c r="Q23" i="1"/>
  <c r="Q27" i="1"/>
  <c r="Q29" i="1"/>
  <c r="Q32" i="1"/>
  <c r="P6" i="1"/>
  <c r="P11" i="1"/>
  <c r="P14" i="1"/>
  <c r="P17" i="1"/>
  <c r="P19" i="1"/>
  <c r="P21" i="1"/>
  <c r="P22" i="1"/>
  <c r="P26" i="1"/>
  <c r="P30" i="1"/>
  <c r="J5" i="1"/>
  <c r="J8" i="1"/>
  <c r="J9" i="1"/>
  <c r="J10" i="1"/>
  <c r="J11" i="1"/>
  <c r="J12" i="1"/>
  <c r="J13" i="1"/>
  <c r="J14" i="1"/>
  <c r="J16" i="1"/>
  <c r="J17" i="1"/>
  <c r="J18" i="1"/>
  <c r="J19" i="1"/>
  <c r="J20" i="1"/>
  <c r="J21" i="1"/>
  <c r="J22" i="1"/>
  <c r="J24" i="1"/>
  <c r="J25" i="1"/>
  <c r="J26" i="1"/>
  <c r="J27" i="1"/>
  <c r="J29" i="1"/>
  <c r="J30" i="1"/>
  <c r="J32" i="1"/>
  <c r="J4" i="1"/>
  <c r="S31" i="1"/>
  <c r="J31" i="1"/>
  <c r="P28" i="1"/>
  <c r="J28" i="1"/>
  <c r="P27" i="1"/>
  <c r="Q25" i="1"/>
  <c r="S23" i="1"/>
  <c r="J23" i="1"/>
  <c r="Q19" i="1"/>
  <c r="S19" i="1"/>
  <c r="P18" i="1"/>
  <c r="S16" i="1"/>
  <c r="S15" i="1"/>
  <c r="J15" i="1"/>
  <c r="Q14" i="1"/>
  <c r="P12" i="1"/>
  <c r="S11" i="1"/>
  <c r="R9" i="1"/>
  <c r="R8" i="1"/>
  <c r="Q8" i="1"/>
  <c r="S7" i="1"/>
  <c r="J7" i="1"/>
  <c r="J6" i="1"/>
  <c r="R5" i="1"/>
  <c r="AE4" i="1" l="1"/>
  <c r="AE33" i="1"/>
  <c r="AE27" i="1"/>
  <c r="AE10" i="1"/>
  <c r="AE11" i="1"/>
  <c r="AE19" i="1"/>
  <c r="P24" i="1"/>
  <c r="AE26" i="1"/>
  <c r="AE18" i="1"/>
  <c r="Q12" i="1"/>
  <c r="R6" i="1"/>
  <c r="AE25" i="1"/>
  <c r="AE17" i="1"/>
  <c r="AE9" i="1"/>
  <c r="Q11" i="1"/>
  <c r="P29" i="1"/>
  <c r="P13" i="1"/>
  <c r="P5" i="1"/>
  <c r="Q10" i="1"/>
  <c r="S32" i="1"/>
  <c r="S28" i="1"/>
  <c r="S24" i="1"/>
  <c r="S20" i="1"/>
  <c r="S12" i="1"/>
  <c r="S8" i="1"/>
  <c r="AE32" i="1"/>
  <c r="AE24" i="1"/>
  <c r="AE16" i="1"/>
  <c r="AE8" i="1"/>
  <c r="P20" i="1"/>
  <c r="Q9" i="1"/>
  <c r="AE31" i="1"/>
  <c r="AE23" i="1"/>
  <c r="AE15" i="1"/>
  <c r="AE7" i="1"/>
  <c r="P16" i="1"/>
  <c r="AE30" i="1"/>
  <c r="AE22" i="1"/>
  <c r="AE14" i="1"/>
  <c r="AE6" i="1"/>
  <c r="Q7" i="1"/>
  <c r="AE29" i="1"/>
  <c r="AE21" i="1"/>
  <c r="AE13" i="1"/>
  <c r="AE5" i="1"/>
  <c r="S13" i="1"/>
  <c r="Q24" i="1"/>
  <c r="AE28" i="1"/>
  <c r="AE20" i="1"/>
  <c r="AE12" i="1"/>
  <c r="Q18" i="1"/>
  <c r="R27" i="1"/>
  <c r="Q31" i="1"/>
  <c r="P25" i="1"/>
  <c r="P10" i="1"/>
  <c r="P15" i="1"/>
  <c r="R30" i="1"/>
  <c r="R26" i="1"/>
  <c r="R22" i="1"/>
  <c r="R19" i="1"/>
  <c r="R15" i="1"/>
  <c r="R11" i="1"/>
  <c r="R7" i="1"/>
  <c r="P31" i="1"/>
  <c r="P8" i="1"/>
  <c r="Q28" i="1"/>
  <c r="Q20" i="1"/>
  <c r="S25" i="1"/>
  <c r="S21" i="1"/>
  <c r="S9" i="1"/>
  <c r="S17" i="1"/>
  <c r="R10" i="1"/>
  <c r="R18" i="1"/>
  <c r="R31" i="1"/>
  <c r="S10" i="1"/>
  <c r="R14" i="1"/>
  <c r="S22" i="1"/>
  <c r="S26" i="1"/>
  <c r="Q17" i="1"/>
  <c r="Q22" i="1"/>
  <c r="Q5" i="1"/>
  <c r="P7" i="1"/>
  <c r="P23" i="1"/>
  <c r="P32" i="1"/>
  <c r="P9" i="1"/>
  <c r="S5" i="1"/>
  <c r="Q26" i="1"/>
  <c r="S29" i="1"/>
  <c r="Q30" i="1"/>
  <c r="C7" i="1" l="1"/>
  <c r="C17" i="1" s="1"/>
  <c r="B7" i="1"/>
  <c r="B17" i="1" s="1"/>
  <c r="D7" i="1" l="1"/>
  <c r="D17" i="1" s="1"/>
  <c r="G7" i="1"/>
  <c r="G17" i="1" s="1"/>
  <c r="F7" i="1" l="1"/>
  <c r="F17" i="1" s="1"/>
  <c r="E7" i="1"/>
  <c r="E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<sst xmlns="http://schemas.openxmlformats.org/spreadsheetml/2006/main" count="1937" uniqueCount="714">
  <si>
    <t>2023-24</t>
  </si>
  <si>
    <t>2024-25</t>
  </si>
  <si>
    <t>2025-26</t>
  </si>
  <si>
    <t>2026-27</t>
  </si>
  <si>
    <t>2027-28</t>
  </si>
  <si>
    <t>2028-29</t>
  </si>
  <si>
    <t>Tax</t>
  </si>
  <si>
    <t>Spend</t>
  </si>
  <si>
    <t>*</t>
  </si>
  <si>
    <t xml:space="preserve">* Costing is negligible </t>
  </si>
  <si>
    <t>GDP!</t>
  </si>
  <si>
    <t>% of GDP</t>
  </si>
  <si>
    <t>Budget policy decisions</t>
  </si>
  <si>
    <t>Current spending</t>
  </si>
  <si>
    <t>Capital spending</t>
  </si>
  <si>
    <t>2024-2025</t>
  </si>
  <si>
    <t>2025-2026</t>
  </si>
  <si>
    <t>2026-2027</t>
  </si>
  <si>
    <t>2027-2028</t>
  </si>
  <si>
    <t>2028-2029</t>
  </si>
  <si>
    <t>2029-2030</t>
  </si>
  <si>
    <t>Total</t>
  </si>
  <si>
    <t>Levels</t>
  </si>
  <si>
    <t>Diff</t>
  </si>
  <si>
    <t>Public sector net debt</t>
  </si>
  <si>
    <t>Public sector net debt (ex BoE)</t>
  </si>
  <si>
    <t>Public sector net financial liabilities</t>
  </si>
  <si>
    <t>Public sector net worth (inverted)</t>
  </si>
  <si>
    <t>23-24</t>
  </si>
  <si>
    <t>24-25</t>
  </si>
  <si>
    <t>25-26</t>
  </si>
  <si>
    <t>26-27</t>
  </si>
  <si>
    <t>27-28</t>
  </si>
  <si>
    <t>28-29</t>
  </si>
  <si>
    <r>
      <t>Per cent of GDP</t>
    </r>
    <r>
      <rPr>
        <vertAlign val="superscript"/>
        <sz val="14"/>
        <rFont val="Calibri"/>
        <family val="2"/>
      </rPr>
      <t>1</t>
    </r>
  </si>
  <si>
    <t>Receipts and expenditure</t>
  </si>
  <si>
    <t>Deficit</t>
  </si>
  <si>
    <t>Fiscal targets</t>
  </si>
  <si>
    <t>Financing</t>
  </si>
  <si>
    <t>Other Debt and Deficit measures</t>
  </si>
  <si>
    <t>Economic indicators</t>
  </si>
  <si>
    <t>Public sector current receipts</t>
  </si>
  <si>
    <t>Total managed expenditure</t>
  </si>
  <si>
    <t>Public sector current expenditure</t>
  </si>
  <si>
    <t>Public sector net investment</t>
  </si>
  <si>
    <t>Depreciation</t>
  </si>
  <si>
    <t>Public sector gross investment</t>
  </si>
  <si>
    <t>National account taxes</t>
  </si>
  <si>
    <t>Cyclically-adjusted current budget deficit</t>
  </si>
  <si>
    <t>Current budget deficit</t>
  </si>
  <si>
    <t>Primary balance</t>
  </si>
  <si>
    <t>Cyclically-adjusted primary balance</t>
  </si>
  <si>
    <t>Cyclically-adjusted net borrowing</t>
  </si>
  <si>
    <t>Public sector net borrowing</t>
  </si>
  <si>
    <r>
      <t>Public sector net debt (ex BOE)</t>
    </r>
    <r>
      <rPr>
        <vertAlign val="superscript"/>
        <sz val="10"/>
        <rFont val="Calibri"/>
        <family val="2"/>
      </rPr>
      <t>2</t>
    </r>
  </si>
  <si>
    <t>Central government net cash requirement</t>
  </si>
  <si>
    <t>Public sector net cash requirement</t>
  </si>
  <si>
    <t>Central government debt interest, net of APF</t>
  </si>
  <si>
    <r>
      <t>Public sector net debt</t>
    </r>
    <r>
      <rPr>
        <vertAlign val="superscript"/>
        <sz val="10"/>
        <rFont val="Calibri"/>
        <family val="2"/>
      </rPr>
      <t>2</t>
    </r>
  </si>
  <si>
    <t>General government net borrowing</t>
  </si>
  <si>
    <t>Cyclically-adjusted general government net borrowing</t>
  </si>
  <si>
    <t>General Government Gross Debt</t>
  </si>
  <si>
    <t>Nominal GDP (£ billion)</t>
  </si>
  <si>
    <t>Nominal GDP, centred end-March (£ billion)</t>
  </si>
  <si>
    <t>Output gap (per cent of GDP)</t>
  </si>
  <si>
    <t>Forecast</t>
  </si>
  <si>
    <t>1948</t>
  </si>
  <si>
    <t>-</t>
  </si>
  <si>
    <t>1949</t>
  </si>
  <si>
    <t>1950</t>
  </si>
  <si>
    <t>1951</t>
  </si>
  <si>
    <t>1952</t>
  </si>
  <si>
    <t>1953</t>
  </si>
  <si>
    <t>1954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</si>
  <si>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</si>
  <si>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</si>
  <si>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</si>
  <si>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</si>
  <si>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</si>
  <si>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</si>
  <si>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</si>
  <si>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</si>
  <si>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</si>
  <si>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</si>
  <si>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</si>
  <si>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</si>
  <si>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</si>
  <si>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</si>
  <si>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</si>
  <si>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</si>
  <si>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</si>
  <si>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</si>
  <si>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</si>
  <si>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</si>
  <si>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</si>
  <si>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</si>
  <si>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</si>
  <si>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</si>
  <si>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</si>
  <si>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</si>
  <si>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</si>
  <si>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</si>
  <si>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</si>
  <si>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</si>
  <si>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</si>
  <si>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</si>
  <si>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</si>
  <si>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</si>
  <si>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</si>
  <si>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</si>
  <si>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</si>
  <si>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</si>
  <si>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</si>
  <si>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</si>
  <si>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</si>
  <si>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</si>
  <si>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</si>
  <si>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</si>
  <si>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</si>
  <si>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</si>
  <si>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</si>
  <si>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</si>
  <si>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</si>
  <si>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</si>
  <si>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</si>
  <si>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</si>
  <si>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</si>
  <si>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</si>
  <si>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</si>
  <si>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</si>
  <si>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</si>
  <si>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</si>
  <si>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</si>
  <si>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</si>
  <si>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</si>
  <si>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</si>
  <si>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</si>
  <si>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</si>
  <si>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</si>
  <si>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</si>
  <si>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</si>
  <si>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</si>
  <si>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Notes:</t>
  </si>
  <si>
    <r>
      <t xml:space="preserve">1 </t>
    </r>
    <r>
      <rPr>
        <sz val="10"/>
        <rFont val="Calibri"/>
        <family val="2"/>
      </rPr>
      <t>Outturn data presented as a per cent of GDP is consistent with the latest available ONS GDP data (GDP first quarterly estimate published 15th August 2024). Calendar year GDP used for 1948-1954.</t>
    </r>
  </si>
  <si>
    <r>
      <t xml:space="preserve">2 </t>
    </r>
    <r>
      <rPr>
        <sz val="10"/>
        <rFont val="Calibri"/>
        <family val="2"/>
      </rPr>
      <t>Debt at end March; GDP centred on end-March.</t>
    </r>
  </si>
  <si>
    <t>Outturn fiscal data consistent with the ONS/HM Treasury Public Sector Finances Statistical Bulletin released on 21 August 2024.</t>
  </si>
  <si>
    <r>
      <t xml:space="preserve">Forecast years from 2024-25 are consistent with the OBR </t>
    </r>
    <r>
      <rPr>
        <i/>
        <sz val="10"/>
        <color indexed="8"/>
        <rFont val="Calibri"/>
        <family val="2"/>
      </rPr>
      <t>Economic and fiscal outlook</t>
    </r>
    <r>
      <rPr>
        <sz val="10"/>
        <color indexed="8"/>
        <rFont val="Calibri"/>
        <family val="2"/>
      </rPr>
      <t xml:space="preserve"> forecast published March 2024.</t>
    </r>
  </si>
  <si>
    <t>A full list of sources is available in the glossary.</t>
  </si>
  <si>
    <t>Cyclically adjusted aggregates are OBR estimates based on internal calculations of the size of the output gap. For more information see Working paper No. 3: Cyclically-adjusting the public finances (https://obr.uk/download/working-paper-no-3-cyclically-adjusting-the-public-finances/)</t>
  </si>
  <si>
    <t>Back to contents</t>
  </si>
  <si>
    <t>Table 5.3: Dashboard of balance sheet and fiscal affordability indicators</t>
  </si>
  <si>
    <t>Fiscal rules</t>
  </si>
  <si>
    <t>Change % of GDP</t>
  </si>
  <si>
    <t>Public sector net worth</t>
  </si>
  <si>
    <t>Budget (Oct24)</t>
  </si>
  <si>
    <t>Budget (Mar24)</t>
  </si>
  <si>
    <t>UK average (2004-2023)</t>
  </si>
  <si>
    <t>OECD average</t>
  </si>
  <si>
    <t>L112G201@OECDGOV</t>
  </si>
  <si>
    <t>L111G201@OECDGOV</t>
  </si>
  <si>
    <t>L158G201@OECDGOV</t>
  </si>
  <si>
    <t>L134G201@OECDGOV</t>
  </si>
  <si>
    <t>L132G201@OECDGOV</t>
  </si>
  <si>
    <t>L136G201@OECDGOV</t>
  </si>
  <si>
    <t>L193G101@OECDGOV</t>
  </si>
  <si>
    <t>L122G201@OECDGOV</t>
  </si>
  <si>
    <t>L124G201@OECDGOV</t>
  </si>
  <si>
    <t>L935G201@OECDGOV</t>
  </si>
  <si>
    <t>L128G201@OECDGOV</t>
  </si>
  <si>
    <t>L939G201@OECDGOV</t>
  </si>
  <si>
    <t>L172G201@OECDGOV</t>
  </si>
  <si>
    <t>L174G201@OECDGOV</t>
  </si>
  <si>
    <t>L944G201@OECDGOV</t>
  </si>
  <si>
    <t>L176G101@OECDGOV</t>
  </si>
  <si>
    <t>L178G201@OECDGOV</t>
  </si>
  <si>
    <t>L436G201@OECDGOV</t>
  </si>
  <si>
    <t>L542G201@OECDGOV</t>
  </si>
  <si>
    <t>L941G201@OECDGOV</t>
  </si>
  <si>
    <t>L946G201@OECDGOV</t>
  </si>
  <si>
    <t>L137G201@OECDGOV</t>
  </si>
  <si>
    <t>L138G201@OECDGOV</t>
  </si>
  <si>
    <t>L142G201@OECDGOV</t>
  </si>
  <si>
    <t>L964G201@OECDGOV</t>
  </si>
  <si>
    <t>L182G201@OECDGOV</t>
  </si>
  <si>
    <t>L936G201@OECDGOV</t>
  </si>
  <si>
    <t>L961G201@OECDGOV</t>
  </si>
  <si>
    <t>L184G201@OECDGOV</t>
  </si>
  <si>
    <t>L144G201@OECDGOV</t>
  </si>
  <si>
    <t>L146G201@OECDGOV</t>
  </si>
  <si>
    <t>L112T401@OECDGOV</t>
  </si>
  <si>
    <t>L111T401@OECDGOV</t>
  </si>
  <si>
    <t>L158T401@OECDGOV</t>
  </si>
  <si>
    <t>L134T401@OECDGOV</t>
  </si>
  <si>
    <t>L132T401@OECDGOV</t>
  </si>
  <si>
    <t>L136T401@OECDGOV</t>
  </si>
  <si>
    <t>L193T401@OECDGOV</t>
  </si>
  <si>
    <t>L122T401@OECDGOV</t>
  </si>
  <si>
    <t>L124T401@OECDGOV</t>
  </si>
  <si>
    <t>L935T401@OECDGOV</t>
  </si>
  <si>
    <t>L128T401@OECDGOV</t>
  </si>
  <si>
    <t>L939T401@OECDGOV</t>
  </si>
  <si>
    <t>L172T401@OECDGOV</t>
  </si>
  <si>
    <t>L174T401@OECDGOV</t>
  </si>
  <si>
    <t>L944T401@OECDGOV</t>
  </si>
  <si>
    <t>L176T401@OECDGOV</t>
  </si>
  <si>
    <t>L178T401@OECDGOV</t>
  </si>
  <si>
    <t>L436T401@OECDGOV</t>
  </si>
  <si>
    <t>L542T401@OECDGOV</t>
  </si>
  <si>
    <t>L941T401@OECDGOV</t>
  </si>
  <si>
    <t>L946T401@OECDGOV</t>
  </si>
  <si>
    <t>L137T401@OECDGOV</t>
  </si>
  <si>
    <t>L138T401@OECDGOV</t>
  </si>
  <si>
    <t>L142T401@OECDGOV</t>
  </si>
  <si>
    <t>L964T401@OECDGOV</t>
  </si>
  <si>
    <t>L182T401@OECDGOV</t>
  </si>
  <si>
    <t>L936T401@OECDGOV</t>
  </si>
  <si>
    <t>L961T401@OECDGOV</t>
  </si>
  <si>
    <t>L184T401@OECDGOV</t>
  </si>
  <si>
    <t>L144T401@OECDGOV</t>
  </si>
  <si>
    <t>L146T401@OECDGOV</t>
  </si>
  <si>
    <t>2000 !Y</t>
  </si>
  <si>
    <t>2000</t>
  </si>
  <si>
    <t>.DTLM</t>
  </si>
  <si>
    <t>.LSOURCE</t>
  </si>
  <si>
    <t>.TN</t>
  </si>
  <si>
    <t>.T1</t>
  </si>
  <si>
    <t>.DESC</t>
  </si>
  <si>
    <t>Aug-02-2024 15:07</t>
  </si>
  <si>
    <t>Organization for Economic Cooperation &amp; Development</t>
  </si>
  <si>
    <t>2022</t>
  </si>
  <si>
    <t>1995</t>
  </si>
  <si>
    <t>UK:G Govt: GFCF: Total(Mil.GBP)</t>
  </si>
  <si>
    <t>Jan-31-2024 17:03</t>
  </si>
  <si>
    <t>1970</t>
  </si>
  <si>
    <t>US:G Govt: GFCF: Total(Mil.US$)</t>
  </si>
  <si>
    <t>Aug-02-2024 16:24</t>
  </si>
  <si>
    <t>2005</t>
  </si>
  <si>
    <t>Japan:G Govt: GFCF: Total(Bil.Yen)</t>
  </si>
  <si>
    <t>Germany: Gen Gov: Gross Fixed Capital Formation (Mil.EUR)</t>
  </si>
  <si>
    <t>France:G Govt: GFCF: Total(Mil.EUR)</t>
  </si>
  <si>
    <t>1990</t>
  </si>
  <si>
    <t>Italy:G Govt: GFCF: Total(Mil.EUR)</t>
  </si>
  <si>
    <t>Aug-02-2024 17:15</t>
  </si>
  <si>
    <t>1998</t>
  </si>
  <si>
    <t>Australia: General Government: Gross Capital Formation (Mil.AUD)</t>
  </si>
  <si>
    <t>Austria:G Govt: GFCF: Total(Mil.EUR)</t>
  </si>
  <si>
    <t>Belgium:G Govt: GFCF: Total(Mil.EUR)</t>
  </si>
  <si>
    <t>Czechia:G Govt: GFCF: Total(Mil.CZK)</t>
  </si>
  <si>
    <t>Denmark:G Govt: GFCF: Total(Mil.DKK)</t>
  </si>
  <si>
    <t>Estonia:G Govt: GFCF: Total(Mil.EUR)</t>
  </si>
  <si>
    <t>Finland:G Govt: GFCF: Total(Mil.EUR)</t>
  </si>
  <si>
    <t>Greece: Gen Gov: Gross Fixed Capital Formation (Mil.EUR)</t>
  </si>
  <si>
    <t>Aug-02-2024 18:32</t>
  </si>
  <si>
    <t>Hungary:G Govt: GFCF: Total(Mil.HUF)</t>
  </si>
  <si>
    <t>1997</t>
  </si>
  <si>
    <t>Iceland:G Govt: GCF: Total(Mil.ISK)</t>
  </si>
  <si>
    <t>Ireland:G Govt: GFCF: Total(Mil.EUR)</t>
  </si>
  <si>
    <t>Nov-29-2023 23:07</t>
  </si>
  <si>
    <t>Israel:G Govt: GFCF: Total(Mil.ILS)</t>
  </si>
  <si>
    <t>Sep-26-2023 17:34</t>
  </si>
  <si>
    <t>2021</t>
  </si>
  <si>
    <t>Korea:G Govt: GFCF: Total(Bil.Won)</t>
  </si>
  <si>
    <t>Latvia: General Government: Gross Fixed Capital Formation (Mil.EUR)</t>
  </si>
  <si>
    <t>Lithuania: General Government: Gross Fixed Capital Formation (Mil.EUR)</t>
  </si>
  <si>
    <t>Luxembourg: Gen Gov: Gross Fixed Capital Formation (Mil.EUR)</t>
  </si>
  <si>
    <t>Netherlands: General Government: Gross Fixed Capital Formation (Mil.EUR)</t>
  </si>
  <si>
    <t>Aug-02-2024 16:25</t>
  </si>
  <si>
    <t>Norway:G Govt: GFCF: Total(Mil.NOK)</t>
  </si>
  <si>
    <t>Poland: Gen Gov: Gross Fixed Capital Formation (Mil.PLN)</t>
  </si>
  <si>
    <t>Portugal:G Govt: GFCF: Total(Mil.EUR)</t>
  </si>
  <si>
    <t>Slovakia:G Govt: GFCF: Total(Mil.EUR)</t>
  </si>
  <si>
    <t>Slovenia:G Govt: GFCF: Total(Bil.EUR)</t>
  </si>
  <si>
    <t>Spain:G Govt: GFCF: Total(Mil.EUR)</t>
  </si>
  <si>
    <t>Oct-23-2024 16:14</t>
  </si>
  <si>
    <t>Sweden:G Govt: GFCF: Total(Mil.SEK)</t>
  </si>
  <si>
    <t>Switzerland: Gen Gov: Gross Fixed Capital Formation (Mil.CHF)</t>
  </si>
  <si>
    <t>Oct-30-2023 16:41</t>
  </si>
  <si>
    <t>UK:Tot Econ: GDP: Total(Mil.GBP)</t>
  </si>
  <si>
    <t>US:Tot Econ: GDP: Total(Mil.US$)</t>
  </si>
  <si>
    <t>Nov-21-2016 20:27</t>
  </si>
  <si>
    <t>2015</t>
  </si>
  <si>
    <t>Japan:Tot Econ: GDP: Total(Bil.Yen)</t>
  </si>
  <si>
    <t>Jan-31-2024 17:02</t>
  </si>
  <si>
    <t>2023</t>
  </si>
  <si>
    <t>Germany:Tot Econ: GDP: Total(Mil.EUR)</t>
  </si>
  <si>
    <t>France:Tot Econ: GDP: Total(Mil.EUR)</t>
  </si>
  <si>
    <t>Italy:Tot Econ: GDP: Total(Mil.EUR)</t>
  </si>
  <si>
    <t>1959</t>
  </si>
  <si>
    <t>Australia:Tot Econ: GDP: Total(Mil.A$)</t>
  </si>
  <si>
    <t>Oct-30-2023 16:40</t>
  </si>
  <si>
    <t>Austria:Tot Econ: GDP: Total(Mil.EUR)</t>
  </si>
  <si>
    <t>Belgium:Tot Econ: GDP: Total(Mil.EUR)</t>
  </si>
  <si>
    <t>Czechia:Tot Econ: GDP: Total(Mil.CZK)</t>
  </si>
  <si>
    <t>Jul-27-2023 15:50</t>
  </si>
  <si>
    <t>1966</t>
  </si>
  <si>
    <t>Denmark:Tot Econ: GDP: Total(Mil.DKK)</t>
  </si>
  <si>
    <t>Mar-27-2023 22:29</t>
  </si>
  <si>
    <t>1993</t>
  </si>
  <si>
    <t>Estonia:Tot Econ: GDP: Total(Mil.EUR)</t>
  </si>
  <si>
    <t>Dec-29-2023 00:22</t>
  </si>
  <si>
    <t>Finland:Tot Econ: GDP: Total(Mil.EUR)</t>
  </si>
  <si>
    <t>1960</t>
  </si>
  <si>
    <t>Greece:Tot Econ: GDP: Total(Mil.EUR)</t>
  </si>
  <si>
    <t>1991</t>
  </si>
  <si>
    <t>Hungary:Tot Econ: GDP: Total(Mil.HUF)</t>
  </si>
  <si>
    <t>Iceland:Tot Econ: GDP: Total(Mil.ISK)</t>
  </si>
  <si>
    <t>Ireland:Tot Econ: GDP: Total(Mil.EUR)</t>
  </si>
  <si>
    <t>Israel:Tot Econ: GDP: Total(Mil.ILS)</t>
  </si>
  <si>
    <t>Korea:Tot Econ: GDP: Total(Bil.Won)</t>
  </si>
  <si>
    <t>1994</t>
  </si>
  <si>
    <t>Latvia: Total Economy: Gross Domestic Product (Mil.EUR)</t>
  </si>
  <si>
    <t>Lithuania: Total Economy: Gross Domestic Product (Mil.EUR)</t>
  </si>
  <si>
    <t>Luxembourg:Tot Econ: GDP: Total(Mil.EUR)</t>
  </si>
  <si>
    <t>1969</t>
  </si>
  <si>
    <t>Netherlands:Tot Econ: GDP: Total(Mil.EUR)</t>
  </si>
  <si>
    <t>Norway:Tot Econ: GDP: Total(Mil.NOK)</t>
  </si>
  <si>
    <t>Poland:Tot Econ: GDP: Total(Mil.PLZ)</t>
  </si>
  <si>
    <t>Portugal:Tot Econ: GDP: Total(Mil.EUR)</t>
  </si>
  <si>
    <t>Slovakia:Tot Econ: GDP: Total(Mil.EUR)</t>
  </si>
  <si>
    <t>Slovenia:Tot Econ: GDP: Total(Bil.EUR)</t>
  </si>
  <si>
    <t>Spain:Tot Econ: GDP: Total(Mil.EUR)</t>
  </si>
  <si>
    <t>Dec-29-2023 00:23</t>
  </si>
  <si>
    <t>Sweden:Tot Econ: GDP: Total(Mil.SEK)</t>
  </si>
  <si>
    <t>Switzerland:Tot Econ: GDP: Total(Mil.CHF)</t>
  </si>
  <si>
    <t>2001</t>
  </si>
  <si>
    <t>2002</t>
  </si>
  <si>
    <t>2003</t>
  </si>
  <si>
    <t>2004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</si>
  <si>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</si>
  <si>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</si>
  <si>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</si>
  <si>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</si>
  <si>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</si>
  <si>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</si>
  <si>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</si>
  <si>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</si>
  <si>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</si>
  <si>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2016</t>
  </si>
  <si>
    <t>2017</t>
  </si>
  <si>
    <t>2018</t>
  </si>
  <si>
    <t>2019</t>
  </si>
  <si>
    <t>2020</t>
  </si>
  <si>
    <t>GI!</t>
  </si>
  <si>
    <t>GI/GDP!</t>
  </si>
  <si>
    <t>OBR estimates of fiscal tightening</t>
  </si>
  <si>
    <t>Location</t>
  </si>
  <si>
    <t>Indicator</t>
  </si>
  <si>
    <t>Scenario</t>
  </si>
  <si>
    <t>Units</t>
  </si>
  <si>
    <t>Scale</t>
  </si>
  <si>
    <t>Measurement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</si>
  <si>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</si>
  <si>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</si>
  <si>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</si>
  <si>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</si>
  <si>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</si>
  <si>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</si>
  <si>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</si>
  <si>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</si>
  <si>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</si>
  <si>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</si>
  <si>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</si>
  <si>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</si>
  <si>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</si>
  <si>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</si>
  <si>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</si>
  <si>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</si>
  <si>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</si>
  <si>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</si>
  <si>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</si>
  <si>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</si>
  <si>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</si>
  <si>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</si>
  <si>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</si>
  <si>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</si>
  <si>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</si>
  <si>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</si>
  <si>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</si>
  <si>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</si>
  <si>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</si>
  <si>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</si>
  <si>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</si>
  <si>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</si>
  <si>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</si>
  <si>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</si>
  <si>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</si>
  <si>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</si>
  <si>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</si>
  <si>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</si>
  <si>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</si>
  <si>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</si>
  <si>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</si>
  <si>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</si>
  <si>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</si>
  <si>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</si>
  <si>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</si>
  <si>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</si>
  <si>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</si>
  <si>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</si>
  <si>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</si>
  <si>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</si>
  <si>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</si>
  <si>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</si>
  <si>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</si>
  <si>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</si>
  <si>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</si>
  <si>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</si>
  <si>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</si>
  <si>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</si>
  <si>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</si>
  <si>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</si>
  <si>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</si>
  <si>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</si>
  <si>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</si>
  <si>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</si>
  <si>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</si>
  <si>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</si>
  <si>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</si>
  <si>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</si>
  <si>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</si>
  <si>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</si>
  <si>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</si>
  <si>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</si>
  <si>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</si>
  <si>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</si>
  <si>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</si>
  <si>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</si>
  <si>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</si>
  <si>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</si>
  <si>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</si>
  <si>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</si>
  <si>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</si>
  <si>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</si>
  <si>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</si>
  <si>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</si>
  <si>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</si>
  <si>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</si>
  <si>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</si>
  <si>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</si>
  <si>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</si>
  <si>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</si>
  <si>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</si>
  <si>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</si>
  <si>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</si>
  <si>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</si>
  <si>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</si>
  <si>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</si>
  <si>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</si>
  <si>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</si>
  <si>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</si>
  <si>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</si>
  <si>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</si>
  <si>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</si>
  <si>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</si>
  <si>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</si>
  <si>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</si>
  <si>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</si>
  <si>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</si>
  <si>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</si>
  <si>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</si>
  <si>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</si>
  <si>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</si>
  <si>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</si>
  <si>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</si>
  <si>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</si>
  <si>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</si>
  <si>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</si>
  <si>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</si>
  <si>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</si>
  <si>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</si>
  <si>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</si>
  <si>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</si>
  <si>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</si>
  <si>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</si>
  <si>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</si>
  <si>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</si>
  <si>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</si>
  <si>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</si>
  <si>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</si>
  <si>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</si>
  <si>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</si>
  <si>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</si>
  <si>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</si>
  <si>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</si>
  <si>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</si>
  <si>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</si>
  <si>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</si>
  <si>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</si>
  <si>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</si>
  <si>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</si>
  <si>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</si>
  <si>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</si>
  <si>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</si>
  <si>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</si>
  <si>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</si>
  <si>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</si>
  <si>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</si>
  <si>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</si>
  <si>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</si>
  <si>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</si>
  <si>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</si>
  <si>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</si>
  <si>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</si>
  <si>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</si>
  <si>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</si>
  <si>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</si>
  <si>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</si>
  <si>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</si>
  <si>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</si>
  <si>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</si>
  <si>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</si>
  <si>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</si>
  <si>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</si>
  <si>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</si>
  <si>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</si>
  <si>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</si>
  <si>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</si>
  <si>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</si>
  <si>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</si>
  <si>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</si>
  <si>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</si>
  <si>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</si>
  <si>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</si>
  <si>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</si>
  <si>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</si>
  <si>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</si>
  <si>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</si>
  <si>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</si>
  <si>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</si>
  <si>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</si>
  <si>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</si>
  <si>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</si>
  <si>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</si>
  <si>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</si>
  <si>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</si>
  <si>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</si>
  <si>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</si>
  <si>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</si>
  <si>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</si>
  <si>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</si>
  <si>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</si>
  <si>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</si>
  <si>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</si>
  <si>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</si>
  <si>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</si>
  <si>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</si>
  <si>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</si>
  <si>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</si>
  <si>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</si>
  <si>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</si>
  <si>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</si>
  <si>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</si>
  <si>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</si>
  <si>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</si>
  <si>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</si>
  <si>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</si>
  <si>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</si>
  <si>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</si>
  <si>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</si>
  <si>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</si>
  <si>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</si>
  <si>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</si>
  <si>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</si>
  <si>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</si>
  <si>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</si>
  <si>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</si>
  <si>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</si>
  <si>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</si>
  <si>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Tax revenue, employer social security contributions, LCU</t>
  </si>
  <si>
    <t>Oct24_2</t>
  </si>
  <si>
    <t>Pound</t>
  </si>
  <si>
    <t>Millions</t>
  </si>
  <si>
    <t>Level</t>
  </si>
  <si>
    <t>Office for National Statistics\Haver Analytics</t>
  </si>
  <si>
    <t>NA</t>
  </si>
  <si>
    <t>RNFSQ@UK</t>
  </si>
  <si>
    <t xml:space="preserve">UK: IA: CG: Resources: Employers' Social Contributions (SA, Mil.GBP) </t>
  </si>
  <si>
    <t>GBR</t>
  </si>
  <si>
    <t>TP</t>
  </si>
  <si>
    <t>Oct24_2.db</t>
  </si>
  <si>
    <t>GDP, real, LCU</t>
  </si>
  <si>
    <t>chained 2022</t>
  </si>
  <si>
    <t>ABMIQ@UK</t>
  </si>
  <si>
    <t>U.K.: Real Gross Domestic Product (SA, Mil.Chn.2022.GBP)</t>
  </si>
  <si>
    <t>GDP</t>
  </si>
  <si>
    <t>Employment, aged 16 and over, ILO definition</t>
  </si>
  <si>
    <t>Person</t>
  </si>
  <si>
    <t>Thousands</t>
  </si>
  <si>
    <t>MGRZQ@UK</t>
  </si>
  <si>
    <t xml:space="preserve">UK: LFS: Employment: Aged 16 and Over (SA, Thous) </t>
  </si>
  <si>
    <t>ETILO</t>
  </si>
  <si>
    <t>Unemployment rate, ILO definition</t>
  </si>
  <si>
    <t>%</t>
  </si>
  <si>
    <t>MGSXQ@UK</t>
  </si>
  <si>
    <t xml:space="preserve">UK: LFS: Unemployment Rate: Aged 16 and Over (SA, %) </t>
  </si>
  <si>
    <t>UPILO</t>
  </si>
  <si>
    <t>Income, personal disposable, real, LCU</t>
  </si>
  <si>
    <t>NRJRQ@UK</t>
  </si>
  <si>
    <t>UK: HH &amp; NPISH: Real Household Disposable Income (SA, Mil.Chn.2022.Pounds)</t>
  </si>
  <si>
    <t>PEDY</t>
  </si>
  <si>
    <t>Earnings, quarterly total, whole economy, Gross, LCU</t>
  </si>
  <si>
    <t>Pound per Employee</t>
  </si>
  <si>
    <t>Oxford Economics calculation using Office for National Statistics data</t>
  </si>
  <si>
    <t>ER</t>
  </si>
  <si>
    <t>UK</t>
  </si>
  <si>
    <t>L</t>
  </si>
  <si>
    <t>FY</t>
  </si>
  <si>
    <t>NICs_scen.db</t>
  </si>
  <si>
    <t>NICs impact</t>
  </si>
  <si>
    <t>CY</t>
  </si>
  <si>
    <t>Baseline</t>
  </si>
  <si>
    <t>NICS_Scen</t>
  </si>
  <si>
    <t>NICS_Scen.db</t>
  </si>
  <si>
    <r>
      <t>Table 5.1 Autumn Budget 2024 policy decisions (£ million)</t>
    </r>
    <r>
      <rPr>
        <b/>
        <vertAlign val="superscript"/>
        <sz val="18"/>
        <rFont val="Humnst777 Lt BT"/>
        <family val="2"/>
      </rPr>
      <t>1</t>
    </r>
  </si>
  <si>
    <r>
      <t>Head</t>
    </r>
    <r>
      <rPr>
        <vertAlign val="superscript"/>
        <sz val="18"/>
        <rFont val="Humnst777 Lt BT"/>
        <family val="2"/>
      </rPr>
      <t>2</t>
    </r>
  </si>
  <si>
    <t>2029-30</t>
  </si>
  <si>
    <t>Fixing the Foundations and Rebuilding Britain</t>
  </si>
  <si>
    <t>Investing in Public Services: Funding £22bn overspend, fixing the NHS and supporting public services</t>
  </si>
  <si>
    <t xml:space="preserve">Rebuilding Britain: Additional capital investment </t>
  </si>
  <si>
    <t>Compensation Payments: Making payments to victims of the infected blood scandal</t>
  </si>
  <si>
    <t xml:space="preserve">Compensation Payments: Making payments to victims of the Horizon IT scandal </t>
  </si>
  <si>
    <t>National Wealth Fund: Mobilise investment in the UK’s clean energy and growth industries and support the delivery of our new Industrial Strategy (forecast income from investment)</t>
  </si>
  <si>
    <t>Extraordinary Revenue Acceleration: Contribution to Extraordinary Revenue Acceleration to support military effort in Ukraine</t>
  </si>
  <si>
    <t>Extraordinary Revenue Acceleration: Forecast repayment from extraordinary profits on sanctioned Russian sovereign assets</t>
  </si>
  <si>
    <t>Delivering on our Promises - New Policy to Close the Tax Gap</t>
  </si>
  <si>
    <t>Tackling tax non-compliance in umbrella companies by moving PAYE obligations to recruitment agencies or, where an agency is not present, end client businesses from April 2026</t>
  </si>
  <si>
    <t>Increasing the interest rate on unpaid tax from April 2025</t>
  </si>
  <si>
    <t>Changes to tax rules on liquidations of Limited Liability Partnerships from 30 October 2024</t>
  </si>
  <si>
    <t>Strengthen existing charity tax rules from April 2026, to prevent abuse and ensure that only the intended tax relief is given to charities</t>
  </si>
  <si>
    <t xml:space="preserve">Preventing non-compliance from the transfer overseas of UK tax-relieved pension funds </t>
  </si>
  <si>
    <t xml:space="preserve">Amending anti-avoidance rules to ensure shareholders cannot extract funds untaxed from close companies from 30 October 2024 </t>
  </si>
  <si>
    <t>Confirming plans to mandate the reporting of benefits in kind via payroll software from April 2026</t>
  </si>
  <si>
    <t>Ending contrived car ownership schemes: closing loopholes in employee car ownership schemes to prevent them from being used to circumvent Company Car Tax from 6 April 2026 </t>
  </si>
  <si>
    <t>Modernising and mandating registration of tax practitioners interacting with HMRC from April 2026</t>
  </si>
  <si>
    <t>Delivering on our Promises - Collecting Tax That is Due</t>
  </si>
  <si>
    <t>Increased collection of tax due supported by investment in 5,000 additional HMRC compliance staff</t>
  </si>
  <si>
    <t>Increased collection of overdue tax debt by additional investment in HMRC debt management staff</t>
  </si>
  <si>
    <t>Increasing tax receipts from modernising HMRC systems and data</t>
  </si>
  <si>
    <t>Total revenue from closing the tax gap (lines 8 - 19)</t>
  </si>
  <si>
    <t>Delivering on our Promises - Other Manifesto Tax Commitments</t>
  </si>
  <si>
    <t>Abolition of non-domicile tax status and introduction of a residence-based regime: remove the 50% discount on foreign income in 2025-26; apply inheritance tax; set Capital Gains Tax rebasing date at 5 April 2017; and extend the Temporary Repatriation Facility from two to three years</t>
  </si>
  <si>
    <t>Carried interest: Increase the rates of Capital Gains Tax on carried interest to 32% from 6 April 2025, then move the carried interest taxation regime to the Income Tax framework from 6 April 2026 onwards</t>
  </si>
  <si>
    <r>
      <t>VAT: Applying the standard rate (20%) to education and boarding services provided by private schools from 1 January 2025</t>
    </r>
    <r>
      <rPr>
        <vertAlign val="superscript"/>
        <sz val="18"/>
        <rFont val="Humnst777 Lt BT"/>
        <family val="2"/>
      </rPr>
      <t>3</t>
    </r>
  </si>
  <si>
    <t>Business Rates: Remove eligibility of private schools for charitable rate relief from 1 April 2025 </t>
  </si>
  <si>
    <t>Energy Profits Levy (EPL): Increase the rate to 38%; abolish the EPL investment allowance except for decarbonisation expenditure and cut rate of decarbonisation allowance to 66% from 1 November 2024; sunset date extension from 31 March 2029 to 31 March 2030 as well as the introduction of tax relief for payments made into a Decommissioning Fund in relation to oil and gas assets transferred for use in Carbon Capture Usage and Storage</t>
  </si>
  <si>
    <t>Stamp Duty Land Tax (SDLT): Increase the Higher Rate of Additional Dwelling (HRAD) of SDLT by 2ppts from 3% to 5% from 31 October 2024</t>
  </si>
  <si>
    <t>Total revenue from manifesto tax commitments (lines 8 - 25)</t>
  </si>
  <si>
    <t>Repairing the Public Finances - Raising Revenue Fairly</t>
  </si>
  <si>
    <t>Employer National Insurance contributions: Increase rate by 1.2 ppts to 15%, cut the Secondary Threshold to £5,000 until 5 April 2028 and uprate with CPI thereafter, increase Employment Allowance to £10,500, remove the £100,000 Employment Allowance eligibility threshold</t>
  </si>
  <si>
    <t>Memo - Allowance for impact on public sector organisations</t>
  </si>
  <si>
    <t xml:space="preserve">Capital Gains Tax: Increase the main rates of CGT to 18% and 24% from 30 October 2024, and the Business Asset Disposal Relief (BADR) and Investors' Relief (IR) rate to 14% from 6 April 2025 and to 18% from 6 April 2026 </t>
  </si>
  <si>
    <t>Inheritance Tax: Include unused pension funds and death benefits payable from a pension in the value of estates from 6 April 2027</t>
  </si>
  <si>
    <t>Inheritance Tax: Reform agricultural property relief and business property relief from 6 April 2026 by maintaining 100% relief for the first £1m of combined assets and 50% relief thereafter, and 50% relief for “not listed” shares on the markets of a recognised stock exchange</t>
  </si>
  <si>
    <t>Inheritance Tax: Maintain thresholds at current levels for a further two years until 5 April 2030</t>
  </si>
  <si>
    <t>Savings: Maintain subscription limits at current levels for Adult ISAs, Junior ISAs and Child Trust Funds from 6 April 2025 to 5 April 2030</t>
  </si>
  <si>
    <t>Repairing the Public Finances - Duties &amp; Levies</t>
  </si>
  <si>
    <t>Company Car Tax: Set appropriate percentages for electric vehicles, hybrids and internal combustion engine vehicles for 2028-29 and 2029-30</t>
  </si>
  <si>
    <t>Vehicle Excise Duty: from 1 April 2025, freeze the lowest First Year Rate (FYR) paid by zero emission cars until 2029-30, increase FYRs for all other emission bands including hybrids and Internal Combustion Engine vehicles in 2025-26</t>
  </si>
  <si>
    <t>Air Passenger Duty: Adjustment to increase all rates from 2026-27 with a further 50% increase for larger private jets, and rates set to nearest penny from 2027-28</t>
  </si>
  <si>
    <t>Vaping Products Duty: Introduce a flat rate duty at £2.20/10ml from 1 October 2026 </t>
  </si>
  <si>
    <t>Tobacco Duty: Introduce a tobacco duty escalator of RPI +2% for the Parliament; increase duty on hand rolling tobacco a further 10% (RPI+12%) for 2024-25 from 30 October 2024; and a separate one-off duty increase to maintain financial incentive to choose vaping over smoking from 1 October 2026</t>
  </si>
  <si>
    <t>Soft Drinks Industry Levy: Uprate by CPI since introduction in 2018 evenly across the forecast period and uprate annually by CPI from 1 April 2025</t>
  </si>
  <si>
    <t>Repairing the Public Finances - Targeting Support and Reducing Fraud and Error in the Welfare System</t>
  </si>
  <si>
    <r>
      <t>Winter Fuel Payments: Target payments at recipients of Pension Credit and certain other means-tested benefits from winter 2024-25</t>
    </r>
    <r>
      <rPr>
        <vertAlign val="superscript"/>
        <sz val="18"/>
        <rFont val="Humnst777 Lt BT"/>
        <family val="2"/>
      </rPr>
      <t>4</t>
    </r>
  </si>
  <si>
    <t>Pensions: Enhance Pension Credit take-up for new claims to Housing Benefit from April 2025</t>
  </si>
  <si>
    <t xml:space="preserve">Universal Credit: Accelerate migration of Employment and Support Allowance claimants onto Universal Credit from September 2024 </t>
  </si>
  <si>
    <t>Universal Credit: Amending Severe Disability Premium transitional protection regulations</t>
  </si>
  <si>
    <t>Investment in additional 3,000 fraud and error staff in DWP from April 2025</t>
  </si>
  <si>
    <t xml:space="preserve">New investment to verify Universal Credit claimant changes to tackle fraud and error from April 2025 </t>
  </si>
  <si>
    <t>Extending Targeted Case Review of Universal Credit claims from April 2028</t>
  </si>
  <si>
    <t xml:space="preserve">Investment in additional 180 welfare counter-fraud staff in HMRC to tackle fraud and error in Child Benefit and Tax-Free Childcare from April 2025 </t>
  </si>
  <si>
    <t>Increase DWP fraud and error debt recovery powers - resource cost for measures which yield a PSNCR saving of £260m in 2029-30</t>
  </si>
  <si>
    <t>Supporting Business, Families, and Local Communities</t>
  </si>
  <si>
    <t>Business Rates: 40% relief for Retail, Hospitality and Leisure (RHL) sectors for 2025-26 from 1 April 2025, up to a £110,000 cash cap per business</t>
  </si>
  <si>
    <t>Business Rates: Freeze the small business multiplier for 2025-26</t>
  </si>
  <si>
    <t>Fuel duty: One year extension to the 5p cut in rates and no RPI increase in 2025-26</t>
  </si>
  <si>
    <t>Capital allowances: extend 100% first-year allowances for zero-emission cars and electric vehicle charge-points to 31 March 2026 for Corporation Tax and 5 April 2026 for Income Tax</t>
  </si>
  <si>
    <t>Alternative Finance: Changes to tax rules on alternative finance arrangements from 30 October 2024</t>
  </si>
  <si>
    <t>Alcohol Duty: Increase Draught Relief to reduce duty on an average ABV pint by 1p from 1 February 2025</t>
  </si>
  <si>
    <t>Carer’s Allowance: Increasing the earnings limit to the equivalent of 16 hours at the National Living Wage from April 2025</t>
  </si>
  <si>
    <t>Help to Save: Extend the current scheme with expanded eligibility to include all working UC claimants earning £1 or more, from 6 April 2025 to 5 April 2027</t>
  </si>
  <si>
    <t xml:space="preserve">Mineworkers Pension Scheme: Transfer of the Mineworkers Pension Scheme Investment Reserve to the scheme Trustees </t>
  </si>
  <si>
    <t xml:space="preserve">Veterans: Extend employer NICs relief for hiring veterans for one year from 6 April 2025 </t>
  </si>
  <si>
    <t>Right to Buy: Reduce discounts and allow local authorities to retain full receipts from 21 November 2024</t>
  </si>
  <si>
    <t>Public Works Loan Board: Extend discounted Public Works Loan Board rate for local authorities borrowing for social housing from 30 June 2025 to 31 March 2026</t>
  </si>
  <si>
    <t>Borrowing powers: Granting borrowing powers to newly established Mayoral Combined Authorities</t>
  </si>
  <si>
    <t>Business Rates retention: Extend Greater London Authority enhanced business rates retention arrangements at 67% for 2025-26 and extend 100% local retention in Cornwall, Liverpool City Region and the West of England Combined Authority area</t>
  </si>
  <si>
    <t>Tariffs &amp; Technical Changes</t>
  </si>
  <si>
    <t>Tariff Changes since Spring Budget 2024</t>
  </si>
  <si>
    <t>Special Education Needs and Disabilities: Reduction in Local Authority SEND deficits as a result of additional DEL funding</t>
  </si>
  <si>
    <t>Universal Credit: Extend the £2,500 surplus earnings threshold for one year from April 2025</t>
  </si>
  <si>
    <t>Van Benefit Charge: Uprate by CPI from 6 April 2025</t>
  </si>
  <si>
    <t>Climate Change Levy (CCL): Amendments to the Climate Change Agreement scheme from 1 January 2026, meaning new entrants will be able to claim relief on their CCL bill before completing a target period</t>
  </si>
  <si>
    <t>The Starting Rate for Savings (SRS): Maintain the SRS at £5,000 for 2025-26 from 6 April 2025</t>
  </si>
  <si>
    <t>Private Intermittent Securities and Capital Exchange System (PISCES): Exempt transfers of shares made on a PISCES platform from Stamp Taxes on Shares</t>
  </si>
  <si>
    <t>Carbon Border Adjustment Mechanism (CBAM): Confirming sectoral scope of the UK CBAM from 1 January 2027 to be aluminium, cement, fertiliser, hydrogen, and iron and steel.</t>
  </si>
  <si>
    <t>Carbon Price Support (CPS): Maintain the freeze of CPS rates at the equivalent of £18 per tonne of CO2 from 1 April 2026 </t>
  </si>
  <si>
    <t>Lifelong Learning Entitlement: Implementation to amended timetable</t>
  </si>
  <si>
    <t xml:space="preserve"> </t>
  </si>
  <si>
    <r>
      <t>Total policy decisions</t>
    </r>
    <r>
      <rPr>
        <b/>
        <vertAlign val="superscript"/>
        <sz val="18"/>
        <rFont val="Humnst777 Lt BT"/>
        <family val="2"/>
      </rPr>
      <t>5,6</t>
    </r>
  </si>
  <si>
    <r>
      <t>Total spending policy decisions</t>
    </r>
    <r>
      <rPr>
        <b/>
        <vertAlign val="superscript"/>
        <sz val="18"/>
        <rFont val="Humnst777 Lt BT"/>
        <family val="2"/>
      </rPr>
      <t>5,6</t>
    </r>
  </si>
  <si>
    <r>
      <t>Total tax policy decisions</t>
    </r>
    <r>
      <rPr>
        <b/>
        <vertAlign val="superscript"/>
        <sz val="18"/>
        <rFont val="Humnst777 Lt BT"/>
        <family val="2"/>
      </rPr>
      <t>5,6</t>
    </r>
  </si>
  <si>
    <r>
      <rPr>
        <vertAlign val="superscript"/>
        <sz val="18"/>
        <rFont val="Humnst777 Lt BT"/>
        <family val="2"/>
      </rPr>
      <t xml:space="preserve">1 </t>
    </r>
    <r>
      <rPr>
        <sz val="18"/>
        <rFont val="Humnst777 Lt BT"/>
        <family val="2"/>
      </rPr>
      <t>Costings reflect the OBR’s latest economic and fiscal determinants.</t>
    </r>
  </si>
  <si>
    <r>
      <rPr>
        <vertAlign val="superscript"/>
        <sz val="18"/>
        <rFont val="Humnst777 Lt BT"/>
        <family val="2"/>
      </rPr>
      <t>2</t>
    </r>
    <r>
      <rPr>
        <sz val="18"/>
        <rFont val="Humnst777 Lt BT"/>
        <family val="2"/>
      </rPr>
      <t xml:space="preserve"> Many measures have both tax and spend impacts. Measures are identified as tax or spend on the basis of their largest impact. </t>
    </r>
  </si>
  <si>
    <r>
      <rPr>
        <vertAlign val="superscript"/>
        <sz val="18"/>
        <rFont val="Humnst777 Lt BT"/>
        <family val="2"/>
      </rPr>
      <t>3</t>
    </r>
    <r>
      <rPr>
        <sz val="18"/>
        <rFont val="Humnst777 Lt BT"/>
        <family val="2"/>
      </rPr>
      <t xml:space="preserve"> 20% VAT will also apply to pre-payments of fees for terms starting on or after 1 January 2025 made on or after 29 July 2024.</t>
    </r>
  </si>
  <si>
    <r>
      <rPr>
        <vertAlign val="superscript"/>
        <sz val="18"/>
        <rFont val="Humnst777 Lt BT"/>
        <family val="2"/>
      </rPr>
      <t>4</t>
    </r>
    <r>
      <rPr>
        <sz val="18"/>
        <rFont val="Humnst777 Lt BT"/>
        <family val="2"/>
      </rPr>
      <t xml:space="preserve"> Costing reflects assumed increase in Pension Credit take-up.</t>
    </r>
  </si>
  <si>
    <r>
      <rPr>
        <vertAlign val="superscript"/>
        <sz val="18"/>
        <rFont val="Humnst777 Lt BT"/>
        <family val="2"/>
      </rPr>
      <t>5</t>
    </r>
    <r>
      <rPr>
        <sz val="18"/>
        <rFont val="Humnst777 Lt BT"/>
        <family val="2"/>
      </rPr>
      <t xml:space="preserve"> Totals may not sum due to rounding.</t>
    </r>
  </si>
  <si>
    <r>
      <rPr>
        <vertAlign val="superscript"/>
        <sz val="18"/>
        <rFont val="Humnst777 Lt BT"/>
        <family val="2"/>
      </rPr>
      <t>6</t>
    </r>
    <r>
      <rPr>
        <sz val="18"/>
        <rFont val="Humnst777 Lt BT"/>
        <family val="2"/>
      </rPr>
      <t xml:space="preserve"> The totals for tax and spending reflect both the tax and spend impacts of each measure. Totals may not sum by head classification.</t>
    </r>
  </si>
  <si>
    <t>check</t>
  </si>
  <si>
    <t>Chart 6.11: Four measures of the public sector balance sheet</t>
  </si>
  <si>
    <t>Public sector net debt excluding Bank of England</t>
  </si>
  <si>
    <t>£bn</t>
  </si>
  <si>
    <t>Outturn fiscal data consistent with the ONS/HM Treasury Public Sector Finances Statistical Bulletin released on 22 October 2024.</t>
  </si>
  <si>
    <r>
      <t xml:space="preserve">Forecast years from 2024-25 are consistent with the OBR </t>
    </r>
    <r>
      <rPr>
        <i/>
        <sz val="10"/>
        <color indexed="8"/>
        <rFont val="Calibri"/>
        <family val="2"/>
      </rPr>
      <t>Economic and fiscal outlook</t>
    </r>
    <r>
      <rPr>
        <sz val="10"/>
        <color indexed="8"/>
        <rFont val="Calibri"/>
        <family val="2"/>
      </rPr>
      <t xml:space="preserve"> forecast published October 2024.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</si>
</sst>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+#,##0;\-#,##0;0"/>
    <numFmt numFmtId="165" formatCode="\+#,##0&quot;m&quot;;\-#,##0&quot;m&quot;"/>
    <numFmt numFmtId="166" formatCode="0.0"/>
    <numFmt numFmtId="167" formatCode="0.000"/>
    <numFmt numFmtId="168" formatCode="0.000000"/>
    <numFmt numFmtId="169" formatCode="###0.0;\-###0.0;0.0;@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Humnst777 Lt BT"/>
      <family val="2"/>
    </font>
    <font>
      <sz val="14"/>
      <name val="Humnst777 Lt BT"/>
      <family val="2"/>
    </font>
    <font>
      <sz val="14"/>
      <color theme="1"/>
      <name val="Humnst777 Lt BT"/>
      <family val="2"/>
    </font>
    <font>
      <sz val="12"/>
      <color indexed="8"/>
      <name val="Calibri"/>
      <family val="2"/>
    </font>
    <font>
      <sz val="14"/>
      <name val="Calibri"/>
      <family val="2"/>
    </font>
    <font>
      <vertAlign val="superscript"/>
      <sz val="14"/>
      <name val="Calibri"/>
      <family val="2"/>
    </font>
    <font>
      <sz val="10"/>
      <name val="Calibri"/>
      <family val="2"/>
    </font>
    <font>
      <sz val="12"/>
      <name val="Calibri"/>
      <family val="2"/>
    </font>
    <font>
      <sz val="11"/>
      <color indexed="8"/>
      <name val="Calibri"/>
      <family val="2"/>
    </font>
    <font>
      <vertAlign val="superscript"/>
      <sz val="10"/>
      <name val="Calibri"/>
      <family val="2"/>
    </font>
    <font>
      <sz val="10"/>
      <color indexed="8"/>
      <name val="Calibri"/>
      <family val="2"/>
    </font>
    <font>
      <sz val="10"/>
      <color theme="1"/>
      <name val="Calibri"/>
      <family val="2"/>
    </font>
    <font>
      <sz val="10"/>
      <color rgb="FF477391"/>
      <name val="Calibri"/>
      <family val="2"/>
    </font>
    <font>
      <sz val="10"/>
      <color indexed="45"/>
      <name val="Calibri"/>
      <family val="2"/>
    </font>
    <font>
      <sz val="10"/>
      <color theme="8"/>
      <name val="Calibri"/>
      <family val="2"/>
    </font>
    <font>
      <sz val="8"/>
      <name val="Calibri"/>
      <family val="2"/>
    </font>
    <font>
      <i/>
      <sz val="10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8"/>
      <name val="Calibri"/>
      <family val="2"/>
    </font>
    <font>
      <sz val="10"/>
      <color theme="1"/>
      <name val="Calibri"/>
      <family val="2"/>
      <scheme val="minor"/>
    </font>
    <font>
      <sz val="13"/>
      <color theme="8"/>
      <name val="Calibri"/>
      <family val="2"/>
    </font>
    <font>
      <sz val="11"/>
      <color rgb="FF000000"/>
      <name val="Calibri"/>
      <family val="2"/>
    </font>
    <font>
      <sz val="11"/>
      <color indexed="16"/>
      <name val="Calibri"/>
      <family val="2"/>
      <scheme val="minor"/>
    </font>
    <font>
      <sz val="11"/>
      <color rgb="FF000000"/>
      <name val="Calibri"/>
    </font>
    <font>
      <sz val="10"/>
      <name val="Humnst777 Lt BT"/>
      <family val="2"/>
    </font>
    <font>
      <b/>
      <sz val="18"/>
      <name val="Humnst777 Lt BT"/>
      <family val="2"/>
    </font>
    <font>
      <b/>
      <vertAlign val="superscript"/>
      <sz val="18"/>
      <name val="Humnst777 Lt BT"/>
      <family val="2"/>
    </font>
    <font>
      <sz val="18"/>
      <name val="Humnst777 Lt BT"/>
      <family val="2"/>
    </font>
    <font>
      <vertAlign val="superscript"/>
      <sz val="18"/>
      <name val="Humnst777 Lt BT"/>
      <family val="2"/>
    </font>
    <font>
      <b/>
      <u/>
      <sz val="18"/>
      <name val="Humnst777 Lt BT"/>
      <family val="2"/>
    </font>
    <font>
      <sz val="14"/>
      <color rgb="FFFF0000"/>
      <name val="Humnst777 Lt BT"/>
      <family val="2"/>
    </font>
    <font>
      <i/>
      <sz val="14"/>
      <name val="Humnst777 Lt BT"/>
      <family val="2"/>
    </font>
    <font>
      <i/>
      <sz val="18"/>
      <name val="Humnst777 Lt BT"/>
      <family val="2"/>
    </font>
    <font>
      <b/>
      <i/>
      <sz val="14"/>
      <name val="Humnst777 Lt BT"/>
      <family val="2"/>
    </font>
    <font>
      <i/>
      <sz val="18"/>
      <color rgb="FF000000"/>
      <name val="Humnst777 Lt BT"/>
      <family val="2"/>
    </font>
    <font>
      <sz val="11"/>
      <color rgb="FFFF0000"/>
      <name val="Humnst777 Lt BT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4A80"/>
      </patternFill>
    </fill>
    <fill>
      <patternFill patternType="solid">
        <fgColor rgb="FFFFCCCC"/>
        <bgColor indexed="64"/>
      </patternFill>
    </fill>
  </fills>
  <borders count="59">
    <border>
      <left/>
      <right/>
      <top/>
      <bottom/>
      <diagonal/>
    </border>
    <border>
      <left style="medium">
        <color indexed="45"/>
      </left>
      <right/>
      <top style="medium">
        <color indexed="45"/>
      </top>
      <bottom style="medium">
        <color indexed="45"/>
      </bottom>
      <diagonal/>
    </border>
    <border>
      <left/>
      <right/>
      <top/>
      <bottom style="medium">
        <color indexed="45"/>
      </bottom>
      <diagonal/>
    </border>
    <border>
      <left/>
      <right style="medium">
        <color indexed="45"/>
      </right>
      <top/>
      <bottom style="medium">
        <color indexed="45"/>
      </bottom>
      <diagonal/>
    </border>
    <border>
      <left style="medium">
        <color indexed="45"/>
      </left>
      <right style="medium">
        <color indexed="45"/>
      </right>
      <top/>
      <bottom/>
      <diagonal/>
    </border>
    <border>
      <left style="medium">
        <color indexed="45"/>
      </left>
      <right/>
      <top/>
      <bottom style="medium">
        <color indexed="45"/>
      </bottom>
      <diagonal/>
    </border>
    <border>
      <left/>
      <right style="medium">
        <color theme="8"/>
      </right>
      <top/>
      <bottom style="medium">
        <color indexed="45"/>
      </bottom>
      <diagonal/>
    </border>
    <border>
      <left style="medium">
        <color indexed="45"/>
      </left>
      <right/>
      <top/>
      <bottom/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theme="8"/>
      </bottom>
      <diagonal/>
    </border>
    <border>
      <left/>
      <right style="medium">
        <color theme="8"/>
      </right>
      <top/>
      <bottom/>
      <diagonal/>
    </border>
    <border>
      <left/>
      <right/>
      <top style="thin">
        <color indexed="45"/>
      </top>
      <bottom style="thin">
        <color indexed="45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medium">
        <color indexed="45"/>
      </right>
      <top style="thin">
        <color indexed="45"/>
      </top>
      <bottom style="thin">
        <color indexed="45"/>
      </bottom>
      <diagonal/>
    </border>
    <border>
      <left style="medium">
        <color indexed="45"/>
      </left>
      <right/>
      <top style="thin">
        <color indexed="45"/>
      </top>
      <bottom style="thin">
        <color indexed="45"/>
      </bottom>
      <diagonal/>
    </border>
    <border>
      <left/>
      <right style="medium">
        <color theme="8"/>
      </right>
      <top style="thin">
        <color indexed="45"/>
      </top>
      <bottom style="thin">
        <color indexed="45"/>
      </bottom>
      <diagonal/>
    </border>
    <border>
      <left style="medium">
        <color indexed="45"/>
      </left>
      <right/>
      <top/>
      <bottom style="thin">
        <color indexed="45"/>
      </bottom>
      <diagonal/>
    </border>
    <border>
      <left/>
      <right style="medium">
        <color theme="8"/>
      </right>
      <top/>
      <bottom style="thin">
        <color indexed="45"/>
      </bottom>
      <diagonal/>
    </border>
    <border>
      <left style="medium">
        <color indexed="45"/>
      </left>
      <right style="thin">
        <color indexed="45"/>
      </right>
      <top/>
      <bottom/>
      <diagonal/>
    </border>
    <border>
      <left/>
      <right style="medium">
        <color indexed="45"/>
      </right>
      <top/>
      <bottom/>
      <diagonal/>
    </border>
    <border>
      <left/>
      <right/>
      <top style="thin">
        <color theme="8"/>
      </top>
      <bottom/>
      <diagonal/>
    </border>
    <border>
      <left/>
      <right style="medium">
        <color theme="8"/>
      </right>
      <top style="thin">
        <color indexed="45"/>
      </top>
      <bottom/>
      <diagonal/>
    </border>
    <border>
      <left style="medium">
        <color theme="8"/>
      </left>
      <right/>
      <top/>
      <bottom/>
      <diagonal/>
    </border>
    <border>
      <left style="thin">
        <color indexed="45"/>
      </left>
      <right/>
      <top/>
      <bottom/>
      <diagonal/>
    </border>
    <border>
      <left style="medium">
        <color indexed="45"/>
      </left>
      <right style="thin">
        <color indexed="45"/>
      </right>
      <top/>
      <bottom style="dotted">
        <color indexed="45"/>
      </bottom>
      <diagonal/>
    </border>
    <border>
      <left style="thin">
        <color indexed="45"/>
      </left>
      <right/>
      <top/>
      <bottom style="dotted">
        <color indexed="45"/>
      </bottom>
      <diagonal/>
    </border>
    <border>
      <left/>
      <right/>
      <top/>
      <bottom style="dotted">
        <color indexed="45"/>
      </bottom>
      <diagonal/>
    </border>
    <border>
      <left/>
      <right/>
      <top/>
      <bottom style="dotted">
        <color theme="1"/>
      </bottom>
      <diagonal/>
    </border>
    <border>
      <left/>
      <right style="medium">
        <color indexed="45"/>
      </right>
      <top/>
      <bottom style="dotted">
        <color theme="1"/>
      </bottom>
      <diagonal/>
    </border>
    <border>
      <left style="medium">
        <color indexed="45"/>
      </left>
      <right/>
      <top/>
      <bottom style="dashed">
        <color indexed="45"/>
      </bottom>
      <diagonal/>
    </border>
    <border>
      <left/>
      <right/>
      <top style="dotted">
        <color rgb="FF477391"/>
      </top>
      <bottom/>
      <diagonal/>
    </border>
    <border>
      <left/>
      <right style="medium">
        <color theme="8"/>
      </right>
      <top/>
      <bottom style="dotted">
        <color indexed="45"/>
      </bottom>
      <diagonal/>
    </border>
    <border>
      <left style="medium">
        <color indexed="45"/>
      </left>
      <right style="thin">
        <color indexed="45"/>
      </right>
      <top/>
      <bottom style="thin">
        <color indexed="45"/>
      </bottom>
      <diagonal/>
    </border>
    <border>
      <left style="thin">
        <color indexed="45"/>
      </left>
      <right/>
      <top/>
      <bottom style="thin">
        <color indexed="45"/>
      </bottom>
      <diagonal/>
    </border>
    <border>
      <left/>
      <right style="medium">
        <color indexed="45"/>
      </right>
      <top/>
      <bottom style="thin">
        <color indexed="45"/>
      </bottom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8"/>
      </left>
      <right style="medium">
        <color theme="8"/>
      </right>
      <top/>
      <bottom/>
      <diagonal/>
    </border>
    <border>
      <left style="medium">
        <color theme="8"/>
      </left>
      <right style="medium">
        <color theme="8"/>
      </right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/>
      <right/>
      <top/>
      <bottom style="dashed">
        <color rgb="FF477391"/>
      </bottom>
      <diagonal/>
    </border>
    <border>
      <left/>
      <right/>
      <top/>
      <bottom style="dotted">
        <color auto="1"/>
      </bottom>
      <diagonal/>
    </border>
    <border>
      <left/>
      <right/>
      <top style="dashed">
        <color rgb="FF477391"/>
      </top>
      <bottom/>
      <diagonal/>
    </border>
    <border>
      <left/>
      <right/>
      <top style="dotted">
        <color auto="1"/>
      </top>
      <bottom/>
      <diagonal/>
    </border>
    <border>
      <left/>
      <right style="medium">
        <color indexed="45"/>
      </right>
      <top style="dotted">
        <color theme="1"/>
      </top>
      <bottom/>
      <diagonal/>
    </border>
  </borders>
  <cellStyleXfs count="12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0" fillId="0" borderId="0" applyNumberFormat="0" applyFill="0" applyBorder="0" applyAlignment="0" applyProtection="0"/>
    <xf numFmtId="0" fontId="11" fillId="0" borderId="0"/>
    <xf numFmtId="0" fontId="24" fillId="0" borderId="0"/>
    <xf numFmtId="0" fontId="26" fillId="0" borderId="0"/>
    <xf numFmtId="0" fontId="39" fillId="0" borderId="0" applyNumberFormat="0" applyFill="0" applyBorder="0" applyAlignment="0" applyProtection="0"/>
    <xf numFmtId="0" fontId="40" fillId="0" borderId="0"/>
  </cellStyleXfs>
  <cellXfs count="226">
    <xf numFmtId="0" fontId="0" fillId="0" borderId="0" xfId="0"/>
    <xf numFmtId="0" fontId="4" fillId="2" borderId="0" xfId="1" applyFont="1" applyFill="1" applyAlignment="1">
      <alignment horizontal="left" vertical="center"/>
    </xf>
    <xf numFmtId="165" fontId="5" fillId="2" borderId="0" xfId="1" applyNumberFormat="1" applyFont="1" applyFill="1" applyAlignment="1">
      <alignment horizontal="center" vertical="center"/>
    </xf>
    <xf numFmtId="0" fontId="1" fillId="0" borderId="0" xfId="0" applyFont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2" fontId="0" fillId="0" borderId="0" xfId="0" applyNumberFormat="1"/>
    <xf numFmtId="166" fontId="0" fillId="0" borderId="0" xfId="0" applyNumberFormat="1"/>
    <xf numFmtId="0" fontId="6" fillId="3" borderId="0" xfId="3" applyFont="1" applyFill="1"/>
    <xf numFmtId="166" fontId="7" fillId="4" borderId="1" xfId="4" applyNumberFormat="1" applyFont="1" applyFill="1" applyBorder="1" applyAlignment="1">
      <alignment horizontal="centerContinuous" vertical="top" wrapText="1"/>
    </xf>
    <xf numFmtId="2" fontId="9" fillId="5" borderId="4" xfId="3" applyNumberFormat="1" applyFont="1" applyFill="1" applyBorder="1" applyAlignment="1">
      <alignment horizontal="right" wrapText="1"/>
    </xf>
    <xf numFmtId="166" fontId="7" fillId="4" borderId="5" xfId="4" applyNumberFormat="1" applyFont="1" applyFill="1" applyBorder="1" applyAlignment="1">
      <alignment vertical="top" wrapText="1"/>
    </xf>
    <xf numFmtId="166" fontId="7" fillId="4" borderId="2" xfId="4" applyNumberFormat="1" applyFont="1" applyFill="1" applyBorder="1" applyAlignment="1">
      <alignment vertical="top" wrapText="1"/>
    </xf>
    <xf numFmtId="166" fontId="7" fillId="4" borderId="6" xfId="4" applyNumberFormat="1" applyFont="1" applyFill="1" applyBorder="1" applyAlignment="1">
      <alignment vertical="top" wrapText="1"/>
    </xf>
    <xf numFmtId="0" fontId="6" fillId="2" borderId="0" xfId="3" applyFont="1" applyFill="1"/>
    <xf numFmtId="0" fontId="6" fillId="3" borderId="0" xfId="3" applyFont="1" applyFill="1" applyAlignment="1">
      <alignment vertical="center"/>
    </xf>
    <xf numFmtId="166" fontId="10" fillId="4" borderId="7" xfId="4" applyNumberFormat="1" applyFont="1" applyFill="1" applyBorder="1" applyAlignment="1">
      <alignment vertical="center" wrapText="1"/>
    </xf>
    <xf numFmtId="0" fontId="6" fillId="4" borderId="8" xfId="5" applyFont="1" applyFill="1" applyBorder="1" applyAlignment="1">
      <alignment horizontal="centerContinuous" vertical="center" wrapText="1"/>
    </xf>
    <xf numFmtId="0" fontId="6" fillId="4" borderId="9" xfId="5" applyFont="1" applyFill="1" applyBorder="1" applyAlignment="1">
      <alignment horizontal="centerContinuous" vertical="center" wrapText="1"/>
    </xf>
    <xf numFmtId="0" fontId="6" fillId="4" borderId="0" xfId="3" applyFont="1" applyFill="1" applyAlignment="1">
      <alignment vertical="center" wrapText="1"/>
    </xf>
    <xf numFmtId="166" fontId="10" fillId="4" borderId="8" xfId="4" applyNumberFormat="1" applyFont="1" applyFill="1" applyBorder="1" applyAlignment="1">
      <alignment horizontal="centerContinuous" vertical="center" wrapText="1"/>
    </xf>
    <xf numFmtId="0" fontId="6" fillId="4" borderId="0" xfId="5" applyFont="1" applyFill="1" applyAlignment="1">
      <alignment horizontal="centerContinuous" vertical="center" wrapText="1"/>
    </xf>
    <xf numFmtId="0" fontId="6" fillId="4" borderId="7" xfId="3" applyFont="1" applyFill="1" applyBorder="1" applyAlignment="1">
      <alignment vertical="center" wrapText="1"/>
    </xf>
    <xf numFmtId="0" fontId="6" fillId="4" borderId="10" xfId="3" applyFont="1" applyFill="1" applyBorder="1" applyAlignment="1">
      <alignment vertical="center" wrapText="1"/>
    </xf>
    <xf numFmtId="0" fontId="6" fillId="2" borderId="0" xfId="3" applyFont="1" applyFill="1" applyAlignment="1">
      <alignment vertical="center"/>
    </xf>
    <xf numFmtId="166" fontId="9" fillId="6" borderId="16" xfId="4" applyNumberFormat="1" applyFont="1" applyFill="1" applyBorder="1" applyAlignment="1">
      <alignment horizontal="center" wrapText="1"/>
    </xf>
    <xf numFmtId="2" fontId="9" fillId="4" borderId="0" xfId="3" applyNumberFormat="1" applyFont="1" applyFill="1" applyAlignment="1">
      <alignment horizontal="center" wrapText="1"/>
    </xf>
    <xf numFmtId="2" fontId="13" fillId="4" borderId="0" xfId="3" applyNumberFormat="1" applyFont="1" applyFill="1" applyAlignment="1">
      <alignment horizontal="center" wrapText="1"/>
    </xf>
    <xf numFmtId="2" fontId="9" fillId="2" borderId="4" xfId="3" applyNumberFormat="1" applyFont="1" applyFill="1" applyBorder="1" applyAlignment="1">
      <alignment horizontal="right" wrapText="1"/>
    </xf>
    <xf numFmtId="2" fontId="13" fillId="6" borderId="16" xfId="3" applyNumberFormat="1" applyFont="1" applyFill="1" applyBorder="1" applyAlignment="1">
      <alignment horizontal="center" wrapText="1"/>
    </xf>
    <xf numFmtId="2" fontId="13" fillId="6" borderId="17" xfId="3" applyNumberFormat="1" applyFont="1" applyFill="1" applyBorder="1" applyAlignment="1">
      <alignment horizontal="center" wrapText="1"/>
    </xf>
    <xf numFmtId="0" fontId="6" fillId="2" borderId="0" xfId="3" applyFont="1" applyFill="1" applyAlignment="1">
      <alignment horizontal="center"/>
    </xf>
    <xf numFmtId="0" fontId="9" fillId="5" borderId="18" xfId="5" quotePrefix="1" applyFont="1" applyFill="1" applyBorder="1" applyAlignment="1">
      <alignment horizontal="right"/>
    </xf>
    <xf numFmtId="166" fontId="13" fillId="3" borderId="0" xfId="3" applyNumberFormat="1" applyFont="1" applyFill="1" applyAlignment="1">
      <alignment horizontal="center" vertical="center" wrapText="1"/>
    </xf>
    <xf numFmtId="166" fontId="13" fillId="3" borderId="19" xfId="3" applyNumberFormat="1" applyFont="1" applyFill="1" applyBorder="1" applyAlignment="1">
      <alignment horizontal="center" vertical="center" wrapText="1"/>
    </xf>
    <xf numFmtId="2" fontId="9" fillId="5" borderId="19" xfId="3" applyNumberFormat="1" applyFont="1" applyFill="1" applyBorder="1" applyAlignment="1">
      <alignment horizontal="right" vertical="center" wrapText="1"/>
    </xf>
    <xf numFmtId="166" fontId="9" fillId="3" borderId="0" xfId="3" applyNumberFormat="1" applyFont="1" applyFill="1" applyAlignment="1">
      <alignment horizontal="center" vertical="center" wrapText="1"/>
    </xf>
    <xf numFmtId="166" fontId="9" fillId="3" borderId="20" xfId="3" applyNumberFormat="1" applyFont="1" applyFill="1" applyBorder="1" applyAlignment="1">
      <alignment horizontal="center" vertical="center" wrapText="1"/>
    </xf>
    <xf numFmtId="166" fontId="13" fillId="3" borderId="21" xfId="3" applyNumberFormat="1" applyFont="1" applyFill="1" applyBorder="1" applyAlignment="1">
      <alignment horizontal="center" vertical="center" wrapText="1"/>
    </xf>
    <xf numFmtId="0" fontId="6" fillId="2" borderId="0" xfId="3" applyFont="1" applyFill="1" applyAlignment="1">
      <alignment horizontal="right"/>
    </xf>
    <xf numFmtId="166" fontId="13" fillId="3" borderId="10" xfId="3" applyNumberFormat="1" applyFont="1" applyFill="1" applyBorder="1" applyAlignment="1">
      <alignment horizontal="center" vertical="center" wrapText="1"/>
    </xf>
    <xf numFmtId="0" fontId="6" fillId="5" borderId="0" xfId="3" applyFont="1" applyFill="1" applyAlignment="1">
      <alignment horizontal="right"/>
    </xf>
    <xf numFmtId="0" fontId="9" fillId="5" borderId="18" xfId="5" applyFont="1" applyFill="1" applyBorder="1" applyAlignment="1">
      <alignment horizontal="right"/>
    </xf>
    <xf numFmtId="0" fontId="6" fillId="3" borderId="0" xfId="3" applyFont="1" applyFill="1" applyAlignment="1">
      <alignment horizontal="right"/>
    </xf>
    <xf numFmtId="166" fontId="9" fillId="3" borderId="18" xfId="4" applyNumberFormat="1" applyFont="1" applyFill="1" applyBorder="1" applyAlignment="1">
      <alignment horizontal="right"/>
    </xf>
    <xf numFmtId="166" fontId="9" fillId="3" borderId="19" xfId="3" applyNumberFormat="1" applyFont="1" applyFill="1" applyBorder="1" applyAlignment="1">
      <alignment horizontal="center" vertical="center" wrapText="1"/>
    </xf>
    <xf numFmtId="2" fontId="9" fillId="5" borderId="18" xfId="3" applyNumberFormat="1" applyFont="1" applyFill="1" applyBorder="1" applyAlignment="1">
      <alignment horizontal="right" vertical="center"/>
    </xf>
    <xf numFmtId="166" fontId="9" fillId="5" borderId="19" xfId="3" applyNumberFormat="1" applyFont="1" applyFill="1" applyBorder="1" applyAlignment="1">
      <alignment horizontal="center" vertical="center"/>
    </xf>
    <xf numFmtId="0" fontId="6" fillId="5" borderId="0" xfId="3" applyFont="1" applyFill="1"/>
    <xf numFmtId="2" fontId="9" fillId="2" borderId="18" xfId="3" applyNumberFormat="1" applyFont="1" applyFill="1" applyBorder="1" applyAlignment="1">
      <alignment horizontal="right" vertical="center"/>
    </xf>
    <xf numFmtId="166" fontId="9" fillId="5" borderId="7" xfId="4" applyNumberFormat="1" applyFont="1" applyFill="1" applyBorder="1" applyAlignment="1">
      <alignment horizontal="center" vertical="center"/>
    </xf>
    <xf numFmtId="166" fontId="9" fillId="5" borderId="0" xfId="4" applyNumberFormat="1" applyFont="1" applyFill="1" applyAlignment="1">
      <alignment horizontal="center" vertical="center"/>
    </xf>
    <xf numFmtId="166" fontId="9" fillId="5" borderId="10" xfId="4" applyNumberFormat="1" applyFont="1" applyFill="1" applyBorder="1" applyAlignment="1">
      <alignment horizontal="center" vertical="center"/>
    </xf>
    <xf numFmtId="166" fontId="9" fillId="3" borderId="7" xfId="3" applyNumberFormat="1" applyFont="1" applyFill="1" applyBorder="1" applyAlignment="1">
      <alignment horizontal="center" vertical="center" wrapText="1"/>
    </xf>
    <xf numFmtId="166" fontId="9" fillId="3" borderId="10" xfId="3" applyNumberFormat="1" applyFont="1" applyFill="1" applyBorder="1" applyAlignment="1">
      <alignment horizontal="center" vertical="center" wrapText="1"/>
    </xf>
    <xf numFmtId="2" fontId="14" fillId="2" borderId="18" xfId="3" applyNumberFormat="1" applyFont="1" applyFill="1" applyBorder="1" applyAlignment="1">
      <alignment horizontal="right" vertical="center"/>
    </xf>
    <xf numFmtId="166" fontId="9" fillId="3" borderId="22" xfId="3" applyNumberFormat="1" applyFont="1" applyFill="1" applyBorder="1" applyAlignment="1">
      <alignment horizontal="center" vertical="center" wrapText="1"/>
    </xf>
    <xf numFmtId="0" fontId="6" fillId="2" borderId="22" xfId="3" applyFont="1" applyFill="1" applyBorder="1"/>
    <xf numFmtId="166" fontId="14" fillId="3" borderId="0" xfId="3" applyNumberFormat="1" applyFont="1" applyFill="1" applyAlignment="1">
      <alignment horizontal="center" vertical="center" wrapText="1"/>
    </xf>
    <xf numFmtId="166" fontId="14" fillId="3" borderId="10" xfId="3" applyNumberFormat="1" applyFont="1" applyFill="1" applyBorder="1" applyAlignment="1">
      <alignment horizontal="center" vertical="center" wrapText="1"/>
    </xf>
    <xf numFmtId="166" fontId="9" fillId="2" borderId="23" xfId="3" applyNumberFormat="1" applyFont="1" applyFill="1" applyBorder="1" applyAlignment="1">
      <alignment horizontal="center" vertical="center"/>
    </xf>
    <xf numFmtId="166" fontId="9" fillId="2" borderId="0" xfId="3" applyNumberFormat="1" applyFont="1" applyFill="1" applyAlignment="1">
      <alignment horizontal="center" vertical="center"/>
    </xf>
    <xf numFmtId="166" fontId="9" fillId="2" borderId="19" xfId="3" applyNumberFormat="1" applyFont="1" applyFill="1" applyBorder="1" applyAlignment="1">
      <alignment horizontal="center" vertical="center"/>
    </xf>
    <xf numFmtId="2" fontId="9" fillId="2" borderId="24" xfId="3" applyNumberFormat="1" applyFont="1" applyFill="1" applyBorder="1" applyAlignment="1">
      <alignment horizontal="right" vertical="center"/>
    </xf>
    <xf numFmtId="166" fontId="9" fillId="2" borderId="25" xfId="3" applyNumberFormat="1" applyFont="1" applyFill="1" applyBorder="1" applyAlignment="1">
      <alignment horizontal="center" vertical="center"/>
    </xf>
    <xf numFmtId="166" fontId="9" fillId="2" borderId="26" xfId="3" applyNumberFormat="1" applyFont="1" applyFill="1" applyBorder="1" applyAlignment="1">
      <alignment horizontal="center" vertical="center"/>
    </xf>
    <xf numFmtId="166" fontId="9" fillId="2" borderId="27" xfId="3" applyNumberFormat="1" applyFont="1" applyFill="1" applyBorder="1" applyAlignment="1">
      <alignment horizontal="center" vertical="center"/>
    </xf>
    <xf numFmtId="166" fontId="9" fillId="2" borderId="28" xfId="3" applyNumberFormat="1" applyFont="1" applyFill="1" applyBorder="1" applyAlignment="1">
      <alignment horizontal="center" vertical="center"/>
    </xf>
    <xf numFmtId="166" fontId="9" fillId="3" borderId="29" xfId="3" applyNumberFormat="1" applyFont="1" applyFill="1" applyBorder="1" applyAlignment="1">
      <alignment horizontal="center" vertical="center" wrapText="1"/>
    </xf>
    <xf numFmtId="166" fontId="15" fillId="3" borderId="30" xfId="3" applyNumberFormat="1" applyFont="1" applyFill="1" applyBorder="1" applyAlignment="1">
      <alignment horizontal="center" vertical="center" wrapText="1"/>
    </xf>
    <xf numFmtId="166" fontId="9" fillId="3" borderId="31" xfId="3" applyNumberFormat="1" applyFont="1" applyFill="1" applyBorder="1" applyAlignment="1">
      <alignment horizontal="center" vertical="center" wrapText="1"/>
    </xf>
    <xf numFmtId="2" fontId="16" fillId="2" borderId="18" xfId="3" applyNumberFormat="1" applyFont="1" applyFill="1" applyBorder="1" applyAlignment="1">
      <alignment horizontal="right" vertical="center"/>
    </xf>
    <xf numFmtId="166" fontId="16" fillId="2" borderId="23" xfId="3" applyNumberFormat="1" applyFont="1" applyFill="1" applyBorder="1" applyAlignment="1">
      <alignment horizontal="center" vertical="center"/>
    </xf>
    <xf numFmtId="166" fontId="16" fillId="2" borderId="0" xfId="3" applyNumberFormat="1" applyFont="1" applyFill="1" applyAlignment="1">
      <alignment horizontal="center" vertical="center"/>
    </xf>
    <xf numFmtId="166" fontId="16" fillId="2" borderId="19" xfId="3" applyNumberFormat="1" applyFont="1" applyFill="1" applyBorder="1" applyAlignment="1">
      <alignment horizontal="center" vertical="center"/>
    </xf>
    <xf numFmtId="166" fontId="17" fillId="3" borderId="7" xfId="3" applyNumberFormat="1" applyFont="1" applyFill="1" applyBorder="1" applyAlignment="1">
      <alignment horizontal="center" vertical="center" wrapText="1"/>
    </xf>
    <xf numFmtId="166" fontId="17" fillId="3" borderId="0" xfId="3" applyNumberFormat="1" applyFont="1" applyFill="1" applyAlignment="1">
      <alignment horizontal="center" vertical="center" wrapText="1"/>
    </xf>
    <xf numFmtId="166" fontId="17" fillId="3" borderId="10" xfId="3" applyNumberFormat="1" applyFont="1" applyFill="1" applyBorder="1" applyAlignment="1">
      <alignment horizontal="center" vertical="center" wrapText="1"/>
    </xf>
    <xf numFmtId="167" fontId="9" fillId="2" borderId="19" xfId="3" applyNumberFormat="1" applyFont="1" applyFill="1" applyBorder="1" applyAlignment="1">
      <alignment horizontal="center" vertical="center"/>
    </xf>
    <xf numFmtId="2" fontId="16" fillId="2" borderId="32" xfId="3" applyNumberFormat="1" applyFont="1" applyFill="1" applyBorder="1" applyAlignment="1">
      <alignment horizontal="right" vertical="center"/>
    </xf>
    <xf numFmtId="166" fontId="16" fillId="2" borderId="33" xfId="3" applyNumberFormat="1" applyFont="1" applyFill="1" applyBorder="1" applyAlignment="1">
      <alignment horizontal="center" vertical="center"/>
    </xf>
    <xf numFmtId="166" fontId="16" fillId="2" borderId="8" xfId="3" applyNumberFormat="1" applyFont="1" applyFill="1" applyBorder="1" applyAlignment="1">
      <alignment horizontal="center" vertical="center"/>
    </xf>
    <xf numFmtId="166" fontId="16" fillId="2" borderId="34" xfId="3" applyNumberFormat="1" applyFont="1" applyFill="1" applyBorder="1" applyAlignment="1">
      <alignment horizontal="center" vertical="center"/>
    </xf>
    <xf numFmtId="166" fontId="17" fillId="3" borderId="16" xfId="3" applyNumberFormat="1" applyFont="1" applyFill="1" applyBorder="1" applyAlignment="1">
      <alignment horizontal="center" vertical="center" wrapText="1"/>
    </xf>
    <xf numFmtId="166" fontId="17" fillId="3" borderId="8" xfId="3" applyNumberFormat="1" applyFont="1" applyFill="1" applyBorder="1" applyAlignment="1">
      <alignment horizontal="center" vertical="center" wrapText="1"/>
    </xf>
    <xf numFmtId="166" fontId="17" fillId="3" borderId="17" xfId="3" applyNumberFormat="1" applyFont="1" applyFill="1" applyBorder="1" applyAlignment="1">
      <alignment horizontal="center" vertical="center" wrapText="1"/>
    </xf>
    <xf numFmtId="0" fontId="6" fillId="5" borderId="0" xfId="3" applyFont="1" applyFill="1" applyAlignment="1">
      <alignment vertical="center"/>
    </xf>
    <xf numFmtId="2" fontId="9" fillId="5" borderId="7" xfId="4" applyNumberFormat="1" applyFont="1" applyFill="1" applyBorder="1" applyAlignment="1">
      <alignment vertical="center" wrapText="1"/>
    </xf>
    <xf numFmtId="0" fontId="12" fillId="5" borderId="19" xfId="5" applyFont="1" applyFill="1" applyBorder="1" applyAlignment="1">
      <alignment horizontal="left" vertical="center"/>
    </xf>
    <xf numFmtId="0" fontId="18" fillId="5" borderId="0" xfId="5" applyFont="1" applyFill="1" applyAlignment="1">
      <alignment vertical="center" wrapText="1"/>
    </xf>
    <xf numFmtId="0" fontId="18" fillId="5" borderId="10" xfId="5" applyFont="1" applyFill="1" applyBorder="1" applyAlignment="1">
      <alignment vertical="center" wrapText="1"/>
    </xf>
    <xf numFmtId="0" fontId="12" fillId="5" borderId="0" xfId="5" applyFont="1" applyFill="1" applyAlignment="1">
      <alignment vertical="center"/>
    </xf>
    <xf numFmtId="0" fontId="18" fillId="5" borderId="19" xfId="5" applyFont="1" applyFill="1" applyBorder="1" applyAlignment="1">
      <alignment vertical="center" wrapText="1"/>
    </xf>
    <xf numFmtId="168" fontId="9" fillId="2" borderId="19" xfId="3" applyNumberFormat="1" applyFont="1" applyFill="1" applyBorder="1" applyAlignment="1">
      <alignment horizontal="center" vertical="center"/>
    </xf>
    <xf numFmtId="0" fontId="9" fillId="2" borderId="19" xfId="5" applyFont="1" applyFill="1" applyBorder="1" applyAlignment="1">
      <alignment vertical="center"/>
    </xf>
    <xf numFmtId="0" fontId="13" fillId="5" borderId="19" xfId="3" applyFont="1" applyFill="1" applyBorder="1" applyAlignment="1">
      <alignment horizontal="left" vertical="center"/>
    </xf>
    <xf numFmtId="0" fontId="9" fillId="5" borderId="0" xfId="5" applyFont="1" applyFill="1" applyAlignment="1">
      <alignment vertical="center"/>
    </xf>
    <xf numFmtId="0" fontId="13" fillId="5" borderId="5" xfId="3" applyFont="1" applyFill="1" applyBorder="1" applyAlignment="1">
      <alignment vertical="center"/>
    </xf>
    <xf numFmtId="0" fontId="9" fillId="3" borderId="2" xfId="5" applyFont="1" applyFill="1" applyBorder="1" applyAlignment="1">
      <alignment vertical="center"/>
    </xf>
    <xf numFmtId="0" fontId="18" fillId="3" borderId="2" xfId="5" applyFont="1" applyFill="1" applyBorder="1" applyAlignment="1">
      <alignment vertical="center" wrapText="1"/>
    </xf>
    <xf numFmtId="0" fontId="18" fillId="5" borderId="2" xfId="5" applyFont="1" applyFill="1" applyBorder="1" applyAlignment="1">
      <alignment vertical="center" wrapText="1"/>
    </xf>
    <xf numFmtId="0" fontId="18" fillId="3" borderId="3" xfId="5" applyFont="1" applyFill="1" applyBorder="1" applyAlignment="1">
      <alignment vertical="center" wrapText="1"/>
    </xf>
    <xf numFmtId="166" fontId="9" fillId="5" borderId="0" xfId="3" applyNumberFormat="1" applyFont="1" applyFill="1" applyAlignment="1">
      <alignment horizontal="center" vertical="center"/>
    </xf>
    <xf numFmtId="16" fontId="6" fillId="5" borderId="0" xfId="3" applyNumberFormat="1" applyFont="1" applyFill="1"/>
    <xf numFmtId="0" fontId="21" fillId="0" borderId="0" xfId="6" applyFont="1" applyAlignment="1">
      <alignment horizontal="center" vertical="center" wrapText="1"/>
    </xf>
    <xf numFmtId="0" fontId="14" fillId="0" borderId="0" xfId="0" applyFont="1"/>
    <xf numFmtId="0" fontId="22" fillId="0" borderId="0" xfId="0" applyFont="1"/>
    <xf numFmtId="0" fontId="23" fillId="0" borderId="0" xfId="0" applyFont="1"/>
    <xf numFmtId="0" fontId="9" fillId="0" borderId="0" xfId="7" applyFont="1"/>
    <xf numFmtId="0" fontId="0" fillId="0" borderId="0" xfId="0" quotePrefix="1"/>
    <xf numFmtId="169" fontId="0" fillId="0" borderId="0" xfId="0" applyNumberFormat="1"/>
    <xf numFmtId="169" fontId="25" fillId="0" borderId="0" xfId="0" applyNumberFormat="1" applyFont="1"/>
    <xf numFmtId="0" fontId="0" fillId="0" borderId="0" xfId="0" applyAlignment="1">
      <alignment horizontal="right"/>
    </xf>
    <xf numFmtId="0" fontId="27" fillId="2" borderId="0" xfId="1" applyFont="1" applyFill="1"/>
    <xf numFmtId="2" fontId="28" fillId="2" borderId="37" xfId="0" applyNumberFormat="1" applyFont="1" applyFill="1" applyBorder="1" applyAlignment="1">
      <alignment horizontal="center" wrapText="1"/>
    </xf>
    <xf numFmtId="2" fontId="28" fillId="2" borderId="38" xfId="0" applyNumberFormat="1" applyFont="1" applyFill="1" applyBorder="1" applyAlignment="1">
      <alignment horizontal="center" wrapText="1"/>
    </xf>
    <xf numFmtId="0" fontId="27" fillId="0" borderId="0" xfId="1" applyFont="1"/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64" fontId="30" fillId="8" borderId="39" xfId="1" applyNumberFormat="1" applyFont="1" applyFill="1" applyBorder="1" applyAlignment="1">
      <alignment horizontal="center" vertical="center"/>
    </xf>
    <xf numFmtId="164" fontId="28" fillId="8" borderId="40" xfId="1" applyNumberFormat="1" applyFont="1" applyFill="1" applyBorder="1" applyAlignment="1">
      <alignment horizontal="center"/>
    </xf>
    <xf numFmtId="164" fontId="30" fillId="8" borderId="40" xfId="1" applyNumberFormat="1" applyFont="1" applyFill="1" applyBorder="1" applyAlignment="1">
      <alignment horizontal="center"/>
    </xf>
    <xf numFmtId="164" fontId="28" fillId="8" borderId="41" xfId="1" applyNumberFormat="1" applyFont="1" applyFill="1" applyBorder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/>
    <xf numFmtId="0" fontId="32" fillId="2" borderId="42" xfId="1" applyFont="1" applyFill="1" applyBorder="1" applyAlignment="1">
      <alignment horizontal="left" vertical="center" indent="1"/>
    </xf>
    <xf numFmtId="0" fontId="28" fillId="2" borderId="0" xfId="1" applyFont="1" applyFill="1" applyAlignment="1">
      <alignment horizontal="left" vertical="center" wrapText="1"/>
    </xf>
    <xf numFmtId="0" fontId="30" fillId="2" borderId="0" xfId="1" applyFont="1" applyFill="1" applyAlignment="1">
      <alignment horizontal="center" vertical="center"/>
    </xf>
    <xf numFmtId="165" fontId="30" fillId="2" borderId="0" xfId="1" applyNumberFormat="1" applyFont="1" applyFill="1" applyAlignment="1">
      <alignment horizontal="center" vertical="center"/>
    </xf>
    <xf numFmtId="165" fontId="30" fillId="2" borderId="43" xfId="1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3" fillId="2" borderId="0" xfId="1" applyFont="1" applyFill="1" applyAlignment="1">
      <alignment horizontal="left" vertical="center" wrapText="1"/>
    </xf>
    <xf numFmtId="0" fontId="30" fillId="2" borderId="42" xfId="1" applyFont="1" applyFill="1" applyBorder="1" applyAlignment="1">
      <alignment horizontal="center" vertical="center"/>
    </xf>
    <xf numFmtId="0" fontId="30" fillId="2" borderId="0" xfId="1" applyFont="1" applyFill="1" applyAlignment="1">
      <alignment horizontal="left" vertical="center" wrapText="1"/>
    </xf>
    <xf numFmtId="0" fontId="3" fillId="0" borderId="0" xfId="2" applyFont="1" applyAlignment="1">
      <alignment vertical="center"/>
    </xf>
    <xf numFmtId="0" fontId="30" fillId="0" borderId="0" xfId="0" applyFont="1" applyAlignment="1">
      <alignment horizontal="left" vertical="center" wrapText="1"/>
    </xf>
    <xf numFmtId="0" fontId="33" fillId="0" borderId="0" xfId="1" applyFont="1" applyAlignment="1">
      <alignment horizontal="left" vertical="center"/>
    </xf>
    <xf numFmtId="0" fontId="32" fillId="2" borderId="36" xfId="1" applyFont="1" applyFill="1" applyBorder="1" applyAlignment="1">
      <alignment horizontal="left" vertical="center" indent="1"/>
    </xf>
    <xf numFmtId="0" fontId="30" fillId="2" borderId="37" xfId="1" applyFont="1" applyFill="1" applyBorder="1" applyAlignment="1">
      <alignment horizontal="left" vertical="center" wrapText="1"/>
    </xf>
    <xf numFmtId="165" fontId="30" fillId="2" borderId="37" xfId="1" applyNumberFormat="1" applyFont="1" applyFill="1" applyBorder="1" applyAlignment="1">
      <alignment horizontal="center" vertical="center"/>
    </xf>
    <xf numFmtId="165" fontId="30" fillId="2" borderId="38" xfId="1" applyNumberFormat="1" applyFont="1" applyFill="1" applyBorder="1" applyAlignment="1">
      <alignment horizontal="center" vertical="center"/>
    </xf>
    <xf numFmtId="0" fontId="3" fillId="2" borderId="0" xfId="1" applyFont="1" applyFill="1" applyAlignment="1">
      <alignment horizontal="left" vertical="top"/>
    </xf>
    <xf numFmtId="0" fontId="34" fillId="2" borderId="0" xfId="1" applyFont="1" applyFill="1" applyAlignment="1">
      <alignment horizontal="left" vertical="center"/>
    </xf>
    <xf numFmtId="0" fontId="35" fillId="2" borderId="42" xfId="1" applyFont="1" applyFill="1" applyBorder="1" applyAlignment="1">
      <alignment horizontal="center" vertical="center"/>
    </xf>
    <xf numFmtId="0" fontId="35" fillId="2" borderId="0" xfId="1" applyFont="1" applyFill="1" applyAlignment="1">
      <alignment horizontal="left" vertical="center" wrapText="1"/>
    </xf>
    <xf numFmtId="0" fontId="35" fillId="2" borderId="0" xfId="1" applyFont="1" applyFill="1" applyAlignment="1">
      <alignment horizontal="center" vertical="center"/>
    </xf>
    <xf numFmtId="165" fontId="35" fillId="2" borderId="0" xfId="1" applyNumberFormat="1" applyFont="1" applyFill="1" applyAlignment="1">
      <alignment horizontal="center" vertical="center"/>
    </xf>
    <xf numFmtId="165" fontId="35" fillId="2" borderId="43" xfId="1" applyNumberFormat="1" applyFont="1" applyFill="1" applyBorder="1" applyAlignment="1">
      <alignment horizontal="center" vertical="center"/>
    </xf>
    <xf numFmtId="0" fontId="36" fillId="2" borderId="0" xfId="1" applyFont="1" applyFill="1" applyAlignment="1">
      <alignment horizontal="left" vertical="top"/>
    </xf>
    <xf numFmtId="0" fontId="34" fillId="0" borderId="0" xfId="1" applyFont="1" applyAlignment="1">
      <alignment horizontal="left" vertical="center"/>
    </xf>
    <xf numFmtId="0" fontId="36" fillId="2" borderId="0" xfId="1" applyFont="1" applyFill="1" applyAlignment="1">
      <alignment horizontal="left" vertical="center" wrapText="1"/>
    </xf>
    <xf numFmtId="165" fontId="4" fillId="0" borderId="0" xfId="1" applyNumberFormat="1" applyFont="1" applyAlignment="1">
      <alignment horizontal="left" vertical="center"/>
    </xf>
    <xf numFmtId="0" fontId="37" fillId="0" borderId="0" xfId="0" applyFont="1" applyAlignment="1">
      <alignment horizontal="left" vertical="center" wrapText="1"/>
    </xf>
    <xf numFmtId="0" fontId="33" fillId="2" borderId="0" xfId="1" applyFont="1" applyFill="1" applyAlignment="1">
      <alignment horizontal="left" vertical="center"/>
    </xf>
    <xf numFmtId="0" fontId="30" fillId="2" borderId="44" xfId="1" applyFont="1" applyFill="1" applyBorder="1" applyAlignment="1">
      <alignment horizontal="left" vertical="center"/>
    </xf>
    <xf numFmtId="0" fontId="30" fillId="2" borderId="45" xfId="2" applyFont="1" applyFill="1" applyBorder="1" applyAlignment="1">
      <alignment horizontal="left" vertical="center"/>
    </xf>
    <xf numFmtId="165" fontId="30" fillId="2" borderId="45" xfId="1" applyNumberFormat="1" applyFont="1" applyFill="1" applyBorder="1" applyAlignment="1">
      <alignment horizontal="center" vertical="center"/>
    </xf>
    <xf numFmtId="165" fontId="30" fillId="2" borderId="45" xfId="1" applyNumberFormat="1" applyFont="1" applyFill="1" applyBorder="1" applyAlignment="1">
      <alignment horizontal="left" vertical="center"/>
    </xf>
    <xf numFmtId="165" fontId="30" fillId="2" borderId="46" xfId="1" applyNumberFormat="1" applyFont="1" applyFill="1" applyBorder="1" applyAlignment="1">
      <alignment horizontal="center" vertical="center"/>
    </xf>
    <xf numFmtId="165" fontId="3" fillId="2" borderId="0" xfId="1" applyNumberFormat="1" applyFont="1" applyFill="1" applyAlignment="1">
      <alignment horizontal="left" vertical="center"/>
    </xf>
    <xf numFmtId="0" fontId="28" fillId="0" borderId="45" xfId="1" applyFont="1" applyBorder="1" applyAlignment="1">
      <alignment horizontal="left" vertical="center"/>
    </xf>
    <xf numFmtId="0" fontId="30" fillId="2" borderId="45" xfId="1" applyFont="1" applyFill="1" applyBorder="1" applyAlignment="1">
      <alignment horizontal="center"/>
    </xf>
    <xf numFmtId="165" fontId="28" fillId="2" borderId="45" xfId="1" applyNumberFormat="1" applyFont="1" applyFill="1" applyBorder="1" applyAlignment="1">
      <alignment horizontal="center" vertical="center"/>
    </xf>
    <xf numFmtId="165" fontId="28" fillId="2" borderId="43" xfId="1" applyNumberFormat="1" applyFont="1" applyFill="1" applyBorder="1" applyAlignment="1">
      <alignment horizontal="center" vertical="center"/>
    </xf>
    <xf numFmtId="0" fontId="38" fillId="0" borderId="0" xfId="1" applyFont="1"/>
    <xf numFmtId="164" fontId="4" fillId="2" borderId="0" xfId="1" applyNumberFormat="1" applyFont="1" applyFill="1" applyAlignment="1">
      <alignment horizontal="center" vertical="center"/>
    </xf>
    <xf numFmtId="0" fontId="30" fillId="2" borderId="36" xfId="1" applyFont="1" applyFill="1" applyBorder="1" applyAlignment="1">
      <alignment horizontal="left" vertical="center"/>
    </xf>
    <xf numFmtId="0" fontId="28" fillId="0" borderId="37" xfId="1" applyFont="1" applyBorder="1" applyAlignment="1">
      <alignment horizontal="left" vertical="center"/>
    </xf>
    <xf numFmtId="0" fontId="30" fillId="2" borderId="37" xfId="1" applyFont="1" applyFill="1" applyBorder="1" applyAlignment="1">
      <alignment horizontal="center"/>
    </xf>
    <xf numFmtId="165" fontId="30" fillId="2" borderId="40" xfId="1" applyNumberFormat="1" applyFont="1" applyFill="1" applyBorder="1" applyAlignment="1">
      <alignment horizontal="center" vertical="center"/>
    </xf>
    <xf numFmtId="165" fontId="30" fillId="2" borderId="41" xfId="1" applyNumberFormat="1" applyFont="1" applyFill="1" applyBorder="1" applyAlignment="1">
      <alignment horizontal="center" vertical="center"/>
    </xf>
    <xf numFmtId="0" fontId="38" fillId="2" borderId="0" xfId="1" applyFont="1" applyFill="1"/>
    <xf numFmtId="0" fontId="30" fillId="2" borderId="39" xfId="1" applyFont="1" applyFill="1" applyBorder="1" applyAlignment="1">
      <alignment horizontal="left" vertical="center"/>
    </xf>
    <xf numFmtId="0" fontId="28" fillId="2" borderId="40" xfId="1" applyFont="1" applyFill="1" applyBorder="1" applyAlignment="1">
      <alignment horizontal="left" vertical="center"/>
    </xf>
    <xf numFmtId="0" fontId="30" fillId="2" borderId="40" xfId="1" applyFont="1" applyFill="1" applyBorder="1" applyAlignment="1">
      <alignment horizontal="center"/>
    </xf>
    <xf numFmtId="0" fontId="30" fillId="2" borderId="0" xfId="1" applyFont="1" applyFill="1" applyAlignment="1">
      <alignment horizontal="center"/>
    </xf>
    <xf numFmtId="0" fontId="30" fillId="2" borderId="0" xfId="1" applyFont="1" applyFill="1"/>
    <xf numFmtId="0" fontId="30" fillId="0" borderId="0" xfId="1" applyFont="1"/>
    <xf numFmtId="0" fontId="32" fillId="2" borderId="0" xfId="1" applyFont="1" applyFill="1"/>
    <xf numFmtId="0" fontId="28" fillId="2" borderId="0" xfId="1" applyFont="1" applyFill="1"/>
    <xf numFmtId="0" fontId="21" fillId="0" borderId="0" xfId="10" applyFont="1" applyAlignment="1">
      <alignment horizontal="center" vertical="center" wrapText="1"/>
    </xf>
    <xf numFmtId="0" fontId="14" fillId="0" borderId="0" xfId="11" applyFont="1"/>
    <xf numFmtId="0" fontId="23" fillId="0" borderId="0" xfId="11" applyFont="1"/>
    <xf numFmtId="166" fontId="9" fillId="0" borderId="0" xfId="11" applyNumberFormat="1" applyFont="1" applyAlignment="1">
      <alignment horizontal="right" vertical="center" wrapText="1"/>
    </xf>
    <xf numFmtId="166" fontId="17" fillId="0" borderId="0" xfId="11" applyNumberFormat="1" applyFont="1" applyAlignment="1">
      <alignment horizontal="right" vertical="center" wrapText="1"/>
    </xf>
    <xf numFmtId="166" fontId="17" fillId="0" borderId="10" xfId="11" applyNumberFormat="1" applyFont="1" applyBorder="1" applyAlignment="1">
      <alignment horizontal="right" vertical="center" wrapText="1"/>
    </xf>
    <xf numFmtId="166" fontId="9" fillId="0" borderId="52" xfId="11" applyNumberFormat="1" applyFont="1" applyBorder="1" applyAlignment="1">
      <alignment horizontal="right" vertical="center" wrapText="1"/>
    </xf>
    <xf numFmtId="166" fontId="17" fillId="0" borderId="52" xfId="11" applyNumberFormat="1" applyFont="1" applyBorder="1" applyAlignment="1">
      <alignment horizontal="right" vertical="center" wrapText="1"/>
    </xf>
    <xf numFmtId="166" fontId="17" fillId="0" borderId="53" xfId="11" applyNumberFormat="1" applyFont="1" applyBorder="1" applyAlignment="1">
      <alignment horizontal="right" vertical="center" wrapText="1"/>
    </xf>
    <xf numFmtId="167" fontId="14" fillId="0" borderId="0" xfId="11" applyNumberFormat="1" applyFont="1"/>
    <xf numFmtId="0" fontId="9" fillId="2" borderId="47" xfId="11" applyFont="1" applyFill="1" applyBorder="1" applyAlignment="1">
      <alignment horizontal="right" vertical="center" wrapText="1"/>
    </xf>
    <xf numFmtId="0" fontId="9" fillId="2" borderId="50" xfId="11" applyFont="1" applyFill="1" applyBorder="1" applyAlignment="1">
      <alignment horizontal="right" vertical="center" wrapText="1"/>
    </xf>
    <xf numFmtId="0" fontId="9" fillId="2" borderId="51" xfId="11" applyFont="1" applyFill="1" applyBorder="1" applyAlignment="1">
      <alignment horizontal="right" vertical="center" wrapText="1"/>
    </xf>
    <xf numFmtId="0" fontId="9" fillId="2" borderId="48" xfId="11" applyFont="1" applyFill="1" applyBorder="1" applyAlignment="1">
      <alignment horizontal="right" vertical="center" wrapText="1"/>
    </xf>
    <xf numFmtId="0" fontId="9" fillId="2" borderId="49" xfId="11" applyFont="1" applyFill="1" applyBorder="1" applyAlignment="1">
      <alignment horizontal="right" vertical="center" wrapText="1"/>
    </xf>
    <xf numFmtId="0" fontId="14" fillId="2" borderId="0" xfId="11" applyFont="1" applyFill="1"/>
    <xf numFmtId="0" fontId="6" fillId="4" borderId="11" xfId="5" applyFont="1" applyFill="1" applyBorder="1" applyAlignment="1">
      <alignment horizontal="center" vertical="center" wrapText="1"/>
    </xf>
    <xf numFmtId="166" fontId="13" fillId="3" borderId="54" xfId="3" applyNumberFormat="1" applyFont="1" applyFill="1" applyBorder="1" applyAlignment="1">
      <alignment horizontal="center" vertical="center" wrapText="1"/>
    </xf>
    <xf numFmtId="166" fontId="9" fillId="2" borderId="55" xfId="3" applyNumberFormat="1" applyFont="1" applyFill="1" applyBorder="1" applyAlignment="1">
      <alignment horizontal="center" vertical="center"/>
    </xf>
    <xf numFmtId="166" fontId="16" fillId="2" borderId="56" xfId="3" applyNumberFormat="1" applyFont="1" applyFill="1" applyBorder="1" applyAlignment="1">
      <alignment horizontal="center" vertical="center"/>
    </xf>
    <xf numFmtId="166" fontId="16" fillId="2" borderId="57" xfId="3" applyNumberFormat="1" applyFont="1" applyFill="1" applyBorder="1" applyAlignment="1">
      <alignment horizontal="center" vertical="center"/>
    </xf>
    <xf numFmtId="166" fontId="17" fillId="3" borderId="58" xfId="3" applyNumberFormat="1" applyFont="1" applyFill="1" applyBorder="1" applyAlignment="1">
      <alignment horizontal="center" vertical="center" wrapText="1"/>
    </xf>
    <xf numFmtId="166" fontId="17" fillId="3" borderId="19" xfId="3" applyNumberFormat="1" applyFont="1" applyFill="1" applyBorder="1" applyAlignment="1">
      <alignment horizontal="center" vertical="center" wrapText="1"/>
    </xf>
    <xf numFmtId="166" fontId="17" fillId="3" borderId="34" xfId="3" applyNumberFormat="1" applyFont="1" applyFill="1" applyBorder="1" applyAlignment="1">
      <alignment horizontal="center" vertical="center" wrapText="1"/>
    </xf>
    <xf numFmtId="0" fontId="41" fillId="7" borderId="35" xfId="9" applyFont="1" applyFill="1" applyBorder="1" applyAlignment="1">
      <alignment horizontal="left" wrapText="1"/>
    </xf>
    <xf numFmtId="0" fontId="6" fillId="4" borderId="14" xfId="3" applyFont="1" applyFill="1" applyBorder="1" applyAlignment="1">
      <alignment horizontal="center" vertical="center" wrapText="1"/>
    </xf>
    <xf numFmtId="0" fontId="6" fillId="4" borderId="11" xfId="3" applyFont="1" applyFill="1" applyBorder="1" applyAlignment="1">
      <alignment horizontal="center" vertical="center" wrapText="1"/>
    </xf>
    <xf numFmtId="0" fontId="6" fillId="4" borderId="15" xfId="3" applyFont="1" applyFill="1" applyBorder="1" applyAlignment="1">
      <alignment horizontal="center" vertical="center" wrapText="1"/>
    </xf>
    <xf numFmtId="0" fontId="12" fillId="5" borderId="0" xfId="5" applyFont="1" applyFill="1" applyAlignment="1">
      <alignment horizontal="left" vertical="center"/>
    </xf>
    <xf numFmtId="0" fontId="9" fillId="2" borderId="0" xfId="5" applyFont="1" applyFill="1" applyAlignment="1">
      <alignment vertical="center"/>
    </xf>
    <xf numFmtId="0" fontId="13" fillId="5" borderId="0" xfId="3" applyFont="1" applyFill="1" applyAlignment="1">
      <alignment horizontal="left" vertical="center"/>
    </xf>
    <xf numFmtId="166" fontId="7" fillId="4" borderId="2" xfId="4" applyNumberFormat="1" applyFont="1" applyFill="1" applyBorder="1" applyAlignment="1">
      <alignment horizontal="center" vertical="top" wrapText="1"/>
    </xf>
    <xf numFmtId="166" fontId="7" fillId="4" borderId="3" xfId="4" applyNumberFormat="1" applyFont="1" applyFill="1" applyBorder="1" applyAlignment="1">
      <alignment horizontal="center" vertical="top" wrapText="1"/>
    </xf>
    <xf numFmtId="0" fontId="6" fillId="4" borderId="9" xfId="5" applyFont="1" applyFill="1" applyBorder="1" applyAlignment="1">
      <alignment horizontal="center" vertical="center" wrapText="1"/>
    </xf>
    <xf numFmtId="0" fontId="6" fillId="4" borderId="11" xfId="5" applyFont="1" applyFill="1" applyBorder="1" applyAlignment="1">
      <alignment horizontal="center" vertical="center" wrapText="1"/>
    </xf>
    <xf numFmtId="0" fontId="6" fillId="4" borderId="12" xfId="5" applyFont="1" applyFill="1" applyBorder="1" applyAlignment="1">
      <alignment horizontal="center" vertical="center" wrapText="1"/>
    </xf>
    <xf numFmtId="0" fontId="6" fillId="4" borderId="13" xfId="5" applyFont="1" applyFill="1" applyBorder="1" applyAlignment="1">
      <alignment horizontal="center" vertical="center" wrapText="1"/>
    </xf>
    <xf numFmtId="0" fontId="30" fillId="0" borderId="42" xfId="1" applyFont="1" applyBorder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0" fillId="0" borderId="43" xfId="1" applyFont="1" applyBorder="1" applyAlignment="1">
      <alignment horizontal="left" vertical="center"/>
    </xf>
    <xf numFmtId="0" fontId="30" fillId="0" borderId="44" xfId="1" applyFont="1" applyBorder="1" applyAlignment="1">
      <alignment horizontal="left" vertical="center"/>
    </xf>
    <xf numFmtId="0" fontId="30" fillId="0" borderId="45" xfId="1" applyFont="1" applyBorder="1" applyAlignment="1">
      <alignment horizontal="left" vertical="center"/>
    </xf>
    <xf numFmtId="0" fontId="30" fillId="0" borderId="46" xfId="1" applyFont="1" applyBorder="1" applyAlignment="1">
      <alignment horizontal="left" vertical="center"/>
    </xf>
    <xf numFmtId="2" fontId="28" fillId="2" borderId="36" xfId="0" applyNumberFormat="1" applyFont="1" applyFill="1" applyBorder="1" applyAlignment="1">
      <alignment horizontal="left" wrapText="1"/>
    </xf>
    <xf numFmtId="0" fontId="3" fillId="0" borderId="0" xfId="2" applyFont="1" applyAlignment="1">
      <alignment vertical="center"/>
    </xf>
  </cellXfs>
  <cellStyles count="12">
    <cellStyle name="%" xfId="4" xr:uid="{CF4A93E0-0542-45B8-A5FC-5EE9221A418A}"/>
    <cellStyle name="Hyperlink" xfId="6" builtinId="8"/>
    <cellStyle name="Hyperlink 2" xfId="10" xr:uid="{D10C2224-31D4-4495-82E7-76B2DDD384AF}"/>
    <cellStyle name="Normal" xfId="0" builtinId="0"/>
    <cellStyle name="Normal 2" xfId="5" xr:uid="{1E988C56-5036-4448-AD13-FBD1A6934476}"/>
    <cellStyle name="Normal 2 2" xfId="1" xr:uid="{6F38D547-932C-4052-A672-CE6ADA59D94E}"/>
    <cellStyle name="Normal 3" xfId="8" xr:uid="{2BBE7B22-D909-4F0D-A99A-4F27447D4A83}"/>
    <cellStyle name="Normal 4" xfId="9" xr:uid="{7B1DDCA2-5FEE-4FE7-A11C-9F5A00C4CEEC}"/>
    <cellStyle name="Normal 5" xfId="11" xr:uid="{DF6EBCB2-5DCF-4E9C-BE41-765AA1AF7AD4}"/>
    <cellStyle name="Normal_Fiscal Tables" xfId="3" xr:uid="{6F869E5B-E5D1-4B24-9192-649716E4B7C5}"/>
    <cellStyle name="Normal_Govt Fiscal Targets Tables" xfId="7" xr:uid="{8213560A-3EE7-4909-93C4-55A65B53532C}"/>
    <cellStyle name="Style 1 2" xfId="2" xr:uid="{EEF74D61-7182-497C-A974-AF171844EEAC}"/>
  </cellStyles>
  <dxfs count="64"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  <dxf>
      <fill>
        <patternFill>
          <bgColor rgb="FFD9F1FF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chartsheet" Target="chart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2.xml"/><Relationship Id="rId12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11.xml"/><Relationship Id="rId20" Type="http://schemas.openxmlformats.org/officeDocument/2006/relationships/sheetMetadata" Target="metadata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10.xml"/><Relationship Id="rId10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4.xml"/><Relationship Id="rId14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1.xml"/><Relationship Id="rId1" Type="http://schemas.openxmlformats.org/officeDocument/2006/relationships/themeOverride" Target="../theme/themeOverrid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64589235127478"/>
          <c:w val="1"/>
          <c:h val="0.8083097261567516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Data'!$A$4</c:f>
              <c:strCache>
                <c:ptCount val="1"/>
                <c:pt idx="0">
                  <c:v>Tax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strRef>
              <c:f>'Chart Data'!$B$3:$G$3</c:f>
              <c:strCache>
                <c:ptCount val="6"/>
                <c:pt idx="0">
                  <c:v>2024-2025</c:v>
                </c:pt>
                <c:pt idx="1">
                  <c:v>2025-2026</c:v>
                </c:pt>
                <c:pt idx="2">
                  <c:v>2026-2027</c:v>
                </c:pt>
                <c:pt idx="3">
                  <c:v>2027-2028</c:v>
                </c:pt>
                <c:pt idx="4">
                  <c:v>2028-2029</c:v>
                </c:pt>
                <c:pt idx="5">
                  <c:v>2029-2030</c:v>
                </c:pt>
              </c:strCache>
            </c:strRef>
          </c:cat>
          <c:val>
            <c:numRef>
              <c:f>'Chart Data'!$B$4:$G$4</c:f>
              <c:numCache>
                <c:formatCode>0</c:formatCode>
                <c:ptCount val="6"/>
                <c:pt idx="0">
                  <c:v>1160</c:v>
                </c:pt>
                <c:pt idx="1">
                  <c:v>24005</c:v>
                </c:pt>
                <c:pt idx="2">
                  <c:v>34785</c:v>
                </c:pt>
                <c:pt idx="3">
                  <c:v>39065</c:v>
                </c:pt>
                <c:pt idx="4">
                  <c:v>39725</c:v>
                </c:pt>
                <c:pt idx="5">
                  <c:v>41170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Data'!$A$5</c:f>
              <c:strCache>
                <c:ptCount val="1"/>
                <c:pt idx="0">
                  <c:v>Current spending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strRef>
              <c:f>'Chart Data'!$B$3:$G$3</c:f>
              <c:strCache>
                <c:ptCount val="6"/>
                <c:pt idx="0">
                  <c:v>2024-2025</c:v>
                </c:pt>
                <c:pt idx="1">
                  <c:v>2025-2026</c:v>
                </c:pt>
                <c:pt idx="2">
                  <c:v>2026-2027</c:v>
                </c:pt>
                <c:pt idx="3">
                  <c:v>2027-2028</c:v>
                </c:pt>
                <c:pt idx="4">
                  <c:v>2028-2029</c:v>
                </c:pt>
                <c:pt idx="5">
                  <c:v>2029-2030</c:v>
                </c:pt>
              </c:strCache>
            </c:strRef>
          </c:cat>
          <c:val>
            <c:numRef>
              <c:f>'Chart Data'!$B$5:$G$5</c:f>
              <c:numCache>
                <c:formatCode>0</c:formatCode>
                <c:ptCount val="6"/>
                <c:pt idx="0">
                  <c:v>-27630</c:v>
                </c:pt>
                <c:pt idx="1">
                  <c:v>-48190</c:v>
                </c:pt>
                <c:pt idx="2">
                  <c:v>-50675</c:v>
                </c:pt>
                <c:pt idx="3">
                  <c:v>-51825</c:v>
                </c:pt>
                <c:pt idx="4">
                  <c:v>-52805</c:v>
                </c:pt>
                <c:pt idx="5">
                  <c:v>-51035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Data'!$A$6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strRef>
              <c:f>'Chart Data'!$B$3:$G$3</c:f>
              <c:strCache>
                <c:ptCount val="6"/>
                <c:pt idx="0">
                  <c:v>2024-2025</c:v>
                </c:pt>
                <c:pt idx="1">
                  <c:v>2025-2026</c:v>
                </c:pt>
                <c:pt idx="2">
                  <c:v>2026-2027</c:v>
                </c:pt>
                <c:pt idx="3">
                  <c:v>2027-2028</c:v>
                </c:pt>
                <c:pt idx="4">
                  <c:v>2028-2029</c:v>
                </c:pt>
                <c:pt idx="5">
                  <c:v>2029-2030</c:v>
                </c:pt>
              </c:strCache>
            </c:strRef>
          </c:cat>
          <c:val>
            <c:numRef>
              <c:f>'Chart Data'!$B$6:$G$6</c:f>
              <c:numCache>
                <c:formatCode>0</c:formatCode>
                <c:ptCount val="6"/>
                <c:pt idx="0">
                  <c:v>1765</c:v>
                </c:pt>
                <c:pt idx="1">
                  <c:v>-15360</c:v>
                </c:pt>
                <c:pt idx="2">
                  <c:v>-19440</c:v>
                </c:pt>
                <c:pt idx="3">
                  <c:v>-23820</c:v>
                </c:pt>
                <c:pt idx="4">
                  <c:v>-25695</c:v>
                </c:pt>
                <c:pt idx="5">
                  <c:v>-23125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3"/>
          <c:order val="3"/>
          <c:tx>
            <c:strRef>
              <c:f>'Chart Data'!$A$7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ysClr val="window" lastClr="FFFFFF"/>
              </a:solidFill>
              <a:ln w="6350"/>
            </c:spPr>
          </c:marker>
          <c:cat>
            <c:strRef>
              <c:f>'Chart Data'!$B$3:$G$3</c:f>
              <c:strCache>
                <c:ptCount val="6"/>
                <c:pt idx="0">
                  <c:v>2024-2025</c:v>
                </c:pt>
                <c:pt idx="1">
                  <c:v>2025-2026</c:v>
                </c:pt>
                <c:pt idx="2">
                  <c:v>2026-2027</c:v>
                </c:pt>
                <c:pt idx="3">
                  <c:v>2027-2028</c:v>
                </c:pt>
                <c:pt idx="4">
                  <c:v>2028-2029</c:v>
                </c:pt>
                <c:pt idx="5">
                  <c:v>2029-2030</c:v>
                </c:pt>
              </c:strCache>
            </c:strRef>
          </c:cat>
          <c:val>
            <c:numRef>
              <c:f>'Chart Data'!$B$7:$G$7</c:f>
              <c:numCache>
                <c:formatCode>0</c:formatCode>
                <c:ptCount val="6"/>
                <c:pt idx="0">
                  <c:v>-24705</c:v>
                </c:pt>
                <c:pt idx="1">
                  <c:v>-39545</c:v>
                </c:pt>
                <c:pt idx="2">
                  <c:v>-35330</c:v>
                </c:pt>
                <c:pt idx="3">
                  <c:v>-36580</c:v>
                </c:pt>
                <c:pt idx="4">
                  <c:v>-38775</c:v>
                </c:pt>
                <c:pt idx="5">
                  <c:v>-32990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noMultiLvlLbl val="0"/>
      </c:cat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  <c:dispUnits>
          <c:builtInUnit val="thousands"/>
        </c:dispUnits>
      </c:valAx>
      <c:spPr>
        <a:noFill/>
      </c:spPr>
    </c:plotArea>
    <c:legend>
      <c:legendPos val="t"/>
      <c:layout>
        <c:manualLayout>
          <c:xMode val="edge"/>
          <c:yMode val="edge"/>
          <c:x val="0.58548120467992348"/>
          <c:y val="1.6012134460529494E-2"/>
          <c:w val="0.32713649776828746"/>
          <c:h val="0.1939669722587792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8437059774307871E-2"/>
          <c:y val="0.14725688325786473"/>
          <c:w val="0.86775485267731378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Data'!$K$3</c:f>
              <c:strCache>
                <c:ptCount val="1"/>
                <c:pt idx="0">
                  <c:v>Public sector net debt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strRef>
              <c:f>'Chart Data'!$J$4:$J$33</c:f>
              <c:strCache>
                <c:ptCount val="3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</c:strCache>
            </c:strRef>
          </c:cat>
          <c:val>
            <c:numRef>
              <c:f>'Chart Data'!$K$4:$K$33</c:f>
              <c:numCache>
                <c:formatCode>0.0</c:formatCode>
                <c:ptCount val="30"/>
                <c:pt idx="0">
                  <c:v>28.3</c:v>
                </c:pt>
                <c:pt idx="1">
                  <c:v>28.1</c:v>
                </c:pt>
                <c:pt idx="2">
                  <c:v>29.8</c:v>
                </c:pt>
                <c:pt idx="3">
                  <c:v>30.9</c:v>
                </c:pt>
                <c:pt idx="4">
                  <c:v>33.5</c:v>
                </c:pt>
                <c:pt idx="5">
                  <c:v>34.299999999999997</c:v>
                </c:pt>
                <c:pt idx="6">
                  <c:v>35.1</c:v>
                </c:pt>
                <c:pt idx="7">
                  <c:v>35.6</c:v>
                </c:pt>
                <c:pt idx="8">
                  <c:v>50.6</c:v>
                </c:pt>
                <c:pt idx="9">
                  <c:v>64.7</c:v>
                </c:pt>
                <c:pt idx="10">
                  <c:v>70.900000000000006</c:v>
                </c:pt>
                <c:pt idx="11">
                  <c:v>74.3</c:v>
                </c:pt>
                <c:pt idx="12">
                  <c:v>77.5</c:v>
                </c:pt>
                <c:pt idx="13">
                  <c:v>79.2</c:v>
                </c:pt>
                <c:pt idx="14">
                  <c:v>81.599999999999994</c:v>
                </c:pt>
                <c:pt idx="15">
                  <c:v>81.3</c:v>
                </c:pt>
                <c:pt idx="16">
                  <c:v>83.5</c:v>
                </c:pt>
                <c:pt idx="17">
                  <c:v>82.3</c:v>
                </c:pt>
                <c:pt idx="18">
                  <c:v>80.3</c:v>
                </c:pt>
                <c:pt idx="19">
                  <c:v>85.2</c:v>
                </c:pt>
                <c:pt idx="20">
                  <c:v>96.5</c:v>
                </c:pt>
                <c:pt idx="21">
                  <c:v>96.6</c:v>
                </c:pt>
                <c:pt idx="22">
                  <c:v>95.7</c:v>
                </c:pt>
                <c:pt idx="23">
                  <c:v>97.810367923129988</c:v>
                </c:pt>
                <c:pt idx="24">
                  <c:v>98.39558667527487</c:v>
                </c:pt>
                <c:pt idx="25">
                  <c:v>96.92174393685228</c:v>
                </c:pt>
                <c:pt idx="26">
                  <c:v>96.966300507515726</c:v>
                </c:pt>
                <c:pt idx="27">
                  <c:v>97.24596903335447</c:v>
                </c:pt>
                <c:pt idx="28">
                  <c:v>97.339931666562251</c:v>
                </c:pt>
                <c:pt idx="29" formatCode="General">
                  <c:v>97.147984898017739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DB-4881-9428-FB391E2FDC24}"/>
            </c:ext>
          </c:extLst>
        </c:ser>
        <c:ser>
          <c:idx val="1"/>
          <c:order val="1"/>
          <c:tx>
            <c:strRef>
              <c:f>'Chart Data'!$L$3</c:f>
              <c:strCache>
                <c:ptCount val="1"/>
                <c:pt idx="0">
                  <c:v>Public sector net debt (ex BoE)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strRef>
              <c:f>'Chart Data'!$J$4:$J$33</c:f>
              <c:strCache>
                <c:ptCount val="3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</c:strCache>
            </c:strRef>
          </c:cat>
          <c:val>
            <c:numRef>
              <c:f>'Chart Data'!$L$4:$L$33</c:f>
              <c:numCache>
                <c:formatCode>0.0</c:formatCode>
                <c:ptCount val="30"/>
                <c:pt idx="0">
                  <c:v>28.4</c:v>
                </c:pt>
                <c:pt idx="1">
                  <c:v>28.2</c:v>
                </c:pt>
                <c:pt idx="2">
                  <c:v>29.9</c:v>
                </c:pt>
                <c:pt idx="3">
                  <c:v>31</c:v>
                </c:pt>
                <c:pt idx="4">
                  <c:v>33.6</c:v>
                </c:pt>
                <c:pt idx="5">
                  <c:v>34.5</c:v>
                </c:pt>
                <c:pt idx="6">
                  <c:v>35.299999999999997</c:v>
                </c:pt>
                <c:pt idx="7">
                  <c:v>35.799999999999997</c:v>
                </c:pt>
                <c:pt idx="8">
                  <c:v>50.6</c:v>
                </c:pt>
                <c:pt idx="9">
                  <c:v>63.9</c:v>
                </c:pt>
                <c:pt idx="10">
                  <c:v>70.599999999999994</c:v>
                </c:pt>
                <c:pt idx="11">
                  <c:v>74.599999999999994</c:v>
                </c:pt>
                <c:pt idx="12">
                  <c:v>76.2</c:v>
                </c:pt>
                <c:pt idx="13">
                  <c:v>77</c:v>
                </c:pt>
                <c:pt idx="14">
                  <c:v>79.2</c:v>
                </c:pt>
                <c:pt idx="15">
                  <c:v>78.900000000000006</c:v>
                </c:pt>
                <c:pt idx="16">
                  <c:v>77.400000000000006</c:v>
                </c:pt>
                <c:pt idx="17">
                  <c:v>73.7</c:v>
                </c:pt>
                <c:pt idx="18">
                  <c:v>72.3</c:v>
                </c:pt>
                <c:pt idx="19">
                  <c:v>77.099999999999994</c:v>
                </c:pt>
                <c:pt idx="20">
                  <c:v>86.5</c:v>
                </c:pt>
                <c:pt idx="21">
                  <c:v>83.2</c:v>
                </c:pt>
                <c:pt idx="22">
                  <c:v>84.8</c:v>
                </c:pt>
                <c:pt idx="23">
                  <c:v>88.853958473360478</c:v>
                </c:pt>
                <c:pt idx="24">
                  <c:v>91.752912815138501</c:v>
                </c:pt>
                <c:pt idx="25">
                  <c:v>93.140493296167065</c:v>
                </c:pt>
                <c:pt idx="26">
                  <c:v>94.384385925608811</c:v>
                </c:pt>
                <c:pt idx="27">
                  <c:v>95.054133757372853</c:v>
                </c:pt>
                <c:pt idx="28">
                  <c:v>95.607594350085449</c:v>
                </c:pt>
                <c:pt idx="29" formatCode="General">
                  <c:v>95.774656046387136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DB-4881-9428-FB391E2FDC24}"/>
            </c:ext>
          </c:extLst>
        </c:ser>
        <c:ser>
          <c:idx val="2"/>
          <c:order val="2"/>
          <c:tx>
            <c:strRef>
              <c:f>'Chart Data'!$M$3</c:f>
              <c:strCache>
                <c:ptCount val="1"/>
                <c:pt idx="0">
                  <c:v>Public sector net financial liabilities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strRef>
              <c:f>'Chart Data'!$J$4:$J$33</c:f>
              <c:strCache>
                <c:ptCount val="3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</c:strCache>
            </c:strRef>
          </c:cat>
          <c:val>
            <c:numRef>
              <c:f>'Chart Data'!$M$4:$M$33</c:f>
              <c:numCache>
                <c:formatCode>0.0</c:formatCode>
                <c:ptCount val="30"/>
                <c:pt idx="0">
                  <c:v>26.955398447204971</c:v>
                </c:pt>
                <c:pt idx="1">
                  <c:v>28.366805505142167</c:v>
                </c:pt>
                <c:pt idx="2">
                  <c:v>31.350052004333701</c:v>
                </c:pt>
                <c:pt idx="3">
                  <c:v>31.244827194066744</c:v>
                </c:pt>
                <c:pt idx="4">
                  <c:v>33.412415925363419</c:v>
                </c:pt>
                <c:pt idx="5">
                  <c:v>32.378334601521821</c:v>
                </c:pt>
                <c:pt idx="6">
                  <c:v>32.440742152466363</c:v>
                </c:pt>
                <c:pt idx="7">
                  <c:v>34.196775035260927</c:v>
                </c:pt>
                <c:pt idx="8">
                  <c:v>47.544202235772353</c:v>
                </c:pt>
                <c:pt idx="9">
                  <c:v>54.597887148555309</c:v>
                </c:pt>
                <c:pt idx="10">
                  <c:v>58.946491742962266</c:v>
                </c:pt>
                <c:pt idx="11">
                  <c:v>65.016918411037111</c:v>
                </c:pt>
                <c:pt idx="12">
                  <c:v>69.724359537403004</c:v>
                </c:pt>
                <c:pt idx="13">
                  <c:v>70.718374375470546</c:v>
                </c:pt>
                <c:pt idx="14">
                  <c:v>72.913428037864634</c:v>
                </c:pt>
                <c:pt idx="15">
                  <c:v>73.981932737388249</c:v>
                </c:pt>
                <c:pt idx="16">
                  <c:v>74.221682188591373</c:v>
                </c:pt>
                <c:pt idx="17">
                  <c:v>70.188463552040062</c:v>
                </c:pt>
                <c:pt idx="18">
                  <c:v>66.982374472395733</c:v>
                </c:pt>
                <c:pt idx="19">
                  <c:v>74.576334545454557</c:v>
                </c:pt>
                <c:pt idx="20">
                  <c:v>83.079863382899632</c:v>
                </c:pt>
                <c:pt idx="21">
                  <c:v>80.629862920498937</c:v>
                </c:pt>
                <c:pt idx="22">
                  <c:v>81.311359589041089</c:v>
                </c:pt>
                <c:pt idx="23">
                  <c:v>82.794795308586217</c:v>
                </c:pt>
                <c:pt idx="24">
                  <c:v>83.544789736520826</c:v>
                </c:pt>
                <c:pt idx="25">
                  <c:v>83.791436212032806</c:v>
                </c:pt>
                <c:pt idx="26">
                  <c:v>84.227751092845665</c:v>
                </c:pt>
                <c:pt idx="27">
                  <c:v>84.100989154685948</c:v>
                </c:pt>
                <c:pt idx="28">
                  <c:v>83.872927049648496</c:v>
                </c:pt>
                <c:pt idx="29" formatCode="General">
                  <c:v>83.417751487533224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DB-4881-9428-FB391E2FDC24}"/>
            </c:ext>
          </c:extLst>
        </c:ser>
        <c:ser>
          <c:idx val="3"/>
          <c:order val="3"/>
          <c:tx>
            <c:strRef>
              <c:f>'Chart Data'!$N$3</c:f>
              <c:strCache>
                <c:ptCount val="1"/>
                <c:pt idx="0">
                  <c:v>Public sector net worth (inverted)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strRef>
              <c:f>'Chart Data'!$J$4:$J$33</c:f>
              <c:strCache>
                <c:ptCount val="3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</c:strCache>
            </c:strRef>
          </c:cat>
          <c:val>
            <c:numRef>
              <c:f>'Chart Data'!$N$4:$N$33</c:f>
              <c:numCache>
                <c:formatCode>0.0</c:formatCode>
                <c:ptCount val="30"/>
                <c:pt idx="0">
                  <c:v>32.436370186335402</c:v>
                </c:pt>
                <c:pt idx="1">
                  <c:v>34.148469751966125</c:v>
                </c:pt>
                <c:pt idx="2">
                  <c:v>36.652789274106183</c:v>
                </c:pt>
                <c:pt idx="3">
                  <c:v>37.45461953028429</c:v>
                </c:pt>
                <c:pt idx="4">
                  <c:v>37.390259275330877</c:v>
                </c:pt>
                <c:pt idx="5">
                  <c:v>34.9423866639968</c:v>
                </c:pt>
                <c:pt idx="6">
                  <c:v>35.127872757847527</c:v>
                </c:pt>
                <c:pt idx="7">
                  <c:v>37.427136107193228</c:v>
                </c:pt>
                <c:pt idx="8">
                  <c:v>46.938699186991869</c:v>
                </c:pt>
                <c:pt idx="9">
                  <c:v>54.072179978597134</c:v>
                </c:pt>
                <c:pt idx="10">
                  <c:v>49.558414477624709</c:v>
                </c:pt>
                <c:pt idx="11">
                  <c:v>54.680428718680631</c:v>
                </c:pt>
                <c:pt idx="12">
                  <c:v>58.751602986385592</c:v>
                </c:pt>
                <c:pt idx="13">
                  <c:v>56.32696844842927</c:v>
                </c:pt>
                <c:pt idx="14">
                  <c:v>53.457799987120858</c:v>
                </c:pt>
                <c:pt idx="15">
                  <c:v>51.95063393136212</c:v>
                </c:pt>
                <c:pt idx="16">
                  <c:v>61.429268335273562</c:v>
                </c:pt>
                <c:pt idx="17">
                  <c:v>63.049302680248104</c:v>
                </c:pt>
                <c:pt idx="18">
                  <c:v>58.905420957847923</c:v>
                </c:pt>
                <c:pt idx="19">
                  <c:v>67.191348760330584</c:v>
                </c:pt>
                <c:pt idx="20">
                  <c:v>73.560622676579925</c:v>
                </c:pt>
                <c:pt idx="21">
                  <c:v>67.135032379992452</c:v>
                </c:pt>
                <c:pt idx="22">
                  <c:v>69.332773972602737</c:v>
                </c:pt>
                <c:pt idx="23">
                  <c:v>69.878036960248934</c:v>
                </c:pt>
                <c:pt idx="24">
                  <c:v>69.572316302535853</c:v>
                </c:pt>
                <c:pt idx="25">
                  <c:v>69.261947954335284</c:v>
                </c:pt>
                <c:pt idx="26">
                  <c:v>69.189136625057131</c:v>
                </c:pt>
                <c:pt idx="27">
                  <c:v>68.709183513082991</c:v>
                </c:pt>
                <c:pt idx="28">
                  <c:v>68.37793650625656</c:v>
                </c:pt>
                <c:pt idx="29" formatCode="General">
                  <c:v>67.888123215257707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DB-4881-9428-FB391E2FD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noMultiLvlLbl val="0"/>
      </c:catAx>
      <c:valAx>
        <c:axId val="263608576"/>
        <c:scaling>
          <c:orientation val="minMax"/>
          <c:max val="1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6874920295979943E-2"/>
          <c:y val="0.66001591160878259"/>
          <c:w val="0.4675713332443614"/>
          <c:h val="0.2026856416319065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5490853410142005E-2"/>
          <c:y val="0.13319127909345868"/>
          <c:w val="0.93450914658985795"/>
          <c:h val="0.766606281746096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Data'!$P$3</c:f>
              <c:strCache>
                <c:ptCount val="1"/>
                <c:pt idx="0">
                  <c:v>Public sector net debt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Data'!$I$28:$I$33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'Chart Data'!$P$28:$P$33</c:f>
              <c:numCache>
                <c:formatCode>0.0</c:formatCode>
                <c:ptCount val="6"/>
                <c:pt idx="0">
                  <c:v>0.58521875214488261</c:v>
                </c:pt>
                <c:pt idx="1">
                  <c:v>-1.4738427384225901</c:v>
                </c:pt>
                <c:pt idx="2">
                  <c:v>4.4556570663445427E-2</c:v>
                </c:pt>
                <c:pt idx="3">
                  <c:v>0.27966852583874413</c:v>
                </c:pt>
                <c:pt idx="4">
                  <c:v>9.3962633207780755E-2</c:v>
                </c:pt>
                <c:pt idx="5">
                  <c:v>-0.19194676854451131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0-4658-810D-BD6A6C574BC1}"/>
            </c:ext>
          </c:extLst>
        </c:ser>
        <c:ser>
          <c:idx val="1"/>
          <c:order val="1"/>
          <c:tx>
            <c:strRef>
              <c:f>'Chart Data'!$Q$3</c:f>
              <c:strCache>
                <c:ptCount val="1"/>
                <c:pt idx="0">
                  <c:v>Public sector net debt (ex BoE)</c:v>
                </c:pt>
              </c:strCache>
            </c:strRef>
          </c:tx>
          <c:spPr>
            <a:solidFill>
              <a:srgbClr val="002060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Data'!$I$28:$I$33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'Chart Data'!$Q$28:$Q$33</c:f>
              <c:numCache>
                <c:formatCode>0.0</c:formatCode>
                <c:ptCount val="6"/>
                <c:pt idx="0">
                  <c:v>2.8989543417780226</c:v>
                </c:pt>
                <c:pt idx="1">
                  <c:v>1.3875804810285643</c:v>
                </c:pt>
                <c:pt idx="2">
                  <c:v>1.2438926294417456</c:v>
                </c:pt>
                <c:pt idx="3">
                  <c:v>0.66974783176404173</c:v>
                </c:pt>
                <c:pt idx="4">
                  <c:v>0.55346059271259662</c:v>
                </c:pt>
                <c:pt idx="5">
                  <c:v>0.16706169630168688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B0-4658-810D-BD6A6C574BC1}"/>
            </c:ext>
          </c:extLst>
        </c:ser>
        <c:ser>
          <c:idx val="2"/>
          <c:order val="2"/>
          <c:tx>
            <c:strRef>
              <c:f>'Chart Data'!$R$3</c:f>
              <c:strCache>
                <c:ptCount val="1"/>
                <c:pt idx="0">
                  <c:v>Public sector net financial liabilities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Data'!$I$28:$I$33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'Chart Data'!$R$28:$R$33</c:f>
              <c:numCache>
                <c:formatCode>0.0</c:formatCode>
                <c:ptCount val="6"/>
                <c:pt idx="0">
                  <c:v>0.74999442793460958</c:v>
                </c:pt>
                <c:pt idx="1">
                  <c:v>0.24664647551198016</c:v>
                </c:pt>
                <c:pt idx="2">
                  <c:v>0.43631488081285852</c:v>
                </c:pt>
                <c:pt idx="3">
                  <c:v>-0.12676193815971715</c:v>
                </c:pt>
                <c:pt idx="4">
                  <c:v>-0.22806210503745206</c:v>
                </c:pt>
                <c:pt idx="5">
                  <c:v>-0.45517556211527221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B0-4658-810D-BD6A6C574BC1}"/>
            </c:ext>
          </c:extLst>
        </c:ser>
        <c:ser>
          <c:idx val="3"/>
          <c:order val="3"/>
          <c:tx>
            <c:strRef>
              <c:f>'Chart Data'!$S$3</c:f>
              <c:strCache>
                <c:ptCount val="1"/>
                <c:pt idx="0">
                  <c:v>Public sector net worth (inverted)</c:v>
                </c:pt>
              </c:strCache>
            </c:strRef>
          </c:tx>
          <c:spPr>
            <a:solidFill>
              <a:srgbClr val="7B7C77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Data'!$I$28:$I$33</c:f>
              <c:strCache>
                <c:ptCount val="6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</c:strCache>
            </c:strRef>
          </c:cat>
          <c:val>
            <c:numRef>
              <c:f>'Chart Data'!$S$28:$S$33</c:f>
              <c:numCache>
                <c:formatCode>0.0</c:formatCode>
                <c:ptCount val="6"/>
                <c:pt idx="0">
                  <c:v>-0.30572065771308132</c:v>
                </c:pt>
                <c:pt idx="1">
                  <c:v>-0.31036834820056924</c:v>
                </c:pt>
                <c:pt idx="2">
                  <c:v>-7.2811329278152925E-2</c:v>
                </c:pt>
                <c:pt idx="3">
                  <c:v>-0.47995311197414026</c:v>
                </c:pt>
                <c:pt idx="4">
                  <c:v>-0.33124700682643038</c:v>
                </c:pt>
                <c:pt idx="5">
                  <c:v>-0.48981329099885329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B0-4658-810D-BD6A6C574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7437755558376153E-2"/>
          <c:y val="0.14714391023940784"/>
          <c:w val="0.93256224444162383"/>
          <c:h val="0.667452572604914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Data'!$U$4</c:f>
              <c:strCache>
                <c:ptCount val="1"/>
                <c:pt idx="0">
                  <c:v>2029-2030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>
                  <a:lumMod val="100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aseline="0">
                    <a:solidFill>
                      <a:srgbClr val="495057"/>
                    </a:solidFill>
                    <a:latin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Data'!$V$2:$Y$2</c:f>
              <c:strCache>
                <c:ptCount val="4"/>
                <c:pt idx="0">
                  <c:v>Public sector net debt</c:v>
                </c:pt>
                <c:pt idx="1">
                  <c:v>Public sector net debt (ex BoE)</c:v>
                </c:pt>
                <c:pt idx="2">
                  <c:v>Public sector net financial liabilities</c:v>
                </c:pt>
                <c:pt idx="3">
                  <c:v>Public sector net worth</c:v>
                </c:pt>
              </c:strCache>
            </c:strRef>
          </c:cat>
          <c:val>
            <c:numRef>
              <c:f>'Chart Data'!$V$4:$Y$4</c:f>
              <c:numCache>
                <c:formatCode>0.0</c:formatCode>
                <c:ptCount val="4"/>
                <c:pt idx="0">
                  <c:v>6.6405827082688376</c:v>
                </c:pt>
                <c:pt idx="1">
                  <c:v>-5.7796597467478676</c:v>
                </c:pt>
                <c:pt idx="2">
                  <c:v>15.747235496221936</c:v>
                </c:pt>
                <c:pt idx="3">
                  <c:v>16.945560975844028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8726629790737204E-2"/>
          <c:y val="0.14714391023940784"/>
          <c:w val="0.86294858761552395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Data'!$AC$3</c:f>
              <c:strCache>
                <c:ptCount val="1"/>
                <c:pt idx="0">
                  <c:v>Budget (Oct24)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strRef>
              <c:f>'Chart Data'!$AA$4:$AA$33</c:f>
              <c:strCache>
                <c:ptCount val="30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2018-19</c:v>
                </c:pt>
                <c:pt idx="19">
                  <c:v>2019-20</c:v>
                </c:pt>
                <c:pt idx="20">
                  <c:v>2020-21</c:v>
                </c:pt>
                <c:pt idx="21">
                  <c:v>2021-22</c:v>
                </c:pt>
                <c:pt idx="22">
                  <c:v>2022-23</c:v>
                </c:pt>
                <c:pt idx="23">
                  <c:v>2023-24</c:v>
                </c:pt>
                <c:pt idx="24">
                  <c:v>2024-25</c:v>
                </c:pt>
                <c:pt idx="25">
                  <c:v>2025-26</c:v>
                </c:pt>
                <c:pt idx="26">
                  <c:v>2026-27</c:v>
                </c:pt>
                <c:pt idx="27">
                  <c:v>2027-28</c:v>
                </c:pt>
                <c:pt idx="28">
                  <c:v>2028-29</c:v>
                </c:pt>
                <c:pt idx="29">
                  <c:v>2029-30</c:v>
                </c:pt>
              </c:strCache>
            </c:strRef>
          </c:cat>
          <c:val>
            <c:numRef>
              <c:f>'Chart Data'!$AC$4:$AC$33</c:f>
              <c:numCache>
                <c:formatCode>0.0</c:formatCode>
                <c:ptCount val="30"/>
                <c:pt idx="0">
                  <c:v>0.40470502108754497</c:v>
                </c:pt>
                <c:pt idx="1">
                  <c:v>1.0969633700491945</c:v>
                </c:pt>
                <c:pt idx="2">
                  <c:v>1.4448275405670117</c:v>
                </c:pt>
                <c:pt idx="3">
                  <c:v>1.6922036050576732</c:v>
                </c:pt>
                <c:pt idx="4">
                  <c:v>2.0459664434680698</c:v>
                </c:pt>
                <c:pt idx="5">
                  <c:v>1.8521351619446187</c:v>
                </c:pt>
                <c:pt idx="6">
                  <c:v>1.8163774049540622</c:v>
                </c:pt>
                <c:pt idx="7">
                  <c:v>1.792477050392701</c:v>
                </c:pt>
                <c:pt idx="8">
                  <c:v>3.0053462490658434</c:v>
                </c:pt>
                <c:pt idx="9">
                  <c:v>3.0029003974238098</c:v>
                </c:pt>
                <c:pt idx="10">
                  <c:v>2.444614678622921</c:v>
                </c:pt>
                <c:pt idx="11">
                  <c:v>1.8421102959281492</c:v>
                </c:pt>
                <c:pt idx="12">
                  <c:v>1.8798624502199279</c:v>
                </c:pt>
                <c:pt idx="13">
                  <c:v>1.4526682606620382</c:v>
                </c:pt>
                <c:pt idx="14">
                  <c:v>1.9291310032398354</c:v>
                </c:pt>
                <c:pt idx="15">
                  <c:v>1.6691682625122926</c:v>
                </c:pt>
                <c:pt idx="16">
                  <c:v>1.8101862083179174</c:v>
                </c:pt>
                <c:pt idx="17">
                  <c:v>2.2089204920126089</c:v>
                </c:pt>
                <c:pt idx="18">
                  <c:v>2.1001280319017037</c:v>
                </c:pt>
                <c:pt idx="19">
                  <c:v>1.8937326604615976</c:v>
                </c:pt>
                <c:pt idx="20">
                  <c:v>3.4413002066103813</c:v>
                </c:pt>
                <c:pt idx="21">
                  <c:v>2.2556225443706817</c:v>
                </c:pt>
                <c:pt idx="22">
                  <c:v>1.7994299820660153</c:v>
                </c:pt>
                <c:pt idx="23">
                  <c:v>2.556545816006635</c:v>
                </c:pt>
                <c:pt idx="24">
                  <c:v>2.5585173595950574</c:v>
                </c:pt>
                <c:pt idx="25">
                  <c:v>2.6919810578913785</c:v>
                </c:pt>
                <c:pt idx="26">
                  <c:v>2.7207401631879549</c:v>
                </c:pt>
                <c:pt idx="27">
                  <c:v>2.6234059101241507</c:v>
                </c:pt>
                <c:pt idx="28">
                  <c:v>2.4777517645841698</c:v>
                </c:pt>
                <c:pt idx="29">
                  <c:v>2.3699286579271828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Data'!$AD$3</c:f>
              <c:strCache>
                <c:ptCount val="1"/>
                <c:pt idx="0">
                  <c:v>Budget (Mar24)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strRef>
              <c:f>'Chart Data'!$AA$4:$AA$33</c:f>
              <c:strCache>
                <c:ptCount val="30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2018-19</c:v>
                </c:pt>
                <c:pt idx="19">
                  <c:v>2019-20</c:v>
                </c:pt>
                <c:pt idx="20">
                  <c:v>2020-21</c:v>
                </c:pt>
                <c:pt idx="21">
                  <c:v>2021-22</c:v>
                </c:pt>
                <c:pt idx="22">
                  <c:v>2022-23</c:v>
                </c:pt>
                <c:pt idx="23">
                  <c:v>2023-24</c:v>
                </c:pt>
                <c:pt idx="24">
                  <c:v>2024-25</c:v>
                </c:pt>
                <c:pt idx="25">
                  <c:v>2025-26</c:v>
                </c:pt>
                <c:pt idx="26">
                  <c:v>2026-27</c:v>
                </c:pt>
                <c:pt idx="27">
                  <c:v>2027-28</c:v>
                </c:pt>
                <c:pt idx="28">
                  <c:v>2028-29</c:v>
                </c:pt>
                <c:pt idx="29">
                  <c:v>2029-30</c:v>
                </c:pt>
              </c:strCache>
            </c:strRef>
          </c:cat>
          <c:val>
            <c:numRef>
              <c:f>'Chart Data'!$AD$4:$AD$33</c:f>
              <c:numCache>
                <c:formatCode>0.0</c:formatCode>
                <c:ptCount val="30"/>
                <c:pt idx="0">
                  <c:v>0.40470502108754497</c:v>
                </c:pt>
                <c:pt idx="1">
                  <c:v>1.0969633700491945</c:v>
                </c:pt>
                <c:pt idx="2">
                  <c:v>1.4448275405670117</c:v>
                </c:pt>
                <c:pt idx="3">
                  <c:v>1.6922036050576732</c:v>
                </c:pt>
                <c:pt idx="4">
                  <c:v>2.0459664434680698</c:v>
                </c:pt>
                <c:pt idx="5">
                  <c:v>1.8521351619446187</c:v>
                </c:pt>
                <c:pt idx="6">
                  <c:v>1.8163774049540622</c:v>
                </c:pt>
                <c:pt idx="7">
                  <c:v>1.792477050392701</c:v>
                </c:pt>
                <c:pt idx="8">
                  <c:v>3.0053462490658434</c:v>
                </c:pt>
                <c:pt idx="9">
                  <c:v>3.0029003974238098</c:v>
                </c:pt>
                <c:pt idx="10">
                  <c:v>2.444614678622921</c:v>
                </c:pt>
                <c:pt idx="11">
                  <c:v>1.8421102959281492</c:v>
                </c:pt>
                <c:pt idx="12">
                  <c:v>1.8798624502199279</c:v>
                </c:pt>
                <c:pt idx="13">
                  <c:v>1.4526682606620382</c:v>
                </c:pt>
                <c:pt idx="14">
                  <c:v>1.9291310032398354</c:v>
                </c:pt>
                <c:pt idx="15">
                  <c:v>1.6691682625122926</c:v>
                </c:pt>
                <c:pt idx="16">
                  <c:v>1.8101862083179174</c:v>
                </c:pt>
                <c:pt idx="17">
                  <c:v>2.2089204920126089</c:v>
                </c:pt>
                <c:pt idx="18">
                  <c:v>2.1001280319017037</c:v>
                </c:pt>
                <c:pt idx="19">
                  <c:v>1.8960048723351073</c:v>
                </c:pt>
                <c:pt idx="20">
                  <c:v>3.4519952193772534</c:v>
                </c:pt>
                <c:pt idx="21">
                  <c:v>2.3021101476764665</c:v>
                </c:pt>
                <c:pt idx="22">
                  <c:v>1.7982158446499423</c:v>
                </c:pt>
                <c:pt idx="23">
                  <c:v>2.6051806584047479</c:v>
                </c:pt>
                <c:pt idx="24">
                  <c:v>2.3896524150155525</c:v>
                </c:pt>
                <c:pt idx="25">
                  <c:v>2.1199635329498867</c:v>
                </c:pt>
                <c:pt idx="26">
                  <c:v>1.9804927853407679</c:v>
                </c:pt>
                <c:pt idx="27">
                  <c:v>1.8204392784787071</c:v>
                </c:pt>
                <c:pt idx="28">
                  <c:v>1.6542068330308228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Data'!$AE$3</c:f>
              <c:strCache>
                <c:ptCount val="1"/>
                <c:pt idx="0">
                  <c:v>UK average (2004-2023)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strRef>
              <c:f>'Chart Data'!$AA$4:$AA$33</c:f>
              <c:strCache>
                <c:ptCount val="30"/>
                <c:pt idx="0">
                  <c:v>2000-01</c:v>
                </c:pt>
                <c:pt idx="1">
                  <c:v>2001-02</c:v>
                </c:pt>
                <c:pt idx="2">
                  <c:v>2002-03</c:v>
                </c:pt>
                <c:pt idx="3">
                  <c:v>2003-04</c:v>
                </c:pt>
                <c:pt idx="4">
                  <c:v>2004-05</c:v>
                </c:pt>
                <c:pt idx="5">
                  <c:v>2005-06</c:v>
                </c:pt>
                <c:pt idx="6">
                  <c:v>2006-07</c:v>
                </c:pt>
                <c:pt idx="7">
                  <c:v>2007-08</c:v>
                </c:pt>
                <c:pt idx="8">
                  <c:v>2008-09</c:v>
                </c:pt>
                <c:pt idx="9">
                  <c:v>2009-10</c:v>
                </c:pt>
                <c:pt idx="10">
                  <c:v>2010-11</c:v>
                </c:pt>
                <c:pt idx="11">
                  <c:v>2011-12</c:v>
                </c:pt>
                <c:pt idx="12">
                  <c:v>2012-13</c:v>
                </c:pt>
                <c:pt idx="13">
                  <c:v>2013-14</c:v>
                </c:pt>
                <c:pt idx="14">
                  <c:v>2014-15</c:v>
                </c:pt>
                <c:pt idx="15">
                  <c:v>2015-16</c:v>
                </c:pt>
                <c:pt idx="16">
                  <c:v>2016-17</c:v>
                </c:pt>
                <c:pt idx="17">
                  <c:v>2017-18</c:v>
                </c:pt>
                <c:pt idx="18">
                  <c:v>2018-19</c:v>
                </c:pt>
                <c:pt idx="19">
                  <c:v>2019-20</c:v>
                </c:pt>
                <c:pt idx="20">
                  <c:v>2020-21</c:v>
                </c:pt>
                <c:pt idx="21">
                  <c:v>2021-22</c:v>
                </c:pt>
                <c:pt idx="22">
                  <c:v>2022-23</c:v>
                </c:pt>
                <c:pt idx="23">
                  <c:v>2023-24</c:v>
                </c:pt>
                <c:pt idx="24">
                  <c:v>2024-25</c:v>
                </c:pt>
                <c:pt idx="25">
                  <c:v>2025-26</c:v>
                </c:pt>
                <c:pt idx="26">
                  <c:v>2026-27</c:v>
                </c:pt>
                <c:pt idx="27">
                  <c:v>2027-28</c:v>
                </c:pt>
                <c:pt idx="28">
                  <c:v>2028-29</c:v>
                </c:pt>
                <c:pt idx="29">
                  <c:v>2029-30</c:v>
                </c:pt>
              </c:strCache>
            </c:strRef>
          </c:cat>
          <c:val>
            <c:numRef>
              <c:f>'Chart Data'!$AE$4:$AE$33</c:f>
              <c:numCache>
                <c:formatCode>0.0</c:formatCode>
                <c:ptCount val="30"/>
                <c:pt idx="0">
                  <c:v>2.1452749566555007</c:v>
                </c:pt>
                <c:pt idx="1">
                  <c:v>2.1452749566555007</c:v>
                </c:pt>
                <c:pt idx="2">
                  <c:v>2.1452749566555007</c:v>
                </c:pt>
                <c:pt idx="3">
                  <c:v>2.1452749566555007</c:v>
                </c:pt>
                <c:pt idx="4">
                  <c:v>2.1452749566555007</c:v>
                </c:pt>
                <c:pt idx="5">
                  <c:v>2.1452749566555007</c:v>
                </c:pt>
                <c:pt idx="6">
                  <c:v>2.1452749566555007</c:v>
                </c:pt>
                <c:pt idx="7">
                  <c:v>2.1452749566555007</c:v>
                </c:pt>
                <c:pt idx="8">
                  <c:v>2.1452749566555007</c:v>
                </c:pt>
                <c:pt idx="9">
                  <c:v>2.1452749566555007</c:v>
                </c:pt>
                <c:pt idx="10">
                  <c:v>2.1452749566555007</c:v>
                </c:pt>
                <c:pt idx="11">
                  <c:v>2.1452749566555007</c:v>
                </c:pt>
                <c:pt idx="12">
                  <c:v>2.1452749566555007</c:v>
                </c:pt>
                <c:pt idx="13">
                  <c:v>2.1452749566555007</c:v>
                </c:pt>
                <c:pt idx="14">
                  <c:v>2.1452749566555007</c:v>
                </c:pt>
                <c:pt idx="15">
                  <c:v>2.1452749566555007</c:v>
                </c:pt>
                <c:pt idx="16">
                  <c:v>2.1452749566555007</c:v>
                </c:pt>
                <c:pt idx="17">
                  <c:v>2.1452749566555007</c:v>
                </c:pt>
                <c:pt idx="18">
                  <c:v>2.1452749566555007</c:v>
                </c:pt>
                <c:pt idx="19">
                  <c:v>2.1452749566555007</c:v>
                </c:pt>
                <c:pt idx="20">
                  <c:v>2.1452749566555007</c:v>
                </c:pt>
                <c:pt idx="21">
                  <c:v>2.1452749566555007</c:v>
                </c:pt>
                <c:pt idx="22">
                  <c:v>2.1452749566555007</c:v>
                </c:pt>
                <c:pt idx="23">
                  <c:v>2.1452749566555007</c:v>
                </c:pt>
                <c:pt idx="24">
                  <c:v>2.1452749566555007</c:v>
                </c:pt>
                <c:pt idx="25">
                  <c:v>2.1452749566555007</c:v>
                </c:pt>
                <c:pt idx="26">
                  <c:v>2.1452749566555007</c:v>
                </c:pt>
                <c:pt idx="27">
                  <c:v>2.1452749566555007</c:v>
                </c:pt>
                <c:pt idx="28">
                  <c:v>2.1452749566555007</c:v>
                </c:pt>
                <c:pt idx="29">
                  <c:v>2.1452749566555007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5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3755140823267182"/>
          <c:y val="8.399208120641688E-2"/>
          <c:w val="0.41942273314456463"/>
          <c:h val="0.17117266111257476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55026610694829"/>
          <c:w val="1"/>
          <c:h val="0.807689604451119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Data'!$AJ$3</c:f>
              <c:strCache>
                <c:ptCount val="1"/>
                <c:pt idx="0">
                  <c:v>Budget (Oct24)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Data'!$AH$14:$AH$33</c:f>
              <c:strCache>
                <c:ptCount val="20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  <c:pt idx="12">
                  <c:v>2022-23</c:v>
                </c:pt>
                <c:pt idx="13">
                  <c:v>2023-24</c:v>
                </c:pt>
                <c:pt idx="14">
                  <c:v>2024-25</c:v>
                </c:pt>
                <c:pt idx="15">
                  <c:v>2025-26</c:v>
                </c:pt>
                <c:pt idx="16">
                  <c:v>2026-27</c:v>
                </c:pt>
                <c:pt idx="17">
                  <c:v>2027-28</c:v>
                </c:pt>
                <c:pt idx="18">
                  <c:v>2028-29</c:v>
                </c:pt>
                <c:pt idx="19">
                  <c:v>2029-30</c:v>
                </c:pt>
              </c:strCache>
            </c:strRef>
          </c:cat>
          <c:val>
            <c:numRef>
              <c:f>'Chart Data'!$AJ$14:$AJ$33</c:f>
              <c:numCache>
                <c:formatCode>0.0</c:formatCode>
                <c:ptCount val="20"/>
                <c:pt idx="0">
                  <c:v>-2.2415984872085231</c:v>
                </c:pt>
                <c:pt idx="1">
                  <c:v>-1.4113886926947146</c:v>
                </c:pt>
                <c:pt idx="2">
                  <c:v>0.44780764910407056</c:v>
                </c:pt>
                <c:pt idx="3">
                  <c:v>-0.91274836753034538</c:v>
                </c:pt>
                <c:pt idx="4">
                  <c:v>0.36659488476959057</c:v>
                </c:pt>
                <c:pt idx="5">
                  <c:v>-0.50198667639895156</c:v>
                </c:pt>
                <c:pt idx="6">
                  <c:v>-1.4760004908741737</c:v>
                </c:pt>
                <c:pt idx="7">
                  <c:v>8.0590287086505841E-2</c:v>
                </c:pt>
                <c:pt idx="8">
                  <c:v>-0.22729184429573124</c:v>
                </c:pt>
                <c:pt idx="9">
                  <c:v>1.0124526656389075</c:v>
                </c:pt>
                <c:pt idx="10">
                  <c:v>12.342741415791069</c:v>
                </c:pt>
                <c:pt idx="11">
                  <c:v>-10.050777691590488</c:v>
                </c:pt>
                <c:pt idx="12">
                  <c:v>-2.0594821789399074</c:v>
                </c:pt>
                <c:pt idx="13">
                  <c:v>-0.20463318652677676</c:v>
                </c:pt>
                <c:pt idx="14">
                  <c:v>-0.18733024942661558</c:v>
                </c:pt>
                <c:pt idx="15">
                  <c:v>-0.76306603711390997</c:v>
                </c:pt>
                <c:pt idx="16">
                  <c:v>-0.52998375087141847</c:v>
                </c:pt>
                <c:pt idx="17">
                  <c:v>-0.69853766554748176</c:v>
                </c:pt>
                <c:pt idx="18">
                  <c:v>-0.21076074187798249</c:v>
                </c:pt>
                <c:pt idx="19">
                  <c:v>-0.18679437915301866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ser>
          <c:idx val="1"/>
          <c:order val="1"/>
          <c:tx>
            <c:strRef>
              <c:f>'Chart Data'!$AK$3</c:f>
              <c:strCache>
                <c:ptCount val="1"/>
                <c:pt idx="0">
                  <c:v>Budget (Mar24)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Data'!$AH$14:$AH$33</c:f>
              <c:strCache>
                <c:ptCount val="20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  <c:pt idx="12">
                  <c:v>2022-23</c:v>
                </c:pt>
                <c:pt idx="13">
                  <c:v>2023-24</c:v>
                </c:pt>
                <c:pt idx="14">
                  <c:v>2024-25</c:v>
                </c:pt>
                <c:pt idx="15">
                  <c:v>2025-26</c:v>
                </c:pt>
                <c:pt idx="16">
                  <c:v>2026-27</c:v>
                </c:pt>
                <c:pt idx="17">
                  <c:v>2027-28</c:v>
                </c:pt>
                <c:pt idx="18">
                  <c:v>2028-29</c:v>
                </c:pt>
                <c:pt idx="19">
                  <c:v>2029-30</c:v>
                </c:pt>
              </c:strCache>
            </c:strRef>
          </c:cat>
          <c:val>
            <c:numRef>
              <c:f>'Chart Data'!$AK$14:$AK$33</c:f>
              <c:numCache>
                <c:formatCode>0.0</c:formatCode>
                <c:ptCount val="20"/>
                <c:pt idx="14">
                  <c:v>-1.1415502689758883</c:v>
                </c:pt>
                <c:pt idx="15">
                  <c:v>-0.5731333315660625</c:v>
                </c:pt>
                <c:pt idx="16">
                  <c:v>-0.37859779873783472</c:v>
                </c:pt>
                <c:pt idx="17">
                  <c:v>-0.60360284454644331</c:v>
                </c:pt>
                <c:pt idx="18">
                  <c:v>-0.43227168989716058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6-4E4B-91F4-0D9ED376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3"/>
        <c:noMultiLvlLbl val="0"/>
      </c:catAx>
      <c:valAx>
        <c:axId val="274950400"/>
        <c:scaling>
          <c:orientation val="minMax"/>
          <c:max val="2"/>
          <c:min val="-2"/>
        </c:scaling>
        <c:delete val="0"/>
        <c:axPos val="l"/>
        <c:numFmt formatCode="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4714533295292651"/>
          <c:y val="7.2669324532906476E-2"/>
          <c:w val="0.55441674861537327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F145B14-54DF-4ADE-8DAE-91921CFED93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FA607A0-C768-4FF8-8490-15DBF132313E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7046514-2112-4090-8ACF-34BE462A423E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1E5ABB-B22F-4A19-8DA5-C0A82978EA6E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7D47CE0-4ADB-4257-96CB-BD56E7D55234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DDBCA-BDFF-DDCC-9377-D82BB16558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20116E7-AF7E-20CA-5C69-0F20335C420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Budget policy decisions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9728E57-89F9-1DBB-D940-70D799366FD6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HM Treasury</a:t>
          </a:r>
        </a:p>
      </cdr:txBody>
    </cdr:sp>
  </cdr:relSizeAnchor>
  <cdr:relSizeAnchor xmlns:cdr="http://schemas.openxmlformats.org/drawingml/2006/chartDrawing">
    <cdr:from>
      <cdr:x>0.08734</cdr:x>
      <cdr:y>0.13479</cdr:y>
    </cdr:from>
    <cdr:to>
      <cdr:x>0.23799</cdr:x>
      <cdr:y>0.25212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129747B-A4E3-F7EE-D3B3-E9B977600DE8}"/>
            </a:ext>
          </a:extLst>
        </cdr:cNvPr>
        <cdr:cNvSpPr txBox="1"/>
      </cdr:nvSpPr>
      <cdr:spPr>
        <a:xfrm xmlns:a="http://schemas.openxmlformats.org/drawingml/2006/main">
          <a:off x="736225" y="906432"/>
          <a:ext cx="1269933" cy="7890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Tighter policy</a:t>
          </a:r>
        </a:p>
      </cdr:txBody>
    </cdr:sp>
  </cdr:relSizeAnchor>
  <cdr:relSizeAnchor xmlns:cdr="http://schemas.openxmlformats.org/drawingml/2006/chartDrawing">
    <cdr:from>
      <cdr:x>0</cdr:x>
      <cdr:y>0.07548</cdr:y>
    </cdr:from>
    <cdr:to>
      <cdr:x>0.08541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F13F012-E7B0-0D77-6A71-EC4CA0D7A359}"/>
            </a:ext>
          </a:extLst>
        </cdr:cNvPr>
        <cdr:cNvSpPr txBox="1"/>
      </cdr:nvSpPr>
      <cdr:spPr>
        <a:xfrm xmlns:a="http://schemas.openxmlformats.org/drawingml/2006/main">
          <a:off x="0" y="507610"/>
          <a:ext cx="7200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</a:t>
          </a:r>
        </a:p>
      </cdr:txBody>
    </cdr:sp>
  </cdr:relSizeAnchor>
  <cdr:relSizeAnchor xmlns:cdr="http://schemas.openxmlformats.org/drawingml/2006/chartDrawing">
    <cdr:from>
      <cdr:x>0.07947</cdr:x>
      <cdr:y>0.76676</cdr:y>
    </cdr:from>
    <cdr:to>
      <cdr:x>0.23012</cdr:x>
      <cdr:y>0.88409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1DB56756-7877-CFC9-5940-D6464B818F7C}"/>
            </a:ext>
          </a:extLst>
        </cdr:cNvPr>
        <cdr:cNvSpPr txBox="1"/>
      </cdr:nvSpPr>
      <cdr:spPr>
        <a:xfrm xmlns:a="http://schemas.openxmlformats.org/drawingml/2006/main">
          <a:off x="669925" y="5156200"/>
          <a:ext cx="1269933" cy="7890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Looser policy</a:t>
          </a:r>
        </a:p>
      </cdr:txBody>
    </cdr:sp>
  </cdr:relSizeAnchor>
  <cdr:relSizeAnchor xmlns:cdr="http://schemas.openxmlformats.org/drawingml/2006/chartDrawing">
    <cdr:from>
      <cdr:x>0.10282</cdr:x>
      <cdr:y>0.14873</cdr:y>
    </cdr:from>
    <cdr:to>
      <cdr:x>0.10282</cdr:x>
      <cdr:y>0.22903</cdr:y>
    </cdr:to>
    <cdr:cxnSp macro="">
      <cdr:nvCxnSpPr>
        <cdr:cNvPr id="9" name="Straight Arrow Connector 8">
          <a:extLst xmlns:a="http://schemas.openxmlformats.org/drawingml/2006/main">
            <a:ext uri="{FF2B5EF4-FFF2-40B4-BE49-F238E27FC236}">
              <a16:creationId xmlns:a16="http://schemas.microsoft.com/office/drawing/2014/main" id="{45338E0A-9823-2441-377A-6F80C9A3DF3D}"/>
            </a:ext>
          </a:extLst>
        </cdr:cNvPr>
        <cdr:cNvCxnSpPr/>
      </cdr:nvCxnSpPr>
      <cdr:spPr>
        <a:xfrm xmlns:a="http://schemas.openxmlformats.org/drawingml/2006/main" flipV="1">
          <a:off x="866775" y="1000124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0.10056</cdr:x>
      <cdr:y>0.78049</cdr:y>
    </cdr:from>
    <cdr:to>
      <cdr:x>0.10056</cdr:x>
      <cdr:y>0.86079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EB07700E-94AC-624E-EC58-9784AD3A60A0}"/>
            </a:ext>
          </a:extLst>
        </cdr:cNvPr>
        <cdr:cNvCxnSpPr/>
      </cdr:nvCxnSpPr>
      <cdr:spPr>
        <a:xfrm xmlns:a="http://schemas.openxmlformats.org/drawingml/2006/main" flipH="1">
          <a:off x="847725" y="5248524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9525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0B3C25-0C7C-BD6E-D23F-CD53B8A0CD0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0.5774</cdr:x>
      <cdr:y>0.46034</cdr:y>
    </cdr:from>
    <cdr:to>
      <cdr:x>0.97345</cdr:x>
      <cdr:y>0.83569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E058DEE5-5437-7C2B-C6DB-DD0E5E27B509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B940212-BDF8-A97A-0091-D214B6264D4B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OBR forecasts for various balance sheet indicators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8725579-A3B6-0283-5C75-E20409FFEDEF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Office for Budget Responsibility</a:t>
          </a:r>
        </a:p>
      </cdr:txBody>
    </cdr:sp>
  </cdr:relSizeAnchor>
  <cdr:relSizeAnchor xmlns:cdr="http://schemas.openxmlformats.org/drawingml/2006/chartDrawing">
    <cdr:from>
      <cdr:x>0.00226</cdr:x>
      <cdr:y>0.07265</cdr:y>
    </cdr:from>
    <cdr:to>
      <cdr:x>0.15141</cdr:x>
      <cdr:y>0.1236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A448AA7-F633-0024-0763-9A2845914AD2}"/>
            </a:ext>
          </a:extLst>
        </cdr:cNvPr>
        <cdr:cNvSpPr txBox="1"/>
      </cdr:nvSpPr>
      <cdr:spPr>
        <a:xfrm xmlns:a="http://schemas.openxmlformats.org/drawingml/2006/main">
          <a:off x="19050" y="488560"/>
          <a:ext cx="1257300" cy="3426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GDP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0.00694</cdr:y>
    </cdr:from>
    <cdr:to>
      <cdr:x>1</cdr:x>
      <cdr:y>0.12644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0520D6B0-5136-C75B-BFAE-0887E01C188A}"/>
            </a:ext>
          </a:extLst>
        </cdr:cNvPr>
        <cdr:cNvSpPr txBox="1"/>
      </cdr:nvSpPr>
      <cdr:spPr>
        <a:xfrm xmlns:a="http://schemas.openxmlformats.org/drawingml/2006/main">
          <a:off x="0" y="19050"/>
          <a:ext cx="4572000" cy="327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2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Year-to-year change, % of GDP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DBEFFB-4ADD-22DB-1C6F-B5398E5B97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0398661-A530-2087-A6D1-41017B9C011C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OBR forecasts for headroom against possible debt rules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38511A44-E519-DEFD-66EF-2D5830C53BBA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Office for Budget Responsibility</a:t>
          </a:r>
        </a:p>
      </cdr:txBody>
    </cdr:sp>
  </cdr:relSizeAnchor>
  <cdr:relSizeAnchor xmlns:cdr="http://schemas.openxmlformats.org/drawingml/2006/chartDrawing">
    <cdr:from>
      <cdr:x>0.30394</cdr:x>
      <cdr:y>0.12361</cdr:y>
    </cdr:from>
    <cdr:to>
      <cdr:x>0.51297</cdr:x>
      <cdr:y>0.20287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653476A-C0A1-6613-38D4-94D9768A9380}"/>
            </a:ext>
          </a:extLst>
        </cdr:cNvPr>
        <cdr:cNvSpPr txBox="1"/>
      </cdr:nvSpPr>
      <cdr:spPr>
        <a:xfrm xmlns:a="http://schemas.openxmlformats.org/drawingml/2006/main">
          <a:off x="2562225" y="831850"/>
          <a:ext cx="176212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Old rule</a:t>
          </a:r>
        </a:p>
      </cdr:txBody>
    </cdr:sp>
  </cdr:relSizeAnchor>
  <cdr:relSizeAnchor xmlns:cdr="http://schemas.openxmlformats.org/drawingml/2006/chartDrawing">
    <cdr:from>
      <cdr:x>0</cdr:x>
      <cdr:y>0.06982</cdr:y>
    </cdr:from>
    <cdr:to>
      <cdr:x>0.12811</cdr:x>
      <cdr:y>0.12078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29711B16-C894-F188-8BD6-5A02B1142954}"/>
            </a:ext>
          </a:extLst>
        </cdr:cNvPr>
        <cdr:cNvSpPr txBox="1"/>
      </cdr:nvSpPr>
      <cdr:spPr>
        <a:xfrm xmlns:a="http://schemas.openxmlformats.org/drawingml/2006/main">
          <a:off x="0" y="469900"/>
          <a:ext cx="10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</a:t>
          </a:r>
        </a:p>
      </cdr:txBody>
    </cdr:sp>
  </cdr:relSizeAnchor>
  <cdr:relSizeAnchor xmlns:cdr="http://schemas.openxmlformats.org/drawingml/2006/chartDrawing">
    <cdr:from>
      <cdr:x>0.52768</cdr:x>
      <cdr:y>0.12361</cdr:y>
    </cdr:from>
    <cdr:to>
      <cdr:x>0.77171</cdr:x>
      <cdr:y>0.20287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BD8E429A-C1E3-1BD9-F091-7F99C6BF1A86}"/>
            </a:ext>
          </a:extLst>
        </cdr:cNvPr>
        <cdr:cNvSpPr txBox="1"/>
      </cdr:nvSpPr>
      <cdr:spPr>
        <a:xfrm xmlns:a="http://schemas.openxmlformats.org/drawingml/2006/main">
          <a:off x="4448175" y="832411"/>
          <a:ext cx="2057051" cy="5337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New rule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430070" cy="67298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715E9-69C2-6B8B-2EF9-834142D033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E1293DD-0BD9-C00E-A1CF-C179D1B1A61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Public sector net investment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EE0AE8A-28AE-9624-A37B-9A2498983ECC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Office for Budget Responsibility</a:t>
          </a:r>
        </a:p>
      </cdr:txBody>
    </cdr:sp>
  </cdr:relSizeAnchor>
  <cdr:relSizeAnchor xmlns:cdr="http://schemas.openxmlformats.org/drawingml/2006/chartDrawing">
    <cdr:from>
      <cdr:x>0.76229</cdr:x>
      <cdr:y>0.15097</cdr:y>
    </cdr:from>
    <cdr:to>
      <cdr:x>0.76229</cdr:x>
      <cdr:y>0.86243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9030940F-7CAA-5092-9E45-3516424C11C4}"/>
            </a:ext>
          </a:extLst>
        </cdr:cNvPr>
        <cdr:cNvCxnSpPr/>
      </cdr:nvCxnSpPr>
      <cdr:spPr>
        <a:xfrm xmlns:a="http://schemas.openxmlformats.org/drawingml/2006/main">
          <a:off x="6426200" y="1016000"/>
          <a:ext cx="0" cy="478800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0.7992</cdr:x>
      <cdr:y>0.234</cdr:y>
    </cdr:from>
    <cdr:to>
      <cdr:x>0.94986</cdr:x>
      <cdr:y>0.31326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05B1640-EBF9-02F6-A3FD-46BC70107C2A}"/>
            </a:ext>
          </a:extLst>
        </cdr:cNvPr>
        <cdr:cNvSpPr txBox="1"/>
      </cdr:nvSpPr>
      <cdr:spPr>
        <a:xfrm xmlns:a="http://schemas.openxmlformats.org/drawingml/2006/main">
          <a:off x="6737350" y="15748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0.00226</cdr:x>
      <cdr:y>0.07124</cdr:y>
    </cdr:from>
    <cdr:to>
      <cdr:x>0.21578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6B955CB-158E-6834-1238-32F0BD5FB6C7}"/>
            </a:ext>
          </a:extLst>
        </cdr:cNvPr>
        <cdr:cNvSpPr txBox="1"/>
      </cdr:nvSpPr>
      <cdr:spPr>
        <a:xfrm xmlns:a="http://schemas.openxmlformats.org/drawingml/2006/main">
          <a:off x="19050" y="479425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GDP 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43D70A-DC40-1FC7-DD9A-2DEB0EBCD5F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4A45F6E-8A60-39A0-97AB-513703D46150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OBR's estimates of fiscal impulse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B2AF77BC-6271-8CDF-2A0D-438731E65C09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Office for Budget Responsibility</a:t>
          </a:r>
        </a:p>
      </cdr:txBody>
    </cdr:sp>
  </cdr:relSizeAnchor>
  <cdr:relSizeAnchor xmlns:cdr="http://schemas.openxmlformats.org/drawingml/2006/chartDrawing">
    <cdr:from>
      <cdr:x>0.69902</cdr:x>
      <cdr:y>0.14955</cdr:y>
    </cdr:from>
    <cdr:to>
      <cdr:x>0.69902</cdr:x>
      <cdr:y>0.86636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F2134DE9-A653-D624-DB04-4336E659C769}"/>
            </a:ext>
          </a:extLst>
        </cdr:cNvPr>
        <cdr:cNvCxnSpPr/>
      </cdr:nvCxnSpPr>
      <cdr:spPr>
        <a:xfrm xmlns:a="http://schemas.openxmlformats.org/drawingml/2006/main">
          <a:off x="5892437" y="1007118"/>
          <a:ext cx="0" cy="4827124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0.80146</cdr:x>
      <cdr:y>0.31609</cdr:y>
    </cdr:from>
    <cdr:to>
      <cdr:x>0.95211</cdr:x>
      <cdr:y>0.39535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57BC639-E26E-441F-8225-48999708377C}"/>
            </a:ext>
          </a:extLst>
        </cdr:cNvPr>
        <cdr:cNvSpPr txBox="1"/>
      </cdr:nvSpPr>
      <cdr:spPr>
        <a:xfrm xmlns:a="http://schemas.openxmlformats.org/drawingml/2006/main">
          <a:off x="6756024" y="2128598"/>
          <a:ext cx="1269923" cy="533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0.07549</cdr:y>
    </cdr:from>
    <cdr:to>
      <cdr:x>0.25623</cdr:x>
      <cdr:y>0.12644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3C0C22F6-329E-9DEB-BB05-67DB53551A40}"/>
            </a:ext>
          </a:extLst>
        </cdr:cNvPr>
        <cdr:cNvSpPr txBox="1"/>
      </cdr:nvSpPr>
      <cdr:spPr>
        <a:xfrm xmlns:a="http://schemas.openxmlformats.org/drawingml/2006/main">
          <a:off x="0" y="508000"/>
          <a:ext cx="216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of potential GDP</a:t>
          </a:r>
        </a:p>
      </cdr:txBody>
    </cdr:sp>
  </cdr:relSizeAnchor>
  <cdr:relSizeAnchor xmlns:cdr="http://schemas.openxmlformats.org/drawingml/2006/chartDrawing">
    <cdr:from>
      <cdr:x>0.84031</cdr:x>
      <cdr:y>0.72183</cdr:y>
    </cdr:from>
    <cdr:to>
      <cdr:x>0.99096</cdr:x>
      <cdr:y>0.80109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ADC246AA-6BBF-4CBB-FF88-817C72BFB740}"/>
            </a:ext>
          </a:extLst>
        </cdr:cNvPr>
        <cdr:cNvSpPr txBox="1"/>
      </cdr:nvSpPr>
      <cdr:spPr>
        <a:xfrm xmlns:a="http://schemas.openxmlformats.org/drawingml/2006/main">
          <a:off x="7083502" y="4860925"/>
          <a:ext cx="1269923" cy="533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Tighter policy</a:t>
          </a:r>
        </a:p>
      </cdr:txBody>
    </cdr:sp>
  </cdr:relSizeAnchor>
  <cdr:relSizeAnchor xmlns:cdr="http://schemas.openxmlformats.org/drawingml/2006/chartDrawing">
    <cdr:from>
      <cdr:x>0.83427</cdr:x>
      <cdr:y>0.1405</cdr:y>
    </cdr:from>
    <cdr:to>
      <cdr:x>0.98492</cdr:x>
      <cdr:y>0.21976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7B2D8F9E-8CEA-B561-BFA6-B5259B2F716C}"/>
            </a:ext>
          </a:extLst>
        </cdr:cNvPr>
        <cdr:cNvSpPr txBox="1"/>
      </cdr:nvSpPr>
      <cdr:spPr>
        <a:xfrm xmlns:a="http://schemas.openxmlformats.org/drawingml/2006/main">
          <a:off x="7032625" y="946150"/>
          <a:ext cx="1269923" cy="533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Looser policy</a:t>
          </a:r>
        </a:p>
      </cdr:txBody>
    </cdr:sp>
  </cdr:relSizeAnchor>
  <cdr:relSizeAnchor xmlns:cdr="http://schemas.openxmlformats.org/drawingml/2006/chartDrawing">
    <cdr:from>
      <cdr:x>0.97175</cdr:x>
      <cdr:y>0.15134</cdr:y>
    </cdr:from>
    <cdr:to>
      <cdr:x>0.97175</cdr:x>
      <cdr:y>0.23153</cdr:y>
    </cdr:to>
    <cdr:cxnSp macro="">
      <cdr:nvCxnSpPr>
        <cdr:cNvPr id="11" name="Straight Arrow Connector 10">
          <a:extLst xmlns:a="http://schemas.openxmlformats.org/drawingml/2006/main">
            <a:ext uri="{FF2B5EF4-FFF2-40B4-BE49-F238E27FC236}">
              <a16:creationId xmlns:a16="http://schemas.microsoft.com/office/drawing/2014/main" id="{F6DFD70A-6413-F7B8-7D74-0A8BC8150707}"/>
            </a:ext>
          </a:extLst>
        </cdr:cNvPr>
        <cdr:cNvCxnSpPr/>
      </cdr:nvCxnSpPr>
      <cdr:spPr>
        <a:xfrm xmlns:a="http://schemas.openxmlformats.org/drawingml/2006/main" flipV="1">
          <a:off x="8191500" y="1019174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0.97439</cdr:x>
      <cdr:y>0.73837</cdr:y>
    </cdr:from>
    <cdr:to>
      <cdr:x>0.97439</cdr:x>
      <cdr:y>0.81856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AE878212-4C73-B5C6-A4A0-9E44749F441A}"/>
            </a:ext>
          </a:extLst>
        </cdr:cNvPr>
        <cdr:cNvCxnSpPr/>
      </cdr:nvCxnSpPr>
      <cdr:spPr>
        <a:xfrm xmlns:a="http://schemas.openxmlformats.org/drawingml/2006/main">
          <a:off x="8213725" y="4972299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0.56309</cdr:x>
      <cdr:y>0.14616</cdr:y>
    </cdr:from>
    <cdr:to>
      <cdr:x>0.56309</cdr:x>
      <cdr:y>0.22635</cdr:y>
    </cdr:to>
    <cdr:cxnSp macro="">
      <cdr:nvCxnSpPr>
        <cdr:cNvPr id="16" name="Straight Arrow Connector 15">
          <a:extLst xmlns:a="http://schemas.openxmlformats.org/drawingml/2006/main">
            <a:ext uri="{FF2B5EF4-FFF2-40B4-BE49-F238E27FC236}">
              <a16:creationId xmlns:a16="http://schemas.microsoft.com/office/drawing/2014/main" id="{F6857150-1C3F-06CA-0C5E-EB80EA240477}"/>
            </a:ext>
          </a:extLst>
        </cdr:cNvPr>
        <cdr:cNvCxnSpPr/>
      </cdr:nvCxnSpPr>
      <cdr:spPr>
        <a:xfrm xmlns:a="http://schemas.openxmlformats.org/drawingml/2006/main" flipV="1">
          <a:off x="4746625" y="984249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0.55782</cdr:x>
      <cdr:y>0.77561</cdr:y>
    </cdr:from>
    <cdr:to>
      <cdr:x>0.55782</cdr:x>
      <cdr:y>0.8558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A92CEBF7-C745-0C21-E7BE-AAB7D851E954}"/>
            </a:ext>
          </a:extLst>
        </cdr:cNvPr>
        <cdr:cNvCxnSpPr/>
      </cdr:nvCxnSpPr>
      <cdr:spPr>
        <a:xfrm xmlns:a="http://schemas.openxmlformats.org/drawingml/2006/main">
          <a:off x="4702175" y="5223124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0.64369</cdr:x>
      <cdr:y>0.77561</cdr:y>
    </cdr:from>
    <cdr:to>
      <cdr:x>0.64369</cdr:x>
      <cdr:y>0.8558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A92CEBF7-C745-0C21-E7BE-AAB7D851E954}"/>
            </a:ext>
          </a:extLst>
        </cdr:cNvPr>
        <cdr:cNvCxnSpPr/>
      </cdr:nvCxnSpPr>
      <cdr:spPr>
        <a:xfrm xmlns:a="http://schemas.openxmlformats.org/drawingml/2006/main">
          <a:off x="5426075" y="5223124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28575</xdr:colOff>
      <xdr:row>24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633F13-3FE7-4CEA-818D-F5A5568C1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885825"/>
          <a:ext cx="5476875" cy="3590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2</xdr:row>
      <xdr:rowOff>133350</xdr:rowOff>
    </xdr:from>
    <xdr:to>
      <xdr:col>6</xdr:col>
      <xdr:colOff>313558</xdr:colOff>
      <xdr:row>21</xdr:row>
      <xdr:rowOff>161537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F9CF15-ADE1-4B82-9447-26474A411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857250"/>
          <a:ext cx="6104758" cy="31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8FDA-5CBA-4909-8150-4C81FC7D75F9}">
  <dimension ref="A1:BF41"/>
  <sheetViews>
    <sheetView tabSelected="1" topLeftCell="J1" workbookViewId="0">
      <pane ySplit="3" topLeftCell="A4" activePane="bottomLeft" state="frozen"/>
      <selection pane="bottomLeft" activeCell="W17" sqref="W17"/>
    </sheetView>
  </sheetViews>
  <sheetFormatPr defaultRowHeight="15"/>
  <cols>
    <col min="1" max="1" width="18.7109375" customWidth="1"/>
    <col min="8" max="8" width="2.7109375" customWidth="1"/>
    <col min="11" max="14" width="14.7109375" customWidth="1"/>
    <col min="15" max="15" width="2.7109375" customWidth="1"/>
    <col min="16" max="19" width="14.7109375" customWidth="1"/>
    <col min="20" max="20" width="2.7109375" customWidth="1"/>
    <col min="21" max="21" width="10.5703125" customWidth="1"/>
    <col min="22" max="25" width="14.7109375" customWidth="1"/>
    <col min="26" max="26" width="2.7109375" customWidth="1"/>
    <col min="33" max="33" width="2.7109375" customWidth="1"/>
    <col min="38" max="38" width="2.7109375" customWidth="1"/>
    <col min="43" max="43" width="3" customWidth="1"/>
    <col min="47" max="47" width="3" customWidth="1"/>
    <col min="51" max="51" width="3" customWidth="1"/>
    <col min="55" max="55" width="3" customWidth="1"/>
  </cols>
  <sheetData>
    <row r="1" spans="1:58">
      <c r="A1" s="3" t="s">
        <v>12</v>
      </c>
      <c r="I1" s="3" t="s">
        <v>151</v>
      </c>
      <c r="J1" s="3"/>
      <c r="Q1" s="3"/>
      <c r="R1" s="3"/>
      <c r="S1" s="3"/>
      <c r="U1" s="3" t="s">
        <v>151</v>
      </c>
      <c r="AA1" s="3" t="s">
        <v>44</v>
      </c>
      <c r="AH1" s="3" t="s">
        <v>344</v>
      </c>
      <c r="AM1" s="3" t="s">
        <v>608</v>
      </c>
    </row>
    <row r="2" spans="1:58" ht="45">
      <c r="A2" s="3"/>
      <c r="I2" s="3"/>
      <c r="J2" s="3"/>
      <c r="K2" s="3" t="s">
        <v>22</v>
      </c>
      <c r="L2" s="3"/>
      <c r="M2" s="3"/>
      <c r="N2" s="3"/>
      <c r="O2" s="3"/>
      <c r="P2" s="3" t="s">
        <v>23</v>
      </c>
      <c r="Q2" s="3"/>
      <c r="R2" s="3"/>
      <c r="S2" s="3"/>
      <c r="V2" s="6" t="s">
        <v>24</v>
      </c>
      <c r="W2" s="6" t="s">
        <v>25</v>
      </c>
      <c r="X2" s="6" t="s">
        <v>26</v>
      </c>
      <c r="Y2" s="6" t="s">
        <v>153</v>
      </c>
      <c r="AN2" t="s">
        <v>584</v>
      </c>
      <c r="AR2" t="s">
        <v>603</v>
      </c>
      <c r="AV2" t="s">
        <v>590</v>
      </c>
      <c r="AZ2" t="s">
        <v>595</v>
      </c>
      <c r="BD2" t="s">
        <v>578</v>
      </c>
    </row>
    <row r="3" spans="1:58" ht="60"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I3" s="5"/>
      <c r="J3" s="5"/>
      <c r="K3" s="6" t="s">
        <v>24</v>
      </c>
      <c r="L3" s="6" t="s">
        <v>25</v>
      </c>
      <c r="M3" s="6" t="s">
        <v>26</v>
      </c>
      <c r="N3" s="6" t="s">
        <v>27</v>
      </c>
      <c r="O3" s="6"/>
      <c r="P3" s="6" t="s">
        <v>24</v>
      </c>
      <c r="Q3" s="6" t="s">
        <v>25</v>
      </c>
      <c r="R3" s="6" t="s">
        <v>26</v>
      </c>
      <c r="S3" s="6" t="s">
        <v>27</v>
      </c>
      <c r="V3" s="6" t="s">
        <v>24</v>
      </c>
      <c r="W3" s="6" t="s">
        <v>25</v>
      </c>
      <c r="X3" s="6" t="s">
        <v>26</v>
      </c>
      <c r="Y3" s="6" t="s">
        <v>27</v>
      </c>
      <c r="AC3" s="6" t="s">
        <v>154</v>
      </c>
      <c r="AD3" s="6" t="s">
        <v>155</v>
      </c>
      <c r="AE3" s="6" t="s">
        <v>156</v>
      </c>
      <c r="AF3" s="6" t="s">
        <v>157</v>
      </c>
      <c r="AH3" s="6"/>
      <c r="AJ3" s="6" t="s">
        <v>154</v>
      </c>
      <c r="AK3" s="6" t="s">
        <v>155</v>
      </c>
      <c r="AN3" t="s">
        <v>610</v>
      </c>
      <c r="AO3" t="s">
        <v>347</v>
      </c>
      <c r="AP3" t="s">
        <v>23</v>
      </c>
      <c r="AR3" t="s">
        <v>610</v>
      </c>
      <c r="AS3" t="s">
        <v>347</v>
      </c>
      <c r="AT3" t="s">
        <v>23</v>
      </c>
      <c r="AV3" t="s">
        <v>610</v>
      </c>
      <c r="AW3" t="s">
        <v>347</v>
      </c>
      <c r="AX3" t="s">
        <v>23</v>
      </c>
      <c r="AZ3" t="s">
        <v>610</v>
      </c>
      <c r="BA3" t="s">
        <v>347</v>
      </c>
      <c r="BB3" t="s">
        <v>23</v>
      </c>
      <c r="BD3" t="s">
        <v>610</v>
      </c>
      <c r="BE3" t="s">
        <v>347</v>
      </c>
      <c r="BF3" t="s">
        <v>23</v>
      </c>
    </row>
    <row r="4" spans="1:58">
      <c r="A4" t="s">
        <v>6</v>
      </c>
      <c r="B4" s="4">
        <f>'HMT - Table 5.1'!F88</f>
        <v>1160</v>
      </c>
      <c r="C4" s="4">
        <f>'HMT - Table 5.1'!G88</f>
        <v>24005</v>
      </c>
      <c r="D4" s="4">
        <f>'HMT - Table 5.1'!H88</f>
        <v>34785</v>
      </c>
      <c r="E4" s="4">
        <f>'HMT - Table 5.1'!I88</f>
        <v>39065</v>
      </c>
      <c r="F4" s="4">
        <f>'HMT - Table 5.1'!J88</f>
        <v>39725</v>
      </c>
      <c r="G4" s="4">
        <f>'HMT - Table 5.1'!K88</f>
        <v>41170</v>
      </c>
      <c r="H4" s="4"/>
      <c r="I4" s="7" t="s">
        <v>119</v>
      </c>
      <c r="J4" s="7" t="str">
        <f>LEFT(I4,4)</f>
        <v>2000</v>
      </c>
      <c r="K4" s="8">
        <f t="array" ref="K4:N33">TRANSPOSE('C6.11'!D26:AG29)</f>
        <v>28.3</v>
      </c>
      <c r="L4" s="8">
        <v>28.4</v>
      </c>
      <c r="M4" s="8">
        <v>26.955398447204971</v>
      </c>
      <c r="N4" s="8">
        <v>32.436370186335402</v>
      </c>
      <c r="P4" s="8"/>
      <c r="Q4" s="8"/>
      <c r="R4" s="8"/>
      <c r="S4" s="8"/>
      <c r="T4" s="4"/>
      <c r="U4" t="s">
        <v>20</v>
      </c>
      <c r="V4" s="8">
        <f>-(P33/100)*$V$7</f>
        <v>6.6405827082688376</v>
      </c>
      <c r="W4" s="8">
        <f>-(Q33/100)*$V$7</f>
        <v>-5.7796597467478676</v>
      </c>
      <c r="X4" s="8">
        <f>-(R33/100)*$V$7</f>
        <v>15.747235496221936</v>
      </c>
      <c r="Y4" s="8">
        <f>-(S33/100)*$V$7</f>
        <v>16.945560975844028</v>
      </c>
      <c r="Z4" s="4"/>
      <c r="AA4" s="7" t="str">
        <f>'Aggregates (% GDP) Oct24'!B57</f>
        <v>2000-01</v>
      </c>
      <c r="AB4" s="7" t="str">
        <f>LEFT(AA4,4)</f>
        <v>2000</v>
      </c>
      <c r="AC4" s="8">
        <f>'Aggregates (% GDP) Oct24'!F57</f>
        <v>0.40470502108754497</v>
      </c>
      <c r="AD4" s="8">
        <f>'Aggregates (% GDP) Mar24'!F57</f>
        <v>0.40470502108754497</v>
      </c>
      <c r="AE4" s="8">
        <f t="shared" ref="AE4:AE31" si="0">AVERAGE($AD$8:$AD$27)</f>
        <v>2.1452749566555007</v>
      </c>
      <c r="AG4" s="4"/>
      <c r="AH4" s="7" t="str">
        <f>'Aggregates (% GDP) Oct24'!B57</f>
        <v>2000-01</v>
      </c>
      <c r="AI4" s="7" t="str">
        <f>LEFT(AH4,4)</f>
        <v>2000</v>
      </c>
      <c r="AJ4" s="8">
        <f>-('Aggregates (% GDP) Oct24'!M57-'Aggregates (% GDP) Oct24'!M56)</f>
        <v>-1.4492648275071573E-2</v>
      </c>
      <c r="AK4" s="8"/>
      <c r="AL4" s="4"/>
      <c r="AM4">
        <v>2024</v>
      </c>
      <c r="AN4" s="8">
        <f>100*((DataCY!B51/DataCY!B50)-1)</f>
        <v>0.98266796632922038</v>
      </c>
      <c r="AO4" s="8">
        <f>100*((DataCY!H51/DataCY!H50)-1)</f>
        <v>0.98266796632922038</v>
      </c>
      <c r="AP4" s="8">
        <f>AO4-AN4</f>
        <v>0</v>
      </c>
      <c r="AR4" s="8">
        <f>100*((DataCY!D51/DataCY!D50)-1)</f>
        <v>4.2451725324100797</v>
      </c>
      <c r="AS4" s="8">
        <f>100*((DataCY!J51/DataCY!J50)-1)</f>
        <v>4.2451725324100797</v>
      </c>
      <c r="AT4" s="8">
        <f>AS4-AR4</f>
        <v>0</v>
      </c>
      <c r="AV4" s="4">
        <f>DataCY!C51</f>
        <v>33138.705000000002</v>
      </c>
      <c r="AW4" s="4">
        <f>DataCY!I51</f>
        <v>33138.705000000002</v>
      </c>
      <c r="AX4" s="4">
        <f>AW4-AV4</f>
        <v>0</v>
      </c>
      <c r="AZ4" s="8">
        <f>DataCY!E51</f>
        <v>4.2879467499999997</v>
      </c>
      <c r="BA4" s="8">
        <f>DataCY!K51</f>
        <v>4.2879467499999997</v>
      </c>
      <c r="BB4" s="8">
        <f>BA4-AZ4</f>
        <v>0</v>
      </c>
      <c r="BD4" s="4">
        <f>DataFY!G51</f>
        <v>152663.25</v>
      </c>
      <c r="BE4" s="4">
        <f>DataFY!M51</f>
        <v>152663.25</v>
      </c>
      <c r="BF4" s="4">
        <f>BE4-BD4</f>
        <v>0</v>
      </c>
    </row>
    <row r="5" spans="1:58">
      <c r="A5" t="s">
        <v>13</v>
      </c>
      <c r="B5" s="4">
        <f>'HMT - Table 5.1'!F87-'Chart Data'!B6</f>
        <v>-27630</v>
      </c>
      <c r="C5" s="4">
        <f>'HMT - Table 5.1'!G87-'Chart Data'!C6</f>
        <v>-48190</v>
      </c>
      <c r="D5" s="4">
        <f>'HMT - Table 5.1'!H87-'Chart Data'!D6</f>
        <v>-50675</v>
      </c>
      <c r="E5" s="4">
        <f>'HMT - Table 5.1'!I87-'Chart Data'!E6</f>
        <v>-51825</v>
      </c>
      <c r="F5" s="4">
        <f>'HMT - Table 5.1'!J87-'Chart Data'!F6</f>
        <v>-52805</v>
      </c>
      <c r="G5" s="4">
        <f>'HMT - Table 5.1'!K87-'Chart Data'!G6</f>
        <v>-51035</v>
      </c>
      <c r="I5" s="7" t="s">
        <v>120</v>
      </c>
      <c r="J5" s="7" t="str">
        <f t="shared" ref="J5:J33" si="1">LEFT(I5,4)</f>
        <v>2001</v>
      </c>
      <c r="K5" s="8">
        <v>28.1</v>
      </c>
      <c r="L5" s="8">
        <v>28.2</v>
      </c>
      <c r="M5" s="8">
        <v>28.366805505142167</v>
      </c>
      <c r="N5" s="8">
        <v>34.148469751966125</v>
      </c>
      <c r="P5" s="8">
        <f>K5-K4</f>
        <v>-0.19999999999999929</v>
      </c>
      <c r="Q5" s="8">
        <f t="shared" ref="Q5:S20" si="2">L5-L4</f>
        <v>-0.19999999999999929</v>
      </c>
      <c r="R5" s="8">
        <f t="shared" si="2"/>
        <v>1.4114070579371969</v>
      </c>
      <c r="S5" s="8">
        <f t="shared" si="2"/>
        <v>1.712099565630723</v>
      </c>
      <c r="V5" s="8"/>
      <c r="W5" s="8"/>
      <c r="X5" s="8"/>
      <c r="Y5" s="8"/>
      <c r="AA5" s="7" t="str">
        <f>'Aggregates (% GDP) Oct24'!B58</f>
        <v>2001-02</v>
      </c>
      <c r="AB5" s="7" t="str">
        <f t="shared" ref="AB5:AB33" si="3">LEFT(AA5,4)</f>
        <v>2001</v>
      </c>
      <c r="AC5" s="8">
        <f>'Aggregates (% GDP) Oct24'!F58</f>
        <v>1.0969633700491945</v>
      </c>
      <c r="AD5" s="8">
        <f>'Aggregates (% GDP) Mar24'!F58</f>
        <v>1.0969633700491945</v>
      </c>
      <c r="AE5" s="8">
        <f t="shared" si="0"/>
        <v>2.1452749566555007</v>
      </c>
      <c r="AH5" s="7" t="str">
        <f>'Aggregates (% GDP) Oct24'!B58</f>
        <v>2001-02</v>
      </c>
      <c r="AI5" s="7" t="str">
        <f t="shared" ref="AI5:AI33" si="4">LEFT(AH5,4)</f>
        <v>2001</v>
      </c>
      <c r="AJ5" s="8">
        <f>-('Aggregates (% GDP) Oct24'!M58-'Aggregates (% GDP) Oct24'!M57)</f>
        <v>1.9591307836953971</v>
      </c>
      <c r="AK5" s="8"/>
      <c r="AM5">
        <v>2025</v>
      </c>
      <c r="AN5" s="8">
        <f>100*((DataCY!B52/DataCY!B51)-1)</f>
        <v>1.5341096729368786</v>
      </c>
      <c r="AO5" s="8">
        <f>100*((DataCY!H52/DataCY!H51)-1)</f>
        <v>1.3961800016391246</v>
      </c>
      <c r="AP5" s="8">
        <f t="shared" ref="AP5:AP10" si="5">AO5-AN5</f>
        <v>-0.13792967129775402</v>
      </c>
      <c r="AR5" s="8">
        <f>100*((DataCY!D52/DataCY!D51)-1)</f>
        <v>3.5514545285936228</v>
      </c>
      <c r="AS5" s="8">
        <f>100*((DataCY!J52/DataCY!J51)-1)</f>
        <v>3.4784920438144074</v>
      </c>
      <c r="AT5" s="8">
        <f t="shared" ref="AT5:AT10" si="6">AS5-AR5</f>
        <v>-7.2962484779215409E-2</v>
      </c>
      <c r="AV5" s="4">
        <f>DataCY!C52</f>
        <v>33430.337500000001</v>
      </c>
      <c r="AW5" s="4">
        <f>DataCY!I52</f>
        <v>33403.509999999995</v>
      </c>
      <c r="AX5" s="4">
        <f t="shared" ref="AX5:AX10" si="7">AW5-AV5</f>
        <v>-26.827500000006694</v>
      </c>
      <c r="AZ5" s="8">
        <f>DataCY!E52</f>
        <v>4.3347962500000001</v>
      </c>
      <c r="BA5" s="8">
        <f>DataCY!K52</f>
        <v>4.4113922499999996</v>
      </c>
      <c r="BB5" s="8">
        <f t="shared" ref="BB5:BB10" si="8">BA5-AZ5</f>
        <v>7.6595999999999442E-2</v>
      </c>
      <c r="BD5" s="4">
        <f>DataFY!G52</f>
        <v>159368.97999999998</v>
      </c>
      <c r="BE5" s="4">
        <f>DataFY!M52</f>
        <v>182720.43</v>
      </c>
      <c r="BF5" s="4">
        <f t="shared" ref="BF5:BF9" si="9">BE5-BD5</f>
        <v>23351.450000000012</v>
      </c>
    </row>
    <row r="6" spans="1:58">
      <c r="A6" t="s">
        <v>14</v>
      </c>
      <c r="B6" s="4">
        <f>'HMT - Table 5.1'!F5</f>
        <v>1765</v>
      </c>
      <c r="C6" s="4">
        <f>'HMT - Table 5.1'!G5</f>
        <v>-15360</v>
      </c>
      <c r="D6" s="4">
        <f>'HMT - Table 5.1'!H5</f>
        <v>-19440</v>
      </c>
      <c r="E6" s="4">
        <f>'HMT - Table 5.1'!I5</f>
        <v>-23820</v>
      </c>
      <c r="F6" s="4">
        <f>'HMT - Table 5.1'!J5</f>
        <v>-25695</v>
      </c>
      <c r="G6" s="4">
        <f>'HMT - Table 5.1'!K5</f>
        <v>-23125</v>
      </c>
      <c r="I6" s="7" t="s">
        <v>121</v>
      </c>
      <c r="J6" s="7" t="str">
        <f t="shared" si="1"/>
        <v>2002</v>
      </c>
      <c r="K6" s="8">
        <v>29.8</v>
      </c>
      <c r="L6" s="8">
        <v>29.9</v>
      </c>
      <c r="M6" s="8">
        <v>31.350052004333701</v>
      </c>
      <c r="N6" s="8">
        <v>36.652789274106183</v>
      </c>
      <c r="P6" s="8">
        <f t="shared" ref="P6:S32" si="10">K6-K5</f>
        <v>1.6999999999999993</v>
      </c>
      <c r="Q6" s="8">
        <f t="shared" si="2"/>
        <v>1.6999999999999993</v>
      </c>
      <c r="R6" s="8">
        <f t="shared" si="2"/>
        <v>2.9832464991915337</v>
      </c>
      <c r="S6" s="8">
        <f t="shared" si="2"/>
        <v>2.504319522140058</v>
      </c>
      <c r="U6" t="s">
        <v>152</v>
      </c>
      <c r="V6" s="8"/>
      <c r="W6" s="8"/>
      <c r="X6" s="8"/>
      <c r="Y6" s="8"/>
      <c r="AA6" s="7" t="str">
        <f>'Aggregates (% GDP) Oct24'!B59</f>
        <v>2002-03</v>
      </c>
      <c r="AB6" s="7" t="str">
        <f t="shared" si="3"/>
        <v>2002</v>
      </c>
      <c r="AC6" s="8">
        <f>'Aggregates (% GDP) Oct24'!F59</f>
        <v>1.4448275405670117</v>
      </c>
      <c r="AD6" s="8">
        <f>'Aggregates (% GDP) Mar24'!F59</f>
        <v>1.4448275405670117</v>
      </c>
      <c r="AE6" s="8">
        <f t="shared" si="0"/>
        <v>2.1452749566555007</v>
      </c>
      <c r="AH6" s="7" t="str">
        <f>'Aggregates (% GDP) Oct24'!B59</f>
        <v>2002-03</v>
      </c>
      <c r="AI6" s="7" t="str">
        <f t="shared" si="4"/>
        <v>2002</v>
      </c>
      <c r="AJ6" s="8">
        <f>-('Aggregates (% GDP) Oct24'!M59-'Aggregates (% GDP) Oct24'!M58)</f>
        <v>2.0383228832372886</v>
      </c>
      <c r="AK6" s="8"/>
      <c r="AM6">
        <v>2026</v>
      </c>
      <c r="AN6" s="8">
        <f>100*((DataCY!B53/DataCY!B52)-1)</f>
        <v>1.6312519864286168</v>
      </c>
      <c r="AO6" s="8">
        <f>100*((DataCY!H53/DataCY!H52)-1)</f>
        <v>1.5073108320051487</v>
      </c>
      <c r="AP6" s="8">
        <f t="shared" si="5"/>
        <v>-0.12394115442346809</v>
      </c>
      <c r="AR6" s="8">
        <f>100*((DataCY!D53/DataCY!D52)-1)</f>
        <v>2.6851512892214435</v>
      </c>
      <c r="AS6" s="8">
        <f>100*((DataCY!J53/DataCY!J52)-1)</f>
        <v>2.5624237152698237</v>
      </c>
      <c r="AT6" s="8">
        <f t="shared" si="6"/>
        <v>-0.12272757395161982</v>
      </c>
      <c r="AV6" s="4">
        <f>DataCY!C53</f>
        <v>33874.042499999996</v>
      </c>
      <c r="AW6" s="4">
        <f>DataCY!I53</f>
        <v>33820.61</v>
      </c>
      <c r="AX6" s="4">
        <f t="shared" si="7"/>
        <v>-53.432499999995343</v>
      </c>
      <c r="AZ6" s="8">
        <f>DataCY!E53</f>
        <v>4.1271620000000002</v>
      </c>
      <c r="BA6" s="8">
        <f>DataCY!K53</f>
        <v>4.2783832500000001</v>
      </c>
      <c r="BB6" s="8">
        <f t="shared" si="8"/>
        <v>0.15122124999999986</v>
      </c>
      <c r="BD6" s="4">
        <f>DataFY!G53</f>
        <v>166351.45000000001</v>
      </c>
      <c r="BE6" s="4">
        <f>DataFY!M53</f>
        <v>189385.05</v>
      </c>
      <c r="BF6" s="4">
        <f t="shared" si="9"/>
        <v>23033.599999999977</v>
      </c>
    </row>
    <row r="7" spans="1:58">
      <c r="A7" t="s">
        <v>21</v>
      </c>
      <c r="B7" s="4">
        <f>SUM(B4:B6)</f>
        <v>-24705</v>
      </c>
      <c r="C7" s="4">
        <f t="shared" ref="C7:G7" si="11">SUM(C4:C6)</f>
        <v>-39545</v>
      </c>
      <c r="D7" s="4">
        <f t="shared" si="11"/>
        <v>-35330</v>
      </c>
      <c r="E7" s="4">
        <f t="shared" si="11"/>
        <v>-36580</v>
      </c>
      <c r="F7" s="4">
        <f t="shared" si="11"/>
        <v>-38775</v>
      </c>
      <c r="G7" s="4">
        <f t="shared" si="11"/>
        <v>-32990</v>
      </c>
      <c r="I7" s="7" t="s">
        <v>122</v>
      </c>
      <c r="J7" s="7" t="str">
        <f t="shared" si="1"/>
        <v>2003</v>
      </c>
      <c r="K7" s="8">
        <v>30.9</v>
      </c>
      <c r="L7" s="8">
        <v>31</v>
      </c>
      <c r="M7" s="8">
        <v>31.244827194066744</v>
      </c>
      <c r="N7" s="8">
        <v>37.45461953028429</v>
      </c>
      <c r="P7" s="8">
        <f t="shared" si="10"/>
        <v>1.0999999999999979</v>
      </c>
      <c r="Q7" s="8">
        <f t="shared" si="2"/>
        <v>1.1000000000000014</v>
      </c>
      <c r="R7" s="8">
        <f t="shared" si="2"/>
        <v>-0.10522481026695729</v>
      </c>
      <c r="S7" s="8">
        <f t="shared" si="2"/>
        <v>0.80183025617810699</v>
      </c>
      <c r="U7" t="s">
        <v>10</v>
      </c>
      <c r="V7" s="4">
        <v>3459.5959904002893</v>
      </c>
      <c r="W7" s="8"/>
      <c r="X7" s="8"/>
      <c r="Y7" s="8"/>
      <c r="AA7" s="7" t="str">
        <f>'Aggregates (% GDP) Oct24'!B60</f>
        <v>2003-04</v>
      </c>
      <c r="AB7" s="7" t="str">
        <f t="shared" si="3"/>
        <v>2003</v>
      </c>
      <c r="AC7" s="8">
        <f>'Aggregates (% GDP) Oct24'!F60</f>
        <v>1.6922036050576732</v>
      </c>
      <c r="AD7" s="8">
        <f>'Aggregates (% GDP) Mar24'!F60</f>
        <v>1.6922036050576732</v>
      </c>
      <c r="AE7" s="8">
        <f t="shared" si="0"/>
        <v>2.1452749566555007</v>
      </c>
      <c r="AH7" s="7" t="str">
        <f>'Aggregates (% GDP) Oct24'!B60</f>
        <v>2003-04</v>
      </c>
      <c r="AI7" s="7" t="str">
        <f t="shared" si="4"/>
        <v>2003</v>
      </c>
      <c r="AJ7" s="8">
        <f>-('Aggregates (% GDP) Oct24'!M60-'Aggregates (% GDP) Oct24'!M59)</f>
        <v>0.45530370276704923</v>
      </c>
      <c r="AK7" s="8"/>
      <c r="AM7">
        <v>2027</v>
      </c>
      <c r="AN7" s="8">
        <f>100*((DataCY!B54/DataCY!B53)-1)</f>
        <v>1.6566705761668299</v>
      </c>
      <c r="AO7" s="8">
        <f>100*((DataCY!H54/DataCY!H53)-1)</f>
        <v>1.6837408680709931</v>
      </c>
      <c r="AP7" s="8">
        <f t="shared" si="5"/>
        <v>2.7070291904163213E-2</v>
      </c>
      <c r="AR7" s="8">
        <f>100*((DataCY!D54/DataCY!D53)-1)</f>
        <v>2.5895983966664149</v>
      </c>
      <c r="AS7" s="8">
        <f>100*((DataCY!J54/DataCY!J53)-1)</f>
        <v>2.6013743559678781</v>
      </c>
      <c r="AT7" s="8">
        <f t="shared" si="6"/>
        <v>1.1775959301463246E-2</v>
      </c>
      <c r="AV7" s="4">
        <f>DataCY!C54</f>
        <v>34275.1325</v>
      </c>
      <c r="AW7" s="4">
        <f>DataCY!I54</f>
        <v>34229.767500000002</v>
      </c>
      <c r="AX7" s="4">
        <f t="shared" si="7"/>
        <v>-45.364999999997963</v>
      </c>
      <c r="AZ7" s="8">
        <f>DataCY!E54</f>
        <v>3.940423</v>
      </c>
      <c r="BA7" s="8">
        <f>DataCY!K54</f>
        <v>4.0675902500000003</v>
      </c>
      <c r="BB7" s="8">
        <f t="shared" si="8"/>
        <v>0.12716725000000029</v>
      </c>
      <c r="BD7" s="4">
        <f>DataFY!G54</f>
        <v>173561.32</v>
      </c>
      <c r="BE7" s="4">
        <f>DataFY!M54</f>
        <v>197158.96000000002</v>
      </c>
      <c r="BF7" s="4">
        <f t="shared" si="9"/>
        <v>23597.640000000014</v>
      </c>
    </row>
    <row r="8" spans="1:58">
      <c r="I8" s="7" t="s">
        <v>123</v>
      </c>
      <c r="J8" s="7" t="str">
        <f t="shared" si="1"/>
        <v>2004</v>
      </c>
      <c r="K8" s="8">
        <v>33.5</v>
      </c>
      <c r="L8" s="8">
        <v>33.6</v>
      </c>
      <c r="M8" s="8">
        <v>33.412415925363419</v>
      </c>
      <c r="N8" s="8">
        <v>37.390259275330877</v>
      </c>
      <c r="P8" s="8">
        <f t="shared" si="10"/>
        <v>2.6000000000000014</v>
      </c>
      <c r="Q8" s="8">
        <f t="shared" si="2"/>
        <v>2.6000000000000014</v>
      </c>
      <c r="R8" s="8">
        <f t="shared" si="2"/>
        <v>2.1675887312966751</v>
      </c>
      <c r="S8" s="8">
        <f t="shared" si="2"/>
        <v>-6.4360254953413687E-2</v>
      </c>
      <c r="V8" s="8"/>
      <c r="W8" s="8"/>
      <c r="X8" s="8"/>
      <c r="Y8" s="8"/>
      <c r="AA8" s="7" t="str">
        <f>'Aggregates (% GDP) Oct24'!B61</f>
        <v>2004-05</v>
      </c>
      <c r="AB8" s="7" t="str">
        <f t="shared" si="3"/>
        <v>2004</v>
      </c>
      <c r="AC8" s="8">
        <f>'Aggregates (% GDP) Oct24'!F61</f>
        <v>2.0459664434680698</v>
      </c>
      <c r="AD8" s="8">
        <f>'Aggregates (% GDP) Mar24'!F61</f>
        <v>2.0459664434680698</v>
      </c>
      <c r="AE8" s="8">
        <f t="shared" si="0"/>
        <v>2.1452749566555007</v>
      </c>
      <c r="AH8" s="7" t="str">
        <f>'Aggregates (% GDP) Oct24'!B61</f>
        <v>2004-05</v>
      </c>
      <c r="AI8" s="7" t="str">
        <f t="shared" si="4"/>
        <v>2004</v>
      </c>
      <c r="AJ8" s="8">
        <f>-('Aggregates (% GDP) Oct24'!M61-'Aggregates (% GDP) Oct24'!M60)</f>
        <v>0.50237964899419851</v>
      </c>
      <c r="AK8" s="8"/>
      <c r="AM8">
        <v>2028</v>
      </c>
      <c r="AN8" s="8">
        <f>100*((DataCY!B55/DataCY!B54)-1)</f>
        <v>1.6473682132986056</v>
      </c>
      <c r="AO8" s="8">
        <f>100*((DataCY!H55/DataCY!H54)-1)</f>
        <v>1.6778524617203194</v>
      </c>
      <c r="AP8" s="8">
        <f t="shared" si="5"/>
        <v>3.0484248421713822E-2</v>
      </c>
      <c r="AR8" s="8">
        <f>100*((DataCY!D55/DataCY!D54)-1)</f>
        <v>2.5912529775563575</v>
      </c>
      <c r="AS8" s="8">
        <f>100*((DataCY!J55/DataCY!J54)-1)</f>
        <v>2.6296951437340788</v>
      </c>
      <c r="AT8" s="8">
        <f t="shared" si="6"/>
        <v>3.8442166177721226E-2</v>
      </c>
      <c r="AV8" s="4">
        <f>DataCY!C55</f>
        <v>34669.897500000006</v>
      </c>
      <c r="AW8" s="4">
        <f>DataCY!I55</f>
        <v>34633.960000000006</v>
      </c>
      <c r="AX8" s="4">
        <f t="shared" si="7"/>
        <v>-35.9375</v>
      </c>
      <c r="AZ8" s="8">
        <f>DataCY!E55</f>
        <v>3.7972135000000007</v>
      </c>
      <c r="BA8" s="8">
        <f>DataCY!K55</f>
        <v>3.89694925</v>
      </c>
      <c r="BB8" s="8">
        <f t="shared" si="8"/>
        <v>9.9735749999999346E-2</v>
      </c>
      <c r="BD8" s="4">
        <f>DataFY!G55</f>
        <v>180390.25</v>
      </c>
      <c r="BE8" s="4">
        <f>DataFY!M55</f>
        <v>204855.91</v>
      </c>
      <c r="BF8" s="4">
        <f t="shared" si="9"/>
        <v>24465.660000000003</v>
      </c>
    </row>
    <row r="9" spans="1:58">
      <c r="A9" t="s">
        <v>708</v>
      </c>
      <c r="B9">
        <f>'HMT - Table 5.1'!F86</f>
        <v>-24705</v>
      </c>
      <c r="C9">
        <f>'HMT - Table 5.1'!G86</f>
        <v>-39550</v>
      </c>
      <c r="D9">
        <f>'HMT - Table 5.1'!H86</f>
        <v>-35330</v>
      </c>
      <c r="E9">
        <f>'HMT - Table 5.1'!I86</f>
        <v>-36585</v>
      </c>
      <c r="F9">
        <f>'HMT - Table 5.1'!J86</f>
        <v>-38775</v>
      </c>
      <c r="G9">
        <f>'HMT - Table 5.1'!K86</f>
        <v>-32990</v>
      </c>
      <c r="I9" s="7" t="s">
        <v>124</v>
      </c>
      <c r="J9" s="7" t="str">
        <f t="shared" si="1"/>
        <v>2005</v>
      </c>
      <c r="K9" s="8">
        <v>34.299999999999997</v>
      </c>
      <c r="L9" s="8">
        <v>34.5</v>
      </c>
      <c r="M9" s="8">
        <v>32.378334601521821</v>
      </c>
      <c r="N9" s="8">
        <v>34.9423866639968</v>
      </c>
      <c r="P9" s="8">
        <f t="shared" si="10"/>
        <v>0.79999999999999716</v>
      </c>
      <c r="Q9" s="8">
        <f t="shared" si="2"/>
        <v>0.89999999999999858</v>
      </c>
      <c r="R9" s="8">
        <f t="shared" si="2"/>
        <v>-1.0340813238415976</v>
      </c>
      <c r="S9" s="8">
        <f t="shared" si="2"/>
        <v>-2.447872611334077</v>
      </c>
      <c r="V9" s="8"/>
      <c r="W9" s="8" t="s">
        <v>23</v>
      </c>
      <c r="X9" s="8" t="s">
        <v>711</v>
      </c>
      <c r="Y9" s="8">
        <f>X4-W4</f>
        <v>21.526895242969804</v>
      </c>
      <c r="AA9" s="7" t="str">
        <f>'Aggregates (% GDP) Oct24'!B62</f>
        <v>2005-06</v>
      </c>
      <c r="AB9" s="7" t="str">
        <f t="shared" si="3"/>
        <v>2005</v>
      </c>
      <c r="AC9" s="8">
        <f>'Aggregates (% GDP) Oct24'!F62</f>
        <v>1.8521351619446187</v>
      </c>
      <c r="AD9" s="8">
        <f>'Aggregates (% GDP) Mar24'!F62</f>
        <v>1.8521351619446187</v>
      </c>
      <c r="AE9" s="8">
        <f t="shared" si="0"/>
        <v>2.1452749566555007</v>
      </c>
      <c r="AH9" s="7" t="str">
        <f>'Aggregates (% GDP) Oct24'!B62</f>
        <v>2005-06</v>
      </c>
      <c r="AI9" s="7" t="str">
        <f t="shared" si="4"/>
        <v>2005</v>
      </c>
      <c r="AJ9" s="8">
        <f>-('Aggregates (% GDP) Oct24'!M62-'Aggregates (% GDP) Oct24'!M61)</f>
        <v>-0.69717717493593834</v>
      </c>
      <c r="AK9" s="8"/>
      <c r="AM9">
        <v>2029</v>
      </c>
      <c r="AN9" s="8">
        <f>100*((DataCY!B56/DataCY!B55)-1)</f>
        <v>1.6121887171884897</v>
      </c>
      <c r="AO9" s="8">
        <f>100*((DataCY!H56/DataCY!H55)-1)</f>
        <v>1.6514389364420401</v>
      </c>
      <c r="AP9" s="8">
        <f t="shared" si="5"/>
        <v>3.9250219253550434E-2</v>
      </c>
      <c r="AR9" s="8">
        <f>100*((DataCY!D56/DataCY!D55)-1)</f>
        <v>2.6495449679572403</v>
      </c>
      <c r="AS9" s="8">
        <f>100*((DataCY!J56/DataCY!J55)-1)</f>
        <v>2.6857202097659849</v>
      </c>
      <c r="AT9" s="8">
        <f t="shared" si="6"/>
        <v>3.6175241808744651E-2</v>
      </c>
      <c r="AV9" s="4">
        <f>DataCY!C56</f>
        <v>35019.357500000006</v>
      </c>
      <c r="AW9" s="4">
        <f>DataCY!I56</f>
        <v>34992.587500000001</v>
      </c>
      <c r="AX9" s="4">
        <f t="shared" si="7"/>
        <v>-26.770000000004075</v>
      </c>
      <c r="AZ9" s="8">
        <f>DataCY!E56</f>
        <v>3.7498889999999996</v>
      </c>
      <c r="BA9" s="8">
        <f>DataCY!K56</f>
        <v>3.8234867499999998</v>
      </c>
      <c r="BB9" s="8">
        <f t="shared" si="8"/>
        <v>7.3597750000000239E-2</v>
      </c>
      <c r="BD9" s="4">
        <f>DataFY!G56</f>
        <v>187169.91</v>
      </c>
      <c r="BE9" s="4">
        <f>DataFY!M56</f>
        <v>212530.68000000002</v>
      </c>
      <c r="BF9" s="4">
        <f t="shared" si="9"/>
        <v>25360.770000000019</v>
      </c>
    </row>
    <row r="10" spans="1:58">
      <c r="I10" s="7" t="s">
        <v>125</v>
      </c>
      <c r="J10" s="7" t="str">
        <f t="shared" si="1"/>
        <v>2006</v>
      </c>
      <c r="K10" s="8">
        <v>35.1</v>
      </c>
      <c r="L10" s="8">
        <v>35.299999999999997</v>
      </c>
      <c r="M10" s="8">
        <v>32.440742152466363</v>
      </c>
      <c r="N10" s="8">
        <v>35.127872757847527</v>
      </c>
      <c r="P10" s="8">
        <f t="shared" si="10"/>
        <v>0.80000000000000426</v>
      </c>
      <c r="Q10" s="8">
        <f t="shared" si="2"/>
        <v>0.79999999999999716</v>
      </c>
      <c r="R10" s="8">
        <f t="shared" si="2"/>
        <v>6.2407550944541867E-2</v>
      </c>
      <c r="S10" s="8">
        <f t="shared" si="2"/>
        <v>0.18548609385072723</v>
      </c>
      <c r="V10" s="8"/>
      <c r="W10" s="8"/>
      <c r="X10" s="8" t="s">
        <v>11</v>
      </c>
      <c r="Y10" s="8">
        <f>R33-Q33</f>
        <v>-0.62223725841695909</v>
      </c>
      <c r="AA10" s="7" t="str">
        <f>'Aggregates (% GDP) Oct24'!B63</f>
        <v>2006-07</v>
      </c>
      <c r="AB10" s="7" t="str">
        <f t="shared" si="3"/>
        <v>2006</v>
      </c>
      <c r="AC10" s="8">
        <f>'Aggregates (% GDP) Oct24'!F63</f>
        <v>1.8163774049540622</v>
      </c>
      <c r="AD10" s="8">
        <f>'Aggregates (% GDP) Mar24'!F63</f>
        <v>1.8163774049540622</v>
      </c>
      <c r="AE10" s="8">
        <f t="shared" si="0"/>
        <v>2.1452749566555007</v>
      </c>
      <c r="AH10" s="7" t="str">
        <f>'Aggregates (% GDP) Oct24'!B63</f>
        <v>2006-07</v>
      </c>
      <c r="AI10" s="7" t="str">
        <f t="shared" si="4"/>
        <v>2006</v>
      </c>
      <c r="AJ10" s="8">
        <f>-('Aggregates (% GDP) Oct24'!M63-'Aggregates (% GDP) Oct24'!M62)</f>
        <v>-0.71890443039715624</v>
      </c>
      <c r="AK10" s="8"/>
      <c r="AM10">
        <v>2030</v>
      </c>
      <c r="AN10" s="8">
        <f>100*((DataCY!B57/DataCY!B56)-1)</f>
        <v>1.6097058627034366</v>
      </c>
      <c r="AO10" s="8">
        <f>100*((DataCY!H57/DataCY!H56)-1)</f>
        <v>1.6548179149572073</v>
      </c>
      <c r="AP10" s="8">
        <f t="shared" si="5"/>
        <v>4.5112052253770685E-2</v>
      </c>
      <c r="AR10" s="8">
        <f>100*((DataCY!D57/DataCY!D56)-1)</f>
        <v>2.7035180914808388</v>
      </c>
      <c r="AS10" s="8">
        <f>100*((DataCY!J57/DataCY!J56)-1)</f>
        <v>2.7420534453644008</v>
      </c>
      <c r="AT10" s="8">
        <f t="shared" si="6"/>
        <v>3.8535353883561996E-2</v>
      </c>
      <c r="AV10" s="4">
        <f>DataCY!C57</f>
        <v>35334.71</v>
      </c>
      <c r="AW10" s="4">
        <f>DataCY!I57</f>
        <v>35317.572499999995</v>
      </c>
      <c r="AX10" s="4">
        <f t="shared" si="7"/>
        <v>-17.137500000004366</v>
      </c>
      <c r="AZ10" s="8">
        <f>DataCY!E57</f>
        <v>3.7498765000000001</v>
      </c>
      <c r="BA10" s="8">
        <f>DataCY!K57</f>
        <v>3.79656525</v>
      </c>
      <c r="BB10" s="8">
        <f t="shared" si="8"/>
        <v>4.6688749999999946E-2</v>
      </c>
      <c r="BD10" s="4"/>
      <c r="BE10" s="4"/>
      <c r="BF10" s="8"/>
    </row>
    <row r="11" spans="1:58">
      <c r="A11" t="s">
        <v>10</v>
      </c>
      <c r="B11" s="4">
        <v>2814.6771269999999</v>
      </c>
      <c r="C11" s="4">
        <v>2950.017241</v>
      </c>
      <c r="D11" s="4">
        <v>3059.3962009999996</v>
      </c>
      <c r="E11" s="4">
        <v>3167.3345859999999</v>
      </c>
      <c r="F11" s="4">
        <v>3279.049422</v>
      </c>
      <c r="G11" s="4">
        <v>3397.2814119999998</v>
      </c>
      <c r="I11" s="7" t="s">
        <v>126</v>
      </c>
      <c r="J11" s="7" t="str">
        <f t="shared" si="1"/>
        <v>2007</v>
      </c>
      <c r="K11" s="8">
        <v>35.6</v>
      </c>
      <c r="L11" s="8">
        <v>35.799999999999997</v>
      </c>
      <c r="M11" s="8">
        <v>34.196775035260927</v>
      </c>
      <c r="N11" s="8">
        <v>37.427136107193228</v>
      </c>
      <c r="P11" s="8">
        <f t="shared" si="10"/>
        <v>0.5</v>
      </c>
      <c r="Q11" s="8">
        <f t="shared" si="2"/>
        <v>0.5</v>
      </c>
      <c r="R11" s="8">
        <f t="shared" si="2"/>
        <v>1.7560328827945639</v>
      </c>
      <c r="S11" s="8">
        <f t="shared" si="2"/>
        <v>2.2992633493457006</v>
      </c>
      <c r="V11" s="8"/>
      <c r="W11" s="8"/>
      <c r="X11" s="8"/>
      <c r="Y11" s="8"/>
      <c r="AA11" s="7" t="str">
        <f>'Aggregates (% GDP) Oct24'!B64</f>
        <v>2007-08</v>
      </c>
      <c r="AB11" s="7" t="str">
        <f t="shared" si="3"/>
        <v>2007</v>
      </c>
      <c r="AC11" s="8">
        <f>'Aggregates (% GDP) Oct24'!F64</f>
        <v>1.792477050392701</v>
      </c>
      <c r="AD11" s="8">
        <f>'Aggregates (% GDP) Mar24'!F64</f>
        <v>1.792477050392701</v>
      </c>
      <c r="AE11" s="8">
        <f t="shared" si="0"/>
        <v>2.1452749566555007</v>
      </c>
      <c r="AH11" s="7" t="str">
        <f>'Aggregates (% GDP) Oct24'!B64</f>
        <v>2007-08</v>
      </c>
      <c r="AI11" s="7" t="str">
        <f t="shared" si="4"/>
        <v>2007</v>
      </c>
      <c r="AJ11" s="8">
        <f>-('Aggregates (% GDP) Oct24'!M64-'Aggregates (% GDP) Oct24'!M63)</f>
        <v>0.49578274917442811</v>
      </c>
      <c r="AK11" s="8"/>
    </row>
    <row r="12" spans="1:58">
      <c r="I12" s="7" t="s">
        <v>127</v>
      </c>
      <c r="J12" s="7" t="str">
        <f t="shared" si="1"/>
        <v>2008</v>
      </c>
      <c r="K12" s="8">
        <v>50.6</v>
      </c>
      <c r="L12" s="8">
        <v>50.6</v>
      </c>
      <c r="M12" s="8">
        <v>47.544202235772353</v>
      </c>
      <c r="N12" s="8">
        <v>46.938699186991869</v>
      </c>
      <c r="P12" s="8">
        <f t="shared" si="10"/>
        <v>15</v>
      </c>
      <c r="Q12" s="8">
        <f t="shared" si="2"/>
        <v>14.800000000000004</v>
      </c>
      <c r="R12" s="8">
        <f t="shared" si="2"/>
        <v>13.347427200511426</v>
      </c>
      <c r="S12" s="8">
        <f t="shared" si="2"/>
        <v>9.5115630797986412</v>
      </c>
      <c r="V12" s="8"/>
      <c r="W12" s="8"/>
      <c r="X12" s="8"/>
      <c r="Y12" s="8"/>
      <c r="AA12" s="7" t="str">
        <f>'Aggregates (% GDP) Oct24'!B65</f>
        <v>2008-09</v>
      </c>
      <c r="AB12" s="7" t="str">
        <f t="shared" si="3"/>
        <v>2008</v>
      </c>
      <c r="AC12" s="8">
        <f>'Aggregates (% GDP) Oct24'!F65</f>
        <v>3.0053462490658434</v>
      </c>
      <c r="AD12" s="8">
        <f>'Aggregates (% GDP) Mar24'!F65</f>
        <v>3.0053462490658434</v>
      </c>
      <c r="AE12" s="8">
        <f t="shared" si="0"/>
        <v>2.1452749566555007</v>
      </c>
      <c r="AH12" s="7" t="str">
        <f>'Aggregates (% GDP) Oct24'!B65</f>
        <v>2008-09</v>
      </c>
      <c r="AI12" s="7" t="str">
        <f t="shared" si="4"/>
        <v>2008</v>
      </c>
      <c r="AJ12" s="8">
        <f>-('Aggregates (% GDP) Oct24'!M65-'Aggregates (% GDP) Oct24'!M64)</f>
        <v>3.6279950944863861</v>
      </c>
      <c r="AK12" s="8"/>
    </row>
    <row r="13" spans="1:58">
      <c r="A13" t="s">
        <v>11</v>
      </c>
      <c r="I13" s="7" t="s">
        <v>128</v>
      </c>
      <c r="J13" s="7" t="str">
        <f t="shared" si="1"/>
        <v>2009</v>
      </c>
      <c r="K13" s="8">
        <v>64.7</v>
      </c>
      <c r="L13" s="8">
        <v>63.9</v>
      </c>
      <c r="M13" s="8">
        <v>54.597887148555309</v>
      </c>
      <c r="N13" s="8">
        <v>54.072179978597134</v>
      </c>
      <c r="P13" s="8">
        <f t="shared" si="10"/>
        <v>14.100000000000001</v>
      </c>
      <c r="Q13" s="8">
        <f t="shared" si="2"/>
        <v>13.299999999999997</v>
      </c>
      <c r="R13" s="8">
        <f t="shared" si="2"/>
        <v>7.0536849127829555</v>
      </c>
      <c r="S13" s="8">
        <f t="shared" si="2"/>
        <v>7.1334807916052654</v>
      </c>
      <c r="V13" s="8"/>
      <c r="W13" s="8"/>
      <c r="X13" s="8"/>
      <c r="Y13" s="8"/>
      <c r="AA13" s="7" t="str">
        <f>'Aggregates (% GDP) Oct24'!B66</f>
        <v>2009-10</v>
      </c>
      <c r="AB13" s="7" t="str">
        <f t="shared" si="3"/>
        <v>2009</v>
      </c>
      <c r="AC13" s="8">
        <f>'Aggregates (% GDP) Oct24'!F66</f>
        <v>3.0029003974238098</v>
      </c>
      <c r="AD13" s="8">
        <f>'Aggregates (% GDP) Mar24'!F66</f>
        <v>3.0029003974238098</v>
      </c>
      <c r="AE13" s="8">
        <f t="shared" si="0"/>
        <v>2.1452749566555007</v>
      </c>
      <c r="AH13" s="7" t="str">
        <f>'Aggregates (% GDP) Oct24'!B66</f>
        <v>2009-10</v>
      </c>
      <c r="AI13" s="7" t="str">
        <f t="shared" si="4"/>
        <v>2009</v>
      </c>
      <c r="AJ13" s="8">
        <f>-('Aggregates (% GDP) Oct24'!M66-'Aggregates (% GDP) Oct24'!M65)</f>
        <v>1.4319908356595024</v>
      </c>
      <c r="AK13" s="8"/>
    </row>
    <row r="14" spans="1:58">
      <c r="A14" t="s">
        <v>6</v>
      </c>
      <c r="B14" s="8">
        <f>100*((B4/1000)/B$11)</f>
        <v>4.1212542244103721E-2</v>
      </c>
      <c r="C14" s="8">
        <f t="shared" ref="C14:G14" si="12">100*((C4/1000)/C$11)</f>
        <v>0.81372405782492163</v>
      </c>
      <c r="D14" s="8">
        <f t="shared" si="12"/>
        <v>1.1369890564886664</v>
      </c>
      <c r="E14" s="8">
        <f t="shared" si="12"/>
        <v>1.2333714339076143</v>
      </c>
      <c r="F14" s="8">
        <f t="shared" si="12"/>
        <v>1.2114791479955926</v>
      </c>
      <c r="G14" s="8">
        <f t="shared" si="12"/>
        <v>1.2118513307310321</v>
      </c>
      <c r="I14" s="7" t="s">
        <v>129</v>
      </c>
      <c r="J14" s="7" t="str">
        <f t="shared" si="1"/>
        <v>2010</v>
      </c>
      <c r="K14" s="8">
        <v>70.900000000000006</v>
      </c>
      <c r="L14" s="8">
        <v>70.599999999999994</v>
      </c>
      <c r="M14" s="8">
        <v>58.946491742962266</v>
      </c>
      <c r="N14" s="8">
        <v>49.558414477624709</v>
      </c>
      <c r="P14" s="8">
        <f t="shared" si="10"/>
        <v>6.2000000000000028</v>
      </c>
      <c r="Q14" s="8">
        <f t="shared" si="2"/>
        <v>6.6999999999999957</v>
      </c>
      <c r="R14" s="8">
        <f t="shared" si="2"/>
        <v>4.3486045944069573</v>
      </c>
      <c r="S14" s="8">
        <f t="shared" si="2"/>
        <v>-4.5137655009724256</v>
      </c>
      <c r="V14" s="8"/>
      <c r="W14" s="8"/>
      <c r="X14" s="8"/>
      <c r="Y14" s="8"/>
      <c r="AA14" s="7" t="str">
        <f>'Aggregates (% GDP) Oct24'!B67</f>
        <v>2010-11</v>
      </c>
      <c r="AB14" s="7" t="str">
        <f t="shared" si="3"/>
        <v>2010</v>
      </c>
      <c r="AC14" s="8">
        <f>'Aggregates (% GDP) Oct24'!F67</f>
        <v>2.444614678622921</v>
      </c>
      <c r="AD14" s="8">
        <f>'Aggregates (% GDP) Mar24'!F67</f>
        <v>2.444614678622921</v>
      </c>
      <c r="AE14" s="8">
        <f t="shared" si="0"/>
        <v>2.1452749566555007</v>
      </c>
      <c r="AH14" s="7" t="str">
        <f>'Aggregates (% GDP) Oct24'!B67</f>
        <v>2010-11</v>
      </c>
      <c r="AI14" s="7" t="str">
        <f t="shared" si="4"/>
        <v>2010</v>
      </c>
      <c r="AJ14" s="8">
        <f>-('Aggregates (% GDP) Oct24'!M67-'Aggregates (% GDP) Oct24'!M66)</f>
        <v>-2.2415984872085231</v>
      </c>
      <c r="AK14" s="8"/>
    </row>
    <row r="15" spans="1:58">
      <c r="A15" t="s">
        <v>13</v>
      </c>
      <c r="B15" s="8">
        <f t="shared" ref="B15:G17" si="13">100*((B5/1000)/B$11)</f>
        <v>-0.9816401225901602</v>
      </c>
      <c r="C15" s="8">
        <f t="shared" si="13"/>
        <v>-1.6335497749045187</v>
      </c>
      <c r="D15" s="8">
        <f t="shared" si="13"/>
        <v>-1.6563725869645873</v>
      </c>
      <c r="E15" s="8">
        <f t="shared" si="13"/>
        <v>-1.6362338298288013</v>
      </c>
      <c r="F15" s="8">
        <f t="shared" si="13"/>
        <v>-1.6103752400228384</v>
      </c>
      <c r="G15" s="8">
        <f t="shared" si="13"/>
        <v>-1.5022305723550697</v>
      </c>
      <c r="I15" s="7" t="s">
        <v>130</v>
      </c>
      <c r="J15" s="7" t="str">
        <f t="shared" si="1"/>
        <v>2011</v>
      </c>
      <c r="K15" s="8">
        <v>74.3</v>
      </c>
      <c r="L15" s="8">
        <v>74.599999999999994</v>
      </c>
      <c r="M15" s="8">
        <v>65.016918411037111</v>
      </c>
      <c r="N15" s="8">
        <v>54.680428718680631</v>
      </c>
      <c r="P15" s="8">
        <f t="shared" si="10"/>
        <v>3.3999999999999915</v>
      </c>
      <c r="Q15" s="8">
        <f t="shared" si="2"/>
        <v>4</v>
      </c>
      <c r="R15" s="8">
        <f t="shared" si="2"/>
        <v>6.0704266680748447</v>
      </c>
      <c r="S15" s="8">
        <f t="shared" si="2"/>
        <v>5.122014241055922</v>
      </c>
      <c r="V15" s="8"/>
      <c r="W15" s="8"/>
      <c r="X15" s="8"/>
      <c r="Y15" s="8"/>
      <c r="AA15" s="7" t="str">
        <f>'Aggregates (% GDP) Oct24'!B68</f>
        <v>2011-12</v>
      </c>
      <c r="AB15" s="7" t="str">
        <f t="shared" si="3"/>
        <v>2011</v>
      </c>
      <c r="AC15" s="8">
        <f>'Aggregates (% GDP) Oct24'!F68</f>
        <v>1.8421102959281492</v>
      </c>
      <c r="AD15" s="8">
        <f>'Aggregates (% GDP) Mar24'!F68</f>
        <v>1.8421102959281492</v>
      </c>
      <c r="AE15" s="8">
        <f t="shared" si="0"/>
        <v>2.1452749566555007</v>
      </c>
      <c r="AH15" s="7" t="str">
        <f>'Aggregates (% GDP) Oct24'!B68</f>
        <v>2011-12</v>
      </c>
      <c r="AI15" s="7" t="str">
        <f t="shared" si="4"/>
        <v>2011</v>
      </c>
      <c r="AJ15" s="8">
        <f>-('Aggregates (% GDP) Oct24'!M68-'Aggregates (% GDP) Oct24'!M67)</f>
        <v>-1.4113886926947146</v>
      </c>
      <c r="AK15" s="8"/>
    </row>
    <row r="16" spans="1:58">
      <c r="A16" t="s">
        <v>14</v>
      </c>
      <c r="B16" s="8">
        <f t="shared" si="13"/>
        <v>6.2707014707623326E-2</v>
      </c>
      <c r="C16" s="8">
        <f t="shared" si="13"/>
        <v>-0.52067492306564456</v>
      </c>
      <c r="D16" s="8">
        <f t="shared" si="13"/>
        <v>-0.63541949858098834</v>
      </c>
      <c r="E16" s="8">
        <f t="shared" si="13"/>
        <v>-0.75205190210365735</v>
      </c>
      <c r="F16" s="8">
        <f t="shared" si="13"/>
        <v>-0.78361124500306478</v>
      </c>
      <c r="G16" s="8">
        <f t="shared" si="13"/>
        <v>-0.68069132919978426</v>
      </c>
      <c r="I16" s="7" t="s">
        <v>131</v>
      </c>
      <c r="J16" s="7" t="str">
        <f t="shared" si="1"/>
        <v>2012</v>
      </c>
      <c r="K16" s="8">
        <v>77.5</v>
      </c>
      <c r="L16" s="8">
        <v>76.2</v>
      </c>
      <c r="M16" s="8">
        <v>69.724359537403004</v>
      </c>
      <c r="N16" s="8">
        <v>58.751602986385592</v>
      </c>
      <c r="P16" s="8">
        <f t="shared" si="10"/>
        <v>3.2000000000000028</v>
      </c>
      <c r="Q16" s="8">
        <f t="shared" si="2"/>
        <v>1.6000000000000085</v>
      </c>
      <c r="R16" s="8">
        <f t="shared" si="2"/>
        <v>4.7074411263658931</v>
      </c>
      <c r="S16" s="8">
        <f t="shared" si="2"/>
        <v>4.0711742677049614</v>
      </c>
      <c r="V16" s="8"/>
      <c r="W16" s="8"/>
      <c r="X16" s="8"/>
      <c r="Y16" s="8"/>
      <c r="AA16" s="7" t="str">
        <f>'Aggregates (% GDP) Oct24'!B69</f>
        <v>2012-13</v>
      </c>
      <c r="AB16" s="7" t="str">
        <f t="shared" si="3"/>
        <v>2012</v>
      </c>
      <c r="AC16" s="8">
        <f>'Aggregates (% GDP) Oct24'!F69</f>
        <v>1.8798624502199279</v>
      </c>
      <c r="AD16" s="8">
        <f>'Aggregates (% GDP) Mar24'!F69</f>
        <v>1.8798624502199279</v>
      </c>
      <c r="AE16" s="8">
        <f t="shared" si="0"/>
        <v>2.1452749566555007</v>
      </c>
      <c r="AH16" s="7" t="str">
        <f>'Aggregates (% GDP) Oct24'!B69</f>
        <v>2012-13</v>
      </c>
      <c r="AI16" s="7" t="str">
        <f t="shared" si="4"/>
        <v>2012</v>
      </c>
      <c r="AJ16" s="8">
        <f>-('Aggregates (% GDP) Oct24'!M69-'Aggregates (% GDP) Oct24'!M68)</f>
        <v>0.44780764910407056</v>
      </c>
      <c r="AK16" s="8"/>
    </row>
    <row r="17" spans="1:37">
      <c r="A17" t="s">
        <v>21</v>
      </c>
      <c r="B17" s="8">
        <f t="shared" si="13"/>
        <v>-0.87772056563843326</v>
      </c>
      <c r="C17" s="8">
        <f t="shared" si="13"/>
        <v>-1.340500640145242</v>
      </c>
      <c r="D17" s="8">
        <f t="shared" si="13"/>
        <v>-1.1548030290569091</v>
      </c>
      <c r="E17" s="8">
        <f t="shared" si="13"/>
        <v>-1.1549142980248439</v>
      </c>
      <c r="F17" s="8">
        <f t="shared" si="13"/>
        <v>-1.1825073370303107</v>
      </c>
      <c r="G17" s="8">
        <f t="shared" si="13"/>
        <v>-0.9710705708238222</v>
      </c>
      <c r="I17" s="7" t="s">
        <v>132</v>
      </c>
      <c r="J17" s="7" t="str">
        <f t="shared" si="1"/>
        <v>2013</v>
      </c>
      <c r="K17" s="8">
        <v>79.2</v>
      </c>
      <c r="L17" s="8">
        <v>77</v>
      </c>
      <c r="M17" s="8">
        <v>70.718374375470546</v>
      </c>
      <c r="N17" s="8">
        <v>56.32696844842927</v>
      </c>
      <c r="P17" s="8">
        <f t="shared" si="10"/>
        <v>1.7000000000000028</v>
      </c>
      <c r="Q17" s="8">
        <f t="shared" si="2"/>
        <v>0.79999999999999716</v>
      </c>
      <c r="R17" s="8">
        <f t="shared" si="2"/>
        <v>0.99401483806754243</v>
      </c>
      <c r="S17" s="8">
        <f t="shared" si="2"/>
        <v>-2.4246345379563223</v>
      </c>
      <c r="V17" s="8"/>
      <c r="W17" s="8"/>
      <c r="X17" s="8"/>
      <c r="Y17" s="8"/>
      <c r="AA17" s="7" t="str">
        <f>'Aggregates (% GDP) Oct24'!B70</f>
        <v>2013-14</v>
      </c>
      <c r="AB17" s="7" t="str">
        <f t="shared" si="3"/>
        <v>2013</v>
      </c>
      <c r="AC17" s="8">
        <f>'Aggregates (% GDP) Oct24'!F70</f>
        <v>1.4526682606620382</v>
      </c>
      <c r="AD17" s="8">
        <f>'Aggregates (% GDP) Mar24'!F70</f>
        <v>1.4526682606620382</v>
      </c>
      <c r="AE17" s="8">
        <f t="shared" si="0"/>
        <v>2.1452749566555007</v>
      </c>
      <c r="AH17" s="7" t="str">
        <f>'Aggregates (% GDP) Oct24'!B70</f>
        <v>2013-14</v>
      </c>
      <c r="AI17" s="7" t="str">
        <f t="shared" si="4"/>
        <v>2013</v>
      </c>
      <c r="AJ17" s="8">
        <f>-('Aggregates (% GDP) Oct24'!M70-'Aggregates (% GDP) Oct24'!M69)</f>
        <v>-0.91274836753034538</v>
      </c>
      <c r="AK17" s="8"/>
    </row>
    <row r="18" spans="1:37">
      <c r="I18" s="7" t="s">
        <v>133</v>
      </c>
      <c r="J18" s="7" t="str">
        <f t="shared" si="1"/>
        <v>2014</v>
      </c>
      <c r="K18" s="8">
        <v>81.599999999999994</v>
      </c>
      <c r="L18" s="8">
        <v>79.2</v>
      </c>
      <c r="M18" s="8">
        <v>72.913428037864634</v>
      </c>
      <c r="N18" s="8">
        <v>53.457799987120858</v>
      </c>
      <c r="P18" s="8">
        <f t="shared" si="10"/>
        <v>2.3999999999999915</v>
      </c>
      <c r="Q18" s="8">
        <f t="shared" si="2"/>
        <v>2.2000000000000028</v>
      </c>
      <c r="R18" s="8">
        <f t="shared" si="2"/>
        <v>2.1950536623940877</v>
      </c>
      <c r="S18" s="8">
        <f t="shared" si="2"/>
        <v>-2.8691684613084121</v>
      </c>
      <c r="V18" s="8"/>
      <c r="W18" s="8"/>
      <c r="X18" s="8"/>
      <c r="Y18" s="8"/>
      <c r="AA18" s="7" t="str">
        <f>'Aggregates (% GDP) Oct24'!B71</f>
        <v>2014-15</v>
      </c>
      <c r="AB18" s="7" t="str">
        <f t="shared" si="3"/>
        <v>2014</v>
      </c>
      <c r="AC18" s="8">
        <f>'Aggregates (% GDP) Oct24'!F71</f>
        <v>1.9291310032398354</v>
      </c>
      <c r="AD18" s="8">
        <f>'Aggregates (% GDP) Mar24'!F71</f>
        <v>1.9291310032398354</v>
      </c>
      <c r="AE18" s="8">
        <f t="shared" si="0"/>
        <v>2.1452749566555007</v>
      </c>
      <c r="AH18" s="7" t="str">
        <f>'Aggregates (% GDP) Oct24'!B71</f>
        <v>2014-15</v>
      </c>
      <c r="AI18" s="7" t="str">
        <f t="shared" si="4"/>
        <v>2014</v>
      </c>
      <c r="AJ18" s="8">
        <f>-('Aggregates (% GDP) Oct24'!M71-'Aggregates (% GDP) Oct24'!M70)</f>
        <v>0.36659488476959057</v>
      </c>
      <c r="AK18" s="8"/>
    </row>
    <row r="19" spans="1:37">
      <c r="I19" s="7" t="s">
        <v>134</v>
      </c>
      <c r="J19" s="7" t="str">
        <f t="shared" si="1"/>
        <v>2015</v>
      </c>
      <c r="K19" s="8">
        <v>81.3</v>
      </c>
      <c r="L19" s="8">
        <v>78.900000000000006</v>
      </c>
      <c r="M19" s="8">
        <v>73.981932737388249</v>
      </c>
      <c r="N19" s="8">
        <v>51.95063393136212</v>
      </c>
      <c r="P19" s="8">
        <f t="shared" si="10"/>
        <v>-0.29999999999999716</v>
      </c>
      <c r="Q19" s="8">
        <f t="shared" si="2"/>
        <v>-0.29999999999999716</v>
      </c>
      <c r="R19" s="8">
        <f t="shared" si="2"/>
        <v>1.0685046995236149</v>
      </c>
      <c r="S19" s="8">
        <f t="shared" si="2"/>
        <v>-1.5071660557587379</v>
      </c>
      <c r="V19" s="8"/>
      <c r="W19" s="8"/>
      <c r="X19" s="8"/>
      <c r="Y19" s="8"/>
      <c r="AA19" s="7" t="str">
        <f>'Aggregates (% GDP) Oct24'!B72</f>
        <v>2015-16</v>
      </c>
      <c r="AB19" s="7" t="str">
        <f t="shared" si="3"/>
        <v>2015</v>
      </c>
      <c r="AC19" s="8">
        <f>'Aggregates (% GDP) Oct24'!F72</f>
        <v>1.6691682625122926</v>
      </c>
      <c r="AD19" s="8">
        <f>'Aggregates (% GDP) Mar24'!F72</f>
        <v>1.6691682625122926</v>
      </c>
      <c r="AE19" s="8">
        <f t="shared" si="0"/>
        <v>2.1452749566555007</v>
      </c>
      <c r="AH19" s="7" t="str">
        <f>'Aggregates (% GDP) Oct24'!B72</f>
        <v>2015-16</v>
      </c>
      <c r="AI19" s="7" t="str">
        <f t="shared" si="4"/>
        <v>2015</v>
      </c>
      <c r="AJ19" s="8">
        <f>-('Aggregates (% GDP) Oct24'!M72-'Aggregates (% GDP) Oct24'!M71)</f>
        <v>-0.50198667639895156</v>
      </c>
      <c r="AK19" s="8"/>
    </row>
    <row r="20" spans="1:37">
      <c r="I20" s="7" t="s">
        <v>135</v>
      </c>
      <c r="J20" s="7" t="str">
        <f t="shared" si="1"/>
        <v>2016</v>
      </c>
      <c r="K20" s="8">
        <v>83.5</v>
      </c>
      <c r="L20" s="8">
        <v>77.400000000000006</v>
      </c>
      <c r="M20" s="8">
        <v>74.221682188591373</v>
      </c>
      <c r="N20" s="8">
        <v>61.429268335273562</v>
      </c>
      <c r="P20" s="8">
        <f t="shared" si="10"/>
        <v>2.2000000000000028</v>
      </c>
      <c r="Q20" s="8">
        <f t="shared" si="2"/>
        <v>-1.5</v>
      </c>
      <c r="R20" s="8">
        <f t="shared" si="2"/>
        <v>0.23974945120312441</v>
      </c>
      <c r="S20" s="8">
        <f t="shared" si="2"/>
        <v>9.4786344039114425</v>
      </c>
      <c r="V20" s="8"/>
      <c r="W20" s="8"/>
      <c r="X20" s="8"/>
      <c r="Y20" s="8"/>
      <c r="AA20" s="7" t="str">
        <f>'Aggregates (% GDP) Oct24'!B73</f>
        <v>2016-17</v>
      </c>
      <c r="AB20" s="7" t="str">
        <f t="shared" si="3"/>
        <v>2016</v>
      </c>
      <c r="AC20" s="8">
        <f>'Aggregates (% GDP) Oct24'!F73</f>
        <v>1.8101862083179174</v>
      </c>
      <c r="AD20" s="8">
        <f>'Aggregates (% GDP) Mar24'!F73</f>
        <v>1.8101862083179174</v>
      </c>
      <c r="AE20" s="8">
        <f t="shared" si="0"/>
        <v>2.1452749566555007</v>
      </c>
      <c r="AH20" s="7" t="str">
        <f>'Aggregates (% GDP) Oct24'!B73</f>
        <v>2016-17</v>
      </c>
      <c r="AI20" s="7" t="str">
        <f t="shared" si="4"/>
        <v>2016</v>
      </c>
      <c r="AJ20" s="8">
        <f>-('Aggregates (% GDP) Oct24'!M73-'Aggregates (% GDP) Oct24'!M72)</f>
        <v>-1.4760004908741737</v>
      </c>
      <c r="AK20" s="8"/>
    </row>
    <row r="21" spans="1:37">
      <c r="I21" s="7" t="s">
        <v>136</v>
      </c>
      <c r="J21" s="7" t="str">
        <f t="shared" si="1"/>
        <v>2017</v>
      </c>
      <c r="K21" s="8">
        <v>82.3</v>
      </c>
      <c r="L21" s="8">
        <v>73.7</v>
      </c>
      <c r="M21" s="8">
        <v>70.188463552040062</v>
      </c>
      <c r="N21" s="8">
        <v>63.049302680248104</v>
      </c>
      <c r="P21" s="8">
        <f t="shared" si="10"/>
        <v>-1.2000000000000028</v>
      </c>
      <c r="Q21" s="8">
        <f t="shared" si="10"/>
        <v>-3.7000000000000028</v>
      </c>
      <c r="R21" s="8">
        <f t="shared" si="10"/>
        <v>-4.033218636551311</v>
      </c>
      <c r="S21" s="8">
        <f t="shared" si="10"/>
        <v>1.6200343449745418</v>
      </c>
      <c r="V21" s="8"/>
      <c r="W21" s="8"/>
      <c r="X21" s="8"/>
      <c r="Y21" s="8"/>
      <c r="AA21" s="7" t="str">
        <f>'Aggregates (% GDP) Oct24'!B74</f>
        <v>2017-18</v>
      </c>
      <c r="AB21" s="7" t="str">
        <f t="shared" si="3"/>
        <v>2017</v>
      </c>
      <c r="AC21" s="8">
        <f>'Aggregates (% GDP) Oct24'!F74</f>
        <v>2.2089204920126089</v>
      </c>
      <c r="AD21" s="8">
        <f>'Aggregates (% GDP) Mar24'!F74</f>
        <v>2.2089204920126089</v>
      </c>
      <c r="AE21" s="8">
        <f t="shared" si="0"/>
        <v>2.1452749566555007</v>
      </c>
      <c r="AH21" s="7" t="str">
        <f>'Aggregates (% GDP) Oct24'!B74</f>
        <v>2017-18</v>
      </c>
      <c r="AI21" s="7" t="str">
        <f t="shared" si="4"/>
        <v>2017</v>
      </c>
      <c r="AJ21" s="8">
        <f>-('Aggregates (% GDP) Oct24'!M74-'Aggregates (% GDP) Oct24'!M73)</f>
        <v>8.0590287086505841E-2</v>
      </c>
      <c r="AK21" s="8"/>
    </row>
    <row r="22" spans="1:37">
      <c r="I22" s="7" t="s">
        <v>137</v>
      </c>
      <c r="J22" s="7" t="str">
        <f t="shared" si="1"/>
        <v>2018</v>
      </c>
      <c r="K22" s="8">
        <v>80.3</v>
      </c>
      <c r="L22" s="8">
        <v>72.3</v>
      </c>
      <c r="M22" s="8">
        <v>66.982374472395733</v>
      </c>
      <c r="N22" s="8">
        <v>58.905420957847923</v>
      </c>
      <c r="P22" s="8">
        <f t="shared" si="10"/>
        <v>-2</v>
      </c>
      <c r="Q22" s="8">
        <f t="shared" si="10"/>
        <v>-1.4000000000000057</v>
      </c>
      <c r="R22" s="8">
        <f t="shared" si="10"/>
        <v>-3.2060890796443289</v>
      </c>
      <c r="S22" s="8">
        <f t="shared" si="10"/>
        <v>-4.1438817224001809</v>
      </c>
      <c r="V22" s="8"/>
      <c r="W22" s="8"/>
      <c r="X22" s="8"/>
      <c r="Y22" s="8"/>
      <c r="AA22" s="7" t="str">
        <f>'Aggregates (% GDP) Oct24'!B75</f>
        <v>2018-19</v>
      </c>
      <c r="AB22" s="7" t="str">
        <f t="shared" si="3"/>
        <v>2018</v>
      </c>
      <c r="AC22" s="8">
        <f>'Aggregates (% GDP) Oct24'!F75</f>
        <v>2.1001280319017037</v>
      </c>
      <c r="AD22" s="8">
        <f>'Aggregates (% GDP) Mar24'!F75</f>
        <v>2.1001280319017037</v>
      </c>
      <c r="AE22" s="8">
        <f t="shared" si="0"/>
        <v>2.1452749566555007</v>
      </c>
      <c r="AH22" s="7" t="str">
        <f>'Aggregates (% GDP) Oct24'!B75</f>
        <v>2018-19</v>
      </c>
      <c r="AI22" s="7" t="str">
        <f t="shared" si="4"/>
        <v>2018</v>
      </c>
      <c r="AJ22" s="8">
        <f>-('Aggregates (% GDP) Oct24'!M75-'Aggregates (% GDP) Oct24'!M74)</f>
        <v>-0.22729184429573124</v>
      </c>
      <c r="AK22" s="8"/>
    </row>
    <row r="23" spans="1:37">
      <c r="I23" s="7" t="s">
        <v>138</v>
      </c>
      <c r="J23" s="7" t="str">
        <f t="shared" si="1"/>
        <v>2019</v>
      </c>
      <c r="K23" s="8">
        <v>85.2</v>
      </c>
      <c r="L23" s="8">
        <v>77.099999999999994</v>
      </c>
      <c r="M23" s="8">
        <v>74.576334545454557</v>
      </c>
      <c r="N23" s="8">
        <v>67.191348760330584</v>
      </c>
      <c r="P23" s="8">
        <f t="shared" si="10"/>
        <v>4.9000000000000057</v>
      </c>
      <c r="Q23" s="8">
        <f t="shared" si="10"/>
        <v>4.7999999999999972</v>
      </c>
      <c r="R23" s="8">
        <f t="shared" si="10"/>
        <v>7.5939600730588239</v>
      </c>
      <c r="S23" s="8">
        <f t="shared" si="10"/>
        <v>8.2859278024826608</v>
      </c>
      <c r="V23" s="8"/>
      <c r="W23" s="8"/>
      <c r="X23" s="8"/>
      <c r="Y23" s="8"/>
      <c r="AA23" s="7" t="str">
        <f>'Aggregates (% GDP) Oct24'!B76</f>
        <v>2019-20</v>
      </c>
      <c r="AB23" s="7" t="str">
        <f t="shared" si="3"/>
        <v>2019</v>
      </c>
      <c r="AC23" s="8">
        <f>'Aggregates (% GDP) Oct24'!F76</f>
        <v>1.8937326604615976</v>
      </c>
      <c r="AD23" s="8">
        <f>'Aggregates (% GDP) Mar24'!F76</f>
        <v>1.8960048723351073</v>
      </c>
      <c r="AE23" s="8">
        <f t="shared" si="0"/>
        <v>2.1452749566555007</v>
      </c>
      <c r="AH23" s="7" t="str">
        <f>'Aggregates (% GDP) Oct24'!B76</f>
        <v>2019-20</v>
      </c>
      <c r="AI23" s="7" t="str">
        <f t="shared" si="4"/>
        <v>2019</v>
      </c>
      <c r="AJ23" s="8">
        <f>-('Aggregates (% GDP) Oct24'!M76-'Aggregates (% GDP) Oct24'!M75)</f>
        <v>1.0124526656389075</v>
      </c>
      <c r="AK23" s="8"/>
    </row>
    <row r="24" spans="1:37">
      <c r="I24" s="7" t="s">
        <v>139</v>
      </c>
      <c r="J24" s="7" t="str">
        <f t="shared" si="1"/>
        <v>2020</v>
      </c>
      <c r="K24" s="8">
        <v>96.5</v>
      </c>
      <c r="L24" s="8">
        <v>86.5</v>
      </c>
      <c r="M24" s="8">
        <v>83.079863382899632</v>
      </c>
      <c r="N24" s="8">
        <v>73.560622676579925</v>
      </c>
      <c r="P24" s="8">
        <f t="shared" si="10"/>
        <v>11.299999999999997</v>
      </c>
      <c r="Q24" s="8">
        <f t="shared" si="10"/>
        <v>9.4000000000000057</v>
      </c>
      <c r="R24" s="8">
        <f t="shared" si="10"/>
        <v>8.5035288374450744</v>
      </c>
      <c r="S24" s="8">
        <f t="shared" si="10"/>
        <v>6.369273916249341</v>
      </c>
      <c r="V24" s="8"/>
      <c r="W24" s="8"/>
      <c r="X24" s="8"/>
      <c r="Y24" s="8"/>
      <c r="AA24" s="7" t="str">
        <f>'Aggregates (% GDP) Oct24'!B77</f>
        <v>2020-21</v>
      </c>
      <c r="AB24" s="7" t="str">
        <f t="shared" si="3"/>
        <v>2020</v>
      </c>
      <c r="AC24" s="8">
        <f>'Aggregates (% GDP) Oct24'!F77</f>
        <v>3.4413002066103813</v>
      </c>
      <c r="AD24" s="8">
        <f>'Aggregates (% GDP) Mar24'!F77</f>
        <v>3.4519952193772534</v>
      </c>
      <c r="AE24" s="8">
        <f t="shared" si="0"/>
        <v>2.1452749566555007</v>
      </c>
      <c r="AH24" s="7" t="str">
        <f>'Aggregates (% GDP) Oct24'!B77</f>
        <v>2020-21</v>
      </c>
      <c r="AI24" s="7" t="str">
        <f t="shared" si="4"/>
        <v>2020</v>
      </c>
      <c r="AJ24" s="8">
        <f>-('Aggregates (% GDP) Oct24'!M77-'Aggregates (% GDP) Oct24'!M76)</f>
        <v>12.342741415791069</v>
      </c>
      <c r="AK24" s="8"/>
    </row>
    <row r="25" spans="1:37">
      <c r="I25" s="7" t="s">
        <v>140</v>
      </c>
      <c r="J25" s="7" t="str">
        <f t="shared" si="1"/>
        <v>2021</v>
      </c>
      <c r="K25" s="8">
        <v>96.6</v>
      </c>
      <c r="L25" s="8">
        <v>83.2</v>
      </c>
      <c r="M25" s="8">
        <v>80.629862920498937</v>
      </c>
      <c r="N25" s="8">
        <v>67.135032379992452</v>
      </c>
      <c r="P25" s="8">
        <f t="shared" si="10"/>
        <v>9.9999999999994316E-2</v>
      </c>
      <c r="Q25" s="8">
        <f t="shared" si="10"/>
        <v>-3.2999999999999972</v>
      </c>
      <c r="R25" s="8">
        <f t="shared" si="10"/>
        <v>-2.4500004624006948</v>
      </c>
      <c r="S25" s="8">
        <f t="shared" si="10"/>
        <v>-6.4255902965874725</v>
      </c>
      <c r="V25" s="8"/>
      <c r="W25" s="8"/>
      <c r="X25" s="8"/>
      <c r="Y25" s="8"/>
      <c r="AA25" s="7" t="str">
        <f>'Aggregates (% GDP) Oct24'!B78</f>
        <v>2021-22</v>
      </c>
      <c r="AB25" s="7" t="str">
        <f t="shared" si="3"/>
        <v>2021</v>
      </c>
      <c r="AC25" s="8">
        <f>'Aggregates (% GDP) Oct24'!F78</f>
        <v>2.2556225443706817</v>
      </c>
      <c r="AD25" s="8">
        <f>'Aggregates (% GDP) Mar24'!F78</f>
        <v>2.3021101476764665</v>
      </c>
      <c r="AE25" s="8">
        <f t="shared" si="0"/>
        <v>2.1452749566555007</v>
      </c>
      <c r="AH25" s="7" t="str">
        <f>'Aggregates (% GDP) Oct24'!B78</f>
        <v>2021-22</v>
      </c>
      <c r="AI25" s="7" t="str">
        <f t="shared" si="4"/>
        <v>2021</v>
      </c>
      <c r="AJ25" s="8">
        <f>-('Aggregates (% GDP) Oct24'!M78-'Aggregates (% GDP) Oct24'!M77)</f>
        <v>-10.050777691590488</v>
      </c>
      <c r="AK25" s="8"/>
    </row>
    <row r="26" spans="1:37">
      <c r="I26" s="7" t="s">
        <v>141</v>
      </c>
      <c r="J26" s="7" t="str">
        <f t="shared" si="1"/>
        <v>2022</v>
      </c>
      <c r="K26" s="8">
        <v>95.7</v>
      </c>
      <c r="L26" s="8">
        <v>84.8</v>
      </c>
      <c r="M26" s="8">
        <v>81.311359589041089</v>
      </c>
      <c r="N26" s="8">
        <v>69.332773972602737</v>
      </c>
      <c r="P26" s="8">
        <f t="shared" si="10"/>
        <v>-0.89999999999999147</v>
      </c>
      <c r="Q26" s="8">
        <f t="shared" si="10"/>
        <v>1.5999999999999943</v>
      </c>
      <c r="R26" s="8">
        <f t="shared" si="10"/>
        <v>0.68149666854215241</v>
      </c>
      <c r="S26" s="8">
        <f t="shared" si="10"/>
        <v>2.197741592610285</v>
      </c>
      <c r="V26" s="8"/>
      <c r="W26" s="8"/>
      <c r="X26" s="8"/>
      <c r="Y26" s="8"/>
      <c r="AA26" s="7" t="str">
        <f>'Aggregates (% GDP) Oct24'!B79</f>
        <v>2022-23</v>
      </c>
      <c r="AB26" s="7" t="str">
        <f t="shared" si="3"/>
        <v>2022</v>
      </c>
      <c r="AC26" s="8">
        <f>'Aggregates (% GDP) Oct24'!F79</f>
        <v>1.7994299820660153</v>
      </c>
      <c r="AD26" s="8">
        <f>'Aggregates (% GDP) Mar24'!F79</f>
        <v>1.7982158446499423</v>
      </c>
      <c r="AE26" s="8">
        <f t="shared" si="0"/>
        <v>2.1452749566555007</v>
      </c>
      <c r="AH26" s="7" t="str">
        <f>'Aggregates (% GDP) Oct24'!B79</f>
        <v>2022-23</v>
      </c>
      <c r="AI26" s="7" t="str">
        <f t="shared" si="4"/>
        <v>2022</v>
      </c>
      <c r="AJ26" s="8">
        <f>-('Aggregates (% GDP) Oct24'!M79-'Aggregates (% GDP) Oct24'!M78)</f>
        <v>-2.0594821789399074</v>
      </c>
      <c r="AK26" s="8"/>
    </row>
    <row r="27" spans="1:37">
      <c r="I27" s="7" t="s">
        <v>0</v>
      </c>
      <c r="J27" s="7" t="str">
        <f t="shared" si="1"/>
        <v>2023</v>
      </c>
      <c r="K27" s="8">
        <v>97.810367923129988</v>
      </c>
      <c r="L27" s="8">
        <v>88.853958473360478</v>
      </c>
      <c r="M27" s="8">
        <v>82.794795308586217</v>
      </c>
      <c r="N27" s="8">
        <v>69.878036960248934</v>
      </c>
      <c r="P27" s="8">
        <f t="shared" si="10"/>
        <v>2.110367923129985</v>
      </c>
      <c r="Q27" s="8">
        <f t="shared" si="10"/>
        <v>4.0539584733604812</v>
      </c>
      <c r="R27" s="8">
        <f t="shared" si="10"/>
        <v>1.4834357195451275</v>
      </c>
      <c r="S27" s="8">
        <f t="shared" si="10"/>
        <v>0.54526298764619696</v>
      </c>
      <c r="V27" s="8"/>
      <c r="W27" s="8"/>
      <c r="X27" s="8"/>
      <c r="Y27" s="8"/>
      <c r="AA27" s="7" t="str">
        <f>'Aggregates (% GDP) Oct24'!B80</f>
        <v>2023-24</v>
      </c>
      <c r="AB27" s="7" t="str">
        <f t="shared" si="3"/>
        <v>2023</v>
      </c>
      <c r="AC27" s="8">
        <f>'Aggregates (% GDP) Oct24'!F80</f>
        <v>2.556545816006635</v>
      </c>
      <c r="AD27" s="8">
        <f>'Aggregates (% GDP) Mar24'!F80</f>
        <v>2.6051806584047479</v>
      </c>
      <c r="AE27" s="8">
        <f t="shared" si="0"/>
        <v>2.1452749566555007</v>
      </c>
      <c r="AH27" s="7" t="str">
        <f>'Aggregates (% GDP) Oct24'!B80</f>
        <v>2023-24</v>
      </c>
      <c r="AI27" s="7" t="str">
        <f t="shared" si="4"/>
        <v>2023</v>
      </c>
      <c r="AJ27" s="8">
        <f>-('Aggregates (% GDP) Oct24'!M80-'Aggregates (% GDP) Oct24'!M79)</f>
        <v>-0.20463318652677676</v>
      </c>
      <c r="AK27" s="8"/>
    </row>
    <row r="28" spans="1:37">
      <c r="I28" s="7" t="s">
        <v>1</v>
      </c>
      <c r="J28" s="7" t="str">
        <f t="shared" si="1"/>
        <v>2024</v>
      </c>
      <c r="K28" s="8">
        <v>98.39558667527487</v>
      </c>
      <c r="L28" s="8">
        <v>91.752912815138501</v>
      </c>
      <c r="M28" s="8">
        <v>83.544789736520826</v>
      </c>
      <c r="N28" s="8">
        <v>69.572316302535853</v>
      </c>
      <c r="P28" s="8">
        <f t="shared" si="10"/>
        <v>0.58521875214488261</v>
      </c>
      <c r="Q28" s="8">
        <f t="shared" si="10"/>
        <v>2.8989543417780226</v>
      </c>
      <c r="R28" s="8">
        <f t="shared" si="10"/>
        <v>0.74999442793460958</v>
      </c>
      <c r="S28" s="8">
        <f t="shared" si="10"/>
        <v>-0.30572065771308132</v>
      </c>
      <c r="V28" s="8"/>
      <c r="W28" s="8"/>
      <c r="X28" s="8"/>
      <c r="Y28" s="8"/>
      <c r="AA28" s="7" t="str">
        <f>'Aggregates (% GDP) Oct24'!B81</f>
        <v>2024-25</v>
      </c>
      <c r="AB28" s="7" t="str">
        <f t="shared" si="3"/>
        <v>2024</v>
      </c>
      <c r="AC28" s="8">
        <f>'Aggregates (% GDP) Oct24'!F81</f>
        <v>2.5585173595950574</v>
      </c>
      <c r="AD28" s="8">
        <f>'Aggregates (% GDP) Mar24'!F81</f>
        <v>2.3896524150155525</v>
      </c>
      <c r="AE28" s="8">
        <f t="shared" si="0"/>
        <v>2.1452749566555007</v>
      </c>
      <c r="AH28" s="7" t="str">
        <f>'Aggregates (% GDP) Oct24'!B81</f>
        <v>2024-25</v>
      </c>
      <c r="AI28" s="7" t="str">
        <f t="shared" si="4"/>
        <v>2024</v>
      </c>
      <c r="AJ28" s="8">
        <f>-('Aggregates (% GDP) Oct24'!M81-'Aggregates (% GDP) Oct24'!M80)</f>
        <v>-0.18733024942661558</v>
      </c>
      <c r="AK28" s="8">
        <f>-('Aggregates (% GDP) Mar24'!N81-'Aggregates (% GDP) Mar24'!N80)</f>
        <v>-1.1415502689758883</v>
      </c>
    </row>
    <row r="29" spans="1:37">
      <c r="I29" s="7" t="s">
        <v>2</v>
      </c>
      <c r="J29" s="7" t="str">
        <f t="shared" si="1"/>
        <v>2025</v>
      </c>
      <c r="K29" s="8">
        <v>96.92174393685228</v>
      </c>
      <c r="L29" s="8">
        <v>93.140493296167065</v>
      </c>
      <c r="M29" s="8">
        <v>83.791436212032806</v>
      </c>
      <c r="N29" s="8">
        <v>69.261947954335284</v>
      </c>
      <c r="P29" s="8">
        <f t="shared" si="10"/>
        <v>-1.4738427384225901</v>
      </c>
      <c r="Q29" s="8">
        <f t="shared" si="10"/>
        <v>1.3875804810285643</v>
      </c>
      <c r="R29" s="8">
        <f t="shared" si="10"/>
        <v>0.24664647551198016</v>
      </c>
      <c r="S29" s="8">
        <f t="shared" si="10"/>
        <v>-0.31036834820056924</v>
      </c>
      <c r="V29" s="8"/>
      <c r="W29" s="8"/>
      <c r="X29" s="8"/>
      <c r="Y29" s="8"/>
      <c r="AA29" s="7" t="str">
        <f>'Aggregates (% GDP) Oct24'!B82</f>
        <v>2025-26</v>
      </c>
      <c r="AB29" s="7" t="str">
        <f t="shared" si="3"/>
        <v>2025</v>
      </c>
      <c r="AC29" s="8">
        <f>'Aggregates (% GDP) Oct24'!F82</f>
        <v>2.6919810578913785</v>
      </c>
      <c r="AD29" s="8">
        <f>'Aggregates (% GDP) Mar24'!F82</f>
        <v>2.1199635329498867</v>
      </c>
      <c r="AE29" s="8">
        <f t="shared" si="0"/>
        <v>2.1452749566555007</v>
      </c>
      <c r="AH29" s="7" t="str">
        <f>'Aggregates (% GDP) Oct24'!B82</f>
        <v>2025-26</v>
      </c>
      <c r="AI29" s="7" t="str">
        <f t="shared" si="4"/>
        <v>2025</v>
      </c>
      <c r="AJ29" s="8">
        <f>-('Aggregates (% GDP) Oct24'!M82-'Aggregates (% GDP) Oct24'!M81)</f>
        <v>-0.76306603711390997</v>
      </c>
      <c r="AK29" s="8">
        <f>-('Aggregates (% GDP) Mar24'!N82-'Aggregates (% GDP) Mar24'!N81)</f>
        <v>-0.5731333315660625</v>
      </c>
    </row>
    <row r="30" spans="1:37">
      <c r="I30" s="7" t="s">
        <v>3</v>
      </c>
      <c r="J30" s="7" t="str">
        <f t="shared" si="1"/>
        <v>2026</v>
      </c>
      <c r="K30" s="8">
        <v>96.966300507515726</v>
      </c>
      <c r="L30" s="8">
        <v>94.384385925608811</v>
      </c>
      <c r="M30" s="8">
        <v>84.227751092845665</v>
      </c>
      <c r="N30" s="8">
        <v>69.189136625057131</v>
      </c>
      <c r="P30" s="8">
        <f t="shared" si="10"/>
        <v>4.4556570663445427E-2</v>
      </c>
      <c r="Q30" s="8">
        <f t="shared" si="10"/>
        <v>1.2438926294417456</v>
      </c>
      <c r="R30" s="8">
        <f t="shared" si="10"/>
        <v>0.43631488081285852</v>
      </c>
      <c r="S30" s="8">
        <f t="shared" si="10"/>
        <v>-7.2811329278152925E-2</v>
      </c>
      <c r="V30" s="8"/>
      <c r="W30" s="8"/>
      <c r="X30" s="8"/>
      <c r="Y30" s="8"/>
      <c r="AA30" s="7" t="str">
        <f>'Aggregates (% GDP) Oct24'!B83</f>
        <v>2026-27</v>
      </c>
      <c r="AB30" s="7" t="str">
        <f t="shared" si="3"/>
        <v>2026</v>
      </c>
      <c r="AC30" s="8">
        <f>'Aggregates (% GDP) Oct24'!F83</f>
        <v>2.7207401631879549</v>
      </c>
      <c r="AD30" s="8">
        <f>'Aggregates (% GDP) Mar24'!F83</f>
        <v>1.9804927853407679</v>
      </c>
      <c r="AE30" s="8">
        <f t="shared" si="0"/>
        <v>2.1452749566555007</v>
      </c>
      <c r="AH30" s="7" t="str">
        <f>'Aggregates (% GDP) Oct24'!B83</f>
        <v>2026-27</v>
      </c>
      <c r="AI30" s="7" t="str">
        <f t="shared" si="4"/>
        <v>2026</v>
      </c>
      <c r="AJ30" s="8">
        <f>-('Aggregates (% GDP) Oct24'!M83-'Aggregates (% GDP) Oct24'!M82)</f>
        <v>-0.52998375087141847</v>
      </c>
      <c r="AK30" s="8">
        <f>-('Aggregates (% GDP) Mar24'!N83-'Aggregates (% GDP) Mar24'!N82)</f>
        <v>-0.37859779873783472</v>
      </c>
    </row>
    <row r="31" spans="1:37">
      <c r="I31" s="7" t="s">
        <v>4</v>
      </c>
      <c r="J31" s="7" t="str">
        <f t="shared" si="1"/>
        <v>2027</v>
      </c>
      <c r="K31" s="8">
        <v>97.24596903335447</v>
      </c>
      <c r="L31" s="8">
        <v>95.054133757372853</v>
      </c>
      <c r="M31" s="8">
        <v>84.100989154685948</v>
      </c>
      <c r="N31" s="8">
        <v>68.709183513082991</v>
      </c>
      <c r="P31" s="8">
        <f t="shared" si="10"/>
        <v>0.27966852583874413</v>
      </c>
      <c r="Q31" s="8">
        <f t="shared" si="10"/>
        <v>0.66974783176404173</v>
      </c>
      <c r="R31" s="8">
        <f t="shared" si="10"/>
        <v>-0.12676193815971715</v>
      </c>
      <c r="S31" s="8">
        <f t="shared" si="10"/>
        <v>-0.47995311197414026</v>
      </c>
      <c r="V31" s="8"/>
      <c r="W31" s="8"/>
      <c r="X31" s="8"/>
      <c r="Y31" s="8"/>
      <c r="AA31" s="7" t="str">
        <f>'Aggregates (% GDP) Oct24'!B84</f>
        <v>2027-28</v>
      </c>
      <c r="AB31" s="7" t="str">
        <f t="shared" si="3"/>
        <v>2027</v>
      </c>
      <c r="AC31" s="8">
        <f>'Aggregates (% GDP) Oct24'!F84</f>
        <v>2.6234059101241507</v>
      </c>
      <c r="AD31" s="8">
        <f>'Aggregates (% GDP) Mar24'!F84</f>
        <v>1.8204392784787071</v>
      </c>
      <c r="AE31" s="8">
        <f t="shared" si="0"/>
        <v>2.1452749566555007</v>
      </c>
      <c r="AH31" s="7" t="str">
        <f>'Aggregates (% GDP) Oct24'!B84</f>
        <v>2027-28</v>
      </c>
      <c r="AI31" s="7" t="str">
        <f t="shared" si="4"/>
        <v>2027</v>
      </c>
      <c r="AJ31" s="8">
        <f>-('Aggregates (% GDP) Oct24'!M84-'Aggregates (% GDP) Oct24'!M83)</f>
        <v>-0.69853766554748176</v>
      </c>
      <c r="AK31" s="8">
        <f>-('Aggregates (% GDP) Mar24'!N84-'Aggregates (% GDP) Mar24'!N83)</f>
        <v>-0.60360284454644331</v>
      </c>
    </row>
    <row r="32" spans="1:37">
      <c r="I32" s="7" t="s">
        <v>5</v>
      </c>
      <c r="J32" s="7" t="str">
        <f t="shared" si="1"/>
        <v>2028</v>
      </c>
      <c r="K32" s="8">
        <v>97.339931666562251</v>
      </c>
      <c r="L32" s="8">
        <v>95.607594350085449</v>
      </c>
      <c r="M32" s="8">
        <v>83.872927049648496</v>
      </c>
      <c r="N32" s="8">
        <v>68.37793650625656</v>
      </c>
      <c r="P32" s="8">
        <f t="shared" si="10"/>
        <v>9.3962633207780755E-2</v>
      </c>
      <c r="Q32" s="8">
        <f t="shared" si="10"/>
        <v>0.55346059271259662</v>
      </c>
      <c r="R32" s="8">
        <f t="shared" si="10"/>
        <v>-0.22806210503745206</v>
      </c>
      <c r="S32" s="8">
        <f t="shared" si="10"/>
        <v>-0.33124700682643038</v>
      </c>
      <c r="V32" s="8"/>
      <c r="W32" s="8"/>
      <c r="X32" s="8"/>
      <c r="Y32" s="8"/>
      <c r="AA32" s="7" t="str">
        <f>'Aggregates (% GDP) Oct24'!B85</f>
        <v>2028-29</v>
      </c>
      <c r="AB32" s="7" t="str">
        <f t="shared" si="3"/>
        <v>2028</v>
      </c>
      <c r="AC32" s="8">
        <f>'Aggregates (% GDP) Oct24'!F85</f>
        <v>2.4777517645841698</v>
      </c>
      <c r="AD32" s="8">
        <f>'Aggregates (% GDP) Mar24'!F85</f>
        <v>1.6542068330308228</v>
      </c>
      <c r="AE32" s="8">
        <f>AVERAGE($AD$8:$AD$27)</f>
        <v>2.1452749566555007</v>
      </c>
      <c r="AH32" s="7" t="str">
        <f>'Aggregates (% GDP) Oct24'!B85</f>
        <v>2028-29</v>
      </c>
      <c r="AI32" s="7" t="str">
        <f t="shared" si="4"/>
        <v>2028</v>
      </c>
      <c r="AJ32" s="8">
        <f>-('Aggregates (% GDP) Oct24'!M85-'Aggregates (% GDP) Oct24'!M84)</f>
        <v>-0.21076074187798249</v>
      </c>
      <c r="AK32" s="8">
        <f>-('Aggregates (% GDP) Mar24'!N85-'Aggregates (% GDP) Mar24'!N84)</f>
        <v>-0.43227168989716058</v>
      </c>
    </row>
    <row r="33" spans="9:36">
      <c r="I33" s="7" t="s">
        <v>615</v>
      </c>
      <c r="J33" s="7" t="str">
        <f t="shared" si="1"/>
        <v>2029</v>
      </c>
      <c r="K33">
        <v>97.147984898017739</v>
      </c>
      <c r="L33">
        <v>95.774656046387136</v>
      </c>
      <c r="M33">
        <v>83.417751487533224</v>
      </c>
      <c r="N33">
        <v>67.888123215257707</v>
      </c>
      <c r="P33" s="8">
        <f t="shared" ref="P33" si="14">K33-K32</f>
        <v>-0.19194676854451131</v>
      </c>
      <c r="Q33" s="8">
        <f t="shared" ref="Q33" si="15">L33-L32</f>
        <v>0.16706169630168688</v>
      </c>
      <c r="R33" s="8">
        <f t="shared" ref="R33" si="16">M33-M32</f>
        <v>-0.45517556211527221</v>
      </c>
      <c r="S33" s="8">
        <f t="shared" ref="S33" si="17">N33-N32</f>
        <v>-0.48981329099885329</v>
      </c>
      <c r="AA33" s="7" t="str">
        <f>'Aggregates (% GDP) Oct24'!B86</f>
        <v>2029-30</v>
      </c>
      <c r="AB33" s="7" t="str">
        <f t="shared" si="3"/>
        <v>2029</v>
      </c>
      <c r="AC33" s="8">
        <f>'Aggregates (% GDP) Oct24'!F86</f>
        <v>2.3699286579271828</v>
      </c>
      <c r="AE33" s="8">
        <f>AVERAGE($AD$8:$AD$27)</f>
        <v>2.1452749566555007</v>
      </c>
      <c r="AH33" s="7" t="str">
        <f>'Aggregates (% GDP) Oct24'!B86</f>
        <v>2029-30</v>
      </c>
      <c r="AI33" s="7" t="str">
        <f t="shared" si="4"/>
        <v>2029</v>
      </c>
      <c r="AJ33" s="8">
        <f>-('Aggregates (% GDP) Oct24'!M86-'Aggregates (% GDP) Oct24'!M85)</f>
        <v>-0.18679437915301866</v>
      </c>
    </row>
    <row r="36" spans="9:36">
      <c r="I36" t="s">
        <v>28</v>
      </c>
      <c r="K36">
        <v>97.6</v>
      </c>
      <c r="L36">
        <v>88.8</v>
      </c>
      <c r="M36">
        <v>82.9</v>
      </c>
      <c r="N36">
        <v>69.5</v>
      </c>
    </row>
    <row r="37" spans="9:36">
      <c r="I37" t="s">
        <v>29</v>
      </c>
      <c r="K37">
        <v>98.8</v>
      </c>
      <c r="L37">
        <v>91.7</v>
      </c>
      <c r="M37">
        <v>83.6</v>
      </c>
      <c r="N37">
        <v>70.2</v>
      </c>
    </row>
    <row r="38" spans="9:36">
      <c r="I38" t="s">
        <v>30</v>
      </c>
      <c r="K38">
        <v>96.4</v>
      </c>
      <c r="L38">
        <v>92.8</v>
      </c>
      <c r="M38">
        <v>83.2</v>
      </c>
      <c r="N38">
        <v>69.5</v>
      </c>
    </row>
    <row r="39" spans="9:36">
      <c r="I39" t="s">
        <v>31</v>
      </c>
      <c r="K39">
        <v>95.5</v>
      </c>
      <c r="L39">
        <v>93.2</v>
      </c>
      <c r="M39">
        <v>82.1</v>
      </c>
      <c r="N39">
        <v>67.900000000000006</v>
      </c>
    </row>
    <row r="40" spans="9:36">
      <c r="I40" t="s">
        <v>32</v>
      </c>
      <c r="K40">
        <v>95.1</v>
      </c>
      <c r="L40">
        <v>93.2</v>
      </c>
      <c r="M40">
        <v>80.599999999999994</v>
      </c>
      <c r="N40">
        <v>66</v>
      </c>
    </row>
    <row r="41" spans="9:36">
      <c r="I41" t="s">
        <v>33</v>
      </c>
      <c r="K41">
        <v>94.3</v>
      </c>
      <c r="L41">
        <v>92.9</v>
      </c>
      <c r="M41">
        <v>78.7</v>
      </c>
      <c r="N41">
        <v>63.9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DF3BF-2647-4CC3-9239-ED0FCC24FCC8}">
  <dimension ref="A1:HN13"/>
  <sheetViews>
    <sheetView workbookViewId="0">
      <pane xSplit="6" ySplit="1" topLeftCell="GU2" activePane="bottomRight" state="frozen"/>
      <selection pane="topRight" activeCell="G1" sqref="G1"/>
      <selection pane="bottomLeft" activeCell="A2" sqref="A2"/>
      <selection pane="bottomRight" activeCell="A15" sqref="A15"/>
    </sheetView>
  </sheetViews>
  <sheetFormatPr defaultRowHeight="1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211" width="10.7109375" customWidth="1"/>
    <col min="212" max="212" width="20.7109375" customWidth="1"/>
    <col min="213" max="214" width="15.7109375" customWidth="1"/>
    <col min="215" max="216" width="20.7109375" customWidth="1"/>
    <col min="217" max="217" width="18.7109375" customWidth="1"/>
    <col min="218" max="219" width="22.7109375" customWidth="1"/>
    <col min="220" max="220" width="13.7109375" customWidth="1"/>
    <col min="221" max="221" width="14.7109375" customWidth="1"/>
    <col min="222" max="222" width="10.7109375" customWidth="1"/>
  </cols>
  <sheetData>
    <row r="1" spans="1:222" ht="30">
      <c r="A1" s="205" t="s">
        <v>345</v>
      </c>
      <c r="B1" s="205" t="s">
        <v>346</v>
      </c>
      <c r="C1" s="205" t="s">
        <v>347</v>
      </c>
      <c r="D1" s="205" t="s">
        <v>348</v>
      </c>
      <c r="E1" s="205" t="s">
        <v>349</v>
      </c>
      <c r="F1" s="205" t="s">
        <v>350</v>
      </c>
      <c r="G1" s="205" t="s">
        <v>351</v>
      </c>
      <c r="H1" s="205" t="s">
        <v>352</v>
      </c>
      <c r="I1" s="205" t="s">
        <v>353</v>
      </c>
      <c r="J1" s="205" t="s">
        <v>354</v>
      </c>
      <c r="K1" s="205" t="s">
        <v>355</v>
      </c>
      <c r="L1" s="205" t="s">
        <v>356</v>
      </c>
      <c r="M1" s="205" t="s">
        <v>357</v>
      </c>
      <c r="N1" s="205" t="s">
        <v>358</v>
      </c>
      <c r="O1" s="205" t="s">
        <v>359</v>
      </c>
      <c r="P1" s="205" t="s">
        <v>360</v>
      </c>
      <c r="Q1" s="205" t="s">
        <v>361</v>
      </c>
      <c r="R1" s="205" t="s">
        <v>362</v>
      </c>
      <c r="S1" s="205" t="s">
        <v>363</v>
      </c>
      <c r="T1" s="205" t="s">
        <v>364</v>
      </c>
      <c r="U1" s="205" t="s">
        <v>365</v>
      </c>
      <c r="V1" s="205" t="s">
        <v>366</v>
      </c>
      <c r="W1" s="205" t="s">
        <v>367</v>
      </c>
      <c r="X1" s="205" t="s">
        <v>368</v>
      </c>
      <c r="Y1" s="205" t="s">
        <v>369</v>
      </c>
      <c r="Z1" s="205" t="s">
        <v>370</v>
      </c>
      <c r="AA1" s="205" t="s">
        <v>371</v>
      </c>
      <c r="AB1" s="205" t="s">
        <v>372</v>
      </c>
      <c r="AC1" s="205" t="s">
        <v>373</v>
      </c>
      <c r="AD1" s="205" t="s">
        <v>374</v>
      </c>
      <c r="AE1" s="205" t="s">
        <v>375</v>
      </c>
      <c r="AF1" s="205" t="s">
        <v>376</v>
      </c>
      <c r="AG1" s="205" t="s">
        <v>377</v>
      </c>
      <c r="AH1" s="205" t="s">
        <v>378</v>
      </c>
      <c r="AI1" s="205" t="s">
        <v>379</v>
      </c>
      <c r="AJ1" s="205" t="s">
        <v>380</v>
      </c>
      <c r="AK1" s="205" t="s">
        <v>381</v>
      </c>
      <c r="AL1" s="205" t="s">
        <v>382</v>
      </c>
      <c r="AM1" s="205" t="s">
        <v>383</v>
      </c>
      <c r="AN1" s="205" t="s">
        <v>384</v>
      </c>
      <c r="AO1" s="205" t="s">
        <v>385</v>
      </c>
      <c r="AP1" s="205" t="s">
        <v>386</v>
      </c>
      <c r="AQ1" s="205" t="s">
        <v>387</v>
      </c>
      <c r="AR1" s="205" t="s">
        <v>388</v>
      </c>
      <c r="AS1" s="205" t="s">
        <v>389</v>
      </c>
      <c r="AT1" s="205" t="s">
        <v>390</v>
      </c>
      <c r="AU1" s="205" t="s">
        <v>391</v>
      </c>
      <c r="AV1" s="205" t="s">
        <v>392</v>
      </c>
      <c r="AW1" s="205" t="s">
        <v>393</v>
      </c>
      <c r="AX1" s="205" t="s">
        <v>394</v>
      </c>
      <c r="AY1" s="205" t="s">
        <v>395</v>
      </c>
      <c r="AZ1" s="205" t="s">
        <v>396</v>
      </c>
      <c r="BA1" s="205" t="s">
        <v>397</v>
      </c>
      <c r="BB1" s="205" t="s">
        <v>398</v>
      </c>
      <c r="BC1" s="205" t="s">
        <v>399</v>
      </c>
      <c r="BD1" s="205" t="s">
        <v>400</v>
      </c>
      <c r="BE1" s="205" t="s">
        <v>401</v>
      </c>
      <c r="BF1" s="205" t="s">
        <v>402</v>
      </c>
      <c r="BG1" s="205" t="s">
        <v>403</v>
      </c>
      <c r="BH1" s="205" t="s">
        <v>404</v>
      </c>
      <c r="BI1" s="205" t="s">
        <v>405</v>
      </c>
      <c r="BJ1" s="205" t="s">
        <v>406</v>
      </c>
      <c r="BK1" s="205" t="s">
        <v>407</v>
      </c>
      <c r="BL1" s="205" t="s">
        <v>408</v>
      </c>
      <c r="BM1" s="205" t="s">
        <v>409</v>
      </c>
      <c r="BN1" s="205" t="s">
        <v>410</v>
      </c>
      <c r="BO1" s="205" t="s">
        <v>411</v>
      </c>
      <c r="BP1" s="205" t="s">
        <v>412</v>
      </c>
      <c r="BQ1" s="205" t="s">
        <v>413</v>
      </c>
      <c r="BR1" s="205" t="s">
        <v>414</v>
      </c>
      <c r="BS1" s="205" t="s">
        <v>415</v>
      </c>
      <c r="BT1" s="205" t="s">
        <v>416</v>
      </c>
      <c r="BU1" s="205" t="s">
        <v>417</v>
      </c>
      <c r="BV1" s="205" t="s">
        <v>418</v>
      </c>
      <c r="BW1" s="205" t="s">
        <v>419</v>
      </c>
      <c r="BX1" s="205" t="s">
        <v>420</v>
      </c>
      <c r="BY1" s="205" t="s">
        <v>421</v>
      </c>
      <c r="BZ1" s="205" t="s">
        <v>422</v>
      </c>
      <c r="CA1" s="205" t="s">
        <v>423</v>
      </c>
      <c r="CB1" s="205" t="s">
        <v>424</v>
      </c>
      <c r="CC1" s="205" t="s">
        <v>425</v>
      </c>
      <c r="CD1" s="205" t="s">
        <v>426</v>
      </c>
      <c r="CE1" s="205" t="s">
        <v>427</v>
      </c>
      <c r="CF1" s="205" t="s">
        <v>428</v>
      </c>
      <c r="CG1" s="205" t="s">
        <v>429</v>
      </c>
      <c r="CH1" s="205" t="s">
        <v>430</v>
      </c>
      <c r="CI1" s="205" t="s">
        <v>431</v>
      </c>
      <c r="CJ1" s="205" t="s">
        <v>432</v>
      </c>
      <c r="CK1" s="205" t="s">
        <v>433</v>
      </c>
      <c r="CL1" s="205" t="s">
        <v>434</v>
      </c>
      <c r="CM1" s="205" t="s">
        <v>435</v>
      </c>
      <c r="CN1" s="205" t="s">
        <v>436</v>
      </c>
      <c r="CO1" s="205" t="s">
        <v>437</v>
      </c>
      <c r="CP1" s="205" t="s">
        <v>438</v>
      </c>
      <c r="CQ1" s="205" t="s">
        <v>439</v>
      </c>
      <c r="CR1" s="205" t="s">
        <v>440</v>
      </c>
      <c r="CS1" s="205" t="s">
        <v>441</v>
      </c>
      <c r="CT1" s="205" t="s">
        <v>442</v>
      </c>
      <c r="CU1" s="205" t="s">
        <v>443</v>
      </c>
      <c r="CV1" s="205" t="s">
        <v>444</v>
      </c>
      <c r="CW1" s="205" t="s">
        <v>445</v>
      </c>
      <c r="CX1" s="205" t="s">
        <v>446</v>
      </c>
      <c r="CY1" s="205" t="s">
        <v>447</v>
      </c>
      <c r="CZ1" s="205" t="s">
        <v>448</v>
      </c>
      <c r="DA1" s="205" t="s">
        <v>449</v>
      </c>
      <c r="DB1" s="205" t="s">
        <v>450</v>
      </c>
      <c r="DC1" s="205" t="s">
        <v>451</v>
      </c>
      <c r="DD1" s="205" t="s">
        <v>452</v>
      </c>
      <c r="DE1" s="205" t="s">
        <v>453</v>
      </c>
      <c r="DF1" s="205" t="s">
        <v>454</v>
      </c>
      <c r="DG1" s="205" t="s">
        <v>455</v>
      </c>
      <c r="DH1" s="205" t="s">
        <v>456</v>
      </c>
      <c r="DI1" s="205" t="s">
        <v>457</v>
      </c>
      <c r="DJ1" s="205" t="s">
        <v>458</v>
      </c>
      <c r="DK1" s="205" t="s">
        <v>459</v>
      </c>
      <c r="DL1" s="205" t="s">
        <v>460</v>
      </c>
      <c r="DM1" s="205" t="s">
        <v>461</v>
      </c>
      <c r="DN1" s="205" t="s">
        <v>462</v>
      </c>
      <c r="DO1" s="205" t="s">
        <v>463</v>
      </c>
      <c r="DP1" s="205" t="s">
        <v>464</v>
      </c>
      <c r="DQ1" s="205" t="s">
        <v>465</v>
      </c>
      <c r="DR1" s="205" t="s">
        <v>466</v>
      </c>
      <c r="DS1" s="205" t="s">
        <v>467</v>
      </c>
      <c r="DT1" s="205" t="s">
        <v>468</v>
      </c>
      <c r="DU1" s="205" t="s">
        <v>469</v>
      </c>
      <c r="DV1" s="205" t="s">
        <v>470</v>
      </c>
      <c r="DW1" s="205" t="s">
        <v>471</v>
      </c>
      <c r="DX1" s="205" t="s">
        <v>472</v>
      </c>
      <c r="DY1" s="205" t="s">
        <v>473</v>
      </c>
      <c r="DZ1" s="205" t="s">
        <v>474</v>
      </c>
      <c r="EA1" s="205" t="s">
        <v>475</v>
      </c>
      <c r="EB1" s="205" t="s">
        <v>476</v>
      </c>
      <c r="EC1" s="205" t="s">
        <v>477</v>
      </c>
      <c r="ED1" s="205" t="s">
        <v>478</v>
      </c>
      <c r="EE1" s="205" t="s">
        <v>479</v>
      </c>
      <c r="EF1" s="205" t="s">
        <v>480</v>
      </c>
      <c r="EG1" s="205" t="s">
        <v>481</v>
      </c>
      <c r="EH1" s="205" t="s">
        <v>482</v>
      </c>
      <c r="EI1" s="205" t="s">
        <v>483</v>
      </c>
      <c r="EJ1" s="205" t="s">
        <v>484</v>
      </c>
      <c r="EK1" s="205" t="s">
        <v>485</v>
      </c>
      <c r="EL1" s="205" t="s">
        <v>486</v>
      </c>
      <c r="EM1" s="205" t="s">
        <v>487</v>
      </c>
      <c r="EN1" s="205" t="s">
        <v>488</v>
      </c>
      <c r="EO1" s="205" t="s">
        <v>489</v>
      </c>
      <c r="EP1" s="205" t="s">
        <v>490</v>
      </c>
      <c r="EQ1" s="205" t="s">
        <v>491</v>
      </c>
      <c r="ER1" s="205" t="s">
        <v>492</v>
      </c>
      <c r="ES1" s="205" t="s">
        <v>493</v>
      </c>
      <c r="ET1" s="205" t="s">
        <v>494</v>
      </c>
      <c r="EU1" s="205" t="s">
        <v>495</v>
      </c>
      <c r="EV1" s="205" t="s">
        <v>496</v>
      </c>
      <c r="EW1" s="205" t="s">
        <v>497</v>
      </c>
      <c r="EX1" s="205" t="s">
        <v>498</v>
      </c>
      <c r="EY1" s="205" t="s">
        <v>499</v>
      </c>
      <c r="EZ1" s="205" t="s">
        <v>500</v>
      </c>
      <c r="FA1" s="205" t="s">
        <v>501</v>
      </c>
      <c r="FB1" s="205" t="s">
        <v>502</v>
      </c>
      <c r="FC1" s="205" t="s">
        <v>503</v>
      </c>
      <c r="FD1" s="205" t="s">
        <v>504</v>
      </c>
      <c r="FE1" s="205" t="s">
        <v>505</v>
      </c>
      <c r="FF1" s="205" t="s">
        <v>506</v>
      </c>
      <c r="FG1" s="205" t="s">
        <v>507</v>
      </c>
      <c r="FH1" s="205" t="s">
        <v>508</v>
      </c>
      <c r="FI1" s="205" t="s">
        <v>509</v>
      </c>
      <c r="FJ1" s="205" t="s">
        <v>510</v>
      </c>
      <c r="FK1" s="205" t="s">
        <v>511</v>
      </c>
      <c r="FL1" s="205" t="s">
        <v>512</v>
      </c>
      <c r="FM1" s="205" t="s">
        <v>513</v>
      </c>
      <c r="FN1" s="205" t="s">
        <v>514</v>
      </c>
      <c r="FO1" s="205" t="s">
        <v>515</v>
      </c>
      <c r="FP1" s="205" t="s">
        <v>516</v>
      </c>
      <c r="FQ1" s="205" t="s">
        <v>517</v>
      </c>
      <c r="FR1" s="205" t="s">
        <v>518</v>
      </c>
      <c r="FS1" s="205" t="s">
        <v>519</v>
      </c>
      <c r="FT1" s="205" t="s">
        <v>520</v>
      </c>
      <c r="FU1" s="205" t="s">
        <v>521</v>
      </c>
      <c r="FV1" s="205" t="s">
        <v>522</v>
      </c>
      <c r="FW1" s="205" t="s">
        <v>523</v>
      </c>
      <c r="FX1" s="205" t="s">
        <v>524</v>
      </c>
      <c r="FY1" s="205" t="s">
        <v>525</v>
      </c>
      <c r="FZ1" s="205" t="s">
        <v>526</v>
      </c>
      <c r="GA1" s="205" t="s">
        <v>527</v>
      </c>
      <c r="GB1" s="205" t="s">
        <v>528</v>
      </c>
      <c r="GC1" s="205" t="s">
        <v>529</v>
      </c>
      <c r="GD1" s="205" t="s">
        <v>530</v>
      </c>
      <c r="GE1" s="205" t="s">
        <v>531</v>
      </c>
      <c r="GF1" s="205" t="s">
        <v>532</v>
      </c>
      <c r="GG1" s="205" t="s">
        <v>533</v>
      </c>
      <c r="GH1" s="205" t="s">
        <v>534</v>
      </c>
      <c r="GI1" s="205" t="s">
        <v>535</v>
      </c>
      <c r="GJ1" s="205" t="s">
        <v>536</v>
      </c>
      <c r="GK1" s="205" t="s">
        <v>537</v>
      </c>
      <c r="GL1" s="205" t="s">
        <v>538</v>
      </c>
      <c r="GM1" s="205" t="s">
        <v>539</v>
      </c>
      <c r="GN1" s="205" t="s">
        <v>540</v>
      </c>
      <c r="GO1" s="205" t="s">
        <v>541</v>
      </c>
      <c r="GP1" s="205" t="s">
        <v>542</v>
      </c>
      <c r="GQ1" s="205" t="s">
        <v>543</v>
      </c>
      <c r="GR1" s="205" t="s">
        <v>544</v>
      </c>
      <c r="GS1" s="205" t="s">
        <v>545</v>
      </c>
      <c r="GT1" s="205" t="s">
        <v>546</v>
      </c>
      <c r="GU1" s="205" t="s">
        <v>547</v>
      </c>
      <c r="GV1" s="205" t="s">
        <v>548</v>
      </c>
      <c r="GW1" s="205" t="s">
        <v>549</v>
      </c>
      <c r="GX1" s="205" t="s">
        <v>550</v>
      </c>
      <c r="GY1" s="205" t="s">
        <v>551</v>
      </c>
      <c r="GZ1" s="205" t="s">
        <v>552</v>
      </c>
      <c r="HA1" s="205" t="s">
        <v>553</v>
      </c>
      <c r="HB1" s="205" t="s">
        <v>554</v>
      </c>
      <c r="HC1" s="205" t="s">
        <v>555</v>
      </c>
      <c r="HD1" s="205" t="s">
        <v>556</v>
      </c>
      <c r="HE1" s="205" t="s">
        <v>557</v>
      </c>
      <c r="HF1" s="205" t="s">
        <v>558</v>
      </c>
      <c r="HG1" s="205" t="s">
        <v>559</v>
      </c>
      <c r="HH1" s="205" t="s">
        <v>560</v>
      </c>
      <c r="HI1" s="205" t="s">
        <v>561</v>
      </c>
      <c r="HJ1" s="205" t="s">
        <v>562</v>
      </c>
      <c r="HK1" s="205" t="s">
        <v>563</v>
      </c>
      <c r="HL1" s="205" t="s">
        <v>564</v>
      </c>
      <c r="HM1" s="205" t="s">
        <v>565</v>
      </c>
      <c r="HN1" s="205" t="s">
        <v>566</v>
      </c>
    </row>
    <row r="2" spans="1:222">
      <c r="A2" t="s">
        <v>567</v>
      </c>
      <c r="B2" t="s">
        <v>568</v>
      </c>
      <c r="C2" s="110" t="s">
        <v>569</v>
      </c>
      <c r="D2" t="s">
        <v>570</v>
      </c>
      <c r="E2" t="s">
        <v>571</v>
      </c>
      <c r="F2" t="s">
        <v>572</v>
      </c>
      <c r="G2" s="111">
        <v>2203.6559999999999</v>
      </c>
      <c r="H2" s="111">
        <v>2273.364</v>
      </c>
      <c r="I2" s="111">
        <v>2332.9520000000002</v>
      </c>
      <c r="J2" s="111">
        <v>2420.6489999999999</v>
      </c>
      <c r="K2" s="111">
        <v>2498.2269999999999</v>
      </c>
      <c r="L2" s="111">
        <v>2399.2869999999998</v>
      </c>
      <c r="M2" s="111">
        <v>2452.13</v>
      </c>
      <c r="N2" s="111">
        <v>2560.0639999999999</v>
      </c>
      <c r="O2" s="111">
        <v>2665.75</v>
      </c>
      <c r="P2" s="111">
        <v>2569.0590000000002</v>
      </c>
      <c r="Q2" s="111">
        <v>2582.5500000000002</v>
      </c>
      <c r="R2" s="111">
        <v>2688.2359999999999</v>
      </c>
      <c r="S2" s="111">
        <v>2872.623</v>
      </c>
      <c r="T2" s="111">
        <v>2925.4659999999999</v>
      </c>
      <c r="U2" s="111">
        <v>2987.3029999999999</v>
      </c>
      <c r="V2" s="111">
        <v>3060.384</v>
      </c>
      <c r="W2" s="111">
        <v>3088.4920000000002</v>
      </c>
      <c r="X2" s="111">
        <v>3128.9670000000001</v>
      </c>
      <c r="Y2" s="111">
        <v>3185.183</v>
      </c>
      <c r="Z2" s="111">
        <v>3267.2579999999998</v>
      </c>
      <c r="AA2" s="111">
        <v>3359.4520000000002</v>
      </c>
      <c r="AB2" s="111">
        <v>3403.3</v>
      </c>
      <c r="AC2" s="111">
        <v>3447.1480000000001</v>
      </c>
      <c r="AD2" s="111">
        <v>3557.3310000000001</v>
      </c>
      <c r="AE2" s="111">
        <v>3637.1570000000002</v>
      </c>
      <c r="AF2" s="111">
        <v>3792.3130000000001</v>
      </c>
      <c r="AG2" s="111">
        <v>3863.145</v>
      </c>
      <c r="AH2" s="111">
        <v>3930.6030000000001</v>
      </c>
      <c r="AI2" s="111">
        <v>4305</v>
      </c>
      <c r="AJ2" s="111">
        <v>4334</v>
      </c>
      <c r="AK2" s="111">
        <v>4487</v>
      </c>
      <c r="AL2" s="111">
        <v>4632</v>
      </c>
      <c r="AM2" s="111">
        <v>4640</v>
      </c>
      <c r="AN2" s="111">
        <v>4879</v>
      </c>
      <c r="AO2" s="111">
        <v>5040</v>
      </c>
      <c r="AP2" s="111">
        <v>5234</v>
      </c>
      <c r="AQ2" s="111">
        <v>5239</v>
      </c>
      <c r="AR2" s="111">
        <v>5247</v>
      </c>
      <c r="AS2" s="111">
        <v>5405</v>
      </c>
      <c r="AT2" s="111">
        <v>5609</v>
      </c>
      <c r="AU2" s="111">
        <v>5594</v>
      </c>
      <c r="AV2" s="111">
        <v>5782</v>
      </c>
      <c r="AW2" s="111">
        <v>5930</v>
      </c>
      <c r="AX2" s="111">
        <v>6012</v>
      </c>
      <c r="AY2" s="111">
        <v>5974</v>
      </c>
      <c r="AZ2" s="111">
        <v>6126</v>
      </c>
      <c r="BA2" s="111">
        <v>6125</v>
      </c>
      <c r="BB2" s="111">
        <v>6492</v>
      </c>
      <c r="BC2" s="111">
        <v>6453</v>
      </c>
      <c r="BD2" s="111">
        <v>6234</v>
      </c>
      <c r="BE2" s="111">
        <v>6198</v>
      </c>
      <c r="BF2" s="111">
        <v>6517</v>
      </c>
      <c r="BG2" s="111">
        <v>6477</v>
      </c>
      <c r="BH2" s="111">
        <v>6646</v>
      </c>
      <c r="BI2" s="111">
        <v>6727</v>
      </c>
      <c r="BJ2" s="111">
        <v>6997</v>
      </c>
      <c r="BK2" s="111">
        <v>6841</v>
      </c>
      <c r="BL2" s="111">
        <v>6602</v>
      </c>
      <c r="BM2" s="111">
        <v>6704</v>
      </c>
      <c r="BN2" s="111">
        <v>6891</v>
      </c>
      <c r="BO2" s="111">
        <v>6872</v>
      </c>
      <c r="BP2" s="111">
        <v>6901</v>
      </c>
      <c r="BQ2" s="111">
        <v>6999</v>
      </c>
      <c r="BR2" s="111">
        <v>7120</v>
      </c>
      <c r="BS2" s="111">
        <v>7100</v>
      </c>
      <c r="BT2" s="111">
        <v>7308</v>
      </c>
      <c r="BU2" s="111">
        <v>7377</v>
      </c>
      <c r="BV2" s="111">
        <v>7428</v>
      </c>
      <c r="BW2" s="111">
        <v>7219</v>
      </c>
      <c r="BX2" s="111">
        <v>7704</v>
      </c>
      <c r="BY2" s="111">
        <v>8050</v>
      </c>
      <c r="BZ2" s="111">
        <v>8065</v>
      </c>
      <c r="CA2" s="111">
        <v>7887</v>
      </c>
      <c r="CB2" s="111">
        <v>8048</v>
      </c>
      <c r="CC2" s="111">
        <v>8448</v>
      </c>
      <c r="CD2" s="111">
        <v>8468</v>
      </c>
      <c r="CE2" s="111">
        <v>8757</v>
      </c>
      <c r="CF2" s="111">
        <v>8818</v>
      </c>
      <c r="CG2" s="111">
        <v>9094</v>
      </c>
      <c r="CH2" s="111">
        <v>9184</v>
      </c>
      <c r="CI2" s="111">
        <v>9313</v>
      </c>
      <c r="CJ2" s="111">
        <v>9861</v>
      </c>
      <c r="CK2" s="111">
        <v>9826</v>
      </c>
      <c r="CL2" s="111">
        <v>10195</v>
      </c>
      <c r="CM2" s="111">
        <v>10811</v>
      </c>
      <c r="CN2" s="111">
        <v>9870</v>
      </c>
      <c r="CO2" s="111">
        <v>10189</v>
      </c>
      <c r="CP2" s="111">
        <v>10298</v>
      </c>
      <c r="CQ2" s="111">
        <v>10629</v>
      </c>
      <c r="CR2" s="111">
        <v>10379</v>
      </c>
      <c r="CS2" s="111">
        <v>10146</v>
      </c>
      <c r="CT2" s="111">
        <v>10703</v>
      </c>
      <c r="CU2" s="111">
        <v>10366</v>
      </c>
      <c r="CV2" s="111">
        <v>11989</v>
      </c>
      <c r="CW2" s="111">
        <v>12409</v>
      </c>
      <c r="CX2" s="111">
        <v>12408</v>
      </c>
      <c r="CY2" s="111">
        <v>12662</v>
      </c>
      <c r="CZ2" s="111">
        <v>12920</v>
      </c>
      <c r="DA2" s="111">
        <v>13279</v>
      </c>
      <c r="DB2" s="111">
        <v>13669</v>
      </c>
      <c r="DC2" s="111">
        <v>13668</v>
      </c>
      <c r="DD2" s="111">
        <v>14205</v>
      </c>
      <c r="DE2" s="111">
        <v>14681</v>
      </c>
      <c r="DF2" s="111">
        <v>14643</v>
      </c>
      <c r="DG2" s="111">
        <v>14713</v>
      </c>
      <c r="DH2" s="111">
        <v>14863</v>
      </c>
      <c r="DI2" s="111">
        <v>15292</v>
      </c>
      <c r="DJ2" s="111">
        <v>15652</v>
      </c>
      <c r="DK2" s="111">
        <v>15661</v>
      </c>
      <c r="DL2" s="111">
        <v>16295</v>
      </c>
      <c r="DM2" s="111">
        <v>16680</v>
      </c>
      <c r="DN2" s="111">
        <v>17084</v>
      </c>
      <c r="DO2" s="111">
        <v>17891</v>
      </c>
      <c r="DP2" s="111">
        <v>17172</v>
      </c>
      <c r="DQ2" s="111">
        <v>17328</v>
      </c>
      <c r="DR2" s="111">
        <v>17305</v>
      </c>
      <c r="DS2" s="111">
        <v>16825</v>
      </c>
      <c r="DT2" s="111">
        <v>17195</v>
      </c>
      <c r="DU2" s="111">
        <v>17157</v>
      </c>
      <c r="DV2" s="111">
        <v>17618</v>
      </c>
      <c r="DW2" s="111">
        <v>18831</v>
      </c>
      <c r="DX2" s="111">
        <v>17422</v>
      </c>
      <c r="DY2" s="111">
        <v>17548</v>
      </c>
      <c r="DZ2" s="111">
        <v>17762</v>
      </c>
      <c r="EA2" s="111">
        <v>18475</v>
      </c>
      <c r="EB2" s="111">
        <v>18242</v>
      </c>
      <c r="EC2" s="111">
        <v>18350</v>
      </c>
      <c r="ED2" s="111">
        <v>18382</v>
      </c>
      <c r="EE2" s="111">
        <v>18603</v>
      </c>
      <c r="EF2" s="111">
        <v>19029</v>
      </c>
      <c r="EG2" s="111">
        <v>19095</v>
      </c>
      <c r="EH2" s="111">
        <v>18982</v>
      </c>
      <c r="EI2" s="111">
        <v>18597</v>
      </c>
      <c r="EJ2" s="111">
        <v>19598</v>
      </c>
      <c r="EK2" s="111">
        <v>19195</v>
      </c>
      <c r="EL2" s="111">
        <v>19482</v>
      </c>
      <c r="EM2" s="111">
        <v>19571</v>
      </c>
      <c r="EN2" s="111">
        <v>19575</v>
      </c>
      <c r="EO2" s="111">
        <v>19825</v>
      </c>
      <c r="EP2" s="111">
        <v>19993</v>
      </c>
      <c r="EQ2" s="111">
        <v>20426</v>
      </c>
      <c r="ER2" s="111">
        <v>20839</v>
      </c>
      <c r="ES2" s="111">
        <v>20846</v>
      </c>
      <c r="ET2" s="111">
        <v>21129</v>
      </c>
      <c r="EU2" s="111">
        <v>20549</v>
      </c>
      <c r="EV2" s="111">
        <v>22462</v>
      </c>
      <c r="EW2" s="111">
        <v>22802</v>
      </c>
      <c r="EX2" s="111">
        <v>23011</v>
      </c>
      <c r="EY2" s="111">
        <v>23425</v>
      </c>
      <c r="EZ2" s="111">
        <v>23645</v>
      </c>
      <c r="FA2" s="111">
        <v>23594</v>
      </c>
      <c r="FB2" s="111">
        <v>23997</v>
      </c>
      <c r="FC2" s="111">
        <v>24296</v>
      </c>
      <c r="FD2" s="111">
        <v>24403</v>
      </c>
      <c r="FE2" s="111">
        <v>24535</v>
      </c>
      <c r="FF2" s="111">
        <v>24830</v>
      </c>
      <c r="FG2" s="111">
        <v>25806</v>
      </c>
      <c r="FH2" s="111">
        <v>26406</v>
      </c>
      <c r="FI2" s="111">
        <v>27085</v>
      </c>
      <c r="FJ2" s="111">
        <v>27639</v>
      </c>
      <c r="FK2" s="111">
        <v>27453</v>
      </c>
      <c r="FL2" s="111">
        <v>27064</v>
      </c>
      <c r="FM2" s="111">
        <v>27978</v>
      </c>
      <c r="FN2" s="111">
        <v>28812</v>
      </c>
      <c r="FO2" s="111">
        <v>28828</v>
      </c>
      <c r="FP2" s="111">
        <v>29940</v>
      </c>
      <c r="FQ2" s="111">
        <v>30764</v>
      </c>
      <c r="FR2" s="111">
        <v>31560</v>
      </c>
      <c r="FS2" s="111">
        <v>32437</v>
      </c>
      <c r="FT2" s="111">
        <v>35271</v>
      </c>
      <c r="FU2" s="111">
        <v>35446</v>
      </c>
      <c r="FV2" s="111">
        <v>34778</v>
      </c>
      <c r="FW2" s="111">
        <v>34923</v>
      </c>
      <c r="FX2" s="111">
        <v>35305</v>
      </c>
      <c r="FY2" s="111">
        <v>35835</v>
      </c>
      <c r="FZ2" s="111">
        <v>37193</v>
      </c>
      <c r="GA2" s="111">
        <v>38998</v>
      </c>
      <c r="GB2" s="111">
        <v>37308</v>
      </c>
      <c r="GC2" s="112">
        <v>38127.699999999997</v>
      </c>
      <c r="GD2" s="112">
        <v>38385.24</v>
      </c>
      <c r="GE2" s="112">
        <v>38842.31</v>
      </c>
      <c r="GF2" s="112">
        <v>39239.57</v>
      </c>
      <c r="GG2" s="112">
        <v>39638.699999999997</v>
      </c>
      <c r="GH2" s="112">
        <v>40042.660000000003</v>
      </c>
      <c r="GI2" s="112">
        <v>40448.050000000003</v>
      </c>
      <c r="GJ2" s="112">
        <v>40902.629999999997</v>
      </c>
      <c r="GK2" s="112">
        <v>41359.82</v>
      </c>
      <c r="GL2" s="112">
        <v>41814.050000000003</v>
      </c>
      <c r="GM2" s="112">
        <v>42274.95</v>
      </c>
      <c r="GN2" s="112">
        <v>42725.16</v>
      </c>
      <c r="GO2" s="112">
        <v>43178.239999999998</v>
      </c>
      <c r="GP2" s="112">
        <v>43638.85</v>
      </c>
      <c r="GQ2" s="112">
        <v>44019.07</v>
      </c>
      <c r="GR2" s="112">
        <v>44443.03</v>
      </c>
      <c r="GS2" s="112">
        <v>44874.239999999998</v>
      </c>
      <c r="GT2" s="112">
        <v>45316.12</v>
      </c>
      <c r="GU2" s="112">
        <v>45756.86</v>
      </c>
      <c r="GV2" s="112">
        <v>46168.63</v>
      </c>
      <c r="GW2" s="112">
        <v>46582.28</v>
      </c>
      <c r="GX2" s="112">
        <v>47000.28</v>
      </c>
      <c r="GY2" s="112">
        <v>47418.720000000001</v>
      </c>
      <c r="GZ2" s="112">
        <v>47843.01</v>
      </c>
      <c r="HA2" s="112">
        <v>48273.440000000002</v>
      </c>
      <c r="HB2" s="112">
        <v>48708.08</v>
      </c>
      <c r="HC2" t="s">
        <v>573</v>
      </c>
      <c r="HD2" t="b">
        <v>1</v>
      </c>
      <c r="HE2" t="s">
        <v>574</v>
      </c>
      <c r="HF2" t="s">
        <v>574</v>
      </c>
      <c r="HG2">
        <v>2024</v>
      </c>
      <c r="HH2">
        <v>2</v>
      </c>
      <c r="HI2" t="s">
        <v>574</v>
      </c>
      <c r="HJ2" t="s">
        <v>575</v>
      </c>
      <c r="HK2" t="s">
        <v>576</v>
      </c>
      <c r="HL2" t="s">
        <v>577</v>
      </c>
      <c r="HM2" t="s">
        <v>578</v>
      </c>
      <c r="HN2" s="110" t="s">
        <v>579</v>
      </c>
    </row>
    <row r="3" spans="1:222">
      <c r="A3" t="s">
        <v>567</v>
      </c>
      <c r="B3" t="s">
        <v>580</v>
      </c>
      <c r="C3" s="110" t="s">
        <v>569</v>
      </c>
      <c r="D3" t="s">
        <v>570</v>
      </c>
      <c r="E3" t="s">
        <v>571</v>
      </c>
      <c r="F3" t="s">
        <v>572</v>
      </c>
      <c r="G3" s="111">
        <v>269776</v>
      </c>
      <c r="H3" s="111">
        <v>264448</v>
      </c>
      <c r="I3" s="111">
        <v>264139</v>
      </c>
      <c r="J3" s="111">
        <v>261297</v>
      </c>
      <c r="K3" s="111">
        <v>261131</v>
      </c>
      <c r="L3" s="111">
        <v>261739</v>
      </c>
      <c r="M3" s="111">
        <v>264602</v>
      </c>
      <c r="N3" s="111">
        <v>264902</v>
      </c>
      <c r="O3" s="111">
        <v>265408</v>
      </c>
      <c r="P3" s="111">
        <v>268196</v>
      </c>
      <c r="Q3" s="111">
        <v>268798</v>
      </c>
      <c r="R3" s="111">
        <v>270653</v>
      </c>
      <c r="S3" s="111">
        <v>275877</v>
      </c>
      <c r="T3" s="111">
        <v>277790</v>
      </c>
      <c r="U3" s="111">
        <v>280996</v>
      </c>
      <c r="V3" s="111">
        <v>283096</v>
      </c>
      <c r="W3" s="111">
        <v>285469</v>
      </c>
      <c r="X3" s="111">
        <v>282605</v>
      </c>
      <c r="Y3" s="111">
        <v>284676</v>
      </c>
      <c r="Z3" s="111">
        <v>289829</v>
      </c>
      <c r="AA3" s="111">
        <v>292612</v>
      </c>
      <c r="AB3" s="111">
        <v>298873</v>
      </c>
      <c r="AC3" s="111">
        <v>298814</v>
      </c>
      <c r="AD3" s="111">
        <v>298979</v>
      </c>
      <c r="AE3" s="111">
        <v>302117</v>
      </c>
      <c r="AF3" s="111">
        <v>304797</v>
      </c>
      <c r="AG3" s="111">
        <v>306708</v>
      </c>
      <c r="AH3" s="111">
        <v>312615</v>
      </c>
      <c r="AI3" s="111">
        <v>314804</v>
      </c>
      <c r="AJ3" s="111">
        <v>319478</v>
      </c>
      <c r="AK3" s="111">
        <v>327346</v>
      </c>
      <c r="AL3" s="111">
        <v>331075</v>
      </c>
      <c r="AM3" s="111">
        <v>336442</v>
      </c>
      <c r="AN3" s="111">
        <v>338186</v>
      </c>
      <c r="AO3" s="111">
        <v>342414</v>
      </c>
      <c r="AP3" s="111">
        <v>345162</v>
      </c>
      <c r="AQ3" s="111">
        <v>346836</v>
      </c>
      <c r="AR3" s="111">
        <v>348997</v>
      </c>
      <c r="AS3" s="111">
        <v>349572</v>
      </c>
      <c r="AT3" s="111">
        <v>349523</v>
      </c>
      <c r="AU3" s="111">
        <v>351299</v>
      </c>
      <c r="AV3" s="111">
        <v>353663</v>
      </c>
      <c r="AW3" s="111">
        <v>349780</v>
      </c>
      <c r="AX3" s="111">
        <v>348006</v>
      </c>
      <c r="AY3" s="111">
        <v>346292</v>
      </c>
      <c r="AZ3" s="111">
        <v>345892</v>
      </c>
      <c r="BA3" s="111">
        <v>345216</v>
      </c>
      <c r="BB3" s="111">
        <v>345643</v>
      </c>
      <c r="BC3" s="111">
        <v>345523</v>
      </c>
      <c r="BD3" s="111">
        <v>344987</v>
      </c>
      <c r="BE3" s="111">
        <v>346628</v>
      </c>
      <c r="BF3" s="111">
        <v>349299</v>
      </c>
      <c r="BG3" s="111">
        <v>351046</v>
      </c>
      <c r="BH3" s="111">
        <v>352612</v>
      </c>
      <c r="BI3" s="111">
        <v>355841</v>
      </c>
      <c r="BJ3" s="111">
        <v>358264</v>
      </c>
      <c r="BK3" s="111">
        <v>361793</v>
      </c>
      <c r="BL3" s="111">
        <v>365109</v>
      </c>
      <c r="BM3" s="111">
        <v>368798</v>
      </c>
      <c r="BN3" s="111">
        <v>370401</v>
      </c>
      <c r="BO3" s="111">
        <v>372307</v>
      </c>
      <c r="BP3" s="111">
        <v>373090</v>
      </c>
      <c r="BQ3" s="111">
        <v>377249</v>
      </c>
      <c r="BR3" s="111">
        <v>378442</v>
      </c>
      <c r="BS3" s="111">
        <v>380976</v>
      </c>
      <c r="BT3" s="111">
        <v>382146</v>
      </c>
      <c r="BU3" s="111">
        <v>385671</v>
      </c>
      <c r="BV3" s="111">
        <v>391053</v>
      </c>
      <c r="BW3" s="111">
        <v>397303</v>
      </c>
      <c r="BX3" s="111">
        <v>401790</v>
      </c>
      <c r="BY3" s="111">
        <v>405233</v>
      </c>
      <c r="BZ3" s="111">
        <v>411352</v>
      </c>
      <c r="CA3" s="111">
        <v>414377</v>
      </c>
      <c r="CB3" s="111">
        <v>416909</v>
      </c>
      <c r="CC3" s="111">
        <v>418294</v>
      </c>
      <c r="CD3" s="111">
        <v>421074</v>
      </c>
      <c r="CE3" s="111">
        <v>423875</v>
      </c>
      <c r="CF3" s="111">
        <v>425920</v>
      </c>
      <c r="CG3" s="111">
        <v>432860</v>
      </c>
      <c r="CH3" s="111">
        <v>439093</v>
      </c>
      <c r="CI3" s="111">
        <v>444540</v>
      </c>
      <c r="CJ3" s="111">
        <v>447825</v>
      </c>
      <c r="CK3" s="111">
        <v>450688</v>
      </c>
      <c r="CL3" s="111">
        <v>453447</v>
      </c>
      <c r="CM3" s="111">
        <v>457680</v>
      </c>
      <c r="CN3" s="111">
        <v>459620</v>
      </c>
      <c r="CO3" s="111">
        <v>462016</v>
      </c>
      <c r="CP3" s="111">
        <v>463404</v>
      </c>
      <c r="CQ3" s="111">
        <v>464698</v>
      </c>
      <c r="CR3" s="111">
        <v>466935</v>
      </c>
      <c r="CS3" s="111">
        <v>470277</v>
      </c>
      <c r="CT3" s="111">
        <v>473899</v>
      </c>
      <c r="CU3" s="111">
        <v>477357</v>
      </c>
      <c r="CV3" s="111">
        <v>481552</v>
      </c>
      <c r="CW3" s="111">
        <v>485973</v>
      </c>
      <c r="CX3" s="111">
        <v>490059</v>
      </c>
      <c r="CY3" s="111">
        <v>492014</v>
      </c>
      <c r="CZ3" s="111">
        <v>494824</v>
      </c>
      <c r="DA3" s="111">
        <v>496642</v>
      </c>
      <c r="DB3" s="111">
        <v>499020</v>
      </c>
      <c r="DC3" s="111">
        <v>502702</v>
      </c>
      <c r="DD3" s="111">
        <v>506906</v>
      </c>
      <c r="DE3" s="111">
        <v>511132</v>
      </c>
      <c r="DF3" s="111">
        <v>515935</v>
      </c>
      <c r="DG3" s="111">
        <v>518495</v>
      </c>
      <c r="DH3" s="111">
        <v>520318</v>
      </c>
      <c r="DI3" s="111">
        <v>521780</v>
      </c>
      <c r="DJ3" s="111">
        <v>524569</v>
      </c>
      <c r="DK3" s="111">
        <v>529398</v>
      </c>
      <c r="DL3" s="111">
        <v>533187</v>
      </c>
      <c r="DM3" s="111">
        <v>537052</v>
      </c>
      <c r="DN3" s="111">
        <v>540258</v>
      </c>
      <c r="DO3" s="111">
        <v>542804</v>
      </c>
      <c r="DP3" s="111">
        <v>539918</v>
      </c>
      <c r="DQ3" s="111">
        <v>531619</v>
      </c>
      <c r="DR3" s="111">
        <v>520230</v>
      </c>
      <c r="DS3" s="111">
        <v>509646</v>
      </c>
      <c r="DT3" s="111">
        <v>508009</v>
      </c>
      <c r="DU3" s="111">
        <v>508398</v>
      </c>
      <c r="DV3" s="111">
        <v>509889</v>
      </c>
      <c r="DW3" s="111">
        <v>514595</v>
      </c>
      <c r="DX3" s="111">
        <v>520128</v>
      </c>
      <c r="DY3" s="111">
        <v>523173</v>
      </c>
      <c r="DZ3" s="111">
        <v>523515</v>
      </c>
      <c r="EA3" s="111">
        <v>524955</v>
      </c>
      <c r="EB3" s="111">
        <v>525418</v>
      </c>
      <c r="EC3" s="111">
        <v>527034</v>
      </c>
      <c r="ED3" s="111">
        <v>527698</v>
      </c>
      <c r="EE3" s="111">
        <v>532300</v>
      </c>
      <c r="EF3" s="111">
        <v>531663</v>
      </c>
      <c r="EG3" s="111">
        <v>536720</v>
      </c>
      <c r="EH3" s="111">
        <v>536188</v>
      </c>
      <c r="EI3" s="111">
        <v>537974</v>
      </c>
      <c r="EJ3" s="111">
        <v>541586</v>
      </c>
      <c r="EK3" s="111">
        <v>546064</v>
      </c>
      <c r="EL3" s="111">
        <v>549709</v>
      </c>
      <c r="EM3" s="111">
        <v>554183</v>
      </c>
      <c r="EN3" s="111">
        <v>559331</v>
      </c>
      <c r="EO3" s="111">
        <v>563694</v>
      </c>
      <c r="EP3" s="111">
        <v>567619</v>
      </c>
      <c r="EQ3" s="111">
        <v>569150</v>
      </c>
      <c r="ER3" s="111">
        <v>572673</v>
      </c>
      <c r="ES3" s="111">
        <v>574836</v>
      </c>
      <c r="ET3" s="111">
        <v>578068</v>
      </c>
      <c r="EU3" s="111">
        <v>580110</v>
      </c>
      <c r="EV3" s="111">
        <v>583383</v>
      </c>
      <c r="EW3" s="111">
        <v>585856</v>
      </c>
      <c r="EX3" s="111">
        <v>589476</v>
      </c>
      <c r="EY3" s="111">
        <v>594423</v>
      </c>
      <c r="EZ3" s="111">
        <v>598176</v>
      </c>
      <c r="FA3" s="111">
        <v>601961</v>
      </c>
      <c r="FB3" s="111">
        <v>606396</v>
      </c>
      <c r="FC3" s="111">
        <v>606785</v>
      </c>
      <c r="FD3" s="111">
        <v>607775</v>
      </c>
      <c r="FE3" s="111">
        <v>609653</v>
      </c>
      <c r="FF3" s="111">
        <v>610481</v>
      </c>
      <c r="FG3" s="111">
        <v>614936</v>
      </c>
      <c r="FH3" s="111">
        <v>616853</v>
      </c>
      <c r="FI3" s="111">
        <v>621227</v>
      </c>
      <c r="FJ3" s="111">
        <v>621229</v>
      </c>
      <c r="FK3" s="111">
        <v>604719</v>
      </c>
      <c r="FL3" s="111">
        <v>481769</v>
      </c>
      <c r="FM3" s="111">
        <v>562648</v>
      </c>
      <c r="FN3" s="111">
        <v>570338</v>
      </c>
      <c r="FO3" s="111">
        <v>564411</v>
      </c>
      <c r="FP3" s="111">
        <v>605353</v>
      </c>
      <c r="FQ3" s="111">
        <v>615459</v>
      </c>
      <c r="FR3" s="111">
        <v>624592</v>
      </c>
      <c r="FS3" s="111">
        <v>629149</v>
      </c>
      <c r="FT3" s="111">
        <v>631258</v>
      </c>
      <c r="FU3" s="111">
        <v>631977</v>
      </c>
      <c r="FV3" s="111">
        <v>634044</v>
      </c>
      <c r="FW3" s="111">
        <v>634612</v>
      </c>
      <c r="FX3" s="111">
        <v>634624</v>
      </c>
      <c r="FY3" s="111">
        <v>633956</v>
      </c>
      <c r="FZ3" s="111">
        <v>631825</v>
      </c>
      <c r="GA3" s="111">
        <v>636222</v>
      </c>
      <c r="GB3" s="111">
        <v>639095</v>
      </c>
      <c r="GC3" s="112">
        <v>640741.9</v>
      </c>
      <c r="GD3" s="112">
        <v>643868.9</v>
      </c>
      <c r="GE3" s="112">
        <v>646136.9</v>
      </c>
      <c r="GF3" s="112">
        <v>648529.69999999995</v>
      </c>
      <c r="GG3" s="112">
        <v>650983.9</v>
      </c>
      <c r="GH3" s="112">
        <v>653549.4</v>
      </c>
      <c r="GI3" s="112">
        <v>656294.30000000005</v>
      </c>
      <c r="GJ3" s="112">
        <v>659051.30000000005</v>
      </c>
      <c r="GK3" s="112">
        <v>661754</v>
      </c>
      <c r="GL3" s="112">
        <v>664499.80000000005</v>
      </c>
      <c r="GM3" s="112">
        <v>667225.59999999998</v>
      </c>
      <c r="GN3" s="112">
        <v>669961.6</v>
      </c>
      <c r="GO3" s="112">
        <v>672674.9</v>
      </c>
      <c r="GP3" s="112">
        <v>675499.9</v>
      </c>
      <c r="GQ3" s="112">
        <v>678268.4</v>
      </c>
      <c r="GR3" s="112">
        <v>681049.5</v>
      </c>
      <c r="GS3" s="112">
        <v>683773.6</v>
      </c>
      <c r="GT3" s="112">
        <v>686508.3</v>
      </c>
      <c r="GU3" s="112">
        <v>689254.8</v>
      </c>
      <c r="GV3" s="112">
        <v>692011.6</v>
      </c>
      <c r="GW3" s="112">
        <v>694780.4</v>
      </c>
      <c r="GX3" s="112">
        <v>697559.3</v>
      </c>
      <c r="GY3" s="112">
        <v>700349.6</v>
      </c>
      <c r="GZ3" s="112">
        <v>703151.1</v>
      </c>
      <c r="HA3" s="112">
        <v>705964.2</v>
      </c>
      <c r="HB3" s="112">
        <v>708788.1</v>
      </c>
      <c r="HC3" t="s">
        <v>573</v>
      </c>
      <c r="HD3" t="b">
        <v>1</v>
      </c>
      <c r="HE3" s="110" t="s">
        <v>581</v>
      </c>
      <c r="HF3" t="s">
        <v>574</v>
      </c>
      <c r="HG3">
        <v>2024</v>
      </c>
      <c r="HH3">
        <v>2</v>
      </c>
      <c r="HI3" t="s">
        <v>574</v>
      </c>
      <c r="HJ3" t="s">
        <v>582</v>
      </c>
      <c r="HK3" s="110" t="s">
        <v>583</v>
      </c>
      <c r="HL3" t="s">
        <v>577</v>
      </c>
      <c r="HM3" t="s">
        <v>584</v>
      </c>
      <c r="HN3" s="110" t="s">
        <v>579</v>
      </c>
    </row>
    <row r="4" spans="1:222">
      <c r="A4" t="s">
        <v>567</v>
      </c>
      <c r="B4" s="110" t="s">
        <v>585</v>
      </c>
      <c r="C4" s="110" t="s">
        <v>569</v>
      </c>
      <c r="D4" t="s">
        <v>586</v>
      </c>
      <c r="E4" t="s">
        <v>587</v>
      </c>
      <c r="F4" t="s">
        <v>572</v>
      </c>
      <c r="G4" s="111">
        <v>25250</v>
      </c>
      <c r="H4" s="111">
        <v>25190</v>
      </c>
      <c r="I4" s="111">
        <v>25050</v>
      </c>
      <c r="J4" s="111">
        <v>24855</v>
      </c>
      <c r="K4" s="111">
        <v>24661</v>
      </c>
      <c r="L4" s="111">
        <v>24495</v>
      </c>
      <c r="M4" s="111">
        <v>24355</v>
      </c>
      <c r="N4" s="111">
        <v>24209</v>
      </c>
      <c r="O4" s="111">
        <v>24120</v>
      </c>
      <c r="P4" s="111">
        <v>24027</v>
      </c>
      <c r="Q4" s="111">
        <v>23901</v>
      </c>
      <c r="R4" s="111">
        <v>23755</v>
      </c>
      <c r="S4" s="111">
        <v>23651</v>
      </c>
      <c r="T4" s="111">
        <v>23647</v>
      </c>
      <c r="U4" s="111">
        <v>23809</v>
      </c>
      <c r="V4" s="111">
        <v>23994</v>
      </c>
      <c r="W4" s="111">
        <v>24125</v>
      </c>
      <c r="X4" s="111">
        <v>24245</v>
      </c>
      <c r="Y4" s="111">
        <v>24335</v>
      </c>
      <c r="Z4" s="111">
        <v>24435</v>
      </c>
      <c r="AA4" s="111">
        <v>24515</v>
      </c>
      <c r="AB4" s="111">
        <v>24570</v>
      </c>
      <c r="AC4" s="111">
        <v>24625</v>
      </c>
      <c r="AD4" s="111">
        <v>24660</v>
      </c>
      <c r="AE4" s="111">
        <v>24670</v>
      </c>
      <c r="AF4" s="111">
        <v>24695</v>
      </c>
      <c r="AG4" s="111">
        <v>24770</v>
      </c>
      <c r="AH4" s="111">
        <v>24850</v>
      </c>
      <c r="AI4" s="111">
        <v>24925</v>
      </c>
      <c r="AJ4" s="111">
        <v>25110</v>
      </c>
      <c r="AK4" s="111">
        <v>25345</v>
      </c>
      <c r="AL4" s="111">
        <v>25575</v>
      </c>
      <c r="AM4" s="111">
        <v>25795</v>
      </c>
      <c r="AN4" s="111">
        <v>25970</v>
      </c>
      <c r="AO4" s="111">
        <v>26160</v>
      </c>
      <c r="AP4" s="111">
        <v>26355</v>
      </c>
      <c r="AQ4" s="111">
        <v>26590</v>
      </c>
      <c r="AR4" s="111">
        <v>26730</v>
      </c>
      <c r="AS4" s="111">
        <v>26795</v>
      </c>
      <c r="AT4" s="111">
        <v>26880</v>
      </c>
      <c r="AU4" s="111">
        <v>26900</v>
      </c>
      <c r="AV4" s="111">
        <v>26935</v>
      </c>
      <c r="AW4" s="111">
        <v>26900</v>
      </c>
      <c r="AX4" s="111">
        <v>26750</v>
      </c>
      <c r="AY4" s="111">
        <v>26530</v>
      </c>
      <c r="AZ4" s="111">
        <v>26275</v>
      </c>
      <c r="BA4" s="111">
        <v>26025</v>
      </c>
      <c r="BB4" s="111">
        <v>25820</v>
      </c>
      <c r="BC4" s="111">
        <v>25710</v>
      </c>
      <c r="BD4" s="111">
        <v>25605</v>
      </c>
      <c r="BE4" s="111">
        <v>25509</v>
      </c>
      <c r="BF4" s="111">
        <v>25336</v>
      </c>
      <c r="BG4" s="111">
        <v>25282</v>
      </c>
      <c r="BH4" s="111">
        <v>25293</v>
      </c>
      <c r="BI4" s="111">
        <v>25316</v>
      </c>
      <c r="BJ4" s="111">
        <v>25320</v>
      </c>
      <c r="BK4" s="111">
        <v>25408</v>
      </c>
      <c r="BL4" s="111">
        <v>25451</v>
      </c>
      <c r="BM4" s="111">
        <v>25559</v>
      </c>
      <c r="BN4" s="111">
        <v>25600</v>
      </c>
      <c r="BO4" s="111">
        <v>25670</v>
      </c>
      <c r="BP4" s="111">
        <v>25770</v>
      </c>
      <c r="BQ4" s="111">
        <v>25852</v>
      </c>
      <c r="BR4" s="111">
        <v>25982</v>
      </c>
      <c r="BS4" s="111">
        <v>25970</v>
      </c>
      <c r="BT4" s="111">
        <v>26009</v>
      </c>
      <c r="BU4" s="111">
        <v>26062</v>
      </c>
      <c r="BV4" s="111">
        <v>26198</v>
      </c>
      <c r="BW4" s="111">
        <v>26381</v>
      </c>
      <c r="BX4" s="111">
        <v>26514</v>
      </c>
      <c r="BY4" s="111">
        <v>26572</v>
      </c>
      <c r="BZ4" s="111">
        <v>26636</v>
      </c>
      <c r="CA4" s="111">
        <v>26677</v>
      </c>
      <c r="CB4" s="111">
        <v>26714</v>
      </c>
      <c r="CC4" s="111">
        <v>26834</v>
      </c>
      <c r="CD4" s="111">
        <v>26955</v>
      </c>
      <c r="CE4" s="111">
        <v>27036</v>
      </c>
      <c r="CF4" s="111">
        <v>27095</v>
      </c>
      <c r="CG4" s="111">
        <v>27218</v>
      </c>
      <c r="CH4" s="111">
        <v>27322</v>
      </c>
      <c r="CI4" s="111">
        <v>27362</v>
      </c>
      <c r="CJ4" s="111">
        <v>27468</v>
      </c>
      <c r="CK4" s="111">
        <v>27555</v>
      </c>
      <c r="CL4" s="111">
        <v>27549</v>
      </c>
      <c r="CM4" s="111">
        <v>27623</v>
      </c>
      <c r="CN4" s="111">
        <v>27707</v>
      </c>
      <c r="CO4" s="111">
        <v>27715</v>
      </c>
      <c r="CP4" s="111">
        <v>27803</v>
      </c>
      <c r="CQ4" s="111">
        <v>27797</v>
      </c>
      <c r="CR4" s="111">
        <v>27933</v>
      </c>
      <c r="CS4" s="111">
        <v>27935</v>
      </c>
      <c r="CT4" s="111">
        <v>28110</v>
      </c>
      <c r="CU4" s="111">
        <v>28099</v>
      </c>
      <c r="CV4" s="111">
        <v>28226</v>
      </c>
      <c r="CW4" s="111">
        <v>28256</v>
      </c>
      <c r="CX4" s="111">
        <v>28304</v>
      </c>
      <c r="CY4" s="111">
        <v>28459</v>
      </c>
      <c r="CZ4" s="111">
        <v>28470</v>
      </c>
      <c r="DA4" s="111">
        <v>28518</v>
      </c>
      <c r="DB4" s="111">
        <v>28673</v>
      </c>
      <c r="DC4" s="111">
        <v>28789</v>
      </c>
      <c r="DD4" s="111">
        <v>28802</v>
      </c>
      <c r="DE4" s="111">
        <v>28928</v>
      </c>
      <c r="DF4" s="111">
        <v>28880</v>
      </c>
      <c r="DG4" s="111">
        <v>29048</v>
      </c>
      <c r="DH4" s="111">
        <v>29106</v>
      </c>
      <c r="DI4" s="111">
        <v>29183</v>
      </c>
      <c r="DJ4" s="111">
        <v>29214</v>
      </c>
      <c r="DK4" s="111">
        <v>29194</v>
      </c>
      <c r="DL4" s="111">
        <v>29322</v>
      </c>
      <c r="DM4" s="111">
        <v>29420</v>
      </c>
      <c r="DN4" s="111">
        <v>29576</v>
      </c>
      <c r="DO4" s="111">
        <v>29684</v>
      </c>
      <c r="DP4" s="111">
        <v>29722</v>
      </c>
      <c r="DQ4" s="111">
        <v>29580</v>
      </c>
      <c r="DR4" s="111">
        <v>29528</v>
      </c>
      <c r="DS4" s="111">
        <v>29366</v>
      </c>
      <c r="DT4" s="111">
        <v>29087</v>
      </c>
      <c r="DU4" s="111">
        <v>29069</v>
      </c>
      <c r="DV4" s="111">
        <v>29102</v>
      </c>
      <c r="DW4" s="111">
        <v>29013</v>
      </c>
      <c r="DX4" s="111">
        <v>29192</v>
      </c>
      <c r="DY4" s="111">
        <v>29385</v>
      </c>
      <c r="DZ4" s="111">
        <v>29324</v>
      </c>
      <c r="EA4" s="111">
        <v>29441</v>
      </c>
      <c r="EB4" s="111">
        <v>29447</v>
      </c>
      <c r="EC4" s="111">
        <v>29283</v>
      </c>
      <c r="ED4" s="111">
        <v>29349</v>
      </c>
      <c r="EE4" s="111">
        <v>29464</v>
      </c>
      <c r="EF4" s="111">
        <v>29681</v>
      </c>
      <c r="EG4" s="111">
        <v>29778</v>
      </c>
      <c r="EH4" s="111">
        <v>29932</v>
      </c>
      <c r="EI4" s="111">
        <v>29869</v>
      </c>
      <c r="EJ4" s="111">
        <v>29974</v>
      </c>
      <c r="EK4" s="111">
        <v>30144</v>
      </c>
      <c r="EL4" s="111">
        <v>30330</v>
      </c>
      <c r="EM4" s="111">
        <v>30573</v>
      </c>
      <c r="EN4" s="111">
        <v>30747</v>
      </c>
      <c r="EO4" s="111">
        <v>30873</v>
      </c>
      <c r="EP4" s="111">
        <v>30981</v>
      </c>
      <c r="EQ4" s="111">
        <v>31188</v>
      </c>
      <c r="ER4" s="111">
        <v>31140</v>
      </c>
      <c r="ES4" s="111">
        <v>31361</v>
      </c>
      <c r="ET4" s="111">
        <v>31569</v>
      </c>
      <c r="EU4" s="111">
        <v>31603</v>
      </c>
      <c r="EV4" s="111">
        <v>31778</v>
      </c>
      <c r="EW4" s="111">
        <v>31843</v>
      </c>
      <c r="EX4" s="111">
        <v>31877</v>
      </c>
      <c r="EY4" s="111">
        <v>31978</v>
      </c>
      <c r="EZ4" s="111">
        <v>32098</v>
      </c>
      <c r="FA4" s="111">
        <v>32093</v>
      </c>
      <c r="FB4" s="111">
        <v>32179</v>
      </c>
      <c r="FC4" s="111">
        <v>32364</v>
      </c>
      <c r="FD4" s="111">
        <v>32403</v>
      </c>
      <c r="FE4" s="111">
        <v>32448</v>
      </c>
      <c r="FF4" s="111">
        <v>32618</v>
      </c>
      <c r="FG4" s="111">
        <v>32721</v>
      </c>
      <c r="FH4" s="111">
        <v>32839</v>
      </c>
      <c r="FI4" s="111">
        <v>32779</v>
      </c>
      <c r="FJ4" s="111">
        <v>32954</v>
      </c>
      <c r="FK4" s="111">
        <v>33000</v>
      </c>
      <c r="FL4" s="111">
        <v>32571</v>
      </c>
      <c r="FM4" s="111">
        <v>32354</v>
      </c>
      <c r="FN4" s="111">
        <v>32198</v>
      </c>
      <c r="FO4" s="111">
        <v>32221</v>
      </c>
      <c r="FP4" s="111">
        <v>32377</v>
      </c>
      <c r="FQ4" s="111">
        <v>32687</v>
      </c>
      <c r="FR4" s="111">
        <v>32686</v>
      </c>
      <c r="FS4" s="111">
        <v>32775</v>
      </c>
      <c r="FT4" s="111">
        <v>32958</v>
      </c>
      <c r="FU4" s="111">
        <v>32916</v>
      </c>
      <c r="FV4" s="111">
        <v>33067</v>
      </c>
      <c r="FW4" s="111">
        <v>33201</v>
      </c>
      <c r="FX4" s="111">
        <v>33163</v>
      </c>
      <c r="FY4" s="111">
        <v>33102</v>
      </c>
      <c r="FZ4" s="111">
        <v>33174</v>
      </c>
      <c r="GA4" s="111">
        <v>32997</v>
      </c>
      <c r="GB4" s="111">
        <v>33094</v>
      </c>
      <c r="GC4" s="112">
        <v>33306.910000000003</v>
      </c>
      <c r="GD4" s="112">
        <v>33156.910000000003</v>
      </c>
      <c r="GE4" s="112">
        <v>33260.839999999997</v>
      </c>
      <c r="GF4" s="112">
        <v>33375.050000000003</v>
      </c>
      <c r="GG4" s="112">
        <v>33484.89</v>
      </c>
      <c r="GH4" s="112">
        <v>33600.57</v>
      </c>
      <c r="GI4" s="112">
        <v>33714.82</v>
      </c>
      <c r="GJ4" s="112">
        <v>33826.11</v>
      </c>
      <c r="GK4" s="112">
        <v>33927.58</v>
      </c>
      <c r="GL4" s="112">
        <v>34027.660000000003</v>
      </c>
      <c r="GM4" s="112">
        <v>34126.33</v>
      </c>
      <c r="GN4" s="112">
        <v>34225.339999999997</v>
      </c>
      <c r="GO4" s="112">
        <v>34322.92</v>
      </c>
      <c r="GP4" s="112">
        <v>34425.94</v>
      </c>
      <c r="GQ4" s="112">
        <v>34525.75</v>
      </c>
      <c r="GR4" s="112">
        <v>34625.879999999997</v>
      </c>
      <c r="GS4" s="112">
        <v>34718.879999999997</v>
      </c>
      <c r="GT4" s="112">
        <v>34809.08</v>
      </c>
      <c r="GU4" s="112">
        <v>34896.14</v>
      </c>
      <c r="GV4" s="112">
        <v>34979.910000000003</v>
      </c>
      <c r="GW4" s="112">
        <v>35060.370000000003</v>
      </c>
      <c r="GX4" s="112">
        <v>35141.01</v>
      </c>
      <c r="GY4" s="112">
        <v>35218.32</v>
      </c>
      <c r="GZ4" s="112">
        <v>35295.800000000003</v>
      </c>
      <c r="HA4" s="112">
        <v>35373.449999999997</v>
      </c>
      <c r="HB4" s="112">
        <v>35451.269999999997</v>
      </c>
      <c r="HC4" t="s">
        <v>573</v>
      </c>
      <c r="HD4" t="b">
        <v>1</v>
      </c>
      <c r="HE4" t="s">
        <v>574</v>
      </c>
      <c r="HF4" t="s">
        <v>574</v>
      </c>
      <c r="HG4">
        <v>2024</v>
      </c>
      <c r="HH4">
        <v>2</v>
      </c>
      <c r="HI4" t="s">
        <v>574</v>
      </c>
      <c r="HJ4" t="s">
        <v>588</v>
      </c>
      <c r="HK4" s="110" t="s">
        <v>589</v>
      </c>
      <c r="HL4" t="s">
        <v>577</v>
      </c>
      <c r="HM4" t="s">
        <v>590</v>
      </c>
      <c r="HN4" s="110" t="s">
        <v>579</v>
      </c>
    </row>
    <row r="5" spans="1:222">
      <c r="A5" t="s">
        <v>567</v>
      </c>
      <c r="B5" t="s">
        <v>591</v>
      </c>
      <c r="C5" s="110" t="s">
        <v>569</v>
      </c>
      <c r="D5" t="s">
        <v>592</v>
      </c>
      <c r="E5" t="s">
        <v>574</v>
      </c>
      <c r="F5" t="s">
        <v>572</v>
      </c>
      <c r="G5" s="111">
        <v>5.8</v>
      </c>
      <c r="H5" s="111">
        <v>6.3</v>
      </c>
      <c r="I5" s="111">
        <v>7.1</v>
      </c>
      <c r="J5" s="111">
        <v>8</v>
      </c>
      <c r="K5" s="111">
        <v>8.9</v>
      </c>
      <c r="L5" s="111">
        <v>9.6</v>
      </c>
      <c r="M5" s="111">
        <v>9.9</v>
      </c>
      <c r="N5" s="111">
        <v>10.199999999999999</v>
      </c>
      <c r="O5" s="111">
        <v>10.4</v>
      </c>
      <c r="P5" s="111">
        <v>10.6</v>
      </c>
      <c r="Q5" s="111">
        <v>10.8</v>
      </c>
      <c r="R5" s="111">
        <v>11.1</v>
      </c>
      <c r="S5" s="111">
        <v>11.3</v>
      </c>
      <c r="T5" s="111">
        <v>11.4</v>
      </c>
      <c r="U5" s="111">
        <v>11.5</v>
      </c>
      <c r="V5" s="111">
        <v>11.7</v>
      </c>
      <c r="W5" s="111">
        <v>11.8</v>
      </c>
      <c r="X5" s="111">
        <v>11.9</v>
      </c>
      <c r="Y5" s="111">
        <v>11.7</v>
      </c>
      <c r="Z5" s="111">
        <v>11.6</v>
      </c>
      <c r="AA5" s="111">
        <v>11.5</v>
      </c>
      <c r="AB5" s="111">
        <v>11.4</v>
      </c>
      <c r="AC5" s="111">
        <v>11.3</v>
      </c>
      <c r="AD5" s="111">
        <v>11.3</v>
      </c>
      <c r="AE5" s="111">
        <v>11.3</v>
      </c>
      <c r="AF5" s="111">
        <v>11.3</v>
      </c>
      <c r="AG5" s="111">
        <v>11.4</v>
      </c>
      <c r="AH5" s="111">
        <v>11.3</v>
      </c>
      <c r="AI5" s="111">
        <v>11.1</v>
      </c>
      <c r="AJ5" s="111">
        <v>10.7</v>
      </c>
      <c r="AK5" s="111">
        <v>10.199999999999999</v>
      </c>
      <c r="AL5" s="111">
        <v>9.6999999999999993</v>
      </c>
      <c r="AM5" s="111">
        <v>9.1999999999999993</v>
      </c>
      <c r="AN5" s="111">
        <v>8.6999999999999993</v>
      </c>
      <c r="AO5" s="111">
        <v>8.4</v>
      </c>
      <c r="AP5" s="111">
        <v>8</v>
      </c>
      <c r="AQ5" s="111">
        <v>7.6</v>
      </c>
      <c r="AR5" s="111">
        <v>7.2</v>
      </c>
      <c r="AS5" s="111">
        <v>7.1</v>
      </c>
      <c r="AT5" s="111">
        <v>7</v>
      </c>
      <c r="AU5" s="111">
        <v>6.9</v>
      </c>
      <c r="AV5" s="111">
        <v>6.9</v>
      </c>
      <c r="AW5" s="111">
        <v>7.1</v>
      </c>
      <c r="AX5" s="111">
        <v>7.5</v>
      </c>
      <c r="AY5" s="111">
        <v>8</v>
      </c>
      <c r="AZ5" s="111">
        <v>8.6999999999999993</v>
      </c>
      <c r="BA5" s="111">
        <v>9.1999999999999993</v>
      </c>
      <c r="BB5" s="111">
        <v>9.5</v>
      </c>
      <c r="BC5" s="111">
        <v>9.6999999999999993</v>
      </c>
      <c r="BD5" s="111">
        <v>9.8000000000000007</v>
      </c>
      <c r="BE5" s="111">
        <v>9.9</v>
      </c>
      <c r="BF5" s="111">
        <v>10.4</v>
      </c>
      <c r="BG5" s="111">
        <v>10.6</v>
      </c>
      <c r="BH5" s="111">
        <v>10.4</v>
      </c>
      <c r="BI5" s="111">
        <v>10.199999999999999</v>
      </c>
      <c r="BJ5" s="111">
        <v>10.3</v>
      </c>
      <c r="BK5" s="111">
        <v>9.9</v>
      </c>
      <c r="BL5" s="111">
        <v>9.6999999999999993</v>
      </c>
      <c r="BM5" s="111">
        <v>9.4</v>
      </c>
      <c r="BN5" s="111">
        <v>9</v>
      </c>
      <c r="BO5" s="111">
        <v>8.9</v>
      </c>
      <c r="BP5" s="111">
        <v>8.6999999999999993</v>
      </c>
      <c r="BQ5" s="111">
        <v>8.6</v>
      </c>
      <c r="BR5" s="111">
        <v>8.3000000000000007</v>
      </c>
      <c r="BS5" s="111">
        <v>8.1999999999999993</v>
      </c>
      <c r="BT5" s="111">
        <v>8.3000000000000007</v>
      </c>
      <c r="BU5" s="111">
        <v>8.1</v>
      </c>
      <c r="BV5" s="111">
        <v>7.8</v>
      </c>
      <c r="BW5" s="111">
        <v>7.3</v>
      </c>
      <c r="BX5" s="111">
        <v>7.2</v>
      </c>
      <c r="BY5" s="111">
        <v>6.8</v>
      </c>
      <c r="BZ5" s="111">
        <v>6.5</v>
      </c>
      <c r="CA5" s="111">
        <v>6.4</v>
      </c>
      <c r="CB5" s="111">
        <v>6.3</v>
      </c>
      <c r="CC5" s="111">
        <v>6.2</v>
      </c>
      <c r="CD5" s="111">
        <v>6.1</v>
      </c>
      <c r="CE5" s="111">
        <v>6.2</v>
      </c>
      <c r="CF5" s="111">
        <v>6</v>
      </c>
      <c r="CG5" s="111">
        <v>5.9</v>
      </c>
      <c r="CH5" s="111">
        <v>5.8</v>
      </c>
      <c r="CI5" s="111">
        <v>5.8</v>
      </c>
      <c r="CJ5" s="111">
        <v>5.5</v>
      </c>
      <c r="CK5" s="111">
        <v>5.3</v>
      </c>
      <c r="CL5" s="111">
        <v>5.2</v>
      </c>
      <c r="CM5" s="111">
        <v>5.0999999999999996</v>
      </c>
      <c r="CN5" s="111">
        <v>5</v>
      </c>
      <c r="CO5" s="111">
        <v>5.0999999999999996</v>
      </c>
      <c r="CP5" s="111">
        <v>5.2</v>
      </c>
      <c r="CQ5" s="111">
        <v>5.2</v>
      </c>
      <c r="CR5" s="111">
        <v>5.2</v>
      </c>
      <c r="CS5" s="111">
        <v>5.3</v>
      </c>
      <c r="CT5" s="111">
        <v>5.0999999999999996</v>
      </c>
      <c r="CU5" s="111">
        <v>5.2</v>
      </c>
      <c r="CV5" s="111">
        <v>4.9000000000000004</v>
      </c>
      <c r="CW5" s="111">
        <v>5</v>
      </c>
      <c r="CX5" s="111">
        <v>4.9000000000000004</v>
      </c>
      <c r="CY5" s="111">
        <v>4.8</v>
      </c>
      <c r="CZ5" s="111">
        <v>4.8</v>
      </c>
      <c r="DA5" s="111">
        <v>4.7</v>
      </c>
      <c r="DB5" s="111">
        <v>4.7</v>
      </c>
      <c r="DC5" s="111">
        <v>4.7</v>
      </c>
      <c r="DD5" s="111">
        <v>4.8</v>
      </c>
      <c r="DE5" s="111">
        <v>4.7</v>
      </c>
      <c r="DF5" s="111">
        <v>5.0999999999999996</v>
      </c>
      <c r="DG5" s="111">
        <v>5.2</v>
      </c>
      <c r="DH5" s="111">
        <v>5.5</v>
      </c>
      <c r="DI5" s="111">
        <v>5.5</v>
      </c>
      <c r="DJ5" s="111">
        <v>5.5</v>
      </c>
      <c r="DK5" s="111">
        <v>5.5</v>
      </c>
      <c r="DL5" s="111">
        <v>5.4</v>
      </c>
      <c r="DM5" s="111">
        <v>5.3</v>
      </c>
      <c r="DN5" s="111">
        <v>5.2</v>
      </c>
      <c r="DO5" s="111">
        <v>5.2</v>
      </c>
      <c r="DP5" s="111">
        <v>5.4</v>
      </c>
      <c r="DQ5" s="111">
        <v>5.9</v>
      </c>
      <c r="DR5" s="111">
        <v>6.4</v>
      </c>
      <c r="DS5" s="111">
        <v>7.1</v>
      </c>
      <c r="DT5" s="111">
        <v>7.8</v>
      </c>
      <c r="DU5" s="111">
        <v>7.8</v>
      </c>
      <c r="DV5" s="111">
        <v>7.8</v>
      </c>
      <c r="DW5" s="111">
        <v>8</v>
      </c>
      <c r="DX5" s="111">
        <v>7.9</v>
      </c>
      <c r="DY5" s="111">
        <v>7.8</v>
      </c>
      <c r="DZ5" s="111">
        <v>7.9</v>
      </c>
      <c r="EA5" s="111">
        <v>7.8</v>
      </c>
      <c r="EB5" s="111">
        <v>7.9</v>
      </c>
      <c r="EC5" s="111">
        <v>8.3000000000000007</v>
      </c>
      <c r="ED5" s="111">
        <v>8.4</v>
      </c>
      <c r="EE5" s="111">
        <v>8.1999999999999993</v>
      </c>
      <c r="EF5" s="111">
        <v>8</v>
      </c>
      <c r="EG5" s="111">
        <v>7.9</v>
      </c>
      <c r="EH5" s="111">
        <v>7.8</v>
      </c>
      <c r="EI5" s="111">
        <v>7.9</v>
      </c>
      <c r="EJ5" s="111">
        <v>7.8</v>
      </c>
      <c r="EK5" s="111">
        <v>7.6</v>
      </c>
      <c r="EL5" s="111">
        <v>7.2</v>
      </c>
      <c r="EM5" s="111">
        <v>6.8</v>
      </c>
      <c r="EN5" s="111">
        <v>6.3</v>
      </c>
      <c r="EO5" s="111">
        <v>6</v>
      </c>
      <c r="EP5" s="111">
        <v>5.7</v>
      </c>
      <c r="EQ5" s="111">
        <v>5.6</v>
      </c>
      <c r="ER5" s="111">
        <v>5.6</v>
      </c>
      <c r="ES5" s="111">
        <v>5.4</v>
      </c>
      <c r="ET5" s="111">
        <v>5.0999999999999996</v>
      </c>
      <c r="EU5" s="111">
        <v>5.0999999999999996</v>
      </c>
      <c r="EV5" s="111">
        <v>5</v>
      </c>
      <c r="EW5" s="111">
        <v>4.9000000000000004</v>
      </c>
      <c r="EX5" s="111">
        <v>4.8</v>
      </c>
      <c r="EY5" s="111">
        <v>4.5999999999999996</v>
      </c>
      <c r="EZ5" s="111">
        <v>4.5</v>
      </c>
      <c r="FA5" s="111">
        <v>4.3</v>
      </c>
      <c r="FB5" s="111">
        <v>4.4000000000000004</v>
      </c>
      <c r="FC5" s="111">
        <v>4.3</v>
      </c>
      <c r="FD5" s="111">
        <v>4.0999999999999996</v>
      </c>
      <c r="FE5" s="111">
        <v>4.2</v>
      </c>
      <c r="FF5" s="111">
        <v>4.0999999999999996</v>
      </c>
      <c r="FG5" s="111">
        <v>3.9</v>
      </c>
      <c r="FH5" s="111">
        <v>4</v>
      </c>
      <c r="FI5" s="111">
        <v>3.9</v>
      </c>
      <c r="FJ5" s="111">
        <v>3.9</v>
      </c>
      <c r="FK5" s="111">
        <v>4.0999999999999996</v>
      </c>
      <c r="FL5" s="111">
        <v>4.2</v>
      </c>
      <c r="FM5" s="111">
        <v>5</v>
      </c>
      <c r="FN5" s="111">
        <v>5.3</v>
      </c>
      <c r="FO5" s="111">
        <v>5.0999999999999996</v>
      </c>
      <c r="FP5" s="111">
        <v>4.8</v>
      </c>
      <c r="FQ5" s="111">
        <v>4.4000000000000004</v>
      </c>
      <c r="FR5" s="111">
        <v>4.2</v>
      </c>
      <c r="FS5" s="111">
        <v>3.9</v>
      </c>
      <c r="FT5" s="111">
        <v>3.9</v>
      </c>
      <c r="FU5" s="111">
        <v>3.8</v>
      </c>
      <c r="FV5" s="111">
        <v>3.9</v>
      </c>
      <c r="FW5" s="111">
        <v>4</v>
      </c>
      <c r="FX5" s="111">
        <v>4.2</v>
      </c>
      <c r="FY5" s="111">
        <v>4.0999999999999996</v>
      </c>
      <c r="FZ5" s="111">
        <v>3.8</v>
      </c>
      <c r="GA5" s="111">
        <v>4.3</v>
      </c>
      <c r="GB5" s="111">
        <v>4.2</v>
      </c>
      <c r="GC5" s="112">
        <v>4.2431080000000003</v>
      </c>
      <c r="GD5" s="112">
        <v>4.4086790000000002</v>
      </c>
      <c r="GE5" s="112">
        <v>4.3800910000000002</v>
      </c>
      <c r="GF5" s="112">
        <v>4.3514749999999998</v>
      </c>
      <c r="GG5" s="112">
        <v>4.3228929999999997</v>
      </c>
      <c r="GH5" s="112">
        <v>4.284726</v>
      </c>
      <c r="GI5" s="112">
        <v>4.2179000000000002</v>
      </c>
      <c r="GJ5" s="112">
        <v>4.1510920000000002</v>
      </c>
      <c r="GK5" s="112">
        <v>4.0937590000000004</v>
      </c>
      <c r="GL5" s="112">
        <v>4.0458970000000001</v>
      </c>
      <c r="GM5" s="112">
        <v>3.998046</v>
      </c>
      <c r="GN5" s="112">
        <v>3.9596619999999998</v>
      </c>
      <c r="GO5" s="112">
        <v>3.9212379999999998</v>
      </c>
      <c r="GP5" s="112">
        <v>3.882746</v>
      </c>
      <c r="GQ5" s="112">
        <v>3.8444630000000002</v>
      </c>
      <c r="GR5" s="112">
        <v>3.8061060000000002</v>
      </c>
      <c r="GS5" s="112">
        <v>3.778645</v>
      </c>
      <c r="GT5" s="112">
        <v>3.7596400000000001</v>
      </c>
      <c r="GU5" s="112">
        <v>3.7499479999999998</v>
      </c>
      <c r="GV5" s="112">
        <v>3.74987</v>
      </c>
      <c r="GW5" s="112">
        <v>3.7498649999999998</v>
      </c>
      <c r="GX5" s="112">
        <v>3.749873</v>
      </c>
      <c r="GY5" s="112">
        <v>3.7498719999999999</v>
      </c>
      <c r="GZ5" s="112">
        <v>3.7498749999999998</v>
      </c>
      <c r="HA5" s="112">
        <v>3.7498800000000001</v>
      </c>
      <c r="HB5" s="112">
        <v>3.749879</v>
      </c>
      <c r="HC5" t="s">
        <v>573</v>
      </c>
      <c r="HD5" t="b">
        <v>1</v>
      </c>
      <c r="HE5" t="s">
        <v>574</v>
      </c>
      <c r="HF5" t="s">
        <v>574</v>
      </c>
      <c r="HG5">
        <v>2024</v>
      </c>
      <c r="HH5">
        <v>2</v>
      </c>
      <c r="HI5" t="s">
        <v>574</v>
      </c>
      <c r="HJ5" t="s">
        <v>593</v>
      </c>
      <c r="HK5" s="110" t="s">
        <v>594</v>
      </c>
      <c r="HL5" t="s">
        <v>577</v>
      </c>
      <c r="HM5" t="s">
        <v>595</v>
      </c>
      <c r="HN5" s="110" t="s">
        <v>579</v>
      </c>
    </row>
    <row r="6" spans="1:222">
      <c r="A6" t="s">
        <v>567</v>
      </c>
      <c r="B6" t="s">
        <v>596</v>
      </c>
      <c r="C6" s="110" t="s">
        <v>569</v>
      </c>
      <c r="D6" t="s">
        <v>570</v>
      </c>
      <c r="E6" t="s">
        <v>571</v>
      </c>
      <c r="F6" t="s">
        <v>572</v>
      </c>
      <c r="G6" s="111">
        <v>157780</v>
      </c>
      <c r="H6" s="111">
        <v>158083</v>
      </c>
      <c r="I6" s="111">
        <v>160445</v>
      </c>
      <c r="J6" s="111">
        <v>158931</v>
      </c>
      <c r="K6" s="111">
        <v>160486</v>
      </c>
      <c r="L6" s="111">
        <v>158130</v>
      </c>
      <c r="M6" s="111">
        <v>157598</v>
      </c>
      <c r="N6" s="111">
        <v>158580</v>
      </c>
      <c r="O6" s="111">
        <v>157715</v>
      </c>
      <c r="P6" s="111">
        <v>160483</v>
      </c>
      <c r="Q6" s="111">
        <v>159367</v>
      </c>
      <c r="R6" s="111">
        <v>159886</v>
      </c>
      <c r="S6" s="111">
        <v>158854</v>
      </c>
      <c r="T6" s="111">
        <v>165111</v>
      </c>
      <c r="U6" s="111">
        <v>163522</v>
      </c>
      <c r="V6" s="111">
        <v>164202</v>
      </c>
      <c r="W6" s="111">
        <v>167088</v>
      </c>
      <c r="X6" s="111">
        <v>165111</v>
      </c>
      <c r="Y6" s="111">
        <v>169770</v>
      </c>
      <c r="Z6" s="111">
        <v>173527</v>
      </c>
      <c r="AA6" s="111">
        <v>175208</v>
      </c>
      <c r="AB6" s="111">
        <v>175613</v>
      </c>
      <c r="AC6" s="111">
        <v>175957</v>
      </c>
      <c r="AD6" s="111">
        <v>177164</v>
      </c>
      <c r="AE6" s="111">
        <v>179729</v>
      </c>
      <c r="AF6" s="111">
        <v>186661</v>
      </c>
      <c r="AG6" s="111">
        <v>183119</v>
      </c>
      <c r="AH6" s="111">
        <v>183388</v>
      </c>
      <c r="AI6" s="111">
        <v>180901</v>
      </c>
      <c r="AJ6" s="111">
        <v>185020</v>
      </c>
      <c r="AK6" s="111">
        <v>187551</v>
      </c>
      <c r="AL6" s="111">
        <v>188860</v>
      </c>
      <c r="AM6" s="111">
        <v>191709</v>
      </c>
      <c r="AN6" s="111">
        <v>194935</v>
      </c>
      <c r="AO6" s="111">
        <v>197179</v>
      </c>
      <c r="AP6" s="111">
        <v>198740</v>
      </c>
      <c r="AQ6" s="111">
        <v>201265</v>
      </c>
      <c r="AR6" s="111">
        <v>204179</v>
      </c>
      <c r="AS6" s="111">
        <v>209872</v>
      </c>
      <c r="AT6" s="111">
        <v>207949</v>
      </c>
      <c r="AU6" s="111">
        <v>213872</v>
      </c>
      <c r="AV6" s="111">
        <v>211391</v>
      </c>
      <c r="AW6" s="111">
        <v>213462</v>
      </c>
      <c r="AX6" s="111">
        <v>216821</v>
      </c>
      <c r="AY6" s="111">
        <v>218128</v>
      </c>
      <c r="AZ6" s="111">
        <v>214176</v>
      </c>
      <c r="BA6" s="111">
        <v>220568</v>
      </c>
      <c r="BB6" s="111">
        <v>220151</v>
      </c>
      <c r="BC6" s="111">
        <v>221591</v>
      </c>
      <c r="BD6" s="111">
        <v>223785</v>
      </c>
      <c r="BE6" s="111">
        <v>225633</v>
      </c>
      <c r="BF6" s="111">
        <v>225562</v>
      </c>
      <c r="BG6" s="111">
        <v>224008</v>
      </c>
      <c r="BH6" s="111">
        <v>230278</v>
      </c>
      <c r="BI6" s="111">
        <v>232470</v>
      </c>
      <c r="BJ6" s="111">
        <v>233411</v>
      </c>
      <c r="BK6" s="111">
        <v>232541</v>
      </c>
      <c r="BL6" s="111">
        <v>232173</v>
      </c>
      <c r="BM6" s="111">
        <v>236870</v>
      </c>
      <c r="BN6" s="111">
        <v>235558</v>
      </c>
      <c r="BO6" s="111">
        <v>239669</v>
      </c>
      <c r="BP6" s="111">
        <v>239943</v>
      </c>
      <c r="BQ6" s="111">
        <v>242123</v>
      </c>
      <c r="BR6" s="111">
        <v>243427</v>
      </c>
      <c r="BS6" s="111">
        <v>247598</v>
      </c>
      <c r="BT6" s="111">
        <v>247441</v>
      </c>
      <c r="BU6" s="111">
        <v>250067</v>
      </c>
      <c r="BV6" s="111">
        <v>245800</v>
      </c>
      <c r="BW6" s="111">
        <v>249558</v>
      </c>
      <c r="BX6" s="111">
        <v>251781</v>
      </c>
      <c r="BY6" s="111">
        <v>254358</v>
      </c>
      <c r="BZ6" s="111">
        <v>253468</v>
      </c>
      <c r="CA6" s="111">
        <v>253069</v>
      </c>
      <c r="CB6" s="111">
        <v>254576</v>
      </c>
      <c r="CC6" s="111">
        <v>253636</v>
      </c>
      <c r="CD6" s="111">
        <v>257028</v>
      </c>
      <c r="CE6" s="111">
        <v>254037</v>
      </c>
      <c r="CF6" s="111">
        <v>266557</v>
      </c>
      <c r="CG6" s="111">
        <v>267871</v>
      </c>
      <c r="CH6" s="111">
        <v>274118</v>
      </c>
      <c r="CI6" s="111">
        <v>274370</v>
      </c>
      <c r="CJ6" s="111">
        <v>277466</v>
      </c>
      <c r="CK6" s="111">
        <v>283106</v>
      </c>
      <c r="CL6" s="111">
        <v>287523</v>
      </c>
      <c r="CM6" s="111">
        <v>289476</v>
      </c>
      <c r="CN6" s="111">
        <v>288052</v>
      </c>
      <c r="CO6" s="111">
        <v>289545</v>
      </c>
      <c r="CP6" s="111">
        <v>295002</v>
      </c>
      <c r="CQ6" s="111">
        <v>295976</v>
      </c>
      <c r="CR6" s="111">
        <v>298538</v>
      </c>
      <c r="CS6" s="111">
        <v>297567</v>
      </c>
      <c r="CT6" s="111">
        <v>298904</v>
      </c>
      <c r="CU6" s="111">
        <v>301081</v>
      </c>
      <c r="CV6" s="111">
        <v>302934</v>
      </c>
      <c r="CW6" s="111">
        <v>304444</v>
      </c>
      <c r="CX6" s="111">
        <v>308695</v>
      </c>
      <c r="CY6" s="111">
        <v>309585</v>
      </c>
      <c r="CZ6" s="111">
        <v>312396</v>
      </c>
      <c r="DA6" s="111">
        <v>314574</v>
      </c>
      <c r="DB6" s="111">
        <v>315137</v>
      </c>
      <c r="DC6" s="111">
        <v>317057</v>
      </c>
      <c r="DD6" s="111">
        <v>320657</v>
      </c>
      <c r="DE6" s="111">
        <v>322465</v>
      </c>
      <c r="DF6" s="111">
        <v>322562</v>
      </c>
      <c r="DG6" s="111">
        <v>325138</v>
      </c>
      <c r="DH6" s="111">
        <v>323889</v>
      </c>
      <c r="DI6" s="111">
        <v>327580</v>
      </c>
      <c r="DJ6" s="111">
        <v>328682</v>
      </c>
      <c r="DK6" s="111">
        <v>339067</v>
      </c>
      <c r="DL6" s="111">
        <v>336009</v>
      </c>
      <c r="DM6" s="111">
        <v>340647</v>
      </c>
      <c r="DN6" s="111">
        <v>340314</v>
      </c>
      <c r="DO6" s="111">
        <v>335815</v>
      </c>
      <c r="DP6" s="111">
        <v>339732</v>
      </c>
      <c r="DQ6" s="111">
        <v>333684</v>
      </c>
      <c r="DR6" s="111">
        <v>340023</v>
      </c>
      <c r="DS6" s="111">
        <v>335761</v>
      </c>
      <c r="DT6" s="111">
        <v>344826</v>
      </c>
      <c r="DU6" s="111">
        <v>343613</v>
      </c>
      <c r="DV6" s="111">
        <v>346368</v>
      </c>
      <c r="DW6" s="111">
        <v>346769</v>
      </c>
      <c r="DX6" s="111">
        <v>347421</v>
      </c>
      <c r="DY6" s="111">
        <v>346091</v>
      </c>
      <c r="DZ6" s="111">
        <v>343460</v>
      </c>
      <c r="EA6" s="111">
        <v>334416</v>
      </c>
      <c r="EB6" s="111">
        <v>339976</v>
      </c>
      <c r="EC6" s="111">
        <v>339972</v>
      </c>
      <c r="ED6" s="111">
        <v>337625</v>
      </c>
      <c r="EE6" s="111">
        <v>344680</v>
      </c>
      <c r="EF6" s="111">
        <v>348062</v>
      </c>
      <c r="EG6" s="111">
        <v>346678</v>
      </c>
      <c r="EH6" s="111">
        <v>345765</v>
      </c>
      <c r="EI6" s="111">
        <v>342890</v>
      </c>
      <c r="EJ6" s="111">
        <v>350923</v>
      </c>
      <c r="EK6" s="111">
        <v>357263</v>
      </c>
      <c r="EL6" s="111">
        <v>360126</v>
      </c>
      <c r="EM6" s="111">
        <v>359009</v>
      </c>
      <c r="EN6" s="111">
        <v>359599</v>
      </c>
      <c r="EO6" s="111">
        <v>359708</v>
      </c>
      <c r="EP6" s="111">
        <v>364730</v>
      </c>
      <c r="EQ6" s="111">
        <v>372232</v>
      </c>
      <c r="ER6" s="111">
        <v>381179</v>
      </c>
      <c r="ES6" s="111">
        <v>388638</v>
      </c>
      <c r="ET6" s="111">
        <v>388470</v>
      </c>
      <c r="EU6" s="111">
        <v>386874</v>
      </c>
      <c r="EV6" s="111">
        <v>387633</v>
      </c>
      <c r="EW6" s="111">
        <v>384657</v>
      </c>
      <c r="EX6" s="111">
        <v>381981</v>
      </c>
      <c r="EY6" s="111">
        <v>382290</v>
      </c>
      <c r="EZ6" s="111">
        <v>390332</v>
      </c>
      <c r="FA6" s="111">
        <v>390954</v>
      </c>
      <c r="FB6" s="111">
        <v>391273</v>
      </c>
      <c r="FC6" s="111">
        <v>395975</v>
      </c>
      <c r="FD6" s="111">
        <v>394175</v>
      </c>
      <c r="FE6" s="111">
        <v>395431</v>
      </c>
      <c r="FF6" s="111">
        <v>400106</v>
      </c>
      <c r="FG6" s="111">
        <v>399632</v>
      </c>
      <c r="FH6" s="111">
        <v>405211</v>
      </c>
      <c r="FI6" s="111">
        <v>405428</v>
      </c>
      <c r="FJ6" s="111">
        <v>407970</v>
      </c>
      <c r="FK6" s="111">
        <v>402584</v>
      </c>
      <c r="FL6" s="111">
        <v>394596</v>
      </c>
      <c r="FM6" s="111">
        <v>406593</v>
      </c>
      <c r="FN6" s="111">
        <v>408367</v>
      </c>
      <c r="FO6" s="111">
        <v>411074</v>
      </c>
      <c r="FP6" s="111">
        <v>413832</v>
      </c>
      <c r="FQ6" s="111">
        <v>410138</v>
      </c>
      <c r="FR6" s="111">
        <v>402842</v>
      </c>
      <c r="FS6" s="111">
        <v>401738</v>
      </c>
      <c r="FT6" s="111">
        <v>398386</v>
      </c>
      <c r="FU6" s="111">
        <v>400405</v>
      </c>
      <c r="FV6" s="111">
        <v>408689</v>
      </c>
      <c r="FW6" s="111">
        <v>407362</v>
      </c>
      <c r="FX6" s="111">
        <v>412328</v>
      </c>
      <c r="FY6" s="111">
        <v>413001</v>
      </c>
      <c r="FZ6" s="111">
        <v>415159</v>
      </c>
      <c r="GA6" s="111">
        <v>420689</v>
      </c>
      <c r="GB6" s="111">
        <v>426221</v>
      </c>
      <c r="GC6" s="112">
        <v>427151.4</v>
      </c>
      <c r="GD6" s="112">
        <v>427205.6</v>
      </c>
      <c r="GE6" s="112">
        <v>429422.1</v>
      </c>
      <c r="GF6" s="112">
        <v>431072.3</v>
      </c>
      <c r="GG6" s="112">
        <v>432818.3</v>
      </c>
      <c r="GH6" s="112">
        <v>434694.7</v>
      </c>
      <c r="GI6" s="112">
        <v>436515.1</v>
      </c>
      <c r="GJ6" s="112">
        <v>437864.4</v>
      </c>
      <c r="GK6" s="112">
        <v>439188.4</v>
      </c>
      <c r="GL6" s="112">
        <v>440408.8</v>
      </c>
      <c r="GM6" s="112">
        <v>441787.5</v>
      </c>
      <c r="GN6" s="112">
        <v>443258.1</v>
      </c>
      <c r="GO6" s="112">
        <v>444859.4</v>
      </c>
      <c r="GP6" s="112">
        <v>446391.8</v>
      </c>
      <c r="GQ6" s="112">
        <v>448363</v>
      </c>
      <c r="GR6" s="112">
        <v>450539.2</v>
      </c>
      <c r="GS6" s="112">
        <v>452477.2</v>
      </c>
      <c r="GT6" s="112">
        <v>454341.6</v>
      </c>
      <c r="GU6" s="112">
        <v>456201.8</v>
      </c>
      <c r="GV6" s="112">
        <v>458220.1</v>
      </c>
      <c r="GW6" s="112">
        <v>459983.9</v>
      </c>
      <c r="GX6" s="112">
        <v>461695.3</v>
      </c>
      <c r="GY6" s="112">
        <v>463445.7</v>
      </c>
      <c r="GZ6" s="112">
        <v>465447</v>
      </c>
      <c r="HA6" s="112">
        <v>467184.9</v>
      </c>
      <c r="HB6" s="112">
        <v>468872.6</v>
      </c>
      <c r="HC6" t="s">
        <v>573</v>
      </c>
      <c r="HD6" t="b">
        <v>1</v>
      </c>
      <c r="HE6" s="110" t="s">
        <v>581</v>
      </c>
      <c r="HF6" t="s">
        <v>574</v>
      </c>
      <c r="HG6">
        <v>2024</v>
      </c>
      <c r="HH6">
        <v>2</v>
      </c>
      <c r="HI6" t="s">
        <v>574</v>
      </c>
      <c r="HJ6" t="s">
        <v>597</v>
      </c>
      <c r="HK6" s="110" t="s">
        <v>598</v>
      </c>
      <c r="HL6" t="s">
        <v>577</v>
      </c>
      <c r="HM6" t="s">
        <v>599</v>
      </c>
      <c r="HN6" s="110" t="s">
        <v>579</v>
      </c>
    </row>
    <row r="7" spans="1:222">
      <c r="A7" t="s">
        <v>567</v>
      </c>
      <c r="B7" t="s">
        <v>600</v>
      </c>
      <c r="C7" s="110" t="s">
        <v>569</v>
      </c>
      <c r="D7" t="s">
        <v>601</v>
      </c>
      <c r="E7" t="s">
        <v>574</v>
      </c>
      <c r="F7" t="s">
        <v>572</v>
      </c>
      <c r="G7" s="111">
        <v>1256.6559999999999</v>
      </c>
      <c r="H7" s="111">
        <v>1320.788</v>
      </c>
      <c r="I7" s="111">
        <v>1377.7919999999999</v>
      </c>
      <c r="J7" s="111">
        <v>1419.0419999999999</v>
      </c>
      <c r="K7" s="111">
        <v>1445.7460000000001</v>
      </c>
      <c r="L7" s="111">
        <v>1481.0730000000001</v>
      </c>
      <c r="M7" s="111">
        <v>1519.57</v>
      </c>
      <c r="N7" s="111">
        <v>1560.4949999999999</v>
      </c>
      <c r="O7" s="111">
        <v>1588.7190000000001</v>
      </c>
      <c r="P7" s="111">
        <v>1621.8520000000001</v>
      </c>
      <c r="Q7" s="111">
        <v>1645.3019999999999</v>
      </c>
      <c r="R7" s="111">
        <v>1677.7139999999999</v>
      </c>
      <c r="S7" s="111">
        <v>1735.998</v>
      </c>
      <c r="T7" s="111">
        <v>1757.346</v>
      </c>
      <c r="U7" s="111">
        <v>1777.221</v>
      </c>
      <c r="V7" s="111">
        <v>1805.329</v>
      </c>
      <c r="W7" s="111">
        <v>1833.021</v>
      </c>
      <c r="X7" s="111">
        <v>1859.9649999999999</v>
      </c>
      <c r="Y7" s="111">
        <v>1876.902</v>
      </c>
      <c r="Z7" s="111">
        <v>1935.8820000000001</v>
      </c>
      <c r="AA7" s="111">
        <v>1996.2460000000001</v>
      </c>
      <c r="AB7" s="111">
        <v>2015.9390000000001</v>
      </c>
      <c r="AC7" s="111">
        <v>2043.298</v>
      </c>
      <c r="AD7" s="111">
        <v>2093.2809999999999</v>
      </c>
      <c r="AE7" s="111">
        <v>2142.5929999999998</v>
      </c>
      <c r="AF7" s="111">
        <v>2185.8229999999999</v>
      </c>
      <c r="AG7" s="111">
        <v>2220.4349999999999</v>
      </c>
      <c r="AH7" s="111">
        <v>2251.2330000000002</v>
      </c>
      <c r="AI7" s="111">
        <v>2282.895</v>
      </c>
      <c r="AJ7" s="111">
        <v>2321.7919999999999</v>
      </c>
      <c r="AK7" s="111">
        <v>2369.9499999999998</v>
      </c>
      <c r="AL7" s="111">
        <v>2418.279</v>
      </c>
      <c r="AM7" s="111">
        <v>2470.636</v>
      </c>
      <c r="AN7" s="111">
        <v>2512.3130000000001</v>
      </c>
      <c r="AO7" s="111">
        <v>2569.6179999999999</v>
      </c>
      <c r="AP7" s="111">
        <v>2641.6390000000001</v>
      </c>
      <c r="AQ7" s="111">
        <v>2684.4940000000001</v>
      </c>
      <c r="AR7" s="111">
        <v>2756.2930000000001</v>
      </c>
      <c r="AS7" s="111">
        <v>2816.473</v>
      </c>
      <c r="AT7" s="111">
        <v>2895.6689999999999</v>
      </c>
      <c r="AU7" s="111">
        <v>2978.6680000000001</v>
      </c>
      <c r="AV7" s="111">
        <v>3042.386</v>
      </c>
      <c r="AW7" s="111">
        <v>3096.3310000000001</v>
      </c>
      <c r="AX7" s="111">
        <v>3142.5079999999998</v>
      </c>
      <c r="AY7" s="111">
        <v>3224.9960000000001</v>
      </c>
      <c r="AZ7" s="111">
        <v>3293.2919999999999</v>
      </c>
      <c r="BA7" s="111">
        <v>3373.0810000000001</v>
      </c>
      <c r="BB7" s="111">
        <v>3431.9459999999999</v>
      </c>
      <c r="BC7" s="111">
        <v>3467.9760000000001</v>
      </c>
      <c r="BD7" s="111">
        <v>3483.1289999999999</v>
      </c>
      <c r="BE7" s="111">
        <v>3486.288</v>
      </c>
      <c r="BF7" s="111">
        <v>3519.4830000000002</v>
      </c>
      <c r="BG7" s="111">
        <v>3533.2429999999999</v>
      </c>
      <c r="BH7" s="111">
        <v>3585.3939999999998</v>
      </c>
      <c r="BI7" s="111">
        <v>3630.5349999999999</v>
      </c>
      <c r="BJ7" s="111">
        <v>3662.1970000000001</v>
      </c>
      <c r="BK7" s="111">
        <v>3681.2950000000001</v>
      </c>
      <c r="BL7" s="111">
        <v>3682.5749999999998</v>
      </c>
      <c r="BM7" s="111">
        <v>3730.634</v>
      </c>
      <c r="BN7" s="111">
        <v>3764.5340000000001</v>
      </c>
      <c r="BO7" s="111">
        <v>3784.6889999999999</v>
      </c>
      <c r="BP7" s="111">
        <v>3813.2370000000001</v>
      </c>
      <c r="BQ7" s="111">
        <v>3825.77</v>
      </c>
      <c r="BR7" s="111">
        <v>3869.8229999999999</v>
      </c>
      <c r="BS7" s="111">
        <v>3882.18</v>
      </c>
      <c r="BT7" s="111">
        <v>3914.6239999999998</v>
      </c>
      <c r="BU7" s="111">
        <v>3968.22</v>
      </c>
      <c r="BV7" s="111">
        <v>3978.2469999999998</v>
      </c>
      <c r="BW7" s="111">
        <v>4081.9929999999999</v>
      </c>
      <c r="BX7" s="111">
        <v>4143.857</v>
      </c>
      <c r="BY7" s="111">
        <v>4207.8729999999996</v>
      </c>
      <c r="BZ7" s="111">
        <v>4225.6909999999998</v>
      </c>
      <c r="CA7" s="111">
        <v>4229.5839999999998</v>
      </c>
      <c r="CB7" s="111">
        <v>4273.2780000000002</v>
      </c>
      <c r="CC7" s="111">
        <v>4319.6819999999998</v>
      </c>
      <c r="CD7" s="111">
        <v>4319.2709999999997</v>
      </c>
      <c r="CE7" s="111">
        <v>4422.741</v>
      </c>
      <c r="CF7" s="111">
        <v>4529.62</v>
      </c>
      <c r="CG7" s="111">
        <v>4579.0190000000002</v>
      </c>
      <c r="CH7" s="111">
        <v>4624.2740000000003</v>
      </c>
      <c r="CI7" s="111">
        <v>4637.7709999999997</v>
      </c>
      <c r="CJ7" s="111">
        <v>4701.4949999999999</v>
      </c>
      <c r="CK7" s="111">
        <v>4802.4549999999999</v>
      </c>
      <c r="CL7" s="111">
        <v>4890.7749999999996</v>
      </c>
      <c r="CM7" s="111">
        <v>5001.3689999999997</v>
      </c>
      <c r="CN7" s="111">
        <v>5002.7700000000004</v>
      </c>
      <c r="CO7" s="111">
        <v>5029.6509999999998</v>
      </c>
      <c r="CP7" s="111">
        <v>5057.9219999999996</v>
      </c>
      <c r="CQ7" s="111">
        <v>5089.49</v>
      </c>
      <c r="CR7" s="111">
        <v>5073.9089999999997</v>
      </c>
      <c r="CS7" s="111">
        <v>5126.5479999999998</v>
      </c>
      <c r="CT7" s="111">
        <v>5142.66</v>
      </c>
      <c r="CU7" s="111">
        <v>5215.1049999999996</v>
      </c>
      <c r="CV7" s="111">
        <v>5274.7430000000004</v>
      </c>
      <c r="CW7" s="111">
        <v>5382.1080000000002</v>
      </c>
      <c r="CX7" s="111">
        <v>5458.2330000000002</v>
      </c>
      <c r="CY7" s="111">
        <v>5521.0789999999997</v>
      </c>
      <c r="CZ7" s="111">
        <v>5546.8860000000004</v>
      </c>
      <c r="DA7" s="111">
        <v>5624.5039999999999</v>
      </c>
      <c r="DB7" s="111">
        <v>5694.482</v>
      </c>
      <c r="DC7" s="111">
        <v>5778.8289999999997</v>
      </c>
      <c r="DD7" s="111">
        <v>5743.0929999999998</v>
      </c>
      <c r="DE7" s="111">
        <v>5808.4660000000003</v>
      </c>
      <c r="DF7" s="111">
        <v>5809.2719999999999</v>
      </c>
      <c r="DG7" s="111">
        <v>5993.5169999999998</v>
      </c>
      <c r="DH7" s="111">
        <v>6001.19</v>
      </c>
      <c r="DI7" s="111">
        <v>6067.3119999999999</v>
      </c>
      <c r="DJ7" s="111">
        <v>6166.277</v>
      </c>
      <c r="DK7" s="111">
        <v>6414.875</v>
      </c>
      <c r="DL7" s="111">
        <v>6339.4709999999995</v>
      </c>
      <c r="DM7" s="111">
        <v>6466.942</v>
      </c>
      <c r="DN7" s="111">
        <v>6476.04</v>
      </c>
      <c r="DO7" s="111">
        <v>6580.8379999999997</v>
      </c>
      <c r="DP7" s="111">
        <v>6498.0690000000004</v>
      </c>
      <c r="DQ7" s="111">
        <v>6496.1270000000004</v>
      </c>
      <c r="DR7" s="111">
        <v>6443.4080000000004</v>
      </c>
      <c r="DS7" s="111">
        <v>6371.857</v>
      </c>
      <c r="DT7" s="111">
        <v>6556.6030000000001</v>
      </c>
      <c r="DU7" s="111">
        <v>6566.0349999999999</v>
      </c>
      <c r="DV7" s="111">
        <v>6577.1170000000002</v>
      </c>
      <c r="DW7" s="111">
        <v>6601.875</v>
      </c>
      <c r="DX7" s="111">
        <v>6547.2240000000002</v>
      </c>
      <c r="DY7" s="111">
        <v>6603.5609999999997</v>
      </c>
      <c r="DZ7" s="111">
        <v>6617.42</v>
      </c>
      <c r="EA7" s="111">
        <v>6764.375</v>
      </c>
      <c r="EB7" s="111">
        <v>6692.7950000000001</v>
      </c>
      <c r="EC7" s="111">
        <v>6733.2610000000004</v>
      </c>
      <c r="ED7" s="111">
        <v>6724.4960000000001</v>
      </c>
      <c r="EE7" s="111">
        <v>6797.8590000000004</v>
      </c>
      <c r="EF7" s="111">
        <v>6797.991</v>
      </c>
      <c r="EG7" s="111">
        <v>6779.3310000000001</v>
      </c>
      <c r="EH7" s="111">
        <v>6805.55</v>
      </c>
      <c r="EI7" s="111">
        <v>6831.2070000000003</v>
      </c>
      <c r="EJ7" s="111">
        <v>7064.567</v>
      </c>
      <c r="EK7" s="111">
        <v>7073.6540000000005</v>
      </c>
      <c r="EL7" s="111">
        <v>7154.1670000000004</v>
      </c>
      <c r="EM7" s="111">
        <v>7221.8159999999998</v>
      </c>
      <c r="EN7" s="111">
        <v>7176</v>
      </c>
      <c r="EO7" s="111">
        <v>7114.8590000000004</v>
      </c>
      <c r="EP7" s="111">
        <v>7151.2439999999997</v>
      </c>
      <c r="EQ7" s="111">
        <v>7196.0320000000002</v>
      </c>
      <c r="ER7" s="111">
        <v>7235.93</v>
      </c>
      <c r="ES7" s="111">
        <v>7286.7740000000003</v>
      </c>
      <c r="ET7" s="111">
        <v>7292.8819999999996</v>
      </c>
      <c r="EU7" s="111">
        <v>7378.1360000000004</v>
      </c>
      <c r="EV7" s="111">
        <v>7418.134</v>
      </c>
      <c r="EW7" s="111">
        <v>7455.1180000000004</v>
      </c>
      <c r="EX7" s="111">
        <v>7453.085</v>
      </c>
      <c r="EY7" s="111">
        <v>7552.2139999999999</v>
      </c>
      <c r="EZ7" s="111">
        <v>7621.8649999999998</v>
      </c>
      <c r="FA7" s="111">
        <v>7682.0569999999998</v>
      </c>
      <c r="FB7" s="111">
        <v>7709.6490000000003</v>
      </c>
      <c r="FC7" s="111">
        <v>7783.6279999999997</v>
      </c>
      <c r="FD7" s="111">
        <v>7753.0959999999995</v>
      </c>
      <c r="FE7" s="111">
        <v>7876.518</v>
      </c>
      <c r="FF7" s="111">
        <v>7956.6149999999998</v>
      </c>
      <c r="FG7" s="111">
        <v>7998.0789999999997</v>
      </c>
      <c r="FH7" s="111">
        <v>8102.4250000000002</v>
      </c>
      <c r="FI7" s="111">
        <v>8093.8450000000003</v>
      </c>
      <c r="FJ7" s="111">
        <v>8076.643</v>
      </c>
      <c r="FK7" s="111">
        <v>8056.7950000000001</v>
      </c>
      <c r="FL7" s="111">
        <v>7842.4639999999999</v>
      </c>
      <c r="FM7" s="111">
        <v>8014.82</v>
      </c>
      <c r="FN7" s="111">
        <v>8241.4920000000002</v>
      </c>
      <c r="FO7" s="111">
        <v>8267.3289999999997</v>
      </c>
      <c r="FP7" s="111">
        <v>8500.1610000000001</v>
      </c>
      <c r="FQ7" s="111">
        <v>8499.4500000000007</v>
      </c>
      <c r="FR7" s="111">
        <v>8570.4380000000001</v>
      </c>
      <c r="FS7" s="111">
        <v>8762.1610000000001</v>
      </c>
      <c r="FT7" s="111">
        <v>8858.7540000000008</v>
      </c>
      <c r="FU7" s="111">
        <v>8972.3819999999996</v>
      </c>
      <c r="FV7" s="111">
        <v>9187.0920000000006</v>
      </c>
      <c r="FW7" s="111">
        <v>9460.3019999999997</v>
      </c>
      <c r="FX7" s="111">
        <v>9660.59</v>
      </c>
      <c r="FY7" s="111">
        <v>9771.0329999999994</v>
      </c>
      <c r="FZ7" s="111">
        <v>9774.9840000000004</v>
      </c>
      <c r="GA7" s="111">
        <v>9898.7260000000006</v>
      </c>
      <c r="GB7" s="111">
        <v>10025.209999999999</v>
      </c>
      <c r="GC7" s="112">
        <v>10139.5</v>
      </c>
      <c r="GD7" s="112">
        <v>10244.950000000001</v>
      </c>
      <c r="GE7" s="112">
        <v>10327.93</v>
      </c>
      <c r="GF7" s="112">
        <v>10399.200000000001</v>
      </c>
      <c r="GG7" s="112">
        <v>10470.950000000001</v>
      </c>
      <c r="GH7" s="112">
        <v>10541.84</v>
      </c>
      <c r="GI7" s="112">
        <v>10611.65</v>
      </c>
      <c r="GJ7" s="112">
        <v>10680.9</v>
      </c>
      <c r="GK7" s="112">
        <v>10750.04</v>
      </c>
      <c r="GL7" s="112">
        <v>10818.11</v>
      </c>
      <c r="GM7" s="112">
        <v>10887.61</v>
      </c>
      <c r="GN7" s="112">
        <v>10957.44</v>
      </c>
      <c r="GO7" s="112">
        <v>11027.81</v>
      </c>
      <c r="GP7" s="112">
        <v>11097.76</v>
      </c>
      <c r="GQ7" s="112">
        <v>11168.61</v>
      </c>
      <c r="GR7" s="112">
        <v>11240.3</v>
      </c>
      <c r="GS7" s="112">
        <v>11313.43</v>
      </c>
      <c r="GT7" s="112">
        <v>11387.67</v>
      </c>
      <c r="GU7" s="112">
        <v>11462.16</v>
      </c>
      <c r="GV7" s="112">
        <v>11537.54</v>
      </c>
      <c r="GW7" s="112">
        <v>11614.13</v>
      </c>
      <c r="GX7" s="112">
        <v>11691.39</v>
      </c>
      <c r="GY7" s="112">
        <v>11769.48</v>
      </c>
      <c r="GZ7" s="112">
        <v>11848.68</v>
      </c>
      <c r="HA7" s="112">
        <v>11928.99</v>
      </c>
      <c r="HB7" s="112">
        <v>12009.94</v>
      </c>
      <c r="HC7" t="s">
        <v>602</v>
      </c>
      <c r="HD7" t="b">
        <v>1</v>
      </c>
      <c r="HE7" t="s">
        <v>574</v>
      </c>
      <c r="HF7" t="s">
        <v>574</v>
      </c>
      <c r="HG7">
        <v>2024</v>
      </c>
      <c r="HH7">
        <v>2</v>
      </c>
      <c r="HI7" t="s">
        <v>574</v>
      </c>
      <c r="HJ7" t="s">
        <v>602</v>
      </c>
      <c r="HK7" t="s">
        <v>574</v>
      </c>
      <c r="HL7" t="s">
        <v>577</v>
      </c>
      <c r="HM7" t="s">
        <v>603</v>
      </c>
      <c r="HN7" s="110" t="s">
        <v>579</v>
      </c>
    </row>
    <row r="8" spans="1:222">
      <c r="A8" t="s">
        <v>567</v>
      </c>
      <c r="B8" t="s">
        <v>568</v>
      </c>
      <c r="C8" t="s">
        <v>611</v>
      </c>
      <c r="D8" t="s">
        <v>570</v>
      </c>
      <c r="E8" t="s">
        <v>571</v>
      </c>
      <c r="F8" t="s">
        <v>572</v>
      </c>
      <c r="G8" s="111">
        <v>2203.6559999999999</v>
      </c>
      <c r="H8" s="111">
        <v>2273.364</v>
      </c>
      <c r="I8" s="111">
        <v>2332.9520000000002</v>
      </c>
      <c r="J8" s="111">
        <v>2420.6489999999999</v>
      </c>
      <c r="K8" s="111">
        <v>2498.2269999999999</v>
      </c>
      <c r="L8" s="111">
        <v>2399.2869999999998</v>
      </c>
      <c r="M8" s="111">
        <v>2452.13</v>
      </c>
      <c r="N8" s="111">
        <v>2560.0639999999999</v>
      </c>
      <c r="O8" s="111">
        <v>2665.75</v>
      </c>
      <c r="P8" s="111">
        <v>2569.0590000000002</v>
      </c>
      <c r="Q8" s="111">
        <v>2582.5500000000002</v>
      </c>
      <c r="R8" s="111">
        <v>2688.2359999999999</v>
      </c>
      <c r="S8" s="111">
        <v>2872.623</v>
      </c>
      <c r="T8" s="111">
        <v>2925.4659999999999</v>
      </c>
      <c r="U8" s="111">
        <v>2987.3029999999999</v>
      </c>
      <c r="V8" s="111">
        <v>3060.384</v>
      </c>
      <c r="W8" s="111">
        <v>3088.4920000000002</v>
      </c>
      <c r="X8" s="111">
        <v>3128.9670000000001</v>
      </c>
      <c r="Y8" s="111">
        <v>3185.183</v>
      </c>
      <c r="Z8" s="111">
        <v>3267.2579999999998</v>
      </c>
      <c r="AA8" s="111">
        <v>3359.4520000000002</v>
      </c>
      <c r="AB8" s="111">
        <v>3403.3</v>
      </c>
      <c r="AC8" s="111">
        <v>3447.1480000000001</v>
      </c>
      <c r="AD8" s="111">
        <v>3557.3310000000001</v>
      </c>
      <c r="AE8" s="111">
        <v>3637.1570000000002</v>
      </c>
      <c r="AF8" s="111">
        <v>3792.3130000000001</v>
      </c>
      <c r="AG8" s="111">
        <v>3863.145</v>
      </c>
      <c r="AH8" s="111">
        <v>3930.6030000000001</v>
      </c>
      <c r="AI8" s="111">
        <v>4305</v>
      </c>
      <c r="AJ8" s="111">
        <v>4334</v>
      </c>
      <c r="AK8" s="111">
        <v>4487</v>
      </c>
      <c r="AL8" s="111">
        <v>4632</v>
      </c>
      <c r="AM8" s="111">
        <v>4640</v>
      </c>
      <c r="AN8" s="111">
        <v>4879</v>
      </c>
      <c r="AO8" s="111">
        <v>5040</v>
      </c>
      <c r="AP8" s="111">
        <v>5234</v>
      </c>
      <c r="AQ8" s="111">
        <v>5239</v>
      </c>
      <c r="AR8" s="111">
        <v>5247</v>
      </c>
      <c r="AS8" s="111">
        <v>5405</v>
      </c>
      <c r="AT8" s="111">
        <v>5609</v>
      </c>
      <c r="AU8" s="111">
        <v>5594</v>
      </c>
      <c r="AV8" s="111">
        <v>5782</v>
      </c>
      <c r="AW8" s="111">
        <v>5930</v>
      </c>
      <c r="AX8" s="111">
        <v>6012</v>
      </c>
      <c r="AY8" s="111">
        <v>5974</v>
      </c>
      <c r="AZ8" s="111">
        <v>6126</v>
      </c>
      <c r="BA8" s="111">
        <v>6125</v>
      </c>
      <c r="BB8" s="111">
        <v>6492</v>
      </c>
      <c r="BC8" s="111">
        <v>6453</v>
      </c>
      <c r="BD8" s="111">
        <v>6234</v>
      </c>
      <c r="BE8" s="111">
        <v>6198</v>
      </c>
      <c r="BF8" s="111">
        <v>6517</v>
      </c>
      <c r="BG8" s="111">
        <v>6477</v>
      </c>
      <c r="BH8" s="111">
        <v>6646</v>
      </c>
      <c r="BI8" s="111">
        <v>6727</v>
      </c>
      <c r="BJ8" s="111">
        <v>6997</v>
      </c>
      <c r="BK8" s="111">
        <v>6841</v>
      </c>
      <c r="BL8" s="111">
        <v>6602</v>
      </c>
      <c r="BM8" s="111">
        <v>6704</v>
      </c>
      <c r="BN8" s="111">
        <v>6891</v>
      </c>
      <c r="BO8" s="111">
        <v>6872</v>
      </c>
      <c r="BP8" s="111">
        <v>6901</v>
      </c>
      <c r="BQ8" s="111">
        <v>6999</v>
      </c>
      <c r="BR8" s="111">
        <v>7120</v>
      </c>
      <c r="BS8" s="111">
        <v>7100</v>
      </c>
      <c r="BT8" s="111">
        <v>7308</v>
      </c>
      <c r="BU8" s="111">
        <v>7377</v>
      </c>
      <c r="BV8" s="111">
        <v>7428</v>
      </c>
      <c r="BW8" s="111">
        <v>7219</v>
      </c>
      <c r="BX8" s="111">
        <v>7704</v>
      </c>
      <c r="BY8" s="111">
        <v>8050</v>
      </c>
      <c r="BZ8" s="111">
        <v>8065</v>
      </c>
      <c r="CA8" s="111">
        <v>7887</v>
      </c>
      <c r="CB8" s="111">
        <v>8048</v>
      </c>
      <c r="CC8" s="111">
        <v>8448</v>
      </c>
      <c r="CD8" s="111">
        <v>8468</v>
      </c>
      <c r="CE8" s="111">
        <v>8757</v>
      </c>
      <c r="CF8" s="111">
        <v>8818</v>
      </c>
      <c r="CG8" s="111">
        <v>9094</v>
      </c>
      <c r="CH8" s="111">
        <v>9184</v>
      </c>
      <c r="CI8" s="111">
        <v>9313</v>
      </c>
      <c r="CJ8" s="111">
        <v>9861</v>
      </c>
      <c r="CK8" s="111">
        <v>9826</v>
      </c>
      <c r="CL8" s="111">
        <v>10195</v>
      </c>
      <c r="CM8" s="111">
        <v>10811</v>
      </c>
      <c r="CN8" s="111">
        <v>9870</v>
      </c>
      <c r="CO8" s="111">
        <v>10189</v>
      </c>
      <c r="CP8" s="111">
        <v>10298</v>
      </c>
      <c r="CQ8" s="111">
        <v>10629</v>
      </c>
      <c r="CR8" s="111">
        <v>10379</v>
      </c>
      <c r="CS8" s="111">
        <v>10146</v>
      </c>
      <c r="CT8" s="111">
        <v>10703</v>
      </c>
      <c r="CU8" s="111">
        <v>10366</v>
      </c>
      <c r="CV8" s="111">
        <v>11989</v>
      </c>
      <c r="CW8" s="111">
        <v>12409</v>
      </c>
      <c r="CX8" s="111">
        <v>12408</v>
      </c>
      <c r="CY8" s="111">
        <v>12662</v>
      </c>
      <c r="CZ8" s="111">
        <v>12920</v>
      </c>
      <c r="DA8" s="111">
        <v>13279</v>
      </c>
      <c r="DB8" s="111">
        <v>13669</v>
      </c>
      <c r="DC8" s="111">
        <v>13668</v>
      </c>
      <c r="DD8" s="111">
        <v>14205</v>
      </c>
      <c r="DE8" s="111">
        <v>14681</v>
      </c>
      <c r="DF8" s="111">
        <v>14643</v>
      </c>
      <c r="DG8" s="111">
        <v>14713</v>
      </c>
      <c r="DH8" s="111">
        <v>14863</v>
      </c>
      <c r="DI8" s="111">
        <v>15292</v>
      </c>
      <c r="DJ8" s="111">
        <v>15652</v>
      </c>
      <c r="DK8" s="111">
        <v>15661</v>
      </c>
      <c r="DL8" s="111">
        <v>16295</v>
      </c>
      <c r="DM8" s="111">
        <v>16680</v>
      </c>
      <c r="DN8" s="111">
        <v>17084</v>
      </c>
      <c r="DO8" s="111">
        <v>17891</v>
      </c>
      <c r="DP8" s="111">
        <v>17172</v>
      </c>
      <c r="DQ8" s="111">
        <v>17328</v>
      </c>
      <c r="DR8" s="111">
        <v>17305</v>
      </c>
      <c r="DS8" s="111">
        <v>16825</v>
      </c>
      <c r="DT8" s="111">
        <v>17195</v>
      </c>
      <c r="DU8" s="111">
        <v>17157</v>
      </c>
      <c r="DV8" s="111">
        <v>17618</v>
      </c>
      <c r="DW8" s="111">
        <v>18831</v>
      </c>
      <c r="DX8" s="111">
        <v>17422</v>
      </c>
      <c r="DY8" s="111">
        <v>17548</v>
      </c>
      <c r="DZ8" s="111">
        <v>17762</v>
      </c>
      <c r="EA8" s="111">
        <v>18475</v>
      </c>
      <c r="EB8" s="111">
        <v>18242</v>
      </c>
      <c r="EC8" s="111">
        <v>18350</v>
      </c>
      <c r="ED8" s="111">
        <v>18382</v>
      </c>
      <c r="EE8" s="111">
        <v>18603</v>
      </c>
      <c r="EF8" s="111">
        <v>19029</v>
      </c>
      <c r="EG8" s="111">
        <v>19095</v>
      </c>
      <c r="EH8" s="111">
        <v>18982</v>
      </c>
      <c r="EI8" s="111">
        <v>18597</v>
      </c>
      <c r="EJ8" s="111">
        <v>19598</v>
      </c>
      <c r="EK8" s="111">
        <v>19195</v>
      </c>
      <c r="EL8" s="111">
        <v>19482</v>
      </c>
      <c r="EM8" s="111">
        <v>19571</v>
      </c>
      <c r="EN8" s="111">
        <v>19575</v>
      </c>
      <c r="EO8" s="111">
        <v>19825</v>
      </c>
      <c r="EP8" s="111">
        <v>19993</v>
      </c>
      <c r="EQ8" s="111">
        <v>20426</v>
      </c>
      <c r="ER8" s="111">
        <v>20839</v>
      </c>
      <c r="ES8" s="111">
        <v>20846</v>
      </c>
      <c r="ET8" s="111">
        <v>21129</v>
      </c>
      <c r="EU8" s="111">
        <v>20549</v>
      </c>
      <c r="EV8" s="111">
        <v>22462</v>
      </c>
      <c r="EW8" s="111">
        <v>22802</v>
      </c>
      <c r="EX8" s="111">
        <v>23011</v>
      </c>
      <c r="EY8" s="111">
        <v>23425</v>
      </c>
      <c r="EZ8" s="111">
        <v>23645</v>
      </c>
      <c r="FA8" s="111">
        <v>23594</v>
      </c>
      <c r="FB8" s="111">
        <v>23997</v>
      </c>
      <c r="FC8" s="111">
        <v>24296</v>
      </c>
      <c r="FD8" s="111">
        <v>24403</v>
      </c>
      <c r="FE8" s="111">
        <v>24535</v>
      </c>
      <c r="FF8" s="111">
        <v>24830</v>
      </c>
      <c r="FG8" s="111">
        <v>25806</v>
      </c>
      <c r="FH8" s="111">
        <v>26406</v>
      </c>
      <c r="FI8" s="111">
        <v>27085</v>
      </c>
      <c r="FJ8" s="111">
        <v>27639</v>
      </c>
      <c r="FK8" s="111">
        <v>27453</v>
      </c>
      <c r="FL8" s="111">
        <v>27064</v>
      </c>
      <c r="FM8" s="111">
        <v>27978</v>
      </c>
      <c r="FN8" s="111">
        <v>28812</v>
      </c>
      <c r="FO8" s="111">
        <v>28828</v>
      </c>
      <c r="FP8" s="111">
        <v>29940</v>
      </c>
      <c r="FQ8" s="111">
        <v>30764</v>
      </c>
      <c r="FR8" s="111">
        <v>31560</v>
      </c>
      <c r="FS8" s="111">
        <v>32437</v>
      </c>
      <c r="FT8" s="111">
        <v>35271</v>
      </c>
      <c r="FU8" s="111">
        <v>35446</v>
      </c>
      <c r="FV8" s="111">
        <v>34778</v>
      </c>
      <c r="FW8" s="111">
        <v>34923</v>
      </c>
      <c r="FX8" s="111">
        <v>35305</v>
      </c>
      <c r="FY8" s="111">
        <v>35835</v>
      </c>
      <c r="FZ8" s="111">
        <v>37193</v>
      </c>
      <c r="GA8" s="111">
        <v>38998</v>
      </c>
      <c r="GB8" s="111">
        <v>37308</v>
      </c>
      <c r="GC8" s="112">
        <v>38127.699999999997</v>
      </c>
      <c r="GD8" s="112">
        <v>38385.24</v>
      </c>
      <c r="GE8" s="112">
        <v>38842.31</v>
      </c>
      <c r="GF8" s="112">
        <v>45125.97</v>
      </c>
      <c r="GG8" s="112">
        <v>45491.81</v>
      </c>
      <c r="GH8" s="112">
        <v>45860.71</v>
      </c>
      <c r="GI8" s="112">
        <v>46241.94</v>
      </c>
      <c r="GJ8" s="112">
        <v>46661.97</v>
      </c>
      <c r="GK8" s="112">
        <v>47114.59</v>
      </c>
      <c r="GL8" s="112">
        <v>47570.96</v>
      </c>
      <c r="GM8" s="112">
        <v>48037.53</v>
      </c>
      <c r="GN8" s="112">
        <v>48613.55</v>
      </c>
      <c r="GO8" s="112">
        <v>49073.86</v>
      </c>
      <c r="GP8" s="112">
        <v>49541.79</v>
      </c>
      <c r="GQ8" s="112">
        <v>49929.760000000002</v>
      </c>
      <c r="GR8" s="112">
        <v>50549.02</v>
      </c>
      <c r="GS8" s="112">
        <v>50986.99</v>
      </c>
      <c r="GT8" s="112">
        <v>51435.8</v>
      </c>
      <c r="GU8" s="112">
        <v>51884.1</v>
      </c>
      <c r="GV8" s="112">
        <v>52496.83</v>
      </c>
      <c r="GW8" s="112">
        <v>52918.27</v>
      </c>
      <c r="GX8" s="112">
        <v>53344.36</v>
      </c>
      <c r="GY8" s="112">
        <v>53771.22</v>
      </c>
      <c r="GZ8" s="112">
        <v>54261.23</v>
      </c>
      <c r="HA8" s="112">
        <v>54758.03</v>
      </c>
      <c r="HB8" s="112">
        <v>55259.360000000001</v>
      </c>
      <c r="HC8" t="s">
        <v>573</v>
      </c>
      <c r="HD8" t="b">
        <v>1</v>
      </c>
      <c r="HE8" t="s">
        <v>574</v>
      </c>
      <c r="HF8" t="s">
        <v>574</v>
      </c>
      <c r="HG8">
        <v>2024</v>
      </c>
      <c r="HH8">
        <v>2</v>
      </c>
      <c r="HI8" t="s">
        <v>574</v>
      </c>
      <c r="HJ8" t="s">
        <v>575</v>
      </c>
      <c r="HK8" t="s">
        <v>576</v>
      </c>
      <c r="HL8" t="s">
        <v>577</v>
      </c>
      <c r="HM8" t="s">
        <v>578</v>
      </c>
      <c r="HN8" t="s">
        <v>612</v>
      </c>
    </row>
    <row r="9" spans="1:222">
      <c r="A9" t="s">
        <v>567</v>
      </c>
      <c r="B9" t="s">
        <v>580</v>
      </c>
      <c r="C9" t="s">
        <v>611</v>
      </c>
      <c r="D9" t="s">
        <v>570</v>
      </c>
      <c r="E9" t="s">
        <v>571</v>
      </c>
      <c r="F9" t="s">
        <v>572</v>
      </c>
      <c r="G9" s="111">
        <v>269776</v>
      </c>
      <c r="H9" s="111">
        <v>264448</v>
      </c>
      <c r="I9" s="111">
        <v>264139</v>
      </c>
      <c r="J9" s="111">
        <v>261297</v>
      </c>
      <c r="K9" s="111">
        <v>261131</v>
      </c>
      <c r="L9" s="111">
        <v>261739</v>
      </c>
      <c r="M9" s="111">
        <v>264602</v>
      </c>
      <c r="N9" s="111">
        <v>264902</v>
      </c>
      <c r="O9" s="111">
        <v>265408</v>
      </c>
      <c r="P9" s="111">
        <v>268196</v>
      </c>
      <c r="Q9" s="111">
        <v>268798</v>
      </c>
      <c r="R9" s="111">
        <v>270653</v>
      </c>
      <c r="S9" s="111">
        <v>275877</v>
      </c>
      <c r="T9" s="111">
        <v>277790</v>
      </c>
      <c r="U9" s="111">
        <v>280996</v>
      </c>
      <c r="V9" s="111">
        <v>283096</v>
      </c>
      <c r="W9" s="111">
        <v>285469</v>
      </c>
      <c r="X9" s="111">
        <v>282605</v>
      </c>
      <c r="Y9" s="111">
        <v>284676</v>
      </c>
      <c r="Z9" s="111">
        <v>289829</v>
      </c>
      <c r="AA9" s="111">
        <v>292612</v>
      </c>
      <c r="AB9" s="111">
        <v>298873</v>
      </c>
      <c r="AC9" s="111">
        <v>298814</v>
      </c>
      <c r="AD9" s="111">
        <v>298979</v>
      </c>
      <c r="AE9" s="111">
        <v>302117</v>
      </c>
      <c r="AF9" s="111">
        <v>304797</v>
      </c>
      <c r="AG9" s="111">
        <v>306708</v>
      </c>
      <c r="AH9" s="111">
        <v>312615</v>
      </c>
      <c r="AI9" s="111">
        <v>314804</v>
      </c>
      <c r="AJ9" s="111">
        <v>319478</v>
      </c>
      <c r="AK9" s="111">
        <v>327346</v>
      </c>
      <c r="AL9" s="111">
        <v>331075</v>
      </c>
      <c r="AM9" s="111">
        <v>336442</v>
      </c>
      <c r="AN9" s="111">
        <v>338186</v>
      </c>
      <c r="AO9" s="111">
        <v>342414</v>
      </c>
      <c r="AP9" s="111">
        <v>345162</v>
      </c>
      <c r="AQ9" s="111">
        <v>346836</v>
      </c>
      <c r="AR9" s="111">
        <v>348997</v>
      </c>
      <c r="AS9" s="111">
        <v>349572</v>
      </c>
      <c r="AT9" s="111">
        <v>349523</v>
      </c>
      <c r="AU9" s="111">
        <v>351299</v>
      </c>
      <c r="AV9" s="111">
        <v>353663</v>
      </c>
      <c r="AW9" s="111">
        <v>349780</v>
      </c>
      <c r="AX9" s="111">
        <v>348006</v>
      </c>
      <c r="AY9" s="111">
        <v>346292</v>
      </c>
      <c r="AZ9" s="111">
        <v>345892</v>
      </c>
      <c r="BA9" s="111">
        <v>345216</v>
      </c>
      <c r="BB9" s="111">
        <v>345643</v>
      </c>
      <c r="BC9" s="111">
        <v>345523</v>
      </c>
      <c r="BD9" s="111">
        <v>344987</v>
      </c>
      <c r="BE9" s="111">
        <v>346628</v>
      </c>
      <c r="BF9" s="111">
        <v>349299</v>
      </c>
      <c r="BG9" s="111">
        <v>351046</v>
      </c>
      <c r="BH9" s="111">
        <v>352612</v>
      </c>
      <c r="BI9" s="111">
        <v>355841</v>
      </c>
      <c r="BJ9" s="111">
        <v>358264</v>
      </c>
      <c r="BK9" s="111">
        <v>361793</v>
      </c>
      <c r="BL9" s="111">
        <v>365109</v>
      </c>
      <c r="BM9" s="111">
        <v>368798</v>
      </c>
      <c r="BN9" s="111">
        <v>370401</v>
      </c>
      <c r="BO9" s="111">
        <v>372307</v>
      </c>
      <c r="BP9" s="111">
        <v>373090</v>
      </c>
      <c r="BQ9" s="111">
        <v>377249</v>
      </c>
      <c r="BR9" s="111">
        <v>378442</v>
      </c>
      <c r="BS9" s="111">
        <v>380976</v>
      </c>
      <c r="BT9" s="111">
        <v>382146</v>
      </c>
      <c r="BU9" s="111">
        <v>385671</v>
      </c>
      <c r="BV9" s="111">
        <v>391053</v>
      </c>
      <c r="BW9" s="111">
        <v>397303</v>
      </c>
      <c r="BX9" s="111">
        <v>401790</v>
      </c>
      <c r="BY9" s="111">
        <v>405233</v>
      </c>
      <c r="BZ9" s="111">
        <v>411352</v>
      </c>
      <c r="CA9" s="111">
        <v>414377</v>
      </c>
      <c r="CB9" s="111">
        <v>416909</v>
      </c>
      <c r="CC9" s="111">
        <v>418294</v>
      </c>
      <c r="CD9" s="111">
        <v>421074</v>
      </c>
      <c r="CE9" s="111">
        <v>423875</v>
      </c>
      <c r="CF9" s="111">
        <v>425920</v>
      </c>
      <c r="CG9" s="111">
        <v>432860</v>
      </c>
      <c r="CH9" s="111">
        <v>439093</v>
      </c>
      <c r="CI9" s="111">
        <v>444540</v>
      </c>
      <c r="CJ9" s="111">
        <v>447825</v>
      </c>
      <c r="CK9" s="111">
        <v>450688</v>
      </c>
      <c r="CL9" s="111">
        <v>453447</v>
      </c>
      <c r="CM9" s="111">
        <v>457680</v>
      </c>
      <c r="CN9" s="111">
        <v>459620</v>
      </c>
      <c r="CO9" s="111">
        <v>462016</v>
      </c>
      <c r="CP9" s="111">
        <v>463404</v>
      </c>
      <c r="CQ9" s="111">
        <v>464698</v>
      </c>
      <c r="CR9" s="111">
        <v>466935</v>
      </c>
      <c r="CS9" s="111">
        <v>470277</v>
      </c>
      <c r="CT9" s="111">
        <v>473899</v>
      </c>
      <c r="CU9" s="111">
        <v>477357</v>
      </c>
      <c r="CV9" s="111">
        <v>481552</v>
      </c>
      <c r="CW9" s="111">
        <v>485973</v>
      </c>
      <c r="CX9" s="111">
        <v>490059</v>
      </c>
      <c r="CY9" s="111">
        <v>492014</v>
      </c>
      <c r="CZ9" s="111">
        <v>494824</v>
      </c>
      <c r="DA9" s="111">
        <v>496642</v>
      </c>
      <c r="DB9" s="111">
        <v>499020</v>
      </c>
      <c r="DC9" s="111">
        <v>502702</v>
      </c>
      <c r="DD9" s="111">
        <v>506906</v>
      </c>
      <c r="DE9" s="111">
        <v>511132</v>
      </c>
      <c r="DF9" s="111">
        <v>515935</v>
      </c>
      <c r="DG9" s="111">
        <v>518495</v>
      </c>
      <c r="DH9" s="111">
        <v>520318</v>
      </c>
      <c r="DI9" s="111">
        <v>521780</v>
      </c>
      <c r="DJ9" s="111">
        <v>524569</v>
      </c>
      <c r="DK9" s="111">
        <v>529398</v>
      </c>
      <c r="DL9" s="111">
        <v>533187</v>
      </c>
      <c r="DM9" s="111">
        <v>537052</v>
      </c>
      <c r="DN9" s="111">
        <v>540258</v>
      </c>
      <c r="DO9" s="111">
        <v>542804</v>
      </c>
      <c r="DP9" s="111">
        <v>539918</v>
      </c>
      <c r="DQ9" s="111">
        <v>531619</v>
      </c>
      <c r="DR9" s="111">
        <v>520230</v>
      </c>
      <c r="DS9" s="111">
        <v>509646</v>
      </c>
      <c r="DT9" s="111">
        <v>508009</v>
      </c>
      <c r="DU9" s="111">
        <v>508398</v>
      </c>
      <c r="DV9" s="111">
        <v>509889</v>
      </c>
      <c r="DW9" s="111">
        <v>514595</v>
      </c>
      <c r="DX9" s="111">
        <v>520128</v>
      </c>
      <c r="DY9" s="111">
        <v>523173</v>
      </c>
      <c r="DZ9" s="111">
        <v>523515</v>
      </c>
      <c r="EA9" s="111">
        <v>524955</v>
      </c>
      <c r="EB9" s="111">
        <v>525418</v>
      </c>
      <c r="EC9" s="111">
        <v>527034</v>
      </c>
      <c r="ED9" s="111">
        <v>527698</v>
      </c>
      <c r="EE9" s="111">
        <v>532300</v>
      </c>
      <c r="EF9" s="111">
        <v>531663</v>
      </c>
      <c r="EG9" s="111">
        <v>536720</v>
      </c>
      <c r="EH9" s="111">
        <v>536188</v>
      </c>
      <c r="EI9" s="111">
        <v>537974</v>
      </c>
      <c r="EJ9" s="111">
        <v>541586</v>
      </c>
      <c r="EK9" s="111">
        <v>546064</v>
      </c>
      <c r="EL9" s="111">
        <v>549709</v>
      </c>
      <c r="EM9" s="111">
        <v>554183</v>
      </c>
      <c r="EN9" s="111">
        <v>559331</v>
      </c>
      <c r="EO9" s="111">
        <v>563694</v>
      </c>
      <c r="EP9" s="111">
        <v>567619</v>
      </c>
      <c r="EQ9" s="111">
        <v>569150</v>
      </c>
      <c r="ER9" s="111">
        <v>572673</v>
      </c>
      <c r="ES9" s="111">
        <v>574836</v>
      </c>
      <c r="ET9" s="111">
        <v>578068</v>
      </c>
      <c r="EU9" s="111">
        <v>580110</v>
      </c>
      <c r="EV9" s="111">
        <v>583383</v>
      </c>
      <c r="EW9" s="111">
        <v>585856</v>
      </c>
      <c r="EX9" s="111">
        <v>589476</v>
      </c>
      <c r="EY9" s="111">
        <v>594423</v>
      </c>
      <c r="EZ9" s="111">
        <v>598176</v>
      </c>
      <c r="FA9" s="111">
        <v>601961</v>
      </c>
      <c r="FB9" s="111">
        <v>606396</v>
      </c>
      <c r="FC9" s="111">
        <v>606785</v>
      </c>
      <c r="FD9" s="111">
        <v>607775</v>
      </c>
      <c r="FE9" s="111">
        <v>609653</v>
      </c>
      <c r="FF9" s="111">
        <v>610481</v>
      </c>
      <c r="FG9" s="111">
        <v>614936</v>
      </c>
      <c r="FH9" s="111">
        <v>616853</v>
      </c>
      <c r="FI9" s="111">
        <v>621227</v>
      </c>
      <c r="FJ9" s="111">
        <v>621229</v>
      </c>
      <c r="FK9" s="111">
        <v>604719</v>
      </c>
      <c r="FL9" s="111">
        <v>481769</v>
      </c>
      <c r="FM9" s="111">
        <v>562648</v>
      </c>
      <c r="FN9" s="111">
        <v>570338</v>
      </c>
      <c r="FO9" s="111">
        <v>564411</v>
      </c>
      <c r="FP9" s="111">
        <v>605353</v>
      </c>
      <c r="FQ9" s="111">
        <v>615459</v>
      </c>
      <c r="FR9" s="111">
        <v>624592</v>
      </c>
      <c r="FS9" s="111">
        <v>629149</v>
      </c>
      <c r="FT9" s="111">
        <v>631258</v>
      </c>
      <c r="FU9" s="111">
        <v>631977</v>
      </c>
      <c r="FV9" s="111">
        <v>634044</v>
      </c>
      <c r="FW9" s="111">
        <v>634612</v>
      </c>
      <c r="FX9" s="111">
        <v>634624</v>
      </c>
      <c r="FY9" s="111">
        <v>633956</v>
      </c>
      <c r="FZ9" s="111">
        <v>631825</v>
      </c>
      <c r="GA9" s="111">
        <v>636222</v>
      </c>
      <c r="GB9" s="111">
        <v>639095</v>
      </c>
      <c r="GC9" s="112">
        <v>640741.9</v>
      </c>
      <c r="GD9" s="112">
        <v>643868.9</v>
      </c>
      <c r="GE9" s="112">
        <v>646136.9</v>
      </c>
      <c r="GF9" s="112">
        <v>647772.1</v>
      </c>
      <c r="GG9" s="112">
        <v>649743.69999999995</v>
      </c>
      <c r="GH9" s="112">
        <v>652016.30000000005</v>
      </c>
      <c r="GI9" s="112">
        <v>654585</v>
      </c>
      <c r="GJ9" s="112">
        <v>657323.1</v>
      </c>
      <c r="GK9" s="112">
        <v>660047.9</v>
      </c>
      <c r="GL9" s="112">
        <v>662837.80000000005</v>
      </c>
      <c r="GM9" s="112">
        <v>665613.30000000005</v>
      </c>
      <c r="GN9" s="112">
        <v>668386.4</v>
      </c>
      <c r="GO9" s="112">
        <v>671143.1</v>
      </c>
      <c r="GP9" s="112">
        <v>674014.1</v>
      </c>
      <c r="GQ9" s="112">
        <v>676832.3</v>
      </c>
      <c r="GR9" s="112">
        <v>679646</v>
      </c>
      <c r="GS9" s="112">
        <v>682417.5</v>
      </c>
      <c r="GT9" s="112">
        <v>685213.4</v>
      </c>
      <c r="GU9" s="112">
        <v>688029.5</v>
      </c>
      <c r="GV9" s="112">
        <v>690845</v>
      </c>
      <c r="GW9" s="112">
        <v>693682.9</v>
      </c>
      <c r="GX9" s="112">
        <v>696538.8</v>
      </c>
      <c r="GY9" s="112">
        <v>699408.1</v>
      </c>
      <c r="GZ9" s="112">
        <v>702286.3</v>
      </c>
      <c r="HA9" s="112">
        <v>705169.4</v>
      </c>
      <c r="HB9" s="112">
        <v>708055.9</v>
      </c>
      <c r="HC9" t="s">
        <v>573</v>
      </c>
      <c r="HD9" t="b">
        <v>1</v>
      </c>
      <c r="HE9" s="110" t="s">
        <v>581</v>
      </c>
      <c r="HF9" t="s">
        <v>574</v>
      </c>
      <c r="HG9">
        <v>2024</v>
      </c>
      <c r="HH9">
        <v>2</v>
      </c>
      <c r="HI9" t="s">
        <v>574</v>
      </c>
      <c r="HJ9" t="s">
        <v>582</v>
      </c>
      <c r="HK9" s="110" t="s">
        <v>583</v>
      </c>
      <c r="HL9" t="s">
        <v>577</v>
      </c>
      <c r="HM9" t="s">
        <v>584</v>
      </c>
      <c r="HN9" t="s">
        <v>612</v>
      </c>
    </row>
    <row r="10" spans="1:222">
      <c r="A10" t="s">
        <v>567</v>
      </c>
      <c r="B10" s="110" t="s">
        <v>585</v>
      </c>
      <c r="C10" t="s">
        <v>611</v>
      </c>
      <c r="D10" t="s">
        <v>586</v>
      </c>
      <c r="E10" t="s">
        <v>587</v>
      </c>
      <c r="F10" t="s">
        <v>572</v>
      </c>
      <c r="G10" s="111">
        <v>25250</v>
      </c>
      <c r="H10" s="111">
        <v>25190</v>
      </c>
      <c r="I10" s="111">
        <v>25050</v>
      </c>
      <c r="J10" s="111">
        <v>24855</v>
      </c>
      <c r="K10" s="111">
        <v>24661</v>
      </c>
      <c r="L10" s="111">
        <v>24495</v>
      </c>
      <c r="M10" s="111">
        <v>24355</v>
      </c>
      <c r="N10" s="111">
        <v>24209</v>
      </c>
      <c r="O10" s="111">
        <v>24120</v>
      </c>
      <c r="P10" s="111">
        <v>24027</v>
      </c>
      <c r="Q10" s="111">
        <v>23901</v>
      </c>
      <c r="R10" s="111">
        <v>23755</v>
      </c>
      <c r="S10" s="111">
        <v>23651</v>
      </c>
      <c r="T10" s="111">
        <v>23647</v>
      </c>
      <c r="U10" s="111">
        <v>23809</v>
      </c>
      <c r="V10" s="111">
        <v>23994</v>
      </c>
      <c r="W10" s="111">
        <v>24125</v>
      </c>
      <c r="X10" s="111">
        <v>24245</v>
      </c>
      <c r="Y10" s="111">
        <v>24335</v>
      </c>
      <c r="Z10" s="111">
        <v>24435</v>
      </c>
      <c r="AA10" s="111">
        <v>24515</v>
      </c>
      <c r="AB10" s="111">
        <v>24570</v>
      </c>
      <c r="AC10" s="111">
        <v>24625</v>
      </c>
      <c r="AD10" s="111">
        <v>24660</v>
      </c>
      <c r="AE10" s="111">
        <v>24670</v>
      </c>
      <c r="AF10" s="111">
        <v>24695</v>
      </c>
      <c r="AG10" s="111">
        <v>24770</v>
      </c>
      <c r="AH10" s="111">
        <v>24850</v>
      </c>
      <c r="AI10" s="111">
        <v>24925</v>
      </c>
      <c r="AJ10" s="111">
        <v>25110</v>
      </c>
      <c r="AK10" s="111">
        <v>25345</v>
      </c>
      <c r="AL10" s="111">
        <v>25575</v>
      </c>
      <c r="AM10" s="111">
        <v>25795</v>
      </c>
      <c r="AN10" s="111">
        <v>25970</v>
      </c>
      <c r="AO10" s="111">
        <v>26160</v>
      </c>
      <c r="AP10" s="111">
        <v>26355</v>
      </c>
      <c r="AQ10" s="111">
        <v>26590</v>
      </c>
      <c r="AR10" s="111">
        <v>26730</v>
      </c>
      <c r="AS10" s="111">
        <v>26795</v>
      </c>
      <c r="AT10" s="111">
        <v>26880</v>
      </c>
      <c r="AU10" s="111">
        <v>26900</v>
      </c>
      <c r="AV10" s="111">
        <v>26935</v>
      </c>
      <c r="AW10" s="111">
        <v>26900</v>
      </c>
      <c r="AX10" s="111">
        <v>26750</v>
      </c>
      <c r="AY10" s="111">
        <v>26530</v>
      </c>
      <c r="AZ10" s="111">
        <v>26275</v>
      </c>
      <c r="BA10" s="111">
        <v>26025</v>
      </c>
      <c r="BB10" s="111">
        <v>25820</v>
      </c>
      <c r="BC10" s="111">
        <v>25710</v>
      </c>
      <c r="BD10" s="111">
        <v>25605</v>
      </c>
      <c r="BE10" s="111">
        <v>25509</v>
      </c>
      <c r="BF10" s="111">
        <v>25336</v>
      </c>
      <c r="BG10" s="111">
        <v>25282</v>
      </c>
      <c r="BH10" s="111">
        <v>25293</v>
      </c>
      <c r="BI10" s="111">
        <v>25316</v>
      </c>
      <c r="BJ10" s="111">
        <v>25320</v>
      </c>
      <c r="BK10" s="111">
        <v>25408</v>
      </c>
      <c r="BL10" s="111">
        <v>25451</v>
      </c>
      <c r="BM10" s="111">
        <v>25559</v>
      </c>
      <c r="BN10" s="111">
        <v>25600</v>
      </c>
      <c r="BO10" s="111">
        <v>25670</v>
      </c>
      <c r="BP10" s="111">
        <v>25770</v>
      </c>
      <c r="BQ10" s="111">
        <v>25852</v>
      </c>
      <c r="BR10" s="111">
        <v>25982</v>
      </c>
      <c r="BS10" s="111">
        <v>25970</v>
      </c>
      <c r="BT10" s="111">
        <v>26009</v>
      </c>
      <c r="BU10" s="111">
        <v>26062</v>
      </c>
      <c r="BV10" s="111">
        <v>26198</v>
      </c>
      <c r="BW10" s="111">
        <v>26381</v>
      </c>
      <c r="BX10" s="111">
        <v>26514</v>
      </c>
      <c r="BY10" s="111">
        <v>26572</v>
      </c>
      <c r="BZ10" s="111">
        <v>26636</v>
      </c>
      <c r="CA10" s="111">
        <v>26677</v>
      </c>
      <c r="CB10" s="111">
        <v>26714</v>
      </c>
      <c r="CC10" s="111">
        <v>26834</v>
      </c>
      <c r="CD10" s="111">
        <v>26955</v>
      </c>
      <c r="CE10" s="111">
        <v>27036</v>
      </c>
      <c r="CF10" s="111">
        <v>27095</v>
      </c>
      <c r="CG10" s="111">
        <v>27218</v>
      </c>
      <c r="CH10" s="111">
        <v>27322</v>
      </c>
      <c r="CI10" s="111">
        <v>27362</v>
      </c>
      <c r="CJ10" s="111">
        <v>27468</v>
      </c>
      <c r="CK10" s="111">
        <v>27555</v>
      </c>
      <c r="CL10" s="111">
        <v>27549</v>
      </c>
      <c r="CM10" s="111">
        <v>27623</v>
      </c>
      <c r="CN10" s="111">
        <v>27707</v>
      </c>
      <c r="CO10" s="111">
        <v>27715</v>
      </c>
      <c r="CP10" s="111">
        <v>27803</v>
      </c>
      <c r="CQ10" s="111">
        <v>27797</v>
      </c>
      <c r="CR10" s="111">
        <v>27933</v>
      </c>
      <c r="CS10" s="111">
        <v>27935</v>
      </c>
      <c r="CT10" s="111">
        <v>28110</v>
      </c>
      <c r="CU10" s="111">
        <v>28099</v>
      </c>
      <c r="CV10" s="111">
        <v>28226</v>
      </c>
      <c r="CW10" s="111">
        <v>28256</v>
      </c>
      <c r="CX10" s="111">
        <v>28304</v>
      </c>
      <c r="CY10" s="111">
        <v>28459</v>
      </c>
      <c r="CZ10" s="111">
        <v>28470</v>
      </c>
      <c r="DA10" s="111">
        <v>28518</v>
      </c>
      <c r="DB10" s="111">
        <v>28673</v>
      </c>
      <c r="DC10" s="111">
        <v>28789</v>
      </c>
      <c r="DD10" s="111">
        <v>28802</v>
      </c>
      <c r="DE10" s="111">
        <v>28928</v>
      </c>
      <c r="DF10" s="111">
        <v>28880</v>
      </c>
      <c r="DG10" s="111">
        <v>29048</v>
      </c>
      <c r="DH10" s="111">
        <v>29106</v>
      </c>
      <c r="DI10" s="111">
        <v>29183</v>
      </c>
      <c r="DJ10" s="111">
        <v>29214</v>
      </c>
      <c r="DK10" s="111">
        <v>29194</v>
      </c>
      <c r="DL10" s="111">
        <v>29322</v>
      </c>
      <c r="DM10" s="111">
        <v>29420</v>
      </c>
      <c r="DN10" s="111">
        <v>29576</v>
      </c>
      <c r="DO10" s="111">
        <v>29684</v>
      </c>
      <c r="DP10" s="111">
        <v>29722</v>
      </c>
      <c r="DQ10" s="111">
        <v>29580</v>
      </c>
      <c r="DR10" s="111">
        <v>29528</v>
      </c>
      <c r="DS10" s="111">
        <v>29366</v>
      </c>
      <c r="DT10" s="111">
        <v>29087</v>
      </c>
      <c r="DU10" s="111">
        <v>29069</v>
      </c>
      <c r="DV10" s="111">
        <v>29102</v>
      </c>
      <c r="DW10" s="111">
        <v>29013</v>
      </c>
      <c r="DX10" s="111">
        <v>29192</v>
      </c>
      <c r="DY10" s="111">
        <v>29385</v>
      </c>
      <c r="DZ10" s="111">
        <v>29324</v>
      </c>
      <c r="EA10" s="111">
        <v>29441</v>
      </c>
      <c r="EB10" s="111">
        <v>29447</v>
      </c>
      <c r="EC10" s="111">
        <v>29283</v>
      </c>
      <c r="ED10" s="111">
        <v>29349</v>
      </c>
      <c r="EE10" s="111">
        <v>29464</v>
      </c>
      <c r="EF10" s="111">
        <v>29681</v>
      </c>
      <c r="EG10" s="111">
        <v>29778</v>
      </c>
      <c r="EH10" s="111">
        <v>29932</v>
      </c>
      <c r="EI10" s="111">
        <v>29869</v>
      </c>
      <c r="EJ10" s="111">
        <v>29974</v>
      </c>
      <c r="EK10" s="111">
        <v>30144</v>
      </c>
      <c r="EL10" s="111">
        <v>30330</v>
      </c>
      <c r="EM10" s="111">
        <v>30573</v>
      </c>
      <c r="EN10" s="111">
        <v>30747</v>
      </c>
      <c r="EO10" s="111">
        <v>30873</v>
      </c>
      <c r="EP10" s="111">
        <v>30981</v>
      </c>
      <c r="EQ10" s="111">
        <v>31188</v>
      </c>
      <c r="ER10" s="111">
        <v>31140</v>
      </c>
      <c r="ES10" s="111">
        <v>31361</v>
      </c>
      <c r="ET10" s="111">
        <v>31569</v>
      </c>
      <c r="EU10" s="111">
        <v>31603</v>
      </c>
      <c r="EV10" s="111">
        <v>31778</v>
      </c>
      <c r="EW10" s="111">
        <v>31843</v>
      </c>
      <c r="EX10" s="111">
        <v>31877</v>
      </c>
      <c r="EY10" s="111">
        <v>31978</v>
      </c>
      <c r="EZ10" s="111">
        <v>32098</v>
      </c>
      <c r="FA10" s="111">
        <v>32093</v>
      </c>
      <c r="FB10" s="111">
        <v>32179</v>
      </c>
      <c r="FC10" s="111">
        <v>32364</v>
      </c>
      <c r="FD10" s="111">
        <v>32403</v>
      </c>
      <c r="FE10" s="111">
        <v>32448</v>
      </c>
      <c r="FF10" s="111">
        <v>32618</v>
      </c>
      <c r="FG10" s="111">
        <v>32721</v>
      </c>
      <c r="FH10" s="111">
        <v>32839</v>
      </c>
      <c r="FI10" s="111">
        <v>32779</v>
      </c>
      <c r="FJ10" s="111">
        <v>32954</v>
      </c>
      <c r="FK10" s="111">
        <v>33000</v>
      </c>
      <c r="FL10" s="111">
        <v>32571</v>
      </c>
      <c r="FM10" s="111">
        <v>32354</v>
      </c>
      <c r="FN10" s="111">
        <v>32198</v>
      </c>
      <c r="FO10" s="111">
        <v>32221</v>
      </c>
      <c r="FP10" s="111">
        <v>32377</v>
      </c>
      <c r="FQ10" s="111">
        <v>32687</v>
      </c>
      <c r="FR10" s="111">
        <v>32686</v>
      </c>
      <c r="FS10" s="111">
        <v>32775</v>
      </c>
      <c r="FT10" s="111">
        <v>32958</v>
      </c>
      <c r="FU10" s="111">
        <v>32916</v>
      </c>
      <c r="FV10" s="111">
        <v>33067</v>
      </c>
      <c r="FW10" s="111">
        <v>33201</v>
      </c>
      <c r="FX10" s="111">
        <v>33163</v>
      </c>
      <c r="FY10" s="111">
        <v>33102</v>
      </c>
      <c r="FZ10" s="111">
        <v>33174</v>
      </c>
      <c r="GA10" s="111">
        <v>32997</v>
      </c>
      <c r="GB10" s="111">
        <v>33094</v>
      </c>
      <c r="GC10" s="112">
        <v>33306.910000000003</v>
      </c>
      <c r="GD10" s="112">
        <v>33156.910000000003</v>
      </c>
      <c r="GE10" s="112">
        <v>33260.839999999997</v>
      </c>
      <c r="GF10" s="112">
        <v>33349.68</v>
      </c>
      <c r="GG10" s="112">
        <v>33449.47</v>
      </c>
      <c r="GH10" s="112">
        <v>33554.050000000003</v>
      </c>
      <c r="GI10" s="112">
        <v>33662.36</v>
      </c>
      <c r="GJ10" s="112">
        <v>33771.11</v>
      </c>
      <c r="GK10" s="112">
        <v>33873.269999999997</v>
      </c>
      <c r="GL10" s="112">
        <v>33975.699999999997</v>
      </c>
      <c r="GM10" s="112">
        <v>34077.21</v>
      </c>
      <c r="GN10" s="112">
        <v>34178.629999999997</v>
      </c>
      <c r="GO10" s="112">
        <v>34278.839999999997</v>
      </c>
      <c r="GP10" s="112">
        <v>34384.39</v>
      </c>
      <c r="GQ10" s="112">
        <v>34486.76</v>
      </c>
      <c r="GR10" s="112">
        <v>34588.660000000003</v>
      </c>
      <c r="GS10" s="112">
        <v>34683.949999999997</v>
      </c>
      <c r="GT10" s="112">
        <v>34776.47</v>
      </c>
      <c r="GU10" s="112">
        <v>34866.050000000003</v>
      </c>
      <c r="GV10" s="112">
        <v>34951.74</v>
      </c>
      <c r="GW10" s="112">
        <v>35034.71</v>
      </c>
      <c r="GX10" s="112">
        <v>35117.85</v>
      </c>
      <c r="GY10" s="112">
        <v>35197.730000000003</v>
      </c>
      <c r="GZ10" s="112">
        <v>35277.58</v>
      </c>
      <c r="HA10" s="112">
        <v>35357.53</v>
      </c>
      <c r="HB10" s="112">
        <v>35437.449999999997</v>
      </c>
      <c r="HC10" t="s">
        <v>573</v>
      </c>
      <c r="HD10" t="b">
        <v>1</v>
      </c>
      <c r="HE10" t="s">
        <v>574</v>
      </c>
      <c r="HF10" t="s">
        <v>574</v>
      </c>
      <c r="HG10">
        <v>2024</v>
      </c>
      <c r="HH10">
        <v>2</v>
      </c>
      <c r="HI10" t="s">
        <v>574</v>
      </c>
      <c r="HJ10" t="s">
        <v>588</v>
      </c>
      <c r="HK10" s="110" t="s">
        <v>589</v>
      </c>
      <c r="HL10" t="s">
        <v>577</v>
      </c>
      <c r="HM10" t="s">
        <v>590</v>
      </c>
      <c r="HN10" t="s">
        <v>612</v>
      </c>
    </row>
    <row r="11" spans="1:222">
      <c r="A11" t="s">
        <v>567</v>
      </c>
      <c r="B11" t="s">
        <v>591</v>
      </c>
      <c r="C11" t="s">
        <v>611</v>
      </c>
      <c r="D11" t="s">
        <v>592</v>
      </c>
      <c r="E11" t="s">
        <v>574</v>
      </c>
      <c r="F11" t="s">
        <v>572</v>
      </c>
      <c r="G11" s="111">
        <v>5.8</v>
      </c>
      <c r="H11" s="111">
        <v>6.3</v>
      </c>
      <c r="I11" s="111">
        <v>7.1</v>
      </c>
      <c r="J11" s="111">
        <v>8</v>
      </c>
      <c r="K11" s="111">
        <v>8.9</v>
      </c>
      <c r="L11" s="111">
        <v>9.6</v>
      </c>
      <c r="M11" s="111">
        <v>9.9</v>
      </c>
      <c r="N11" s="111">
        <v>10.199999999999999</v>
      </c>
      <c r="O11" s="111">
        <v>10.4</v>
      </c>
      <c r="P11" s="111">
        <v>10.6</v>
      </c>
      <c r="Q11" s="111">
        <v>10.8</v>
      </c>
      <c r="R11" s="111">
        <v>11.1</v>
      </c>
      <c r="S11" s="111">
        <v>11.3</v>
      </c>
      <c r="T11" s="111">
        <v>11.4</v>
      </c>
      <c r="U11" s="111">
        <v>11.5</v>
      </c>
      <c r="V11" s="111">
        <v>11.7</v>
      </c>
      <c r="W11" s="111">
        <v>11.8</v>
      </c>
      <c r="X11" s="111">
        <v>11.9</v>
      </c>
      <c r="Y11" s="111">
        <v>11.7</v>
      </c>
      <c r="Z11" s="111">
        <v>11.6</v>
      </c>
      <c r="AA11" s="111">
        <v>11.5</v>
      </c>
      <c r="AB11" s="111">
        <v>11.4</v>
      </c>
      <c r="AC11" s="111">
        <v>11.3</v>
      </c>
      <c r="AD11" s="111">
        <v>11.3</v>
      </c>
      <c r="AE11" s="111">
        <v>11.3</v>
      </c>
      <c r="AF11" s="111">
        <v>11.3</v>
      </c>
      <c r="AG11" s="111">
        <v>11.4</v>
      </c>
      <c r="AH11" s="111">
        <v>11.3</v>
      </c>
      <c r="AI11" s="111">
        <v>11.1</v>
      </c>
      <c r="AJ11" s="111">
        <v>10.7</v>
      </c>
      <c r="AK11" s="111">
        <v>10.199999999999999</v>
      </c>
      <c r="AL11" s="111">
        <v>9.6999999999999993</v>
      </c>
      <c r="AM11" s="111">
        <v>9.1999999999999993</v>
      </c>
      <c r="AN11" s="111">
        <v>8.6999999999999993</v>
      </c>
      <c r="AO11" s="111">
        <v>8.4</v>
      </c>
      <c r="AP11" s="111">
        <v>8</v>
      </c>
      <c r="AQ11" s="111">
        <v>7.6</v>
      </c>
      <c r="AR11" s="111">
        <v>7.2</v>
      </c>
      <c r="AS11" s="111">
        <v>7.1</v>
      </c>
      <c r="AT11" s="111">
        <v>7</v>
      </c>
      <c r="AU11" s="111">
        <v>6.9</v>
      </c>
      <c r="AV11" s="111">
        <v>6.9</v>
      </c>
      <c r="AW11" s="111">
        <v>7.1</v>
      </c>
      <c r="AX11" s="111">
        <v>7.5</v>
      </c>
      <c r="AY11" s="111">
        <v>8</v>
      </c>
      <c r="AZ11" s="111">
        <v>8.6999999999999993</v>
      </c>
      <c r="BA11" s="111">
        <v>9.1999999999999993</v>
      </c>
      <c r="BB11" s="111">
        <v>9.5</v>
      </c>
      <c r="BC11" s="111">
        <v>9.6999999999999993</v>
      </c>
      <c r="BD11" s="111">
        <v>9.8000000000000007</v>
      </c>
      <c r="BE11" s="111">
        <v>9.9</v>
      </c>
      <c r="BF11" s="111">
        <v>10.4</v>
      </c>
      <c r="BG11" s="111">
        <v>10.6</v>
      </c>
      <c r="BH11" s="111">
        <v>10.4</v>
      </c>
      <c r="BI11" s="111">
        <v>10.199999999999999</v>
      </c>
      <c r="BJ11" s="111">
        <v>10.3</v>
      </c>
      <c r="BK11" s="111">
        <v>9.9</v>
      </c>
      <c r="BL11" s="111">
        <v>9.6999999999999993</v>
      </c>
      <c r="BM11" s="111">
        <v>9.4</v>
      </c>
      <c r="BN11" s="111">
        <v>9</v>
      </c>
      <c r="BO11" s="111">
        <v>8.9</v>
      </c>
      <c r="BP11" s="111">
        <v>8.6999999999999993</v>
      </c>
      <c r="BQ11" s="111">
        <v>8.6</v>
      </c>
      <c r="BR11" s="111">
        <v>8.3000000000000007</v>
      </c>
      <c r="BS11" s="111">
        <v>8.1999999999999993</v>
      </c>
      <c r="BT11" s="111">
        <v>8.3000000000000007</v>
      </c>
      <c r="BU11" s="111">
        <v>8.1</v>
      </c>
      <c r="BV11" s="111">
        <v>7.8</v>
      </c>
      <c r="BW11" s="111">
        <v>7.3</v>
      </c>
      <c r="BX11" s="111">
        <v>7.2</v>
      </c>
      <c r="BY11" s="111">
        <v>6.8</v>
      </c>
      <c r="BZ11" s="111">
        <v>6.5</v>
      </c>
      <c r="CA11" s="111">
        <v>6.4</v>
      </c>
      <c r="CB11" s="111">
        <v>6.3</v>
      </c>
      <c r="CC11" s="111">
        <v>6.2</v>
      </c>
      <c r="CD11" s="111">
        <v>6.1</v>
      </c>
      <c r="CE11" s="111">
        <v>6.2</v>
      </c>
      <c r="CF11" s="111">
        <v>6</v>
      </c>
      <c r="CG11" s="111">
        <v>5.9</v>
      </c>
      <c r="CH11" s="111">
        <v>5.8</v>
      </c>
      <c r="CI11" s="111">
        <v>5.8</v>
      </c>
      <c r="CJ11" s="111">
        <v>5.5</v>
      </c>
      <c r="CK11" s="111">
        <v>5.3</v>
      </c>
      <c r="CL11" s="111">
        <v>5.2</v>
      </c>
      <c r="CM11" s="111">
        <v>5.0999999999999996</v>
      </c>
      <c r="CN11" s="111">
        <v>5</v>
      </c>
      <c r="CO11" s="111">
        <v>5.0999999999999996</v>
      </c>
      <c r="CP11" s="111">
        <v>5.2</v>
      </c>
      <c r="CQ11" s="111">
        <v>5.2</v>
      </c>
      <c r="CR11" s="111">
        <v>5.2</v>
      </c>
      <c r="CS11" s="111">
        <v>5.3</v>
      </c>
      <c r="CT11" s="111">
        <v>5.0999999999999996</v>
      </c>
      <c r="CU11" s="111">
        <v>5.2</v>
      </c>
      <c r="CV11" s="111">
        <v>4.9000000000000004</v>
      </c>
      <c r="CW11" s="111">
        <v>5</v>
      </c>
      <c r="CX11" s="111">
        <v>4.9000000000000004</v>
      </c>
      <c r="CY11" s="111">
        <v>4.8</v>
      </c>
      <c r="CZ11" s="111">
        <v>4.8</v>
      </c>
      <c r="DA11" s="111">
        <v>4.7</v>
      </c>
      <c r="DB11" s="111">
        <v>4.7</v>
      </c>
      <c r="DC11" s="111">
        <v>4.7</v>
      </c>
      <c r="DD11" s="111">
        <v>4.8</v>
      </c>
      <c r="DE11" s="111">
        <v>4.7</v>
      </c>
      <c r="DF11" s="111">
        <v>5.0999999999999996</v>
      </c>
      <c r="DG11" s="111">
        <v>5.2</v>
      </c>
      <c r="DH11" s="111">
        <v>5.5</v>
      </c>
      <c r="DI11" s="111">
        <v>5.5</v>
      </c>
      <c r="DJ11" s="111">
        <v>5.5</v>
      </c>
      <c r="DK11" s="111">
        <v>5.5</v>
      </c>
      <c r="DL11" s="111">
        <v>5.4</v>
      </c>
      <c r="DM11" s="111">
        <v>5.3</v>
      </c>
      <c r="DN11" s="111">
        <v>5.2</v>
      </c>
      <c r="DO11" s="111">
        <v>5.2</v>
      </c>
      <c r="DP11" s="111">
        <v>5.4</v>
      </c>
      <c r="DQ11" s="111">
        <v>5.9</v>
      </c>
      <c r="DR11" s="111">
        <v>6.4</v>
      </c>
      <c r="DS11" s="111">
        <v>7.1</v>
      </c>
      <c r="DT11" s="111">
        <v>7.8</v>
      </c>
      <c r="DU11" s="111">
        <v>7.8</v>
      </c>
      <c r="DV11" s="111">
        <v>7.8</v>
      </c>
      <c r="DW11" s="111">
        <v>8</v>
      </c>
      <c r="DX11" s="111">
        <v>7.9</v>
      </c>
      <c r="DY11" s="111">
        <v>7.8</v>
      </c>
      <c r="DZ11" s="111">
        <v>7.9</v>
      </c>
      <c r="EA11" s="111">
        <v>7.8</v>
      </c>
      <c r="EB11" s="111">
        <v>7.9</v>
      </c>
      <c r="EC11" s="111">
        <v>8.3000000000000007</v>
      </c>
      <c r="ED11" s="111">
        <v>8.4</v>
      </c>
      <c r="EE11" s="111">
        <v>8.1999999999999993</v>
      </c>
      <c r="EF11" s="111">
        <v>8</v>
      </c>
      <c r="EG11" s="111">
        <v>7.9</v>
      </c>
      <c r="EH11" s="111">
        <v>7.8</v>
      </c>
      <c r="EI11" s="111">
        <v>7.9</v>
      </c>
      <c r="EJ11" s="111">
        <v>7.8</v>
      </c>
      <c r="EK11" s="111">
        <v>7.6</v>
      </c>
      <c r="EL11" s="111">
        <v>7.2</v>
      </c>
      <c r="EM11" s="111">
        <v>6.8</v>
      </c>
      <c r="EN11" s="111">
        <v>6.3</v>
      </c>
      <c r="EO11" s="111">
        <v>6</v>
      </c>
      <c r="EP11" s="111">
        <v>5.7</v>
      </c>
      <c r="EQ11" s="111">
        <v>5.6</v>
      </c>
      <c r="ER11" s="111">
        <v>5.6</v>
      </c>
      <c r="ES11" s="111">
        <v>5.4</v>
      </c>
      <c r="ET11" s="111">
        <v>5.0999999999999996</v>
      </c>
      <c r="EU11" s="111">
        <v>5.0999999999999996</v>
      </c>
      <c r="EV11" s="111">
        <v>5</v>
      </c>
      <c r="EW11" s="111">
        <v>4.9000000000000004</v>
      </c>
      <c r="EX11" s="111">
        <v>4.8</v>
      </c>
      <c r="EY11" s="111">
        <v>4.5999999999999996</v>
      </c>
      <c r="EZ11" s="111">
        <v>4.5</v>
      </c>
      <c r="FA11" s="111">
        <v>4.3</v>
      </c>
      <c r="FB11" s="111">
        <v>4.4000000000000004</v>
      </c>
      <c r="FC11" s="111">
        <v>4.3</v>
      </c>
      <c r="FD11" s="111">
        <v>4.0999999999999996</v>
      </c>
      <c r="FE11" s="111">
        <v>4.2</v>
      </c>
      <c r="FF11" s="111">
        <v>4.0999999999999996</v>
      </c>
      <c r="FG11" s="111">
        <v>3.9</v>
      </c>
      <c r="FH11" s="111">
        <v>4</v>
      </c>
      <c r="FI11" s="111">
        <v>3.9</v>
      </c>
      <c r="FJ11" s="111">
        <v>3.9</v>
      </c>
      <c r="FK11" s="111">
        <v>4.0999999999999996</v>
      </c>
      <c r="FL11" s="111">
        <v>4.2</v>
      </c>
      <c r="FM11" s="111">
        <v>5</v>
      </c>
      <c r="FN11" s="111">
        <v>5.3</v>
      </c>
      <c r="FO11" s="111">
        <v>5.0999999999999996</v>
      </c>
      <c r="FP11" s="111">
        <v>4.8</v>
      </c>
      <c r="FQ11" s="111">
        <v>4.4000000000000004</v>
      </c>
      <c r="FR11" s="111">
        <v>4.2</v>
      </c>
      <c r="FS11" s="111">
        <v>3.9</v>
      </c>
      <c r="FT11" s="111">
        <v>3.9</v>
      </c>
      <c r="FU11" s="111">
        <v>3.8</v>
      </c>
      <c r="FV11" s="111">
        <v>3.9</v>
      </c>
      <c r="FW11" s="111">
        <v>4</v>
      </c>
      <c r="FX11" s="111">
        <v>4.2</v>
      </c>
      <c r="FY11" s="111">
        <v>4.0999999999999996</v>
      </c>
      <c r="FZ11" s="111">
        <v>3.8</v>
      </c>
      <c r="GA11" s="111">
        <v>4.3</v>
      </c>
      <c r="GB11" s="111">
        <v>4.2</v>
      </c>
      <c r="GC11" s="112">
        <v>4.2431080000000003</v>
      </c>
      <c r="GD11" s="112">
        <v>4.4086790000000002</v>
      </c>
      <c r="GE11" s="112">
        <v>4.3800910000000002</v>
      </c>
      <c r="GF11" s="112">
        <v>4.4242419999999996</v>
      </c>
      <c r="GG11" s="112">
        <v>4.4240830000000004</v>
      </c>
      <c r="GH11" s="112">
        <v>4.4171529999999999</v>
      </c>
      <c r="GI11" s="112">
        <v>4.3669390000000003</v>
      </c>
      <c r="GJ11" s="112">
        <v>4.3069170000000003</v>
      </c>
      <c r="GK11" s="112">
        <v>4.2472779999999997</v>
      </c>
      <c r="GL11" s="112">
        <v>4.192399</v>
      </c>
      <c r="GM11" s="112">
        <v>4.1362199999999998</v>
      </c>
      <c r="GN11" s="112">
        <v>4.0907499999999999</v>
      </c>
      <c r="GO11" s="112">
        <v>4.0446350000000004</v>
      </c>
      <c r="GP11" s="112">
        <v>3.9987560000000002</v>
      </c>
      <c r="GQ11" s="112">
        <v>3.9530460000000001</v>
      </c>
      <c r="GR11" s="112">
        <v>3.9095140000000002</v>
      </c>
      <c r="GS11" s="112">
        <v>3.8754390000000001</v>
      </c>
      <c r="GT11" s="112">
        <v>3.8497979999999998</v>
      </c>
      <c r="GU11" s="112">
        <v>3.8329309999999999</v>
      </c>
      <c r="GV11" s="112">
        <v>3.8273980000000001</v>
      </c>
      <c r="GW11" s="112">
        <v>3.8203200000000002</v>
      </c>
      <c r="GX11" s="112">
        <v>3.8132980000000001</v>
      </c>
      <c r="GY11" s="112">
        <v>3.8061219999999998</v>
      </c>
      <c r="GZ11" s="112">
        <v>3.7995459999999999</v>
      </c>
      <c r="HA11" s="112">
        <v>3.7932030000000001</v>
      </c>
      <c r="HB11" s="112">
        <v>3.7873899999999998</v>
      </c>
      <c r="HC11" t="s">
        <v>573</v>
      </c>
      <c r="HD11" t="b">
        <v>1</v>
      </c>
      <c r="HE11" t="s">
        <v>574</v>
      </c>
      <c r="HF11" t="s">
        <v>574</v>
      </c>
      <c r="HG11">
        <v>2024</v>
      </c>
      <c r="HH11">
        <v>2</v>
      </c>
      <c r="HI11" t="s">
        <v>574</v>
      </c>
      <c r="HJ11" t="s">
        <v>593</v>
      </c>
      <c r="HK11" s="110" t="s">
        <v>594</v>
      </c>
      <c r="HL11" t="s">
        <v>577</v>
      </c>
      <c r="HM11" t="s">
        <v>595</v>
      </c>
      <c r="HN11" t="s">
        <v>612</v>
      </c>
    </row>
    <row r="12" spans="1:222">
      <c r="A12" t="s">
        <v>567</v>
      </c>
      <c r="B12" t="s">
        <v>596</v>
      </c>
      <c r="C12" t="s">
        <v>611</v>
      </c>
      <c r="D12" t="s">
        <v>570</v>
      </c>
      <c r="E12" t="s">
        <v>571</v>
      </c>
      <c r="F12" t="s">
        <v>572</v>
      </c>
      <c r="G12" s="111">
        <v>157780</v>
      </c>
      <c r="H12" s="111">
        <v>158083</v>
      </c>
      <c r="I12" s="111">
        <v>160445</v>
      </c>
      <c r="J12" s="111">
        <v>158931</v>
      </c>
      <c r="K12" s="111">
        <v>160486</v>
      </c>
      <c r="L12" s="111">
        <v>158130</v>
      </c>
      <c r="M12" s="111">
        <v>157598</v>
      </c>
      <c r="N12" s="111">
        <v>158580</v>
      </c>
      <c r="O12" s="111">
        <v>157715</v>
      </c>
      <c r="P12" s="111">
        <v>160483</v>
      </c>
      <c r="Q12" s="111">
        <v>159367</v>
      </c>
      <c r="R12" s="111">
        <v>159886</v>
      </c>
      <c r="S12" s="111">
        <v>158854</v>
      </c>
      <c r="T12" s="111">
        <v>165111</v>
      </c>
      <c r="U12" s="111">
        <v>163522</v>
      </c>
      <c r="V12" s="111">
        <v>164202</v>
      </c>
      <c r="W12" s="111">
        <v>167088</v>
      </c>
      <c r="X12" s="111">
        <v>165111</v>
      </c>
      <c r="Y12" s="111">
        <v>169770</v>
      </c>
      <c r="Z12" s="111">
        <v>173527</v>
      </c>
      <c r="AA12" s="111">
        <v>175208</v>
      </c>
      <c r="AB12" s="111">
        <v>175613</v>
      </c>
      <c r="AC12" s="111">
        <v>175957</v>
      </c>
      <c r="AD12" s="111">
        <v>177164</v>
      </c>
      <c r="AE12" s="111">
        <v>179729</v>
      </c>
      <c r="AF12" s="111">
        <v>186661</v>
      </c>
      <c r="AG12" s="111">
        <v>183119</v>
      </c>
      <c r="AH12" s="111">
        <v>183388</v>
      </c>
      <c r="AI12" s="111">
        <v>180901</v>
      </c>
      <c r="AJ12" s="111">
        <v>185020</v>
      </c>
      <c r="AK12" s="111">
        <v>187551</v>
      </c>
      <c r="AL12" s="111">
        <v>188860</v>
      </c>
      <c r="AM12" s="111">
        <v>191709</v>
      </c>
      <c r="AN12" s="111">
        <v>194935</v>
      </c>
      <c r="AO12" s="111">
        <v>197179</v>
      </c>
      <c r="AP12" s="111">
        <v>198740</v>
      </c>
      <c r="AQ12" s="111">
        <v>201265</v>
      </c>
      <c r="AR12" s="111">
        <v>204179</v>
      </c>
      <c r="AS12" s="111">
        <v>209872</v>
      </c>
      <c r="AT12" s="111">
        <v>207949</v>
      </c>
      <c r="AU12" s="111">
        <v>213872</v>
      </c>
      <c r="AV12" s="111">
        <v>211391</v>
      </c>
      <c r="AW12" s="111">
        <v>213462</v>
      </c>
      <c r="AX12" s="111">
        <v>216821</v>
      </c>
      <c r="AY12" s="111">
        <v>218128</v>
      </c>
      <c r="AZ12" s="111">
        <v>214176</v>
      </c>
      <c r="BA12" s="111">
        <v>220568</v>
      </c>
      <c r="BB12" s="111">
        <v>220151</v>
      </c>
      <c r="BC12" s="111">
        <v>221591</v>
      </c>
      <c r="BD12" s="111">
        <v>223785</v>
      </c>
      <c r="BE12" s="111">
        <v>225633</v>
      </c>
      <c r="BF12" s="111">
        <v>225562</v>
      </c>
      <c r="BG12" s="111">
        <v>224008</v>
      </c>
      <c r="BH12" s="111">
        <v>230278</v>
      </c>
      <c r="BI12" s="111">
        <v>232470</v>
      </c>
      <c r="BJ12" s="111">
        <v>233411</v>
      </c>
      <c r="BK12" s="111">
        <v>232541</v>
      </c>
      <c r="BL12" s="111">
        <v>232173</v>
      </c>
      <c r="BM12" s="111">
        <v>236870</v>
      </c>
      <c r="BN12" s="111">
        <v>235558</v>
      </c>
      <c r="BO12" s="111">
        <v>239669</v>
      </c>
      <c r="BP12" s="111">
        <v>239943</v>
      </c>
      <c r="BQ12" s="111">
        <v>242123</v>
      </c>
      <c r="BR12" s="111">
        <v>243427</v>
      </c>
      <c r="BS12" s="111">
        <v>247598</v>
      </c>
      <c r="BT12" s="111">
        <v>247441</v>
      </c>
      <c r="BU12" s="111">
        <v>250067</v>
      </c>
      <c r="BV12" s="111">
        <v>245800</v>
      </c>
      <c r="BW12" s="111">
        <v>249558</v>
      </c>
      <c r="BX12" s="111">
        <v>251781</v>
      </c>
      <c r="BY12" s="111">
        <v>254358</v>
      </c>
      <c r="BZ12" s="111">
        <v>253468</v>
      </c>
      <c r="CA12" s="111">
        <v>253069</v>
      </c>
      <c r="CB12" s="111">
        <v>254576</v>
      </c>
      <c r="CC12" s="111">
        <v>253636</v>
      </c>
      <c r="CD12" s="111">
        <v>257028</v>
      </c>
      <c r="CE12" s="111">
        <v>254037</v>
      </c>
      <c r="CF12" s="111">
        <v>266557</v>
      </c>
      <c r="CG12" s="111">
        <v>267871</v>
      </c>
      <c r="CH12" s="111">
        <v>274118</v>
      </c>
      <c r="CI12" s="111">
        <v>274370</v>
      </c>
      <c r="CJ12" s="111">
        <v>277466</v>
      </c>
      <c r="CK12" s="111">
        <v>283106</v>
      </c>
      <c r="CL12" s="111">
        <v>287523</v>
      </c>
      <c r="CM12" s="111">
        <v>289476</v>
      </c>
      <c r="CN12" s="111">
        <v>288052</v>
      </c>
      <c r="CO12" s="111">
        <v>289545</v>
      </c>
      <c r="CP12" s="111">
        <v>295002</v>
      </c>
      <c r="CQ12" s="111">
        <v>295976</v>
      </c>
      <c r="CR12" s="111">
        <v>298538</v>
      </c>
      <c r="CS12" s="111">
        <v>297567</v>
      </c>
      <c r="CT12" s="111">
        <v>298904</v>
      </c>
      <c r="CU12" s="111">
        <v>301081</v>
      </c>
      <c r="CV12" s="111">
        <v>302934</v>
      </c>
      <c r="CW12" s="111">
        <v>304444</v>
      </c>
      <c r="CX12" s="111">
        <v>308695</v>
      </c>
      <c r="CY12" s="111">
        <v>309585</v>
      </c>
      <c r="CZ12" s="111">
        <v>312396</v>
      </c>
      <c r="DA12" s="111">
        <v>314574</v>
      </c>
      <c r="DB12" s="111">
        <v>315137</v>
      </c>
      <c r="DC12" s="111">
        <v>317057</v>
      </c>
      <c r="DD12" s="111">
        <v>320657</v>
      </c>
      <c r="DE12" s="111">
        <v>322465</v>
      </c>
      <c r="DF12" s="111">
        <v>322562</v>
      </c>
      <c r="DG12" s="111">
        <v>325138</v>
      </c>
      <c r="DH12" s="111">
        <v>323889</v>
      </c>
      <c r="DI12" s="111">
        <v>327580</v>
      </c>
      <c r="DJ12" s="111">
        <v>328682</v>
      </c>
      <c r="DK12" s="111">
        <v>339067</v>
      </c>
      <c r="DL12" s="111">
        <v>336009</v>
      </c>
      <c r="DM12" s="111">
        <v>340647</v>
      </c>
      <c r="DN12" s="111">
        <v>340314</v>
      </c>
      <c r="DO12" s="111">
        <v>335815</v>
      </c>
      <c r="DP12" s="111">
        <v>339732</v>
      </c>
      <c r="DQ12" s="111">
        <v>333684</v>
      </c>
      <c r="DR12" s="111">
        <v>340023</v>
      </c>
      <c r="DS12" s="111">
        <v>335761</v>
      </c>
      <c r="DT12" s="111">
        <v>344826</v>
      </c>
      <c r="DU12" s="111">
        <v>343613</v>
      </c>
      <c r="DV12" s="111">
        <v>346368</v>
      </c>
      <c r="DW12" s="111">
        <v>346769</v>
      </c>
      <c r="DX12" s="111">
        <v>347421</v>
      </c>
      <c r="DY12" s="111">
        <v>346091</v>
      </c>
      <c r="DZ12" s="111">
        <v>343460</v>
      </c>
      <c r="EA12" s="111">
        <v>334416</v>
      </c>
      <c r="EB12" s="111">
        <v>339976</v>
      </c>
      <c r="EC12" s="111">
        <v>339972</v>
      </c>
      <c r="ED12" s="111">
        <v>337625</v>
      </c>
      <c r="EE12" s="111">
        <v>344680</v>
      </c>
      <c r="EF12" s="111">
        <v>348062</v>
      </c>
      <c r="EG12" s="111">
        <v>346678</v>
      </c>
      <c r="EH12" s="111">
        <v>345765</v>
      </c>
      <c r="EI12" s="111">
        <v>342890</v>
      </c>
      <c r="EJ12" s="111">
        <v>350923</v>
      </c>
      <c r="EK12" s="111">
        <v>357263</v>
      </c>
      <c r="EL12" s="111">
        <v>360126</v>
      </c>
      <c r="EM12" s="111">
        <v>359009</v>
      </c>
      <c r="EN12" s="111">
        <v>359599</v>
      </c>
      <c r="EO12" s="111">
        <v>359708</v>
      </c>
      <c r="EP12" s="111">
        <v>364730</v>
      </c>
      <c r="EQ12" s="111">
        <v>372232</v>
      </c>
      <c r="ER12" s="111">
        <v>381179</v>
      </c>
      <c r="ES12" s="111">
        <v>388638</v>
      </c>
      <c r="ET12" s="111">
        <v>388470</v>
      </c>
      <c r="EU12" s="111">
        <v>386874</v>
      </c>
      <c r="EV12" s="111">
        <v>387633</v>
      </c>
      <c r="EW12" s="111">
        <v>384657</v>
      </c>
      <c r="EX12" s="111">
        <v>381981</v>
      </c>
      <c r="EY12" s="111">
        <v>382290</v>
      </c>
      <c r="EZ12" s="111">
        <v>390332</v>
      </c>
      <c r="FA12" s="111">
        <v>390954</v>
      </c>
      <c r="FB12" s="111">
        <v>391273</v>
      </c>
      <c r="FC12" s="111">
        <v>395975</v>
      </c>
      <c r="FD12" s="111">
        <v>394175</v>
      </c>
      <c r="FE12" s="111">
        <v>395431</v>
      </c>
      <c r="FF12" s="111">
        <v>400106</v>
      </c>
      <c r="FG12" s="111">
        <v>399632</v>
      </c>
      <c r="FH12" s="111">
        <v>405211</v>
      </c>
      <c r="FI12" s="111">
        <v>405428</v>
      </c>
      <c r="FJ12" s="111">
        <v>407970</v>
      </c>
      <c r="FK12" s="111">
        <v>402584</v>
      </c>
      <c r="FL12" s="111">
        <v>394596</v>
      </c>
      <c r="FM12" s="111">
        <v>406593</v>
      </c>
      <c r="FN12" s="111">
        <v>408367</v>
      </c>
      <c r="FO12" s="111">
        <v>411074</v>
      </c>
      <c r="FP12" s="111">
        <v>413832</v>
      </c>
      <c r="FQ12" s="111">
        <v>410138</v>
      </c>
      <c r="FR12" s="111">
        <v>402842</v>
      </c>
      <c r="FS12" s="111">
        <v>401738</v>
      </c>
      <c r="FT12" s="111">
        <v>398386</v>
      </c>
      <c r="FU12" s="111">
        <v>400405</v>
      </c>
      <c r="FV12" s="111">
        <v>408689</v>
      </c>
      <c r="FW12" s="111">
        <v>407362</v>
      </c>
      <c r="FX12" s="111">
        <v>412328</v>
      </c>
      <c r="FY12" s="111">
        <v>413001</v>
      </c>
      <c r="FZ12" s="111">
        <v>415159</v>
      </c>
      <c r="GA12" s="111">
        <v>420689</v>
      </c>
      <c r="GB12" s="111">
        <v>426221</v>
      </c>
      <c r="GC12" s="112">
        <v>427151.4</v>
      </c>
      <c r="GD12" s="112">
        <v>427205.6</v>
      </c>
      <c r="GE12" s="112">
        <v>429422</v>
      </c>
      <c r="GF12" s="112">
        <v>430118.1</v>
      </c>
      <c r="GG12" s="112">
        <v>431622</v>
      </c>
      <c r="GH12" s="112">
        <v>433221.2</v>
      </c>
      <c r="GI12" s="112">
        <v>434859.7</v>
      </c>
      <c r="GJ12" s="112">
        <v>436100.1</v>
      </c>
      <c r="GK12" s="112">
        <v>437349.4</v>
      </c>
      <c r="GL12" s="112">
        <v>438521.8</v>
      </c>
      <c r="GM12" s="112">
        <v>439874.5</v>
      </c>
      <c r="GN12" s="112">
        <v>441318.40000000002</v>
      </c>
      <c r="GO12" s="112">
        <v>442919.5</v>
      </c>
      <c r="GP12" s="112">
        <v>444458.7</v>
      </c>
      <c r="GQ12" s="112">
        <v>446442</v>
      </c>
      <c r="GR12" s="112">
        <v>448606.1</v>
      </c>
      <c r="GS12" s="112">
        <v>450558.9</v>
      </c>
      <c r="GT12" s="112">
        <v>452442.6</v>
      </c>
      <c r="GU12" s="112">
        <v>454329.8</v>
      </c>
      <c r="GV12" s="112">
        <v>456356.1</v>
      </c>
      <c r="GW12" s="112">
        <v>458151.5</v>
      </c>
      <c r="GX12" s="112">
        <v>459896</v>
      </c>
      <c r="GY12" s="112">
        <v>461682.5</v>
      </c>
      <c r="GZ12" s="112">
        <v>463721.9</v>
      </c>
      <c r="HA12" s="112">
        <v>465491.3</v>
      </c>
      <c r="HB12" s="112">
        <v>467207.5</v>
      </c>
      <c r="HC12" t="s">
        <v>573</v>
      </c>
      <c r="HD12" t="b">
        <v>1</v>
      </c>
      <c r="HE12" s="110" t="s">
        <v>581</v>
      </c>
      <c r="HF12" t="s">
        <v>574</v>
      </c>
      <c r="HG12">
        <v>2024</v>
      </c>
      <c r="HH12">
        <v>2</v>
      </c>
      <c r="HI12" t="s">
        <v>574</v>
      </c>
      <c r="HJ12" t="s">
        <v>597</v>
      </c>
      <c r="HK12" s="110" t="s">
        <v>598</v>
      </c>
      <c r="HL12" t="s">
        <v>577</v>
      </c>
      <c r="HM12" t="s">
        <v>599</v>
      </c>
      <c r="HN12" t="s">
        <v>612</v>
      </c>
    </row>
    <row r="13" spans="1:222">
      <c r="A13" t="s">
        <v>567</v>
      </c>
      <c r="B13" t="s">
        <v>600</v>
      </c>
      <c r="C13" t="s">
        <v>611</v>
      </c>
      <c r="D13" t="s">
        <v>601</v>
      </c>
      <c r="E13" t="s">
        <v>574</v>
      </c>
      <c r="F13" t="s">
        <v>572</v>
      </c>
      <c r="G13" s="111">
        <v>1256.6559999999999</v>
      </c>
      <c r="H13" s="111">
        <v>1320.788</v>
      </c>
      <c r="I13" s="111">
        <v>1377.7919999999999</v>
      </c>
      <c r="J13" s="111">
        <v>1419.0419999999999</v>
      </c>
      <c r="K13" s="111">
        <v>1445.7460000000001</v>
      </c>
      <c r="L13" s="111">
        <v>1481.0730000000001</v>
      </c>
      <c r="M13" s="111">
        <v>1519.57</v>
      </c>
      <c r="N13" s="111">
        <v>1560.4949999999999</v>
      </c>
      <c r="O13" s="111">
        <v>1588.7190000000001</v>
      </c>
      <c r="P13" s="111">
        <v>1621.8520000000001</v>
      </c>
      <c r="Q13" s="111">
        <v>1645.3019999999999</v>
      </c>
      <c r="R13" s="111">
        <v>1677.7139999999999</v>
      </c>
      <c r="S13" s="111">
        <v>1735.998</v>
      </c>
      <c r="T13" s="111">
        <v>1757.346</v>
      </c>
      <c r="U13" s="111">
        <v>1777.221</v>
      </c>
      <c r="V13" s="111">
        <v>1805.329</v>
      </c>
      <c r="W13" s="111">
        <v>1833.021</v>
      </c>
      <c r="X13" s="111">
        <v>1859.9649999999999</v>
      </c>
      <c r="Y13" s="111">
        <v>1876.902</v>
      </c>
      <c r="Z13" s="111">
        <v>1935.8820000000001</v>
      </c>
      <c r="AA13" s="111">
        <v>1996.2460000000001</v>
      </c>
      <c r="AB13" s="111">
        <v>2015.9390000000001</v>
      </c>
      <c r="AC13" s="111">
        <v>2043.298</v>
      </c>
      <c r="AD13" s="111">
        <v>2093.2809999999999</v>
      </c>
      <c r="AE13" s="111">
        <v>2142.5929999999998</v>
      </c>
      <c r="AF13" s="111">
        <v>2185.8229999999999</v>
      </c>
      <c r="AG13" s="111">
        <v>2220.4349999999999</v>
      </c>
      <c r="AH13" s="111">
        <v>2251.2330000000002</v>
      </c>
      <c r="AI13" s="111">
        <v>2282.895</v>
      </c>
      <c r="AJ13" s="111">
        <v>2321.7919999999999</v>
      </c>
      <c r="AK13" s="111">
        <v>2369.9499999999998</v>
      </c>
      <c r="AL13" s="111">
        <v>2418.279</v>
      </c>
      <c r="AM13" s="111">
        <v>2470.636</v>
      </c>
      <c r="AN13" s="111">
        <v>2512.3130000000001</v>
      </c>
      <c r="AO13" s="111">
        <v>2569.6179999999999</v>
      </c>
      <c r="AP13" s="111">
        <v>2641.6390000000001</v>
      </c>
      <c r="AQ13" s="111">
        <v>2684.4940000000001</v>
      </c>
      <c r="AR13" s="111">
        <v>2756.2930000000001</v>
      </c>
      <c r="AS13" s="111">
        <v>2816.473</v>
      </c>
      <c r="AT13" s="111">
        <v>2895.6689999999999</v>
      </c>
      <c r="AU13" s="111">
        <v>2978.6680000000001</v>
      </c>
      <c r="AV13" s="111">
        <v>3042.386</v>
      </c>
      <c r="AW13" s="111">
        <v>3096.3310000000001</v>
      </c>
      <c r="AX13" s="111">
        <v>3142.5079999999998</v>
      </c>
      <c r="AY13" s="111">
        <v>3224.9960000000001</v>
      </c>
      <c r="AZ13" s="111">
        <v>3293.2919999999999</v>
      </c>
      <c r="BA13" s="111">
        <v>3373.0810000000001</v>
      </c>
      <c r="BB13" s="111">
        <v>3431.9459999999999</v>
      </c>
      <c r="BC13" s="111">
        <v>3467.9760000000001</v>
      </c>
      <c r="BD13" s="111">
        <v>3483.1289999999999</v>
      </c>
      <c r="BE13" s="111">
        <v>3486.288</v>
      </c>
      <c r="BF13" s="111">
        <v>3519.4830000000002</v>
      </c>
      <c r="BG13" s="111">
        <v>3533.2429999999999</v>
      </c>
      <c r="BH13" s="111">
        <v>3585.3939999999998</v>
      </c>
      <c r="BI13" s="111">
        <v>3630.5349999999999</v>
      </c>
      <c r="BJ13" s="111">
        <v>3662.1970000000001</v>
      </c>
      <c r="BK13" s="111">
        <v>3681.2950000000001</v>
      </c>
      <c r="BL13" s="111">
        <v>3682.5749999999998</v>
      </c>
      <c r="BM13" s="111">
        <v>3730.634</v>
      </c>
      <c r="BN13" s="111">
        <v>3764.5340000000001</v>
      </c>
      <c r="BO13" s="111">
        <v>3784.6889999999999</v>
      </c>
      <c r="BP13" s="111">
        <v>3813.2370000000001</v>
      </c>
      <c r="BQ13" s="111">
        <v>3825.77</v>
      </c>
      <c r="BR13" s="111">
        <v>3869.8229999999999</v>
      </c>
      <c r="BS13" s="111">
        <v>3882.18</v>
      </c>
      <c r="BT13" s="111">
        <v>3914.6239999999998</v>
      </c>
      <c r="BU13" s="111">
        <v>3968.22</v>
      </c>
      <c r="BV13" s="111">
        <v>3978.2469999999998</v>
      </c>
      <c r="BW13" s="111">
        <v>4081.9929999999999</v>
      </c>
      <c r="BX13" s="111">
        <v>4143.857</v>
      </c>
      <c r="BY13" s="111">
        <v>4207.8729999999996</v>
      </c>
      <c r="BZ13" s="111">
        <v>4225.6909999999998</v>
      </c>
      <c r="CA13" s="111">
        <v>4229.5839999999998</v>
      </c>
      <c r="CB13" s="111">
        <v>4273.2780000000002</v>
      </c>
      <c r="CC13" s="111">
        <v>4319.6819999999998</v>
      </c>
      <c r="CD13" s="111">
        <v>4319.2709999999997</v>
      </c>
      <c r="CE13" s="111">
        <v>4422.741</v>
      </c>
      <c r="CF13" s="111">
        <v>4529.62</v>
      </c>
      <c r="CG13" s="111">
        <v>4579.0190000000002</v>
      </c>
      <c r="CH13" s="111">
        <v>4624.2740000000003</v>
      </c>
      <c r="CI13" s="111">
        <v>4637.7709999999997</v>
      </c>
      <c r="CJ13" s="111">
        <v>4701.4949999999999</v>
      </c>
      <c r="CK13" s="111">
        <v>4802.4549999999999</v>
      </c>
      <c r="CL13" s="111">
        <v>4890.7749999999996</v>
      </c>
      <c r="CM13" s="111">
        <v>5001.3689999999997</v>
      </c>
      <c r="CN13" s="111">
        <v>5002.7700000000004</v>
      </c>
      <c r="CO13" s="111">
        <v>5029.6509999999998</v>
      </c>
      <c r="CP13" s="111">
        <v>5057.9219999999996</v>
      </c>
      <c r="CQ13" s="111">
        <v>5089.49</v>
      </c>
      <c r="CR13" s="111">
        <v>5073.9089999999997</v>
      </c>
      <c r="CS13" s="111">
        <v>5126.5479999999998</v>
      </c>
      <c r="CT13" s="111">
        <v>5142.66</v>
      </c>
      <c r="CU13" s="111">
        <v>5215.1049999999996</v>
      </c>
      <c r="CV13" s="111">
        <v>5274.7430000000004</v>
      </c>
      <c r="CW13" s="111">
        <v>5382.1080000000002</v>
      </c>
      <c r="CX13" s="111">
        <v>5458.2330000000002</v>
      </c>
      <c r="CY13" s="111">
        <v>5521.0789999999997</v>
      </c>
      <c r="CZ13" s="111">
        <v>5546.8860000000004</v>
      </c>
      <c r="DA13" s="111">
        <v>5624.5039999999999</v>
      </c>
      <c r="DB13" s="111">
        <v>5694.482</v>
      </c>
      <c r="DC13" s="111">
        <v>5778.8289999999997</v>
      </c>
      <c r="DD13" s="111">
        <v>5743.0929999999998</v>
      </c>
      <c r="DE13" s="111">
        <v>5808.4660000000003</v>
      </c>
      <c r="DF13" s="111">
        <v>5809.2719999999999</v>
      </c>
      <c r="DG13" s="111">
        <v>5993.5169999999998</v>
      </c>
      <c r="DH13" s="111">
        <v>6001.19</v>
      </c>
      <c r="DI13" s="111">
        <v>6067.3119999999999</v>
      </c>
      <c r="DJ13" s="111">
        <v>6166.277</v>
      </c>
      <c r="DK13" s="111">
        <v>6414.875</v>
      </c>
      <c r="DL13" s="111">
        <v>6339.4709999999995</v>
      </c>
      <c r="DM13" s="111">
        <v>6466.942</v>
      </c>
      <c r="DN13" s="111">
        <v>6476.04</v>
      </c>
      <c r="DO13" s="111">
        <v>6580.8379999999997</v>
      </c>
      <c r="DP13" s="111">
        <v>6498.0690000000004</v>
      </c>
      <c r="DQ13" s="111">
        <v>6496.1270000000004</v>
      </c>
      <c r="DR13" s="111">
        <v>6443.4080000000004</v>
      </c>
      <c r="DS13" s="111">
        <v>6371.857</v>
      </c>
      <c r="DT13" s="111">
        <v>6556.6030000000001</v>
      </c>
      <c r="DU13" s="111">
        <v>6566.0349999999999</v>
      </c>
      <c r="DV13" s="111">
        <v>6577.1170000000002</v>
      </c>
      <c r="DW13" s="111">
        <v>6601.875</v>
      </c>
      <c r="DX13" s="111">
        <v>6547.2240000000002</v>
      </c>
      <c r="DY13" s="111">
        <v>6603.5609999999997</v>
      </c>
      <c r="DZ13" s="111">
        <v>6617.42</v>
      </c>
      <c r="EA13" s="111">
        <v>6764.375</v>
      </c>
      <c r="EB13" s="111">
        <v>6692.7950000000001</v>
      </c>
      <c r="EC13" s="111">
        <v>6733.2610000000004</v>
      </c>
      <c r="ED13" s="111">
        <v>6724.4960000000001</v>
      </c>
      <c r="EE13" s="111">
        <v>6797.8590000000004</v>
      </c>
      <c r="EF13" s="111">
        <v>6797.991</v>
      </c>
      <c r="EG13" s="111">
        <v>6779.3310000000001</v>
      </c>
      <c r="EH13" s="111">
        <v>6805.55</v>
      </c>
      <c r="EI13" s="111">
        <v>6831.2070000000003</v>
      </c>
      <c r="EJ13" s="111">
        <v>7064.567</v>
      </c>
      <c r="EK13" s="111">
        <v>7073.6540000000005</v>
      </c>
      <c r="EL13" s="111">
        <v>7154.1670000000004</v>
      </c>
      <c r="EM13" s="111">
        <v>7221.8159999999998</v>
      </c>
      <c r="EN13" s="111">
        <v>7176</v>
      </c>
      <c r="EO13" s="111">
        <v>7114.8590000000004</v>
      </c>
      <c r="EP13" s="111">
        <v>7151.2439999999997</v>
      </c>
      <c r="EQ13" s="111">
        <v>7196.0320000000002</v>
      </c>
      <c r="ER13" s="111">
        <v>7235.93</v>
      </c>
      <c r="ES13" s="111">
        <v>7286.7740000000003</v>
      </c>
      <c r="ET13" s="111">
        <v>7292.8819999999996</v>
      </c>
      <c r="EU13" s="111">
        <v>7378.1360000000004</v>
      </c>
      <c r="EV13" s="111">
        <v>7418.134</v>
      </c>
      <c r="EW13" s="111">
        <v>7455.1180000000004</v>
      </c>
      <c r="EX13" s="111">
        <v>7453.085</v>
      </c>
      <c r="EY13" s="111">
        <v>7552.2139999999999</v>
      </c>
      <c r="EZ13" s="111">
        <v>7621.8649999999998</v>
      </c>
      <c r="FA13" s="111">
        <v>7682.0569999999998</v>
      </c>
      <c r="FB13" s="111">
        <v>7709.6490000000003</v>
      </c>
      <c r="FC13" s="111">
        <v>7783.6279999999997</v>
      </c>
      <c r="FD13" s="111">
        <v>7753.0959999999995</v>
      </c>
      <c r="FE13" s="111">
        <v>7876.518</v>
      </c>
      <c r="FF13" s="111">
        <v>7956.6149999999998</v>
      </c>
      <c r="FG13" s="111">
        <v>7998.0789999999997</v>
      </c>
      <c r="FH13" s="111">
        <v>8102.4250000000002</v>
      </c>
      <c r="FI13" s="111">
        <v>8093.8450000000003</v>
      </c>
      <c r="FJ13" s="111">
        <v>8076.643</v>
      </c>
      <c r="FK13" s="111">
        <v>8056.7950000000001</v>
      </c>
      <c r="FL13" s="111">
        <v>7842.4639999999999</v>
      </c>
      <c r="FM13" s="111">
        <v>8014.82</v>
      </c>
      <c r="FN13" s="111">
        <v>8241.4920000000002</v>
      </c>
      <c r="FO13" s="111">
        <v>8267.3289999999997</v>
      </c>
      <c r="FP13" s="111">
        <v>8500.1610000000001</v>
      </c>
      <c r="FQ13" s="111">
        <v>8499.4500000000007</v>
      </c>
      <c r="FR13" s="111">
        <v>8570.4380000000001</v>
      </c>
      <c r="FS13" s="111">
        <v>8762.1610000000001</v>
      </c>
      <c r="FT13" s="111">
        <v>8858.7540000000008</v>
      </c>
      <c r="FU13" s="111">
        <v>8972.3819999999996</v>
      </c>
      <c r="FV13" s="111">
        <v>9187.0920000000006</v>
      </c>
      <c r="FW13" s="111">
        <v>9460.3019999999997</v>
      </c>
      <c r="FX13" s="111">
        <v>9660.59</v>
      </c>
      <c r="FY13" s="111">
        <v>9771.0329999999994</v>
      </c>
      <c r="FZ13" s="111">
        <v>9774.9840000000004</v>
      </c>
      <c r="GA13" s="111">
        <v>9898.7260000000006</v>
      </c>
      <c r="GB13" s="111">
        <v>10025.209999999999</v>
      </c>
      <c r="GC13" s="112">
        <v>10139.5</v>
      </c>
      <c r="GD13" s="112">
        <v>10244.950000000001</v>
      </c>
      <c r="GE13" s="112">
        <v>10327.93</v>
      </c>
      <c r="GF13" s="112">
        <v>10393.98</v>
      </c>
      <c r="GG13" s="112">
        <v>10461.16</v>
      </c>
      <c r="GH13" s="112">
        <v>10527.44</v>
      </c>
      <c r="GI13" s="112">
        <v>10593.65</v>
      </c>
      <c r="GJ13" s="112">
        <v>10660.51</v>
      </c>
      <c r="GK13" s="112">
        <v>10728.56</v>
      </c>
      <c r="GL13" s="112">
        <v>10796.59</v>
      </c>
      <c r="GM13" s="112">
        <v>10866.67</v>
      </c>
      <c r="GN13" s="112">
        <v>10937.3</v>
      </c>
      <c r="GO13" s="112">
        <v>11008.62</v>
      </c>
      <c r="GP13" s="112">
        <v>11079.57</v>
      </c>
      <c r="GQ13" s="112">
        <v>11151.42</v>
      </c>
      <c r="GR13" s="112">
        <v>11223.94</v>
      </c>
      <c r="GS13" s="112">
        <v>11297.95</v>
      </c>
      <c r="GT13" s="112">
        <v>11373.08</v>
      </c>
      <c r="GU13" s="112">
        <v>11448.53</v>
      </c>
      <c r="GV13" s="112">
        <v>11524.76</v>
      </c>
      <c r="GW13" s="112">
        <v>11602.32</v>
      </c>
      <c r="GX13" s="112">
        <v>11680.6</v>
      </c>
      <c r="GY13" s="112">
        <v>11759.76</v>
      </c>
      <c r="GZ13" s="112">
        <v>11840.03</v>
      </c>
      <c r="HA13" s="112">
        <v>11921.41</v>
      </c>
      <c r="HB13" s="112">
        <v>12003.38</v>
      </c>
      <c r="HC13" t="s">
        <v>602</v>
      </c>
      <c r="HD13" t="b">
        <v>1</v>
      </c>
      <c r="HE13" t="s">
        <v>574</v>
      </c>
      <c r="HF13" t="s">
        <v>574</v>
      </c>
      <c r="HG13">
        <v>2024</v>
      </c>
      <c r="HH13">
        <v>2</v>
      </c>
      <c r="HI13" t="s">
        <v>574</v>
      </c>
      <c r="HJ13" t="s">
        <v>602</v>
      </c>
      <c r="HK13" t="s">
        <v>574</v>
      </c>
      <c r="HL13" t="s">
        <v>577</v>
      </c>
      <c r="HM13" t="s">
        <v>603</v>
      </c>
      <c r="HN13" t="s">
        <v>612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5334A-8B4A-4E5C-BACE-3896FE735110}">
  <dimension ref="A1:P210"/>
  <sheetViews>
    <sheetView workbookViewId="0">
      <pane xSplit="4" ySplit="6" topLeftCell="E191" activePane="bottomRight" state="frozen"/>
      <selection pane="topRight" activeCell="D1" sqref="D1"/>
      <selection pane="bottomLeft" activeCell="A7" sqref="A7"/>
      <selection pane="bottomRight" activeCell="C210" sqref="C210"/>
    </sheetView>
  </sheetViews>
  <sheetFormatPr defaultRowHeight="15"/>
  <sheetData>
    <row r="1" spans="1:16">
      <c r="E1" t="s">
        <v>579</v>
      </c>
      <c r="F1" t="str">
        <f>$E$1</f>
        <v>Oct24_2.db</v>
      </c>
      <c r="G1" t="str">
        <f t="shared" ref="G1:J1" si="0">$E$1</f>
        <v>Oct24_2.db</v>
      </c>
      <c r="H1" t="str">
        <f t="shared" si="0"/>
        <v>Oct24_2.db</v>
      </c>
      <c r="I1" t="str">
        <f t="shared" si="0"/>
        <v>Oct24_2.db</v>
      </c>
      <c r="J1" t="str">
        <f t="shared" si="0"/>
        <v>Oct24_2.db</v>
      </c>
      <c r="K1" t="s">
        <v>607</v>
      </c>
      <c r="L1" t="str">
        <f>$K$1</f>
        <v>NICs_scen.db</v>
      </c>
      <c r="M1" t="str">
        <f t="shared" ref="M1:P1" si="1">$K$1</f>
        <v>NICs_scen.db</v>
      </c>
      <c r="N1" t="str">
        <f t="shared" si="1"/>
        <v>NICs_scen.db</v>
      </c>
      <c r="O1" t="str">
        <f t="shared" si="1"/>
        <v>NICs_scen.db</v>
      </c>
      <c r="P1" t="str">
        <f t="shared" si="1"/>
        <v>NICs_scen.db</v>
      </c>
    </row>
    <row r="2" spans="1:16">
      <c r="E2" t="s">
        <v>604</v>
      </c>
      <c r="F2" t="s">
        <v>604</v>
      </c>
      <c r="G2" t="s">
        <v>604</v>
      </c>
      <c r="H2" t="s">
        <v>604</v>
      </c>
      <c r="I2" t="s">
        <v>604</v>
      </c>
      <c r="J2" t="s">
        <v>604</v>
      </c>
      <c r="K2" t="s">
        <v>604</v>
      </c>
      <c r="L2" t="s">
        <v>604</v>
      </c>
      <c r="M2" t="s">
        <v>604</v>
      </c>
      <c r="N2" t="s">
        <v>604</v>
      </c>
      <c r="O2" t="s">
        <v>604</v>
      </c>
      <c r="P2" t="s">
        <v>604</v>
      </c>
    </row>
    <row r="3" spans="1:16">
      <c r="E3" t="s">
        <v>584</v>
      </c>
      <c r="F3" t="s">
        <v>590</v>
      </c>
      <c r="G3" t="s">
        <v>603</v>
      </c>
      <c r="H3" t="s">
        <v>595</v>
      </c>
      <c r="I3" t="s">
        <v>599</v>
      </c>
      <c r="J3" t="s">
        <v>578</v>
      </c>
      <c r="K3" t="s">
        <v>584</v>
      </c>
      <c r="L3" t="s">
        <v>590</v>
      </c>
      <c r="M3" t="s">
        <v>603</v>
      </c>
      <c r="N3" t="s">
        <v>595</v>
      </c>
      <c r="O3" t="s">
        <v>599</v>
      </c>
      <c r="P3" t="s">
        <v>578</v>
      </c>
    </row>
    <row r="4" spans="1:16">
      <c r="E4" t="s">
        <v>577</v>
      </c>
      <c r="F4" t="s">
        <v>577</v>
      </c>
      <c r="G4" t="s">
        <v>577</v>
      </c>
      <c r="H4" t="s">
        <v>577</v>
      </c>
      <c r="I4" t="s">
        <v>577</v>
      </c>
      <c r="J4" t="s">
        <v>577</v>
      </c>
      <c r="K4" t="s">
        <v>577</v>
      </c>
      <c r="L4" t="s">
        <v>577</v>
      </c>
      <c r="M4" t="s">
        <v>577</v>
      </c>
      <c r="N4" t="s">
        <v>577</v>
      </c>
      <c r="O4" t="s">
        <v>577</v>
      </c>
      <c r="P4" t="s">
        <v>577</v>
      </c>
    </row>
    <row r="5" spans="1:16">
      <c r="E5" t="s">
        <v>605</v>
      </c>
      <c r="F5" t="s">
        <v>605</v>
      </c>
      <c r="G5" t="s">
        <v>605</v>
      </c>
      <c r="H5" t="s">
        <v>605</v>
      </c>
      <c r="I5" t="s">
        <v>605</v>
      </c>
      <c r="J5" t="s">
        <v>605</v>
      </c>
      <c r="K5" t="s">
        <v>605</v>
      </c>
      <c r="L5" t="s">
        <v>605</v>
      </c>
      <c r="M5" t="s">
        <v>605</v>
      </c>
      <c r="N5" t="s">
        <v>605</v>
      </c>
      <c r="O5" t="s">
        <v>605</v>
      </c>
      <c r="P5" t="s">
        <v>605</v>
      </c>
    </row>
    <row r="6" spans="1:16">
      <c r="B6">
        <f>B210+5</f>
        <v>2188</v>
      </c>
      <c r="C6" t="s">
        <v>609</v>
      </c>
      <c r="D6" t="s">
        <v>606</v>
      </c>
      <c r="E6" s="113" t="str" cm="1">
        <f t="array" ref="E6">_xlfn.CONCAT(INDEX(GMW!$A$2:$HM$50,MATCH(1,(GMW!$HM$2:$HM$50=E$3)*(GMW!$HL$2:$HL$50=E$4),0),$B6-1973),"0",(INDEX(GMW!$A$2:$HM$50,MATCH(1,(GMW!$HM$2:$HM$50=E$3)*(GMW!$HL$2:$HL$50=E$4),0),$B6-1972)))</f>
        <v>202402</v>
      </c>
      <c r="F6" s="113" t="str" cm="1">
        <f t="array" ref="F6">_xlfn.CONCAT(INDEX(GMW!$A$2:$HM$50,MATCH(1,(GMW!$HM$2:$HM$50=F$3)*(GMW!$HL$2:$HL$50=F$4),0),$B6-1973),"0",(INDEX(GMW!$A$2:$HM$50,MATCH(1,(GMW!$HM$2:$HM$50=F$3)*(GMW!$HL$2:$HL$50=F$4),0),$B6-1972)))</f>
        <v>202402</v>
      </c>
      <c r="G6" s="113" t="str" cm="1">
        <f t="array" ref="G6">_xlfn.CONCAT(INDEX(GMW!$A$2:$HM$50,MATCH(1,(GMW!$HM$2:$HM$50=G$3)*(GMW!$HL$2:$HL$50=G$4),0),$B6-1973),"0",(INDEX(GMW!$A$2:$HM$50,MATCH(1,(GMW!$HM$2:$HM$50=G$3)*(GMW!$HL$2:$HL$50=G$4),0),$B6-1972)))</f>
        <v>202402</v>
      </c>
      <c r="H6" s="113" t="str" cm="1">
        <f t="array" ref="H6">_xlfn.CONCAT(INDEX(GMW!$A$2:$HM$50,MATCH(1,(GMW!$HM$2:$HM$50=H$3)*(GMW!$HL$2:$HL$50=H$4),0),$B6-1973),"0",(INDEX(GMW!$A$2:$HM$50,MATCH(1,(GMW!$HM$2:$HM$50=H$3)*(GMW!$HL$2:$HL$50=H$4),0),$B6-1972)))</f>
        <v>202402</v>
      </c>
      <c r="I6" s="113" t="str" cm="1">
        <f t="array" ref="I6">_xlfn.CONCAT(INDEX(GMW!$A$2:$HM$50,MATCH(1,(GMW!$HM$2:$HM$50=I$3)*(GMW!$HL$2:$HL$50=I$4),0),$B6-1973),"0",(INDEX(GMW!$A$2:$HM$50,MATCH(1,(GMW!$HM$2:$HM$50=I$3)*(GMW!$HL$2:$HL$50=I$4),0),$B6-1972)))</f>
        <v>202402</v>
      </c>
      <c r="J6" s="113" t="str" cm="1">
        <f t="array" ref="J6">_xlfn.CONCAT(INDEX(GMW!$A$2:$HM$50,MATCH(1,(GMW!$HM$2:$HM$50=J$3)*(GMW!$HL$2:$HL$50=J$4),0),$B6-1973),"0",(INDEX(GMW!$A$2:$HM$50,MATCH(1,(GMW!$HM$2:$HM$50=J$3)*(GMW!$HL$2:$HL$50=J$4),0),$B6-1972)))</f>
        <v>202402</v>
      </c>
      <c r="K6" s="113" t="str" cm="1">
        <f t="array" ref="K6">_xlfn.CONCAT(INDEX(GMW!$A$2:$HM$50,MATCH(1,(GMW!$HM$2:$HM$50=K$3)*(GMW!$HL$2:$HL$50=K$4),0),$B6-1973),"0",(INDEX(GMW!$A$2:$HM$50,MATCH(1,(GMW!$HM$2:$HM$50=K$3)*(GMW!$HL$2:$HL$50=K$4),0),$B6-1972)))</f>
        <v>202402</v>
      </c>
      <c r="L6" s="113" t="str" cm="1">
        <f t="array" ref="L6">_xlfn.CONCAT(INDEX(GMW!$A$2:$HM$50,MATCH(1,(GMW!$HM$2:$HM$50=L$3)*(GMW!$HL$2:$HL$50=L$4),0),$B6-1973),"0",(INDEX(GMW!$A$2:$HM$50,MATCH(1,(GMW!$HM$2:$HM$50=L$3)*(GMW!$HL$2:$HL$50=L$4),0),$B6-1972)))</f>
        <v>202402</v>
      </c>
      <c r="M6" s="113" t="str" cm="1">
        <f t="array" ref="M6">_xlfn.CONCAT(INDEX(GMW!$A$2:$HM$50,MATCH(1,(GMW!$HM$2:$HM$50=M$3)*(GMW!$HL$2:$HL$50=M$4),0),$B6-1973),"0",(INDEX(GMW!$A$2:$HM$50,MATCH(1,(GMW!$HM$2:$HM$50=M$3)*(GMW!$HL$2:$HL$50=M$4),0),$B6-1972)))</f>
        <v>202402</v>
      </c>
      <c r="N6" s="113" t="str" cm="1">
        <f t="array" ref="N6">_xlfn.CONCAT(INDEX(GMW!$A$2:$HM$50,MATCH(1,(GMW!$HM$2:$HM$50=N$3)*(GMW!$HL$2:$HL$50=N$4),0),$B6-1973),"0",(INDEX(GMW!$A$2:$HM$50,MATCH(1,(GMW!$HM$2:$HM$50=N$3)*(GMW!$HL$2:$HL$50=N$4),0),$B6-1972)))</f>
        <v>202402</v>
      </c>
      <c r="O6" s="113" t="str" cm="1">
        <f t="array" ref="O6">_xlfn.CONCAT(INDEX(GMW!$A$2:$HM$50,MATCH(1,(GMW!$HM$2:$HM$50=O$3)*(GMW!$HL$2:$HL$50=O$4),0),$B6-1973),"0",(INDEX(GMW!$A$2:$HM$50,MATCH(1,(GMW!$HM$2:$HM$50=O$3)*(GMW!$HL$2:$HL$50=O$4),0),$B6-1972)))</f>
        <v>202402</v>
      </c>
      <c r="P6" s="113" t="str" cm="1">
        <f t="array" ref="P6">_xlfn.CONCAT(INDEX(GMW!$A$2:$HM$50,MATCH(1,(GMW!$HM$2:$HM$50=P$3)*(GMW!$HL$2:$HL$50=P$4),0),$B6-1973),"0",(INDEX(GMW!$A$2:$HM$50,MATCH(1,(GMW!$HM$2:$HM$50=P$3)*(GMW!$HL$2:$HL$50=P$4),0),$B6-1972)))</f>
        <v>202402</v>
      </c>
    </row>
    <row r="7" spans="1:16">
      <c r="A7">
        <v>1980</v>
      </c>
      <c r="B7">
        <v>1980</v>
      </c>
      <c r="C7">
        <v>1980</v>
      </c>
      <c r="E7" cm="1">
        <f t="array" ref="E7">INDEX(GMW!$A$2:$HN$50,MATCH(1,(GMW!$HM$2:$HM$50=E$3)*(GMW!$HN$2:$HN$50=E$1),0),$B7-1973)</f>
        <v>269776</v>
      </c>
      <c r="F7" cm="1">
        <f t="array" ref="F7">INDEX(GMW!$A$2:$HN$50,MATCH(1,(GMW!$HM$2:$HM$50=F$3)*(GMW!$HN$2:$HN$50=F$1),0),$B7-1973)</f>
        <v>25250</v>
      </c>
      <c r="G7" cm="1">
        <f t="array" ref="G7">INDEX(GMW!$A$2:$HN$50,MATCH(1,(GMW!$HM$2:$HM$50=G$3)*(GMW!$HN$2:$HN$50=G$1),0),$B7-1973)</f>
        <v>1256.6559999999999</v>
      </c>
      <c r="H7" cm="1">
        <f t="array" ref="H7">INDEX(GMW!$A$2:$HN$50,MATCH(1,(GMW!$HM$2:$HM$50=H$3)*(GMW!$HN$2:$HN$50=H$1),0),$B7-1973)</f>
        <v>5.8</v>
      </c>
      <c r="I7" cm="1">
        <f t="array" ref="I7">INDEX(GMW!$A$2:$HN$50,MATCH(1,(GMW!$HM$2:$HM$50=I$3)*(GMW!$HN$2:$HN$50=I$1),0),$B7-1973)</f>
        <v>157780</v>
      </c>
      <c r="J7" cm="1">
        <f t="array" ref="J7">INDEX(GMW!$A$2:$HN$50,MATCH(1,(GMW!$HM$2:$HM$50=J$3)*(GMW!$HN$2:$HN$50=J$1),0),$B7-1973)</f>
        <v>2203.6559999999999</v>
      </c>
      <c r="K7" cm="1">
        <f t="array" ref="K7">INDEX(GMW!$A$2:$HN$50,MATCH(1,(GMW!$HM$2:$HM$50=K$3)*(GMW!$HN$2:$HN$50=K$1),0),$B7-1973)</f>
        <v>269776</v>
      </c>
      <c r="L7" cm="1">
        <f t="array" ref="L7">INDEX(GMW!$A$2:$HN$50,MATCH(1,(GMW!$HM$2:$HM$50=L$3)*(GMW!$HN$2:$HN$50=L$1),0),$B7-1973)</f>
        <v>25250</v>
      </c>
      <c r="M7" cm="1">
        <f t="array" ref="M7">INDEX(GMW!$A$2:$HN$50,MATCH(1,(GMW!$HM$2:$HM$50=M$3)*(GMW!$HN$2:$HN$50=M$1),0),$B7-1973)</f>
        <v>1256.6559999999999</v>
      </c>
      <c r="N7" cm="1">
        <f t="array" ref="N7">INDEX(GMW!$A$2:$HN$50,MATCH(1,(GMW!$HM$2:$HM$50=N$3)*(GMW!$HN$2:$HN$50=N$1),0),$B7-1973)</f>
        <v>5.8</v>
      </c>
      <c r="O7" cm="1">
        <f t="array" ref="O7">INDEX(GMW!$A$2:$HN$50,MATCH(1,(GMW!$HM$2:$HM$50=O$3)*(GMW!$HN$2:$HN$50=O$1),0),$B7-1973)</f>
        <v>157780</v>
      </c>
      <c r="P7" cm="1">
        <f t="array" ref="P7">INDEX(GMW!$A$2:$HN$50,MATCH(1,(GMW!$HM$2:$HM$50=P$3)*(GMW!$HN$2:$HN$50=P$1),0),$B7-1973)</f>
        <v>2203.6559999999999</v>
      </c>
    </row>
    <row r="8" spans="1:16">
      <c r="B8">
        <f>+B7+1</f>
        <v>1981</v>
      </c>
      <c r="C8">
        <v>1980</v>
      </c>
      <c r="D8">
        <v>1980</v>
      </c>
      <c r="E8" cm="1">
        <f t="array" ref="E8">INDEX(GMW!$A$2:$HN$50,MATCH(1,(GMW!$HM$2:$HM$50=E$3)*(GMW!$HN$2:$HN$50=E$1),0),$B8-1973)</f>
        <v>264448</v>
      </c>
      <c r="F8" cm="1">
        <f t="array" ref="F8">INDEX(GMW!$A$2:$HN$50,MATCH(1,(GMW!$HM$2:$HM$50=F$3)*(GMW!$HN$2:$HN$50=F$1),0),$B8-1973)</f>
        <v>25190</v>
      </c>
      <c r="G8" cm="1">
        <f t="array" ref="G8">INDEX(GMW!$A$2:$HN$50,MATCH(1,(GMW!$HM$2:$HM$50=G$3)*(GMW!$HN$2:$HN$50=G$1),0),$B8-1973)</f>
        <v>1320.788</v>
      </c>
      <c r="H8" cm="1">
        <f t="array" ref="H8">INDEX(GMW!$A$2:$HN$50,MATCH(1,(GMW!$HM$2:$HM$50=H$3)*(GMW!$HN$2:$HN$50=H$1),0),$B8-1973)</f>
        <v>6.3</v>
      </c>
      <c r="I8" cm="1">
        <f t="array" ref="I8">INDEX(GMW!$A$2:$HN$50,MATCH(1,(GMW!$HM$2:$HM$50=I$3)*(GMW!$HN$2:$HN$50=I$1),0),$B8-1973)</f>
        <v>158083</v>
      </c>
      <c r="J8" cm="1">
        <f t="array" ref="J8">INDEX(GMW!$A$2:$HN$50,MATCH(1,(GMW!$HM$2:$HM$50=J$3)*(GMW!$HN$2:$HN$50=J$1),0),$B8-1973)</f>
        <v>2273.364</v>
      </c>
      <c r="K8" cm="1">
        <f t="array" ref="K8">INDEX(GMW!$A$2:$HN$50,MATCH(1,(GMW!$HM$2:$HM$50=K$3)*(GMW!$HN$2:$HN$50=K$1),0),$B8-1973)</f>
        <v>264448</v>
      </c>
      <c r="L8" cm="1">
        <f t="array" ref="L8">INDEX(GMW!$A$2:$HN$50,MATCH(1,(GMW!$HM$2:$HM$50=L$3)*(GMW!$HN$2:$HN$50=L$1),0),$B8-1973)</f>
        <v>25190</v>
      </c>
      <c r="M8" cm="1">
        <f t="array" ref="M8">INDEX(GMW!$A$2:$HN$50,MATCH(1,(GMW!$HM$2:$HM$50=M$3)*(GMW!$HN$2:$HN$50=M$1),0),$B8-1973)</f>
        <v>1320.788</v>
      </c>
      <c r="N8" cm="1">
        <f t="array" ref="N8">INDEX(GMW!$A$2:$HN$50,MATCH(1,(GMW!$HM$2:$HM$50=N$3)*(GMW!$HN$2:$HN$50=N$1),0),$B8-1973)</f>
        <v>6.3</v>
      </c>
      <c r="O8" cm="1">
        <f t="array" ref="O8">INDEX(GMW!$A$2:$HN$50,MATCH(1,(GMW!$HM$2:$HM$50=O$3)*(GMW!$HN$2:$HN$50=O$1),0),$B8-1973)</f>
        <v>158083</v>
      </c>
      <c r="P8" cm="1">
        <f t="array" ref="P8">INDEX(GMW!$A$2:$HN$50,MATCH(1,(GMW!$HM$2:$HM$50=P$3)*(GMW!$HN$2:$HN$50=P$1),0),$B8-1973)</f>
        <v>2273.364</v>
      </c>
    </row>
    <row r="9" spans="1:16">
      <c r="B9">
        <f t="shared" ref="B9:B72" si="2">+B8+1</f>
        <v>1982</v>
      </c>
      <c r="C9">
        <v>1980</v>
      </c>
      <c r="D9">
        <v>1980</v>
      </c>
      <c r="E9" cm="1">
        <f t="array" ref="E9">INDEX(GMW!$A$2:$HN$50,MATCH(1,(GMW!$HM$2:$HM$50=E$3)*(GMW!$HN$2:$HN$50=E$1),0),$B9-1973)</f>
        <v>264139</v>
      </c>
      <c r="F9" cm="1">
        <f t="array" ref="F9">INDEX(GMW!$A$2:$HN$50,MATCH(1,(GMW!$HM$2:$HM$50=F$3)*(GMW!$HN$2:$HN$50=F$1),0),$B9-1973)</f>
        <v>25050</v>
      </c>
      <c r="G9" cm="1">
        <f t="array" ref="G9">INDEX(GMW!$A$2:$HN$50,MATCH(1,(GMW!$HM$2:$HM$50=G$3)*(GMW!$HN$2:$HN$50=G$1),0),$B9-1973)</f>
        <v>1377.7919999999999</v>
      </c>
      <c r="H9" cm="1">
        <f t="array" ref="H9">INDEX(GMW!$A$2:$HN$50,MATCH(1,(GMW!$HM$2:$HM$50=H$3)*(GMW!$HN$2:$HN$50=H$1),0),$B9-1973)</f>
        <v>7.1</v>
      </c>
      <c r="I9" cm="1">
        <f t="array" ref="I9">INDEX(GMW!$A$2:$HN$50,MATCH(1,(GMW!$HM$2:$HM$50=I$3)*(GMW!$HN$2:$HN$50=I$1),0),$B9-1973)</f>
        <v>160445</v>
      </c>
      <c r="J9" cm="1">
        <f t="array" ref="J9">INDEX(GMW!$A$2:$HN$50,MATCH(1,(GMW!$HM$2:$HM$50=J$3)*(GMW!$HN$2:$HN$50=J$1),0),$B9-1973)</f>
        <v>2332.9520000000002</v>
      </c>
      <c r="K9" cm="1">
        <f t="array" ref="K9">INDEX(GMW!$A$2:$HN$50,MATCH(1,(GMW!$HM$2:$HM$50=K$3)*(GMW!$HN$2:$HN$50=K$1),0),$B9-1973)</f>
        <v>264139</v>
      </c>
      <c r="L9" cm="1">
        <f t="array" ref="L9">INDEX(GMW!$A$2:$HN$50,MATCH(1,(GMW!$HM$2:$HM$50=L$3)*(GMW!$HN$2:$HN$50=L$1),0),$B9-1973)</f>
        <v>25050</v>
      </c>
      <c r="M9" cm="1">
        <f t="array" ref="M9">INDEX(GMW!$A$2:$HN$50,MATCH(1,(GMW!$HM$2:$HM$50=M$3)*(GMW!$HN$2:$HN$50=M$1),0),$B9-1973)</f>
        <v>1377.7919999999999</v>
      </c>
      <c r="N9" cm="1">
        <f t="array" ref="N9">INDEX(GMW!$A$2:$HN$50,MATCH(1,(GMW!$HM$2:$HM$50=N$3)*(GMW!$HN$2:$HN$50=N$1),0),$B9-1973)</f>
        <v>7.1</v>
      </c>
      <c r="O9" cm="1">
        <f t="array" ref="O9">INDEX(GMW!$A$2:$HN$50,MATCH(1,(GMW!$HM$2:$HM$50=O$3)*(GMW!$HN$2:$HN$50=O$1),0),$B9-1973)</f>
        <v>160445</v>
      </c>
      <c r="P9" cm="1">
        <f t="array" ref="P9">INDEX(GMW!$A$2:$HN$50,MATCH(1,(GMW!$HM$2:$HM$50=P$3)*(GMW!$HN$2:$HN$50=P$1),0),$B9-1973)</f>
        <v>2332.9520000000002</v>
      </c>
    </row>
    <row r="10" spans="1:16">
      <c r="B10">
        <f t="shared" si="2"/>
        <v>1983</v>
      </c>
      <c r="C10">
        <v>1980</v>
      </c>
      <c r="D10">
        <v>1980</v>
      </c>
      <c r="E10" cm="1">
        <f t="array" ref="E10">INDEX(GMW!$A$2:$HN$50,MATCH(1,(GMW!$HM$2:$HM$50=E$3)*(GMW!$HN$2:$HN$50=E$1),0),$B10-1973)</f>
        <v>261297</v>
      </c>
      <c r="F10" cm="1">
        <f t="array" ref="F10">INDEX(GMW!$A$2:$HN$50,MATCH(1,(GMW!$HM$2:$HM$50=F$3)*(GMW!$HN$2:$HN$50=F$1),0),$B10-1973)</f>
        <v>24855</v>
      </c>
      <c r="G10" cm="1">
        <f t="array" ref="G10">INDEX(GMW!$A$2:$HN$50,MATCH(1,(GMW!$HM$2:$HM$50=G$3)*(GMW!$HN$2:$HN$50=G$1),0),$B10-1973)</f>
        <v>1419.0419999999999</v>
      </c>
      <c r="H10" cm="1">
        <f t="array" ref="H10">INDEX(GMW!$A$2:$HN$50,MATCH(1,(GMW!$HM$2:$HM$50=H$3)*(GMW!$HN$2:$HN$50=H$1),0),$B10-1973)</f>
        <v>8</v>
      </c>
      <c r="I10" cm="1">
        <f t="array" ref="I10">INDEX(GMW!$A$2:$HN$50,MATCH(1,(GMW!$HM$2:$HM$50=I$3)*(GMW!$HN$2:$HN$50=I$1),0),$B10-1973)</f>
        <v>158931</v>
      </c>
      <c r="J10" cm="1">
        <f t="array" ref="J10">INDEX(GMW!$A$2:$HN$50,MATCH(1,(GMW!$HM$2:$HM$50=J$3)*(GMW!$HN$2:$HN$50=J$1),0),$B10-1973)</f>
        <v>2420.6489999999999</v>
      </c>
      <c r="K10" cm="1">
        <f t="array" ref="K10">INDEX(GMW!$A$2:$HN$50,MATCH(1,(GMW!$HM$2:$HM$50=K$3)*(GMW!$HN$2:$HN$50=K$1),0),$B10-1973)</f>
        <v>261297</v>
      </c>
      <c r="L10" cm="1">
        <f t="array" ref="L10">INDEX(GMW!$A$2:$HN$50,MATCH(1,(GMW!$HM$2:$HM$50=L$3)*(GMW!$HN$2:$HN$50=L$1),0),$B10-1973)</f>
        <v>24855</v>
      </c>
      <c r="M10" cm="1">
        <f t="array" ref="M10">INDEX(GMW!$A$2:$HN$50,MATCH(1,(GMW!$HM$2:$HM$50=M$3)*(GMW!$HN$2:$HN$50=M$1),0),$B10-1973)</f>
        <v>1419.0419999999999</v>
      </c>
      <c r="N10" cm="1">
        <f t="array" ref="N10">INDEX(GMW!$A$2:$HN$50,MATCH(1,(GMW!$HM$2:$HM$50=N$3)*(GMW!$HN$2:$HN$50=N$1),0),$B10-1973)</f>
        <v>8</v>
      </c>
      <c r="O10" cm="1">
        <f t="array" ref="O10">INDEX(GMW!$A$2:$HN$50,MATCH(1,(GMW!$HM$2:$HM$50=O$3)*(GMW!$HN$2:$HN$50=O$1),0),$B10-1973)</f>
        <v>158931</v>
      </c>
      <c r="P10" cm="1">
        <f t="array" ref="P10">INDEX(GMW!$A$2:$HN$50,MATCH(1,(GMW!$HM$2:$HM$50=P$3)*(GMW!$HN$2:$HN$50=P$1),0),$B10-1973)</f>
        <v>2420.6489999999999</v>
      </c>
    </row>
    <row r="11" spans="1:16">
      <c r="A11">
        <v>1981</v>
      </c>
      <c r="B11">
        <f t="shared" si="2"/>
        <v>1984</v>
      </c>
      <c r="C11">
        <f>+C7+1</f>
        <v>1981</v>
      </c>
      <c r="D11">
        <v>1980</v>
      </c>
      <c r="E11" cm="1">
        <f t="array" ref="E11">INDEX(GMW!$A$2:$HN$50,MATCH(1,(GMW!$HM$2:$HM$50=E$3)*(GMW!$HN$2:$HN$50=E$1),0),$B11-1973)</f>
        <v>261131</v>
      </c>
      <c r="F11" cm="1">
        <f t="array" ref="F11">INDEX(GMW!$A$2:$HN$50,MATCH(1,(GMW!$HM$2:$HM$50=F$3)*(GMW!$HN$2:$HN$50=F$1),0),$B11-1973)</f>
        <v>24661</v>
      </c>
      <c r="G11" cm="1">
        <f t="array" ref="G11">INDEX(GMW!$A$2:$HN$50,MATCH(1,(GMW!$HM$2:$HM$50=G$3)*(GMW!$HN$2:$HN$50=G$1),0),$B11-1973)</f>
        <v>1445.7460000000001</v>
      </c>
      <c r="H11" cm="1">
        <f t="array" ref="H11">INDEX(GMW!$A$2:$HN$50,MATCH(1,(GMW!$HM$2:$HM$50=H$3)*(GMW!$HN$2:$HN$50=H$1),0),$B11-1973)</f>
        <v>8.9</v>
      </c>
      <c r="I11" cm="1">
        <f t="array" ref="I11">INDEX(GMW!$A$2:$HN$50,MATCH(1,(GMW!$HM$2:$HM$50=I$3)*(GMW!$HN$2:$HN$50=I$1),0),$B11-1973)</f>
        <v>160486</v>
      </c>
      <c r="J11" cm="1">
        <f t="array" ref="J11">INDEX(GMW!$A$2:$HN$50,MATCH(1,(GMW!$HM$2:$HM$50=J$3)*(GMW!$HN$2:$HN$50=J$1),0),$B11-1973)</f>
        <v>2498.2269999999999</v>
      </c>
      <c r="K11" cm="1">
        <f t="array" ref="K11">INDEX(GMW!$A$2:$HN$50,MATCH(1,(GMW!$HM$2:$HM$50=K$3)*(GMW!$HN$2:$HN$50=K$1),0),$B11-1973)</f>
        <v>261131</v>
      </c>
      <c r="L11" cm="1">
        <f t="array" ref="L11">INDEX(GMW!$A$2:$HN$50,MATCH(1,(GMW!$HM$2:$HM$50=L$3)*(GMW!$HN$2:$HN$50=L$1),0),$B11-1973)</f>
        <v>24661</v>
      </c>
      <c r="M11" cm="1">
        <f t="array" ref="M11">INDEX(GMW!$A$2:$HN$50,MATCH(1,(GMW!$HM$2:$HM$50=M$3)*(GMW!$HN$2:$HN$50=M$1),0),$B11-1973)</f>
        <v>1445.7460000000001</v>
      </c>
      <c r="N11" cm="1">
        <f t="array" ref="N11">INDEX(GMW!$A$2:$HN$50,MATCH(1,(GMW!$HM$2:$HM$50=N$3)*(GMW!$HN$2:$HN$50=N$1),0),$B11-1973)</f>
        <v>8.9</v>
      </c>
      <c r="O11" cm="1">
        <f t="array" ref="O11">INDEX(GMW!$A$2:$HN$50,MATCH(1,(GMW!$HM$2:$HM$50=O$3)*(GMW!$HN$2:$HN$50=O$1),0),$B11-1973)</f>
        <v>160486</v>
      </c>
      <c r="P11" cm="1">
        <f t="array" ref="P11">INDEX(GMW!$A$2:$HN$50,MATCH(1,(GMW!$HM$2:$HM$50=P$3)*(GMW!$HN$2:$HN$50=P$1),0),$B11-1973)</f>
        <v>2498.2269999999999</v>
      </c>
    </row>
    <row r="12" spans="1:16">
      <c r="B12">
        <f t="shared" si="2"/>
        <v>1985</v>
      </c>
      <c r="C12">
        <f t="shared" ref="C12:D76" si="3">+C8+1</f>
        <v>1981</v>
      </c>
      <c r="D12">
        <f>+D8+1</f>
        <v>1981</v>
      </c>
      <c r="E12" cm="1">
        <f t="array" ref="E12">INDEX(GMW!$A$2:$HN$50,MATCH(1,(GMW!$HM$2:$HM$50=E$3)*(GMW!$HN$2:$HN$50=E$1),0),$B12-1973)</f>
        <v>261739</v>
      </c>
      <c r="F12" cm="1">
        <f t="array" ref="F12">INDEX(GMW!$A$2:$HN$50,MATCH(1,(GMW!$HM$2:$HM$50=F$3)*(GMW!$HN$2:$HN$50=F$1),0),$B12-1973)</f>
        <v>24495</v>
      </c>
      <c r="G12" cm="1">
        <f t="array" ref="G12">INDEX(GMW!$A$2:$HN$50,MATCH(1,(GMW!$HM$2:$HM$50=G$3)*(GMW!$HN$2:$HN$50=G$1),0),$B12-1973)</f>
        <v>1481.0730000000001</v>
      </c>
      <c r="H12" cm="1">
        <f t="array" ref="H12">INDEX(GMW!$A$2:$HN$50,MATCH(1,(GMW!$HM$2:$HM$50=H$3)*(GMW!$HN$2:$HN$50=H$1),0),$B12-1973)</f>
        <v>9.6</v>
      </c>
      <c r="I12" cm="1">
        <f t="array" ref="I12">INDEX(GMW!$A$2:$HN$50,MATCH(1,(GMW!$HM$2:$HM$50=I$3)*(GMW!$HN$2:$HN$50=I$1),0),$B12-1973)</f>
        <v>158130</v>
      </c>
      <c r="J12" cm="1">
        <f t="array" ref="J12">INDEX(GMW!$A$2:$HN$50,MATCH(1,(GMW!$HM$2:$HM$50=J$3)*(GMW!$HN$2:$HN$50=J$1),0),$B12-1973)</f>
        <v>2399.2869999999998</v>
      </c>
      <c r="K12" cm="1">
        <f t="array" ref="K12">INDEX(GMW!$A$2:$HN$50,MATCH(1,(GMW!$HM$2:$HM$50=K$3)*(GMW!$HN$2:$HN$50=K$1),0),$B12-1973)</f>
        <v>261739</v>
      </c>
      <c r="L12" cm="1">
        <f t="array" ref="L12">INDEX(GMW!$A$2:$HN$50,MATCH(1,(GMW!$HM$2:$HM$50=L$3)*(GMW!$HN$2:$HN$50=L$1),0),$B12-1973)</f>
        <v>24495</v>
      </c>
      <c r="M12" cm="1">
        <f t="array" ref="M12">INDEX(GMW!$A$2:$HN$50,MATCH(1,(GMW!$HM$2:$HM$50=M$3)*(GMW!$HN$2:$HN$50=M$1),0),$B12-1973)</f>
        <v>1481.0730000000001</v>
      </c>
      <c r="N12" cm="1">
        <f t="array" ref="N12">INDEX(GMW!$A$2:$HN$50,MATCH(1,(GMW!$HM$2:$HM$50=N$3)*(GMW!$HN$2:$HN$50=N$1),0),$B12-1973)</f>
        <v>9.6</v>
      </c>
      <c r="O12" cm="1">
        <f t="array" ref="O12">INDEX(GMW!$A$2:$HN$50,MATCH(1,(GMW!$HM$2:$HM$50=O$3)*(GMW!$HN$2:$HN$50=O$1),0),$B12-1973)</f>
        <v>158130</v>
      </c>
      <c r="P12" cm="1">
        <f t="array" ref="P12">INDEX(GMW!$A$2:$HN$50,MATCH(1,(GMW!$HM$2:$HM$50=P$3)*(GMW!$HN$2:$HN$50=P$1),0),$B12-1973)</f>
        <v>2399.2869999999998</v>
      </c>
    </row>
    <row r="13" spans="1:16">
      <c r="B13">
        <f t="shared" si="2"/>
        <v>1986</v>
      </c>
      <c r="C13">
        <f t="shared" si="3"/>
        <v>1981</v>
      </c>
      <c r="D13">
        <f t="shared" si="3"/>
        <v>1981</v>
      </c>
      <c r="E13" cm="1">
        <f t="array" ref="E13">INDEX(GMW!$A$2:$HN$50,MATCH(1,(GMW!$HM$2:$HM$50=E$3)*(GMW!$HN$2:$HN$50=E$1),0),$B13-1973)</f>
        <v>264602</v>
      </c>
      <c r="F13" cm="1">
        <f t="array" ref="F13">INDEX(GMW!$A$2:$HN$50,MATCH(1,(GMW!$HM$2:$HM$50=F$3)*(GMW!$HN$2:$HN$50=F$1),0),$B13-1973)</f>
        <v>24355</v>
      </c>
      <c r="G13" cm="1">
        <f t="array" ref="G13">INDEX(GMW!$A$2:$HN$50,MATCH(1,(GMW!$HM$2:$HM$50=G$3)*(GMW!$HN$2:$HN$50=G$1),0),$B13-1973)</f>
        <v>1519.57</v>
      </c>
      <c r="H13" cm="1">
        <f t="array" ref="H13">INDEX(GMW!$A$2:$HN$50,MATCH(1,(GMW!$HM$2:$HM$50=H$3)*(GMW!$HN$2:$HN$50=H$1),0),$B13-1973)</f>
        <v>9.9</v>
      </c>
      <c r="I13" cm="1">
        <f t="array" ref="I13">INDEX(GMW!$A$2:$HN$50,MATCH(1,(GMW!$HM$2:$HM$50=I$3)*(GMW!$HN$2:$HN$50=I$1),0),$B13-1973)</f>
        <v>157598</v>
      </c>
      <c r="J13" cm="1">
        <f t="array" ref="J13">INDEX(GMW!$A$2:$HN$50,MATCH(1,(GMW!$HM$2:$HM$50=J$3)*(GMW!$HN$2:$HN$50=J$1),0),$B13-1973)</f>
        <v>2452.13</v>
      </c>
      <c r="K13" cm="1">
        <f t="array" ref="K13">INDEX(GMW!$A$2:$HN$50,MATCH(1,(GMW!$HM$2:$HM$50=K$3)*(GMW!$HN$2:$HN$50=K$1),0),$B13-1973)</f>
        <v>264602</v>
      </c>
      <c r="L13" cm="1">
        <f t="array" ref="L13">INDEX(GMW!$A$2:$HN$50,MATCH(1,(GMW!$HM$2:$HM$50=L$3)*(GMW!$HN$2:$HN$50=L$1),0),$B13-1973)</f>
        <v>24355</v>
      </c>
      <c r="M13" cm="1">
        <f t="array" ref="M13">INDEX(GMW!$A$2:$HN$50,MATCH(1,(GMW!$HM$2:$HM$50=M$3)*(GMW!$HN$2:$HN$50=M$1),0),$B13-1973)</f>
        <v>1519.57</v>
      </c>
      <c r="N13" cm="1">
        <f t="array" ref="N13">INDEX(GMW!$A$2:$HN$50,MATCH(1,(GMW!$HM$2:$HM$50=N$3)*(GMW!$HN$2:$HN$50=N$1),0),$B13-1973)</f>
        <v>9.9</v>
      </c>
      <c r="O13" cm="1">
        <f t="array" ref="O13">INDEX(GMW!$A$2:$HN$50,MATCH(1,(GMW!$HM$2:$HM$50=O$3)*(GMW!$HN$2:$HN$50=O$1),0),$B13-1973)</f>
        <v>157598</v>
      </c>
      <c r="P13" cm="1">
        <f t="array" ref="P13">INDEX(GMW!$A$2:$HN$50,MATCH(1,(GMW!$HM$2:$HM$50=P$3)*(GMW!$HN$2:$HN$50=P$1),0),$B13-1973)</f>
        <v>2452.13</v>
      </c>
    </row>
    <row r="14" spans="1:16">
      <c r="B14">
        <f t="shared" si="2"/>
        <v>1987</v>
      </c>
      <c r="C14">
        <f t="shared" si="3"/>
        <v>1981</v>
      </c>
      <c r="D14">
        <f t="shared" si="3"/>
        <v>1981</v>
      </c>
      <c r="E14" cm="1">
        <f t="array" ref="E14">INDEX(GMW!$A$2:$HN$50,MATCH(1,(GMW!$HM$2:$HM$50=E$3)*(GMW!$HN$2:$HN$50=E$1),0),$B14-1973)</f>
        <v>264902</v>
      </c>
      <c r="F14" cm="1">
        <f t="array" ref="F14">INDEX(GMW!$A$2:$HN$50,MATCH(1,(GMW!$HM$2:$HM$50=F$3)*(GMW!$HN$2:$HN$50=F$1),0),$B14-1973)</f>
        <v>24209</v>
      </c>
      <c r="G14" cm="1">
        <f t="array" ref="G14">INDEX(GMW!$A$2:$HN$50,MATCH(1,(GMW!$HM$2:$HM$50=G$3)*(GMW!$HN$2:$HN$50=G$1),0),$B14-1973)</f>
        <v>1560.4949999999999</v>
      </c>
      <c r="H14" cm="1">
        <f t="array" ref="H14">INDEX(GMW!$A$2:$HN$50,MATCH(1,(GMW!$HM$2:$HM$50=H$3)*(GMW!$HN$2:$HN$50=H$1),0),$B14-1973)</f>
        <v>10.199999999999999</v>
      </c>
      <c r="I14" cm="1">
        <f t="array" ref="I14">INDEX(GMW!$A$2:$HN$50,MATCH(1,(GMW!$HM$2:$HM$50=I$3)*(GMW!$HN$2:$HN$50=I$1),0),$B14-1973)</f>
        <v>158580</v>
      </c>
      <c r="J14" cm="1">
        <f t="array" ref="J14">INDEX(GMW!$A$2:$HN$50,MATCH(1,(GMW!$HM$2:$HM$50=J$3)*(GMW!$HN$2:$HN$50=J$1),0),$B14-1973)</f>
        <v>2560.0639999999999</v>
      </c>
      <c r="K14" cm="1">
        <f t="array" ref="K14">INDEX(GMW!$A$2:$HN$50,MATCH(1,(GMW!$HM$2:$HM$50=K$3)*(GMW!$HN$2:$HN$50=K$1),0),$B14-1973)</f>
        <v>264902</v>
      </c>
      <c r="L14" cm="1">
        <f t="array" ref="L14">INDEX(GMW!$A$2:$HN$50,MATCH(1,(GMW!$HM$2:$HM$50=L$3)*(GMW!$HN$2:$HN$50=L$1),0),$B14-1973)</f>
        <v>24209</v>
      </c>
      <c r="M14" cm="1">
        <f t="array" ref="M14">INDEX(GMW!$A$2:$HN$50,MATCH(1,(GMW!$HM$2:$HM$50=M$3)*(GMW!$HN$2:$HN$50=M$1),0),$B14-1973)</f>
        <v>1560.4949999999999</v>
      </c>
      <c r="N14" cm="1">
        <f t="array" ref="N14">INDEX(GMW!$A$2:$HN$50,MATCH(1,(GMW!$HM$2:$HM$50=N$3)*(GMW!$HN$2:$HN$50=N$1),0),$B14-1973)</f>
        <v>10.199999999999999</v>
      </c>
      <c r="O14" cm="1">
        <f t="array" ref="O14">INDEX(GMW!$A$2:$HN$50,MATCH(1,(GMW!$HM$2:$HM$50=O$3)*(GMW!$HN$2:$HN$50=O$1),0),$B14-1973)</f>
        <v>158580</v>
      </c>
      <c r="P14" cm="1">
        <f t="array" ref="P14">INDEX(GMW!$A$2:$HN$50,MATCH(1,(GMW!$HM$2:$HM$50=P$3)*(GMW!$HN$2:$HN$50=P$1),0),$B14-1973)</f>
        <v>2560.0639999999999</v>
      </c>
    </row>
    <row r="15" spans="1:16">
      <c r="A15">
        <v>1982</v>
      </c>
      <c r="B15">
        <f t="shared" si="2"/>
        <v>1988</v>
      </c>
      <c r="C15">
        <f t="shared" si="3"/>
        <v>1982</v>
      </c>
      <c r="D15">
        <f t="shared" si="3"/>
        <v>1981</v>
      </c>
      <c r="E15" cm="1">
        <f t="array" ref="E15">INDEX(GMW!$A$2:$HN$50,MATCH(1,(GMW!$HM$2:$HM$50=E$3)*(GMW!$HN$2:$HN$50=E$1),0),$B15-1973)</f>
        <v>265408</v>
      </c>
      <c r="F15" cm="1">
        <f t="array" ref="F15">INDEX(GMW!$A$2:$HN$50,MATCH(1,(GMW!$HM$2:$HM$50=F$3)*(GMW!$HN$2:$HN$50=F$1),0),$B15-1973)</f>
        <v>24120</v>
      </c>
      <c r="G15" cm="1">
        <f t="array" ref="G15">INDEX(GMW!$A$2:$HN$50,MATCH(1,(GMW!$HM$2:$HM$50=G$3)*(GMW!$HN$2:$HN$50=G$1),0),$B15-1973)</f>
        <v>1588.7190000000001</v>
      </c>
      <c r="H15" cm="1">
        <f t="array" ref="H15">INDEX(GMW!$A$2:$HN$50,MATCH(1,(GMW!$HM$2:$HM$50=H$3)*(GMW!$HN$2:$HN$50=H$1),0),$B15-1973)</f>
        <v>10.4</v>
      </c>
      <c r="I15" cm="1">
        <f t="array" ref="I15">INDEX(GMW!$A$2:$HN$50,MATCH(1,(GMW!$HM$2:$HM$50=I$3)*(GMW!$HN$2:$HN$50=I$1),0),$B15-1973)</f>
        <v>157715</v>
      </c>
      <c r="J15" cm="1">
        <f t="array" ref="J15">INDEX(GMW!$A$2:$HN$50,MATCH(1,(GMW!$HM$2:$HM$50=J$3)*(GMW!$HN$2:$HN$50=J$1),0),$B15-1973)</f>
        <v>2665.75</v>
      </c>
      <c r="K15" cm="1">
        <f t="array" ref="K15">INDEX(GMW!$A$2:$HN$50,MATCH(1,(GMW!$HM$2:$HM$50=K$3)*(GMW!$HN$2:$HN$50=K$1),0),$B15-1973)</f>
        <v>265408</v>
      </c>
      <c r="L15" cm="1">
        <f t="array" ref="L15">INDEX(GMW!$A$2:$HN$50,MATCH(1,(GMW!$HM$2:$HM$50=L$3)*(GMW!$HN$2:$HN$50=L$1),0),$B15-1973)</f>
        <v>24120</v>
      </c>
      <c r="M15" cm="1">
        <f t="array" ref="M15">INDEX(GMW!$A$2:$HN$50,MATCH(1,(GMW!$HM$2:$HM$50=M$3)*(GMW!$HN$2:$HN$50=M$1),0),$B15-1973)</f>
        <v>1588.7190000000001</v>
      </c>
      <c r="N15" cm="1">
        <f t="array" ref="N15">INDEX(GMW!$A$2:$HN$50,MATCH(1,(GMW!$HM$2:$HM$50=N$3)*(GMW!$HN$2:$HN$50=N$1),0),$B15-1973)</f>
        <v>10.4</v>
      </c>
      <c r="O15" cm="1">
        <f t="array" ref="O15">INDEX(GMW!$A$2:$HN$50,MATCH(1,(GMW!$HM$2:$HM$50=O$3)*(GMW!$HN$2:$HN$50=O$1),0),$B15-1973)</f>
        <v>157715</v>
      </c>
      <c r="P15" cm="1">
        <f t="array" ref="P15">INDEX(GMW!$A$2:$HN$50,MATCH(1,(GMW!$HM$2:$HM$50=P$3)*(GMW!$HN$2:$HN$50=P$1),0),$B15-1973)</f>
        <v>2665.75</v>
      </c>
    </row>
    <row r="16" spans="1:16">
      <c r="B16">
        <f t="shared" si="2"/>
        <v>1989</v>
      </c>
      <c r="C16">
        <f t="shared" si="3"/>
        <v>1982</v>
      </c>
      <c r="D16">
        <f t="shared" si="3"/>
        <v>1982</v>
      </c>
      <c r="E16" cm="1">
        <f t="array" ref="E16">INDEX(GMW!$A$2:$HN$50,MATCH(1,(GMW!$HM$2:$HM$50=E$3)*(GMW!$HN$2:$HN$50=E$1),0),$B16-1973)</f>
        <v>268196</v>
      </c>
      <c r="F16" cm="1">
        <f t="array" ref="F16">INDEX(GMW!$A$2:$HN$50,MATCH(1,(GMW!$HM$2:$HM$50=F$3)*(GMW!$HN$2:$HN$50=F$1),0),$B16-1973)</f>
        <v>24027</v>
      </c>
      <c r="G16" cm="1">
        <f t="array" ref="G16">INDEX(GMW!$A$2:$HN$50,MATCH(1,(GMW!$HM$2:$HM$50=G$3)*(GMW!$HN$2:$HN$50=G$1),0),$B16-1973)</f>
        <v>1621.8520000000001</v>
      </c>
      <c r="H16" cm="1">
        <f t="array" ref="H16">INDEX(GMW!$A$2:$HN$50,MATCH(1,(GMW!$HM$2:$HM$50=H$3)*(GMW!$HN$2:$HN$50=H$1),0),$B16-1973)</f>
        <v>10.6</v>
      </c>
      <c r="I16" cm="1">
        <f t="array" ref="I16">INDEX(GMW!$A$2:$HN$50,MATCH(1,(GMW!$HM$2:$HM$50=I$3)*(GMW!$HN$2:$HN$50=I$1),0),$B16-1973)</f>
        <v>160483</v>
      </c>
      <c r="J16" cm="1">
        <f t="array" ref="J16">INDEX(GMW!$A$2:$HN$50,MATCH(1,(GMW!$HM$2:$HM$50=J$3)*(GMW!$HN$2:$HN$50=J$1),0),$B16-1973)</f>
        <v>2569.0590000000002</v>
      </c>
      <c r="K16" cm="1">
        <f t="array" ref="K16">INDEX(GMW!$A$2:$HN$50,MATCH(1,(GMW!$HM$2:$HM$50=K$3)*(GMW!$HN$2:$HN$50=K$1),0),$B16-1973)</f>
        <v>268196</v>
      </c>
      <c r="L16" cm="1">
        <f t="array" ref="L16">INDEX(GMW!$A$2:$HN$50,MATCH(1,(GMW!$HM$2:$HM$50=L$3)*(GMW!$HN$2:$HN$50=L$1),0),$B16-1973)</f>
        <v>24027</v>
      </c>
      <c r="M16" cm="1">
        <f t="array" ref="M16">INDEX(GMW!$A$2:$HN$50,MATCH(1,(GMW!$HM$2:$HM$50=M$3)*(GMW!$HN$2:$HN$50=M$1),0),$B16-1973)</f>
        <v>1621.8520000000001</v>
      </c>
      <c r="N16" cm="1">
        <f t="array" ref="N16">INDEX(GMW!$A$2:$HN$50,MATCH(1,(GMW!$HM$2:$HM$50=N$3)*(GMW!$HN$2:$HN$50=N$1),0),$B16-1973)</f>
        <v>10.6</v>
      </c>
      <c r="O16" cm="1">
        <f t="array" ref="O16">INDEX(GMW!$A$2:$HN$50,MATCH(1,(GMW!$HM$2:$HM$50=O$3)*(GMW!$HN$2:$HN$50=O$1),0),$B16-1973)</f>
        <v>160483</v>
      </c>
      <c r="P16" cm="1">
        <f t="array" ref="P16">INDEX(GMW!$A$2:$HN$50,MATCH(1,(GMW!$HM$2:$HM$50=P$3)*(GMW!$HN$2:$HN$50=P$1),0),$B16-1973)</f>
        <v>2569.0590000000002</v>
      </c>
    </row>
    <row r="17" spans="1:16">
      <c r="B17">
        <f t="shared" si="2"/>
        <v>1990</v>
      </c>
      <c r="C17">
        <f t="shared" si="3"/>
        <v>1982</v>
      </c>
      <c r="D17">
        <f t="shared" si="3"/>
        <v>1982</v>
      </c>
      <c r="E17" cm="1">
        <f t="array" ref="E17">INDEX(GMW!$A$2:$HN$50,MATCH(1,(GMW!$HM$2:$HM$50=E$3)*(GMW!$HN$2:$HN$50=E$1),0),$B17-1973)</f>
        <v>268798</v>
      </c>
      <c r="F17" cm="1">
        <f t="array" ref="F17">INDEX(GMW!$A$2:$HN$50,MATCH(1,(GMW!$HM$2:$HM$50=F$3)*(GMW!$HN$2:$HN$50=F$1),0),$B17-1973)</f>
        <v>23901</v>
      </c>
      <c r="G17" cm="1">
        <f t="array" ref="G17">INDEX(GMW!$A$2:$HN$50,MATCH(1,(GMW!$HM$2:$HM$50=G$3)*(GMW!$HN$2:$HN$50=G$1),0),$B17-1973)</f>
        <v>1645.3019999999999</v>
      </c>
      <c r="H17" cm="1">
        <f t="array" ref="H17">INDEX(GMW!$A$2:$HN$50,MATCH(1,(GMW!$HM$2:$HM$50=H$3)*(GMW!$HN$2:$HN$50=H$1),0),$B17-1973)</f>
        <v>10.8</v>
      </c>
      <c r="I17" cm="1">
        <f t="array" ref="I17">INDEX(GMW!$A$2:$HN$50,MATCH(1,(GMW!$HM$2:$HM$50=I$3)*(GMW!$HN$2:$HN$50=I$1),0),$B17-1973)</f>
        <v>159367</v>
      </c>
      <c r="J17" cm="1">
        <f t="array" ref="J17">INDEX(GMW!$A$2:$HN$50,MATCH(1,(GMW!$HM$2:$HM$50=J$3)*(GMW!$HN$2:$HN$50=J$1),0),$B17-1973)</f>
        <v>2582.5500000000002</v>
      </c>
      <c r="K17" cm="1">
        <f t="array" ref="K17">INDEX(GMW!$A$2:$HN$50,MATCH(1,(GMW!$HM$2:$HM$50=K$3)*(GMW!$HN$2:$HN$50=K$1),0),$B17-1973)</f>
        <v>268798</v>
      </c>
      <c r="L17" cm="1">
        <f t="array" ref="L17">INDEX(GMW!$A$2:$HN$50,MATCH(1,(GMW!$HM$2:$HM$50=L$3)*(GMW!$HN$2:$HN$50=L$1),0),$B17-1973)</f>
        <v>23901</v>
      </c>
      <c r="M17" cm="1">
        <f t="array" ref="M17">INDEX(GMW!$A$2:$HN$50,MATCH(1,(GMW!$HM$2:$HM$50=M$3)*(GMW!$HN$2:$HN$50=M$1),0),$B17-1973)</f>
        <v>1645.3019999999999</v>
      </c>
      <c r="N17" cm="1">
        <f t="array" ref="N17">INDEX(GMW!$A$2:$HN$50,MATCH(1,(GMW!$HM$2:$HM$50=N$3)*(GMW!$HN$2:$HN$50=N$1),0),$B17-1973)</f>
        <v>10.8</v>
      </c>
      <c r="O17" cm="1">
        <f t="array" ref="O17">INDEX(GMW!$A$2:$HN$50,MATCH(1,(GMW!$HM$2:$HM$50=O$3)*(GMW!$HN$2:$HN$50=O$1),0),$B17-1973)</f>
        <v>159367</v>
      </c>
      <c r="P17" cm="1">
        <f t="array" ref="P17">INDEX(GMW!$A$2:$HN$50,MATCH(1,(GMW!$HM$2:$HM$50=P$3)*(GMW!$HN$2:$HN$50=P$1),0),$B17-1973)</f>
        <v>2582.5500000000002</v>
      </c>
    </row>
    <row r="18" spans="1:16">
      <c r="B18">
        <f t="shared" si="2"/>
        <v>1991</v>
      </c>
      <c r="C18">
        <f t="shared" si="3"/>
        <v>1982</v>
      </c>
      <c r="D18">
        <f t="shared" si="3"/>
        <v>1982</v>
      </c>
      <c r="E18" cm="1">
        <f t="array" ref="E18">INDEX(GMW!$A$2:$HN$50,MATCH(1,(GMW!$HM$2:$HM$50=E$3)*(GMW!$HN$2:$HN$50=E$1),0),$B18-1973)</f>
        <v>270653</v>
      </c>
      <c r="F18" cm="1">
        <f t="array" ref="F18">INDEX(GMW!$A$2:$HN$50,MATCH(1,(GMW!$HM$2:$HM$50=F$3)*(GMW!$HN$2:$HN$50=F$1),0),$B18-1973)</f>
        <v>23755</v>
      </c>
      <c r="G18" cm="1">
        <f t="array" ref="G18">INDEX(GMW!$A$2:$HN$50,MATCH(1,(GMW!$HM$2:$HM$50=G$3)*(GMW!$HN$2:$HN$50=G$1),0),$B18-1973)</f>
        <v>1677.7139999999999</v>
      </c>
      <c r="H18" cm="1">
        <f t="array" ref="H18">INDEX(GMW!$A$2:$HN$50,MATCH(1,(GMW!$HM$2:$HM$50=H$3)*(GMW!$HN$2:$HN$50=H$1),0),$B18-1973)</f>
        <v>11.1</v>
      </c>
      <c r="I18" cm="1">
        <f t="array" ref="I18">INDEX(GMW!$A$2:$HN$50,MATCH(1,(GMW!$HM$2:$HM$50=I$3)*(GMW!$HN$2:$HN$50=I$1),0),$B18-1973)</f>
        <v>159886</v>
      </c>
      <c r="J18" cm="1">
        <f t="array" ref="J18">INDEX(GMW!$A$2:$HN$50,MATCH(1,(GMW!$HM$2:$HM$50=J$3)*(GMW!$HN$2:$HN$50=J$1),0),$B18-1973)</f>
        <v>2688.2359999999999</v>
      </c>
      <c r="K18" cm="1">
        <f t="array" ref="K18">INDEX(GMW!$A$2:$HN$50,MATCH(1,(GMW!$HM$2:$HM$50=K$3)*(GMW!$HN$2:$HN$50=K$1),0),$B18-1973)</f>
        <v>270653</v>
      </c>
      <c r="L18" cm="1">
        <f t="array" ref="L18">INDEX(GMW!$A$2:$HN$50,MATCH(1,(GMW!$HM$2:$HM$50=L$3)*(GMW!$HN$2:$HN$50=L$1),0),$B18-1973)</f>
        <v>23755</v>
      </c>
      <c r="M18" cm="1">
        <f t="array" ref="M18">INDEX(GMW!$A$2:$HN$50,MATCH(1,(GMW!$HM$2:$HM$50=M$3)*(GMW!$HN$2:$HN$50=M$1),0),$B18-1973)</f>
        <v>1677.7139999999999</v>
      </c>
      <c r="N18" cm="1">
        <f t="array" ref="N18">INDEX(GMW!$A$2:$HN$50,MATCH(1,(GMW!$HM$2:$HM$50=N$3)*(GMW!$HN$2:$HN$50=N$1),0),$B18-1973)</f>
        <v>11.1</v>
      </c>
      <c r="O18" cm="1">
        <f t="array" ref="O18">INDEX(GMW!$A$2:$HN$50,MATCH(1,(GMW!$HM$2:$HM$50=O$3)*(GMW!$HN$2:$HN$50=O$1),0),$B18-1973)</f>
        <v>159886</v>
      </c>
      <c r="P18" cm="1">
        <f t="array" ref="P18">INDEX(GMW!$A$2:$HN$50,MATCH(1,(GMW!$HM$2:$HM$50=P$3)*(GMW!$HN$2:$HN$50=P$1),0),$B18-1973)</f>
        <v>2688.2359999999999</v>
      </c>
    </row>
    <row r="19" spans="1:16">
      <c r="A19">
        <v>1983</v>
      </c>
      <c r="B19">
        <f t="shared" si="2"/>
        <v>1992</v>
      </c>
      <c r="C19">
        <f t="shared" si="3"/>
        <v>1983</v>
      </c>
      <c r="D19">
        <f t="shared" si="3"/>
        <v>1982</v>
      </c>
      <c r="E19" cm="1">
        <f t="array" ref="E19">INDEX(GMW!$A$2:$HN$50,MATCH(1,(GMW!$HM$2:$HM$50=E$3)*(GMW!$HN$2:$HN$50=E$1),0),$B19-1973)</f>
        <v>275877</v>
      </c>
      <c r="F19" cm="1">
        <f t="array" ref="F19">INDEX(GMW!$A$2:$HN$50,MATCH(1,(GMW!$HM$2:$HM$50=F$3)*(GMW!$HN$2:$HN$50=F$1),0),$B19-1973)</f>
        <v>23651</v>
      </c>
      <c r="G19" cm="1">
        <f t="array" ref="G19">INDEX(GMW!$A$2:$HN$50,MATCH(1,(GMW!$HM$2:$HM$50=G$3)*(GMW!$HN$2:$HN$50=G$1),0),$B19-1973)</f>
        <v>1735.998</v>
      </c>
      <c r="H19" cm="1">
        <f t="array" ref="H19">INDEX(GMW!$A$2:$HN$50,MATCH(1,(GMW!$HM$2:$HM$50=H$3)*(GMW!$HN$2:$HN$50=H$1),0),$B19-1973)</f>
        <v>11.3</v>
      </c>
      <c r="I19" cm="1">
        <f t="array" ref="I19">INDEX(GMW!$A$2:$HN$50,MATCH(1,(GMW!$HM$2:$HM$50=I$3)*(GMW!$HN$2:$HN$50=I$1),0),$B19-1973)</f>
        <v>158854</v>
      </c>
      <c r="J19" cm="1">
        <f t="array" ref="J19">INDEX(GMW!$A$2:$HN$50,MATCH(1,(GMW!$HM$2:$HM$50=J$3)*(GMW!$HN$2:$HN$50=J$1),0),$B19-1973)</f>
        <v>2872.623</v>
      </c>
      <c r="K19" cm="1">
        <f t="array" ref="K19">INDEX(GMW!$A$2:$HN$50,MATCH(1,(GMW!$HM$2:$HM$50=K$3)*(GMW!$HN$2:$HN$50=K$1),0),$B19-1973)</f>
        <v>275877</v>
      </c>
      <c r="L19" cm="1">
        <f t="array" ref="L19">INDEX(GMW!$A$2:$HN$50,MATCH(1,(GMW!$HM$2:$HM$50=L$3)*(GMW!$HN$2:$HN$50=L$1),0),$B19-1973)</f>
        <v>23651</v>
      </c>
      <c r="M19" cm="1">
        <f t="array" ref="M19">INDEX(GMW!$A$2:$HN$50,MATCH(1,(GMW!$HM$2:$HM$50=M$3)*(GMW!$HN$2:$HN$50=M$1),0),$B19-1973)</f>
        <v>1735.998</v>
      </c>
      <c r="N19" cm="1">
        <f t="array" ref="N19">INDEX(GMW!$A$2:$HN$50,MATCH(1,(GMW!$HM$2:$HM$50=N$3)*(GMW!$HN$2:$HN$50=N$1),0),$B19-1973)</f>
        <v>11.3</v>
      </c>
      <c r="O19" cm="1">
        <f t="array" ref="O19">INDEX(GMW!$A$2:$HN$50,MATCH(1,(GMW!$HM$2:$HM$50=O$3)*(GMW!$HN$2:$HN$50=O$1),0),$B19-1973)</f>
        <v>158854</v>
      </c>
      <c r="P19" cm="1">
        <f t="array" ref="P19">INDEX(GMW!$A$2:$HN$50,MATCH(1,(GMW!$HM$2:$HM$50=P$3)*(GMW!$HN$2:$HN$50=P$1),0),$B19-1973)</f>
        <v>2872.623</v>
      </c>
    </row>
    <row r="20" spans="1:16">
      <c r="B20">
        <f t="shared" si="2"/>
        <v>1993</v>
      </c>
      <c r="C20">
        <f t="shared" si="3"/>
        <v>1983</v>
      </c>
      <c r="D20">
        <f t="shared" si="3"/>
        <v>1983</v>
      </c>
      <c r="E20" cm="1">
        <f t="array" ref="E20">INDEX(GMW!$A$2:$HN$50,MATCH(1,(GMW!$HM$2:$HM$50=E$3)*(GMW!$HN$2:$HN$50=E$1),0),$B20-1973)</f>
        <v>277790</v>
      </c>
      <c r="F20" cm="1">
        <f t="array" ref="F20">INDEX(GMW!$A$2:$HN$50,MATCH(1,(GMW!$HM$2:$HM$50=F$3)*(GMW!$HN$2:$HN$50=F$1),0),$B20-1973)</f>
        <v>23647</v>
      </c>
      <c r="G20" cm="1">
        <f t="array" ref="G20">INDEX(GMW!$A$2:$HN$50,MATCH(1,(GMW!$HM$2:$HM$50=G$3)*(GMW!$HN$2:$HN$50=G$1),0),$B20-1973)</f>
        <v>1757.346</v>
      </c>
      <c r="H20" cm="1">
        <f t="array" ref="H20">INDEX(GMW!$A$2:$HN$50,MATCH(1,(GMW!$HM$2:$HM$50=H$3)*(GMW!$HN$2:$HN$50=H$1),0),$B20-1973)</f>
        <v>11.4</v>
      </c>
      <c r="I20" cm="1">
        <f t="array" ref="I20">INDEX(GMW!$A$2:$HN$50,MATCH(1,(GMW!$HM$2:$HM$50=I$3)*(GMW!$HN$2:$HN$50=I$1),0),$B20-1973)</f>
        <v>165111</v>
      </c>
      <c r="J20" cm="1">
        <f t="array" ref="J20">INDEX(GMW!$A$2:$HN$50,MATCH(1,(GMW!$HM$2:$HM$50=J$3)*(GMW!$HN$2:$HN$50=J$1),0),$B20-1973)</f>
        <v>2925.4659999999999</v>
      </c>
      <c r="K20" cm="1">
        <f t="array" ref="K20">INDEX(GMW!$A$2:$HN$50,MATCH(1,(GMW!$HM$2:$HM$50=K$3)*(GMW!$HN$2:$HN$50=K$1),0),$B20-1973)</f>
        <v>277790</v>
      </c>
      <c r="L20" cm="1">
        <f t="array" ref="L20">INDEX(GMW!$A$2:$HN$50,MATCH(1,(GMW!$HM$2:$HM$50=L$3)*(GMW!$HN$2:$HN$50=L$1),0),$B20-1973)</f>
        <v>23647</v>
      </c>
      <c r="M20" cm="1">
        <f t="array" ref="M20">INDEX(GMW!$A$2:$HN$50,MATCH(1,(GMW!$HM$2:$HM$50=M$3)*(GMW!$HN$2:$HN$50=M$1),0),$B20-1973)</f>
        <v>1757.346</v>
      </c>
      <c r="N20" cm="1">
        <f t="array" ref="N20">INDEX(GMW!$A$2:$HN$50,MATCH(1,(GMW!$HM$2:$HM$50=N$3)*(GMW!$HN$2:$HN$50=N$1),0),$B20-1973)</f>
        <v>11.4</v>
      </c>
      <c r="O20" cm="1">
        <f t="array" ref="O20">INDEX(GMW!$A$2:$HN$50,MATCH(1,(GMW!$HM$2:$HM$50=O$3)*(GMW!$HN$2:$HN$50=O$1),0),$B20-1973)</f>
        <v>165111</v>
      </c>
      <c r="P20" cm="1">
        <f t="array" ref="P20">INDEX(GMW!$A$2:$HN$50,MATCH(1,(GMW!$HM$2:$HM$50=P$3)*(GMW!$HN$2:$HN$50=P$1),0),$B20-1973)</f>
        <v>2925.4659999999999</v>
      </c>
    </row>
    <row r="21" spans="1:16">
      <c r="B21">
        <f t="shared" si="2"/>
        <v>1994</v>
      </c>
      <c r="C21">
        <f t="shared" si="3"/>
        <v>1983</v>
      </c>
      <c r="D21">
        <f t="shared" si="3"/>
        <v>1983</v>
      </c>
      <c r="E21" cm="1">
        <f t="array" ref="E21">INDEX(GMW!$A$2:$HN$50,MATCH(1,(GMW!$HM$2:$HM$50=E$3)*(GMW!$HN$2:$HN$50=E$1),0),$B21-1973)</f>
        <v>280996</v>
      </c>
      <c r="F21" cm="1">
        <f t="array" ref="F21">INDEX(GMW!$A$2:$HN$50,MATCH(1,(GMW!$HM$2:$HM$50=F$3)*(GMW!$HN$2:$HN$50=F$1),0),$B21-1973)</f>
        <v>23809</v>
      </c>
      <c r="G21" cm="1">
        <f t="array" ref="G21">INDEX(GMW!$A$2:$HN$50,MATCH(1,(GMW!$HM$2:$HM$50=G$3)*(GMW!$HN$2:$HN$50=G$1),0),$B21-1973)</f>
        <v>1777.221</v>
      </c>
      <c r="H21" cm="1">
        <f t="array" ref="H21">INDEX(GMW!$A$2:$HN$50,MATCH(1,(GMW!$HM$2:$HM$50=H$3)*(GMW!$HN$2:$HN$50=H$1),0),$B21-1973)</f>
        <v>11.5</v>
      </c>
      <c r="I21" cm="1">
        <f t="array" ref="I21">INDEX(GMW!$A$2:$HN$50,MATCH(1,(GMW!$HM$2:$HM$50=I$3)*(GMW!$HN$2:$HN$50=I$1),0),$B21-1973)</f>
        <v>163522</v>
      </c>
      <c r="J21" cm="1">
        <f t="array" ref="J21">INDEX(GMW!$A$2:$HN$50,MATCH(1,(GMW!$HM$2:$HM$50=J$3)*(GMW!$HN$2:$HN$50=J$1),0),$B21-1973)</f>
        <v>2987.3029999999999</v>
      </c>
      <c r="K21" cm="1">
        <f t="array" ref="K21">INDEX(GMW!$A$2:$HN$50,MATCH(1,(GMW!$HM$2:$HM$50=K$3)*(GMW!$HN$2:$HN$50=K$1),0),$B21-1973)</f>
        <v>280996</v>
      </c>
      <c r="L21" cm="1">
        <f t="array" ref="L21">INDEX(GMW!$A$2:$HN$50,MATCH(1,(GMW!$HM$2:$HM$50=L$3)*(GMW!$HN$2:$HN$50=L$1),0),$B21-1973)</f>
        <v>23809</v>
      </c>
      <c r="M21" cm="1">
        <f t="array" ref="M21">INDEX(GMW!$A$2:$HN$50,MATCH(1,(GMW!$HM$2:$HM$50=M$3)*(GMW!$HN$2:$HN$50=M$1),0),$B21-1973)</f>
        <v>1777.221</v>
      </c>
      <c r="N21" cm="1">
        <f t="array" ref="N21">INDEX(GMW!$A$2:$HN$50,MATCH(1,(GMW!$HM$2:$HM$50=N$3)*(GMW!$HN$2:$HN$50=N$1),0),$B21-1973)</f>
        <v>11.5</v>
      </c>
      <c r="O21" cm="1">
        <f t="array" ref="O21">INDEX(GMW!$A$2:$HN$50,MATCH(1,(GMW!$HM$2:$HM$50=O$3)*(GMW!$HN$2:$HN$50=O$1),0),$B21-1973)</f>
        <v>163522</v>
      </c>
      <c r="P21" cm="1">
        <f t="array" ref="P21">INDEX(GMW!$A$2:$HN$50,MATCH(1,(GMW!$HM$2:$HM$50=P$3)*(GMW!$HN$2:$HN$50=P$1),0),$B21-1973)</f>
        <v>2987.3029999999999</v>
      </c>
    </row>
    <row r="22" spans="1:16">
      <c r="B22">
        <f t="shared" si="2"/>
        <v>1995</v>
      </c>
      <c r="C22">
        <f t="shared" si="3"/>
        <v>1983</v>
      </c>
      <c r="D22">
        <f t="shared" si="3"/>
        <v>1983</v>
      </c>
      <c r="E22" cm="1">
        <f t="array" ref="E22">INDEX(GMW!$A$2:$HN$50,MATCH(1,(GMW!$HM$2:$HM$50=E$3)*(GMW!$HN$2:$HN$50=E$1),0),$B22-1973)</f>
        <v>283096</v>
      </c>
      <c r="F22" cm="1">
        <f t="array" ref="F22">INDEX(GMW!$A$2:$HN$50,MATCH(1,(GMW!$HM$2:$HM$50=F$3)*(GMW!$HN$2:$HN$50=F$1),0),$B22-1973)</f>
        <v>23994</v>
      </c>
      <c r="G22" cm="1">
        <f t="array" ref="G22">INDEX(GMW!$A$2:$HN$50,MATCH(1,(GMW!$HM$2:$HM$50=G$3)*(GMW!$HN$2:$HN$50=G$1),0),$B22-1973)</f>
        <v>1805.329</v>
      </c>
      <c r="H22" cm="1">
        <f t="array" ref="H22">INDEX(GMW!$A$2:$HN$50,MATCH(1,(GMW!$HM$2:$HM$50=H$3)*(GMW!$HN$2:$HN$50=H$1),0),$B22-1973)</f>
        <v>11.7</v>
      </c>
      <c r="I22" cm="1">
        <f t="array" ref="I22">INDEX(GMW!$A$2:$HN$50,MATCH(1,(GMW!$HM$2:$HM$50=I$3)*(GMW!$HN$2:$HN$50=I$1),0),$B22-1973)</f>
        <v>164202</v>
      </c>
      <c r="J22" cm="1">
        <f t="array" ref="J22">INDEX(GMW!$A$2:$HN$50,MATCH(1,(GMW!$HM$2:$HM$50=J$3)*(GMW!$HN$2:$HN$50=J$1),0),$B22-1973)</f>
        <v>3060.384</v>
      </c>
      <c r="K22" cm="1">
        <f t="array" ref="K22">INDEX(GMW!$A$2:$HN$50,MATCH(1,(GMW!$HM$2:$HM$50=K$3)*(GMW!$HN$2:$HN$50=K$1),0),$B22-1973)</f>
        <v>283096</v>
      </c>
      <c r="L22" cm="1">
        <f t="array" ref="L22">INDEX(GMW!$A$2:$HN$50,MATCH(1,(GMW!$HM$2:$HM$50=L$3)*(GMW!$HN$2:$HN$50=L$1),0),$B22-1973)</f>
        <v>23994</v>
      </c>
      <c r="M22" cm="1">
        <f t="array" ref="M22">INDEX(GMW!$A$2:$HN$50,MATCH(1,(GMW!$HM$2:$HM$50=M$3)*(GMW!$HN$2:$HN$50=M$1),0),$B22-1973)</f>
        <v>1805.329</v>
      </c>
      <c r="N22" cm="1">
        <f t="array" ref="N22">INDEX(GMW!$A$2:$HN$50,MATCH(1,(GMW!$HM$2:$HM$50=N$3)*(GMW!$HN$2:$HN$50=N$1),0),$B22-1973)</f>
        <v>11.7</v>
      </c>
      <c r="O22" cm="1">
        <f t="array" ref="O22">INDEX(GMW!$A$2:$HN$50,MATCH(1,(GMW!$HM$2:$HM$50=O$3)*(GMW!$HN$2:$HN$50=O$1),0),$B22-1973)</f>
        <v>164202</v>
      </c>
      <c r="P22" cm="1">
        <f t="array" ref="P22">INDEX(GMW!$A$2:$HN$50,MATCH(1,(GMW!$HM$2:$HM$50=P$3)*(GMW!$HN$2:$HN$50=P$1),0),$B22-1973)</f>
        <v>3060.384</v>
      </c>
    </row>
    <row r="23" spans="1:16">
      <c r="A23">
        <v>1984</v>
      </c>
      <c r="B23">
        <f t="shared" si="2"/>
        <v>1996</v>
      </c>
      <c r="C23">
        <f t="shared" si="3"/>
        <v>1984</v>
      </c>
      <c r="D23">
        <f t="shared" si="3"/>
        <v>1983</v>
      </c>
      <c r="E23" cm="1">
        <f t="array" ref="E23">INDEX(GMW!$A$2:$HN$50,MATCH(1,(GMW!$HM$2:$HM$50=E$3)*(GMW!$HN$2:$HN$50=E$1),0),$B23-1973)</f>
        <v>285469</v>
      </c>
      <c r="F23" cm="1">
        <f t="array" ref="F23">INDEX(GMW!$A$2:$HN$50,MATCH(1,(GMW!$HM$2:$HM$50=F$3)*(GMW!$HN$2:$HN$50=F$1),0),$B23-1973)</f>
        <v>24125</v>
      </c>
      <c r="G23" cm="1">
        <f t="array" ref="G23">INDEX(GMW!$A$2:$HN$50,MATCH(1,(GMW!$HM$2:$HM$50=G$3)*(GMW!$HN$2:$HN$50=G$1),0),$B23-1973)</f>
        <v>1833.021</v>
      </c>
      <c r="H23" cm="1">
        <f t="array" ref="H23">INDEX(GMW!$A$2:$HN$50,MATCH(1,(GMW!$HM$2:$HM$50=H$3)*(GMW!$HN$2:$HN$50=H$1),0),$B23-1973)</f>
        <v>11.8</v>
      </c>
      <c r="I23" cm="1">
        <f t="array" ref="I23">INDEX(GMW!$A$2:$HN$50,MATCH(1,(GMW!$HM$2:$HM$50=I$3)*(GMW!$HN$2:$HN$50=I$1),0),$B23-1973)</f>
        <v>167088</v>
      </c>
      <c r="J23" cm="1">
        <f t="array" ref="J23">INDEX(GMW!$A$2:$HN$50,MATCH(1,(GMW!$HM$2:$HM$50=J$3)*(GMW!$HN$2:$HN$50=J$1),0),$B23-1973)</f>
        <v>3088.4920000000002</v>
      </c>
      <c r="K23" cm="1">
        <f t="array" ref="K23">INDEX(GMW!$A$2:$HN$50,MATCH(1,(GMW!$HM$2:$HM$50=K$3)*(GMW!$HN$2:$HN$50=K$1),0),$B23-1973)</f>
        <v>285469</v>
      </c>
      <c r="L23" cm="1">
        <f t="array" ref="L23">INDEX(GMW!$A$2:$HN$50,MATCH(1,(GMW!$HM$2:$HM$50=L$3)*(GMW!$HN$2:$HN$50=L$1),0),$B23-1973)</f>
        <v>24125</v>
      </c>
      <c r="M23" cm="1">
        <f t="array" ref="M23">INDEX(GMW!$A$2:$HN$50,MATCH(1,(GMW!$HM$2:$HM$50=M$3)*(GMW!$HN$2:$HN$50=M$1),0),$B23-1973)</f>
        <v>1833.021</v>
      </c>
      <c r="N23" cm="1">
        <f t="array" ref="N23">INDEX(GMW!$A$2:$HN$50,MATCH(1,(GMW!$HM$2:$HM$50=N$3)*(GMW!$HN$2:$HN$50=N$1),0),$B23-1973)</f>
        <v>11.8</v>
      </c>
      <c r="O23" cm="1">
        <f t="array" ref="O23">INDEX(GMW!$A$2:$HN$50,MATCH(1,(GMW!$HM$2:$HM$50=O$3)*(GMW!$HN$2:$HN$50=O$1),0),$B23-1973)</f>
        <v>167088</v>
      </c>
      <c r="P23" cm="1">
        <f t="array" ref="P23">INDEX(GMW!$A$2:$HN$50,MATCH(1,(GMW!$HM$2:$HM$50=P$3)*(GMW!$HN$2:$HN$50=P$1),0),$B23-1973)</f>
        <v>3088.4920000000002</v>
      </c>
    </row>
    <row r="24" spans="1:16">
      <c r="B24">
        <f t="shared" si="2"/>
        <v>1997</v>
      </c>
      <c r="C24">
        <f t="shared" si="3"/>
        <v>1984</v>
      </c>
      <c r="D24">
        <f t="shared" si="3"/>
        <v>1984</v>
      </c>
      <c r="E24" cm="1">
        <f t="array" ref="E24">INDEX(GMW!$A$2:$HN$50,MATCH(1,(GMW!$HM$2:$HM$50=E$3)*(GMW!$HN$2:$HN$50=E$1),0),$B24-1973)</f>
        <v>282605</v>
      </c>
      <c r="F24" cm="1">
        <f t="array" ref="F24">INDEX(GMW!$A$2:$HN$50,MATCH(1,(GMW!$HM$2:$HM$50=F$3)*(GMW!$HN$2:$HN$50=F$1),0),$B24-1973)</f>
        <v>24245</v>
      </c>
      <c r="G24" cm="1">
        <f t="array" ref="G24">INDEX(GMW!$A$2:$HN$50,MATCH(1,(GMW!$HM$2:$HM$50=G$3)*(GMW!$HN$2:$HN$50=G$1),0),$B24-1973)</f>
        <v>1859.9649999999999</v>
      </c>
      <c r="H24" cm="1">
        <f t="array" ref="H24">INDEX(GMW!$A$2:$HN$50,MATCH(1,(GMW!$HM$2:$HM$50=H$3)*(GMW!$HN$2:$HN$50=H$1),0),$B24-1973)</f>
        <v>11.9</v>
      </c>
      <c r="I24" cm="1">
        <f t="array" ref="I24">INDEX(GMW!$A$2:$HN$50,MATCH(1,(GMW!$HM$2:$HM$50=I$3)*(GMW!$HN$2:$HN$50=I$1),0),$B24-1973)</f>
        <v>165111</v>
      </c>
      <c r="J24" cm="1">
        <f t="array" ref="J24">INDEX(GMW!$A$2:$HN$50,MATCH(1,(GMW!$HM$2:$HM$50=J$3)*(GMW!$HN$2:$HN$50=J$1),0),$B24-1973)</f>
        <v>3128.9670000000001</v>
      </c>
      <c r="K24" cm="1">
        <f t="array" ref="K24">INDEX(GMW!$A$2:$HN$50,MATCH(1,(GMW!$HM$2:$HM$50=K$3)*(GMW!$HN$2:$HN$50=K$1),0),$B24-1973)</f>
        <v>282605</v>
      </c>
      <c r="L24" cm="1">
        <f t="array" ref="L24">INDEX(GMW!$A$2:$HN$50,MATCH(1,(GMW!$HM$2:$HM$50=L$3)*(GMW!$HN$2:$HN$50=L$1),0),$B24-1973)</f>
        <v>24245</v>
      </c>
      <c r="M24" cm="1">
        <f t="array" ref="M24">INDEX(GMW!$A$2:$HN$50,MATCH(1,(GMW!$HM$2:$HM$50=M$3)*(GMW!$HN$2:$HN$50=M$1),0),$B24-1973)</f>
        <v>1859.9649999999999</v>
      </c>
      <c r="N24" cm="1">
        <f t="array" ref="N24">INDEX(GMW!$A$2:$HN$50,MATCH(1,(GMW!$HM$2:$HM$50=N$3)*(GMW!$HN$2:$HN$50=N$1),0),$B24-1973)</f>
        <v>11.9</v>
      </c>
      <c r="O24" cm="1">
        <f t="array" ref="O24">INDEX(GMW!$A$2:$HN$50,MATCH(1,(GMW!$HM$2:$HM$50=O$3)*(GMW!$HN$2:$HN$50=O$1),0),$B24-1973)</f>
        <v>165111</v>
      </c>
      <c r="P24" cm="1">
        <f t="array" ref="P24">INDEX(GMW!$A$2:$HN$50,MATCH(1,(GMW!$HM$2:$HM$50=P$3)*(GMW!$HN$2:$HN$50=P$1),0),$B24-1973)</f>
        <v>3128.9670000000001</v>
      </c>
    </row>
    <row r="25" spans="1:16">
      <c r="B25">
        <f t="shared" si="2"/>
        <v>1998</v>
      </c>
      <c r="C25">
        <f t="shared" si="3"/>
        <v>1984</v>
      </c>
      <c r="D25">
        <f t="shared" si="3"/>
        <v>1984</v>
      </c>
      <c r="E25" cm="1">
        <f t="array" ref="E25">INDEX(GMW!$A$2:$HN$50,MATCH(1,(GMW!$HM$2:$HM$50=E$3)*(GMW!$HN$2:$HN$50=E$1),0),$B25-1973)</f>
        <v>284676</v>
      </c>
      <c r="F25" cm="1">
        <f t="array" ref="F25">INDEX(GMW!$A$2:$HN$50,MATCH(1,(GMW!$HM$2:$HM$50=F$3)*(GMW!$HN$2:$HN$50=F$1),0),$B25-1973)</f>
        <v>24335</v>
      </c>
      <c r="G25" cm="1">
        <f t="array" ref="G25">INDEX(GMW!$A$2:$HN$50,MATCH(1,(GMW!$HM$2:$HM$50=G$3)*(GMW!$HN$2:$HN$50=G$1),0),$B25-1973)</f>
        <v>1876.902</v>
      </c>
      <c r="H25" cm="1">
        <f t="array" ref="H25">INDEX(GMW!$A$2:$HN$50,MATCH(1,(GMW!$HM$2:$HM$50=H$3)*(GMW!$HN$2:$HN$50=H$1),0),$B25-1973)</f>
        <v>11.7</v>
      </c>
      <c r="I25" cm="1">
        <f t="array" ref="I25">INDEX(GMW!$A$2:$HN$50,MATCH(1,(GMW!$HM$2:$HM$50=I$3)*(GMW!$HN$2:$HN$50=I$1),0),$B25-1973)</f>
        <v>169770</v>
      </c>
      <c r="J25" cm="1">
        <f t="array" ref="J25">INDEX(GMW!$A$2:$HN$50,MATCH(1,(GMW!$HM$2:$HM$50=J$3)*(GMW!$HN$2:$HN$50=J$1),0),$B25-1973)</f>
        <v>3185.183</v>
      </c>
      <c r="K25" cm="1">
        <f t="array" ref="K25">INDEX(GMW!$A$2:$HN$50,MATCH(1,(GMW!$HM$2:$HM$50=K$3)*(GMW!$HN$2:$HN$50=K$1),0),$B25-1973)</f>
        <v>284676</v>
      </c>
      <c r="L25" cm="1">
        <f t="array" ref="L25">INDEX(GMW!$A$2:$HN$50,MATCH(1,(GMW!$HM$2:$HM$50=L$3)*(GMW!$HN$2:$HN$50=L$1),0),$B25-1973)</f>
        <v>24335</v>
      </c>
      <c r="M25" cm="1">
        <f t="array" ref="M25">INDEX(GMW!$A$2:$HN$50,MATCH(1,(GMW!$HM$2:$HM$50=M$3)*(GMW!$HN$2:$HN$50=M$1),0),$B25-1973)</f>
        <v>1876.902</v>
      </c>
      <c r="N25" cm="1">
        <f t="array" ref="N25">INDEX(GMW!$A$2:$HN$50,MATCH(1,(GMW!$HM$2:$HM$50=N$3)*(GMW!$HN$2:$HN$50=N$1),0),$B25-1973)</f>
        <v>11.7</v>
      </c>
      <c r="O25" cm="1">
        <f t="array" ref="O25">INDEX(GMW!$A$2:$HN$50,MATCH(1,(GMW!$HM$2:$HM$50=O$3)*(GMW!$HN$2:$HN$50=O$1),0),$B25-1973)</f>
        <v>169770</v>
      </c>
      <c r="P25" cm="1">
        <f t="array" ref="P25">INDEX(GMW!$A$2:$HN$50,MATCH(1,(GMW!$HM$2:$HM$50=P$3)*(GMW!$HN$2:$HN$50=P$1),0),$B25-1973)</f>
        <v>3185.183</v>
      </c>
    </row>
    <row r="26" spans="1:16">
      <c r="B26">
        <f t="shared" si="2"/>
        <v>1999</v>
      </c>
      <c r="C26">
        <f t="shared" si="3"/>
        <v>1984</v>
      </c>
      <c r="D26">
        <f t="shared" si="3"/>
        <v>1984</v>
      </c>
      <c r="E26" cm="1">
        <f t="array" ref="E26">INDEX(GMW!$A$2:$HN$50,MATCH(1,(GMW!$HM$2:$HM$50=E$3)*(GMW!$HN$2:$HN$50=E$1),0),$B26-1973)</f>
        <v>289829</v>
      </c>
      <c r="F26" cm="1">
        <f t="array" ref="F26">INDEX(GMW!$A$2:$HN$50,MATCH(1,(GMW!$HM$2:$HM$50=F$3)*(GMW!$HN$2:$HN$50=F$1),0),$B26-1973)</f>
        <v>24435</v>
      </c>
      <c r="G26" cm="1">
        <f t="array" ref="G26">INDEX(GMW!$A$2:$HN$50,MATCH(1,(GMW!$HM$2:$HM$50=G$3)*(GMW!$HN$2:$HN$50=G$1),0),$B26-1973)</f>
        <v>1935.8820000000001</v>
      </c>
      <c r="H26" cm="1">
        <f t="array" ref="H26">INDEX(GMW!$A$2:$HN$50,MATCH(1,(GMW!$HM$2:$HM$50=H$3)*(GMW!$HN$2:$HN$50=H$1),0),$B26-1973)</f>
        <v>11.6</v>
      </c>
      <c r="I26" cm="1">
        <f t="array" ref="I26">INDEX(GMW!$A$2:$HN$50,MATCH(1,(GMW!$HM$2:$HM$50=I$3)*(GMW!$HN$2:$HN$50=I$1),0),$B26-1973)</f>
        <v>173527</v>
      </c>
      <c r="J26" cm="1">
        <f t="array" ref="J26">INDEX(GMW!$A$2:$HN$50,MATCH(1,(GMW!$HM$2:$HM$50=J$3)*(GMW!$HN$2:$HN$50=J$1),0),$B26-1973)</f>
        <v>3267.2579999999998</v>
      </c>
      <c r="K26" cm="1">
        <f t="array" ref="K26">INDEX(GMW!$A$2:$HN$50,MATCH(1,(GMW!$HM$2:$HM$50=K$3)*(GMW!$HN$2:$HN$50=K$1),0),$B26-1973)</f>
        <v>289829</v>
      </c>
      <c r="L26" cm="1">
        <f t="array" ref="L26">INDEX(GMW!$A$2:$HN$50,MATCH(1,(GMW!$HM$2:$HM$50=L$3)*(GMW!$HN$2:$HN$50=L$1),0),$B26-1973)</f>
        <v>24435</v>
      </c>
      <c r="M26" cm="1">
        <f t="array" ref="M26">INDEX(GMW!$A$2:$HN$50,MATCH(1,(GMW!$HM$2:$HM$50=M$3)*(GMW!$HN$2:$HN$50=M$1),0),$B26-1973)</f>
        <v>1935.8820000000001</v>
      </c>
      <c r="N26" cm="1">
        <f t="array" ref="N26">INDEX(GMW!$A$2:$HN$50,MATCH(1,(GMW!$HM$2:$HM$50=N$3)*(GMW!$HN$2:$HN$50=N$1),0),$B26-1973)</f>
        <v>11.6</v>
      </c>
      <c r="O26" cm="1">
        <f t="array" ref="O26">INDEX(GMW!$A$2:$HN$50,MATCH(1,(GMW!$HM$2:$HM$50=O$3)*(GMW!$HN$2:$HN$50=O$1),0),$B26-1973)</f>
        <v>173527</v>
      </c>
      <c r="P26" cm="1">
        <f t="array" ref="P26">INDEX(GMW!$A$2:$HN$50,MATCH(1,(GMW!$HM$2:$HM$50=P$3)*(GMW!$HN$2:$HN$50=P$1),0),$B26-1973)</f>
        <v>3267.2579999999998</v>
      </c>
    </row>
    <row r="27" spans="1:16">
      <c r="A27">
        <v>1985</v>
      </c>
      <c r="B27">
        <f t="shared" si="2"/>
        <v>2000</v>
      </c>
      <c r="C27">
        <f t="shared" si="3"/>
        <v>1985</v>
      </c>
      <c r="D27">
        <f t="shared" si="3"/>
        <v>1984</v>
      </c>
      <c r="E27" cm="1">
        <f t="array" ref="E27">INDEX(GMW!$A$2:$HN$50,MATCH(1,(GMW!$HM$2:$HM$50=E$3)*(GMW!$HN$2:$HN$50=E$1),0),$B27-1973)</f>
        <v>292612</v>
      </c>
      <c r="F27" cm="1">
        <f t="array" ref="F27">INDEX(GMW!$A$2:$HN$50,MATCH(1,(GMW!$HM$2:$HM$50=F$3)*(GMW!$HN$2:$HN$50=F$1),0),$B27-1973)</f>
        <v>24515</v>
      </c>
      <c r="G27" cm="1">
        <f t="array" ref="G27">INDEX(GMW!$A$2:$HN$50,MATCH(1,(GMW!$HM$2:$HM$50=G$3)*(GMW!$HN$2:$HN$50=G$1),0),$B27-1973)</f>
        <v>1996.2460000000001</v>
      </c>
      <c r="H27" cm="1">
        <f t="array" ref="H27">INDEX(GMW!$A$2:$HN$50,MATCH(1,(GMW!$HM$2:$HM$50=H$3)*(GMW!$HN$2:$HN$50=H$1),0),$B27-1973)</f>
        <v>11.5</v>
      </c>
      <c r="I27" cm="1">
        <f t="array" ref="I27">INDEX(GMW!$A$2:$HN$50,MATCH(1,(GMW!$HM$2:$HM$50=I$3)*(GMW!$HN$2:$HN$50=I$1),0),$B27-1973)</f>
        <v>175208</v>
      </c>
      <c r="J27" cm="1">
        <f t="array" ref="J27">INDEX(GMW!$A$2:$HN$50,MATCH(1,(GMW!$HM$2:$HM$50=J$3)*(GMW!$HN$2:$HN$50=J$1),0),$B27-1973)</f>
        <v>3359.4520000000002</v>
      </c>
      <c r="K27" cm="1">
        <f t="array" ref="K27">INDEX(GMW!$A$2:$HN$50,MATCH(1,(GMW!$HM$2:$HM$50=K$3)*(GMW!$HN$2:$HN$50=K$1),0),$B27-1973)</f>
        <v>292612</v>
      </c>
      <c r="L27" cm="1">
        <f t="array" ref="L27">INDEX(GMW!$A$2:$HN$50,MATCH(1,(GMW!$HM$2:$HM$50=L$3)*(GMW!$HN$2:$HN$50=L$1),0),$B27-1973)</f>
        <v>24515</v>
      </c>
      <c r="M27" cm="1">
        <f t="array" ref="M27">INDEX(GMW!$A$2:$HN$50,MATCH(1,(GMW!$HM$2:$HM$50=M$3)*(GMW!$HN$2:$HN$50=M$1),0),$B27-1973)</f>
        <v>1996.2460000000001</v>
      </c>
      <c r="N27" cm="1">
        <f t="array" ref="N27">INDEX(GMW!$A$2:$HN$50,MATCH(1,(GMW!$HM$2:$HM$50=N$3)*(GMW!$HN$2:$HN$50=N$1),0),$B27-1973)</f>
        <v>11.5</v>
      </c>
      <c r="O27" cm="1">
        <f t="array" ref="O27">INDEX(GMW!$A$2:$HN$50,MATCH(1,(GMW!$HM$2:$HM$50=O$3)*(GMW!$HN$2:$HN$50=O$1),0),$B27-1973)</f>
        <v>175208</v>
      </c>
      <c r="P27" cm="1">
        <f t="array" ref="P27">INDEX(GMW!$A$2:$HN$50,MATCH(1,(GMW!$HM$2:$HM$50=P$3)*(GMW!$HN$2:$HN$50=P$1),0),$B27-1973)</f>
        <v>3359.4520000000002</v>
      </c>
    </row>
    <row r="28" spans="1:16">
      <c r="B28">
        <f t="shared" si="2"/>
        <v>2001</v>
      </c>
      <c r="C28">
        <f t="shared" si="3"/>
        <v>1985</v>
      </c>
      <c r="D28">
        <f t="shared" si="3"/>
        <v>1985</v>
      </c>
      <c r="E28" cm="1">
        <f t="array" ref="E28">INDEX(GMW!$A$2:$HN$50,MATCH(1,(GMW!$HM$2:$HM$50=E$3)*(GMW!$HN$2:$HN$50=E$1),0),$B28-1973)</f>
        <v>298873</v>
      </c>
      <c r="F28" cm="1">
        <f t="array" ref="F28">INDEX(GMW!$A$2:$HN$50,MATCH(1,(GMW!$HM$2:$HM$50=F$3)*(GMW!$HN$2:$HN$50=F$1),0),$B28-1973)</f>
        <v>24570</v>
      </c>
      <c r="G28" cm="1">
        <f t="array" ref="G28">INDEX(GMW!$A$2:$HN$50,MATCH(1,(GMW!$HM$2:$HM$50=G$3)*(GMW!$HN$2:$HN$50=G$1),0),$B28-1973)</f>
        <v>2015.9390000000001</v>
      </c>
      <c r="H28" cm="1">
        <f t="array" ref="H28">INDEX(GMW!$A$2:$HN$50,MATCH(1,(GMW!$HM$2:$HM$50=H$3)*(GMW!$HN$2:$HN$50=H$1),0),$B28-1973)</f>
        <v>11.4</v>
      </c>
      <c r="I28" cm="1">
        <f t="array" ref="I28">INDEX(GMW!$A$2:$HN$50,MATCH(1,(GMW!$HM$2:$HM$50=I$3)*(GMW!$HN$2:$HN$50=I$1),0),$B28-1973)</f>
        <v>175613</v>
      </c>
      <c r="J28" cm="1">
        <f t="array" ref="J28">INDEX(GMW!$A$2:$HN$50,MATCH(1,(GMW!$HM$2:$HM$50=J$3)*(GMW!$HN$2:$HN$50=J$1),0),$B28-1973)</f>
        <v>3403.3</v>
      </c>
      <c r="K28" cm="1">
        <f t="array" ref="K28">INDEX(GMW!$A$2:$HN$50,MATCH(1,(GMW!$HM$2:$HM$50=K$3)*(GMW!$HN$2:$HN$50=K$1),0),$B28-1973)</f>
        <v>298873</v>
      </c>
      <c r="L28" cm="1">
        <f t="array" ref="L28">INDEX(GMW!$A$2:$HN$50,MATCH(1,(GMW!$HM$2:$HM$50=L$3)*(GMW!$HN$2:$HN$50=L$1),0),$B28-1973)</f>
        <v>24570</v>
      </c>
      <c r="M28" cm="1">
        <f t="array" ref="M28">INDEX(GMW!$A$2:$HN$50,MATCH(1,(GMW!$HM$2:$HM$50=M$3)*(GMW!$HN$2:$HN$50=M$1),0),$B28-1973)</f>
        <v>2015.9390000000001</v>
      </c>
      <c r="N28" cm="1">
        <f t="array" ref="N28">INDEX(GMW!$A$2:$HN$50,MATCH(1,(GMW!$HM$2:$HM$50=N$3)*(GMW!$HN$2:$HN$50=N$1),0),$B28-1973)</f>
        <v>11.4</v>
      </c>
      <c r="O28" cm="1">
        <f t="array" ref="O28">INDEX(GMW!$A$2:$HN$50,MATCH(1,(GMW!$HM$2:$HM$50=O$3)*(GMW!$HN$2:$HN$50=O$1),0),$B28-1973)</f>
        <v>175613</v>
      </c>
      <c r="P28" cm="1">
        <f t="array" ref="P28">INDEX(GMW!$A$2:$HN$50,MATCH(1,(GMW!$HM$2:$HM$50=P$3)*(GMW!$HN$2:$HN$50=P$1),0),$B28-1973)</f>
        <v>3403.3</v>
      </c>
    </row>
    <row r="29" spans="1:16">
      <c r="B29">
        <f t="shared" si="2"/>
        <v>2002</v>
      </c>
      <c r="C29">
        <f t="shared" si="3"/>
        <v>1985</v>
      </c>
      <c r="D29">
        <f t="shared" si="3"/>
        <v>1985</v>
      </c>
      <c r="E29" cm="1">
        <f t="array" ref="E29">INDEX(GMW!$A$2:$HN$50,MATCH(1,(GMW!$HM$2:$HM$50=E$3)*(GMW!$HN$2:$HN$50=E$1),0),$B29-1973)</f>
        <v>298814</v>
      </c>
      <c r="F29" cm="1">
        <f t="array" ref="F29">INDEX(GMW!$A$2:$HN$50,MATCH(1,(GMW!$HM$2:$HM$50=F$3)*(GMW!$HN$2:$HN$50=F$1),0),$B29-1973)</f>
        <v>24625</v>
      </c>
      <c r="G29" cm="1">
        <f t="array" ref="G29">INDEX(GMW!$A$2:$HN$50,MATCH(1,(GMW!$HM$2:$HM$50=G$3)*(GMW!$HN$2:$HN$50=G$1),0),$B29-1973)</f>
        <v>2043.298</v>
      </c>
      <c r="H29" cm="1">
        <f t="array" ref="H29">INDEX(GMW!$A$2:$HN$50,MATCH(1,(GMW!$HM$2:$HM$50=H$3)*(GMW!$HN$2:$HN$50=H$1),0),$B29-1973)</f>
        <v>11.3</v>
      </c>
      <c r="I29" cm="1">
        <f t="array" ref="I29">INDEX(GMW!$A$2:$HN$50,MATCH(1,(GMW!$HM$2:$HM$50=I$3)*(GMW!$HN$2:$HN$50=I$1),0),$B29-1973)</f>
        <v>175957</v>
      </c>
      <c r="J29" cm="1">
        <f t="array" ref="J29">INDEX(GMW!$A$2:$HN$50,MATCH(1,(GMW!$HM$2:$HM$50=J$3)*(GMW!$HN$2:$HN$50=J$1),0),$B29-1973)</f>
        <v>3447.1480000000001</v>
      </c>
      <c r="K29" cm="1">
        <f t="array" ref="K29">INDEX(GMW!$A$2:$HN$50,MATCH(1,(GMW!$HM$2:$HM$50=K$3)*(GMW!$HN$2:$HN$50=K$1),0),$B29-1973)</f>
        <v>298814</v>
      </c>
      <c r="L29" cm="1">
        <f t="array" ref="L29">INDEX(GMW!$A$2:$HN$50,MATCH(1,(GMW!$HM$2:$HM$50=L$3)*(GMW!$HN$2:$HN$50=L$1),0),$B29-1973)</f>
        <v>24625</v>
      </c>
      <c r="M29" cm="1">
        <f t="array" ref="M29">INDEX(GMW!$A$2:$HN$50,MATCH(1,(GMW!$HM$2:$HM$50=M$3)*(GMW!$HN$2:$HN$50=M$1),0),$B29-1973)</f>
        <v>2043.298</v>
      </c>
      <c r="N29" cm="1">
        <f t="array" ref="N29">INDEX(GMW!$A$2:$HN$50,MATCH(1,(GMW!$HM$2:$HM$50=N$3)*(GMW!$HN$2:$HN$50=N$1),0),$B29-1973)</f>
        <v>11.3</v>
      </c>
      <c r="O29" cm="1">
        <f t="array" ref="O29">INDEX(GMW!$A$2:$HN$50,MATCH(1,(GMW!$HM$2:$HM$50=O$3)*(GMW!$HN$2:$HN$50=O$1),0),$B29-1973)</f>
        <v>175957</v>
      </c>
      <c r="P29" cm="1">
        <f t="array" ref="P29">INDEX(GMW!$A$2:$HN$50,MATCH(1,(GMW!$HM$2:$HM$50=P$3)*(GMW!$HN$2:$HN$50=P$1),0),$B29-1973)</f>
        <v>3447.1480000000001</v>
      </c>
    </row>
    <row r="30" spans="1:16">
      <c r="B30">
        <f t="shared" si="2"/>
        <v>2003</v>
      </c>
      <c r="C30">
        <f t="shared" si="3"/>
        <v>1985</v>
      </c>
      <c r="D30">
        <f t="shared" si="3"/>
        <v>1985</v>
      </c>
      <c r="E30" cm="1">
        <f t="array" ref="E30">INDEX(GMW!$A$2:$HN$50,MATCH(1,(GMW!$HM$2:$HM$50=E$3)*(GMW!$HN$2:$HN$50=E$1),0),$B30-1973)</f>
        <v>298979</v>
      </c>
      <c r="F30" cm="1">
        <f t="array" ref="F30">INDEX(GMW!$A$2:$HN$50,MATCH(1,(GMW!$HM$2:$HM$50=F$3)*(GMW!$HN$2:$HN$50=F$1),0),$B30-1973)</f>
        <v>24660</v>
      </c>
      <c r="G30" cm="1">
        <f t="array" ref="G30">INDEX(GMW!$A$2:$HN$50,MATCH(1,(GMW!$HM$2:$HM$50=G$3)*(GMW!$HN$2:$HN$50=G$1),0),$B30-1973)</f>
        <v>2093.2809999999999</v>
      </c>
      <c r="H30" cm="1">
        <f t="array" ref="H30">INDEX(GMW!$A$2:$HN$50,MATCH(1,(GMW!$HM$2:$HM$50=H$3)*(GMW!$HN$2:$HN$50=H$1),0),$B30-1973)</f>
        <v>11.3</v>
      </c>
      <c r="I30" cm="1">
        <f t="array" ref="I30">INDEX(GMW!$A$2:$HN$50,MATCH(1,(GMW!$HM$2:$HM$50=I$3)*(GMW!$HN$2:$HN$50=I$1),0),$B30-1973)</f>
        <v>177164</v>
      </c>
      <c r="J30" cm="1">
        <f t="array" ref="J30">INDEX(GMW!$A$2:$HN$50,MATCH(1,(GMW!$HM$2:$HM$50=J$3)*(GMW!$HN$2:$HN$50=J$1),0),$B30-1973)</f>
        <v>3557.3310000000001</v>
      </c>
      <c r="K30" cm="1">
        <f t="array" ref="K30">INDEX(GMW!$A$2:$HN$50,MATCH(1,(GMW!$HM$2:$HM$50=K$3)*(GMW!$HN$2:$HN$50=K$1),0),$B30-1973)</f>
        <v>298979</v>
      </c>
      <c r="L30" cm="1">
        <f t="array" ref="L30">INDEX(GMW!$A$2:$HN$50,MATCH(1,(GMW!$HM$2:$HM$50=L$3)*(GMW!$HN$2:$HN$50=L$1),0),$B30-1973)</f>
        <v>24660</v>
      </c>
      <c r="M30" cm="1">
        <f t="array" ref="M30">INDEX(GMW!$A$2:$HN$50,MATCH(1,(GMW!$HM$2:$HM$50=M$3)*(GMW!$HN$2:$HN$50=M$1),0),$B30-1973)</f>
        <v>2093.2809999999999</v>
      </c>
      <c r="N30" cm="1">
        <f t="array" ref="N30">INDEX(GMW!$A$2:$HN$50,MATCH(1,(GMW!$HM$2:$HM$50=N$3)*(GMW!$HN$2:$HN$50=N$1),0),$B30-1973)</f>
        <v>11.3</v>
      </c>
      <c r="O30" cm="1">
        <f t="array" ref="O30">INDEX(GMW!$A$2:$HN$50,MATCH(1,(GMW!$HM$2:$HM$50=O$3)*(GMW!$HN$2:$HN$50=O$1),0),$B30-1973)</f>
        <v>177164</v>
      </c>
      <c r="P30" cm="1">
        <f t="array" ref="P30">INDEX(GMW!$A$2:$HN$50,MATCH(1,(GMW!$HM$2:$HM$50=P$3)*(GMW!$HN$2:$HN$50=P$1),0),$B30-1973)</f>
        <v>3557.3310000000001</v>
      </c>
    </row>
    <row r="31" spans="1:16">
      <c r="A31">
        <v>1986</v>
      </c>
      <c r="B31">
        <f t="shared" si="2"/>
        <v>2004</v>
      </c>
      <c r="C31">
        <f t="shared" si="3"/>
        <v>1986</v>
      </c>
      <c r="D31">
        <f t="shared" si="3"/>
        <v>1985</v>
      </c>
      <c r="E31" cm="1">
        <f t="array" ref="E31">INDEX(GMW!$A$2:$HN$50,MATCH(1,(GMW!$HM$2:$HM$50=E$3)*(GMW!$HN$2:$HN$50=E$1),0),$B31-1973)</f>
        <v>302117</v>
      </c>
      <c r="F31" cm="1">
        <f t="array" ref="F31">INDEX(GMW!$A$2:$HN$50,MATCH(1,(GMW!$HM$2:$HM$50=F$3)*(GMW!$HN$2:$HN$50=F$1),0),$B31-1973)</f>
        <v>24670</v>
      </c>
      <c r="G31" cm="1">
        <f t="array" ref="G31">INDEX(GMW!$A$2:$HN$50,MATCH(1,(GMW!$HM$2:$HM$50=G$3)*(GMW!$HN$2:$HN$50=G$1),0),$B31-1973)</f>
        <v>2142.5929999999998</v>
      </c>
      <c r="H31" cm="1">
        <f t="array" ref="H31">INDEX(GMW!$A$2:$HN$50,MATCH(1,(GMW!$HM$2:$HM$50=H$3)*(GMW!$HN$2:$HN$50=H$1),0),$B31-1973)</f>
        <v>11.3</v>
      </c>
      <c r="I31" cm="1">
        <f t="array" ref="I31">INDEX(GMW!$A$2:$HN$50,MATCH(1,(GMW!$HM$2:$HM$50=I$3)*(GMW!$HN$2:$HN$50=I$1),0),$B31-1973)</f>
        <v>179729</v>
      </c>
      <c r="J31" cm="1">
        <f t="array" ref="J31">INDEX(GMW!$A$2:$HN$50,MATCH(1,(GMW!$HM$2:$HM$50=J$3)*(GMW!$HN$2:$HN$50=J$1),0),$B31-1973)</f>
        <v>3637.1570000000002</v>
      </c>
      <c r="K31" cm="1">
        <f t="array" ref="K31">INDEX(GMW!$A$2:$HN$50,MATCH(1,(GMW!$HM$2:$HM$50=K$3)*(GMW!$HN$2:$HN$50=K$1),0),$B31-1973)</f>
        <v>302117</v>
      </c>
      <c r="L31" cm="1">
        <f t="array" ref="L31">INDEX(GMW!$A$2:$HN$50,MATCH(1,(GMW!$HM$2:$HM$50=L$3)*(GMW!$HN$2:$HN$50=L$1),0),$B31-1973)</f>
        <v>24670</v>
      </c>
      <c r="M31" cm="1">
        <f t="array" ref="M31">INDEX(GMW!$A$2:$HN$50,MATCH(1,(GMW!$HM$2:$HM$50=M$3)*(GMW!$HN$2:$HN$50=M$1),0),$B31-1973)</f>
        <v>2142.5929999999998</v>
      </c>
      <c r="N31" cm="1">
        <f t="array" ref="N31">INDEX(GMW!$A$2:$HN$50,MATCH(1,(GMW!$HM$2:$HM$50=N$3)*(GMW!$HN$2:$HN$50=N$1),0),$B31-1973)</f>
        <v>11.3</v>
      </c>
      <c r="O31" cm="1">
        <f t="array" ref="O31">INDEX(GMW!$A$2:$HN$50,MATCH(1,(GMW!$HM$2:$HM$50=O$3)*(GMW!$HN$2:$HN$50=O$1),0),$B31-1973)</f>
        <v>179729</v>
      </c>
      <c r="P31" cm="1">
        <f t="array" ref="P31">INDEX(GMW!$A$2:$HN$50,MATCH(1,(GMW!$HM$2:$HM$50=P$3)*(GMW!$HN$2:$HN$50=P$1),0),$B31-1973)</f>
        <v>3637.1570000000002</v>
      </c>
    </row>
    <row r="32" spans="1:16">
      <c r="B32">
        <f t="shared" si="2"/>
        <v>2005</v>
      </c>
      <c r="C32">
        <f t="shared" si="3"/>
        <v>1986</v>
      </c>
      <c r="D32">
        <f t="shared" si="3"/>
        <v>1986</v>
      </c>
      <c r="E32" cm="1">
        <f t="array" ref="E32">INDEX(GMW!$A$2:$HN$50,MATCH(1,(GMW!$HM$2:$HM$50=E$3)*(GMW!$HN$2:$HN$50=E$1),0),$B32-1973)</f>
        <v>304797</v>
      </c>
      <c r="F32" cm="1">
        <f t="array" ref="F32">INDEX(GMW!$A$2:$HN$50,MATCH(1,(GMW!$HM$2:$HM$50=F$3)*(GMW!$HN$2:$HN$50=F$1),0),$B32-1973)</f>
        <v>24695</v>
      </c>
      <c r="G32" cm="1">
        <f t="array" ref="G32">INDEX(GMW!$A$2:$HN$50,MATCH(1,(GMW!$HM$2:$HM$50=G$3)*(GMW!$HN$2:$HN$50=G$1),0),$B32-1973)</f>
        <v>2185.8229999999999</v>
      </c>
      <c r="H32" cm="1">
        <f t="array" ref="H32">INDEX(GMW!$A$2:$HN$50,MATCH(1,(GMW!$HM$2:$HM$50=H$3)*(GMW!$HN$2:$HN$50=H$1),0),$B32-1973)</f>
        <v>11.3</v>
      </c>
      <c r="I32" cm="1">
        <f t="array" ref="I32">INDEX(GMW!$A$2:$HN$50,MATCH(1,(GMW!$HM$2:$HM$50=I$3)*(GMW!$HN$2:$HN$50=I$1),0),$B32-1973)</f>
        <v>186661</v>
      </c>
      <c r="J32" cm="1">
        <f t="array" ref="J32">INDEX(GMW!$A$2:$HN$50,MATCH(1,(GMW!$HM$2:$HM$50=J$3)*(GMW!$HN$2:$HN$50=J$1),0),$B32-1973)</f>
        <v>3792.3130000000001</v>
      </c>
      <c r="K32" cm="1">
        <f t="array" ref="K32">INDEX(GMW!$A$2:$HN$50,MATCH(1,(GMW!$HM$2:$HM$50=K$3)*(GMW!$HN$2:$HN$50=K$1),0),$B32-1973)</f>
        <v>304797</v>
      </c>
      <c r="L32" cm="1">
        <f t="array" ref="L32">INDEX(GMW!$A$2:$HN$50,MATCH(1,(GMW!$HM$2:$HM$50=L$3)*(GMW!$HN$2:$HN$50=L$1),0),$B32-1973)</f>
        <v>24695</v>
      </c>
      <c r="M32" cm="1">
        <f t="array" ref="M32">INDEX(GMW!$A$2:$HN$50,MATCH(1,(GMW!$HM$2:$HM$50=M$3)*(GMW!$HN$2:$HN$50=M$1),0),$B32-1973)</f>
        <v>2185.8229999999999</v>
      </c>
      <c r="N32" cm="1">
        <f t="array" ref="N32">INDEX(GMW!$A$2:$HN$50,MATCH(1,(GMW!$HM$2:$HM$50=N$3)*(GMW!$HN$2:$HN$50=N$1),0),$B32-1973)</f>
        <v>11.3</v>
      </c>
      <c r="O32" cm="1">
        <f t="array" ref="O32">INDEX(GMW!$A$2:$HN$50,MATCH(1,(GMW!$HM$2:$HM$50=O$3)*(GMW!$HN$2:$HN$50=O$1),0),$B32-1973)</f>
        <v>186661</v>
      </c>
      <c r="P32" cm="1">
        <f t="array" ref="P32">INDEX(GMW!$A$2:$HN$50,MATCH(1,(GMW!$HM$2:$HM$50=P$3)*(GMW!$HN$2:$HN$50=P$1),0),$B32-1973)</f>
        <v>3792.3130000000001</v>
      </c>
    </row>
    <row r="33" spans="1:16">
      <c r="B33">
        <f t="shared" si="2"/>
        <v>2006</v>
      </c>
      <c r="C33">
        <f t="shared" si="3"/>
        <v>1986</v>
      </c>
      <c r="D33">
        <f t="shared" si="3"/>
        <v>1986</v>
      </c>
      <c r="E33" cm="1">
        <f t="array" ref="E33">INDEX(GMW!$A$2:$HN$50,MATCH(1,(GMW!$HM$2:$HM$50=E$3)*(GMW!$HN$2:$HN$50=E$1),0),$B33-1973)</f>
        <v>306708</v>
      </c>
      <c r="F33" cm="1">
        <f t="array" ref="F33">INDEX(GMW!$A$2:$HN$50,MATCH(1,(GMW!$HM$2:$HM$50=F$3)*(GMW!$HN$2:$HN$50=F$1),0),$B33-1973)</f>
        <v>24770</v>
      </c>
      <c r="G33" cm="1">
        <f t="array" ref="G33">INDEX(GMW!$A$2:$HN$50,MATCH(1,(GMW!$HM$2:$HM$50=G$3)*(GMW!$HN$2:$HN$50=G$1),0),$B33-1973)</f>
        <v>2220.4349999999999</v>
      </c>
      <c r="H33" cm="1">
        <f t="array" ref="H33">INDEX(GMW!$A$2:$HN$50,MATCH(1,(GMW!$HM$2:$HM$50=H$3)*(GMW!$HN$2:$HN$50=H$1),0),$B33-1973)</f>
        <v>11.4</v>
      </c>
      <c r="I33" cm="1">
        <f t="array" ref="I33">INDEX(GMW!$A$2:$HN$50,MATCH(1,(GMW!$HM$2:$HM$50=I$3)*(GMW!$HN$2:$HN$50=I$1),0),$B33-1973)</f>
        <v>183119</v>
      </c>
      <c r="J33" cm="1">
        <f t="array" ref="J33">INDEX(GMW!$A$2:$HN$50,MATCH(1,(GMW!$HM$2:$HM$50=J$3)*(GMW!$HN$2:$HN$50=J$1),0),$B33-1973)</f>
        <v>3863.145</v>
      </c>
      <c r="K33" cm="1">
        <f t="array" ref="K33">INDEX(GMW!$A$2:$HN$50,MATCH(1,(GMW!$HM$2:$HM$50=K$3)*(GMW!$HN$2:$HN$50=K$1),0),$B33-1973)</f>
        <v>306708</v>
      </c>
      <c r="L33" cm="1">
        <f t="array" ref="L33">INDEX(GMW!$A$2:$HN$50,MATCH(1,(GMW!$HM$2:$HM$50=L$3)*(GMW!$HN$2:$HN$50=L$1),0),$B33-1973)</f>
        <v>24770</v>
      </c>
      <c r="M33" cm="1">
        <f t="array" ref="M33">INDEX(GMW!$A$2:$HN$50,MATCH(1,(GMW!$HM$2:$HM$50=M$3)*(GMW!$HN$2:$HN$50=M$1),0),$B33-1973)</f>
        <v>2220.4349999999999</v>
      </c>
      <c r="N33" cm="1">
        <f t="array" ref="N33">INDEX(GMW!$A$2:$HN$50,MATCH(1,(GMW!$HM$2:$HM$50=N$3)*(GMW!$HN$2:$HN$50=N$1),0),$B33-1973)</f>
        <v>11.4</v>
      </c>
      <c r="O33" cm="1">
        <f t="array" ref="O33">INDEX(GMW!$A$2:$HN$50,MATCH(1,(GMW!$HM$2:$HM$50=O$3)*(GMW!$HN$2:$HN$50=O$1),0),$B33-1973)</f>
        <v>183119</v>
      </c>
      <c r="P33" cm="1">
        <f t="array" ref="P33">INDEX(GMW!$A$2:$HN$50,MATCH(1,(GMW!$HM$2:$HM$50=P$3)*(GMW!$HN$2:$HN$50=P$1),0),$B33-1973)</f>
        <v>3863.145</v>
      </c>
    </row>
    <row r="34" spans="1:16">
      <c r="B34">
        <f t="shared" si="2"/>
        <v>2007</v>
      </c>
      <c r="C34">
        <f t="shared" si="3"/>
        <v>1986</v>
      </c>
      <c r="D34">
        <f t="shared" si="3"/>
        <v>1986</v>
      </c>
      <c r="E34" cm="1">
        <f t="array" ref="E34">INDEX(GMW!$A$2:$HN$50,MATCH(1,(GMW!$HM$2:$HM$50=E$3)*(GMW!$HN$2:$HN$50=E$1),0),$B34-1973)</f>
        <v>312615</v>
      </c>
      <c r="F34" cm="1">
        <f t="array" ref="F34">INDEX(GMW!$A$2:$HN$50,MATCH(1,(GMW!$HM$2:$HM$50=F$3)*(GMW!$HN$2:$HN$50=F$1),0),$B34-1973)</f>
        <v>24850</v>
      </c>
      <c r="G34" cm="1">
        <f t="array" ref="G34">INDEX(GMW!$A$2:$HN$50,MATCH(1,(GMW!$HM$2:$HM$50=G$3)*(GMW!$HN$2:$HN$50=G$1),0),$B34-1973)</f>
        <v>2251.2330000000002</v>
      </c>
      <c r="H34" cm="1">
        <f t="array" ref="H34">INDEX(GMW!$A$2:$HN$50,MATCH(1,(GMW!$HM$2:$HM$50=H$3)*(GMW!$HN$2:$HN$50=H$1),0),$B34-1973)</f>
        <v>11.3</v>
      </c>
      <c r="I34" cm="1">
        <f t="array" ref="I34">INDEX(GMW!$A$2:$HN$50,MATCH(1,(GMW!$HM$2:$HM$50=I$3)*(GMW!$HN$2:$HN$50=I$1),0),$B34-1973)</f>
        <v>183388</v>
      </c>
      <c r="J34" cm="1">
        <f t="array" ref="J34">INDEX(GMW!$A$2:$HN$50,MATCH(1,(GMW!$HM$2:$HM$50=J$3)*(GMW!$HN$2:$HN$50=J$1),0),$B34-1973)</f>
        <v>3930.6030000000001</v>
      </c>
      <c r="K34" cm="1">
        <f t="array" ref="K34">INDEX(GMW!$A$2:$HN$50,MATCH(1,(GMW!$HM$2:$HM$50=K$3)*(GMW!$HN$2:$HN$50=K$1),0),$B34-1973)</f>
        <v>312615</v>
      </c>
      <c r="L34" cm="1">
        <f t="array" ref="L34">INDEX(GMW!$A$2:$HN$50,MATCH(1,(GMW!$HM$2:$HM$50=L$3)*(GMW!$HN$2:$HN$50=L$1),0),$B34-1973)</f>
        <v>24850</v>
      </c>
      <c r="M34" cm="1">
        <f t="array" ref="M34">INDEX(GMW!$A$2:$HN$50,MATCH(1,(GMW!$HM$2:$HM$50=M$3)*(GMW!$HN$2:$HN$50=M$1),0),$B34-1973)</f>
        <v>2251.2330000000002</v>
      </c>
      <c r="N34" cm="1">
        <f t="array" ref="N34">INDEX(GMW!$A$2:$HN$50,MATCH(1,(GMW!$HM$2:$HM$50=N$3)*(GMW!$HN$2:$HN$50=N$1),0),$B34-1973)</f>
        <v>11.3</v>
      </c>
      <c r="O34" cm="1">
        <f t="array" ref="O34">INDEX(GMW!$A$2:$HN$50,MATCH(1,(GMW!$HM$2:$HM$50=O$3)*(GMW!$HN$2:$HN$50=O$1),0),$B34-1973)</f>
        <v>183388</v>
      </c>
      <c r="P34" cm="1">
        <f t="array" ref="P34">INDEX(GMW!$A$2:$HN$50,MATCH(1,(GMW!$HM$2:$HM$50=P$3)*(GMW!$HN$2:$HN$50=P$1),0),$B34-1973)</f>
        <v>3930.6030000000001</v>
      </c>
    </row>
    <row r="35" spans="1:16">
      <c r="A35">
        <v>1987</v>
      </c>
      <c r="B35">
        <f t="shared" si="2"/>
        <v>2008</v>
      </c>
      <c r="C35">
        <f t="shared" si="3"/>
        <v>1987</v>
      </c>
      <c r="D35">
        <f t="shared" si="3"/>
        <v>1986</v>
      </c>
      <c r="E35" cm="1">
        <f t="array" ref="E35">INDEX(GMW!$A$2:$HN$50,MATCH(1,(GMW!$HM$2:$HM$50=E$3)*(GMW!$HN$2:$HN$50=E$1),0),$B35-1973)</f>
        <v>314804</v>
      </c>
      <c r="F35" cm="1">
        <f t="array" ref="F35">INDEX(GMW!$A$2:$HN$50,MATCH(1,(GMW!$HM$2:$HM$50=F$3)*(GMW!$HN$2:$HN$50=F$1),0),$B35-1973)</f>
        <v>24925</v>
      </c>
      <c r="G35" cm="1">
        <f t="array" ref="G35">INDEX(GMW!$A$2:$HN$50,MATCH(1,(GMW!$HM$2:$HM$50=G$3)*(GMW!$HN$2:$HN$50=G$1),0),$B35-1973)</f>
        <v>2282.895</v>
      </c>
      <c r="H35" cm="1">
        <f t="array" ref="H35">INDEX(GMW!$A$2:$HN$50,MATCH(1,(GMW!$HM$2:$HM$50=H$3)*(GMW!$HN$2:$HN$50=H$1),0),$B35-1973)</f>
        <v>11.1</v>
      </c>
      <c r="I35" cm="1">
        <f t="array" ref="I35">INDEX(GMW!$A$2:$HN$50,MATCH(1,(GMW!$HM$2:$HM$50=I$3)*(GMW!$HN$2:$HN$50=I$1),0),$B35-1973)</f>
        <v>180901</v>
      </c>
      <c r="J35" cm="1">
        <f t="array" ref="J35">INDEX(GMW!$A$2:$HN$50,MATCH(1,(GMW!$HM$2:$HM$50=J$3)*(GMW!$HN$2:$HN$50=J$1),0),$B35-1973)</f>
        <v>4305</v>
      </c>
      <c r="K35" cm="1">
        <f t="array" ref="K35">INDEX(GMW!$A$2:$HN$50,MATCH(1,(GMW!$HM$2:$HM$50=K$3)*(GMW!$HN$2:$HN$50=K$1),0),$B35-1973)</f>
        <v>314804</v>
      </c>
      <c r="L35" cm="1">
        <f t="array" ref="L35">INDEX(GMW!$A$2:$HN$50,MATCH(1,(GMW!$HM$2:$HM$50=L$3)*(GMW!$HN$2:$HN$50=L$1),0),$B35-1973)</f>
        <v>24925</v>
      </c>
      <c r="M35" cm="1">
        <f t="array" ref="M35">INDEX(GMW!$A$2:$HN$50,MATCH(1,(GMW!$HM$2:$HM$50=M$3)*(GMW!$HN$2:$HN$50=M$1),0),$B35-1973)</f>
        <v>2282.895</v>
      </c>
      <c r="N35" cm="1">
        <f t="array" ref="N35">INDEX(GMW!$A$2:$HN$50,MATCH(1,(GMW!$HM$2:$HM$50=N$3)*(GMW!$HN$2:$HN$50=N$1),0),$B35-1973)</f>
        <v>11.1</v>
      </c>
      <c r="O35" cm="1">
        <f t="array" ref="O35">INDEX(GMW!$A$2:$HN$50,MATCH(1,(GMW!$HM$2:$HM$50=O$3)*(GMW!$HN$2:$HN$50=O$1),0),$B35-1973)</f>
        <v>180901</v>
      </c>
      <c r="P35" cm="1">
        <f t="array" ref="P35">INDEX(GMW!$A$2:$HN$50,MATCH(1,(GMW!$HM$2:$HM$50=P$3)*(GMW!$HN$2:$HN$50=P$1),0),$B35-1973)</f>
        <v>4305</v>
      </c>
    </row>
    <row r="36" spans="1:16">
      <c r="B36">
        <f t="shared" si="2"/>
        <v>2009</v>
      </c>
      <c r="C36">
        <f t="shared" si="3"/>
        <v>1987</v>
      </c>
      <c r="D36">
        <f t="shared" si="3"/>
        <v>1987</v>
      </c>
      <c r="E36" cm="1">
        <f t="array" ref="E36">INDEX(GMW!$A$2:$HN$50,MATCH(1,(GMW!$HM$2:$HM$50=E$3)*(GMW!$HN$2:$HN$50=E$1),0),$B36-1973)</f>
        <v>319478</v>
      </c>
      <c r="F36" cm="1">
        <f t="array" ref="F36">INDEX(GMW!$A$2:$HN$50,MATCH(1,(GMW!$HM$2:$HM$50=F$3)*(GMW!$HN$2:$HN$50=F$1),0),$B36-1973)</f>
        <v>25110</v>
      </c>
      <c r="G36" cm="1">
        <f t="array" ref="G36">INDEX(GMW!$A$2:$HN$50,MATCH(1,(GMW!$HM$2:$HM$50=G$3)*(GMW!$HN$2:$HN$50=G$1),0),$B36-1973)</f>
        <v>2321.7919999999999</v>
      </c>
      <c r="H36" cm="1">
        <f t="array" ref="H36">INDEX(GMW!$A$2:$HN$50,MATCH(1,(GMW!$HM$2:$HM$50=H$3)*(GMW!$HN$2:$HN$50=H$1),0),$B36-1973)</f>
        <v>10.7</v>
      </c>
      <c r="I36" cm="1">
        <f t="array" ref="I36">INDEX(GMW!$A$2:$HN$50,MATCH(1,(GMW!$HM$2:$HM$50=I$3)*(GMW!$HN$2:$HN$50=I$1),0),$B36-1973)</f>
        <v>185020</v>
      </c>
      <c r="J36" cm="1">
        <f t="array" ref="J36">INDEX(GMW!$A$2:$HN$50,MATCH(1,(GMW!$HM$2:$HM$50=J$3)*(GMW!$HN$2:$HN$50=J$1),0),$B36-1973)</f>
        <v>4334</v>
      </c>
      <c r="K36" cm="1">
        <f t="array" ref="K36">INDEX(GMW!$A$2:$HN$50,MATCH(1,(GMW!$HM$2:$HM$50=K$3)*(GMW!$HN$2:$HN$50=K$1),0),$B36-1973)</f>
        <v>319478</v>
      </c>
      <c r="L36" cm="1">
        <f t="array" ref="L36">INDEX(GMW!$A$2:$HN$50,MATCH(1,(GMW!$HM$2:$HM$50=L$3)*(GMW!$HN$2:$HN$50=L$1),0),$B36-1973)</f>
        <v>25110</v>
      </c>
      <c r="M36" cm="1">
        <f t="array" ref="M36">INDEX(GMW!$A$2:$HN$50,MATCH(1,(GMW!$HM$2:$HM$50=M$3)*(GMW!$HN$2:$HN$50=M$1),0),$B36-1973)</f>
        <v>2321.7919999999999</v>
      </c>
      <c r="N36" cm="1">
        <f t="array" ref="N36">INDEX(GMW!$A$2:$HN$50,MATCH(1,(GMW!$HM$2:$HM$50=N$3)*(GMW!$HN$2:$HN$50=N$1),0),$B36-1973)</f>
        <v>10.7</v>
      </c>
      <c r="O36" cm="1">
        <f t="array" ref="O36">INDEX(GMW!$A$2:$HN$50,MATCH(1,(GMW!$HM$2:$HM$50=O$3)*(GMW!$HN$2:$HN$50=O$1),0),$B36-1973)</f>
        <v>185020</v>
      </c>
      <c r="P36" cm="1">
        <f t="array" ref="P36">INDEX(GMW!$A$2:$HN$50,MATCH(1,(GMW!$HM$2:$HM$50=P$3)*(GMW!$HN$2:$HN$50=P$1),0),$B36-1973)</f>
        <v>4334</v>
      </c>
    </row>
    <row r="37" spans="1:16">
      <c r="B37">
        <f t="shared" si="2"/>
        <v>2010</v>
      </c>
      <c r="C37">
        <f t="shared" si="3"/>
        <v>1987</v>
      </c>
      <c r="D37">
        <f t="shared" si="3"/>
        <v>1987</v>
      </c>
      <c r="E37" cm="1">
        <f t="array" ref="E37">INDEX(GMW!$A$2:$HN$50,MATCH(1,(GMW!$HM$2:$HM$50=E$3)*(GMW!$HN$2:$HN$50=E$1),0),$B37-1973)</f>
        <v>327346</v>
      </c>
      <c r="F37" cm="1">
        <f t="array" ref="F37">INDEX(GMW!$A$2:$HN$50,MATCH(1,(GMW!$HM$2:$HM$50=F$3)*(GMW!$HN$2:$HN$50=F$1),0),$B37-1973)</f>
        <v>25345</v>
      </c>
      <c r="G37" cm="1">
        <f t="array" ref="G37">INDEX(GMW!$A$2:$HN$50,MATCH(1,(GMW!$HM$2:$HM$50=G$3)*(GMW!$HN$2:$HN$50=G$1),0),$B37-1973)</f>
        <v>2369.9499999999998</v>
      </c>
      <c r="H37" cm="1">
        <f t="array" ref="H37">INDEX(GMW!$A$2:$HN$50,MATCH(1,(GMW!$HM$2:$HM$50=H$3)*(GMW!$HN$2:$HN$50=H$1),0),$B37-1973)</f>
        <v>10.199999999999999</v>
      </c>
      <c r="I37" cm="1">
        <f t="array" ref="I37">INDEX(GMW!$A$2:$HN$50,MATCH(1,(GMW!$HM$2:$HM$50=I$3)*(GMW!$HN$2:$HN$50=I$1),0),$B37-1973)</f>
        <v>187551</v>
      </c>
      <c r="J37" cm="1">
        <f t="array" ref="J37">INDEX(GMW!$A$2:$HN$50,MATCH(1,(GMW!$HM$2:$HM$50=J$3)*(GMW!$HN$2:$HN$50=J$1),0),$B37-1973)</f>
        <v>4487</v>
      </c>
      <c r="K37" cm="1">
        <f t="array" ref="K37">INDEX(GMW!$A$2:$HN$50,MATCH(1,(GMW!$HM$2:$HM$50=K$3)*(GMW!$HN$2:$HN$50=K$1),0),$B37-1973)</f>
        <v>327346</v>
      </c>
      <c r="L37" cm="1">
        <f t="array" ref="L37">INDEX(GMW!$A$2:$HN$50,MATCH(1,(GMW!$HM$2:$HM$50=L$3)*(GMW!$HN$2:$HN$50=L$1),0),$B37-1973)</f>
        <v>25345</v>
      </c>
      <c r="M37" cm="1">
        <f t="array" ref="M37">INDEX(GMW!$A$2:$HN$50,MATCH(1,(GMW!$HM$2:$HM$50=M$3)*(GMW!$HN$2:$HN$50=M$1),0),$B37-1973)</f>
        <v>2369.9499999999998</v>
      </c>
      <c r="N37" cm="1">
        <f t="array" ref="N37">INDEX(GMW!$A$2:$HN$50,MATCH(1,(GMW!$HM$2:$HM$50=N$3)*(GMW!$HN$2:$HN$50=N$1),0),$B37-1973)</f>
        <v>10.199999999999999</v>
      </c>
      <c r="O37" cm="1">
        <f t="array" ref="O37">INDEX(GMW!$A$2:$HN$50,MATCH(1,(GMW!$HM$2:$HM$50=O$3)*(GMW!$HN$2:$HN$50=O$1),0),$B37-1973)</f>
        <v>187551</v>
      </c>
      <c r="P37" cm="1">
        <f t="array" ref="P37">INDEX(GMW!$A$2:$HN$50,MATCH(1,(GMW!$HM$2:$HM$50=P$3)*(GMW!$HN$2:$HN$50=P$1),0),$B37-1973)</f>
        <v>4487</v>
      </c>
    </row>
    <row r="38" spans="1:16">
      <c r="B38">
        <f t="shared" si="2"/>
        <v>2011</v>
      </c>
      <c r="C38">
        <f t="shared" si="3"/>
        <v>1987</v>
      </c>
      <c r="D38">
        <f t="shared" si="3"/>
        <v>1987</v>
      </c>
      <c r="E38" cm="1">
        <f t="array" ref="E38">INDEX(GMW!$A$2:$HN$50,MATCH(1,(GMW!$HM$2:$HM$50=E$3)*(GMW!$HN$2:$HN$50=E$1),0),$B38-1973)</f>
        <v>331075</v>
      </c>
      <c r="F38" cm="1">
        <f t="array" ref="F38">INDEX(GMW!$A$2:$HN$50,MATCH(1,(GMW!$HM$2:$HM$50=F$3)*(GMW!$HN$2:$HN$50=F$1),0),$B38-1973)</f>
        <v>25575</v>
      </c>
      <c r="G38" cm="1">
        <f t="array" ref="G38">INDEX(GMW!$A$2:$HN$50,MATCH(1,(GMW!$HM$2:$HM$50=G$3)*(GMW!$HN$2:$HN$50=G$1),0),$B38-1973)</f>
        <v>2418.279</v>
      </c>
      <c r="H38" cm="1">
        <f t="array" ref="H38">INDEX(GMW!$A$2:$HN$50,MATCH(1,(GMW!$HM$2:$HM$50=H$3)*(GMW!$HN$2:$HN$50=H$1),0),$B38-1973)</f>
        <v>9.6999999999999993</v>
      </c>
      <c r="I38" cm="1">
        <f t="array" ref="I38">INDEX(GMW!$A$2:$HN$50,MATCH(1,(GMW!$HM$2:$HM$50=I$3)*(GMW!$HN$2:$HN$50=I$1),0),$B38-1973)</f>
        <v>188860</v>
      </c>
      <c r="J38" cm="1">
        <f t="array" ref="J38">INDEX(GMW!$A$2:$HN$50,MATCH(1,(GMW!$HM$2:$HM$50=J$3)*(GMW!$HN$2:$HN$50=J$1),0),$B38-1973)</f>
        <v>4632</v>
      </c>
      <c r="K38" cm="1">
        <f t="array" ref="K38">INDEX(GMW!$A$2:$HN$50,MATCH(1,(GMW!$HM$2:$HM$50=K$3)*(GMW!$HN$2:$HN$50=K$1),0),$B38-1973)</f>
        <v>331075</v>
      </c>
      <c r="L38" cm="1">
        <f t="array" ref="L38">INDEX(GMW!$A$2:$HN$50,MATCH(1,(GMW!$HM$2:$HM$50=L$3)*(GMW!$HN$2:$HN$50=L$1),0),$B38-1973)</f>
        <v>25575</v>
      </c>
      <c r="M38" cm="1">
        <f t="array" ref="M38">INDEX(GMW!$A$2:$HN$50,MATCH(1,(GMW!$HM$2:$HM$50=M$3)*(GMW!$HN$2:$HN$50=M$1),0),$B38-1973)</f>
        <v>2418.279</v>
      </c>
      <c r="N38" cm="1">
        <f t="array" ref="N38">INDEX(GMW!$A$2:$HN$50,MATCH(1,(GMW!$HM$2:$HM$50=N$3)*(GMW!$HN$2:$HN$50=N$1),0),$B38-1973)</f>
        <v>9.6999999999999993</v>
      </c>
      <c r="O38" cm="1">
        <f t="array" ref="O38">INDEX(GMW!$A$2:$HN$50,MATCH(1,(GMW!$HM$2:$HM$50=O$3)*(GMW!$HN$2:$HN$50=O$1),0),$B38-1973)</f>
        <v>188860</v>
      </c>
      <c r="P38" cm="1">
        <f t="array" ref="P38">INDEX(GMW!$A$2:$HN$50,MATCH(1,(GMW!$HM$2:$HM$50=P$3)*(GMW!$HN$2:$HN$50=P$1),0),$B38-1973)</f>
        <v>4632</v>
      </c>
    </row>
    <row r="39" spans="1:16">
      <c r="A39">
        <v>1988</v>
      </c>
      <c r="B39">
        <f t="shared" si="2"/>
        <v>2012</v>
      </c>
      <c r="C39">
        <f t="shared" si="3"/>
        <v>1988</v>
      </c>
      <c r="D39">
        <f t="shared" si="3"/>
        <v>1987</v>
      </c>
      <c r="E39" cm="1">
        <f t="array" ref="E39">INDEX(GMW!$A$2:$HN$50,MATCH(1,(GMW!$HM$2:$HM$50=E$3)*(GMW!$HN$2:$HN$50=E$1),0),$B39-1973)</f>
        <v>336442</v>
      </c>
      <c r="F39" cm="1">
        <f t="array" ref="F39">INDEX(GMW!$A$2:$HN$50,MATCH(1,(GMW!$HM$2:$HM$50=F$3)*(GMW!$HN$2:$HN$50=F$1),0),$B39-1973)</f>
        <v>25795</v>
      </c>
      <c r="G39" cm="1">
        <f t="array" ref="G39">INDEX(GMW!$A$2:$HN$50,MATCH(1,(GMW!$HM$2:$HM$50=G$3)*(GMW!$HN$2:$HN$50=G$1),0),$B39-1973)</f>
        <v>2470.636</v>
      </c>
      <c r="H39" cm="1">
        <f t="array" ref="H39">INDEX(GMW!$A$2:$HN$50,MATCH(1,(GMW!$HM$2:$HM$50=H$3)*(GMW!$HN$2:$HN$50=H$1),0),$B39-1973)</f>
        <v>9.1999999999999993</v>
      </c>
      <c r="I39" cm="1">
        <f t="array" ref="I39">INDEX(GMW!$A$2:$HN$50,MATCH(1,(GMW!$HM$2:$HM$50=I$3)*(GMW!$HN$2:$HN$50=I$1),0),$B39-1973)</f>
        <v>191709</v>
      </c>
      <c r="J39" cm="1">
        <f t="array" ref="J39">INDEX(GMW!$A$2:$HN$50,MATCH(1,(GMW!$HM$2:$HM$50=J$3)*(GMW!$HN$2:$HN$50=J$1),0),$B39-1973)</f>
        <v>4640</v>
      </c>
      <c r="K39" cm="1">
        <f t="array" ref="K39">INDEX(GMW!$A$2:$HN$50,MATCH(1,(GMW!$HM$2:$HM$50=K$3)*(GMW!$HN$2:$HN$50=K$1),0),$B39-1973)</f>
        <v>336442</v>
      </c>
      <c r="L39" cm="1">
        <f t="array" ref="L39">INDEX(GMW!$A$2:$HN$50,MATCH(1,(GMW!$HM$2:$HM$50=L$3)*(GMW!$HN$2:$HN$50=L$1),0),$B39-1973)</f>
        <v>25795</v>
      </c>
      <c r="M39" cm="1">
        <f t="array" ref="M39">INDEX(GMW!$A$2:$HN$50,MATCH(1,(GMW!$HM$2:$HM$50=M$3)*(GMW!$HN$2:$HN$50=M$1),0),$B39-1973)</f>
        <v>2470.636</v>
      </c>
      <c r="N39" cm="1">
        <f t="array" ref="N39">INDEX(GMW!$A$2:$HN$50,MATCH(1,(GMW!$HM$2:$HM$50=N$3)*(GMW!$HN$2:$HN$50=N$1),0),$B39-1973)</f>
        <v>9.1999999999999993</v>
      </c>
      <c r="O39" cm="1">
        <f t="array" ref="O39">INDEX(GMW!$A$2:$HN$50,MATCH(1,(GMW!$HM$2:$HM$50=O$3)*(GMW!$HN$2:$HN$50=O$1),0),$B39-1973)</f>
        <v>191709</v>
      </c>
      <c r="P39" cm="1">
        <f t="array" ref="P39">INDEX(GMW!$A$2:$HN$50,MATCH(1,(GMW!$HM$2:$HM$50=P$3)*(GMW!$HN$2:$HN$50=P$1),0),$B39-1973)</f>
        <v>4640</v>
      </c>
    </row>
    <row r="40" spans="1:16">
      <c r="B40">
        <f t="shared" si="2"/>
        <v>2013</v>
      </c>
      <c r="C40">
        <f t="shared" si="3"/>
        <v>1988</v>
      </c>
      <c r="D40">
        <f t="shared" si="3"/>
        <v>1988</v>
      </c>
      <c r="E40" cm="1">
        <f t="array" ref="E40">INDEX(GMW!$A$2:$HN$50,MATCH(1,(GMW!$HM$2:$HM$50=E$3)*(GMW!$HN$2:$HN$50=E$1),0),$B40-1973)</f>
        <v>338186</v>
      </c>
      <c r="F40" cm="1">
        <f t="array" ref="F40">INDEX(GMW!$A$2:$HN$50,MATCH(1,(GMW!$HM$2:$HM$50=F$3)*(GMW!$HN$2:$HN$50=F$1),0),$B40-1973)</f>
        <v>25970</v>
      </c>
      <c r="G40" cm="1">
        <f t="array" ref="G40">INDEX(GMW!$A$2:$HN$50,MATCH(1,(GMW!$HM$2:$HM$50=G$3)*(GMW!$HN$2:$HN$50=G$1),0),$B40-1973)</f>
        <v>2512.3130000000001</v>
      </c>
      <c r="H40" cm="1">
        <f t="array" ref="H40">INDEX(GMW!$A$2:$HN$50,MATCH(1,(GMW!$HM$2:$HM$50=H$3)*(GMW!$HN$2:$HN$50=H$1),0),$B40-1973)</f>
        <v>8.6999999999999993</v>
      </c>
      <c r="I40" cm="1">
        <f t="array" ref="I40">INDEX(GMW!$A$2:$HN$50,MATCH(1,(GMW!$HM$2:$HM$50=I$3)*(GMW!$HN$2:$HN$50=I$1),0),$B40-1973)</f>
        <v>194935</v>
      </c>
      <c r="J40" cm="1">
        <f t="array" ref="J40">INDEX(GMW!$A$2:$HN$50,MATCH(1,(GMW!$HM$2:$HM$50=J$3)*(GMW!$HN$2:$HN$50=J$1),0),$B40-1973)</f>
        <v>4879</v>
      </c>
      <c r="K40" cm="1">
        <f t="array" ref="K40">INDEX(GMW!$A$2:$HN$50,MATCH(1,(GMW!$HM$2:$HM$50=K$3)*(GMW!$HN$2:$HN$50=K$1),0),$B40-1973)</f>
        <v>338186</v>
      </c>
      <c r="L40" cm="1">
        <f t="array" ref="L40">INDEX(GMW!$A$2:$HN$50,MATCH(1,(GMW!$HM$2:$HM$50=L$3)*(GMW!$HN$2:$HN$50=L$1),0),$B40-1973)</f>
        <v>25970</v>
      </c>
      <c r="M40" cm="1">
        <f t="array" ref="M40">INDEX(GMW!$A$2:$HN$50,MATCH(1,(GMW!$HM$2:$HM$50=M$3)*(GMW!$HN$2:$HN$50=M$1),0),$B40-1973)</f>
        <v>2512.3130000000001</v>
      </c>
      <c r="N40" cm="1">
        <f t="array" ref="N40">INDEX(GMW!$A$2:$HN$50,MATCH(1,(GMW!$HM$2:$HM$50=N$3)*(GMW!$HN$2:$HN$50=N$1),0),$B40-1973)</f>
        <v>8.6999999999999993</v>
      </c>
      <c r="O40" cm="1">
        <f t="array" ref="O40">INDEX(GMW!$A$2:$HN$50,MATCH(1,(GMW!$HM$2:$HM$50=O$3)*(GMW!$HN$2:$HN$50=O$1),0),$B40-1973)</f>
        <v>194935</v>
      </c>
      <c r="P40" cm="1">
        <f t="array" ref="P40">INDEX(GMW!$A$2:$HN$50,MATCH(1,(GMW!$HM$2:$HM$50=P$3)*(GMW!$HN$2:$HN$50=P$1),0),$B40-1973)</f>
        <v>4879</v>
      </c>
    </row>
    <row r="41" spans="1:16">
      <c r="B41">
        <f t="shared" si="2"/>
        <v>2014</v>
      </c>
      <c r="C41">
        <f t="shared" si="3"/>
        <v>1988</v>
      </c>
      <c r="D41">
        <f t="shared" si="3"/>
        <v>1988</v>
      </c>
      <c r="E41" cm="1">
        <f t="array" ref="E41">INDEX(GMW!$A$2:$HN$50,MATCH(1,(GMW!$HM$2:$HM$50=E$3)*(GMW!$HN$2:$HN$50=E$1),0),$B41-1973)</f>
        <v>342414</v>
      </c>
      <c r="F41" cm="1">
        <f t="array" ref="F41">INDEX(GMW!$A$2:$HN$50,MATCH(1,(GMW!$HM$2:$HM$50=F$3)*(GMW!$HN$2:$HN$50=F$1),0),$B41-1973)</f>
        <v>26160</v>
      </c>
      <c r="G41" cm="1">
        <f t="array" ref="G41">INDEX(GMW!$A$2:$HN$50,MATCH(1,(GMW!$HM$2:$HM$50=G$3)*(GMW!$HN$2:$HN$50=G$1),0),$B41-1973)</f>
        <v>2569.6179999999999</v>
      </c>
      <c r="H41" cm="1">
        <f t="array" ref="H41">INDEX(GMW!$A$2:$HN$50,MATCH(1,(GMW!$HM$2:$HM$50=H$3)*(GMW!$HN$2:$HN$50=H$1),0),$B41-1973)</f>
        <v>8.4</v>
      </c>
      <c r="I41" cm="1">
        <f t="array" ref="I41">INDEX(GMW!$A$2:$HN$50,MATCH(1,(GMW!$HM$2:$HM$50=I$3)*(GMW!$HN$2:$HN$50=I$1),0),$B41-1973)</f>
        <v>197179</v>
      </c>
      <c r="J41" cm="1">
        <f t="array" ref="J41">INDEX(GMW!$A$2:$HN$50,MATCH(1,(GMW!$HM$2:$HM$50=J$3)*(GMW!$HN$2:$HN$50=J$1),0),$B41-1973)</f>
        <v>5040</v>
      </c>
      <c r="K41" cm="1">
        <f t="array" ref="K41">INDEX(GMW!$A$2:$HN$50,MATCH(1,(GMW!$HM$2:$HM$50=K$3)*(GMW!$HN$2:$HN$50=K$1),0),$B41-1973)</f>
        <v>342414</v>
      </c>
      <c r="L41" cm="1">
        <f t="array" ref="L41">INDEX(GMW!$A$2:$HN$50,MATCH(1,(GMW!$HM$2:$HM$50=L$3)*(GMW!$HN$2:$HN$50=L$1),0),$B41-1973)</f>
        <v>26160</v>
      </c>
      <c r="M41" cm="1">
        <f t="array" ref="M41">INDEX(GMW!$A$2:$HN$50,MATCH(1,(GMW!$HM$2:$HM$50=M$3)*(GMW!$HN$2:$HN$50=M$1),0),$B41-1973)</f>
        <v>2569.6179999999999</v>
      </c>
      <c r="N41" cm="1">
        <f t="array" ref="N41">INDEX(GMW!$A$2:$HN$50,MATCH(1,(GMW!$HM$2:$HM$50=N$3)*(GMW!$HN$2:$HN$50=N$1),0),$B41-1973)</f>
        <v>8.4</v>
      </c>
      <c r="O41" cm="1">
        <f t="array" ref="O41">INDEX(GMW!$A$2:$HN$50,MATCH(1,(GMW!$HM$2:$HM$50=O$3)*(GMW!$HN$2:$HN$50=O$1),0),$B41-1973)</f>
        <v>197179</v>
      </c>
      <c r="P41" cm="1">
        <f t="array" ref="P41">INDEX(GMW!$A$2:$HN$50,MATCH(1,(GMW!$HM$2:$HM$50=P$3)*(GMW!$HN$2:$HN$50=P$1),0),$B41-1973)</f>
        <v>5040</v>
      </c>
    </row>
    <row r="42" spans="1:16">
      <c r="B42">
        <f t="shared" si="2"/>
        <v>2015</v>
      </c>
      <c r="C42">
        <f t="shared" si="3"/>
        <v>1988</v>
      </c>
      <c r="D42">
        <f t="shared" si="3"/>
        <v>1988</v>
      </c>
      <c r="E42" cm="1">
        <f t="array" ref="E42">INDEX(GMW!$A$2:$HN$50,MATCH(1,(GMW!$HM$2:$HM$50=E$3)*(GMW!$HN$2:$HN$50=E$1),0),$B42-1973)</f>
        <v>345162</v>
      </c>
      <c r="F42" cm="1">
        <f t="array" ref="F42">INDEX(GMW!$A$2:$HN$50,MATCH(1,(GMW!$HM$2:$HM$50=F$3)*(GMW!$HN$2:$HN$50=F$1),0),$B42-1973)</f>
        <v>26355</v>
      </c>
      <c r="G42" cm="1">
        <f t="array" ref="G42">INDEX(GMW!$A$2:$HN$50,MATCH(1,(GMW!$HM$2:$HM$50=G$3)*(GMW!$HN$2:$HN$50=G$1),0),$B42-1973)</f>
        <v>2641.6390000000001</v>
      </c>
      <c r="H42" cm="1">
        <f t="array" ref="H42">INDEX(GMW!$A$2:$HN$50,MATCH(1,(GMW!$HM$2:$HM$50=H$3)*(GMW!$HN$2:$HN$50=H$1),0),$B42-1973)</f>
        <v>8</v>
      </c>
      <c r="I42" cm="1">
        <f t="array" ref="I42">INDEX(GMW!$A$2:$HN$50,MATCH(1,(GMW!$HM$2:$HM$50=I$3)*(GMW!$HN$2:$HN$50=I$1),0),$B42-1973)</f>
        <v>198740</v>
      </c>
      <c r="J42" cm="1">
        <f t="array" ref="J42">INDEX(GMW!$A$2:$HN$50,MATCH(1,(GMW!$HM$2:$HM$50=J$3)*(GMW!$HN$2:$HN$50=J$1),0),$B42-1973)</f>
        <v>5234</v>
      </c>
      <c r="K42" cm="1">
        <f t="array" ref="K42">INDEX(GMW!$A$2:$HN$50,MATCH(1,(GMW!$HM$2:$HM$50=K$3)*(GMW!$HN$2:$HN$50=K$1),0),$B42-1973)</f>
        <v>345162</v>
      </c>
      <c r="L42" cm="1">
        <f t="array" ref="L42">INDEX(GMW!$A$2:$HN$50,MATCH(1,(GMW!$HM$2:$HM$50=L$3)*(GMW!$HN$2:$HN$50=L$1),0),$B42-1973)</f>
        <v>26355</v>
      </c>
      <c r="M42" cm="1">
        <f t="array" ref="M42">INDEX(GMW!$A$2:$HN$50,MATCH(1,(GMW!$HM$2:$HM$50=M$3)*(GMW!$HN$2:$HN$50=M$1),0),$B42-1973)</f>
        <v>2641.6390000000001</v>
      </c>
      <c r="N42" cm="1">
        <f t="array" ref="N42">INDEX(GMW!$A$2:$HN$50,MATCH(1,(GMW!$HM$2:$HM$50=N$3)*(GMW!$HN$2:$HN$50=N$1),0),$B42-1973)</f>
        <v>8</v>
      </c>
      <c r="O42" cm="1">
        <f t="array" ref="O42">INDEX(GMW!$A$2:$HN$50,MATCH(1,(GMW!$HM$2:$HM$50=O$3)*(GMW!$HN$2:$HN$50=O$1),0),$B42-1973)</f>
        <v>198740</v>
      </c>
      <c r="P42" cm="1">
        <f t="array" ref="P42">INDEX(GMW!$A$2:$HN$50,MATCH(1,(GMW!$HM$2:$HM$50=P$3)*(GMW!$HN$2:$HN$50=P$1),0),$B42-1973)</f>
        <v>5234</v>
      </c>
    </row>
    <row r="43" spans="1:16">
      <c r="A43">
        <v>1989</v>
      </c>
      <c r="B43">
        <f t="shared" si="2"/>
        <v>2016</v>
      </c>
      <c r="C43">
        <f t="shared" si="3"/>
        <v>1989</v>
      </c>
      <c r="D43">
        <f t="shared" si="3"/>
        <v>1988</v>
      </c>
      <c r="E43" cm="1">
        <f t="array" ref="E43">INDEX(GMW!$A$2:$HN$50,MATCH(1,(GMW!$HM$2:$HM$50=E$3)*(GMW!$HN$2:$HN$50=E$1),0),$B43-1973)</f>
        <v>346836</v>
      </c>
      <c r="F43" cm="1">
        <f t="array" ref="F43">INDEX(GMW!$A$2:$HN$50,MATCH(1,(GMW!$HM$2:$HM$50=F$3)*(GMW!$HN$2:$HN$50=F$1),0),$B43-1973)</f>
        <v>26590</v>
      </c>
      <c r="G43" cm="1">
        <f t="array" ref="G43">INDEX(GMW!$A$2:$HN$50,MATCH(1,(GMW!$HM$2:$HM$50=G$3)*(GMW!$HN$2:$HN$50=G$1),0),$B43-1973)</f>
        <v>2684.4940000000001</v>
      </c>
      <c r="H43" cm="1">
        <f t="array" ref="H43">INDEX(GMW!$A$2:$HN$50,MATCH(1,(GMW!$HM$2:$HM$50=H$3)*(GMW!$HN$2:$HN$50=H$1),0),$B43-1973)</f>
        <v>7.6</v>
      </c>
      <c r="I43" cm="1">
        <f t="array" ref="I43">INDEX(GMW!$A$2:$HN$50,MATCH(1,(GMW!$HM$2:$HM$50=I$3)*(GMW!$HN$2:$HN$50=I$1),0),$B43-1973)</f>
        <v>201265</v>
      </c>
      <c r="J43" cm="1">
        <f t="array" ref="J43">INDEX(GMW!$A$2:$HN$50,MATCH(1,(GMW!$HM$2:$HM$50=J$3)*(GMW!$HN$2:$HN$50=J$1),0),$B43-1973)</f>
        <v>5239</v>
      </c>
      <c r="K43" cm="1">
        <f t="array" ref="K43">INDEX(GMW!$A$2:$HN$50,MATCH(1,(GMW!$HM$2:$HM$50=K$3)*(GMW!$HN$2:$HN$50=K$1),0),$B43-1973)</f>
        <v>346836</v>
      </c>
      <c r="L43" cm="1">
        <f t="array" ref="L43">INDEX(GMW!$A$2:$HN$50,MATCH(1,(GMW!$HM$2:$HM$50=L$3)*(GMW!$HN$2:$HN$50=L$1),0),$B43-1973)</f>
        <v>26590</v>
      </c>
      <c r="M43" cm="1">
        <f t="array" ref="M43">INDEX(GMW!$A$2:$HN$50,MATCH(1,(GMW!$HM$2:$HM$50=M$3)*(GMW!$HN$2:$HN$50=M$1),0),$B43-1973)</f>
        <v>2684.4940000000001</v>
      </c>
      <c r="N43" cm="1">
        <f t="array" ref="N43">INDEX(GMW!$A$2:$HN$50,MATCH(1,(GMW!$HM$2:$HM$50=N$3)*(GMW!$HN$2:$HN$50=N$1),0),$B43-1973)</f>
        <v>7.6</v>
      </c>
      <c r="O43" cm="1">
        <f t="array" ref="O43">INDEX(GMW!$A$2:$HN$50,MATCH(1,(GMW!$HM$2:$HM$50=O$3)*(GMW!$HN$2:$HN$50=O$1),0),$B43-1973)</f>
        <v>201265</v>
      </c>
      <c r="P43" cm="1">
        <f t="array" ref="P43">INDEX(GMW!$A$2:$HN$50,MATCH(1,(GMW!$HM$2:$HM$50=P$3)*(GMW!$HN$2:$HN$50=P$1),0),$B43-1973)</f>
        <v>5239</v>
      </c>
    </row>
    <row r="44" spans="1:16">
      <c r="B44">
        <f t="shared" si="2"/>
        <v>2017</v>
      </c>
      <c r="C44">
        <f t="shared" si="3"/>
        <v>1989</v>
      </c>
      <c r="D44">
        <f t="shared" si="3"/>
        <v>1989</v>
      </c>
      <c r="E44" cm="1">
        <f t="array" ref="E44">INDEX(GMW!$A$2:$HN$50,MATCH(1,(GMW!$HM$2:$HM$50=E$3)*(GMW!$HN$2:$HN$50=E$1),0),$B44-1973)</f>
        <v>348997</v>
      </c>
      <c r="F44" cm="1">
        <f t="array" ref="F44">INDEX(GMW!$A$2:$HN$50,MATCH(1,(GMW!$HM$2:$HM$50=F$3)*(GMW!$HN$2:$HN$50=F$1),0),$B44-1973)</f>
        <v>26730</v>
      </c>
      <c r="G44" cm="1">
        <f t="array" ref="G44">INDEX(GMW!$A$2:$HN$50,MATCH(1,(GMW!$HM$2:$HM$50=G$3)*(GMW!$HN$2:$HN$50=G$1),0),$B44-1973)</f>
        <v>2756.2930000000001</v>
      </c>
      <c r="H44" cm="1">
        <f t="array" ref="H44">INDEX(GMW!$A$2:$HN$50,MATCH(1,(GMW!$HM$2:$HM$50=H$3)*(GMW!$HN$2:$HN$50=H$1),0),$B44-1973)</f>
        <v>7.2</v>
      </c>
      <c r="I44" cm="1">
        <f t="array" ref="I44">INDEX(GMW!$A$2:$HN$50,MATCH(1,(GMW!$HM$2:$HM$50=I$3)*(GMW!$HN$2:$HN$50=I$1),0),$B44-1973)</f>
        <v>204179</v>
      </c>
      <c r="J44" cm="1">
        <f t="array" ref="J44">INDEX(GMW!$A$2:$HN$50,MATCH(1,(GMW!$HM$2:$HM$50=J$3)*(GMW!$HN$2:$HN$50=J$1),0),$B44-1973)</f>
        <v>5247</v>
      </c>
      <c r="K44" cm="1">
        <f t="array" ref="K44">INDEX(GMW!$A$2:$HN$50,MATCH(1,(GMW!$HM$2:$HM$50=K$3)*(GMW!$HN$2:$HN$50=K$1),0),$B44-1973)</f>
        <v>348997</v>
      </c>
      <c r="L44" cm="1">
        <f t="array" ref="L44">INDEX(GMW!$A$2:$HN$50,MATCH(1,(GMW!$HM$2:$HM$50=L$3)*(GMW!$HN$2:$HN$50=L$1),0),$B44-1973)</f>
        <v>26730</v>
      </c>
      <c r="M44" cm="1">
        <f t="array" ref="M44">INDEX(GMW!$A$2:$HN$50,MATCH(1,(GMW!$HM$2:$HM$50=M$3)*(GMW!$HN$2:$HN$50=M$1),0),$B44-1973)</f>
        <v>2756.2930000000001</v>
      </c>
      <c r="N44" cm="1">
        <f t="array" ref="N44">INDEX(GMW!$A$2:$HN$50,MATCH(1,(GMW!$HM$2:$HM$50=N$3)*(GMW!$HN$2:$HN$50=N$1),0),$B44-1973)</f>
        <v>7.2</v>
      </c>
      <c r="O44" cm="1">
        <f t="array" ref="O44">INDEX(GMW!$A$2:$HN$50,MATCH(1,(GMW!$HM$2:$HM$50=O$3)*(GMW!$HN$2:$HN$50=O$1),0),$B44-1973)</f>
        <v>204179</v>
      </c>
      <c r="P44" cm="1">
        <f t="array" ref="P44">INDEX(GMW!$A$2:$HN$50,MATCH(1,(GMW!$HM$2:$HM$50=P$3)*(GMW!$HN$2:$HN$50=P$1),0),$B44-1973)</f>
        <v>5247</v>
      </c>
    </row>
    <row r="45" spans="1:16">
      <c r="B45">
        <f t="shared" si="2"/>
        <v>2018</v>
      </c>
      <c r="C45">
        <f t="shared" si="3"/>
        <v>1989</v>
      </c>
      <c r="D45">
        <f t="shared" si="3"/>
        <v>1989</v>
      </c>
      <c r="E45" cm="1">
        <f t="array" ref="E45">INDEX(GMW!$A$2:$HN$50,MATCH(1,(GMW!$HM$2:$HM$50=E$3)*(GMW!$HN$2:$HN$50=E$1),0),$B45-1973)</f>
        <v>349572</v>
      </c>
      <c r="F45" cm="1">
        <f t="array" ref="F45">INDEX(GMW!$A$2:$HN$50,MATCH(1,(GMW!$HM$2:$HM$50=F$3)*(GMW!$HN$2:$HN$50=F$1),0),$B45-1973)</f>
        <v>26795</v>
      </c>
      <c r="G45" cm="1">
        <f t="array" ref="G45">INDEX(GMW!$A$2:$HN$50,MATCH(1,(GMW!$HM$2:$HM$50=G$3)*(GMW!$HN$2:$HN$50=G$1),0),$B45-1973)</f>
        <v>2816.473</v>
      </c>
      <c r="H45" cm="1">
        <f t="array" ref="H45">INDEX(GMW!$A$2:$HN$50,MATCH(1,(GMW!$HM$2:$HM$50=H$3)*(GMW!$HN$2:$HN$50=H$1),0),$B45-1973)</f>
        <v>7.1</v>
      </c>
      <c r="I45" cm="1">
        <f t="array" ref="I45">INDEX(GMW!$A$2:$HN$50,MATCH(1,(GMW!$HM$2:$HM$50=I$3)*(GMW!$HN$2:$HN$50=I$1),0),$B45-1973)</f>
        <v>209872</v>
      </c>
      <c r="J45" cm="1">
        <f t="array" ref="J45">INDEX(GMW!$A$2:$HN$50,MATCH(1,(GMW!$HM$2:$HM$50=J$3)*(GMW!$HN$2:$HN$50=J$1),0),$B45-1973)</f>
        <v>5405</v>
      </c>
      <c r="K45" cm="1">
        <f t="array" ref="K45">INDEX(GMW!$A$2:$HN$50,MATCH(1,(GMW!$HM$2:$HM$50=K$3)*(GMW!$HN$2:$HN$50=K$1),0),$B45-1973)</f>
        <v>349572</v>
      </c>
      <c r="L45" cm="1">
        <f t="array" ref="L45">INDEX(GMW!$A$2:$HN$50,MATCH(1,(GMW!$HM$2:$HM$50=L$3)*(GMW!$HN$2:$HN$50=L$1),0),$B45-1973)</f>
        <v>26795</v>
      </c>
      <c r="M45" cm="1">
        <f t="array" ref="M45">INDEX(GMW!$A$2:$HN$50,MATCH(1,(GMW!$HM$2:$HM$50=M$3)*(GMW!$HN$2:$HN$50=M$1),0),$B45-1973)</f>
        <v>2816.473</v>
      </c>
      <c r="N45" cm="1">
        <f t="array" ref="N45">INDEX(GMW!$A$2:$HN$50,MATCH(1,(GMW!$HM$2:$HM$50=N$3)*(GMW!$HN$2:$HN$50=N$1),0),$B45-1973)</f>
        <v>7.1</v>
      </c>
      <c r="O45" cm="1">
        <f t="array" ref="O45">INDEX(GMW!$A$2:$HN$50,MATCH(1,(GMW!$HM$2:$HM$50=O$3)*(GMW!$HN$2:$HN$50=O$1),0),$B45-1973)</f>
        <v>209872</v>
      </c>
      <c r="P45" cm="1">
        <f t="array" ref="P45">INDEX(GMW!$A$2:$HN$50,MATCH(1,(GMW!$HM$2:$HM$50=P$3)*(GMW!$HN$2:$HN$50=P$1),0),$B45-1973)</f>
        <v>5405</v>
      </c>
    </row>
    <row r="46" spans="1:16">
      <c r="B46">
        <f t="shared" si="2"/>
        <v>2019</v>
      </c>
      <c r="C46">
        <f t="shared" si="3"/>
        <v>1989</v>
      </c>
      <c r="D46">
        <f t="shared" si="3"/>
        <v>1989</v>
      </c>
      <c r="E46" cm="1">
        <f t="array" ref="E46">INDEX(GMW!$A$2:$HN$50,MATCH(1,(GMW!$HM$2:$HM$50=E$3)*(GMW!$HN$2:$HN$50=E$1),0),$B46-1973)</f>
        <v>349523</v>
      </c>
      <c r="F46" cm="1">
        <f t="array" ref="F46">INDEX(GMW!$A$2:$HN$50,MATCH(1,(GMW!$HM$2:$HM$50=F$3)*(GMW!$HN$2:$HN$50=F$1),0),$B46-1973)</f>
        <v>26880</v>
      </c>
      <c r="G46" cm="1">
        <f t="array" ref="G46">INDEX(GMW!$A$2:$HN$50,MATCH(1,(GMW!$HM$2:$HM$50=G$3)*(GMW!$HN$2:$HN$50=G$1),0),$B46-1973)</f>
        <v>2895.6689999999999</v>
      </c>
      <c r="H46" cm="1">
        <f t="array" ref="H46">INDEX(GMW!$A$2:$HN$50,MATCH(1,(GMW!$HM$2:$HM$50=H$3)*(GMW!$HN$2:$HN$50=H$1),0),$B46-1973)</f>
        <v>7</v>
      </c>
      <c r="I46" cm="1">
        <f t="array" ref="I46">INDEX(GMW!$A$2:$HN$50,MATCH(1,(GMW!$HM$2:$HM$50=I$3)*(GMW!$HN$2:$HN$50=I$1),0),$B46-1973)</f>
        <v>207949</v>
      </c>
      <c r="J46" cm="1">
        <f t="array" ref="J46">INDEX(GMW!$A$2:$HN$50,MATCH(1,(GMW!$HM$2:$HM$50=J$3)*(GMW!$HN$2:$HN$50=J$1),0),$B46-1973)</f>
        <v>5609</v>
      </c>
      <c r="K46" cm="1">
        <f t="array" ref="K46">INDEX(GMW!$A$2:$HN$50,MATCH(1,(GMW!$HM$2:$HM$50=K$3)*(GMW!$HN$2:$HN$50=K$1),0),$B46-1973)</f>
        <v>349523</v>
      </c>
      <c r="L46" cm="1">
        <f t="array" ref="L46">INDEX(GMW!$A$2:$HN$50,MATCH(1,(GMW!$HM$2:$HM$50=L$3)*(GMW!$HN$2:$HN$50=L$1),0),$B46-1973)</f>
        <v>26880</v>
      </c>
      <c r="M46" cm="1">
        <f t="array" ref="M46">INDEX(GMW!$A$2:$HN$50,MATCH(1,(GMW!$HM$2:$HM$50=M$3)*(GMW!$HN$2:$HN$50=M$1),0),$B46-1973)</f>
        <v>2895.6689999999999</v>
      </c>
      <c r="N46" cm="1">
        <f t="array" ref="N46">INDEX(GMW!$A$2:$HN$50,MATCH(1,(GMW!$HM$2:$HM$50=N$3)*(GMW!$HN$2:$HN$50=N$1),0),$B46-1973)</f>
        <v>7</v>
      </c>
      <c r="O46" cm="1">
        <f t="array" ref="O46">INDEX(GMW!$A$2:$HN$50,MATCH(1,(GMW!$HM$2:$HM$50=O$3)*(GMW!$HN$2:$HN$50=O$1),0),$B46-1973)</f>
        <v>207949</v>
      </c>
      <c r="P46" cm="1">
        <f t="array" ref="P46">INDEX(GMW!$A$2:$HN$50,MATCH(1,(GMW!$HM$2:$HM$50=P$3)*(GMW!$HN$2:$HN$50=P$1),0),$B46-1973)</f>
        <v>5609</v>
      </c>
    </row>
    <row r="47" spans="1:16">
      <c r="A47">
        <v>1990</v>
      </c>
      <c r="B47">
        <f t="shared" si="2"/>
        <v>2020</v>
      </c>
      <c r="C47">
        <f t="shared" si="3"/>
        <v>1990</v>
      </c>
      <c r="D47">
        <f t="shared" si="3"/>
        <v>1989</v>
      </c>
      <c r="E47" cm="1">
        <f t="array" ref="E47">INDEX(GMW!$A$2:$HN$50,MATCH(1,(GMW!$HM$2:$HM$50=E$3)*(GMW!$HN$2:$HN$50=E$1),0),$B47-1973)</f>
        <v>351299</v>
      </c>
      <c r="F47" cm="1">
        <f t="array" ref="F47">INDEX(GMW!$A$2:$HN$50,MATCH(1,(GMW!$HM$2:$HM$50=F$3)*(GMW!$HN$2:$HN$50=F$1),0),$B47-1973)</f>
        <v>26900</v>
      </c>
      <c r="G47" cm="1">
        <f t="array" ref="G47">INDEX(GMW!$A$2:$HN$50,MATCH(1,(GMW!$HM$2:$HM$50=G$3)*(GMW!$HN$2:$HN$50=G$1),0),$B47-1973)</f>
        <v>2978.6680000000001</v>
      </c>
      <c r="H47" cm="1">
        <f t="array" ref="H47">INDEX(GMW!$A$2:$HN$50,MATCH(1,(GMW!$HM$2:$HM$50=H$3)*(GMW!$HN$2:$HN$50=H$1),0),$B47-1973)</f>
        <v>6.9</v>
      </c>
      <c r="I47" cm="1">
        <f t="array" ref="I47">INDEX(GMW!$A$2:$HN$50,MATCH(1,(GMW!$HM$2:$HM$50=I$3)*(GMW!$HN$2:$HN$50=I$1),0),$B47-1973)</f>
        <v>213872</v>
      </c>
      <c r="J47" cm="1">
        <f t="array" ref="J47">INDEX(GMW!$A$2:$HN$50,MATCH(1,(GMW!$HM$2:$HM$50=J$3)*(GMW!$HN$2:$HN$50=J$1),0),$B47-1973)</f>
        <v>5594</v>
      </c>
      <c r="K47" cm="1">
        <f t="array" ref="K47">INDEX(GMW!$A$2:$HN$50,MATCH(1,(GMW!$HM$2:$HM$50=K$3)*(GMW!$HN$2:$HN$50=K$1),0),$B47-1973)</f>
        <v>351299</v>
      </c>
      <c r="L47" cm="1">
        <f t="array" ref="L47">INDEX(GMW!$A$2:$HN$50,MATCH(1,(GMW!$HM$2:$HM$50=L$3)*(GMW!$HN$2:$HN$50=L$1),0),$B47-1973)</f>
        <v>26900</v>
      </c>
      <c r="M47" cm="1">
        <f t="array" ref="M47">INDEX(GMW!$A$2:$HN$50,MATCH(1,(GMW!$HM$2:$HM$50=M$3)*(GMW!$HN$2:$HN$50=M$1),0),$B47-1973)</f>
        <v>2978.6680000000001</v>
      </c>
      <c r="N47" cm="1">
        <f t="array" ref="N47">INDEX(GMW!$A$2:$HN$50,MATCH(1,(GMW!$HM$2:$HM$50=N$3)*(GMW!$HN$2:$HN$50=N$1),0),$B47-1973)</f>
        <v>6.9</v>
      </c>
      <c r="O47" cm="1">
        <f t="array" ref="O47">INDEX(GMW!$A$2:$HN$50,MATCH(1,(GMW!$HM$2:$HM$50=O$3)*(GMW!$HN$2:$HN$50=O$1),0),$B47-1973)</f>
        <v>213872</v>
      </c>
      <c r="P47" cm="1">
        <f t="array" ref="P47">INDEX(GMW!$A$2:$HN$50,MATCH(1,(GMW!$HM$2:$HM$50=P$3)*(GMW!$HN$2:$HN$50=P$1),0),$B47-1973)</f>
        <v>5594</v>
      </c>
    </row>
    <row r="48" spans="1:16">
      <c r="B48">
        <f t="shared" si="2"/>
        <v>2021</v>
      </c>
      <c r="C48">
        <f t="shared" si="3"/>
        <v>1990</v>
      </c>
      <c r="D48">
        <f t="shared" si="3"/>
        <v>1990</v>
      </c>
      <c r="E48" cm="1">
        <f t="array" ref="E48">INDEX(GMW!$A$2:$HN$50,MATCH(1,(GMW!$HM$2:$HM$50=E$3)*(GMW!$HN$2:$HN$50=E$1),0),$B48-1973)</f>
        <v>353663</v>
      </c>
      <c r="F48" cm="1">
        <f t="array" ref="F48">INDEX(GMW!$A$2:$HN$50,MATCH(1,(GMW!$HM$2:$HM$50=F$3)*(GMW!$HN$2:$HN$50=F$1),0),$B48-1973)</f>
        <v>26935</v>
      </c>
      <c r="G48" cm="1">
        <f t="array" ref="G48">INDEX(GMW!$A$2:$HN$50,MATCH(1,(GMW!$HM$2:$HM$50=G$3)*(GMW!$HN$2:$HN$50=G$1),0),$B48-1973)</f>
        <v>3042.386</v>
      </c>
      <c r="H48" cm="1">
        <f t="array" ref="H48">INDEX(GMW!$A$2:$HN$50,MATCH(1,(GMW!$HM$2:$HM$50=H$3)*(GMW!$HN$2:$HN$50=H$1),0),$B48-1973)</f>
        <v>6.9</v>
      </c>
      <c r="I48" cm="1">
        <f t="array" ref="I48">INDEX(GMW!$A$2:$HN$50,MATCH(1,(GMW!$HM$2:$HM$50=I$3)*(GMW!$HN$2:$HN$50=I$1),0),$B48-1973)</f>
        <v>211391</v>
      </c>
      <c r="J48" cm="1">
        <f t="array" ref="J48">INDEX(GMW!$A$2:$HN$50,MATCH(1,(GMW!$HM$2:$HM$50=J$3)*(GMW!$HN$2:$HN$50=J$1),0),$B48-1973)</f>
        <v>5782</v>
      </c>
      <c r="K48" cm="1">
        <f t="array" ref="K48">INDEX(GMW!$A$2:$HN$50,MATCH(1,(GMW!$HM$2:$HM$50=K$3)*(GMW!$HN$2:$HN$50=K$1),0),$B48-1973)</f>
        <v>353663</v>
      </c>
      <c r="L48" cm="1">
        <f t="array" ref="L48">INDEX(GMW!$A$2:$HN$50,MATCH(1,(GMW!$HM$2:$HM$50=L$3)*(GMW!$HN$2:$HN$50=L$1),0),$B48-1973)</f>
        <v>26935</v>
      </c>
      <c r="M48" cm="1">
        <f t="array" ref="M48">INDEX(GMW!$A$2:$HN$50,MATCH(1,(GMW!$HM$2:$HM$50=M$3)*(GMW!$HN$2:$HN$50=M$1),0),$B48-1973)</f>
        <v>3042.386</v>
      </c>
      <c r="N48" cm="1">
        <f t="array" ref="N48">INDEX(GMW!$A$2:$HN$50,MATCH(1,(GMW!$HM$2:$HM$50=N$3)*(GMW!$HN$2:$HN$50=N$1),0),$B48-1973)</f>
        <v>6.9</v>
      </c>
      <c r="O48" cm="1">
        <f t="array" ref="O48">INDEX(GMW!$A$2:$HN$50,MATCH(1,(GMW!$HM$2:$HM$50=O$3)*(GMW!$HN$2:$HN$50=O$1),0),$B48-1973)</f>
        <v>211391</v>
      </c>
      <c r="P48" cm="1">
        <f t="array" ref="P48">INDEX(GMW!$A$2:$HN$50,MATCH(1,(GMW!$HM$2:$HM$50=P$3)*(GMW!$HN$2:$HN$50=P$1),0),$B48-1973)</f>
        <v>5782</v>
      </c>
    </row>
    <row r="49" spans="1:16">
      <c r="B49">
        <f t="shared" si="2"/>
        <v>2022</v>
      </c>
      <c r="C49">
        <f t="shared" si="3"/>
        <v>1990</v>
      </c>
      <c r="D49">
        <f t="shared" si="3"/>
        <v>1990</v>
      </c>
      <c r="E49" cm="1">
        <f t="array" ref="E49">INDEX(GMW!$A$2:$HN$50,MATCH(1,(GMW!$HM$2:$HM$50=E$3)*(GMW!$HN$2:$HN$50=E$1),0),$B49-1973)</f>
        <v>349780</v>
      </c>
      <c r="F49" cm="1">
        <f t="array" ref="F49">INDEX(GMW!$A$2:$HN$50,MATCH(1,(GMW!$HM$2:$HM$50=F$3)*(GMW!$HN$2:$HN$50=F$1),0),$B49-1973)</f>
        <v>26900</v>
      </c>
      <c r="G49" cm="1">
        <f t="array" ref="G49">INDEX(GMW!$A$2:$HN$50,MATCH(1,(GMW!$HM$2:$HM$50=G$3)*(GMW!$HN$2:$HN$50=G$1),0),$B49-1973)</f>
        <v>3096.3310000000001</v>
      </c>
      <c r="H49" cm="1">
        <f t="array" ref="H49">INDEX(GMW!$A$2:$HN$50,MATCH(1,(GMW!$HM$2:$HM$50=H$3)*(GMW!$HN$2:$HN$50=H$1),0),$B49-1973)</f>
        <v>7.1</v>
      </c>
      <c r="I49" cm="1">
        <f t="array" ref="I49">INDEX(GMW!$A$2:$HN$50,MATCH(1,(GMW!$HM$2:$HM$50=I$3)*(GMW!$HN$2:$HN$50=I$1),0),$B49-1973)</f>
        <v>213462</v>
      </c>
      <c r="J49" cm="1">
        <f t="array" ref="J49">INDEX(GMW!$A$2:$HN$50,MATCH(1,(GMW!$HM$2:$HM$50=J$3)*(GMW!$HN$2:$HN$50=J$1),0),$B49-1973)</f>
        <v>5930</v>
      </c>
      <c r="K49" cm="1">
        <f t="array" ref="K49">INDEX(GMW!$A$2:$HN$50,MATCH(1,(GMW!$HM$2:$HM$50=K$3)*(GMW!$HN$2:$HN$50=K$1),0),$B49-1973)</f>
        <v>349780</v>
      </c>
      <c r="L49" cm="1">
        <f t="array" ref="L49">INDEX(GMW!$A$2:$HN$50,MATCH(1,(GMW!$HM$2:$HM$50=L$3)*(GMW!$HN$2:$HN$50=L$1),0),$B49-1973)</f>
        <v>26900</v>
      </c>
      <c r="M49" cm="1">
        <f t="array" ref="M49">INDEX(GMW!$A$2:$HN$50,MATCH(1,(GMW!$HM$2:$HM$50=M$3)*(GMW!$HN$2:$HN$50=M$1),0),$B49-1973)</f>
        <v>3096.3310000000001</v>
      </c>
      <c r="N49" cm="1">
        <f t="array" ref="N49">INDEX(GMW!$A$2:$HN$50,MATCH(1,(GMW!$HM$2:$HM$50=N$3)*(GMW!$HN$2:$HN$50=N$1),0),$B49-1973)</f>
        <v>7.1</v>
      </c>
      <c r="O49" cm="1">
        <f t="array" ref="O49">INDEX(GMW!$A$2:$HN$50,MATCH(1,(GMW!$HM$2:$HM$50=O$3)*(GMW!$HN$2:$HN$50=O$1),0),$B49-1973)</f>
        <v>213462</v>
      </c>
      <c r="P49" cm="1">
        <f t="array" ref="P49">INDEX(GMW!$A$2:$HN$50,MATCH(1,(GMW!$HM$2:$HM$50=P$3)*(GMW!$HN$2:$HN$50=P$1),0),$B49-1973)</f>
        <v>5930</v>
      </c>
    </row>
    <row r="50" spans="1:16">
      <c r="B50">
        <f t="shared" si="2"/>
        <v>2023</v>
      </c>
      <c r="C50">
        <f t="shared" si="3"/>
        <v>1990</v>
      </c>
      <c r="D50">
        <f t="shared" si="3"/>
        <v>1990</v>
      </c>
      <c r="E50" cm="1">
        <f t="array" ref="E50">INDEX(GMW!$A$2:$HN$50,MATCH(1,(GMW!$HM$2:$HM$50=E$3)*(GMW!$HN$2:$HN$50=E$1),0),$B50-1973)</f>
        <v>348006</v>
      </c>
      <c r="F50" cm="1">
        <f t="array" ref="F50">INDEX(GMW!$A$2:$HN$50,MATCH(1,(GMW!$HM$2:$HM$50=F$3)*(GMW!$HN$2:$HN$50=F$1),0),$B50-1973)</f>
        <v>26750</v>
      </c>
      <c r="G50" cm="1">
        <f t="array" ref="G50">INDEX(GMW!$A$2:$HN$50,MATCH(1,(GMW!$HM$2:$HM$50=G$3)*(GMW!$HN$2:$HN$50=G$1),0),$B50-1973)</f>
        <v>3142.5079999999998</v>
      </c>
      <c r="H50" cm="1">
        <f t="array" ref="H50">INDEX(GMW!$A$2:$HN$50,MATCH(1,(GMW!$HM$2:$HM$50=H$3)*(GMW!$HN$2:$HN$50=H$1),0),$B50-1973)</f>
        <v>7.5</v>
      </c>
      <c r="I50" cm="1">
        <f t="array" ref="I50">INDEX(GMW!$A$2:$HN$50,MATCH(1,(GMW!$HM$2:$HM$50=I$3)*(GMW!$HN$2:$HN$50=I$1),0),$B50-1973)</f>
        <v>216821</v>
      </c>
      <c r="J50" cm="1">
        <f t="array" ref="J50">INDEX(GMW!$A$2:$HN$50,MATCH(1,(GMW!$HM$2:$HM$50=J$3)*(GMW!$HN$2:$HN$50=J$1),0),$B50-1973)</f>
        <v>6012</v>
      </c>
      <c r="K50" cm="1">
        <f t="array" ref="K50">INDEX(GMW!$A$2:$HN$50,MATCH(1,(GMW!$HM$2:$HM$50=K$3)*(GMW!$HN$2:$HN$50=K$1),0),$B50-1973)</f>
        <v>348006</v>
      </c>
      <c r="L50" cm="1">
        <f t="array" ref="L50">INDEX(GMW!$A$2:$HN$50,MATCH(1,(GMW!$HM$2:$HM$50=L$3)*(GMW!$HN$2:$HN$50=L$1),0),$B50-1973)</f>
        <v>26750</v>
      </c>
      <c r="M50" cm="1">
        <f t="array" ref="M50">INDEX(GMW!$A$2:$HN$50,MATCH(1,(GMW!$HM$2:$HM$50=M$3)*(GMW!$HN$2:$HN$50=M$1),0),$B50-1973)</f>
        <v>3142.5079999999998</v>
      </c>
      <c r="N50" cm="1">
        <f t="array" ref="N50">INDEX(GMW!$A$2:$HN$50,MATCH(1,(GMW!$HM$2:$HM$50=N$3)*(GMW!$HN$2:$HN$50=N$1),0),$B50-1973)</f>
        <v>7.5</v>
      </c>
      <c r="O50" cm="1">
        <f t="array" ref="O50">INDEX(GMW!$A$2:$HN$50,MATCH(1,(GMW!$HM$2:$HM$50=O$3)*(GMW!$HN$2:$HN$50=O$1),0),$B50-1973)</f>
        <v>216821</v>
      </c>
      <c r="P50" cm="1">
        <f t="array" ref="P50">INDEX(GMW!$A$2:$HN$50,MATCH(1,(GMW!$HM$2:$HM$50=P$3)*(GMW!$HN$2:$HN$50=P$1),0),$B50-1973)</f>
        <v>6012</v>
      </c>
    </row>
    <row r="51" spans="1:16">
      <c r="A51">
        <v>1991</v>
      </c>
      <c r="B51">
        <f t="shared" si="2"/>
        <v>2024</v>
      </c>
      <c r="C51">
        <f t="shared" si="3"/>
        <v>1991</v>
      </c>
      <c r="D51">
        <f t="shared" si="3"/>
        <v>1990</v>
      </c>
      <c r="E51" cm="1">
        <f t="array" ref="E51">INDEX(GMW!$A$2:$HN$50,MATCH(1,(GMW!$HM$2:$HM$50=E$3)*(GMW!$HN$2:$HN$50=E$1),0),$B51-1973)</f>
        <v>346292</v>
      </c>
      <c r="F51" cm="1">
        <f t="array" ref="F51">INDEX(GMW!$A$2:$HN$50,MATCH(1,(GMW!$HM$2:$HM$50=F$3)*(GMW!$HN$2:$HN$50=F$1),0),$B51-1973)</f>
        <v>26530</v>
      </c>
      <c r="G51" cm="1">
        <f t="array" ref="G51">INDEX(GMW!$A$2:$HN$50,MATCH(1,(GMW!$HM$2:$HM$50=G$3)*(GMW!$HN$2:$HN$50=G$1),0),$B51-1973)</f>
        <v>3224.9960000000001</v>
      </c>
      <c r="H51" cm="1">
        <f t="array" ref="H51">INDEX(GMW!$A$2:$HN$50,MATCH(1,(GMW!$HM$2:$HM$50=H$3)*(GMW!$HN$2:$HN$50=H$1),0),$B51-1973)</f>
        <v>8</v>
      </c>
      <c r="I51" cm="1">
        <f t="array" ref="I51">INDEX(GMW!$A$2:$HN$50,MATCH(1,(GMW!$HM$2:$HM$50=I$3)*(GMW!$HN$2:$HN$50=I$1),0),$B51-1973)</f>
        <v>218128</v>
      </c>
      <c r="J51" cm="1">
        <f t="array" ref="J51">INDEX(GMW!$A$2:$HN$50,MATCH(1,(GMW!$HM$2:$HM$50=J$3)*(GMW!$HN$2:$HN$50=J$1),0),$B51-1973)</f>
        <v>5974</v>
      </c>
      <c r="K51" cm="1">
        <f t="array" ref="K51">INDEX(GMW!$A$2:$HN$50,MATCH(1,(GMW!$HM$2:$HM$50=K$3)*(GMW!$HN$2:$HN$50=K$1),0),$B51-1973)</f>
        <v>346292</v>
      </c>
      <c r="L51" cm="1">
        <f t="array" ref="L51">INDEX(GMW!$A$2:$HN$50,MATCH(1,(GMW!$HM$2:$HM$50=L$3)*(GMW!$HN$2:$HN$50=L$1),0),$B51-1973)</f>
        <v>26530</v>
      </c>
      <c r="M51" cm="1">
        <f t="array" ref="M51">INDEX(GMW!$A$2:$HN$50,MATCH(1,(GMW!$HM$2:$HM$50=M$3)*(GMW!$HN$2:$HN$50=M$1),0),$B51-1973)</f>
        <v>3224.9960000000001</v>
      </c>
      <c r="N51" cm="1">
        <f t="array" ref="N51">INDEX(GMW!$A$2:$HN$50,MATCH(1,(GMW!$HM$2:$HM$50=N$3)*(GMW!$HN$2:$HN$50=N$1),0),$B51-1973)</f>
        <v>8</v>
      </c>
      <c r="O51" cm="1">
        <f t="array" ref="O51">INDEX(GMW!$A$2:$HN$50,MATCH(1,(GMW!$HM$2:$HM$50=O$3)*(GMW!$HN$2:$HN$50=O$1),0),$B51-1973)</f>
        <v>218128</v>
      </c>
      <c r="P51" cm="1">
        <f t="array" ref="P51">INDEX(GMW!$A$2:$HN$50,MATCH(1,(GMW!$HM$2:$HM$50=P$3)*(GMW!$HN$2:$HN$50=P$1),0),$B51-1973)</f>
        <v>5974</v>
      </c>
    </row>
    <row r="52" spans="1:16">
      <c r="B52">
        <f t="shared" si="2"/>
        <v>2025</v>
      </c>
      <c r="C52">
        <f t="shared" si="3"/>
        <v>1991</v>
      </c>
      <c r="D52">
        <f t="shared" si="3"/>
        <v>1991</v>
      </c>
      <c r="E52" cm="1">
        <f t="array" ref="E52">INDEX(GMW!$A$2:$HN$50,MATCH(1,(GMW!$HM$2:$HM$50=E$3)*(GMW!$HN$2:$HN$50=E$1),0),$B52-1973)</f>
        <v>345892</v>
      </c>
      <c r="F52" cm="1">
        <f t="array" ref="F52">INDEX(GMW!$A$2:$HN$50,MATCH(1,(GMW!$HM$2:$HM$50=F$3)*(GMW!$HN$2:$HN$50=F$1),0),$B52-1973)</f>
        <v>26275</v>
      </c>
      <c r="G52" cm="1">
        <f t="array" ref="G52">INDEX(GMW!$A$2:$HN$50,MATCH(1,(GMW!$HM$2:$HM$50=G$3)*(GMW!$HN$2:$HN$50=G$1),0),$B52-1973)</f>
        <v>3293.2919999999999</v>
      </c>
      <c r="H52" cm="1">
        <f t="array" ref="H52">INDEX(GMW!$A$2:$HN$50,MATCH(1,(GMW!$HM$2:$HM$50=H$3)*(GMW!$HN$2:$HN$50=H$1),0),$B52-1973)</f>
        <v>8.6999999999999993</v>
      </c>
      <c r="I52" cm="1">
        <f t="array" ref="I52">INDEX(GMW!$A$2:$HN$50,MATCH(1,(GMW!$HM$2:$HM$50=I$3)*(GMW!$HN$2:$HN$50=I$1),0),$B52-1973)</f>
        <v>214176</v>
      </c>
      <c r="J52" cm="1">
        <f t="array" ref="J52">INDEX(GMW!$A$2:$HN$50,MATCH(1,(GMW!$HM$2:$HM$50=J$3)*(GMW!$HN$2:$HN$50=J$1),0),$B52-1973)</f>
        <v>6126</v>
      </c>
      <c r="K52" cm="1">
        <f t="array" ref="K52">INDEX(GMW!$A$2:$HN$50,MATCH(1,(GMW!$HM$2:$HM$50=K$3)*(GMW!$HN$2:$HN$50=K$1),0),$B52-1973)</f>
        <v>345892</v>
      </c>
      <c r="L52" cm="1">
        <f t="array" ref="L52">INDEX(GMW!$A$2:$HN$50,MATCH(1,(GMW!$HM$2:$HM$50=L$3)*(GMW!$HN$2:$HN$50=L$1),0),$B52-1973)</f>
        <v>26275</v>
      </c>
      <c r="M52" cm="1">
        <f t="array" ref="M52">INDEX(GMW!$A$2:$HN$50,MATCH(1,(GMW!$HM$2:$HM$50=M$3)*(GMW!$HN$2:$HN$50=M$1),0),$B52-1973)</f>
        <v>3293.2919999999999</v>
      </c>
      <c r="N52" cm="1">
        <f t="array" ref="N52">INDEX(GMW!$A$2:$HN$50,MATCH(1,(GMW!$HM$2:$HM$50=N$3)*(GMW!$HN$2:$HN$50=N$1),0),$B52-1973)</f>
        <v>8.6999999999999993</v>
      </c>
      <c r="O52" cm="1">
        <f t="array" ref="O52">INDEX(GMW!$A$2:$HN$50,MATCH(1,(GMW!$HM$2:$HM$50=O$3)*(GMW!$HN$2:$HN$50=O$1),0),$B52-1973)</f>
        <v>214176</v>
      </c>
      <c r="P52" cm="1">
        <f t="array" ref="P52">INDEX(GMW!$A$2:$HN$50,MATCH(1,(GMW!$HM$2:$HM$50=P$3)*(GMW!$HN$2:$HN$50=P$1),0),$B52-1973)</f>
        <v>6126</v>
      </c>
    </row>
    <row r="53" spans="1:16">
      <c r="B53">
        <f t="shared" si="2"/>
        <v>2026</v>
      </c>
      <c r="C53">
        <f t="shared" si="3"/>
        <v>1991</v>
      </c>
      <c r="D53">
        <f t="shared" si="3"/>
        <v>1991</v>
      </c>
      <c r="E53" cm="1">
        <f t="array" ref="E53">INDEX(GMW!$A$2:$HN$50,MATCH(1,(GMW!$HM$2:$HM$50=E$3)*(GMW!$HN$2:$HN$50=E$1),0),$B53-1973)</f>
        <v>345216</v>
      </c>
      <c r="F53" cm="1">
        <f t="array" ref="F53">INDEX(GMW!$A$2:$HN$50,MATCH(1,(GMW!$HM$2:$HM$50=F$3)*(GMW!$HN$2:$HN$50=F$1),0),$B53-1973)</f>
        <v>26025</v>
      </c>
      <c r="G53" cm="1">
        <f t="array" ref="G53">INDEX(GMW!$A$2:$HN$50,MATCH(1,(GMW!$HM$2:$HM$50=G$3)*(GMW!$HN$2:$HN$50=G$1),0),$B53-1973)</f>
        <v>3373.0810000000001</v>
      </c>
      <c r="H53" cm="1">
        <f t="array" ref="H53">INDEX(GMW!$A$2:$HN$50,MATCH(1,(GMW!$HM$2:$HM$50=H$3)*(GMW!$HN$2:$HN$50=H$1),0),$B53-1973)</f>
        <v>9.1999999999999993</v>
      </c>
      <c r="I53" cm="1">
        <f t="array" ref="I53">INDEX(GMW!$A$2:$HN$50,MATCH(1,(GMW!$HM$2:$HM$50=I$3)*(GMW!$HN$2:$HN$50=I$1),0),$B53-1973)</f>
        <v>220568</v>
      </c>
      <c r="J53" cm="1">
        <f t="array" ref="J53">INDEX(GMW!$A$2:$HN$50,MATCH(1,(GMW!$HM$2:$HM$50=J$3)*(GMW!$HN$2:$HN$50=J$1),0),$B53-1973)</f>
        <v>6125</v>
      </c>
      <c r="K53" cm="1">
        <f t="array" ref="K53">INDEX(GMW!$A$2:$HN$50,MATCH(1,(GMW!$HM$2:$HM$50=K$3)*(GMW!$HN$2:$HN$50=K$1),0),$B53-1973)</f>
        <v>345216</v>
      </c>
      <c r="L53" cm="1">
        <f t="array" ref="L53">INDEX(GMW!$A$2:$HN$50,MATCH(1,(GMW!$HM$2:$HM$50=L$3)*(GMW!$HN$2:$HN$50=L$1),0),$B53-1973)</f>
        <v>26025</v>
      </c>
      <c r="M53" cm="1">
        <f t="array" ref="M53">INDEX(GMW!$A$2:$HN$50,MATCH(1,(GMW!$HM$2:$HM$50=M$3)*(GMW!$HN$2:$HN$50=M$1),0),$B53-1973)</f>
        <v>3373.0810000000001</v>
      </c>
      <c r="N53" cm="1">
        <f t="array" ref="N53">INDEX(GMW!$A$2:$HN$50,MATCH(1,(GMW!$HM$2:$HM$50=N$3)*(GMW!$HN$2:$HN$50=N$1),0),$B53-1973)</f>
        <v>9.1999999999999993</v>
      </c>
      <c r="O53" cm="1">
        <f t="array" ref="O53">INDEX(GMW!$A$2:$HN$50,MATCH(1,(GMW!$HM$2:$HM$50=O$3)*(GMW!$HN$2:$HN$50=O$1),0),$B53-1973)</f>
        <v>220568</v>
      </c>
      <c r="P53" cm="1">
        <f t="array" ref="P53">INDEX(GMW!$A$2:$HN$50,MATCH(1,(GMW!$HM$2:$HM$50=P$3)*(GMW!$HN$2:$HN$50=P$1),0),$B53-1973)</f>
        <v>6125</v>
      </c>
    </row>
    <row r="54" spans="1:16">
      <c r="B54">
        <f t="shared" si="2"/>
        <v>2027</v>
      </c>
      <c r="C54">
        <f t="shared" si="3"/>
        <v>1991</v>
      </c>
      <c r="D54">
        <f t="shared" si="3"/>
        <v>1991</v>
      </c>
      <c r="E54" cm="1">
        <f t="array" ref="E54">INDEX(GMW!$A$2:$HN$50,MATCH(1,(GMW!$HM$2:$HM$50=E$3)*(GMW!$HN$2:$HN$50=E$1),0),$B54-1973)</f>
        <v>345643</v>
      </c>
      <c r="F54" cm="1">
        <f t="array" ref="F54">INDEX(GMW!$A$2:$HN$50,MATCH(1,(GMW!$HM$2:$HM$50=F$3)*(GMW!$HN$2:$HN$50=F$1),0),$B54-1973)</f>
        <v>25820</v>
      </c>
      <c r="G54" cm="1">
        <f t="array" ref="G54">INDEX(GMW!$A$2:$HN$50,MATCH(1,(GMW!$HM$2:$HM$50=G$3)*(GMW!$HN$2:$HN$50=G$1),0),$B54-1973)</f>
        <v>3431.9459999999999</v>
      </c>
      <c r="H54" cm="1">
        <f t="array" ref="H54">INDEX(GMW!$A$2:$HN$50,MATCH(1,(GMW!$HM$2:$HM$50=H$3)*(GMW!$HN$2:$HN$50=H$1),0),$B54-1973)</f>
        <v>9.5</v>
      </c>
      <c r="I54" cm="1">
        <f t="array" ref="I54">INDEX(GMW!$A$2:$HN$50,MATCH(1,(GMW!$HM$2:$HM$50=I$3)*(GMW!$HN$2:$HN$50=I$1),0),$B54-1973)</f>
        <v>220151</v>
      </c>
      <c r="J54" cm="1">
        <f t="array" ref="J54">INDEX(GMW!$A$2:$HN$50,MATCH(1,(GMW!$HM$2:$HM$50=J$3)*(GMW!$HN$2:$HN$50=J$1),0),$B54-1973)</f>
        <v>6492</v>
      </c>
      <c r="K54" cm="1">
        <f t="array" ref="K54">INDEX(GMW!$A$2:$HN$50,MATCH(1,(GMW!$HM$2:$HM$50=K$3)*(GMW!$HN$2:$HN$50=K$1),0),$B54-1973)</f>
        <v>345643</v>
      </c>
      <c r="L54" cm="1">
        <f t="array" ref="L54">INDEX(GMW!$A$2:$HN$50,MATCH(1,(GMW!$HM$2:$HM$50=L$3)*(GMW!$HN$2:$HN$50=L$1),0),$B54-1973)</f>
        <v>25820</v>
      </c>
      <c r="M54" cm="1">
        <f t="array" ref="M54">INDEX(GMW!$A$2:$HN$50,MATCH(1,(GMW!$HM$2:$HM$50=M$3)*(GMW!$HN$2:$HN$50=M$1),0),$B54-1973)</f>
        <v>3431.9459999999999</v>
      </c>
      <c r="N54" cm="1">
        <f t="array" ref="N54">INDEX(GMW!$A$2:$HN$50,MATCH(1,(GMW!$HM$2:$HM$50=N$3)*(GMW!$HN$2:$HN$50=N$1),0),$B54-1973)</f>
        <v>9.5</v>
      </c>
      <c r="O54" cm="1">
        <f t="array" ref="O54">INDEX(GMW!$A$2:$HN$50,MATCH(1,(GMW!$HM$2:$HM$50=O$3)*(GMW!$HN$2:$HN$50=O$1),0),$B54-1973)</f>
        <v>220151</v>
      </c>
      <c r="P54" cm="1">
        <f t="array" ref="P54">INDEX(GMW!$A$2:$HN$50,MATCH(1,(GMW!$HM$2:$HM$50=P$3)*(GMW!$HN$2:$HN$50=P$1),0),$B54-1973)</f>
        <v>6492</v>
      </c>
    </row>
    <row r="55" spans="1:16">
      <c r="A55">
        <v>1992</v>
      </c>
      <c r="B55">
        <f t="shared" si="2"/>
        <v>2028</v>
      </c>
      <c r="C55">
        <f t="shared" si="3"/>
        <v>1992</v>
      </c>
      <c r="D55">
        <f t="shared" si="3"/>
        <v>1991</v>
      </c>
      <c r="E55" cm="1">
        <f t="array" ref="E55">INDEX(GMW!$A$2:$HN$50,MATCH(1,(GMW!$HM$2:$HM$50=E$3)*(GMW!$HN$2:$HN$50=E$1),0),$B55-1973)</f>
        <v>345523</v>
      </c>
      <c r="F55" cm="1">
        <f t="array" ref="F55">INDEX(GMW!$A$2:$HN$50,MATCH(1,(GMW!$HM$2:$HM$50=F$3)*(GMW!$HN$2:$HN$50=F$1),0),$B55-1973)</f>
        <v>25710</v>
      </c>
      <c r="G55" cm="1">
        <f t="array" ref="G55">INDEX(GMW!$A$2:$HN$50,MATCH(1,(GMW!$HM$2:$HM$50=G$3)*(GMW!$HN$2:$HN$50=G$1),0),$B55-1973)</f>
        <v>3467.9760000000001</v>
      </c>
      <c r="H55" cm="1">
        <f t="array" ref="H55">INDEX(GMW!$A$2:$HN$50,MATCH(1,(GMW!$HM$2:$HM$50=H$3)*(GMW!$HN$2:$HN$50=H$1),0),$B55-1973)</f>
        <v>9.6999999999999993</v>
      </c>
      <c r="I55" cm="1">
        <f t="array" ref="I55">INDEX(GMW!$A$2:$HN$50,MATCH(1,(GMW!$HM$2:$HM$50=I$3)*(GMW!$HN$2:$HN$50=I$1),0),$B55-1973)</f>
        <v>221591</v>
      </c>
      <c r="J55" cm="1">
        <f t="array" ref="J55">INDEX(GMW!$A$2:$HN$50,MATCH(1,(GMW!$HM$2:$HM$50=J$3)*(GMW!$HN$2:$HN$50=J$1),0),$B55-1973)</f>
        <v>6453</v>
      </c>
      <c r="K55" cm="1">
        <f t="array" ref="K55">INDEX(GMW!$A$2:$HN$50,MATCH(1,(GMW!$HM$2:$HM$50=K$3)*(GMW!$HN$2:$HN$50=K$1),0),$B55-1973)</f>
        <v>345523</v>
      </c>
      <c r="L55" cm="1">
        <f t="array" ref="L55">INDEX(GMW!$A$2:$HN$50,MATCH(1,(GMW!$HM$2:$HM$50=L$3)*(GMW!$HN$2:$HN$50=L$1),0),$B55-1973)</f>
        <v>25710</v>
      </c>
      <c r="M55" cm="1">
        <f t="array" ref="M55">INDEX(GMW!$A$2:$HN$50,MATCH(1,(GMW!$HM$2:$HM$50=M$3)*(GMW!$HN$2:$HN$50=M$1),0),$B55-1973)</f>
        <v>3467.9760000000001</v>
      </c>
      <c r="N55" cm="1">
        <f t="array" ref="N55">INDEX(GMW!$A$2:$HN$50,MATCH(1,(GMW!$HM$2:$HM$50=N$3)*(GMW!$HN$2:$HN$50=N$1),0),$B55-1973)</f>
        <v>9.6999999999999993</v>
      </c>
      <c r="O55" cm="1">
        <f t="array" ref="O55">INDEX(GMW!$A$2:$HN$50,MATCH(1,(GMW!$HM$2:$HM$50=O$3)*(GMW!$HN$2:$HN$50=O$1),0),$B55-1973)</f>
        <v>221591</v>
      </c>
      <c r="P55" cm="1">
        <f t="array" ref="P55">INDEX(GMW!$A$2:$HN$50,MATCH(1,(GMW!$HM$2:$HM$50=P$3)*(GMW!$HN$2:$HN$50=P$1),0),$B55-1973)</f>
        <v>6453</v>
      </c>
    </row>
    <row r="56" spans="1:16">
      <c r="B56">
        <f t="shared" si="2"/>
        <v>2029</v>
      </c>
      <c r="C56">
        <f t="shared" si="3"/>
        <v>1992</v>
      </c>
      <c r="D56">
        <f t="shared" si="3"/>
        <v>1992</v>
      </c>
      <c r="E56" cm="1">
        <f t="array" ref="E56">INDEX(GMW!$A$2:$HN$50,MATCH(1,(GMW!$HM$2:$HM$50=E$3)*(GMW!$HN$2:$HN$50=E$1),0),$B56-1973)</f>
        <v>344987</v>
      </c>
      <c r="F56" cm="1">
        <f t="array" ref="F56">INDEX(GMW!$A$2:$HN$50,MATCH(1,(GMW!$HM$2:$HM$50=F$3)*(GMW!$HN$2:$HN$50=F$1),0),$B56-1973)</f>
        <v>25605</v>
      </c>
      <c r="G56" cm="1">
        <f t="array" ref="G56">INDEX(GMW!$A$2:$HN$50,MATCH(1,(GMW!$HM$2:$HM$50=G$3)*(GMW!$HN$2:$HN$50=G$1),0),$B56-1973)</f>
        <v>3483.1289999999999</v>
      </c>
      <c r="H56" cm="1">
        <f t="array" ref="H56">INDEX(GMW!$A$2:$HN$50,MATCH(1,(GMW!$HM$2:$HM$50=H$3)*(GMW!$HN$2:$HN$50=H$1),0),$B56-1973)</f>
        <v>9.8000000000000007</v>
      </c>
      <c r="I56" cm="1">
        <f t="array" ref="I56">INDEX(GMW!$A$2:$HN$50,MATCH(1,(GMW!$HM$2:$HM$50=I$3)*(GMW!$HN$2:$HN$50=I$1),0),$B56-1973)</f>
        <v>223785</v>
      </c>
      <c r="J56" cm="1">
        <f t="array" ref="J56">INDEX(GMW!$A$2:$HN$50,MATCH(1,(GMW!$HM$2:$HM$50=J$3)*(GMW!$HN$2:$HN$50=J$1),0),$B56-1973)</f>
        <v>6234</v>
      </c>
      <c r="K56" cm="1">
        <f t="array" ref="K56">INDEX(GMW!$A$2:$HN$50,MATCH(1,(GMW!$HM$2:$HM$50=K$3)*(GMW!$HN$2:$HN$50=K$1),0),$B56-1973)</f>
        <v>344987</v>
      </c>
      <c r="L56" cm="1">
        <f t="array" ref="L56">INDEX(GMW!$A$2:$HN$50,MATCH(1,(GMW!$HM$2:$HM$50=L$3)*(GMW!$HN$2:$HN$50=L$1),0),$B56-1973)</f>
        <v>25605</v>
      </c>
      <c r="M56" cm="1">
        <f t="array" ref="M56">INDEX(GMW!$A$2:$HN$50,MATCH(1,(GMW!$HM$2:$HM$50=M$3)*(GMW!$HN$2:$HN$50=M$1),0),$B56-1973)</f>
        <v>3483.1289999999999</v>
      </c>
      <c r="N56" cm="1">
        <f t="array" ref="N56">INDEX(GMW!$A$2:$HN$50,MATCH(1,(GMW!$HM$2:$HM$50=N$3)*(GMW!$HN$2:$HN$50=N$1),0),$B56-1973)</f>
        <v>9.8000000000000007</v>
      </c>
      <c r="O56" cm="1">
        <f t="array" ref="O56">INDEX(GMW!$A$2:$HN$50,MATCH(1,(GMW!$HM$2:$HM$50=O$3)*(GMW!$HN$2:$HN$50=O$1),0),$B56-1973)</f>
        <v>223785</v>
      </c>
      <c r="P56" cm="1">
        <f t="array" ref="P56">INDEX(GMW!$A$2:$HN$50,MATCH(1,(GMW!$HM$2:$HM$50=P$3)*(GMW!$HN$2:$HN$50=P$1),0),$B56-1973)</f>
        <v>6234</v>
      </c>
    </row>
    <row r="57" spans="1:16">
      <c r="B57">
        <f t="shared" si="2"/>
        <v>2030</v>
      </c>
      <c r="C57">
        <f t="shared" si="3"/>
        <v>1992</v>
      </c>
      <c r="D57">
        <f t="shared" si="3"/>
        <v>1992</v>
      </c>
      <c r="E57" cm="1">
        <f t="array" ref="E57">INDEX(GMW!$A$2:$HN$50,MATCH(1,(GMW!$HM$2:$HM$50=E$3)*(GMW!$HN$2:$HN$50=E$1),0),$B57-1973)</f>
        <v>346628</v>
      </c>
      <c r="F57" cm="1">
        <f t="array" ref="F57">INDEX(GMW!$A$2:$HN$50,MATCH(1,(GMW!$HM$2:$HM$50=F$3)*(GMW!$HN$2:$HN$50=F$1),0),$B57-1973)</f>
        <v>25509</v>
      </c>
      <c r="G57" cm="1">
        <f t="array" ref="G57">INDEX(GMW!$A$2:$HN$50,MATCH(1,(GMW!$HM$2:$HM$50=G$3)*(GMW!$HN$2:$HN$50=G$1),0),$B57-1973)</f>
        <v>3486.288</v>
      </c>
      <c r="H57" cm="1">
        <f t="array" ref="H57">INDEX(GMW!$A$2:$HN$50,MATCH(1,(GMW!$HM$2:$HM$50=H$3)*(GMW!$HN$2:$HN$50=H$1),0),$B57-1973)</f>
        <v>9.9</v>
      </c>
      <c r="I57" cm="1">
        <f t="array" ref="I57">INDEX(GMW!$A$2:$HN$50,MATCH(1,(GMW!$HM$2:$HM$50=I$3)*(GMW!$HN$2:$HN$50=I$1),0),$B57-1973)</f>
        <v>225633</v>
      </c>
      <c r="J57" cm="1">
        <f t="array" ref="J57">INDEX(GMW!$A$2:$HN$50,MATCH(1,(GMW!$HM$2:$HM$50=J$3)*(GMW!$HN$2:$HN$50=J$1),0),$B57-1973)</f>
        <v>6198</v>
      </c>
      <c r="K57" cm="1">
        <f t="array" ref="K57">INDEX(GMW!$A$2:$HN$50,MATCH(1,(GMW!$HM$2:$HM$50=K$3)*(GMW!$HN$2:$HN$50=K$1),0),$B57-1973)</f>
        <v>346628</v>
      </c>
      <c r="L57" cm="1">
        <f t="array" ref="L57">INDEX(GMW!$A$2:$HN$50,MATCH(1,(GMW!$HM$2:$HM$50=L$3)*(GMW!$HN$2:$HN$50=L$1),0),$B57-1973)</f>
        <v>25509</v>
      </c>
      <c r="M57" cm="1">
        <f t="array" ref="M57">INDEX(GMW!$A$2:$HN$50,MATCH(1,(GMW!$HM$2:$HM$50=M$3)*(GMW!$HN$2:$HN$50=M$1),0),$B57-1973)</f>
        <v>3486.288</v>
      </c>
      <c r="N57" cm="1">
        <f t="array" ref="N57">INDEX(GMW!$A$2:$HN$50,MATCH(1,(GMW!$HM$2:$HM$50=N$3)*(GMW!$HN$2:$HN$50=N$1),0),$B57-1973)</f>
        <v>9.9</v>
      </c>
      <c r="O57" cm="1">
        <f t="array" ref="O57">INDEX(GMW!$A$2:$HN$50,MATCH(1,(GMW!$HM$2:$HM$50=O$3)*(GMW!$HN$2:$HN$50=O$1),0),$B57-1973)</f>
        <v>225633</v>
      </c>
      <c r="P57" cm="1">
        <f t="array" ref="P57">INDEX(GMW!$A$2:$HN$50,MATCH(1,(GMW!$HM$2:$HM$50=P$3)*(GMW!$HN$2:$HN$50=P$1),0),$B57-1973)</f>
        <v>6198</v>
      </c>
    </row>
    <row r="58" spans="1:16">
      <c r="B58">
        <f t="shared" si="2"/>
        <v>2031</v>
      </c>
      <c r="C58">
        <f t="shared" si="3"/>
        <v>1992</v>
      </c>
      <c r="D58">
        <f t="shared" si="3"/>
        <v>1992</v>
      </c>
      <c r="E58" cm="1">
        <f t="array" ref="E58">INDEX(GMW!$A$2:$HN$50,MATCH(1,(GMW!$HM$2:$HM$50=E$3)*(GMW!$HN$2:$HN$50=E$1),0),$B58-1973)</f>
        <v>349299</v>
      </c>
      <c r="F58" cm="1">
        <f t="array" ref="F58">INDEX(GMW!$A$2:$HN$50,MATCH(1,(GMW!$HM$2:$HM$50=F$3)*(GMW!$HN$2:$HN$50=F$1),0),$B58-1973)</f>
        <v>25336</v>
      </c>
      <c r="G58" cm="1">
        <f t="array" ref="G58">INDEX(GMW!$A$2:$HN$50,MATCH(1,(GMW!$HM$2:$HM$50=G$3)*(GMW!$HN$2:$HN$50=G$1),0),$B58-1973)</f>
        <v>3519.4830000000002</v>
      </c>
      <c r="H58" cm="1">
        <f t="array" ref="H58">INDEX(GMW!$A$2:$HN$50,MATCH(1,(GMW!$HM$2:$HM$50=H$3)*(GMW!$HN$2:$HN$50=H$1),0),$B58-1973)</f>
        <v>10.4</v>
      </c>
      <c r="I58" cm="1">
        <f t="array" ref="I58">INDEX(GMW!$A$2:$HN$50,MATCH(1,(GMW!$HM$2:$HM$50=I$3)*(GMW!$HN$2:$HN$50=I$1),0),$B58-1973)</f>
        <v>225562</v>
      </c>
      <c r="J58" cm="1">
        <f t="array" ref="J58">INDEX(GMW!$A$2:$HN$50,MATCH(1,(GMW!$HM$2:$HM$50=J$3)*(GMW!$HN$2:$HN$50=J$1),0),$B58-1973)</f>
        <v>6517</v>
      </c>
      <c r="K58" cm="1">
        <f t="array" ref="K58">INDEX(GMW!$A$2:$HN$50,MATCH(1,(GMW!$HM$2:$HM$50=K$3)*(GMW!$HN$2:$HN$50=K$1),0),$B58-1973)</f>
        <v>349299</v>
      </c>
      <c r="L58" cm="1">
        <f t="array" ref="L58">INDEX(GMW!$A$2:$HN$50,MATCH(1,(GMW!$HM$2:$HM$50=L$3)*(GMW!$HN$2:$HN$50=L$1),0),$B58-1973)</f>
        <v>25336</v>
      </c>
      <c r="M58" cm="1">
        <f t="array" ref="M58">INDEX(GMW!$A$2:$HN$50,MATCH(1,(GMW!$HM$2:$HM$50=M$3)*(GMW!$HN$2:$HN$50=M$1),0),$B58-1973)</f>
        <v>3519.4830000000002</v>
      </c>
      <c r="N58" cm="1">
        <f t="array" ref="N58">INDEX(GMW!$A$2:$HN$50,MATCH(1,(GMW!$HM$2:$HM$50=N$3)*(GMW!$HN$2:$HN$50=N$1),0),$B58-1973)</f>
        <v>10.4</v>
      </c>
      <c r="O58" cm="1">
        <f t="array" ref="O58">INDEX(GMW!$A$2:$HN$50,MATCH(1,(GMW!$HM$2:$HM$50=O$3)*(GMW!$HN$2:$HN$50=O$1),0),$B58-1973)</f>
        <v>225562</v>
      </c>
      <c r="P58" cm="1">
        <f t="array" ref="P58">INDEX(GMW!$A$2:$HN$50,MATCH(1,(GMW!$HM$2:$HM$50=P$3)*(GMW!$HN$2:$HN$50=P$1),0),$B58-1973)</f>
        <v>6517</v>
      </c>
    </row>
    <row r="59" spans="1:16">
      <c r="A59">
        <v>1993</v>
      </c>
      <c r="B59">
        <f t="shared" si="2"/>
        <v>2032</v>
      </c>
      <c r="C59">
        <f t="shared" si="3"/>
        <v>1993</v>
      </c>
      <c r="D59">
        <f t="shared" si="3"/>
        <v>1992</v>
      </c>
      <c r="E59" cm="1">
        <f t="array" ref="E59">INDEX(GMW!$A$2:$HN$50,MATCH(1,(GMW!$HM$2:$HM$50=E$3)*(GMW!$HN$2:$HN$50=E$1),0),$B59-1973)</f>
        <v>351046</v>
      </c>
      <c r="F59" cm="1">
        <f t="array" ref="F59">INDEX(GMW!$A$2:$HN$50,MATCH(1,(GMW!$HM$2:$HM$50=F$3)*(GMW!$HN$2:$HN$50=F$1),0),$B59-1973)</f>
        <v>25282</v>
      </c>
      <c r="G59" cm="1">
        <f t="array" ref="G59">INDEX(GMW!$A$2:$HN$50,MATCH(1,(GMW!$HM$2:$HM$50=G$3)*(GMW!$HN$2:$HN$50=G$1),0),$B59-1973)</f>
        <v>3533.2429999999999</v>
      </c>
      <c r="H59" cm="1">
        <f t="array" ref="H59">INDEX(GMW!$A$2:$HN$50,MATCH(1,(GMW!$HM$2:$HM$50=H$3)*(GMW!$HN$2:$HN$50=H$1),0),$B59-1973)</f>
        <v>10.6</v>
      </c>
      <c r="I59" cm="1">
        <f t="array" ref="I59">INDEX(GMW!$A$2:$HN$50,MATCH(1,(GMW!$HM$2:$HM$50=I$3)*(GMW!$HN$2:$HN$50=I$1),0),$B59-1973)</f>
        <v>224008</v>
      </c>
      <c r="J59" cm="1">
        <f t="array" ref="J59">INDEX(GMW!$A$2:$HN$50,MATCH(1,(GMW!$HM$2:$HM$50=J$3)*(GMW!$HN$2:$HN$50=J$1),0),$B59-1973)</f>
        <v>6477</v>
      </c>
      <c r="K59" cm="1">
        <f t="array" ref="K59">INDEX(GMW!$A$2:$HN$50,MATCH(1,(GMW!$HM$2:$HM$50=K$3)*(GMW!$HN$2:$HN$50=K$1),0),$B59-1973)</f>
        <v>351046</v>
      </c>
      <c r="L59" cm="1">
        <f t="array" ref="L59">INDEX(GMW!$A$2:$HN$50,MATCH(1,(GMW!$HM$2:$HM$50=L$3)*(GMW!$HN$2:$HN$50=L$1),0),$B59-1973)</f>
        <v>25282</v>
      </c>
      <c r="M59" cm="1">
        <f t="array" ref="M59">INDEX(GMW!$A$2:$HN$50,MATCH(1,(GMW!$HM$2:$HM$50=M$3)*(GMW!$HN$2:$HN$50=M$1),0),$B59-1973)</f>
        <v>3533.2429999999999</v>
      </c>
      <c r="N59" cm="1">
        <f t="array" ref="N59">INDEX(GMW!$A$2:$HN$50,MATCH(1,(GMW!$HM$2:$HM$50=N$3)*(GMW!$HN$2:$HN$50=N$1),0),$B59-1973)</f>
        <v>10.6</v>
      </c>
      <c r="O59" cm="1">
        <f t="array" ref="O59">INDEX(GMW!$A$2:$HN$50,MATCH(1,(GMW!$HM$2:$HM$50=O$3)*(GMW!$HN$2:$HN$50=O$1),0),$B59-1973)</f>
        <v>224008</v>
      </c>
      <c r="P59" cm="1">
        <f t="array" ref="P59">INDEX(GMW!$A$2:$HN$50,MATCH(1,(GMW!$HM$2:$HM$50=P$3)*(GMW!$HN$2:$HN$50=P$1),0),$B59-1973)</f>
        <v>6477</v>
      </c>
    </row>
    <row r="60" spans="1:16">
      <c r="B60">
        <f t="shared" si="2"/>
        <v>2033</v>
      </c>
      <c r="C60">
        <f t="shared" si="3"/>
        <v>1993</v>
      </c>
      <c r="D60">
        <f t="shared" si="3"/>
        <v>1993</v>
      </c>
      <c r="E60" cm="1">
        <f t="array" ref="E60">INDEX(GMW!$A$2:$HN$50,MATCH(1,(GMW!$HM$2:$HM$50=E$3)*(GMW!$HN$2:$HN$50=E$1),0),$B60-1973)</f>
        <v>352612</v>
      </c>
      <c r="F60" cm="1">
        <f t="array" ref="F60">INDEX(GMW!$A$2:$HN$50,MATCH(1,(GMW!$HM$2:$HM$50=F$3)*(GMW!$HN$2:$HN$50=F$1),0),$B60-1973)</f>
        <v>25293</v>
      </c>
      <c r="G60" cm="1">
        <f t="array" ref="G60">INDEX(GMW!$A$2:$HN$50,MATCH(1,(GMW!$HM$2:$HM$50=G$3)*(GMW!$HN$2:$HN$50=G$1),0),$B60-1973)</f>
        <v>3585.3939999999998</v>
      </c>
      <c r="H60" cm="1">
        <f t="array" ref="H60">INDEX(GMW!$A$2:$HN$50,MATCH(1,(GMW!$HM$2:$HM$50=H$3)*(GMW!$HN$2:$HN$50=H$1),0),$B60-1973)</f>
        <v>10.4</v>
      </c>
      <c r="I60" cm="1">
        <f t="array" ref="I60">INDEX(GMW!$A$2:$HN$50,MATCH(1,(GMW!$HM$2:$HM$50=I$3)*(GMW!$HN$2:$HN$50=I$1),0),$B60-1973)</f>
        <v>230278</v>
      </c>
      <c r="J60" cm="1">
        <f t="array" ref="J60">INDEX(GMW!$A$2:$HN$50,MATCH(1,(GMW!$HM$2:$HM$50=J$3)*(GMW!$HN$2:$HN$50=J$1),0),$B60-1973)</f>
        <v>6646</v>
      </c>
      <c r="K60" cm="1">
        <f t="array" ref="K60">INDEX(GMW!$A$2:$HN$50,MATCH(1,(GMW!$HM$2:$HM$50=K$3)*(GMW!$HN$2:$HN$50=K$1),0),$B60-1973)</f>
        <v>352612</v>
      </c>
      <c r="L60" cm="1">
        <f t="array" ref="L60">INDEX(GMW!$A$2:$HN$50,MATCH(1,(GMW!$HM$2:$HM$50=L$3)*(GMW!$HN$2:$HN$50=L$1),0),$B60-1973)</f>
        <v>25293</v>
      </c>
      <c r="M60" cm="1">
        <f t="array" ref="M60">INDEX(GMW!$A$2:$HN$50,MATCH(1,(GMW!$HM$2:$HM$50=M$3)*(GMW!$HN$2:$HN$50=M$1),0),$B60-1973)</f>
        <v>3585.3939999999998</v>
      </c>
      <c r="N60" cm="1">
        <f t="array" ref="N60">INDEX(GMW!$A$2:$HN$50,MATCH(1,(GMW!$HM$2:$HM$50=N$3)*(GMW!$HN$2:$HN$50=N$1),0),$B60-1973)</f>
        <v>10.4</v>
      </c>
      <c r="O60" cm="1">
        <f t="array" ref="O60">INDEX(GMW!$A$2:$HN$50,MATCH(1,(GMW!$HM$2:$HM$50=O$3)*(GMW!$HN$2:$HN$50=O$1),0),$B60-1973)</f>
        <v>230278</v>
      </c>
      <c r="P60" cm="1">
        <f t="array" ref="P60">INDEX(GMW!$A$2:$HN$50,MATCH(1,(GMW!$HM$2:$HM$50=P$3)*(GMW!$HN$2:$HN$50=P$1),0),$B60-1973)</f>
        <v>6646</v>
      </c>
    </row>
    <row r="61" spans="1:16">
      <c r="B61">
        <f t="shared" si="2"/>
        <v>2034</v>
      </c>
      <c r="C61">
        <f t="shared" si="3"/>
        <v>1993</v>
      </c>
      <c r="D61">
        <f t="shared" si="3"/>
        <v>1993</v>
      </c>
      <c r="E61" cm="1">
        <f t="array" ref="E61">INDEX(GMW!$A$2:$HN$50,MATCH(1,(GMW!$HM$2:$HM$50=E$3)*(GMW!$HN$2:$HN$50=E$1),0),$B61-1973)</f>
        <v>355841</v>
      </c>
      <c r="F61" cm="1">
        <f t="array" ref="F61">INDEX(GMW!$A$2:$HN$50,MATCH(1,(GMW!$HM$2:$HM$50=F$3)*(GMW!$HN$2:$HN$50=F$1),0),$B61-1973)</f>
        <v>25316</v>
      </c>
      <c r="G61" cm="1">
        <f t="array" ref="G61">INDEX(GMW!$A$2:$HN$50,MATCH(1,(GMW!$HM$2:$HM$50=G$3)*(GMW!$HN$2:$HN$50=G$1),0),$B61-1973)</f>
        <v>3630.5349999999999</v>
      </c>
      <c r="H61" cm="1">
        <f t="array" ref="H61">INDEX(GMW!$A$2:$HN$50,MATCH(1,(GMW!$HM$2:$HM$50=H$3)*(GMW!$HN$2:$HN$50=H$1),0),$B61-1973)</f>
        <v>10.199999999999999</v>
      </c>
      <c r="I61" cm="1">
        <f t="array" ref="I61">INDEX(GMW!$A$2:$HN$50,MATCH(1,(GMW!$HM$2:$HM$50=I$3)*(GMW!$HN$2:$HN$50=I$1),0),$B61-1973)</f>
        <v>232470</v>
      </c>
      <c r="J61" cm="1">
        <f t="array" ref="J61">INDEX(GMW!$A$2:$HN$50,MATCH(1,(GMW!$HM$2:$HM$50=J$3)*(GMW!$HN$2:$HN$50=J$1),0),$B61-1973)</f>
        <v>6727</v>
      </c>
      <c r="K61" cm="1">
        <f t="array" ref="K61">INDEX(GMW!$A$2:$HN$50,MATCH(1,(GMW!$HM$2:$HM$50=K$3)*(GMW!$HN$2:$HN$50=K$1),0),$B61-1973)</f>
        <v>355841</v>
      </c>
      <c r="L61" cm="1">
        <f t="array" ref="L61">INDEX(GMW!$A$2:$HN$50,MATCH(1,(GMW!$HM$2:$HM$50=L$3)*(GMW!$HN$2:$HN$50=L$1),0),$B61-1973)</f>
        <v>25316</v>
      </c>
      <c r="M61" cm="1">
        <f t="array" ref="M61">INDEX(GMW!$A$2:$HN$50,MATCH(1,(GMW!$HM$2:$HM$50=M$3)*(GMW!$HN$2:$HN$50=M$1),0),$B61-1973)</f>
        <v>3630.5349999999999</v>
      </c>
      <c r="N61" cm="1">
        <f t="array" ref="N61">INDEX(GMW!$A$2:$HN$50,MATCH(1,(GMW!$HM$2:$HM$50=N$3)*(GMW!$HN$2:$HN$50=N$1),0),$B61-1973)</f>
        <v>10.199999999999999</v>
      </c>
      <c r="O61" cm="1">
        <f t="array" ref="O61">INDEX(GMW!$A$2:$HN$50,MATCH(1,(GMW!$HM$2:$HM$50=O$3)*(GMW!$HN$2:$HN$50=O$1),0),$B61-1973)</f>
        <v>232470</v>
      </c>
      <c r="P61" cm="1">
        <f t="array" ref="P61">INDEX(GMW!$A$2:$HN$50,MATCH(1,(GMW!$HM$2:$HM$50=P$3)*(GMW!$HN$2:$HN$50=P$1),0),$B61-1973)</f>
        <v>6727</v>
      </c>
    </row>
    <row r="62" spans="1:16">
      <c r="B62">
        <f t="shared" si="2"/>
        <v>2035</v>
      </c>
      <c r="C62">
        <f t="shared" si="3"/>
        <v>1993</v>
      </c>
      <c r="D62">
        <f t="shared" si="3"/>
        <v>1993</v>
      </c>
      <c r="E62" cm="1">
        <f t="array" ref="E62">INDEX(GMW!$A$2:$HN$50,MATCH(1,(GMW!$HM$2:$HM$50=E$3)*(GMW!$HN$2:$HN$50=E$1),0),$B62-1973)</f>
        <v>358264</v>
      </c>
      <c r="F62" cm="1">
        <f t="array" ref="F62">INDEX(GMW!$A$2:$HN$50,MATCH(1,(GMW!$HM$2:$HM$50=F$3)*(GMW!$HN$2:$HN$50=F$1),0),$B62-1973)</f>
        <v>25320</v>
      </c>
      <c r="G62" cm="1">
        <f t="array" ref="G62">INDEX(GMW!$A$2:$HN$50,MATCH(1,(GMW!$HM$2:$HM$50=G$3)*(GMW!$HN$2:$HN$50=G$1),0),$B62-1973)</f>
        <v>3662.1970000000001</v>
      </c>
      <c r="H62" cm="1">
        <f t="array" ref="H62">INDEX(GMW!$A$2:$HN$50,MATCH(1,(GMW!$HM$2:$HM$50=H$3)*(GMW!$HN$2:$HN$50=H$1),0),$B62-1973)</f>
        <v>10.3</v>
      </c>
      <c r="I62" cm="1">
        <f t="array" ref="I62">INDEX(GMW!$A$2:$HN$50,MATCH(1,(GMW!$HM$2:$HM$50=I$3)*(GMW!$HN$2:$HN$50=I$1),0),$B62-1973)</f>
        <v>233411</v>
      </c>
      <c r="J62" cm="1">
        <f t="array" ref="J62">INDEX(GMW!$A$2:$HN$50,MATCH(1,(GMW!$HM$2:$HM$50=J$3)*(GMW!$HN$2:$HN$50=J$1),0),$B62-1973)</f>
        <v>6997</v>
      </c>
      <c r="K62" cm="1">
        <f t="array" ref="K62">INDEX(GMW!$A$2:$HN$50,MATCH(1,(GMW!$HM$2:$HM$50=K$3)*(GMW!$HN$2:$HN$50=K$1),0),$B62-1973)</f>
        <v>358264</v>
      </c>
      <c r="L62" cm="1">
        <f t="array" ref="L62">INDEX(GMW!$A$2:$HN$50,MATCH(1,(GMW!$HM$2:$HM$50=L$3)*(GMW!$HN$2:$HN$50=L$1),0),$B62-1973)</f>
        <v>25320</v>
      </c>
      <c r="M62" cm="1">
        <f t="array" ref="M62">INDEX(GMW!$A$2:$HN$50,MATCH(1,(GMW!$HM$2:$HM$50=M$3)*(GMW!$HN$2:$HN$50=M$1),0),$B62-1973)</f>
        <v>3662.1970000000001</v>
      </c>
      <c r="N62" cm="1">
        <f t="array" ref="N62">INDEX(GMW!$A$2:$HN$50,MATCH(1,(GMW!$HM$2:$HM$50=N$3)*(GMW!$HN$2:$HN$50=N$1),0),$B62-1973)</f>
        <v>10.3</v>
      </c>
      <c r="O62" cm="1">
        <f t="array" ref="O62">INDEX(GMW!$A$2:$HN$50,MATCH(1,(GMW!$HM$2:$HM$50=O$3)*(GMW!$HN$2:$HN$50=O$1),0),$B62-1973)</f>
        <v>233411</v>
      </c>
      <c r="P62" cm="1">
        <f t="array" ref="P62">INDEX(GMW!$A$2:$HN$50,MATCH(1,(GMW!$HM$2:$HM$50=P$3)*(GMW!$HN$2:$HN$50=P$1),0),$B62-1973)</f>
        <v>6997</v>
      </c>
    </row>
    <row r="63" spans="1:16">
      <c r="A63">
        <v>1994</v>
      </c>
      <c r="B63">
        <f t="shared" si="2"/>
        <v>2036</v>
      </c>
      <c r="C63">
        <f t="shared" si="3"/>
        <v>1994</v>
      </c>
      <c r="D63">
        <f t="shared" si="3"/>
        <v>1993</v>
      </c>
      <c r="E63" cm="1">
        <f t="array" ref="E63">INDEX(GMW!$A$2:$HN$50,MATCH(1,(GMW!$HM$2:$HM$50=E$3)*(GMW!$HN$2:$HN$50=E$1),0),$B63-1973)</f>
        <v>361793</v>
      </c>
      <c r="F63" cm="1">
        <f t="array" ref="F63">INDEX(GMW!$A$2:$HN$50,MATCH(1,(GMW!$HM$2:$HM$50=F$3)*(GMW!$HN$2:$HN$50=F$1),0),$B63-1973)</f>
        <v>25408</v>
      </c>
      <c r="G63" cm="1">
        <f t="array" ref="G63">INDEX(GMW!$A$2:$HN$50,MATCH(1,(GMW!$HM$2:$HM$50=G$3)*(GMW!$HN$2:$HN$50=G$1),0),$B63-1973)</f>
        <v>3681.2950000000001</v>
      </c>
      <c r="H63" cm="1">
        <f t="array" ref="H63">INDEX(GMW!$A$2:$HN$50,MATCH(1,(GMW!$HM$2:$HM$50=H$3)*(GMW!$HN$2:$HN$50=H$1),0),$B63-1973)</f>
        <v>9.9</v>
      </c>
      <c r="I63" cm="1">
        <f t="array" ref="I63">INDEX(GMW!$A$2:$HN$50,MATCH(1,(GMW!$HM$2:$HM$50=I$3)*(GMW!$HN$2:$HN$50=I$1),0),$B63-1973)</f>
        <v>232541</v>
      </c>
      <c r="J63" cm="1">
        <f t="array" ref="J63">INDEX(GMW!$A$2:$HN$50,MATCH(1,(GMW!$HM$2:$HM$50=J$3)*(GMW!$HN$2:$HN$50=J$1),0),$B63-1973)</f>
        <v>6841</v>
      </c>
      <c r="K63" cm="1">
        <f t="array" ref="K63">INDEX(GMW!$A$2:$HN$50,MATCH(1,(GMW!$HM$2:$HM$50=K$3)*(GMW!$HN$2:$HN$50=K$1),0),$B63-1973)</f>
        <v>361793</v>
      </c>
      <c r="L63" cm="1">
        <f t="array" ref="L63">INDEX(GMW!$A$2:$HN$50,MATCH(1,(GMW!$HM$2:$HM$50=L$3)*(GMW!$HN$2:$HN$50=L$1),0),$B63-1973)</f>
        <v>25408</v>
      </c>
      <c r="M63" cm="1">
        <f t="array" ref="M63">INDEX(GMW!$A$2:$HN$50,MATCH(1,(GMW!$HM$2:$HM$50=M$3)*(GMW!$HN$2:$HN$50=M$1),0),$B63-1973)</f>
        <v>3681.2950000000001</v>
      </c>
      <c r="N63" cm="1">
        <f t="array" ref="N63">INDEX(GMW!$A$2:$HN$50,MATCH(1,(GMW!$HM$2:$HM$50=N$3)*(GMW!$HN$2:$HN$50=N$1),0),$B63-1973)</f>
        <v>9.9</v>
      </c>
      <c r="O63" cm="1">
        <f t="array" ref="O63">INDEX(GMW!$A$2:$HN$50,MATCH(1,(GMW!$HM$2:$HM$50=O$3)*(GMW!$HN$2:$HN$50=O$1),0),$B63-1973)</f>
        <v>232541</v>
      </c>
      <c r="P63" cm="1">
        <f t="array" ref="P63">INDEX(GMW!$A$2:$HN$50,MATCH(1,(GMW!$HM$2:$HM$50=P$3)*(GMW!$HN$2:$HN$50=P$1),0),$B63-1973)</f>
        <v>6841</v>
      </c>
    </row>
    <row r="64" spans="1:16">
      <c r="B64">
        <f t="shared" si="2"/>
        <v>2037</v>
      </c>
      <c r="C64">
        <f t="shared" si="3"/>
        <v>1994</v>
      </c>
      <c r="D64">
        <f t="shared" si="3"/>
        <v>1994</v>
      </c>
      <c r="E64" cm="1">
        <f t="array" ref="E64">INDEX(GMW!$A$2:$HN$50,MATCH(1,(GMW!$HM$2:$HM$50=E$3)*(GMW!$HN$2:$HN$50=E$1),0),$B64-1973)</f>
        <v>365109</v>
      </c>
      <c r="F64" cm="1">
        <f t="array" ref="F64">INDEX(GMW!$A$2:$HN$50,MATCH(1,(GMW!$HM$2:$HM$50=F$3)*(GMW!$HN$2:$HN$50=F$1),0),$B64-1973)</f>
        <v>25451</v>
      </c>
      <c r="G64" cm="1">
        <f t="array" ref="G64">INDEX(GMW!$A$2:$HN$50,MATCH(1,(GMW!$HM$2:$HM$50=G$3)*(GMW!$HN$2:$HN$50=G$1),0),$B64-1973)</f>
        <v>3682.5749999999998</v>
      </c>
      <c r="H64" cm="1">
        <f t="array" ref="H64">INDEX(GMW!$A$2:$HN$50,MATCH(1,(GMW!$HM$2:$HM$50=H$3)*(GMW!$HN$2:$HN$50=H$1),0),$B64-1973)</f>
        <v>9.6999999999999993</v>
      </c>
      <c r="I64" cm="1">
        <f t="array" ref="I64">INDEX(GMW!$A$2:$HN$50,MATCH(1,(GMW!$HM$2:$HM$50=I$3)*(GMW!$HN$2:$HN$50=I$1),0),$B64-1973)</f>
        <v>232173</v>
      </c>
      <c r="J64" cm="1">
        <f t="array" ref="J64">INDEX(GMW!$A$2:$HN$50,MATCH(1,(GMW!$HM$2:$HM$50=J$3)*(GMW!$HN$2:$HN$50=J$1),0),$B64-1973)</f>
        <v>6602</v>
      </c>
      <c r="K64" cm="1">
        <f t="array" ref="K64">INDEX(GMW!$A$2:$HN$50,MATCH(1,(GMW!$HM$2:$HM$50=K$3)*(GMW!$HN$2:$HN$50=K$1),0),$B64-1973)</f>
        <v>365109</v>
      </c>
      <c r="L64" cm="1">
        <f t="array" ref="L64">INDEX(GMW!$A$2:$HN$50,MATCH(1,(GMW!$HM$2:$HM$50=L$3)*(GMW!$HN$2:$HN$50=L$1),0),$B64-1973)</f>
        <v>25451</v>
      </c>
      <c r="M64" cm="1">
        <f t="array" ref="M64">INDEX(GMW!$A$2:$HN$50,MATCH(1,(GMW!$HM$2:$HM$50=M$3)*(GMW!$HN$2:$HN$50=M$1),0),$B64-1973)</f>
        <v>3682.5749999999998</v>
      </c>
      <c r="N64" cm="1">
        <f t="array" ref="N64">INDEX(GMW!$A$2:$HN$50,MATCH(1,(GMW!$HM$2:$HM$50=N$3)*(GMW!$HN$2:$HN$50=N$1),0),$B64-1973)</f>
        <v>9.6999999999999993</v>
      </c>
      <c r="O64" cm="1">
        <f t="array" ref="O64">INDEX(GMW!$A$2:$HN$50,MATCH(1,(GMW!$HM$2:$HM$50=O$3)*(GMW!$HN$2:$HN$50=O$1),0),$B64-1973)</f>
        <v>232173</v>
      </c>
      <c r="P64" cm="1">
        <f t="array" ref="P64">INDEX(GMW!$A$2:$HN$50,MATCH(1,(GMW!$HM$2:$HM$50=P$3)*(GMW!$HN$2:$HN$50=P$1),0),$B64-1973)</f>
        <v>6602</v>
      </c>
    </row>
    <row r="65" spans="1:16">
      <c r="B65">
        <f t="shared" si="2"/>
        <v>2038</v>
      </c>
      <c r="C65">
        <f t="shared" si="3"/>
        <v>1994</v>
      </c>
      <c r="D65">
        <f t="shared" si="3"/>
        <v>1994</v>
      </c>
      <c r="E65" cm="1">
        <f t="array" ref="E65">INDEX(GMW!$A$2:$HN$50,MATCH(1,(GMW!$HM$2:$HM$50=E$3)*(GMW!$HN$2:$HN$50=E$1),0),$B65-1973)</f>
        <v>368798</v>
      </c>
      <c r="F65" cm="1">
        <f t="array" ref="F65">INDEX(GMW!$A$2:$HN$50,MATCH(1,(GMW!$HM$2:$HM$50=F$3)*(GMW!$HN$2:$HN$50=F$1),0),$B65-1973)</f>
        <v>25559</v>
      </c>
      <c r="G65" cm="1">
        <f t="array" ref="G65">INDEX(GMW!$A$2:$HN$50,MATCH(1,(GMW!$HM$2:$HM$50=G$3)*(GMW!$HN$2:$HN$50=G$1),0),$B65-1973)</f>
        <v>3730.634</v>
      </c>
      <c r="H65" cm="1">
        <f t="array" ref="H65">INDEX(GMW!$A$2:$HN$50,MATCH(1,(GMW!$HM$2:$HM$50=H$3)*(GMW!$HN$2:$HN$50=H$1),0),$B65-1973)</f>
        <v>9.4</v>
      </c>
      <c r="I65" cm="1">
        <f t="array" ref="I65">INDEX(GMW!$A$2:$HN$50,MATCH(1,(GMW!$HM$2:$HM$50=I$3)*(GMW!$HN$2:$HN$50=I$1),0),$B65-1973)</f>
        <v>236870</v>
      </c>
      <c r="J65" cm="1">
        <f t="array" ref="J65">INDEX(GMW!$A$2:$HN$50,MATCH(1,(GMW!$HM$2:$HM$50=J$3)*(GMW!$HN$2:$HN$50=J$1),0),$B65-1973)</f>
        <v>6704</v>
      </c>
      <c r="K65" cm="1">
        <f t="array" ref="K65">INDEX(GMW!$A$2:$HN$50,MATCH(1,(GMW!$HM$2:$HM$50=K$3)*(GMW!$HN$2:$HN$50=K$1),0),$B65-1973)</f>
        <v>368798</v>
      </c>
      <c r="L65" cm="1">
        <f t="array" ref="L65">INDEX(GMW!$A$2:$HN$50,MATCH(1,(GMW!$HM$2:$HM$50=L$3)*(GMW!$HN$2:$HN$50=L$1),0),$B65-1973)</f>
        <v>25559</v>
      </c>
      <c r="M65" cm="1">
        <f t="array" ref="M65">INDEX(GMW!$A$2:$HN$50,MATCH(1,(GMW!$HM$2:$HM$50=M$3)*(GMW!$HN$2:$HN$50=M$1),0),$B65-1973)</f>
        <v>3730.634</v>
      </c>
      <c r="N65" cm="1">
        <f t="array" ref="N65">INDEX(GMW!$A$2:$HN$50,MATCH(1,(GMW!$HM$2:$HM$50=N$3)*(GMW!$HN$2:$HN$50=N$1),0),$B65-1973)</f>
        <v>9.4</v>
      </c>
      <c r="O65" cm="1">
        <f t="array" ref="O65">INDEX(GMW!$A$2:$HN$50,MATCH(1,(GMW!$HM$2:$HM$50=O$3)*(GMW!$HN$2:$HN$50=O$1),0),$B65-1973)</f>
        <v>236870</v>
      </c>
      <c r="P65" cm="1">
        <f t="array" ref="P65">INDEX(GMW!$A$2:$HN$50,MATCH(1,(GMW!$HM$2:$HM$50=P$3)*(GMW!$HN$2:$HN$50=P$1),0),$B65-1973)</f>
        <v>6704</v>
      </c>
    </row>
    <row r="66" spans="1:16">
      <c r="B66">
        <f t="shared" si="2"/>
        <v>2039</v>
      </c>
      <c r="C66">
        <f t="shared" si="3"/>
        <v>1994</v>
      </c>
      <c r="D66">
        <f t="shared" si="3"/>
        <v>1994</v>
      </c>
      <c r="E66" cm="1">
        <f t="array" ref="E66">INDEX(GMW!$A$2:$HN$50,MATCH(1,(GMW!$HM$2:$HM$50=E$3)*(GMW!$HN$2:$HN$50=E$1),0),$B66-1973)</f>
        <v>370401</v>
      </c>
      <c r="F66" cm="1">
        <f t="array" ref="F66">INDEX(GMW!$A$2:$HN$50,MATCH(1,(GMW!$HM$2:$HM$50=F$3)*(GMW!$HN$2:$HN$50=F$1),0),$B66-1973)</f>
        <v>25600</v>
      </c>
      <c r="G66" cm="1">
        <f t="array" ref="G66">INDEX(GMW!$A$2:$HN$50,MATCH(1,(GMW!$HM$2:$HM$50=G$3)*(GMW!$HN$2:$HN$50=G$1),0),$B66-1973)</f>
        <v>3764.5340000000001</v>
      </c>
      <c r="H66" cm="1">
        <f t="array" ref="H66">INDEX(GMW!$A$2:$HN$50,MATCH(1,(GMW!$HM$2:$HM$50=H$3)*(GMW!$HN$2:$HN$50=H$1),0),$B66-1973)</f>
        <v>9</v>
      </c>
      <c r="I66" cm="1">
        <f t="array" ref="I66">INDEX(GMW!$A$2:$HN$50,MATCH(1,(GMW!$HM$2:$HM$50=I$3)*(GMW!$HN$2:$HN$50=I$1),0),$B66-1973)</f>
        <v>235558</v>
      </c>
      <c r="J66" cm="1">
        <f t="array" ref="J66">INDEX(GMW!$A$2:$HN$50,MATCH(1,(GMW!$HM$2:$HM$50=J$3)*(GMW!$HN$2:$HN$50=J$1),0),$B66-1973)</f>
        <v>6891</v>
      </c>
      <c r="K66" cm="1">
        <f t="array" ref="K66">INDEX(GMW!$A$2:$HN$50,MATCH(1,(GMW!$HM$2:$HM$50=K$3)*(GMW!$HN$2:$HN$50=K$1),0),$B66-1973)</f>
        <v>370401</v>
      </c>
      <c r="L66" cm="1">
        <f t="array" ref="L66">INDEX(GMW!$A$2:$HN$50,MATCH(1,(GMW!$HM$2:$HM$50=L$3)*(GMW!$HN$2:$HN$50=L$1),0),$B66-1973)</f>
        <v>25600</v>
      </c>
      <c r="M66" cm="1">
        <f t="array" ref="M66">INDEX(GMW!$A$2:$HN$50,MATCH(1,(GMW!$HM$2:$HM$50=M$3)*(GMW!$HN$2:$HN$50=M$1),0),$B66-1973)</f>
        <v>3764.5340000000001</v>
      </c>
      <c r="N66" cm="1">
        <f t="array" ref="N66">INDEX(GMW!$A$2:$HN$50,MATCH(1,(GMW!$HM$2:$HM$50=N$3)*(GMW!$HN$2:$HN$50=N$1),0),$B66-1973)</f>
        <v>9</v>
      </c>
      <c r="O66" cm="1">
        <f t="array" ref="O66">INDEX(GMW!$A$2:$HN$50,MATCH(1,(GMW!$HM$2:$HM$50=O$3)*(GMW!$HN$2:$HN$50=O$1),0),$B66-1973)</f>
        <v>235558</v>
      </c>
      <c r="P66" cm="1">
        <f t="array" ref="P66">INDEX(GMW!$A$2:$HN$50,MATCH(1,(GMW!$HM$2:$HM$50=P$3)*(GMW!$HN$2:$HN$50=P$1),0),$B66-1973)</f>
        <v>6891</v>
      </c>
    </row>
    <row r="67" spans="1:16">
      <c r="A67">
        <v>1995</v>
      </c>
      <c r="B67">
        <f t="shared" si="2"/>
        <v>2040</v>
      </c>
      <c r="C67">
        <f t="shared" si="3"/>
        <v>1995</v>
      </c>
      <c r="D67">
        <f t="shared" si="3"/>
        <v>1994</v>
      </c>
      <c r="E67" cm="1">
        <f t="array" ref="E67">INDEX(GMW!$A$2:$HN$50,MATCH(1,(GMW!$HM$2:$HM$50=E$3)*(GMW!$HN$2:$HN$50=E$1),0),$B67-1973)</f>
        <v>372307</v>
      </c>
      <c r="F67" cm="1">
        <f t="array" ref="F67">INDEX(GMW!$A$2:$HN$50,MATCH(1,(GMW!$HM$2:$HM$50=F$3)*(GMW!$HN$2:$HN$50=F$1),0),$B67-1973)</f>
        <v>25670</v>
      </c>
      <c r="G67" cm="1">
        <f t="array" ref="G67">INDEX(GMW!$A$2:$HN$50,MATCH(1,(GMW!$HM$2:$HM$50=G$3)*(GMW!$HN$2:$HN$50=G$1),0),$B67-1973)</f>
        <v>3784.6889999999999</v>
      </c>
      <c r="H67" cm="1">
        <f t="array" ref="H67">INDEX(GMW!$A$2:$HN$50,MATCH(1,(GMW!$HM$2:$HM$50=H$3)*(GMW!$HN$2:$HN$50=H$1),0),$B67-1973)</f>
        <v>8.9</v>
      </c>
      <c r="I67" cm="1">
        <f t="array" ref="I67">INDEX(GMW!$A$2:$HN$50,MATCH(1,(GMW!$HM$2:$HM$50=I$3)*(GMW!$HN$2:$HN$50=I$1),0),$B67-1973)</f>
        <v>239669</v>
      </c>
      <c r="J67" cm="1">
        <f t="array" ref="J67">INDEX(GMW!$A$2:$HN$50,MATCH(1,(GMW!$HM$2:$HM$50=J$3)*(GMW!$HN$2:$HN$50=J$1),0),$B67-1973)</f>
        <v>6872</v>
      </c>
      <c r="K67" cm="1">
        <f t="array" ref="K67">INDEX(GMW!$A$2:$HN$50,MATCH(1,(GMW!$HM$2:$HM$50=K$3)*(GMW!$HN$2:$HN$50=K$1),0),$B67-1973)</f>
        <v>372307</v>
      </c>
      <c r="L67" cm="1">
        <f t="array" ref="L67">INDEX(GMW!$A$2:$HN$50,MATCH(1,(GMW!$HM$2:$HM$50=L$3)*(GMW!$HN$2:$HN$50=L$1),0),$B67-1973)</f>
        <v>25670</v>
      </c>
      <c r="M67" cm="1">
        <f t="array" ref="M67">INDEX(GMW!$A$2:$HN$50,MATCH(1,(GMW!$HM$2:$HM$50=M$3)*(GMW!$HN$2:$HN$50=M$1),0),$B67-1973)</f>
        <v>3784.6889999999999</v>
      </c>
      <c r="N67" cm="1">
        <f t="array" ref="N67">INDEX(GMW!$A$2:$HN$50,MATCH(1,(GMW!$HM$2:$HM$50=N$3)*(GMW!$HN$2:$HN$50=N$1),0),$B67-1973)</f>
        <v>8.9</v>
      </c>
      <c r="O67" cm="1">
        <f t="array" ref="O67">INDEX(GMW!$A$2:$HN$50,MATCH(1,(GMW!$HM$2:$HM$50=O$3)*(GMW!$HN$2:$HN$50=O$1),0),$B67-1973)</f>
        <v>239669</v>
      </c>
      <c r="P67" cm="1">
        <f t="array" ref="P67">INDEX(GMW!$A$2:$HN$50,MATCH(1,(GMW!$HM$2:$HM$50=P$3)*(GMW!$HN$2:$HN$50=P$1),0),$B67-1973)</f>
        <v>6872</v>
      </c>
    </row>
    <row r="68" spans="1:16">
      <c r="B68">
        <f t="shared" si="2"/>
        <v>2041</v>
      </c>
      <c r="C68">
        <f t="shared" si="3"/>
        <v>1995</v>
      </c>
      <c r="D68">
        <f t="shared" si="3"/>
        <v>1995</v>
      </c>
      <c r="E68" cm="1">
        <f t="array" ref="E68">INDEX(GMW!$A$2:$HN$50,MATCH(1,(GMW!$HM$2:$HM$50=E$3)*(GMW!$HN$2:$HN$50=E$1),0),$B68-1973)</f>
        <v>373090</v>
      </c>
      <c r="F68" cm="1">
        <f t="array" ref="F68">INDEX(GMW!$A$2:$HN$50,MATCH(1,(GMW!$HM$2:$HM$50=F$3)*(GMW!$HN$2:$HN$50=F$1),0),$B68-1973)</f>
        <v>25770</v>
      </c>
      <c r="G68" cm="1">
        <f t="array" ref="G68">INDEX(GMW!$A$2:$HN$50,MATCH(1,(GMW!$HM$2:$HM$50=G$3)*(GMW!$HN$2:$HN$50=G$1),0),$B68-1973)</f>
        <v>3813.2370000000001</v>
      </c>
      <c r="H68" cm="1">
        <f t="array" ref="H68">INDEX(GMW!$A$2:$HN$50,MATCH(1,(GMW!$HM$2:$HM$50=H$3)*(GMW!$HN$2:$HN$50=H$1),0),$B68-1973)</f>
        <v>8.6999999999999993</v>
      </c>
      <c r="I68" cm="1">
        <f t="array" ref="I68">INDEX(GMW!$A$2:$HN$50,MATCH(1,(GMW!$HM$2:$HM$50=I$3)*(GMW!$HN$2:$HN$50=I$1),0),$B68-1973)</f>
        <v>239943</v>
      </c>
      <c r="J68" cm="1">
        <f t="array" ref="J68">INDEX(GMW!$A$2:$HN$50,MATCH(1,(GMW!$HM$2:$HM$50=J$3)*(GMW!$HN$2:$HN$50=J$1),0),$B68-1973)</f>
        <v>6901</v>
      </c>
      <c r="K68" cm="1">
        <f t="array" ref="K68">INDEX(GMW!$A$2:$HN$50,MATCH(1,(GMW!$HM$2:$HM$50=K$3)*(GMW!$HN$2:$HN$50=K$1),0),$B68-1973)</f>
        <v>373090</v>
      </c>
      <c r="L68" cm="1">
        <f t="array" ref="L68">INDEX(GMW!$A$2:$HN$50,MATCH(1,(GMW!$HM$2:$HM$50=L$3)*(GMW!$HN$2:$HN$50=L$1),0),$B68-1973)</f>
        <v>25770</v>
      </c>
      <c r="M68" cm="1">
        <f t="array" ref="M68">INDEX(GMW!$A$2:$HN$50,MATCH(1,(GMW!$HM$2:$HM$50=M$3)*(GMW!$HN$2:$HN$50=M$1),0),$B68-1973)</f>
        <v>3813.2370000000001</v>
      </c>
      <c r="N68" cm="1">
        <f t="array" ref="N68">INDEX(GMW!$A$2:$HN$50,MATCH(1,(GMW!$HM$2:$HM$50=N$3)*(GMW!$HN$2:$HN$50=N$1),0),$B68-1973)</f>
        <v>8.6999999999999993</v>
      </c>
      <c r="O68" cm="1">
        <f t="array" ref="O68">INDEX(GMW!$A$2:$HN$50,MATCH(1,(GMW!$HM$2:$HM$50=O$3)*(GMW!$HN$2:$HN$50=O$1),0),$B68-1973)</f>
        <v>239943</v>
      </c>
      <c r="P68" cm="1">
        <f t="array" ref="P68">INDEX(GMW!$A$2:$HN$50,MATCH(1,(GMW!$HM$2:$HM$50=P$3)*(GMW!$HN$2:$HN$50=P$1),0),$B68-1973)</f>
        <v>6901</v>
      </c>
    </row>
    <row r="69" spans="1:16">
      <c r="B69">
        <f t="shared" si="2"/>
        <v>2042</v>
      </c>
      <c r="C69">
        <f t="shared" si="3"/>
        <v>1995</v>
      </c>
      <c r="D69">
        <f t="shared" si="3"/>
        <v>1995</v>
      </c>
      <c r="E69" cm="1">
        <f t="array" ref="E69">INDEX(GMW!$A$2:$HN$50,MATCH(1,(GMW!$HM$2:$HM$50=E$3)*(GMW!$HN$2:$HN$50=E$1),0),$B69-1973)</f>
        <v>377249</v>
      </c>
      <c r="F69" cm="1">
        <f t="array" ref="F69">INDEX(GMW!$A$2:$HN$50,MATCH(1,(GMW!$HM$2:$HM$50=F$3)*(GMW!$HN$2:$HN$50=F$1),0),$B69-1973)</f>
        <v>25852</v>
      </c>
      <c r="G69" cm="1">
        <f t="array" ref="G69">INDEX(GMW!$A$2:$HN$50,MATCH(1,(GMW!$HM$2:$HM$50=G$3)*(GMW!$HN$2:$HN$50=G$1),0),$B69-1973)</f>
        <v>3825.77</v>
      </c>
      <c r="H69" cm="1">
        <f t="array" ref="H69">INDEX(GMW!$A$2:$HN$50,MATCH(1,(GMW!$HM$2:$HM$50=H$3)*(GMW!$HN$2:$HN$50=H$1),0),$B69-1973)</f>
        <v>8.6</v>
      </c>
      <c r="I69" cm="1">
        <f t="array" ref="I69">INDEX(GMW!$A$2:$HN$50,MATCH(1,(GMW!$HM$2:$HM$50=I$3)*(GMW!$HN$2:$HN$50=I$1),0),$B69-1973)</f>
        <v>242123</v>
      </c>
      <c r="J69" cm="1">
        <f t="array" ref="J69">INDEX(GMW!$A$2:$HN$50,MATCH(1,(GMW!$HM$2:$HM$50=J$3)*(GMW!$HN$2:$HN$50=J$1),0),$B69-1973)</f>
        <v>6999</v>
      </c>
      <c r="K69" cm="1">
        <f t="array" ref="K69">INDEX(GMW!$A$2:$HN$50,MATCH(1,(GMW!$HM$2:$HM$50=K$3)*(GMW!$HN$2:$HN$50=K$1),0),$B69-1973)</f>
        <v>377249</v>
      </c>
      <c r="L69" cm="1">
        <f t="array" ref="L69">INDEX(GMW!$A$2:$HN$50,MATCH(1,(GMW!$HM$2:$HM$50=L$3)*(GMW!$HN$2:$HN$50=L$1),0),$B69-1973)</f>
        <v>25852</v>
      </c>
      <c r="M69" cm="1">
        <f t="array" ref="M69">INDEX(GMW!$A$2:$HN$50,MATCH(1,(GMW!$HM$2:$HM$50=M$3)*(GMW!$HN$2:$HN$50=M$1),0),$B69-1973)</f>
        <v>3825.77</v>
      </c>
      <c r="N69" cm="1">
        <f t="array" ref="N69">INDEX(GMW!$A$2:$HN$50,MATCH(1,(GMW!$HM$2:$HM$50=N$3)*(GMW!$HN$2:$HN$50=N$1),0),$B69-1973)</f>
        <v>8.6</v>
      </c>
      <c r="O69" cm="1">
        <f t="array" ref="O69">INDEX(GMW!$A$2:$HN$50,MATCH(1,(GMW!$HM$2:$HM$50=O$3)*(GMW!$HN$2:$HN$50=O$1),0),$B69-1973)</f>
        <v>242123</v>
      </c>
      <c r="P69" cm="1">
        <f t="array" ref="P69">INDEX(GMW!$A$2:$HN$50,MATCH(1,(GMW!$HM$2:$HM$50=P$3)*(GMW!$HN$2:$HN$50=P$1),0),$B69-1973)</f>
        <v>6999</v>
      </c>
    </row>
    <row r="70" spans="1:16">
      <c r="B70">
        <f t="shared" si="2"/>
        <v>2043</v>
      </c>
      <c r="C70">
        <f t="shared" si="3"/>
        <v>1995</v>
      </c>
      <c r="D70">
        <f t="shared" si="3"/>
        <v>1995</v>
      </c>
      <c r="E70" cm="1">
        <f t="array" ref="E70">INDEX(GMW!$A$2:$HN$50,MATCH(1,(GMW!$HM$2:$HM$50=E$3)*(GMW!$HN$2:$HN$50=E$1),0),$B70-1973)</f>
        <v>378442</v>
      </c>
      <c r="F70" cm="1">
        <f t="array" ref="F70">INDEX(GMW!$A$2:$HN$50,MATCH(1,(GMW!$HM$2:$HM$50=F$3)*(GMW!$HN$2:$HN$50=F$1),0),$B70-1973)</f>
        <v>25982</v>
      </c>
      <c r="G70" cm="1">
        <f t="array" ref="G70">INDEX(GMW!$A$2:$HN$50,MATCH(1,(GMW!$HM$2:$HM$50=G$3)*(GMW!$HN$2:$HN$50=G$1),0),$B70-1973)</f>
        <v>3869.8229999999999</v>
      </c>
      <c r="H70" cm="1">
        <f t="array" ref="H70">INDEX(GMW!$A$2:$HN$50,MATCH(1,(GMW!$HM$2:$HM$50=H$3)*(GMW!$HN$2:$HN$50=H$1),0),$B70-1973)</f>
        <v>8.3000000000000007</v>
      </c>
      <c r="I70" cm="1">
        <f t="array" ref="I70">INDEX(GMW!$A$2:$HN$50,MATCH(1,(GMW!$HM$2:$HM$50=I$3)*(GMW!$HN$2:$HN$50=I$1),0),$B70-1973)</f>
        <v>243427</v>
      </c>
      <c r="J70" cm="1">
        <f t="array" ref="J70">INDEX(GMW!$A$2:$HN$50,MATCH(1,(GMW!$HM$2:$HM$50=J$3)*(GMW!$HN$2:$HN$50=J$1),0),$B70-1973)</f>
        <v>7120</v>
      </c>
      <c r="K70" cm="1">
        <f t="array" ref="K70">INDEX(GMW!$A$2:$HN$50,MATCH(1,(GMW!$HM$2:$HM$50=K$3)*(GMW!$HN$2:$HN$50=K$1),0),$B70-1973)</f>
        <v>378442</v>
      </c>
      <c r="L70" cm="1">
        <f t="array" ref="L70">INDEX(GMW!$A$2:$HN$50,MATCH(1,(GMW!$HM$2:$HM$50=L$3)*(GMW!$HN$2:$HN$50=L$1),0),$B70-1973)</f>
        <v>25982</v>
      </c>
      <c r="M70" cm="1">
        <f t="array" ref="M70">INDEX(GMW!$A$2:$HN$50,MATCH(1,(GMW!$HM$2:$HM$50=M$3)*(GMW!$HN$2:$HN$50=M$1),0),$B70-1973)</f>
        <v>3869.8229999999999</v>
      </c>
      <c r="N70" cm="1">
        <f t="array" ref="N70">INDEX(GMW!$A$2:$HN$50,MATCH(1,(GMW!$HM$2:$HM$50=N$3)*(GMW!$HN$2:$HN$50=N$1),0),$B70-1973)</f>
        <v>8.3000000000000007</v>
      </c>
      <c r="O70" cm="1">
        <f t="array" ref="O70">INDEX(GMW!$A$2:$HN$50,MATCH(1,(GMW!$HM$2:$HM$50=O$3)*(GMW!$HN$2:$HN$50=O$1),0),$B70-1973)</f>
        <v>243427</v>
      </c>
      <c r="P70" cm="1">
        <f t="array" ref="P70">INDEX(GMW!$A$2:$HN$50,MATCH(1,(GMW!$HM$2:$HM$50=P$3)*(GMW!$HN$2:$HN$50=P$1),0),$B70-1973)</f>
        <v>7120</v>
      </c>
    </row>
    <row r="71" spans="1:16">
      <c r="A71">
        <v>1996</v>
      </c>
      <c r="B71">
        <f t="shared" si="2"/>
        <v>2044</v>
      </c>
      <c r="C71">
        <f t="shared" si="3"/>
        <v>1996</v>
      </c>
      <c r="D71">
        <f t="shared" si="3"/>
        <v>1995</v>
      </c>
      <c r="E71" cm="1">
        <f t="array" ref="E71">INDEX(GMW!$A$2:$HN$50,MATCH(1,(GMW!$HM$2:$HM$50=E$3)*(GMW!$HN$2:$HN$50=E$1),0),$B71-1973)</f>
        <v>380976</v>
      </c>
      <c r="F71" cm="1">
        <f t="array" ref="F71">INDEX(GMW!$A$2:$HN$50,MATCH(1,(GMW!$HM$2:$HM$50=F$3)*(GMW!$HN$2:$HN$50=F$1),0),$B71-1973)</f>
        <v>25970</v>
      </c>
      <c r="G71" cm="1">
        <f t="array" ref="G71">INDEX(GMW!$A$2:$HN$50,MATCH(1,(GMW!$HM$2:$HM$50=G$3)*(GMW!$HN$2:$HN$50=G$1),0),$B71-1973)</f>
        <v>3882.18</v>
      </c>
      <c r="H71" cm="1">
        <f t="array" ref="H71">INDEX(GMW!$A$2:$HN$50,MATCH(1,(GMW!$HM$2:$HM$50=H$3)*(GMW!$HN$2:$HN$50=H$1),0),$B71-1973)</f>
        <v>8.1999999999999993</v>
      </c>
      <c r="I71" cm="1">
        <f t="array" ref="I71">INDEX(GMW!$A$2:$HN$50,MATCH(1,(GMW!$HM$2:$HM$50=I$3)*(GMW!$HN$2:$HN$50=I$1),0),$B71-1973)</f>
        <v>247598</v>
      </c>
      <c r="J71" cm="1">
        <f t="array" ref="J71">INDEX(GMW!$A$2:$HN$50,MATCH(1,(GMW!$HM$2:$HM$50=J$3)*(GMW!$HN$2:$HN$50=J$1),0),$B71-1973)</f>
        <v>7100</v>
      </c>
      <c r="K71" cm="1">
        <f t="array" ref="K71">INDEX(GMW!$A$2:$HN$50,MATCH(1,(GMW!$HM$2:$HM$50=K$3)*(GMW!$HN$2:$HN$50=K$1),0),$B71-1973)</f>
        <v>380976</v>
      </c>
      <c r="L71" cm="1">
        <f t="array" ref="L71">INDEX(GMW!$A$2:$HN$50,MATCH(1,(GMW!$HM$2:$HM$50=L$3)*(GMW!$HN$2:$HN$50=L$1),0),$B71-1973)</f>
        <v>25970</v>
      </c>
      <c r="M71" cm="1">
        <f t="array" ref="M71">INDEX(GMW!$A$2:$HN$50,MATCH(1,(GMW!$HM$2:$HM$50=M$3)*(GMW!$HN$2:$HN$50=M$1),0),$B71-1973)</f>
        <v>3882.18</v>
      </c>
      <c r="N71" cm="1">
        <f t="array" ref="N71">INDEX(GMW!$A$2:$HN$50,MATCH(1,(GMW!$HM$2:$HM$50=N$3)*(GMW!$HN$2:$HN$50=N$1),0),$B71-1973)</f>
        <v>8.1999999999999993</v>
      </c>
      <c r="O71" cm="1">
        <f t="array" ref="O71">INDEX(GMW!$A$2:$HN$50,MATCH(1,(GMW!$HM$2:$HM$50=O$3)*(GMW!$HN$2:$HN$50=O$1),0),$B71-1973)</f>
        <v>247598</v>
      </c>
      <c r="P71" cm="1">
        <f t="array" ref="P71">INDEX(GMW!$A$2:$HN$50,MATCH(1,(GMW!$HM$2:$HM$50=P$3)*(GMW!$HN$2:$HN$50=P$1),0),$B71-1973)</f>
        <v>7100</v>
      </c>
    </row>
    <row r="72" spans="1:16">
      <c r="B72">
        <f t="shared" si="2"/>
        <v>2045</v>
      </c>
      <c r="C72">
        <f t="shared" si="3"/>
        <v>1996</v>
      </c>
      <c r="D72">
        <f t="shared" si="3"/>
        <v>1996</v>
      </c>
      <c r="E72" cm="1">
        <f t="array" ref="E72">INDEX(GMW!$A$2:$HN$50,MATCH(1,(GMW!$HM$2:$HM$50=E$3)*(GMW!$HN$2:$HN$50=E$1),0),$B72-1973)</f>
        <v>382146</v>
      </c>
      <c r="F72" cm="1">
        <f t="array" ref="F72">INDEX(GMW!$A$2:$HN$50,MATCH(1,(GMW!$HM$2:$HM$50=F$3)*(GMW!$HN$2:$HN$50=F$1),0),$B72-1973)</f>
        <v>26009</v>
      </c>
      <c r="G72" cm="1">
        <f t="array" ref="G72">INDEX(GMW!$A$2:$HN$50,MATCH(1,(GMW!$HM$2:$HM$50=G$3)*(GMW!$HN$2:$HN$50=G$1),0),$B72-1973)</f>
        <v>3914.6239999999998</v>
      </c>
      <c r="H72" cm="1">
        <f t="array" ref="H72">INDEX(GMW!$A$2:$HN$50,MATCH(1,(GMW!$HM$2:$HM$50=H$3)*(GMW!$HN$2:$HN$50=H$1),0),$B72-1973)</f>
        <v>8.3000000000000007</v>
      </c>
      <c r="I72" cm="1">
        <f t="array" ref="I72">INDEX(GMW!$A$2:$HN$50,MATCH(1,(GMW!$HM$2:$HM$50=I$3)*(GMW!$HN$2:$HN$50=I$1),0),$B72-1973)</f>
        <v>247441</v>
      </c>
      <c r="J72" cm="1">
        <f t="array" ref="J72">INDEX(GMW!$A$2:$HN$50,MATCH(1,(GMW!$HM$2:$HM$50=J$3)*(GMW!$HN$2:$HN$50=J$1),0),$B72-1973)</f>
        <v>7308</v>
      </c>
      <c r="K72" cm="1">
        <f t="array" ref="K72">INDEX(GMW!$A$2:$HN$50,MATCH(1,(GMW!$HM$2:$HM$50=K$3)*(GMW!$HN$2:$HN$50=K$1),0),$B72-1973)</f>
        <v>382146</v>
      </c>
      <c r="L72" cm="1">
        <f t="array" ref="L72">INDEX(GMW!$A$2:$HN$50,MATCH(1,(GMW!$HM$2:$HM$50=L$3)*(GMW!$HN$2:$HN$50=L$1),0),$B72-1973)</f>
        <v>26009</v>
      </c>
      <c r="M72" cm="1">
        <f t="array" ref="M72">INDEX(GMW!$A$2:$HN$50,MATCH(1,(GMW!$HM$2:$HM$50=M$3)*(GMW!$HN$2:$HN$50=M$1),0),$B72-1973)</f>
        <v>3914.6239999999998</v>
      </c>
      <c r="N72" cm="1">
        <f t="array" ref="N72">INDEX(GMW!$A$2:$HN$50,MATCH(1,(GMW!$HM$2:$HM$50=N$3)*(GMW!$HN$2:$HN$50=N$1),0),$B72-1973)</f>
        <v>8.3000000000000007</v>
      </c>
      <c r="O72" cm="1">
        <f t="array" ref="O72">INDEX(GMW!$A$2:$HN$50,MATCH(1,(GMW!$HM$2:$HM$50=O$3)*(GMW!$HN$2:$HN$50=O$1),0),$B72-1973)</f>
        <v>247441</v>
      </c>
      <c r="P72" cm="1">
        <f t="array" ref="P72">INDEX(GMW!$A$2:$HN$50,MATCH(1,(GMW!$HM$2:$HM$50=P$3)*(GMW!$HN$2:$HN$50=P$1),0),$B72-1973)</f>
        <v>7308</v>
      </c>
    </row>
    <row r="73" spans="1:16">
      <c r="B73">
        <f t="shared" ref="B73:B136" si="4">+B72+1</f>
        <v>2046</v>
      </c>
      <c r="C73">
        <f t="shared" si="3"/>
        <v>1996</v>
      </c>
      <c r="D73">
        <f t="shared" si="3"/>
        <v>1996</v>
      </c>
      <c r="E73" cm="1">
        <f t="array" ref="E73">INDEX(GMW!$A$2:$HN$50,MATCH(1,(GMW!$HM$2:$HM$50=E$3)*(GMW!$HN$2:$HN$50=E$1),0),$B73-1973)</f>
        <v>385671</v>
      </c>
      <c r="F73" cm="1">
        <f t="array" ref="F73">INDEX(GMW!$A$2:$HN$50,MATCH(1,(GMW!$HM$2:$HM$50=F$3)*(GMW!$HN$2:$HN$50=F$1),0),$B73-1973)</f>
        <v>26062</v>
      </c>
      <c r="G73" cm="1">
        <f t="array" ref="G73">INDEX(GMW!$A$2:$HN$50,MATCH(1,(GMW!$HM$2:$HM$50=G$3)*(GMW!$HN$2:$HN$50=G$1),0),$B73-1973)</f>
        <v>3968.22</v>
      </c>
      <c r="H73" cm="1">
        <f t="array" ref="H73">INDEX(GMW!$A$2:$HN$50,MATCH(1,(GMW!$HM$2:$HM$50=H$3)*(GMW!$HN$2:$HN$50=H$1),0),$B73-1973)</f>
        <v>8.1</v>
      </c>
      <c r="I73" cm="1">
        <f t="array" ref="I73">INDEX(GMW!$A$2:$HN$50,MATCH(1,(GMW!$HM$2:$HM$50=I$3)*(GMW!$HN$2:$HN$50=I$1),0),$B73-1973)</f>
        <v>250067</v>
      </c>
      <c r="J73" cm="1">
        <f t="array" ref="J73">INDEX(GMW!$A$2:$HN$50,MATCH(1,(GMW!$HM$2:$HM$50=J$3)*(GMW!$HN$2:$HN$50=J$1),0),$B73-1973)</f>
        <v>7377</v>
      </c>
      <c r="K73" cm="1">
        <f t="array" ref="K73">INDEX(GMW!$A$2:$HN$50,MATCH(1,(GMW!$HM$2:$HM$50=K$3)*(GMW!$HN$2:$HN$50=K$1),0),$B73-1973)</f>
        <v>385671</v>
      </c>
      <c r="L73" cm="1">
        <f t="array" ref="L73">INDEX(GMW!$A$2:$HN$50,MATCH(1,(GMW!$HM$2:$HM$50=L$3)*(GMW!$HN$2:$HN$50=L$1),0),$B73-1973)</f>
        <v>26062</v>
      </c>
      <c r="M73" cm="1">
        <f t="array" ref="M73">INDEX(GMW!$A$2:$HN$50,MATCH(1,(GMW!$HM$2:$HM$50=M$3)*(GMW!$HN$2:$HN$50=M$1),0),$B73-1973)</f>
        <v>3968.22</v>
      </c>
      <c r="N73" cm="1">
        <f t="array" ref="N73">INDEX(GMW!$A$2:$HN$50,MATCH(1,(GMW!$HM$2:$HM$50=N$3)*(GMW!$HN$2:$HN$50=N$1),0),$B73-1973)</f>
        <v>8.1</v>
      </c>
      <c r="O73" cm="1">
        <f t="array" ref="O73">INDEX(GMW!$A$2:$HN$50,MATCH(1,(GMW!$HM$2:$HM$50=O$3)*(GMW!$HN$2:$HN$50=O$1),0),$B73-1973)</f>
        <v>250067</v>
      </c>
      <c r="P73" cm="1">
        <f t="array" ref="P73">INDEX(GMW!$A$2:$HN$50,MATCH(1,(GMW!$HM$2:$HM$50=P$3)*(GMW!$HN$2:$HN$50=P$1),0),$B73-1973)</f>
        <v>7377</v>
      </c>
    </row>
    <row r="74" spans="1:16">
      <c r="B74">
        <f t="shared" si="4"/>
        <v>2047</v>
      </c>
      <c r="C74">
        <f t="shared" si="3"/>
        <v>1996</v>
      </c>
      <c r="D74">
        <f t="shared" si="3"/>
        <v>1996</v>
      </c>
      <c r="E74" cm="1">
        <f t="array" ref="E74">INDEX(GMW!$A$2:$HN$50,MATCH(1,(GMW!$HM$2:$HM$50=E$3)*(GMW!$HN$2:$HN$50=E$1),0),$B74-1973)</f>
        <v>391053</v>
      </c>
      <c r="F74" cm="1">
        <f t="array" ref="F74">INDEX(GMW!$A$2:$HN$50,MATCH(1,(GMW!$HM$2:$HM$50=F$3)*(GMW!$HN$2:$HN$50=F$1),0),$B74-1973)</f>
        <v>26198</v>
      </c>
      <c r="G74" cm="1">
        <f t="array" ref="G74">INDEX(GMW!$A$2:$HN$50,MATCH(1,(GMW!$HM$2:$HM$50=G$3)*(GMW!$HN$2:$HN$50=G$1),0),$B74-1973)</f>
        <v>3978.2469999999998</v>
      </c>
      <c r="H74" cm="1">
        <f t="array" ref="H74">INDEX(GMW!$A$2:$HN$50,MATCH(1,(GMW!$HM$2:$HM$50=H$3)*(GMW!$HN$2:$HN$50=H$1),0),$B74-1973)</f>
        <v>7.8</v>
      </c>
      <c r="I74" cm="1">
        <f t="array" ref="I74">INDEX(GMW!$A$2:$HN$50,MATCH(1,(GMW!$HM$2:$HM$50=I$3)*(GMW!$HN$2:$HN$50=I$1),0),$B74-1973)</f>
        <v>245800</v>
      </c>
      <c r="J74" cm="1">
        <f t="array" ref="J74">INDEX(GMW!$A$2:$HN$50,MATCH(1,(GMW!$HM$2:$HM$50=J$3)*(GMW!$HN$2:$HN$50=J$1),0),$B74-1973)</f>
        <v>7428</v>
      </c>
      <c r="K74" cm="1">
        <f t="array" ref="K74">INDEX(GMW!$A$2:$HN$50,MATCH(1,(GMW!$HM$2:$HM$50=K$3)*(GMW!$HN$2:$HN$50=K$1),0),$B74-1973)</f>
        <v>391053</v>
      </c>
      <c r="L74" cm="1">
        <f t="array" ref="L74">INDEX(GMW!$A$2:$HN$50,MATCH(1,(GMW!$HM$2:$HM$50=L$3)*(GMW!$HN$2:$HN$50=L$1),0),$B74-1973)</f>
        <v>26198</v>
      </c>
      <c r="M74" cm="1">
        <f t="array" ref="M74">INDEX(GMW!$A$2:$HN$50,MATCH(1,(GMW!$HM$2:$HM$50=M$3)*(GMW!$HN$2:$HN$50=M$1),0),$B74-1973)</f>
        <v>3978.2469999999998</v>
      </c>
      <c r="N74" cm="1">
        <f t="array" ref="N74">INDEX(GMW!$A$2:$HN$50,MATCH(1,(GMW!$HM$2:$HM$50=N$3)*(GMW!$HN$2:$HN$50=N$1),0),$B74-1973)</f>
        <v>7.8</v>
      </c>
      <c r="O74" cm="1">
        <f t="array" ref="O74">INDEX(GMW!$A$2:$HN$50,MATCH(1,(GMW!$HM$2:$HM$50=O$3)*(GMW!$HN$2:$HN$50=O$1),0),$B74-1973)</f>
        <v>245800</v>
      </c>
      <c r="P74" cm="1">
        <f t="array" ref="P74">INDEX(GMW!$A$2:$HN$50,MATCH(1,(GMW!$HM$2:$HM$50=P$3)*(GMW!$HN$2:$HN$50=P$1),0),$B74-1973)</f>
        <v>7428</v>
      </c>
    </row>
    <row r="75" spans="1:16">
      <c r="A75">
        <v>1997</v>
      </c>
      <c r="B75">
        <f t="shared" si="4"/>
        <v>2048</v>
      </c>
      <c r="C75">
        <f t="shared" si="3"/>
        <v>1997</v>
      </c>
      <c r="D75">
        <f t="shared" si="3"/>
        <v>1996</v>
      </c>
      <c r="E75" cm="1">
        <f t="array" ref="E75">INDEX(GMW!$A$2:$HN$50,MATCH(1,(GMW!$HM$2:$HM$50=E$3)*(GMW!$HN$2:$HN$50=E$1),0),$B75-1973)</f>
        <v>397303</v>
      </c>
      <c r="F75" cm="1">
        <f t="array" ref="F75">INDEX(GMW!$A$2:$HN$50,MATCH(1,(GMW!$HM$2:$HM$50=F$3)*(GMW!$HN$2:$HN$50=F$1),0),$B75-1973)</f>
        <v>26381</v>
      </c>
      <c r="G75" cm="1">
        <f t="array" ref="G75">INDEX(GMW!$A$2:$HN$50,MATCH(1,(GMW!$HM$2:$HM$50=G$3)*(GMW!$HN$2:$HN$50=G$1),0),$B75-1973)</f>
        <v>4081.9929999999999</v>
      </c>
      <c r="H75" cm="1">
        <f t="array" ref="H75">INDEX(GMW!$A$2:$HN$50,MATCH(1,(GMW!$HM$2:$HM$50=H$3)*(GMW!$HN$2:$HN$50=H$1),0),$B75-1973)</f>
        <v>7.3</v>
      </c>
      <c r="I75" cm="1">
        <f t="array" ref="I75">INDEX(GMW!$A$2:$HN$50,MATCH(1,(GMW!$HM$2:$HM$50=I$3)*(GMW!$HN$2:$HN$50=I$1),0),$B75-1973)</f>
        <v>249558</v>
      </c>
      <c r="J75" cm="1">
        <f t="array" ref="J75">INDEX(GMW!$A$2:$HN$50,MATCH(1,(GMW!$HM$2:$HM$50=J$3)*(GMW!$HN$2:$HN$50=J$1),0),$B75-1973)</f>
        <v>7219</v>
      </c>
      <c r="K75" cm="1">
        <f t="array" ref="K75">INDEX(GMW!$A$2:$HN$50,MATCH(1,(GMW!$HM$2:$HM$50=K$3)*(GMW!$HN$2:$HN$50=K$1),0),$B75-1973)</f>
        <v>397303</v>
      </c>
      <c r="L75" cm="1">
        <f t="array" ref="L75">INDEX(GMW!$A$2:$HN$50,MATCH(1,(GMW!$HM$2:$HM$50=L$3)*(GMW!$HN$2:$HN$50=L$1),0),$B75-1973)</f>
        <v>26381</v>
      </c>
      <c r="M75" cm="1">
        <f t="array" ref="M75">INDEX(GMW!$A$2:$HN$50,MATCH(1,(GMW!$HM$2:$HM$50=M$3)*(GMW!$HN$2:$HN$50=M$1),0),$B75-1973)</f>
        <v>4081.9929999999999</v>
      </c>
      <c r="N75" cm="1">
        <f t="array" ref="N75">INDEX(GMW!$A$2:$HN$50,MATCH(1,(GMW!$HM$2:$HM$50=N$3)*(GMW!$HN$2:$HN$50=N$1),0),$B75-1973)</f>
        <v>7.3</v>
      </c>
      <c r="O75" cm="1">
        <f t="array" ref="O75">INDEX(GMW!$A$2:$HN$50,MATCH(1,(GMW!$HM$2:$HM$50=O$3)*(GMW!$HN$2:$HN$50=O$1),0),$B75-1973)</f>
        <v>249558</v>
      </c>
      <c r="P75" cm="1">
        <f t="array" ref="P75">INDEX(GMW!$A$2:$HN$50,MATCH(1,(GMW!$HM$2:$HM$50=P$3)*(GMW!$HN$2:$HN$50=P$1),0),$B75-1973)</f>
        <v>7219</v>
      </c>
    </row>
    <row r="76" spans="1:16">
      <c r="B76">
        <f t="shared" si="4"/>
        <v>2049</v>
      </c>
      <c r="C76">
        <f t="shared" ref="C76:D140" si="5">+C72+1</f>
        <v>1997</v>
      </c>
      <c r="D76">
        <f t="shared" si="3"/>
        <v>1997</v>
      </c>
      <c r="E76" cm="1">
        <f t="array" ref="E76">INDEX(GMW!$A$2:$HN$50,MATCH(1,(GMW!$HM$2:$HM$50=E$3)*(GMW!$HN$2:$HN$50=E$1),0),$B76-1973)</f>
        <v>401790</v>
      </c>
      <c r="F76" cm="1">
        <f t="array" ref="F76">INDEX(GMW!$A$2:$HN$50,MATCH(1,(GMW!$HM$2:$HM$50=F$3)*(GMW!$HN$2:$HN$50=F$1),0),$B76-1973)</f>
        <v>26514</v>
      </c>
      <c r="G76" cm="1">
        <f t="array" ref="G76">INDEX(GMW!$A$2:$HN$50,MATCH(1,(GMW!$HM$2:$HM$50=G$3)*(GMW!$HN$2:$HN$50=G$1),0),$B76-1973)</f>
        <v>4143.857</v>
      </c>
      <c r="H76" cm="1">
        <f t="array" ref="H76">INDEX(GMW!$A$2:$HN$50,MATCH(1,(GMW!$HM$2:$HM$50=H$3)*(GMW!$HN$2:$HN$50=H$1),0),$B76-1973)</f>
        <v>7.2</v>
      </c>
      <c r="I76" cm="1">
        <f t="array" ref="I76">INDEX(GMW!$A$2:$HN$50,MATCH(1,(GMW!$HM$2:$HM$50=I$3)*(GMW!$HN$2:$HN$50=I$1),0),$B76-1973)</f>
        <v>251781</v>
      </c>
      <c r="J76" cm="1">
        <f t="array" ref="J76">INDEX(GMW!$A$2:$HN$50,MATCH(1,(GMW!$HM$2:$HM$50=J$3)*(GMW!$HN$2:$HN$50=J$1),0),$B76-1973)</f>
        <v>7704</v>
      </c>
      <c r="K76" cm="1">
        <f t="array" ref="K76">INDEX(GMW!$A$2:$HN$50,MATCH(1,(GMW!$HM$2:$HM$50=K$3)*(GMW!$HN$2:$HN$50=K$1),0),$B76-1973)</f>
        <v>401790</v>
      </c>
      <c r="L76" cm="1">
        <f t="array" ref="L76">INDEX(GMW!$A$2:$HN$50,MATCH(1,(GMW!$HM$2:$HM$50=L$3)*(GMW!$HN$2:$HN$50=L$1),0),$B76-1973)</f>
        <v>26514</v>
      </c>
      <c r="M76" cm="1">
        <f t="array" ref="M76">INDEX(GMW!$A$2:$HN$50,MATCH(1,(GMW!$HM$2:$HM$50=M$3)*(GMW!$HN$2:$HN$50=M$1),0),$B76-1973)</f>
        <v>4143.857</v>
      </c>
      <c r="N76" cm="1">
        <f t="array" ref="N76">INDEX(GMW!$A$2:$HN$50,MATCH(1,(GMW!$HM$2:$HM$50=N$3)*(GMW!$HN$2:$HN$50=N$1),0),$B76-1973)</f>
        <v>7.2</v>
      </c>
      <c r="O76" cm="1">
        <f t="array" ref="O76">INDEX(GMW!$A$2:$HN$50,MATCH(1,(GMW!$HM$2:$HM$50=O$3)*(GMW!$HN$2:$HN$50=O$1),0),$B76-1973)</f>
        <v>251781</v>
      </c>
      <c r="P76" cm="1">
        <f t="array" ref="P76">INDEX(GMW!$A$2:$HN$50,MATCH(1,(GMW!$HM$2:$HM$50=P$3)*(GMW!$HN$2:$HN$50=P$1),0),$B76-1973)</f>
        <v>7704</v>
      </c>
    </row>
    <row r="77" spans="1:16">
      <c r="B77">
        <f t="shared" si="4"/>
        <v>2050</v>
      </c>
      <c r="C77">
        <f t="shared" si="5"/>
        <v>1997</v>
      </c>
      <c r="D77">
        <f t="shared" si="5"/>
        <v>1997</v>
      </c>
      <c r="E77" cm="1">
        <f t="array" ref="E77">INDEX(GMW!$A$2:$HN$50,MATCH(1,(GMW!$HM$2:$HM$50=E$3)*(GMW!$HN$2:$HN$50=E$1),0),$B77-1973)</f>
        <v>405233</v>
      </c>
      <c r="F77" cm="1">
        <f t="array" ref="F77">INDEX(GMW!$A$2:$HN$50,MATCH(1,(GMW!$HM$2:$HM$50=F$3)*(GMW!$HN$2:$HN$50=F$1),0),$B77-1973)</f>
        <v>26572</v>
      </c>
      <c r="G77" cm="1">
        <f t="array" ref="G77">INDEX(GMW!$A$2:$HN$50,MATCH(1,(GMW!$HM$2:$HM$50=G$3)*(GMW!$HN$2:$HN$50=G$1),0),$B77-1973)</f>
        <v>4207.8729999999996</v>
      </c>
      <c r="H77" cm="1">
        <f t="array" ref="H77">INDEX(GMW!$A$2:$HN$50,MATCH(1,(GMW!$HM$2:$HM$50=H$3)*(GMW!$HN$2:$HN$50=H$1),0),$B77-1973)</f>
        <v>6.8</v>
      </c>
      <c r="I77" cm="1">
        <f t="array" ref="I77">INDEX(GMW!$A$2:$HN$50,MATCH(1,(GMW!$HM$2:$HM$50=I$3)*(GMW!$HN$2:$HN$50=I$1),0),$B77-1973)</f>
        <v>254358</v>
      </c>
      <c r="J77" cm="1">
        <f t="array" ref="J77">INDEX(GMW!$A$2:$HN$50,MATCH(1,(GMW!$HM$2:$HM$50=J$3)*(GMW!$HN$2:$HN$50=J$1),0),$B77-1973)</f>
        <v>8050</v>
      </c>
      <c r="K77" cm="1">
        <f t="array" ref="K77">INDEX(GMW!$A$2:$HN$50,MATCH(1,(GMW!$HM$2:$HM$50=K$3)*(GMW!$HN$2:$HN$50=K$1),0),$B77-1973)</f>
        <v>405233</v>
      </c>
      <c r="L77" cm="1">
        <f t="array" ref="L77">INDEX(GMW!$A$2:$HN$50,MATCH(1,(GMW!$HM$2:$HM$50=L$3)*(GMW!$HN$2:$HN$50=L$1),0),$B77-1973)</f>
        <v>26572</v>
      </c>
      <c r="M77" cm="1">
        <f t="array" ref="M77">INDEX(GMW!$A$2:$HN$50,MATCH(1,(GMW!$HM$2:$HM$50=M$3)*(GMW!$HN$2:$HN$50=M$1),0),$B77-1973)</f>
        <v>4207.8729999999996</v>
      </c>
      <c r="N77" cm="1">
        <f t="array" ref="N77">INDEX(GMW!$A$2:$HN$50,MATCH(1,(GMW!$HM$2:$HM$50=N$3)*(GMW!$HN$2:$HN$50=N$1),0),$B77-1973)</f>
        <v>6.8</v>
      </c>
      <c r="O77" cm="1">
        <f t="array" ref="O77">INDEX(GMW!$A$2:$HN$50,MATCH(1,(GMW!$HM$2:$HM$50=O$3)*(GMW!$HN$2:$HN$50=O$1),0),$B77-1973)</f>
        <v>254358</v>
      </c>
      <c r="P77" cm="1">
        <f t="array" ref="P77">INDEX(GMW!$A$2:$HN$50,MATCH(1,(GMW!$HM$2:$HM$50=P$3)*(GMW!$HN$2:$HN$50=P$1),0),$B77-1973)</f>
        <v>8050</v>
      </c>
    </row>
    <row r="78" spans="1:16">
      <c r="B78">
        <f t="shared" si="4"/>
        <v>2051</v>
      </c>
      <c r="C78">
        <f t="shared" si="5"/>
        <v>1997</v>
      </c>
      <c r="D78">
        <f t="shared" si="5"/>
        <v>1997</v>
      </c>
      <c r="E78" cm="1">
        <f t="array" ref="E78">INDEX(GMW!$A$2:$HN$50,MATCH(1,(GMW!$HM$2:$HM$50=E$3)*(GMW!$HN$2:$HN$50=E$1),0),$B78-1973)</f>
        <v>411352</v>
      </c>
      <c r="F78" cm="1">
        <f t="array" ref="F78">INDEX(GMW!$A$2:$HN$50,MATCH(1,(GMW!$HM$2:$HM$50=F$3)*(GMW!$HN$2:$HN$50=F$1),0),$B78-1973)</f>
        <v>26636</v>
      </c>
      <c r="G78" cm="1">
        <f t="array" ref="G78">INDEX(GMW!$A$2:$HN$50,MATCH(1,(GMW!$HM$2:$HM$50=G$3)*(GMW!$HN$2:$HN$50=G$1),0),$B78-1973)</f>
        <v>4225.6909999999998</v>
      </c>
      <c r="H78" cm="1">
        <f t="array" ref="H78">INDEX(GMW!$A$2:$HN$50,MATCH(1,(GMW!$HM$2:$HM$50=H$3)*(GMW!$HN$2:$HN$50=H$1),0),$B78-1973)</f>
        <v>6.5</v>
      </c>
      <c r="I78" cm="1">
        <f t="array" ref="I78">INDEX(GMW!$A$2:$HN$50,MATCH(1,(GMW!$HM$2:$HM$50=I$3)*(GMW!$HN$2:$HN$50=I$1),0),$B78-1973)</f>
        <v>253468</v>
      </c>
      <c r="J78" cm="1">
        <f t="array" ref="J78">INDEX(GMW!$A$2:$HN$50,MATCH(1,(GMW!$HM$2:$HM$50=J$3)*(GMW!$HN$2:$HN$50=J$1),0),$B78-1973)</f>
        <v>8065</v>
      </c>
      <c r="K78" cm="1">
        <f t="array" ref="K78">INDEX(GMW!$A$2:$HN$50,MATCH(1,(GMW!$HM$2:$HM$50=K$3)*(GMW!$HN$2:$HN$50=K$1),0),$B78-1973)</f>
        <v>411352</v>
      </c>
      <c r="L78" cm="1">
        <f t="array" ref="L78">INDEX(GMW!$A$2:$HN$50,MATCH(1,(GMW!$HM$2:$HM$50=L$3)*(GMW!$HN$2:$HN$50=L$1),0),$B78-1973)</f>
        <v>26636</v>
      </c>
      <c r="M78" cm="1">
        <f t="array" ref="M78">INDEX(GMW!$A$2:$HN$50,MATCH(1,(GMW!$HM$2:$HM$50=M$3)*(GMW!$HN$2:$HN$50=M$1),0),$B78-1973)</f>
        <v>4225.6909999999998</v>
      </c>
      <c r="N78" cm="1">
        <f t="array" ref="N78">INDEX(GMW!$A$2:$HN$50,MATCH(1,(GMW!$HM$2:$HM$50=N$3)*(GMW!$HN$2:$HN$50=N$1),0),$B78-1973)</f>
        <v>6.5</v>
      </c>
      <c r="O78" cm="1">
        <f t="array" ref="O78">INDEX(GMW!$A$2:$HN$50,MATCH(1,(GMW!$HM$2:$HM$50=O$3)*(GMW!$HN$2:$HN$50=O$1),0),$B78-1973)</f>
        <v>253468</v>
      </c>
      <c r="P78" cm="1">
        <f t="array" ref="P78">INDEX(GMW!$A$2:$HN$50,MATCH(1,(GMW!$HM$2:$HM$50=P$3)*(GMW!$HN$2:$HN$50=P$1),0),$B78-1973)</f>
        <v>8065</v>
      </c>
    </row>
    <row r="79" spans="1:16">
      <c r="A79">
        <v>1998</v>
      </c>
      <c r="B79">
        <f t="shared" si="4"/>
        <v>2052</v>
      </c>
      <c r="C79">
        <f t="shared" si="5"/>
        <v>1998</v>
      </c>
      <c r="D79">
        <f t="shared" si="5"/>
        <v>1997</v>
      </c>
      <c r="E79" cm="1">
        <f t="array" ref="E79">INDEX(GMW!$A$2:$HN$50,MATCH(1,(GMW!$HM$2:$HM$50=E$3)*(GMW!$HN$2:$HN$50=E$1),0),$B79-1973)</f>
        <v>414377</v>
      </c>
      <c r="F79" cm="1">
        <f t="array" ref="F79">INDEX(GMW!$A$2:$HN$50,MATCH(1,(GMW!$HM$2:$HM$50=F$3)*(GMW!$HN$2:$HN$50=F$1),0),$B79-1973)</f>
        <v>26677</v>
      </c>
      <c r="G79" cm="1">
        <f t="array" ref="G79">INDEX(GMW!$A$2:$HN$50,MATCH(1,(GMW!$HM$2:$HM$50=G$3)*(GMW!$HN$2:$HN$50=G$1),0),$B79-1973)</f>
        <v>4229.5839999999998</v>
      </c>
      <c r="H79" cm="1">
        <f t="array" ref="H79">INDEX(GMW!$A$2:$HN$50,MATCH(1,(GMW!$HM$2:$HM$50=H$3)*(GMW!$HN$2:$HN$50=H$1),0),$B79-1973)</f>
        <v>6.4</v>
      </c>
      <c r="I79" cm="1">
        <f t="array" ref="I79">INDEX(GMW!$A$2:$HN$50,MATCH(1,(GMW!$HM$2:$HM$50=I$3)*(GMW!$HN$2:$HN$50=I$1),0),$B79-1973)</f>
        <v>253069</v>
      </c>
      <c r="J79" cm="1">
        <f t="array" ref="J79">INDEX(GMW!$A$2:$HN$50,MATCH(1,(GMW!$HM$2:$HM$50=J$3)*(GMW!$HN$2:$HN$50=J$1),0),$B79-1973)</f>
        <v>7887</v>
      </c>
      <c r="K79" cm="1">
        <f t="array" ref="K79">INDEX(GMW!$A$2:$HN$50,MATCH(1,(GMW!$HM$2:$HM$50=K$3)*(GMW!$HN$2:$HN$50=K$1),0),$B79-1973)</f>
        <v>414377</v>
      </c>
      <c r="L79" cm="1">
        <f t="array" ref="L79">INDEX(GMW!$A$2:$HN$50,MATCH(1,(GMW!$HM$2:$HM$50=L$3)*(GMW!$HN$2:$HN$50=L$1),0),$B79-1973)</f>
        <v>26677</v>
      </c>
      <c r="M79" cm="1">
        <f t="array" ref="M79">INDEX(GMW!$A$2:$HN$50,MATCH(1,(GMW!$HM$2:$HM$50=M$3)*(GMW!$HN$2:$HN$50=M$1),0),$B79-1973)</f>
        <v>4229.5839999999998</v>
      </c>
      <c r="N79" cm="1">
        <f t="array" ref="N79">INDEX(GMW!$A$2:$HN$50,MATCH(1,(GMW!$HM$2:$HM$50=N$3)*(GMW!$HN$2:$HN$50=N$1),0),$B79-1973)</f>
        <v>6.4</v>
      </c>
      <c r="O79" cm="1">
        <f t="array" ref="O79">INDEX(GMW!$A$2:$HN$50,MATCH(1,(GMW!$HM$2:$HM$50=O$3)*(GMW!$HN$2:$HN$50=O$1),0),$B79-1973)</f>
        <v>253069</v>
      </c>
      <c r="P79" cm="1">
        <f t="array" ref="P79">INDEX(GMW!$A$2:$HN$50,MATCH(1,(GMW!$HM$2:$HM$50=P$3)*(GMW!$HN$2:$HN$50=P$1),0),$B79-1973)</f>
        <v>7887</v>
      </c>
    </row>
    <row r="80" spans="1:16">
      <c r="B80">
        <f t="shared" si="4"/>
        <v>2053</v>
      </c>
      <c r="C80">
        <f t="shared" si="5"/>
        <v>1998</v>
      </c>
      <c r="D80">
        <f t="shared" si="5"/>
        <v>1998</v>
      </c>
      <c r="E80" cm="1">
        <f t="array" ref="E80">INDEX(GMW!$A$2:$HN$50,MATCH(1,(GMW!$HM$2:$HM$50=E$3)*(GMW!$HN$2:$HN$50=E$1),0),$B80-1973)</f>
        <v>416909</v>
      </c>
      <c r="F80" cm="1">
        <f t="array" ref="F80">INDEX(GMW!$A$2:$HN$50,MATCH(1,(GMW!$HM$2:$HM$50=F$3)*(GMW!$HN$2:$HN$50=F$1),0),$B80-1973)</f>
        <v>26714</v>
      </c>
      <c r="G80" cm="1">
        <f t="array" ref="G80">INDEX(GMW!$A$2:$HN$50,MATCH(1,(GMW!$HM$2:$HM$50=G$3)*(GMW!$HN$2:$HN$50=G$1),0),$B80-1973)</f>
        <v>4273.2780000000002</v>
      </c>
      <c r="H80" cm="1">
        <f t="array" ref="H80">INDEX(GMW!$A$2:$HN$50,MATCH(1,(GMW!$HM$2:$HM$50=H$3)*(GMW!$HN$2:$HN$50=H$1),0),$B80-1973)</f>
        <v>6.3</v>
      </c>
      <c r="I80" cm="1">
        <f t="array" ref="I80">INDEX(GMW!$A$2:$HN$50,MATCH(1,(GMW!$HM$2:$HM$50=I$3)*(GMW!$HN$2:$HN$50=I$1),0),$B80-1973)</f>
        <v>254576</v>
      </c>
      <c r="J80" cm="1">
        <f t="array" ref="J80">INDEX(GMW!$A$2:$HN$50,MATCH(1,(GMW!$HM$2:$HM$50=J$3)*(GMW!$HN$2:$HN$50=J$1),0),$B80-1973)</f>
        <v>8048</v>
      </c>
      <c r="K80" cm="1">
        <f t="array" ref="K80">INDEX(GMW!$A$2:$HN$50,MATCH(1,(GMW!$HM$2:$HM$50=K$3)*(GMW!$HN$2:$HN$50=K$1),0),$B80-1973)</f>
        <v>416909</v>
      </c>
      <c r="L80" cm="1">
        <f t="array" ref="L80">INDEX(GMW!$A$2:$HN$50,MATCH(1,(GMW!$HM$2:$HM$50=L$3)*(GMW!$HN$2:$HN$50=L$1),0),$B80-1973)</f>
        <v>26714</v>
      </c>
      <c r="M80" cm="1">
        <f t="array" ref="M80">INDEX(GMW!$A$2:$HN$50,MATCH(1,(GMW!$HM$2:$HM$50=M$3)*(GMW!$HN$2:$HN$50=M$1),0),$B80-1973)</f>
        <v>4273.2780000000002</v>
      </c>
      <c r="N80" cm="1">
        <f t="array" ref="N80">INDEX(GMW!$A$2:$HN$50,MATCH(1,(GMW!$HM$2:$HM$50=N$3)*(GMW!$HN$2:$HN$50=N$1),0),$B80-1973)</f>
        <v>6.3</v>
      </c>
      <c r="O80" cm="1">
        <f t="array" ref="O80">INDEX(GMW!$A$2:$HN$50,MATCH(1,(GMW!$HM$2:$HM$50=O$3)*(GMW!$HN$2:$HN$50=O$1),0),$B80-1973)</f>
        <v>254576</v>
      </c>
      <c r="P80" cm="1">
        <f t="array" ref="P80">INDEX(GMW!$A$2:$HN$50,MATCH(1,(GMW!$HM$2:$HM$50=P$3)*(GMW!$HN$2:$HN$50=P$1),0),$B80-1973)</f>
        <v>8048</v>
      </c>
    </row>
    <row r="81" spans="1:16">
      <c r="B81">
        <f t="shared" si="4"/>
        <v>2054</v>
      </c>
      <c r="C81">
        <f t="shared" si="5"/>
        <v>1998</v>
      </c>
      <c r="D81">
        <f t="shared" si="5"/>
        <v>1998</v>
      </c>
      <c r="E81" cm="1">
        <f t="array" ref="E81">INDEX(GMW!$A$2:$HN$50,MATCH(1,(GMW!$HM$2:$HM$50=E$3)*(GMW!$HN$2:$HN$50=E$1),0),$B81-1973)</f>
        <v>418294</v>
      </c>
      <c r="F81" cm="1">
        <f t="array" ref="F81">INDEX(GMW!$A$2:$HN$50,MATCH(1,(GMW!$HM$2:$HM$50=F$3)*(GMW!$HN$2:$HN$50=F$1),0),$B81-1973)</f>
        <v>26834</v>
      </c>
      <c r="G81" cm="1">
        <f t="array" ref="G81">INDEX(GMW!$A$2:$HN$50,MATCH(1,(GMW!$HM$2:$HM$50=G$3)*(GMW!$HN$2:$HN$50=G$1),0),$B81-1973)</f>
        <v>4319.6819999999998</v>
      </c>
      <c r="H81" cm="1">
        <f t="array" ref="H81">INDEX(GMW!$A$2:$HN$50,MATCH(1,(GMW!$HM$2:$HM$50=H$3)*(GMW!$HN$2:$HN$50=H$1),0),$B81-1973)</f>
        <v>6.2</v>
      </c>
      <c r="I81" cm="1">
        <f t="array" ref="I81">INDEX(GMW!$A$2:$HN$50,MATCH(1,(GMW!$HM$2:$HM$50=I$3)*(GMW!$HN$2:$HN$50=I$1),0),$B81-1973)</f>
        <v>253636</v>
      </c>
      <c r="J81" cm="1">
        <f t="array" ref="J81">INDEX(GMW!$A$2:$HN$50,MATCH(1,(GMW!$HM$2:$HM$50=J$3)*(GMW!$HN$2:$HN$50=J$1),0),$B81-1973)</f>
        <v>8448</v>
      </c>
      <c r="K81" cm="1">
        <f t="array" ref="K81">INDEX(GMW!$A$2:$HN$50,MATCH(1,(GMW!$HM$2:$HM$50=K$3)*(GMW!$HN$2:$HN$50=K$1),0),$B81-1973)</f>
        <v>418294</v>
      </c>
      <c r="L81" cm="1">
        <f t="array" ref="L81">INDEX(GMW!$A$2:$HN$50,MATCH(1,(GMW!$HM$2:$HM$50=L$3)*(GMW!$HN$2:$HN$50=L$1),0),$B81-1973)</f>
        <v>26834</v>
      </c>
      <c r="M81" cm="1">
        <f t="array" ref="M81">INDEX(GMW!$A$2:$HN$50,MATCH(1,(GMW!$HM$2:$HM$50=M$3)*(GMW!$HN$2:$HN$50=M$1),0),$B81-1973)</f>
        <v>4319.6819999999998</v>
      </c>
      <c r="N81" cm="1">
        <f t="array" ref="N81">INDEX(GMW!$A$2:$HN$50,MATCH(1,(GMW!$HM$2:$HM$50=N$3)*(GMW!$HN$2:$HN$50=N$1),0),$B81-1973)</f>
        <v>6.2</v>
      </c>
      <c r="O81" cm="1">
        <f t="array" ref="O81">INDEX(GMW!$A$2:$HN$50,MATCH(1,(GMW!$HM$2:$HM$50=O$3)*(GMW!$HN$2:$HN$50=O$1),0),$B81-1973)</f>
        <v>253636</v>
      </c>
      <c r="P81" cm="1">
        <f t="array" ref="P81">INDEX(GMW!$A$2:$HN$50,MATCH(1,(GMW!$HM$2:$HM$50=P$3)*(GMW!$HN$2:$HN$50=P$1),0),$B81-1973)</f>
        <v>8448</v>
      </c>
    </row>
    <row r="82" spans="1:16">
      <c r="B82">
        <f t="shared" si="4"/>
        <v>2055</v>
      </c>
      <c r="C82">
        <f t="shared" si="5"/>
        <v>1998</v>
      </c>
      <c r="D82">
        <f t="shared" si="5"/>
        <v>1998</v>
      </c>
      <c r="E82" cm="1">
        <f t="array" ref="E82">INDEX(GMW!$A$2:$HN$50,MATCH(1,(GMW!$HM$2:$HM$50=E$3)*(GMW!$HN$2:$HN$50=E$1),0),$B82-1973)</f>
        <v>421074</v>
      </c>
      <c r="F82" cm="1">
        <f t="array" ref="F82">INDEX(GMW!$A$2:$HN$50,MATCH(1,(GMW!$HM$2:$HM$50=F$3)*(GMW!$HN$2:$HN$50=F$1),0),$B82-1973)</f>
        <v>26955</v>
      </c>
      <c r="G82" cm="1">
        <f t="array" ref="G82">INDEX(GMW!$A$2:$HN$50,MATCH(1,(GMW!$HM$2:$HM$50=G$3)*(GMW!$HN$2:$HN$50=G$1),0),$B82-1973)</f>
        <v>4319.2709999999997</v>
      </c>
      <c r="H82" cm="1">
        <f t="array" ref="H82">INDEX(GMW!$A$2:$HN$50,MATCH(1,(GMW!$HM$2:$HM$50=H$3)*(GMW!$HN$2:$HN$50=H$1),0),$B82-1973)</f>
        <v>6.1</v>
      </c>
      <c r="I82" cm="1">
        <f t="array" ref="I82">INDEX(GMW!$A$2:$HN$50,MATCH(1,(GMW!$HM$2:$HM$50=I$3)*(GMW!$HN$2:$HN$50=I$1),0),$B82-1973)</f>
        <v>257028</v>
      </c>
      <c r="J82" cm="1">
        <f t="array" ref="J82">INDEX(GMW!$A$2:$HN$50,MATCH(1,(GMW!$HM$2:$HM$50=J$3)*(GMW!$HN$2:$HN$50=J$1),0),$B82-1973)</f>
        <v>8468</v>
      </c>
      <c r="K82" cm="1">
        <f t="array" ref="K82">INDEX(GMW!$A$2:$HN$50,MATCH(1,(GMW!$HM$2:$HM$50=K$3)*(GMW!$HN$2:$HN$50=K$1),0),$B82-1973)</f>
        <v>421074</v>
      </c>
      <c r="L82" cm="1">
        <f t="array" ref="L82">INDEX(GMW!$A$2:$HN$50,MATCH(1,(GMW!$HM$2:$HM$50=L$3)*(GMW!$HN$2:$HN$50=L$1),0),$B82-1973)</f>
        <v>26955</v>
      </c>
      <c r="M82" cm="1">
        <f t="array" ref="M82">INDEX(GMW!$A$2:$HN$50,MATCH(1,(GMW!$HM$2:$HM$50=M$3)*(GMW!$HN$2:$HN$50=M$1),0),$B82-1973)</f>
        <v>4319.2709999999997</v>
      </c>
      <c r="N82" cm="1">
        <f t="array" ref="N82">INDEX(GMW!$A$2:$HN$50,MATCH(1,(GMW!$HM$2:$HM$50=N$3)*(GMW!$HN$2:$HN$50=N$1),0),$B82-1973)</f>
        <v>6.1</v>
      </c>
      <c r="O82" cm="1">
        <f t="array" ref="O82">INDEX(GMW!$A$2:$HN$50,MATCH(1,(GMW!$HM$2:$HM$50=O$3)*(GMW!$HN$2:$HN$50=O$1),0),$B82-1973)</f>
        <v>257028</v>
      </c>
      <c r="P82" cm="1">
        <f t="array" ref="P82">INDEX(GMW!$A$2:$HN$50,MATCH(1,(GMW!$HM$2:$HM$50=P$3)*(GMW!$HN$2:$HN$50=P$1),0),$B82-1973)</f>
        <v>8468</v>
      </c>
    </row>
    <row r="83" spans="1:16">
      <c r="A83">
        <v>1999</v>
      </c>
      <c r="B83">
        <f t="shared" si="4"/>
        <v>2056</v>
      </c>
      <c r="C83">
        <f t="shared" si="5"/>
        <v>1999</v>
      </c>
      <c r="D83">
        <f t="shared" si="5"/>
        <v>1998</v>
      </c>
      <c r="E83" cm="1">
        <f t="array" ref="E83">INDEX(GMW!$A$2:$HN$50,MATCH(1,(GMW!$HM$2:$HM$50=E$3)*(GMW!$HN$2:$HN$50=E$1),0),$B83-1973)</f>
        <v>423875</v>
      </c>
      <c r="F83" cm="1">
        <f t="array" ref="F83">INDEX(GMW!$A$2:$HN$50,MATCH(1,(GMW!$HM$2:$HM$50=F$3)*(GMW!$HN$2:$HN$50=F$1),0),$B83-1973)</f>
        <v>27036</v>
      </c>
      <c r="G83" cm="1">
        <f t="array" ref="G83">INDEX(GMW!$A$2:$HN$50,MATCH(1,(GMW!$HM$2:$HM$50=G$3)*(GMW!$HN$2:$HN$50=G$1),0),$B83-1973)</f>
        <v>4422.741</v>
      </c>
      <c r="H83" cm="1">
        <f t="array" ref="H83">INDEX(GMW!$A$2:$HN$50,MATCH(1,(GMW!$HM$2:$HM$50=H$3)*(GMW!$HN$2:$HN$50=H$1),0),$B83-1973)</f>
        <v>6.2</v>
      </c>
      <c r="I83" cm="1">
        <f t="array" ref="I83">INDEX(GMW!$A$2:$HN$50,MATCH(1,(GMW!$HM$2:$HM$50=I$3)*(GMW!$HN$2:$HN$50=I$1),0),$B83-1973)</f>
        <v>254037</v>
      </c>
      <c r="J83" cm="1">
        <f t="array" ref="J83">INDEX(GMW!$A$2:$HN$50,MATCH(1,(GMW!$HM$2:$HM$50=J$3)*(GMW!$HN$2:$HN$50=J$1),0),$B83-1973)</f>
        <v>8757</v>
      </c>
      <c r="K83" cm="1">
        <f t="array" ref="K83">INDEX(GMW!$A$2:$HN$50,MATCH(1,(GMW!$HM$2:$HM$50=K$3)*(GMW!$HN$2:$HN$50=K$1),0),$B83-1973)</f>
        <v>423875</v>
      </c>
      <c r="L83" cm="1">
        <f t="array" ref="L83">INDEX(GMW!$A$2:$HN$50,MATCH(1,(GMW!$HM$2:$HM$50=L$3)*(GMW!$HN$2:$HN$50=L$1),0),$B83-1973)</f>
        <v>27036</v>
      </c>
      <c r="M83" cm="1">
        <f t="array" ref="M83">INDEX(GMW!$A$2:$HN$50,MATCH(1,(GMW!$HM$2:$HM$50=M$3)*(GMW!$HN$2:$HN$50=M$1),0),$B83-1973)</f>
        <v>4422.741</v>
      </c>
      <c r="N83" cm="1">
        <f t="array" ref="N83">INDEX(GMW!$A$2:$HN$50,MATCH(1,(GMW!$HM$2:$HM$50=N$3)*(GMW!$HN$2:$HN$50=N$1),0),$B83-1973)</f>
        <v>6.2</v>
      </c>
      <c r="O83" cm="1">
        <f t="array" ref="O83">INDEX(GMW!$A$2:$HN$50,MATCH(1,(GMW!$HM$2:$HM$50=O$3)*(GMW!$HN$2:$HN$50=O$1),0),$B83-1973)</f>
        <v>254037</v>
      </c>
      <c r="P83" cm="1">
        <f t="array" ref="P83">INDEX(GMW!$A$2:$HN$50,MATCH(1,(GMW!$HM$2:$HM$50=P$3)*(GMW!$HN$2:$HN$50=P$1),0),$B83-1973)</f>
        <v>8757</v>
      </c>
    </row>
    <row r="84" spans="1:16">
      <c r="B84">
        <f t="shared" si="4"/>
        <v>2057</v>
      </c>
      <c r="C84">
        <f t="shared" si="5"/>
        <v>1999</v>
      </c>
      <c r="D84">
        <f t="shared" si="5"/>
        <v>1999</v>
      </c>
      <c r="E84" cm="1">
        <f t="array" ref="E84">INDEX(GMW!$A$2:$HN$50,MATCH(1,(GMW!$HM$2:$HM$50=E$3)*(GMW!$HN$2:$HN$50=E$1),0),$B84-1973)</f>
        <v>425920</v>
      </c>
      <c r="F84" cm="1">
        <f t="array" ref="F84">INDEX(GMW!$A$2:$HN$50,MATCH(1,(GMW!$HM$2:$HM$50=F$3)*(GMW!$HN$2:$HN$50=F$1),0),$B84-1973)</f>
        <v>27095</v>
      </c>
      <c r="G84" cm="1">
        <f t="array" ref="G84">INDEX(GMW!$A$2:$HN$50,MATCH(1,(GMW!$HM$2:$HM$50=G$3)*(GMW!$HN$2:$HN$50=G$1),0),$B84-1973)</f>
        <v>4529.62</v>
      </c>
      <c r="H84" cm="1">
        <f t="array" ref="H84">INDEX(GMW!$A$2:$HN$50,MATCH(1,(GMW!$HM$2:$HM$50=H$3)*(GMW!$HN$2:$HN$50=H$1),0),$B84-1973)</f>
        <v>6</v>
      </c>
      <c r="I84" cm="1">
        <f t="array" ref="I84">INDEX(GMW!$A$2:$HN$50,MATCH(1,(GMW!$HM$2:$HM$50=I$3)*(GMW!$HN$2:$HN$50=I$1),0),$B84-1973)</f>
        <v>266557</v>
      </c>
      <c r="J84" cm="1">
        <f t="array" ref="J84">INDEX(GMW!$A$2:$HN$50,MATCH(1,(GMW!$HM$2:$HM$50=J$3)*(GMW!$HN$2:$HN$50=J$1),0),$B84-1973)</f>
        <v>8818</v>
      </c>
      <c r="K84" cm="1">
        <f t="array" ref="K84">INDEX(GMW!$A$2:$HN$50,MATCH(1,(GMW!$HM$2:$HM$50=K$3)*(GMW!$HN$2:$HN$50=K$1),0),$B84-1973)</f>
        <v>425920</v>
      </c>
      <c r="L84" cm="1">
        <f t="array" ref="L84">INDEX(GMW!$A$2:$HN$50,MATCH(1,(GMW!$HM$2:$HM$50=L$3)*(GMW!$HN$2:$HN$50=L$1),0),$B84-1973)</f>
        <v>27095</v>
      </c>
      <c r="M84" cm="1">
        <f t="array" ref="M84">INDEX(GMW!$A$2:$HN$50,MATCH(1,(GMW!$HM$2:$HM$50=M$3)*(GMW!$HN$2:$HN$50=M$1),0),$B84-1973)</f>
        <v>4529.62</v>
      </c>
      <c r="N84" cm="1">
        <f t="array" ref="N84">INDEX(GMW!$A$2:$HN$50,MATCH(1,(GMW!$HM$2:$HM$50=N$3)*(GMW!$HN$2:$HN$50=N$1),0),$B84-1973)</f>
        <v>6</v>
      </c>
      <c r="O84" cm="1">
        <f t="array" ref="O84">INDEX(GMW!$A$2:$HN$50,MATCH(1,(GMW!$HM$2:$HM$50=O$3)*(GMW!$HN$2:$HN$50=O$1),0),$B84-1973)</f>
        <v>266557</v>
      </c>
      <c r="P84" cm="1">
        <f t="array" ref="P84">INDEX(GMW!$A$2:$HN$50,MATCH(1,(GMW!$HM$2:$HM$50=P$3)*(GMW!$HN$2:$HN$50=P$1),0),$B84-1973)</f>
        <v>8818</v>
      </c>
    </row>
    <row r="85" spans="1:16">
      <c r="B85">
        <f t="shared" si="4"/>
        <v>2058</v>
      </c>
      <c r="C85">
        <f t="shared" si="5"/>
        <v>1999</v>
      </c>
      <c r="D85">
        <f t="shared" si="5"/>
        <v>1999</v>
      </c>
      <c r="E85" cm="1">
        <f t="array" ref="E85">INDEX(GMW!$A$2:$HN$50,MATCH(1,(GMW!$HM$2:$HM$50=E$3)*(GMW!$HN$2:$HN$50=E$1),0),$B85-1973)</f>
        <v>432860</v>
      </c>
      <c r="F85" cm="1">
        <f t="array" ref="F85">INDEX(GMW!$A$2:$HN$50,MATCH(1,(GMW!$HM$2:$HM$50=F$3)*(GMW!$HN$2:$HN$50=F$1),0),$B85-1973)</f>
        <v>27218</v>
      </c>
      <c r="G85" cm="1">
        <f t="array" ref="G85">INDEX(GMW!$A$2:$HN$50,MATCH(1,(GMW!$HM$2:$HM$50=G$3)*(GMW!$HN$2:$HN$50=G$1),0),$B85-1973)</f>
        <v>4579.0190000000002</v>
      </c>
      <c r="H85" cm="1">
        <f t="array" ref="H85">INDEX(GMW!$A$2:$HN$50,MATCH(1,(GMW!$HM$2:$HM$50=H$3)*(GMW!$HN$2:$HN$50=H$1),0),$B85-1973)</f>
        <v>5.9</v>
      </c>
      <c r="I85" cm="1">
        <f t="array" ref="I85">INDEX(GMW!$A$2:$HN$50,MATCH(1,(GMW!$HM$2:$HM$50=I$3)*(GMW!$HN$2:$HN$50=I$1),0),$B85-1973)</f>
        <v>267871</v>
      </c>
      <c r="J85" cm="1">
        <f t="array" ref="J85">INDEX(GMW!$A$2:$HN$50,MATCH(1,(GMW!$HM$2:$HM$50=J$3)*(GMW!$HN$2:$HN$50=J$1),0),$B85-1973)</f>
        <v>9094</v>
      </c>
      <c r="K85" cm="1">
        <f t="array" ref="K85">INDEX(GMW!$A$2:$HN$50,MATCH(1,(GMW!$HM$2:$HM$50=K$3)*(GMW!$HN$2:$HN$50=K$1),0),$B85-1973)</f>
        <v>432860</v>
      </c>
      <c r="L85" cm="1">
        <f t="array" ref="L85">INDEX(GMW!$A$2:$HN$50,MATCH(1,(GMW!$HM$2:$HM$50=L$3)*(GMW!$HN$2:$HN$50=L$1),0),$B85-1973)</f>
        <v>27218</v>
      </c>
      <c r="M85" cm="1">
        <f t="array" ref="M85">INDEX(GMW!$A$2:$HN$50,MATCH(1,(GMW!$HM$2:$HM$50=M$3)*(GMW!$HN$2:$HN$50=M$1),0),$B85-1973)</f>
        <v>4579.0190000000002</v>
      </c>
      <c r="N85" cm="1">
        <f t="array" ref="N85">INDEX(GMW!$A$2:$HN$50,MATCH(1,(GMW!$HM$2:$HM$50=N$3)*(GMW!$HN$2:$HN$50=N$1),0),$B85-1973)</f>
        <v>5.9</v>
      </c>
      <c r="O85" cm="1">
        <f t="array" ref="O85">INDEX(GMW!$A$2:$HN$50,MATCH(1,(GMW!$HM$2:$HM$50=O$3)*(GMW!$HN$2:$HN$50=O$1),0),$B85-1973)</f>
        <v>267871</v>
      </c>
      <c r="P85" cm="1">
        <f t="array" ref="P85">INDEX(GMW!$A$2:$HN$50,MATCH(1,(GMW!$HM$2:$HM$50=P$3)*(GMW!$HN$2:$HN$50=P$1),0),$B85-1973)</f>
        <v>9094</v>
      </c>
    </row>
    <row r="86" spans="1:16">
      <c r="B86">
        <f t="shared" si="4"/>
        <v>2059</v>
      </c>
      <c r="C86">
        <f t="shared" si="5"/>
        <v>1999</v>
      </c>
      <c r="D86">
        <f t="shared" si="5"/>
        <v>1999</v>
      </c>
      <c r="E86" cm="1">
        <f t="array" ref="E86">INDEX(GMW!$A$2:$HN$50,MATCH(1,(GMW!$HM$2:$HM$50=E$3)*(GMW!$HN$2:$HN$50=E$1),0),$B86-1973)</f>
        <v>439093</v>
      </c>
      <c r="F86" cm="1">
        <f t="array" ref="F86">INDEX(GMW!$A$2:$HN$50,MATCH(1,(GMW!$HM$2:$HM$50=F$3)*(GMW!$HN$2:$HN$50=F$1),0),$B86-1973)</f>
        <v>27322</v>
      </c>
      <c r="G86" cm="1">
        <f t="array" ref="G86">INDEX(GMW!$A$2:$HN$50,MATCH(1,(GMW!$HM$2:$HM$50=G$3)*(GMW!$HN$2:$HN$50=G$1),0),$B86-1973)</f>
        <v>4624.2740000000003</v>
      </c>
      <c r="H86" cm="1">
        <f t="array" ref="H86">INDEX(GMW!$A$2:$HN$50,MATCH(1,(GMW!$HM$2:$HM$50=H$3)*(GMW!$HN$2:$HN$50=H$1),0),$B86-1973)</f>
        <v>5.8</v>
      </c>
      <c r="I86" cm="1">
        <f t="array" ref="I86">INDEX(GMW!$A$2:$HN$50,MATCH(1,(GMW!$HM$2:$HM$50=I$3)*(GMW!$HN$2:$HN$50=I$1),0),$B86-1973)</f>
        <v>274118</v>
      </c>
      <c r="J86" cm="1">
        <f t="array" ref="J86">INDEX(GMW!$A$2:$HN$50,MATCH(1,(GMW!$HM$2:$HM$50=J$3)*(GMW!$HN$2:$HN$50=J$1),0),$B86-1973)</f>
        <v>9184</v>
      </c>
      <c r="K86" cm="1">
        <f t="array" ref="K86">INDEX(GMW!$A$2:$HN$50,MATCH(1,(GMW!$HM$2:$HM$50=K$3)*(GMW!$HN$2:$HN$50=K$1),0),$B86-1973)</f>
        <v>439093</v>
      </c>
      <c r="L86" cm="1">
        <f t="array" ref="L86">INDEX(GMW!$A$2:$HN$50,MATCH(1,(GMW!$HM$2:$HM$50=L$3)*(GMW!$HN$2:$HN$50=L$1),0),$B86-1973)</f>
        <v>27322</v>
      </c>
      <c r="M86" cm="1">
        <f t="array" ref="M86">INDEX(GMW!$A$2:$HN$50,MATCH(1,(GMW!$HM$2:$HM$50=M$3)*(GMW!$HN$2:$HN$50=M$1),0),$B86-1973)</f>
        <v>4624.2740000000003</v>
      </c>
      <c r="N86" cm="1">
        <f t="array" ref="N86">INDEX(GMW!$A$2:$HN$50,MATCH(1,(GMW!$HM$2:$HM$50=N$3)*(GMW!$HN$2:$HN$50=N$1),0),$B86-1973)</f>
        <v>5.8</v>
      </c>
      <c r="O86" cm="1">
        <f t="array" ref="O86">INDEX(GMW!$A$2:$HN$50,MATCH(1,(GMW!$HM$2:$HM$50=O$3)*(GMW!$HN$2:$HN$50=O$1),0),$B86-1973)</f>
        <v>274118</v>
      </c>
      <c r="P86" cm="1">
        <f t="array" ref="P86">INDEX(GMW!$A$2:$HN$50,MATCH(1,(GMW!$HM$2:$HM$50=P$3)*(GMW!$HN$2:$HN$50=P$1),0),$B86-1973)</f>
        <v>9184</v>
      </c>
    </row>
    <row r="87" spans="1:16">
      <c r="A87">
        <v>2000</v>
      </c>
      <c r="B87">
        <f t="shared" si="4"/>
        <v>2060</v>
      </c>
      <c r="C87">
        <f t="shared" si="5"/>
        <v>2000</v>
      </c>
      <c r="D87">
        <f t="shared" si="5"/>
        <v>1999</v>
      </c>
      <c r="E87" cm="1">
        <f t="array" ref="E87">INDEX(GMW!$A$2:$HN$50,MATCH(1,(GMW!$HM$2:$HM$50=E$3)*(GMW!$HN$2:$HN$50=E$1),0),$B87-1973)</f>
        <v>444540</v>
      </c>
      <c r="F87" cm="1">
        <f t="array" ref="F87">INDEX(GMW!$A$2:$HN$50,MATCH(1,(GMW!$HM$2:$HM$50=F$3)*(GMW!$HN$2:$HN$50=F$1),0),$B87-1973)</f>
        <v>27362</v>
      </c>
      <c r="G87" cm="1">
        <f t="array" ref="G87">INDEX(GMW!$A$2:$HN$50,MATCH(1,(GMW!$HM$2:$HM$50=G$3)*(GMW!$HN$2:$HN$50=G$1),0),$B87-1973)</f>
        <v>4637.7709999999997</v>
      </c>
      <c r="H87" cm="1">
        <f t="array" ref="H87">INDEX(GMW!$A$2:$HN$50,MATCH(1,(GMW!$HM$2:$HM$50=H$3)*(GMW!$HN$2:$HN$50=H$1),0),$B87-1973)</f>
        <v>5.8</v>
      </c>
      <c r="I87" cm="1">
        <f t="array" ref="I87">INDEX(GMW!$A$2:$HN$50,MATCH(1,(GMW!$HM$2:$HM$50=I$3)*(GMW!$HN$2:$HN$50=I$1),0),$B87-1973)</f>
        <v>274370</v>
      </c>
      <c r="J87" cm="1">
        <f t="array" ref="J87">INDEX(GMW!$A$2:$HN$50,MATCH(1,(GMW!$HM$2:$HM$50=J$3)*(GMW!$HN$2:$HN$50=J$1),0),$B87-1973)</f>
        <v>9313</v>
      </c>
      <c r="K87" cm="1">
        <f t="array" ref="K87">INDEX(GMW!$A$2:$HN$50,MATCH(1,(GMW!$HM$2:$HM$50=K$3)*(GMW!$HN$2:$HN$50=K$1),0),$B87-1973)</f>
        <v>444540</v>
      </c>
      <c r="L87" cm="1">
        <f t="array" ref="L87">INDEX(GMW!$A$2:$HN$50,MATCH(1,(GMW!$HM$2:$HM$50=L$3)*(GMW!$HN$2:$HN$50=L$1),0),$B87-1973)</f>
        <v>27362</v>
      </c>
      <c r="M87" cm="1">
        <f t="array" ref="M87">INDEX(GMW!$A$2:$HN$50,MATCH(1,(GMW!$HM$2:$HM$50=M$3)*(GMW!$HN$2:$HN$50=M$1),0),$B87-1973)</f>
        <v>4637.7709999999997</v>
      </c>
      <c r="N87" cm="1">
        <f t="array" ref="N87">INDEX(GMW!$A$2:$HN$50,MATCH(1,(GMW!$HM$2:$HM$50=N$3)*(GMW!$HN$2:$HN$50=N$1),0),$B87-1973)</f>
        <v>5.8</v>
      </c>
      <c r="O87" cm="1">
        <f t="array" ref="O87">INDEX(GMW!$A$2:$HN$50,MATCH(1,(GMW!$HM$2:$HM$50=O$3)*(GMW!$HN$2:$HN$50=O$1),0),$B87-1973)</f>
        <v>274370</v>
      </c>
      <c r="P87" cm="1">
        <f t="array" ref="P87">INDEX(GMW!$A$2:$HN$50,MATCH(1,(GMW!$HM$2:$HM$50=P$3)*(GMW!$HN$2:$HN$50=P$1),0),$B87-1973)</f>
        <v>9313</v>
      </c>
    </row>
    <row r="88" spans="1:16">
      <c r="B88">
        <f t="shared" si="4"/>
        <v>2061</v>
      </c>
      <c r="C88">
        <f t="shared" si="5"/>
        <v>2000</v>
      </c>
      <c r="D88">
        <f t="shared" si="5"/>
        <v>2000</v>
      </c>
      <c r="E88" cm="1">
        <f t="array" ref="E88">INDEX(GMW!$A$2:$HN$50,MATCH(1,(GMW!$HM$2:$HM$50=E$3)*(GMW!$HN$2:$HN$50=E$1),0),$B88-1973)</f>
        <v>447825</v>
      </c>
      <c r="F88" cm="1">
        <f t="array" ref="F88">INDEX(GMW!$A$2:$HN$50,MATCH(1,(GMW!$HM$2:$HM$50=F$3)*(GMW!$HN$2:$HN$50=F$1),0),$B88-1973)</f>
        <v>27468</v>
      </c>
      <c r="G88" cm="1">
        <f t="array" ref="G88">INDEX(GMW!$A$2:$HN$50,MATCH(1,(GMW!$HM$2:$HM$50=G$3)*(GMW!$HN$2:$HN$50=G$1),0),$B88-1973)</f>
        <v>4701.4949999999999</v>
      </c>
      <c r="H88" cm="1">
        <f t="array" ref="H88">INDEX(GMW!$A$2:$HN$50,MATCH(1,(GMW!$HM$2:$HM$50=H$3)*(GMW!$HN$2:$HN$50=H$1),0),$B88-1973)</f>
        <v>5.5</v>
      </c>
      <c r="I88" cm="1">
        <f t="array" ref="I88">INDEX(GMW!$A$2:$HN$50,MATCH(1,(GMW!$HM$2:$HM$50=I$3)*(GMW!$HN$2:$HN$50=I$1),0),$B88-1973)</f>
        <v>277466</v>
      </c>
      <c r="J88" cm="1">
        <f t="array" ref="J88">INDEX(GMW!$A$2:$HN$50,MATCH(1,(GMW!$HM$2:$HM$50=J$3)*(GMW!$HN$2:$HN$50=J$1),0),$B88-1973)</f>
        <v>9861</v>
      </c>
      <c r="K88" cm="1">
        <f t="array" ref="K88">INDEX(GMW!$A$2:$HN$50,MATCH(1,(GMW!$HM$2:$HM$50=K$3)*(GMW!$HN$2:$HN$50=K$1),0),$B88-1973)</f>
        <v>447825</v>
      </c>
      <c r="L88" cm="1">
        <f t="array" ref="L88">INDEX(GMW!$A$2:$HN$50,MATCH(1,(GMW!$HM$2:$HM$50=L$3)*(GMW!$HN$2:$HN$50=L$1),0),$B88-1973)</f>
        <v>27468</v>
      </c>
      <c r="M88" cm="1">
        <f t="array" ref="M88">INDEX(GMW!$A$2:$HN$50,MATCH(1,(GMW!$HM$2:$HM$50=M$3)*(GMW!$HN$2:$HN$50=M$1),0),$B88-1973)</f>
        <v>4701.4949999999999</v>
      </c>
      <c r="N88" cm="1">
        <f t="array" ref="N88">INDEX(GMW!$A$2:$HN$50,MATCH(1,(GMW!$HM$2:$HM$50=N$3)*(GMW!$HN$2:$HN$50=N$1),0),$B88-1973)</f>
        <v>5.5</v>
      </c>
      <c r="O88" cm="1">
        <f t="array" ref="O88">INDEX(GMW!$A$2:$HN$50,MATCH(1,(GMW!$HM$2:$HM$50=O$3)*(GMW!$HN$2:$HN$50=O$1),0),$B88-1973)</f>
        <v>277466</v>
      </c>
      <c r="P88" cm="1">
        <f t="array" ref="P88">INDEX(GMW!$A$2:$HN$50,MATCH(1,(GMW!$HM$2:$HM$50=P$3)*(GMW!$HN$2:$HN$50=P$1),0),$B88-1973)</f>
        <v>9861</v>
      </c>
    </row>
    <row r="89" spans="1:16">
      <c r="B89">
        <f t="shared" si="4"/>
        <v>2062</v>
      </c>
      <c r="C89">
        <f t="shared" si="5"/>
        <v>2000</v>
      </c>
      <c r="D89">
        <f t="shared" si="5"/>
        <v>2000</v>
      </c>
      <c r="E89" cm="1">
        <f t="array" ref="E89">INDEX(GMW!$A$2:$HN$50,MATCH(1,(GMW!$HM$2:$HM$50=E$3)*(GMW!$HN$2:$HN$50=E$1),0),$B89-1973)</f>
        <v>450688</v>
      </c>
      <c r="F89" cm="1">
        <f t="array" ref="F89">INDEX(GMW!$A$2:$HN$50,MATCH(1,(GMW!$HM$2:$HM$50=F$3)*(GMW!$HN$2:$HN$50=F$1),0),$B89-1973)</f>
        <v>27555</v>
      </c>
      <c r="G89" cm="1">
        <f t="array" ref="G89">INDEX(GMW!$A$2:$HN$50,MATCH(1,(GMW!$HM$2:$HM$50=G$3)*(GMW!$HN$2:$HN$50=G$1),0),$B89-1973)</f>
        <v>4802.4549999999999</v>
      </c>
      <c r="H89" cm="1">
        <f t="array" ref="H89">INDEX(GMW!$A$2:$HN$50,MATCH(1,(GMW!$HM$2:$HM$50=H$3)*(GMW!$HN$2:$HN$50=H$1),0),$B89-1973)</f>
        <v>5.3</v>
      </c>
      <c r="I89" cm="1">
        <f t="array" ref="I89">INDEX(GMW!$A$2:$HN$50,MATCH(1,(GMW!$HM$2:$HM$50=I$3)*(GMW!$HN$2:$HN$50=I$1),0),$B89-1973)</f>
        <v>283106</v>
      </c>
      <c r="J89" cm="1">
        <f t="array" ref="J89">INDEX(GMW!$A$2:$HN$50,MATCH(1,(GMW!$HM$2:$HM$50=J$3)*(GMW!$HN$2:$HN$50=J$1),0),$B89-1973)</f>
        <v>9826</v>
      </c>
      <c r="K89" cm="1">
        <f t="array" ref="K89">INDEX(GMW!$A$2:$HN$50,MATCH(1,(GMW!$HM$2:$HM$50=K$3)*(GMW!$HN$2:$HN$50=K$1),0),$B89-1973)</f>
        <v>450688</v>
      </c>
      <c r="L89" cm="1">
        <f t="array" ref="L89">INDEX(GMW!$A$2:$HN$50,MATCH(1,(GMW!$HM$2:$HM$50=L$3)*(GMW!$HN$2:$HN$50=L$1),0),$B89-1973)</f>
        <v>27555</v>
      </c>
      <c r="M89" cm="1">
        <f t="array" ref="M89">INDEX(GMW!$A$2:$HN$50,MATCH(1,(GMW!$HM$2:$HM$50=M$3)*(GMW!$HN$2:$HN$50=M$1),0),$B89-1973)</f>
        <v>4802.4549999999999</v>
      </c>
      <c r="N89" cm="1">
        <f t="array" ref="N89">INDEX(GMW!$A$2:$HN$50,MATCH(1,(GMW!$HM$2:$HM$50=N$3)*(GMW!$HN$2:$HN$50=N$1),0),$B89-1973)</f>
        <v>5.3</v>
      </c>
      <c r="O89" cm="1">
        <f t="array" ref="O89">INDEX(GMW!$A$2:$HN$50,MATCH(1,(GMW!$HM$2:$HM$50=O$3)*(GMW!$HN$2:$HN$50=O$1),0),$B89-1973)</f>
        <v>283106</v>
      </c>
      <c r="P89" cm="1">
        <f t="array" ref="P89">INDEX(GMW!$A$2:$HN$50,MATCH(1,(GMW!$HM$2:$HM$50=P$3)*(GMW!$HN$2:$HN$50=P$1),0),$B89-1973)</f>
        <v>9826</v>
      </c>
    </row>
    <row r="90" spans="1:16">
      <c r="B90">
        <f t="shared" si="4"/>
        <v>2063</v>
      </c>
      <c r="C90">
        <f t="shared" si="5"/>
        <v>2000</v>
      </c>
      <c r="D90">
        <f t="shared" si="5"/>
        <v>2000</v>
      </c>
      <c r="E90" cm="1">
        <f t="array" ref="E90">INDEX(GMW!$A$2:$HN$50,MATCH(1,(GMW!$HM$2:$HM$50=E$3)*(GMW!$HN$2:$HN$50=E$1),0),$B90-1973)</f>
        <v>453447</v>
      </c>
      <c r="F90" cm="1">
        <f t="array" ref="F90">INDEX(GMW!$A$2:$HN$50,MATCH(1,(GMW!$HM$2:$HM$50=F$3)*(GMW!$HN$2:$HN$50=F$1),0),$B90-1973)</f>
        <v>27549</v>
      </c>
      <c r="G90" cm="1">
        <f t="array" ref="G90">INDEX(GMW!$A$2:$HN$50,MATCH(1,(GMW!$HM$2:$HM$50=G$3)*(GMW!$HN$2:$HN$50=G$1),0),$B90-1973)</f>
        <v>4890.7749999999996</v>
      </c>
      <c r="H90" cm="1">
        <f t="array" ref="H90">INDEX(GMW!$A$2:$HN$50,MATCH(1,(GMW!$HM$2:$HM$50=H$3)*(GMW!$HN$2:$HN$50=H$1),0),$B90-1973)</f>
        <v>5.2</v>
      </c>
      <c r="I90" cm="1">
        <f t="array" ref="I90">INDEX(GMW!$A$2:$HN$50,MATCH(1,(GMW!$HM$2:$HM$50=I$3)*(GMW!$HN$2:$HN$50=I$1),0),$B90-1973)</f>
        <v>287523</v>
      </c>
      <c r="J90" cm="1">
        <f t="array" ref="J90">INDEX(GMW!$A$2:$HN$50,MATCH(1,(GMW!$HM$2:$HM$50=J$3)*(GMW!$HN$2:$HN$50=J$1),0),$B90-1973)</f>
        <v>10195</v>
      </c>
      <c r="K90" cm="1">
        <f t="array" ref="K90">INDEX(GMW!$A$2:$HN$50,MATCH(1,(GMW!$HM$2:$HM$50=K$3)*(GMW!$HN$2:$HN$50=K$1),0),$B90-1973)</f>
        <v>453447</v>
      </c>
      <c r="L90" cm="1">
        <f t="array" ref="L90">INDEX(GMW!$A$2:$HN$50,MATCH(1,(GMW!$HM$2:$HM$50=L$3)*(GMW!$HN$2:$HN$50=L$1),0),$B90-1973)</f>
        <v>27549</v>
      </c>
      <c r="M90" cm="1">
        <f t="array" ref="M90">INDEX(GMW!$A$2:$HN$50,MATCH(1,(GMW!$HM$2:$HM$50=M$3)*(GMW!$HN$2:$HN$50=M$1),0),$B90-1973)</f>
        <v>4890.7749999999996</v>
      </c>
      <c r="N90" cm="1">
        <f t="array" ref="N90">INDEX(GMW!$A$2:$HN$50,MATCH(1,(GMW!$HM$2:$HM$50=N$3)*(GMW!$HN$2:$HN$50=N$1),0),$B90-1973)</f>
        <v>5.2</v>
      </c>
      <c r="O90" cm="1">
        <f t="array" ref="O90">INDEX(GMW!$A$2:$HN$50,MATCH(1,(GMW!$HM$2:$HM$50=O$3)*(GMW!$HN$2:$HN$50=O$1),0),$B90-1973)</f>
        <v>287523</v>
      </c>
      <c r="P90" cm="1">
        <f t="array" ref="P90">INDEX(GMW!$A$2:$HN$50,MATCH(1,(GMW!$HM$2:$HM$50=P$3)*(GMW!$HN$2:$HN$50=P$1),0),$B90-1973)</f>
        <v>10195</v>
      </c>
    </row>
    <row r="91" spans="1:16">
      <c r="A91">
        <v>2001</v>
      </c>
      <c r="B91">
        <f t="shared" si="4"/>
        <v>2064</v>
      </c>
      <c r="C91">
        <f t="shared" si="5"/>
        <v>2001</v>
      </c>
      <c r="D91">
        <f t="shared" si="5"/>
        <v>2000</v>
      </c>
      <c r="E91" cm="1">
        <f t="array" ref="E91">INDEX(GMW!$A$2:$HN$50,MATCH(1,(GMW!$HM$2:$HM$50=E$3)*(GMW!$HN$2:$HN$50=E$1),0),$B91-1973)</f>
        <v>457680</v>
      </c>
      <c r="F91" cm="1">
        <f t="array" ref="F91">INDEX(GMW!$A$2:$HN$50,MATCH(1,(GMW!$HM$2:$HM$50=F$3)*(GMW!$HN$2:$HN$50=F$1),0),$B91-1973)</f>
        <v>27623</v>
      </c>
      <c r="G91" cm="1">
        <f t="array" ref="G91">INDEX(GMW!$A$2:$HN$50,MATCH(1,(GMW!$HM$2:$HM$50=G$3)*(GMW!$HN$2:$HN$50=G$1),0),$B91-1973)</f>
        <v>5001.3689999999997</v>
      </c>
      <c r="H91" cm="1">
        <f t="array" ref="H91">INDEX(GMW!$A$2:$HN$50,MATCH(1,(GMW!$HM$2:$HM$50=H$3)*(GMW!$HN$2:$HN$50=H$1),0),$B91-1973)</f>
        <v>5.0999999999999996</v>
      </c>
      <c r="I91" cm="1">
        <f t="array" ref="I91">INDEX(GMW!$A$2:$HN$50,MATCH(1,(GMW!$HM$2:$HM$50=I$3)*(GMW!$HN$2:$HN$50=I$1),0),$B91-1973)</f>
        <v>289476</v>
      </c>
      <c r="J91" cm="1">
        <f t="array" ref="J91">INDEX(GMW!$A$2:$HN$50,MATCH(1,(GMW!$HM$2:$HM$50=J$3)*(GMW!$HN$2:$HN$50=J$1),0),$B91-1973)</f>
        <v>10811</v>
      </c>
      <c r="K91" cm="1">
        <f t="array" ref="K91">INDEX(GMW!$A$2:$HN$50,MATCH(1,(GMW!$HM$2:$HM$50=K$3)*(GMW!$HN$2:$HN$50=K$1),0),$B91-1973)</f>
        <v>457680</v>
      </c>
      <c r="L91" cm="1">
        <f t="array" ref="L91">INDEX(GMW!$A$2:$HN$50,MATCH(1,(GMW!$HM$2:$HM$50=L$3)*(GMW!$HN$2:$HN$50=L$1),0),$B91-1973)</f>
        <v>27623</v>
      </c>
      <c r="M91" cm="1">
        <f t="array" ref="M91">INDEX(GMW!$A$2:$HN$50,MATCH(1,(GMW!$HM$2:$HM$50=M$3)*(GMW!$HN$2:$HN$50=M$1),0),$B91-1973)</f>
        <v>5001.3689999999997</v>
      </c>
      <c r="N91" cm="1">
        <f t="array" ref="N91">INDEX(GMW!$A$2:$HN$50,MATCH(1,(GMW!$HM$2:$HM$50=N$3)*(GMW!$HN$2:$HN$50=N$1),0),$B91-1973)</f>
        <v>5.0999999999999996</v>
      </c>
      <c r="O91" cm="1">
        <f t="array" ref="O91">INDEX(GMW!$A$2:$HN$50,MATCH(1,(GMW!$HM$2:$HM$50=O$3)*(GMW!$HN$2:$HN$50=O$1),0),$B91-1973)</f>
        <v>289476</v>
      </c>
      <c r="P91" cm="1">
        <f t="array" ref="P91">INDEX(GMW!$A$2:$HN$50,MATCH(1,(GMW!$HM$2:$HM$50=P$3)*(GMW!$HN$2:$HN$50=P$1),0),$B91-1973)</f>
        <v>10811</v>
      </c>
    </row>
    <row r="92" spans="1:16">
      <c r="B92">
        <f t="shared" si="4"/>
        <v>2065</v>
      </c>
      <c r="C92">
        <f t="shared" si="5"/>
        <v>2001</v>
      </c>
      <c r="D92">
        <f t="shared" si="5"/>
        <v>2001</v>
      </c>
      <c r="E92" cm="1">
        <f t="array" ref="E92">INDEX(GMW!$A$2:$HN$50,MATCH(1,(GMW!$HM$2:$HM$50=E$3)*(GMW!$HN$2:$HN$50=E$1),0),$B92-1973)</f>
        <v>459620</v>
      </c>
      <c r="F92" cm="1">
        <f t="array" ref="F92">INDEX(GMW!$A$2:$HN$50,MATCH(1,(GMW!$HM$2:$HM$50=F$3)*(GMW!$HN$2:$HN$50=F$1),0),$B92-1973)</f>
        <v>27707</v>
      </c>
      <c r="G92" cm="1">
        <f t="array" ref="G92">INDEX(GMW!$A$2:$HN$50,MATCH(1,(GMW!$HM$2:$HM$50=G$3)*(GMW!$HN$2:$HN$50=G$1),0),$B92-1973)</f>
        <v>5002.7700000000004</v>
      </c>
      <c r="H92" cm="1">
        <f t="array" ref="H92">INDEX(GMW!$A$2:$HN$50,MATCH(1,(GMW!$HM$2:$HM$50=H$3)*(GMW!$HN$2:$HN$50=H$1),0),$B92-1973)</f>
        <v>5</v>
      </c>
      <c r="I92" cm="1">
        <f t="array" ref="I92">INDEX(GMW!$A$2:$HN$50,MATCH(1,(GMW!$HM$2:$HM$50=I$3)*(GMW!$HN$2:$HN$50=I$1),0),$B92-1973)</f>
        <v>288052</v>
      </c>
      <c r="J92" cm="1">
        <f t="array" ref="J92">INDEX(GMW!$A$2:$HN$50,MATCH(1,(GMW!$HM$2:$HM$50=J$3)*(GMW!$HN$2:$HN$50=J$1),0),$B92-1973)</f>
        <v>9870</v>
      </c>
      <c r="K92" cm="1">
        <f t="array" ref="K92">INDEX(GMW!$A$2:$HN$50,MATCH(1,(GMW!$HM$2:$HM$50=K$3)*(GMW!$HN$2:$HN$50=K$1),0),$B92-1973)</f>
        <v>459620</v>
      </c>
      <c r="L92" cm="1">
        <f t="array" ref="L92">INDEX(GMW!$A$2:$HN$50,MATCH(1,(GMW!$HM$2:$HM$50=L$3)*(GMW!$HN$2:$HN$50=L$1),0),$B92-1973)</f>
        <v>27707</v>
      </c>
      <c r="M92" cm="1">
        <f t="array" ref="M92">INDEX(GMW!$A$2:$HN$50,MATCH(1,(GMW!$HM$2:$HM$50=M$3)*(GMW!$HN$2:$HN$50=M$1),0),$B92-1973)</f>
        <v>5002.7700000000004</v>
      </c>
      <c r="N92" cm="1">
        <f t="array" ref="N92">INDEX(GMW!$A$2:$HN$50,MATCH(1,(GMW!$HM$2:$HM$50=N$3)*(GMW!$HN$2:$HN$50=N$1),0),$B92-1973)</f>
        <v>5</v>
      </c>
      <c r="O92" cm="1">
        <f t="array" ref="O92">INDEX(GMW!$A$2:$HN$50,MATCH(1,(GMW!$HM$2:$HM$50=O$3)*(GMW!$HN$2:$HN$50=O$1),0),$B92-1973)</f>
        <v>288052</v>
      </c>
      <c r="P92" cm="1">
        <f t="array" ref="P92">INDEX(GMW!$A$2:$HN$50,MATCH(1,(GMW!$HM$2:$HM$50=P$3)*(GMW!$HN$2:$HN$50=P$1),0),$B92-1973)</f>
        <v>9870</v>
      </c>
    </row>
    <row r="93" spans="1:16">
      <c r="B93">
        <f t="shared" si="4"/>
        <v>2066</v>
      </c>
      <c r="C93">
        <f t="shared" si="5"/>
        <v>2001</v>
      </c>
      <c r="D93">
        <f t="shared" si="5"/>
        <v>2001</v>
      </c>
      <c r="E93" cm="1">
        <f t="array" ref="E93">INDEX(GMW!$A$2:$HN$50,MATCH(1,(GMW!$HM$2:$HM$50=E$3)*(GMW!$HN$2:$HN$50=E$1),0),$B93-1973)</f>
        <v>462016</v>
      </c>
      <c r="F93" cm="1">
        <f t="array" ref="F93">INDEX(GMW!$A$2:$HN$50,MATCH(1,(GMW!$HM$2:$HM$50=F$3)*(GMW!$HN$2:$HN$50=F$1),0),$B93-1973)</f>
        <v>27715</v>
      </c>
      <c r="G93" cm="1">
        <f t="array" ref="G93">INDEX(GMW!$A$2:$HN$50,MATCH(1,(GMW!$HM$2:$HM$50=G$3)*(GMW!$HN$2:$HN$50=G$1),0),$B93-1973)</f>
        <v>5029.6509999999998</v>
      </c>
      <c r="H93" cm="1">
        <f t="array" ref="H93">INDEX(GMW!$A$2:$HN$50,MATCH(1,(GMW!$HM$2:$HM$50=H$3)*(GMW!$HN$2:$HN$50=H$1),0),$B93-1973)</f>
        <v>5.0999999999999996</v>
      </c>
      <c r="I93" cm="1">
        <f t="array" ref="I93">INDEX(GMW!$A$2:$HN$50,MATCH(1,(GMW!$HM$2:$HM$50=I$3)*(GMW!$HN$2:$HN$50=I$1),0),$B93-1973)</f>
        <v>289545</v>
      </c>
      <c r="J93" cm="1">
        <f t="array" ref="J93">INDEX(GMW!$A$2:$HN$50,MATCH(1,(GMW!$HM$2:$HM$50=J$3)*(GMW!$HN$2:$HN$50=J$1),0),$B93-1973)</f>
        <v>10189</v>
      </c>
      <c r="K93" cm="1">
        <f t="array" ref="K93">INDEX(GMW!$A$2:$HN$50,MATCH(1,(GMW!$HM$2:$HM$50=K$3)*(GMW!$HN$2:$HN$50=K$1),0),$B93-1973)</f>
        <v>462016</v>
      </c>
      <c r="L93" cm="1">
        <f t="array" ref="L93">INDEX(GMW!$A$2:$HN$50,MATCH(1,(GMW!$HM$2:$HM$50=L$3)*(GMW!$HN$2:$HN$50=L$1),0),$B93-1973)</f>
        <v>27715</v>
      </c>
      <c r="M93" cm="1">
        <f t="array" ref="M93">INDEX(GMW!$A$2:$HN$50,MATCH(1,(GMW!$HM$2:$HM$50=M$3)*(GMW!$HN$2:$HN$50=M$1),0),$B93-1973)</f>
        <v>5029.6509999999998</v>
      </c>
      <c r="N93" cm="1">
        <f t="array" ref="N93">INDEX(GMW!$A$2:$HN$50,MATCH(1,(GMW!$HM$2:$HM$50=N$3)*(GMW!$HN$2:$HN$50=N$1),0),$B93-1973)</f>
        <v>5.0999999999999996</v>
      </c>
      <c r="O93" cm="1">
        <f t="array" ref="O93">INDEX(GMW!$A$2:$HN$50,MATCH(1,(GMW!$HM$2:$HM$50=O$3)*(GMW!$HN$2:$HN$50=O$1),0),$B93-1973)</f>
        <v>289545</v>
      </c>
      <c r="P93" cm="1">
        <f t="array" ref="P93">INDEX(GMW!$A$2:$HN$50,MATCH(1,(GMW!$HM$2:$HM$50=P$3)*(GMW!$HN$2:$HN$50=P$1),0),$B93-1973)</f>
        <v>10189</v>
      </c>
    </row>
    <row r="94" spans="1:16">
      <c r="B94">
        <f t="shared" si="4"/>
        <v>2067</v>
      </c>
      <c r="C94">
        <f t="shared" si="5"/>
        <v>2001</v>
      </c>
      <c r="D94">
        <f t="shared" si="5"/>
        <v>2001</v>
      </c>
      <c r="E94" cm="1">
        <f t="array" ref="E94">INDEX(GMW!$A$2:$HN$50,MATCH(1,(GMW!$HM$2:$HM$50=E$3)*(GMW!$HN$2:$HN$50=E$1),0),$B94-1973)</f>
        <v>463404</v>
      </c>
      <c r="F94" cm="1">
        <f t="array" ref="F94">INDEX(GMW!$A$2:$HN$50,MATCH(1,(GMW!$HM$2:$HM$50=F$3)*(GMW!$HN$2:$HN$50=F$1),0),$B94-1973)</f>
        <v>27803</v>
      </c>
      <c r="G94" cm="1">
        <f t="array" ref="G94">INDEX(GMW!$A$2:$HN$50,MATCH(1,(GMW!$HM$2:$HM$50=G$3)*(GMW!$HN$2:$HN$50=G$1),0),$B94-1973)</f>
        <v>5057.9219999999996</v>
      </c>
      <c r="H94" cm="1">
        <f t="array" ref="H94">INDEX(GMW!$A$2:$HN$50,MATCH(1,(GMW!$HM$2:$HM$50=H$3)*(GMW!$HN$2:$HN$50=H$1),0),$B94-1973)</f>
        <v>5.2</v>
      </c>
      <c r="I94" cm="1">
        <f t="array" ref="I94">INDEX(GMW!$A$2:$HN$50,MATCH(1,(GMW!$HM$2:$HM$50=I$3)*(GMW!$HN$2:$HN$50=I$1),0),$B94-1973)</f>
        <v>295002</v>
      </c>
      <c r="J94" cm="1">
        <f t="array" ref="J94">INDEX(GMW!$A$2:$HN$50,MATCH(1,(GMW!$HM$2:$HM$50=J$3)*(GMW!$HN$2:$HN$50=J$1),0),$B94-1973)</f>
        <v>10298</v>
      </c>
      <c r="K94" cm="1">
        <f t="array" ref="K94">INDEX(GMW!$A$2:$HN$50,MATCH(1,(GMW!$HM$2:$HM$50=K$3)*(GMW!$HN$2:$HN$50=K$1),0),$B94-1973)</f>
        <v>463404</v>
      </c>
      <c r="L94" cm="1">
        <f t="array" ref="L94">INDEX(GMW!$A$2:$HN$50,MATCH(1,(GMW!$HM$2:$HM$50=L$3)*(GMW!$HN$2:$HN$50=L$1),0),$B94-1973)</f>
        <v>27803</v>
      </c>
      <c r="M94" cm="1">
        <f t="array" ref="M94">INDEX(GMW!$A$2:$HN$50,MATCH(1,(GMW!$HM$2:$HM$50=M$3)*(GMW!$HN$2:$HN$50=M$1),0),$B94-1973)</f>
        <v>5057.9219999999996</v>
      </c>
      <c r="N94" cm="1">
        <f t="array" ref="N94">INDEX(GMW!$A$2:$HN$50,MATCH(1,(GMW!$HM$2:$HM$50=N$3)*(GMW!$HN$2:$HN$50=N$1),0),$B94-1973)</f>
        <v>5.2</v>
      </c>
      <c r="O94" cm="1">
        <f t="array" ref="O94">INDEX(GMW!$A$2:$HN$50,MATCH(1,(GMW!$HM$2:$HM$50=O$3)*(GMW!$HN$2:$HN$50=O$1),0),$B94-1973)</f>
        <v>295002</v>
      </c>
      <c r="P94" cm="1">
        <f t="array" ref="P94">INDEX(GMW!$A$2:$HN$50,MATCH(1,(GMW!$HM$2:$HM$50=P$3)*(GMW!$HN$2:$HN$50=P$1),0),$B94-1973)</f>
        <v>10298</v>
      </c>
    </row>
    <row r="95" spans="1:16">
      <c r="A95">
        <v>2002</v>
      </c>
      <c r="B95">
        <f t="shared" si="4"/>
        <v>2068</v>
      </c>
      <c r="C95">
        <f t="shared" si="5"/>
        <v>2002</v>
      </c>
      <c r="D95">
        <f t="shared" si="5"/>
        <v>2001</v>
      </c>
      <c r="E95" cm="1">
        <f t="array" ref="E95">INDEX(GMW!$A$2:$HN$50,MATCH(1,(GMW!$HM$2:$HM$50=E$3)*(GMW!$HN$2:$HN$50=E$1),0),$B95-1973)</f>
        <v>464698</v>
      </c>
      <c r="F95" cm="1">
        <f t="array" ref="F95">INDEX(GMW!$A$2:$HN$50,MATCH(1,(GMW!$HM$2:$HM$50=F$3)*(GMW!$HN$2:$HN$50=F$1),0),$B95-1973)</f>
        <v>27797</v>
      </c>
      <c r="G95" cm="1">
        <f t="array" ref="G95">INDEX(GMW!$A$2:$HN$50,MATCH(1,(GMW!$HM$2:$HM$50=G$3)*(GMW!$HN$2:$HN$50=G$1),0),$B95-1973)</f>
        <v>5089.49</v>
      </c>
      <c r="H95" cm="1">
        <f t="array" ref="H95">INDEX(GMW!$A$2:$HN$50,MATCH(1,(GMW!$HM$2:$HM$50=H$3)*(GMW!$HN$2:$HN$50=H$1),0),$B95-1973)</f>
        <v>5.2</v>
      </c>
      <c r="I95" cm="1">
        <f t="array" ref="I95">INDEX(GMW!$A$2:$HN$50,MATCH(1,(GMW!$HM$2:$HM$50=I$3)*(GMW!$HN$2:$HN$50=I$1),0),$B95-1973)</f>
        <v>295976</v>
      </c>
      <c r="J95" cm="1">
        <f t="array" ref="J95">INDEX(GMW!$A$2:$HN$50,MATCH(1,(GMW!$HM$2:$HM$50=J$3)*(GMW!$HN$2:$HN$50=J$1),0),$B95-1973)</f>
        <v>10629</v>
      </c>
      <c r="K95" cm="1">
        <f t="array" ref="K95">INDEX(GMW!$A$2:$HN$50,MATCH(1,(GMW!$HM$2:$HM$50=K$3)*(GMW!$HN$2:$HN$50=K$1),0),$B95-1973)</f>
        <v>464698</v>
      </c>
      <c r="L95" cm="1">
        <f t="array" ref="L95">INDEX(GMW!$A$2:$HN$50,MATCH(1,(GMW!$HM$2:$HM$50=L$3)*(GMW!$HN$2:$HN$50=L$1),0),$B95-1973)</f>
        <v>27797</v>
      </c>
      <c r="M95" cm="1">
        <f t="array" ref="M95">INDEX(GMW!$A$2:$HN$50,MATCH(1,(GMW!$HM$2:$HM$50=M$3)*(GMW!$HN$2:$HN$50=M$1),0),$B95-1973)</f>
        <v>5089.49</v>
      </c>
      <c r="N95" cm="1">
        <f t="array" ref="N95">INDEX(GMW!$A$2:$HN$50,MATCH(1,(GMW!$HM$2:$HM$50=N$3)*(GMW!$HN$2:$HN$50=N$1),0),$B95-1973)</f>
        <v>5.2</v>
      </c>
      <c r="O95" cm="1">
        <f t="array" ref="O95">INDEX(GMW!$A$2:$HN$50,MATCH(1,(GMW!$HM$2:$HM$50=O$3)*(GMW!$HN$2:$HN$50=O$1),0),$B95-1973)</f>
        <v>295976</v>
      </c>
      <c r="P95" cm="1">
        <f t="array" ref="P95">INDEX(GMW!$A$2:$HN$50,MATCH(1,(GMW!$HM$2:$HM$50=P$3)*(GMW!$HN$2:$HN$50=P$1),0),$B95-1973)</f>
        <v>10629</v>
      </c>
    </row>
    <row r="96" spans="1:16">
      <c r="B96">
        <f t="shared" si="4"/>
        <v>2069</v>
      </c>
      <c r="C96">
        <f t="shared" si="5"/>
        <v>2002</v>
      </c>
      <c r="D96">
        <f t="shared" si="5"/>
        <v>2002</v>
      </c>
      <c r="E96" cm="1">
        <f t="array" ref="E96">INDEX(GMW!$A$2:$HN$50,MATCH(1,(GMW!$HM$2:$HM$50=E$3)*(GMW!$HN$2:$HN$50=E$1),0),$B96-1973)</f>
        <v>466935</v>
      </c>
      <c r="F96" cm="1">
        <f t="array" ref="F96">INDEX(GMW!$A$2:$HN$50,MATCH(1,(GMW!$HM$2:$HM$50=F$3)*(GMW!$HN$2:$HN$50=F$1),0),$B96-1973)</f>
        <v>27933</v>
      </c>
      <c r="G96" cm="1">
        <f t="array" ref="G96">INDEX(GMW!$A$2:$HN$50,MATCH(1,(GMW!$HM$2:$HM$50=G$3)*(GMW!$HN$2:$HN$50=G$1),0),$B96-1973)</f>
        <v>5073.9089999999997</v>
      </c>
      <c r="H96" cm="1">
        <f t="array" ref="H96">INDEX(GMW!$A$2:$HN$50,MATCH(1,(GMW!$HM$2:$HM$50=H$3)*(GMW!$HN$2:$HN$50=H$1),0),$B96-1973)</f>
        <v>5.2</v>
      </c>
      <c r="I96" cm="1">
        <f t="array" ref="I96">INDEX(GMW!$A$2:$HN$50,MATCH(1,(GMW!$HM$2:$HM$50=I$3)*(GMW!$HN$2:$HN$50=I$1),0),$B96-1973)</f>
        <v>298538</v>
      </c>
      <c r="J96" cm="1">
        <f t="array" ref="J96">INDEX(GMW!$A$2:$HN$50,MATCH(1,(GMW!$HM$2:$HM$50=J$3)*(GMW!$HN$2:$HN$50=J$1),0),$B96-1973)</f>
        <v>10379</v>
      </c>
      <c r="K96" cm="1">
        <f t="array" ref="K96">INDEX(GMW!$A$2:$HN$50,MATCH(1,(GMW!$HM$2:$HM$50=K$3)*(GMW!$HN$2:$HN$50=K$1),0),$B96-1973)</f>
        <v>466935</v>
      </c>
      <c r="L96" cm="1">
        <f t="array" ref="L96">INDEX(GMW!$A$2:$HN$50,MATCH(1,(GMW!$HM$2:$HM$50=L$3)*(GMW!$HN$2:$HN$50=L$1),0),$B96-1973)</f>
        <v>27933</v>
      </c>
      <c r="M96" cm="1">
        <f t="array" ref="M96">INDEX(GMW!$A$2:$HN$50,MATCH(1,(GMW!$HM$2:$HM$50=M$3)*(GMW!$HN$2:$HN$50=M$1),0),$B96-1973)</f>
        <v>5073.9089999999997</v>
      </c>
      <c r="N96" cm="1">
        <f t="array" ref="N96">INDEX(GMW!$A$2:$HN$50,MATCH(1,(GMW!$HM$2:$HM$50=N$3)*(GMW!$HN$2:$HN$50=N$1),0),$B96-1973)</f>
        <v>5.2</v>
      </c>
      <c r="O96" cm="1">
        <f t="array" ref="O96">INDEX(GMW!$A$2:$HN$50,MATCH(1,(GMW!$HM$2:$HM$50=O$3)*(GMW!$HN$2:$HN$50=O$1),0),$B96-1973)</f>
        <v>298538</v>
      </c>
      <c r="P96" cm="1">
        <f t="array" ref="P96">INDEX(GMW!$A$2:$HN$50,MATCH(1,(GMW!$HM$2:$HM$50=P$3)*(GMW!$HN$2:$HN$50=P$1),0),$B96-1973)</f>
        <v>10379</v>
      </c>
    </row>
    <row r="97" spans="1:16">
      <c r="B97">
        <f t="shared" si="4"/>
        <v>2070</v>
      </c>
      <c r="C97">
        <f t="shared" si="5"/>
        <v>2002</v>
      </c>
      <c r="D97">
        <f t="shared" si="5"/>
        <v>2002</v>
      </c>
      <c r="E97" cm="1">
        <f t="array" ref="E97">INDEX(GMW!$A$2:$HN$50,MATCH(1,(GMW!$HM$2:$HM$50=E$3)*(GMW!$HN$2:$HN$50=E$1),0),$B97-1973)</f>
        <v>470277</v>
      </c>
      <c r="F97" cm="1">
        <f t="array" ref="F97">INDEX(GMW!$A$2:$HN$50,MATCH(1,(GMW!$HM$2:$HM$50=F$3)*(GMW!$HN$2:$HN$50=F$1),0),$B97-1973)</f>
        <v>27935</v>
      </c>
      <c r="G97" cm="1">
        <f t="array" ref="G97">INDEX(GMW!$A$2:$HN$50,MATCH(1,(GMW!$HM$2:$HM$50=G$3)*(GMW!$HN$2:$HN$50=G$1),0),$B97-1973)</f>
        <v>5126.5479999999998</v>
      </c>
      <c r="H97" cm="1">
        <f t="array" ref="H97">INDEX(GMW!$A$2:$HN$50,MATCH(1,(GMW!$HM$2:$HM$50=H$3)*(GMW!$HN$2:$HN$50=H$1),0),$B97-1973)</f>
        <v>5.3</v>
      </c>
      <c r="I97" cm="1">
        <f t="array" ref="I97">INDEX(GMW!$A$2:$HN$50,MATCH(1,(GMW!$HM$2:$HM$50=I$3)*(GMW!$HN$2:$HN$50=I$1),0),$B97-1973)</f>
        <v>297567</v>
      </c>
      <c r="J97" cm="1">
        <f t="array" ref="J97">INDEX(GMW!$A$2:$HN$50,MATCH(1,(GMW!$HM$2:$HM$50=J$3)*(GMW!$HN$2:$HN$50=J$1),0),$B97-1973)</f>
        <v>10146</v>
      </c>
      <c r="K97" cm="1">
        <f t="array" ref="K97">INDEX(GMW!$A$2:$HN$50,MATCH(1,(GMW!$HM$2:$HM$50=K$3)*(GMW!$HN$2:$HN$50=K$1),0),$B97-1973)</f>
        <v>470277</v>
      </c>
      <c r="L97" cm="1">
        <f t="array" ref="L97">INDEX(GMW!$A$2:$HN$50,MATCH(1,(GMW!$HM$2:$HM$50=L$3)*(GMW!$HN$2:$HN$50=L$1),0),$B97-1973)</f>
        <v>27935</v>
      </c>
      <c r="M97" cm="1">
        <f t="array" ref="M97">INDEX(GMW!$A$2:$HN$50,MATCH(1,(GMW!$HM$2:$HM$50=M$3)*(GMW!$HN$2:$HN$50=M$1),0),$B97-1973)</f>
        <v>5126.5479999999998</v>
      </c>
      <c r="N97" cm="1">
        <f t="array" ref="N97">INDEX(GMW!$A$2:$HN$50,MATCH(1,(GMW!$HM$2:$HM$50=N$3)*(GMW!$HN$2:$HN$50=N$1),0),$B97-1973)</f>
        <v>5.3</v>
      </c>
      <c r="O97" cm="1">
        <f t="array" ref="O97">INDEX(GMW!$A$2:$HN$50,MATCH(1,(GMW!$HM$2:$HM$50=O$3)*(GMW!$HN$2:$HN$50=O$1),0),$B97-1973)</f>
        <v>297567</v>
      </c>
      <c r="P97" cm="1">
        <f t="array" ref="P97">INDEX(GMW!$A$2:$HN$50,MATCH(1,(GMW!$HM$2:$HM$50=P$3)*(GMW!$HN$2:$HN$50=P$1),0),$B97-1973)</f>
        <v>10146</v>
      </c>
    </row>
    <row r="98" spans="1:16">
      <c r="B98">
        <f t="shared" si="4"/>
        <v>2071</v>
      </c>
      <c r="C98">
        <f t="shared" si="5"/>
        <v>2002</v>
      </c>
      <c r="D98">
        <f t="shared" si="5"/>
        <v>2002</v>
      </c>
      <c r="E98" cm="1">
        <f t="array" ref="E98">INDEX(GMW!$A$2:$HN$50,MATCH(1,(GMW!$HM$2:$HM$50=E$3)*(GMW!$HN$2:$HN$50=E$1),0),$B98-1973)</f>
        <v>473899</v>
      </c>
      <c r="F98" cm="1">
        <f t="array" ref="F98">INDEX(GMW!$A$2:$HN$50,MATCH(1,(GMW!$HM$2:$HM$50=F$3)*(GMW!$HN$2:$HN$50=F$1),0),$B98-1973)</f>
        <v>28110</v>
      </c>
      <c r="G98" cm="1">
        <f t="array" ref="G98">INDEX(GMW!$A$2:$HN$50,MATCH(1,(GMW!$HM$2:$HM$50=G$3)*(GMW!$HN$2:$HN$50=G$1),0),$B98-1973)</f>
        <v>5142.66</v>
      </c>
      <c r="H98" cm="1">
        <f t="array" ref="H98">INDEX(GMW!$A$2:$HN$50,MATCH(1,(GMW!$HM$2:$HM$50=H$3)*(GMW!$HN$2:$HN$50=H$1),0),$B98-1973)</f>
        <v>5.0999999999999996</v>
      </c>
      <c r="I98" cm="1">
        <f t="array" ref="I98">INDEX(GMW!$A$2:$HN$50,MATCH(1,(GMW!$HM$2:$HM$50=I$3)*(GMW!$HN$2:$HN$50=I$1),0),$B98-1973)</f>
        <v>298904</v>
      </c>
      <c r="J98" cm="1">
        <f t="array" ref="J98">INDEX(GMW!$A$2:$HN$50,MATCH(1,(GMW!$HM$2:$HM$50=J$3)*(GMW!$HN$2:$HN$50=J$1),0),$B98-1973)</f>
        <v>10703</v>
      </c>
      <c r="K98" cm="1">
        <f t="array" ref="K98">INDEX(GMW!$A$2:$HN$50,MATCH(1,(GMW!$HM$2:$HM$50=K$3)*(GMW!$HN$2:$HN$50=K$1),0),$B98-1973)</f>
        <v>473899</v>
      </c>
      <c r="L98" cm="1">
        <f t="array" ref="L98">INDEX(GMW!$A$2:$HN$50,MATCH(1,(GMW!$HM$2:$HM$50=L$3)*(GMW!$HN$2:$HN$50=L$1),0),$B98-1973)</f>
        <v>28110</v>
      </c>
      <c r="M98" cm="1">
        <f t="array" ref="M98">INDEX(GMW!$A$2:$HN$50,MATCH(1,(GMW!$HM$2:$HM$50=M$3)*(GMW!$HN$2:$HN$50=M$1),0),$B98-1973)</f>
        <v>5142.66</v>
      </c>
      <c r="N98" cm="1">
        <f t="array" ref="N98">INDEX(GMW!$A$2:$HN$50,MATCH(1,(GMW!$HM$2:$HM$50=N$3)*(GMW!$HN$2:$HN$50=N$1),0),$B98-1973)</f>
        <v>5.0999999999999996</v>
      </c>
      <c r="O98" cm="1">
        <f t="array" ref="O98">INDEX(GMW!$A$2:$HN$50,MATCH(1,(GMW!$HM$2:$HM$50=O$3)*(GMW!$HN$2:$HN$50=O$1),0),$B98-1973)</f>
        <v>298904</v>
      </c>
      <c r="P98" cm="1">
        <f t="array" ref="P98">INDEX(GMW!$A$2:$HN$50,MATCH(1,(GMW!$HM$2:$HM$50=P$3)*(GMW!$HN$2:$HN$50=P$1),0),$B98-1973)</f>
        <v>10703</v>
      </c>
    </row>
    <row r="99" spans="1:16">
      <c r="A99">
        <v>2003</v>
      </c>
      <c r="B99">
        <f t="shared" si="4"/>
        <v>2072</v>
      </c>
      <c r="C99">
        <f t="shared" si="5"/>
        <v>2003</v>
      </c>
      <c r="D99">
        <f t="shared" si="5"/>
        <v>2002</v>
      </c>
      <c r="E99" cm="1">
        <f t="array" ref="E99">INDEX(GMW!$A$2:$HN$50,MATCH(1,(GMW!$HM$2:$HM$50=E$3)*(GMW!$HN$2:$HN$50=E$1),0),$B99-1973)</f>
        <v>477357</v>
      </c>
      <c r="F99" cm="1">
        <f t="array" ref="F99">INDEX(GMW!$A$2:$HN$50,MATCH(1,(GMW!$HM$2:$HM$50=F$3)*(GMW!$HN$2:$HN$50=F$1),0),$B99-1973)</f>
        <v>28099</v>
      </c>
      <c r="G99" cm="1">
        <f t="array" ref="G99">INDEX(GMW!$A$2:$HN$50,MATCH(1,(GMW!$HM$2:$HM$50=G$3)*(GMW!$HN$2:$HN$50=G$1),0),$B99-1973)</f>
        <v>5215.1049999999996</v>
      </c>
      <c r="H99" cm="1">
        <f t="array" ref="H99">INDEX(GMW!$A$2:$HN$50,MATCH(1,(GMW!$HM$2:$HM$50=H$3)*(GMW!$HN$2:$HN$50=H$1),0),$B99-1973)</f>
        <v>5.2</v>
      </c>
      <c r="I99" cm="1">
        <f t="array" ref="I99">INDEX(GMW!$A$2:$HN$50,MATCH(1,(GMW!$HM$2:$HM$50=I$3)*(GMW!$HN$2:$HN$50=I$1),0),$B99-1973)</f>
        <v>301081</v>
      </c>
      <c r="J99" cm="1">
        <f t="array" ref="J99">INDEX(GMW!$A$2:$HN$50,MATCH(1,(GMW!$HM$2:$HM$50=J$3)*(GMW!$HN$2:$HN$50=J$1),0),$B99-1973)</f>
        <v>10366</v>
      </c>
      <c r="K99" cm="1">
        <f t="array" ref="K99">INDEX(GMW!$A$2:$HN$50,MATCH(1,(GMW!$HM$2:$HM$50=K$3)*(GMW!$HN$2:$HN$50=K$1),0),$B99-1973)</f>
        <v>477357</v>
      </c>
      <c r="L99" cm="1">
        <f t="array" ref="L99">INDEX(GMW!$A$2:$HN$50,MATCH(1,(GMW!$HM$2:$HM$50=L$3)*(GMW!$HN$2:$HN$50=L$1),0),$B99-1973)</f>
        <v>28099</v>
      </c>
      <c r="M99" cm="1">
        <f t="array" ref="M99">INDEX(GMW!$A$2:$HN$50,MATCH(1,(GMW!$HM$2:$HM$50=M$3)*(GMW!$HN$2:$HN$50=M$1),0),$B99-1973)</f>
        <v>5215.1049999999996</v>
      </c>
      <c r="N99" cm="1">
        <f t="array" ref="N99">INDEX(GMW!$A$2:$HN$50,MATCH(1,(GMW!$HM$2:$HM$50=N$3)*(GMW!$HN$2:$HN$50=N$1),0),$B99-1973)</f>
        <v>5.2</v>
      </c>
      <c r="O99" cm="1">
        <f t="array" ref="O99">INDEX(GMW!$A$2:$HN$50,MATCH(1,(GMW!$HM$2:$HM$50=O$3)*(GMW!$HN$2:$HN$50=O$1),0),$B99-1973)</f>
        <v>301081</v>
      </c>
      <c r="P99" cm="1">
        <f t="array" ref="P99">INDEX(GMW!$A$2:$HN$50,MATCH(1,(GMW!$HM$2:$HM$50=P$3)*(GMW!$HN$2:$HN$50=P$1),0),$B99-1973)</f>
        <v>10366</v>
      </c>
    </row>
    <row r="100" spans="1:16">
      <c r="B100">
        <f t="shared" si="4"/>
        <v>2073</v>
      </c>
      <c r="C100">
        <f t="shared" si="5"/>
        <v>2003</v>
      </c>
      <c r="D100">
        <f t="shared" si="5"/>
        <v>2003</v>
      </c>
      <c r="E100" cm="1">
        <f t="array" ref="E100">INDEX(GMW!$A$2:$HN$50,MATCH(1,(GMW!$HM$2:$HM$50=E$3)*(GMW!$HN$2:$HN$50=E$1),0),$B100-1973)</f>
        <v>481552</v>
      </c>
      <c r="F100" cm="1">
        <f t="array" ref="F100">INDEX(GMW!$A$2:$HN$50,MATCH(1,(GMW!$HM$2:$HM$50=F$3)*(GMW!$HN$2:$HN$50=F$1),0),$B100-1973)</f>
        <v>28226</v>
      </c>
      <c r="G100" cm="1">
        <f t="array" ref="G100">INDEX(GMW!$A$2:$HN$50,MATCH(1,(GMW!$HM$2:$HM$50=G$3)*(GMW!$HN$2:$HN$50=G$1),0),$B100-1973)</f>
        <v>5274.7430000000004</v>
      </c>
      <c r="H100" cm="1">
        <f t="array" ref="H100">INDEX(GMW!$A$2:$HN$50,MATCH(1,(GMW!$HM$2:$HM$50=H$3)*(GMW!$HN$2:$HN$50=H$1),0),$B100-1973)</f>
        <v>4.9000000000000004</v>
      </c>
      <c r="I100" cm="1">
        <f t="array" ref="I100">INDEX(GMW!$A$2:$HN$50,MATCH(1,(GMW!$HM$2:$HM$50=I$3)*(GMW!$HN$2:$HN$50=I$1),0),$B100-1973)</f>
        <v>302934</v>
      </c>
      <c r="J100" cm="1">
        <f t="array" ref="J100">INDEX(GMW!$A$2:$HN$50,MATCH(1,(GMW!$HM$2:$HM$50=J$3)*(GMW!$HN$2:$HN$50=J$1),0),$B100-1973)</f>
        <v>11989</v>
      </c>
      <c r="K100" cm="1">
        <f t="array" ref="K100">INDEX(GMW!$A$2:$HN$50,MATCH(1,(GMW!$HM$2:$HM$50=K$3)*(GMW!$HN$2:$HN$50=K$1),0),$B100-1973)</f>
        <v>481552</v>
      </c>
      <c r="L100" cm="1">
        <f t="array" ref="L100">INDEX(GMW!$A$2:$HN$50,MATCH(1,(GMW!$HM$2:$HM$50=L$3)*(GMW!$HN$2:$HN$50=L$1),0),$B100-1973)</f>
        <v>28226</v>
      </c>
      <c r="M100" cm="1">
        <f t="array" ref="M100">INDEX(GMW!$A$2:$HN$50,MATCH(1,(GMW!$HM$2:$HM$50=M$3)*(GMW!$HN$2:$HN$50=M$1),0),$B100-1973)</f>
        <v>5274.7430000000004</v>
      </c>
      <c r="N100" cm="1">
        <f t="array" ref="N100">INDEX(GMW!$A$2:$HN$50,MATCH(1,(GMW!$HM$2:$HM$50=N$3)*(GMW!$HN$2:$HN$50=N$1),0),$B100-1973)</f>
        <v>4.9000000000000004</v>
      </c>
      <c r="O100" cm="1">
        <f t="array" ref="O100">INDEX(GMW!$A$2:$HN$50,MATCH(1,(GMW!$HM$2:$HM$50=O$3)*(GMW!$HN$2:$HN$50=O$1),0),$B100-1973)</f>
        <v>302934</v>
      </c>
      <c r="P100" cm="1">
        <f t="array" ref="P100">INDEX(GMW!$A$2:$HN$50,MATCH(1,(GMW!$HM$2:$HM$50=P$3)*(GMW!$HN$2:$HN$50=P$1),0),$B100-1973)</f>
        <v>11989</v>
      </c>
    </row>
    <row r="101" spans="1:16">
      <c r="B101">
        <f t="shared" si="4"/>
        <v>2074</v>
      </c>
      <c r="C101">
        <f t="shared" si="5"/>
        <v>2003</v>
      </c>
      <c r="D101">
        <f t="shared" si="5"/>
        <v>2003</v>
      </c>
      <c r="E101" cm="1">
        <f t="array" ref="E101">INDEX(GMW!$A$2:$HN$50,MATCH(1,(GMW!$HM$2:$HM$50=E$3)*(GMW!$HN$2:$HN$50=E$1),0),$B101-1973)</f>
        <v>485973</v>
      </c>
      <c r="F101" cm="1">
        <f t="array" ref="F101">INDEX(GMW!$A$2:$HN$50,MATCH(1,(GMW!$HM$2:$HM$50=F$3)*(GMW!$HN$2:$HN$50=F$1),0),$B101-1973)</f>
        <v>28256</v>
      </c>
      <c r="G101" cm="1">
        <f t="array" ref="G101">INDEX(GMW!$A$2:$HN$50,MATCH(1,(GMW!$HM$2:$HM$50=G$3)*(GMW!$HN$2:$HN$50=G$1),0),$B101-1973)</f>
        <v>5382.1080000000002</v>
      </c>
      <c r="H101" cm="1">
        <f t="array" ref="H101">INDEX(GMW!$A$2:$HN$50,MATCH(1,(GMW!$HM$2:$HM$50=H$3)*(GMW!$HN$2:$HN$50=H$1),0),$B101-1973)</f>
        <v>5</v>
      </c>
      <c r="I101" cm="1">
        <f t="array" ref="I101">INDEX(GMW!$A$2:$HN$50,MATCH(1,(GMW!$HM$2:$HM$50=I$3)*(GMW!$HN$2:$HN$50=I$1),0),$B101-1973)</f>
        <v>304444</v>
      </c>
      <c r="J101" cm="1">
        <f t="array" ref="J101">INDEX(GMW!$A$2:$HN$50,MATCH(1,(GMW!$HM$2:$HM$50=J$3)*(GMW!$HN$2:$HN$50=J$1),0),$B101-1973)</f>
        <v>12409</v>
      </c>
      <c r="K101" cm="1">
        <f t="array" ref="K101">INDEX(GMW!$A$2:$HN$50,MATCH(1,(GMW!$HM$2:$HM$50=K$3)*(GMW!$HN$2:$HN$50=K$1),0),$B101-1973)</f>
        <v>485973</v>
      </c>
      <c r="L101" cm="1">
        <f t="array" ref="L101">INDEX(GMW!$A$2:$HN$50,MATCH(1,(GMW!$HM$2:$HM$50=L$3)*(GMW!$HN$2:$HN$50=L$1),0),$B101-1973)</f>
        <v>28256</v>
      </c>
      <c r="M101" cm="1">
        <f t="array" ref="M101">INDEX(GMW!$A$2:$HN$50,MATCH(1,(GMW!$HM$2:$HM$50=M$3)*(GMW!$HN$2:$HN$50=M$1),0),$B101-1973)</f>
        <v>5382.1080000000002</v>
      </c>
      <c r="N101" cm="1">
        <f t="array" ref="N101">INDEX(GMW!$A$2:$HN$50,MATCH(1,(GMW!$HM$2:$HM$50=N$3)*(GMW!$HN$2:$HN$50=N$1),0),$B101-1973)</f>
        <v>5</v>
      </c>
      <c r="O101" cm="1">
        <f t="array" ref="O101">INDEX(GMW!$A$2:$HN$50,MATCH(1,(GMW!$HM$2:$HM$50=O$3)*(GMW!$HN$2:$HN$50=O$1),0),$B101-1973)</f>
        <v>304444</v>
      </c>
      <c r="P101" cm="1">
        <f t="array" ref="P101">INDEX(GMW!$A$2:$HN$50,MATCH(1,(GMW!$HM$2:$HM$50=P$3)*(GMW!$HN$2:$HN$50=P$1),0),$B101-1973)</f>
        <v>12409</v>
      </c>
    </row>
    <row r="102" spans="1:16">
      <c r="B102">
        <f t="shared" si="4"/>
        <v>2075</v>
      </c>
      <c r="C102">
        <f t="shared" si="5"/>
        <v>2003</v>
      </c>
      <c r="D102">
        <f t="shared" si="5"/>
        <v>2003</v>
      </c>
      <c r="E102" cm="1">
        <f t="array" ref="E102">INDEX(GMW!$A$2:$HN$50,MATCH(1,(GMW!$HM$2:$HM$50=E$3)*(GMW!$HN$2:$HN$50=E$1),0),$B102-1973)</f>
        <v>490059</v>
      </c>
      <c r="F102" cm="1">
        <f t="array" ref="F102">INDEX(GMW!$A$2:$HN$50,MATCH(1,(GMW!$HM$2:$HM$50=F$3)*(GMW!$HN$2:$HN$50=F$1),0),$B102-1973)</f>
        <v>28304</v>
      </c>
      <c r="G102" cm="1">
        <f t="array" ref="G102">INDEX(GMW!$A$2:$HN$50,MATCH(1,(GMW!$HM$2:$HM$50=G$3)*(GMW!$HN$2:$HN$50=G$1),0),$B102-1973)</f>
        <v>5458.2330000000002</v>
      </c>
      <c r="H102" cm="1">
        <f t="array" ref="H102">INDEX(GMW!$A$2:$HN$50,MATCH(1,(GMW!$HM$2:$HM$50=H$3)*(GMW!$HN$2:$HN$50=H$1),0),$B102-1973)</f>
        <v>4.9000000000000004</v>
      </c>
      <c r="I102" cm="1">
        <f t="array" ref="I102">INDEX(GMW!$A$2:$HN$50,MATCH(1,(GMW!$HM$2:$HM$50=I$3)*(GMW!$HN$2:$HN$50=I$1),0),$B102-1973)</f>
        <v>308695</v>
      </c>
      <c r="J102" cm="1">
        <f t="array" ref="J102">INDEX(GMW!$A$2:$HN$50,MATCH(1,(GMW!$HM$2:$HM$50=J$3)*(GMW!$HN$2:$HN$50=J$1),0),$B102-1973)</f>
        <v>12408</v>
      </c>
      <c r="K102" cm="1">
        <f t="array" ref="K102">INDEX(GMW!$A$2:$HN$50,MATCH(1,(GMW!$HM$2:$HM$50=K$3)*(GMW!$HN$2:$HN$50=K$1),0),$B102-1973)</f>
        <v>490059</v>
      </c>
      <c r="L102" cm="1">
        <f t="array" ref="L102">INDEX(GMW!$A$2:$HN$50,MATCH(1,(GMW!$HM$2:$HM$50=L$3)*(GMW!$HN$2:$HN$50=L$1),0),$B102-1973)</f>
        <v>28304</v>
      </c>
      <c r="M102" cm="1">
        <f t="array" ref="M102">INDEX(GMW!$A$2:$HN$50,MATCH(1,(GMW!$HM$2:$HM$50=M$3)*(GMW!$HN$2:$HN$50=M$1),0),$B102-1973)</f>
        <v>5458.2330000000002</v>
      </c>
      <c r="N102" cm="1">
        <f t="array" ref="N102">INDEX(GMW!$A$2:$HN$50,MATCH(1,(GMW!$HM$2:$HM$50=N$3)*(GMW!$HN$2:$HN$50=N$1),0),$B102-1973)</f>
        <v>4.9000000000000004</v>
      </c>
      <c r="O102" cm="1">
        <f t="array" ref="O102">INDEX(GMW!$A$2:$HN$50,MATCH(1,(GMW!$HM$2:$HM$50=O$3)*(GMW!$HN$2:$HN$50=O$1),0),$B102-1973)</f>
        <v>308695</v>
      </c>
      <c r="P102" cm="1">
        <f t="array" ref="P102">INDEX(GMW!$A$2:$HN$50,MATCH(1,(GMW!$HM$2:$HM$50=P$3)*(GMW!$HN$2:$HN$50=P$1),0),$B102-1973)</f>
        <v>12408</v>
      </c>
    </row>
    <row r="103" spans="1:16">
      <c r="A103">
        <v>2004</v>
      </c>
      <c r="B103">
        <f t="shared" si="4"/>
        <v>2076</v>
      </c>
      <c r="C103">
        <f t="shared" si="5"/>
        <v>2004</v>
      </c>
      <c r="D103">
        <f t="shared" si="5"/>
        <v>2003</v>
      </c>
      <c r="E103" cm="1">
        <f t="array" ref="E103">INDEX(GMW!$A$2:$HN$50,MATCH(1,(GMW!$HM$2:$HM$50=E$3)*(GMW!$HN$2:$HN$50=E$1),0),$B103-1973)</f>
        <v>492014</v>
      </c>
      <c r="F103" cm="1">
        <f t="array" ref="F103">INDEX(GMW!$A$2:$HN$50,MATCH(1,(GMW!$HM$2:$HM$50=F$3)*(GMW!$HN$2:$HN$50=F$1),0),$B103-1973)</f>
        <v>28459</v>
      </c>
      <c r="G103" cm="1">
        <f t="array" ref="G103">INDEX(GMW!$A$2:$HN$50,MATCH(1,(GMW!$HM$2:$HM$50=G$3)*(GMW!$HN$2:$HN$50=G$1),0),$B103-1973)</f>
        <v>5521.0789999999997</v>
      </c>
      <c r="H103" cm="1">
        <f t="array" ref="H103">INDEX(GMW!$A$2:$HN$50,MATCH(1,(GMW!$HM$2:$HM$50=H$3)*(GMW!$HN$2:$HN$50=H$1),0),$B103-1973)</f>
        <v>4.8</v>
      </c>
      <c r="I103" cm="1">
        <f t="array" ref="I103">INDEX(GMW!$A$2:$HN$50,MATCH(1,(GMW!$HM$2:$HM$50=I$3)*(GMW!$HN$2:$HN$50=I$1),0),$B103-1973)</f>
        <v>309585</v>
      </c>
      <c r="J103" cm="1">
        <f t="array" ref="J103">INDEX(GMW!$A$2:$HN$50,MATCH(1,(GMW!$HM$2:$HM$50=J$3)*(GMW!$HN$2:$HN$50=J$1),0),$B103-1973)</f>
        <v>12662</v>
      </c>
      <c r="K103" cm="1">
        <f t="array" ref="K103">INDEX(GMW!$A$2:$HN$50,MATCH(1,(GMW!$HM$2:$HM$50=K$3)*(GMW!$HN$2:$HN$50=K$1),0),$B103-1973)</f>
        <v>492014</v>
      </c>
      <c r="L103" cm="1">
        <f t="array" ref="L103">INDEX(GMW!$A$2:$HN$50,MATCH(1,(GMW!$HM$2:$HM$50=L$3)*(GMW!$HN$2:$HN$50=L$1),0),$B103-1973)</f>
        <v>28459</v>
      </c>
      <c r="M103" cm="1">
        <f t="array" ref="M103">INDEX(GMW!$A$2:$HN$50,MATCH(1,(GMW!$HM$2:$HM$50=M$3)*(GMW!$HN$2:$HN$50=M$1),0),$B103-1973)</f>
        <v>5521.0789999999997</v>
      </c>
      <c r="N103" cm="1">
        <f t="array" ref="N103">INDEX(GMW!$A$2:$HN$50,MATCH(1,(GMW!$HM$2:$HM$50=N$3)*(GMW!$HN$2:$HN$50=N$1),0),$B103-1973)</f>
        <v>4.8</v>
      </c>
      <c r="O103" cm="1">
        <f t="array" ref="O103">INDEX(GMW!$A$2:$HN$50,MATCH(1,(GMW!$HM$2:$HM$50=O$3)*(GMW!$HN$2:$HN$50=O$1),0),$B103-1973)</f>
        <v>309585</v>
      </c>
      <c r="P103" cm="1">
        <f t="array" ref="P103">INDEX(GMW!$A$2:$HN$50,MATCH(1,(GMW!$HM$2:$HM$50=P$3)*(GMW!$HN$2:$HN$50=P$1),0),$B103-1973)</f>
        <v>12662</v>
      </c>
    </row>
    <row r="104" spans="1:16">
      <c r="B104">
        <f t="shared" si="4"/>
        <v>2077</v>
      </c>
      <c r="C104">
        <f t="shared" si="5"/>
        <v>2004</v>
      </c>
      <c r="D104">
        <f t="shared" si="5"/>
        <v>2004</v>
      </c>
      <c r="E104" cm="1">
        <f t="array" ref="E104">INDEX(GMW!$A$2:$HN$50,MATCH(1,(GMW!$HM$2:$HM$50=E$3)*(GMW!$HN$2:$HN$50=E$1),0),$B104-1973)</f>
        <v>494824</v>
      </c>
      <c r="F104" cm="1">
        <f t="array" ref="F104">INDEX(GMW!$A$2:$HN$50,MATCH(1,(GMW!$HM$2:$HM$50=F$3)*(GMW!$HN$2:$HN$50=F$1),0),$B104-1973)</f>
        <v>28470</v>
      </c>
      <c r="G104" cm="1">
        <f t="array" ref="G104">INDEX(GMW!$A$2:$HN$50,MATCH(1,(GMW!$HM$2:$HM$50=G$3)*(GMW!$HN$2:$HN$50=G$1),0),$B104-1973)</f>
        <v>5546.8860000000004</v>
      </c>
      <c r="H104" cm="1">
        <f t="array" ref="H104">INDEX(GMW!$A$2:$HN$50,MATCH(1,(GMW!$HM$2:$HM$50=H$3)*(GMW!$HN$2:$HN$50=H$1),0),$B104-1973)</f>
        <v>4.8</v>
      </c>
      <c r="I104" cm="1">
        <f t="array" ref="I104">INDEX(GMW!$A$2:$HN$50,MATCH(1,(GMW!$HM$2:$HM$50=I$3)*(GMW!$HN$2:$HN$50=I$1),0),$B104-1973)</f>
        <v>312396</v>
      </c>
      <c r="J104" cm="1">
        <f t="array" ref="J104">INDEX(GMW!$A$2:$HN$50,MATCH(1,(GMW!$HM$2:$HM$50=J$3)*(GMW!$HN$2:$HN$50=J$1),0),$B104-1973)</f>
        <v>12920</v>
      </c>
      <c r="K104" cm="1">
        <f t="array" ref="K104">INDEX(GMW!$A$2:$HN$50,MATCH(1,(GMW!$HM$2:$HM$50=K$3)*(GMW!$HN$2:$HN$50=K$1),0),$B104-1973)</f>
        <v>494824</v>
      </c>
      <c r="L104" cm="1">
        <f t="array" ref="L104">INDEX(GMW!$A$2:$HN$50,MATCH(1,(GMW!$HM$2:$HM$50=L$3)*(GMW!$HN$2:$HN$50=L$1),0),$B104-1973)</f>
        <v>28470</v>
      </c>
      <c r="M104" cm="1">
        <f t="array" ref="M104">INDEX(GMW!$A$2:$HN$50,MATCH(1,(GMW!$HM$2:$HM$50=M$3)*(GMW!$HN$2:$HN$50=M$1),0),$B104-1973)</f>
        <v>5546.8860000000004</v>
      </c>
      <c r="N104" cm="1">
        <f t="array" ref="N104">INDEX(GMW!$A$2:$HN$50,MATCH(1,(GMW!$HM$2:$HM$50=N$3)*(GMW!$HN$2:$HN$50=N$1),0),$B104-1973)</f>
        <v>4.8</v>
      </c>
      <c r="O104" cm="1">
        <f t="array" ref="O104">INDEX(GMW!$A$2:$HN$50,MATCH(1,(GMW!$HM$2:$HM$50=O$3)*(GMW!$HN$2:$HN$50=O$1),0),$B104-1973)</f>
        <v>312396</v>
      </c>
      <c r="P104" cm="1">
        <f t="array" ref="P104">INDEX(GMW!$A$2:$HN$50,MATCH(1,(GMW!$HM$2:$HM$50=P$3)*(GMW!$HN$2:$HN$50=P$1),0),$B104-1973)</f>
        <v>12920</v>
      </c>
    </row>
    <row r="105" spans="1:16">
      <c r="B105">
        <f t="shared" si="4"/>
        <v>2078</v>
      </c>
      <c r="C105">
        <f t="shared" si="5"/>
        <v>2004</v>
      </c>
      <c r="D105">
        <f t="shared" si="5"/>
        <v>2004</v>
      </c>
      <c r="E105" cm="1">
        <f t="array" ref="E105">INDEX(GMW!$A$2:$HN$50,MATCH(1,(GMW!$HM$2:$HM$50=E$3)*(GMW!$HN$2:$HN$50=E$1),0),$B105-1973)</f>
        <v>496642</v>
      </c>
      <c r="F105" cm="1">
        <f t="array" ref="F105">INDEX(GMW!$A$2:$HN$50,MATCH(1,(GMW!$HM$2:$HM$50=F$3)*(GMW!$HN$2:$HN$50=F$1),0),$B105-1973)</f>
        <v>28518</v>
      </c>
      <c r="G105" cm="1">
        <f t="array" ref="G105">INDEX(GMW!$A$2:$HN$50,MATCH(1,(GMW!$HM$2:$HM$50=G$3)*(GMW!$HN$2:$HN$50=G$1),0),$B105-1973)</f>
        <v>5624.5039999999999</v>
      </c>
      <c r="H105" cm="1">
        <f t="array" ref="H105">INDEX(GMW!$A$2:$HN$50,MATCH(1,(GMW!$HM$2:$HM$50=H$3)*(GMW!$HN$2:$HN$50=H$1),0),$B105-1973)</f>
        <v>4.7</v>
      </c>
      <c r="I105" cm="1">
        <f t="array" ref="I105">INDEX(GMW!$A$2:$HN$50,MATCH(1,(GMW!$HM$2:$HM$50=I$3)*(GMW!$HN$2:$HN$50=I$1),0),$B105-1973)</f>
        <v>314574</v>
      </c>
      <c r="J105" cm="1">
        <f t="array" ref="J105">INDEX(GMW!$A$2:$HN$50,MATCH(1,(GMW!$HM$2:$HM$50=J$3)*(GMW!$HN$2:$HN$50=J$1),0),$B105-1973)</f>
        <v>13279</v>
      </c>
      <c r="K105" cm="1">
        <f t="array" ref="K105">INDEX(GMW!$A$2:$HN$50,MATCH(1,(GMW!$HM$2:$HM$50=K$3)*(GMW!$HN$2:$HN$50=K$1),0),$B105-1973)</f>
        <v>496642</v>
      </c>
      <c r="L105" cm="1">
        <f t="array" ref="L105">INDEX(GMW!$A$2:$HN$50,MATCH(1,(GMW!$HM$2:$HM$50=L$3)*(GMW!$HN$2:$HN$50=L$1),0),$B105-1973)</f>
        <v>28518</v>
      </c>
      <c r="M105" cm="1">
        <f t="array" ref="M105">INDEX(GMW!$A$2:$HN$50,MATCH(1,(GMW!$HM$2:$HM$50=M$3)*(GMW!$HN$2:$HN$50=M$1),0),$B105-1973)</f>
        <v>5624.5039999999999</v>
      </c>
      <c r="N105" cm="1">
        <f t="array" ref="N105">INDEX(GMW!$A$2:$HN$50,MATCH(1,(GMW!$HM$2:$HM$50=N$3)*(GMW!$HN$2:$HN$50=N$1),0),$B105-1973)</f>
        <v>4.7</v>
      </c>
      <c r="O105" cm="1">
        <f t="array" ref="O105">INDEX(GMW!$A$2:$HN$50,MATCH(1,(GMW!$HM$2:$HM$50=O$3)*(GMW!$HN$2:$HN$50=O$1),0),$B105-1973)</f>
        <v>314574</v>
      </c>
      <c r="P105" cm="1">
        <f t="array" ref="P105">INDEX(GMW!$A$2:$HN$50,MATCH(1,(GMW!$HM$2:$HM$50=P$3)*(GMW!$HN$2:$HN$50=P$1),0),$B105-1973)</f>
        <v>13279</v>
      </c>
    </row>
    <row r="106" spans="1:16">
      <c r="B106">
        <f t="shared" si="4"/>
        <v>2079</v>
      </c>
      <c r="C106">
        <f t="shared" si="5"/>
        <v>2004</v>
      </c>
      <c r="D106">
        <f t="shared" si="5"/>
        <v>2004</v>
      </c>
      <c r="E106" cm="1">
        <f t="array" ref="E106">INDEX(GMW!$A$2:$HN$50,MATCH(1,(GMW!$HM$2:$HM$50=E$3)*(GMW!$HN$2:$HN$50=E$1),0),$B106-1973)</f>
        <v>499020</v>
      </c>
      <c r="F106" cm="1">
        <f t="array" ref="F106">INDEX(GMW!$A$2:$HN$50,MATCH(1,(GMW!$HM$2:$HM$50=F$3)*(GMW!$HN$2:$HN$50=F$1),0),$B106-1973)</f>
        <v>28673</v>
      </c>
      <c r="G106" cm="1">
        <f t="array" ref="G106">INDEX(GMW!$A$2:$HN$50,MATCH(1,(GMW!$HM$2:$HM$50=G$3)*(GMW!$HN$2:$HN$50=G$1),0),$B106-1973)</f>
        <v>5694.482</v>
      </c>
      <c r="H106" cm="1">
        <f t="array" ref="H106">INDEX(GMW!$A$2:$HN$50,MATCH(1,(GMW!$HM$2:$HM$50=H$3)*(GMW!$HN$2:$HN$50=H$1),0),$B106-1973)</f>
        <v>4.7</v>
      </c>
      <c r="I106" cm="1">
        <f t="array" ref="I106">INDEX(GMW!$A$2:$HN$50,MATCH(1,(GMW!$HM$2:$HM$50=I$3)*(GMW!$HN$2:$HN$50=I$1),0),$B106-1973)</f>
        <v>315137</v>
      </c>
      <c r="J106" cm="1">
        <f t="array" ref="J106">INDEX(GMW!$A$2:$HN$50,MATCH(1,(GMW!$HM$2:$HM$50=J$3)*(GMW!$HN$2:$HN$50=J$1),0),$B106-1973)</f>
        <v>13669</v>
      </c>
      <c r="K106" cm="1">
        <f t="array" ref="K106">INDEX(GMW!$A$2:$HN$50,MATCH(1,(GMW!$HM$2:$HM$50=K$3)*(GMW!$HN$2:$HN$50=K$1),0),$B106-1973)</f>
        <v>499020</v>
      </c>
      <c r="L106" cm="1">
        <f t="array" ref="L106">INDEX(GMW!$A$2:$HN$50,MATCH(1,(GMW!$HM$2:$HM$50=L$3)*(GMW!$HN$2:$HN$50=L$1),0),$B106-1973)</f>
        <v>28673</v>
      </c>
      <c r="M106" cm="1">
        <f t="array" ref="M106">INDEX(GMW!$A$2:$HN$50,MATCH(1,(GMW!$HM$2:$HM$50=M$3)*(GMW!$HN$2:$HN$50=M$1),0),$B106-1973)</f>
        <v>5694.482</v>
      </c>
      <c r="N106" cm="1">
        <f t="array" ref="N106">INDEX(GMW!$A$2:$HN$50,MATCH(1,(GMW!$HM$2:$HM$50=N$3)*(GMW!$HN$2:$HN$50=N$1),0),$B106-1973)</f>
        <v>4.7</v>
      </c>
      <c r="O106" cm="1">
        <f t="array" ref="O106">INDEX(GMW!$A$2:$HN$50,MATCH(1,(GMW!$HM$2:$HM$50=O$3)*(GMW!$HN$2:$HN$50=O$1),0),$B106-1973)</f>
        <v>315137</v>
      </c>
      <c r="P106" cm="1">
        <f t="array" ref="P106">INDEX(GMW!$A$2:$HN$50,MATCH(1,(GMW!$HM$2:$HM$50=P$3)*(GMW!$HN$2:$HN$50=P$1),0),$B106-1973)</f>
        <v>13669</v>
      </c>
    </row>
    <row r="107" spans="1:16">
      <c r="A107">
        <v>2005</v>
      </c>
      <c r="B107">
        <f t="shared" si="4"/>
        <v>2080</v>
      </c>
      <c r="C107">
        <f t="shared" si="5"/>
        <v>2005</v>
      </c>
      <c r="D107">
        <f t="shared" si="5"/>
        <v>2004</v>
      </c>
      <c r="E107" cm="1">
        <f t="array" ref="E107">INDEX(GMW!$A$2:$HN$50,MATCH(1,(GMW!$HM$2:$HM$50=E$3)*(GMW!$HN$2:$HN$50=E$1),0),$B107-1973)</f>
        <v>502702</v>
      </c>
      <c r="F107" cm="1">
        <f t="array" ref="F107">INDEX(GMW!$A$2:$HN$50,MATCH(1,(GMW!$HM$2:$HM$50=F$3)*(GMW!$HN$2:$HN$50=F$1),0),$B107-1973)</f>
        <v>28789</v>
      </c>
      <c r="G107" cm="1">
        <f t="array" ref="G107">INDEX(GMW!$A$2:$HN$50,MATCH(1,(GMW!$HM$2:$HM$50=G$3)*(GMW!$HN$2:$HN$50=G$1),0),$B107-1973)</f>
        <v>5778.8289999999997</v>
      </c>
      <c r="H107" cm="1">
        <f t="array" ref="H107">INDEX(GMW!$A$2:$HN$50,MATCH(1,(GMW!$HM$2:$HM$50=H$3)*(GMW!$HN$2:$HN$50=H$1),0),$B107-1973)</f>
        <v>4.7</v>
      </c>
      <c r="I107" cm="1">
        <f t="array" ref="I107">INDEX(GMW!$A$2:$HN$50,MATCH(1,(GMW!$HM$2:$HM$50=I$3)*(GMW!$HN$2:$HN$50=I$1),0),$B107-1973)</f>
        <v>317057</v>
      </c>
      <c r="J107" cm="1">
        <f t="array" ref="J107">INDEX(GMW!$A$2:$HN$50,MATCH(1,(GMW!$HM$2:$HM$50=J$3)*(GMW!$HN$2:$HN$50=J$1),0),$B107-1973)</f>
        <v>13668</v>
      </c>
      <c r="K107" cm="1">
        <f t="array" ref="K107">INDEX(GMW!$A$2:$HN$50,MATCH(1,(GMW!$HM$2:$HM$50=K$3)*(GMW!$HN$2:$HN$50=K$1),0),$B107-1973)</f>
        <v>502702</v>
      </c>
      <c r="L107" cm="1">
        <f t="array" ref="L107">INDEX(GMW!$A$2:$HN$50,MATCH(1,(GMW!$HM$2:$HM$50=L$3)*(GMW!$HN$2:$HN$50=L$1),0),$B107-1973)</f>
        <v>28789</v>
      </c>
      <c r="M107" cm="1">
        <f t="array" ref="M107">INDEX(GMW!$A$2:$HN$50,MATCH(1,(GMW!$HM$2:$HM$50=M$3)*(GMW!$HN$2:$HN$50=M$1),0),$B107-1973)</f>
        <v>5778.8289999999997</v>
      </c>
      <c r="N107" cm="1">
        <f t="array" ref="N107">INDEX(GMW!$A$2:$HN$50,MATCH(1,(GMW!$HM$2:$HM$50=N$3)*(GMW!$HN$2:$HN$50=N$1),0),$B107-1973)</f>
        <v>4.7</v>
      </c>
      <c r="O107" cm="1">
        <f t="array" ref="O107">INDEX(GMW!$A$2:$HN$50,MATCH(1,(GMW!$HM$2:$HM$50=O$3)*(GMW!$HN$2:$HN$50=O$1),0),$B107-1973)</f>
        <v>317057</v>
      </c>
      <c r="P107" cm="1">
        <f t="array" ref="P107">INDEX(GMW!$A$2:$HN$50,MATCH(1,(GMW!$HM$2:$HM$50=P$3)*(GMW!$HN$2:$HN$50=P$1),0),$B107-1973)</f>
        <v>13668</v>
      </c>
    </row>
    <row r="108" spans="1:16">
      <c r="B108">
        <f t="shared" si="4"/>
        <v>2081</v>
      </c>
      <c r="C108">
        <f t="shared" si="5"/>
        <v>2005</v>
      </c>
      <c r="D108">
        <f t="shared" si="5"/>
        <v>2005</v>
      </c>
      <c r="E108" cm="1">
        <f t="array" ref="E108">INDEX(GMW!$A$2:$HN$50,MATCH(1,(GMW!$HM$2:$HM$50=E$3)*(GMW!$HN$2:$HN$50=E$1),0),$B108-1973)</f>
        <v>506906</v>
      </c>
      <c r="F108" cm="1">
        <f t="array" ref="F108">INDEX(GMW!$A$2:$HN$50,MATCH(1,(GMW!$HM$2:$HM$50=F$3)*(GMW!$HN$2:$HN$50=F$1),0),$B108-1973)</f>
        <v>28802</v>
      </c>
      <c r="G108" cm="1">
        <f t="array" ref="G108">INDEX(GMW!$A$2:$HN$50,MATCH(1,(GMW!$HM$2:$HM$50=G$3)*(GMW!$HN$2:$HN$50=G$1),0),$B108-1973)</f>
        <v>5743.0929999999998</v>
      </c>
      <c r="H108" cm="1">
        <f t="array" ref="H108">INDEX(GMW!$A$2:$HN$50,MATCH(1,(GMW!$HM$2:$HM$50=H$3)*(GMW!$HN$2:$HN$50=H$1),0),$B108-1973)</f>
        <v>4.8</v>
      </c>
      <c r="I108" cm="1">
        <f t="array" ref="I108">INDEX(GMW!$A$2:$HN$50,MATCH(1,(GMW!$HM$2:$HM$50=I$3)*(GMW!$HN$2:$HN$50=I$1),0),$B108-1973)</f>
        <v>320657</v>
      </c>
      <c r="J108" cm="1">
        <f t="array" ref="J108">INDEX(GMW!$A$2:$HN$50,MATCH(1,(GMW!$HM$2:$HM$50=J$3)*(GMW!$HN$2:$HN$50=J$1),0),$B108-1973)</f>
        <v>14205</v>
      </c>
      <c r="K108" cm="1">
        <f t="array" ref="K108">INDEX(GMW!$A$2:$HN$50,MATCH(1,(GMW!$HM$2:$HM$50=K$3)*(GMW!$HN$2:$HN$50=K$1),0),$B108-1973)</f>
        <v>506906</v>
      </c>
      <c r="L108" cm="1">
        <f t="array" ref="L108">INDEX(GMW!$A$2:$HN$50,MATCH(1,(GMW!$HM$2:$HM$50=L$3)*(GMW!$HN$2:$HN$50=L$1),0),$B108-1973)</f>
        <v>28802</v>
      </c>
      <c r="M108" cm="1">
        <f t="array" ref="M108">INDEX(GMW!$A$2:$HN$50,MATCH(1,(GMW!$HM$2:$HM$50=M$3)*(GMW!$HN$2:$HN$50=M$1),0),$B108-1973)</f>
        <v>5743.0929999999998</v>
      </c>
      <c r="N108" cm="1">
        <f t="array" ref="N108">INDEX(GMW!$A$2:$HN$50,MATCH(1,(GMW!$HM$2:$HM$50=N$3)*(GMW!$HN$2:$HN$50=N$1),0),$B108-1973)</f>
        <v>4.8</v>
      </c>
      <c r="O108" cm="1">
        <f t="array" ref="O108">INDEX(GMW!$A$2:$HN$50,MATCH(1,(GMW!$HM$2:$HM$50=O$3)*(GMW!$HN$2:$HN$50=O$1),0),$B108-1973)</f>
        <v>320657</v>
      </c>
      <c r="P108" cm="1">
        <f t="array" ref="P108">INDEX(GMW!$A$2:$HN$50,MATCH(1,(GMW!$HM$2:$HM$50=P$3)*(GMW!$HN$2:$HN$50=P$1),0),$B108-1973)</f>
        <v>14205</v>
      </c>
    </row>
    <row r="109" spans="1:16">
      <c r="B109">
        <f t="shared" si="4"/>
        <v>2082</v>
      </c>
      <c r="C109">
        <f t="shared" si="5"/>
        <v>2005</v>
      </c>
      <c r="D109">
        <f t="shared" si="5"/>
        <v>2005</v>
      </c>
      <c r="E109" cm="1">
        <f t="array" ref="E109">INDEX(GMW!$A$2:$HN$50,MATCH(1,(GMW!$HM$2:$HM$50=E$3)*(GMW!$HN$2:$HN$50=E$1),0),$B109-1973)</f>
        <v>511132</v>
      </c>
      <c r="F109" cm="1">
        <f t="array" ref="F109">INDEX(GMW!$A$2:$HN$50,MATCH(1,(GMW!$HM$2:$HM$50=F$3)*(GMW!$HN$2:$HN$50=F$1),0),$B109-1973)</f>
        <v>28928</v>
      </c>
      <c r="G109" cm="1">
        <f t="array" ref="G109">INDEX(GMW!$A$2:$HN$50,MATCH(1,(GMW!$HM$2:$HM$50=G$3)*(GMW!$HN$2:$HN$50=G$1),0),$B109-1973)</f>
        <v>5808.4660000000003</v>
      </c>
      <c r="H109" cm="1">
        <f t="array" ref="H109">INDEX(GMW!$A$2:$HN$50,MATCH(1,(GMW!$HM$2:$HM$50=H$3)*(GMW!$HN$2:$HN$50=H$1),0),$B109-1973)</f>
        <v>4.7</v>
      </c>
      <c r="I109" cm="1">
        <f t="array" ref="I109">INDEX(GMW!$A$2:$HN$50,MATCH(1,(GMW!$HM$2:$HM$50=I$3)*(GMW!$HN$2:$HN$50=I$1),0),$B109-1973)</f>
        <v>322465</v>
      </c>
      <c r="J109" cm="1">
        <f t="array" ref="J109">INDEX(GMW!$A$2:$HN$50,MATCH(1,(GMW!$HM$2:$HM$50=J$3)*(GMW!$HN$2:$HN$50=J$1),0),$B109-1973)</f>
        <v>14681</v>
      </c>
      <c r="K109" cm="1">
        <f t="array" ref="K109">INDEX(GMW!$A$2:$HN$50,MATCH(1,(GMW!$HM$2:$HM$50=K$3)*(GMW!$HN$2:$HN$50=K$1),0),$B109-1973)</f>
        <v>511132</v>
      </c>
      <c r="L109" cm="1">
        <f t="array" ref="L109">INDEX(GMW!$A$2:$HN$50,MATCH(1,(GMW!$HM$2:$HM$50=L$3)*(GMW!$HN$2:$HN$50=L$1),0),$B109-1973)</f>
        <v>28928</v>
      </c>
      <c r="M109" cm="1">
        <f t="array" ref="M109">INDEX(GMW!$A$2:$HN$50,MATCH(1,(GMW!$HM$2:$HM$50=M$3)*(GMW!$HN$2:$HN$50=M$1),0),$B109-1973)</f>
        <v>5808.4660000000003</v>
      </c>
      <c r="N109" cm="1">
        <f t="array" ref="N109">INDEX(GMW!$A$2:$HN$50,MATCH(1,(GMW!$HM$2:$HM$50=N$3)*(GMW!$HN$2:$HN$50=N$1),0),$B109-1973)</f>
        <v>4.7</v>
      </c>
      <c r="O109" cm="1">
        <f t="array" ref="O109">INDEX(GMW!$A$2:$HN$50,MATCH(1,(GMW!$HM$2:$HM$50=O$3)*(GMW!$HN$2:$HN$50=O$1),0),$B109-1973)</f>
        <v>322465</v>
      </c>
      <c r="P109" cm="1">
        <f t="array" ref="P109">INDEX(GMW!$A$2:$HN$50,MATCH(1,(GMW!$HM$2:$HM$50=P$3)*(GMW!$HN$2:$HN$50=P$1),0),$B109-1973)</f>
        <v>14681</v>
      </c>
    </row>
    <row r="110" spans="1:16">
      <c r="B110">
        <f t="shared" si="4"/>
        <v>2083</v>
      </c>
      <c r="C110">
        <f t="shared" si="5"/>
        <v>2005</v>
      </c>
      <c r="D110">
        <f t="shared" si="5"/>
        <v>2005</v>
      </c>
      <c r="E110" cm="1">
        <f t="array" ref="E110">INDEX(GMW!$A$2:$HN$50,MATCH(1,(GMW!$HM$2:$HM$50=E$3)*(GMW!$HN$2:$HN$50=E$1),0),$B110-1973)</f>
        <v>515935</v>
      </c>
      <c r="F110" cm="1">
        <f t="array" ref="F110">INDEX(GMW!$A$2:$HN$50,MATCH(1,(GMW!$HM$2:$HM$50=F$3)*(GMW!$HN$2:$HN$50=F$1),0),$B110-1973)</f>
        <v>28880</v>
      </c>
      <c r="G110" cm="1">
        <f t="array" ref="G110">INDEX(GMW!$A$2:$HN$50,MATCH(1,(GMW!$HM$2:$HM$50=G$3)*(GMW!$HN$2:$HN$50=G$1),0),$B110-1973)</f>
        <v>5809.2719999999999</v>
      </c>
      <c r="H110" cm="1">
        <f t="array" ref="H110">INDEX(GMW!$A$2:$HN$50,MATCH(1,(GMW!$HM$2:$HM$50=H$3)*(GMW!$HN$2:$HN$50=H$1),0),$B110-1973)</f>
        <v>5.0999999999999996</v>
      </c>
      <c r="I110" cm="1">
        <f t="array" ref="I110">INDEX(GMW!$A$2:$HN$50,MATCH(1,(GMW!$HM$2:$HM$50=I$3)*(GMW!$HN$2:$HN$50=I$1),0),$B110-1973)</f>
        <v>322562</v>
      </c>
      <c r="J110" cm="1">
        <f t="array" ref="J110">INDEX(GMW!$A$2:$HN$50,MATCH(1,(GMW!$HM$2:$HM$50=J$3)*(GMW!$HN$2:$HN$50=J$1),0),$B110-1973)</f>
        <v>14643</v>
      </c>
      <c r="K110" cm="1">
        <f t="array" ref="K110">INDEX(GMW!$A$2:$HN$50,MATCH(1,(GMW!$HM$2:$HM$50=K$3)*(GMW!$HN$2:$HN$50=K$1),0),$B110-1973)</f>
        <v>515935</v>
      </c>
      <c r="L110" cm="1">
        <f t="array" ref="L110">INDEX(GMW!$A$2:$HN$50,MATCH(1,(GMW!$HM$2:$HM$50=L$3)*(GMW!$HN$2:$HN$50=L$1),0),$B110-1973)</f>
        <v>28880</v>
      </c>
      <c r="M110" cm="1">
        <f t="array" ref="M110">INDEX(GMW!$A$2:$HN$50,MATCH(1,(GMW!$HM$2:$HM$50=M$3)*(GMW!$HN$2:$HN$50=M$1),0),$B110-1973)</f>
        <v>5809.2719999999999</v>
      </c>
      <c r="N110" cm="1">
        <f t="array" ref="N110">INDEX(GMW!$A$2:$HN$50,MATCH(1,(GMW!$HM$2:$HM$50=N$3)*(GMW!$HN$2:$HN$50=N$1),0),$B110-1973)</f>
        <v>5.0999999999999996</v>
      </c>
      <c r="O110" cm="1">
        <f t="array" ref="O110">INDEX(GMW!$A$2:$HN$50,MATCH(1,(GMW!$HM$2:$HM$50=O$3)*(GMW!$HN$2:$HN$50=O$1),0),$B110-1973)</f>
        <v>322562</v>
      </c>
      <c r="P110" cm="1">
        <f t="array" ref="P110">INDEX(GMW!$A$2:$HN$50,MATCH(1,(GMW!$HM$2:$HM$50=P$3)*(GMW!$HN$2:$HN$50=P$1),0),$B110-1973)</f>
        <v>14643</v>
      </c>
    </row>
    <row r="111" spans="1:16">
      <c r="A111">
        <v>2006</v>
      </c>
      <c r="B111">
        <f t="shared" si="4"/>
        <v>2084</v>
      </c>
      <c r="C111">
        <f t="shared" si="5"/>
        <v>2006</v>
      </c>
      <c r="D111">
        <f t="shared" si="5"/>
        <v>2005</v>
      </c>
      <c r="E111" cm="1">
        <f t="array" ref="E111">INDEX(GMW!$A$2:$HN$50,MATCH(1,(GMW!$HM$2:$HM$50=E$3)*(GMW!$HN$2:$HN$50=E$1),0),$B111-1973)</f>
        <v>518495</v>
      </c>
      <c r="F111" cm="1">
        <f t="array" ref="F111">INDEX(GMW!$A$2:$HN$50,MATCH(1,(GMW!$HM$2:$HM$50=F$3)*(GMW!$HN$2:$HN$50=F$1),0),$B111-1973)</f>
        <v>29048</v>
      </c>
      <c r="G111" cm="1">
        <f t="array" ref="G111">INDEX(GMW!$A$2:$HN$50,MATCH(1,(GMW!$HM$2:$HM$50=G$3)*(GMW!$HN$2:$HN$50=G$1),0),$B111-1973)</f>
        <v>5993.5169999999998</v>
      </c>
      <c r="H111" cm="1">
        <f t="array" ref="H111">INDEX(GMW!$A$2:$HN$50,MATCH(1,(GMW!$HM$2:$HM$50=H$3)*(GMW!$HN$2:$HN$50=H$1),0),$B111-1973)</f>
        <v>5.2</v>
      </c>
      <c r="I111" cm="1">
        <f t="array" ref="I111">INDEX(GMW!$A$2:$HN$50,MATCH(1,(GMW!$HM$2:$HM$50=I$3)*(GMW!$HN$2:$HN$50=I$1),0),$B111-1973)</f>
        <v>325138</v>
      </c>
      <c r="J111" cm="1">
        <f t="array" ref="J111">INDEX(GMW!$A$2:$HN$50,MATCH(1,(GMW!$HM$2:$HM$50=J$3)*(GMW!$HN$2:$HN$50=J$1),0),$B111-1973)</f>
        <v>14713</v>
      </c>
      <c r="K111" cm="1">
        <f t="array" ref="K111">INDEX(GMW!$A$2:$HN$50,MATCH(1,(GMW!$HM$2:$HM$50=K$3)*(GMW!$HN$2:$HN$50=K$1),0),$B111-1973)</f>
        <v>518495</v>
      </c>
      <c r="L111" cm="1">
        <f t="array" ref="L111">INDEX(GMW!$A$2:$HN$50,MATCH(1,(GMW!$HM$2:$HM$50=L$3)*(GMW!$HN$2:$HN$50=L$1),0),$B111-1973)</f>
        <v>29048</v>
      </c>
      <c r="M111" cm="1">
        <f t="array" ref="M111">INDEX(GMW!$A$2:$HN$50,MATCH(1,(GMW!$HM$2:$HM$50=M$3)*(GMW!$HN$2:$HN$50=M$1),0),$B111-1973)</f>
        <v>5993.5169999999998</v>
      </c>
      <c r="N111" cm="1">
        <f t="array" ref="N111">INDEX(GMW!$A$2:$HN$50,MATCH(1,(GMW!$HM$2:$HM$50=N$3)*(GMW!$HN$2:$HN$50=N$1),0),$B111-1973)</f>
        <v>5.2</v>
      </c>
      <c r="O111" cm="1">
        <f t="array" ref="O111">INDEX(GMW!$A$2:$HN$50,MATCH(1,(GMW!$HM$2:$HM$50=O$3)*(GMW!$HN$2:$HN$50=O$1),0),$B111-1973)</f>
        <v>325138</v>
      </c>
      <c r="P111" cm="1">
        <f t="array" ref="P111">INDEX(GMW!$A$2:$HN$50,MATCH(1,(GMW!$HM$2:$HM$50=P$3)*(GMW!$HN$2:$HN$50=P$1),0),$B111-1973)</f>
        <v>14713</v>
      </c>
    </row>
    <row r="112" spans="1:16">
      <c r="B112">
        <f t="shared" si="4"/>
        <v>2085</v>
      </c>
      <c r="C112">
        <f t="shared" si="5"/>
        <v>2006</v>
      </c>
      <c r="D112">
        <f t="shared" si="5"/>
        <v>2006</v>
      </c>
      <c r="E112" cm="1">
        <f t="array" ref="E112">INDEX(GMW!$A$2:$HN$50,MATCH(1,(GMW!$HM$2:$HM$50=E$3)*(GMW!$HN$2:$HN$50=E$1),0),$B112-1973)</f>
        <v>520318</v>
      </c>
      <c r="F112" cm="1">
        <f t="array" ref="F112">INDEX(GMW!$A$2:$HN$50,MATCH(1,(GMW!$HM$2:$HM$50=F$3)*(GMW!$HN$2:$HN$50=F$1),0),$B112-1973)</f>
        <v>29106</v>
      </c>
      <c r="G112" cm="1">
        <f t="array" ref="G112">INDEX(GMW!$A$2:$HN$50,MATCH(1,(GMW!$HM$2:$HM$50=G$3)*(GMW!$HN$2:$HN$50=G$1),0),$B112-1973)</f>
        <v>6001.19</v>
      </c>
      <c r="H112" cm="1">
        <f t="array" ref="H112">INDEX(GMW!$A$2:$HN$50,MATCH(1,(GMW!$HM$2:$HM$50=H$3)*(GMW!$HN$2:$HN$50=H$1),0),$B112-1973)</f>
        <v>5.5</v>
      </c>
      <c r="I112" cm="1">
        <f t="array" ref="I112">INDEX(GMW!$A$2:$HN$50,MATCH(1,(GMW!$HM$2:$HM$50=I$3)*(GMW!$HN$2:$HN$50=I$1),0),$B112-1973)</f>
        <v>323889</v>
      </c>
      <c r="J112" cm="1">
        <f t="array" ref="J112">INDEX(GMW!$A$2:$HN$50,MATCH(1,(GMW!$HM$2:$HM$50=J$3)*(GMW!$HN$2:$HN$50=J$1),0),$B112-1973)</f>
        <v>14863</v>
      </c>
      <c r="K112" cm="1">
        <f t="array" ref="K112">INDEX(GMW!$A$2:$HN$50,MATCH(1,(GMW!$HM$2:$HM$50=K$3)*(GMW!$HN$2:$HN$50=K$1),0),$B112-1973)</f>
        <v>520318</v>
      </c>
      <c r="L112" cm="1">
        <f t="array" ref="L112">INDEX(GMW!$A$2:$HN$50,MATCH(1,(GMW!$HM$2:$HM$50=L$3)*(GMW!$HN$2:$HN$50=L$1),0),$B112-1973)</f>
        <v>29106</v>
      </c>
      <c r="M112" cm="1">
        <f t="array" ref="M112">INDEX(GMW!$A$2:$HN$50,MATCH(1,(GMW!$HM$2:$HM$50=M$3)*(GMW!$HN$2:$HN$50=M$1),0),$B112-1973)</f>
        <v>6001.19</v>
      </c>
      <c r="N112" cm="1">
        <f t="array" ref="N112">INDEX(GMW!$A$2:$HN$50,MATCH(1,(GMW!$HM$2:$HM$50=N$3)*(GMW!$HN$2:$HN$50=N$1),0),$B112-1973)</f>
        <v>5.5</v>
      </c>
      <c r="O112" cm="1">
        <f t="array" ref="O112">INDEX(GMW!$A$2:$HN$50,MATCH(1,(GMW!$HM$2:$HM$50=O$3)*(GMW!$HN$2:$HN$50=O$1),0),$B112-1973)</f>
        <v>323889</v>
      </c>
      <c r="P112" cm="1">
        <f t="array" ref="P112">INDEX(GMW!$A$2:$HN$50,MATCH(1,(GMW!$HM$2:$HM$50=P$3)*(GMW!$HN$2:$HN$50=P$1),0),$B112-1973)</f>
        <v>14863</v>
      </c>
    </row>
    <row r="113" spans="1:16">
      <c r="B113">
        <f t="shared" si="4"/>
        <v>2086</v>
      </c>
      <c r="C113">
        <f t="shared" si="5"/>
        <v>2006</v>
      </c>
      <c r="D113">
        <f t="shared" si="5"/>
        <v>2006</v>
      </c>
      <c r="E113" cm="1">
        <f t="array" ref="E113">INDEX(GMW!$A$2:$HN$50,MATCH(1,(GMW!$HM$2:$HM$50=E$3)*(GMW!$HN$2:$HN$50=E$1),0),$B113-1973)</f>
        <v>521780</v>
      </c>
      <c r="F113" cm="1">
        <f t="array" ref="F113">INDEX(GMW!$A$2:$HN$50,MATCH(1,(GMW!$HM$2:$HM$50=F$3)*(GMW!$HN$2:$HN$50=F$1),0),$B113-1973)</f>
        <v>29183</v>
      </c>
      <c r="G113" cm="1">
        <f t="array" ref="G113">INDEX(GMW!$A$2:$HN$50,MATCH(1,(GMW!$HM$2:$HM$50=G$3)*(GMW!$HN$2:$HN$50=G$1),0),$B113-1973)</f>
        <v>6067.3119999999999</v>
      </c>
      <c r="H113" cm="1">
        <f t="array" ref="H113">INDEX(GMW!$A$2:$HN$50,MATCH(1,(GMW!$HM$2:$HM$50=H$3)*(GMW!$HN$2:$HN$50=H$1),0),$B113-1973)</f>
        <v>5.5</v>
      </c>
      <c r="I113" cm="1">
        <f t="array" ref="I113">INDEX(GMW!$A$2:$HN$50,MATCH(1,(GMW!$HM$2:$HM$50=I$3)*(GMW!$HN$2:$HN$50=I$1),0),$B113-1973)</f>
        <v>327580</v>
      </c>
      <c r="J113" cm="1">
        <f t="array" ref="J113">INDEX(GMW!$A$2:$HN$50,MATCH(1,(GMW!$HM$2:$HM$50=J$3)*(GMW!$HN$2:$HN$50=J$1),0),$B113-1973)</f>
        <v>15292</v>
      </c>
      <c r="K113" cm="1">
        <f t="array" ref="K113">INDEX(GMW!$A$2:$HN$50,MATCH(1,(GMW!$HM$2:$HM$50=K$3)*(GMW!$HN$2:$HN$50=K$1),0),$B113-1973)</f>
        <v>521780</v>
      </c>
      <c r="L113" cm="1">
        <f t="array" ref="L113">INDEX(GMW!$A$2:$HN$50,MATCH(1,(GMW!$HM$2:$HM$50=L$3)*(GMW!$HN$2:$HN$50=L$1),0),$B113-1973)</f>
        <v>29183</v>
      </c>
      <c r="M113" cm="1">
        <f t="array" ref="M113">INDEX(GMW!$A$2:$HN$50,MATCH(1,(GMW!$HM$2:$HM$50=M$3)*(GMW!$HN$2:$HN$50=M$1),0),$B113-1973)</f>
        <v>6067.3119999999999</v>
      </c>
      <c r="N113" cm="1">
        <f t="array" ref="N113">INDEX(GMW!$A$2:$HN$50,MATCH(1,(GMW!$HM$2:$HM$50=N$3)*(GMW!$HN$2:$HN$50=N$1),0),$B113-1973)</f>
        <v>5.5</v>
      </c>
      <c r="O113" cm="1">
        <f t="array" ref="O113">INDEX(GMW!$A$2:$HN$50,MATCH(1,(GMW!$HM$2:$HM$50=O$3)*(GMW!$HN$2:$HN$50=O$1),0),$B113-1973)</f>
        <v>327580</v>
      </c>
      <c r="P113" cm="1">
        <f t="array" ref="P113">INDEX(GMW!$A$2:$HN$50,MATCH(1,(GMW!$HM$2:$HM$50=P$3)*(GMW!$HN$2:$HN$50=P$1),0),$B113-1973)</f>
        <v>15292</v>
      </c>
    </row>
    <row r="114" spans="1:16">
      <c r="B114">
        <f t="shared" si="4"/>
        <v>2087</v>
      </c>
      <c r="C114">
        <f t="shared" si="5"/>
        <v>2006</v>
      </c>
      <c r="D114">
        <f t="shared" si="5"/>
        <v>2006</v>
      </c>
      <c r="E114" cm="1">
        <f t="array" ref="E114">INDEX(GMW!$A$2:$HN$50,MATCH(1,(GMW!$HM$2:$HM$50=E$3)*(GMW!$HN$2:$HN$50=E$1),0),$B114-1973)</f>
        <v>524569</v>
      </c>
      <c r="F114" cm="1">
        <f t="array" ref="F114">INDEX(GMW!$A$2:$HN$50,MATCH(1,(GMW!$HM$2:$HM$50=F$3)*(GMW!$HN$2:$HN$50=F$1),0),$B114-1973)</f>
        <v>29214</v>
      </c>
      <c r="G114" cm="1">
        <f t="array" ref="G114">INDEX(GMW!$A$2:$HN$50,MATCH(1,(GMW!$HM$2:$HM$50=G$3)*(GMW!$HN$2:$HN$50=G$1),0),$B114-1973)</f>
        <v>6166.277</v>
      </c>
      <c r="H114" cm="1">
        <f t="array" ref="H114">INDEX(GMW!$A$2:$HN$50,MATCH(1,(GMW!$HM$2:$HM$50=H$3)*(GMW!$HN$2:$HN$50=H$1),0),$B114-1973)</f>
        <v>5.5</v>
      </c>
      <c r="I114" cm="1">
        <f t="array" ref="I114">INDEX(GMW!$A$2:$HN$50,MATCH(1,(GMW!$HM$2:$HM$50=I$3)*(GMW!$HN$2:$HN$50=I$1),0),$B114-1973)</f>
        <v>328682</v>
      </c>
      <c r="J114" cm="1">
        <f t="array" ref="J114">INDEX(GMW!$A$2:$HN$50,MATCH(1,(GMW!$HM$2:$HM$50=J$3)*(GMW!$HN$2:$HN$50=J$1),0),$B114-1973)</f>
        <v>15652</v>
      </c>
      <c r="K114" cm="1">
        <f t="array" ref="K114">INDEX(GMW!$A$2:$HN$50,MATCH(1,(GMW!$HM$2:$HM$50=K$3)*(GMW!$HN$2:$HN$50=K$1),0),$B114-1973)</f>
        <v>524569</v>
      </c>
      <c r="L114" cm="1">
        <f t="array" ref="L114">INDEX(GMW!$A$2:$HN$50,MATCH(1,(GMW!$HM$2:$HM$50=L$3)*(GMW!$HN$2:$HN$50=L$1),0),$B114-1973)</f>
        <v>29214</v>
      </c>
      <c r="M114" cm="1">
        <f t="array" ref="M114">INDEX(GMW!$A$2:$HN$50,MATCH(1,(GMW!$HM$2:$HM$50=M$3)*(GMW!$HN$2:$HN$50=M$1),0),$B114-1973)</f>
        <v>6166.277</v>
      </c>
      <c r="N114" cm="1">
        <f t="array" ref="N114">INDEX(GMW!$A$2:$HN$50,MATCH(1,(GMW!$HM$2:$HM$50=N$3)*(GMW!$HN$2:$HN$50=N$1),0),$B114-1973)</f>
        <v>5.5</v>
      </c>
      <c r="O114" cm="1">
        <f t="array" ref="O114">INDEX(GMW!$A$2:$HN$50,MATCH(1,(GMW!$HM$2:$HM$50=O$3)*(GMW!$HN$2:$HN$50=O$1),0),$B114-1973)</f>
        <v>328682</v>
      </c>
      <c r="P114" cm="1">
        <f t="array" ref="P114">INDEX(GMW!$A$2:$HN$50,MATCH(1,(GMW!$HM$2:$HM$50=P$3)*(GMW!$HN$2:$HN$50=P$1),0),$B114-1973)</f>
        <v>15652</v>
      </c>
    </row>
    <row r="115" spans="1:16">
      <c r="A115">
        <v>2007</v>
      </c>
      <c r="B115">
        <f t="shared" si="4"/>
        <v>2088</v>
      </c>
      <c r="C115">
        <f t="shared" si="5"/>
        <v>2007</v>
      </c>
      <c r="D115">
        <f t="shared" si="5"/>
        <v>2006</v>
      </c>
      <c r="E115" cm="1">
        <f t="array" ref="E115">INDEX(GMW!$A$2:$HN$50,MATCH(1,(GMW!$HM$2:$HM$50=E$3)*(GMW!$HN$2:$HN$50=E$1),0),$B115-1973)</f>
        <v>529398</v>
      </c>
      <c r="F115" cm="1">
        <f t="array" ref="F115">INDEX(GMW!$A$2:$HN$50,MATCH(1,(GMW!$HM$2:$HM$50=F$3)*(GMW!$HN$2:$HN$50=F$1),0),$B115-1973)</f>
        <v>29194</v>
      </c>
      <c r="G115" cm="1">
        <f t="array" ref="G115">INDEX(GMW!$A$2:$HN$50,MATCH(1,(GMW!$HM$2:$HM$50=G$3)*(GMW!$HN$2:$HN$50=G$1),0),$B115-1973)</f>
        <v>6414.875</v>
      </c>
      <c r="H115" cm="1">
        <f t="array" ref="H115">INDEX(GMW!$A$2:$HN$50,MATCH(1,(GMW!$HM$2:$HM$50=H$3)*(GMW!$HN$2:$HN$50=H$1),0),$B115-1973)</f>
        <v>5.5</v>
      </c>
      <c r="I115" cm="1">
        <f t="array" ref="I115">INDEX(GMW!$A$2:$HN$50,MATCH(1,(GMW!$HM$2:$HM$50=I$3)*(GMW!$HN$2:$HN$50=I$1),0),$B115-1973)</f>
        <v>339067</v>
      </c>
      <c r="J115" cm="1">
        <f t="array" ref="J115">INDEX(GMW!$A$2:$HN$50,MATCH(1,(GMW!$HM$2:$HM$50=J$3)*(GMW!$HN$2:$HN$50=J$1),0),$B115-1973)</f>
        <v>15661</v>
      </c>
      <c r="K115" cm="1">
        <f t="array" ref="K115">INDEX(GMW!$A$2:$HN$50,MATCH(1,(GMW!$HM$2:$HM$50=K$3)*(GMW!$HN$2:$HN$50=K$1),0),$B115-1973)</f>
        <v>529398</v>
      </c>
      <c r="L115" cm="1">
        <f t="array" ref="L115">INDEX(GMW!$A$2:$HN$50,MATCH(1,(GMW!$HM$2:$HM$50=L$3)*(GMW!$HN$2:$HN$50=L$1),0),$B115-1973)</f>
        <v>29194</v>
      </c>
      <c r="M115" cm="1">
        <f t="array" ref="M115">INDEX(GMW!$A$2:$HN$50,MATCH(1,(GMW!$HM$2:$HM$50=M$3)*(GMW!$HN$2:$HN$50=M$1),0),$B115-1973)</f>
        <v>6414.875</v>
      </c>
      <c r="N115" cm="1">
        <f t="array" ref="N115">INDEX(GMW!$A$2:$HN$50,MATCH(1,(GMW!$HM$2:$HM$50=N$3)*(GMW!$HN$2:$HN$50=N$1),0),$B115-1973)</f>
        <v>5.5</v>
      </c>
      <c r="O115" cm="1">
        <f t="array" ref="O115">INDEX(GMW!$A$2:$HN$50,MATCH(1,(GMW!$HM$2:$HM$50=O$3)*(GMW!$HN$2:$HN$50=O$1),0),$B115-1973)</f>
        <v>339067</v>
      </c>
      <c r="P115" cm="1">
        <f t="array" ref="P115">INDEX(GMW!$A$2:$HN$50,MATCH(1,(GMW!$HM$2:$HM$50=P$3)*(GMW!$HN$2:$HN$50=P$1),0),$B115-1973)</f>
        <v>15661</v>
      </c>
    </row>
    <row r="116" spans="1:16">
      <c r="B116">
        <f t="shared" si="4"/>
        <v>2089</v>
      </c>
      <c r="C116">
        <f t="shared" si="5"/>
        <v>2007</v>
      </c>
      <c r="D116">
        <f t="shared" si="5"/>
        <v>2007</v>
      </c>
      <c r="E116" cm="1">
        <f t="array" ref="E116">INDEX(GMW!$A$2:$HN$50,MATCH(1,(GMW!$HM$2:$HM$50=E$3)*(GMW!$HN$2:$HN$50=E$1),0),$B116-1973)</f>
        <v>533187</v>
      </c>
      <c r="F116" cm="1">
        <f t="array" ref="F116">INDEX(GMW!$A$2:$HN$50,MATCH(1,(GMW!$HM$2:$HM$50=F$3)*(GMW!$HN$2:$HN$50=F$1),0),$B116-1973)</f>
        <v>29322</v>
      </c>
      <c r="G116" cm="1">
        <f t="array" ref="G116">INDEX(GMW!$A$2:$HN$50,MATCH(1,(GMW!$HM$2:$HM$50=G$3)*(GMW!$HN$2:$HN$50=G$1),0),$B116-1973)</f>
        <v>6339.4709999999995</v>
      </c>
      <c r="H116" cm="1">
        <f t="array" ref="H116">INDEX(GMW!$A$2:$HN$50,MATCH(1,(GMW!$HM$2:$HM$50=H$3)*(GMW!$HN$2:$HN$50=H$1),0),$B116-1973)</f>
        <v>5.4</v>
      </c>
      <c r="I116" cm="1">
        <f t="array" ref="I116">INDEX(GMW!$A$2:$HN$50,MATCH(1,(GMW!$HM$2:$HM$50=I$3)*(GMW!$HN$2:$HN$50=I$1),0),$B116-1973)</f>
        <v>336009</v>
      </c>
      <c r="J116" cm="1">
        <f t="array" ref="J116">INDEX(GMW!$A$2:$HN$50,MATCH(1,(GMW!$HM$2:$HM$50=J$3)*(GMW!$HN$2:$HN$50=J$1),0),$B116-1973)</f>
        <v>16295</v>
      </c>
      <c r="K116" cm="1">
        <f t="array" ref="K116">INDEX(GMW!$A$2:$HN$50,MATCH(1,(GMW!$HM$2:$HM$50=K$3)*(GMW!$HN$2:$HN$50=K$1),0),$B116-1973)</f>
        <v>533187</v>
      </c>
      <c r="L116" cm="1">
        <f t="array" ref="L116">INDEX(GMW!$A$2:$HN$50,MATCH(1,(GMW!$HM$2:$HM$50=L$3)*(GMW!$HN$2:$HN$50=L$1),0),$B116-1973)</f>
        <v>29322</v>
      </c>
      <c r="M116" cm="1">
        <f t="array" ref="M116">INDEX(GMW!$A$2:$HN$50,MATCH(1,(GMW!$HM$2:$HM$50=M$3)*(GMW!$HN$2:$HN$50=M$1),0),$B116-1973)</f>
        <v>6339.4709999999995</v>
      </c>
      <c r="N116" cm="1">
        <f t="array" ref="N116">INDEX(GMW!$A$2:$HN$50,MATCH(1,(GMW!$HM$2:$HM$50=N$3)*(GMW!$HN$2:$HN$50=N$1),0),$B116-1973)</f>
        <v>5.4</v>
      </c>
      <c r="O116" cm="1">
        <f t="array" ref="O116">INDEX(GMW!$A$2:$HN$50,MATCH(1,(GMW!$HM$2:$HM$50=O$3)*(GMW!$HN$2:$HN$50=O$1),0),$B116-1973)</f>
        <v>336009</v>
      </c>
      <c r="P116" cm="1">
        <f t="array" ref="P116">INDEX(GMW!$A$2:$HN$50,MATCH(1,(GMW!$HM$2:$HM$50=P$3)*(GMW!$HN$2:$HN$50=P$1),0),$B116-1973)</f>
        <v>16295</v>
      </c>
    </row>
    <row r="117" spans="1:16">
      <c r="B117">
        <f t="shared" si="4"/>
        <v>2090</v>
      </c>
      <c r="C117">
        <f t="shared" si="5"/>
        <v>2007</v>
      </c>
      <c r="D117">
        <f t="shared" si="5"/>
        <v>2007</v>
      </c>
      <c r="E117" cm="1">
        <f t="array" ref="E117">INDEX(GMW!$A$2:$HN$50,MATCH(1,(GMW!$HM$2:$HM$50=E$3)*(GMW!$HN$2:$HN$50=E$1),0),$B117-1973)</f>
        <v>537052</v>
      </c>
      <c r="F117" cm="1">
        <f t="array" ref="F117">INDEX(GMW!$A$2:$HN$50,MATCH(1,(GMW!$HM$2:$HM$50=F$3)*(GMW!$HN$2:$HN$50=F$1),0),$B117-1973)</f>
        <v>29420</v>
      </c>
      <c r="G117" cm="1">
        <f t="array" ref="G117">INDEX(GMW!$A$2:$HN$50,MATCH(1,(GMW!$HM$2:$HM$50=G$3)*(GMW!$HN$2:$HN$50=G$1),0),$B117-1973)</f>
        <v>6466.942</v>
      </c>
      <c r="H117" cm="1">
        <f t="array" ref="H117">INDEX(GMW!$A$2:$HN$50,MATCH(1,(GMW!$HM$2:$HM$50=H$3)*(GMW!$HN$2:$HN$50=H$1),0),$B117-1973)</f>
        <v>5.3</v>
      </c>
      <c r="I117" cm="1">
        <f t="array" ref="I117">INDEX(GMW!$A$2:$HN$50,MATCH(1,(GMW!$HM$2:$HM$50=I$3)*(GMW!$HN$2:$HN$50=I$1),0),$B117-1973)</f>
        <v>340647</v>
      </c>
      <c r="J117" cm="1">
        <f t="array" ref="J117">INDEX(GMW!$A$2:$HN$50,MATCH(1,(GMW!$HM$2:$HM$50=J$3)*(GMW!$HN$2:$HN$50=J$1),0),$B117-1973)</f>
        <v>16680</v>
      </c>
      <c r="K117" cm="1">
        <f t="array" ref="K117">INDEX(GMW!$A$2:$HN$50,MATCH(1,(GMW!$HM$2:$HM$50=K$3)*(GMW!$HN$2:$HN$50=K$1),0),$B117-1973)</f>
        <v>537052</v>
      </c>
      <c r="L117" cm="1">
        <f t="array" ref="L117">INDEX(GMW!$A$2:$HN$50,MATCH(1,(GMW!$HM$2:$HM$50=L$3)*(GMW!$HN$2:$HN$50=L$1),0),$B117-1973)</f>
        <v>29420</v>
      </c>
      <c r="M117" cm="1">
        <f t="array" ref="M117">INDEX(GMW!$A$2:$HN$50,MATCH(1,(GMW!$HM$2:$HM$50=M$3)*(GMW!$HN$2:$HN$50=M$1),0),$B117-1973)</f>
        <v>6466.942</v>
      </c>
      <c r="N117" cm="1">
        <f t="array" ref="N117">INDEX(GMW!$A$2:$HN$50,MATCH(1,(GMW!$HM$2:$HM$50=N$3)*(GMW!$HN$2:$HN$50=N$1),0),$B117-1973)</f>
        <v>5.3</v>
      </c>
      <c r="O117" cm="1">
        <f t="array" ref="O117">INDEX(GMW!$A$2:$HN$50,MATCH(1,(GMW!$HM$2:$HM$50=O$3)*(GMW!$HN$2:$HN$50=O$1),0),$B117-1973)</f>
        <v>340647</v>
      </c>
      <c r="P117" cm="1">
        <f t="array" ref="P117">INDEX(GMW!$A$2:$HN$50,MATCH(1,(GMW!$HM$2:$HM$50=P$3)*(GMW!$HN$2:$HN$50=P$1),0),$B117-1973)</f>
        <v>16680</v>
      </c>
    </row>
    <row r="118" spans="1:16">
      <c r="B118">
        <f t="shared" si="4"/>
        <v>2091</v>
      </c>
      <c r="C118">
        <f t="shared" si="5"/>
        <v>2007</v>
      </c>
      <c r="D118">
        <f t="shared" si="5"/>
        <v>2007</v>
      </c>
      <c r="E118" cm="1">
        <f t="array" ref="E118">INDEX(GMW!$A$2:$HN$50,MATCH(1,(GMW!$HM$2:$HM$50=E$3)*(GMW!$HN$2:$HN$50=E$1),0),$B118-1973)</f>
        <v>540258</v>
      </c>
      <c r="F118" cm="1">
        <f t="array" ref="F118">INDEX(GMW!$A$2:$HN$50,MATCH(1,(GMW!$HM$2:$HM$50=F$3)*(GMW!$HN$2:$HN$50=F$1),0),$B118-1973)</f>
        <v>29576</v>
      </c>
      <c r="G118" cm="1">
        <f t="array" ref="G118">INDEX(GMW!$A$2:$HN$50,MATCH(1,(GMW!$HM$2:$HM$50=G$3)*(GMW!$HN$2:$HN$50=G$1),0),$B118-1973)</f>
        <v>6476.04</v>
      </c>
      <c r="H118" cm="1">
        <f t="array" ref="H118">INDEX(GMW!$A$2:$HN$50,MATCH(1,(GMW!$HM$2:$HM$50=H$3)*(GMW!$HN$2:$HN$50=H$1),0),$B118-1973)</f>
        <v>5.2</v>
      </c>
      <c r="I118" cm="1">
        <f t="array" ref="I118">INDEX(GMW!$A$2:$HN$50,MATCH(1,(GMW!$HM$2:$HM$50=I$3)*(GMW!$HN$2:$HN$50=I$1),0),$B118-1973)</f>
        <v>340314</v>
      </c>
      <c r="J118" cm="1">
        <f t="array" ref="J118">INDEX(GMW!$A$2:$HN$50,MATCH(1,(GMW!$HM$2:$HM$50=J$3)*(GMW!$HN$2:$HN$50=J$1),0),$B118-1973)</f>
        <v>17084</v>
      </c>
      <c r="K118" cm="1">
        <f t="array" ref="K118">INDEX(GMW!$A$2:$HN$50,MATCH(1,(GMW!$HM$2:$HM$50=K$3)*(GMW!$HN$2:$HN$50=K$1),0),$B118-1973)</f>
        <v>540258</v>
      </c>
      <c r="L118" cm="1">
        <f t="array" ref="L118">INDEX(GMW!$A$2:$HN$50,MATCH(1,(GMW!$HM$2:$HM$50=L$3)*(GMW!$HN$2:$HN$50=L$1),0),$B118-1973)</f>
        <v>29576</v>
      </c>
      <c r="M118" cm="1">
        <f t="array" ref="M118">INDEX(GMW!$A$2:$HN$50,MATCH(1,(GMW!$HM$2:$HM$50=M$3)*(GMW!$HN$2:$HN$50=M$1),0),$B118-1973)</f>
        <v>6476.04</v>
      </c>
      <c r="N118" cm="1">
        <f t="array" ref="N118">INDEX(GMW!$A$2:$HN$50,MATCH(1,(GMW!$HM$2:$HM$50=N$3)*(GMW!$HN$2:$HN$50=N$1),0),$B118-1973)</f>
        <v>5.2</v>
      </c>
      <c r="O118" cm="1">
        <f t="array" ref="O118">INDEX(GMW!$A$2:$HN$50,MATCH(1,(GMW!$HM$2:$HM$50=O$3)*(GMW!$HN$2:$HN$50=O$1),0),$B118-1973)</f>
        <v>340314</v>
      </c>
      <c r="P118" cm="1">
        <f t="array" ref="P118">INDEX(GMW!$A$2:$HN$50,MATCH(1,(GMW!$HM$2:$HM$50=P$3)*(GMW!$HN$2:$HN$50=P$1),0),$B118-1973)</f>
        <v>17084</v>
      </c>
    </row>
    <row r="119" spans="1:16">
      <c r="A119">
        <v>2008</v>
      </c>
      <c r="B119">
        <f t="shared" si="4"/>
        <v>2092</v>
      </c>
      <c r="C119">
        <f t="shared" si="5"/>
        <v>2008</v>
      </c>
      <c r="D119">
        <f t="shared" si="5"/>
        <v>2007</v>
      </c>
      <c r="E119" cm="1">
        <f t="array" ref="E119">INDEX(GMW!$A$2:$HN$50,MATCH(1,(GMW!$HM$2:$HM$50=E$3)*(GMW!$HN$2:$HN$50=E$1),0),$B119-1973)</f>
        <v>542804</v>
      </c>
      <c r="F119" cm="1">
        <f t="array" ref="F119">INDEX(GMW!$A$2:$HN$50,MATCH(1,(GMW!$HM$2:$HM$50=F$3)*(GMW!$HN$2:$HN$50=F$1),0),$B119-1973)</f>
        <v>29684</v>
      </c>
      <c r="G119" cm="1">
        <f t="array" ref="G119">INDEX(GMW!$A$2:$HN$50,MATCH(1,(GMW!$HM$2:$HM$50=G$3)*(GMW!$HN$2:$HN$50=G$1),0),$B119-1973)</f>
        <v>6580.8379999999997</v>
      </c>
      <c r="H119" cm="1">
        <f t="array" ref="H119">INDEX(GMW!$A$2:$HN$50,MATCH(1,(GMW!$HM$2:$HM$50=H$3)*(GMW!$HN$2:$HN$50=H$1),0),$B119-1973)</f>
        <v>5.2</v>
      </c>
      <c r="I119" cm="1">
        <f t="array" ref="I119">INDEX(GMW!$A$2:$HN$50,MATCH(1,(GMW!$HM$2:$HM$50=I$3)*(GMW!$HN$2:$HN$50=I$1),0),$B119-1973)</f>
        <v>335815</v>
      </c>
      <c r="J119" cm="1">
        <f t="array" ref="J119">INDEX(GMW!$A$2:$HN$50,MATCH(1,(GMW!$HM$2:$HM$50=J$3)*(GMW!$HN$2:$HN$50=J$1),0),$B119-1973)</f>
        <v>17891</v>
      </c>
      <c r="K119" cm="1">
        <f t="array" ref="K119">INDEX(GMW!$A$2:$HN$50,MATCH(1,(GMW!$HM$2:$HM$50=K$3)*(GMW!$HN$2:$HN$50=K$1),0),$B119-1973)</f>
        <v>542804</v>
      </c>
      <c r="L119" cm="1">
        <f t="array" ref="L119">INDEX(GMW!$A$2:$HN$50,MATCH(1,(GMW!$HM$2:$HM$50=L$3)*(GMW!$HN$2:$HN$50=L$1),0),$B119-1973)</f>
        <v>29684</v>
      </c>
      <c r="M119" cm="1">
        <f t="array" ref="M119">INDEX(GMW!$A$2:$HN$50,MATCH(1,(GMW!$HM$2:$HM$50=M$3)*(GMW!$HN$2:$HN$50=M$1),0),$B119-1973)</f>
        <v>6580.8379999999997</v>
      </c>
      <c r="N119" cm="1">
        <f t="array" ref="N119">INDEX(GMW!$A$2:$HN$50,MATCH(1,(GMW!$HM$2:$HM$50=N$3)*(GMW!$HN$2:$HN$50=N$1),0),$B119-1973)</f>
        <v>5.2</v>
      </c>
      <c r="O119" cm="1">
        <f t="array" ref="O119">INDEX(GMW!$A$2:$HN$50,MATCH(1,(GMW!$HM$2:$HM$50=O$3)*(GMW!$HN$2:$HN$50=O$1),0),$B119-1973)</f>
        <v>335815</v>
      </c>
      <c r="P119" cm="1">
        <f t="array" ref="P119">INDEX(GMW!$A$2:$HN$50,MATCH(1,(GMW!$HM$2:$HM$50=P$3)*(GMW!$HN$2:$HN$50=P$1),0),$B119-1973)</f>
        <v>17891</v>
      </c>
    </row>
    <row r="120" spans="1:16">
      <c r="B120">
        <f t="shared" si="4"/>
        <v>2093</v>
      </c>
      <c r="C120">
        <f t="shared" si="5"/>
        <v>2008</v>
      </c>
      <c r="D120">
        <f t="shared" si="5"/>
        <v>2008</v>
      </c>
      <c r="E120" cm="1">
        <f t="array" ref="E120">INDEX(GMW!$A$2:$HN$50,MATCH(1,(GMW!$HM$2:$HM$50=E$3)*(GMW!$HN$2:$HN$50=E$1),0),$B120-1973)</f>
        <v>539918</v>
      </c>
      <c r="F120" cm="1">
        <f t="array" ref="F120">INDEX(GMW!$A$2:$HN$50,MATCH(1,(GMW!$HM$2:$HM$50=F$3)*(GMW!$HN$2:$HN$50=F$1),0),$B120-1973)</f>
        <v>29722</v>
      </c>
      <c r="G120" cm="1">
        <f t="array" ref="G120">INDEX(GMW!$A$2:$HN$50,MATCH(1,(GMW!$HM$2:$HM$50=G$3)*(GMW!$HN$2:$HN$50=G$1),0),$B120-1973)</f>
        <v>6498.0690000000004</v>
      </c>
      <c r="H120" cm="1">
        <f t="array" ref="H120">INDEX(GMW!$A$2:$HN$50,MATCH(1,(GMW!$HM$2:$HM$50=H$3)*(GMW!$HN$2:$HN$50=H$1),0),$B120-1973)</f>
        <v>5.4</v>
      </c>
      <c r="I120" cm="1">
        <f t="array" ref="I120">INDEX(GMW!$A$2:$HN$50,MATCH(1,(GMW!$HM$2:$HM$50=I$3)*(GMW!$HN$2:$HN$50=I$1),0),$B120-1973)</f>
        <v>339732</v>
      </c>
      <c r="J120" cm="1">
        <f t="array" ref="J120">INDEX(GMW!$A$2:$HN$50,MATCH(1,(GMW!$HM$2:$HM$50=J$3)*(GMW!$HN$2:$HN$50=J$1),0),$B120-1973)</f>
        <v>17172</v>
      </c>
      <c r="K120" cm="1">
        <f t="array" ref="K120">INDEX(GMW!$A$2:$HN$50,MATCH(1,(GMW!$HM$2:$HM$50=K$3)*(GMW!$HN$2:$HN$50=K$1),0),$B120-1973)</f>
        <v>539918</v>
      </c>
      <c r="L120" cm="1">
        <f t="array" ref="L120">INDEX(GMW!$A$2:$HN$50,MATCH(1,(GMW!$HM$2:$HM$50=L$3)*(GMW!$HN$2:$HN$50=L$1),0),$B120-1973)</f>
        <v>29722</v>
      </c>
      <c r="M120" cm="1">
        <f t="array" ref="M120">INDEX(GMW!$A$2:$HN$50,MATCH(1,(GMW!$HM$2:$HM$50=M$3)*(GMW!$HN$2:$HN$50=M$1),0),$B120-1973)</f>
        <v>6498.0690000000004</v>
      </c>
      <c r="N120" cm="1">
        <f t="array" ref="N120">INDEX(GMW!$A$2:$HN$50,MATCH(1,(GMW!$HM$2:$HM$50=N$3)*(GMW!$HN$2:$HN$50=N$1),0),$B120-1973)</f>
        <v>5.4</v>
      </c>
      <c r="O120" cm="1">
        <f t="array" ref="O120">INDEX(GMW!$A$2:$HN$50,MATCH(1,(GMW!$HM$2:$HM$50=O$3)*(GMW!$HN$2:$HN$50=O$1),0),$B120-1973)</f>
        <v>339732</v>
      </c>
      <c r="P120" cm="1">
        <f t="array" ref="P120">INDEX(GMW!$A$2:$HN$50,MATCH(1,(GMW!$HM$2:$HM$50=P$3)*(GMW!$HN$2:$HN$50=P$1),0),$B120-1973)</f>
        <v>17172</v>
      </c>
    </row>
    <row r="121" spans="1:16">
      <c r="B121">
        <f t="shared" si="4"/>
        <v>2094</v>
      </c>
      <c r="C121">
        <f t="shared" si="5"/>
        <v>2008</v>
      </c>
      <c r="D121">
        <f t="shared" si="5"/>
        <v>2008</v>
      </c>
      <c r="E121" cm="1">
        <f t="array" ref="E121">INDEX(GMW!$A$2:$HN$50,MATCH(1,(GMW!$HM$2:$HM$50=E$3)*(GMW!$HN$2:$HN$50=E$1),0),$B121-1973)</f>
        <v>531619</v>
      </c>
      <c r="F121" cm="1">
        <f t="array" ref="F121">INDEX(GMW!$A$2:$HN$50,MATCH(1,(GMW!$HM$2:$HM$50=F$3)*(GMW!$HN$2:$HN$50=F$1),0),$B121-1973)</f>
        <v>29580</v>
      </c>
      <c r="G121" cm="1">
        <f t="array" ref="G121">INDEX(GMW!$A$2:$HN$50,MATCH(1,(GMW!$HM$2:$HM$50=G$3)*(GMW!$HN$2:$HN$50=G$1),0),$B121-1973)</f>
        <v>6496.1270000000004</v>
      </c>
      <c r="H121" cm="1">
        <f t="array" ref="H121">INDEX(GMW!$A$2:$HN$50,MATCH(1,(GMW!$HM$2:$HM$50=H$3)*(GMW!$HN$2:$HN$50=H$1),0),$B121-1973)</f>
        <v>5.9</v>
      </c>
      <c r="I121" cm="1">
        <f t="array" ref="I121">INDEX(GMW!$A$2:$HN$50,MATCH(1,(GMW!$HM$2:$HM$50=I$3)*(GMW!$HN$2:$HN$50=I$1),0),$B121-1973)</f>
        <v>333684</v>
      </c>
      <c r="J121" cm="1">
        <f t="array" ref="J121">INDEX(GMW!$A$2:$HN$50,MATCH(1,(GMW!$HM$2:$HM$50=J$3)*(GMW!$HN$2:$HN$50=J$1),0),$B121-1973)</f>
        <v>17328</v>
      </c>
      <c r="K121" cm="1">
        <f t="array" ref="K121">INDEX(GMW!$A$2:$HN$50,MATCH(1,(GMW!$HM$2:$HM$50=K$3)*(GMW!$HN$2:$HN$50=K$1),0),$B121-1973)</f>
        <v>531619</v>
      </c>
      <c r="L121" cm="1">
        <f t="array" ref="L121">INDEX(GMW!$A$2:$HN$50,MATCH(1,(GMW!$HM$2:$HM$50=L$3)*(GMW!$HN$2:$HN$50=L$1),0),$B121-1973)</f>
        <v>29580</v>
      </c>
      <c r="M121" cm="1">
        <f t="array" ref="M121">INDEX(GMW!$A$2:$HN$50,MATCH(1,(GMW!$HM$2:$HM$50=M$3)*(GMW!$HN$2:$HN$50=M$1),0),$B121-1973)</f>
        <v>6496.1270000000004</v>
      </c>
      <c r="N121" cm="1">
        <f t="array" ref="N121">INDEX(GMW!$A$2:$HN$50,MATCH(1,(GMW!$HM$2:$HM$50=N$3)*(GMW!$HN$2:$HN$50=N$1),0),$B121-1973)</f>
        <v>5.9</v>
      </c>
      <c r="O121" cm="1">
        <f t="array" ref="O121">INDEX(GMW!$A$2:$HN$50,MATCH(1,(GMW!$HM$2:$HM$50=O$3)*(GMW!$HN$2:$HN$50=O$1),0),$B121-1973)</f>
        <v>333684</v>
      </c>
      <c r="P121" cm="1">
        <f t="array" ref="P121">INDEX(GMW!$A$2:$HN$50,MATCH(1,(GMW!$HM$2:$HM$50=P$3)*(GMW!$HN$2:$HN$50=P$1),0),$B121-1973)</f>
        <v>17328</v>
      </c>
    </row>
    <row r="122" spans="1:16">
      <c r="B122">
        <f t="shared" si="4"/>
        <v>2095</v>
      </c>
      <c r="C122">
        <f t="shared" si="5"/>
        <v>2008</v>
      </c>
      <c r="D122">
        <f t="shared" si="5"/>
        <v>2008</v>
      </c>
      <c r="E122" cm="1">
        <f t="array" ref="E122">INDEX(GMW!$A$2:$HN$50,MATCH(1,(GMW!$HM$2:$HM$50=E$3)*(GMW!$HN$2:$HN$50=E$1),0),$B122-1973)</f>
        <v>520230</v>
      </c>
      <c r="F122" cm="1">
        <f t="array" ref="F122">INDEX(GMW!$A$2:$HN$50,MATCH(1,(GMW!$HM$2:$HM$50=F$3)*(GMW!$HN$2:$HN$50=F$1),0),$B122-1973)</f>
        <v>29528</v>
      </c>
      <c r="G122" cm="1">
        <f t="array" ref="G122">INDEX(GMW!$A$2:$HN$50,MATCH(1,(GMW!$HM$2:$HM$50=G$3)*(GMW!$HN$2:$HN$50=G$1),0),$B122-1973)</f>
        <v>6443.4080000000004</v>
      </c>
      <c r="H122" cm="1">
        <f t="array" ref="H122">INDEX(GMW!$A$2:$HN$50,MATCH(1,(GMW!$HM$2:$HM$50=H$3)*(GMW!$HN$2:$HN$50=H$1),0),$B122-1973)</f>
        <v>6.4</v>
      </c>
      <c r="I122" cm="1">
        <f t="array" ref="I122">INDEX(GMW!$A$2:$HN$50,MATCH(1,(GMW!$HM$2:$HM$50=I$3)*(GMW!$HN$2:$HN$50=I$1),0),$B122-1973)</f>
        <v>340023</v>
      </c>
      <c r="J122" cm="1">
        <f t="array" ref="J122">INDEX(GMW!$A$2:$HN$50,MATCH(1,(GMW!$HM$2:$HM$50=J$3)*(GMW!$HN$2:$HN$50=J$1),0),$B122-1973)</f>
        <v>17305</v>
      </c>
      <c r="K122" cm="1">
        <f t="array" ref="K122">INDEX(GMW!$A$2:$HN$50,MATCH(1,(GMW!$HM$2:$HM$50=K$3)*(GMW!$HN$2:$HN$50=K$1),0),$B122-1973)</f>
        <v>520230</v>
      </c>
      <c r="L122" cm="1">
        <f t="array" ref="L122">INDEX(GMW!$A$2:$HN$50,MATCH(1,(GMW!$HM$2:$HM$50=L$3)*(GMW!$HN$2:$HN$50=L$1),0),$B122-1973)</f>
        <v>29528</v>
      </c>
      <c r="M122" cm="1">
        <f t="array" ref="M122">INDEX(GMW!$A$2:$HN$50,MATCH(1,(GMW!$HM$2:$HM$50=M$3)*(GMW!$HN$2:$HN$50=M$1),0),$B122-1973)</f>
        <v>6443.4080000000004</v>
      </c>
      <c r="N122" cm="1">
        <f t="array" ref="N122">INDEX(GMW!$A$2:$HN$50,MATCH(1,(GMW!$HM$2:$HM$50=N$3)*(GMW!$HN$2:$HN$50=N$1),0),$B122-1973)</f>
        <v>6.4</v>
      </c>
      <c r="O122" cm="1">
        <f t="array" ref="O122">INDEX(GMW!$A$2:$HN$50,MATCH(1,(GMW!$HM$2:$HM$50=O$3)*(GMW!$HN$2:$HN$50=O$1),0),$B122-1973)</f>
        <v>340023</v>
      </c>
      <c r="P122" cm="1">
        <f t="array" ref="P122">INDEX(GMW!$A$2:$HN$50,MATCH(1,(GMW!$HM$2:$HM$50=P$3)*(GMW!$HN$2:$HN$50=P$1),0),$B122-1973)</f>
        <v>17305</v>
      </c>
    </row>
    <row r="123" spans="1:16">
      <c r="A123">
        <v>2009</v>
      </c>
      <c r="B123">
        <f t="shared" si="4"/>
        <v>2096</v>
      </c>
      <c r="C123">
        <f t="shared" si="5"/>
        <v>2009</v>
      </c>
      <c r="D123">
        <f t="shared" si="5"/>
        <v>2008</v>
      </c>
      <c r="E123" cm="1">
        <f t="array" ref="E123">INDEX(GMW!$A$2:$HN$50,MATCH(1,(GMW!$HM$2:$HM$50=E$3)*(GMW!$HN$2:$HN$50=E$1),0),$B123-1973)</f>
        <v>509646</v>
      </c>
      <c r="F123" cm="1">
        <f t="array" ref="F123">INDEX(GMW!$A$2:$HN$50,MATCH(1,(GMW!$HM$2:$HM$50=F$3)*(GMW!$HN$2:$HN$50=F$1),0),$B123-1973)</f>
        <v>29366</v>
      </c>
      <c r="G123" cm="1">
        <f t="array" ref="G123">INDEX(GMW!$A$2:$HN$50,MATCH(1,(GMW!$HM$2:$HM$50=G$3)*(GMW!$HN$2:$HN$50=G$1),0),$B123-1973)</f>
        <v>6371.857</v>
      </c>
      <c r="H123" cm="1">
        <f t="array" ref="H123">INDEX(GMW!$A$2:$HN$50,MATCH(1,(GMW!$HM$2:$HM$50=H$3)*(GMW!$HN$2:$HN$50=H$1),0),$B123-1973)</f>
        <v>7.1</v>
      </c>
      <c r="I123" cm="1">
        <f t="array" ref="I123">INDEX(GMW!$A$2:$HN$50,MATCH(1,(GMW!$HM$2:$HM$50=I$3)*(GMW!$HN$2:$HN$50=I$1),0),$B123-1973)</f>
        <v>335761</v>
      </c>
      <c r="J123" cm="1">
        <f t="array" ref="J123">INDEX(GMW!$A$2:$HN$50,MATCH(1,(GMW!$HM$2:$HM$50=J$3)*(GMW!$HN$2:$HN$50=J$1),0),$B123-1973)</f>
        <v>16825</v>
      </c>
      <c r="K123" cm="1">
        <f t="array" ref="K123">INDEX(GMW!$A$2:$HN$50,MATCH(1,(GMW!$HM$2:$HM$50=K$3)*(GMW!$HN$2:$HN$50=K$1),0),$B123-1973)</f>
        <v>509646</v>
      </c>
      <c r="L123" cm="1">
        <f t="array" ref="L123">INDEX(GMW!$A$2:$HN$50,MATCH(1,(GMW!$HM$2:$HM$50=L$3)*(GMW!$HN$2:$HN$50=L$1),0),$B123-1973)</f>
        <v>29366</v>
      </c>
      <c r="M123" cm="1">
        <f t="array" ref="M123">INDEX(GMW!$A$2:$HN$50,MATCH(1,(GMW!$HM$2:$HM$50=M$3)*(GMW!$HN$2:$HN$50=M$1),0),$B123-1973)</f>
        <v>6371.857</v>
      </c>
      <c r="N123" cm="1">
        <f t="array" ref="N123">INDEX(GMW!$A$2:$HN$50,MATCH(1,(GMW!$HM$2:$HM$50=N$3)*(GMW!$HN$2:$HN$50=N$1),0),$B123-1973)</f>
        <v>7.1</v>
      </c>
      <c r="O123" cm="1">
        <f t="array" ref="O123">INDEX(GMW!$A$2:$HN$50,MATCH(1,(GMW!$HM$2:$HM$50=O$3)*(GMW!$HN$2:$HN$50=O$1),0),$B123-1973)</f>
        <v>335761</v>
      </c>
      <c r="P123" cm="1">
        <f t="array" ref="P123">INDEX(GMW!$A$2:$HN$50,MATCH(1,(GMW!$HM$2:$HM$50=P$3)*(GMW!$HN$2:$HN$50=P$1),0),$B123-1973)</f>
        <v>16825</v>
      </c>
    </row>
    <row r="124" spans="1:16">
      <c r="B124">
        <f t="shared" si="4"/>
        <v>2097</v>
      </c>
      <c r="C124">
        <f t="shared" si="5"/>
        <v>2009</v>
      </c>
      <c r="D124">
        <f t="shared" si="5"/>
        <v>2009</v>
      </c>
      <c r="E124" cm="1">
        <f t="array" ref="E124">INDEX(GMW!$A$2:$HN$50,MATCH(1,(GMW!$HM$2:$HM$50=E$3)*(GMW!$HN$2:$HN$50=E$1),0),$B124-1973)</f>
        <v>508009</v>
      </c>
      <c r="F124" cm="1">
        <f t="array" ref="F124">INDEX(GMW!$A$2:$HN$50,MATCH(1,(GMW!$HM$2:$HM$50=F$3)*(GMW!$HN$2:$HN$50=F$1),0),$B124-1973)</f>
        <v>29087</v>
      </c>
      <c r="G124" cm="1">
        <f t="array" ref="G124">INDEX(GMW!$A$2:$HN$50,MATCH(1,(GMW!$HM$2:$HM$50=G$3)*(GMW!$HN$2:$HN$50=G$1),0),$B124-1973)</f>
        <v>6556.6030000000001</v>
      </c>
      <c r="H124" cm="1">
        <f t="array" ref="H124">INDEX(GMW!$A$2:$HN$50,MATCH(1,(GMW!$HM$2:$HM$50=H$3)*(GMW!$HN$2:$HN$50=H$1),0),$B124-1973)</f>
        <v>7.8</v>
      </c>
      <c r="I124" cm="1">
        <f t="array" ref="I124">INDEX(GMW!$A$2:$HN$50,MATCH(1,(GMW!$HM$2:$HM$50=I$3)*(GMW!$HN$2:$HN$50=I$1),0),$B124-1973)</f>
        <v>344826</v>
      </c>
      <c r="J124" cm="1">
        <f t="array" ref="J124">INDEX(GMW!$A$2:$HN$50,MATCH(1,(GMW!$HM$2:$HM$50=J$3)*(GMW!$HN$2:$HN$50=J$1),0),$B124-1973)</f>
        <v>17195</v>
      </c>
      <c r="K124" cm="1">
        <f t="array" ref="K124">INDEX(GMW!$A$2:$HN$50,MATCH(1,(GMW!$HM$2:$HM$50=K$3)*(GMW!$HN$2:$HN$50=K$1),0),$B124-1973)</f>
        <v>508009</v>
      </c>
      <c r="L124" cm="1">
        <f t="array" ref="L124">INDEX(GMW!$A$2:$HN$50,MATCH(1,(GMW!$HM$2:$HM$50=L$3)*(GMW!$HN$2:$HN$50=L$1),0),$B124-1973)</f>
        <v>29087</v>
      </c>
      <c r="M124" cm="1">
        <f t="array" ref="M124">INDEX(GMW!$A$2:$HN$50,MATCH(1,(GMW!$HM$2:$HM$50=M$3)*(GMW!$HN$2:$HN$50=M$1),0),$B124-1973)</f>
        <v>6556.6030000000001</v>
      </c>
      <c r="N124" cm="1">
        <f t="array" ref="N124">INDEX(GMW!$A$2:$HN$50,MATCH(1,(GMW!$HM$2:$HM$50=N$3)*(GMW!$HN$2:$HN$50=N$1),0),$B124-1973)</f>
        <v>7.8</v>
      </c>
      <c r="O124" cm="1">
        <f t="array" ref="O124">INDEX(GMW!$A$2:$HN$50,MATCH(1,(GMW!$HM$2:$HM$50=O$3)*(GMW!$HN$2:$HN$50=O$1),0),$B124-1973)</f>
        <v>344826</v>
      </c>
      <c r="P124" cm="1">
        <f t="array" ref="P124">INDEX(GMW!$A$2:$HN$50,MATCH(1,(GMW!$HM$2:$HM$50=P$3)*(GMW!$HN$2:$HN$50=P$1),0),$B124-1973)</f>
        <v>17195</v>
      </c>
    </row>
    <row r="125" spans="1:16">
      <c r="B125">
        <f t="shared" si="4"/>
        <v>2098</v>
      </c>
      <c r="C125">
        <f t="shared" si="5"/>
        <v>2009</v>
      </c>
      <c r="D125">
        <f t="shared" si="5"/>
        <v>2009</v>
      </c>
      <c r="E125" cm="1">
        <f t="array" ref="E125">INDEX(GMW!$A$2:$HN$50,MATCH(1,(GMW!$HM$2:$HM$50=E$3)*(GMW!$HN$2:$HN$50=E$1),0),$B125-1973)</f>
        <v>508398</v>
      </c>
      <c r="F125" cm="1">
        <f t="array" ref="F125">INDEX(GMW!$A$2:$HN$50,MATCH(1,(GMW!$HM$2:$HM$50=F$3)*(GMW!$HN$2:$HN$50=F$1),0),$B125-1973)</f>
        <v>29069</v>
      </c>
      <c r="G125" cm="1">
        <f t="array" ref="G125">INDEX(GMW!$A$2:$HN$50,MATCH(1,(GMW!$HM$2:$HM$50=G$3)*(GMW!$HN$2:$HN$50=G$1),0),$B125-1973)</f>
        <v>6566.0349999999999</v>
      </c>
      <c r="H125" cm="1">
        <f t="array" ref="H125">INDEX(GMW!$A$2:$HN$50,MATCH(1,(GMW!$HM$2:$HM$50=H$3)*(GMW!$HN$2:$HN$50=H$1),0),$B125-1973)</f>
        <v>7.8</v>
      </c>
      <c r="I125" cm="1">
        <f t="array" ref="I125">INDEX(GMW!$A$2:$HN$50,MATCH(1,(GMW!$HM$2:$HM$50=I$3)*(GMW!$HN$2:$HN$50=I$1),0),$B125-1973)</f>
        <v>343613</v>
      </c>
      <c r="J125" cm="1">
        <f t="array" ref="J125">INDEX(GMW!$A$2:$HN$50,MATCH(1,(GMW!$HM$2:$HM$50=J$3)*(GMW!$HN$2:$HN$50=J$1),0),$B125-1973)</f>
        <v>17157</v>
      </c>
      <c r="K125" cm="1">
        <f t="array" ref="K125">INDEX(GMW!$A$2:$HN$50,MATCH(1,(GMW!$HM$2:$HM$50=K$3)*(GMW!$HN$2:$HN$50=K$1),0),$B125-1973)</f>
        <v>508398</v>
      </c>
      <c r="L125" cm="1">
        <f t="array" ref="L125">INDEX(GMW!$A$2:$HN$50,MATCH(1,(GMW!$HM$2:$HM$50=L$3)*(GMW!$HN$2:$HN$50=L$1),0),$B125-1973)</f>
        <v>29069</v>
      </c>
      <c r="M125" cm="1">
        <f t="array" ref="M125">INDEX(GMW!$A$2:$HN$50,MATCH(1,(GMW!$HM$2:$HM$50=M$3)*(GMW!$HN$2:$HN$50=M$1),0),$B125-1973)</f>
        <v>6566.0349999999999</v>
      </c>
      <c r="N125" cm="1">
        <f t="array" ref="N125">INDEX(GMW!$A$2:$HN$50,MATCH(1,(GMW!$HM$2:$HM$50=N$3)*(GMW!$HN$2:$HN$50=N$1),0),$B125-1973)</f>
        <v>7.8</v>
      </c>
      <c r="O125" cm="1">
        <f t="array" ref="O125">INDEX(GMW!$A$2:$HN$50,MATCH(1,(GMW!$HM$2:$HM$50=O$3)*(GMW!$HN$2:$HN$50=O$1),0),$B125-1973)</f>
        <v>343613</v>
      </c>
      <c r="P125" cm="1">
        <f t="array" ref="P125">INDEX(GMW!$A$2:$HN$50,MATCH(1,(GMW!$HM$2:$HM$50=P$3)*(GMW!$HN$2:$HN$50=P$1),0),$B125-1973)</f>
        <v>17157</v>
      </c>
    </row>
    <row r="126" spans="1:16">
      <c r="B126">
        <f t="shared" si="4"/>
        <v>2099</v>
      </c>
      <c r="C126">
        <f t="shared" si="5"/>
        <v>2009</v>
      </c>
      <c r="D126">
        <f t="shared" si="5"/>
        <v>2009</v>
      </c>
      <c r="E126" cm="1">
        <f t="array" ref="E126">INDEX(GMW!$A$2:$HN$50,MATCH(1,(GMW!$HM$2:$HM$50=E$3)*(GMW!$HN$2:$HN$50=E$1),0),$B126-1973)</f>
        <v>509889</v>
      </c>
      <c r="F126" cm="1">
        <f t="array" ref="F126">INDEX(GMW!$A$2:$HN$50,MATCH(1,(GMW!$HM$2:$HM$50=F$3)*(GMW!$HN$2:$HN$50=F$1),0),$B126-1973)</f>
        <v>29102</v>
      </c>
      <c r="G126" cm="1">
        <f t="array" ref="G126">INDEX(GMW!$A$2:$HN$50,MATCH(1,(GMW!$HM$2:$HM$50=G$3)*(GMW!$HN$2:$HN$50=G$1),0),$B126-1973)</f>
        <v>6577.1170000000002</v>
      </c>
      <c r="H126" cm="1">
        <f t="array" ref="H126">INDEX(GMW!$A$2:$HN$50,MATCH(1,(GMW!$HM$2:$HM$50=H$3)*(GMW!$HN$2:$HN$50=H$1),0),$B126-1973)</f>
        <v>7.8</v>
      </c>
      <c r="I126" cm="1">
        <f t="array" ref="I126">INDEX(GMW!$A$2:$HN$50,MATCH(1,(GMW!$HM$2:$HM$50=I$3)*(GMW!$HN$2:$HN$50=I$1),0),$B126-1973)</f>
        <v>346368</v>
      </c>
      <c r="J126" cm="1">
        <f t="array" ref="J126">INDEX(GMW!$A$2:$HN$50,MATCH(1,(GMW!$HM$2:$HM$50=J$3)*(GMW!$HN$2:$HN$50=J$1),0),$B126-1973)</f>
        <v>17618</v>
      </c>
      <c r="K126" cm="1">
        <f t="array" ref="K126">INDEX(GMW!$A$2:$HN$50,MATCH(1,(GMW!$HM$2:$HM$50=K$3)*(GMW!$HN$2:$HN$50=K$1),0),$B126-1973)</f>
        <v>509889</v>
      </c>
      <c r="L126" cm="1">
        <f t="array" ref="L126">INDEX(GMW!$A$2:$HN$50,MATCH(1,(GMW!$HM$2:$HM$50=L$3)*(GMW!$HN$2:$HN$50=L$1),0),$B126-1973)</f>
        <v>29102</v>
      </c>
      <c r="M126" cm="1">
        <f t="array" ref="M126">INDEX(GMW!$A$2:$HN$50,MATCH(1,(GMW!$HM$2:$HM$50=M$3)*(GMW!$HN$2:$HN$50=M$1),0),$B126-1973)</f>
        <v>6577.1170000000002</v>
      </c>
      <c r="N126" cm="1">
        <f t="array" ref="N126">INDEX(GMW!$A$2:$HN$50,MATCH(1,(GMW!$HM$2:$HM$50=N$3)*(GMW!$HN$2:$HN$50=N$1),0),$B126-1973)</f>
        <v>7.8</v>
      </c>
      <c r="O126" cm="1">
        <f t="array" ref="O126">INDEX(GMW!$A$2:$HN$50,MATCH(1,(GMW!$HM$2:$HM$50=O$3)*(GMW!$HN$2:$HN$50=O$1),0),$B126-1973)</f>
        <v>346368</v>
      </c>
      <c r="P126" cm="1">
        <f t="array" ref="P126">INDEX(GMW!$A$2:$HN$50,MATCH(1,(GMW!$HM$2:$HM$50=P$3)*(GMW!$HN$2:$HN$50=P$1),0),$B126-1973)</f>
        <v>17618</v>
      </c>
    </row>
    <row r="127" spans="1:16">
      <c r="A127">
        <v>2010</v>
      </c>
      <c r="B127">
        <f t="shared" si="4"/>
        <v>2100</v>
      </c>
      <c r="C127">
        <f t="shared" si="5"/>
        <v>2010</v>
      </c>
      <c r="D127">
        <f t="shared" si="5"/>
        <v>2009</v>
      </c>
      <c r="E127" cm="1">
        <f t="array" ref="E127">INDEX(GMW!$A$2:$HN$50,MATCH(1,(GMW!$HM$2:$HM$50=E$3)*(GMW!$HN$2:$HN$50=E$1),0),$B127-1973)</f>
        <v>514595</v>
      </c>
      <c r="F127" cm="1">
        <f t="array" ref="F127">INDEX(GMW!$A$2:$HN$50,MATCH(1,(GMW!$HM$2:$HM$50=F$3)*(GMW!$HN$2:$HN$50=F$1),0),$B127-1973)</f>
        <v>29013</v>
      </c>
      <c r="G127" cm="1">
        <f t="array" ref="G127">INDEX(GMW!$A$2:$HN$50,MATCH(1,(GMW!$HM$2:$HM$50=G$3)*(GMW!$HN$2:$HN$50=G$1),0),$B127-1973)</f>
        <v>6601.875</v>
      </c>
      <c r="H127" cm="1">
        <f t="array" ref="H127">INDEX(GMW!$A$2:$HN$50,MATCH(1,(GMW!$HM$2:$HM$50=H$3)*(GMW!$HN$2:$HN$50=H$1),0),$B127-1973)</f>
        <v>8</v>
      </c>
      <c r="I127" cm="1">
        <f t="array" ref="I127">INDEX(GMW!$A$2:$HN$50,MATCH(1,(GMW!$HM$2:$HM$50=I$3)*(GMW!$HN$2:$HN$50=I$1),0),$B127-1973)</f>
        <v>346769</v>
      </c>
      <c r="J127" cm="1">
        <f t="array" ref="J127">INDEX(GMW!$A$2:$HN$50,MATCH(1,(GMW!$HM$2:$HM$50=J$3)*(GMW!$HN$2:$HN$50=J$1),0),$B127-1973)</f>
        <v>18831</v>
      </c>
      <c r="K127" cm="1">
        <f t="array" ref="K127">INDEX(GMW!$A$2:$HN$50,MATCH(1,(GMW!$HM$2:$HM$50=K$3)*(GMW!$HN$2:$HN$50=K$1),0),$B127-1973)</f>
        <v>514595</v>
      </c>
      <c r="L127" cm="1">
        <f t="array" ref="L127">INDEX(GMW!$A$2:$HN$50,MATCH(1,(GMW!$HM$2:$HM$50=L$3)*(GMW!$HN$2:$HN$50=L$1),0),$B127-1973)</f>
        <v>29013</v>
      </c>
      <c r="M127" cm="1">
        <f t="array" ref="M127">INDEX(GMW!$A$2:$HN$50,MATCH(1,(GMW!$HM$2:$HM$50=M$3)*(GMW!$HN$2:$HN$50=M$1),0),$B127-1973)</f>
        <v>6601.875</v>
      </c>
      <c r="N127" cm="1">
        <f t="array" ref="N127">INDEX(GMW!$A$2:$HN$50,MATCH(1,(GMW!$HM$2:$HM$50=N$3)*(GMW!$HN$2:$HN$50=N$1),0),$B127-1973)</f>
        <v>8</v>
      </c>
      <c r="O127" cm="1">
        <f t="array" ref="O127">INDEX(GMW!$A$2:$HN$50,MATCH(1,(GMW!$HM$2:$HM$50=O$3)*(GMW!$HN$2:$HN$50=O$1),0),$B127-1973)</f>
        <v>346769</v>
      </c>
      <c r="P127" cm="1">
        <f t="array" ref="P127">INDEX(GMW!$A$2:$HN$50,MATCH(1,(GMW!$HM$2:$HM$50=P$3)*(GMW!$HN$2:$HN$50=P$1),0),$B127-1973)</f>
        <v>18831</v>
      </c>
    </row>
    <row r="128" spans="1:16">
      <c r="B128">
        <f t="shared" si="4"/>
        <v>2101</v>
      </c>
      <c r="C128">
        <f t="shared" si="5"/>
        <v>2010</v>
      </c>
      <c r="D128">
        <f t="shared" si="5"/>
        <v>2010</v>
      </c>
      <c r="E128" cm="1">
        <f t="array" ref="E128">INDEX(GMW!$A$2:$HN$50,MATCH(1,(GMW!$HM$2:$HM$50=E$3)*(GMW!$HN$2:$HN$50=E$1),0),$B128-1973)</f>
        <v>520128</v>
      </c>
      <c r="F128" cm="1">
        <f t="array" ref="F128">INDEX(GMW!$A$2:$HN$50,MATCH(1,(GMW!$HM$2:$HM$50=F$3)*(GMW!$HN$2:$HN$50=F$1),0),$B128-1973)</f>
        <v>29192</v>
      </c>
      <c r="G128" cm="1">
        <f t="array" ref="G128">INDEX(GMW!$A$2:$HN$50,MATCH(1,(GMW!$HM$2:$HM$50=G$3)*(GMW!$HN$2:$HN$50=G$1),0),$B128-1973)</f>
        <v>6547.2240000000002</v>
      </c>
      <c r="H128" cm="1">
        <f t="array" ref="H128">INDEX(GMW!$A$2:$HN$50,MATCH(1,(GMW!$HM$2:$HM$50=H$3)*(GMW!$HN$2:$HN$50=H$1),0),$B128-1973)</f>
        <v>7.9</v>
      </c>
      <c r="I128" cm="1">
        <f t="array" ref="I128">INDEX(GMW!$A$2:$HN$50,MATCH(1,(GMW!$HM$2:$HM$50=I$3)*(GMW!$HN$2:$HN$50=I$1),0),$B128-1973)</f>
        <v>347421</v>
      </c>
      <c r="J128" cm="1">
        <f t="array" ref="J128">INDEX(GMW!$A$2:$HN$50,MATCH(1,(GMW!$HM$2:$HM$50=J$3)*(GMW!$HN$2:$HN$50=J$1),0),$B128-1973)</f>
        <v>17422</v>
      </c>
      <c r="K128" cm="1">
        <f t="array" ref="K128">INDEX(GMW!$A$2:$HN$50,MATCH(1,(GMW!$HM$2:$HM$50=K$3)*(GMW!$HN$2:$HN$50=K$1),0),$B128-1973)</f>
        <v>520128</v>
      </c>
      <c r="L128" cm="1">
        <f t="array" ref="L128">INDEX(GMW!$A$2:$HN$50,MATCH(1,(GMW!$HM$2:$HM$50=L$3)*(GMW!$HN$2:$HN$50=L$1),0),$B128-1973)</f>
        <v>29192</v>
      </c>
      <c r="M128" cm="1">
        <f t="array" ref="M128">INDEX(GMW!$A$2:$HN$50,MATCH(1,(GMW!$HM$2:$HM$50=M$3)*(GMW!$HN$2:$HN$50=M$1),0),$B128-1973)</f>
        <v>6547.2240000000002</v>
      </c>
      <c r="N128" cm="1">
        <f t="array" ref="N128">INDEX(GMW!$A$2:$HN$50,MATCH(1,(GMW!$HM$2:$HM$50=N$3)*(GMW!$HN$2:$HN$50=N$1),0),$B128-1973)</f>
        <v>7.9</v>
      </c>
      <c r="O128" cm="1">
        <f t="array" ref="O128">INDEX(GMW!$A$2:$HN$50,MATCH(1,(GMW!$HM$2:$HM$50=O$3)*(GMW!$HN$2:$HN$50=O$1),0),$B128-1973)</f>
        <v>347421</v>
      </c>
      <c r="P128" cm="1">
        <f t="array" ref="P128">INDEX(GMW!$A$2:$HN$50,MATCH(1,(GMW!$HM$2:$HM$50=P$3)*(GMW!$HN$2:$HN$50=P$1),0),$B128-1973)</f>
        <v>17422</v>
      </c>
    </row>
    <row r="129" spans="1:16">
      <c r="B129">
        <f t="shared" si="4"/>
        <v>2102</v>
      </c>
      <c r="C129">
        <f t="shared" si="5"/>
        <v>2010</v>
      </c>
      <c r="D129">
        <f t="shared" si="5"/>
        <v>2010</v>
      </c>
      <c r="E129" cm="1">
        <f t="array" ref="E129">INDEX(GMW!$A$2:$HN$50,MATCH(1,(GMW!$HM$2:$HM$50=E$3)*(GMW!$HN$2:$HN$50=E$1),0),$B129-1973)</f>
        <v>523173</v>
      </c>
      <c r="F129" cm="1">
        <f t="array" ref="F129">INDEX(GMW!$A$2:$HN$50,MATCH(1,(GMW!$HM$2:$HM$50=F$3)*(GMW!$HN$2:$HN$50=F$1),0),$B129-1973)</f>
        <v>29385</v>
      </c>
      <c r="G129" cm="1">
        <f t="array" ref="G129">INDEX(GMW!$A$2:$HN$50,MATCH(1,(GMW!$HM$2:$HM$50=G$3)*(GMW!$HN$2:$HN$50=G$1),0),$B129-1973)</f>
        <v>6603.5609999999997</v>
      </c>
      <c r="H129" cm="1">
        <f t="array" ref="H129">INDEX(GMW!$A$2:$HN$50,MATCH(1,(GMW!$HM$2:$HM$50=H$3)*(GMW!$HN$2:$HN$50=H$1),0),$B129-1973)</f>
        <v>7.8</v>
      </c>
      <c r="I129" cm="1">
        <f t="array" ref="I129">INDEX(GMW!$A$2:$HN$50,MATCH(1,(GMW!$HM$2:$HM$50=I$3)*(GMW!$HN$2:$HN$50=I$1),0),$B129-1973)</f>
        <v>346091</v>
      </c>
      <c r="J129" cm="1">
        <f t="array" ref="J129">INDEX(GMW!$A$2:$HN$50,MATCH(1,(GMW!$HM$2:$HM$50=J$3)*(GMW!$HN$2:$HN$50=J$1),0),$B129-1973)</f>
        <v>17548</v>
      </c>
      <c r="K129" cm="1">
        <f t="array" ref="K129">INDEX(GMW!$A$2:$HN$50,MATCH(1,(GMW!$HM$2:$HM$50=K$3)*(GMW!$HN$2:$HN$50=K$1),0),$B129-1973)</f>
        <v>523173</v>
      </c>
      <c r="L129" cm="1">
        <f t="array" ref="L129">INDEX(GMW!$A$2:$HN$50,MATCH(1,(GMW!$HM$2:$HM$50=L$3)*(GMW!$HN$2:$HN$50=L$1),0),$B129-1973)</f>
        <v>29385</v>
      </c>
      <c r="M129" cm="1">
        <f t="array" ref="M129">INDEX(GMW!$A$2:$HN$50,MATCH(1,(GMW!$HM$2:$HM$50=M$3)*(GMW!$HN$2:$HN$50=M$1),0),$B129-1973)</f>
        <v>6603.5609999999997</v>
      </c>
      <c r="N129" cm="1">
        <f t="array" ref="N129">INDEX(GMW!$A$2:$HN$50,MATCH(1,(GMW!$HM$2:$HM$50=N$3)*(GMW!$HN$2:$HN$50=N$1),0),$B129-1973)</f>
        <v>7.8</v>
      </c>
      <c r="O129" cm="1">
        <f t="array" ref="O129">INDEX(GMW!$A$2:$HN$50,MATCH(1,(GMW!$HM$2:$HM$50=O$3)*(GMW!$HN$2:$HN$50=O$1),0),$B129-1973)</f>
        <v>346091</v>
      </c>
      <c r="P129" cm="1">
        <f t="array" ref="P129">INDEX(GMW!$A$2:$HN$50,MATCH(1,(GMW!$HM$2:$HM$50=P$3)*(GMW!$HN$2:$HN$50=P$1),0),$B129-1973)</f>
        <v>17548</v>
      </c>
    </row>
    <row r="130" spans="1:16">
      <c r="B130">
        <f t="shared" si="4"/>
        <v>2103</v>
      </c>
      <c r="C130">
        <f t="shared" si="5"/>
        <v>2010</v>
      </c>
      <c r="D130">
        <f t="shared" si="5"/>
        <v>2010</v>
      </c>
      <c r="E130" cm="1">
        <f t="array" ref="E130">INDEX(GMW!$A$2:$HN$50,MATCH(1,(GMW!$HM$2:$HM$50=E$3)*(GMW!$HN$2:$HN$50=E$1),0),$B130-1973)</f>
        <v>523515</v>
      </c>
      <c r="F130" cm="1">
        <f t="array" ref="F130">INDEX(GMW!$A$2:$HN$50,MATCH(1,(GMW!$HM$2:$HM$50=F$3)*(GMW!$HN$2:$HN$50=F$1),0),$B130-1973)</f>
        <v>29324</v>
      </c>
      <c r="G130" cm="1">
        <f t="array" ref="G130">INDEX(GMW!$A$2:$HN$50,MATCH(1,(GMW!$HM$2:$HM$50=G$3)*(GMW!$HN$2:$HN$50=G$1),0),$B130-1973)</f>
        <v>6617.42</v>
      </c>
      <c r="H130" cm="1">
        <f t="array" ref="H130">INDEX(GMW!$A$2:$HN$50,MATCH(1,(GMW!$HM$2:$HM$50=H$3)*(GMW!$HN$2:$HN$50=H$1),0),$B130-1973)</f>
        <v>7.9</v>
      </c>
      <c r="I130" cm="1">
        <f t="array" ref="I130">INDEX(GMW!$A$2:$HN$50,MATCH(1,(GMW!$HM$2:$HM$50=I$3)*(GMW!$HN$2:$HN$50=I$1),0),$B130-1973)</f>
        <v>343460</v>
      </c>
      <c r="J130" cm="1">
        <f t="array" ref="J130">INDEX(GMW!$A$2:$HN$50,MATCH(1,(GMW!$HM$2:$HM$50=J$3)*(GMW!$HN$2:$HN$50=J$1),0),$B130-1973)</f>
        <v>17762</v>
      </c>
      <c r="K130" cm="1">
        <f t="array" ref="K130">INDEX(GMW!$A$2:$HN$50,MATCH(1,(GMW!$HM$2:$HM$50=K$3)*(GMW!$HN$2:$HN$50=K$1),0),$B130-1973)</f>
        <v>523515</v>
      </c>
      <c r="L130" cm="1">
        <f t="array" ref="L130">INDEX(GMW!$A$2:$HN$50,MATCH(1,(GMW!$HM$2:$HM$50=L$3)*(GMW!$HN$2:$HN$50=L$1),0),$B130-1973)</f>
        <v>29324</v>
      </c>
      <c r="M130" cm="1">
        <f t="array" ref="M130">INDEX(GMW!$A$2:$HN$50,MATCH(1,(GMW!$HM$2:$HM$50=M$3)*(GMW!$HN$2:$HN$50=M$1),0),$B130-1973)</f>
        <v>6617.42</v>
      </c>
      <c r="N130" cm="1">
        <f t="array" ref="N130">INDEX(GMW!$A$2:$HN$50,MATCH(1,(GMW!$HM$2:$HM$50=N$3)*(GMW!$HN$2:$HN$50=N$1),0),$B130-1973)</f>
        <v>7.9</v>
      </c>
      <c r="O130" cm="1">
        <f t="array" ref="O130">INDEX(GMW!$A$2:$HN$50,MATCH(1,(GMW!$HM$2:$HM$50=O$3)*(GMW!$HN$2:$HN$50=O$1),0),$B130-1973)</f>
        <v>343460</v>
      </c>
      <c r="P130" cm="1">
        <f t="array" ref="P130">INDEX(GMW!$A$2:$HN$50,MATCH(1,(GMW!$HM$2:$HM$50=P$3)*(GMW!$HN$2:$HN$50=P$1),0),$B130-1973)</f>
        <v>17762</v>
      </c>
    </row>
    <row r="131" spans="1:16">
      <c r="A131">
        <v>2011</v>
      </c>
      <c r="B131">
        <f t="shared" si="4"/>
        <v>2104</v>
      </c>
      <c r="C131">
        <f t="shared" si="5"/>
        <v>2011</v>
      </c>
      <c r="D131">
        <f t="shared" si="5"/>
        <v>2010</v>
      </c>
      <c r="E131" cm="1">
        <f t="array" ref="E131">INDEX(GMW!$A$2:$HN$50,MATCH(1,(GMW!$HM$2:$HM$50=E$3)*(GMW!$HN$2:$HN$50=E$1),0),$B131-1973)</f>
        <v>524955</v>
      </c>
      <c r="F131" cm="1">
        <f t="array" ref="F131">INDEX(GMW!$A$2:$HN$50,MATCH(1,(GMW!$HM$2:$HM$50=F$3)*(GMW!$HN$2:$HN$50=F$1),0),$B131-1973)</f>
        <v>29441</v>
      </c>
      <c r="G131" cm="1">
        <f t="array" ref="G131">INDEX(GMW!$A$2:$HN$50,MATCH(1,(GMW!$HM$2:$HM$50=G$3)*(GMW!$HN$2:$HN$50=G$1),0),$B131-1973)</f>
        <v>6764.375</v>
      </c>
      <c r="H131" cm="1">
        <f t="array" ref="H131">INDEX(GMW!$A$2:$HN$50,MATCH(1,(GMW!$HM$2:$HM$50=H$3)*(GMW!$HN$2:$HN$50=H$1),0),$B131-1973)</f>
        <v>7.8</v>
      </c>
      <c r="I131" cm="1">
        <f t="array" ref="I131">INDEX(GMW!$A$2:$HN$50,MATCH(1,(GMW!$HM$2:$HM$50=I$3)*(GMW!$HN$2:$HN$50=I$1),0),$B131-1973)</f>
        <v>334416</v>
      </c>
      <c r="J131" cm="1">
        <f t="array" ref="J131">INDEX(GMW!$A$2:$HN$50,MATCH(1,(GMW!$HM$2:$HM$50=J$3)*(GMW!$HN$2:$HN$50=J$1),0),$B131-1973)</f>
        <v>18475</v>
      </c>
      <c r="K131" cm="1">
        <f t="array" ref="K131">INDEX(GMW!$A$2:$HN$50,MATCH(1,(GMW!$HM$2:$HM$50=K$3)*(GMW!$HN$2:$HN$50=K$1),0),$B131-1973)</f>
        <v>524955</v>
      </c>
      <c r="L131" cm="1">
        <f t="array" ref="L131">INDEX(GMW!$A$2:$HN$50,MATCH(1,(GMW!$HM$2:$HM$50=L$3)*(GMW!$HN$2:$HN$50=L$1),0),$B131-1973)</f>
        <v>29441</v>
      </c>
      <c r="M131" cm="1">
        <f t="array" ref="M131">INDEX(GMW!$A$2:$HN$50,MATCH(1,(GMW!$HM$2:$HM$50=M$3)*(GMW!$HN$2:$HN$50=M$1),0),$B131-1973)</f>
        <v>6764.375</v>
      </c>
      <c r="N131" cm="1">
        <f t="array" ref="N131">INDEX(GMW!$A$2:$HN$50,MATCH(1,(GMW!$HM$2:$HM$50=N$3)*(GMW!$HN$2:$HN$50=N$1),0),$B131-1973)</f>
        <v>7.8</v>
      </c>
      <c r="O131" cm="1">
        <f t="array" ref="O131">INDEX(GMW!$A$2:$HN$50,MATCH(1,(GMW!$HM$2:$HM$50=O$3)*(GMW!$HN$2:$HN$50=O$1),0),$B131-1973)</f>
        <v>334416</v>
      </c>
      <c r="P131" cm="1">
        <f t="array" ref="P131">INDEX(GMW!$A$2:$HN$50,MATCH(1,(GMW!$HM$2:$HM$50=P$3)*(GMW!$HN$2:$HN$50=P$1),0),$B131-1973)</f>
        <v>18475</v>
      </c>
    </row>
    <row r="132" spans="1:16">
      <c r="B132">
        <f t="shared" si="4"/>
        <v>2105</v>
      </c>
      <c r="C132">
        <f t="shared" si="5"/>
        <v>2011</v>
      </c>
      <c r="D132">
        <f t="shared" si="5"/>
        <v>2011</v>
      </c>
      <c r="E132" cm="1">
        <f t="array" ref="E132">INDEX(GMW!$A$2:$HN$50,MATCH(1,(GMW!$HM$2:$HM$50=E$3)*(GMW!$HN$2:$HN$50=E$1),0),$B132-1973)</f>
        <v>525418</v>
      </c>
      <c r="F132" cm="1">
        <f t="array" ref="F132">INDEX(GMW!$A$2:$HN$50,MATCH(1,(GMW!$HM$2:$HM$50=F$3)*(GMW!$HN$2:$HN$50=F$1),0),$B132-1973)</f>
        <v>29447</v>
      </c>
      <c r="G132" cm="1">
        <f t="array" ref="G132">INDEX(GMW!$A$2:$HN$50,MATCH(1,(GMW!$HM$2:$HM$50=G$3)*(GMW!$HN$2:$HN$50=G$1),0),$B132-1973)</f>
        <v>6692.7950000000001</v>
      </c>
      <c r="H132" cm="1">
        <f t="array" ref="H132">INDEX(GMW!$A$2:$HN$50,MATCH(1,(GMW!$HM$2:$HM$50=H$3)*(GMW!$HN$2:$HN$50=H$1),0),$B132-1973)</f>
        <v>7.9</v>
      </c>
      <c r="I132" cm="1">
        <f t="array" ref="I132">INDEX(GMW!$A$2:$HN$50,MATCH(1,(GMW!$HM$2:$HM$50=I$3)*(GMW!$HN$2:$HN$50=I$1),0),$B132-1973)</f>
        <v>339976</v>
      </c>
      <c r="J132" cm="1">
        <f t="array" ref="J132">INDEX(GMW!$A$2:$HN$50,MATCH(1,(GMW!$HM$2:$HM$50=J$3)*(GMW!$HN$2:$HN$50=J$1),0),$B132-1973)</f>
        <v>18242</v>
      </c>
      <c r="K132" cm="1">
        <f t="array" ref="K132">INDEX(GMW!$A$2:$HN$50,MATCH(1,(GMW!$HM$2:$HM$50=K$3)*(GMW!$HN$2:$HN$50=K$1),0),$B132-1973)</f>
        <v>525418</v>
      </c>
      <c r="L132" cm="1">
        <f t="array" ref="L132">INDEX(GMW!$A$2:$HN$50,MATCH(1,(GMW!$HM$2:$HM$50=L$3)*(GMW!$HN$2:$HN$50=L$1),0),$B132-1973)</f>
        <v>29447</v>
      </c>
      <c r="M132" cm="1">
        <f t="array" ref="M132">INDEX(GMW!$A$2:$HN$50,MATCH(1,(GMW!$HM$2:$HM$50=M$3)*(GMW!$HN$2:$HN$50=M$1),0),$B132-1973)</f>
        <v>6692.7950000000001</v>
      </c>
      <c r="N132" cm="1">
        <f t="array" ref="N132">INDEX(GMW!$A$2:$HN$50,MATCH(1,(GMW!$HM$2:$HM$50=N$3)*(GMW!$HN$2:$HN$50=N$1),0),$B132-1973)</f>
        <v>7.9</v>
      </c>
      <c r="O132" cm="1">
        <f t="array" ref="O132">INDEX(GMW!$A$2:$HN$50,MATCH(1,(GMW!$HM$2:$HM$50=O$3)*(GMW!$HN$2:$HN$50=O$1),0),$B132-1973)</f>
        <v>339976</v>
      </c>
      <c r="P132" cm="1">
        <f t="array" ref="P132">INDEX(GMW!$A$2:$HN$50,MATCH(1,(GMW!$HM$2:$HM$50=P$3)*(GMW!$HN$2:$HN$50=P$1),0),$B132-1973)</f>
        <v>18242</v>
      </c>
    </row>
    <row r="133" spans="1:16">
      <c r="B133">
        <f t="shared" si="4"/>
        <v>2106</v>
      </c>
      <c r="C133">
        <f t="shared" si="5"/>
        <v>2011</v>
      </c>
      <c r="D133">
        <f t="shared" si="5"/>
        <v>2011</v>
      </c>
      <c r="E133" cm="1">
        <f t="array" ref="E133">INDEX(GMW!$A$2:$HN$50,MATCH(1,(GMW!$HM$2:$HM$50=E$3)*(GMW!$HN$2:$HN$50=E$1),0),$B133-1973)</f>
        <v>527034</v>
      </c>
      <c r="F133" cm="1">
        <f t="array" ref="F133">INDEX(GMW!$A$2:$HN$50,MATCH(1,(GMW!$HM$2:$HM$50=F$3)*(GMW!$HN$2:$HN$50=F$1),0),$B133-1973)</f>
        <v>29283</v>
      </c>
      <c r="G133" cm="1">
        <f t="array" ref="G133">INDEX(GMW!$A$2:$HN$50,MATCH(1,(GMW!$HM$2:$HM$50=G$3)*(GMW!$HN$2:$HN$50=G$1),0),$B133-1973)</f>
        <v>6733.2610000000004</v>
      </c>
      <c r="H133" cm="1">
        <f t="array" ref="H133">INDEX(GMW!$A$2:$HN$50,MATCH(1,(GMW!$HM$2:$HM$50=H$3)*(GMW!$HN$2:$HN$50=H$1),0),$B133-1973)</f>
        <v>8.3000000000000007</v>
      </c>
      <c r="I133" cm="1">
        <f t="array" ref="I133">INDEX(GMW!$A$2:$HN$50,MATCH(1,(GMW!$HM$2:$HM$50=I$3)*(GMW!$HN$2:$HN$50=I$1),0),$B133-1973)</f>
        <v>339972</v>
      </c>
      <c r="J133" cm="1">
        <f t="array" ref="J133">INDEX(GMW!$A$2:$HN$50,MATCH(1,(GMW!$HM$2:$HM$50=J$3)*(GMW!$HN$2:$HN$50=J$1),0),$B133-1973)</f>
        <v>18350</v>
      </c>
      <c r="K133" cm="1">
        <f t="array" ref="K133">INDEX(GMW!$A$2:$HN$50,MATCH(1,(GMW!$HM$2:$HM$50=K$3)*(GMW!$HN$2:$HN$50=K$1),0),$B133-1973)</f>
        <v>527034</v>
      </c>
      <c r="L133" cm="1">
        <f t="array" ref="L133">INDEX(GMW!$A$2:$HN$50,MATCH(1,(GMW!$HM$2:$HM$50=L$3)*(GMW!$HN$2:$HN$50=L$1),0),$B133-1973)</f>
        <v>29283</v>
      </c>
      <c r="M133" cm="1">
        <f t="array" ref="M133">INDEX(GMW!$A$2:$HN$50,MATCH(1,(GMW!$HM$2:$HM$50=M$3)*(GMW!$HN$2:$HN$50=M$1),0),$B133-1973)</f>
        <v>6733.2610000000004</v>
      </c>
      <c r="N133" cm="1">
        <f t="array" ref="N133">INDEX(GMW!$A$2:$HN$50,MATCH(1,(GMW!$HM$2:$HM$50=N$3)*(GMW!$HN$2:$HN$50=N$1),0),$B133-1973)</f>
        <v>8.3000000000000007</v>
      </c>
      <c r="O133" cm="1">
        <f t="array" ref="O133">INDEX(GMW!$A$2:$HN$50,MATCH(1,(GMW!$HM$2:$HM$50=O$3)*(GMW!$HN$2:$HN$50=O$1),0),$B133-1973)</f>
        <v>339972</v>
      </c>
      <c r="P133" cm="1">
        <f t="array" ref="P133">INDEX(GMW!$A$2:$HN$50,MATCH(1,(GMW!$HM$2:$HM$50=P$3)*(GMW!$HN$2:$HN$50=P$1),0),$B133-1973)</f>
        <v>18350</v>
      </c>
    </row>
    <row r="134" spans="1:16">
      <c r="B134">
        <f t="shared" si="4"/>
        <v>2107</v>
      </c>
      <c r="C134">
        <f t="shared" si="5"/>
        <v>2011</v>
      </c>
      <c r="D134">
        <f t="shared" si="5"/>
        <v>2011</v>
      </c>
      <c r="E134" cm="1">
        <f t="array" ref="E134">INDEX(GMW!$A$2:$HN$50,MATCH(1,(GMW!$HM$2:$HM$50=E$3)*(GMW!$HN$2:$HN$50=E$1),0),$B134-1973)</f>
        <v>527698</v>
      </c>
      <c r="F134" cm="1">
        <f t="array" ref="F134">INDEX(GMW!$A$2:$HN$50,MATCH(1,(GMW!$HM$2:$HM$50=F$3)*(GMW!$HN$2:$HN$50=F$1),0),$B134-1973)</f>
        <v>29349</v>
      </c>
      <c r="G134" cm="1">
        <f t="array" ref="G134">INDEX(GMW!$A$2:$HN$50,MATCH(1,(GMW!$HM$2:$HM$50=G$3)*(GMW!$HN$2:$HN$50=G$1),0),$B134-1973)</f>
        <v>6724.4960000000001</v>
      </c>
      <c r="H134" cm="1">
        <f t="array" ref="H134">INDEX(GMW!$A$2:$HN$50,MATCH(1,(GMW!$HM$2:$HM$50=H$3)*(GMW!$HN$2:$HN$50=H$1),0),$B134-1973)</f>
        <v>8.4</v>
      </c>
      <c r="I134" cm="1">
        <f t="array" ref="I134">INDEX(GMW!$A$2:$HN$50,MATCH(1,(GMW!$HM$2:$HM$50=I$3)*(GMW!$HN$2:$HN$50=I$1),0),$B134-1973)</f>
        <v>337625</v>
      </c>
      <c r="J134" cm="1">
        <f t="array" ref="J134">INDEX(GMW!$A$2:$HN$50,MATCH(1,(GMW!$HM$2:$HM$50=J$3)*(GMW!$HN$2:$HN$50=J$1),0),$B134-1973)</f>
        <v>18382</v>
      </c>
      <c r="K134" cm="1">
        <f t="array" ref="K134">INDEX(GMW!$A$2:$HN$50,MATCH(1,(GMW!$HM$2:$HM$50=K$3)*(GMW!$HN$2:$HN$50=K$1),0),$B134-1973)</f>
        <v>527698</v>
      </c>
      <c r="L134" cm="1">
        <f t="array" ref="L134">INDEX(GMW!$A$2:$HN$50,MATCH(1,(GMW!$HM$2:$HM$50=L$3)*(GMW!$HN$2:$HN$50=L$1),0),$B134-1973)</f>
        <v>29349</v>
      </c>
      <c r="M134" cm="1">
        <f t="array" ref="M134">INDEX(GMW!$A$2:$HN$50,MATCH(1,(GMW!$HM$2:$HM$50=M$3)*(GMW!$HN$2:$HN$50=M$1),0),$B134-1973)</f>
        <v>6724.4960000000001</v>
      </c>
      <c r="N134" cm="1">
        <f t="array" ref="N134">INDEX(GMW!$A$2:$HN$50,MATCH(1,(GMW!$HM$2:$HM$50=N$3)*(GMW!$HN$2:$HN$50=N$1),0),$B134-1973)</f>
        <v>8.4</v>
      </c>
      <c r="O134" cm="1">
        <f t="array" ref="O134">INDEX(GMW!$A$2:$HN$50,MATCH(1,(GMW!$HM$2:$HM$50=O$3)*(GMW!$HN$2:$HN$50=O$1),0),$B134-1973)</f>
        <v>337625</v>
      </c>
      <c r="P134" cm="1">
        <f t="array" ref="P134">INDEX(GMW!$A$2:$HN$50,MATCH(1,(GMW!$HM$2:$HM$50=P$3)*(GMW!$HN$2:$HN$50=P$1),0),$B134-1973)</f>
        <v>18382</v>
      </c>
    </row>
    <row r="135" spans="1:16">
      <c r="A135">
        <v>2012</v>
      </c>
      <c r="B135">
        <f t="shared" si="4"/>
        <v>2108</v>
      </c>
      <c r="C135">
        <f t="shared" si="5"/>
        <v>2012</v>
      </c>
      <c r="D135">
        <f t="shared" si="5"/>
        <v>2011</v>
      </c>
      <c r="E135" cm="1">
        <f t="array" ref="E135">INDEX(GMW!$A$2:$HN$50,MATCH(1,(GMW!$HM$2:$HM$50=E$3)*(GMW!$HN$2:$HN$50=E$1),0),$B135-1973)</f>
        <v>532300</v>
      </c>
      <c r="F135" cm="1">
        <f t="array" ref="F135">INDEX(GMW!$A$2:$HN$50,MATCH(1,(GMW!$HM$2:$HM$50=F$3)*(GMW!$HN$2:$HN$50=F$1),0),$B135-1973)</f>
        <v>29464</v>
      </c>
      <c r="G135" cm="1">
        <f t="array" ref="G135">INDEX(GMW!$A$2:$HN$50,MATCH(1,(GMW!$HM$2:$HM$50=G$3)*(GMW!$HN$2:$HN$50=G$1),0),$B135-1973)</f>
        <v>6797.8590000000004</v>
      </c>
      <c r="H135" cm="1">
        <f t="array" ref="H135">INDEX(GMW!$A$2:$HN$50,MATCH(1,(GMW!$HM$2:$HM$50=H$3)*(GMW!$HN$2:$HN$50=H$1),0),$B135-1973)</f>
        <v>8.1999999999999993</v>
      </c>
      <c r="I135" cm="1">
        <f t="array" ref="I135">INDEX(GMW!$A$2:$HN$50,MATCH(1,(GMW!$HM$2:$HM$50=I$3)*(GMW!$HN$2:$HN$50=I$1),0),$B135-1973)</f>
        <v>344680</v>
      </c>
      <c r="J135" cm="1">
        <f t="array" ref="J135">INDEX(GMW!$A$2:$HN$50,MATCH(1,(GMW!$HM$2:$HM$50=J$3)*(GMW!$HN$2:$HN$50=J$1),0),$B135-1973)</f>
        <v>18603</v>
      </c>
      <c r="K135" cm="1">
        <f t="array" ref="K135">INDEX(GMW!$A$2:$HN$50,MATCH(1,(GMW!$HM$2:$HM$50=K$3)*(GMW!$HN$2:$HN$50=K$1),0),$B135-1973)</f>
        <v>532300</v>
      </c>
      <c r="L135" cm="1">
        <f t="array" ref="L135">INDEX(GMW!$A$2:$HN$50,MATCH(1,(GMW!$HM$2:$HM$50=L$3)*(GMW!$HN$2:$HN$50=L$1),0),$B135-1973)</f>
        <v>29464</v>
      </c>
      <c r="M135" cm="1">
        <f t="array" ref="M135">INDEX(GMW!$A$2:$HN$50,MATCH(1,(GMW!$HM$2:$HM$50=M$3)*(GMW!$HN$2:$HN$50=M$1),0),$B135-1973)</f>
        <v>6797.8590000000004</v>
      </c>
      <c r="N135" cm="1">
        <f t="array" ref="N135">INDEX(GMW!$A$2:$HN$50,MATCH(1,(GMW!$HM$2:$HM$50=N$3)*(GMW!$HN$2:$HN$50=N$1),0),$B135-1973)</f>
        <v>8.1999999999999993</v>
      </c>
      <c r="O135" cm="1">
        <f t="array" ref="O135">INDEX(GMW!$A$2:$HN$50,MATCH(1,(GMW!$HM$2:$HM$50=O$3)*(GMW!$HN$2:$HN$50=O$1),0),$B135-1973)</f>
        <v>344680</v>
      </c>
      <c r="P135" cm="1">
        <f t="array" ref="P135">INDEX(GMW!$A$2:$HN$50,MATCH(1,(GMW!$HM$2:$HM$50=P$3)*(GMW!$HN$2:$HN$50=P$1),0),$B135-1973)</f>
        <v>18603</v>
      </c>
    </row>
    <row r="136" spans="1:16">
      <c r="B136">
        <f t="shared" si="4"/>
        <v>2109</v>
      </c>
      <c r="C136">
        <f t="shared" si="5"/>
        <v>2012</v>
      </c>
      <c r="D136">
        <f t="shared" si="5"/>
        <v>2012</v>
      </c>
      <c r="E136" cm="1">
        <f t="array" ref="E136">INDEX(GMW!$A$2:$HN$50,MATCH(1,(GMW!$HM$2:$HM$50=E$3)*(GMW!$HN$2:$HN$50=E$1),0),$B136-1973)</f>
        <v>531663</v>
      </c>
      <c r="F136" cm="1">
        <f t="array" ref="F136">INDEX(GMW!$A$2:$HN$50,MATCH(1,(GMW!$HM$2:$HM$50=F$3)*(GMW!$HN$2:$HN$50=F$1),0),$B136-1973)</f>
        <v>29681</v>
      </c>
      <c r="G136" cm="1">
        <f t="array" ref="G136">INDEX(GMW!$A$2:$HN$50,MATCH(1,(GMW!$HM$2:$HM$50=G$3)*(GMW!$HN$2:$HN$50=G$1),0),$B136-1973)</f>
        <v>6797.991</v>
      </c>
      <c r="H136" cm="1">
        <f t="array" ref="H136">INDEX(GMW!$A$2:$HN$50,MATCH(1,(GMW!$HM$2:$HM$50=H$3)*(GMW!$HN$2:$HN$50=H$1),0),$B136-1973)</f>
        <v>8</v>
      </c>
      <c r="I136" cm="1">
        <f t="array" ref="I136">INDEX(GMW!$A$2:$HN$50,MATCH(1,(GMW!$HM$2:$HM$50=I$3)*(GMW!$HN$2:$HN$50=I$1),0),$B136-1973)</f>
        <v>348062</v>
      </c>
      <c r="J136" cm="1">
        <f t="array" ref="J136">INDEX(GMW!$A$2:$HN$50,MATCH(1,(GMW!$HM$2:$HM$50=J$3)*(GMW!$HN$2:$HN$50=J$1),0),$B136-1973)</f>
        <v>19029</v>
      </c>
      <c r="K136" cm="1">
        <f t="array" ref="K136">INDEX(GMW!$A$2:$HN$50,MATCH(1,(GMW!$HM$2:$HM$50=K$3)*(GMW!$HN$2:$HN$50=K$1),0),$B136-1973)</f>
        <v>531663</v>
      </c>
      <c r="L136" cm="1">
        <f t="array" ref="L136">INDEX(GMW!$A$2:$HN$50,MATCH(1,(GMW!$HM$2:$HM$50=L$3)*(GMW!$HN$2:$HN$50=L$1),0),$B136-1973)</f>
        <v>29681</v>
      </c>
      <c r="M136" cm="1">
        <f t="array" ref="M136">INDEX(GMW!$A$2:$HN$50,MATCH(1,(GMW!$HM$2:$HM$50=M$3)*(GMW!$HN$2:$HN$50=M$1),0),$B136-1973)</f>
        <v>6797.991</v>
      </c>
      <c r="N136" cm="1">
        <f t="array" ref="N136">INDEX(GMW!$A$2:$HN$50,MATCH(1,(GMW!$HM$2:$HM$50=N$3)*(GMW!$HN$2:$HN$50=N$1),0),$B136-1973)</f>
        <v>8</v>
      </c>
      <c r="O136" cm="1">
        <f t="array" ref="O136">INDEX(GMW!$A$2:$HN$50,MATCH(1,(GMW!$HM$2:$HM$50=O$3)*(GMW!$HN$2:$HN$50=O$1),0),$B136-1973)</f>
        <v>348062</v>
      </c>
      <c r="P136" cm="1">
        <f t="array" ref="P136">INDEX(GMW!$A$2:$HN$50,MATCH(1,(GMW!$HM$2:$HM$50=P$3)*(GMW!$HN$2:$HN$50=P$1),0),$B136-1973)</f>
        <v>19029</v>
      </c>
    </row>
    <row r="137" spans="1:16">
      <c r="B137">
        <f t="shared" ref="B137:B200" si="6">+B136+1</f>
        <v>2110</v>
      </c>
      <c r="C137">
        <f t="shared" si="5"/>
        <v>2012</v>
      </c>
      <c r="D137">
        <f t="shared" si="5"/>
        <v>2012</v>
      </c>
      <c r="E137" cm="1">
        <f t="array" ref="E137">INDEX(GMW!$A$2:$HN$50,MATCH(1,(GMW!$HM$2:$HM$50=E$3)*(GMW!$HN$2:$HN$50=E$1),0),$B137-1973)</f>
        <v>536720</v>
      </c>
      <c r="F137" cm="1">
        <f t="array" ref="F137">INDEX(GMW!$A$2:$HN$50,MATCH(1,(GMW!$HM$2:$HM$50=F$3)*(GMW!$HN$2:$HN$50=F$1),0),$B137-1973)</f>
        <v>29778</v>
      </c>
      <c r="G137" cm="1">
        <f t="array" ref="G137">INDEX(GMW!$A$2:$HN$50,MATCH(1,(GMW!$HM$2:$HM$50=G$3)*(GMW!$HN$2:$HN$50=G$1),0),$B137-1973)</f>
        <v>6779.3310000000001</v>
      </c>
      <c r="H137" cm="1">
        <f t="array" ref="H137">INDEX(GMW!$A$2:$HN$50,MATCH(1,(GMW!$HM$2:$HM$50=H$3)*(GMW!$HN$2:$HN$50=H$1),0),$B137-1973)</f>
        <v>7.9</v>
      </c>
      <c r="I137" cm="1">
        <f t="array" ref="I137">INDEX(GMW!$A$2:$HN$50,MATCH(1,(GMW!$HM$2:$HM$50=I$3)*(GMW!$HN$2:$HN$50=I$1),0),$B137-1973)</f>
        <v>346678</v>
      </c>
      <c r="J137" cm="1">
        <f t="array" ref="J137">INDEX(GMW!$A$2:$HN$50,MATCH(1,(GMW!$HM$2:$HM$50=J$3)*(GMW!$HN$2:$HN$50=J$1),0),$B137-1973)</f>
        <v>19095</v>
      </c>
      <c r="K137" cm="1">
        <f t="array" ref="K137">INDEX(GMW!$A$2:$HN$50,MATCH(1,(GMW!$HM$2:$HM$50=K$3)*(GMW!$HN$2:$HN$50=K$1),0),$B137-1973)</f>
        <v>536720</v>
      </c>
      <c r="L137" cm="1">
        <f t="array" ref="L137">INDEX(GMW!$A$2:$HN$50,MATCH(1,(GMW!$HM$2:$HM$50=L$3)*(GMW!$HN$2:$HN$50=L$1),0),$B137-1973)</f>
        <v>29778</v>
      </c>
      <c r="M137" cm="1">
        <f t="array" ref="M137">INDEX(GMW!$A$2:$HN$50,MATCH(1,(GMW!$HM$2:$HM$50=M$3)*(GMW!$HN$2:$HN$50=M$1),0),$B137-1973)</f>
        <v>6779.3310000000001</v>
      </c>
      <c r="N137" cm="1">
        <f t="array" ref="N137">INDEX(GMW!$A$2:$HN$50,MATCH(1,(GMW!$HM$2:$HM$50=N$3)*(GMW!$HN$2:$HN$50=N$1),0),$B137-1973)</f>
        <v>7.9</v>
      </c>
      <c r="O137" cm="1">
        <f t="array" ref="O137">INDEX(GMW!$A$2:$HN$50,MATCH(1,(GMW!$HM$2:$HM$50=O$3)*(GMW!$HN$2:$HN$50=O$1),0),$B137-1973)</f>
        <v>346678</v>
      </c>
      <c r="P137" cm="1">
        <f t="array" ref="P137">INDEX(GMW!$A$2:$HN$50,MATCH(1,(GMW!$HM$2:$HM$50=P$3)*(GMW!$HN$2:$HN$50=P$1),0),$B137-1973)</f>
        <v>19095</v>
      </c>
    </row>
    <row r="138" spans="1:16">
      <c r="B138">
        <f t="shared" si="6"/>
        <v>2111</v>
      </c>
      <c r="C138">
        <f t="shared" si="5"/>
        <v>2012</v>
      </c>
      <c r="D138">
        <f t="shared" si="5"/>
        <v>2012</v>
      </c>
      <c r="E138" cm="1">
        <f t="array" ref="E138">INDEX(GMW!$A$2:$HN$50,MATCH(1,(GMW!$HM$2:$HM$50=E$3)*(GMW!$HN$2:$HN$50=E$1),0),$B138-1973)</f>
        <v>536188</v>
      </c>
      <c r="F138" cm="1">
        <f t="array" ref="F138">INDEX(GMW!$A$2:$HN$50,MATCH(1,(GMW!$HM$2:$HM$50=F$3)*(GMW!$HN$2:$HN$50=F$1),0),$B138-1973)</f>
        <v>29932</v>
      </c>
      <c r="G138" cm="1">
        <f t="array" ref="G138">INDEX(GMW!$A$2:$HN$50,MATCH(1,(GMW!$HM$2:$HM$50=G$3)*(GMW!$HN$2:$HN$50=G$1),0),$B138-1973)</f>
        <v>6805.55</v>
      </c>
      <c r="H138" cm="1">
        <f t="array" ref="H138">INDEX(GMW!$A$2:$HN$50,MATCH(1,(GMW!$HM$2:$HM$50=H$3)*(GMW!$HN$2:$HN$50=H$1),0),$B138-1973)</f>
        <v>7.8</v>
      </c>
      <c r="I138" cm="1">
        <f t="array" ref="I138">INDEX(GMW!$A$2:$HN$50,MATCH(1,(GMW!$HM$2:$HM$50=I$3)*(GMW!$HN$2:$HN$50=I$1),0),$B138-1973)</f>
        <v>345765</v>
      </c>
      <c r="J138" cm="1">
        <f t="array" ref="J138">INDEX(GMW!$A$2:$HN$50,MATCH(1,(GMW!$HM$2:$HM$50=J$3)*(GMW!$HN$2:$HN$50=J$1),0),$B138-1973)</f>
        <v>18982</v>
      </c>
      <c r="K138" cm="1">
        <f t="array" ref="K138">INDEX(GMW!$A$2:$HN$50,MATCH(1,(GMW!$HM$2:$HM$50=K$3)*(GMW!$HN$2:$HN$50=K$1),0),$B138-1973)</f>
        <v>536188</v>
      </c>
      <c r="L138" cm="1">
        <f t="array" ref="L138">INDEX(GMW!$A$2:$HN$50,MATCH(1,(GMW!$HM$2:$HM$50=L$3)*(GMW!$HN$2:$HN$50=L$1),0),$B138-1973)</f>
        <v>29932</v>
      </c>
      <c r="M138" cm="1">
        <f t="array" ref="M138">INDEX(GMW!$A$2:$HN$50,MATCH(1,(GMW!$HM$2:$HM$50=M$3)*(GMW!$HN$2:$HN$50=M$1),0),$B138-1973)</f>
        <v>6805.55</v>
      </c>
      <c r="N138" cm="1">
        <f t="array" ref="N138">INDEX(GMW!$A$2:$HN$50,MATCH(1,(GMW!$HM$2:$HM$50=N$3)*(GMW!$HN$2:$HN$50=N$1),0),$B138-1973)</f>
        <v>7.8</v>
      </c>
      <c r="O138" cm="1">
        <f t="array" ref="O138">INDEX(GMW!$A$2:$HN$50,MATCH(1,(GMW!$HM$2:$HM$50=O$3)*(GMW!$HN$2:$HN$50=O$1),0),$B138-1973)</f>
        <v>345765</v>
      </c>
      <c r="P138" cm="1">
        <f t="array" ref="P138">INDEX(GMW!$A$2:$HN$50,MATCH(1,(GMW!$HM$2:$HM$50=P$3)*(GMW!$HN$2:$HN$50=P$1),0),$B138-1973)</f>
        <v>18982</v>
      </c>
    </row>
    <row r="139" spans="1:16">
      <c r="A139">
        <v>2013</v>
      </c>
      <c r="B139">
        <f t="shared" si="6"/>
        <v>2112</v>
      </c>
      <c r="C139">
        <f t="shared" si="5"/>
        <v>2013</v>
      </c>
      <c r="D139">
        <f t="shared" si="5"/>
        <v>2012</v>
      </c>
      <c r="E139" cm="1">
        <f t="array" ref="E139">INDEX(GMW!$A$2:$HN$50,MATCH(1,(GMW!$HM$2:$HM$50=E$3)*(GMW!$HN$2:$HN$50=E$1),0),$B139-1973)</f>
        <v>537974</v>
      </c>
      <c r="F139" cm="1">
        <f t="array" ref="F139">INDEX(GMW!$A$2:$HN$50,MATCH(1,(GMW!$HM$2:$HM$50=F$3)*(GMW!$HN$2:$HN$50=F$1),0),$B139-1973)</f>
        <v>29869</v>
      </c>
      <c r="G139" cm="1">
        <f t="array" ref="G139">INDEX(GMW!$A$2:$HN$50,MATCH(1,(GMW!$HM$2:$HM$50=G$3)*(GMW!$HN$2:$HN$50=G$1),0),$B139-1973)</f>
        <v>6831.2070000000003</v>
      </c>
      <c r="H139" cm="1">
        <f t="array" ref="H139">INDEX(GMW!$A$2:$HN$50,MATCH(1,(GMW!$HM$2:$HM$50=H$3)*(GMW!$HN$2:$HN$50=H$1),0),$B139-1973)</f>
        <v>7.9</v>
      </c>
      <c r="I139" cm="1">
        <f t="array" ref="I139">INDEX(GMW!$A$2:$HN$50,MATCH(1,(GMW!$HM$2:$HM$50=I$3)*(GMW!$HN$2:$HN$50=I$1),0),$B139-1973)</f>
        <v>342890</v>
      </c>
      <c r="J139" cm="1">
        <f t="array" ref="J139">INDEX(GMW!$A$2:$HN$50,MATCH(1,(GMW!$HM$2:$HM$50=J$3)*(GMW!$HN$2:$HN$50=J$1),0),$B139-1973)</f>
        <v>18597</v>
      </c>
      <c r="K139" cm="1">
        <f t="array" ref="K139">INDEX(GMW!$A$2:$HN$50,MATCH(1,(GMW!$HM$2:$HM$50=K$3)*(GMW!$HN$2:$HN$50=K$1),0),$B139-1973)</f>
        <v>537974</v>
      </c>
      <c r="L139" cm="1">
        <f t="array" ref="L139">INDEX(GMW!$A$2:$HN$50,MATCH(1,(GMW!$HM$2:$HM$50=L$3)*(GMW!$HN$2:$HN$50=L$1),0),$B139-1973)</f>
        <v>29869</v>
      </c>
      <c r="M139" cm="1">
        <f t="array" ref="M139">INDEX(GMW!$A$2:$HN$50,MATCH(1,(GMW!$HM$2:$HM$50=M$3)*(GMW!$HN$2:$HN$50=M$1),0),$B139-1973)</f>
        <v>6831.2070000000003</v>
      </c>
      <c r="N139" cm="1">
        <f t="array" ref="N139">INDEX(GMW!$A$2:$HN$50,MATCH(1,(GMW!$HM$2:$HM$50=N$3)*(GMW!$HN$2:$HN$50=N$1),0),$B139-1973)</f>
        <v>7.9</v>
      </c>
      <c r="O139" cm="1">
        <f t="array" ref="O139">INDEX(GMW!$A$2:$HN$50,MATCH(1,(GMW!$HM$2:$HM$50=O$3)*(GMW!$HN$2:$HN$50=O$1),0),$B139-1973)</f>
        <v>342890</v>
      </c>
      <c r="P139" cm="1">
        <f t="array" ref="P139">INDEX(GMW!$A$2:$HN$50,MATCH(1,(GMW!$HM$2:$HM$50=P$3)*(GMW!$HN$2:$HN$50=P$1),0),$B139-1973)</f>
        <v>18597</v>
      </c>
    </row>
    <row r="140" spans="1:16">
      <c r="B140">
        <f t="shared" si="6"/>
        <v>2113</v>
      </c>
      <c r="C140">
        <f t="shared" ref="C140:D204" si="7">+C136+1</f>
        <v>2013</v>
      </c>
      <c r="D140">
        <f t="shared" si="5"/>
        <v>2013</v>
      </c>
      <c r="E140" cm="1">
        <f t="array" ref="E140">INDEX(GMW!$A$2:$HN$50,MATCH(1,(GMW!$HM$2:$HM$50=E$3)*(GMW!$HN$2:$HN$50=E$1),0),$B140-1973)</f>
        <v>541586</v>
      </c>
      <c r="F140" cm="1">
        <f t="array" ref="F140">INDEX(GMW!$A$2:$HN$50,MATCH(1,(GMW!$HM$2:$HM$50=F$3)*(GMW!$HN$2:$HN$50=F$1),0),$B140-1973)</f>
        <v>29974</v>
      </c>
      <c r="G140" cm="1">
        <f t="array" ref="G140">INDEX(GMW!$A$2:$HN$50,MATCH(1,(GMW!$HM$2:$HM$50=G$3)*(GMW!$HN$2:$HN$50=G$1),0),$B140-1973)</f>
        <v>7064.567</v>
      </c>
      <c r="H140" cm="1">
        <f t="array" ref="H140">INDEX(GMW!$A$2:$HN$50,MATCH(1,(GMW!$HM$2:$HM$50=H$3)*(GMW!$HN$2:$HN$50=H$1),0),$B140-1973)</f>
        <v>7.8</v>
      </c>
      <c r="I140" cm="1">
        <f t="array" ref="I140">INDEX(GMW!$A$2:$HN$50,MATCH(1,(GMW!$HM$2:$HM$50=I$3)*(GMW!$HN$2:$HN$50=I$1),0),$B140-1973)</f>
        <v>350923</v>
      </c>
      <c r="J140" cm="1">
        <f t="array" ref="J140">INDEX(GMW!$A$2:$HN$50,MATCH(1,(GMW!$HM$2:$HM$50=J$3)*(GMW!$HN$2:$HN$50=J$1),0),$B140-1973)</f>
        <v>19598</v>
      </c>
      <c r="K140" cm="1">
        <f t="array" ref="K140">INDEX(GMW!$A$2:$HN$50,MATCH(1,(GMW!$HM$2:$HM$50=K$3)*(GMW!$HN$2:$HN$50=K$1),0),$B140-1973)</f>
        <v>541586</v>
      </c>
      <c r="L140" cm="1">
        <f t="array" ref="L140">INDEX(GMW!$A$2:$HN$50,MATCH(1,(GMW!$HM$2:$HM$50=L$3)*(GMW!$HN$2:$HN$50=L$1),0),$B140-1973)</f>
        <v>29974</v>
      </c>
      <c r="M140" cm="1">
        <f t="array" ref="M140">INDEX(GMW!$A$2:$HN$50,MATCH(1,(GMW!$HM$2:$HM$50=M$3)*(GMW!$HN$2:$HN$50=M$1),0),$B140-1973)</f>
        <v>7064.567</v>
      </c>
      <c r="N140" cm="1">
        <f t="array" ref="N140">INDEX(GMW!$A$2:$HN$50,MATCH(1,(GMW!$HM$2:$HM$50=N$3)*(GMW!$HN$2:$HN$50=N$1),0),$B140-1973)</f>
        <v>7.8</v>
      </c>
      <c r="O140" cm="1">
        <f t="array" ref="O140">INDEX(GMW!$A$2:$HN$50,MATCH(1,(GMW!$HM$2:$HM$50=O$3)*(GMW!$HN$2:$HN$50=O$1),0),$B140-1973)</f>
        <v>350923</v>
      </c>
      <c r="P140" cm="1">
        <f t="array" ref="P140">INDEX(GMW!$A$2:$HN$50,MATCH(1,(GMW!$HM$2:$HM$50=P$3)*(GMW!$HN$2:$HN$50=P$1),0),$B140-1973)</f>
        <v>19598</v>
      </c>
    </row>
    <row r="141" spans="1:16">
      <c r="B141">
        <f t="shared" si="6"/>
        <v>2114</v>
      </c>
      <c r="C141">
        <f t="shared" si="7"/>
        <v>2013</v>
      </c>
      <c r="D141">
        <f t="shared" si="7"/>
        <v>2013</v>
      </c>
      <c r="E141" cm="1">
        <f t="array" ref="E141">INDEX(GMW!$A$2:$HN$50,MATCH(1,(GMW!$HM$2:$HM$50=E$3)*(GMW!$HN$2:$HN$50=E$1),0),$B141-1973)</f>
        <v>546064</v>
      </c>
      <c r="F141" cm="1">
        <f t="array" ref="F141">INDEX(GMW!$A$2:$HN$50,MATCH(1,(GMW!$HM$2:$HM$50=F$3)*(GMW!$HN$2:$HN$50=F$1),0),$B141-1973)</f>
        <v>30144</v>
      </c>
      <c r="G141" cm="1">
        <f t="array" ref="G141">INDEX(GMW!$A$2:$HN$50,MATCH(1,(GMW!$HM$2:$HM$50=G$3)*(GMW!$HN$2:$HN$50=G$1),0),$B141-1973)</f>
        <v>7073.6540000000005</v>
      </c>
      <c r="H141" cm="1">
        <f t="array" ref="H141">INDEX(GMW!$A$2:$HN$50,MATCH(1,(GMW!$HM$2:$HM$50=H$3)*(GMW!$HN$2:$HN$50=H$1),0),$B141-1973)</f>
        <v>7.6</v>
      </c>
      <c r="I141" cm="1">
        <f t="array" ref="I141">INDEX(GMW!$A$2:$HN$50,MATCH(1,(GMW!$HM$2:$HM$50=I$3)*(GMW!$HN$2:$HN$50=I$1),0),$B141-1973)</f>
        <v>357263</v>
      </c>
      <c r="J141" cm="1">
        <f t="array" ref="J141">INDEX(GMW!$A$2:$HN$50,MATCH(1,(GMW!$HM$2:$HM$50=J$3)*(GMW!$HN$2:$HN$50=J$1),0),$B141-1973)</f>
        <v>19195</v>
      </c>
      <c r="K141" cm="1">
        <f t="array" ref="K141">INDEX(GMW!$A$2:$HN$50,MATCH(1,(GMW!$HM$2:$HM$50=K$3)*(GMW!$HN$2:$HN$50=K$1),0),$B141-1973)</f>
        <v>546064</v>
      </c>
      <c r="L141" cm="1">
        <f t="array" ref="L141">INDEX(GMW!$A$2:$HN$50,MATCH(1,(GMW!$HM$2:$HM$50=L$3)*(GMW!$HN$2:$HN$50=L$1),0),$B141-1973)</f>
        <v>30144</v>
      </c>
      <c r="M141" cm="1">
        <f t="array" ref="M141">INDEX(GMW!$A$2:$HN$50,MATCH(1,(GMW!$HM$2:$HM$50=M$3)*(GMW!$HN$2:$HN$50=M$1),0),$B141-1973)</f>
        <v>7073.6540000000005</v>
      </c>
      <c r="N141" cm="1">
        <f t="array" ref="N141">INDEX(GMW!$A$2:$HN$50,MATCH(1,(GMW!$HM$2:$HM$50=N$3)*(GMW!$HN$2:$HN$50=N$1),0),$B141-1973)</f>
        <v>7.6</v>
      </c>
      <c r="O141" cm="1">
        <f t="array" ref="O141">INDEX(GMW!$A$2:$HN$50,MATCH(1,(GMW!$HM$2:$HM$50=O$3)*(GMW!$HN$2:$HN$50=O$1),0),$B141-1973)</f>
        <v>357263</v>
      </c>
      <c r="P141" cm="1">
        <f t="array" ref="P141">INDEX(GMW!$A$2:$HN$50,MATCH(1,(GMW!$HM$2:$HM$50=P$3)*(GMW!$HN$2:$HN$50=P$1),0),$B141-1973)</f>
        <v>19195</v>
      </c>
    </row>
    <row r="142" spans="1:16">
      <c r="B142">
        <f t="shared" si="6"/>
        <v>2115</v>
      </c>
      <c r="C142">
        <f t="shared" si="7"/>
        <v>2013</v>
      </c>
      <c r="D142">
        <f t="shared" si="7"/>
        <v>2013</v>
      </c>
      <c r="E142" cm="1">
        <f t="array" ref="E142">INDEX(GMW!$A$2:$HN$50,MATCH(1,(GMW!$HM$2:$HM$50=E$3)*(GMW!$HN$2:$HN$50=E$1),0),$B142-1973)</f>
        <v>549709</v>
      </c>
      <c r="F142" cm="1">
        <f t="array" ref="F142">INDEX(GMW!$A$2:$HN$50,MATCH(1,(GMW!$HM$2:$HM$50=F$3)*(GMW!$HN$2:$HN$50=F$1),0),$B142-1973)</f>
        <v>30330</v>
      </c>
      <c r="G142" cm="1">
        <f t="array" ref="G142">INDEX(GMW!$A$2:$HN$50,MATCH(1,(GMW!$HM$2:$HM$50=G$3)*(GMW!$HN$2:$HN$50=G$1),0),$B142-1973)</f>
        <v>7154.1670000000004</v>
      </c>
      <c r="H142" cm="1">
        <f t="array" ref="H142">INDEX(GMW!$A$2:$HN$50,MATCH(1,(GMW!$HM$2:$HM$50=H$3)*(GMW!$HN$2:$HN$50=H$1),0),$B142-1973)</f>
        <v>7.2</v>
      </c>
      <c r="I142" cm="1">
        <f t="array" ref="I142">INDEX(GMW!$A$2:$HN$50,MATCH(1,(GMW!$HM$2:$HM$50=I$3)*(GMW!$HN$2:$HN$50=I$1),0),$B142-1973)</f>
        <v>360126</v>
      </c>
      <c r="J142" cm="1">
        <f t="array" ref="J142">INDEX(GMW!$A$2:$HN$50,MATCH(1,(GMW!$HM$2:$HM$50=J$3)*(GMW!$HN$2:$HN$50=J$1),0),$B142-1973)</f>
        <v>19482</v>
      </c>
      <c r="K142" cm="1">
        <f t="array" ref="K142">INDEX(GMW!$A$2:$HN$50,MATCH(1,(GMW!$HM$2:$HM$50=K$3)*(GMW!$HN$2:$HN$50=K$1),0),$B142-1973)</f>
        <v>549709</v>
      </c>
      <c r="L142" cm="1">
        <f t="array" ref="L142">INDEX(GMW!$A$2:$HN$50,MATCH(1,(GMW!$HM$2:$HM$50=L$3)*(GMW!$HN$2:$HN$50=L$1),0),$B142-1973)</f>
        <v>30330</v>
      </c>
      <c r="M142" cm="1">
        <f t="array" ref="M142">INDEX(GMW!$A$2:$HN$50,MATCH(1,(GMW!$HM$2:$HM$50=M$3)*(GMW!$HN$2:$HN$50=M$1),0),$B142-1973)</f>
        <v>7154.1670000000004</v>
      </c>
      <c r="N142" cm="1">
        <f t="array" ref="N142">INDEX(GMW!$A$2:$HN$50,MATCH(1,(GMW!$HM$2:$HM$50=N$3)*(GMW!$HN$2:$HN$50=N$1),0),$B142-1973)</f>
        <v>7.2</v>
      </c>
      <c r="O142" cm="1">
        <f t="array" ref="O142">INDEX(GMW!$A$2:$HN$50,MATCH(1,(GMW!$HM$2:$HM$50=O$3)*(GMW!$HN$2:$HN$50=O$1),0),$B142-1973)</f>
        <v>360126</v>
      </c>
      <c r="P142" cm="1">
        <f t="array" ref="P142">INDEX(GMW!$A$2:$HN$50,MATCH(1,(GMW!$HM$2:$HM$50=P$3)*(GMW!$HN$2:$HN$50=P$1),0),$B142-1973)</f>
        <v>19482</v>
      </c>
    </row>
    <row r="143" spans="1:16">
      <c r="A143">
        <v>2014</v>
      </c>
      <c r="B143">
        <f t="shared" si="6"/>
        <v>2116</v>
      </c>
      <c r="C143">
        <f t="shared" si="7"/>
        <v>2014</v>
      </c>
      <c r="D143">
        <f t="shared" si="7"/>
        <v>2013</v>
      </c>
      <c r="E143" cm="1">
        <f t="array" ref="E143">INDEX(GMW!$A$2:$HN$50,MATCH(1,(GMW!$HM$2:$HM$50=E$3)*(GMW!$HN$2:$HN$50=E$1),0),$B143-1973)</f>
        <v>554183</v>
      </c>
      <c r="F143" cm="1">
        <f t="array" ref="F143">INDEX(GMW!$A$2:$HN$50,MATCH(1,(GMW!$HM$2:$HM$50=F$3)*(GMW!$HN$2:$HN$50=F$1),0),$B143-1973)</f>
        <v>30573</v>
      </c>
      <c r="G143" cm="1">
        <f t="array" ref="G143">INDEX(GMW!$A$2:$HN$50,MATCH(1,(GMW!$HM$2:$HM$50=G$3)*(GMW!$HN$2:$HN$50=G$1),0),$B143-1973)</f>
        <v>7221.8159999999998</v>
      </c>
      <c r="H143" cm="1">
        <f t="array" ref="H143">INDEX(GMW!$A$2:$HN$50,MATCH(1,(GMW!$HM$2:$HM$50=H$3)*(GMW!$HN$2:$HN$50=H$1),0),$B143-1973)</f>
        <v>6.8</v>
      </c>
      <c r="I143" cm="1">
        <f t="array" ref="I143">INDEX(GMW!$A$2:$HN$50,MATCH(1,(GMW!$HM$2:$HM$50=I$3)*(GMW!$HN$2:$HN$50=I$1),0),$B143-1973)</f>
        <v>359009</v>
      </c>
      <c r="J143" cm="1">
        <f t="array" ref="J143">INDEX(GMW!$A$2:$HN$50,MATCH(1,(GMW!$HM$2:$HM$50=J$3)*(GMW!$HN$2:$HN$50=J$1),0),$B143-1973)</f>
        <v>19571</v>
      </c>
      <c r="K143" cm="1">
        <f t="array" ref="K143">INDEX(GMW!$A$2:$HN$50,MATCH(1,(GMW!$HM$2:$HM$50=K$3)*(GMW!$HN$2:$HN$50=K$1),0),$B143-1973)</f>
        <v>554183</v>
      </c>
      <c r="L143" cm="1">
        <f t="array" ref="L143">INDEX(GMW!$A$2:$HN$50,MATCH(1,(GMW!$HM$2:$HM$50=L$3)*(GMW!$HN$2:$HN$50=L$1),0),$B143-1973)</f>
        <v>30573</v>
      </c>
      <c r="M143" cm="1">
        <f t="array" ref="M143">INDEX(GMW!$A$2:$HN$50,MATCH(1,(GMW!$HM$2:$HM$50=M$3)*(GMW!$HN$2:$HN$50=M$1),0),$B143-1973)</f>
        <v>7221.8159999999998</v>
      </c>
      <c r="N143" cm="1">
        <f t="array" ref="N143">INDEX(GMW!$A$2:$HN$50,MATCH(1,(GMW!$HM$2:$HM$50=N$3)*(GMW!$HN$2:$HN$50=N$1),0),$B143-1973)</f>
        <v>6.8</v>
      </c>
      <c r="O143" cm="1">
        <f t="array" ref="O143">INDEX(GMW!$A$2:$HN$50,MATCH(1,(GMW!$HM$2:$HM$50=O$3)*(GMW!$HN$2:$HN$50=O$1),0),$B143-1973)</f>
        <v>359009</v>
      </c>
      <c r="P143" cm="1">
        <f t="array" ref="P143">INDEX(GMW!$A$2:$HN$50,MATCH(1,(GMW!$HM$2:$HM$50=P$3)*(GMW!$HN$2:$HN$50=P$1),0),$B143-1973)</f>
        <v>19571</v>
      </c>
    </row>
    <row r="144" spans="1:16">
      <c r="B144">
        <f t="shared" si="6"/>
        <v>2117</v>
      </c>
      <c r="C144">
        <f t="shared" si="7"/>
        <v>2014</v>
      </c>
      <c r="D144">
        <f t="shared" si="7"/>
        <v>2014</v>
      </c>
      <c r="E144" cm="1">
        <f t="array" ref="E144">INDEX(GMW!$A$2:$HN$50,MATCH(1,(GMW!$HM$2:$HM$50=E$3)*(GMW!$HN$2:$HN$50=E$1),0),$B144-1973)</f>
        <v>559331</v>
      </c>
      <c r="F144" cm="1">
        <f t="array" ref="F144">INDEX(GMW!$A$2:$HN$50,MATCH(1,(GMW!$HM$2:$HM$50=F$3)*(GMW!$HN$2:$HN$50=F$1),0),$B144-1973)</f>
        <v>30747</v>
      </c>
      <c r="G144" cm="1">
        <f t="array" ref="G144">INDEX(GMW!$A$2:$HN$50,MATCH(1,(GMW!$HM$2:$HM$50=G$3)*(GMW!$HN$2:$HN$50=G$1),0),$B144-1973)</f>
        <v>7176</v>
      </c>
      <c r="H144" cm="1">
        <f t="array" ref="H144">INDEX(GMW!$A$2:$HN$50,MATCH(1,(GMW!$HM$2:$HM$50=H$3)*(GMW!$HN$2:$HN$50=H$1),0),$B144-1973)</f>
        <v>6.3</v>
      </c>
      <c r="I144" cm="1">
        <f t="array" ref="I144">INDEX(GMW!$A$2:$HN$50,MATCH(1,(GMW!$HM$2:$HM$50=I$3)*(GMW!$HN$2:$HN$50=I$1),0),$B144-1973)</f>
        <v>359599</v>
      </c>
      <c r="J144" cm="1">
        <f t="array" ref="J144">INDEX(GMW!$A$2:$HN$50,MATCH(1,(GMW!$HM$2:$HM$50=J$3)*(GMW!$HN$2:$HN$50=J$1),0),$B144-1973)</f>
        <v>19575</v>
      </c>
      <c r="K144" cm="1">
        <f t="array" ref="K144">INDEX(GMW!$A$2:$HN$50,MATCH(1,(GMW!$HM$2:$HM$50=K$3)*(GMW!$HN$2:$HN$50=K$1),0),$B144-1973)</f>
        <v>559331</v>
      </c>
      <c r="L144" cm="1">
        <f t="array" ref="L144">INDEX(GMW!$A$2:$HN$50,MATCH(1,(GMW!$HM$2:$HM$50=L$3)*(GMW!$HN$2:$HN$50=L$1),0),$B144-1973)</f>
        <v>30747</v>
      </c>
      <c r="M144" cm="1">
        <f t="array" ref="M144">INDEX(GMW!$A$2:$HN$50,MATCH(1,(GMW!$HM$2:$HM$50=M$3)*(GMW!$HN$2:$HN$50=M$1),0),$B144-1973)</f>
        <v>7176</v>
      </c>
      <c r="N144" cm="1">
        <f t="array" ref="N144">INDEX(GMW!$A$2:$HN$50,MATCH(1,(GMW!$HM$2:$HM$50=N$3)*(GMW!$HN$2:$HN$50=N$1),0),$B144-1973)</f>
        <v>6.3</v>
      </c>
      <c r="O144" cm="1">
        <f t="array" ref="O144">INDEX(GMW!$A$2:$HN$50,MATCH(1,(GMW!$HM$2:$HM$50=O$3)*(GMW!$HN$2:$HN$50=O$1),0),$B144-1973)</f>
        <v>359599</v>
      </c>
      <c r="P144" cm="1">
        <f t="array" ref="P144">INDEX(GMW!$A$2:$HN$50,MATCH(1,(GMW!$HM$2:$HM$50=P$3)*(GMW!$HN$2:$HN$50=P$1),0),$B144-1973)</f>
        <v>19575</v>
      </c>
    </row>
    <row r="145" spans="1:16">
      <c r="B145">
        <f t="shared" si="6"/>
        <v>2118</v>
      </c>
      <c r="C145">
        <f t="shared" si="7"/>
        <v>2014</v>
      </c>
      <c r="D145">
        <f t="shared" si="7"/>
        <v>2014</v>
      </c>
      <c r="E145" cm="1">
        <f t="array" ref="E145">INDEX(GMW!$A$2:$HN$50,MATCH(1,(GMW!$HM$2:$HM$50=E$3)*(GMW!$HN$2:$HN$50=E$1),0),$B145-1973)</f>
        <v>563694</v>
      </c>
      <c r="F145" cm="1">
        <f t="array" ref="F145">INDEX(GMW!$A$2:$HN$50,MATCH(1,(GMW!$HM$2:$HM$50=F$3)*(GMW!$HN$2:$HN$50=F$1),0),$B145-1973)</f>
        <v>30873</v>
      </c>
      <c r="G145" cm="1">
        <f t="array" ref="G145">INDEX(GMW!$A$2:$HN$50,MATCH(1,(GMW!$HM$2:$HM$50=G$3)*(GMW!$HN$2:$HN$50=G$1),0),$B145-1973)</f>
        <v>7114.8590000000004</v>
      </c>
      <c r="H145" cm="1">
        <f t="array" ref="H145">INDEX(GMW!$A$2:$HN$50,MATCH(1,(GMW!$HM$2:$HM$50=H$3)*(GMW!$HN$2:$HN$50=H$1),0),$B145-1973)</f>
        <v>6</v>
      </c>
      <c r="I145" cm="1">
        <f t="array" ref="I145">INDEX(GMW!$A$2:$HN$50,MATCH(1,(GMW!$HM$2:$HM$50=I$3)*(GMW!$HN$2:$HN$50=I$1),0),$B145-1973)</f>
        <v>359708</v>
      </c>
      <c r="J145" cm="1">
        <f t="array" ref="J145">INDEX(GMW!$A$2:$HN$50,MATCH(1,(GMW!$HM$2:$HM$50=J$3)*(GMW!$HN$2:$HN$50=J$1),0),$B145-1973)</f>
        <v>19825</v>
      </c>
      <c r="K145" cm="1">
        <f t="array" ref="K145">INDEX(GMW!$A$2:$HN$50,MATCH(1,(GMW!$HM$2:$HM$50=K$3)*(GMW!$HN$2:$HN$50=K$1),0),$B145-1973)</f>
        <v>563694</v>
      </c>
      <c r="L145" cm="1">
        <f t="array" ref="L145">INDEX(GMW!$A$2:$HN$50,MATCH(1,(GMW!$HM$2:$HM$50=L$3)*(GMW!$HN$2:$HN$50=L$1),0),$B145-1973)</f>
        <v>30873</v>
      </c>
      <c r="M145" cm="1">
        <f t="array" ref="M145">INDEX(GMW!$A$2:$HN$50,MATCH(1,(GMW!$HM$2:$HM$50=M$3)*(GMW!$HN$2:$HN$50=M$1),0),$B145-1973)</f>
        <v>7114.8590000000004</v>
      </c>
      <c r="N145" cm="1">
        <f t="array" ref="N145">INDEX(GMW!$A$2:$HN$50,MATCH(1,(GMW!$HM$2:$HM$50=N$3)*(GMW!$HN$2:$HN$50=N$1),0),$B145-1973)</f>
        <v>6</v>
      </c>
      <c r="O145" cm="1">
        <f t="array" ref="O145">INDEX(GMW!$A$2:$HN$50,MATCH(1,(GMW!$HM$2:$HM$50=O$3)*(GMW!$HN$2:$HN$50=O$1),0),$B145-1973)</f>
        <v>359708</v>
      </c>
      <c r="P145" cm="1">
        <f t="array" ref="P145">INDEX(GMW!$A$2:$HN$50,MATCH(1,(GMW!$HM$2:$HM$50=P$3)*(GMW!$HN$2:$HN$50=P$1),0),$B145-1973)</f>
        <v>19825</v>
      </c>
    </row>
    <row r="146" spans="1:16">
      <c r="B146">
        <f t="shared" si="6"/>
        <v>2119</v>
      </c>
      <c r="C146">
        <f t="shared" si="7"/>
        <v>2014</v>
      </c>
      <c r="D146">
        <f t="shared" si="7"/>
        <v>2014</v>
      </c>
      <c r="E146" cm="1">
        <f t="array" ref="E146">INDEX(GMW!$A$2:$HN$50,MATCH(1,(GMW!$HM$2:$HM$50=E$3)*(GMW!$HN$2:$HN$50=E$1),0),$B146-1973)</f>
        <v>567619</v>
      </c>
      <c r="F146" cm="1">
        <f t="array" ref="F146">INDEX(GMW!$A$2:$HN$50,MATCH(1,(GMW!$HM$2:$HM$50=F$3)*(GMW!$HN$2:$HN$50=F$1),0),$B146-1973)</f>
        <v>30981</v>
      </c>
      <c r="G146" cm="1">
        <f t="array" ref="G146">INDEX(GMW!$A$2:$HN$50,MATCH(1,(GMW!$HM$2:$HM$50=G$3)*(GMW!$HN$2:$HN$50=G$1),0),$B146-1973)</f>
        <v>7151.2439999999997</v>
      </c>
      <c r="H146" cm="1">
        <f t="array" ref="H146">INDEX(GMW!$A$2:$HN$50,MATCH(1,(GMW!$HM$2:$HM$50=H$3)*(GMW!$HN$2:$HN$50=H$1),0),$B146-1973)</f>
        <v>5.7</v>
      </c>
      <c r="I146" cm="1">
        <f t="array" ref="I146">INDEX(GMW!$A$2:$HN$50,MATCH(1,(GMW!$HM$2:$HM$50=I$3)*(GMW!$HN$2:$HN$50=I$1),0),$B146-1973)</f>
        <v>364730</v>
      </c>
      <c r="J146" cm="1">
        <f t="array" ref="J146">INDEX(GMW!$A$2:$HN$50,MATCH(1,(GMW!$HM$2:$HM$50=J$3)*(GMW!$HN$2:$HN$50=J$1),0),$B146-1973)</f>
        <v>19993</v>
      </c>
      <c r="K146" cm="1">
        <f t="array" ref="K146">INDEX(GMW!$A$2:$HN$50,MATCH(1,(GMW!$HM$2:$HM$50=K$3)*(GMW!$HN$2:$HN$50=K$1),0),$B146-1973)</f>
        <v>567619</v>
      </c>
      <c r="L146" cm="1">
        <f t="array" ref="L146">INDEX(GMW!$A$2:$HN$50,MATCH(1,(GMW!$HM$2:$HM$50=L$3)*(GMW!$HN$2:$HN$50=L$1),0),$B146-1973)</f>
        <v>30981</v>
      </c>
      <c r="M146" cm="1">
        <f t="array" ref="M146">INDEX(GMW!$A$2:$HN$50,MATCH(1,(GMW!$HM$2:$HM$50=M$3)*(GMW!$HN$2:$HN$50=M$1),0),$B146-1973)</f>
        <v>7151.2439999999997</v>
      </c>
      <c r="N146" cm="1">
        <f t="array" ref="N146">INDEX(GMW!$A$2:$HN$50,MATCH(1,(GMW!$HM$2:$HM$50=N$3)*(GMW!$HN$2:$HN$50=N$1),0),$B146-1973)</f>
        <v>5.7</v>
      </c>
      <c r="O146" cm="1">
        <f t="array" ref="O146">INDEX(GMW!$A$2:$HN$50,MATCH(1,(GMW!$HM$2:$HM$50=O$3)*(GMW!$HN$2:$HN$50=O$1),0),$B146-1973)</f>
        <v>364730</v>
      </c>
      <c r="P146" cm="1">
        <f t="array" ref="P146">INDEX(GMW!$A$2:$HN$50,MATCH(1,(GMW!$HM$2:$HM$50=P$3)*(GMW!$HN$2:$HN$50=P$1),0),$B146-1973)</f>
        <v>19993</v>
      </c>
    </row>
    <row r="147" spans="1:16">
      <c r="A147">
        <v>2015</v>
      </c>
      <c r="B147">
        <f t="shared" si="6"/>
        <v>2120</v>
      </c>
      <c r="C147">
        <f t="shared" si="7"/>
        <v>2015</v>
      </c>
      <c r="D147">
        <f t="shared" si="7"/>
        <v>2014</v>
      </c>
      <c r="E147" cm="1">
        <f t="array" ref="E147">INDEX(GMW!$A$2:$HN$50,MATCH(1,(GMW!$HM$2:$HM$50=E$3)*(GMW!$HN$2:$HN$50=E$1),0),$B147-1973)</f>
        <v>569150</v>
      </c>
      <c r="F147" cm="1">
        <f t="array" ref="F147">INDEX(GMW!$A$2:$HN$50,MATCH(1,(GMW!$HM$2:$HM$50=F$3)*(GMW!$HN$2:$HN$50=F$1),0),$B147-1973)</f>
        <v>31188</v>
      </c>
      <c r="G147" cm="1">
        <f t="array" ref="G147">INDEX(GMW!$A$2:$HN$50,MATCH(1,(GMW!$HM$2:$HM$50=G$3)*(GMW!$HN$2:$HN$50=G$1),0),$B147-1973)</f>
        <v>7196.0320000000002</v>
      </c>
      <c r="H147" cm="1">
        <f t="array" ref="H147">INDEX(GMW!$A$2:$HN$50,MATCH(1,(GMW!$HM$2:$HM$50=H$3)*(GMW!$HN$2:$HN$50=H$1),0),$B147-1973)</f>
        <v>5.6</v>
      </c>
      <c r="I147" cm="1">
        <f t="array" ref="I147">INDEX(GMW!$A$2:$HN$50,MATCH(1,(GMW!$HM$2:$HM$50=I$3)*(GMW!$HN$2:$HN$50=I$1),0),$B147-1973)</f>
        <v>372232</v>
      </c>
      <c r="J147" cm="1">
        <f t="array" ref="J147">INDEX(GMW!$A$2:$HN$50,MATCH(1,(GMW!$HM$2:$HM$50=J$3)*(GMW!$HN$2:$HN$50=J$1),0),$B147-1973)</f>
        <v>20426</v>
      </c>
      <c r="K147" cm="1">
        <f t="array" ref="K147">INDEX(GMW!$A$2:$HN$50,MATCH(1,(GMW!$HM$2:$HM$50=K$3)*(GMW!$HN$2:$HN$50=K$1),0),$B147-1973)</f>
        <v>569150</v>
      </c>
      <c r="L147" cm="1">
        <f t="array" ref="L147">INDEX(GMW!$A$2:$HN$50,MATCH(1,(GMW!$HM$2:$HM$50=L$3)*(GMW!$HN$2:$HN$50=L$1),0),$B147-1973)</f>
        <v>31188</v>
      </c>
      <c r="M147" cm="1">
        <f t="array" ref="M147">INDEX(GMW!$A$2:$HN$50,MATCH(1,(GMW!$HM$2:$HM$50=M$3)*(GMW!$HN$2:$HN$50=M$1),0),$B147-1973)</f>
        <v>7196.0320000000002</v>
      </c>
      <c r="N147" cm="1">
        <f t="array" ref="N147">INDEX(GMW!$A$2:$HN$50,MATCH(1,(GMW!$HM$2:$HM$50=N$3)*(GMW!$HN$2:$HN$50=N$1),0),$B147-1973)</f>
        <v>5.6</v>
      </c>
      <c r="O147" cm="1">
        <f t="array" ref="O147">INDEX(GMW!$A$2:$HN$50,MATCH(1,(GMW!$HM$2:$HM$50=O$3)*(GMW!$HN$2:$HN$50=O$1),0),$B147-1973)</f>
        <v>372232</v>
      </c>
      <c r="P147" cm="1">
        <f t="array" ref="P147">INDEX(GMW!$A$2:$HN$50,MATCH(1,(GMW!$HM$2:$HM$50=P$3)*(GMW!$HN$2:$HN$50=P$1),0),$B147-1973)</f>
        <v>20426</v>
      </c>
    </row>
    <row r="148" spans="1:16">
      <c r="B148">
        <f t="shared" si="6"/>
        <v>2121</v>
      </c>
      <c r="C148">
        <f t="shared" si="7"/>
        <v>2015</v>
      </c>
      <c r="D148">
        <f t="shared" si="7"/>
        <v>2015</v>
      </c>
      <c r="E148" cm="1">
        <f t="array" ref="E148">INDEX(GMW!$A$2:$HN$50,MATCH(1,(GMW!$HM$2:$HM$50=E$3)*(GMW!$HN$2:$HN$50=E$1),0),$B148-1973)</f>
        <v>572673</v>
      </c>
      <c r="F148" cm="1">
        <f t="array" ref="F148">INDEX(GMW!$A$2:$HN$50,MATCH(1,(GMW!$HM$2:$HM$50=F$3)*(GMW!$HN$2:$HN$50=F$1),0),$B148-1973)</f>
        <v>31140</v>
      </c>
      <c r="G148" cm="1">
        <f t="array" ref="G148">INDEX(GMW!$A$2:$HN$50,MATCH(1,(GMW!$HM$2:$HM$50=G$3)*(GMW!$HN$2:$HN$50=G$1),0),$B148-1973)</f>
        <v>7235.93</v>
      </c>
      <c r="H148" cm="1">
        <f t="array" ref="H148">INDEX(GMW!$A$2:$HN$50,MATCH(1,(GMW!$HM$2:$HM$50=H$3)*(GMW!$HN$2:$HN$50=H$1),0),$B148-1973)</f>
        <v>5.6</v>
      </c>
      <c r="I148" cm="1">
        <f t="array" ref="I148">INDEX(GMW!$A$2:$HN$50,MATCH(1,(GMW!$HM$2:$HM$50=I$3)*(GMW!$HN$2:$HN$50=I$1),0),$B148-1973)</f>
        <v>381179</v>
      </c>
      <c r="J148" cm="1">
        <f t="array" ref="J148">INDEX(GMW!$A$2:$HN$50,MATCH(1,(GMW!$HM$2:$HM$50=J$3)*(GMW!$HN$2:$HN$50=J$1),0),$B148-1973)</f>
        <v>20839</v>
      </c>
      <c r="K148" cm="1">
        <f t="array" ref="K148">INDEX(GMW!$A$2:$HN$50,MATCH(1,(GMW!$HM$2:$HM$50=K$3)*(GMW!$HN$2:$HN$50=K$1),0),$B148-1973)</f>
        <v>572673</v>
      </c>
      <c r="L148" cm="1">
        <f t="array" ref="L148">INDEX(GMW!$A$2:$HN$50,MATCH(1,(GMW!$HM$2:$HM$50=L$3)*(GMW!$HN$2:$HN$50=L$1),0),$B148-1973)</f>
        <v>31140</v>
      </c>
      <c r="M148" cm="1">
        <f t="array" ref="M148">INDEX(GMW!$A$2:$HN$50,MATCH(1,(GMW!$HM$2:$HM$50=M$3)*(GMW!$HN$2:$HN$50=M$1),0),$B148-1973)</f>
        <v>7235.93</v>
      </c>
      <c r="N148" cm="1">
        <f t="array" ref="N148">INDEX(GMW!$A$2:$HN$50,MATCH(1,(GMW!$HM$2:$HM$50=N$3)*(GMW!$HN$2:$HN$50=N$1),0),$B148-1973)</f>
        <v>5.6</v>
      </c>
      <c r="O148" cm="1">
        <f t="array" ref="O148">INDEX(GMW!$A$2:$HN$50,MATCH(1,(GMW!$HM$2:$HM$50=O$3)*(GMW!$HN$2:$HN$50=O$1),0),$B148-1973)</f>
        <v>381179</v>
      </c>
      <c r="P148" cm="1">
        <f t="array" ref="P148">INDEX(GMW!$A$2:$HN$50,MATCH(1,(GMW!$HM$2:$HM$50=P$3)*(GMW!$HN$2:$HN$50=P$1),0),$B148-1973)</f>
        <v>20839</v>
      </c>
    </row>
    <row r="149" spans="1:16">
      <c r="B149">
        <f t="shared" si="6"/>
        <v>2122</v>
      </c>
      <c r="C149">
        <f t="shared" si="7"/>
        <v>2015</v>
      </c>
      <c r="D149">
        <f t="shared" si="7"/>
        <v>2015</v>
      </c>
      <c r="E149" cm="1">
        <f t="array" ref="E149">INDEX(GMW!$A$2:$HN$50,MATCH(1,(GMW!$HM$2:$HM$50=E$3)*(GMW!$HN$2:$HN$50=E$1),0),$B149-1973)</f>
        <v>574836</v>
      </c>
      <c r="F149" cm="1">
        <f t="array" ref="F149">INDEX(GMW!$A$2:$HN$50,MATCH(1,(GMW!$HM$2:$HM$50=F$3)*(GMW!$HN$2:$HN$50=F$1),0),$B149-1973)</f>
        <v>31361</v>
      </c>
      <c r="G149" cm="1">
        <f t="array" ref="G149">INDEX(GMW!$A$2:$HN$50,MATCH(1,(GMW!$HM$2:$HM$50=G$3)*(GMW!$HN$2:$HN$50=G$1),0),$B149-1973)</f>
        <v>7286.7740000000003</v>
      </c>
      <c r="H149" cm="1">
        <f t="array" ref="H149">INDEX(GMW!$A$2:$HN$50,MATCH(1,(GMW!$HM$2:$HM$50=H$3)*(GMW!$HN$2:$HN$50=H$1),0),$B149-1973)</f>
        <v>5.4</v>
      </c>
      <c r="I149" cm="1">
        <f t="array" ref="I149">INDEX(GMW!$A$2:$HN$50,MATCH(1,(GMW!$HM$2:$HM$50=I$3)*(GMW!$HN$2:$HN$50=I$1),0),$B149-1973)</f>
        <v>388638</v>
      </c>
      <c r="J149" cm="1">
        <f t="array" ref="J149">INDEX(GMW!$A$2:$HN$50,MATCH(1,(GMW!$HM$2:$HM$50=J$3)*(GMW!$HN$2:$HN$50=J$1),0),$B149-1973)</f>
        <v>20846</v>
      </c>
      <c r="K149" cm="1">
        <f t="array" ref="K149">INDEX(GMW!$A$2:$HN$50,MATCH(1,(GMW!$HM$2:$HM$50=K$3)*(GMW!$HN$2:$HN$50=K$1),0),$B149-1973)</f>
        <v>574836</v>
      </c>
      <c r="L149" cm="1">
        <f t="array" ref="L149">INDEX(GMW!$A$2:$HN$50,MATCH(1,(GMW!$HM$2:$HM$50=L$3)*(GMW!$HN$2:$HN$50=L$1),0),$B149-1973)</f>
        <v>31361</v>
      </c>
      <c r="M149" cm="1">
        <f t="array" ref="M149">INDEX(GMW!$A$2:$HN$50,MATCH(1,(GMW!$HM$2:$HM$50=M$3)*(GMW!$HN$2:$HN$50=M$1),0),$B149-1973)</f>
        <v>7286.7740000000003</v>
      </c>
      <c r="N149" cm="1">
        <f t="array" ref="N149">INDEX(GMW!$A$2:$HN$50,MATCH(1,(GMW!$HM$2:$HM$50=N$3)*(GMW!$HN$2:$HN$50=N$1),0),$B149-1973)</f>
        <v>5.4</v>
      </c>
      <c r="O149" cm="1">
        <f t="array" ref="O149">INDEX(GMW!$A$2:$HN$50,MATCH(1,(GMW!$HM$2:$HM$50=O$3)*(GMW!$HN$2:$HN$50=O$1),0),$B149-1973)</f>
        <v>388638</v>
      </c>
      <c r="P149" cm="1">
        <f t="array" ref="P149">INDEX(GMW!$A$2:$HN$50,MATCH(1,(GMW!$HM$2:$HM$50=P$3)*(GMW!$HN$2:$HN$50=P$1),0),$B149-1973)</f>
        <v>20846</v>
      </c>
    </row>
    <row r="150" spans="1:16">
      <c r="B150">
        <f t="shared" si="6"/>
        <v>2123</v>
      </c>
      <c r="C150">
        <f t="shared" si="7"/>
        <v>2015</v>
      </c>
      <c r="D150">
        <f t="shared" si="7"/>
        <v>2015</v>
      </c>
      <c r="E150" cm="1">
        <f t="array" ref="E150">INDEX(GMW!$A$2:$HN$50,MATCH(1,(GMW!$HM$2:$HM$50=E$3)*(GMW!$HN$2:$HN$50=E$1),0),$B150-1973)</f>
        <v>578068</v>
      </c>
      <c r="F150" cm="1">
        <f t="array" ref="F150">INDEX(GMW!$A$2:$HN$50,MATCH(1,(GMW!$HM$2:$HM$50=F$3)*(GMW!$HN$2:$HN$50=F$1),0),$B150-1973)</f>
        <v>31569</v>
      </c>
      <c r="G150" cm="1">
        <f t="array" ref="G150">INDEX(GMW!$A$2:$HN$50,MATCH(1,(GMW!$HM$2:$HM$50=G$3)*(GMW!$HN$2:$HN$50=G$1),0),$B150-1973)</f>
        <v>7292.8819999999996</v>
      </c>
      <c r="H150" cm="1">
        <f t="array" ref="H150">INDEX(GMW!$A$2:$HN$50,MATCH(1,(GMW!$HM$2:$HM$50=H$3)*(GMW!$HN$2:$HN$50=H$1),0),$B150-1973)</f>
        <v>5.0999999999999996</v>
      </c>
      <c r="I150" cm="1">
        <f t="array" ref="I150">INDEX(GMW!$A$2:$HN$50,MATCH(1,(GMW!$HM$2:$HM$50=I$3)*(GMW!$HN$2:$HN$50=I$1),0),$B150-1973)</f>
        <v>388470</v>
      </c>
      <c r="J150" cm="1">
        <f t="array" ref="J150">INDEX(GMW!$A$2:$HN$50,MATCH(1,(GMW!$HM$2:$HM$50=J$3)*(GMW!$HN$2:$HN$50=J$1),0),$B150-1973)</f>
        <v>21129</v>
      </c>
      <c r="K150" cm="1">
        <f t="array" ref="K150">INDEX(GMW!$A$2:$HN$50,MATCH(1,(GMW!$HM$2:$HM$50=K$3)*(GMW!$HN$2:$HN$50=K$1),0),$B150-1973)</f>
        <v>578068</v>
      </c>
      <c r="L150" cm="1">
        <f t="array" ref="L150">INDEX(GMW!$A$2:$HN$50,MATCH(1,(GMW!$HM$2:$HM$50=L$3)*(GMW!$HN$2:$HN$50=L$1),0),$B150-1973)</f>
        <v>31569</v>
      </c>
      <c r="M150" cm="1">
        <f t="array" ref="M150">INDEX(GMW!$A$2:$HN$50,MATCH(1,(GMW!$HM$2:$HM$50=M$3)*(GMW!$HN$2:$HN$50=M$1),0),$B150-1973)</f>
        <v>7292.8819999999996</v>
      </c>
      <c r="N150" cm="1">
        <f t="array" ref="N150">INDEX(GMW!$A$2:$HN$50,MATCH(1,(GMW!$HM$2:$HM$50=N$3)*(GMW!$HN$2:$HN$50=N$1),0),$B150-1973)</f>
        <v>5.0999999999999996</v>
      </c>
      <c r="O150" cm="1">
        <f t="array" ref="O150">INDEX(GMW!$A$2:$HN$50,MATCH(1,(GMW!$HM$2:$HM$50=O$3)*(GMW!$HN$2:$HN$50=O$1),0),$B150-1973)</f>
        <v>388470</v>
      </c>
      <c r="P150" cm="1">
        <f t="array" ref="P150">INDEX(GMW!$A$2:$HN$50,MATCH(1,(GMW!$HM$2:$HM$50=P$3)*(GMW!$HN$2:$HN$50=P$1),0),$B150-1973)</f>
        <v>21129</v>
      </c>
    </row>
    <row r="151" spans="1:16">
      <c r="A151">
        <v>2016</v>
      </c>
      <c r="B151">
        <f t="shared" si="6"/>
        <v>2124</v>
      </c>
      <c r="C151">
        <f t="shared" si="7"/>
        <v>2016</v>
      </c>
      <c r="D151">
        <f t="shared" si="7"/>
        <v>2015</v>
      </c>
      <c r="E151" cm="1">
        <f t="array" ref="E151">INDEX(GMW!$A$2:$HN$50,MATCH(1,(GMW!$HM$2:$HM$50=E$3)*(GMW!$HN$2:$HN$50=E$1),0),$B151-1973)</f>
        <v>580110</v>
      </c>
      <c r="F151" cm="1">
        <f t="array" ref="F151">INDEX(GMW!$A$2:$HN$50,MATCH(1,(GMW!$HM$2:$HM$50=F$3)*(GMW!$HN$2:$HN$50=F$1),0),$B151-1973)</f>
        <v>31603</v>
      </c>
      <c r="G151" cm="1">
        <f t="array" ref="G151">INDEX(GMW!$A$2:$HN$50,MATCH(1,(GMW!$HM$2:$HM$50=G$3)*(GMW!$HN$2:$HN$50=G$1),0),$B151-1973)</f>
        <v>7378.1360000000004</v>
      </c>
      <c r="H151" cm="1">
        <f t="array" ref="H151">INDEX(GMW!$A$2:$HN$50,MATCH(1,(GMW!$HM$2:$HM$50=H$3)*(GMW!$HN$2:$HN$50=H$1),0),$B151-1973)</f>
        <v>5.0999999999999996</v>
      </c>
      <c r="I151" cm="1">
        <f t="array" ref="I151">INDEX(GMW!$A$2:$HN$50,MATCH(1,(GMW!$HM$2:$HM$50=I$3)*(GMW!$HN$2:$HN$50=I$1),0),$B151-1973)</f>
        <v>386874</v>
      </c>
      <c r="J151" cm="1">
        <f t="array" ref="J151">INDEX(GMW!$A$2:$HN$50,MATCH(1,(GMW!$HM$2:$HM$50=J$3)*(GMW!$HN$2:$HN$50=J$1),0),$B151-1973)</f>
        <v>20549</v>
      </c>
      <c r="K151" cm="1">
        <f t="array" ref="K151">INDEX(GMW!$A$2:$HN$50,MATCH(1,(GMW!$HM$2:$HM$50=K$3)*(GMW!$HN$2:$HN$50=K$1),0),$B151-1973)</f>
        <v>580110</v>
      </c>
      <c r="L151" cm="1">
        <f t="array" ref="L151">INDEX(GMW!$A$2:$HN$50,MATCH(1,(GMW!$HM$2:$HM$50=L$3)*(GMW!$HN$2:$HN$50=L$1),0),$B151-1973)</f>
        <v>31603</v>
      </c>
      <c r="M151" cm="1">
        <f t="array" ref="M151">INDEX(GMW!$A$2:$HN$50,MATCH(1,(GMW!$HM$2:$HM$50=M$3)*(GMW!$HN$2:$HN$50=M$1),0),$B151-1973)</f>
        <v>7378.1360000000004</v>
      </c>
      <c r="N151" cm="1">
        <f t="array" ref="N151">INDEX(GMW!$A$2:$HN$50,MATCH(1,(GMW!$HM$2:$HM$50=N$3)*(GMW!$HN$2:$HN$50=N$1),0),$B151-1973)</f>
        <v>5.0999999999999996</v>
      </c>
      <c r="O151" cm="1">
        <f t="array" ref="O151">INDEX(GMW!$A$2:$HN$50,MATCH(1,(GMW!$HM$2:$HM$50=O$3)*(GMW!$HN$2:$HN$50=O$1),0),$B151-1973)</f>
        <v>386874</v>
      </c>
      <c r="P151" cm="1">
        <f t="array" ref="P151">INDEX(GMW!$A$2:$HN$50,MATCH(1,(GMW!$HM$2:$HM$50=P$3)*(GMW!$HN$2:$HN$50=P$1),0),$B151-1973)</f>
        <v>20549</v>
      </c>
    </row>
    <row r="152" spans="1:16">
      <c r="B152">
        <f t="shared" si="6"/>
        <v>2125</v>
      </c>
      <c r="C152">
        <f t="shared" si="7"/>
        <v>2016</v>
      </c>
      <c r="D152">
        <f t="shared" si="7"/>
        <v>2016</v>
      </c>
      <c r="E152" cm="1">
        <f t="array" ref="E152">INDEX(GMW!$A$2:$HN$50,MATCH(1,(GMW!$HM$2:$HM$50=E$3)*(GMW!$HN$2:$HN$50=E$1),0),$B152-1973)</f>
        <v>583383</v>
      </c>
      <c r="F152" cm="1">
        <f t="array" ref="F152">INDEX(GMW!$A$2:$HN$50,MATCH(1,(GMW!$HM$2:$HM$50=F$3)*(GMW!$HN$2:$HN$50=F$1),0),$B152-1973)</f>
        <v>31778</v>
      </c>
      <c r="G152" cm="1">
        <f t="array" ref="G152">INDEX(GMW!$A$2:$HN$50,MATCH(1,(GMW!$HM$2:$HM$50=G$3)*(GMW!$HN$2:$HN$50=G$1),0),$B152-1973)</f>
        <v>7418.134</v>
      </c>
      <c r="H152" cm="1">
        <f t="array" ref="H152">INDEX(GMW!$A$2:$HN$50,MATCH(1,(GMW!$HM$2:$HM$50=H$3)*(GMW!$HN$2:$HN$50=H$1),0),$B152-1973)</f>
        <v>5</v>
      </c>
      <c r="I152" cm="1">
        <f t="array" ref="I152">INDEX(GMW!$A$2:$HN$50,MATCH(1,(GMW!$HM$2:$HM$50=I$3)*(GMW!$HN$2:$HN$50=I$1),0),$B152-1973)</f>
        <v>387633</v>
      </c>
      <c r="J152" cm="1">
        <f t="array" ref="J152">INDEX(GMW!$A$2:$HN$50,MATCH(1,(GMW!$HM$2:$HM$50=J$3)*(GMW!$HN$2:$HN$50=J$1),0),$B152-1973)</f>
        <v>22462</v>
      </c>
      <c r="K152" cm="1">
        <f t="array" ref="K152">INDEX(GMW!$A$2:$HN$50,MATCH(1,(GMW!$HM$2:$HM$50=K$3)*(GMW!$HN$2:$HN$50=K$1),0),$B152-1973)</f>
        <v>583383</v>
      </c>
      <c r="L152" cm="1">
        <f t="array" ref="L152">INDEX(GMW!$A$2:$HN$50,MATCH(1,(GMW!$HM$2:$HM$50=L$3)*(GMW!$HN$2:$HN$50=L$1),0),$B152-1973)</f>
        <v>31778</v>
      </c>
      <c r="M152" cm="1">
        <f t="array" ref="M152">INDEX(GMW!$A$2:$HN$50,MATCH(1,(GMW!$HM$2:$HM$50=M$3)*(GMW!$HN$2:$HN$50=M$1),0),$B152-1973)</f>
        <v>7418.134</v>
      </c>
      <c r="N152" cm="1">
        <f t="array" ref="N152">INDEX(GMW!$A$2:$HN$50,MATCH(1,(GMW!$HM$2:$HM$50=N$3)*(GMW!$HN$2:$HN$50=N$1),0),$B152-1973)</f>
        <v>5</v>
      </c>
      <c r="O152" cm="1">
        <f t="array" ref="O152">INDEX(GMW!$A$2:$HN$50,MATCH(1,(GMW!$HM$2:$HM$50=O$3)*(GMW!$HN$2:$HN$50=O$1),0),$B152-1973)</f>
        <v>387633</v>
      </c>
      <c r="P152" cm="1">
        <f t="array" ref="P152">INDEX(GMW!$A$2:$HN$50,MATCH(1,(GMW!$HM$2:$HM$50=P$3)*(GMW!$HN$2:$HN$50=P$1),0),$B152-1973)</f>
        <v>22462</v>
      </c>
    </row>
    <row r="153" spans="1:16">
      <c r="B153">
        <f t="shared" si="6"/>
        <v>2126</v>
      </c>
      <c r="C153">
        <f t="shared" si="7"/>
        <v>2016</v>
      </c>
      <c r="D153">
        <f t="shared" si="7"/>
        <v>2016</v>
      </c>
      <c r="E153" cm="1">
        <f t="array" ref="E153">INDEX(GMW!$A$2:$HN$50,MATCH(1,(GMW!$HM$2:$HM$50=E$3)*(GMW!$HN$2:$HN$50=E$1),0),$B153-1973)</f>
        <v>585856</v>
      </c>
      <c r="F153" cm="1">
        <f t="array" ref="F153">INDEX(GMW!$A$2:$HN$50,MATCH(1,(GMW!$HM$2:$HM$50=F$3)*(GMW!$HN$2:$HN$50=F$1),0),$B153-1973)</f>
        <v>31843</v>
      </c>
      <c r="G153" cm="1">
        <f t="array" ref="G153">INDEX(GMW!$A$2:$HN$50,MATCH(1,(GMW!$HM$2:$HM$50=G$3)*(GMW!$HN$2:$HN$50=G$1),0),$B153-1973)</f>
        <v>7455.1180000000004</v>
      </c>
      <c r="H153" cm="1">
        <f t="array" ref="H153">INDEX(GMW!$A$2:$HN$50,MATCH(1,(GMW!$HM$2:$HM$50=H$3)*(GMW!$HN$2:$HN$50=H$1),0),$B153-1973)</f>
        <v>4.9000000000000004</v>
      </c>
      <c r="I153" cm="1">
        <f t="array" ref="I153">INDEX(GMW!$A$2:$HN$50,MATCH(1,(GMW!$HM$2:$HM$50=I$3)*(GMW!$HN$2:$HN$50=I$1),0),$B153-1973)</f>
        <v>384657</v>
      </c>
      <c r="J153" cm="1">
        <f t="array" ref="J153">INDEX(GMW!$A$2:$HN$50,MATCH(1,(GMW!$HM$2:$HM$50=J$3)*(GMW!$HN$2:$HN$50=J$1),0),$B153-1973)</f>
        <v>22802</v>
      </c>
      <c r="K153" cm="1">
        <f t="array" ref="K153">INDEX(GMW!$A$2:$HN$50,MATCH(1,(GMW!$HM$2:$HM$50=K$3)*(GMW!$HN$2:$HN$50=K$1),0),$B153-1973)</f>
        <v>585856</v>
      </c>
      <c r="L153" cm="1">
        <f t="array" ref="L153">INDEX(GMW!$A$2:$HN$50,MATCH(1,(GMW!$HM$2:$HM$50=L$3)*(GMW!$HN$2:$HN$50=L$1),0),$B153-1973)</f>
        <v>31843</v>
      </c>
      <c r="M153" cm="1">
        <f t="array" ref="M153">INDEX(GMW!$A$2:$HN$50,MATCH(1,(GMW!$HM$2:$HM$50=M$3)*(GMW!$HN$2:$HN$50=M$1),0),$B153-1973)</f>
        <v>7455.1180000000004</v>
      </c>
      <c r="N153" cm="1">
        <f t="array" ref="N153">INDEX(GMW!$A$2:$HN$50,MATCH(1,(GMW!$HM$2:$HM$50=N$3)*(GMW!$HN$2:$HN$50=N$1),0),$B153-1973)</f>
        <v>4.9000000000000004</v>
      </c>
      <c r="O153" cm="1">
        <f t="array" ref="O153">INDEX(GMW!$A$2:$HN$50,MATCH(1,(GMW!$HM$2:$HM$50=O$3)*(GMW!$HN$2:$HN$50=O$1),0),$B153-1973)</f>
        <v>384657</v>
      </c>
      <c r="P153" cm="1">
        <f t="array" ref="P153">INDEX(GMW!$A$2:$HN$50,MATCH(1,(GMW!$HM$2:$HM$50=P$3)*(GMW!$HN$2:$HN$50=P$1),0),$B153-1973)</f>
        <v>22802</v>
      </c>
    </row>
    <row r="154" spans="1:16">
      <c r="B154">
        <f t="shared" si="6"/>
        <v>2127</v>
      </c>
      <c r="C154">
        <f t="shared" si="7"/>
        <v>2016</v>
      </c>
      <c r="D154">
        <f t="shared" si="7"/>
        <v>2016</v>
      </c>
      <c r="E154" cm="1">
        <f t="array" ref="E154">INDEX(GMW!$A$2:$HN$50,MATCH(1,(GMW!$HM$2:$HM$50=E$3)*(GMW!$HN$2:$HN$50=E$1),0),$B154-1973)</f>
        <v>589476</v>
      </c>
      <c r="F154" cm="1">
        <f t="array" ref="F154">INDEX(GMW!$A$2:$HN$50,MATCH(1,(GMW!$HM$2:$HM$50=F$3)*(GMW!$HN$2:$HN$50=F$1),0),$B154-1973)</f>
        <v>31877</v>
      </c>
      <c r="G154" cm="1">
        <f t="array" ref="G154">INDEX(GMW!$A$2:$HN$50,MATCH(1,(GMW!$HM$2:$HM$50=G$3)*(GMW!$HN$2:$HN$50=G$1),0),$B154-1973)</f>
        <v>7453.085</v>
      </c>
      <c r="H154" cm="1">
        <f t="array" ref="H154">INDEX(GMW!$A$2:$HN$50,MATCH(1,(GMW!$HM$2:$HM$50=H$3)*(GMW!$HN$2:$HN$50=H$1),0),$B154-1973)</f>
        <v>4.8</v>
      </c>
      <c r="I154" cm="1">
        <f t="array" ref="I154">INDEX(GMW!$A$2:$HN$50,MATCH(1,(GMW!$HM$2:$HM$50=I$3)*(GMW!$HN$2:$HN$50=I$1),0),$B154-1973)</f>
        <v>381981</v>
      </c>
      <c r="J154" cm="1">
        <f t="array" ref="J154">INDEX(GMW!$A$2:$HN$50,MATCH(1,(GMW!$HM$2:$HM$50=J$3)*(GMW!$HN$2:$HN$50=J$1),0),$B154-1973)</f>
        <v>23011</v>
      </c>
      <c r="K154" cm="1">
        <f t="array" ref="K154">INDEX(GMW!$A$2:$HN$50,MATCH(1,(GMW!$HM$2:$HM$50=K$3)*(GMW!$HN$2:$HN$50=K$1),0),$B154-1973)</f>
        <v>589476</v>
      </c>
      <c r="L154" cm="1">
        <f t="array" ref="L154">INDEX(GMW!$A$2:$HN$50,MATCH(1,(GMW!$HM$2:$HM$50=L$3)*(GMW!$HN$2:$HN$50=L$1),0),$B154-1973)</f>
        <v>31877</v>
      </c>
      <c r="M154" cm="1">
        <f t="array" ref="M154">INDEX(GMW!$A$2:$HN$50,MATCH(1,(GMW!$HM$2:$HM$50=M$3)*(GMW!$HN$2:$HN$50=M$1),0),$B154-1973)</f>
        <v>7453.085</v>
      </c>
      <c r="N154" cm="1">
        <f t="array" ref="N154">INDEX(GMW!$A$2:$HN$50,MATCH(1,(GMW!$HM$2:$HM$50=N$3)*(GMW!$HN$2:$HN$50=N$1),0),$B154-1973)</f>
        <v>4.8</v>
      </c>
      <c r="O154" cm="1">
        <f t="array" ref="O154">INDEX(GMW!$A$2:$HN$50,MATCH(1,(GMW!$HM$2:$HM$50=O$3)*(GMW!$HN$2:$HN$50=O$1),0),$B154-1973)</f>
        <v>381981</v>
      </c>
      <c r="P154" cm="1">
        <f t="array" ref="P154">INDEX(GMW!$A$2:$HN$50,MATCH(1,(GMW!$HM$2:$HM$50=P$3)*(GMW!$HN$2:$HN$50=P$1),0),$B154-1973)</f>
        <v>23011</v>
      </c>
    </row>
    <row r="155" spans="1:16">
      <c r="A155">
        <v>2017</v>
      </c>
      <c r="B155">
        <f t="shared" si="6"/>
        <v>2128</v>
      </c>
      <c r="C155">
        <f t="shared" si="7"/>
        <v>2017</v>
      </c>
      <c r="D155">
        <f t="shared" si="7"/>
        <v>2016</v>
      </c>
      <c r="E155" cm="1">
        <f t="array" ref="E155">INDEX(GMW!$A$2:$HN$50,MATCH(1,(GMW!$HM$2:$HM$50=E$3)*(GMW!$HN$2:$HN$50=E$1),0),$B155-1973)</f>
        <v>594423</v>
      </c>
      <c r="F155" cm="1">
        <f t="array" ref="F155">INDEX(GMW!$A$2:$HN$50,MATCH(1,(GMW!$HM$2:$HM$50=F$3)*(GMW!$HN$2:$HN$50=F$1),0),$B155-1973)</f>
        <v>31978</v>
      </c>
      <c r="G155" cm="1">
        <f t="array" ref="G155">INDEX(GMW!$A$2:$HN$50,MATCH(1,(GMW!$HM$2:$HM$50=G$3)*(GMW!$HN$2:$HN$50=G$1),0),$B155-1973)</f>
        <v>7552.2139999999999</v>
      </c>
      <c r="H155" cm="1">
        <f t="array" ref="H155">INDEX(GMW!$A$2:$HN$50,MATCH(1,(GMW!$HM$2:$HM$50=H$3)*(GMW!$HN$2:$HN$50=H$1),0),$B155-1973)</f>
        <v>4.5999999999999996</v>
      </c>
      <c r="I155" cm="1">
        <f t="array" ref="I155">INDEX(GMW!$A$2:$HN$50,MATCH(1,(GMW!$HM$2:$HM$50=I$3)*(GMW!$HN$2:$HN$50=I$1),0),$B155-1973)</f>
        <v>382290</v>
      </c>
      <c r="J155" cm="1">
        <f t="array" ref="J155">INDEX(GMW!$A$2:$HN$50,MATCH(1,(GMW!$HM$2:$HM$50=J$3)*(GMW!$HN$2:$HN$50=J$1),0),$B155-1973)</f>
        <v>23425</v>
      </c>
      <c r="K155" cm="1">
        <f t="array" ref="K155">INDEX(GMW!$A$2:$HN$50,MATCH(1,(GMW!$HM$2:$HM$50=K$3)*(GMW!$HN$2:$HN$50=K$1),0),$B155-1973)</f>
        <v>594423</v>
      </c>
      <c r="L155" cm="1">
        <f t="array" ref="L155">INDEX(GMW!$A$2:$HN$50,MATCH(1,(GMW!$HM$2:$HM$50=L$3)*(GMW!$HN$2:$HN$50=L$1),0),$B155-1973)</f>
        <v>31978</v>
      </c>
      <c r="M155" cm="1">
        <f t="array" ref="M155">INDEX(GMW!$A$2:$HN$50,MATCH(1,(GMW!$HM$2:$HM$50=M$3)*(GMW!$HN$2:$HN$50=M$1),0),$B155-1973)</f>
        <v>7552.2139999999999</v>
      </c>
      <c r="N155" cm="1">
        <f t="array" ref="N155">INDEX(GMW!$A$2:$HN$50,MATCH(1,(GMW!$HM$2:$HM$50=N$3)*(GMW!$HN$2:$HN$50=N$1),0),$B155-1973)</f>
        <v>4.5999999999999996</v>
      </c>
      <c r="O155" cm="1">
        <f t="array" ref="O155">INDEX(GMW!$A$2:$HN$50,MATCH(1,(GMW!$HM$2:$HM$50=O$3)*(GMW!$HN$2:$HN$50=O$1),0),$B155-1973)</f>
        <v>382290</v>
      </c>
      <c r="P155" cm="1">
        <f t="array" ref="P155">INDEX(GMW!$A$2:$HN$50,MATCH(1,(GMW!$HM$2:$HM$50=P$3)*(GMW!$HN$2:$HN$50=P$1),0),$B155-1973)</f>
        <v>23425</v>
      </c>
    </row>
    <row r="156" spans="1:16">
      <c r="B156">
        <f t="shared" si="6"/>
        <v>2129</v>
      </c>
      <c r="C156">
        <f t="shared" si="7"/>
        <v>2017</v>
      </c>
      <c r="D156">
        <f t="shared" si="7"/>
        <v>2017</v>
      </c>
      <c r="E156" cm="1">
        <f t="array" ref="E156">INDEX(GMW!$A$2:$HN$50,MATCH(1,(GMW!$HM$2:$HM$50=E$3)*(GMW!$HN$2:$HN$50=E$1),0),$B156-1973)</f>
        <v>598176</v>
      </c>
      <c r="F156" cm="1">
        <f t="array" ref="F156">INDEX(GMW!$A$2:$HN$50,MATCH(1,(GMW!$HM$2:$HM$50=F$3)*(GMW!$HN$2:$HN$50=F$1),0),$B156-1973)</f>
        <v>32098</v>
      </c>
      <c r="G156" cm="1">
        <f t="array" ref="G156">INDEX(GMW!$A$2:$HN$50,MATCH(1,(GMW!$HM$2:$HM$50=G$3)*(GMW!$HN$2:$HN$50=G$1),0),$B156-1973)</f>
        <v>7621.8649999999998</v>
      </c>
      <c r="H156" cm="1">
        <f t="array" ref="H156">INDEX(GMW!$A$2:$HN$50,MATCH(1,(GMW!$HM$2:$HM$50=H$3)*(GMW!$HN$2:$HN$50=H$1),0),$B156-1973)</f>
        <v>4.5</v>
      </c>
      <c r="I156" cm="1">
        <f t="array" ref="I156">INDEX(GMW!$A$2:$HN$50,MATCH(1,(GMW!$HM$2:$HM$50=I$3)*(GMW!$HN$2:$HN$50=I$1),0),$B156-1973)</f>
        <v>390332</v>
      </c>
      <c r="J156" cm="1">
        <f t="array" ref="J156">INDEX(GMW!$A$2:$HN$50,MATCH(1,(GMW!$HM$2:$HM$50=J$3)*(GMW!$HN$2:$HN$50=J$1),0),$B156-1973)</f>
        <v>23645</v>
      </c>
      <c r="K156" cm="1">
        <f t="array" ref="K156">INDEX(GMW!$A$2:$HN$50,MATCH(1,(GMW!$HM$2:$HM$50=K$3)*(GMW!$HN$2:$HN$50=K$1),0),$B156-1973)</f>
        <v>598176</v>
      </c>
      <c r="L156" cm="1">
        <f t="array" ref="L156">INDEX(GMW!$A$2:$HN$50,MATCH(1,(GMW!$HM$2:$HM$50=L$3)*(GMW!$HN$2:$HN$50=L$1),0),$B156-1973)</f>
        <v>32098</v>
      </c>
      <c r="M156" cm="1">
        <f t="array" ref="M156">INDEX(GMW!$A$2:$HN$50,MATCH(1,(GMW!$HM$2:$HM$50=M$3)*(GMW!$HN$2:$HN$50=M$1),0),$B156-1973)</f>
        <v>7621.8649999999998</v>
      </c>
      <c r="N156" cm="1">
        <f t="array" ref="N156">INDEX(GMW!$A$2:$HN$50,MATCH(1,(GMW!$HM$2:$HM$50=N$3)*(GMW!$HN$2:$HN$50=N$1),0),$B156-1973)</f>
        <v>4.5</v>
      </c>
      <c r="O156" cm="1">
        <f t="array" ref="O156">INDEX(GMW!$A$2:$HN$50,MATCH(1,(GMW!$HM$2:$HM$50=O$3)*(GMW!$HN$2:$HN$50=O$1),0),$B156-1973)</f>
        <v>390332</v>
      </c>
      <c r="P156" cm="1">
        <f t="array" ref="P156">INDEX(GMW!$A$2:$HN$50,MATCH(1,(GMW!$HM$2:$HM$50=P$3)*(GMW!$HN$2:$HN$50=P$1),0),$B156-1973)</f>
        <v>23645</v>
      </c>
    </row>
    <row r="157" spans="1:16">
      <c r="B157">
        <f t="shared" si="6"/>
        <v>2130</v>
      </c>
      <c r="C157">
        <f t="shared" si="7"/>
        <v>2017</v>
      </c>
      <c r="D157">
        <f t="shared" si="7"/>
        <v>2017</v>
      </c>
      <c r="E157" cm="1">
        <f t="array" ref="E157">INDEX(GMW!$A$2:$HN$50,MATCH(1,(GMW!$HM$2:$HM$50=E$3)*(GMW!$HN$2:$HN$50=E$1),0),$B157-1973)</f>
        <v>601961</v>
      </c>
      <c r="F157" cm="1">
        <f t="array" ref="F157">INDEX(GMW!$A$2:$HN$50,MATCH(1,(GMW!$HM$2:$HM$50=F$3)*(GMW!$HN$2:$HN$50=F$1),0),$B157-1973)</f>
        <v>32093</v>
      </c>
      <c r="G157" cm="1">
        <f t="array" ref="G157">INDEX(GMW!$A$2:$HN$50,MATCH(1,(GMW!$HM$2:$HM$50=G$3)*(GMW!$HN$2:$HN$50=G$1),0),$B157-1973)</f>
        <v>7682.0569999999998</v>
      </c>
      <c r="H157" cm="1">
        <f t="array" ref="H157">INDEX(GMW!$A$2:$HN$50,MATCH(1,(GMW!$HM$2:$HM$50=H$3)*(GMW!$HN$2:$HN$50=H$1),0),$B157-1973)</f>
        <v>4.3</v>
      </c>
      <c r="I157" cm="1">
        <f t="array" ref="I157">INDEX(GMW!$A$2:$HN$50,MATCH(1,(GMW!$HM$2:$HM$50=I$3)*(GMW!$HN$2:$HN$50=I$1),0),$B157-1973)</f>
        <v>390954</v>
      </c>
      <c r="J157" cm="1">
        <f t="array" ref="J157">INDEX(GMW!$A$2:$HN$50,MATCH(1,(GMW!$HM$2:$HM$50=J$3)*(GMW!$HN$2:$HN$50=J$1),0),$B157-1973)</f>
        <v>23594</v>
      </c>
      <c r="K157" cm="1">
        <f t="array" ref="K157">INDEX(GMW!$A$2:$HN$50,MATCH(1,(GMW!$HM$2:$HM$50=K$3)*(GMW!$HN$2:$HN$50=K$1),0),$B157-1973)</f>
        <v>601961</v>
      </c>
      <c r="L157" cm="1">
        <f t="array" ref="L157">INDEX(GMW!$A$2:$HN$50,MATCH(1,(GMW!$HM$2:$HM$50=L$3)*(GMW!$HN$2:$HN$50=L$1),0),$B157-1973)</f>
        <v>32093</v>
      </c>
      <c r="M157" cm="1">
        <f t="array" ref="M157">INDEX(GMW!$A$2:$HN$50,MATCH(1,(GMW!$HM$2:$HM$50=M$3)*(GMW!$HN$2:$HN$50=M$1),0),$B157-1973)</f>
        <v>7682.0569999999998</v>
      </c>
      <c r="N157" cm="1">
        <f t="array" ref="N157">INDEX(GMW!$A$2:$HN$50,MATCH(1,(GMW!$HM$2:$HM$50=N$3)*(GMW!$HN$2:$HN$50=N$1),0),$B157-1973)</f>
        <v>4.3</v>
      </c>
      <c r="O157" cm="1">
        <f t="array" ref="O157">INDEX(GMW!$A$2:$HN$50,MATCH(1,(GMW!$HM$2:$HM$50=O$3)*(GMW!$HN$2:$HN$50=O$1),0),$B157-1973)</f>
        <v>390954</v>
      </c>
      <c r="P157" cm="1">
        <f t="array" ref="P157">INDEX(GMW!$A$2:$HN$50,MATCH(1,(GMW!$HM$2:$HM$50=P$3)*(GMW!$HN$2:$HN$50=P$1),0),$B157-1973)</f>
        <v>23594</v>
      </c>
    </row>
    <row r="158" spans="1:16">
      <c r="B158">
        <f t="shared" si="6"/>
        <v>2131</v>
      </c>
      <c r="C158">
        <f t="shared" si="7"/>
        <v>2017</v>
      </c>
      <c r="D158">
        <f t="shared" si="7"/>
        <v>2017</v>
      </c>
      <c r="E158" cm="1">
        <f t="array" ref="E158">INDEX(GMW!$A$2:$HN$50,MATCH(1,(GMW!$HM$2:$HM$50=E$3)*(GMW!$HN$2:$HN$50=E$1),0),$B158-1973)</f>
        <v>606396</v>
      </c>
      <c r="F158" cm="1">
        <f t="array" ref="F158">INDEX(GMW!$A$2:$HN$50,MATCH(1,(GMW!$HM$2:$HM$50=F$3)*(GMW!$HN$2:$HN$50=F$1),0),$B158-1973)</f>
        <v>32179</v>
      </c>
      <c r="G158" cm="1">
        <f t="array" ref="G158">INDEX(GMW!$A$2:$HN$50,MATCH(1,(GMW!$HM$2:$HM$50=G$3)*(GMW!$HN$2:$HN$50=G$1),0),$B158-1973)</f>
        <v>7709.6490000000003</v>
      </c>
      <c r="H158" cm="1">
        <f t="array" ref="H158">INDEX(GMW!$A$2:$HN$50,MATCH(1,(GMW!$HM$2:$HM$50=H$3)*(GMW!$HN$2:$HN$50=H$1),0),$B158-1973)</f>
        <v>4.4000000000000004</v>
      </c>
      <c r="I158" cm="1">
        <f t="array" ref="I158">INDEX(GMW!$A$2:$HN$50,MATCH(1,(GMW!$HM$2:$HM$50=I$3)*(GMW!$HN$2:$HN$50=I$1),0),$B158-1973)</f>
        <v>391273</v>
      </c>
      <c r="J158" cm="1">
        <f t="array" ref="J158">INDEX(GMW!$A$2:$HN$50,MATCH(1,(GMW!$HM$2:$HM$50=J$3)*(GMW!$HN$2:$HN$50=J$1),0),$B158-1973)</f>
        <v>23997</v>
      </c>
      <c r="K158" cm="1">
        <f t="array" ref="K158">INDEX(GMW!$A$2:$HN$50,MATCH(1,(GMW!$HM$2:$HM$50=K$3)*(GMW!$HN$2:$HN$50=K$1),0),$B158-1973)</f>
        <v>606396</v>
      </c>
      <c r="L158" cm="1">
        <f t="array" ref="L158">INDEX(GMW!$A$2:$HN$50,MATCH(1,(GMW!$HM$2:$HM$50=L$3)*(GMW!$HN$2:$HN$50=L$1),0),$B158-1973)</f>
        <v>32179</v>
      </c>
      <c r="M158" cm="1">
        <f t="array" ref="M158">INDEX(GMW!$A$2:$HN$50,MATCH(1,(GMW!$HM$2:$HM$50=M$3)*(GMW!$HN$2:$HN$50=M$1),0),$B158-1973)</f>
        <v>7709.6490000000003</v>
      </c>
      <c r="N158" cm="1">
        <f t="array" ref="N158">INDEX(GMW!$A$2:$HN$50,MATCH(1,(GMW!$HM$2:$HM$50=N$3)*(GMW!$HN$2:$HN$50=N$1),0),$B158-1973)</f>
        <v>4.4000000000000004</v>
      </c>
      <c r="O158" cm="1">
        <f t="array" ref="O158">INDEX(GMW!$A$2:$HN$50,MATCH(1,(GMW!$HM$2:$HM$50=O$3)*(GMW!$HN$2:$HN$50=O$1),0),$B158-1973)</f>
        <v>391273</v>
      </c>
      <c r="P158" cm="1">
        <f t="array" ref="P158">INDEX(GMW!$A$2:$HN$50,MATCH(1,(GMW!$HM$2:$HM$50=P$3)*(GMW!$HN$2:$HN$50=P$1),0),$B158-1973)</f>
        <v>23997</v>
      </c>
    </row>
    <row r="159" spans="1:16">
      <c r="A159">
        <v>2018</v>
      </c>
      <c r="B159">
        <f t="shared" si="6"/>
        <v>2132</v>
      </c>
      <c r="C159">
        <f t="shared" si="7"/>
        <v>2018</v>
      </c>
      <c r="D159">
        <f t="shared" si="7"/>
        <v>2017</v>
      </c>
      <c r="E159" cm="1">
        <f t="array" ref="E159">INDEX(GMW!$A$2:$HN$50,MATCH(1,(GMW!$HM$2:$HM$50=E$3)*(GMW!$HN$2:$HN$50=E$1),0),$B159-1973)</f>
        <v>606785</v>
      </c>
      <c r="F159" cm="1">
        <f t="array" ref="F159">INDEX(GMW!$A$2:$HN$50,MATCH(1,(GMW!$HM$2:$HM$50=F$3)*(GMW!$HN$2:$HN$50=F$1),0),$B159-1973)</f>
        <v>32364</v>
      </c>
      <c r="G159" cm="1">
        <f t="array" ref="G159">INDEX(GMW!$A$2:$HN$50,MATCH(1,(GMW!$HM$2:$HM$50=G$3)*(GMW!$HN$2:$HN$50=G$1),0),$B159-1973)</f>
        <v>7783.6279999999997</v>
      </c>
      <c r="H159" cm="1">
        <f t="array" ref="H159">INDEX(GMW!$A$2:$HN$50,MATCH(1,(GMW!$HM$2:$HM$50=H$3)*(GMW!$HN$2:$HN$50=H$1),0),$B159-1973)</f>
        <v>4.3</v>
      </c>
      <c r="I159" cm="1">
        <f t="array" ref="I159">INDEX(GMW!$A$2:$HN$50,MATCH(1,(GMW!$HM$2:$HM$50=I$3)*(GMW!$HN$2:$HN$50=I$1),0),$B159-1973)</f>
        <v>395975</v>
      </c>
      <c r="J159" cm="1">
        <f t="array" ref="J159">INDEX(GMW!$A$2:$HN$50,MATCH(1,(GMW!$HM$2:$HM$50=J$3)*(GMW!$HN$2:$HN$50=J$1),0),$B159-1973)</f>
        <v>24296</v>
      </c>
      <c r="K159" cm="1">
        <f t="array" ref="K159">INDEX(GMW!$A$2:$HN$50,MATCH(1,(GMW!$HM$2:$HM$50=K$3)*(GMW!$HN$2:$HN$50=K$1),0),$B159-1973)</f>
        <v>606785</v>
      </c>
      <c r="L159" cm="1">
        <f t="array" ref="L159">INDEX(GMW!$A$2:$HN$50,MATCH(1,(GMW!$HM$2:$HM$50=L$3)*(GMW!$HN$2:$HN$50=L$1),0),$B159-1973)</f>
        <v>32364</v>
      </c>
      <c r="M159" cm="1">
        <f t="array" ref="M159">INDEX(GMW!$A$2:$HN$50,MATCH(1,(GMW!$HM$2:$HM$50=M$3)*(GMW!$HN$2:$HN$50=M$1),0),$B159-1973)</f>
        <v>7783.6279999999997</v>
      </c>
      <c r="N159" cm="1">
        <f t="array" ref="N159">INDEX(GMW!$A$2:$HN$50,MATCH(1,(GMW!$HM$2:$HM$50=N$3)*(GMW!$HN$2:$HN$50=N$1),0),$B159-1973)</f>
        <v>4.3</v>
      </c>
      <c r="O159" cm="1">
        <f t="array" ref="O159">INDEX(GMW!$A$2:$HN$50,MATCH(1,(GMW!$HM$2:$HM$50=O$3)*(GMW!$HN$2:$HN$50=O$1),0),$B159-1973)</f>
        <v>395975</v>
      </c>
      <c r="P159" cm="1">
        <f t="array" ref="P159">INDEX(GMW!$A$2:$HN$50,MATCH(1,(GMW!$HM$2:$HM$50=P$3)*(GMW!$HN$2:$HN$50=P$1),0),$B159-1973)</f>
        <v>24296</v>
      </c>
    </row>
    <row r="160" spans="1:16">
      <c r="B160">
        <f t="shared" si="6"/>
        <v>2133</v>
      </c>
      <c r="C160">
        <f t="shared" si="7"/>
        <v>2018</v>
      </c>
      <c r="D160">
        <f t="shared" si="7"/>
        <v>2018</v>
      </c>
      <c r="E160" cm="1">
        <f t="array" ref="E160">INDEX(GMW!$A$2:$HN$50,MATCH(1,(GMW!$HM$2:$HM$50=E$3)*(GMW!$HN$2:$HN$50=E$1),0),$B160-1973)</f>
        <v>607775</v>
      </c>
      <c r="F160" cm="1">
        <f t="array" ref="F160">INDEX(GMW!$A$2:$HN$50,MATCH(1,(GMW!$HM$2:$HM$50=F$3)*(GMW!$HN$2:$HN$50=F$1),0),$B160-1973)</f>
        <v>32403</v>
      </c>
      <c r="G160" cm="1">
        <f t="array" ref="G160">INDEX(GMW!$A$2:$HN$50,MATCH(1,(GMW!$HM$2:$HM$50=G$3)*(GMW!$HN$2:$HN$50=G$1),0),$B160-1973)</f>
        <v>7753.0959999999995</v>
      </c>
      <c r="H160" cm="1">
        <f t="array" ref="H160">INDEX(GMW!$A$2:$HN$50,MATCH(1,(GMW!$HM$2:$HM$50=H$3)*(GMW!$HN$2:$HN$50=H$1),0),$B160-1973)</f>
        <v>4.0999999999999996</v>
      </c>
      <c r="I160" cm="1">
        <f t="array" ref="I160">INDEX(GMW!$A$2:$HN$50,MATCH(1,(GMW!$HM$2:$HM$50=I$3)*(GMW!$HN$2:$HN$50=I$1),0),$B160-1973)</f>
        <v>394175</v>
      </c>
      <c r="J160" cm="1">
        <f t="array" ref="J160">INDEX(GMW!$A$2:$HN$50,MATCH(1,(GMW!$HM$2:$HM$50=J$3)*(GMW!$HN$2:$HN$50=J$1),0),$B160-1973)</f>
        <v>24403</v>
      </c>
      <c r="K160" cm="1">
        <f t="array" ref="K160">INDEX(GMW!$A$2:$HN$50,MATCH(1,(GMW!$HM$2:$HM$50=K$3)*(GMW!$HN$2:$HN$50=K$1),0),$B160-1973)</f>
        <v>607775</v>
      </c>
      <c r="L160" cm="1">
        <f t="array" ref="L160">INDEX(GMW!$A$2:$HN$50,MATCH(1,(GMW!$HM$2:$HM$50=L$3)*(GMW!$HN$2:$HN$50=L$1),0),$B160-1973)</f>
        <v>32403</v>
      </c>
      <c r="M160" cm="1">
        <f t="array" ref="M160">INDEX(GMW!$A$2:$HN$50,MATCH(1,(GMW!$HM$2:$HM$50=M$3)*(GMW!$HN$2:$HN$50=M$1),0),$B160-1973)</f>
        <v>7753.0959999999995</v>
      </c>
      <c r="N160" cm="1">
        <f t="array" ref="N160">INDEX(GMW!$A$2:$HN$50,MATCH(1,(GMW!$HM$2:$HM$50=N$3)*(GMW!$HN$2:$HN$50=N$1),0),$B160-1973)</f>
        <v>4.0999999999999996</v>
      </c>
      <c r="O160" cm="1">
        <f t="array" ref="O160">INDEX(GMW!$A$2:$HN$50,MATCH(1,(GMW!$HM$2:$HM$50=O$3)*(GMW!$HN$2:$HN$50=O$1),0),$B160-1973)</f>
        <v>394175</v>
      </c>
      <c r="P160" cm="1">
        <f t="array" ref="P160">INDEX(GMW!$A$2:$HN$50,MATCH(1,(GMW!$HM$2:$HM$50=P$3)*(GMW!$HN$2:$HN$50=P$1),0),$B160-1973)</f>
        <v>24403</v>
      </c>
    </row>
    <row r="161" spans="1:16">
      <c r="B161">
        <f t="shared" si="6"/>
        <v>2134</v>
      </c>
      <c r="C161">
        <f t="shared" si="7"/>
        <v>2018</v>
      </c>
      <c r="D161">
        <f t="shared" si="7"/>
        <v>2018</v>
      </c>
      <c r="E161" cm="1">
        <f t="array" ref="E161">INDEX(GMW!$A$2:$HN$50,MATCH(1,(GMW!$HM$2:$HM$50=E$3)*(GMW!$HN$2:$HN$50=E$1),0),$B161-1973)</f>
        <v>609653</v>
      </c>
      <c r="F161" cm="1">
        <f t="array" ref="F161">INDEX(GMW!$A$2:$HN$50,MATCH(1,(GMW!$HM$2:$HM$50=F$3)*(GMW!$HN$2:$HN$50=F$1),0),$B161-1973)</f>
        <v>32448</v>
      </c>
      <c r="G161" cm="1">
        <f t="array" ref="G161">INDEX(GMW!$A$2:$HN$50,MATCH(1,(GMW!$HM$2:$HM$50=G$3)*(GMW!$HN$2:$HN$50=G$1),0),$B161-1973)</f>
        <v>7876.518</v>
      </c>
      <c r="H161" cm="1">
        <f t="array" ref="H161">INDEX(GMW!$A$2:$HN$50,MATCH(1,(GMW!$HM$2:$HM$50=H$3)*(GMW!$HN$2:$HN$50=H$1),0),$B161-1973)</f>
        <v>4.2</v>
      </c>
      <c r="I161" cm="1">
        <f t="array" ref="I161">INDEX(GMW!$A$2:$HN$50,MATCH(1,(GMW!$HM$2:$HM$50=I$3)*(GMW!$HN$2:$HN$50=I$1),0),$B161-1973)</f>
        <v>395431</v>
      </c>
      <c r="J161" cm="1">
        <f t="array" ref="J161">INDEX(GMW!$A$2:$HN$50,MATCH(1,(GMW!$HM$2:$HM$50=J$3)*(GMW!$HN$2:$HN$50=J$1),0),$B161-1973)</f>
        <v>24535</v>
      </c>
      <c r="K161" cm="1">
        <f t="array" ref="K161">INDEX(GMW!$A$2:$HN$50,MATCH(1,(GMW!$HM$2:$HM$50=K$3)*(GMW!$HN$2:$HN$50=K$1),0),$B161-1973)</f>
        <v>609653</v>
      </c>
      <c r="L161" cm="1">
        <f t="array" ref="L161">INDEX(GMW!$A$2:$HN$50,MATCH(1,(GMW!$HM$2:$HM$50=L$3)*(GMW!$HN$2:$HN$50=L$1),0),$B161-1973)</f>
        <v>32448</v>
      </c>
      <c r="M161" cm="1">
        <f t="array" ref="M161">INDEX(GMW!$A$2:$HN$50,MATCH(1,(GMW!$HM$2:$HM$50=M$3)*(GMW!$HN$2:$HN$50=M$1),0),$B161-1973)</f>
        <v>7876.518</v>
      </c>
      <c r="N161" cm="1">
        <f t="array" ref="N161">INDEX(GMW!$A$2:$HN$50,MATCH(1,(GMW!$HM$2:$HM$50=N$3)*(GMW!$HN$2:$HN$50=N$1),0),$B161-1973)</f>
        <v>4.2</v>
      </c>
      <c r="O161" cm="1">
        <f t="array" ref="O161">INDEX(GMW!$A$2:$HN$50,MATCH(1,(GMW!$HM$2:$HM$50=O$3)*(GMW!$HN$2:$HN$50=O$1),0),$B161-1973)</f>
        <v>395431</v>
      </c>
      <c r="P161" cm="1">
        <f t="array" ref="P161">INDEX(GMW!$A$2:$HN$50,MATCH(1,(GMW!$HM$2:$HM$50=P$3)*(GMW!$HN$2:$HN$50=P$1),0),$B161-1973)</f>
        <v>24535</v>
      </c>
    </row>
    <row r="162" spans="1:16">
      <c r="B162">
        <f t="shared" si="6"/>
        <v>2135</v>
      </c>
      <c r="C162">
        <f t="shared" si="7"/>
        <v>2018</v>
      </c>
      <c r="D162">
        <f t="shared" si="7"/>
        <v>2018</v>
      </c>
      <c r="E162" cm="1">
        <f t="array" ref="E162">INDEX(GMW!$A$2:$HN$50,MATCH(1,(GMW!$HM$2:$HM$50=E$3)*(GMW!$HN$2:$HN$50=E$1),0),$B162-1973)</f>
        <v>610481</v>
      </c>
      <c r="F162" cm="1">
        <f t="array" ref="F162">INDEX(GMW!$A$2:$HN$50,MATCH(1,(GMW!$HM$2:$HM$50=F$3)*(GMW!$HN$2:$HN$50=F$1),0),$B162-1973)</f>
        <v>32618</v>
      </c>
      <c r="G162" cm="1">
        <f t="array" ref="G162">INDEX(GMW!$A$2:$HN$50,MATCH(1,(GMW!$HM$2:$HM$50=G$3)*(GMW!$HN$2:$HN$50=G$1),0),$B162-1973)</f>
        <v>7956.6149999999998</v>
      </c>
      <c r="H162" cm="1">
        <f t="array" ref="H162">INDEX(GMW!$A$2:$HN$50,MATCH(1,(GMW!$HM$2:$HM$50=H$3)*(GMW!$HN$2:$HN$50=H$1),0),$B162-1973)</f>
        <v>4.0999999999999996</v>
      </c>
      <c r="I162" cm="1">
        <f t="array" ref="I162">INDEX(GMW!$A$2:$HN$50,MATCH(1,(GMW!$HM$2:$HM$50=I$3)*(GMW!$HN$2:$HN$50=I$1),0),$B162-1973)</f>
        <v>400106</v>
      </c>
      <c r="J162" cm="1">
        <f t="array" ref="J162">INDEX(GMW!$A$2:$HN$50,MATCH(1,(GMW!$HM$2:$HM$50=J$3)*(GMW!$HN$2:$HN$50=J$1),0),$B162-1973)</f>
        <v>24830</v>
      </c>
      <c r="K162" cm="1">
        <f t="array" ref="K162">INDEX(GMW!$A$2:$HN$50,MATCH(1,(GMW!$HM$2:$HM$50=K$3)*(GMW!$HN$2:$HN$50=K$1),0),$B162-1973)</f>
        <v>610481</v>
      </c>
      <c r="L162" cm="1">
        <f t="array" ref="L162">INDEX(GMW!$A$2:$HN$50,MATCH(1,(GMW!$HM$2:$HM$50=L$3)*(GMW!$HN$2:$HN$50=L$1),0),$B162-1973)</f>
        <v>32618</v>
      </c>
      <c r="M162" cm="1">
        <f t="array" ref="M162">INDEX(GMW!$A$2:$HN$50,MATCH(1,(GMW!$HM$2:$HM$50=M$3)*(GMW!$HN$2:$HN$50=M$1),0),$B162-1973)</f>
        <v>7956.6149999999998</v>
      </c>
      <c r="N162" cm="1">
        <f t="array" ref="N162">INDEX(GMW!$A$2:$HN$50,MATCH(1,(GMW!$HM$2:$HM$50=N$3)*(GMW!$HN$2:$HN$50=N$1),0),$B162-1973)</f>
        <v>4.0999999999999996</v>
      </c>
      <c r="O162" cm="1">
        <f t="array" ref="O162">INDEX(GMW!$A$2:$HN$50,MATCH(1,(GMW!$HM$2:$HM$50=O$3)*(GMW!$HN$2:$HN$50=O$1),0),$B162-1973)</f>
        <v>400106</v>
      </c>
      <c r="P162" cm="1">
        <f t="array" ref="P162">INDEX(GMW!$A$2:$HN$50,MATCH(1,(GMW!$HM$2:$HM$50=P$3)*(GMW!$HN$2:$HN$50=P$1),0),$B162-1973)</f>
        <v>24830</v>
      </c>
    </row>
    <row r="163" spans="1:16">
      <c r="A163">
        <v>2019</v>
      </c>
      <c r="B163">
        <f t="shared" si="6"/>
        <v>2136</v>
      </c>
      <c r="C163">
        <f t="shared" si="7"/>
        <v>2019</v>
      </c>
      <c r="D163">
        <f t="shared" si="7"/>
        <v>2018</v>
      </c>
      <c r="E163" cm="1">
        <f t="array" ref="E163">INDEX(GMW!$A$2:$HN$50,MATCH(1,(GMW!$HM$2:$HM$50=E$3)*(GMW!$HN$2:$HN$50=E$1),0),$B163-1973)</f>
        <v>614936</v>
      </c>
      <c r="F163" cm="1">
        <f t="array" ref="F163">INDEX(GMW!$A$2:$HN$50,MATCH(1,(GMW!$HM$2:$HM$50=F$3)*(GMW!$HN$2:$HN$50=F$1),0),$B163-1973)</f>
        <v>32721</v>
      </c>
      <c r="G163" cm="1">
        <f t="array" ref="G163">INDEX(GMW!$A$2:$HN$50,MATCH(1,(GMW!$HM$2:$HM$50=G$3)*(GMW!$HN$2:$HN$50=G$1),0),$B163-1973)</f>
        <v>7998.0789999999997</v>
      </c>
      <c r="H163" cm="1">
        <f t="array" ref="H163">INDEX(GMW!$A$2:$HN$50,MATCH(1,(GMW!$HM$2:$HM$50=H$3)*(GMW!$HN$2:$HN$50=H$1),0),$B163-1973)</f>
        <v>3.9</v>
      </c>
      <c r="I163" cm="1">
        <f t="array" ref="I163">INDEX(GMW!$A$2:$HN$50,MATCH(1,(GMW!$HM$2:$HM$50=I$3)*(GMW!$HN$2:$HN$50=I$1),0),$B163-1973)</f>
        <v>399632</v>
      </c>
      <c r="J163" cm="1">
        <f t="array" ref="J163">INDEX(GMW!$A$2:$HN$50,MATCH(1,(GMW!$HM$2:$HM$50=J$3)*(GMW!$HN$2:$HN$50=J$1),0),$B163-1973)</f>
        <v>25806</v>
      </c>
      <c r="K163" cm="1">
        <f t="array" ref="K163">INDEX(GMW!$A$2:$HN$50,MATCH(1,(GMW!$HM$2:$HM$50=K$3)*(GMW!$HN$2:$HN$50=K$1),0),$B163-1973)</f>
        <v>614936</v>
      </c>
      <c r="L163" cm="1">
        <f t="array" ref="L163">INDEX(GMW!$A$2:$HN$50,MATCH(1,(GMW!$HM$2:$HM$50=L$3)*(GMW!$HN$2:$HN$50=L$1),0),$B163-1973)</f>
        <v>32721</v>
      </c>
      <c r="M163" cm="1">
        <f t="array" ref="M163">INDEX(GMW!$A$2:$HN$50,MATCH(1,(GMW!$HM$2:$HM$50=M$3)*(GMW!$HN$2:$HN$50=M$1),0),$B163-1973)</f>
        <v>7998.0789999999997</v>
      </c>
      <c r="N163" cm="1">
        <f t="array" ref="N163">INDEX(GMW!$A$2:$HN$50,MATCH(1,(GMW!$HM$2:$HM$50=N$3)*(GMW!$HN$2:$HN$50=N$1),0),$B163-1973)</f>
        <v>3.9</v>
      </c>
      <c r="O163" cm="1">
        <f t="array" ref="O163">INDEX(GMW!$A$2:$HN$50,MATCH(1,(GMW!$HM$2:$HM$50=O$3)*(GMW!$HN$2:$HN$50=O$1),0),$B163-1973)</f>
        <v>399632</v>
      </c>
      <c r="P163" cm="1">
        <f t="array" ref="P163">INDEX(GMW!$A$2:$HN$50,MATCH(1,(GMW!$HM$2:$HM$50=P$3)*(GMW!$HN$2:$HN$50=P$1),0),$B163-1973)</f>
        <v>25806</v>
      </c>
    </row>
    <row r="164" spans="1:16">
      <c r="B164">
        <f t="shared" si="6"/>
        <v>2137</v>
      </c>
      <c r="C164">
        <f t="shared" si="7"/>
        <v>2019</v>
      </c>
      <c r="D164">
        <f t="shared" si="7"/>
        <v>2019</v>
      </c>
      <c r="E164" cm="1">
        <f t="array" ref="E164">INDEX(GMW!$A$2:$HN$50,MATCH(1,(GMW!$HM$2:$HM$50=E$3)*(GMW!$HN$2:$HN$50=E$1),0),$B164-1973)</f>
        <v>616853</v>
      </c>
      <c r="F164" cm="1">
        <f t="array" ref="F164">INDEX(GMW!$A$2:$HN$50,MATCH(1,(GMW!$HM$2:$HM$50=F$3)*(GMW!$HN$2:$HN$50=F$1),0),$B164-1973)</f>
        <v>32839</v>
      </c>
      <c r="G164" cm="1">
        <f t="array" ref="G164">INDEX(GMW!$A$2:$HN$50,MATCH(1,(GMW!$HM$2:$HM$50=G$3)*(GMW!$HN$2:$HN$50=G$1),0),$B164-1973)</f>
        <v>8102.4250000000002</v>
      </c>
      <c r="H164" cm="1">
        <f t="array" ref="H164">INDEX(GMW!$A$2:$HN$50,MATCH(1,(GMW!$HM$2:$HM$50=H$3)*(GMW!$HN$2:$HN$50=H$1),0),$B164-1973)</f>
        <v>4</v>
      </c>
      <c r="I164" cm="1">
        <f t="array" ref="I164">INDEX(GMW!$A$2:$HN$50,MATCH(1,(GMW!$HM$2:$HM$50=I$3)*(GMW!$HN$2:$HN$50=I$1),0),$B164-1973)</f>
        <v>405211</v>
      </c>
      <c r="J164" cm="1">
        <f t="array" ref="J164">INDEX(GMW!$A$2:$HN$50,MATCH(1,(GMW!$HM$2:$HM$50=J$3)*(GMW!$HN$2:$HN$50=J$1),0),$B164-1973)</f>
        <v>26406</v>
      </c>
      <c r="K164" cm="1">
        <f t="array" ref="K164">INDEX(GMW!$A$2:$HN$50,MATCH(1,(GMW!$HM$2:$HM$50=K$3)*(GMW!$HN$2:$HN$50=K$1),0),$B164-1973)</f>
        <v>616853</v>
      </c>
      <c r="L164" cm="1">
        <f t="array" ref="L164">INDEX(GMW!$A$2:$HN$50,MATCH(1,(GMW!$HM$2:$HM$50=L$3)*(GMW!$HN$2:$HN$50=L$1),0),$B164-1973)</f>
        <v>32839</v>
      </c>
      <c r="M164" cm="1">
        <f t="array" ref="M164">INDEX(GMW!$A$2:$HN$50,MATCH(1,(GMW!$HM$2:$HM$50=M$3)*(GMW!$HN$2:$HN$50=M$1),0),$B164-1973)</f>
        <v>8102.4250000000002</v>
      </c>
      <c r="N164" cm="1">
        <f t="array" ref="N164">INDEX(GMW!$A$2:$HN$50,MATCH(1,(GMW!$HM$2:$HM$50=N$3)*(GMW!$HN$2:$HN$50=N$1),0),$B164-1973)</f>
        <v>4</v>
      </c>
      <c r="O164" cm="1">
        <f t="array" ref="O164">INDEX(GMW!$A$2:$HN$50,MATCH(1,(GMW!$HM$2:$HM$50=O$3)*(GMW!$HN$2:$HN$50=O$1),0),$B164-1973)</f>
        <v>405211</v>
      </c>
      <c r="P164" cm="1">
        <f t="array" ref="P164">INDEX(GMW!$A$2:$HN$50,MATCH(1,(GMW!$HM$2:$HM$50=P$3)*(GMW!$HN$2:$HN$50=P$1),0),$B164-1973)</f>
        <v>26406</v>
      </c>
    </row>
    <row r="165" spans="1:16">
      <c r="B165">
        <f t="shared" si="6"/>
        <v>2138</v>
      </c>
      <c r="C165">
        <f t="shared" si="7"/>
        <v>2019</v>
      </c>
      <c r="D165">
        <f t="shared" si="7"/>
        <v>2019</v>
      </c>
      <c r="E165" cm="1">
        <f t="array" ref="E165">INDEX(GMW!$A$2:$HN$50,MATCH(1,(GMW!$HM$2:$HM$50=E$3)*(GMW!$HN$2:$HN$50=E$1),0),$B165-1973)</f>
        <v>621227</v>
      </c>
      <c r="F165" cm="1">
        <f t="array" ref="F165">INDEX(GMW!$A$2:$HN$50,MATCH(1,(GMW!$HM$2:$HM$50=F$3)*(GMW!$HN$2:$HN$50=F$1),0),$B165-1973)</f>
        <v>32779</v>
      </c>
      <c r="G165" cm="1">
        <f t="array" ref="G165">INDEX(GMW!$A$2:$HN$50,MATCH(1,(GMW!$HM$2:$HM$50=G$3)*(GMW!$HN$2:$HN$50=G$1),0),$B165-1973)</f>
        <v>8093.8450000000003</v>
      </c>
      <c r="H165" cm="1">
        <f t="array" ref="H165">INDEX(GMW!$A$2:$HN$50,MATCH(1,(GMW!$HM$2:$HM$50=H$3)*(GMW!$HN$2:$HN$50=H$1),0),$B165-1973)</f>
        <v>3.9</v>
      </c>
      <c r="I165" cm="1">
        <f t="array" ref="I165">INDEX(GMW!$A$2:$HN$50,MATCH(1,(GMW!$HM$2:$HM$50=I$3)*(GMW!$HN$2:$HN$50=I$1),0),$B165-1973)</f>
        <v>405428</v>
      </c>
      <c r="J165" cm="1">
        <f t="array" ref="J165">INDEX(GMW!$A$2:$HN$50,MATCH(1,(GMW!$HM$2:$HM$50=J$3)*(GMW!$HN$2:$HN$50=J$1),0),$B165-1973)</f>
        <v>27085</v>
      </c>
      <c r="K165" cm="1">
        <f t="array" ref="K165">INDEX(GMW!$A$2:$HN$50,MATCH(1,(GMW!$HM$2:$HM$50=K$3)*(GMW!$HN$2:$HN$50=K$1),0),$B165-1973)</f>
        <v>621227</v>
      </c>
      <c r="L165" cm="1">
        <f t="array" ref="L165">INDEX(GMW!$A$2:$HN$50,MATCH(1,(GMW!$HM$2:$HM$50=L$3)*(GMW!$HN$2:$HN$50=L$1),0),$B165-1973)</f>
        <v>32779</v>
      </c>
      <c r="M165" cm="1">
        <f t="array" ref="M165">INDEX(GMW!$A$2:$HN$50,MATCH(1,(GMW!$HM$2:$HM$50=M$3)*(GMW!$HN$2:$HN$50=M$1),0),$B165-1973)</f>
        <v>8093.8450000000003</v>
      </c>
      <c r="N165" cm="1">
        <f t="array" ref="N165">INDEX(GMW!$A$2:$HN$50,MATCH(1,(GMW!$HM$2:$HM$50=N$3)*(GMW!$HN$2:$HN$50=N$1),0),$B165-1973)</f>
        <v>3.9</v>
      </c>
      <c r="O165" cm="1">
        <f t="array" ref="O165">INDEX(GMW!$A$2:$HN$50,MATCH(1,(GMW!$HM$2:$HM$50=O$3)*(GMW!$HN$2:$HN$50=O$1),0),$B165-1973)</f>
        <v>405428</v>
      </c>
      <c r="P165" cm="1">
        <f t="array" ref="P165">INDEX(GMW!$A$2:$HN$50,MATCH(1,(GMW!$HM$2:$HM$50=P$3)*(GMW!$HN$2:$HN$50=P$1),0),$B165-1973)</f>
        <v>27085</v>
      </c>
    </row>
    <row r="166" spans="1:16">
      <c r="B166">
        <f t="shared" si="6"/>
        <v>2139</v>
      </c>
      <c r="C166">
        <f t="shared" si="7"/>
        <v>2019</v>
      </c>
      <c r="D166">
        <f t="shared" si="7"/>
        <v>2019</v>
      </c>
      <c r="E166" cm="1">
        <f t="array" ref="E166">INDEX(GMW!$A$2:$HN$50,MATCH(1,(GMW!$HM$2:$HM$50=E$3)*(GMW!$HN$2:$HN$50=E$1),0),$B166-1973)</f>
        <v>621229</v>
      </c>
      <c r="F166" cm="1">
        <f t="array" ref="F166">INDEX(GMW!$A$2:$HN$50,MATCH(1,(GMW!$HM$2:$HM$50=F$3)*(GMW!$HN$2:$HN$50=F$1),0),$B166-1973)</f>
        <v>32954</v>
      </c>
      <c r="G166" cm="1">
        <f t="array" ref="G166">INDEX(GMW!$A$2:$HN$50,MATCH(1,(GMW!$HM$2:$HM$50=G$3)*(GMW!$HN$2:$HN$50=G$1),0),$B166-1973)</f>
        <v>8076.643</v>
      </c>
      <c r="H166" cm="1">
        <f t="array" ref="H166">INDEX(GMW!$A$2:$HN$50,MATCH(1,(GMW!$HM$2:$HM$50=H$3)*(GMW!$HN$2:$HN$50=H$1),0),$B166-1973)</f>
        <v>3.9</v>
      </c>
      <c r="I166" cm="1">
        <f t="array" ref="I166">INDEX(GMW!$A$2:$HN$50,MATCH(1,(GMW!$HM$2:$HM$50=I$3)*(GMW!$HN$2:$HN$50=I$1),0),$B166-1973)</f>
        <v>407970</v>
      </c>
      <c r="J166" cm="1">
        <f t="array" ref="J166">INDEX(GMW!$A$2:$HN$50,MATCH(1,(GMW!$HM$2:$HM$50=J$3)*(GMW!$HN$2:$HN$50=J$1),0),$B166-1973)</f>
        <v>27639</v>
      </c>
      <c r="K166" cm="1">
        <f t="array" ref="K166">INDEX(GMW!$A$2:$HN$50,MATCH(1,(GMW!$HM$2:$HM$50=K$3)*(GMW!$HN$2:$HN$50=K$1),0),$B166-1973)</f>
        <v>621229</v>
      </c>
      <c r="L166" cm="1">
        <f t="array" ref="L166">INDEX(GMW!$A$2:$HN$50,MATCH(1,(GMW!$HM$2:$HM$50=L$3)*(GMW!$HN$2:$HN$50=L$1),0),$B166-1973)</f>
        <v>32954</v>
      </c>
      <c r="M166" cm="1">
        <f t="array" ref="M166">INDEX(GMW!$A$2:$HN$50,MATCH(1,(GMW!$HM$2:$HM$50=M$3)*(GMW!$HN$2:$HN$50=M$1),0),$B166-1973)</f>
        <v>8076.643</v>
      </c>
      <c r="N166" cm="1">
        <f t="array" ref="N166">INDEX(GMW!$A$2:$HN$50,MATCH(1,(GMW!$HM$2:$HM$50=N$3)*(GMW!$HN$2:$HN$50=N$1),0),$B166-1973)</f>
        <v>3.9</v>
      </c>
      <c r="O166" cm="1">
        <f t="array" ref="O166">INDEX(GMW!$A$2:$HN$50,MATCH(1,(GMW!$HM$2:$HM$50=O$3)*(GMW!$HN$2:$HN$50=O$1),0),$B166-1973)</f>
        <v>407970</v>
      </c>
      <c r="P166" cm="1">
        <f t="array" ref="P166">INDEX(GMW!$A$2:$HN$50,MATCH(1,(GMW!$HM$2:$HM$50=P$3)*(GMW!$HN$2:$HN$50=P$1),0),$B166-1973)</f>
        <v>27639</v>
      </c>
    </row>
    <row r="167" spans="1:16">
      <c r="A167">
        <v>2020</v>
      </c>
      <c r="B167">
        <f t="shared" si="6"/>
        <v>2140</v>
      </c>
      <c r="C167">
        <f t="shared" si="7"/>
        <v>2020</v>
      </c>
      <c r="D167">
        <f t="shared" si="7"/>
        <v>2019</v>
      </c>
      <c r="E167" cm="1">
        <f t="array" ref="E167">INDEX(GMW!$A$2:$HN$50,MATCH(1,(GMW!$HM$2:$HM$50=E$3)*(GMW!$HN$2:$HN$50=E$1),0),$B167-1973)</f>
        <v>604719</v>
      </c>
      <c r="F167" cm="1">
        <f t="array" ref="F167">INDEX(GMW!$A$2:$HN$50,MATCH(1,(GMW!$HM$2:$HM$50=F$3)*(GMW!$HN$2:$HN$50=F$1),0),$B167-1973)</f>
        <v>33000</v>
      </c>
      <c r="G167" cm="1">
        <f t="array" ref="G167">INDEX(GMW!$A$2:$HN$50,MATCH(1,(GMW!$HM$2:$HM$50=G$3)*(GMW!$HN$2:$HN$50=G$1),0),$B167-1973)</f>
        <v>8056.7950000000001</v>
      </c>
      <c r="H167" cm="1">
        <f t="array" ref="H167">INDEX(GMW!$A$2:$HN$50,MATCH(1,(GMW!$HM$2:$HM$50=H$3)*(GMW!$HN$2:$HN$50=H$1),0),$B167-1973)</f>
        <v>4.0999999999999996</v>
      </c>
      <c r="I167" cm="1">
        <f t="array" ref="I167">INDEX(GMW!$A$2:$HN$50,MATCH(1,(GMW!$HM$2:$HM$50=I$3)*(GMW!$HN$2:$HN$50=I$1),0),$B167-1973)</f>
        <v>402584</v>
      </c>
      <c r="J167" cm="1">
        <f t="array" ref="J167">INDEX(GMW!$A$2:$HN$50,MATCH(1,(GMW!$HM$2:$HM$50=J$3)*(GMW!$HN$2:$HN$50=J$1),0),$B167-1973)</f>
        <v>27453</v>
      </c>
      <c r="K167" cm="1">
        <f t="array" ref="K167">INDEX(GMW!$A$2:$HN$50,MATCH(1,(GMW!$HM$2:$HM$50=K$3)*(GMW!$HN$2:$HN$50=K$1),0),$B167-1973)</f>
        <v>604719</v>
      </c>
      <c r="L167" cm="1">
        <f t="array" ref="L167">INDEX(GMW!$A$2:$HN$50,MATCH(1,(GMW!$HM$2:$HM$50=L$3)*(GMW!$HN$2:$HN$50=L$1),0),$B167-1973)</f>
        <v>33000</v>
      </c>
      <c r="M167" cm="1">
        <f t="array" ref="M167">INDEX(GMW!$A$2:$HN$50,MATCH(1,(GMW!$HM$2:$HM$50=M$3)*(GMW!$HN$2:$HN$50=M$1),0),$B167-1973)</f>
        <v>8056.7950000000001</v>
      </c>
      <c r="N167" cm="1">
        <f t="array" ref="N167">INDEX(GMW!$A$2:$HN$50,MATCH(1,(GMW!$HM$2:$HM$50=N$3)*(GMW!$HN$2:$HN$50=N$1),0),$B167-1973)</f>
        <v>4.0999999999999996</v>
      </c>
      <c r="O167" cm="1">
        <f t="array" ref="O167">INDEX(GMW!$A$2:$HN$50,MATCH(1,(GMW!$HM$2:$HM$50=O$3)*(GMW!$HN$2:$HN$50=O$1),0),$B167-1973)</f>
        <v>402584</v>
      </c>
      <c r="P167" cm="1">
        <f t="array" ref="P167">INDEX(GMW!$A$2:$HN$50,MATCH(1,(GMW!$HM$2:$HM$50=P$3)*(GMW!$HN$2:$HN$50=P$1),0),$B167-1973)</f>
        <v>27453</v>
      </c>
    </row>
    <row r="168" spans="1:16">
      <c r="B168">
        <f t="shared" si="6"/>
        <v>2141</v>
      </c>
      <c r="C168">
        <f t="shared" si="7"/>
        <v>2020</v>
      </c>
      <c r="D168">
        <f t="shared" si="7"/>
        <v>2020</v>
      </c>
      <c r="E168" cm="1">
        <f t="array" ref="E168">INDEX(GMW!$A$2:$HN$50,MATCH(1,(GMW!$HM$2:$HM$50=E$3)*(GMW!$HN$2:$HN$50=E$1),0),$B168-1973)</f>
        <v>481769</v>
      </c>
      <c r="F168" cm="1">
        <f t="array" ref="F168">INDEX(GMW!$A$2:$HN$50,MATCH(1,(GMW!$HM$2:$HM$50=F$3)*(GMW!$HN$2:$HN$50=F$1),0),$B168-1973)</f>
        <v>32571</v>
      </c>
      <c r="G168" cm="1">
        <f t="array" ref="G168">INDEX(GMW!$A$2:$HN$50,MATCH(1,(GMW!$HM$2:$HM$50=G$3)*(GMW!$HN$2:$HN$50=G$1),0),$B168-1973)</f>
        <v>7842.4639999999999</v>
      </c>
      <c r="H168" cm="1">
        <f t="array" ref="H168">INDEX(GMW!$A$2:$HN$50,MATCH(1,(GMW!$HM$2:$HM$50=H$3)*(GMW!$HN$2:$HN$50=H$1),0),$B168-1973)</f>
        <v>4.2</v>
      </c>
      <c r="I168" cm="1">
        <f t="array" ref="I168">INDEX(GMW!$A$2:$HN$50,MATCH(1,(GMW!$HM$2:$HM$50=I$3)*(GMW!$HN$2:$HN$50=I$1),0),$B168-1973)</f>
        <v>394596</v>
      </c>
      <c r="J168" cm="1">
        <f t="array" ref="J168">INDEX(GMW!$A$2:$HN$50,MATCH(1,(GMW!$HM$2:$HM$50=J$3)*(GMW!$HN$2:$HN$50=J$1),0),$B168-1973)</f>
        <v>27064</v>
      </c>
      <c r="K168" cm="1">
        <f t="array" ref="K168">INDEX(GMW!$A$2:$HN$50,MATCH(1,(GMW!$HM$2:$HM$50=K$3)*(GMW!$HN$2:$HN$50=K$1),0),$B168-1973)</f>
        <v>481769</v>
      </c>
      <c r="L168" cm="1">
        <f t="array" ref="L168">INDEX(GMW!$A$2:$HN$50,MATCH(1,(GMW!$HM$2:$HM$50=L$3)*(GMW!$HN$2:$HN$50=L$1),0),$B168-1973)</f>
        <v>32571</v>
      </c>
      <c r="M168" cm="1">
        <f t="array" ref="M168">INDEX(GMW!$A$2:$HN$50,MATCH(1,(GMW!$HM$2:$HM$50=M$3)*(GMW!$HN$2:$HN$50=M$1),0),$B168-1973)</f>
        <v>7842.4639999999999</v>
      </c>
      <c r="N168" cm="1">
        <f t="array" ref="N168">INDEX(GMW!$A$2:$HN$50,MATCH(1,(GMW!$HM$2:$HM$50=N$3)*(GMW!$HN$2:$HN$50=N$1),0),$B168-1973)</f>
        <v>4.2</v>
      </c>
      <c r="O168" cm="1">
        <f t="array" ref="O168">INDEX(GMW!$A$2:$HN$50,MATCH(1,(GMW!$HM$2:$HM$50=O$3)*(GMW!$HN$2:$HN$50=O$1),0),$B168-1973)</f>
        <v>394596</v>
      </c>
      <c r="P168" cm="1">
        <f t="array" ref="P168">INDEX(GMW!$A$2:$HN$50,MATCH(1,(GMW!$HM$2:$HM$50=P$3)*(GMW!$HN$2:$HN$50=P$1),0),$B168-1973)</f>
        <v>27064</v>
      </c>
    </row>
    <row r="169" spans="1:16">
      <c r="B169">
        <f t="shared" si="6"/>
        <v>2142</v>
      </c>
      <c r="C169">
        <f t="shared" si="7"/>
        <v>2020</v>
      </c>
      <c r="D169">
        <f t="shared" si="7"/>
        <v>2020</v>
      </c>
      <c r="E169" cm="1">
        <f t="array" ref="E169">INDEX(GMW!$A$2:$HN$50,MATCH(1,(GMW!$HM$2:$HM$50=E$3)*(GMW!$HN$2:$HN$50=E$1),0),$B169-1973)</f>
        <v>562648</v>
      </c>
      <c r="F169" cm="1">
        <f t="array" ref="F169">INDEX(GMW!$A$2:$HN$50,MATCH(1,(GMW!$HM$2:$HM$50=F$3)*(GMW!$HN$2:$HN$50=F$1),0),$B169-1973)</f>
        <v>32354</v>
      </c>
      <c r="G169" cm="1">
        <f t="array" ref="G169">INDEX(GMW!$A$2:$HN$50,MATCH(1,(GMW!$HM$2:$HM$50=G$3)*(GMW!$HN$2:$HN$50=G$1),0),$B169-1973)</f>
        <v>8014.82</v>
      </c>
      <c r="H169" cm="1">
        <f t="array" ref="H169">INDEX(GMW!$A$2:$HN$50,MATCH(1,(GMW!$HM$2:$HM$50=H$3)*(GMW!$HN$2:$HN$50=H$1),0),$B169-1973)</f>
        <v>5</v>
      </c>
      <c r="I169" cm="1">
        <f t="array" ref="I169">INDEX(GMW!$A$2:$HN$50,MATCH(1,(GMW!$HM$2:$HM$50=I$3)*(GMW!$HN$2:$HN$50=I$1),0),$B169-1973)</f>
        <v>406593</v>
      </c>
      <c r="J169" cm="1">
        <f t="array" ref="J169">INDEX(GMW!$A$2:$HN$50,MATCH(1,(GMW!$HM$2:$HM$50=J$3)*(GMW!$HN$2:$HN$50=J$1),0),$B169-1973)</f>
        <v>27978</v>
      </c>
      <c r="K169" cm="1">
        <f t="array" ref="K169">INDEX(GMW!$A$2:$HN$50,MATCH(1,(GMW!$HM$2:$HM$50=K$3)*(GMW!$HN$2:$HN$50=K$1),0),$B169-1973)</f>
        <v>562648</v>
      </c>
      <c r="L169" cm="1">
        <f t="array" ref="L169">INDEX(GMW!$A$2:$HN$50,MATCH(1,(GMW!$HM$2:$HM$50=L$3)*(GMW!$HN$2:$HN$50=L$1),0),$B169-1973)</f>
        <v>32354</v>
      </c>
      <c r="M169" cm="1">
        <f t="array" ref="M169">INDEX(GMW!$A$2:$HN$50,MATCH(1,(GMW!$HM$2:$HM$50=M$3)*(GMW!$HN$2:$HN$50=M$1),0),$B169-1973)</f>
        <v>8014.82</v>
      </c>
      <c r="N169" cm="1">
        <f t="array" ref="N169">INDEX(GMW!$A$2:$HN$50,MATCH(1,(GMW!$HM$2:$HM$50=N$3)*(GMW!$HN$2:$HN$50=N$1),0),$B169-1973)</f>
        <v>5</v>
      </c>
      <c r="O169" cm="1">
        <f t="array" ref="O169">INDEX(GMW!$A$2:$HN$50,MATCH(1,(GMW!$HM$2:$HM$50=O$3)*(GMW!$HN$2:$HN$50=O$1),0),$B169-1973)</f>
        <v>406593</v>
      </c>
      <c r="P169" cm="1">
        <f t="array" ref="P169">INDEX(GMW!$A$2:$HN$50,MATCH(1,(GMW!$HM$2:$HM$50=P$3)*(GMW!$HN$2:$HN$50=P$1),0),$B169-1973)</f>
        <v>27978</v>
      </c>
    </row>
    <row r="170" spans="1:16">
      <c r="B170">
        <f t="shared" si="6"/>
        <v>2143</v>
      </c>
      <c r="C170">
        <f t="shared" si="7"/>
        <v>2020</v>
      </c>
      <c r="D170">
        <f t="shared" si="7"/>
        <v>2020</v>
      </c>
      <c r="E170" cm="1">
        <f t="array" ref="E170">INDEX(GMW!$A$2:$HN$50,MATCH(1,(GMW!$HM$2:$HM$50=E$3)*(GMW!$HN$2:$HN$50=E$1),0),$B170-1973)</f>
        <v>570338</v>
      </c>
      <c r="F170" cm="1">
        <f t="array" ref="F170">INDEX(GMW!$A$2:$HN$50,MATCH(1,(GMW!$HM$2:$HM$50=F$3)*(GMW!$HN$2:$HN$50=F$1),0),$B170-1973)</f>
        <v>32198</v>
      </c>
      <c r="G170" cm="1">
        <f t="array" ref="G170">INDEX(GMW!$A$2:$HN$50,MATCH(1,(GMW!$HM$2:$HM$50=G$3)*(GMW!$HN$2:$HN$50=G$1),0),$B170-1973)</f>
        <v>8241.4920000000002</v>
      </c>
      <c r="H170" cm="1">
        <f t="array" ref="H170">INDEX(GMW!$A$2:$HN$50,MATCH(1,(GMW!$HM$2:$HM$50=H$3)*(GMW!$HN$2:$HN$50=H$1),0),$B170-1973)</f>
        <v>5.3</v>
      </c>
      <c r="I170" cm="1">
        <f t="array" ref="I170">INDEX(GMW!$A$2:$HN$50,MATCH(1,(GMW!$HM$2:$HM$50=I$3)*(GMW!$HN$2:$HN$50=I$1),0),$B170-1973)</f>
        <v>408367</v>
      </c>
      <c r="J170" cm="1">
        <f t="array" ref="J170">INDEX(GMW!$A$2:$HN$50,MATCH(1,(GMW!$HM$2:$HM$50=J$3)*(GMW!$HN$2:$HN$50=J$1),0),$B170-1973)</f>
        <v>28812</v>
      </c>
      <c r="K170" cm="1">
        <f t="array" ref="K170">INDEX(GMW!$A$2:$HN$50,MATCH(1,(GMW!$HM$2:$HM$50=K$3)*(GMW!$HN$2:$HN$50=K$1),0),$B170-1973)</f>
        <v>570338</v>
      </c>
      <c r="L170" cm="1">
        <f t="array" ref="L170">INDEX(GMW!$A$2:$HN$50,MATCH(1,(GMW!$HM$2:$HM$50=L$3)*(GMW!$HN$2:$HN$50=L$1),0),$B170-1973)</f>
        <v>32198</v>
      </c>
      <c r="M170" cm="1">
        <f t="array" ref="M170">INDEX(GMW!$A$2:$HN$50,MATCH(1,(GMW!$HM$2:$HM$50=M$3)*(GMW!$HN$2:$HN$50=M$1),0),$B170-1973)</f>
        <v>8241.4920000000002</v>
      </c>
      <c r="N170" cm="1">
        <f t="array" ref="N170">INDEX(GMW!$A$2:$HN$50,MATCH(1,(GMW!$HM$2:$HM$50=N$3)*(GMW!$HN$2:$HN$50=N$1),0),$B170-1973)</f>
        <v>5.3</v>
      </c>
      <c r="O170" cm="1">
        <f t="array" ref="O170">INDEX(GMW!$A$2:$HN$50,MATCH(1,(GMW!$HM$2:$HM$50=O$3)*(GMW!$HN$2:$HN$50=O$1),0),$B170-1973)</f>
        <v>408367</v>
      </c>
      <c r="P170" cm="1">
        <f t="array" ref="P170">INDEX(GMW!$A$2:$HN$50,MATCH(1,(GMW!$HM$2:$HM$50=P$3)*(GMW!$HN$2:$HN$50=P$1),0),$B170-1973)</f>
        <v>28812</v>
      </c>
    </row>
    <row r="171" spans="1:16">
      <c r="A171">
        <v>2021</v>
      </c>
      <c r="B171">
        <f t="shared" si="6"/>
        <v>2144</v>
      </c>
      <c r="C171">
        <f t="shared" si="7"/>
        <v>2021</v>
      </c>
      <c r="D171">
        <f t="shared" si="7"/>
        <v>2020</v>
      </c>
      <c r="E171" cm="1">
        <f t="array" ref="E171">INDEX(GMW!$A$2:$HN$50,MATCH(1,(GMW!$HM$2:$HM$50=E$3)*(GMW!$HN$2:$HN$50=E$1),0),$B171-1973)</f>
        <v>564411</v>
      </c>
      <c r="F171" cm="1">
        <f t="array" ref="F171">INDEX(GMW!$A$2:$HN$50,MATCH(1,(GMW!$HM$2:$HM$50=F$3)*(GMW!$HN$2:$HN$50=F$1),0),$B171-1973)</f>
        <v>32221</v>
      </c>
      <c r="G171" cm="1">
        <f t="array" ref="G171">INDEX(GMW!$A$2:$HN$50,MATCH(1,(GMW!$HM$2:$HM$50=G$3)*(GMW!$HN$2:$HN$50=G$1),0),$B171-1973)</f>
        <v>8267.3289999999997</v>
      </c>
      <c r="H171" cm="1">
        <f t="array" ref="H171">INDEX(GMW!$A$2:$HN$50,MATCH(1,(GMW!$HM$2:$HM$50=H$3)*(GMW!$HN$2:$HN$50=H$1),0),$B171-1973)</f>
        <v>5.0999999999999996</v>
      </c>
      <c r="I171" cm="1">
        <f t="array" ref="I171">INDEX(GMW!$A$2:$HN$50,MATCH(1,(GMW!$HM$2:$HM$50=I$3)*(GMW!$HN$2:$HN$50=I$1),0),$B171-1973)</f>
        <v>411074</v>
      </c>
      <c r="J171" cm="1">
        <f t="array" ref="J171">INDEX(GMW!$A$2:$HN$50,MATCH(1,(GMW!$HM$2:$HM$50=J$3)*(GMW!$HN$2:$HN$50=J$1),0),$B171-1973)</f>
        <v>28828</v>
      </c>
      <c r="K171" cm="1">
        <f t="array" ref="K171">INDEX(GMW!$A$2:$HN$50,MATCH(1,(GMW!$HM$2:$HM$50=K$3)*(GMW!$HN$2:$HN$50=K$1),0),$B171-1973)</f>
        <v>564411</v>
      </c>
      <c r="L171" cm="1">
        <f t="array" ref="L171">INDEX(GMW!$A$2:$HN$50,MATCH(1,(GMW!$HM$2:$HM$50=L$3)*(GMW!$HN$2:$HN$50=L$1),0),$B171-1973)</f>
        <v>32221</v>
      </c>
      <c r="M171" cm="1">
        <f t="array" ref="M171">INDEX(GMW!$A$2:$HN$50,MATCH(1,(GMW!$HM$2:$HM$50=M$3)*(GMW!$HN$2:$HN$50=M$1),0),$B171-1973)</f>
        <v>8267.3289999999997</v>
      </c>
      <c r="N171" cm="1">
        <f t="array" ref="N171">INDEX(GMW!$A$2:$HN$50,MATCH(1,(GMW!$HM$2:$HM$50=N$3)*(GMW!$HN$2:$HN$50=N$1),0),$B171-1973)</f>
        <v>5.0999999999999996</v>
      </c>
      <c r="O171" cm="1">
        <f t="array" ref="O171">INDEX(GMW!$A$2:$HN$50,MATCH(1,(GMW!$HM$2:$HM$50=O$3)*(GMW!$HN$2:$HN$50=O$1),0),$B171-1973)</f>
        <v>411074</v>
      </c>
      <c r="P171" cm="1">
        <f t="array" ref="P171">INDEX(GMW!$A$2:$HN$50,MATCH(1,(GMW!$HM$2:$HM$50=P$3)*(GMW!$HN$2:$HN$50=P$1),0),$B171-1973)</f>
        <v>28828</v>
      </c>
    </row>
    <row r="172" spans="1:16">
      <c r="B172">
        <f t="shared" si="6"/>
        <v>2145</v>
      </c>
      <c r="C172">
        <f t="shared" si="7"/>
        <v>2021</v>
      </c>
      <c r="D172">
        <f t="shared" si="7"/>
        <v>2021</v>
      </c>
      <c r="E172" cm="1">
        <f t="array" ref="E172">INDEX(GMW!$A$2:$HN$50,MATCH(1,(GMW!$HM$2:$HM$50=E$3)*(GMW!$HN$2:$HN$50=E$1),0),$B172-1973)</f>
        <v>605353</v>
      </c>
      <c r="F172" cm="1">
        <f t="array" ref="F172">INDEX(GMW!$A$2:$HN$50,MATCH(1,(GMW!$HM$2:$HM$50=F$3)*(GMW!$HN$2:$HN$50=F$1),0),$B172-1973)</f>
        <v>32377</v>
      </c>
      <c r="G172" cm="1">
        <f t="array" ref="G172">INDEX(GMW!$A$2:$HN$50,MATCH(1,(GMW!$HM$2:$HM$50=G$3)*(GMW!$HN$2:$HN$50=G$1),0),$B172-1973)</f>
        <v>8500.1610000000001</v>
      </c>
      <c r="H172" cm="1">
        <f t="array" ref="H172">INDEX(GMW!$A$2:$HN$50,MATCH(1,(GMW!$HM$2:$HM$50=H$3)*(GMW!$HN$2:$HN$50=H$1),0),$B172-1973)</f>
        <v>4.8</v>
      </c>
      <c r="I172" cm="1">
        <f t="array" ref="I172">INDEX(GMW!$A$2:$HN$50,MATCH(1,(GMW!$HM$2:$HM$50=I$3)*(GMW!$HN$2:$HN$50=I$1),0),$B172-1973)</f>
        <v>413832</v>
      </c>
      <c r="J172" cm="1">
        <f t="array" ref="J172">INDEX(GMW!$A$2:$HN$50,MATCH(1,(GMW!$HM$2:$HM$50=J$3)*(GMW!$HN$2:$HN$50=J$1),0),$B172-1973)</f>
        <v>29940</v>
      </c>
      <c r="K172" cm="1">
        <f t="array" ref="K172">INDEX(GMW!$A$2:$HN$50,MATCH(1,(GMW!$HM$2:$HM$50=K$3)*(GMW!$HN$2:$HN$50=K$1),0),$B172-1973)</f>
        <v>605353</v>
      </c>
      <c r="L172" cm="1">
        <f t="array" ref="L172">INDEX(GMW!$A$2:$HN$50,MATCH(1,(GMW!$HM$2:$HM$50=L$3)*(GMW!$HN$2:$HN$50=L$1),0),$B172-1973)</f>
        <v>32377</v>
      </c>
      <c r="M172" cm="1">
        <f t="array" ref="M172">INDEX(GMW!$A$2:$HN$50,MATCH(1,(GMW!$HM$2:$HM$50=M$3)*(GMW!$HN$2:$HN$50=M$1),0),$B172-1973)</f>
        <v>8500.1610000000001</v>
      </c>
      <c r="N172" cm="1">
        <f t="array" ref="N172">INDEX(GMW!$A$2:$HN$50,MATCH(1,(GMW!$HM$2:$HM$50=N$3)*(GMW!$HN$2:$HN$50=N$1),0),$B172-1973)</f>
        <v>4.8</v>
      </c>
      <c r="O172" cm="1">
        <f t="array" ref="O172">INDEX(GMW!$A$2:$HN$50,MATCH(1,(GMW!$HM$2:$HM$50=O$3)*(GMW!$HN$2:$HN$50=O$1),0),$B172-1973)</f>
        <v>413832</v>
      </c>
      <c r="P172" cm="1">
        <f t="array" ref="P172">INDEX(GMW!$A$2:$HN$50,MATCH(1,(GMW!$HM$2:$HM$50=P$3)*(GMW!$HN$2:$HN$50=P$1),0),$B172-1973)</f>
        <v>29940</v>
      </c>
    </row>
    <row r="173" spans="1:16">
      <c r="B173">
        <f t="shared" si="6"/>
        <v>2146</v>
      </c>
      <c r="C173">
        <f t="shared" si="7"/>
        <v>2021</v>
      </c>
      <c r="D173">
        <f t="shared" si="7"/>
        <v>2021</v>
      </c>
      <c r="E173" cm="1">
        <f t="array" ref="E173">INDEX(GMW!$A$2:$HN$50,MATCH(1,(GMW!$HM$2:$HM$50=E$3)*(GMW!$HN$2:$HN$50=E$1),0),$B173-1973)</f>
        <v>615459</v>
      </c>
      <c r="F173" cm="1">
        <f t="array" ref="F173">INDEX(GMW!$A$2:$HN$50,MATCH(1,(GMW!$HM$2:$HM$50=F$3)*(GMW!$HN$2:$HN$50=F$1),0),$B173-1973)</f>
        <v>32687</v>
      </c>
      <c r="G173" cm="1">
        <f t="array" ref="G173">INDEX(GMW!$A$2:$HN$50,MATCH(1,(GMW!$HM$2:$HM$50=G$3)*(GMW!$HN$2:$HN$50=G$1),0),$B173-1973)</f>
        <v>8499.4500000000007</v>
      </c>
      <c r="H173" cm="1">
        <f t="array" ref="H173">INDEX(GMW!$A$2:$HN$50,MATCH(1,(GMW!$HM$2:$HM$50=H$3)*(GMW!$HN$2:$HN$50=H$1),0),$B173-1973)</f>
        <v>4.4000000000000004</v>
      </c>
      <c r="I173" cm="1">
        <f t="array" ref="I173">INDEX(GMW!$A$2:$HN$50,MATCH(1,(GMW!$HM$2:$HM$50=I$3)*(GMW!$HN$2:$HN$50=I$1),0),$B173-1973)</f>
        <v>410138</v>
      </c>
      <c r="J173" cm="1">
        <f t="array" ref="J173">INDEX(GMW!$A$2:$HN$50,MATCH(1,(GMW!$HM$2:$HM$50=J$3)*(GMW!$HN$2:$HN$50=J$1),0),$B173-1973)</f>
        <v>30764</v>
      </c>
      <c r="K173" cm="1">
        <f t="array" ref="K173">INDEX(GMW!$A$2:$HN$50,MATCH(1,(GMW!$HM$2:$HM$50=K$3)*(GMW!$HN$2:$HN$50=K$1),0),$B173-1973)</f>
        <v>615459</v>
      </c>
      <c r="L173" cm="1">
        <f t="array" ref="L173">INDEX(GMW!$A$2:$HN$50,MATCH(1,(GMW!$HM$2:$HM$50=L$3)*(GMW!$HN$2:$HN$50=L$1),0),$B173-1973)</f>
        <v>32687</v>
      </c>
      <c r="M173" cm="1">
        <f t="array" ref="M173">INDEX(GMW!$A$2:$HN$50,MATCH(1,(GMW!$HM$2:$HM$50=M$3)*(GMW!$HN$2:$HN$50=M$1),0),$B173-1973)</f>
        <v>8499.4500000000007</v>
      </c>
      <c r="N173" cm="1">
        <f t="array" ref="N173">INDEX(GMW!$A$2:$HN$50,MATCH(1,(GMW!$HM$2:$HM$50=N$3)*(GMW!$HN$2:$HN$50=N$1),0),$B173-1973)</f>
        <v>4.4000000000000004</v>
      </c>
      <c r="O173" cm="1">
        <f t="array" ref="O173">INDEX(GMW!$A$2:$HN$50,MATCH(1,(GMW!$HM$2:$HM$50=O$3)*(GMW!$HN$2:$HN$50=O$1),0),$B173-1973)</f>
        <v>410138</v>
      </c>
      <c r="P173" cm="1">
        <f t="array" ref="P173">INDEX(GMW!$A$2:$HN$50,MATCH(1,(GMW!$HM$2:$HM$50=P$3)*(GMW!$HN$2:$HN$50=P$1),0),$B173-1973)</f>
        <v>30764</v>
      </c>
    </row>
    <row r="174" spans="1:16">
      <c r="B174">
        <f t="shared" si="6"/>
        <v>2147</v>
      </c>
      <c r="C174">
        <f t="shared" si="7"/>
        <v>2021</v>
      </c>
      <c r="D174">
        <f t="shared" si="7"/>
        <v>2021</v>
      </c>
      <c r="E174" cm="1">
        <f t="array" ref="E174">INDEX(GMW!$A$2:$HN$50,MATCH(1,(GMW!$HM$2:$HM$50=E$3)*(GMW!$HN$2:$HN$50=E$1),0),$B174-1973)</f>
        <v>624592</v>
      </c>
      <c r="F174" cm="1">
        <f t="array" ref="F174">INDEX(GMW!$A$2:$HN$50,MATCH(1,(GMW!$HM$2:$HM$50=F$3)*(GMW!$HN$2:$HN$50=F$1),0),$B174-1973)</f>
        <v>32686</v>
      </c>
      <c r="G174" cm="1">
        <f t="array" ref="G174">INDEX(GMW!$A$2:$HN$50,MATCH(1,(GMW!$HM$2:$HM$50=G$3)*(GMW!$HN$2:$HN$50=G$1),0),$B174-1973)</f>
        <v>8570.4380000000001</v>
      </c>
      <c r="H174" cm="1">
        <f t="array" ref="H174">INDEX(GMW!$A$2:$HN$50,MATCH(1,(GMW!$HM$2:$HM$50=H$3)*(GMW!$HN$2:$HN$50=H$1),0),$B174-1973)</f>
        <v>4.2</v>
      </c>
      <c r="I174" cm="1">
        <f t="array" ref="I174">INDEX(GMW!$A$2:$HN$50,MATCH(1,(GMW!$HM$2:$HM$50=I$3)*(GMW!$HN$2:$HN$50=I$1),0),$B174-1973)</f>
        <v>402842</v>
      </c>
      <c r="J174" cm="1">
        <f t="array" ref="J174">INDEX(GMW!$A$2:$HN$50,MATCH(1,(GMW!$HM$2:$HM$50=J$3)*(GMW!$HN$2:$HN$50=J$1),0),$B174-1973)</f>
        <v>31560</v>
      </c>
      <c r="K174" cm="1">
        <f t="array" ref="K174">INDEX(GMW!$A$2:$HN$50,MATCH(1,(GMW!$HM$2:$HM$50=K$3)*(GMW!$HN$2:$HN$50=K$1),0),$B174-1973)</f>
        <v>624592</v>
      </c>
      <c r="L174" cm="1">
        <f t="array" ref="L174">INDEX(GMW!$A$2:$HN$50,MATCH(1,(GMW!$HM$2:$HM$50=L$3)*(GMW!$HN$2:$HN$50=L$1),0),$B174-1973)</f>
        <v>32686</v>
      </c>
      <c r="M174" cm="1">
        <f t="array" ref="M174">INDEX(GMW!$A$2:$HN$50,MATCH(1,(GMW!$HM$2:$HM$50=M$3)*(GMW!$HN$2:$HN$50=M$1),0),$B174-1973)</f>
        <v>8570.4380000000001</v>
      </c>
      <c r="N174" cm="1">
        <f t="array" ref="N174">INDEX(GMW!$A$2:$HN$50,MATCH(1,(GMW!$HM$2:$HM$50=N$3)*(GMW!$HN$2:$HN$50=N$1),0),$B174-1973)</f>
        <v>4.2</v>
      </c>
      <c r="O174" cm="1">
        <f t="array" ref="O174">INDEX(GMW!$A$2:$HN$50,MATCH(1,(GMW!$HM$2:$HM$50=O$3)*(GMW!$HN$2:$HN$50=O$1),0),$B174-1973)</f>
        <v>402842</v>
      </c>
      <c r="P174" cm="1">
        <f t="array" ref="P174">INDEX(GMW!$A$2:$HN$50,MATCH(1,(GMW!$HM$2:$HM$50=P$3)*(GMW!$HN$2:$HN$50=P$1),0),$B174-1973)</f>
        <v>31560</v>
      </c>
    </row>
    <row r="175" spans="1:16">
      <c r="A175">
        <v>2022</v>
      </c>
      <c r="B175">
        <f t="shared" si="6"/>
        <v>2148</v>
      </c>
      <c r="C175">
        <f t="shared" si="7"/>
        <v>2022</v>
      </c>
      <c r="D175">
        <f t="shared" si="7"/>
        <v>2021</v>
      </c>
      <c r="E175" cm="1">
        <f t="array" ref="E175">INDEX(GMW!$A$2:$HN$50,MATCH(1,(GMW!$HM$2:$HM$50=E$3)*(GMW!$HN$2:$HN$50=E$1),0),$B175-1973)</f>
        <v>629149</v>
      </c>
      <c r="F175" cm="1">
        <f t="array" ref="F175">INDEX(GMW!$A$2:$HN$50,MATCH(1,(GMW!$HM$2:$HM$50=F$3)*(GMW!$HN$2:$HN$50=F$1),0),$B175-1973)</f>
        <v>32775</v>
      </c>
      <c r="G175" cm="1">
        <f t="array" ref="G175">INDEX(GMW!$A$2:$HN$50,MATCH(1,(GMW!$HM$2:$HM$50=G$3)*(GMW!$HN$2:$HN$50=G$1),0),$B175-1973)</f>
        <v>8762.1610000000001</v>
      </c>
      <c r="H175" cm="1">
        <f t="array" ref="H175">INDEX(GMW!$A$2:$HN$50,MATCH(1,(GMW!$HM$2:$HM$50=H$3)*(GMW!$HN$2:$HN$50=H$1),0),$B175-1973)</f>
        <v>3.9</v>
      </c>
      <c r="I175" cm="1">
        <f t="array" ref="I175">INDEX(GMW!$A$2:$HN$50,MATCH(1,(GMW!$HM$2:$HM$50=I$3)*(GMW!$HN$2:$HN$50=I$1),0),$B175-1973)</f>
        <v>401738</v>
      </c>
      <c r="J175" cm="1">
        <f t="array" ref="J175">INDEX(GMW!$A$2:$HN$50,MATCH(1,(GMW!$HM$2:$HM$50=J$3)*(GMW!$HN$2:$HN$50=J$1),0),$B175-1973)</f>
        <v>32437</v>
      </c>
      <c r="K175" cm="1">
        <f t="array" ref="K175">INDEX(GMW!$A$2:$HN$50,MATCH(1,(GMW!$HM$2:$HM$50=K$3)*(GMW!$HN$2:$HN$50=K$1),0),$B175-1973)</f>
        <v>629149</v>
      </c>
      <c r="L175" cm="1">
        <f t="array" ref="L175">INDEX(GMW!$A$2:$HN$50,MATCH(1,(GMW!$HM$2:$HM$50=L$3)*(GMW!$HN$2:$HN$50=L$1),0),$B175-1973)</f>
        <v>32775</v>
      </c>
      <c r="M175" cm="1">
        <f t="array" ref="M175">INDEX(GMW!$A$2:$HN$50,MATCH(1,(GMW!$HM$2:$HM$50=M$3)*(GMW!$HN$2:$HN$50=M$1),0),$B175-1973)</f>
        <v>8762.1610000000001</v>
      </c>
      <c r="N175" cm="1">
        <f t="array" ref="N175">INDEX(GMW!$A$2:$HN$50,MATCH(1,(GMW!$HM$2:$HM$50=N$3)*(GMW!$HN$2:$HN$50=N$1),0),$B175-1973)</f>
        <v>3.9</v>
      </c>
      <c r="O175" cm="1">
        <f t="array" ref="O175">INDEX(GMW!$A$2:$HN$50,MATCH(1,(GMW!$HM$2:$HM$50=O$3)*(GMW!$HN$2:$HN$50=O$1),0),$B175-1973)</f>
        <v>401738</v>
      </c>
      <c r="P175" cm="1">
        <f t="array" ref="P175">INDEX(GMW!$A$2:$HN$50,MATCH(1,(GMW!$HM$2:$HM$50=P$3)*(GMW!$HN$2:$HN$50=P$1),0),$B175-1973)</f>
        <v>32437</v>
      </c>
    </row>
    <row r="176" spans="1:16">
      <c r="B176">
        <f t="shared" si="6"/>
        <v>2149</v>
      </c>
      <c r="C176">
        <f t="shared" si="7"/>
        <v>2022</v>
      </c>
      <c r="D176">
        <f t="shared" si="7"/>
        <v>2022</v>
      </c>
      <c r="E176" cm="1">
        <f t="array" ref="E176">INDEX(GMW!$A$2:$HN$50,MATCH(1,(GMW!$HM$2:$HM$50=E$3)*(GMW!$HN$2:$HN$50=E$1),0),$B176-1973)</f>
        <v>631258</v>
      </c>
      <c r="F176" cm="1">
        <f t="array" ref="F176">INDEX(GMW!$A$2:$HN$50,MATCH(1,(GMW!$HM$2:$HM$50=F$3)*(GMW!$HN$2:$HN$50=F$1),0),$B176-1973)</f>
        <v>32958</v>
      </c>
      <c r="G176" cm="1">
        <f t="array" ref="G176">INDEX(GMW!$A$2:$HN$50,MATCH(1,(GMW!$HM$2:$HM$50=G$3)*(GMW!$HN$2:$HN$50=G$1),0),$B176-1973)</f>
        <v>8858.7540000000008</v>
      </c>
      <c r="H176" cm="1">
        <f t="array" ref="H176">INDEX(GMW!$A$2:$HN$50,MATCH(1,(GMW!$HM$2:$HM$50=H$3)*(GMW!$HN$2:$HN$50=H$1),0),$B176-1973)</f>
        <v>3.9</v>
      </c>
      <c r="I176" cm="1">
        <f t="array" ref="I176">INDEX(GMW!$A$2:$HN$50,MATCH(1,(GMW!$HM$2:$HM$50=I$3)*(GMW!$HN$2:$HN$50=I$1),0),$B176-1973)</f>
        <v>398386</v>
      </c>
      <c r="J176" cm="1">
        <f t="array" ref="J176">INDEX(GMW!$A$2:$HN$50,MATCH(1,(GMW!$HM$2:$HM$50=J$3)*(GMW!$HN$2:$HN$50=J$1),0),$B176-1973)</f>
        <v>35271</v>
      </c>
      <c r="K176" cm="1">
        <f t="array" ref="K176">INDEX(GMW!$A$2:$HN$50,MATCH(1,(GMW!$HM$2:$HM$50=K$3)*(GMW!$HN$2:$HN$50=K$1),0),$B176-1973)</f>
        <v>631258</v>
      </c>
      <c r="L176" cm="1">
        <f t="array" ref="L176">INDEX(GMW!$A$2:$HN$50,MATCH(1,(GMW!$HM$2:$HM$50=L$3)*(GMW!$HN$2:$HN$50=L$1),0),$B176-1973)</f>
        <v>32958</v>
      </c>
      <c r="M176" cm="1">
        <f t="array" ref="M176">INDEX(GMW!$A$2:$HN$50,MATCH(1,(GMW!$HM$2:$HM$50=M$3)*(GMW!$HN$2:$HN$50=M$1),0),$B176-1973)</f>
        <v>8858.7540000000008</v>
      </c>
      <c r="N176" cm="1">
        <f t="array" ref="N176">INDEX(GMW!$A$2:$HN$50,MATCH(1,(GMW!$HM$2:$HM$50=N$3)*(GMW!$HN$2:$HN$50=N$1),0),$B176-1973)</f>
        <v>3.9</v>
      </c>
      <c r="O176" cm="1">
        <f t="array" ref="O176">INDEX(GMW!$A$2:$HN$50,MATCH(1,(GMW!$HM$2:$HM$50=O$3)*(GMW!$HN$2:$HN$50=O$1),0),$B176-1973)</f>
        <v>398386</v>
      </c>
      <c r="P176" cm="1">
        <f t="array" ref="P176">INDEX(GMW!$A$2:$HN$50,MATCH(1,(GMW!$HM$2:$HM$50=P$3)*(GMW!$HN$2:$HN$50=P$1),0),$B176-1973)</f>
        <v>35271</v>
      </c>
    </row>
    <row r="177" spans="1:16">
      <c r="B177">
        <f t="shared" si="6"/>
        <v>2150</v>
      </c>
      <c r="C177">
        <f t="shared" si="7"/>
        <v>2022</v>
      </c>
      <c r="D177">
        <f t="shared" si="7"/>
        <v>2022</v>
      </c>
      <c r="E177" cm="1">
        <f t="array" ref="E177">INDEX(GMW!$A$2:$HN$50,MATCH(1,(GMW!$HM$2:$HM$50=E$3)*(GMW!$HN$2:$HN$50=E$1),0),$B177-1973)</f>
        <v>631977</v>
      </c>
      <c r="F177" cm="1">
        <f t="array" ref="F177">INDEX(GMW!$A$2:$HN$50,MATCH(1,(GMW!$HM$2:$HM$50=F$3)*(GMW!$HN$2:$HN$50=F$1),0),$B177-1973)</f>
        <v>32916</v>
      </c>
      <c r="G177" cm="1">
        <f t="array" ref="G177">INDEX(GMW!$A$2:$HN$50,MATCH(1,(GMW!$HM$2:$HM$50=G$3)*(GMW!$HN$2:$HN$50=G$1),0),$B177-1973)</f>
        <v>8972.3819999999996</v>
      </c>
      <c r="H177" cm="1">
        <f t="array" ref="H177">INDEX(GMW!$A$2:$HN$50,MATCH(1,(GMW!$HM$2:$HM$50=H$3)*(GMW!$HN$2:$HN$50=H$1),0),$B177-1973)</f>
        <v>3.8</v>
      </c>
      <c r="I177" cm="1">
        <f t="array" ref="I177">INDEX(GMW!$A$2:$HN$50,MATCH(1,(GMW!$HM$2:$HM$50=I$3)*(GMW!$HN$2:$HN$50=I$1),0),$B177-1973)</f>
        <v>400405</v>
      </c>
      <c r="J177" cm="1">
        <f t="array" ref="J177">INDEX(GMW!$A$2:$HN$50,MATCH(1,(GMW!$HM$2:$HM$50=J$3)*(GMW!$HN$2:$HN$50=J$1),0),$B177-1973)</f>
        <v>35446</v>
      </c>
      <c r="K177" cm="1">
        <f t="array" ref="K177">INDEX(GMW!$A$2:$HN$50,MATCH(1,(GMW!$HM$2:$HM$50=K$3)*(GMW!$HN$2:$HN$50=K$1),0),$B177-1973)</f>
        <v>631977</v>
      </c>
      <c r="L177" cm="1">
        <f t="array" ref="L177">INDEX(GMW!$A$2:$HN$50,MATCH(1,(GMW!$HM$2:$HM$50=L$3)*(GMW!$HN$2:$HN$50=L$1),0),$B177-1973)</f>
        <v>32916</v>
      </c>
      <c r="M177" cm="1">
        <f t="array" ref="M177">INDEX(GMW!$A$2:$HN$50,MATCH(1,(GMW!$HM$2:$HM$50=M$3)*(GMW!$HN$2:$HN$50=M$1),0),$B177-1973)</f>
        <v>8972.3819999999996</v>
      </c>
      <c r="N177" cm="1">
        <f t="array" ref="N177">INDEX(GMW!$A$2:$HN$50,MATCH(1,(GMW!$HM$2:$HM$50=N$3)*(GMW!$HN$2:$HN$50=N$1),0),$B177-1973)</f>
        <v>3.8</v>
      </c>
      <c r="O177" cm="1">
        <f t="array" ref="O177">INDEX(GMW!$A$2:$HN$50,MATCH(1,(GMW!$HM$2:$HM$50=O$3)*(GMW!$HN$2:$HN$50=O$1),0),$B177-1973)</f>
        <v>400405</v>
      </c>
      <c r="P177" cm="1">
        <f t="array" ref="P177">INDEX(GMW!$A$2:$HN$50,MATCH(1,(GMW!$HM$2:$HM$50=P$3)*(GMW!$HN$2:$HN$50=P$1),0),$B177-1973)</f>
        <v>35446</v>
      </c>
    </row>
    <row r="178" spans="1:16">
      <c r="B178">
        <f t="shared" si="6"/>
        <v>2151</v>
      </c>
      <c r="C178">
        <f t="shared" si="7"/>
        <v>2022</v>
      </c>
      <c r="D178">
        <f t="shared" si="7"/>
        <v>2022</v>
      </c>
      <c r="E178" cm="1">
        <f t="array" ref="E178">INDEX(GMW!$A$2:$HN$50,MATCH(1,(GMW!$HM$2:$HM$50=E$3)*(GMW!$HN$2:$HN$50=E$1),0),$B178-1973)</f>
        <v>634044</v>
      </c>
      <c r="F178" cm="1">
        <f t="array" ref="F178">INDEX(GMW!$A$2:$HN$50,MATCH(1,(GMW!$HM$2:$HM$50=F$3)*(GMW!$HN$2:$HN$50=F$1),0),$B178-1973)</f>
        <v>33067</v>
      </c>
      <c r="G178" cm="1">
        <f t="array" ref="G178">INDEX(GMW!$A$2:$HN$50,MATCH(1,(GMW!$HM$2:$HM$50=G$3)*(GMW!$HN$2:$HN$50=G$1),0),$B178-1973)</f>
        <v>9187.0920000000006</v>
      </c>
      <c r="H178" cm="1">
        <f t="array" ref="H178">INDEX(GMW!$A$2:$HN$50,MATCH(1,(GMW!$HM$2:$HM$50=H$3)*(GMW!$HN$2:$HN$50=H$1),0),$B178-1973)</f>
        <v>3.9</v>
      </c>
      <c r="I178" cm="1">
        <f t="array" ref="I178">INDEX(GMW!$A$2:$HN$50,MATCH(1,(GMW!$HM$2:$HM$50=I$3)*(GMW!$HN$2:$HN$50=I$1),0),$B178-1973)</f>
        <v>408689</v>
      </c>
      <c r="J178" cm="1">
        <f t="array" ref="J178">INDEX(GMW!$A$2:$HN$50,MATCH(1,(GMW!$HM$2:$HM$50=J$3)*(GMW!$HN$2:$HN$50=J$1),0),$B178-1973)</f>
        <v>34778</v>
      </c>
      <c r="K178" cm="1">
        <f t="array" ref="K178">INDEX(GMW!$A$2:$HN$50,MATCH(1,(GMW!$HM$2:$HM$50=K$3)*(GMW!$HN$2:$HN$50=K$1),0),$B178-1973)</f>
        <v>634044</v>
      </c>
      <c r="L178" cm="1">
        <f t="array" ref="L178">INDEX(GMW!$A$2:$HN$50,MATCH(1,(GMW!$HM$2:$HM$50=L$3)*(GMW!$HN$2:$HN$50=L$1),0),$B178-1973)</f>
        <v>33067</v>
      </c>
      <c r="M178" cm="1">
        <f t="array" ref="M178">INDEX(GMW!$A$2:$HN$50,MATCH(1,(GMW!$HM$2:$HM$50=M$3)*(GMW!$HN$2:$HN$50=M$1),0),$B178-1973)</f>
        <v>9187.0920000000006</v>
      </c>
      <c r="N178" cm="1">
        <f t="array" ref="N178">INDEX(GMW!$A$2:$HN$50,MATCH(1,(GMW!$HM$2:$HM$50=N$3)*(GMW!$HN$2:$HN$50=N$1),0),$B178-1973)</f>
        <v>3.9</v>
      </c>
      <c r="O178" cm="1">
        <f t="array" ref="O178">INDEX(GMW!$A$2:$HN$50,MATCH(1,(GMW!$HM$2:$HM$50=O$3)*(GMW!$HN$2:$HN$50=O$1),0),$B178-1973)</f>
        <v>408689</v>
      </c>
      <c r="P178" cm="1">
        <f t="array" ref="P178">INDEX(GMW!$A$2:$HN$50,MATCH(1,(GMW!$HM$2:$HM$50=P$3)*(GMW!$HN$2:$HN$50=P$1),0),$B178-1973)</f>
        <v>34778</v>
      </c>
    </row>
    <row r="179" spans="1:16">
      <c r="A179">
        <v>2023</v>
      </c>
      <c r="B179">
        <f t="shared" si="6"/>
        <v>2152</v>
      </c>
      <c r="C179">
        <f t="shared" si="7"/>
        <v>2023</v>
      </c>
      <c r="D179">
        <f t="shared" si="7"/>
        <v>2022</v>
      </c>
      <c r="E179" cm="1">
        <f t="array" ref="E179">INDEX(GMW!$A$2:$HN$50,MATCH(1,(GMW!$HM$2:$HM$50=E$3)*(GMW!$HN$2:$HN$50=E$1),0),$B179-1973)</f>
        <v>634612</v>
      </c>
      <c r="F179" cm="1">
        <f t="array" ref="F179">INDEX(GMW!$A$2:$HN$50,MATCH(1,(GMW!$HM$2:$HM$50=F$3)*(GMW!$HN$2:$HN$50=F$1),0),$B179-1973)</f>
        <v>33201</v>
      </c>
      <c r="G179" cm="1">
        <f t="array" ref="G179">INDEX(GMW!$A$2:$HN$50,MATCH(1,(GMW!$HM$2:$HM$50=G$3)*(GMW!$HN$2:$HN$50=G$1),0),$B179-1973)</f>
        <v>9460.3019999999997</v>
      </c>
      <c r="H179" cm="1">
        <f t="array" ref="H179">INDEX(GMW!$A$2:$HN$50,MATCH(1,(GMW!$HM$2:$HM$50=H$3)*(GMW!$HN$2:$HN$50=H$1),0),$B179-1973)</f>
        <v>4</v>
      </c>
      <c r="I179" cm="1">
        <f t="array" ref="I179">INDEX(GMW!$A$2:$HN$50,MATCH(1,(GMW!$HM$2:$HM$50=I$3)*(GMW!$HN$2:$HN$50=I$1),0),$B179-1973)</f>
        <v>407362</v>
      </c>
      <c r="J179" cm="1">
        <f t="array" ref="J179">INDEX(GMW!$A$2:$HN$50,MATCH(1,(GMW!$HM$2:$HM$50=J$3)*(GMW!$HN$2:$HN$50=J$1),0),$B179-1973)</f>
        <v>34923</v>
      </c>
      <c r="K179" cm="1">
        <f t="array" ref="K179">INDEX(GMW!$A$2:$HN$50,MATCH(1,(GMW!$HM$2:$HM$50=K$3)*(GMW!$HN$2:$HN$50=K$1),0),$B179-1973)</f>
        <v>634612</v>
      </c>
      <c r="L179" cm="1">
        <f t="array" ref="L179">INDEX(GMW!$A$2:$HN$50,MATCH(1,(GMW!$HM$2:$HM$50=L$3)*(GMW!$HN$2:$HN$50=L$1),0),$B179-1973)</f>
        <v>33201</v>
      </c>
      <c r="M179" cm="1">
        <f t="array" ref="M179">INDEX(GMW!$A$2:$HN$50,MATCH(1,(GMW!$HM$2:$HM$50=M$3)*(GMW!$HN$2:$HN$50=M$1),0),$B179-1973)</f>
        <v>9460.3019999999997</v>
      </c>
      <c r="N179" cm="1">
        <f t="array" ref="N179">INDEX(GMW!$A$2:$HN$50,MATCH(1,(GMW!$HM$2:$HM$50=N$3)*(GMW!$HN$2:$HN$50=N$1),0),$B179-1973)</f>
        <v>4</v>
      </c>
      <c r="O179" cm="1">
        <f t="array" ref="O179">INDEX(GMW!$A$2:$HN$50,MATCH(1,(GMW!$HM$2:$HM$50=O$3)*(GMW!$HN$2:$HN$50=O$1),0),$B179-1973)</f>
        <v>407362</v>
      </c>
      <c r="P179" cm="1">
        <f t="array" ref="P179">INDEX(GMW!$A$2:$HN$50,MATCH(1,(GMW!$HM$2:$HM$50=P$3)*(GMW!$HN$2:$HN$50=P$1),0),$B179-1973)</f>
        <v>34923</v>
      </c>
    </row>
    <row r="180" spans="1:16">
      <c r="B180">
        <f t="shared" si="6"/>
        <v>2153</v>
      </c>
      <c r="C180">
        <f t="shared" si="7"/>
        <v>2023</v>
      </c>
      <c r="D180">
        <f t="shared" si="7"/>
        <v>2023</v>
      </c>
      <c r="E180" cm="1">
        <f t="array" ref="E180">INDEX(GMW!$A$2:$HN$50,MATCH(1,(GMW!$HM$2:$HM$50=E$3)*(GMW!$HN$2:$HN$50=E$1),0),$B180-1973)</f>
        <v>634624</v>
      </c>
      <c r="F180" cm="1">
        <f t="array" ref="F180">INDEX(GMW!$A$2:$HN$50,MATCH(1,(GMW!$HM$2:$HM$50=F$3)*(GMW!$HN$2:$HN$50=F$1),0),$B180-1973)</f>
        <v>33163</v>
      </c>
      <c r="G180" cm="1">
        <f t="array" ref="G180">INDEX(GMW!$A$2:$HN$50,MATCH(1,(GMW!$HM$2:$HM$50=G$3)*(GMW!$HN$2:$HN$50=G$1),0),$B180-1973)</f>
        <v>9660.59</v>
      </c>
      <c r="H180" cm="1">
        <f t="array" ref="H180">INDEX(GMW!$A$2:$HN$50,MATCH(1,(GMW!$HM$2:$HM$50=H$3)*(GMW!$HN$2:$HN$50=H$1),0),$B180-1973)</f>
        <v>4.2</v>
      </c>
      <c r="I180" cm="1">
        <f t="array" ref="I180">INDEX(GMW!$A$2:$HN$50,MATCH(1,(GMW!$HM$2:$HM$50=I$3)*(GMW!$HN$2:$HN$50=I$1),0),$B180-1973)</f>
        <v>412328</v>
      </c>
      <c r="J180" cm="1">
        <f t="array" ref="J180">INDEX(GMW!$A$2:$HN$50,MATCH(1,(GMW!$HM$2:$HM$50=J$3)*(GMW!$HN$2:$HN$50=J$1),0),$B180-1973)</f>
        <v>35305</v>
      </c>
      <c r="K180" cm="1">
        <f t="array" ref="K180">INDEX(GMW!$A$2:$HN$50,MATCH(1,(GMW!$HM$2:$HM$50=K$3)*(GMW!$HN$2:$HN$50=K$1),0),$B180-1973)</f>
        <v>634624</v>
      </c>
      <c r="L180" cm="1">
        <f t="array" ref="L180">INDEX(GMW!$A$2:$HN$50,MATCH(1,(GMW!$HM$2:$HM$50=L$3)*(GMW!$HN$2:$HN$50=L$1),0),$B180-1973)</f>
        <v>33163</v>
      </c>
      <c r="M180" cm="1">
        <f t="array" ref="M180">INDEX(GMW!$A$2:$HN$50,MATCH(1,(GMW!$HM$2:$HM$50=M$3)*(GMW!$HN$2:$HN$50=M$1),0),$B180-1973)</f>
        <v>9660.59</v>
      </c>
      <c r="N180" cm="1">
        <f t="array" ref="N180">INDEX(GMW!$A$2:$HN$50,MATCH(1,(GMW!$HM$2:$HM$50=N$3)*(GMW!$HN$2:$HN$50=N$1),0),$B180-1973)</f>
        <v>4.2</v>
      </c>
      <c r="O180" cm="1">
        <f t="array" ref="O180">INDEX(GMW!$A$2:$HN$50,MATCH(1,(GMW!$HM$2:$HM$50=O$3)*(GMW!$HN$2:$HN$50=O$1),0),$B180-1973)</f>
        <v>412328</v>
      </c>
      <c r="P180" cm="1">
        <f t="array" ref="P180">INDEX(GMW!$A$2:$HN$50,MATCH(1,(GMW!$HM$2:$HM$50=P$3)*(GMW!$HN$2:$HN$50=P$1),0),$B180-1973)</f>
        <v>35305</v>
      </c>
    </row>
    <row r="181" spans="1:16">
      <c r="B181">
        <f t="shared" si="6"/>
        <v>2154</v>
      </c>
      <c r="C181">
        <f t="shared" si="7"/>
        <v>2023</v>
      </c>
      <c r="D181">
        <f t="shared" si="7"/>
        <v>2023</v>
      </c>
      <c r="E181" cm="1">
        <f t="array" ref="E181">INDEX(GMW!$A$2:$HN$50,MATCH(1,(GMW!$HM$2:$HM$50=E$3)*(GMW!$HN$2:$HN$50=E$1),0),$B181-1973)</f>
        <v>633956</v>
      </c>
      <c r="F181" cm="1">
        <f t="array" ref="F181">INDEX(GMW!$A$2:$HN$50,MATCH(1,(GMW!$HM$2:$HM$50=F$3)*(GMW!$HN$2:$HN$50=F$1),0),$B181-1973)</f>
        <v>33102</v>
      </c>
      <c r="G181" cm="1">
        <f t="array" ref="G181">INDEX(GMW!$A$2:$HN$50,MATCH(1,(GMW!$HM$2:$HM$50=G$3)*(GMW!$HN$2:$HN$50=G$1),0),$B181-1973)</f>
        <v>9771.0329999999994</v>
      </c>
      <c r="H181" cm="1">
        <f t="array" ref="H181">INDEX(GMW!$A$2:$HN$50,MATCH(1,(GMW!$HM$2:$HM$50=H$3)*(GMW!$HN$2:$HN$50=H$1),0),$B181-1973)</f>
        <v>4.0999999999999996</v>
      </c>
      <c r="I181" cm="1">
        <f t="array" ref="I181">INDEX(GMW!$A$2:$HN$50,MATCH(1,(GMW!$HM$2:$HM$50=I$3)*(GMW!$HN$2:$HN$50=I$1),0),$B181-1973)</f>
        <v>413001</v>
      </c>
      <c r="J181" cm="1">
        <f t="array" ref="J181">INDEX(GMW!$A$2:$HN$50,MATCH(1,(GMW!$HM$2:$HM$50=J$3)*(GMW!$HN$2:$HN$50=J$1),0),$B181-1973)</f>
        <v>35835</v>
      </c>
      <c r="K181" cm="1">
        <f t="array" ref="K181">INDEX(GMW!$A$2:$HN$50,MATCH(1,(GMW!$HM$2:$HM$50=K$3)*(GMW!$HN$2:$HN$50=K$1),0),$B181-1973)</f>
        <v>633956</v>
      </c>
      <c r="L181" cm="1">
        <f t="array" ref="L181">INDEX(GMW!$A$2:$HN$50,MATCH(1,(GMW!$HM$2:$HM$50=L$3)*(GMW!$HN$2:$HN$50=L$1),0),$B181-1973)</f>
        <v>33102</v>
      </c>
      <c r="M181" cm="1">
        <f t="array" ref="M181">INDEX(GMW!$A$2:$HN$50,MATCH(1,(GMW!$HM$2:$HM$50=M$3)*(GMW!$HN$2:$HN$50=M$1),0),$B181-1973)</f>
        <v>9771.0329999999994</v>
      </c>
      <c r="N181" cm="1">
        <f t="array" ref="N181">INDEX(GMW!$A$2:$HN$50,MATCH(1,(GMW!$HM$2:$HM$50=N$3)*(GMW!$HN$2:$HN$50=N$1),0),$B181-1973)</f>
        <v>4.0999999999999996</v>
      </c>
      <c r="O181" cm="1">
        <f t="array" ref="O181">INDEX(GMW!$A$2:$HN$50,MATCH(1,(GMW!$HM$2:$HM$50=O$3)*(GMW!$HN$2:$HN$50=O$1),0),$B181-1973)</f>
        <v>413001</v>
      </c>
      <c r="P181" cm="1">
        <f t="array" ref="P181">INDEX(GMW!$A$2:$HN$50,MATCH(1,(GMW!$HM$2:$HM$50=P$3)*(GMW!$HN$2:$HN$50=P$1),0),$B181-1973)</f>
        <v>35835</v>
      </c>
    </row>
    <row r="182" spans="1:16">
      <c r="B182">
        <f t="shared" si="6"/>
        <v>2155</v>
      </c>
      <c r="C182">
        <f t="shared" si="7"/>
        <v>2023</v>
      </c>
      <c r="D182">
        <f t="shared" si="7"/>
        <v>2023</v>
      </c>
      <c r="E182" cm="1">
        <f t="array" ref="E182">INDEX(GMW!$A$2:$HN$50,MATCH(1,(GMW!$HM$2:$HM$50=E$3)*(GMW!$HN$2:$HN$50=E$1),0),$B182-1973)</f>
        <v>631825</v>
      </c>
      <c r="F182" cm="1">
        <f t="array" ref="F182">INDEX(GMW!$A$2:$HN$50,MATCH(1,(GMW!$HM$2:$HM$50=F$3)*(GMW!$HN$2:$HN$50=F$1),0),$B182-1973)</f>
        <v>33174</v>
      </c>
      <c r="G182" cm="1">
        <f t="array" ref="G182">INDEX(GMW!$A$2:$HN$50,MATCH(1,(GMW!$HM$2:$HM$50=G$3)*(GMW!$HN$2:$HN$50=G$1),0),$B182-1973)</f>
        <v>9774.9840000000004</v>
      </c>
      <c r="H182" cm="1">
        <f t="array" ref="H182">INDEX(GMW!$A$2:$HN$50,MATCH(1,(GMW!$HM$2:$HM$50=H$3)*(GMW!$HN$2:$HN$50=H$1),0),$B182-1973)</f>
        <v>3.8</v>
      </c>
      <c r="I182" cm="1">
        <f t="array" ref="I182">INDEX(GMW!$A$2:$HN$50,MATCH(1,(GMW!$HM$2:$HM$50=I$3)*(GMW!$HN$2:$HN$50=I$1),0),$B182-1973)</f>
        <v>415159</v>
      </c>
      <c r="J182" cm="1">
        <f t="array" ref="J182">INDEX(GMW!$A$2:$HN$50,MATCH(1,(GMW!$HM$2:$HM$50=J$3)*(GMW!$HN$2:$HN$50=J$1),0),$B182-1973)</f>
        <v>37193</v>
      </c>
      <c r="K182" cm="1">
        <f t="array" ref="K182">INDEX(GMW!$A$2:$HN$50,MATCH(1,(GMW!$HM$2:$HM$50=K$3)*(GMW!$HN$2:$HN$50=K$1),0),$B182-1973)</f>
        <v>631825</v>
      </c>
      <c r="L182" cm="1">
        <f t="array" ref="L182">INDEX(GMW!$A$2:$HN$50,MATCH(1,(GMW!$HM$2:$HM$50=L$3)*(GMW!$HN$2:$HN$50=L$1),0),$B182-1973)</f>
        <v>33174</v>
      </c>
      <c r="M182" cm="1">
        <f t="array" ref="M182">INDEX(GMW!$A$2:$HN$50,MATCH(1,(GMW!$HM$2:$HM$50=M$3)*(GMW!$HN$2:$HN$50=M$1),0),$B182-1973)</f>
        <v>9774.9840000000004</v>
      </c>
      <c r="N182" cm="1">
        <f t="array" ref="N182">INDEX(GMW!$A$2:$HN$50,MATCH(1,(GMW!$HM$2:$HM$50=N$3)*(GMW!$HN$2:$HN$50=N$1),0),$B182-1973)</f>
        <v>3.8</v>
      </c>
      <c r="O182" cm="1">
        <f t="array" ref="O182">INDEX(GMW!$A$2:$HN$50,MATCH(1,(GMW!$HM$2:$HM$50=O$3)*(GMW!$HN$2:$HN$50=O$1),0),$B182-1973)</f>
        <v>415159</v>
      </c>
      <c r="P182" cm="1">
        <f t="array" ref="P182">INDEX(GMW!$A$2:$HN$50,MATCH(1,(GMW!$HM$2:$HM$50=P$3)*(GMW!$HN$2:$HN$50=P$1),0),$B182-1973)</f>
        <v>37193</v>
      </c>
    </row>
    <row r="183" spans="1:16">
      <c r="A183">
        <v>2024</v>
      </c>
      <c r="B183">
        <f t="shared" si="6"/>
        <v>2156</v>
      </c>
      <c r="C183">
        <f t="shared" si="7"/>
        <v>2024</v>
      </c>
      <c r="D183">
        <f t="shared" si="7"/>
        <v>2023</v>
      </c>
      <c r="E183" cm="1">
        <f t="array" ref="E183">INDEX(GMW!$A$2:$HN$50,MATCH(1,(GMW!$HM$2:$HM$50=E$3)*(GMW!$HN$2:$HN$50=E$1),0),$B183-1973)</f>
        <v>636222</v>
      </c>
      <c r="F183" cm="1">
        <f t="array" ref="F183">INDEX(GMW!$A$2:$HN$50,MATCH(1,(GMW!$HM$2:$HM$50=F$3)*(GMW!$HN$2:$HN$50=F$1),0),$B183-1973)</f>
        <v>32997</v>
      </c>
      <c r="G183" cm="1">
        <f t="array" ref="G183">INDEX(GMW!$A$2:$HN$50,MATCH(1,(GMW!$HM$2:$HM$50=G$3)*(GMW!$HN$2:$HN$50=G$1),0),$B183-1973)</f>
        <v>9898.7260000000006</v>
      </c>
      <c r="H183" cm="1">
        <f t="array" ref="H183">INDEX(GMW!$A$2:$HN$50,MATCH(1,(GMW!$HM$2:$HM$50=H$3)*(GMW!$HN$2:$HN$50=H$1),0),$B183-1973)</f>
        <v>4.3</v>
      </c>
      <c r="I183" cm="1">
        <f t="array" ref="I183">INDEX(GMW!$A$2:$HN$50,MATCH(1,(GMW!$HM$2:$HM$50=I$3)*(GMW!$HN$2:$HN$50=I$1),0),$B183-1973)</f>
        <v>420689</v>
      </c>
      <c r="J183" cm="1">
        <f t="array" ref="J183">INDEX(GMW!$A$2:$HN$50,MATCH(1,(GMW!$HM$2:$HM$50=J$3)*(GMW!$HN$2:$HN$50=J$1),0),$B183-1973)</f>
        <v>38998</v>
      </c>
      <c r="K183" cm="1">
        <f t="array" ref="K183">INDEX(GMW!$A$2:$HN$50,MATCH(1,(GMW!$HM$2:$HM$50=K$3)*(GMW!$HN$2:$HN$50=K$1),0),$B183-1973)</f>
        <v>636222</v>
      </c>
      <c r="L183" cm="1">
        <f t="array" ref="L183">INDEX(GMW!$A$2:$HN$50,MATCH(1,(GMW!$HM$2:$HM$50=L$3)*(GMW!$HN$2:$HN$50=L$1),0),$B183-1973)</f>
        <v>32997</v>
      </c>
      <c r="M183" cm="1">
        <f t="array" ref="M183">INDEX(GMW!$A$2:$HN$50,MATCH(1,(GMW!$HM$2:$HM$50=M$3)*(GMW!$HN$2:$HN$50=M$1),0),$B183-1973)</f>
        <v>9898.7260000000006</v>
      </c>
      <c r="N183" cm="1">
        <f t="array" ref="N183">INDEX(GMW!$A$2:$HN$50,MATCH(1,(GMW!$HM$2:$HM$50=N$3)*(GMW!$HN$2:$HN$50=N$1),0),$B183-1973)</f>
        <v>4.3</v>
      </c>
      <c r="O183" cm="1">
        <f t="array" ref="O183">INDEX(GMW!$A$2:$HN$50,MATCH(1,(GMW!$HM$2:$HM$50=O$3)*(GMW!$HN$2:$HN$50=O$1),0),$B183-1973)</f>
        <v>420689</v>
      </c>
      <c r="P183" cm="1">
        <f t="array" ref="P183">INDEX(GMW!$A$2:$HN$50,MATCH(1,(GMW!$HM$2:$HM$50=P$3)*(GMW!$HN$2:$HN$50=P$1),0),$B183-1973)</f>
        <v>38998</v>
      </c>
    </row>
    <row r="184" spans="1:16">
      <c r="B184">
        <f t="shared" si="6"/>
        <v>2157</v>
      </c>
      <c r="C184">
        <f t="shared" si="7"/>
        <v>2024</v>
      </c>
      <c r="D184">
        <f t="shared" si="7"/>
        <v>2024</v>
      </c>
      <c r="E184" cm="1">
        <f t="array" ref="E184">INDEX(GMW!$A$2:$HN$50,MATCH(1,(GMW!$HM$2:$HM$50=E$3)*(GMW!$HN$2:$HN$50=E$1),0),$B184-1973)</f>
        <v>639095</v>
      </c>
      <c r="F184" cm="1">
        <f t="array" ref="F184">INDEX(GMW!$A$2:$HN$50,MATCH(1,(GMW!$HM$2:$HM$50=F$3)*(GMW!$HN$2:$HN$50=F$1),0),$B184-1973)</f>
        <v>33094</v>
      </c>
      <c r="G184" cm="1">
        <f t="array" ref="G184">INDEX(GMW!$A$2:$HN$50,MATCH(1,(GMW!$HM$2:$HM$50=G$3)*(GMW!$HN$2:$HN$50=G$1),0),$B184-1973)</f>
        <v>10025.209999999999</v>
      </c>
      <c r="H184" cm="1">
        <f t="array" ref="H184">INDEX(GMW!$A$2:$HN$50,MATCH(1,(GMW!$HM$2:$HM$50=H$3)*(GMW!$HN$2:$HN$50=H$1),0),$B184-1973)</f>
        <v>4.2</v>
      </c>
      <c r="I184" cm="1">
        <f t="array" ref="I184">INDEX(GMW!$A$2:$HN$50,MATCH(1,(GMW!$HM$2:$HM$50=I$3)*(GMW!$HN$2:$HN$50=I$1),0),$B184-1973)</f>
        <v>426221</v>
      </c>
      <c r="J184" cm="1">
        <f t="array" ref="J184">INDEX(GMW!$A$2:$HN$50,MATCH(1,(GMW!$HM$2:$HM$50=J$3)*(GMW!$HN$2:$HN$50=J$1),0),$B184-1973)</f>
        <v>37308</v>
      </c>
      <c r="K184" cm="1">
        <f t="array" ref="K184">INDEX(GMW!$A$2:$HN$50,MATCH(1,(GMW!$HM$2:$HM$50=K$3)*(GMW!$HN$2:$HN$50=K$1),0),$B184-1973)</f>
        <v>639095</v>
      </c>
      <c r="L184" cm="1">
        <f t="array" ref="L184">INDEX(GMW!$A$2:$HN$50,MATCH(1,(GMW!$HM$2:$HM$50=L$3)*(GMW!$HN$2:$HN$50=L$1),0),$B184-1973)</f>
        <v>33094</v>
      </c>
      <c r="M184" cm="1">
        <f t="array" ref="M184">INDEX(GMW!$A$2:$HN$50,MATCH(1,(GMW!$HM$2:$HM$50=M$3)*(GMW!$HN$2:$HN$50=M$1),0),$B184-1973)</f>
        <v>10025.209999999999</v>
      </c>
      <c r="N184" cm="1">
        <f t="array" ref="N184">INDEX(GMW!$A$2:$HN$50,MATCH(1,(GMW!$HM$2:$HM$50=N$3)*(GMW!$HN$2:$HN$50=N$1),0),$B184-1973)</f>
        <v>4.2</v>
      </c>
      <c r="O184" cm="1">
        <f t="array" ref="O184">INDEX(GMW!$A$2:$HN$50,MATCH(1,(GMW!$HM$2:$HM$50=O$3)*(GMW!$HN$2:$HN$50=O$1),0),$B184-1973)</f>
        <v>426221</v>
      </c>
      <c r="P184" cm="1">
        <f t="array" ref="P184">INDEX(GMW!$A$2:$HN$50,MATCH(1,(GMW!$HM$2:$HM$50=P$3)*(GMW!$HN$2:$HN$50=P$1),0),$B184-1973)</f>
        <v>37308</v>
      </c>
    </row>
    <row r="185" spans="1:16">
      <c r="B185">
        <f t="shared" si="6"/>
        <v>2158</v>
      </c>
      <c r="C185">
        <f t="shared" si="7"/>
        <v>2024</v>
      </c>
      <c r="D185">
        <f t="shared" si="7"/>
        <v>2024</v>
      </c>
      <c r="E185" cm="1">
        <f t="array" ref="E185">INDEX(GMW!$A$2:$HN$50,MATCH(1,(GMW!$HM$2:$HM$50=E$3)*(GMW!$HN$2:$HN$50=E$1),0),$B185-1973)</f>
        <v>640741.9</v>
      </c>
      <c r="F185" cm="1">
        <f t="array" ref="F185">INDEX(GMW!$A$2:$HN$50,MATCH(1,(GMW!$HM$2:$HM$50=F$3)*(GMW!$HN$2:$HN$50=F$1),0),$B185-1973)</f>
        <v>33306.910000000003</v>
      </c>
      <c r="G185" cm="1">
        <f t="array" ref="G185">INDEX(GMW!$A$2:$HN$50,MATCH(1,(GMW!$HM$2:$HM$50=G$3)*(GMW!$HN$2:$HN$50=G$1),0),$B185-1973)</f>
        <v>10139.5</v>
      </c>
      <c r="H185" cm="1">
        <f t="array" ref="H185">INDEX(GMW!$A$2:$HN$50,MATCH(1,(GMW!$HM$2:$HM$50=H$3)*(GMW!$HN$2:$HN$50=H$1),0),$B185-1973)</f>
        <v>4.2431080000000003</v>
      </c>
      <c r="I185" cm="1">
        <f t="array" ref="I185">INDEX(GMW!$A$2:$HN$50,MATCH(1,(GMW!$HM$2:$HM$50=I$3)*(GMW!$HN$2:$HN$50=I$1),0),$B185-1973)</f>
        <v>427151.4</v>
      </c>
      <c r="J185" cm="1">
        <f t="array" ref="J185">INDEX(GMW!$A$2:$HN$50,MATCH(1,(GMW!$HM$2:$HM$50=J$3)*(GMW!$HN$2:$HN$50=J$1),0),$B185-1973)</f>
        <v>38127.699999999997</v>
      </c>
      <c r="K185" cm="1">
        <f t="array" ref="K185">INDEX(GMW!$A$2:$HN$50,MATCH(1,(GMW!$HM$2:$HM$50=K$3)*(GMW!$HN$2:$HN$50=K$1),0),$B185-1973)</f>
        <v>640741.9</v>
      </c>
      <c r="L185" cm="1">
        <f t="array" ref="L185">INDEX(GMW!$A$2:$HN$50,MATCH(1,(GMW!$HM$2:$HM$50=L$3)*(GMW!$HN$2:$HN$50=L$1),0),$B185-1973)</f>
        <v>33306.910000000003</v>
      </c>
      <c r="M185" cm="1">
        <f t="array" ref="M185">INDEX(GMW!$A$2:$HN$50,MATCH(1,(GMW!$HM$2:$HM$50=M$3)*(GMW!$HN$2:$HN$50=M$1),0),$B185-1973)</f>
        <v>10139.5</v>
      </c>
      <c r="N185" cm="1">
        <f t="array" ref="N185">INDEX(GMW!$A$2:$HN$50,MATCH(1,(GMW!$HM$2:$HM$50=N$3)*(GMW!$HN$2:$HN$50=N$1),0),$B185-1973)</f>
        <v>4.2431080000000003</v>
      </c>
      <c r="O185" cm="1">
        <f t="array" ref="O185">INDEX(GMW!$A$2:$HN$50,MATCH(1,(GMW!$HM$2:$HM$50=O$3)*(GMW!$HN$2:$HN$50=O$1),0),$B185-1973)</f>
        <v>427151.4</v>
      </c>
      <c r="P185" cm="1">
        <f t="array" ref="P185">INDEX(GMW!$A$2:$HN$50,MATCH(1,(GMW!$HM$2:$HM$50=P$3)*(GMW!$HN$2:$HN$50=P$1),0),$B185-1973)</f>
        <v>38127.699999999997</v>
      </c>
    </row>
    <row r="186" spans="1:16">
      <c r="B186">
        <f t="shared" si="6"/>
        <v>2159</v>
      </c>
      <c r="C186">
        <f t="shared" si="7"/>
        <v>2024</v>
      </c>
      <c r="D186">
        <f t="shared" si="7"/>
        <v>2024</v>
      </c>
      <c r="E186" cm="1">
        <f t="array" ref="E186">INDEX(GMW!$A$2:$HN$50,MATCH(1,(GMW!$HM$2:$HM$50=E$3)*(GMW!$HN$2:$HN$50=E$1),0),$B186-1973)</f>
        <v>643868.9</v>
      </c>
      <c r="F186" cm="1">
        <f t="array" ref="F186">INDEX(GMW!$A$2:$HN$50,MATCH(1,(GMW!$HM$2:$HM$50=F$3)*(GMW!$HN$2:$HN$50=F$1),0),$B186-1973)</f>
        <v>33156.910000000003</v>
      </c>
      <c r="G186" cm="1">
        <f t="array" ref="G186">INDEX(GMW!$A$2:$HN$50,MATCH(1,(GMW!$HM$2:$HM$50=G$3)*(GMW!$HN$2:$HN$50=G$1),0),$B186-1973)</f>
        <v>10244.950000000001</v>
      </c>
      <c r="H186" cm="1">
        <f t="array" ref="H186">INDEX(GMW!$A$2:$HN$50,MATCH(1,(GMW!$HM$2:$HM$50=H$3)*(GMW!$HN$2:$HN$50=H$1),0),$B186-1973)</f>
        <v>4.4086790000000002</v>
      </c>
      <c r="I186" cm="1">
        <f t="array" ref="I186">INDEX(GMW!$A$2:$HN$50,MATCH(1,(GMW!$HM$2:$HM$50=I$3)*(GMW!$HN$2:$HN$50=I$1),0),$B186-1973)</f>
        <v>427205.6</v>
      </c>
      <c r="J186" cm="1">
        <f t="array" ref="J186">INDEX(GMW!$A$2:$HN$50,MATCH(1,(GMW!$HM$2:$HM$50=J$3)*(GMW!$HN$2:$HN$50=J$1),0),$B186-1973)</f>
        <v>38385.24</v>
      </c>
      <c r="K186" cm="1">
        <f t="array" ref="K186">INDEX(GMW!$A$2:$HN$50,MATCH(1,(GMW!$HM$2:$HM$50=K$3)*(GMW!$HN$2:$HN$50=K$1),0),$B186-1973)</f>
        <v>643868.9</v>
      </c>
      <c r="L186" cm="1">
        <f t="array" ref="L186">INDEX(GMW!$A$2:$HN$50,MATCH(1,(GMW!$HM$2:$HM$50=L$3)*(GMW!$HN$2:$HN$50=L$1),0),$B186-1973)</f>
        <v>33156.910000000003</v>
      </c>
      <c r="M186" cm="1">
        <f t="array" ref="M186">INDEX(GMW!$A$2:$HN$50,MATCH(1,(GMW!$HM$2:$HM$50=M$3)*(GMW!$HN$2:$HN$50=M$1),0),$B186-1973)</f>
        <v>10244.950000000001</v>
      </c>
      <c r="N186" cm="1">
        <f t="array" ref="N186">INDEX(GMW!$A$2:$HN$50,MATCH(1,(GMW!$HM$2:$HM$50=N$3)*(GMW!$HN$2:$HN$50=N$1),0),$B186-1973)</f>
        <v>4.4086790000000002</v>
      </c>
      <c r="O186" cm="1">
        <f t="array" ref="O186">INDEX(GMW!$A$2:$HN$50,MATCH(1,(GMW!$HM$2:$HM$50=O$3)*(GMW!$HN$2:$HN$50=O$1),0),$B186-1973)</f>
        <v>427205.6</v>
      </c>
      <c r="P186" cm="1">
        <f t="array" ref="P186">INDEX(GMW!$A$2:$HN$50,MATCH(1,(GMW!$HM$2:$HM$50=P$3)*(GMW!$HN$2:$HN$50=P$1),0),$B186-1973)</f>
        <v>38385.24</v>
      </c>
    </row>
    <row r="187" spans="1:16">
      <c r="A187">
        <v>2025</v>
      </c>
      <c r="B187">
        <f t="shared" si="6"/>
        <v>2160</v>
      </c>
      <c r="C187">
        <f t="shared" si="7"/>
        <v>2025</v>
      </c>
      <c r="D187">
        <f t="shared" si="7"/>
        <v>2024</v>
      </c>
      <c r="E187" cm="1">
        <f t="array" ref="E187">INDEX(GMW!$A$2:$HN$50,MATCH(1,(GMW!$HM$2:$HM$50=E$3)*(GMW!$HN$2:$HN$50=E$1),0),$B187-1973)</f>
        <v>646136.9</v>
      </c>
      <c r="F187" cm="1">
        <f t="array" ref="F187">INDEX(GMW!$A$2:$HN$50,MATCH(1,(GMW!$HM$2:$HM$50=F$3)*(GMW!$HN$2:$HN$50=F$1),0),$B187-1973)</f>
        <v>33260.839999999997</v>
      </c>
      <c r="G187" cm="1">
        <f t="array" ref="G187">INDEX(GMW!$A$2:$HN$50,MATCH(1,(GMW!$HM$2:$HM$50=G$3)*(GMW!$HN$2:$HN$50=G$1),0),$B187-1973)</f>
        <v>10327.93</v>
      </c>
      <c r="H187" cm="1">
        <f t="array" ref="H187">INDEX(GMW!$A$2:$HN$50,MATCH(1,(GMW!$HM$2:$HM$50=H$3)*(GMW!$HN$2:$HN$50=H$1),0),$B187-1973)</f>
        <v>4.3800910000000002</v>
      </c>
      <c r="I187" cm="1">
        <f t="array" ref="I187">INDEX(GMW!$A$2:$HN$50,MATCH(1,(GMW!$HM$2:$HM$50=I$3)*(GMW!$HN$2:$HN$50=I$1),0),$B187-1973)</f>
        <v>429422.1</v>
      </c>
      <c r="J187" cm="1">
        <f t="array" ref="J187">INDEX(GMW!$A$2:$HN$50,MATCH(1,(GMW!$HM$2:$HM$50=J$3)*(GMW!$HN$2:$HN$50=J$1),0),$B187-1973)</f>
        <v>38842.31</v>
      </c>
      <c r="K187" cm="1">
        <f t="array" ref="K187">INDEX(GMW!$A$2:$HN$50,MATCH(1,(GMW!$HM$2:$HM$50=K$3)*(GMW!$HN$2:$HN$50=K$1),0),$B187-1973)</f>
        <v>646136.9</v>
      </c>
      <c r="L187" cm="1">
        <f t="array" ref="L187">INDEX(GMW!$A$2:$HN$50,MATCH(1,(GMW!$HM$2:$HM$50=L$3)*(GMW!$HN$2:$HN$50=L$1),0),$B187-1973)</f>
        <v>33260.839999999997</v>
      </c>
      <c r="M187" cm="1">
        <f t="array" ref="M187">INDEX(GMW!$A$2:$HN$50,MATCH(1,(GMW!$HM$2:$HM$50=M$3)*(GMW!$HN$2:$HN$50=M$1),0),$B187-1973)</f>
        <v>10327.93</v>
      </c>
      <c r="N187" cm="1">
        <f t="array" ref="N187">INDEX(GMW!$A$2:$HN$50,MATCH(1,(GMW!$HM$2:$HM$50=N$3)*(GMW!$HN$2:$HN$50=N$1),0),$B187-1973)</f>
        <v>4.3800910000000002</v>
      </c>
      <c r="O187" cm="1">
        <f t="array" ref="O187">INDEX(GMW!$A$2:$HN$50,MATCH(1,(GMW!$HM$2:$HM$50=O$3)*(GMW!$HN$2:$HN$50=O$1),0),$B187-1973)</f>
        <v>429422</v>
      </c>
      <c r="P187" cm="1">
        <f t="array" ref="P187">INDEX(GMW!$A$2:$HN$50,MATCH(1,(GMW!$HM$2:$HM$50=P$3)*(GMW!$HN$2:$HN$50=P$1),0),$B187-1973)</f>
        <v>38842.31</v>
      </c>
    </row>
    <row r="188" spans="1:16">
      <c r="B188">
        <f t="shared" si="6"/>
        <v>2161</v>
      </c>
      <c r="C188">
        <f t="shared" si="7"/>
        <v>2025</v>
      </c>
      <c r="D188">
        <f t="shared" si="7"/>
        <v>2025</v>
      </c>
      <c r="E188" cm="1">
        <f t="array" ref="E188">INDEX(GMW!$A$2:$HN$50,MATCH(1,(GMW!$HM$2:$HM$50=E$3)*(GMW!$HN$2:$HN$50=E$1),0),$B188-1973)</f>
        <v>648529.69999999995</v>
      </c>
      <c r="F188" cm="1">
        <f t="array" ref="F188">INDEX(GMW!$A$2:$HN$50,MATCH(1,(GMW!$HM$2:$HM$50=F$3)*(GMW!$HN$2:$HN$50=F$1),0),$B188-1973)</f>
        <v>33375.050000000003</v>
      </c>
      <c r="G188" cm="1">
        <f t="array" ref="G188">INDEX(GMW!$A$2:$HN$50,MATCH(1,(GMW!$HM$2:$HM$50=G$3)*(GMW!$HN$2:$HN$50=G$1),0),$B188-1973)</f>
        <v>10399.200000000001</v>
      </c>
      <c r="H188" cm="1">
        <f t="array" ref="H188">INDEX(GMW!$A$2:$HN$50,MATCH(1,(GMW!$HM$2:$HM$50=H$3)*(GMW!$HN$2:$HN$50=H$1),0),$B188-1973)</f>
        <v>4.3514749999999998</v>
      </c>
      <c r="I188" cm="1">
        <f t="array" ref="I188">INDEX(GMW!$A$2:$HN$50,MATCH(1,(GMW!$HM$2:$HM$50=I$3)*(GMW!$HN$2:$HN$50=I$1),0),$B188-1973)</f>
        <v>431072.3</v>
      </c>
      <c r="J188" cm="1">
        <f t="array" ref="J188">INDEX(GMW!$A$2:$HN$50,MATCH(1,(GMW!$HM$2:$HM$50=J$3)*(GMW!$HN$2:$HN$50=J$1),0),$B188-1973)</f>
        <v>39239.57</v>
      </c>
      <c r="K188" cm="1">
        <f t="array" ref="K188">INDEX(GMW!$A$2:$HN$50,MATCH(1,(GMW!$HM$2:$HM$50=K$3)*(GMW!$HN$2:$HN$50=K$1),0),$B188-1973)</f>
        <v>647772.1</v>
      </c>
      <c r="L188" cm="1">
        <f t="array" ref="L188">INDEX(GMW!$A$2:$HN$50,MATCH(1,(GMW!$HM$2:$HM$50=L$3)*(GMW!$HN$2:$HN$50=L$1),0),$B188-1973)</f>
        <v>33349.68</v>
      </c>
      <c r="M188" cm="1">
        <f t="array" ref="M188">INDEX(GMW!$A$2:$HN$50,MATCH(1,(GMW!$HM$2:$HM$50=M$3)*(GMW!$HN$2:$HN$50=M$1),0),$B188-1973)</f>
        <v>10393.98</v>
      </c>
      <c r="N188" cm="1">
        <f t="array" ref="N188">INDEX(GMW!$A$2:$HN$50,MATCH(1,(GMW!$HM$2:$HM$50=N$3)*(GMW!$HN$2:$HN$50=N$1),0),$B188-1973)</f>
        <v>4.4242419999999996</v>
      </c>
      <c r="O188" cm="1">
        <f t="array" ref="O188">INDEX(GMW!$A$2:$HN$50,MATCH(1,(GMW!$HM$2:$HM$50=O$3)*(GMW!$HN$2:$HN$50=O$1),0),$B188-1973)</f>
        <v>430118.1</v>
      </c>
      <c r="P188" cm="1">
        <f t="array" ref="P188">INDEX(GMW!$A$2:$HN$50,MATCH(1,(GMW!$HM$2:$HM$50=P$3)*(GMW!$HN$2:$HN$50=P$1),0),$B188-1973)</f>
        <v>45125.97</v>
      </c>
    </row>
    <row r="189" spans="1:16">
      <c r="B189">
        <f t="shared" si="6"/>
        <v>2162</v>
      </c>
      <c r="C189">
        <f t="shared" si="7"/>
        <v>2025</v>
      </c>
      <c r="D189">
        <f t="shared" si="7"/>
        <v>2025</v>
      </c>
      <c r="E189" cm="1">
        <f t="array" ref="E189">INDEX(GMW!$A$2:$HN$50,MATCH(1,(GMW!$HM$2:$HM$50=E$3)*(GMW!$HN$2:$HN$50=E$1),0),$B189-1973)</f>
        <v>650983.9</v>
      </c>
      <c r="F189" cm="1">
        <f t="array" ref="F189">INDEX(GMW!$A$2:$HN$50,MATCH(1,(GMW!$HM$2:$HM$50=F$3)*(GMW!$HN$2:$HN$50=F$1),0),$B189-1973)</f>
        <v>33484.89</v>
      </c>
      <c r="G189" cm="1">
        <f t="array" ref="G189">INDEX(GMW!$A$2:$HN$50,MATCH(1,(GMW!$HM$2:$HM$50=G$3)*(GMW!$HN$2:$HN$50=G$1),0),$B189-1973)</f>
        <v>10470.950000000001</v>
      </c>
      <c r="H189" cm="1">
        <f t="array" ref="H189">INDEX(GMW!$A$2:$HN$50,MATCH(1,(GMW!$HM$2:$HM$50=H$3)*(GMW!$HN$2:$HN$50=H$1),0),$B189-1973)</f>
        <v>4.3228929999999997</v>
      </c>
      <c r="I189" cm="1">
        <f t="array" ref="I189">INDEX(GMW!$A$2:$HN$50,MATCH(1,(GMW!$HM$2:$HM$50=I$3)*(GMW!$HN$2:$HN$50=I$1),0),$B189-1973)</f>
        <v>432818.3</v>
      </c>
      <c r="J189" cm="1">
        <f t="array" ref="J189">INDEX(GMW!$A$2:$HN$50,MATCH(1,(GMW!$HM$2:$HM$50=J$3)*(GMW!$HN$2:$HN$50=J$1),0),$B189-1973)</f>
        <v>39638.699999999997</v>
      </c>
      <c r="K189" cm="1">
        <f t="array" ref="K189">INDEX(GMW!$A$2:$HN$50,MATCH(1,(GMW!$HM$2:$HM$50=K$3)*(GMW!$HN$2:$HN$50=K$1),0),$B189-1973)</f>
        <v>649743.69999999995</v>
      </c>
      <c r="L189" cm="1">
        <f t="array" ref="L189">INDEX(GMW!$A$2:$HN$50,MATCH(1,(GMW!$HM$2:$HM$50=L$3)*(GMW!$HN$2:$HN$50=L$1),0),$B189-1973)</f>
        <v>33449.47</v>
      </c>
      <c r="M189" cm="1">
        <f t="array" ref="M189">INDEX(GMW!$A$2:$HN$50,MATCH(1,(GMW!$HM$2:$HM$50=M$3)*(GMW!$HN$2:$HN$50=M$1),0),$B189-1973)</f>
        <v>10461.16</v>
      </c>
      <c r="N189" cm="1">
        <f t="array" ref="N189">INDEX(GMW!$A$2:$HN$50,MATCH(1,(GMW!$HM$2:$HM$50=N$3)*(GMW!$HN$2:$HN$50=N$1),0),$B189-1973)</f>
        <v>4.4240830000000004</v>
      </c>
      <c r="O189" cm="1">
        <f t="array" ref="O189">INDEX(GMW!$A$2:$HN$50,MATCH(1,(GMW!$HM$2:$HM$50=O$3)*(GMW!$HN$2:$HN$50=O$1),0),$B189-1973)</f>
        <v>431622</v>
      </c>
      <c r="P189" cm="1">
        <f t="array" ref="P189">INDEX(GMW!$A$2:$HN$50,MATCH(1,(GMW!$HM$2:$HM$50=P$3)*(GMW!$HN$2:$HN$50=P$1),0),$B189-1973)</f>
        <v>45491.81</v>
      </c>
    </row>
    <row r="190" spans="1:16">
      <c r="B190">
        <f t="shared" si="6"/>
        <v>2163</v>
      </c>
      <c r="C190">
        <f t="shared" si="7"/>
        <v>2025</v>
      </c>
      <c r="D190">
        <f t="shared" si="7"/>
        <v>2025</v>
      </c>
      <c r="E190" cm="1">
        <f t="array" ref="E190">INDEX(GMW!$A$2:$HN$50,MATCH(1,(GMW!$HM$2:$HM$50=E$3)*(GMW!$HN$2:$HN$50=E$1),0),$B190-1973)</f>
        <v>653549.4</v>
      </c>
      <c r="F190" cm="1">
        <f t="array" ref="F190">INDEX(GMW!$A$2:$HN$50,MATCH(1,(GMW!$HM$2:$HM$50=F$3)*(GMW!$HN$2:$HN$50=F$1),0),$B190-1973)</f>
        <v>33600.57</v>
      </c>
      <c r="G190" cm="1">
        <f t="array" ref="G190">INDEX(GMW!$A$2:$HN$50,MATCH(1,(GMW!$HM$2:$HM$50=G$3)*(GMW!$HN$2:$HN$50=G$1),0),$B190-1973)</f>
        <v>10541.84</v>
      </c>
      <c r="H190" cm="1">
        <f t="array" ref="H190">INDEX(GMW!$A$2:$HN$50,MATCH(1,(GMW!$HM$2:$HM$50=H$3)*(GMW!$HN$2:$HN$50=H$1),0),$B190-1973)</f>
        <v>4.284726</v>
      </c>
      <c r="I190" cm="1">
        <f t="array" ref="I190">INDEX(GMW!$A$2:$HN$50,MATCH(1,(GMW!$HM$2:$HM$50=I$3)*(GMW!$HN$2:$HN$50=I$1),0),$B190-1973)</f>
        <v>434694.7</v>
      </c>
      <c r="J190" cm="1">
        <f t="array" ref="J190">INDEX(GMW!$A$2:$HN$50,MATCH(1,(GMW!$HM$2:$HM$50=J$3)*(GMW!$HN$2:$HN$50=J$1),0),$B190-1973)</f>
        <v>40042.660000000003</v>
      </c>
      <c r="K190" cm="1">
        <f t="array" ref="K190">INDEX(GMW!$A$2:$HN$50,MATCH(1,(GMW!$HM$2:$HM$50=K$3)*(GMW!$HN$2:$HN$50=K$1),0),$B190-1973)</f>
        <v>652016.30000000005</v>
      </c>
      <c r="L190" cm="1">
        <f t="array" ref="L190">INDEX(GMW!$A$2:$HN$50,MATCH(1,(GMW!$HM$2:$HM$50=L$3)*(GMW!$HN$2:$HN$50=L$1),0),$B190-1973)</f>
        <v>33554.050000000003</v>
      </c>
      <c r="M190" cm="1">
        <f t="array" ref="M190">INDEX(GMW!$A$2:$HN$50,MATCH(1,(GMW!$HM$2:$HM$50=M$3)*(GMW!$HN$2:$HN$50=M$1),0),$B190-1973)</f>
        <v>10527.44</v>
      </c>
      <c r="N190" cm="1">
        <f t="array" ref="N190">INDEX(GMW!$A$2:$HN$50,MATCH(1,(GMW!$HM$2:$HM$50=N$3)*(GMW!$HN$2:$HN$50=N$1),0),$B190-1973)</f>
        <v>4.4171529999999999</v>
      </c>
      <c r="O190" cm="1">
        <f t="array" ref="O190">INDEX(GMW!$A$2:$HN$50,MATCH(1,(GMW!$HM$2:$HM$50=O$3)*(GMW!$HN$2:$HN$50=O$1),0),$B190-1973)</f>
        <v>433221.2</v>
      </c>
      <c r="P190" cm="1">
        <f t="array" ref="P190">INDEX(GMW!$A$2:$HN$50,MATCH(1,(GMW!$HM$2:$HM$50=P$3)*(GMW!$HN$2:$HN$50=P$1),0),$B190-1973)</f>
        <v>45860.71</v>
      </c>
    </row>
    <row r="191" spans="1:16">
      <c r="A191">
        <v>2026</v>
      </c>
      <c r="B191">
        <f t="shared" si="6"/>
        <v>2164</v>
      </c>
      <c r="C191">
        <f t="shared" si="7"/>
        <v>2026</v>
      </c>
      <c r="D191">
        <f t="shared" si="7"/>
        <v>2025</v>
      </c>
      <c r="E191" cm="1">
        <f t="array" ref="E191">INDEX(GMW!$A$2:$HN$50,MATCH(1,(GMW!$HM$2:$HM$50=E$3)*(GMW!$HN$2:$HN$50=E$1),0),$B191-1973)</f>
        <v>656294.30000000005</v>
      </c>
      <c r="F191" cm="1">
        <f t="array" ref="F191">INDEX(GMW!$A$2:$HN$50,MATCH(1,(GMW!$HM$2:$HM$50=F$3)*(GMW!$HN$2:$HN$50=F$1),0),$B191-1973)</f>
        <v>33714.82</v>
      </c>
      <c r="G191" cm="1">
        <f t="array" ref="G191">INDEX(GMW!$A$2:$HN$50,MATCH(1,(GMW!$HM$2:$HM$50=G$3)*(GMW!$HN$2:$HN$50=G$1),0),$B191-1973)</f>
        <v>10611.65</v>
      </c>
      <c r="H191" cm="1">
        <f t="array" ref="H191">INDEX(GMW!$A$2:$HN$50,MATCH(1,(GMW!$HM$2:$HM$50=H$3)*(GMW!$HN$2:$HN$50=H$1),0),$B191-1973)</f>
        <v>4.2179000000000002</v>
      </c>
      <c r="I191" cm="1">
        <f t="array" ref="I191">INDEX(GMW!$A$2:$HN$50,MATCH(1,(GMW!$HM$2:$HM$50=I$3)*(GMW!$HN$2:$HN$50=I$1),0),$B191-1973)</f>
        <v>436515.1</v>
      </c>
      <c r="J191" cm="1">
        <f t="array" ref="J191">INDEX(GMW!$A$2:$HN$50,MATCH(1,(GMW!$HM$2:$HM$50=J$3)*(GMW!$HN$2:$HN$50=J$1),0),$B191-1973)</f>
        <v>40448.050000000003</v>
      </c>
      <c r="K191" cm="1">
        <f t="array" ref="K191">INDEX(GMW!$A$2:$HN$50,MATCH(1,(GMW!$HM$2:$HM$50=K$3)*(GMW!$HN$2:$HN$50=K$1),0),$B191-1973)</f>
        <v>654585</v>
      </c>
      <c r="L191" cm="1">
        <f t="array" ref="L191">INDEX(GMW!$A$2:$HN$50,MATCH(1,(GMW!$HM$2:$HM$50=L$3)*(GMW!$HN$2:$HN$50=L$1),0),$B191-1973)</f>
        <v>33662.36</v>
      </c>
      <c r="M191" cm="1">
        <f t="array" ref="M191">INDEX(GMW!$A$2:$HN$50,MATCH(1,(GMW!$HM$2:$HM$50=M$3)*(GMW!$HN$2:$HN$50=M$1),0),$B191-1973)</f>
        <v>10593.65</v>
      </c>
      <c r="N191" cm="1">
        <f t="array" ref="N191">INDEX(GMW!$A$2:$HN$50,MATCH(1,(GMW!$HM$2:$HM$50=N$3)*(GMW!$HN$2:$HN$50=N$1),0),$B191-1973)</f>
        <v>4.3669390000000003</v>
      </c>
      <c r="O191" cm="1">
        <f t="array" ref="O191">INDEX(GMW!$A$2:$HN$50,MATCH(1,(GMW!$HM$2:$HM$50=O$3)*(GMW!$HN$2:$HN$50=O$1),0),$B191-1973)</f>
        <v>434859.7</v>
      </c>
      <c r="P191" cm="1">
        <f t="array" ref="P191">INDEX(GMW!$A$2:$HN$50,MATCH(1,(GMW!$HM$2:$HM$50=P$3)*(GMW!$HN$2:$HN$50=P$1),0),$B191-1973)</f>
        <v>46241.94</v>
      </c>
    </row>
    <row r="192" spans="1:16">
      <c r="B192">
        <f t="shared" si="6"/>
        <v>2165</v>
      </c>
      <c r="C192">
        <f t="shared" si="7"/>
        <v>2026</v>
      </c>
      <c r="D192">
        <f t="shared" si="7"/>
        <v>2026</v>
      </c>
      <c r="E192" cm="1">
        <f t="array" ref="E192">INDEX(GMW!$A$2:$HN$50,MATCH(1,(GMW!$HM$2:$HM$50=E$3)*(GMW!$HN$2:$HN$50=E$1),0),$B192-1973)</f>
        <v>659051.30000000005</v>
      </c>
      <c r="F192" cm="1">
        <f t="array" ref="F192">INDEX(GMW!$A$2:$HN$50,MATCH(1,(GMW!$HM$2:$HM$50=F$3)*(GMW!$HN$2:$HN$50=F$1),0),$B192-1973)</f>
        <v>33826.11</v>
      </c>
      <c r="G192" cm="1">
        <f t="array" ref="G192">INDEX(GMW!$A$2:$HN$50,MATCH(1,(GMW!$HM$2:$HM$50=G$3)*(GMW!$HN$2:$HN$50=G$1),0),$B192-1973)</f>
        <v>10680.9</v>
      </c>
      <c r="H192" cm="1">
        <f t="array" ref="H192">INDEX(GMW!$A$2:$HN$50,MATCH(1,(GMW!$HM$2:$HM$50=H$3)*(GMW!$HN$2:$HN$50=H$1),0),$B192-1973)</f>
        <v>4.1510920000000002</v>
      </c>
      <c r="I192" cm="1">
        <f t="array" ref="I192">INDEX(GMW!$A$2:$HN$50,MATCH(1,(GMW!$HM$2:$HM$50=I$3)*(GMW!$HN$2:$HN$50=I$1),0),$B192-1973)</f>
        <v>437864.4</v>
      </c>
      <c r="J192" cm="1">
        <f t="array" ref="J192">INDEX(GMW!$A$2:$HN$50,MATCH(1,(GMW!$HM$2:$HM$50=J$3)*(GMW!$HN$2:$HN$50=J$1),0),$B192-1973)</f>
        <v>40902.629999999997</v>
      </c>
      <c r="K192" cm="1">
        <f t="array" ref="K192">INDEX(GMW!$A$2:$HN$50,MATCH(1,(GMW!$HM$2:$HM$50=K$3)*(GMW!$HN$2:$HN$50=K$1),0),$B192-1973)</f>
        <v>657323.1</v>
      </c>
      <c r="L192" cm="1">
        <f t="array" ref="L192">INDEX(GMW!$A$2:$HN$50,MATCH(1,(GMW!$HM$2:$HM$50=L$3)*(GMW!$HN$2:$HN$50=L$1),0),$B192-1973)</f>
        <v>33771.11</v>
      </c>
      <c r="M192" cm="1">
        <f t="array" ref="M192">INDEX(GMW!$A$2:$HN$50,MATCH(1,(GMW!$HM$2:$HM$50=M$3)*(GMW!$HN$2:$HN$50=M$1),0),$B192-1973)</f>
        <v>10660.51</v>
      </c>
      <c r="N192" cm="1">
        <f t="array" ref="N192">INDEX(GMW!$A$2:$HN$50,MATCH(1,(GMW!$HM$2:$HM$50=N$3)*(GMW!$HN$2:$HN$50=N$1),0),$B192-1973)</f>
        <v>4.3069170000000003</v>
      </c>
      <c r="O192" cm="1">
        <f t="array" ref="O192">INDEX(GMW!$A$2:$HN$50,MATCH(1,(GMW!$HM$2:$HM$50=O$3)*(GMW!$HN$2:$HN$50=O$1),0),$B192-1973)</f>
        <v>436100.1</v>
      </c>
      <c r="P192" cm="1">
        <f t="array" ref="P192">INDEX(GMW!$A$2:$HN$50,MATCH(1,(GMW!$HM$2:$HM$50=P$3)*(GMW!$HN$2:$HN$50=P$1),0),$B192-1973)</f>
        <v>46661.97</v>
      </c>
    </row>
    <row r="193" spans="1:16">
      <c r="B193">
        <f t="shared" si="6"/>
        <v>2166</v>
      </c>
      <c r="C193">
        <f t="shared" si="7"/>
        <v>2026</v>
      </c>
      <c r="D193">
        <f t="shared" si="7"/>
        <v>2026</v>
      </c>
      <c r="E193" cm="1">
        <f t="array" ref="E193">INDEX(GMW!$A$2:$HN$50,MATCH(1,(GMW!$HM$2:$HM$50=E$3)*(GMW!$HN$2:$HN$50=E$1),0),$B193-1973)</f>
        <v>661754</v>
      </c>
      <c r="F193" cm="1">
        <f t="array" ref="F193">INDEX(GMW!$A$2:$HN$50,MATCH(1,(GMW!$HM$2:$HM$50=F$3)*(GMW!$HN$2:$HN$50=F$1),0),$B193-1973)</f>
        <v>33927.58</v>
      </c>
      <c r="G193" cm="1">
        <f t="array" ref="G193">INDEX(GMW!$A$2:$HN$50,MATCH(1,(GMW!$HM$2:$HM$50=G$3)*(GMW!$HN$2:$HN$50=G$1),0),$B193-1973)</f>
        <v>10750.04</v>
      </c>
      <c r="H193" cm="1">
        <f t="array" ref="H193">INDEX(GMW!$A$2:$HN$50,MATCH(1,(GMW!$HM$2:$HM$50=H$3)*(GMW!$HN$2:$HN$50=H$1),0),$B193-1973)</f>
        <v>4.0937590000000004</v>
      </c>
      <c r="I193" cm="1">
        <f t="array" ref="I193">INDEX(GMW!$A$2:$HN$50,MATCH(1,(GMW!$HM$2:$HM$50=I$3)*(GMW!$HN$2:$HN$50=I$1),0),$B193-1973)</f>
        <v>439188.4</v>
      </c>
      <c r="J193" cm="1">
        <f t="array" ref="J193">INDEX(GMW!$A$2:$HN$50,MATCH(1,(GMW!$HM$2:$HM$50=J$3)*(GMW!$HN$2:$HN$50=J$1),0),$B193-1973)</f>
        <v>41359.82</v>
      </c>
      <c r="K193" cm="1">
        <f t="array" ref="K193">INDEX(GMW!$A$2:$HN$50,MATCH(1,(GMW!$HM$2:$HM$50=K$3)*(GMW!$HN$2:$HN$50=K$1),0),$B193-1973)</f>
        <v>660047.9</v>
      </c>
      <c r="L193" cm="1">
        <f t="array" ref="L193">INDEX(GMW!$A$2:$HN$50,MATCH(1,(GMW!$HM$2:$HM$50=L$3)*(GMW!$HN$2:$HN$50=L$1),0),$B193-1973)</f>
        <v>33873.269999999997</v>
      </c>
      <c r="M193" cm="1">
        <f t="array" ref="M193">INDEX(GMW!$A$2:$HN$50,MATCH(1,(GMW!$HM$2:$HM$50=M$3)*(GMW!$HN$2:$HN$50=M$1),0),$B193-1973)</f>
        <v>10728.56</v>
      </c>
      <c r="N193" cm="1">
        <f t="array" ref="N193">INDEX(GMW!$A$2:$HN$50,MATCH(1,(GMW!$HM$2:$HM$50=N$3)*(GMW!$HN$2:$HN$50=N$1),0),$B193-1973)</f>
        <v>4.2472779999999997</v>
      </c>
      <c r="O193" cm="1">
        <f t="array" ref="O193">INDEX(GMW!$A$2:$HN$50,MATCH(1,(GMW!$HM$2:$HM$50=O$3)*(GMW!$HN$2:$HN$50=O$1),0),$B193-1973)</f>
        <v>437349.4</v>
      </c>
      <c r="P193" cm="1">
        <f t="array" ref="P193">INDEX(GMW!$A$2:$HN$50,MATCH(1,(GMW!$HM$2:$HM$50=P$3)*(GMW!$HN$2:$HN$50=P$1),0),$B193-1973)</f>
        <v>47114.59</v>
      </c>
    </row>
    <row r="194" spans="1:16">
      <c r="B194">
        <f t="shared" si="6"/>
        <v>2167</v>
      </c>
      <c r="C194">
        <f t="shared" si="7"/>
        <v>2026</v>
      </c>
      <c r="D194">
        <f t="shared" si="7"/>
        <v>2026</v>
      </c>
      <c r="E194" cm="1">
        <f t="array" ref="E194">INDEX(GMW!$A$2:$HN$50,MATCH(1,(GMW!$HM$2:$HM$50=E$3)*(GMW!$HN$2:$HN$50=E$1),0),$B194-1973)</f>
        <v>664499.80000000005</v>
      </c>
      <c r="F194" cm="1">
        <f t="array" ref="F194">INDEX(GMW!$A$2:$HN$50,MATCH(1,(GMW!$HM$2:$HM$50=F$3)*(GMW!$HN$2:$HN$50=F$1),0),$B194-1973)</f>
        <v>34027.660000000003</v>
      </c>
      <c r="G194" cm="1">
        <f t="array" ref="G194">INDEX(GMW!$A$2:$HN$50,MATCH(1,(GMW!$HM$2:$HM$50=G$3)*(GMW!$HN$2:$HN$50=G$1),0),$B194-1973)</f>
        <v>10818.11</v>
      </c>
      <c r="H194" cm="1">
        <f t="array" ref="H194">INDEX(GMW!$A$2:$HN$50,MATCH(1,(GMW!$HM$2:$HM$50=H$3)*(GMW!$HN$2:$HN$50=H$1),0),$B194-1973)</f>
        <v>4.0458970000000001</v>
      </c>
      <c r="I194" cm="1">
        <f t="array" ref="I194">INDEX(GMW!$A$2:$HN$50,MATCH(1,(GMW!$HM$2:$HM$50=I$3)*(GMW!$HN$2:$HN$50=I$1),0),$B194-1973)</f>
        <v>440408.8</v>
      </c>
      <c r="J194" cm="1">
        <f t="array" ref="J194">INDEX(GMW!$A$2:$HN$50,MATCH(1,(GMW!$HM$2:$HM$50=J$3)*(GMW!$HN$2:$HN$50=J$1),0),$B194-1973)</f>
        <v>41814.050000000003</v>
      </c>
      <c r="K194" cm="1">
        <f t="array" ref="K194">INDEX(GMW!$A$2:$HN$50,MATCH(1,(GMW!$HM$2:$HM$50=K$3)*(GMW!$HN$2:$HN$50=K$1),0),$B194-1973)</f>
        <v>662837.80000000005</v>
      </c>
      <c r="L194" cm="1">
        <f t="array" ref="L194">INDEX(GMW!$A$2:$HN$50,MATCH(1,(GMW!$HM$2:$HM$50=L$3)*(GMW!$HN$2:$HN$50=L$1),0),$B194-1973)</f>
        <v>33975.699999999997</v>
      </c>
      <c r="M194" cm="1">
        <f t="array" ref="M194">INDEX(GMW!$A$2:$HN$50,MATCH(1,(GMW!$HM$2:$HM$50=M$3)*(GMW!$HN$2:$HN$50=M$1),0),$B194-1973)</f>
        <v>10796.59</v>
      </c>
      <c r="N194" cm="1">
        <f t="array" ref="N194">INDEX(GMW!$A$2:$HN$50,MATCH(1,(GMW!$HM$2:$HM$50=N$3)*(GMW!$HN$2:$HN$50=N$1),0),$B194-1973)</f>
        <v>4.192399</v>
      </c>
      <c r="O194" cm="1">
        <f t="array" ref="O194">INDEX(GMW!$A$2:$HN$50,MATCH(1,(GMW!$HM$2:$HM$50=O$3)*(GMW!$HN$2:$HN$50=O$1),0),$B194-1973)</f>
        <v>438521.8</v>
      </c>
      <c r="P194" cm="1">
        <f t="array" ref="P194">INDEX(GMW!$A$2:$HN$50,MATCH(1,(GMW!$HM$2:$HM$50=P$3)*(GMW!$HN$2:$HN$50=P$1),0),$B194-1973)</f>
        <v>47570.96</v>
      </c>
    </row>
    <row r="195" spans="1:16">
      <c r="A195">
        <v>2027</v>
      </c>
      <c r="B195">
        <f t="shared" si="6"/>
        <v>2168</v>
      </c>
      <c r="C195">
        <f t="shared" si="7"/>
        <v>2027</v>
      </c>
      <c r="D195">
        <f t="shared" si="7"/>
        <v>2026</v>
      </c>
      <c r="E195" cm="1">
        <f t="array" ref="E195">INDEX(GMW!$A$2:$HN$50,MATCH(1,(GMW!$HM$2:$HM$50=E$3)*(GMW!$HN$2:$HN$50=E$1),0),$B195-1973)</f>
        <v>667225.59999999998</v>
      </c>
      <c r="F195" cm="1">
        <f t="array" ref="F195">INDEX(GMW!$A$2:$HN$50,MATCH(1,(GMW!$HM$2:$HM$50=F$3)*(GMW!$HN$2:$HN$50=F$1),0),$B195-1973)</f>
        <v>34126.33</v>
      </c>
      <c r="G195" cm="1">
        <f t="array" ref="G195">INDEX(GMW!$A$2:$HN$50,MATCH(1,(GMW!$HM$2:$HM$50=G$3)*(GMW!$HN$2:$HN$50=G$1),0),$B195-1973)</f>
        <v>10887.61</v>
      </c>
      <c r="H195" cm="1">
        <f t="array" ref="H195">INDEX(GMW!$A$2:$HN$50,MATCH(1,(GMW!$HM$2:$HM$50=H$3)*(GMW!$HN$2:$HN$50=H$1),0),$B195-1973)</f>
        <v>3.998046</v>
      </c>
      <c r="I195" cm="1">
        <f t="array" ref="I195">INDEX(GMW!$A$2:$HN$50,MATCH(1,(GMW!$HM$2:$HM$50=I$3)*(GMW!$HN$2:$HN$50=I$1),0),$B195-1973)</f>
        <v>441787.5</v>
      </c>
      <c r="J195" cm="1">
        <f t="array" ref="J195">INDEX(GMW!$A$2:$HN$50,MATCH(1,(GMW!$HM$2:$HM$50=J$3)*(GMW!$HN$2:$HN$50=J$1),0),$B195-1973)</f>
        <v>42274.95</v>
      </c>
      <c r="K195" cm="1">
        <f t="array" ref="K195">INDEX(GMW!$A$2:$HN$50,MATCH(1,(GMW!$HM$2:$HM$50=K$3)*(GMW!$HN$2:$HN$50=K$1),0),$B195-1973)</f>
        <v>665613.30000000005</v>
      </c>
      <c r="L195" cm="1">
        <f t="array" ref="L195">INDEX(GMW!$A$2:$HN$50,MATCH(1,(GMW!$HM$2:$HM$50=L$3)*(GMW!$HN$2:$HN$50=L$1),0),$B195-1973)</f>
        <v>34077.21</v>
      </c>
      <c r="M195" cm="1">
        <f t="array" ref="M195">INDEX(GMW!$A$2:$HN$50,MATCH(1,(GMW!$HM$2:$HM$50=M$3)*(GMW!$HN$2:$HN$50=M$1),0),$B195-1973)</f>
        <v>10866.67</v>
      </c>
      <c r="N195" cm="1">
        <f t="array" ref="N195">INDEX(GMW!$A$2:$HN$50,MATCH(1,(GMW!$HM$2:$HM$50=N$3)*(GMW!$HN$2:$HN$50=N$1),0),$B195-1973)</f>
        <v>4.1362199999999998</v>
      </c>
      <c r="O195" cm="1">
        <f t="array" ref="O195">INDEX(GMW!$A$2:$HN$50,MATCH(1,(GMW!$HM$2:$HM$50=O$3)*(GMW!$HN$2:$HN$50=O$1),0),$B195-1973)</f>
        <v>439874.5</v>
      </c>
      <c r="P195" cm="1">
        <f t="array" ref="P195">INDEX(GMW!$A$2:$HN$50,MATCH(1,(GMW!$HM$2:$HM$50=P$3)*(GMW!$HN$2:$HN$50=P$1),0),$B195-1973)</f>
        <v>48037.53</v>
      </c>
    </row>
    <row r="196" spans="1:16">
      <c r="B196">
        <f t="shared" si="6"/>
        <v>2169</v>
      </c>
      <c r="C196">
        <f t="shared" si="7"/>
        <v>2027</v>
      </c>
      <c r="D196">
        <f t="shared" si="7"/>
        <v>2027</v>
      </c>
      <c r="E196" cm="1">
        <f t="array" ref="E196">INDEX(GMW!$A$2:$HN$50,MATCH(1,(GMW!$HM$2:$HM$50=E$3)*(GMW!$HN$2:$HN$50=E$1),0),$B196-1973)</f>
        <v>669961.6</v>
      </c>
      <c r="F196" cm="1">
        <f t="array" ref="F196">INDEX(GMW!$A$2:$HN$50,MATCH(1,(GMW!$HM$2:$HM$50=F$3)*(GMW!$HN$2:$HN$50=F$1),0),$B196-1973)</f>
        <v>34225.339999999997</v>
      </c>
      <c r="G196" cm="1">
        <f t="array" ref="G196">INDEX(GMW!$A$2:$HN$50,MATCH(1,(GMW!$HM$2:$HM$50=G$3)*(GMW!$HN$2:$HN$50=G$1),0),$B196-1973)</f>
        <v>10957.44</v>
      </c>
      <c r="H196" cm="1">
        <f t="array" ref="H196">INDEX(GMW!$A$2:$HN$50,MATCH(1,(GMW!$HM$2:$HM$50=H$3)*(GMW!$HN$2:$HN$50=H$1),0),$B196-1973)</f>
        <v>3.9596619999999998</v>
      </c>
      <c r="I196" cm="1">
        <f t="array" ref="I196">INDEX(GMW!$A$2:$HN$50,MATCH(1,(GMW!$HM$2:$HM$50=I$3)*(GMW!$HN$2:$HN$50=I$1),0),$B196-1973)</f>
        <v>443258.1</v>
      </c>
      <c r="J196" cm="1">
        <f t="array" ref="J196">INDEX(GMW!$A$2:$HN$50,MATCH(1,(GMW!$HM$2:$HM$50=J$3)*(GMW!$HN$2:$HN$50=J$1),0),$B196-1973)</f>
        <v>42725.16</v>
      </c>
      <c r="K196" cm="1">
        <f t="array" ref="K196">INDEX(GMW!$A$2:$HN$50,MATCH(1,(GMW!$HM$2:$HM$50=K$3)*(GMW!$HN$2:$HN$50=K$1),0),$B196-1973)</f>
        <v>668386.4</v>
      </c>
      <c r="L196" cm="1">
        <f t="array" ref="L196">INDEX(GMW!$A$2:$HN$50,MATCH(1,(GMW!$HM$2:$HM$50=L$3)*(GMW!$HN$2:$HN$50=L$1),0),$B196-1973)</f>
        <v>34178.629999999997</v>
      </c>
      <c r="M196" cm="1">
        <f t="array" ref="M196">INDEX(GMW!$A$2:$HN$50,MATCH(1,(GMW!$HM$2:$HM$50=M$3)*(GMW!$HN$2:$HN$50=M$1),0),$B196-1973)</f>
        <v>10937.3</v>
      </c>
      <c r="N196" cm="1">
        <f t="array" ref="N196">INDEX(GMW!$A$2:$HN$50,MATCH(1,(GMW!$HM$2:$HM$50=N$3)*(GMW!$HN$2:$HN$50=N$1),0),$B196-1973)</f>
        <v>4.0907499999999999</v>
      </c>
      <c r="O196" cm="1">
        <f t="array" ref="O196">INDEX(GMW!$A$2:$HN$50,MATCH(1,(GMW!$HM$2:$HM$50=O$3)*(GMW!$HN$2:$HN$50=O$1),0),$B196-1973)</f>
        <v>441318.40000000002</v>
      </c>
      <c r="P196" cm="1">
        <f t="array" ref="P196">INDEX(GMW!$A$2:$HN$50,MATCH(1,(GMW!$HM$2:$HM$50=P$3)*(GMW!$HN$2:$HN$50=P$1),0),$B196-1973)</f>
        <v>48613.55</v>
      </c>
    </row>
    <row r="197" spans="1:16">
      <c r="B197">
        <f t="shared" si="6"/>
        <v>2170</v>
      </c>
      <c r="C197">
        <f t="shared" si="7"/>
        <v>2027</v>
      </c>
      <c r="D197">
        <f t="shared" si="7"/>
        <v>2027</v>
      </c>
      <c r="E197" cm="1">
        <f t="array" ref="E197">INDEX(GMW!$A$2:$HN$50,MATCH(1,(GMW!$HM$2:$HM$50=E$3)*(GMW!$HN$2:$HN$50=E$1),0),$B197-1973)</f>
        <v>672674.9</v>
      </c>
      <c r="F197" cm="1">
        <f t="array" ref="F197">INDEX(GMW!$A$2:$HN$50,MATCH(1,(GMW!$HM$2:$HM$50=F$3)*(GMW!$HN$2:$HN$50=F$1),0),$B197-1973)</f>
        <v>34322.92</v>
      </c>
      <c r="G197" cm="1">
        <f t="array" ref="G197">INDEX(GMW!$A$2:$HN$50,MATCH(1,(GMW!$HM$2:$HM$50=G$3)*(GMW!$HN$2:$HN$50=G$1),0),$B197-1973)</f>
        <v>11027.81</v>
      </c>
      <c r="H197" cm="1">
        <f t="array" ref="H197">INDEX(GMW!$A$2:$HN$50,MATCH(1,(GMW!$HM$2:$HM$50=H$3)*(GMW!$HN$2:$HN$50=H$1),0),$B197-1973)</f>
        <v>3.9212379999999998</v>
      </c>
      <c r="I197" cm="1">
        <f t="array" ref="I197">INDEX(GMW!$A$2:$HN$50,MATCH(1,(GMW!$HM$2:$HM$50=I$3)*(GMW!$HN$2:$HN$50=I$1),0),$B197-1973)</f>
        <v>444859.4</v>
      </c>
      <c r="J197" cm="1">
        <f t="array" ref="J197">INDEX(GMW!$A$2:$HN$50,MATCH(1,(GMW!$HM$2:$HM$50=J$3)*(GMW!$HN$2:$HN$50=J$1),0),$B197-1973)</f>
        <v>43178.239999999998</v>
      </c>
      <c r="K197" cm="1">
        <f t="array" ref="K197">INDEX(GMW!$A$2:$HN$50,MATCH(1,(GMW!$HM$2:$HM$50=K$3)*(GMW!$HN$2:$HN$50=K$1),0),$B197-1973)</f>
        <v>671143.1</v>
      </c>
      <c r="L197" cm="1">
        <f t="array" ref="L197">INDEX(GMW!$A$2:$HN$50,MATCH(1,(GMW!$HM$2:$HM$50=L$3)*(GMW!$HN$2:$HN$50=L$1),0),$B197-1973)</f>
        <v>34278.839999999997</v>
      </c>
      <c r="M197" cm="1">
        <f t="array" ref="M197">INDEX(GMW!$A$2:$HN$50,MATCH(1,(GMW!$HM$2:$HM$50=M$3)*(GMW!$HN$2:$HN$50=M$1),0),$B197-1973)</f>
        <v>11008.62</v>
      </c>
      <c r="N197" cm="1">
        <f t="array" ref="N197">INDEX(GMW!$A$2:$HN$50,MATCH(1,(GMW!$HM$2:$HM$50=N$3)*(GMW!$HN$2:$HN$50=N$1),0),$B197-1973)</f>
        <v>4.0446350000000004</v>
      </c>
      <c r="O197" cm="1">
        <f t="array" ref="O197">INDEX(GMW!$A$2:$HN$50,MATCH(1,(GMW!$HM$2:$HM$50=O$3)*(GMW!$HN$2:$HN$50=O$1),0),$B197-1973)</f>
        <v>442919.5</v>
      </c>
      <c r="P197" cm="1">
        <f t="array" ref="P197">INDEX(GMW!$A$2:$HN$50,MATCH(1,(GMW!$HM$2:$HM$50=P$3)*(GMW!$HN$2:$HN$50=P$1),0),$B197-1973)</f>
        <v>49073.86</v>
      </c>
    </row>
    <row r="198" spans="1:16">
      <c r="B198">
        <f t="shared" si="6"/>
        <v>2171</v>
      </c>
      <c r="C198">
        <f t="shared" si="7"/>
        <v>2027</v>
      </c>
      <c r="D198">
        <f t="shared" si="7"/>
        <v>2027</v>
      </c>
      <c r="E198" cm="1">
        <f t="array" ref="E198">INDEX(GMW!$A$2:$HN$50,MATCH(1,(GMW!$HM$2:$HM$50=E$3)*(GMW!$HN$2:$HN$50=E$1),0),$B198-1973)</f>
        <v>675499.9</v>
      </c>
      <c r="F198" cm="1">
        <f t="array" ref="F198">INDEX(GMW!$A$2:$HN$50,MATCH(1,(GMW!$HM$2:$HM$50=F$3)*(GMW!$HN$2:$HN$50=F$1),0),$B198-1973)</f>
        <v>34425.94</v>
      </c>
      <c r="G198" cm="1">
        <f t="array" ref="G198">INDEX(GMW!$A$2:$HN$50,MATCH(1,(GMW!$HM$2:$HM$50=G$3)*(GMW!$HN$2:$HN$50=G$1),0),$B198-1973)</f>
        <v>11097.76</v>
      </c>
      <c r="H198" cm="1">
        <f t="array" ref="H198">INDEX(GMW!$A$2:$HN$50,MATCH(1,(GMW!$HM$2:$HM$50=H$3)*(GMW!$HN$2:$HN$50=H$1),0),$B198-1973)</f>
        <v>3.882746</v>
      </c>
      <c r="I198" cm="1">
        <f t="array" ref="I198">INDEX(GMW!$A$2:$HN$50,MATCH(1,(GMW!$HM$2:$HM$50=I$3)*(GMW!$HN$2:$HN$50=I$1),0),$B198-1973)</f>
        <v>446391.8</v>
      </c>
      <c r="J198" cm="1">
        <f t="array" ref="J198">INDEX(GMW!$A$2:$HN$50,MATCH(1,(GMW!$HM$2:$HM$50=J$3)*(GMW!$HN$2:$HN$50=J$1),0),$B198-1973)</f>
        <v>43638.85</v>
      </c>
      <c r="K198" cm="1">
        <f t="array" ref="K198">INDEX(GMW!$A$2:$HN$50,MATCH(1,(GMW!$HM$2:$HM$50=K$3)*(GMW!$HN$2:$HN$50=K$1),0),$B198-1973)</f>
        <v>674014.1</v>
      </c>
      <c r="L198" cm="1">
        <f t="array" ref="L198">INDEX(GMW!$A$2:$HN$50,MATCH(1,(GMW!$HM$2:$HM$50=L$3)*(GMW!$HN$2:$HN$50=L$1),0),$B198-1973)</f>
        <v>34384.39</v>
      </c>
      <c r="M198" cm="1">
        <f t="array" ref="M198">INDEX(GMW!$A$2:$HN$50,MATCH(1,(GMW!$HM$2:$HM$50=M$3)*(GMW!$HN$2:$HN$50=M$1),0),$B198-1973)</f>
        <v>11079.57</v>
      </c>
      <c r="N198" cm="1">
        <f t="array" ref="N198">INDEX(GMW!$A$2:$HN$50,MATCH(1,(GMW!$HM$2:$HM$50=N$3)*(GMW!$HN$2:$HN$50=N$1),0),$B198-1973)</f>
        <v>3.9987560000000002</v>
      </c>
      <c r="O198" cm="1">
        <f t="array" ref="O198">INDEX(GMW!$A$2:$HN$50,MATCH(1,(GMW!$HM$2:$HM$50=O$3)*(GMW!$HN$2:$HN$50=O$1),0),$B198-1973)</f>
        <v>444458.7</v>
      </c>
      <c r="P198" cm="1">
        <f t="array" ref="P198">INDEX(GMW!$A$2:$HN$50,MATCH(1,(GMW!$HM$2:$HM$50=P$3)*(GMW!$HN$2:$HN$50=P$1),0),$B198-1973)</f>
        <v>49541.79</v>
      </c>
    </row>
    <row r="199" spans="1:16">
      <c r="A199">
        <v>2028</v>
      </c>
      <c r="B199">
        <f t="shared" si="6"/>
        <v>2172</v>
      </c>
      <c r="C199">
        <f t="shared" si="7"/>
        <v>2028</v>
      </c>
      <c r="D199">
        <f t="shared" si="7"/>
        <v>2027</v>
      </c>
      <c r="E199" cm="1">
        <f t="array" ref="E199">INDEX(GMW!$A$2:$HN$50,MATCH(1,(GMW!$HM$2:$HM$50=E$3)*(GMW!$HN$2:$HN$50=E$1),0),$B199-1973)</f>
        <v>678268.4</v>
      </c>
      <c r="F199" cm="1">
        <f t="array" ref="F199">INDEX(GMW!$A$2:$HN$50,MATCH(1,(GMW!$HM$2:$HM$50=F$3)*(GMW!$HN$2:$HN$50=F$1),0),$B199-1973)</f>
        <v>34525.75</v>
      </c>
      <c r="G199" cm="1">
        <f t="array" ref="G199">INDEX(GMW!$A$2:$HN$50,MATCH(1,(GMW!$HM$2:$HM$50=G$3)*(GMW!$HN$2:$HN$50=G$1),0),$B199-1973)</f>
        <v>11168.61</v>
      </c>
      <c r="H199" cm="1">
        <f t="array" ref="H199">INDEX(GMW!$A$2:$HN$50,MATCH(1,(GMW!$HM$2:$HM$50=H$3)*(GMW!$HN$2:$HN$50=H$1),0),$B199-1973)</f>
        <v>3.8444630000000002</v>
      </c>
      <c r="I199" cm="1">
        <f t="array" ref="I199">INDEX(GMW!$A$2:$HN$50,MATCH(1,(GMW!$HM$2:$HM$50=I$3)*(GMW!$HN$2:$HN$50=I$1),0),$B199-1973)</f>
        <v>448363</v>
      </c>
      <c r="J199" cm="1">
        <f t="array" ref="J199">INDEX(GMW!$A$2:$HN$50,MATCH(1,(GMW!$HM$2:$HM$50=J$3)*(GMW!$HN$2:$HN$50=J$1),0),$B199-1973)</f>
        <v>44019.07</v>
      </c>
      <c r="K199" cm="1">
        <f t="array" ref="K199">INDEX(GMW!$A$2:$HN$50,MATCH(1,(GMW!$HM$2:$HM$50=K$3)*(GMW!$HN$2:$HN$50=K$1),0),$B199-1973)</f>
        <v>676832.3</v>
      </c>
      <c r="L199" cm="1">
        <f t="array" ref="L199">INDEX(GMW!$A$2:$HN$50,MATCH(1,(GMW!$HM$2:$HM$50=L$3)*(GMW!$HN$2:$HN$50=L$1),0),$B199-1973)</f>
        <v>34486.76</v>
      </c>
      <c r="M199" cm="1">
        <f t="array" ref="M199">INDEX(GMW!$A$2:$HN$50,MATCH(1,(GMW!$HM$2:$HM$50=M$3)*(GMW!$HN$2:$HN$50=M$1),0),$B199-1973)</f>
        <v>11151.42</v>
      </c>
      <c r="N199" cm="1">
        <f t="array" ref="N199">INDEX(GMW!$A$2:$HN$50,MATCH(1,(GMW!$HM$2:$HM$50=N$3)*(GMW!$HN$2:$HN$50=N$1),0),$B199-1973)</f>
        <v>3.9530460000000001</v>
      </c>
      <c r="O199" cm="1">
        <f t="array" ref="O199">INDEX(GMW!$A$2:$HN$50,MATCH(1,(GMW!$HM$2:$HM$50=O$3)*(GMW!$HN$2:$HN$50=O$1),0),$B199-1973)</f>
        <v>446442</v>
      </c>
      <c r="P199" cm="1">
        <f t="array" ref="P199">INDEX(GMW!$A$2:$HN$50,MATCH(1,(GMW!$HM$2:$HM$50=P$3)*(GMW!$HN$2:$HN$50=P$1),0),$B199-1973)</f>
        <v>49929.760000000002</v>
      </c>
    </row>
    <row r="200" spans="1:16">
      <c r="B200">
        <f t="shared" si="6"/>
        <v>2173</v>
      </c>
      <c r="C200">
        <f t="shared" si="7"/>
        <v>2028</v>
      </c>
      <c r="D200">
        <f t="shared" si="7"/>
        <v>2028</v>
      </c>
      <c r="E200" cm="1">
        <f t="array" ref="E200">INDEX(GMW!$A$2:$HN$50,MATCH(1,(GMW!$HM$2:$HM$50=E$3)*(GMW!$HN$2:$HN$50=E$1),0),$B200-1973)</f>
        <v>681049.5</v>
      </c>
      <c r="F200" cm="1">
        <f t="array" ref="F200">INDEX(GMW!$A$2:$HN$50,MATCH(1,(GMW!$HM$2:$HM$50=F$3)*(GMW!$HN$2:$HN$50=F$1),0),$B200-1973)</f>
        <v>34625.879999999997</v>
      </c>
      <c r="G200" cm="1">
        <f t="array" ref="G200">INDEX(GMW!$A$2:$HN$50,MATCH(1,(GMW!$HM$2:$HM$50=G$3)*(GMW!$HN$2:$HN$50=G$1),0),$B200-1973)</f>
        <v>11240.3</v>
      </c>
      <c r="H200" cm="1">
        <f t="array" ref="H200">INDEX(GMW!$A$2:$HN$50,MATCH(1,(GMW!$HM$2:$HM$50=H$3)*(GMW!$HN$2:$HN$50=H$1),0),$B200-1973)</f>
        <v>3.8061060000000002</v>
      </c>
      <c r="I200" cm="1">
        <f t="array" ref="I200">INDEX(GMW!$A$2:$HN$50,MATCH(1,(GMW!$HM$2:$HM$50=I$3)*(GMW!$HN$2:$HN$50=I$1),0),$B200-1973)</f>
        <v>450539.2</v>
      </c>
      <c r="J200" cm="1">
        <f t="array" ref="J200">INDEX(GMW!$A$2:$HN$50,MATCH(1,(GMW!$HM$2:$HM$50=J$3)*(GMW!$HN$2:$HN$50=J$1),0),$B200-1973)</f>
        <v>44443.03</v>
      </c>
      <c r="K200" cm="1">
        <f t="array" ref="K200">INDEX(GMW!$A$2:$HN$50,MATCH(1,(GMW!$HM$2:$HM$50=K$3)*(GMW!$HN$2:$HN$50=K$1),0),$B200-1973)</f>
        <v>679646</v>
      </c>
      <c r="L200" cm="1">
        <f t="array" ref="L200">INDEX(GMW!$A$2:$HN$50,MATCH(1,(GMW!$HM$2:$HM$50=L$3)*(GMW!$HN$2:$HN$50=L$1),0),$B200-1973)</f>
        <v>34588.660000000003</v>
      </c>
      <c r="M200" cm="1">
        <f t="array" ref="M200">INDEX(GMW!$A$2:$HN$50,MATCH(1,(GMW!$HM$2:$HM$50=M$3)*(GMW!$HN$2:$HN$50=M$1),0),$B200-1973)</f>
        <v>11223.94</v>
      </c>
      <c r="N200" cm="1">
        <f t="array" ref="N200">INDEX(GMW!$A$2:$HN$50,MATCH(1,(GMW!$HM$2:$HM$50=N$3)*(GMW!$HN$2:$HN$50=N$1),0),$B200-1973)</f>
        <v>3.9095140000000002</v>
      </c>
      <c r="O200" cm="1">
        <f t="array" ref="O200">INDEX(GMW!$A$2:$HN$50,MATCH(1,(GMW!$HM$2:$HM$50=O$3)*(GMW!$HN$2:$HN$50=O$1),0),$B200-1973)</f>
        <v>448606.1</v>
      </c>
      <c r="P200" cm="1">
        <f t="array" ref="P200">INDEX(GMW!$A$2:$HN$50,MATCH(1,(GMW!$HM$2:$HM$50=P$3)*(GMW!$HN$2:$HN$50=P$1),0),$B200-1973)</f>
        <v>50549.02</v>
      </c>
    </row>
    <row r="201" spans="1:16">
      <c r="B201">
        <f t="shared" ref="B201:B210" si="8">+B200+1</f>
        <v>2174</v>
      </c>
      <c r="C201">
        <f t="shared" si="7"/>
        <v>2028</v>
      </c>
      <c r="D201">
        <f t="shared" si="7"/>
        <v>2028</v>
      </c>
      <c r="E201" cm="1">
        <f t="array" ref="E201">INDEX(GMW!$A$2:$HN$50,MATCH(1,(GMW!$HM$2:$HM$50=E$3)*(GMW!$HN$2:$HN$50=E$1),0),$B201-1973)</f>
        <v>683773.6</v>
      </c>
      <c r="F201" cm="1">
        <f t="array" ref="F201">INDEX(GMW!$A$2:$HN$50,MATCH(1,(GMW!$HM$2:$HM$50=F$3)*(GMW!$HN$2:$HN$50=F$1),0),$B201-1973)</f>
        <v>34718.879999999997</v>
      </c>
      <c r="G201" cm="1">
        <f t="array" ref="G201">INDEX(GMW!$A$2:$HN$50,MATCH(1,(GMW!$HM$2:$HM$50=G$3)*(GMW!$HN$2:$HN$50=G$1),0),$B201-1973)</f>
        <v>11313.43</v>
      </c>
      <c r="H201" cm="1">
        <f t="array" ref="H201">INDEX(GMW!$A$2:$HN$50,MATCH(1,(GMW!$HM$2:$HM$50=H$3)*(GMW!$HN$2:$HN$50=H$1),0),$B201-1973)</f>
        <v>3.778645</v>
      </c>
      <c r="I201" cm="1">
        <f t="array" ref="I201">INDEX(GMW!$A$2:$HN$50,MATCH(1,(GMW!$HM$2:$HM$50=I$3)*(GMW!$HN$2:$HN$50=I$1),0),$B201-1973)</f>
        <v>452477.2</v>
      </c>
      <c r="J201" cm="1">
        <f t="array" ref="J201">INDEX(GMW!$A$2:$HN$50,MATCH(1,(GMW!$HM$2:$HM$50=J$3)*(GMW!$HN$2:$HN$50=J$1),0),$B201-1973)</f>
        <v>44874.239999999998</v>
      </c>
      <c r="K201" cm="1">
        <f t="array" ref="K201">INDEX(GMW!$A$2:$HN$50,MATCH(1,(GMW!$HM$2:$HM$50=K$3)*(GMW!$HN$2:$HN$50=K$1),0),$B201-1973)</f>
        <v>682417.5</v>
      </c>
      <c r="L201" cm="1">
        <f t="array" ref="L201">INDEX(GMW!$A$2:$HN$50,MATCH(1,(GMW!$HM$2:$HM$50=L$3)*(GMW!$HN$2:$HN$50=L$1),0),$B201-1973)</f>
        <v>34683.949999999997</v>
      </c>
      <c r="M201" cm="1">
        <f t="array" ref="M201">INDEX(GMW!$A$2:$HN$50,MATCH(1,(GMW!$HM$2:$HM$50=M$3)*(GMW!$HN$2:$HN$50=M$1),0),$B201-1973)</f>
        <v>11297.95</v>
      </c>
      <c r="N201" cm="1">
        <f t="array" ref="N201">INDEX(GMW!$A$2:$HN$50,MATCH(1,(GMW!$HM$2:$HM$50=N$3)*(GMW!$HN$2:$HN$50=N$1),0),$B201-1973)</f>
        <v>3.8754390000000001</v>
      </c>
      <c r="O201" cm="1">
        <f t="array" ref="O201">INDEX(GMW!$A$2:$HN$50,MATCH(1,(GMW!$HM$2:$HM$50=O$3)*(GMW!$HN$2:$HN$50=O$1),0),$B201-1973)</f>
        <v>450558.9</v>
      </c>
      <c r="P201" cm="1">
        <f t="array" ref="P201">INDEX(GMW!$A$2:$HN$50,MATCH(1,(GMW!$HM$2:$HM$50=P$3)*(GMW!$HN$2:$HN$50=P$1),0),$B201-1973)</f>
        <v>50986.99</v>
      </c>
    </row>
    <row r="202" spans="1:16">
      <c r="B202">
        <f t="shared" si="8"/>
        <v>2175</v>
      </c>
      <c r="C202">
        <f t="shared" si="7"/>
        <v>2028</v>
      </c>
      <c r="D202">
        <f t="shared" si="7"/>
        <v>2028</v>
      </c>
      <c r="E202" cm="1">
        <f t="array" ref="E202">INDEX(GMW!$A$2:$HN$50,MATCH(1,(GMW!$HM$2:$HM$50=E$3)*(GMW!$HN$2:$HN$50=E$1),0),$B202-1973)</f>
        <v>686508.3</v>
      </c>
      <c r="F202" cm="1">
        <f t="array" ref="F202">INDEX(GMW!$A$2:$HN$50,MATCH(1,(GMW!$HM$2:$HM$50=F$3)*(GMW!$HN$2:$HN$50=F$1),0),$B202-1973)</f>
        <v>34809.08</v>
      </c>
      <c r="G202" cm="1">
        <f t="array" ref="G202">INDEX(GMW!$A$2:$HN$50,MATCH(1,(GMW!$HM$2:$HM$50=G$3)*(GMW!$HN$2:$HN$50=G$1),0),$B202-1973)</f>
        <v>11387.67</v>
      </c>
      <c r="H202" cm="1">
        <f t="array" ref="H202">INDEX(GMW!$A$2:$HN$50,MATCH(1,(GMW!$HM$2:$HM$50=H$3)*(GMW!$HN$2:$HN$50=H$1),0),$B202-1973)</f>
        <v>3.7596400000000001</v>
      </c>
      <c r="I202" cm="1">
        <f t="array" ref="I202">INDEX(GMW!$A$2:$HN$50,MATCH(1,(GMW!$HM$2:$HM$50=I$3)*(GMW!$HN$2:$HN$50=I$1),0),$B202-1973)</f>
        <v>454341.6</v>
      </c>
      <c r="J202" cm="1">
        <f t="array" ref="J202">INDEX(GMW!$A$2:$HN$50,MATCH(1,(GMW!$HM$2:$HM$50=J$3)*(GMW!$HN$2:$HN$50=J$1),0),$B202-1973)</f>
        <v>45316.12</v>
      </c>
      <c r="K202" cm="1">
        <f t="array" ref="K202">INDEX(GMW!$A$2:$HN$50,MATCH(1,(GMW!$HM$2:$HM$50=K$3)*(GMW!$HN$2:$HN$50=K$1),0),$B202-1973)</f>
        <v>685213.4</v>
      </c>
      <c r="L202" cm="1">
        <f t="array" ref="L202">INDEX(GMW!$A$2:$HN$50,MATCH(1,(GMW!$HM$2:$HM$50=L$3)*(GMW!$HN$2:$HN$50=L$1),0),$B202-1973)</f>
        <v>34776.47</v>
      </c>
      <c r="M202" cm="1">
        <f t="array" ref="M202">INDEX(GMW!$A$2:$HN$50,MATCH(1,(GMW!$HM$2:$HM$50=M$3)*(GMW!$HN$2:$HN$50=M$1),0),$B202-1973)</f>
        <v>11373.08</v>
      </c>
      <c r="N202" cm="1">
        <f t="array" ref="N202">INDEX(GMW!$A$2:$HN$50,MATCH(1,(GMW!$HM$2:$HM$50=N$3)*(GMW!$HN$2:$HN$50=N$1),0),$B202-1973)</f>
        <v>3.8497979999999998</v>
      </c>
      <c r="O202" cm="1">
        <f t="array" ref="O202">INDEX(GMW!$A$2:$HN$50,MATCH(1,(GMW!$HM$2:$HM$50=O$3)*(GMW!$HN$2:$HN$50=O$1),0),$B202-1973)</f>
        <v>452442.6</v>
      </c>
      <c r="P202" cm="1">
        <f t="array" ref="P202">INDEX(GMW!$A$2:$HN$50,MATCH(1,(GMW!$HM$2:$HM$50=P$3)*(GMW!$HN$2:$HN$50=P$1),0),$B202-1973)</f>
        <v>51435.8</v>
      </c>
    </row>
    <row r="203" spans="1:16">
      <c r="A203">
        <v>2029</v>
      </c>
      <c r="B203">
        <f t="shared" si="8"/>
        <v>2176</v>
      </c>
      <c r="C203">
        <f t="shared" si="7"/>
        <v>2029</v>
      </c>
      <c r="D203">
        <f t="shared" si="7"/>
        <v>2028</v>
      </c>
      <c r="E203" cm="1">
        <f t="array" ref="E203">INDEX(GMW!$A$2:$HN$50,MATCH(1,(GMW!$HM$2:$HM$50=E$3)*(GMW!$HN$2:$HN$50=E$1),0),$B203-1973)</f>
        <v>689254.8</v>
      </c>
      <c r="F203" cm="1">
        <f t="array" ref="F203">INDEX(GMW!$A$2:$HN$50,MATCH(1,(GMW!$HM$2:$HM$50=F$3)*(GMW!$HN$2:$HN$50=F$1),0),$B203-1973)</f>
        <v>34896.14</v>
      </c>
      <c r="G203" cm="1">
        <f t="array" ref="G203">INDEX(GMW!$A$2:$HN$50,MATCH(1,(GMW!$HM$2:$HM$50=G$3)*(GMW!$HN$2:$HN$50=G$1),0),$B203-1973)</f>
        <v>11462.16</v>
      </c>
      <c r="H203" cm="1">
        <f t="array" ref="H203">INDEX(GMW!$A$2:$HN$50,MATCH(1,(GMW!$HM$2:$HM$50=H$3)*(GMW!$HN$2:$HN$50=H$1),0),$B203-1973)</f>
        <v>3.7499479999999998</v>
      </c>
      <c r="I203" cm="1">
        <f t="array" ref="I203">INDEX(GMW!$A$2:$HN$50,MATCH(1,(GMW!$HM$2:$HM$50=I$3)*(GMW!$HN$2:$HN$50=I$1),0),$B203-1973)</f>
        <v>456201.8</v>
      </c>
      <c r="J203" cm="1">
        <f t="array" ref="J203">INDEX(GMW!$A$2:$HN$50,MATCH(1,(GMW!$HM$2:$HM$50=J$3)*(GMW!$HN$2:$HN$50=J$1),0),$B203-1973)</f>
        <v>45756.86</v>
      </c>
      <c r="K203" cm="1">
        <f t="array" ref="K203">INDEX(GMW!$A$2:$HN$50,MATCH(1,(GMW!$HM$2:$HM$50=K$3)*(GMW!$HN$2:$HN$50=K$1),0),$B203-1973)</f>
        <v>688029.5</v>
      </c>
      <c r="L203" cm="1">
        <f t="array" ref="L203">INDEX(GMW!$A$2:$HN$50,MATCH(1,(GMW!$HM$2:$HM$50=L$3)*(GMW!$HN$2:$HN$50=L$1),0),$B203-1973)</f>
        <v>34866.050000000003</v>
      </c>
      <c r="M203" cm="1">
        <f t="array" ref="M203">INDEX(GMW!$A$2:$HN$50,MATCH(1,(GMW!$HM$2:$HM$50=M$3)*(GMW!$HN$2:$HN$50=M$1),0),$B203-1973)</f>
        <v>11448.53</v>
      </c>
      <c r="N203" cm="1">
        <f t="array" ref="N203">INDEX(GMW!$A$2:$HN$50,MATCH(1,(GMW!$HM$2:$HM$50=N$3)*(GMW!$HN$2:$HN$50=N$1),0),$B203-1973)</f>
        <v>3.8329309999999999</v>
      </c>
      <c r="O203" cm="1">
        <f t="array" ref="O203">INDEX(GMW!$A$2:$HN$50,MATCH(1,(GMW!$HM$2:$HM$50=O$3)*(GMW!$HN$2:$HN$50=O$1),0),$B203-1973)</f>
        <v>454329.8</v>
      </c>
      <c r="P203" cm="1">
        <f t="array" ref="P203">INDEX(GMW!$A$2:$HN$50,MATCH(1,(GMW!$HM$2:$HM$50=P$3)*(GMW!$HN$2:$HN$50=P$1),0),$B203-1973)</f>
        <v>51884.1</v>
      </c>
    </row>
    <row r="204" spans="1:16">
      <c r="B204">
        <f t="shared" si="8"/>
        <v>2177</v>
      </c>
      <c r="C204">
        <f t="shared" ref="C204:D210" si="9">+C200+1</f>
        <v>2029</v>
      </c>
      <c r="D204">
        <f t="shared" si="7"/>
        <v>2029</v>
      </c>
      <c r="E204" cm="1">
        <f t="array" ref="E204">INDEX(GMW!$A$2:$HN$50,MATCH(1,(GMW!$HM$2:$HM$50=E$3)*(GMW!$HN$2:$HN$50=E$1),0),$B204-1973)</f>
        <v>692011.6</v>
      </c>
      <c r="F204" cm="1">
        <f t="array" ref="F204">INDEX(GMW!$A$2:$HN$50,MATCH(1,(GMW!$HM$2:$HM$50=F$3)*(GMW!$HN$2:$HN$50=F$1),0),$B204-1973)</f>
        <v>34979.910000000003</v>
      </c>
      <c r="G204" cm="1">
        <f t="array" ref="G204">INDEX(GMW!$A$2:$HN$50,MATCH(1,(GMW!$HM$2:$HM$50=G$3)*(GMW!$HN$2:$HN$50=G$1),0),$B204-1973)</f>
        <v>11537.54</v>
      </c>
      <c r="H204" cm="1">
        <f t="array" ref="H204">INDEX(GMW!$A$2:$HN$50,MATCH(1,(GMW!$HM$2:$HM$50=H$3)*(GMW!$HN$2:$HN$50=H$1),0),$B204-1973)</f>
        <v>3.74987</v>
      </c>
      <c r="I204" cm="1">
        <f t="array" ref="I204">INDEX(GMW!$A$2:$HN$50,MATCH(1,(GMW!$HM$2:$HM$50=I$3)*(GMW!$HN$2:$HN$50=I$1),0),$B204-1973)</f>
        <v>458220.1</v>
      </c>
      <c r="J204" cm="1">
        <f t="array" ref="J204">INDEX(GMW!$A$2:$HN$50,MATCH(1,(GMW!$HM$2:$HM$50=J$3)*(GMW!$HN$2:$HN$50=J$1),0),$B204-1973)</f>
        <v>46168.63</v>
      </c>
      <c r="K204" cm="1">
        <f t="array" ref="K204">INDEX(GMW!$A$2:$HN$50,MATCH(1,(GMW!$HM$2:$HM$50=K$3)*(GMW!$HN$2:$HN$50=K$1),0),$B204-1973)</f>
        <v>690845</v>
      </c>
      <c r="L204" cm="1">
        <f t="array" ref="L204">INDEX(GMW!$A$2:$HN$50,MATCH(1,(GMW!$HM$2:$HM$50=L$3)*(GMW!$HN$2:$HN$50=L$1),0),$B204-1973)</f>
        <v>34951.74</v>
      </c>
      <c r="M204" cm="1">
        <f t="array" ref="M204">INDEX(GMW!$A$2:$HN$50,MATCH(1,(GMW!$HM$2:$HM$50=M$3)*(GMW!$HN$2:$HN$50=M$1),0),$B204-1973)</f>
        <v>11524.76</v>
      </c>
      <c r="N204" cm="1">
        <f t="array" ref="N204">INDEX(GMW!$A$2:$HN$50,MATCH(1,(GMW!$HM$2:$HM$50=N$3)*(GMW!$HN$2:$HN$50=N$1),0),$B204-1973)</f>
        <v>3.8273980000000001</v>
      </c>
      <c r="O204" cm="1">
        <f t="array" ref="O204">INDEX(GMW!$A$2:$HN$50,MATCH(1,(GMW!$HM$2:$HM$50=O$3)*(GMW!$HN$2:$HN$50=O$1),0),$B204-1973)</f>
        <v>456356.1</v>
      </c>
      <c r="P204" cm="1">
        <f t="array" ref="P204">INDEX(GMW!$A$2:$HN$50,MATCH(1,(GMW!$HM$2:$HM$50=P$3)*(GMW!$HN$2:$HN$50=P$1),0),$B204-1973)</f>
        <v>52496.83</v>
      </c>
    </row>
    <row r="205" spans="1:16">
      <c r="B205">
        <f t="shared" si="8"/>
        <v>2178</v>
      </c>
      <c r="C205">
        <f t="shared" si="9"/>
        <v>2029</v>
      </c>
      <c r="D205">
        <f t="shared" si="9"/>
        <v>2029</v>
      </c>
      <c r="E205" cm="1">
        <f t="array" ref="E205">INDEX(GMW!$A$2:$HN$50,MATCH(1,(GMW!$HM$2:$HM$50=E$3)*(GMW!$HN$2:$HN$50=E$1),0),$B205-1973)</f>
        <v>694780.4</v>
      </c>
      <c r="F205" cm="1">
        <f t="array" ref="F205">INDEX(GMW!$A$2:$HN$50,MATCH(1,(GMW!$HM$2:$HM$50=F$3)*(GMW!$HN$2:$HN$50=F$1),0),$B205-1973)</f>
        <v>35060.370000000003</v>
      </c>
      <c r="G205" cm="1">
        <f t="array" ref="G205">INDEX(GMW!$A$2:$HN$50,MATCH(1,(GMW!$HM$2:$HM$50=G$3)*(GMW!$HN$2:$HN$50=G$1),0),$B205-1973)</f>
        <v>11614.13</v>
      </c>
      <c r="H205" cm="1">
        <f t="array" ref="H205">INDEX(GMW!$A$2:$HN$50,MATCH(1,(GMW!$HM$2:$HM$50=H$3)*(GMW!$HN$2:$HN$50=H$1),0),$B205-1973)</f>
        <v>3.7498649999999998</v>
      </c>
      <c r="I205" cm="1">
        <f t="array" ref="I205">INDEX(GMW!$A$2:$HN$50,MATCH(1,(GMW!$HM$2:$HM$50=I$3)*(GMW!$HN$2:$HN$50=I$1),0),$B205-1973)</f>
        <v>459983.9</v>
      </c>
      <c r="J205" cm="1">
        <f t="array" ref="J205">INDEX(GMW!$A$2:$HN$50,MATCH(1,(GMW!$HM$2:$HM$50=J$3)*(GMW!$HN$2:$HN$50=J$1),0),$B205-1973)</f>
        <v>46582.28</v>
      </c>
      <c r="K205" cm="1">
        <f t="array" ref="K205">INDEX(GMW!$A$2:$HN$50,MATCH(1,(GMW!$HM$2:$HM$50=K$3)*(GMW!$HN$2:$HN$50=K$1),0),$B205-1973)</f>
        <v>693682.9</v>
      </c>
      <c r="L205" cm="1">
        <f t="array" ref="L205">INDEX(GMW!$A$2:$HN$50,MATCH(1,(GMW!$HM$2:$HM$50=L$3)*(GMW!$HN$2:$HN$50=L$1),0),$B205-1973)</f>
        <v>35034.71</v>
      </c>
      <c r="M205" cm="1">
        <f t="array" ref="M205">INDEX(GMW!$A$2:$HN$50,MATCH(1,(GMW!$HM$2:$HM$50=M$3)*(GMW!$HN$2:$HN$50=M$1),0),$B205-1973)</f>
        <v>11602.32</v>
      </c>
      <c r="N205" cm="1">
        <f t="array" ref="N205">INDEX(GMW!$A$2:$HN$50,MATCH(1,(GMW!$HM$2:$HM$50=N$3)*(GMW!$HN$2:$HN$50=N$1),0),$B205-1973)</f>
        <v>3.8203200000000002</v>
      </c>
      <c r="O205" cm="1">
        <f t="array" ref="O205">INDEX(GMW!$A$2:$HN$50,MATCH(1,(GMW!$HM$2:$HM$50=O$3)*(GMW!$HN$2:$HN$50=O$1),0),$B205-1973)</f>
        <v>458151.5</v>
      </c>
      <c r="P205" cm="1">
        <f t="array" ref="P205">INDEX(GMW!$A$2:$HN$50,MATCH(1,(GMW!$HM$2:$HM$50=P$3)*(GMW!$HN$2:$HN$50=P$1),0),$B205-1973)</f>
        <v>52918.27</v>
      </c>
    </row>
    <row r="206" spans="1:16">
      <c r="B206">
        <f t="shared" si="8"/>
        <v>2179</v>
      </c>
      <c r="C206">
        <f t="shared" si="9"/>
        <v>2029</v>
      </c>
      <c r="D206">
        <f t="shared" si="9"/>
        <v>2029</v>
      </c>
      <c r="E206" cm="1">
        <f t="array" ref="E206">INDEX(GMW!$A$2:$HN$50,MATCH(1,(GMW!$HM$2:$HM$50=E$3)*(GMW!$HN$2:$HN$50=E$1),0),$B206-1973)</f>
        <v>697559.3</v>
      </c>
      <c r="F206" cm="1">
        <f t="array" ref="F206">INDEX(GMW!$A$2:$HN$50,MATCH(1,(GMW!$HM$2:$HM$50=F$3)*(GMW!$HN$2:$HN$50=F$1),0),$B206-1973)</f>
        <v>35141.01</v>
      </c>
      <c r="G206" cm="1">
        <f t="array" ref="G206">INDEX(GMW!$A$2:$HN$50,MATCH(1,(GMW!$HM$2:$HM$50=G$3)*(GMW!$HN$2:$HN$50=G$1),0),$B206-1973)</f>
        <v>11691.39</v>
      </c>
      <c r="H206" cm="1">
        <f t="array" ref="H206">INDEX(GMW!$A$2:$HN$50,MATCH(1,(GMW!$HM$2:$HM$50=H$3)*(GMW!$HN$2:$HN$50=H$1),0),$B206-1973)</f>
        <v>3.749873</v>
      </c>
      <c r="I206" cm="1">
        <f t="array" ref="I206">INDEX(GMW!$A$2:$HN$50,MATCH(1,(GMW!$HM$2:$HM$50=I$3)*(GMW!$HN$2:$HN$50=I$1),0),$B206-1973)</f>
        <v>461695.3</v>
      </c>
      <c r="J206" cm="1">
        <f t="array" ref="J206">INDEX(GMW!$A$2:$HN$50,MATCH(1,(GMW!$HM$2:$HM$50=J$3)*(GMW!$HN$2:$HN$50=J$1),0),$B206-1973)</f>
        <v>47000.28</v>
      </c>
      <c r="K206" cm="1">
        <f t="array" ref="K206">INDEX(GMW!$A$2:$HN$50,MATCH(1,(GMW!$HM$2:$HM$50=K$3)*(GMW!$HN$2:$HN$50=K$1),0),$B206-1973)</f>
        <v>696538.8</v>
      </c>
      <c r="L206" cm="1">
        <f t="array" ref="L206">INDEX(GMW!$A$2:$HN$50,MATCH(1,(GMW!$HM$2:$HM$50=L$3)*(GMW!$HN$2:$HN$50=L$1),0),$B206-1973)</f>
        <v>35117.85</v>
      </c>
      <c r="M206" cm="1">
        <f t="array" ref="M206">INDEX(GMW!$A$2:$HN$50,MATCH(1,(GMW!$HM$2:$HM$50=M$3)*(GMW!$HN$2:$HN$50=M$1),0),$B206-1973)</f>
        <v>11680.6</v>
      </c>
      <c r="N206" cm="1">
        <f t="array" ref="N206">INDEX(GMW!$A$2:$HN$50,MATCH(1,(GMW!$HM$2:$HM$50=N$3)*(GMW!$HN$2:$HN$50=N$1),0),$B206-1973)</f>
        <v>3.8132980000000001</v>
      </c>
      <c r="O206" cm="1">
        <f t="array" ref="O206">INDEX(GMW!$A$2:$HN$50,MATCH(1,(GMW!$HM$2:$HM$50=O$3)*(GMW!$HN$2:$HN$50=O$1),0),$B206-1973)</f>
        <v>459896</v>
      </c>
      <c r="P206" cm="1">
        <f t="array" ref="P206">INDEX(GMW!$A$2:$HN$50,MATCH(1,(GMW!$HM$2:$HM$50=P$3)*(GMW!$HN$2:$HN$50=P$1),0),$B206-1973)</f>
        <v>53344.36</v>
      </c>
    </row>
    <row r="207" spans="1:16">
      <c r="A207">
        <v>2030</v>
      </c>
      <c r="B207">
        <f t="shared" si="8"/>
        <v>2180</v>
      </c>
      <c r="C207">
        <f t="shared" si="9"/>
        <v>2030</v>
      </c>
      <c r="D207">
        <f t="shared" si="9"/>
        <v>2029</v>
      </c>
      <c r="E207" cm="1">
        <f t="array" ref="E207">INDEX(GMW!$A$2:$HN$50,MATCH(1,(GMW!$HM$2:$HM$50=E$3)*(GMW!$HN$2:$HN$50=E$1),0),$B207-1973)</f>
        <v>700349.6</v>
      </c>
      <c r="F207" cm="1">
        <f t="array" ref="F207">INDEX(GMW!$A$2:$HN$50,MATCH(1,(GMW!$HM$2:$HM$50=F$3)*(GMW!$HN$2:$HN$50=F$1),0),$B207-1973)</f>
        <v>35218.32</v>
      </c>
      <c r="G207" cm="1">
        <f t="array" ref="G207">INDEX(GMW!$A$2:$HN$50,MATCH(1,(GMW!$HM$2:$HM$50=G$3)*(GMW!$HN$2:$HN$50=G$1),0),$B207-1973)</f>
        <v>11769.48</v>
      </c>
      <c r="H207" cm="1">
        <f t="array" ref="H207">INDEX(GMW!$A$2:$HN$50,MATCH(1,(GMW!$HM$2:$HM$50=H$3)*(GMW!$HN$2:$HN$50=H$1),0),$B207-1973)</f>
        <v>3.7498719999999999</v>
      </c>
      <c r="I207" cm="1">
        <f t="array" ref="I207">INDEX(GMW!$A$2:$HN$50,MATCH(1,(GMW!$HM$2:$HM$50=I$3)*(GMW!$HN$2:$HN$50=I$1),0),$B207-1973)</f>
        <v>463445.7</v>
      </c>
      <c r="J207" cm="1">
        <f t="array" ref="J207">INDEX(GMW!$A$2:$HN$50,MATCH(1,(GMW!$HM$2:$HM$50=J$3)*(GMW!$HN$2:$HN$50=J$1),0),$B207-1973)</f>
        <v>47418.720000000001</v>
      </c>
      <c r="K207" cm="1">
        <f t="array" ref="K207">INDEX(GMW!$A$2:$HN$50,MATCH(1,(GMW!$HM$2:$HM$50=K$3)*(GMW!$HN$2:$HN$50=K$1),0),$B207-1973)</f>
        <v>699408.1</v>
      </c>
      <c r="L207" cm="1">
        <f t="array" ref="L207">INDEX(GMW!$A$2:$HN$50,MATCH(1,(GMW!$HM$2:$HM$50=L$3)*(GMW!$HN$2:$HN$50=L$1),0),$B207-1973)</f>
        <v>35197.730000000003</v>
      </c>
      <c r="M207" cm="1">
        <f t="array" ref="M207">INDEX(GMW!$A$2:$HN$50,MATCH(1,(GMW!$HM$2:$HM$50=M$3)*(GMW!$HN$2:$HN$50=M$1),0),$B207-1973)</f>
        <v>11759.76</v>
      </c>
      <c r="N207" cm="1">
        <f t="array" ref="N207">INDEX(GMW!$A$2:$HN$50,MATCH(1,(GMW!$HM$2:$HM$50=N$3)*(GMW!$HN$2:$HN$50=N$1),0),$B207-1973)</f>
        <v>3.8061219999999998</v>
      </c>
      <c r="O207" cm="1">
        <f t="array" ref="O207">INDEX(GMW!$A$2:$HN$50,MATCH(1,(GMW!$HM$2:$HM$50=O$3)*(GMW!$HN$2:$HN$50=O$1),0),$B207-1973)</f>
        <v>461682.5</v>
      </c>
      <c r="P207" cm="1">
        <f t="array" ref="P207">INDEX(GMW!$A$2:$HN$50,MATCH(1,(GMW!$HM$2:$HM$50=P$3)*(GMW!$HN$2:$HN$50=P$1),0),$B207-1973)</f>
        <v>53771.22</v>
      </c>
    </row>
    <row r="208" spans="1:16">
      <c r="B208">
        <f t="shared" si="8"/>
        <v>2181</v>
      </c>
      <c r="C208">
        <f t="shared" si="9"/>
        <v>2030</v>
      </c>
      <c r="D208">
        <f t="shared" si="9"/>
        <v>2030</v>
      </c>
      <c r="E208" cm="1">
        <f t="array" ref="E208">INDEX(GMW!$A$2:$HN$50,MATCH(1,(GMW!$HM$2:$HM$50=E$3)*(GMW!$HN$2:$HN$50=E$1),0),$B208-1973)</f>
        <v>703151.1</v>
      </c>
      <c r="F208" cm="1">
        <f t="array" ref="F208">INDEX(GMW!$A$2:$HN$50,MATCH(1,(GMW!$HM$2:$HM$50=F$3)*(GMW!$HN$2:$HN$50=F$1),0),$B208-1973)</f>
        <v>35295.800000000003</v>
      </c>
      <c r="G208" cm="1">
        <f t="array" ref="G208">INDEX(GMW!$A$2:$HN$50,MATCH(1,(GMW!$HM$2:$HM$50=G$3)*(GMW!$HN$2:$HN$50=G$1),0),$B208-1973)</f>
        <v>11848.68</v>
      </c>
      <c r="H208" cm="1">
        <f t="array" ref="H208">INDEX(GMW!$A$2:$HN$50,MATCH(1,(GMW!$HM$2:$HM$50=H$3)*(GMW!$HN$2:$HN$50=H$1),0),$B208-1973)</f>
        <v>3.7498749999999998</v>
      </c>
      <c r="I208" cm="1">
        <f t="array" ref="I208">INDEX(GMW!$A$2:$HN$50,MATCH(1,(GMW!$HM$2:$HM$50=I$3)*(GMW!$HN$2:$HN$50=I$1),0),$B208-1973)</f>
        <v>465447</v>
      </c>
      <c r="J208" cm="1">
        <f t="array" ref="J208">INDEX(GMW!$A$2:$HN$50,MATCH(1,(GMW!$HM$2:$HM$50=J$3)*(GMW!$HN$2:$HN$50=J$1),0),$B208-1973)</f>
        <v>47843.01</v>
      </c>
      <c r="K208" cm="1">
        <f t="array" ref="K208">INDEX(GMW!$A$2:$HN$50,MATCH(1,(GMW!$HM$2:$HM$50=K$3)*(GMW!$HN$2:$HN$50=K$1),0),$B208-1973)</f>
        <v>702286.3</v>
      </c>
      <c r="L208" cm="1">
        <f t="array" ref="L208">INDEX(GMW!$A$2:$HN$50,MATCH(1,(GMW!$HM$2:$HM$50=L$3)*(GMW!$HN$2:$HN$50=L$1),0),$B208-1973)</f>
        <v>35277.58</v>
      </c>
      <c r="M208" cm="1">
        <f t="array" ref="M208">INDEX(GMW!$A$2:$HN$50,MATCH(1,(GMW!$HM$2:$HM$50=M$3)*(GMW!$HN$2:$HN$50=M$1),0),$B208-1973)</f>
        <v>11840.03</v>
      </c>
      <c r="N208" cm="1">
        <f t="array" ref="N208">INDEX(GMW!$A$2:$HN$50,MATCH(1,(GMW!$HM$2:$HM$50=N$3)*(GMW!$HN$2:$HN$50=N$1),0),$B208-1973)</f>
        <v>3.7995459999999999</v>
      </c>
      <c r="O208" cm="1">
        <f t="array" ref="O208">INDEX(GMW!$A$2:$HN$50,MATCH(1,(GMW!$HM$2:$HM$50=O$3)*(GMW!$HN$2:$HN$50=O$1),0),$B208-1973)</f>
        <v>463721.9</v>
      </c>
      <c r="P208" cm="1">
        <f t="array" ref="P208">INDEX(GMW!$A$2:$HN$50,MATCH(1,(GMW!$HM$2:$HM$50=P$3)*(GMW!$HN$2:$HN$50=P$1),0),$B208-1973)</f>
        <v>54261.23</v>
      </c>
    </row>
    <row r="209" spans="2:16">
      <c r="B209">
        <f t="shared" si="8"/>
        <v>2182</v>
      </c>
      <c r="C209">
        <f t="shared" si="9"/>
        <v>2030</v>
      </c>
      <c r="D209">
        <f t="shared" si="9"/>
        <v>2030</v>
      </c>
      <c r="E209" cm="1">
        <f t="array" ref="E209">INDEX(GMW!$A$2:$HN$50,MATCH(1,(GMW!$HM$2:$HM$50=E$3)*(GMW!$HN$2:$HN$50=E$1),0),$B209-1973)</f>
        <v>705964.2</v>
      </c>
      <c r="F209" cm="1">
        <f t="array" ref="F209">INDEX(GMW!$A$2:$HN$50,MATCH(1,(GMW!$HM$2:$HM$50=F$3)*(GMW!$HN$2:$HN$50=F$1),0),$B209-1973)</f>
        <v>35373.449999999997</v>
      </c>
      <c r="G209" cm="1">
        <f t="array" ref="G209">INDEX(GMW!$A$2:$HN$50,MATCH(1,(GMW!$HM$2:$HM$50=G$3)*(GMW!$HN$2:$HN$50=G$1),0),$B209-1973)</f>
        <v>11928.99</v>
      </c>
      <c r="H209" cm="1">
        <f t="array" ref="H209">INDEX(GMW!$A$2:$HN$50,MATCH(1,(GMW!$HM$2:$HM$50=H$3)*(GMW!$HN$2:$HN$50=H$1),0),$B209-1973)</f>
        <v>3.7498800000000001</v>
      </c>
      <c r="I209" cm="1">
        <f t="array" ref="I209">INDEX(GMW!$A$2:$HN$50,MATCH(1,(GMW!$HM$2:$HM$50=I$3)*(GMW!$HN$2:$HN$50=I$1),0),$B209-1973)</f>
        <v>467184.9</v>
      </c>
      <c r="J209" cm="1">
        <f t="array" ref="J209">INDEX(GMW!$A$2:$HN$50,MATCH(1,(GMW!$HM$2:$HM$50=J$3)*(GMW!$HN$2:$HN$50=J$1),0),$B209-1973)</f>
        <v>48273.440000000002</v>
      </c>
      <c r="K209" cm="1">
        <f t="array" ref="K209">INDEX(GMW!$A$2:$HN$50,MATCH(1,(GMW!$HM$2:$HM$50=K$3)*(GMW!$HN$2:$HN$50=K$1),0),$B209-1973)</f>
        <v>705169.4</v>
      </c>
      <c r="L209" cm="1">
        <f t="array" ref="L209">INDEX(GMW!$A$2:$HN$50,MATCH(1,(GMW!$HM$2:$HM$50=L$3)*(GMW!$HN$2:$HN$50=L$1),0),$B209-1973)</f>
        <v>35357.53</v>
      </c>
      <c r="M209" cm="1">
        <f t="array" ref="M209">INDEX(GMW!$A$2:$HN$50,MATCH(1,(GMW!$HM$2:$HM$50=M$3)*(GMW!$HN$2:$HN$50=M$1),0),$B209-1973)</f>
        <v>11921.41</v>
      </c>
      <c r="N209" cm="1">
        <f t="array" ref="N209">INDEX(GMW!$A$2:$HN$50,MATCH(1,(GMW!$HM$2:$HM$50=N$3)*(GMW!$HN$2:$HN$50=N$1),0),$B209-1973)</f>
        <v>3.7932030000000001</v>
      </c>
      <c r="O209" cm="1">
        <f t="array" ref="O209">INDEX(GMW!$A$2:$HN$50,MATCH(1,(GMW!$HM$2:$HM$50=O$3)*(GMW!$HN$2:$HN$50=O$1),0),$B209-1973)</f>
        <v>465491.3</v>
      </c>
      <c r="P209" cm="1">
        <f t="array" ref="P209">INDEX(GMW!$A$2:$HN$50,MATCH(1,(GMW!$HM$2:$HM$50=P$3)*(GMW!$HN$2:$HN$50=P$1),0),$B209-1973)</f>
        <v>54758.03</v>
      </c>
    </row>
    <row r="210" spans="2:16">
      <c r="B210">
        <f t="shared" si="8"/>
        <v>2183</v>
      </c>
      <c r="C210">
        <f t="shared" si="9"/>
        <v>2030</v>
      </c>
      <c r="D210">
        <f t="shared" si="9"/>
        <v>2030</v>
      </c>
      <c r="E210" cm="1">
        <f t="array" ref="E210">INDEX(GMW!$A$2:$HN$50,MATCH(1,(GMW!$HM$2:$HM$50=E$3)*(GMW!$HN$2:$HN$50=E$1),0),$B210-1973)</f>
        <v>708788.1</v>
      </c>
      <c r="F210" cm="1">
        <f t="array" ref="F210">INDEX(GMW!$A$2:$HN$50,MATCH(1,(GMW!$HM$2:$HM$50=F$3)*(GMW!$HN$2:$HN$50=F$1),0),$B210-1973)</f>
        <v>35451.269999999997</v>
      </c>
      <c r="G210" cm="1">
        <f t="array" ref="G210">INDEX(GMW!$A$2:$HN$50,MATCH(1,(GMW!$HM$2:$HM$50=G$3)*(GMW!$HN$2:$HN$50=G$1),0),$B210-1973)</f>
        <v>12009.94</v>
      </c>
      <c r="H210" cm="1">
        <f t="array" ref="H210">INDEX(GMW!$A$2:$HN$50,MATCH(1,(GMW!$HM$2:$HM$50=H$3)*(GMW!$HN$2:$HN$50=H$1),0),$B210-1973)</f>
        <v>3.749879</v>
      </c>
      <c r="I210" cm="1">
        <f t="array" ref="I210">INDEX(GMW!$A$2:$HN$50,MATCH(1,(GMW!$HM$2:$HM$50=I$3)*(GMW!$HN$2:$HN$50=I$1),0),$B210-1973)</f>
        <v>468872.6</v>
      </c>
      <c r="J210" cm="1">
        <f t="array" ref="J210">INDEX(GMW!$A$2:$HN$50,MATCH(1,(GMW!$HM$2:$HM$50=J$3)*(GMW!$HN$2:$HN$50=J$1),0),$B210-1973)</f>
        <v>48708.08</v>
      </c>
      <c r="K210" cm="1">
        <f t="array" ref="K210">INDEX(GMW!$A$2:$HN$50,MATCH(1,(GMW!$HM$2:$HM$50=K$3)*(GMW!$HN$2:$HN$50=K$1),0),$B210-1973)</f>
        <v>708055.9</v>
      </c>
      <c r="L210" cm="1">
        <f t="array" ref="L210">INDEX(GMW!$A$2:$HN$50,MATCH(1,(GMW!$HM$2:$HM$50=L$3)*(GMW!$HN$2:$HN$50=L$1),0),$B210-1973)</f>
        <v>35437.449999999997</v>
      </c>
      <c r="M210" cm="1">
        <f t="array" ref="M210">INDEX(GMW!$A$2:$HN$50,MATCH(1,(GMW!$HM$2:$HM$50=M$3)*(GMW!$HN$2:$HN$50=M$1),0),$B210-1973)</f>
        <v>12003.38</v>
      </c>
      <c r="N210" cm="1">
        <f t="array" ref="N210">INDEX(GMW!$A$2:$HN$50,MATCH(1,(GMW!$HM$2:$HM$50=N$3)*(GMW!$HN$2:$HN$50=N$1),0),$B210-1973)</f>
        <v>3.7873899999999998</v>
      </c>
      <c r="O210" cm="1">
        <f t="array" ref="O210">INDEX(GMW!$A$2:$HN$50,MATCH(1,(GMW!$HM$2:$HM$50=O$3)*(GMW!$HN$2:$HN$50=O$1),0),$B210-1973)</f>
        <v>467207.5</v>
      </c>
      <c r="P210" cm="1">
        <f t="array" ref="P210">INDEX(GMW!$A$2:$HN$50,MATCH(1,(GMW!$HM$2:$HM$50=P$3)*(GMW!$HN$2:$HN$50=P$1),0),$B210-1973)</f>
        <v>55259.360000000001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4E80-7019-4CA4-9A32-C16CFD91AB03}">
  <dimension ref="A1:M57"/>
  <sheetViews>
    <sheetView workbookViewId="0">
      <pane xSplit="1" ySplit="6" topLeftCell="B40" activePane="bottomRight" state="frozen"/>
      <selection pane="topRight" activeCell="D1" sqref="D1"/>
      <selection pane="bottomLeft" activeCell="A7" sqref="A7"/>
      <selection pane="bottomRight" activeCell="B57" sqref="B57"/>
    </sheetView>
  </sheetViews>
  <sheetFormatPr defaultRowHeight="15"/>
  <sheetData>
    <row r="1" spans="1:13">
      <c r="B1" t="str">
        <f>DataQ!E1</f>
        <v>Oct24_2.db</v>
      </c>
      <c r="C1" t="str">
        <f>DataQ!F1</f>
        <v>Oct24_2.db</v>
      </c>
      <c r="D1" t="str">
        <f>DataQ!G1</f>
        <v>Oct24_2.db</v>
      </c>
      <c r="E1" t="str">
        <f>DataQ!H1</f>
        <v>Oct24_2.db</v>
      </c>
      <c r="F1" t="str">
        <f>DataQ!I1</f>
        <v>Oct24_2.db</v>
      </c>
      <c r="G1" t="str">
        <f>DataQ!J1</f>
        <v>Oct24_2.db</v>
      </c>
      <c r="H1" t="str">
        <f>DataQ!K1</f>
        <v>NICs_scen.db</v>
      </c>
      <c r="I1" t="str">
        <f>DataQ!L1</f>
        <v>NICs_scen.db</v>
      </c>
      <c r="J1" t="str">
        <f>DataQ!M1</f>
        <v>NICs_scen.db</v>
      </c>
      <c r="K1" t="str">
        <f>DataQ!N1</f>
        <v>NICs_scen.db</v>
      </c>
      <c r="L1" t="str">
        <f>DataQ!O1</f>
        <v>NICs_scen.db</v>
      </c>
      <c r="M1" t="str">
        <f>DataQ!P1</f>
        <v>NICs_scen.db</v>
      </c>
    </row>
    <row r="2" spans="1:13">
      <c r="B2" t="str">
        <f>DataQ!E2</f>
        <v>UK</v>
      </c>
      <c r="C2" t="str">
        <f>DataQ!F2</f>
        <v>UK</v>
      </c>
      <c r="D2" t="str">
        <f>DataQ!G2</f>
        <v>UK</v>
      </c>
      <c r="E2" t="str">
        <f>DataQ!H2</f>
        <v>UK</v>
      </c>
      <c r="F2" t="str">
        <f>DataQ!I2</f>
        <v>UK</v>
      </c>
      <c r="G2" t="str">
        <f>DataQ!J2</f>
        <v>UK</v>
      </c>
      <c r="H2" t="str">
        <f>DataQ!K2</f>
        <v>UK</v>
      </c>
      <c r="I2" t="str">
        <f>DataQ!L2</f>
        <v>UK</v>
      </c>
      <c r="J2" t="str">
        <f>DataQ!M2</f>
        <v>UK</v>
      </c>
      <c r="K2" t="str">
        <f>DataQ!N2</f>
        <v>UK</v>
      </c>
      <c r="L2" t="str">
        <f>DataQ!O2</f>
        <v>UK</v>
      </c>
      <c r="M2" t="str">
        <f>DataQ!P2</f>
        <v>UK</v>
      </c>
    </row>
    <row r="3" spans="1:13">
      <c r="B3" t="str">
        <f>DataQ!E3</f>
        <v>GDP</v>
      </c>
      <c r="C3" t="str">
        <f>DataQ!F3</f>
        <v>ETILO</v>
      </c>
      <c r="D3" t="str">
        <f>DataQ!G3</f>
        <v>ER</v>
      </c>
      <c r="E3" t="str">
        <f>DataQ!H3</f>
        <v>UPILO</v>
      </c>
      <c r="F3" t="str">
        <f>DataQ!I3</f>
        <v>PEDY</v>
      </c>
      <c r="G3" t="str">
        <f>DataQ!J3</f>
        <v>TP</v>
      </c>
      <c r="H3" t="str">
        <f>DataQ!K3</f>
        <v>GDP</v>
      </c>
      <c r="I3" t="str">
        <f>DataQ!L3</f>
        <v>ETILO</v>
      </c>
      <c r="J3" t="str">
        <f>DataQ!M3</f>
        <v>ER</v>
      </c>
      <c r="K3" t="str">
        <f>DataQ!N3</f>
        <v>UPILO</v>
      </c>
      <c r="L3" t="str">
        <f>DataQ!O3</f>
        <v>PEDY</v>
      </c>
      <c r="M3" t="str">
        <f>DataQ!P3</f>
        <v>TP</v>
      </c>
    </row>
    <row r="4" spans="1:13">
      <c r="B4" t="str">
        <f>DataQ!E4</f>
        <v>GBR</v>
      </c>
      <c r="C4" t="str">
        <f>DataQ!F4</f>
        <v>GBR</v>
      </c>
      <c r="D4" t="str">
        <f>DataQ!G4</f>
        <v>GBR</v>
      </c>
      <c r="E4" t="str">
        <f>DataQ!H4</f>
        <v>GBR</v>
      </c>
      <c r="F4" t="str">
        <f>DataQ!I4</f>
        <v>GBR</v>
      </c>
      <c r="G4" t="str">
        <f>DataQ!J4</f>
        <v>GBR</v>
      </c>
      <c r="H4" t="str">
        <f>DataQ!K4</f>
        <v>GBR</v>
      </c>
      <c r="I4" t="str">
        <f>DataQ!L4</f>
        <v>GBR</v>
      </c>
      <c r="J4" t="str">
        <f>DataQ!M4</f>
        <v>GBR</v>
      </c>
      <c r="K4" t="str">
        <f>DataQ!N4</f>
        <v>GBR</v>
      </c>
      <c r="L4" t="str">
        <f>DataQ!O4</f>
        <v>GBR</v>
      </c>
      <c r="M4" t="str">
        <f>DataQ!P4</f>
        <v>GBR</v>
      </c>
    </row>
    <row r="5" spans="1:13">
      <c r="B5" t="str">
        <f>DataQ!E5</f>
        <v>L</v>
      </c>
      <c r="C5" t="str">
        <f>DataQ!F5</f>
        <v>L</v>
      </c>
      <c r="D5" t="str">
        <f>DataQ!G5</f>
        <v>L</v>
      </c>
      <c r="E5" t="str">
        <f>DataQ!H5</f>
        <v>L</v>
      </c>
      <c r="F5" t="str">
        <f>DataQ!I5</f>
        <v>L</v>
      </c>
      <c r="G5" t="str">
        <f>DataQ!J5</f>
        <v>L</v>
      </c>
      <c r="H5" t="str">
        <f>DataQ!K5</f>
        <v>L</v>
      </c>
      <c r="I5" t="str">
        <f>DataQ!L5</f>
        <v>L</v>
      </c>
      <c r="J5" t="str">
        <f>DataQ!M5</f>
        <v>L</v>
      </c>
      <c r="K5" t="str">
        <f>DataQ!N5</f>
        <v>L</v>
      </c>
      <c r="L5" t="str">
        <f>DataQ!O5</f>
        <v>L</v>
      </c>
      <c r="M5" t="str">
        <f>DataQ!P5</f>
        <v>L</v>
      </c>
    </row>
    <row r="6" spans="1:13">
      <c r="B6" t="str">
        <f>DataQ!E6</f>
        <v>202402</v>
      </c>
      <c r="C6" t="str">
        <f>DataQ!F6</f>
        <v>202402</v>
      </c>
      <c r="D6" t="str">
        <f>DataQ!G6</f>
        <v>202402</v>
      </c>
      <c r="E6" t="str">
        <f>DataQ!H6</f>
        <v>202402</v>
      </c>
      <c r="F6" t="str">
        <f>DataQ!I6</f>
        <v>202402</v>
      </c>
      <c r="G6" t="str">
        <f>DataQ!J6</f>
        <v>202402</v>
      </c>
      <c r="H6" t="str">
        <f>DataQ!K6</f>
        <v>202402</v>
      </c>
      <c r="I6" t="str">
        <f>DataQ!L6</f>
        <v>202402</v>
      </c>
      <c r="J6" t="str">
        <f>DataQ!M6</f>
        <v>202402</v>
      </c>
      <c r="K6" t="str">
        <f>DataQ!N6</f>
        <v>202402</v>
      </c>
      <c r="L6" t="str">
        <f>DataQ!O6</f>
        <v>202402</v>
      </c>
      <c r="M6" t="str">
        <f>DataQ!P6</f>
        <v>202402</v>
      </c>
    </row>
    <row r="7" spans="1:13">
      <c r="A7">
        <v>1980</v>
      </c>
      <c r="B7">
        <f>SUMIF(DataQ!$D:$D,DataFY!$A7,DataQ!E:E)</f>
        <v>1051015</v>
      </c>
      <c r="C7">
        <f>AVERAGEIF(DataQ!$D:$D,DataFY!$A7,DataQ!F:F)</f>
        <v>24939</v>
      </c>
      <c r="D7">
        <f>SUMIF(DataQ!$D:$D,DataFY!$A7,DataQ!G:G)</f>
        <v>5563.3679999999995</v>
      </c>
      <c r="E7">
        <f>AVERAGEIF(DataQ!$D:$D,DataFY!$A7,DataQ!H:H)</f>
        <v>7.5749999999999993</v>
      </c>
      <c r="F7">
        <f>SUMIF(DataQ!$D:$D,DataFY!$A7,DataQ!I:I)</f>
        <v>637945</v>
      </c>
      <c r="G7">
        <f>SUMIF(DataQ!$D:$D,DataFY!$A7,DataQ!J:J)</f>
        <v>9525.1919999999991</v>
      </c>
      <c r="H7">
        <f>SUMIF(DataQ!$D:$D,DataFY!$A7,DataQ!K:K)</f>
        <v>1051015</v>
      </c>
      <c r="I7">
        <f>AVERAGEIF(DataQ!$D:$D,DataFY!$A7,DataQ!L:L)</f>
        <v>24939</v>
      </c>
      <c r="J7">
        <f>SUMIF(DataQ!$D:$D,DataFY!$A7,DataQ!M:M)</f>
        <v>5563.3679999999995</v>
      </c>
      <c r="K7">
        <f>AVERAGEIF(DataQ!$D:$D,DataFY!$A7,DataQ!N:N)</f>
        <v>7.5749999999999993</v>
      </c>
      <c r="L7">
        <f>SUMIF(DataQ!$D:$D,DataFY!$A7,DataQ!O:O)</f>
        <v>637945</v>
      </c>
      <c r="M7">
        <f>SUMIF(DataQ!$D:$D,DataFY!$A7,DataQ!P:P)</f>
        <v>9525.1919999999991</v>
      </c>
    </row>
    <row r="8" spans="1:13">
      <c r="A8">
        <f>+A7+1</f>
        <v>1981</v>
      </c>
      <c r="B8">
        <f>SUMIF(DataQ!$D:$D,DataFY!$A8,DataQ!E:E)</f>
        <v>1056651</v>
      </c>
      <c r="C8">
        <f>AVERAGEIF(DataQ!$D:$D,DataFY!$A8,DataQ!F:F)</f>
        <v>24294.75</v>
      </c>
      <c r="D8">
        <f>SUMIF(DataQ!$D:$D,DataFY!$A8,DataQ!G:G)</f>
        <v>6149.857</v>
      </c>
      <c r="E8">
        <f>AVERAGEIF(DataQ!$D:$D,DataFY!$A8,DataQ!H:H)</f>
        <v>10.025</v>
      </c>
      <c r="F8">
        <f>SUMIF(DataQ!$D:$D,DataFY!$A8,DataQ!I:I)</f>
        <v>632023</v>
      </c>
      <c r="G8">
        <f>SUMIF(DataQ!$D:$D,DataFY!$A8,DataQ!J:J)</f>
        <v>10077.231</v>
      </c>
      <c r="H8">
        <f>SUMIF(DataQ!$D:$D,DataFY!$A8,DataQ!K:K)</f>
        <v>1056651</v>
      </c>
      <c r="I8">
        <f>AVERAGEIF(DataQ!$D:$D,DataFY!$A8,DataQ!L:L)</f>
        <v>24294.75</v>
      </c>
      <c r="J8">
        <f>SUMIF(DataQ!$D:$D,DataFY!$A8,DataQ!M:M)</f>
        <v>6149.857</v>
      </c>
      <c r="K8">
        <f>AVERAGEIF(DataQ!$D:$D,DataFY!$A8,DataQ!N:N)</f>
        <v>10.025</v>
      </c>
      <c r="L8">
        <f>SUMIF(DataQ!$D:$D,DataFY!$A8,DataQ!O:O)</f>
        <v>632023</v>
      </c>
      <c r="M8">
        <f>SUMIF(DataQ!$D:$D,DataFY!$A8,DataQ!P:P)</f>
        <v>10077.231</v>
      </c>
    </row>
    <row r="9" spans="1:13">
      <c r="A9">
        <f t="shared" ref="A9:A57" si="0">+A8+1</f>
        <v>1982</v>
      </c>
      <c r="B9">
        <f>SUMIF(DataQ!$D:$D,DataFY!$A9,DataQ!E:E)</f>
        <v>1083524</v>
      </c>
      <c r="C9">
        <f>AVERAGEIF(DataQ!$D:$D,DataFY!$A9,DataQ!F:F)</f>
        <v>23833.5</v>
      </c>
      <c r="D9">
        <f>SUMIF(DataQ!$D:$D,DataFY!$A9,DataQ!G:G)</f>
        <v>6680.866</v>
      </c>
      <c r="E9">
        <f>AVERAGEIF(DataQ!$D:$D,DataFY!$A9,DataQ!H:H)</f>
        <v>10.95</v>
      </c>
      <c r="F9">
        <f>SUMIF(DataQ!$D:$D,DataFY!$A9,DataQ!I:I)</f>
        <v>638590</v>
      </c>
      <c r="G9">
        <f>SUMIF(DataQ!$D:$D,DataFY!$A9,DataQ!J:J)</f>
        <v>10712.468000000001</v>
      </c>
      <c r="H9">
        <f>SUMIF(DataQ!$D:$D,DataFY!$A9,DataQ!K:K)</f>
        <v>1083524</v>
      </c>
      <c r="I9">
        <f>AVERAGEIF(DataQ!$D:$D,DataFY!$A9,DataQ!L:L)</f>
        <v>23833.5</v>
      </c>
      <c r="J9">
        <f>SUMIF(DataQ!$D:$D,DataFY!$A9,DataQ!M:M)</f>
        <v>6680.866</v>
      </c>
      <c r="K9">
        <f>AVERAGEIF(DataQ!$D:$D,DataFY!$A9,DataQ!N:N)</f>
        <v>10.95</v>
      </c>
      <c r="L9">
        <f>SUMIF(DataQ!$D:$D,DataFY!$A9,DataQ!O:O)</f>
        <v>638590</v>
      </c>
      <c r="M9">
        <f>SUMIF(DataQ!$D:$D,DataFY!$A9,DataQ!P:P)</f>
        <v>10712.468000000001</v>
      </c>
    </row>
    <row r="10" spans="1:13">
      <c r="A10">
        <f t="shared" si="0"/>
        <v>1983</v>
      </c>
      <c r="B10">
        <f>SUMIF(DataQ!$D:$D,DataFY!$A10,DataQ!E:E)</f>
        <v>1127351</v>
      </c>
      <c r="C10">
        <f>AVERAGEIF(DataQ!$D:$D,DataFY!$A10,DataQ!F:F)</f>
        <v>23893.75</v>
      </c>
      <c r="D10">
        <f>SUMIF(DataQ!$D:$D,DataFY!$A10,DataQ!G:G)</f>
        <v>7172.9169999999995</v>
      </c>
      <c r="E10">
        <f>AVERAGEIF(DataQ!$D:$D,DataFY!$A10,DataQ!H:H)</f>
        <v>11.599999999999998</v>
      </c>
      <c r="F10">
        <f>SUMIF(DataQ!$D:$D,DataFY!$A10,DataQ!I:I)</f>
        <v>659923</v>
      </c>
      <c r="G10">
        <f>SUMIF(DataQ!$D:$D,DataFY!$A10,DataQ!J:J)</f>
        <v>12061.645</v>
      </c>
      <c r="H10">
        <f>SUMIF(DataQ!$D:$D,DataFY!$A10,DataQ!K:K)</f>
        <v>1127351</v>
      </c>
      <c r="I10">
        <f>AVERAGEIF(DataQ!$D:$D,DataFY!$A10,DataQ!L:L)</f>
        <v>23893.75</v>
      </c>
      <c r="J10">
        <f>SUMIF(DataQ!$D:$D,DataFY!$A10,DataQ!M:M)</f>
        <v>7172.9169999999995</v>
      </c>
      <c r="K10">
        <f>AVERAGEIF(DataQ!$D:$D,DataFY!$A10,DataQ!N:N)</f>
        <v>11.599999999999998</v>
      </c>
      <c r="L10">
        <f>SUMIF(DataQ!$D:$D,DataFY!$A10,DataQ!O:O)</f>
        <v>659923</v>
      </c>
      <c r="M10">
        <f>SUMIF(DataQ!$D:$D,DataFY!$A10,DataQ!P:P)</f>
        <v>12061.645</v>
      </c>
    </row>
    <row r="11" spans="1:13">
      <c r="A11">
        <f t="shared" si="0"/>
        <v>1984</v>
      </c>
      <c r="B11">
        <f>SUMIF(DataQ!$D:$D,DataFY!$A11,DataQ!E:E)</f>
        <v>1149722</v>
      </c>
      <c r="C11">
        <f>AVERAGEIF(DataQ!$D:$D,DataFY!$A11,DataQ!F:F)</f>
        <v>24382.5</v>
      </c>
      <c r="D11">
        <f>SUMIF(DataQ!$D:$D,DataFY!$A11,DataQ!G:G)</f>
        <v>7668.9949999999999</v>
      </c>
      <c r="E11">
        <f>AVERAGEIF(DataQ!$D:$D,DataFY!$A11,DataQ!H:H)</f>
        <v>11.675000000000001</v>
      </c>
      <c r="F11">
        <f>SUMIF(DataQ!$D:$D,DataFY!$A11,DataQ!I:I)</f>
        <v>683616</v>
      </c>
      <c r="G11">
        <f>SUMIF(DataQ!$D:$D,DataFY!$A11,DataQ!J:J)</f>
        <v>12940.86</v>
      </c>
      <c r="H11">
        <f>SUMIF(DataQ!$D:$D,DataFY!$A11,DataQ!K:K)</f>
        <v>1149722</v>
      </c>
      <c r="I11">
        <f>AVERAGEIF(DataQ!$D:$D,DataFY!$A11,DataQ!L:L)</f>
        <v>24382.5</v>
      </c>
      <c r="J11">
        <f>SUMIF(DataQ!$D:$D,DataFY!$A11,DataQ!M:M)</f>
        <v>7668.9949999999999</v>
      </c>
      <c r="K11">
        <f>AVERAGEIF(DataQ!$D:$D,DataFY!$A11,DataQ!N:N)</f>
        <v>11.675000000000001</v>
      </c>
      <c r="L11">
        <f>SUMIF(DataQ!$D:$D,DataFY!$A11,DataQ!O:O)</f>
        <v>683616</v>
      </c>
      <c r="M11">
        <f>SUMIF(DataQ!$D:$D,DataFY!$A11,DataQ!P:P)</f>
        <v>12940.86</v>
      </c>
    </row>
    <row r="12" spans="1:13">
      <c r="A12">
        <f t="shared" si="0"/>
        <v>1985</v>
      </c>
      <c r="B12">
        <f>SUMIF(DataQ!$D:$D,DataFY!$A12,DataQ!E:E)</f>
        <v>1198783</v>
      </c>
      <c r="C12">
        <f>AVERAGEIF(DataQ!$D:$D,DataFY!$A12,DataQ!F:F)</f>
        <v>24631.25</v>
      </c>
      <c r="D12">
        <f>SUMIF(DataQ!$D:$D,DataFY!$A12,DataQ!G:G)</f>
        <v>8295.1110000000008</v>
      </c>
      <c r="E12">
        <f>AVERAGEIF(DataQ!$D:$D,DataFY!$A12,DataQ!H:H)</f>
        <v>11.324999999999999</v>
      </c>
      <c r="F12">
        <f>SUMIF(DataQ!$D:$D,DataFY!$A12,DataQ!I:I)</f>
        <v>708463</v>
      </c>
      <c r="G12">
        <f>SUMIF(DataQ!$D:$D,DataFY!$A12,DataQ!J:J)</f>
        <v>14044.936000000002</v>
      </c>
      <c r="H12">
        <f>SUMIF(DataQ!$D:$D,DataFY!$A12,DataQ!K:K)</f>
        <v>1198783</v>
      </c>
      <c r="I12">
        <f>AVERAGEIF(DataQ!$D:$D,DataFY!$A12,DataQ!L:L)</f>
        <v>24631.25</v>
      </c>
      <c r="J12">
        <f>SUMIF(DataQ!$D:$D,DataFY!$A12,DataQ!M:M)</f>
        <v>8295.1110000000008</v>
      </c>
      <c r="K12">
        <f>AVERAGEIF(DataQ!$D:$D,DataFY!$A12,DataQ!N:N)</f>
        <v>11.324999999999999</v>
      </c>
      <c r="L12">
        <f>SUMIF(DataQ!$D:$D,DataFY!$A12,DataQ!O:O)</f>
        <v>708463</v>
      </c>
      <c r="M12">
        <f>SUMIF(DataQ!$D:$D,DataFY!$A12,DataQ!P:P)</f>
        <v>14044.936000000002</v>
      </c>
    </row>
    <row r="13" spans="1:13">
      <c r="A13">
        <f t="shared" si="0"/>
        <v>1986</v>
      </c>
      <c r="B13">
        <f>SUMIF(DataQ!$D:$D,DataFY!$A13,DataQ!E:E)</f>
        <v>1238924</v>
      </c>
      <c r="C13">
        <f>AVERAGEIF(DataQ!$D:$D,DataFY!$A13,DataQ!F:F)</f>
        <v>24810</v>
      </c>
      <c r="D13">
        <f>SUMIF(DataQ!$D:$D,DataFY!$A13,DataQ!G:G)</f>
        <v>8940.3860000000004</v>
      </c>
      <c r="E13">
        <f>AVERAGEIF(DataQ!$D:$D,DataFY!$A13,DataQ!H:H)</f>
        <v>11.275</v>
      </c>
      <c r="F13">
        <f>SUMIF(DataQ!$D:$D,DataFY!$A13,DataQ!I:I)</f>
        <v>734069</v>
      </c>
      <c r="G13">
        <f>SUMIF(DataQ!$D:$D,DataFY!$A13,DataQ!J:J)</f>
        <v>15891.061000000002</v>
      </c>
      <c r="H13">
        <f>SUMIF(DataQ!$D:$D,DataFY!$A13,DataQ!K:K)</f>
        <v>1238924</v>
      </c>
      <c r="I13">
        <f>AVERAGEIF(DataQ!$D:$D,DataFY!$A13,DataQ!L:L)</f>
        <v>24810</v>
      </c>
      <c r="J13">
        <f>SUMIF(DataQ!$D:$D,DataFY!$A13,DataQ!M:M)</f>
        <v>8940.3860000000004</v>
      </c>
      <c r="K13">
        <f>AVERAGEIF(DataQ!$D:$D,DataFY!$A13,DataQ!N:N)</f>
        <v>11.275</v>
      </c>
      <c r="L13">
        <f>SUMIF(DataQ!$D:$D,DataFY!$A13,DataQ!O:O)</f>
        <v>734069</v>
      </c>
      <c r="M13">
        <f>SUMIF(DataQ!$D:$D,DataFY!$A13,DataQ!P:P)</f>
        <v>15891.061000000002</v>
      </c>
    </row>
    <row r="14" spans="1:13">
      <c r="A14">
        <f t="shared" si="0"/>
        <v>1987</v>
      </c>
      <c r="B14">
        <f>SUMIF(DataQ!$D:$D,DataFY!$A14,DataQ!E:E)</f>
        <v>1314341</v>
      </c>
      <c r="C14">
        <f>AVERAGEIF(DataQ!$D:$D,DataFY!$A14,DataQ!F:F)</f>
        <v>25456.25</v>
      </c>
      <c r="D14">
        <f>SUMIF(DataQ!$D:$D,DataFY!$A14,DataQ!G:G)</f>
        <v>9580.6570000000011</v>
      </c>
      <c r="E14">
        <f>AVERAGEIF(DataQ!$D:$D,DataFY!$A14,DataQ!H:H)</f>
        <v>9.9499999999999993</v>
      </c>
      <c r="F14">
        <f>SUMIF(DataQ!$D:$D,DataFY!$A14,DataQ!I:I)</f>
        <v>753140</v>
      </c>
      <c r="G14">
        <f>SUMIF(DataQ!$D:$D,DataFY!$A14,DataQ!J:J)</f>
        <v>18093</v>
      </c>
      <c r="H14">
        <f>SUMIF(DataQ!$D:$D,DataFY!$A14,DataQ!K:K)</f>
        <v>1314341</v>
      </c>
      <c r="I14">
        <f>AVERAGEIF(DataQ!$D:$D,DataFY!$A14,DataQ!L:L)</f>
        <v>25456.25</v>
      </c>
      <c r="J14">
        <f>SUMIF(DataQ!$D:$D,DataFY!$A14,DataQ!M:M)</f>
        <v>9580.6570000000011</v>
      </c>
      <c r="K14">
        <f>AVERAGEIF(DataQ!$D:$D,DataFY!$A14,DataQ!N:N)</f>
        <v>9.9499999999999993</v>
      </c>
      <c r="L14">
        <f>SUMIF(DataQ!$D:$D,DataFY!$A14,DataQ!O:O)</f>
        <v>753140</v>
      </c>
      <c r="M14">
        <f>SUMIF(DataQ!$D:$D,DataFY!$A14,DataQ!P:P)</f>
        <v>18093</v>
      </c>
    </row>
    <row r="15" spans="1:13">
      <c r="A15">
        <f t="shared" si="0"/>
        <v>1988</v>
      </c>
      <c r="B15">
        <f>SUMIF(DataQ!$D:$D,DataFY!$A15,DataQ!E:E)</f>
        <v>1372598</v>
      </c>
      <c r="C15">
        <f>AVERAGEIF(DataQ!$D:$D,DataFY!$A15,DataQ!F:F)</f>
        <v>26268.75</v>
      </c>
      <c r="D15">
        <f>SUMIF(DataQ!$D:$D,DataFY!$A15,DataQ!G:G)</f>
        <v>10408.064</v>
      </c>
      <c r="E15">
        <f>AVERAGEIF(DataQ!$D:$D,DataFY!$A15,DataQ!H:H)</f>
        <v>8.1750000000000007</v>
      </c>
      <c r="F15">
        <f>SUMIF(DataQ!$D:$D,DataFY!$A15,DataQ!I:I)</f>
        <v>792119</v>
      </c>
      <c r="G15">
        <f>SUMIF(DataQ!$D:$D,DataFY!$A15,DataQ!J:J)</f>
        <v>20392</v>
      </c>
      <c r="H15">
        <f>SUMIF(DataQ!$D:$D,DataFY!$A15,DataQ!K:K)</f>
        <v>1372598</v>
      </c>
      <c r="I15">
        <f>AVERAGEIF(DataQ!$D:$D,DataFY!$A15,DataQ!L:L)</f>
        <v>26268.75</v>
      </c>
      <c r="J15">
        <f>SUMIF(DataQ!$D:$D,DataFY!$A15,DataQ!M:M)</f>
        <v>10408.064</v>
      </c>
      <c r="K15">
        <f>AVERAGEIF(DataQ!$D:$D,DataFY!$A15,DataQ!N:N)</f>
        <v>8.1750000000000007</v>
      </c>
      <c r="L15">
        <f>SUMIF(DataQ!$D:$D,DataFY!$A15,DataQ!O:O)</f>
        <v>792119</v>
      </c>
      <c r="M15">
        <f>SUMIF(DataQ!$D:$D,DataFY!$A15,DataQ!P:P)</f>
        <v>20392</v>
      </c>
    </row>
    <row r="16" spans="1:13">
      <c r="A16">
        <f t="shared" si="0"/>
        <v>1989</v>
      </c>
      <c r="B16">
        <f>SUMIF(DataQ!$D:$D,DataFY!$A16,DataQ!E:E)</f>
        <v>1399391</v>
      </c>
      <c r="C16">
        <f>AVERAGEIF(DataQ!$D:$D,DataFY!$A16,DataQ!F:F)</f>
        <v>26826.25</v>
      </c>
      <c r="D16">
        <f>SUMIF(DataQ!$D:$D,DataFY!$A16,DataQ!G:G)</f>
        <v>11447.102999999999</v>
      </c>
      <c r="E16">
        <f>AVERAGEIF(DataQ!$D:$D,DataFY!$A16,DataQ!H:H)</f>
        <v>7.0500000000000007</v>
      </c>
      <c r="F16">
        <f>SUMIF(DataQ!$D:$D,DataFY!$A16,DataQ!I:I)</f>
        <v>835872</v>
      </c>
      <c r="G16">
        <f>SUMIF(DataQ!$D:$D,DataFY!$A16,DataQ!J:J)</f>
        <v>21855</v>
      </c>
      <c r="H16">
        <f>SUMIF(DataQ!$D:$D,DataFY!$A16,DataQ!K:K)</f>
        <v>1399391</v>
      </c>
      <c r="I16">
        <f>AVERAGEIF(DataQ!$D:$D,DataFY!$A16,DataQ!L:L)</f>
        <v>26826.25</v>
      </c>
      <c r="J16">
        <f>SUMIF(DataQ!$D:$D,DataFY!$A16,DataQ!M:M)</f>
        <v>11447.102999999999</v>
      </c>
      <c r="K16">
        <f>AVERAGEIF(DataQ!$D:$D,DataFY!$A16,DataQ!N:N)</f>
        <v>7.0500000000000007</v>
      </c>
      <c r="L16">
        <f>SUMIF(DataQ!$D:$D,DataFY!$A16,DataQ!O:O)</f>
        <v>835872</v>
      </c>
      <c r="M16">
        <f>SUMIF(DataQ!$D:$D,DataFY!$A16,DataQ!P:P)</f>
        <v>21855</v>
      </c>
    </row>
    <row r="17" spans="1:13">
      <c r="A17">
        <f t="shared" si="0"/>
        <v>1990</v>
      </c>
      <c r="B17">
        <f>SUMIF(DataQ!$D:$D,DataFY!$A17,DataQ!E:E)</f>
        <v>1397741</v>
      </c>
      <c r="C17">
        <f>AVERAGEIF(DataQ!$D:$D,DataFY!$A17,DataQ!F:F)</f>
        <v>26778.75</v>
      </c>
      <c r="D17">
        <f>SUMIF(DataQ!$D:$D,DataFY!$A17,DataQ!G:G)</f>
        <v>12506.221000000001</v>
      </c>
      <c r="E17">
        <f>AVERAGEIF(DataQ!$D:$D,DataFY!$A17,DataQ!H:H)</f>
        <v>7.375</v>
      </c>
      <c r="F17">
        <f>SUMIF(DataQ!$D:$D,DataFY!$A17,DataQ!I:I)</f>
        <v>859802</v>
      </c>
      <c r="G17">
        <f>SUMIF(DataQ!$D:$D,DataFY!$A17,DataQ!J:J)</f>
        <v>23698</v>
      </c>
      <c r="H17">
        <f>SUMIF(DataQ!$D:$D,DataFY!$A17,DataQ!K:K)</f>
        <v>1397741</v>
      </c>
      <c r="I17">
        <f>AVERAGEIF(DataQ!$D:$D,DataFY!$A17,DataQ!L:L)</f>
        <v>26778.75</v>
      </c>
      <c r="J17">
        <f>SUMIF(DataQ!$D:$D,DataFY!$A17,DataQ!M:M)</f>
        <v>12506.221000000001</v>
      </c>
      <c r="K17">
        <f>AVERAGEIF(DataQ!$D:$D,DataFY!$A17,DataQ!N:N)</f>
        <v>7.375</v>
      </c>
      <c r="L17">
        <f>SUMIF(DataQ!$D:$D,DataFY!$A17,DataQ!O:O)</f>
        <v>859802</v>
      </c>
      <c r="M17">
        <f>SUMIF(DataQ!$D:$D,DataFY!$A17,DataQ!P:P)</f>
        <v>23698</v>
      </c>
    </row>
    <row r="18" spans="1:13">
      <c r="A18">
        <f t="shared" si="0"/>
        <v>1991</v>
      </c>
      <c r="B18">
        <f>SUMIF(DataQ!$D:$D,DataFY!$A18,DataQ!E:E)</f>
        <v>1382274</v>
      </c>
      <c r="C18">
        <f>AVERAGEIF(DataQ!$D:$D,DataFY!$A18,DataQ!F:F)</f>
        <v>25957.5</v>
      </c>
      <c r="D18">
        <f>SUMIF(DataQ!$D:$D,DataFY!$A18,DataQ!G:G)</f>
        <v>13566.295</v>
      </c>
      <c r="E18">
        <f>AVERAGEIF(DataQ!$D:$D,DataFY!$A18,DataQ!H:H)</f>
        <v>9.2749999999999986</v>
      </c>
      <c r="F18">
        <f>SUMIF(DataQ!$D:$D,DataFY!$A18,DataQ!I:I)</f>
        <v>876486</v>
      </c>
      <c r="G18">
        <f>SUMIF(DataQ!$D:$D,DataFY!$A18,DataQ!J:J)</f>
        <v>25196</v>
      </c>
      <c r="H18">
        <f>SUMIF(DataQ!$D:$D,DataFY!$A18,DataQ!K:K)</f>
        <v>1382274</v>
      </c>
      <c r="I18">
        <f>AVERAGEIF(DataQ!$D:$D,DataFY!$A18,DataQ!L:L)</f>
        <v>25957.5</v>
      </c>
      <c r="J18">
        <f>SUMIF(DataQ!$D:$D,DataFY!$A18,DataQ!M:M)</f>
        <v>13566.295</v>
      </c>
      <c r="K18">
        <f>AVERAGEIF(DataQ!$D:$D,DataFY!$A18,DataQ!N:N)</f>
        <v>9.2749999999999986</v>
      </c>
      <c r="L18">
        <f>SUMIF(DataQ!$D:$D,DataFY!$A18,DataQ!O:O)</f>
        <v>876486</v>
      </c>
      <c r="M18">
        <f>SUMIF(DataQ!$D:$D,DataFY!$A18,DataQ!P:P)</f>
        <v>25196</v>
      </c>
    </row>
    <row r="19" spans="1:13">
      <c r="A19">
        <f t="shared" si="0"/>
        <v>1992</v>
      </c>
      <c r="B19">
        <f>SUMIF(DataQ!$D:$D,DataFY!$A19,DataQ!E:E)</f>
        <v>1391960</v>
      </c>
      <c r="C19">
        <f>AVERAGEIF(DataQ!$D:$D,DataFY!$A19,DataQ!F:F)</f>
        <v>25433</v>
      </c>
      <c r="D19">
        <f>SUMIF(DataQ!$D:$D,DataFY!$A19,DataQ!G:G)</f>
        <v>14022.143</v>
      </c>
      <c r="E19">
        <f>AVERAGEIF(DataQ!$D:$D,DataFY!$A19,DataQ!H:H)</f>
        <v>10.175000000000001</v>
      </c>
      <c r="F19">
        <f>SUMIF(DataQ!$D:$D,DataFY!$A19,DataQ!I:I)</f>
        <v>898988</v>
      </c>
      <c r="G19">
        <f>SUMIF(DataQ!$D:$D,DataFY!$A19,DataQ!J:J)</f>
        <v>25426</v>
      </c>
      <c r="H19">
        <f>SUMIF(DataQ!$D:$D,DataFY!$A19,DataQ!K:K)</f>
        <v>1391960</v>
      </c>
      <c r="I19">
        <f>AVERAGEIF(DataQ!$D:$D,DataFY!$A19,DataQ!L:L)</f>
        <v>25433</v>
      </c>
      <c r="J19">
        <f>SUMIF(DataQ!$D:$D,DataFY!$A19,DataQ!M:M)</f>
        <v>14022.143</v>
      </c>
      <c r="K19">
        <f>AVERAGEIF(DataQ!$D:$D,DataFY!$A19,DataQ!N:N)</f>
        <v>10.175000000000001</v>
      </c>
      <c r="L19">
        <f>SUMIF(DataQ!$D:$D,DataFY!$A19,DataQ!O:O)</f>
        <v>898988</v>
      </c>
      <c r="M19">
        <f>SUMIF(DataQ!$D:$D,DataFY!$A19,DataQ!P:P)</f>
        <v>25426</v>
      </c>
    </row>
    <row r="20" spans="1:13">
      <c r="A20">
        <f t="shared" si="0"/>
        <v>1993</v>
      </c>
      <c r="B20">
        <f>SUMIF(DataQ!$D:$D,DataFY!$A20,DataQ!E:E)</f>
        <v>1428510</v>
      </c>
      <c r="C20">
        <f>AVERAGEIF(DataQ!$D:$D,DataFY!$A20,DataQ!F:F)</f>
        <v>25334.25</v>
      </c>
      <c r="D20">
        <f>SUMIF(DataQ!$D:$D,DataFY!$A20,DataQ!G:G)</f>
        <v>14559.421</v>
      </c>
      <c r="E20">
        <f>AVERAGEIF(DataQ!$D:$D,DataFY!$A20,DataQ!H:H)</f>
        <v>10.200000000000001</v>
      </c>
      <c r="F20">
        <f>SUMIF(DataQ!$D:$D,DataFY!$A20,DataQ!I:I)</f>
        <v>928700</v>
      </c>
      <c r="G20">
        <f>SUMIF(DataQ!$D:$D,DataFY!$A20,DataQ!J:J)</f>
        <v>27211</v>
      </c>
      <c r="H20">
        <f>SUMIF(DataQ!$D:$D,DataFY!$A20,DataQ!K:K)</f>
        <v>1428510</v>
      </c>
      <c r="I20">
        <f>AVERAGEIF(DataQ!$D:$D,DataFY!$A20,DataQ!L:L)</f>
        <v>25334.25</v>
      </c>
      <c r="J20">
        <f>SUMIF(DataQ!$D:$D,DataFY!$A20,DataQ!M:M)</f>
        <v>14559.421</v>
      </c>
      <c r="K20">
        <f>AVERAGEIF(DataQ!$D:$D,DataFY!$A20,DataQ!N:N)</f>
        <v>10.200000000000001</v>
      </c>
      <c r="L20">
        <f>SUMIF(DataQ!$D:$D,DataFY!$A20,DataQ!O:O)</f>
        <v>928700</v>
      </c>
      <c r="M20">
        <f>SUMIF(DataQ!$D:$D,DataFY!$A20,DataQ!P:P)</f>
        <v>27211</v>
      </c>
    </row>
    <row r="21" spans="1:13">
      <c r="A21">
        <f t="shared" si="0"/>
        <v>1994</v>
      </c>
      <c r="B21">
        <f>SUMIF(DataQ!$D:$D,DataFY!$A21,DataQ!E:E)</f>
        <v>1476615</v>
      </c>
      <c r="C21">
        <f>AVERAGEIF(DataQ!$D:$D,DataFY!$A21,DataQ!F:F)</f>
        <v>25570</v>
      </c>
      <c r="D21">
        <f>SUMIF(DataQ!$D:$D,DataFY!$A21,DataQ!G:G)</f>
        <v>14962.432000000001</v>
      </c>
      <c r="E21">
        <f>AVERAGEIF(DataQ!$D:$D,DataFY!$A21,DataQ!H:H)</f>
        <v>9.25</v>
      </c>
      <c r="F21">
        <f>SUMIF(DataQ!$D:$D,DataFY!$A21,DataQ!I:I)</f>
        <v>944270</v>
      </c>
      <c r="G21">
        <f>SUMIF(DataQ!$D:$D,DataFY!$A21,DataQ!J:J)</f>
        <v>27069</v>
      </c>
      <c r="H21">
        <f>SUMIF(DataQ!$D:$D,DataFY!$A21,DataQ!K:K)</f>
        <v>1476615</v>
      </c>
      <c r="I21">
        <f>AVERAGEIF(DataQ!$D:$D,DataFY!$A21,DataQ!L:L)</f>
        <v>25570</v>
      </c>
      <c r="J21">
        <f>SUMIF(DataQ!$D:$D,DataFY!$A21,DataQ!M:M)</f>
        <v>14962.432000000001</v>
      </c>
      <c r="K21">
        <f>AVERAGEIF(DataQ!$D:$D,DataFY!$A21,DataQ!N:N)</f>
        <v>9.25</v>
      </c>
      <c r="L21">
        <f>SUMIF(DataQ!$D:$D,DataFY!$A21,DataQ!O:O)</f>
        <v>944270</v>
      </c>
      <c r="M21">
        <f>SUMIF(DataQ!$D:$D,DataFY!$A21,DataQ!P:P)</f>
        <v>27069</v>
      </c>
    </row>
    <row r="22" spans="1:13">
      <c r="A22">
        <f t="shared" si="0"/>
        <v>1995</v>
      </c>
      <c r="B22">
        <f>SUMIF(DataQ!$D:$D,DataFY!$A22,DataQ!E:E)</f>
        <v>1509757</v>
      </c>
      <c r="C22">
        <f>AVERAGEIF(DataQ!$D:$D,DataFY!$A22,DataQ!F:F)</f>
        <v>25893.5</v>
      </c>
      <c r="D22">
        <f>SUMIF(DataQ!$D:$D,DataFY!$A22,DataQ!G:G)</f>
        <v>15391.01</v>
      </c>
      <c r="E22">
        <f>AVERAGEIF(DataQ!$D:$D,DataFY!$A22,DataQ!H:H)</f>
        <v>8.4499999999999993</v>
      </c>
      <c r="F22">
        <f>SUMIF(DataQ!$D:$D,DataFY!$A22,DataQ!I:I)</f>
        <v>973091</v>
      </c>
      <c r="G22">
        <f>SUMIF(DataQ!$D:$D,DataFY!$A22,DataQ!J:J)</f>
        <v>28120</v>
      </c>
      <c r="H22">
        <f>SUMIF(DataQ!$D:$D,DataFY!$A22,DataQ!K:K)</f>
        <v>1509757</v>
      </c>
      <c r="I22">
        <f>AVERAGEIF(DataQ!$D:$D,DataFY!$A22,DataQ!L:L)</f>
        <v>25893.5</v>
      </c>
      <c r="J22">
        <f>SUMIF(DataQ!$D:$D,DataFY!$A22,DataQ!M:M)</f>
        <v>15391.01</v>
      </c>
      <c r="K22">
        <f>AVERAGEIF(DataQ!$D:$D,DataFY!$A22,DataQ!N:N)</f>
        <v>8.4499999999999993</v>
      </c>
      <c r="L22">
        <f>SUMIF(DataQ!$D:$D,DataFY!$A22,DataQ!O:O)</f>
        <v>973091</v>
      </c>
      <c r="M22">
        <f>SUMIF(DataQ!$D:$D,DataFY!$A22,DataQ!P:P)</f>
        <v>28120</v>
      </c>
    </row>
    <row r="23" spans="1:13">
      <c r="A23">
        <f t="shared" si="0"/>
        <v>1996</v>
      </c>
      <c r="B23">
        <f>SUMIF(DataQ!$D:$D,DataFY!$A23,DataQ!E:E)</f>
        <v>1556173</v>
      </c>
      <c r="C23">
        <f>AVERAGEIF(DataQ!$D:$D,DataFY!$A23,DataQ!F:F)</f>
        <v>26162.5</v>
      </c>
      <c r="D23">
        <f>SUMIF(DataQ!$D:$D,DataFY!$A23,DataQ!G:G)</f>
        <v>15943.083999999999</v>
      </c>
      <c r="E23">
        <f>AVERAGEIF(DataQ!$D:$D,DataFY!$A23,DataQ!H:H)</f>
        <v>7.875</v>
      </c>
      <c r="F23">
        <f>SUMIF(DataQ!$D:$D,DataFY!$A23,DataQ!I:I)</f>
        <v>992866</v>
      </c>
      <c r="G23">
        <f>SUMIF(DataQ!$D:$D,DataFY!$A23,DataQ!J:J)</f>
        <v>29332</v>
      </c>
      <c r="H23">
        <f>SUMIF(DataQ!$D:$D,DataFY!$A23,DataQ!K:K)</f>
        <v>1556173</v>
      </c>
      <c r="I23">
        <f>AVERAGEIF(DataQ!$D:$D,DataFY!$A23,DataQ!L:L)</f>
        <v>26162.5</v>
      </c>
      <c r="J23">
        <f>SUMIF(DataQ!$D:$D,DataFY!$A23,DataQ!M:M)</f>
        <v>15943.083999999999</v>
      </c>
      <c r="K23">
        <f>AVERAGEIF(DataQ!$D:$D,DataFY!$A23,DataQ!N:N)</f>
        <v>7.875</v>
      </c>
      <c r="L23">
        <f>SUMIF(DataQ!$D:$D,DataFY!$A23,DataQ!O:O)</f>
        <v>992866</v>
      </c>
      <c r="M23">
        <f>SUMIF(DataQ!$D:$D,DataFY!$A23,DataQ!P:P)</f>
        <v>29332</v>
      </c>
    </row>
    <row r="24" spans="1:13">
      <c r="A24">
        <f t="shared" si="0"/>
        <v>1997</v>
      </c>
      <c r="B24">
        <f>SUMIF(DataQ!$D:$D,DataFY!$A24,DataQ!E:E)</f>
        <v>1632752</v>
      </c>
      <c r="C24">
        <f>AVERAGEIF(DataQ!$D:$D,DataFY!$A24,DataQ!F:F)</f>
        <v>26599.75</v>
      </c>
      <c r="D24">
        <f>SUMIF(DataQ!$D:$D,DataFY!$A24,DataQ!G:G)</f>
        <v>16807.004999999997</v>
      </c>
      <c r="E24">
        <f>AVERAGEIF(DataQ!$D:$D,DataFY!$A24,DataQ!H:H)</f>
        <v>6.7249999999999996</v>
      </c>
      <c r="F24">
        <f>SUMIF(DataQ!$D:$D,DataFY!$A24,DataQ!I:I)</f>
        <v>1012676</v>
      </c>
      <c r="G24">
        <f>SUMIF(DataQ!$D:$D,DataFY!$A24,DataQ!J:J)</f>
        <v>31706</v>
      </c>
      <c r="H24">
        <f>SUMIF(DataQ!$D:$D,DataFY!$A24,DataQ!K:K)</f>
        <v>1632752</v>
      </c>
      <c r="I24">
        <f>AVERAGEIF(DataQ!$D:$D,DataFY!$A24,DataQ!L:L)</f>
        <v>26599.75</v>
      </c>
      <c r="J24">
        <f>SUMIF(DataQ!$D:$D,DataFY!$A24,DataQ!M:M)</f>
        <v>16807.004999999997</v>
      </c>
      <c r="K24">
        <f>AVERAGEIF(DataQ!$D:$D,DataFY!$A24,DataQ!N:N)</f>
        <v>6.7249999999999996</v>
      </c>
      <c r="L24">
        <f>SUMIF(DataQ!$D:$D,DataFY!$A24,DataQ!O:O)</f>
        <v>1012676</v>
      </c>
      <c r="M24">
        <f>SUMIF(DataQ!$D:$D,DataFY!$A24,DataQ!P:P)</f>
        <v>31706</v>
      </c>
    </row>
    <row r="25" spans="1:13">
      <c r="A25">
        <f t="shared" si="0"/>
        <v>1998</v>
      </c>
      <c r="B25">
        <f>SUMIF(DataQ!$D:$D,DataFY!$A25,DataQ!E:E)</f>
        <v>1680152</v>
      </c>
      <c r="C25">
        <f>AVERAGEIF(DataQ!$D:$D,DataFY!$A25,DataQ!F:F)</f>
        <v>26884.75</v>
      </c>
      <c r="D25">
        <f>SUMIF(DataQ!$D:$D,DataFY!$A25,DataQ!G:G)</f>
        <v>17334.972000000002</v>
      </c>
      <c r="E25">
        <f>AVERAGEIF(DataQ!$D:$D,DataFY!$A25,DataQ!H:H)</f>
        <v>6.2</v>
      </c>
      <c r="F25">
        <f>SUMIF(DataQ!$D:$D,DataFY!$A25,DataQ!I:I)</f>
        <v>1019277</v>
      </c>
      <c r="G25">
        <f>SUMIF(DataQ!$D:$D,DataFY!$A25,DataQ!J:J)</f>
        <v>33721</v>
      </c>
      <c r="H25">
        <f>SUMIF(DataQ!$D:$D,DataFY!$A25,DataQ!K:K)</f>
        <v>1680152</v>
      </c>
      <c r="I25">
        <f>AVERAGEIF(DataQ!$D:$D,DataFY!$A25,DataQ!L:L)</f>
        <v>26884.75</v>
      </c>
      <c r="J25">
        <f>SUMIF(DataQ!$D:$D,DataFY!$A25,DataQ!M:M)</f>
        <v>17334.972000000002</v>
      </c>
      <c r="K25">
        <f>AVERAGEIF(DataQ!$D:$D,DataFY!$A25,DataQ!N:N)</f>
        <v>6.2</v>
      </c>
      <c r="L25">
        <f>SUMIF(DataQ!$D:$D,DataFY!$A25,DataQ!O:O)</f>
        <v>1019277</v>
      </c>
      <c r="M25">
        <f>SUMIF(DataQ!$D:$D,DataFY!$A25,DataQ!P:P)</f>
        <v>33721</v>
      </c>
    </row>
    <row r="26" spans="1:13">
      <c r="A26">
        <f t="shared" si="0"/>
        <v>1999</v>
      </c>
      <c r="B26">
        <f>SUMIF(DataQ!$D:$D,DataFY!$A26,DataQ!E:E)</f>
        <v>1742413</v>
      </c>
      <c r="C26">
        <f>AVERAGEIF(DataQ!$D:$D,DataFY!$A26,DataQ!F:F)</f>
        <v>27249.25</v>
      </c>
      <c r="D26">
        <f>SUMIF(DataQ!$D:$D,DataFY!$A26,DataQ!G:G)</f>
        <v>18370.684000000001</v>
      </c>
      <c r="E26">
        <f>AVERAGEIF(DataQ!$D:$D,DataFY!$A26,DataQ!H:H)</f>
        <v>5.875</v>
      </c>
      <c r="F26">
        <f>SUMIF(DataQ!$D:$D,DataFY!$A26,DataQ!I:I)</f>
        <v>1082916</v>
      </c>
      <c r="G26">
        <f>SUMIF(DataQ!$D:$D,DataFY!$A26,DataQ!J:J)</f>
        <v>36409</v>
      </c>
      <c r="H26">
        <f>SUMIF(DataQ!$D:$D,DataFY!$A26,DataQ!K:K)</f>
        <v>1742413</v>
      </c>
      <c r="I26">
        <f>AVERAGEIF(DataQ!$D:$D,DataFY!$A26,DataQ!L:L)</f>
        <v>27249.25</v>
      </c>
      <c r="J26">
        <f>SUMIF(DataQ!$D:$D,DataFY!$A26,DataQ!M:M)</f>
        <v>18370.684000000001</v>
      </c>
      <c r="K26">
        <f>AVERAGEIF(DataQ!$D:$D,DataFY!$A26,DataQ!N:N)</f>
        <v>5.875</v>
      </c>
      <c r="L26">
        <f>SUMIF(DataQ!$D:$D,DataFY!$A26,DataQ!O:O)</f>
        <v>1082916</v>
      </c>
      <c r="M26">
        <f>SUMIF(DataQ!$D:$D,DataFY!$A26,DataQ!P:P)</f>
        <v>36409</v>
      </c>
    </row>
    <row r="27" spans="1:13">
      <c r="A27">
        <f t="shared" si="0"/>
        <v>2000</v>
      </c>
      <c r="B27">
        <f>SUMIF(DataQ!$D:$D,DataFY!$A27,DataQ!E:E)</f>
        <v>1809640</v>
      </c>
      <c r="C27">
        <f>AVERAGEIF(DataQ!$D:$D,DataFY!$A27,DataQ!F:F)</f>
        <v>27548.75</v>
      </c>
      <c r="D27">
        <f>SUMIF(DataQ!$D:$D,DataFY!$A27,DataQ!G:G)</f>
        <v>19396.094000000001</v>
      </c>
      <c r="E27">
        <f>AVERAGEIF(DataQ!$D:$D,DataFY!$A27,DataQ!H:H)</f>
        <v>5.2750000000000004</v>
      </c>
      <c r="F27">
        <f>SUMIF(DataQ!$D:$D,DataFY!$A27,DataQ!I:I)</f>
        <v>1137571</v>
      </c>
      <c r="G27">
        <f>SUMIF(DataQ!$D:$D,DataFY!$A27,DataQ!J:J)</f>
        <v>40693</v>
      </c>
      <c r="H27">
        <f>SUMIF(DataQ!$D:$D,DataFY!$A27,DataQ!K:K)</f>
        <v>1809640</v>
      </c>
      <c r="I27">
        <f>AVERAGEIF(DataQ!$D:$D,DataFY!$A27,DataQ!L:L)</f>
        <v>27548.75</v>
      </c>
      <c r="J27">
        <f>SUMIF(DataQ!$D:$D,DataFY!$A27,DataQ!M:M)</f>
        <v>19396.094000000001</v>
      </c>
      <c r="K27">
        <f>AVERAGEIF(DataQ!$D:$D,DataFY!$A27,DataQ!N:N)</f>
        <v>5.2750000000000004</v>
      </c>
      <c r="L27">
        <f>SUMIF(DataQ!$D:$D,DataFY!$A27,DataQ!O:O)</f>
        <v>1137571</v>
      </c>
      <c r="M27">
        <f>SUMIF(DataQ!$D:$D,DataFY!$A27,DataQ!P:P)</f>
        <v>40693</v>
      </c>
    </row>
    <row r="28" spans="1:13">
      <c r="A28">
        <f t="shared" si="0"/>
        <v>2001</v>
      </c>
      <c r="B28">
        <f>SUMIF(DataQ!$D:$D,DataFY!$A28,DataQ!E:E)</f>
        <v>1849738</v>
      </c>
      <c r="C28">
        <f>AVERAGEIF(DataQ!$D:$D,DataFY!$A28,DataQ!F:F)</f>
        <v>27755.5</v>
      </c>
      <c r="D28">
        <f>SUMIF(DataQ!$D:$D,DataFY!$A28,DataQ!G:G)</f>
        <v>20179.832999999999</v>
      </c>
      <c r="E28">
        <f>AVERAGEIF(DataQ!$D:$D,DataFY!$A28,DataQ!H:H)</f>
        <v>5.125</v>
      </c>
      <c r="F28">
        <f>SUMIF(DataQ!$D:$D,DataFY!$A28,DataQ!I:I)</f>
        <v>1168575</v>
      </c>
      <c r="G28">
        <f>SUMIF(DataQ!$D:$D,DataFY!$A28,DataQ!J:J)</f>
        <v>40986</v>
      </c>
      <c r="H28">
        <f>SUMIF(DataQ!$D:$D,DataFY!$A28,DataQ!K:K)</f>
        <v>1849738</v>
      </c>
      <c r="I28">
        <f>AVERAGEIF(DataQ!$D:$D,DataFY!$A28,DataQ!L:L)</f>
        <v>27755.5</v>
      </c>
      <c r="J28">
        <f>SUMIF(DataQ!$D:$D,DataFY!$A28,DataQ!M:M)</f>
        <v>20179.832999999999</v>
      </c>
      <c r="K28">
        <f>AVERAGEIF(DataQ!$D:$D,DataFY!$A28,DataQ!N:N)</f>
        <v>5.125</v>
      </c>
      <c r="L28">
        <f>SUMIF(DataQ!$D:$D,DataFY!$A28,DataQ!O:O)</f>
        <v>1168575</v>
      </c>
      <c r="M28">
        <f>SUMIF(DataQ!$D:$D,DataFY!$A28,DataQ!P:P)</f>
        <v>40986</v>
      </c>
    </row>
    <row r="29" spans="1:13">
      <c r="A29">
        <f t="shared" si="0"/>
        <v>2002</v>
      </c>
      <c r="B29">
        <f>SUMIF(DataQ!$D:$D,DataFY!$A29,DataQ!E:E)</f>
        <v>1888468</v>
      </c>
      <c r="C29">
        <f>AVERAGEIF(DataQ!$D:$D,DataFY!$A29,DataQ!F:F)</f>
        <v>28019.25</v>
      </c>
      <c r="D29">
        <f>SUMIF(DataQ!$D:$D,DataFY!$A29,DataQ!G:G)</f>
        <v>20558.221999999998</v>
      </c>
      <c r="E29">
        <f>AVERAGEIF(DataQ!$D:$D,DataFY!$A29,DataQ!H:H)</f>
        <v>5.2</v>
      </c>
      <c r="F29">
        <f>SUMIF(DataQ!$D:$D,DataFY!$A29,DataQ!I:I)</f>
        <v>1196090</v>
      </c>
      <c r="G29">
        <f>SUMIF(DataQ!$D:$D,DataFY!$A29,DataQ!J:J)</f>
        <v>41594</v>
      </c>
      <c r="H29">
        <f>SUMIF(DataQ!$D:$D,DataFY!$A29,DataQ!K:K)</f>
        <v>1888468</v>
      </c>
      <c r="I29">
        <f>AVERAGEIF(DataQ!$D:$D,DataFY!$A29,DataQ!L:L)</f>
        <v>28019.25</v>
      </c>
      <c r="J29">
        <f>SUMIF(DataQ!$D:$D,DataFY!$A29,DataQ!M:M)</f>
        <v>20558.221999999998</v>
      </c>
      <c r="K29">
        <f>AVERAGEIF(DataQ!$D:$D,DataFY!$A29,DataQ!N:N)</f>
        <v>5.2</v>
      </c>
      <c r="L29">
        <f>SUMIF(DataQ!$D:$D,DataFY!$A29,DataQ!O:O)</f>
        <v>1196090</v>
      </c>
      <c r="M29">
        <f>SUMIF(DataQ!$D:$D,DataFY!$A29,DataQ!P:P)</f>
        <v>41594</v>
      </c>
    </row>
    <row r="30" spans="1:13">
      <c r="A30">
        <f t="shared" si="0"/>
        <v>2003</v>
      </c>
      <c r="B30">
        <f>SUMIF(DataQ!$D:$D,DataFY!$A30,DataQ!E:E)</f>
        <v>1949598</v>
      </c>
      <c r="C30">
        <f>AVERAGEIF(DataQ!$D:$D,DataFY!$A30,DataQ!F:F)</f>
        <v>28311.25</v>
      </c>
      <c r="D30">
        <f>SUMIF(DataQ!$D:$D,DataFY!$A30,DataQ!G:G)</f>
        <v>21636.163</v>
      </c>
      <c r="E30">
        <f>AVERAGEIF(DataQ!$D:$D,DataFY!$A30,DataQ!H:H)</f>
        <v>4.9000000000000004</v>
      </c>
      <c r="F30">
        <f>SUMIF(DataQ!$D:$D,DataFY!$A30,DataQ!I:I)</f>
        <v>1225658</v>
      </c>
      <c r="G30">
        <f>SUMIF(DataQ!$D:$D,DataFY!$A30,DataQ!J:J)</f>
        <v>49468</v>
      </c>
      <c r="H30">
        <f>SUMIF(DataQ!$D:$D,DataFY!$A30,DataQ!K:K)</f>
        <v>1949598</v>
      </c>
      <c r="I30">
        <f>AVERAGEIF(DataQ!$D:$D,DataFY!$A30,DataQ!L:L)</f>
        <v>28311.25</v>
      </c>
      <c r="J30">
        <f>SUMIF(DataQ!$D:$D,DataFY!$A30,DataQ!M:M)</f>
        <v>21636.163</v>
      </c>
      <c r="K30">
        <f>AVERAGEIF(DataQ!$D:$D,DataFY!$A30,DataQ!N:N)</f>
        <v>4.9000000000000004</v>
      </c>
      <c r="L30">
        <f>SUMIF(DataQ!$D:$D,DataFY!$A30,DataQ!O:O)</f>
        <v>1225658</v>
      </c>
      <c r="M30">
        <f>SUMIF(DataQ!$D:$D,DataFY!$A30,DataQ!P:P)</f>
        <v>49468</v>
      </c>
    </row>
    <row r="31" spans="1:13">
      <c r="A31">
        <f t="shared" si="0"/>
        <v>2004</v>
      </c>
      <c r="B31">
        <f>SUMIF(DataQ!$D:$D,DataFY!$A31,DataQ!E:E)</f>
        <v>1993188</v>
      </c>
      <c r="C31">
        <f>AVERAGEIF(DataQ!$D:$D,DataFY!$A31,DataQ!F:F)</f>
        <v>28612.5</v>
      </c>
      <c r="D31">
        <f>SUMIF(DataQ!$D:$D,DataFY!$A31,DataQ!G:G)</f>
        <v>22644.701000000001</v>
      </c>
      <c r="E31">
        <f>AVERAGEIF(DataQ!$D:$D,DataFY!$A31,DataQ!H:H)</f>
        <v>4.7249999999999996</v>
      </c>
      <c r="F31">
        <f>SUMIF(DataQ!$D:$D,DataFY!$A31,DataQ!I:I)</f>
        <v>1259164</v>
      </c>
      <c r="G31">
        <f>SUMIF(DataQ!$D:$D,DataFY!$A31,DataQ!J:J)</f>
        <v>53536</v>
      </c>
      <c r="H31">
        <f>SUMIF(DataQ!$D:$D,DataFY!$A31,DataQ!K:K)</f>
        <v>1993188</v>
      </c>
      <c r="I31">
        <f>AVERAGEIF(DataQ!$D:$D,DataFY!$A31,DataQ!L:L)</f>
        <v>28612.5</v>
      </c>
      <c r="J31">
        <f>SUMIF(DataQ!$D:$D,DataFY!$A31,DataQ!M:M)</f>
        <v>22644.701000000001</v>
      </c>
      <c r="K31">
        <f>AVERAGEIF(DataQ!$D:$D,DataFY!$A31,DataQ!N:N)</f>
        <v>4.7249999999999996</v>
      </c>
      <c r="L31">
        <f>SUMIF(DataQ!$D:$D,DataFY!$A31,DataQ!O:O)</f>
        <v>1259164</v>
      </c>
      <c r="M31">
        <f>SUMIF(DataQ!$D:$D,DataFY!$A31,DataQ!P:P)</f>
        <v>53536</v>
      </c>
    </row>
    <row r="32" spans="1:13">
      <c r="A32">
        <f t="shared" si="0"/>
        <v>2005</v>
      </c>
      <c r="B32">
        <f>SUMIF(DataQ!$D:$D,DataFY!$A32,DataQ!E:E)</f>
        <v>2052468</v>
      </c>
      <c r="C32">
        <f>AVERAGEIF(DataQ!$D:$D,DataFY!$A32,DataQ!F:F)</f>
        <v>28914.5</v>
      </c>
      <c r="D32">
        <f>SUMIF(DataQ!$D:$D,DataFY!$A32,DataQ!G:G)</f>
        <v>23354.348000000002</v>
      </c>
      <c r="E32">
        <f>AVERAGEIF(DataQ!$D:$D,DataFY!$A32,DataQ!H:H)</f>
        <v>4.95</v>
      </c>
      <c r="F32">
        <f>SUMIF(DataQ!$D:$D,DataFY!$A32,DataQ!I:I)</f>
        <v>1290822</v>
      </c>
      <c r="G32">
        <f>SUMIF(DataQ!$D:$D,DataFY!$A32,DataQ!J:J)</f>
        <v>58242</v>
      </c>
      <c r="H32">
        <f>SUMIF(DataQ!$D:$D,DataFY!$A32,DataQ!K:K)</f>
        <v>2052468</v>
      </c>
      <c r="I32">
        <f>AVERAGEIF(DataQ!$D:$D,DataFY!$A32,DataQ!L:L)</f>
        <v>28914.5</v>
      </c>
      <c r="J32">
        <f>SUMIF(DataQ!$D:$D,DataFY!$A32,DataQ!M:M)</f>
        <v>23354.348000000002</v>
      </c>
      <c r="K32">
        <f>AVERAGEIF(DataQ!$D:$D,DataFY!$A32,DataQ!N:N)</f>
        <v>4.95</v>
      </c>
      <c r="L32">
        <f>SUMIF(DataQ!$D:$D,DataFY!$A32,DataQ!O:O)</f>
        <v>1290822</v>
      </c>
      <c r="M32">
        <f>SUMIF(DataQ!$D:$D,DataFY!$A32,DataQ!P:P)</f>
        <v>58242</v>
      </c>
    </row>
    <row r="33" spans="1:13">
      <c r="A33">
        <f t="shared" si="0"/>
        <v>2006</v>
      </c>
      <c r="B33">
        <f>SUMIF(DataQ!$D:$D,DataFY!$A33,DataQ!E:E)</f>
        <v>2096065</v>
      </c>
      <c r="C33">
        <f>AVERAGEIF(DataQ!$D:$D,DataFY!$A33,DataQ!F:F)</f>
        <v>29174.25</v>
      </c>
      <c r="D33">
        <f>SUMIF(DataQ!$D:$D,DataFY!$A33,DataQ!G:G)</f>
        <v>24649.654000000002</v>
      </c>
      <c r="E33">
        <f>AVERAGEIF(DataQ!$D:$D,DataFY!$A33,DataQ!H:H)</f>
        <v>5.5</v>
      </c>
      <c r="F33">
        <f>SUMIF(DataQ!$D:$D,DataFY!$A33,DataQ!I:I)</f>
        <v>1319218</v>
      </c>
      <c r="G33">
        <f>SUMIF(DataQ!$D:$D,DataFY!$A33,DataQ!J:J)</f>
        <v>61468</v>
      </c>
      <c r="H33">
        <f>SUMIF(DataQ!$D:$D,DataFY!$A33,DataQ!K:K)</f>
        <v>2096065</v>
      </c>
      <c r="I33">
        <f>AVERAGEIF(DataQ!$D:$D,DataFY!$A33,DataQ!L:L)</f>
        <v>29174.25</v>
      </c>
      <c r="J33">
        <f>SUMIF(DataQ!$D:$D,DataFY!$A33,DataQ!M:M)</f>
        <v>24649.654000000002</v>
      </c>
      <c r="K33">
        <f>AVERAGEIF(DataQ!$D:$D,DataFY!$A33,DataQ!N:N)</f>
        <v>5.5</v>
      </c>
      <c r="L33">
        <f>SUMIF(DataQ!$D:$D,DataFY!$A33,DataQ!O:O)</f>
        <v>1319218</v>
      </c>
      <c r="M33">
        <f>SUMIF(DataQ!$D:$D,DataFY!$A33,DataQ!P:P)</f>
        <v>61468</v>
      </c>
    </row>
    <row r="34" spans="1:13">
      <c r="A34">
        <f t="shared" si="0"/>
        <v>2007</v>
      </c>
      <c r="B34">
        <f>SUMIF(DataQ!$D:$D,DataFY!$A34,DataQ!E:E)</f>
        <v>2153301</v>
      </c>
      <c r="C34">
        <f>AVERAGEIF(DataQ!$D:$D,DataFY!$A34,DataQ!F:F)</f>
        <v>29500.5</v>
      </c>
      <c r="D34">
        <f>SUMIF(DataQ!$D:$D,DataFY!$A34,DataQ!G:G)</f>
        <v>25863.291000000001</v>
      </c>
      <c r="E34">
        <f>AVERAGEIF(DataQ!$D:$D,DataFY!$A34,DataQ!H:H)</f>
        <v>5.2749999999999995</v>
      </c>
      <c r="F34">
        <f>SUMIF(DataQ!$D:$D,DataFY!$A34,DataQ!I:I)</f>
        <v>1352785</v>
      </c>
      <c r="G34">
        <f>SUMIF(DataQ!$D:$D,DataFY!$A34,DataQ!J:J)</f>
        <v>67950</v>
      </c>
      <c r="H34">
        <f>SUMIF(DataQ!$D:$D,DataFY!$A34,DataQ!K:K)</f>
        <v>2153301</v>
      </c>
      <c r="I34">
        <f>AVERAGEIF(DataQ!$D:$D,DataFY!$A34,DataQ!L:L)</f>
        <v>29500.5</v>
      </c>
      <c r="J34">
        <f>SUMIF(DataQ!$D:$D,DataFY!$A34,DataQ!M:M)</f>
        <v>25863.291000000001</v>
      </c>
      <c r="K34">
        <f>AVERAGEIF(DataQ!$D:$D,DataFY!$A34,DataQ!N:N)</f>
        <v>5.2749999999999995</v>
      </c>
      <c r="L34">
        <f>SUMIF(DataQ!$D:$D,DataFY!$A34,DataQ!O:O)</f>
        <v>1352785</v>
      </c>
      <c r="M34">
        <f>SUMIF(DataQ!$D:$D,DataFY!$A34,DataQ!P:P)</f>
        <v>67950</v>
      </c>
    </row>
    <row r="35" spans="1:13">
      <c r="A35">
        <f t="shared" si="0"/>
        <v>2008</v>
      </c>
      <c r="B35">
        <f>SUMIF(DataQ!$D:$D,DataFY!$A35,DataQ!E:E)</f>
        <v>2101413</v>
      </c>
      <c r="C35">
        <f>AVERAGEIF(DataQ!$D:$D,DataFY!$A35,DataQ!F:F)</f>
        <v>29549</v>
      </c>
      <c r="D35">
        <f>SUMIF(DataQ!$D:$D,DataFY!$A35,DataQ!G:G)</f>
        <v>25809.460999999999</v>
      </c>
      <c r="E35">
        <f>AVERAGEIF(DataQ!$D:$D,DataFY!$A35,DataQ!H:H)</f>
        <v>6.2000000000000011</v>
      </c>
      <c r="F35">
        <f>SUMIF(DataQ!$D:$D,DataFY!$A35,DataQ!I:I)</f>
        <v>1349200</v>
      </c>
      <c r="G35">
        <f>SUMIF(DataQ!$D:$D,DataFY!$A35,DataQ!J:J)</f>
        <v>68630</v>
      </c>
      <c r="H35">
        <f>SUMIF(DataQ!$D:$D,DataFY!$A35,DataQ!K:K)</f>
        <v>2101413</v>
      </c>
      <c r="I35">
        <f>AVERAGEIF(DataQ!$D:$D,DataFY!$A35,DataQ!L:L)</f>
        <v>29549</v>
      </c>
      <c r="J35">
        <f>SUMIF(DataQ!$D:$D,DataFY!$A35,DataQ!M:M)</f>
        <v>25809.460999999999</v>
      </c>
      <c r="K35">
        <f>AVERAGEIF(DataQ!$D:$D,DataFY!$A35,DataQ!N:N)</f>
        <v>6.2000000000000011</v>
      </c>
      <c r="L35">
        <f>SUMIF(DataQ!$D:$D,DataFY!$A35,DataQ!O:O)</f>
        <v>1349200</v>
      </c>
      <c r="M35">
        <f>SUMIF(DataQ!$D:$D,DataFY!$A35,DataQ!P:P)</f>
        <v>68630</v>
      </c>
    </row>
    <row r="36" spans="1:13">
      <c r="A36">
        <f t="shared" si="0"/>
        <v>2009</v>
      </c>
      <c r="B36">
        <f>SUMIF(DataQ!$D:$D,DataFY!$A36,DataQ!E:E)</f>
        <v>2040891</v>
      </c>
      <c r="C36">
        <f>AVERAGEIF(DataQ!$D:$D,DataFY!$A36,DataQ!F:F)</f>
        <v>29067.75</v>
      </c>
      <c r="D36">
        <f>SUMIF(DataQ!$D:$D,DataFY!$A36,DataQ!G:G)</f>
        <v>26301.629999999997</v>
      </c>
      <c r="E36">
        <f>AVERAGEIF(DataQ!$D:$D,DataFY!$A36,DataQ!H:H)</f>
        <v>7.85</v>
      </c>
      <c r="F36">
        <f>SUMIF(DataQ!$D:$D,DataFY!$A36,DataQ!I:I)</f>
        <v>1381576</v>
      </c>
      <c r="G36">
        <f>SUMIF(DataQ!$D:$D,DataFY!$A36,DataQ!J:J)</f>
        <v>70801</v>
      </c>
      <c r="H36">
        <f>SUMIF(DataQ!$D:$D,DataFY!$A36,DataQ!K:K)</f>
        <v>2040891</v>
      </c>
      <c r="I36">
        <f>AVERAGEIF(DataQ!$D:$D,DataFY!$A36,DataQ!L:L)</f>
        <v>29067.75</v>
      </c>
      <c r="J36">
        <f>SUMIF(DataQ!$D:$D,DataFY!$A36,DataQ!M:M)</f>
        <v>26301.629999999997</v>
      </c>
      <c r="K36">
        <f>AVERAGEIF(DataQ!$D:$D,DataFY!$A36,DataQ!N:N)</f>
        <v>7.85</v>
      </c>
      <c r="L36">
        <f>SUMIF(DataQ!$D:$D,DataFY!$A36,DataQ!O:O)</f>
        <v>1381576</v>
      </c>
      <c r="M36">
        <f>SUMIF(DataQ!$D:$D,DataFY!$A36,DataQ!P:P)</f>
        <v>70801</v>
      </c>
    </row>
    <row r="37" spans="1:13">
      <c r="A37">
        <f t="shared" si="0"/>
        <v>2010</v>
      </c>
      <c r="B37">
        <f>SUMIF(DataQ!$D:$D,DataFY!$A37,DataQ!E:E)</f>
        <v>2091771</v>
      </c>
      <c r="C37">
        <f>AVERAGEIF(DataQ!$D:$D,DataFY!$A37,DataQ!F:F)</f>
        <v>29335.5</v>
      </c>
      <c r="D37">
        <f>SUMIF(DataQ!$D:$D,DataFY!$A37,DataQ!G:G)</f>
        <v>26532.58</v>
      </c>
      <c r="E37">
        <f>AVERAGEIF(DataQ!$D:$D,DataFY!$A37,DataQ!H:H)</f>
        <v>7.8500000000000005</v>
      </c>
      <c r="F37">
        <f>SUMIF(DataQ!$D:$D,DataFY!$A37,DataQ!I:I)</f>
        <v>1371388</v>
      </c>
      <c r="G37">
        <f>SUMIF(DataQ!$D:$D,DataFY!$A37,DataQ!J:J)</f>
        <v>71207</v>
      </c>
      <c r="H37">
        <f>SUMIF(DataQ!$D:$D,DataFY!$A37,DataQ!K:K)</f>
        <v>2091771</v>
      </c>
      <c r="I37">
        <f>AVERAGEIF(DataQ!$D:$D,DataFY!$A37,DataQ!L:L)</f>
        <v>29335.5</v>
      </c>
      <c r="J37">
        <f>SUMIF(DataQ!$D:$D,DataFY!$A37,DataQ!M:M)</f>
        <v>26532.58</v>
      </c>
      <c r="K37">
        <f>AVERAGEIF(DataQ!$D:$D,DataFY!$A37,DataQ!N:N)</f>
        <v>7.8500000000000005</v>
      </c>
      <c r="L37">
        <f>SUMIF(DataQ!$D:$D,DataFY!$A37,DataQ!O:O)</f>
        <v>1371388</v>
      </c>
      <c r="M37">
        <f>SUMIF(DataQ!$D:$D,DataFY!$A37,DataQ!P:P)</f>
        <v>71207</v>
      </c>
    </row>
    <row r="38" spans="1:13">
      <c r="A38">
        <f t="shared" si="0"/>
        <v>2011</v>
      </c>
      <c r="B38">
        <f>SUMIF(DataQ!$D:$D,DataFY!$A38,DataQ!E:E)</f>
        <v>2112450</v>
      </c>
      <c r="C38">
        <f>AVERAGEIF(DataQ!$D:$D,DataFY!$A38,DataQ!F:F)</f>
        <v>29385.75</v>
      </c>
      <c r="D38">
        <f>SUMIF(DataQ!$D:$D,DataFY!$A38,DataQ!G:G)</f>
        <v>26948.411</v>
      </c>
      <c r="E38">
        <f>AVERAGEIF(DataQ!$D:$D,DataFY!$A38,DataQ!H:H)</f>
        <v>8.1999999999999993</v>
      </c>
      <c r="F38">
        <f>SUMIF(DataQ!$D:$D,DataFY!$A38,DataQ!I:I)</f>
        <v>1362253</v>
      </c>
      <c r="G38">
        <f>SUMIF(DataQ!$D:$D,DataFY!$A38,DataQ!J:J)</f>
        <v>73577</v>
      </c>
      <c r="H38">
        <f>SUMIF(DataQ!$D:$D,DataFY!$A38,DataQ!K:K)</f>
        <v>2112450</v>
      </c>
      <c r="I38">
        <f>AVERAGEIF(DataQ!$D:$D,DataFY!$A38,DataQ!L:L)</f>
        <v>29385.75</v>
      </c>
      <c r="J38">
        <f>SUMIF(DataQ!$D:$D,DataFY!$A38,DataQ!M:M)</f>
        <v>26948.411</v>
      </c>
      <c r="K38">
        <f>AVERAGEIF(DataQ!$D:$D,DataFY!$A38,DataQ!N:N)</f>
        <v>8.1999999999999993</v>
      </c>
      <c r="L38">
        <f>SUMIF(DataQ!$D:$D,DataFY!$A38,DataQ!O:O)</f>
        <v>1362253</v>
      </c>
      <c r="M38">
        <f>SUMIF(DataQ!$D:$D,DataFY!$A38,DataQ!P:P)</f>
        <v>73577</v>
      </c>
    </row>
    <row r="39" spans="1:13">
      <c r="A39">
        <f t="shared" si="0"/>
        <v>2012</v>
      </c>
      <c r="B39">
        <f>SUMIF(DataQ!$D:$D,DataFY!$A39,DataQ!E:E)</f>
        <v>2142545</v>
      </c>
      <c r="C39">
        <f>AVERAGEIF(DataQ!$D:$D,DataFY!$A39,DataQ!F:F)</f>
        <v>29815</v>
      </c>
      <c r="D39">
        <f>SUMIF(DataQ!$D:$D,DataFY!$A39,DataQ!G:G)</f>
        <v>27214.078999999998</v>
      </c>
      <c r="E39">
        <f>AVERAGEIF(DataQ!$D:$D,DataFY!$A39,DataQ!H:H)</f>
        <v>7.9</v>
      </c>
      <c r="F39">
        <f>SUMIF(DataQ!$D:$D,DataFY!$A39,DataQ!I:I)</f>
        <v>1383395</v>
      </c>
      <c r="G39">
        <f>SUMIF(DataQ!$D:$D,DataFY!$A39,DataQ!J:J)</f>
        <v>75703</v>
      </c>
      <c r="H39">
        <f>SUMIF(DataQ!$D:$D,DataFY!$A39,DataQ!K:K)</f>
        <v>2142545</v>
      </c>
      <c r="I39">
        <f>AVERAGEIF(DataQ!$D:$D,DataFY!$A39,DataQ!L:L)</f>
        <v>29815</v>
      </c>
      <c r="J39">
        <f>SUMIF(DataQ!$D:$D,DataFY!$A39,DataQ!M:M)</f>
        <v>27214.078999999998</v>
      </c>
      <c r="K39">
        <f>AVERAGEIF(DataQ!$D:$D,DataFY!$A39,DataQ!N:N)</f>
        <v>7.9</v>
      </c>
      <c r="L39">
        <f>SUMIF(DataQ!$D:$D,DataFY!$A39,DataQ!O:O)</f>
        <v>1383395</v>
      </c>
      <c r="M39">
        <f>SUMIF(DataQ!$D:$D,DataFY!$A39,DataQ!P:P)</f>
        <v>75703</v>
      </c>
    </row>
    <row r="40" spans="1:13">
      <c r="A40">
        <f t="shared" si="0"/>
        <v>2013</v>
      </c>
      <c r="B40">
        <f>SUMIF(DataQ!$D:$D,DataFY!$A40,DataQ!E:E)</f>
        <v>2191542</v>
      </c>
      <c r="C40">
        <f>AVERAGEIF(DataQ!$D:$D,DataFY!$A40,DataQ!F:F)</f>
        <v>30255.25</v>
      </c>
      <c r="D40">
        <f>SUMIF(DataQ!$D:$D,DataFY!$A40,DataQ!G:G)</f>
        <v>28514.204000000002</v>
      </c>
      <c r="E40">
        <f>AVERAGEIF(DataQ!$D:$D,DataFY!$A40,DataQ!H:H)</f>
        <v>7.35</v>
      </c>
      <c r="F40">
        <f>SUMIF(DataQ!$D:$D,DataFY!$A40,DataQ!I:I)</f>
        <v>1427321</v>
      </c>
      <c r="G40">
        <f>SUMIF(DataQ!$D:$D,DataFY!$A40,DataQ!J:J)</f>
        <v>77846</v>
      </c>
      <c r="H40">
        <f>SUMIF(DataQ!$D:$D,DataFY!$A40,DataQ!K:K)</f>
        <v>2191542</v>
      </c>
      <c r="I40">
        <f>AVERAGEIF(DataQ!$D:$D,DataFY!$A40,DataQ!L:L)</f>
        <v>30255.25</v>
      </c>
      <c r="J40">
        <f>SUMIF(DataQ!$D:$D,DataFY!$A40,DataQ!M:M)</f>
        <v>28514.204000000002</v>
      </c>
      <c r="K40">
        <f>AVERAGEIF(DataQ!$D:$D,DataFY!$A40,DataQ!N:N)</f>
        <v>7.35</v>
      </c>
      <c r="L40">
        <f>SUMIF(DataQ!$D:$D,DataFY!$A40,DataQ!O:O)</f>
        <v>1427321</v>
      </c>
      <c r="M40">
        <f>SUMIF(DataQ!$D:$D,DataFY!$A40,DataQ!P:P)</f>
        <v>77846</v>
      </c>
    </row>
    <row r="41" spans="1:13">
      <c r="A41">
        <f t="shared" si="0"/>
        <v>2014</v>
      </c>
      <c r="B41">
        <f>SUMIF(DataQ!$D:$D,DataFY!$A41,DataQ!E:E)</f>
        <v>2259794</v>
      </c>
      <c r="C41">
        <f>AVERAGEIF(DataQ!$D:$D,DataFY!$A41,DataQ!F:F)</f>
        <v>30947.25</v>
      </c>
      <c r="D41">
        <f>SUMIF(DataQ!$D:$D,DataFY!$A41,DataQ!G:G)</f>
        <v>28638.134999999998</v>
      </c>
      <c r="E41">
        <f>AVERAGEIF(DataQ!$D:$D,DataFY!$A41,DataQ!H:H)</f>
        <v>5.9</v>
      </c>
      <c r="F41">
        <f>SUMIF(DataQ!$D:$D,DataFY!$A41,DataQ!I:I)</f>
        <v>1456269</v>
      </c>
      <c r="G41">
        <f>SUMIF(DataQ!$D:$D,DataFY!$A41,DataQ!J:J)</f>
        <v>79819</v>
      </c>
      <c r="H41">
        <f>SUMIF(DataQ!$D:$D,DataFY!$A41,DataQ!K:K)</f>
        <v>2259794</v>
      </c>
      <c r="I41">
        <f>AVERAGEIF(DataQ!$D:$D,DataFY!$A41,DataQ!L:L)</f>
        <v>30947.25</v>
      </c>
      <c r="J41">
        <f>SUMIF(DataQ!$D:$D,DataFY!$A41,DataQ!M:M)</f>
        <v>28638.134999999998</v>
      </c>
      <c r="K41">
        <f>AVERAGEIF(DataQ!$D:$D,DataFY!$A41,DataQ!N:N)</f>
        <v>5.9</v>
      </c>
      <c r="L41">
        <f>SUMIF(DataQ!$D:$D,DataFY!$A41,DataQ!O:O)</f>
        <v>1456269</v>
      </c>
      <c r="M41">
        <f>SUMIF(DataQ!$D:$D,DataFY!$A41,DataQ!P:P)</f>
        <v>79819</v>
      </c>
    </row>
    <row r="42" spans="1:13">
      <c r="A42">
        <f t="shared" si="0"/>
        <v>2015</v>
      </c>
      <c r="B42">
        <f>SUMIF(DataQ!$D:$D,DataFY!$A42,DataQ!E:E)</f>
        <v>2305687</v>
      </c>
      <c r="C42">
        <f>AVERAGEIF(DataQ!$D:$D,DataFY!$A42,DataQ!F:F)</f>
        <v>31418.25</v>
      </c>
      <c r="D42">
        <f>SUMIF(DataQ!$D:$D,DataFY!$A42,DataQ!G:G)</f>
        <v>29193.722000000002</v>
      </c>
      <c r="E42">
        <f>AVERAGEIF(DataQ!$D:$D,DataFY!$A42,DataQ!H:H)</f>
        <v>5.3000000000000007</v>
      </c>
      <c r="F42">
        <f>SUMIF(DataQ!$D:$D,DataFY!$A42,DataQ!I:I)</f>
        <v>1545161</v>
      </c>
      <c r="G42">
        <f>SUMIF(DataQ!$D:$D,DataFY!$A42,DataQ!J:J)</f>
        <v>83363</v>
      </c>
      <c r="H42">
        <f>SUMIF(DataQ!$D:$D,DataFY!$A42,DataQ!K:K)</f>
        <v>2305687</v>
      </c>
      <c r="I42">
        <f>AVERAGEIF(DataQ!$D:$D,DataFY!$A42,DataQ!L:L)</f>
        <v>31418.25</v>
      </c>
      <c r="J42">
        <f>SUMIF(DataQ!$D:$D,DataFY!$A42,DataQ!M:M)</f>
        <v>29193.722000000002</v>
      </c>
      <c r="K42">
        <f>AVERAGEIF(DataQ!$D:$D,DataFY!$A42,DataQ!N:N)</f>
        <v>5.3000000000000007</v>
      </c>
      <c r="L42">
        <f>SUMIF(DataQ!$D:$D,DataFY!$A42,DataQ!O:O)</f>
        <v>1545161</v>
      </c>
      <c r="M42">
        <f>SUMIF(DataQ!$D:$D,DataFY!$A42,DataQ!P:P)</f>
        <v>83363</v>
      </c>
    </row>
    <row r="43" spans="1:13">
      <c r="A43">
        <f t="shared" si="0"/>
        <v>2016</v>
      </c>
      <c r="B43">
        <f>SUMIF(DataQ!$D:$D,DataFY!$A43,DataQ!E:E)</f>
        <v>2353138</v>
      </c>
      <c r="C43">
        <f>AVERAGEIF(DataQ!$D:$D,DataFY!$A43,DataQ!F:F)</f>
        <v>31869</v>
      </c>
      <c r="D43">
        <f>SUMIF(DataQ!$D:$D,DataFY!$A43,DataQ!G:G)</f>
        <v>29878.550999999999</v>
      </c>
      <c r="E43">
        <f>AVERAGEIF(DataQ!$D:$D,DataFY!$A43,DataQ!H:H)</f>
        <v>4.8249999999999993</v>
      </c>
      <c r="F43">
        <f>SUMIF(DataQ!$D:$D,DataFY!$A43,DataQ!I:I)</f>
        <v>1536561</v>
      </c>
      <c r="G43">
        <f>SUMIF(DataQ!$D:$D,DataFY!$A43,DataQ!J:J)</f>
        <v>91700</v>
      </c>
      <c r="H43">
        <f>SUMIF(DataQ!$D:$D,DataFY!$A43,DataQ!K:K)</f>
        <v>2353138</v>
      </c>
      <c r="I43">
        <f>AVERAGEIF(DataQ!$D:$D,DataFY!$A43,DataQ!L:L)</f>
        <v>31869</v>
      </c>
      <c r="J43">
        <f>SUMIF(DataQ!$D:$D,DataFY!$A43,DataQ!M:M)</f>
        <v>29878.550999999999</v>
      </c>
      <c r="K43">
        <f>AVERAGEIF(DataQ!$D:$D,DataFY!$A43,DataQ!N:N)</f>
        <v>4.8249999999999993</v>
      </c>
      <c r="L43">
        <f>SUMIF(DataQ!$D:$D,DataFY!$A43,DataQ!O:O)</f>
        <v>1536561</v>
      </c>
      <c r="M43">
        <f>SUMIF(DataQ!$D:$D,DataFY!$A43,DataQ!P:P)</f>
        <v>91700</v>
      </c>
    </row>
    <row r="44" spans="1:13">
      <c r="A44">
        <f t="shared" si="0"/>
        <v>2017</v>
      </c>
      <c r="B44">
        <f>SUMIF(DataQ!$D:$D,DataFY!$A44,DataQ!E:E)</f>
        <v>2413318</v>
      </c>
      <c r="C44">
        <f>AVERAGEIF(DataQ!$D:$D,DataFY!$A44,DataQ!F:F)</f>
        <v>32183.5</v>
      </c>
      <c r="D44">
        <f>SUMIF(DataQ!$D:$D,DataFY!$A44,DataQ!G:G)</f>
        <v>30797.199000000001</v>
      </c>
      <c r="E44">
        <f>AVERAGEIF(DataQ!$D:$D,DataFY!$A44,DataQ!H:H)</f>
        <v>4.375</v>
      </c>
      <c r="F44">
        <f>SUMIF(DataQ!$D:$D,DataFY!$A44,DataQ!I:I)</f>
        <v>1568534</v>
      </c>
      <c r="G44">
        <f>SUMIF(DataQ!$D:$D,DataFY!$A44,DataQ!J:J)</f>
        <v>95532</v>
      </c>
      <c r="H44">
        <f>SUMIF(DataQ!$D:$D,DataFY!$A44,DataQ!K:K)</f>
        <v>2413318</v>
      </c>
      <c r="I44">
        <f>AVERAGEIF(DataQ!$D:$D,DataFY!$A44,DataQ!L:L)</f>
        <v>32183.5</v>
      </c>
      <c r="J44">
        <f>SUMIF(DataQ!$D:$D,DataFY!$A44,DataQ!M:M)</f>
        <v>30797.199000000001</v>
      </c>
      <c r="K44">
        <f>AVERAGEIF(DataQ!$D:$D,DataFY!$A44,DataQ!N:N)</f>
        <v>4.375</v>
      </c>
      <c r="L44">
        <f>SUMIF(DataQ!$D:$D,DataFY!$A44,DataQ!O:O)</f>
        <v>1568534</v>
      </c>
      <c r="M44">
        <f>SUMIF(DataQ!$D:$D,DataFY!$A44,DataQ!P:P)</f>
        <v>95532</v>
      </c>
    </row>
    <row r="45" spans="1:13">
      <c r="A45">
        <f t="shared" si="0"/>
        <v>2018</v>
      </c>
      <c r="B45">
        <f>SUMIF(DataQ!$D:$D,DataFY!$A45,DataQ!E:E)</f>
        <v>2442845</v>
      </c>
      <c r="C45">
        <f>AVERAGEIF(DataQ!$D:$D,DataFY!$A45,DataQ!F:F)</f>
        <v>32547.5</v>
      </c>
      <c r="D45">
        <f>SUMIF(DataQ!$D:$D,DataFY!$A45,DataQ!G:G)</f>
        <v>31584.307999999997</v>
      </c>
      <c r="E45">
        <f>AVERAGEIF(DataQ!$D:$D,DataFY!$A45,DataQ!H:H)</f>
        <v>4.0750000000000002</v>
      </c>
      <c r="F45">
        <f>SUMIF(DataQ!$D:$D,DataFY!$A45,DataQ!I:I)</f>
        <v>1589344</v>
      </c>
      <c r="G45">
        <f>SUMIF(DataQ!$D:$D,DataFY!$A45,DataQ!J:J)</f>
        <v>99574</v>
      </c>
      <c r="H45">
        <f>SUMIF(DataQ!$D:$D,DataFY!$A45,DataQ!K:K)</f>
        <v>2442845</v>
      </c>
      <c r="I45">
        <f>AVERAGEIF(DataQ!$D:$D,DataFY!$A45,DataQ!L:L)</f>
        <v>32547.5</v>
      </c>
      <c r="J45">
        <f>SUMIF(DataQ!$D:$D,DataFY!$A45,DataQ!M:M)</f>
        <v>31584.307999999997</v>
      </c>
      <c r="K45">
        <f>AVERAGEIF(DataQ!$D:$D,DataFY!$A45,DataQ!N:N)</f>
        <v>4.0750000000000002</v>
      </c>
      <c r="L45">
        <f>SUMIF(DataQ!$D:$D,DataFY!$A45,DataQ!O:O)</f>
        <v>1589344</v>
      </c>
      <c r="M45">
        <f>SUMIF(DataQ!$D:$D,DataFY!$A45,DataQ!P:P)</f>
        <v>99574</v>
      </c>
    </row>
    <row r="46" spans="1:13">
      <c r="A46">
        <f t="shared" si="0"/>
        <v>2019</v>
      </c>
      <c r="B46">
        <f>SUMIF(DataQ!$D:$D,DataFY!$A46,DataQ!E:E)</f>
        <v>2464028</v>
      </c>
      <c r="C46">
        <f>AVERAGEIF(DataQ!$D:$D,DataFY!$A46,DataQ!F:F)</f>
        <v>32893</v>
      </c>
      <c r="D46">
        <f>SUMIF(DataQ!$D:$D,DataFY!$A46,DataQ!G:G)</f>
        <v>32329.707999999999</v>
      </c>
      <c r="E46">
        <f>AVERAGEIF(DataQ!$D:$D,DataFY!$A46,DataQ!H:H)</f>
        <v>3.9750000000000001</v>
      </c>
      <c r="F46">
        <f>SUMIF(DataQ!$D:$D,DataFY!$A46,DataQ!I:I)</f>
        <v>1621193</v>
      </c>
      <c r="G46">
        <f>SUMIF(DataQ!$D:$D,DataFY!$A46,DataQ!J:J)</f>
        <v>108583</v>
      </c>
      <c r="H46">
        <f>SUMIF(DataQ!$D:$D,DataFY!$A46,DataQ!K:K)</f>
        <v>2464028</v>
      </c>
      <c r="I46">
        <f>AVERAGEIF(DataQ!$D:$D,DataFY!$A46,DataQ!L:L)</f>
        <v>32893</v>
      </c>
      <c r="J46">
        <f>SUMIF(DataQ!$D:$D,DataFY!$A46,DataQ!M:M)</f>
        <v>32329.707999999999</v>
      </c>
      <c r="K46">
        <f>AVERAGEIF(DataQ!$D:$D,DataFY!$A46,DataQ!N:N)</f>
        <v>3.9750000000000001</v>
      </c>
      <c r="L46">
        <f>SUMIF(DataQ!$D:$D,DataFY!$A46,DataQ!O:O)</f>
        <v>1621193</v>
      </c>
      <c r="M46">
        <f>SUMIF(DataQ!$D:$D,DataFY!$A46,DataQ!P:P)</f>
        <v>108583</v>
      </c>
    </row>
    <row r="47" spans="1:13">
      <c r="A47">
        <f t="shared" si="0"/>
        <v>2020</v>
      </c>
      <c r="B47">
        <f>SUMIF(DataQ!$D:$D,DataFY!$A47,DataQ!E:E)</f>
        <v>2179166</v>
      </c>
      <c r="C47">
        <f>AVERAGEIF(DataQ!$D:$D,DataFY!$A47,DataQ!F:F)</f>
        <v>32336</v>
      </c>
      <c r="D47">
        <f>SUMIF(DataQ!$D:$D,DataFY!$A47,DataQ!G:G)</f>
        <v>32366.104999999996</v>
      </c>
      <c r="E47">
        <f>AVERAGEIF(DataQ!$D:$D,DataFY!$A47,DataQ!H:H)</f>
        <v>4.9000000000000004</v>
      </c>
      <c r="F47">
        <f>SUMIF(DataQ!$D:$D,DataFY!$A47,DataQ!I:I)</f>
        <v>1620630</v>
      </c>
      <c r="G47">
        <f>SUMIF(DataQ!$D:$D,DataFY!$A47,DataQ!J:J)</f>
        <v>112682</v>
      </c>
      <c r="H47">
        <f>SUMIF(DataQ!$D:$D,DataFY!$A47,DataQ!K:K)</f>
        <v>2179166</v>
      </c>
      <c r="I47">
        <f>AVERAGEIF(DataQ!$D:$D,DataFY!$A47,DataQ!L:L)</f>
        <v>32336</v>
      </c>
      <c r="J47">
        <f>SUMIF(DataQ!$D:$D,DataFY!$A47,DataQ!M:M)</f>
        <v>32366.104999999996</v>
      </c>
      <c r="K47">
        <f>AVERAGEIF(DataQ!$D:$D,DataFY!$A47,DataQ!N:N)</f>
        <v>4.9000000000000004</v>
      </c>
      <c r="L47">
        <f>SUMIF(DataQ!$D:$D,DataFY!$A47,DataQ!O:O)</f>
        <v>1620630</v>
      </c>
      <c r="M47">
        <f>SUMIF(DataQ!$D:$D,DataFY!$A47,DataQ!P:P)</f>
        <v>112682</v>
      </c>
    </row>
    <row r="48" spans="1:13">
      <c r="A48">
        <f t="shared" si="0"/>
        <v>2021</v>
      </c>
      <c r="B48">
        <f>SUMIF(DataQ!$D:$D,DataFY!$A48,DataQ!E:E)</f>
        <v>2474553</v>
      </c>
      <c r="C48">
        <f>AVERAGEIF(DataQ!$D:$D,DataFY!$A48,DataQ!F:F)</f>
        <v>32631.25</v>
      </c>
      <c r="D48">
        <f>SUMIF(DataQ!$D:$D,DataFY!$A48,DataQ!G:G)</f>
        <v>34332.21</v>
      </c>
      <c r="E48">
        <f>AVERAGEIF(DataQ!$D:$D,DataFY!$A48,DataQ!H:H)</f>
        <v>4.3249999999999993</v>
      </c>
      <c r="F48">
        <f>SUMIF(DataQ!$D:$D,DataFY!$A48,DataQ!I:I)</f>
        <v>1628550</v>
      </c>
      <c r="G48">
        <f>SUMIF(DataQ!$D:$D,DataFY!$A48,DataQ!J:J)</f>
        <v>124701</v>
      </c>
      <c r="H48">
        <f>SUMIF(DataQ!$D:$D,DataFY!$A48,DataQ!K:K)</f>
        <v>2474553</v>
      </c>
      <c r="I48">
        <f>AVERAGEIF(DataQ!$D:$D,DataFY!$A48,DataQ!L:L)</f>
        <v>32631.25</v>
      </c>
      <c r="J48">
        <f>SUMIF(DataQ!$D:$D,DataFY!$A48,DataQ!M:M)</f>
        <v>34332.21</v>
      </c>
      <c r="K48">
        <f>AVERAGEIF(DataQ!$D:$D,DataFY!$A48,DataQ!N:N)</f>
        <v>4.3249999999999993</v>
      </c>
      <c r="L48">
        <f>SUMIF(DataQ!$D:$D,DataFY!$A48,DataQ!O:O)</f>
        <v>1628550</v>
      </c>
      <c r="M48">
        <f>SUMIF(DataQ!$D:$D,DataFY!$A48,DataQ!P:P)</f>
        <v>124701</v>
      </c>
    </row>
    <row r="49" spans="1:13">
      <c r="A49">
        <f t="shared" si="0"/>
        <v>2022</v>
      </c>
      <c r="B49">
        <f>SUMIF(DataQ!$D:$D,DataFY!$A49,DataQ!E:E)</f>
        <v>2531891</v>
      </c>
      <c r="C49">
        <f>AVERAGEIF(DataQ!$D:$D,DataFY!$A49,DataQ!F:F)</f>
        <v>33035.5</v>
      </c>
      <c r="D49">
        <f>SUMIF(DataQ!$D:$D,DataFY!$A49,DataQ!G:G)</f>
        <v>36478.53</v>
      </c>
      <c r="E49">
        <f>AVERAGEIF(DataQ!$D:$D,DataFY!$A49,DataQ!H:H)</f>
        <v>3.9</v>
      </c>
      <c r="F49">
        <f>SUMIF(DataQ!$D:$D,DataFY!$A49,DataQ!I:I)</f>
        <v>1614842</v>
      </c>
      <c r="G49">
        <f>SUMIF(DataQ!$D:$D,DataFY!$A49,DataQ!J:J)</f>
        <v>140418</v>
      </c>
      <c r="H49">
        <f>SUMIF(DataQ!$D:$D,DataFY!$A49,DataQ!K:K)</f>
        <v>2531891</v>
      </c>
      <c r="I49">
        <f>AVERAGEIF(DataQ!$D:$D,DataFY!$A49,DataQ!L:L)</f>
        <v>33035.5</v>
      </c>
      <c r="J49">
        <f>SUMIF(DataQ!$D:$D,DataFY!$A49,DataQ!M:M)</f>
        <v>36478.53</v>
      </c>
      <c r="K49">
        <f>AVERAGEIF(DataQ!$D:$D,DataFY!$A49,DataQ!N:N)</f>
        <v>3.9</v>
      </c>
      <c r="L49">
        <f>SUMIF(DataQ!$D:$D,DataFY!$A49,DataQ!O:O)</f>
        <v>1614842</v>
      </c>
      <c r="M49">
        <f>SUMIF(DataQ!$D:$D,DataFY!$A49,DataQ!P:P)</f>
        <v>140418</v>
      </c>
    </row>
    <row r="50" spans="1:13">
      <c r="A50">
        <f t="shared" si="0"/>
        <v>2023</v>
      </c>
      <c r="B50">
        <f>SUMIF(DataQ!$D:$D,DataFY!$A50,DataQ!E:E)</f>
        <v>2536627</v>
      </c>
      <c r="C50">
        <f>AVERAGEIF(DataQ!$D:$D,DataFY!$A50,DataQ!F:F)</f>
        <v>33109</v>
      </c>
      <c r="D50">
        <f>SUMIF(DataQ!$D:$D,DataFY!$A50,DataQ!G:G)</f>
        <v>39105.332999999999</v>
      </c>
      <c r="E50">
        <f>AVERAGEIF(DataQ!$D:$D,DataFY!$A50,DataQ!H:H)</f>
        <v>4.1000000000000005</v>
      </c>
      <c r="F50">
        <f>SUMIF(DataQ!$D:$D,DataFY!$A50,DataQ!I:I)</f>
        <v>1661177</v>
      </c>
      <c r="G50">
        <f>SUMIF(DataQ!$D:$D,DataFY!$A50,DataQ!J:J)</f>
        <v>147331</v>
      </c>
      <c r="H50">
        <f>SUMIF(DataQ!$D:$D,DataFY!$A50,DataQ!K:K)</f>
        <v>2536627</v>
      </c>
      <c r="I50">
        <f>AVERAGEIF(DataQ!$D:$D,DataFY!$A50,DataQ!L:L)</f>
        <v>33109</v>
      </c>
      <c r="J50">
        <f>SUMIF(DataQ!$D:$D,DataFY!$A50,DataQ!M:M)</f>
        <v>39105.332999999999</v>
      </c>
      <c r="K50">
        <f>AVERAGEIF(DataQ!$D:$D,DataFY!$A50,DataQ!N:N)</f>
        <v>4.1000000000000005</v>
      </c>
      <c r="L50">
        <f>SUMIF(DataQ!$D:$D,DataFY!$A50,DataQ!O:O)</f>
        <v>1661177</v>
      </c>
      <c r="M50">
        <f>SUMIF(DataQ!$D:$D,DataFY!$A50,DataQ!P:P)</f>
        <v>147331</v>
      </c>
    </row>
    <row r="51" spans="1:13">
      <c r="A51">
        <f t="shared" si="0"/>
        <v>2024</v>
      </c>
      <c r="B51">
        <f>SUMIF(DataQ!$D:$D,DataFY!$A51,DataQ!E:E)</f>
        <v>2569842.6999999997</v>
      </c>
      <c r="C51">
        <f>AVERAGEIF(DataQ!$D:$D,DataFY!$A51,DataQ!F:F)</f>
        <v>33204.665000000001</v>
      </c>
      <c r="D51">
        <f>SUMIF(DataQ!$D:$D,DataFY!$A51,DataQ!G:G)</f>
        <v>40737.589999999997</v>
      </c>
      <c r="E51">
        <f>AVERAGEIF(DataQ!$D:$D,DataFY!$A51,DataQ!H:H)</f>
        <v>4.3079695000000005</v>
      </c>
      <c r="F51">
        <f>SUMIF(DataQ!$D:$D,DataFY!$A51,DataQ!I:I)</f>
        <v>1710000.1</v>
      </c>
      <c r="G51">
        <f>SUMIF(DataQ!$D:$D,DataFY!$A51,DataQ!J:J)</f>
        <v>152663.25</v>
      </c>
      <c r="H51">
        <f>SUMIF(DataQ!$D:$D,DataFY!$A51,DataQ!K:K)</f>
        <v>2569842.6999999997</v>
      </c>
      <c r="I51">
        <f>AVERAGEIF(DataQ!$D:$D,DataFY!$A51,DataQ!L:L)</f>
        <v>33204.665000000001</v>
      </c>
      <c r="J51">
        <f>SUMIF(DataQ!$D:$D,DataFY!$A51,DataQ!M:M)</f>
        <v>40737.589999999997</v>
      </c>
      <c r="K51">
        <f>AVERAGEIF(DataQ!$D:$D,DataFY!$A51,DataQ!N:N)</f>
        <v>4.3079695000000005</v>
      </c>
      <c r="L51">
        <f>SUMIF(DataQ!$D:$D,DataFY!$A51,DataQ!O:O)</f>
        <v>1710000</v>
      </c>
      <c r="M51">
        <f>SUMIF(DataQ!$D:$D,DataFY!$A51,DataQ!P:P)</f>
        <v>152663.25</v>
      </c>
    </row>
    <row r="52" spans="1:13">
      <c r="A52">
        <f t="shared" si="0"/>
        <v>2025</v>
      </c>
      <c r="B52">
        <f>SUMIF(DataQ!$D:$D,DataFY!$A52,DataQ!E:E)</f>
        <v>2609357.2999999998</v>
      </c>
      <c r="C52">
        <f>AVERAGEIF(DataQ!$D:$D,DataFY!$A52,DataQ!F:F)</f>
        <v>33543.832500000004</v>
      </c>
      <c r="D52">
        <f>SUMIF(DataQ!$D:$D,DataFY!$A52,DataQ!G:G)</f>
        <v>42023.64</v>
      </c>
      <c r="E52">
        <f>AVERAGEIF(DataQ!$D:$D,DataFY!$A52,DataQ!H:H)</f>
        <v>4.2942485000000001</v>
      </c>
      <c r="F52">
        <f>SUMIF(DataQ!$D:$D,DataFY!$A52,DataQ!I:I)</f>
        <v>1735100.4</v>
      </c>
      <c r="G52">
        <f>SUMIF(DataQ!$D:$D,DataFY!$A52,DataQ!J:J)</f>
        <v>159368.97999999998</v>
      </c>
      <c r="H52">
        <f>SUMIF(DataQ!$D:$D,DataFY!$A52,DataQ!K:K)</f>
        <v>2604117.0999999996</v>
      </c>
      <c r="I52">
        <f>AVERAGEIF(DataQ!$D:$D,DataFY!$A52,DataQ!L:L)</f>
        <v>33503.89</v>
      </c>
      <c r="J52">
        <f>SUMIF(DataQ!$D:$D,DataFY!$A52,DataQ!M:M)</f>
        <v>41976.23</v>
      </c>
      <c r="K52">
        <f>AVERAGEIF(DataQ!$D:$D,DataFY!$A52,DataQ!N:N)</f>
        <v>4.4081042499999992</v>
      </c>
      <c r="L52">
        <f>SUMIF(DataQ!$D:$D,DataFY!$A52,DataQ!O:O)</f>
        <v>1729821</v>
      </c>
      <c r="M52">
        <f>SUMIF(DataQ!$D:$D,DataFY!$A52,DataQ!P:P)</f>
        <v>182720.43</v>
      </c>
    </row>
    <row r="53" spans="1:13">
      <c r="A53">
        <f t="shared" si="0"/>
        <v>2026</v>
      </c>
      <c r="B53">
        <f>SUMIF(DataQ!$D:$D,DataFY!$A53,DataQ!E:E)</f>
        <v>2652530.7000000002</v>
      </c>
      <c r="C53">
        <f>AVERAGEIF(DataQ!$D:$D,DataFY!$A53,DataQ!F:F)</f>
        <v>33976.92</v>
      </c>
      <c r="D53">
        <f>SUMIF(DataQ!$D:$D,DataFY!$A53,DataQ!G:G)</f>
        <v>43136.66</v>
      </c>
      <c r="E53">
        <f>AVERAGEIF(DataQ!$D:$D,DataFY!$A53,DataQ!H:H)</f>
        <v>4.0721984999999998</v>
      </c>
      <c r="F53">
        <f>SUMIF(DataQ!$D:$D,DataFY!$A53,DataQ!I:I)</f>
        <v>1759249.1</v>
      </c>
      <c r="G53">
        <f>SUMIF(DataQ!$D:$D,DataFY!$A53,DataQ!J:J)</f>
        <v>166351.45000000001</v>
      </c>
      <c r="H53">
        <f>SUMIF(DataQ!$D:$D,DataFY!$A53,DataQ!K:K)</f>
        <v>2645822.1</v>
      </c>
      <c r="I53">
        <f>AVERAGEIF(DataQ!$D:$D,DataFY!$A53,DataQ!L:L)</f>
        <v>33924.322500000002</v>
      </c>
      <c r="J53">
        <f>SUMIF(DataQ!$D:$D,DataFY!$A53,DataQ!M:M)</f>
        <v>43052.33</v>
      </c>
      <c r="K53">
        <f>AVERAGEIF(DataQ!$D:$D,DataFY!$A53,DataQ!N:N)</f>
        <v>4.2207034999999999</v>
      </c>
      <c r="L53">
        <f>SUMIF(DataQ!$D:$D,DataFY!$A53,DataQ!O:O)</f>
        <v>1751845.8</v>
      </c>
      <c r="M53">
        <f>SUMIF(DataQ!$D:$D,DataFY!$A53,DataQ!P:P)</f>
        <v>189385.05</v>
      </c>
    </row>
    <row r="54" spans="1:13">
      <c r="A54">
        <f t="shared" si="0"/>
        <v>2027</v>
      </c>
      <c r="B54">
        <f>SUMIF(DataQ!$D:$D,DataFY!$A54,DataQ!E:E)</f>
        <v>2696404.8</v>
      </c>
      <c r="C54">
        <f>AVERAGEIF(DataQ!$D:$D,DataFY!$A54,DataQ!F:F)</f>
        <v>34374.987500000003</v>
      </c>
      <c r="D54">
        <f>SUMIF(DataQ!$D:$D,DataFY!$A54,DataQ!G:G)</f>
        <v>44251.62</v>
      </c>
      <c r="E54">
        <f>AVERAGEIF(DataQ!$D:$D,DataFY!$A54,DataQ!H:H)</f>
        <v>3.9020272499999997</v>
      </c>
      <c r="F54">
        <f>SUMIF(DataQ!$D:$D,DataFY!$A54,DataQ!I:I)</f>
        <v>1782872.3</v>
      </c>
      <c r="G54">
        <f>SUMIF(DataQ!$D:$D,DataFY!$A54,DataQ!J:J)</f>
        <v>173561.32</v>
      </c>
      <c r="H54">
        <f>SUMIF(DataQ!$D:$D,DataFY!$A54,DataQ!K:K)</f>
        <v>2690375.9000000004</v>
      </c>
      <c r="I54">
        <f>AVERAGEIF(DataQ!$D:$D,DataFY!$A54,DataQ!L:L)</f>
        <v>34332.154999999999</v>
      </c>
      <c r="J54">
        <f>SUMIF(DataQ!$D:$D,DataFY!$A54,DataQ!M:M)</f>
        <v>44176.909999999996</v>
      </c>
      <c r="K54">
        <f>AVERAGEIF(DataQ!$D:$D,DataFY!$A54,DataQ!N:N)</f>
        <v>4.02179675</v>
      </c>
      <c r="L54">
        <f>SUMIF(DataQ!$D:$D,DataFY!$A54,DataQ!O:O)</f>
        <v>1775138.6</v>
      </c>
      <c r="M54">
        <f>SUMIF(DataQ!$D:$D,DataFY!$A54,DataQ!P:P)</f>
        <v>197158.96000000002</v>
      </c>
    </row>
    <row r="55" spans="1:13">
      <c r="A55">
        <f t="shared" si="0"/>
        <v>2028</v>
      </c>
      <c r="B55">
        <f>SUMIF(DataQ!$D:$D,DataFY!$A55,DataQ!E:E)</f>
        <v>2740586.2</v>
      </c>
      <c r="C55">
        <f>AVERAGEIF(DataQ!$D:$D,DataFY!$A55,DataQ!F:F)</f>
        <v>34762.494999999995</v>
      </c>
      <c r="D55">
        <f>SUMIF(DataQ!$D:$D,DataFY!$A55,DataQ!G:G)</f>
        <v>45403.56</v>
      </c>
      <c r="E55">
        <f>AVERAGEIF(DataQ!$D:$D,DataFY!$A55,DataQ!H:H)</f>
        <v>3.7735847500000004</v>
      </c>
      <c r="F55">
        <f>SUMIF(DataQ!$D:$D,DataFY!$A55,DataQ!I:I)</f>
        <v>1813559.8</v>
      </c>
      <c r="G55">
        <f>SUMIF(DataQ!$D:$D,DataFY!$A55,DataQ!J:J)</f>
        <v>180390.25</v>
      </c>
      <c r="H55">
        <f>SUMIF(DataQ!$D:$D,DataFY!$A55,DataQ!K:K)</f>
        <v>2735306.4</v>
      </c>
      <c r="I55">
        <f>AVERAGEIF(DataQ!$D:$D,DataFY!$A55,DataQ!L:L)</f>
        <v>34728.782500000001</v>
      </c>
      <c r="J55">
        <f>SUMIF(DataQ!$D:$D,DataFY!$A55,DataQ!M:M)</f>
        <v>45343.5</v>
      </c>
      <c r="K55">
        <f>AVERAGEIF(DataQ!$D:$D,DataFY!$A55,DataQ!N:N)</f>
        <v>3.8669205</v>
      </c>
      <c r="L55">
        <f>SUMIF(DataQ!$D:$D,DataFY!$A55,DataQ!O:O)</f>
        <v>1805937.4000000001</v>
      </c>
      <c r="M55">
        <f>SUMIF(DataQ!$D:$D,DataFY!$A55,DataQ!P:P)</f>
        <v>204855.91</v>
      </c>
    </row>
    <row r="56" spans="1:13">
      <c r="A56">
        <f t="shared" si="0"/>
        <v>2029</v>
      </c>
      <c r="B56">
        <f>SUMIF(DataQ!$D:$D,DataFY!$A56,DataQ!E:E)</f>
        <v>2784700.9</v>
      </c>
      <c r="C56">
        <f>AVERAGEIF(DataQ!$D:$D,DataFY!$A56,DataQ!F:F)</f>
        <v>35099.902500000004</v>
      </c>
      <c r="D56">
        <f>SUMIF(DataQ!$D:$D,DataFY!$A56,DataQ!G:G)</f>
        <v>46612.539999999994</v>
      </c>
      <c r="E56">
        <f>AVERAGEIF(DataQ!$D:$D,DataFY!$A56,DataQ!H:H)</f>
        <v>3.7498699999999996</v>
      </c>
      <c r="F56">
        <f>SUMIF(DataQ!$D:$D,DataFY!$A56,DataQ!I:I)</f>
        <v>1843345</v>
      </c>
      <c r="G56">
        <f>SUMIF(DataQ!$D:$D,DataFY!$A56,DataQ!J:J)</f>
        <v>187169.91</v>
      </c>
      <c r="H56">
        <f>SUMIF(DataQ!$D:$D,DataFY!$A56,DataQ!K:K)</f>
        <v>2780474.8</v>
      </c>
      <c r="I56">
        <f>AVERAGEIF(DataQ!$D:$D,DataFY!$A56,DataQ!L:L)</f>
        <v>35075.5075</v>
      </c>
      <c r="J56">
        <f>SUMIF(DataQ!$D:$D,DataFY!$A56,DataQ!M:M)</f>
        <v>46567.44</v>
      </c>
      <c r="K56">
        <f>AVERAGEIF(DataQ!$D:$D,DataFY!$A56,DataQ!N:N)</f>
        <v>3.8167845000000002</v>
      </c>
      <c r="L56">
        <f>SUMIF(DataQ!$D:$D,DataFY!$A56,DataQ!O:O)</f>
        <v>1836086.1</v>
      </c>
      <c r="M56">
        <f>SUMIF(DataQ!$D:$D,DataFY!$A56,DataQ!P:P)</f>
        <v>212530.68000000002</v>
      </c>
    </row>
    <row r="57" spans="1:13">
      <c r="A57">
        <f t="shared" si="0"/>
        <v>2030</v>
      </c>
      <c r="B57">
        <f>SUMIF(DataQ!$D:$D,DataFY!$A57,DataQ!E:E)</f>
        <v>2117903.4</v>
      </c>
      <c r="C57">
        <f>AVERAGEIF(DataQ!$D:$D,DataFY!$A57,DataQ!F:F)</f>
        <v>35373.506666666661</v>
      </c>
      <c r="D57">
        <f>SUMIF(DataQ!$D:$D,DataFY!$A57,DataQ!G:G)</f>
        <v>35787.61</v>
      </c>
      <c r="E57">
        <f>AVERAGEIF(DataQ!$D:$D,DataFY!$A57,DataQ!H:H)</f>
        <v>3.7498780000000003</v>
      </c>
      <c r="F57">
        <f>SUMIF(DataQ!$D:$D,DataFY!$A57,DataQ!I:I)</f>
        <v>1401504.5</v>
      </c>
      <c r="G57">
        <f>SUMIF(DataQ!$D:$D,DataFY!$A57,DataQ!J:J)</f>
        <v>144824.53000000003</v>
      </c>
      <c r="H57">
        <f>SUMIF(DataQ!$D:$D,DataFY!$A57,DataQ!K:K)</f>
        <v>2115511.6</v>
      </c>
      <c r="I57">
        <f>AVERAGEIF(DataQ!$D:$D,DataFY!$A57,DataQ!L:L)</f>
        <v>35357.519999999997</v>
      </c>
      <c r="J57">
        <f>SUMIF(DataQ!$D:$D,DataFY!$A57,DataQ!M:M)</f>
        <v>35764.82</v>
      </c>
      <c r="K57">
        <f>AVERAGEIF(DataQ!$D:$D,DataFY!$A57,DataQ!N:N)</f>
        <v>3.7933796666666666</v>
      </c>
      <c r="L57">
        <f>SUMIF(DataQ!$D:$D,DataFY!$A57,DataQ!O:O)</f>
        <v>1396420.7</v>
      </c>
      <c r="M57">
        <f>SUMIF(DataQ!$D:$D,DataFY!$A57,DataQ!P:P)</f>
        <v>164278.62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C504-9661-4FEC-B922-5155877D0C96}">
  <dimension ref="A1:M57"/>
  <sheetViews>
    <sheetView workbookViewId="0">
      <pane xSplit="1" ySplit="6" topLeftCell="B36" activePane="bottomRight" state="frozen"/>
      <selection pane="topRight" activeCell="D1" sqref="D1"/>
      <selection pane="bottomLeft" activeCell="A7" sqref="A7"/>
      <selection pane="bottomRight" activeCell="B57" sqref="B57"/>
    </sheetView>
  </sheetViews>
  <sheetFormatPr defaultRowHeight="15"/>
  <sheetData>
    <row r="1" spans="1:13">
      <c r="B1" t="str">
        <f>DataQ!E1</f>
        <v>Oct24_2.db</v>
      </c>
      <c r="C1" t="str">
        <f>DataQ!F1</f>
        <v>Oct24_2.db</v>
      </c>
      <c r="D1" t="str">
        <f>DataQ!G1</f>
        <v>Oct24_2.db</v>
      </c>
      <c r="E1" t="str">
        <f>DataQ!H1</f>
        <v>Oct24_2.db</v>
      </c>
      <c r="F1" t="str">
        <f>DataQ!I1</f>
        <v>Oct24_2.db</v>
      </c>
      <c r="G1" t="str">
        <f>DataQ!J1</f>
        <v>Oct24_2.db</v>
      </c>
      <c r="H1" t="str">
        <f>DataQ!K1</f>
        <v>NICs_scen.db</v>
      </c>
      <c r="I1" t="str">
        <f>DataQ!L1</f>
        <v>NICs_scen.db</v>
      </c>
      <c r="J1" t="str">
        <f>DataQ!M1</f>
        <v>NICs_scen.db</v>
      </c>
      <c r="K1" t="str">
        <f>DataQ!N1</f>
        <v>NICs_scen.db</v>
      </c>
      <c r="L1" t="str">
        <f>DataQ!O1</f>
        <v>NICs_scen.db</v>
      </c>
      <c r="M1" t="str">
        <f>DataQ!P1</f>
        <v>NICs_scen.db</v>
      </c>
    </row>
    <row r="2" spans="1:13">
      <c r="B2" t="str">
        <f>DataQ!E2</f>
        <v>UK</v>
      </c>
      <c r="C2" t="str">
        <f>DataQ!F2</f>
        <v>UK</v>
      </c>
      <c r="D2" t="str">
        <f>DataQ!G2</f>
        <v>UK</v>
      </c>
      <c r="E2" t="str">
        <f>DataQ!H2</f>
        <v>UK</v>
      </c>
      <c r="F2" t="str">
        <f>DataQ!I2</f>
        <v>UK</v>
      </c>
      <c r="G2" t="str">
        <f>DataQ!J2</f>
        <v>UK</v>
      </c>
      <c r="H2" t="str">
        <f>DataQ!K2</f>
        <v>UK</v>
      </c>
      <c r="I2" t="str">
        <f>DataQ!L2</f>
        <v>UK</v>
      </c>
      <c r="J2" t="str">
        <f>DataQ!M2</f>
        <v>UK</v>
      </c>
      <c r="K2" t="str">
        <f>DataQ!N2</f>
        <v>UK</v>
      </c>
      <c r="L2" t="str">
        <f>DataQ!O2</f>
        <v>UK</v>
      </c>
      <c r="M2" t="str">
        <f>DataQ!P2</f>
        <v>UK</v>
      </c>
    </row>
    <row r="3" spans="1:13">
      <c r="B3" t="str">
        <f>DataQ!E3</f>
        <v>GDP</v>
      </c>
      <c r="C3" t="str">
        <f>DataQ!F3</f>
        <v>ETILO</v>
      </c>
      <c r="D3" t="str">
        <f>DataQ!G3</f>
        <v>ER</v>
      </c>
      <c r="E3" t="str">
        <f>DataQ!H3</f>
        <v>UPILO</v>
      </c>
      <c r="F3" t="str">
        <f>DataQ!I3</f>
        <v>PEDY</v>
      </c>
      <c r="G3" t="str">
        <f>DataQ!J3</f>
        <v>TP</v>
      </c>
      <c r="H3" t="str">
        <f>DataQ!K3</f>
        <v>GDP</v>
      </c>
      <c r="I3" t="str">
        <f>DataQ!L3</f>
        <v>ETILO</v>
      </c>
      <c r="J3" t="str">
        <f>DataQ!M3</f>
        <v>ER</v>
      </c>
      <c r="K3" t="str">
        <f>DataQ!N3</f>
        <v>UPILO</v>
      </c>
      <c r="L3" t="str">
        <f>DataQ!O3</f>
        <v>PEDY</v>
      </c>
      <c r="M3" t="str">
        <f>DataQ!P3</f>
        <v>TP</v>
      </c>
    </row>
    <row r="4" spans="1:13">
      <c r="B4" t="str">
        <f>DataQ!E4</f>
        <v>GBR</v>
      </c>
      <c r="C4" t="str">
        <f>DataQ!F4</f>
        <v>GBR</v>
      </c>
      <c r="D4" t="str">
        <f>DataQ!G4</f>
        <v>GBR</v>
      </c>
      <c r="E4" t="str">
        <f>DataQ!H4</f>
        <v>GBR</v>
      </c>
      <c r="F4" t="str">
        <f>DataQ!I4</f>
        <v>GBR</v>
      </c>
      <c r="G4" t="str">
        <f>DataQ!J4</f>
        <v>GBR</v>
      </c>
      <c r="H4" t="str">
        <f>DataQ!K4</f>
        <v>GBR</v>
      </c>
      <c r="I4" t="str">
        <f>DataQ!L4</f>
        <v>GBR</v>
      </c>
      <c r="J4" t="str">
        <f>DataQ!M4</f>
        <v>GBR</v>
      </c>
      <c r="K4" t="str">
        <f>DataQ!N4</f>
        <v>GBR</v>
      </c>
      <c r="L4" t="str">
        <f>DataQ!O4</f>
        <v>GBR</v>
      </c>
      <c r="M4" t="str">
        <f>DataQ!P4</f>
        <v>GBR</v>
      </c>
    </row>
    <row r="5" spans="1:13">
      <c r="B5" t="str">
        <f>DataQ!E5</f>
        <v>L</v>
      </c>
      <c r="C5" t="str">
        <f>DataQ!F5</f>
        <v>L</v>
      </c>
      <c r="D5" t="str">
        <f>DataQ!G5</f>
        <v>L</v>
      </c>
      <c r="E5" t="str">
        <f>DataQ!H5</f>
        <v>L</v>
      </c>
      <c r="F5" t="str">
        <f>DataQ!I5</f>
        <v>L</v>
      </c>
      <c r="G5" t="str">
        <f>DataQ!J5</f>
        <v>L</v>
      </c>
      <c r="H5" t="str">
        <f>DataQ!K5</f>
        <v>L</v>
      </c>
      <c r="I5" t="str">
        <f>DataQ!L5</f>
        <v>L</v>
      </c>
      <c r="J5" t="str">
        <f>DataQ!M5</f>
        <v>L</v>
      </c>
      <c r="K5" t="str">
        <f>DataQ!N5</f>
        <v>L</v>
      </c>
      <c r="L5" t="str">
        <f>DataQ!O5</f>
        <v>L</v>
      </c>
      <c r="M5" t="str">
        <f>DataQ!P5</f>
        <v>L</v>
      </c>
    </row>
    <row r="6" spans="1:13">
      <c r="B6" t="str">
        <f>DataQ!E6</f>
        <v>202402</v>
      </c>
      <c r="C6" t="str">
        <f>DataQ!F6</f>
        <v>202402</v>
      </c>
      <c r="D6" t="str">
        <f>DataQ!G6</f>
        <v>202402</v>
      </c>
      <c r="E6" t="str">
        <f>DataQ!H6</f>
        <v>202402</v>
      </c>
      <c r="F6" t="str">
        <f>DataQ!I6</f>
        <v>202402</v>
      </c>
      <c r="G6" t="str">
        <f>DataQ!J6</f>
        <v>202402</v>
      </c>
      <c r="H6" t="str">
        <f>DataQ!K6</f>
        <v>202402</v>
      </c>
      <c r="I6" t="str">
        <f>DataQ!L6</f>
        <v>202402</v>
      </c>
      <c r="J6" t="str">
        <f>DataQ!M6</f>
        <v>202402</v>
      </c>
      <c r="K6" t="str">
        <f>DataQ!N6</f>
        <v>202402</v>
      </c>
      <c r="L6" t="str">
        <f>DataQ!O6</f>
        <v>202402</v>
      </c>
      <c r="M6" t="str">
        <f>DataQ!P6</f>
        <v>202402</v>
      </c>
    </row>
    <row r="7" spans="1:13">
      <c r="A7">
        <v>1980</v>
      </c>
      <c r="B7">
        <f>SUMIF(DataQ!$C:$C,DataCY!$A7,DataQ!E:E)</f>
        <v>1059660</v>
      </c>
      <c r="C7">
        <f>AVERAGEIF(DataQ!$C:$C,DataCY!$A7,DataQ!F:F)</f>
        <v>25086.25</v>
      </c>
      <c r="D7">
        <f>SUMIF(DataQ!$C:$C,DataCY!$A7,DataQ!G:G)</f>
        <v>5374.2780000000002</v>
      </c>
      <c r="E7">
        <f>AVERAGEIF(DataQ!$C:$C,DataCY!$A7,DataQ!H:H)</f>
        <v>6.8</v>
      </c>
      <c r="F7">
        <f>SUMIF(DataQ!$C:$C,DataCY!$A7,DataQ!I:I)</f>
        <v>635239</v>
      </c>
      <c r="G7">
        <f>SUMIF(DataQ!$C:$C,DataCY!$A7,DataQ!J:J)</f>
        <v>9230.621000000001</v>
      </c>
      <c r="H7">
        <f>SUMIF(DataQ!$C:$C,DataCY!$A7,DataQ!K:K)</f>
        <v>1059660</v>
      </c>
      <c r="I7">
        <f>AVERAGEIF(DataQ!$C:$C,DataCY!$A7,DataQ!L:L)</f>
        <v>25086.25</v>
      </c>
      <c r="J7">
        <f>SUMIF(DataQ!$C:$C,DataCY!$A7,DataQ!M:M)</f>
        <v>5374.2780000000002</v>
      </c>
      <c r="K7">
        <f>AVERAGEIF(DataQ!$C:$C,DataCY!$A7,DataQ!N:N)</f>
        <v>6.8</v>
      </c>
      <c r="L7">
        <f>SUMIF(DataQ!$C:$C,DataCY!$A7,DataQ!O:O)</f>
        <v>635239</v>
      </c>
      <c r="M7">
        <f>SUMIF(DataQ!$C:$C,DataCY!$A7,DataQ!P:P)</f>
        <v>9230.621000000001</v>
      </c>
    </row>
    <row r="8" spans="1:13">
      <c r="A8">
        <f>+A7+1</f>
        <v>1981</v>
      </c>
      <c r="B8">
        <f>SUMIF(DataQ!$C:$C,DataCY!$A8,DataQ!E:E)</f>
        <v>1052374</v>
      </c>
      <c r="C8">
        <f>AVERAGEIF(DataQ!$C:$C,DataCY!$A8,DataQ!F:F)</f>
        <v>24430</v>
      </c>
      <c r="D8">
        <f>SUMIF(DataQ!$C:$C,DataCY!$A8,DataQ!G:G)</f>
        <v>6006.884</v>
      </c>
      <c r="E8">
        <f>AVERAGEIF(DataQ!$C:$C,DataCY!$A8,DataQ!H:H)</f>
        <v>9.6499999999999986</v>
      </c>
      <c r="F8">
        <f>SUMIF(DataQ!$C:$C,DataCY!$A8,DataQ!I:I)</f>
        <v>634794</v>
      </c>
      <c r="G8">
        <f>SUMIF(DataQ!$C:$C,DataCY!$A8,DataQ!J:J)</f>
        <v>9909.7079999999987</v>
      </c>
      <c r="H8">
        <f>SUMIF(DataQ!$C:$C,DataCY!$A8,DataQ!K:K)</f>
        <v>1052374</v>
      </c>
      <c r="I8">
        <f>AVERAGEIF(DataQ!$C:$C,DataCY!$A8,DataQ!L:L)</f>
        <v>24430</v>
      </c>
      <c r="J8">
        <f>SUMIF(DataQ!$C:$C,DataCY!$A8,DataQ!M:M)</f>
        <v>6006.884</v>
      </c>
      <c r="K8">
        <f>AVERAGEIF(DataQ!$C:$C,DataCY!$A8,DataQ!N:N)</f>
        <v>9.6499999999999986</v>
      </c>
      <c r="L8">
        <f>SUMIF(DataQ!$C:$C,DataCY!$A8,DataQ!O:O)</f>
        <v>634794</v>
      </c>
      <c r="M8">
        <f>SUMIF(DataQ!$C:$C,DataCY!$A8,DataQ!P:P)</f>
        <v>9909.7079999999987</v>
      </c>
    </row>
    <row r="9" spans="1:13">
      <c r="A9">
        <f t="shared" ref="A9:A57" si="0">+A8+1</f>
        <v>1982</v>
      </c>
      <c r="B9">
        <f>SUMIF(DataQ!$C:$C,DataCY!$A9,DataQ!E:E)</f>
        <v>1073055</v>
      </c>
      <c r="C9">
        <f>AVERAGEIF(DataQ!$C:$C,DataCY!$A9,DataQ!F:F)</f>
        <v>23950.75</v>
      </c>
      <c r="D9">
        <f>SUMIF(DataQ!$C:$C,DataCY!$A9,DataQ!G:G)</f>
        <v>6533.5869999999995</v>
      </c>
      <c r="E9">
        <f>AVERAGEIF(DataQ!$C:$C,DataCY!$A9,DataQ!H:H)</f>
        <v>10.725</v>
      </c>
      <c r="F9">
        <f>SUMIF(DataQ!$C:$C,DataCY!$A9,DataQ!I:I)</f>
        <v>637451</v>
      </c>
      <c r="G9">
        <f>SUMIF(DataQ!$C:$C,DataCY!$A9,DataQ!J:J)</f>
        <v>10505.595000000001</v>
      </c>
      <c r="H9">
        <f>SUMIF(DataQ!$C:$C,DataCY!$A9,DataQ!K:K)</f>
        <v>1073055</v>
      </c>
      <c r="I9">
        <f>AVERAGEIF(DataQ!$C:$C,DataCY!$A9,DataQ!L:L)</f>
        <v>23950.75</v>
      </c>
      <c r="J9">
        <f>SUMIF(DataQ!$C:$C,DataCY!$A9,DataQ!M:M)</f>
        <v>6533.5869999999995</v>
      </c>
      <c r="K9">
        <f>AVERAGEIF(DataQ!$C:$C,DataCY!$A9,DataQ!N:N)</f>
        <v>10.725</v>
      </c>
      <c r="L9">
        <f>SUMIF(DataQ!$C:$C,DataCY!$A9,DataQ!O:O)</f>
        <v>637451</v>
      </c>
      <c r="M9">
        <f>SUMIF(DataQ!$C:$C,DataCY!$A9,DataQ!P:P)</f>
        <v>10505.595000000001</v>
      </c>
    </row>
    <row r="10" spans="1:13">
      <c r="A10">
        <f t="shared" si="0"/>
        <v>1983</v>
      </c>
      <c r="B10">
        <f>SUMIF(DataQ!$C:$C,DataCY!$A10,DataQ!E:E)</f>
        <v>1117759</v>
      </c>
      <c r="C10">
        <f>AVERAGEIF(DataQ!$C:$C,DataCY!$A10,DataQ!F:F)</f>
        <v>23775.25</v>
      </c>
      <c r="D10">
        <f>SUMIF(DataQ!$C:$C,DataCY!$A10,DataQ!G:G)</f>
        <v>7075.8940000000002</v>
      </c>
      <c r="E10">
        <f>AVERAGEIF(DataQ!$C:$C,DataCY!$A10,DataQ!H:H)</f>
        <v>11.475000000000001</v>
      </c>
      <c r="F10">
        <f>SUMIF(DataQ!$C:$C,DataCY!$A10,DataQ!I:I)</f>
        <v>651689</v>
      </c>
      <c r="G10">
        <f>SUMIF(DataQ!$C:$C,DataCY!$A10,DataQ!J:J)</f>
        <v>11845.776</v>
      </c>
      <c r="H10">
        <f>SUMIF(DataQ!$C:$C,DataCY!$A10,DataQ!K:K)</f>
        <v>1117759</v>
      </c>
      <c r="I10">
        <f>AVERAGEIF(DataQ!$C:$C,DataCY!$A10,DataQ!L:L)</f>
        <v>23775.25</v>
      </c>
      <c r="J10">
        <f>SUMIF(DataQ!$C:$C,DataCY!$A10,DataQ!M:M)</f>
        <v>7075.8940000000002</v>
      </c>
      <c r="K10">
        <f>AVERAGEIF(DataQ!$C:$C,DataCY!$A10,DataQ!N:N)</f>
        <v>11.475000000000001</v>
      </c>
      <c r="L10">
        <f>SUMIF(DataQ!$C:$C,DataCY!$A10,DataQ!O:O)</f>
        <v>651689</v>
      </c>
      <c r="M10">
        <f>SUMIF(DataQ!$C:$C,DataCY!$A10,DataQ!P:P)</f>
        <v>11845.776</v>
      </c>
    </row>
    <row r="11" spans="1:13">
      <c r="A11">
        <f t="shared" si="0"/>
        <v>1984</v>
      </c>
      <c r="B11">
        <f>SUMIF(DataQ!$C:$C,DataCY!$A11,DataQ!E:E)</f>
        <v>1142579</v>
      </c>
      <c r="C11">
        <f>AVERAGEIF(DataQ!$C:$C,DataCY!$A11,DataQ!F:F)</f>
        <v>24285</v>
      </c>
      <c r="D11">
        <f>SUMIF(DataQ!$C:$C,DataCY!$A11,DataQ!G:G)</f>
        <v>7505.77</v>
      </c>
      <c r="E11">
        <f>AVERAGEIF(DataQ!$C:$C,DataCY!$A11,DataQ!H:H)</f>
        <v>11.750000000000002</v>
      </c>
      <c r="F11">
        <f>SUMIF(DataQ!$C:$C,DataCY!$A11,DataQ!I:I)</f>
        <v>675496</v>
      </c>
      <c r="G11">
        <f>SUMIF(DataQ!$C:$C,DataCY!$A11,DataQ!J:J)</f>
        <v>12669.9</v>
      </c>
      <c r="H11">
        <f>SUMIF(DataQ!$C:$C,DataCY!$A11,DataQ!K:K)</f>
        <v>1142579</v>
      </c>
      <c r="I11">
        <f>AVERAGEIF(DataQ!$C:$C,DataCY!$A11,DataQ!L:L)</f>
        <v>24285</v>
      </c>
      <c r="J11">
        <f>SUMIF(DataQ!$C:$C,DataCY!$A11,DataQ!M:M)</f>
        <v>7505.77</v>
      </c>
      <c r="K11">
        <f>AVERAGEIF(DataQ!$C:$C,DataCY!$A11,DataQ!N:N)</f>
        <v>11.750000000000002</v>
      </c>
      <c r="L11">
        <f>SUMIF(DataQ!$C:$C,DataCY!$A11,DataQ!O:O)</f>
        <v>675496</v>
      </c>
      <c r="M11">
        <f>SUMIF(DataQ!$C:$C,DataCY!$A11,DataQ!P:P)</f>
        <v>12669.9</v>
      </c>
    </row>
    <row r="12" spans="1:13">
      <c r="A12">
        <f t="shared" si="0"/>
        <v>1985</v>
      </c>
      <c r="B12">
        <f>SUMIF(DataQ!$C:$C,DataCY!$A12,DataQ!E:E)</f>
        <v>1189278</v>
      </c>
      <c r="C12">
        <f>AVERAGEIF(DataQ!$C:$C,DataCY!$A12,DataQ!F:F)</f>
        <v>24592.5</v>
      </c>
      <c r="D12">
        <f>SUMIF(DataQ!$C:$C,DataCY!$A12,DataQ!G:G)</f>
        <v>8148.7640000000001</v>
      </c>
      <c r="E12">
        <f>AVERAGEIF(DataQ!$C:$C,DataCY!$A12,DataQ!H:H)</f>
        <v>11.375</v>
      </c>
      <c r="F12">
        <f>SUMIF(DataQ!$C:$C,DataCY!$A12,DataQ!I:I)</f>
        <v>703942</v>
      </c>
      <c r="G12">
        <f>SUMIF(DataQ!$C:$C,DataCY!$A12,DataQ!J:J)</f>
        <v>13767.231000000002</v>
      </c>
      <c r="H12">
        <f>SUMIF(DataQ!$C:$C,DataCY!$A12,DataQ!K:K)</f>
        <v>1189278</v>
      </c>
      <c r="I12">
        <f>AVERAGEIF(DataQ!$C:$C,DataCY!$A12,DataQ!L:L)</f>
        <v>24592.5</v>
      </c>
      <c r="J12">
        <f>SUMIF(DataQ!$C:$C,DataCY!$A12,DataQ!M:M)</f>
        <v>8148.7640000000001</v>
      </c>
      <c r="K12">
        <f>AVERAGEIF(DataQ!$C:$C,DataCY!$A12,DataQ!N:N)</f>
        <v>11.375</v>
      </c>
      <c r="L12">
        <f>SUMIF(DataQ!$C:$C,DataCY!$A12,DataQ!O:O)</f>
        <v>703942</v>
      </c>
      <c r="M12">
        <f>SUMIF(DataQ!$C:$C,DataCY!$A12,DataQ!P:P)</f>
        <v>13767.231000000002</v>
      </c>
    </row>
    <row r="13" spans="1:13">
      <c r="A13">
        <f t="shared" si="0"/>
        <v>1986</v>
      </c>
      <c r="B13">
        <f>SUMIF(DataQ!$C:$C,DataCY!$A13,DataQ!E:E)</f>
        <v>1226237</v>
      </c>
      <c r="C13">
        <f>AVERAGEIF(DataQ!$C:$C,DataCY!$A13,DataQ!F:F)</f>
        <v>24746.25</v>
      </c>
      <c r="D13">
        <f>SUMIF(DataQ!$C:$C,DataCY!$A13,DataQ!G:G)</f>
        <v>8800.0839999999989</v>
      </c>
      <c r="E13">
        <f>AVERAGEIF(DataQ!$C:$C,DataCY!$A13,DataQ!H:H)</f>
        <v>11.324999999999999</v>
      </c>
      <c r="F13">
        <f>SUMIF(DataQ!$C:$C,DataCY!$A13,DataQ!I:I)</f>
        <v>732897</v>
      </c>
      <c r="G13">
        <f>SUMIF(DataQ!$C:$C,DataCY!$A13,DataQ!J:J)</f>
        <v>15223.218000000001</v>
      </c>
      <c r="H13">
        <f>SUMIF(DataQ!$C:$C,DataCY!$A13,DataQ!K:K)</f>
        <v>1226237</v>
      </c>
      <c r="I13">
        <f>AVERAGEIF(DataQ!$C:$C,DataCY!$A13,DataQ!L:L)</f>
        <v>24746.25</v>
      </c>
      <c r="J13">
        <f>SUMIF(DataQ!$C:$C,DataCY!$A13,DataQ!M:M)</f>
        <v>8800.0839999999989</v>
      </c>
      <c r="K13">
        <f>AVERAGEIF(DataQ!$C:$C,DataCY!$A13,DataQ!N:N)</f>
        <v>11.324999999999999</v>
      </c>
      <c r="L13">
        <f>SUMIF(DataQ!$C:$C,DataCY!$A13,DataQ!O:O)</f>
        <v>732897</v>
      </c>
      <c r="M13">
        <f>SUMIF(DataQ!$C:$C,DataCY!$A13,DataQ!P:P)</f>
        <v>15223.218000000001</v>
      </c>
    </row>
    <row r="14" spans="1:13">
      <c r="A14">
        <f t="shared" si="0"/>
        <v>1987</v>
      </c>
      <c r="B14">
        <f>SUMIF(DataQ!$C:$C,DataCY!$A14,DataQ!E:E)</f>
        <v>1292703</v>
      </c>
      <c r="C14">
        <f>AVERAGEIF(DataQ!$C:$C,DataCY!$A14,DataQ!F:F)</f>
        <v>25238.75</v>
      </c>
      <c r="D14">
        <f>SUMIF(DataQ!$C:$C,DataCY!$A14,DataQ!G:G)</f>
        <v>9392.9159999999993</v>
      </c>
      <c r="E14">
        <f>AVERAGEIF(DataQ!$C:$C,DataCY!$A14,DataQ!H:H)</f>
        <v>10.424999999999999</v>
      </c>
      <c r="F14">
        <f>SUMIF(DataQ!$C:$C,DataCY!$A14,DataQ!I:I)</f>
        <v>742332</v>
      </c>
      <c r="G14">
        <f>SUMIF(DataQ!$C:$C,DataCY!$A14,DataQ!J:J)</f>
        <v>17758</v>
      </c>
      <c r="H14">
        <f>SUMIF(DataQ!$C:$C,DataCY!$A14,DataQ!K:K)</f>
        <v>1292703</v>
      </c>
      <c r="I14">
        <f>AVERAGEIF(DataQ!$C:$C,DataCY!$A14,DataQ!L:L)</f>
        <v>25238.75</v>
      </c>
      <c r="J14">
        <f>SUMIF(DataQ!$C:$C,DataCY!$A14,DataQ!M:M)</f>
        <v>9392.9159999999993</v>
      </c>
      <c r="K14">
        <f>AVERAGEIF(DataQ!$C:$C,DataCY!$A14,DataQ!N:N)</f>
        <v>10.424999999999999</v>
      </c>
      <c r="L14">
        <f>SUMIF(DataQ!$C:$C,DataCY!$A14,DataQ!O:O)</f>
        <v>742332</v>
      </c>
      <c r="M14">
        <f>SUMIF(DataQ!$C:$C,DataCY!$A14,DataQ!P:P)</f>
        <v>17758</v>
      </c>
    </row>
    <row r="15" spans="1:13">
      <c r="A15">
        <f t="shared" si="0"/>
        <v>1988</v>
      </c>
      <c r="B15">
        <f>SUMIF(DataQ!$C:$C,DataCY!$A15,DataQ!E:E)</f>
        <v>1362204</v>
      </c>
      <c r="C15">
        <f>AVERAGEIF(DataQ!$C:$C,DataCY!$A15,DataQ!F:F)</f>
        <v>26070</v>
      </c>
      <c r="D15">
        <f>SUMIF(DataQ!$C:$C,DataCY!$A15,DataQ!G:G)</f>
        <v>10194.206000000002</v>
      </c>
      <c r="E15">
        <f>AVERAGEIF(DataQ!$C:$C,DataCY!$A15,DataQ!H:H)</f>
        <v>8.5749999999999993</v>
      </c>
      <c r="F15">
        <f>SUMIF(DataQ!$C:$C,DataCY!$A15,DataQ!I:I)</f>
        <v>782563</v>
      </c>
      <c r="G15">
        <f>SUMIF(DataQ!$C:$C,DataCY!$A15,DataQ!J:J)</f>
        <v>19793</v>
      </c>
      <c r="H15">
        <f>SUMIF(DataQ!$C:$C,DataCY!$A15,DataQ!K:K)</f>
        <v>1362204</v>
      </c>
      <c r="I15">
        <f>AVERAGEIF(DataQ!$C:$C,DataCY!$A15,DataQ!L:L)</f>
        <v>26070</v>
      </c>
      <c r="J15">
        <f>SUMIF(DataQ!$C:$C,DataCY!$A15,DataQ!M:M)</f>
        <v>10194.206000000002</v>
      </c>
      <c r="K15">
        <f>AVERAGEIF(DataQ!$C:$C,DataCY!$A15,DataQ!N:N)</f>
        <v>8.5749999999999993</v>
      </c>
      <c r="L15">
        <f>SUMIF(DataQ!$C:$C,DataCY!$A15,DataQ!O:O)</f>
        <v>782563</v>
      </c>
      <c r="M15">
        <f>SUMIF(DataQ!$C:$C,DataCY!$A15,DataQ!P:P)</f>
        <v>19793</v>
      </c>
    </row>
    <row r="16" spans="1:13">
      <c r="A16">
        <f t="shared" si="0"/>
        <v>1989</v>
      </c>
      <c r="B16">
        <f>SUMIF(DataQ!$C:$C,DataCY!$A16,DataQ!E:E)</f>
        <v>1394928</v>
      </c>
      <c r="C16">
        <f>AVERAGEIF(DataQ!$C:$C,DataCY!$A16,DataQ!F:F)</f>
        <v>26748.75</v>
      </c>
      <c r="D16">
        <f>SUMIF(DataQ!$C:$C,DataCY!$A16,DataQ!G:G)</f>
        <v>11152.929</v>
      </c>
      <c r="E16">
        <f>AVERAGEIF(DataQ!$C:$C,DataCY!$A16,DataQ!H:H)</f>
        <v>7.2249999999999996</v>
      </c>
      <c r="F16">
        <f>SUMIF(DataQ!$C:$C,DataCY!$A16,DataQ!I:I)</f>
        <v>823265</v>
      </c>
      <c r="G16">
        <f>SUMIF(DataQ!$C:$C,DataCY!$A16,DataQ!J:J)</f>
        <v>21500</v>
      </c>
      <c r="H16">
        <f>SUMIF(DataQ!$C:$C,DataCY!$A16,DataQ!K:K)</f>
        <v>1394928</v>
      </c>
      <c r="I16">
        <f>AVERAGEIF(DataQ!$C:$C,DataCY!$A16,DataQ!L:L)</f>
        <v>26748.75</v>
      </c>
      <c r="J16">
        <f>SUMIF(DataQ!$C:$C,DataCY!$A16,DataQ!M:M)</f>
        <v>11152.929</v>
      </c>
      <c r="K16">
        <f>AVERAGEIF(DataQ!$C:$C,DataCY!$A16,DataQ!N:N)</f>
        <v>7.2249999999999996</v>
      </c>
      <c r="L16">
        <f>SUMIF(DataQ!$C:$C,DataCY!$A16,DataQ!O:O)</f>
        <v>823265</v>
      </c>
      <c r="M16">
        <f>SUMIF(DataQ!$C:$C,DataCY!$A16,DataQ!P:P)</f>
        <v>21500</v>
      </c>
    </row>
    <row r="17" spans="1:13">
      <c r="A17">
        <f t="shared" si="0"/>
        <v>1990</v>
      </c>
      <c r="B17">
        <f>SUMIF(DataQ!$C:$C,DataCY!$A17,DataQ!E:E)</f>
        <v>1402748</v>
      </c>
      <c r="C17">
        <f>AVERAGEIF(DataQ!$C:$C,DataCY!$A17,DataQ!F:F)</f>
        <v>26871.25</v>
      </c>
      <c r="D17">
        <f>SUMIF(DataQ!$C:$C,DataCY!$A17,DataQ!G:G)</f>
        <v>12259.893</v>
      </c>
      <c r="E17">
        <f>AVERAGEIF(DataQ!$C:$C,DataCY!$A17,DataQ!H:H)</f>
        <v>7.1</v>
      </c>
      <c r="F17">
        <f>SUMIF(DataQ!$C:$C,DataCY!$A17,DataQ!I:I)</f>
        <v>855546</v>
      </c>
      <c r="G17">
        <f>SUMIF(DataQ!$C:$C,DataCY!$A17,DataQ!J:J)</f>
        <v>23318</v>
      </c>
      <c r="H17">
        <f>SUMIF(DataQ!$C:$C,DataCY!$A17,DataQ!K:K)</f>
        <v>1402748</v>
      </c>
      <c r="I17">
        <f>AVERAGEIF(DataQ!$C:$C,DataCY!$A17,DataQ!L:L)</f>
        <v>26871.25</v>
      </c>
      <c r="J17">
        <f>SUMIF(DataQ!$C:$C,DataCY!$A17,DataQ!M:M)</f>
        <v>12259.893</v>
      </c>
      <c r="K17">
        <f>AVERAGEIF(DataQ!$C:$C,DataCY!$A17,DataQ!N:N)</f>
        <v>7.1</v>
      </c>
      <c r="L17">
        <f>SUMIF(DataQ!$C:$C,DataCY!$A17,DataQ!O:O)</f>
        <v>855546</v>
      </c>
      <c r="M17">
        <f>SUMIF(DataQ!$C:$C,DataCY!$A17,DataQ!P:P)</f>
        <v>23318</v>
      </c>
    </row>
    <row r="18" spans="1:13">
      <c r="A18">
        <f t="shared" si="0"/>
        <v>1991</v>
      </c>
      <c r="B18">
        <f>SUMIF(DataQ!$C:$C,DataCY!$A18,DataQ!E:E)</f>
        <v>1383043</v>
      </c>
      <c r="C18">
        <f>AVERAGEIF(DataQ!$C:$C,DataCY!$A18,DataQ!F:F)</f>
        <v>26162.5</v>
      </c>
      <c r="D18">
        <f>SUMIF(DataQ!$C:$C,DataCY!$A18,DataQ!G:G)</f>
        <v>13323.315000000001</v>
      </c>
      <c r="E18">
        <f>AVERAGEIF(DataQ!$C:$C,DataCY!$A18,DataQ!H:H)</f>
        <v>8.85</v>
      </c>
      <c r="F18">
        <f>SUMIF(DataQ!$C:$C,DataCY!$A18,DataQ!I:I)</f>
        <v>873023</v>
      </c>
      <c r="G18">
        <f>SUMIF(DataQ!$C:$C,DataCY!$A18,DataQ!J:J)</f>
        <v>24717</v>
      </c>
      <c r="H18">
        <f>SUMIF(DataQ!$C:$C,DataCY!$A18,DataQ!K:K)</f>
        <v>1383043</v>
      </c>
      <c r="I18">
        <f>AVERAGEIF(DataQ!$C:$C,DataCY!$A18,DataQ!L:L)</f>
        <v>26162.5</v>
      </c>
      <c r="J18">
        <f>SUMIF(DataQ!$C:$C,DataCY!$A18,DataQ!M:M)</f>
        <v>13323.315000000001</v>
      </c>
      <c r="K18">
        <f>AVERAGEIF(DataQ!$C:$C,DataCY!$A18,DataQ!N:N)</f>
        <v>8.85</v>
      </c>
      <c r="L18">
        <f>SUMIF(DataQ!$C:$C,DataCY!$A18,DataQ!O:O)</f>
        <v>873023</v>
      </c>
      <c r="M18">
        <f>SUMIF(DataQ!$C:$C,DataCY!$A18,DataQ!P:P)</f>
        <v>24717</v>
      </c>
    </row>
    <row r="19" spans="1:13">
      <c r="A19">
        <f t="shared" si="0"/>
        <v>1992</v>
      </c>
      <c r="B19">
        <f>SUMIF(DataQ!$C:$C,DataCY!$A19,DataQ!E:E)</f>
        <v>1386437</v>
      </c>
      <c r="C19">
        <f>AVERAGEIF(DataQ!$C:$C,DataCY!$A19,DataQ!F:F)</f>
        <v>25540</v>
      </c>
      <c r="D19">
        <f>SUMIF(DataQ!$C:$C,DataCY!$A19,DataQ!G:G)</f>
        <v>13956.876</v>
      </c>
      <c r="E19">
        <f>AVERAGEIF(DataQ!$C:$C,DataCY!$A19,DataQ!H:H)</f>
        <v>9.9499999999999993</v>
      </c>
      <c r="F19">
        <f>SUMIF(DataQ!$C:$C,DataCY!$A19,DataQ!I:I)</f>
        <v>896571</v>
      </c>
      <c r="G19">
        <f>SUMIF(DataQ!$C:$C,DataCY!$A19,DataQ!J:J)</f>
        <v>25402</v>
      </c>
      <c r="H19">
        <f>SUMIF(DataQ!$C:$C,DataCY!$A19,DataQ!K:K)</f>
        <v>1386437</v>
      </c>
      <c r="I19">
        <f>AVERAGEIF(DataQ!$C:$C,DataCY!$A19,DataQ!L:L)</f>
        <v>25540</v>
      </c>
      <c r="J19">
        <f>SUMIF(DataQ!$C:$C,DataCY!$A19,DataQ!M:M)</f>
        <v>13956.876</v>
      </c>
      <c r="K19">
        <f>AVERAGEIF(DataQ!$C:$C,DataCY!$A19,DataQ!N:N)</f>
        <v>9.9499999999999993</v>
      </c>
      <c r="L19">
        <f>SUMIF(DataQ!$C:$C,DataCY!$A19,DataQ!O:O)</f>
        <v>896571</v>
      </c>
      <c r="M19">
        <f>SUMIF(DataQ!$C:$C,DataCY!$A19,DataQ!P:P)</f>
        <v>25402</v>
      </c>
    </row>
    <row r="20" spans="1:13">
      <c r="A20">
        <f t="shared" si="0"/>
        <v>1993</v>
      </c>
      <c r="B20">
        <f>SUMIF(DataQ!$C:$C,DataCY!$A20,DataQ!E:E)</f>
        <v>1417763</v>
      </c>
      <c r="C20">
        <f>AVERAGEIF(DataQ!$C:$C,DataCY!$A20,DataQ!F:F)</f>
        <v>25302.75</v>
      </c>
      <c r="D20">
        <f>SUMIF(DataQ!$C:$C,DataCY!$A20,DataQ!G:G)</f>
        <v>14411.368999999999</v>
      </c>
      <c r="E20">
        <f>AVERAGEIF(DataQ!$C:$C,DataCY!$A20,DataQ!H:H)</f>
        <v>10.375</v>
      </c>
      <c r="F20">
        <f>SUMIF(DataQ!$C:$C,DataCY!$A20,DataQ!I:I)</f>
        <v>920167</v>
      </c>
      <c r="G20">
        <f>SUMIF(DataQ!$C:$C,DataCY!$A20,DataQ!J:J)</f>
        <v>26847</v>
      </c>
      <c r="H20">
        <f>SUMIF(DataQ!$C:$C,DataCY!$A20,DataQ!K:K)</f>
        <v>1417763</v>
      </c>
      <c r="I20">
        <f>AVERAGEIF(DataQ!$C:$C,DataCY!$A20,DataQ!L:L)</f>
        <v>25302.75</v>
      </c>
      <c r="J20">
        <f>SUMIF(DataQ!$C:$C,DataCY!$A20,DataQ!M:M)</f>
        <v>14411.368999999999</v>
      </c>
      <c r="K20">
        <f>AVERAGEIF(DataQ!$C:$C,DataCY!$A20,DataQ!N:N)</f>
        <v>10.375</v>
      </c>
      <c r="L20">
        <f>SUMIF(DataQ!$C:$C,DataCY!$A20,DataQ!O:O)</f>
        <v>920167</v>
      </c>
      <c r="M20">
        <f>SUMIF(DataQ!$C:$C,DataCY!$A20,DataQ!P:P)</f>
        <v>26847</v>
      </c>
    </row>
    <row r="21" spans="1:13">
      <c r="A21">
        <f t="shared" si="0"/>
        <v>1994</v>
      </c>
      <c r="B21">
        <f>SUMIF(DataQ!$C:$C,DataCY!$A21,DataQ!E:E)</f>
        <v>1466101</v>
      </c>
      <c r="C21">
        <f>AVERAGEIF(DataQ!$C:$C,DataCY!$A21,DataQ!F:F)</f>
        <v>25504.5</v>
      </c>
      <c r="D21">
        <f>SUMIF(DataQ!$C:$C,DataCY!$A21,DataQ!G:G)</f>
        <v>14859.038</v>
      </c>
      <c r="E21">
        <f>AVERAGEIF(DataQ!$C:$C,DataCY!$A21,DataQ!H:H)</f>
        <v>9.5</v>
      </c>
      <c r="F21">
        <f>SUMIF(DataQ!$C:$C,DataCY!$A21,DataQ!I:I)</f>
        <v>937142</v>
      </c>
      <c r="G21">
        <f>SUMIF(DataQ!$C:$C,DataCY!$A21,DataQ!J:J)</f>
        <v>27038</v>
      </c>
      <c r="H21">
        <f>SUMIF(DataQ!$C:$C,DataCY!$A21,DataQ!K:K)</f>
        <v>1466101</v>
      </c>
      <c r="I21">
        <f>AVERAGEIF(DataQ!$C:$C,DataCY!$A21,DataQ!L:L)</f>
        <v>25504.5</v>
      </c>
      <c r="J21">
        <f>SUMIF(DataQ!$C:$C,DataCY!$A21,DataQ!M:M)</f>
        <v>14859.038</v>
      </c>
      <c r="K21">
        <f>AVERAGEIF(DataQ!$C:$C,DataCY!$A21,DataQ!N:N)</f>
        <v>9.5</v>
      </c>
      <c r="L21">
        <f>SUMIF(DataQ!$C:$C,DataCY!$A21,DataQ!O:O)</f>
        <v>937142</v>
      </c>
      <c r="M21">
        <f>SUMIF(DataQ!$C:$C,DataCY!$A21,DataQ!P:P)</f>
        <v>27038</v>
      </c>
    </row>
    <row r="22" spans="1:13">
      <c r="A22">
        <f t="shared" si="0"/>
        <v>1995</v>
      </c>
      <c r="B22">
        <f>SUMIF(DataQ!$C:$C,DataCY!$A22,DataQ!E:E)</f>
        <v>1501088</v>
      </c>
      <c r="C22">
        <f>AVERAGEIF(DataQ!$C:$C,DataCY!$A22,DataQ!F:F)</f>
        <v>25818.5</v>
      </c>
      <c r="D22">
        <f>SUMIF(DataQ!$C:$C,DataCY!$A22,DataQ!G:G)</f>
        <v>15293.519</v>
      </c>
      <c r="E22">
        <f>AVERAGEIF(DataQ!$C:$C,DataCY!$A22,DataQ!H:H)</f>
        <v>8.625</v>
      </c>
      <c r="F22">
        <f>SUMIF(DataQ!$C:$C,DataCY!$A22,DataQ!I:I)</f>
        <v>965162</v>
      </c>
      <c r="G22">
        <f>SUMIF(DataQ!$C:$C,DataCY!$A22,DataQ!J:J)</f>
        <v>27892</v>
      </c>
      <c r="H22">
        <f>SUMIF(DataQ!$C:$C,DataCY!$A22,DataQ!K:K)</f>
        <v>1501088</v>
      </c>
      <c r="I22">
        <f>AVERAGEIF(DataQ!$C:$C,DataCY!$A22,DataQ!L:L)</f>
        <v>25818.5</v>
      </c>
      <c r="J22">
        <f>SUMIF(DataQ!$C:$C,DataCY!$A22,DataQ!M:M)</f>
        <v>15293.519</v>
      </c>
      <c r="K22">
        <f>AVERAGEIF(DataQ!$C:$C,DataCY!$A22,DataQ!N:N)</f>
        <v>8.625</v>
      </c>
      <c r="L22">
        <f>SUMIF(DataQ!$C:$C,DataCY!$A22,DataQ!O:O)</f>
        <v>965162</v>
      </c>
      <c r="M22">
        <f>SUMIF(DataQ!$C:$C,DataCY!$A22,DataQ!P:P)</f>
        <v>27892</v>
      </c>
    </row>
    <row r="23" spans="1:13">
      <c r="A23">
        <f t="shared" si="0"/>
        <v>1996</v>
      </c>
      <c r="B23">
        <f>SUMIF(DataQ!$C:$C,DataCY!$A23,DataQ!E:E)</f>
        <v>1539846</v>
      </c>
      <c r="C23">
        <f>AVERAGEIF(DataQ!$C:$C,DataCY!$A23,DataQ!F:F)</f>
        <v>26059.75</v>
      </c>
      <c r="D23">
        <f>SUMIF(DataQ!$C:$C,DataCY!$A23,DataQ!G:G)</f>
        <v>15743.270999999999</v>
      </c>
      <c r="E23">
        <f>AVERAGEIF(DataQ!$C:$C,DataCY!$A23,DataQ!H:H)</f>
        <v>8.1</v>
      </c>
      <c r="F23">
        <f>SUMIF(DataQ!$C:$C,DataCY!$A23,DataQ!I:I)</f>
        <v>990906</v>
      </c>
      <c r="G23">
        <f>SUMIF(DataQ!$C:$C,DataCY!$A23,DataQ!J:J)</f>
        <v>29213</v>
      </c>
      <c r="H23">
        <f>SUMIF(DataQ!$C:$C,DataCY!$A23,DataQ!K:K)</f>
        <v>1539846</v>
      </c>
      <c r="I23">
        <f>AVERAGEIF(DataQ!$C:$C,DataCY!$A23,DataQ!L:L)</f>
        <v>26059.75</v>
      </c>
      <c r="J23">
        <f>SUMIF(DataQ!$C:$C,DataCY!$A23,DataQ!M:M)</f>
        <v>15743.270999999999</v>
      </c>
      <c r="K23">
        <f>AVERAGEIF(DataQ!$C:$C,DataCY!$A23,DataQ!N:N)</f>
        <v>8.1</v>
      </c>
      <c r="L23">
        <f>SUMIF(DataQ!$C:$C,DataCY!$A23,DataQ!O:O)</f>
        <v>990906</v>
      </c>
      <c r="M23">
        <f>SUMIF(DataQ!$C:$C,DataCY!$A23,DataQ!P:P)</f>
        <v>29213</v>
      </c>
    </row>
    <row r="24" spans="1:13">
      <c r="A24">
        <f t="shared" si="0"/>
        <v>1997</v>
      </c>
      <c r="B24">
        <f>SUMIF(DataQ!$C:$C,DataCY!$A24,DataQ!E:E)</f>
        <v>1615678</v>
      </c>
      <c r="C24">
        <f>AVERAGEIF(DataQ!$C:$C,DataCY!$A24,DataQ!F:F)</f>
        <v>26525.75</v>
      </c>
      <c r="D24">
        <f>SUMIF(DataQ!$C:$C,DataCY!$A24,DataQ!G:G)</f>
        <v>16659.414000000001</v>
      </c>
      <c r="E24">
        <f>AVERAGEIF(DataQ!$C:$C,DataCY!$A24,DataQ!H:H)</f>
        <v>6.95</v>
      </c>
      <c r="F24">
        <f>SUMIF(DataQ!$C:$C,DataCY!$A24,DataQ!I:I)</f>
        <v>1009165</v>
      </c>
      <c r="G24">
        <f>SUMIF(DataQ!$C:$C,DataCY!$A24,DataQ!J:J)</f>
        <v>31038</v>
      </c>
      <c r="H24">
        <f>SUMIF(DataQ!$C:$C,DataCY!$A24,DataQ!K:K)</f>
        <v>1615678</v>
      </c>
      <c r="I24">
        <f>AVERAGEIF(DataQ!$C:$C,DataCY!$A24,DataQ!L:L)</f>
        <v>26525.75</v>
      </c>
      <c r="J24">
        <f>SUMIF(DataQ!$C:$C,DataCY!$A24,DataQ!M:M)</f>
        <v>16659.414000000001</v>
      </c>
      <c r="K24">
        <f>AVERAGEIF(DataQ!$C:$C,DataCY!$A24,DataQ!N:N)</f>
        <v>6.95</v>
      </c>
      <c r="L24">
        <f>SUMIF(DataQ!$C:$C,DataCY!$A24,DataQ!O:O)</f>
        <v>1009165</v>
      </c>
      <c r="M24">
        <f>SUMIF(DataQ!$C:$C,DataCY!$A24,DataQ!P:P)</f>
        <v>31038</v>
      </c>
    </row>
    <row r="25" spans="1:13">
      <c r="A25">
        <f t="shared" si="0"/>
        <v>1998</v>
      </c>
      <c r="B25">
        <f>SUMIF(DataQ!$C:$C,DataCY!$A25,DataQ!E:E)</f>
        <v>1670654</v>
      </c>
      <c r="C25">
        <f>AVERAGEIF(DataQ!$C:$C,DataCY!$A25,DataQ!F:F)</f>
        <v>26795</v>
      </c>
      <c r="D25">
        <f>SUMIF(DataQ!$C:$C,DataCY!$A25,DataQ!G:G)</f>
        <v>17141.815000000002</v>
      </c>
      <c r="E25">
        <f>AVERAGEIF(DataQ!$C:$C,DataCY!$A25,DataQ!H:H)</f>
        <v>6.25</v>
      </c>
      <c r="F25">
        <f>SUMIF(DataQ!$C:$C,DataCY!$A25,DataQ!I:I)</f>
        <v>1018309</v>
      </c>
      <c r="G25">
        <f>SUMIF(DataQ!$C:$C,DataCY!$A25,DataQ!J:J)</f>
        <v>32851</v>
      </c>
      <c r="H25">
        <f>SUMIF(DataQ!$C:$C,DataCY!$A25,DataQ!K:K)</f>
        <v>1670654</v>
      </c>
      <c r="I25">
        <f>AVERAGEIF(DataQ!$C:$C,DataCY!$A25,DataQ!L:L)</f>
        <v>26795</v>
      </c>
      <c r="J25">
        <f>SUMIF(DataQ!$C:$C,DataCY!$A25,DataQ!M:M)</f>
        <v>17141.815000000002</v>
      </c>
      <c r="K25">
        <f>AVERAGEIF(DataQ!$C:$C,DataCY!$A25,DataQ!N:N)</f>
        <v>6.25</v>
      </c>
      <c r="L25">
        <f>SUMIF(DataQ!$C:$C,DataCY!$A25,DataQ!O:O)</f>
        <v>1018309</v>
      </c>
      <c r="M25">
        <f>SUMIF(DataQ!$C:$C,DataCY!$A25,DataQ!P:P)</f>
        <v>32851</v>
      </c>
    </row>
    <row r="26" spans="1:13">
      <c r="A26">
        <f t="shared" si="0"/>
        <v>1999</v>
      </c>
      <c r="B26">
        <f>SUMIF(DataQ!$C:$C,DataCY!$A26,DataQ!E:E)</f>
        <v>1721748</v>
      </c>
      <c r="C26">
        <f>AVERAGEIF(DataQ!$C:$C,DataCY!$A26,DataQ!F:F)</f>
        <v>27167.75</v>
      </c>
      <c r="D26">
        <f>SUMIF(DataQ!$C:$C,DataCY!$A26,DataQ!G:G)</f>
        <v>18155.654000000002</v>
      </c>
      <c r="E26">
        <f>AVERAGEIF(DataQ!$C:$C,DataCY!$A26,DataQ!H:H)</f>
        <v>5.9750000000000005</v>
      </c>
      <c r="F26">
        <f>SUMIF(DataQ!$C:$C,DataCY!$A26,DataQ!I:I)</f>
        <v>1062583</v>
      </c>
      <c r="G26">
        <f>SUMIF(DataQ!$C:$C,DataCY!$A26,DataQ!J:J)</f>
        <v>35853</v>
      </c>
      <c r="H26">
        <f>SUMIF(DataQ!$C:$C,DataCY!$A26,DataQ!K:K)</f>
        <v>1721748</v>
      </c>
      <c r="I26">
        <f>AVERAGEIF(DataQ!$C:$C,DataCY!$A26,DataQ!L:L)</f>
        <v>27167.75</v>
      </c>
      <c r="J26">
        <f>SUMIF(DataQ!$C:$C,DataCY!$A26,DataQ!M:M)</f>
        <v>18155.654000000002</v>
      </c>
      <c r="K26">
        <f>AVERAGEIF(DataQ!$C:$C,DataCY!$A26,DataQ!N:N)</f>
        <v>5.9750000000000005</v>
      </c>
      <c r="L26">
        <f>SUMIF(DataQ!$C:$C,DataCY!$A26,DataQ!O:O)</f>
        <v>1062583</v>
      </c>
      <c r="M26">
        <f>SUMIF(DataQ!$C:$C,DataCY!$A26,DataQ!P:P)</f>
        <v>35853</v>
      </c>
    </row>
    <row r="27" spans="1:13">
      <c r="A27">
        <f t="shared" si="0"/>
        <v>2000</v>
      </c>
      <c r="B27">
        <f>SUMIF(DataQ!$C:$C,DataCY!$A27,DataQ!E:E)</f>
        <v>1796500</v>
      </c>
      <c r="C27">
        <f>AVERAGEIF(DataQ!$C:$C,DataCY!$A27,DataQ!F:F)</f>
        <v>27483.5</v>
      </c>
      <c r="D27">
        <f>SUMIF(DataQ!$C:$C,DataCY!$A27,DataQ!G:G)</f>
        <v>19032.495999999999</v>
      </c>
      <c r="E27">
        <f>AVERAGEIF(DataQ!$C:$C,DataCY!$A27,DataQ!H:H)</f>
        <v>5.45</v>
      </c>
      <c r="F27">
        <f>SUMIF(DataQ!$C:$C,DataCY!$A27,DataQ!I:I)</f>
        <v>1122465</v>
      </c>
      <c r="G27">
        <f>SUMIF(DataQ!$C:$C,DataCY!$A27,DataQ!J:J)</f>
        <v>39195</v>
      </c>
      <c r="H27">
        <f>SUMIF(DataQ!$C:$C,DataCY!$A27,DataQ!K:K)</f>
        <v>1796500</v>
      </c>
      <c r="I27">
        <f>AVERAGEIF(DataQ!$C:$C,DataCY!$A27,DataQ!L:L)</f>
        <v>27483.5</v>
      </c>
      <c r="J27">
        <f>SUMIF(DataQ!$C:$C,DataCY!$A27,DataQ!M:M)</f>
        <v>19032.495999999999</v>
      </c>
      <c r="K27">
        <f>AVERAGEIF(DataQ!$C:$C,DataCY!$A27,DataQ!N:N)</f>
        <v>5.45</v>
      </c>
      <c r="L27">
        <f>SUMIF(DataQ!$C:$C,DataCY!$A27,DataQ!O:O)</f>
        <v>1122465</v>
      </c>
      <c r="M27">
        <f>SUMIF(DataQ!$C:$C,DataCY!$A27,DataQ!P:P)</f>
        <v>39195</v>
      </c>
    </row>
    <row r="28" spans="1:13">
      <c r="A28">
        <f t="shared" si="0"/>
        <v>2001</v>
      </c>
      <c r="B28">
        <f>SUMIF(DataQ!$C:$C,DataCY!$A28,DataQ!E:E)</f>
        <v>1842720</v>
      </c>
      <c r="C28">
        <f>AVERAGEIF(DataQ!$C:$C,DataCY!$A28,DataQ!F:F)</f>
        <v>27712</v>
      </c>
      <c r="D28">
        <f>SUMIF(DataQ!$C:$C,DataCY!$A28,DataQ!G:G)</f>
        <v>20091.712</v>
      </c>
      <c r="E28">
        <f>AVERAGEIF(DataQ!$C:$C,DataCY!$A28,DataQ!H:H)</f>
        <v>5.0999999999999996</v>
      </c>
      <c r="F28">
        <f>SUMIF(DataQ!$C:$C,DataCY!$A28,DataQ!I:I)</f>
        <v>1162075</v>
      </c>
      <c r="G28">
        <f>SUMIF(DataQ!$C:$C,DataCY!$A28,DataQ!J:J)</f>
        <v>41168</v>
      </c>
      <c r="H28">
        <f>SUMIF(DataQ!$C:$C,DataCY!$A28,DataQ!K:K)</f>
        <v>1842720</v>
      </c>
      <c r="I28">
        <f>AVERAGEIF(DataQ!$C:$C,DataCY!$A28,DataQ!L:L)</f>
        <v>27712</v>
      </c>
      <c r="J28">
        <f>SUMIF(DataQ!$C:$C,DataCY!$A28,DataQ!M:M)</f>
        <v>20091.712</v>
      </c>
      <c r="K28">
        <f>AVERAGEIF(DataQ!$C:$C,DataCY!$A28,DataQ!N:N)</f>
        <v>5.0999999999999996</v>
      </c>
      <c r="L28">
        <f>SUMIF(DataQ!$C:$C,DataCY!$A28,DataQ!O:O)</f>
        <v>1162075</v>
      </c>
      <c r="M28">
        <f>SUMIF(DataQ!$C:$C,DataCY!$A28,DataQ!P:P)</f>
        <v>41168</v>
      </c>
    </row>
    <row r="29" spans="1:13">
      <c r="A29">
        <f t="shared" si="0"/>
        <v>2002</v>
      </c>
      <c r="B29">
        <f>SUMIF(DataQ!$C:$C,DataCY!$A29,DataQ!E:E)</f>
        <v>1875809</v>
      </c>
      <c r="C29">
        <f>AVERAGEIF(DataQ!$C:$C,DataCY!$A29,DataQ!F:F)</f>
        <v>27943.75</v>
      </c>
      <c r="D29">
        <f>SUMIF(DataQ!$C:$C,DataCY!$A29,DataQ!G:G)</f>
        <v>20432.607</v>
      </c>
      <c r="E29">
        <f>AVERAGEIF(DataQ!$C:$C,DataCY!$A29,DataQ!H:H)</f>
        <v>5.1999999999999993</v>
      </c>
      <c r="F29">
        <f>SUMIF(DataQ!$C:$C,DataCY!$A29,DataQ!I:I)</f>
        <v>1190985</v>
      </c>
      <c r="G29">
        <f>SUMIF(DataQ!$C:$C,DataCY!$A29,DataQ!J:J)</f>
        <v>41857</v>
      </c>
      <c r="H29">
        <f>SUMIF(DataQ!$C:$C,DataCY!$A29,DataQ!K:K)</f>
        <v>1875809</v>
      </c>
      <c r="I29">
        <f>AVERAGEIF(DataQ!$C:$C,DataCY!$A29,DataQ!L:L)</f>
        <v>27943.75</v>
      </c>
      <c r="J29">
        <f>SUMIF(DataQ!$C:$C,DataCY!$A29,DataQ!M:M)</f>
        <v>20432.607</v>
      </c>
      <c r="K29">
        <f>AVERAGEIF(DataQ!$C:$C,DataCY!$A29,DataQ!N:N)</f>
        <v>5.1999999999999993</v>
      </c>
      <c r="L29">
        <f>SUMIF(DataQ!$C:$C,DataCY!$A29,DataQ!O:O)</f>
        <v>1190985</v>
      </c>
      <c r="M29">
        <f>SUMIF(DataQ!$C:$C,DataCY!$A29,DataQ!P:P)</f>
        <v>41857</v>
      </c>
    </row>
    <row r="30" spans="1:13">
      <c r="A30">
        <f t="shared" si="0"/>
        <v>2003</v>
      </c>
      <c r="B30">
        <f>SUMIF(DataQ!$C:$C,DataCY!$A30,DataQ!E:E)</f>
        <v>1934941</v>
      </c>
      <c r="C30">
        <f>AVERAGEIF(DataQ!$C:$C,DataCY!$A30,DataQ!F:F)</f>
        <v>28221.25</v>
      </c>
      <c r="D30">
        <f>SUMIF(DataQ!$C:$C,DataCY!$A30,DataQ!G:G)</f>
        <v>21330.188999999998</v>
      </c>
      <c r="E30">
        <f>AVERAGEIF(DataQ!$C:$C,DataCY!$A30,DataQ!H:H)</f>
        <v>5</v>
      </c>
      <c r="F30">
        <f>SUMIF(DataQ!$C:$C,DataCY!$A30,DataQ!I:I)</f>
        <v>1217154</v>
      </c>
      <c r="G30">
        <f>SUMIF(DataQ!$C:$C,DataCY!$A30,DataQ!J:J)</f>
        <v>47172</v>
      </c>
      <c r="H30">
        <f>SUMIF(DataQ!$C:$C,DataCY!$A30,DataQ!K:K)</f>
        <v>1934941</v>
      </c>
      <c r="I30">
        <f>AVERAGEIF(DataQ!$C:$C,DataCY!$A30,DataQ!L:L)</f>
        <v>28221.25</v>
      </c>
      <c r="J30">
        <f>SUMIF(DataQ!$C:$C,DataCY!$A30,DataQ!M:M)</f>
        <v>21330.188999999998</v>
      </c>
      <c r="K30">
        <f>AVERAGEIF(DataQ!$C:$C,DataCY!$A30,DataQ!N:N)</f>
        <v>5</v>
      </c>
      <c r="L30">
        <f>SUMIF(DataQ!$C:$C,DataCY!$A30,DataQ!O:O)</f>
        <v>1217154</v>
      </c>
      <c r="M30">
        <f>SUMIF(DataQ!$C:$C,DataCY!$A30,DataQ!P:P)</f>
        <v>47172</v>
      </c>
    </row>
    <row r="31" spans="1:13">
      <c r="A31">
        <f t="shared" si="0"/>
        <v>2004</v>
      </c>
      <c r="B31">
        <f>SUMIF(DataQ!$C:$C,DataCY!$A31,DataQ!E:E)</f>
        <v>1982500</v>
      </c>
      <c r="C31">
        <f>AVERAGEIF(DataQ!$C:$C,DataCY!$A31,DataQ!F:F)</f>
        <v>28530</v>
      </c>
      <c r="D31">
        <f>SUMIF(DataQ!$C:$C,DataCY!$A31,DataQ!G:G)</f>
        <v>22386.951000000001</v>
      </c>
      <c r="E31">
        <f>AVERAGEIF(DataQ!$C:$C,DataCY!$A31,DataQ!H:H)</f>
        <v>4.75</v>
      </c>
      <c r="F31">
        <f>SUMIF(DataQ!$C:$C,DataCY!$A31,DataQ!I:I)</f>
        <v>1251692</v>
      </c>
      <c r="G31">
        <f>SUMIF(DataQ!$C:$C,DataCY!$A31,DataQ!J:J)</f>
        <v>52530</v>
      </c>
      <c r="H31">
        <f>SUMIF(DataQ!$C:$C,DataCY!$A31,DataQ!K:K)</f>
        <v>1982500</v>
      </c>
      <c r="I31">
        <f>AVERAGEIF(DataQ!$C:$C,DataCY!$A31,DataQ!L:L)</f>
        <v>28530</v>
      </c>
      <c r="J31">
        <f>SUMIF(DataQ!$C:$C,DataCY!$A31,DataQ!M:M)</f>
        <v>22386.951000000001</v>
      </c>
      <c r="K31">
        <f>AVERAGEIF(DataQ!$C:$C,DataCY!$A31,DataQ!N:N)</f>
        <v>4.75</v>
      </c>
      <c r="L31">
        <f>SUMIF(DataQ!$C:$C,DataCY!$A31,DataQ!O:O)</f>
        <v>1251692</v>
      </c>
      <c r="M31">
        <f>SUMIF(DataQ!$C:$C,DataCY!$A31,DataQ!P:P)</f>
        <v>52530</v>
      </c>
    </row>
    <row r="32" spans="1:13">
      <c r="A32">
        <f t="shared" si="0"/>
        <v>2005</v>
      </c>
      <c r="B32">
        <f>SUMIF(DataQ!$C:$C,DataCY!$A32,DataQ!E:E)</f>
        <v>2036675</v>
      </c>
      <c r="C32">
        <f>AVERAGEIF(DataQ!$C:$C,DataCY!$A32,DataQ!F:F)</f>
        <v>28849.75</v>
      </c>
      <c r="D32">
        <f>SUMIF(DataQ!$C:$C,DataCY!$A32,DataQ!G:G)</f>
        <v>23139.66</v>
      </c>
      <c r="E32">
        <f>AVERAGEIF(DataQ!$C:$C,DataCY!$A32,DataQ!H:H)</f>
        <v>4.8249999999999993</v>
      </c>
      <c r="F32">
        <f>SUMIF(DataQ!$C:$C,DataCY!$A32,DataQ!I:I)</f>
        <v>1282741</v>
      </c>
      <c r="G32">
        <f>SUMIF(DataQ!$C:$C,DataCY!$A32,DataQ!J:J)</f>
        <v>57197</v>
      </c>
      <c r="H32">
        <f>SUMIF(DataQ!$C:$C,DataCY!$A32,DataQ!K:K)</f>
        <v>2036675</v>
      </c>
      <c r="I32">
        <f>AVERAGEIF(DataQ!$C:$C,DataCY!$A32,DataQ!L:L)</f>
        <v>28849.75</v>
      </c>
      <c r="J32">
        <f>SUMIF(DataQ!$C:$C,DataCY!$A32,DataQ!M:M)</f>
        <v>23139.66</v>
      </c>
      <c r="K32">
        <f>AVERAGEIF(DataQ!$C:$C,DataCY!$A32,DataQ!N:N)</f>
        <v>4.8249999999999993</v>
      </c>
      <c r="L32">
        <f>SUMIF(DataQ!$C:$C,DataCY!$A32,DataQ!O:O)</f>
        <v>1282741</v>
      </c>
      <c r="M32">
        <f>SUMIF(DataQ!$C:$C,DataCY!$A32,DataQ!P:P)</f>
        <v>57197</v>
      </c>
    </row>
    <row r="33" spans="1:13">
      <c r="A33">
        <f t="shared" si="0"/>
        <v>2006</v>
      </c>
      <c r="B33">
        <f>SUMIF(DataQ!$C:$C,DataCY!$A33,DataQ!E:E)</f>
        <v>2085162</v>
      </c>
      <c r="C33">
        <f>AVERAGEIF(DataQ!$C:$C,DataCY!$A33,DataQ!F:F)</f>
        <v>29137.75</v>
      </c>
      <c r="D33">
        <f>SUMIF(DataQ!$C:$C,DataCY!$A33,DataQ!G:G)</f>
        <v>24228.296000000002</v>
      </c>
      <c r="E33">
        <f>AVERAGEIF(DataQ!$C:$C,DataCY!$A33,DataQ!H:H)</f>
        <v>5.4249999999999998</v>
      </c>
      <c r="F33">
        <f>SUMIF(DataQ!$C:$C,DataCY!$A33,DataQ!I:I)</f>
        <v>1305289</v>
      </c>
      <c r="G33">
        <f>SUMIF(DataQ!$C:$C,DataCY!$A33,DataQ!J:J)</f>
        <v>60520</v>
      </c>
      <c r="H33">
        <f>SUMIF(DataQ!$C:$C,DataCY!$A33,DataQ!K:K)</f>
        <v>2085162</v>
      </c>
      <c r="I33">
        <f>AVERAGEIF(DataQ!$C:$C,DataCY!$A33,DataQ!L:L)</f>
        <v>29137.75</v>
      </c>
      <c r="J33">
        <f>SUMIF(DataQ!$C:$C,DataCY!$A33,DataQ!M:M)</f>
        <v>24228.296000000002</v>
      </c>
      <c r="K33">
        <f>AVERAGEIF(DataQ!$C:$C,DataCY!$A33,DataQ!N:N)</f>
        <v>5.4249999999999998</v>
      </c>
      <c r="L33">
        <f>SUMIF(DataQ!$C:$C,DataCY!$A33,DataQ!O:O)</f>
        <v>1305289</v>
      </c>
      <c r="M33">
        <f>SUMIF(DataQ!$C:$C,DataCY!$A33,DataQ!P:P)</f>
        <v>60520</v>
      </c>
    </row>
    <row r="34" spans="1:13">
      <c r="A34">
        <f t="shared" si="0"/>
        <v>2007</v>
      </c>
      <c r="B34">
        <f>SUMIF(DataQ!$C:$C,DataCY!$A34,DataQ!E:E)</f>
        <v>2139895</v>
      </c>
      <c r="C34">
        <f>AVERAGEIF(DataQ!$C:$C,DataCY!$A34,DataQ!F:F)</f>
        <v>29378</v>
      </c>
      <c r="D34">
        <f>SUMIF(DataQ!$C:$C,DataCY!$A34,DataQ!G:G)</f>
        <v>25697.328000000001</v>
      </c>
      <c r="E34">
        <f>AVERAGEIF(DataQ!$C:$C,DataCY!$A34,DataQ!H:H)</f>
        <v>5.35</v>
      </c>
      <c r="F34">
        <f>SUMIF(DataQ!$C:$C,DataCY!$A34,DataQ!I:I)</f>
        <v>1356037</v>
      </c>
      <c r="G34">
        <f>SUMIF(DataQ!$C:$C,DataCY!$A34,DataQ!J:J)</f>
        <v>65720</v>
      </c>
      <c r="H34">
        <f>SUMIF(DataQ!$C:$C,DataCY!$A34,DataQ!K:K)</f>
        <v>2139895</v>
      </c>
      <c r="I34">
        <f>AVERAGEIF(DataQ!$C:$C,DataCY!$A34,DataQ!L:L)</f>
        <v>29378</v>
      </c>
      <c r="J34">
        <f>SUMIF(DataQ!$C:$C,DataCY!$A34,DataQ!M:M)</f>
        <v>25697.328000000001</v>
      </c>
      <c r="K34">
        <f>AVERAGEIF(DataQ!$C:$C,DataCY!$A34,DataQ!N:N)</f>
        <v>5.35</v>
      </c>
      <c r="L34">
        <f>SUMIF(DataQ!$C:$C,DataCY!$A34,DataQ!O:O)</f>
        <v>1356037</v>
      </c>
      <c r="M34">
        <f>SUMIF(DataQ!$C:$C,DataCY!$A34,DataQ!P:P)</f>
        <v>65720</v>
      </c>
    </row>
    <row r="35" spans="1:13">
      <c r="A35">
        <f t="shared" si="0"/>
        <v>2008</v>
      </c>
      <c r="B35">
        <f>SUMIF(DataQ!$C:$C,DataCY!$A35,DataQ!E:E)</f>
        <v>2134571</v>
      </c>
      <c r="C35">
        <f>AVERAGEIF(DataQ!$C:$C,DataCY!$A35,DataQ!F:F)</f>
        <v>29628.5</v>
      </c>
      <c r="D35">
        <f>SUMIF(DataQ!$C:$C,DataCY!$A35,DataQ!G:G)</f>
        <v>26018.441999999999</v>
      </c>
      <c r="E35">
        <f>AVERAGEIF(DataQ!$C:$C,DataCY!$A35,DataQ!H:H)</f>
        <v>5.7249999999999996</v>
      </c>
      <c r="F35">
        <f>SUMIF(DataQ!$C:$C,DataCY!$A35,DataQ!I:I)</f>
        <v>1349254</v>
      </c>
      <c r="G35">
        <f>SUMIF(DataQ!$C:$C,DataCY!$A35,DataQ!J:J)</f>
        <v>69696</v>
      </c>
      <c r="H35">
        <f>SUMIF(DataQ!$C:$C,DataCY!$A35,DataQ!K:K)</f>
        <v>2134571</v>
      </c>
      <c r="I35">
        <f>AVERAGEIF(DataQ!$C:$C,DataCY!$A35,DataQ!L:L)</f>
        <v>29628.5</v>
      </c>
      <c r="J35">
        <f>SUMIF(DataQ!$C:$C,DataCY!$A35,DataQ!M:M)</f>
        <v>26018.441999999999</v>
      </c>
      <c r="K35">
        <f>AVERAGEIF(DataQ!$C:$C,DataCY!$A35,DataQ!N:N)</f>
        <v>5.7249999999999996</v>
      </c>
      <c r="L35">
        <f>SUMIF(DataQ!$C:$C,DataCY!$A35,DataQ!O:O)</f>
        <v>1349254</v>
      </c>
      <c r="M35">
        <f>SUMIF(DataQ!$C:$C,DataCY!$A35,DataQ!P:P)</f>
        <v>69696</v>
      </c>
    </row>
    <row r="36" spans="1:13">
      <c r="A36">
        <f t="shared" si="0"/>
        <v>2009</v>
      </c>
      <c r="B36">
        <f>SUMIF(DataQ!$C:$C,DataCY!$A36,DataQ!E:E)</f>
        <v>2035942</v>
      </c>
      <c r="C36">
        <f>AVERAGEIF(DataQ!$C:$C,DataCY!$A36,DataQ!F:F)</f>
        <v>29156</v>
      </c>
      <c r="D36">
        <f>SUMIF(DataQ!$C:$C,DataCY!$A36,DataQ!G:G)</f>
        <v>26071.612000000001</v>
      </c>
      <c r="E36">
        <f>AVERAGEIF(DataQ!$C:$C,DataCY!$A36,DataQ!H:H)</f>
        <v>7.625</v>
      </c>
      <c r="F36">
        <f>SUMIF(DataQ!$C:$C,DataCY!$A36,DataQ!I:I)</f>
        <v>1370568</v>
      </c>
      <c r="G36">
        <f>SUMIF(DataQ!$C:$C,DataCY!$A36,DataQ!J:J)</f>
        <v>68795</v>
      </c>
      <c r="H36">
        <f>SUMIF(DataQ!$C:$C,DataCY!$A36,DataQ!K:K)</f>
        <v>2035942</v>
      </c>
      <c r="I36">
        <f>AVERAGEIF(DataQ!$C:$C,DataCY!$A36,DataQ!L:L)</f>
        <v>29156</v>
      </c>
      <c r="J36">
        <f>SUMIF(DataQ!$C:$C,DataCY!$A36,DataQ!M:M)</f>
        <v>26071.612000000001</v>
      </c>
      <c r="K36">
        <f>AVERAGEIF(DataQ!$C:$C,DataCY!$A36,DataQ!N:N)</f>
        <v>7.625</v>
      </c>
      <c r="L36">
        <f>SUMIF(DataQ!$C:$C,DataCY!$A36,DataQ!O:O)</f>
        <v>1370568</v>
      </c>
      <c r="M36">
        <f>SUMIF(DataQ!$C:$C,DataCY!$A36,DataQ!P:P)</f>
        <v>68795</v>
      </c>
    </row>
    <row r="37" spans="1:13">
      <c r="A37">
        <f t="shared" si="0"/>
        <v>2010</v>
      </c>
      <c r="B37">
        <f>SUMIF(DataQ!$C:$C,DataCY!$A37,DataQ!E:E)</f>
        <v>2081411</v>
      </c>
      <c r="C37">
        <f>AVERAGEIF(DataQ!$C:$C,DataCY!$A37,DataQ!F:F)</f>
        <v>29228.5</v>
      </c>
      <c r="D37">
        <f>SUMIF(DataQ!$C:$C,DataCY!$A37,DataQ!G:G)</f>
        <v>26370.080000000002</v>
      </c>
      <c r="E37">
        <f>AVERAGEIF(DataQ!$C:$C,DataCY!$A37,DataQ!H:H)</f>
        <v>7.9</v>
      </c>
      <c r="F37">
        <f>SUMIF(DataQ!$C:$C,DataCY!$A37,DataQ!I:I)</f>
        <v>1383741</v>
      </c>
      <c r="G37">
        <f>SUMIF(DataQ!$C:$C,DataCY!$A37,DataQ!J:J)</f>
        <v>71563</v>
      </c>
      <c r="H37">
        <f>SUMIF(DataQ!$C:$C,DataCY!$A37,DataQ!K:K)</f>
        <v>2081411</v>
      </c>
      <c r="I37">
        <f>AVERAGEIF(DataQ!$C:$C,DataCY!$A37,DataQ!L:L)</f>
        <v>29228.5</v>
      </c>
      <c r="J37">
        <f>SUMIF(DataQ!$C:$C,DataCY!$A37,DataQ!M:M)</f>
        <v>26370.080000000002</v>
      </c>
      <c r="K37">
        <f>AVERAGEIF(DataQ!$C:$C,DataCY!$A37,DataQ!N:N)</f>
        <v>7.9</v>
      </c>
      <c r="L37">
        <f>SUMIF(DataQ!$C:$C,DataCY!$A37,DataQ!O:O)</f>
        <v>1383741</v>
      </c>
      <c r="M37">
        <f>SUMIF(DataQ!$C:$C,DataCY!$A37,DataQ!P:P)</f>
        <v>71563</v>
      </c>
    </row>
    <row r="38" spans="1:13">
      <c r="A38">
        <f t="shared" si="0"/>
        <v>2011</v>
      </c>
      <c r="B38">
        <f>SUMIF(DataQ!$C:$C,DataCY!$A38,DataQ!E:E)</f>
        <v>2105105</v>
      </c>
      <c r="C38">
        <f>AVERAGEIF(DataQ!$C:$C,DataCY!$A38,DataQ!F:F)</f>
        <v>29380</v>
      </c>
      <c r="D38">
        <f>SUMIF(DataQ!$C:$C,DataCY!$A38,DataQ!G:G)</f>
        <v>26914.927</v>
      </c>
      <c r="E38">
        <f>AVERAGEIF(DataQ!$C:$C,DataCY!$A38,DataQ!H:H)</f>
        <v>8.1</v>
      </c>
      <c r="F38">
        <f>SUMIF(DataQ!$C:$C,DataCY!$A38,DataQ!I:I)</f>
        <v>1351989</v>
      </c>
      <c r="G38">
        <f>SUMIF(DataQ!$C:$C,DataCY!$A38,DataQ!J:J)</f>
        <v>73449</v>
      </c>
      <c r="H38">
        <f>SUMIF(DataQ!$C:$C,DataCY!$A38,DataQ!K:K)</f>
        <v>2105105</v>
      </c>
      <c r="I38">
        <f>AVERAGEIF(DataQ!$C:$C,DataCY!$A38,DataQ!L:L)</f>
        <v>29380</v>
      </c>
      <c r="J38">
        <f>SUMIF(DataQ!$C:$C,DataCY!$A38,DataQ!M:M)</f>
        <v>26914.927</v>
      </c>
      <c r="K38">
        <f>AVERAGEIF(DataQ!$C:$C,DataCY!$A38,DataQ!N:N)</f>
        <v>8.1</v>
      </c>
      <c r="L38">
        <f>SUMIF(DataQ!$C:$C,DataCY!$A38,DataQ!O:O)</f>
        <v>1351989</v>
      </c>
      <c r="M38">
        <f>SUMIF(DataQ!$C:$C,DataCY!$A38,DataQ!P:P)</f>
        <v>73449</v>
      </c>
    </row>
    <row r="39" spans="1:13">
      <c r="A39">
        <f t="shared" si="0"/>
        <v>2012</v>
      </c>
      <c r="B39">
        <f>SUMIF(DataQ!$C:$C,DataCY!$A39,DataQ!E:E)</f>
        <v>2136871</v>
      </c>
      <c r="C39">
        <f>AVERAGEIF(DataQ!$C:$C,DataCY!$A39,DataQ!F:F)</f>
        <v>29713.75</v>
      </c>
      <c r="D39">
        <f>SUMIF(DataQ!$C:$C,DataCY!$A39,DataQ!G:G)</f>
        <v>27180.731</v>
      </c>
      <c r="E39">
        <f>AVERAGEIF(DataQ!$C:$C,DataCY!$A39,DataQ!H:H)</f>
        <v>7.9750000000000005</v>
      </c>
      <c r="F39">
        <f>SUMIF(DataQ!$C:$C,DataCY!$A39,DataQ!I:I)</f>
        <v>1385185</v>
      </c>
      <c r="G39">
        <f>SUMIF(DataQ!$C:$C,DataCY!$A39,DataQ!J:J)</f>
        <v>75709</v>
      </c>
      <c r="H39">
        <f>SUMIF(DataQ!$C:$C,DataCY!$A39,DataQ!K:K)</f>
        <v>2136871</v>
      </c>
      <c r="I39">
        <f>AVERAGEIF(DataQ!$C:$C,DataCY!$A39,DataQ!L:L)</f>
        <v>29713.75</v>
      </c>
      <c r="J39">
        <f>SUMIF(DataQ!$C:$C,DataCY!$A39,DataQ!M:M)</f>
        <v>27180.731</v>
      </c>
      <c r="K39">
        <f>AVERAGEIF(DataQ!$C:$C,DataCY!$A39,DataQ!N:N)</f>
        <v>7.9750000000000005</v>
      </c>
      <c r="L39">
        <f>SUMIF(DataQ!$C:$C,DataCY!$A39,DataQ!O:O)</f>
        <v>1385185</v>
      </c>
      <c r="M39">
        <f>SUMIF(DataQ!$C:$C,DataCY!$A39,DataQ!P:P)</f>
        <v>75709</v>
      </c>
    </row>
    <row r="40" spans="1:13">
      <c r="A40">
        <f t="shared" si="0"/>
        <v>2013</v>
      </c>
      <c r="B40">
        <f>SUMIF(DataQ!$C:$C,DataCY!$A40,DataQ!E:E)</f>
        <v>2175333</v>
      </c>
      <c r="C40">
        <f>AVERAGEIF(DataQ!$C:$C,DataCY!$A40,DataQ!F:F)</f>
        <v>30079.25</v>
      </c>
      <c r="D40">
        <f>SUMIF(DataQ!$C:$C,DataCY!$A40,DataQ!G:G)</f>
        <v>28123.595000000001</v>
      </c>
      <c r="E40">
        <f>AVERAGEIF(DataQ!$C:$C,DataCY!$A40,DataQ!H:H)</f>
        <v>7.6249999999999991</v>
      </c>
      <c r="F40">
        <f>SUMIF(DataQ!$C:$C,DataCY!$A40,DataQ!I:I)</f>
        <v>1411202</v>
      </c>
      <c r="G40">
        <f>SUMIF(DataQ!$C:$C,DataCY!$A40,DataQ!J:J)</f>
        <v>76872</v>
      </c>
      <c r="H40">
        <f>SUMIF(DataQ!$C:$C,DataCY!$A40,DataQ!K:K)</f>
        <v>2175333</v>
      </c>
      <c r="I40">
        <f>AVERAGEIF(DataQ!$C:$C,DataCY!$A40,DataQ!L:L)</f>
        <v>30079.25</v>
      </c>
      <c r="J40">
        <f>SUMIF(DataQ!$C:$C,DataCY!$A40,DataQ!M:M)</f>
        <v>28123.595000000001</v>
      </c>
      <c r="K40">
        <f>AVERAGEIF(DataQ!$C:$C,DataCY!$A40,DataQ!N:N)</f>
        <v>7.6249999999999991</v>
      </c>
      <c r="L40">
        <f>SUMIF(DataQ!$C:$C,DataCY!$A40,DataQ!O:O)</f>
        <v>1411202</v>
      </c>
      <c r="M40">
        <f>SUMIF(DataQ!$C:$C,DataCY!$A40,DataQ!P:P)</f>
        <v>76872</v>
      </c>
    </row>
    <row r="41" spans="1:13">
      <c r="A41">
        <f t="shared" si="0"/>
        <v>2014</v>
      </c>
      <c r="B41">
        <f>SUMIF(DataQ!$C:$C,DataCY!$A41,DataQ!E:E)</f>
        <v>2244827</v>
      </c>
      <c r="C41">
        <f>AVERAGEIF(DataQ!$C:$C,DataCY!$A41,DataQ!F:F)</f>
        <v>30793.5</v>
      </c>
      <c r="D41">
        <f>SUMIF(DataQ!$C:$C,DataCY!$A41,DataQ!G:G)</f>
        <v>28663.918999999998</v>
      </c>
      <c r="E41">
        <f>AVERAGEIF(DataQ!$C:$C,DataCY!$A41,DataQ!H:H)</f>
        <v>6.2</v>
      </c>
      <c r="F41">
        <f>SUMIF(DataQ!$C:$C,DataCY!$A41,DataQ!I:I)</f>
        <v>1443046</v>
      </c>
      <c r="G41">
        <f>SUMIF(DataQ!$C:$C,DataCY!$A41,DataQ!J:J)</f>
        <v>78964</v>
      </c>
      <c r="H41">
        <f>SUMIF(DataQ!$C:$C,DataCY!$A41,DataQ!K:K)</f>
        <v>2244827</v>
      </c>
      <c r="I41">
        <f>AVERAGEIF(DataQ!$C:$C,DataCY!$A41,DataQ!L:L)</f>
        <v>30793.5</v>
      </c>
      <c r="J41">
        <f>SUMIF(DataQ!$C:$C,DataCY!$A41,DataQ!M:M)</f>
        <v>28663.918999999998</v>
      </c>
      <c r="K41">
        <f>AVERAGEIF(DataQ!$C:$C,DataCY!$A41,DataQ!N:N)</f>
        <v>6.2</v>
      </c>
      <c r="L41">
        <f>SUMIF(DataQ!$C:$C,DataCY!$A41,DataQ!O:O)</f>
        <v>1443046</v>
      </c>
      <c r="M41">
        <f>SUMIF(DataQ!$C:$C,DataCY!$A41,DataQ!P:P)</f>
        <v>78964</v>
      </c>
    </row>
    <row r="42" spans="1:13">
      <c r="A42">
        <f t="shared" si="0"/>
        <v>2015</v>
      </c>
      <c r="B42">
        <f>SUMIF(DataQ!$C:$C,DataCY!$A42,DataQ!E:E)</f>
        <v>2294727</v>
      </c>
      <c r="C42">
        <f>AVERAGEIF(DataQ!$C:$C,DataCY!$A42,DataQ!F:F)</f>
        <v>31314.5</v>
      </c>
      <c r="D42">
        <f>SUMIF(DataQ!$C:$C,DataCY!$A42,DataQ!G:G)</f>
        <v>29011.618000000002</v>
      </c>
      <c r="E42">
        <f>AVERAGEIF(DataQ!$C:$C,DataCY!$A42,DataQ!H:H)</f>
        <v>5.4250000000000007</v>
      </c>
      <c r="F42">
        <f>SUMIF(DataQ!$C:$C,DataCY!$A42,DataQ!I:I)</f>
        <v>1530519</v>
      </c>
      <c r="G42">
        <f>SUMIF(DataQ!$C:$C,DataCY!$A42,DataQ!J:J)</f>
        <v>83240</v>
      </c>
      <c r="H42">
        <f>SUMIF(DataQ!$C:$C,DataCY!$A42,DataQ!K:K)</f>
        <v>2294727</v>
      </c>
      <c r="I42">
        <f>AVERAGEIF(DataQ!$C:$C,DataCY!$A42,DataQ!L:L)</f>
        <v>31314.5</v>
      </c>
      <c r="J42">
        <f>SUMIF(DataQ!$C:$C,DataCY!$A42,DataQ!M:M)</f>
        <v>29011.618000000002</v>
      </c>
      <c r="K42">
        <f>AVERAGEIF(DataQ!$C:$C,DataCY!$A42,DataQ!N:N)</f>
        <v>5.4250000000000007</v>
      </c>
      <c r="L42">
        <f>SUMIF(DataQ!$C:$C,DataCY!$A42,DataQ!O:O)</f>
        <v>1530519</v>
      </c>
      <c r="M42">
        <f>SUMIF(DataQ!$C:$C,DataCY!$A42,DataQ!P:P)</f>
        <v>83240</v>
      </c>
    </row>
    <row r="43" spans="1:13">
      <c r="A43">
        <f t="shared" si="0"/>
        <v>2016</v>
      </c>
      <c r="B43">
        <f>SUMIF(DataQ!$C:$C,DataCY!$A43,DataQ!E:E)</f>
        <v>2338825</v>
      </c>
      <c r="C43">
        <f>AVERAGEIF(DataQ!$C:$C,DataCY!$A43,DataQ!F:F)</f>
        <v>31775.25</v>
      </c>
      <c r="D43">
        <f>SUMIF(DataQ!$C:$C,DataCY!$A43,DataQ!G:G)</f>
        <v>29704.472999999998</v>
      </c>
      <c r="E43">
        <f>AVERAGEIF(DataQ!$C:$C,DataCY!$A43,DataQ!H:H)</f>
        <v>4.95</v>
      </c>
      <c r="F43">
        <f>SUMIF(DataQ!$C:$C,DataCY!$A43,DataQ!I:I)</f>
        <v>1541145</v>
      </c>
      <c r="G43">
        <f>SUMIF(DataQ!$C:$C,DataCY!$A43,DataQ!J:J)</f>
        <v>88824</v>
      </c>
      <c r="H43">
        <f>SUMIF(DataQ!$C:$C,DataCY!$A43,DataQ!K:K)</f>
        <v>2338825</v>
      </c>
      <c r="I43">
        <f>AVERAGEIF(DataQ!$C:$C,DataCY!$A43,DataQ!L:L)</f>
        <v>31775.25</v>
      </c>
      <c r="J43">
        <f>SUMIF(DataQ!$C:$C,DataCY!$A43,DataQ!M:M)</f>
        <v>29704.472999999998</v>
      </c>
      <c r="K43">
        <f>AVERAGEIF(DataQ!$C:$C,DataCY!$A43,DataQ!N:N)</f>
        <v>4.95</v>
      </c>
      <c r="L43">
        <f>SUMIF(DataQ!$C:$C,DataCY!$A43,DataQ!O:O)</f>
        <v>1541145</v>
      </c>
      <c r="M43">
        <f>SUMIF(DataQ!$C:$C,DataCY!$A43,DataQ!P:P)</f>
        <v>88824</v>
      </c>
    </row>
    <row r="44" spans="1:13">
      <c r="A44">
        <f t="shared" si="0"/>
        <v>2017</v>
      </c>
      <c r="B44">
        <f>SUMIF(DataQ!$C:$C,DataCY!$A44,DataQ!E:E)</f>
        <v>2400956</v>
      </c>
      <c r="C44">
        <f>AVERAGEIF(DataQ!$C:$C,DataCY!$A44,DataQ!F:F)</f>
        <v>32087</v>
      </c>
      <c r="D44">
        <f>SUMIF(DataQ!$C:$C,DataCY!$A44,DataQ!G:G)</f>
        <v>30565.785</v>
      </c>
      <c r="E44">
        <f>AVERAGEIF(DataQ!$C:$C,DataCY!$A44,DataQ!H:H)</f>
        <v>4.4499999999999993</v>
      </c>
      <c r="F44">
        <f>SUMIF(DataQ!$C:$C,DataCY!$A44,DataQ!I:I)</f>
        <v>1554849</v>
      </c>
      <c r="G44">
        <f>SUMIF(DataQ!$C:$C,DataCY!$A44,DataQ!J:J)</f>
        <v>94661</v>
      </c>
      <c r="H44">
        <f>SUMIF(DataQ!$C:$C,DataCY!$A44,DataQ!K:K)</f>
        <v>2400956</v>
      </c>
      <c r="I44">
        <f>AVERAGEIF(DataQ!$C:$C,DataCY!$A44,DataQ!L:L)</f>
        <v>32087</v>
      </c>
      <c r="J44">
        <f>SUMIF(DataQ!$C:$C,DataCY!$A44,DataQ!M:M)</f>
        <v>30565.785</v>
      </c>
      <c r="K44">
        <f>AVERAGEIF(DataQ!$C:$C,DataCY!$A44,DataQ!N:N)</f>
        <v>4.4499999999999993</v>
      </c>
      <c r="L44">
        <f>SUMIF(DataQ!$C:$C,DataCY!$A44,DataQ!O:O)</f>
        <v>1554849</v>
      </c>
      <c r="M44">
        <f>SUMIF(DataQ!$C:$C,DataCY!$A44,DataQ!P:P)</f>
        <v>94661</v>
      </c>
    </row>
    <row r="45" spans="1:13">
      <c r="A45">
        <f t="shared" si="0"/>
        <v>2018</v>
      </c>
      <c r="B45">
        <f>SUMIF(DataQ!$C:$C,DataCY!$A45,DataQ!E:E)</f>
        <v>2434694</v>
      </c>
      <c r="C45">
        <f>AVERAGEIF(DataQ!$C:$C,DataCY!$A45,DataQ!F:F)</f>
        <v>32458.25</v>
      </c>
      <c r="D45">
        <f>SUMIF(DataQ!$C:$C,DataCY!$A45,DataQ!G:G)</f>
        <v>31369.856999999996</v>
      </c>
      <c r="E45">
        <f>AVERAGEIF(DataQ!$C:$C,DataCY!$A45,DataQ!H:H)</f>
        <v>4.1749999999999989</v>
      </c>
      <c r="F45">
        <f>SUMIF(DataQ!$C:$C,DataCY!$A45,DataQ!I:I)</f>
        <v>1585687</v>
      </c>
      <c r="G45">
        <f>SUMIF(DataQ!$C:$C,DataCY!$A45,DataQ!J:J)</f>
        <v>98064</v>
      </c>
      <c r="H45">
        <f>SUMIF(DataQ!$C:$C,DataCY!$A45,DataQ!K:K)</f>
        <v>2434694</v>
      </c>
      <c r="I45">
        <f>AVERAGEIF(DataQ!$C:$C,DataCY!$A45,DataQ!L:L)</f>
        <v>32458.25</v>
      </c>
      <c r="J45">
        <f>SUMIF(DataQ!$C:$C,DataCY!$A45,DataQ!M:M)</f>
        <v>31369.856999999996</v>
      </c>
      <c r="K45">
        <f>AVERAGEIF(DataQ!$C:$C,DataCY!$A45,DataQ!N:N)</f>
        <v>4.1749999999999989</v>
      </c>
      <c r="L45">
        <f>SUMIF(DataQ!$C:$C,DataCY!$A45,DataQ!O:O)</f>
        <v>1585687</v>
      </c>
      <c r="M45">
        <f>SUMIF(DataQ!$C:$C,DataCY!$A45,DataQ!P:P)</f>
        <v>98064</v>
      </c>
    </row>
    <row r="46" spans="1:13">
      <c r="A46">
        <f t="shared" si="0"/>
        <v>2019</v>
      </c>
      <c r="B46">
        <f>SUMIF(DataQ!$C:$C,DataCY!$A46,DataQ!E:E)</f>
        <v>2474245</v>
      </c>
      <c r="C46">
        <f>AVERAGEIF(DataQ!$C:$C,DataCY!$A46,DataQ!F:F)</f>
        <v>32823.25</v>
      </c>
      <c r="D46">
        <f>SUMIF(DataQ!$C:$C,DataCY!$A46,DataQ!G:G)</f>
        <v>32270.992000000002</v>
      </c>
      <c r="E46">
        <f>AVERAGEIF(DataQ!$C:$C,DataCY!$A46,DataQ!H:H)</f>
        <v>3.9250000000000003</v>
      </c>
      <c r="F46">
        <f>SUMIF(DataQ!$C:$C,DataCY!$A46,DataQ!I:I)</f>
        <v>1618241</v>
      </c>
      <c r="G46">
        <f>SUMIF(DataQ!$C:$C,DataCY!$A46,DataQ!J:J)</f>
        <v>106936</v>
      </c>
      <c r="H46">
        <f>SUMIF(DataQ!$C:$C,DataCY!$A46,DataQ!K:K)</f>
        <v>2474245</v>
      </c>
      <c r="I46">
        <f>AVERAGEIF(DataQ!$C:$C,DataCY!$A46,DataQ!L:L)</f>
        <v>32823.25</v>
      </c>
      <c r="J46">
        <f>SUMIF(DataQ!$C:$C,DataCY!$A46,DataQ!M:M)</f>
        <v>32270.992000000002</v>
      </c>
      <c r="K46">
        <f>AVERAGEIF(DataQ!$C:$C,DataCY!$A46,DataQ!N:N)</f>
        <v>3.9250000000000003</v>
      </c>
      <c r="L46">
        <f>SUMIF(DataQ!$C:$C,DataCY!$A46,DataQ!O:O)</f>
        <v>1618241</v>
      </c>
      <c r="M46">
        <f>SUMIF(DataQ!$C:$C,DataCY!$A46,DataQ!P:P)</f>
        <v>106936</v>
      </c>
    </row>
    <row r="47" spans="1:13">
      <c r="A47">
        <f t="shared" si="0"/>
        <v>2020</v>
      </c>
      <c r="B47">
        <f>SUMIF(DataQ!$C:$C,DataCY!$A47,DataQ!E:E)</f>
        <v>2219474</v>
      </c>
      <c r="C47">
        <f>AVERAGEIF(DataQ!$C:$C,DataCY!$A47,DataQ!F:F)</f>
        <v>32530.75</v>
      </c>
      <c r="D47">
        <f>SUMIF(DataQ!$C:$C,DataCY!$A47,DataQ!G:G)</f>
        <v>32155.570999999996</v>
      </c>
      <c r="E47">
        <f>AVERAGEIF(DataQ!$C:$C,DataCY!$A47,DataQ!H:H)</f>
        <v>4.6500000000000004</v>
      </c>
      <c r="F47">
        <f>SUMIF(DataQ!$C:$C,DataCY!$A47,DataQ!I:I)</f>
        <v>1612140</v>
      </c>
      <c r="G47">
        <f>SUMIF(DataQ!$C:$C,DataCY!$A47,DataQ!J:J)</f>
        <v>111307</v>
      </c>
      <c r="H47">
        <f>SUMIF(DataQ!$C:$C,DataCY!$A47,DataQ!K:K)</f>
        <v>2219474</v>
      </c>
      <c r="I47">
        <f>AVERAGEIF(DataQ!$C:$C,DataCY!$A47,DataQ!L:L)</f>
        <v>32530.75</v>
      </c>
      <c r="J47">
        <f>SUMIF(DataQ!$C:$C,DataCY!$A47,DataQ!M:M)</f>
        <v>32155.570999999996</v>
      </c>
      <c r="K47">
        <f>AVERAGEIF(DataQ!$C:$C,DataCY!$A47,DataQ!N:N)</f>
        <v>4.6500000000000004</v>
      </c>
      <c r="L47">
        <f>SUMIF(DataQ!$C:$C,DataCY!$A47,DataQ!O:O)</f>
        <v>1612140</v>
      </c>
      <c r="M47">
        <f>SUMIF(DataQ!$C:$C,DataCY!$A47,DataQ!P:P)</f>
        <v>111307</v>
      </c>
    </row>
    <row r="48" spans="1:13">
      <c r="A48">
        <f t="shared" si="0"/>
        <v>2021</v>
      </c>
      <c r="B48">
        <f>SUMIF(DataQ!$C:$C,DataCY!$A48,DataQ!E:E)</f>
        <v>2409815</v>
      </c>
      <c r="C48">
        <f>AVERAGEIF(DataQ!$C:$C,DataCY!$A48,DataQ!F:F)</f>
        <v>32492.75</v>
      </c>
      <c r="D48">
        <f>SUMIF(DataQ!$C:$C,DataCY!$A48,DataQ!G:G)</f>
        <v>33837.377999999997</v>
      </c>
      <c r="E48">
        <f>AVERAGEIF(DataQ!$C:$C,DataCY!$A48,DataQ!H:H)</f>
        <v>4.625</v>
      </c>
      <c r="F48">
        <f>SUMIF(DataQ!$C:$C,DataCY!$A48,DataQ!I:I)</f>
        <v>1637886</v>
      </c>
      <c r="G48">
        <f>SUMIF(DataQ!$C:$C,DataCY!$A48,DataQ!J:J)</f>
        <v>121092</v>
      </c>
      <c r="H48">
        <f>SUMIF(DataQ!$C:$C,DataCY!$A48,DataQ!K:K)</f>
        <v>2409815</v>
      </c>
      <c r="I48">
        <f>AVERAGEIF(DataQ!$C:$C,DataCY!$A48,DataQ!L:L)</f>
        <v>32492.75</v>
      </c>
      <c r="J48">
        <f>SUMIF(DataQ!$C:$C,DataCY!$A48,DataQ!M:M)</f>
        <v>33837.377999999997</v>
      </c>
      <c r="K48">
        <f>AVERAGEIF(DataQ!$C:$C,DataCY!$A48,DataQ!N:N)</f>
        <v>4.625</v>
      </c>
      <c r="L48">
        <f>SUMIF(DataQ!$C:$C,DataCY!$A48,DataQ!O:O)</f>
        <v>1637886</v>
      </c>
      <c r="M48">
        <f>SUMIF(DataQ!$C:$C,DataCY!$A48,DataQ!P:P)</f>
        <v>121092</v>
      </c>
    </row>
    <row r="49" spans="1:13">
      <c r="A49">
        <f t="shared" si="0"/>
        <v>2022</v>
      </c>
      <c r="B49">
        <f>SUMIF(DataQ!$C:$C,DataCY!$A49,DataQ!E:E)</f>
        <v>2526428</v>
      </c>
      <c r="C49">
        <f>AVERAGEIF(DataQ!$C:$C,DataCY!$A49,DataQ!F:F)</f>
        <v>32929</v>
      </c>
      <c r="D49">
        <f>SUMIF(DataQ!$C:$C,DataCY!$A49,DataQ!G:G)</f>
        <v>35780.388999999996</v>
      </c>
      <c r="E49">
        <f>AVERAGEIF(DataQ!$C:$C,DataCY!$A49,DataQ!H:H)</f>
        <v>3.875</v>
      </c>
      <c r="F49">
        <f>SUMIF(DataQ!$C:$C,DataCY!$A49,DataQ!I:I)</f>
        <v>1609218</v>
      </c>
      <c r="G49">
        <f>SUMIF(DataQ!$C:$C,DataCY!$A49,DataQ!J:J)</f>
        <v>137932</v>
      </c>
      <c r="H49">
        <f>SUMIF(DataQ!$C:$C,DataCY!$A49,DataQ!K:K)</f>
        <v>2526428</v>
      </c>
      <c r="I49">
        <f>AVERAGEIF(DataQ!$C:$C,DataCY!$A49,DataQ!L:L)</f>
        <v>32929</v>
      </c>
      <c r="J49">
        <f>SUMIF(DataQ!$C:$C,DataCY!$A49,DataQ!M:M)</f>
        <v>35780.388999999996</v>
      </c>
      <c r="K49">
        <f>AVERAGEIF(DataQ!$C:$C,DataCY!$A49,DataQ!N:N)</f>
        <v>3.875</v>
      </c>
      <c r="L49">
        <f>SUMIF(DataQ!$C:$C,DataCY!$A49,DataQ!O:O)</f>
        <v>1609218</v>
      </c>
      <c r="M49">
        <f>SUMIF(DataQ!$C:$C,DataCY!$A49,DataQ!P:P)</f>
        <v>137932</v>
      </c>
    </row>
    <row r="50" spans="1:13">
      <c r="A50">
        <f t="shared" si="0"/>
        <v>2023</v>
      </c>
      <c r="B50">
        <f>SUMIF(DataQ!$C:$C,DataCY!$A50,DataQ!E:E)</f>
        <v>2535017</v>
      </c>
      <c r="C50">
        <f>AVERAGEIF(DataQ!$C:$C,DataCY!$A50,DataQ!F:F)</f>
        <v>33160</v>
      </c>
      <c r="D50">
        <f>SUMIF(DataQ!$C:$C,DataCY!$A50,DataQ!G:G)</f>
        <v>38666.909</v>
      </c>
      <c r="E50">
        <f>AVERAGEIF(DataQ!$C:$C,DataCY!$A50,DataQ!H:H)</f>
        <v>4.0249999999999995</v>
      </c>
      <c r="F50">
        <f>SUMIF(DataQ!$C:$C,DataCY!$A50,DataQ!I:I)</f>
        <v>1647850</v>
      </c>
      <c r="G50">
        <f>SUMIF(DataQ!$C:$C,DataCY!$A50,DataQ!J:J)</f>
        <v>143256</v>
      </c>
      <c r="H50">
        <f>SUMIF(DataQ!$C:$C,DataCY!$A50,DataQ!K:K)</f>
        <v>2535017</v>
      </c>
      <c r="I50">
        <f>AVERAGEIF(DataQ!$C:$C,DataCY!$A50,DataQ!L:L)</f>
        <v>33160</v>
      </c>
      <c r="J50">
        <f>SUMIF(DataQ!$C:$C,DataCY!$A50,DataQ!M:M)</f>
        <v>38666.909</v>
      </c>
      <c r="K50">
        <f>AVERAGEIF(DataQ!$C:$C,DataCY!$A50,DataQ!N:N)</f>
        <v>4.0249999999999995</v>
      </c>
      <c r="L50">
        <f>SUMIF(DataQ!$C:$C,DataCY!$A50,DataQ!O:O)</f>
        <v>1647850</v>
      </c>
      <c r="M50">
        <f>SUMIF(DataQ!$C:$C,DataCY!$A50,DataQ!P:P)</f>
        <v>143256</v>
      </c>
    </row>
    <row r="51" spans="1:13">
      <c r="A51">
        <f t="shared" si="0"/>
        <v>2024</v>
      </c>
      <c r="B51">
        <f>SUMIF(DataQ!$C:$C,DataCY!$A51,DataQ!E:E)</f>
        <v>2559927.7999999998</v>
      </c>
      <c r="C51">
        <f>AVERAGEIF(DataQ!$C:$C,DataCY!$A51,DataQ!F:F)</f>
        <v>33138.705000000002</v>
      </c>
      <c r="D51">
        <f>SUMIF(DataQ!$C:$C,DataCY!$A51,DataQ!G:G)</f>
        <v>40308.385999999999</v>
      </c>
      <c r="E51">
        <f>AVERAGEIF(DataQ!$C:$C,DataCY!$A51,DataQ!H:H)</f>
        <v>4.2879467499999997</v>
      </c>
      <c r="F51">
        <f>SUMIF(DataQ!$C:$C,DataCY!$A51,DataQ!I:I)</f>
        <v>1701267</v>
      </c>
      <c r="G51">
        <f>SUMIF(DataQ!$C:$C,DataCY!$A51,DataQ!J:J)</f>
        <v>152818.94</v>
      </c>
      <c r="H51">
        <f>SUMIF(DataQ!$C:$C,DataCY!$A51,DataQ!K:K)</f>
        <v>2559927.7999999998</v>
      </c>
      <c r="I51">
        <f>AVERAGEIF(DataQ!$C:$C,DataCY!$A51,DataQ!L:L)</f>
        <v>33138.705000000002</v>
      </c>
      <c r="J51">
        <f>SUMIF(DataQ!$C:$C,DataCY!$A51,DataQ!M:M)</f>
        <v>40308.385999999999</v>
      </c>
      <c r="K51">
        <f>AVERAGEIF(DataQ!$C:$C,DataCY!$A51,DataQ!N:N)</f>
        <v>4.2879467499999997</v>
      </c>
      <c r="L51">
        <f>SUMIF(DataQ!$C:$C,DataCY!$A51,DataQ!O:O)</f>
        <v>1701267</v>
      </c>
      <c r="M51">
        <f>SUMIF(DataQ!$C:$C,DataCY!$A51,DataQ!P:P)</f>
        <v>152818.94</v>
      </c>
    </row>
    <row r="52" spans="1:13">
      <c r="A52">
        <f t="shared" si="0"/>
        <v>2025</v>
      </c>
      <c r="B52">
        <f>SUMIF(DataQ!$C:$C,DataCY!$A52,DataQ!E:E)</f>
        <v>2599199.9</v>
      </c>
      <c r="C52">
        <f>AVERAGEIF(DataQ!$C:$C,DataCY!$A52,DataQ!F:F)</f>
        <v>33430.337500000001</v>
      </c>
      <c r="D52">
        <f>SUMIF(DataQ!$C:$C,DataCY!$A52,DataQ!G:G)</f>
        <v>41739.919999999998</v>
      </c>
      <c r="E52">
        <f>AVERAGEIF(DataQ!$C:$C,DataCY!$A52,DataQ!H:H)</f>
        <v>4.3347962500000001</v>
      </c>
      <c r="F52">
        <f>SUMIF(DataQ!$C:$C,DataCY!$A52,DataQ!I:I)</f>
        <v>1728007.4</v>
      </c>
      <c r="G52">
        <f>SUMIF(DataQ!$C:$C,DataCY!$A52,DataQ!J:J)</f>
        <v>157763.24</v>
      </c>
      <c r="H52">
        <f>SUMIF(DataQ!$C:$C,DataCY!$A52,DataQ!K:K)</f>
        <v>2595669</v>
      </c>
      <c r="I52">
        <f>AVERAGEIF(DataQ!$C:$C,DataCY!$A52,DataQ!L:L)</f>
        <v>33403.509999999995</v>
      </c>
      <c r="J52">
        <f>SUMIF(DataQ!$C:$C,DataCY!$A52,DataQ!M:M)</f>
        <v>41710.51</v>
      </c>
      <c r="K52">
        <f>AVERAGEIF(DataQ!$C:$C,DataCY!$A52,DataQ!N:N)</f>
        <v>4.4113922499999996</v>
      </c>
      <c r="L52">
        <f>SUMIF(DataQ!$C:$C,DataCY!$A52,DataQ!O:O)</f>
        <v>1724383.3</v>
      </c>
      <c r="M52">
        <f>SUMIF(DataQ!$C:$C,DataCY!$A52,DataQ!P:P)</f>
        <v>175320.8</v>
      </c>
    </row>
    <row r="53" spans="1:13">
      <c r="A53">
        <f t="shared" si="0"/>
        <v>2026</v>
      </c>
      <c r="B53">
        <f>SUMIF(DataQ!$C:$C,DataCY!$A53,DataQ!E:E)</f>
        <v>2641599.4000000004</v>
      </c>
      <c r="C53">
        <f>AVERAGEIF(DataQ!$C:$C,DataCY!$A53,DataQ!F:F)</f>
        <v>33874.042499999996</v>
      </c>
      <c r="D53">
        <f>SUMIF(DataQ!$C:$C,DataCY!$A53,DataQ!G:G)</f>
        <v>42860.7</v>
      </c>
      <c r="E53">
        <f>AVERAGEIF(DataQ!$C:$C,DataCY!$A53,DataQ!H:H)</f>
        <v>4.1271620000000002</v>
      </c>
      <c r="F53">
        <f>SUMIF(DataQ!$C:$C,DataCY!$A53,DataQ!I:I)</f>
        <v>1753976.7</v>
      </c>
      <c r="G53">
        <f>SUMIF(DataQ!$C:$C,DataCY!$A53,DataQ!J:J)</f>
        <v>164524.54999999999</v>
      </c>
      <c r="H53">
        <f>SUMIF(DataQ!$C:$C,DataCY!$A53,DataQ!K:K)</f>
        <v>2634793.7999999998</v>
      </c>
      <c r="I53">
        <f>AVERAGEIF(DataQ!$C:$C,DataCY!$A53,DataQ!L:L)</f>
        <v>33820.61</v>
      </c>
      <c r="J53">
        <f>SUMIF(DataQ!$C:$C,DataCY!$A53,DataQ!M:M)</f>
        <v>42779.31</v>
      </c>
      <c r="K53">
        <f>AVERAGEIF(DataQ!$C:$C,DataCY!$A53,DataQ!N:N)</f>
        <v>4.2783832500000001</v>
      </c>
      <c r="L53">
        <f>SUMIF(DataQ!$C:$C,DataCY!$A53,DataQ!O:O)</f>
        <v>1746831.0000000002</v>
      </c>
      <c r="M53">
        <f>SUMIF(DataQ!$C:$C,DataCY!$A53,DataQ!P:P)</f>
        <v>187589.46</v>
      </c>
    </row>
    <row r="54" spans="1:13">
      <c r="A54">
        <f t="shared" si="0"/>
        <v>2027</v>
      </c>
      <c r="B54">
        <f>SUMIF(DataQ!$C:$C,DataCY!$A54,DataQ!E:E)</f>
        <v>2685362</v>
      </c>
      <c r="C54">
        <f>AVERAGEIF(DataQ!$C:$C,DataCY!$A54,DataQ!F:F)</f>
        <v>34275.1325</v>
      </c>
      <c r="D54">
        <f>SUMIF(DataQ!$C:$C,DataCY!$A54,DataQ!G:G)</f>
        <v>43970.62</v>
      </c>
      <c r="E54">
        <f>AVERAGEIF(DataQ!$C:$C,DataCY!$A54,DataQ!H:H)</f>
        <v>3.940423</v>
      </c>
      <c r="F54">
        <f>SUMIF(DataQ!$C:$C,DataCY!$A54,DataQ!I:I)</f>
        <v>1776296.8</v>
      </c>
      <c r="G54">
        <f>SUMIF(DataQ!$C:$C,DataCY!$A54,DataQ!J:J)</f>
        <v>171817.2</v>
      </c>
      <c r="H54">
        <f>SUMIF(DataQ!$C:$C,DataCY!$A54,DataQ!K:K)</f>
        <v>2679156.9000000004</v>
      </c>
      <c r="I54">
        <f>AVERAGEIF(DataQ!$C:$C,DataCY!$A54,DataQ!L:L)</f>
        <v>34229.767500000002</v>
      </c>
      <c r="J54">
        <f>SUMIF(DataQ!$C:$C,DataCY!$A54,DataQ!M:M)</f>
        <v>43892.160000000003</v>
      </c>
      <c r="K54">
        <f>AVERAGEIF(DataQ!$C:$C,DataCY!$A54,DataQ!N:N)</f>
        <v>4.0675902500000003</v>
      </c>
      <c r="L54">
        <f>SUMIF(DataQ!$C:$C,DataCY!$A54,DataQ!O:O)</f>
        <v>1768571.0999999999</v>
      </c>
      <c r="M54">
        <f>SUMIF(DataQ!$C:$C,DataCY!$A54,DataQ!P:P)</f>
        <v>195266.73</v>
      </c>
    </row>
    <row r="55" spans="1:13">
      <c r="A55">
        <f t="shared" si="0"/>
        <v>2028</v>
      </c>
      <c r="B55">
        <f>SUMIF(DataQ!$C:$C,DataCY!$A55,DataQ!E:E)</f>
        <v>2729599.8</v>
      </c>
      <c r="C55">
        <f>AVERAGEIF(DataQ!$C:$C,DataCY!$A55,DataQ!F:F)</f>
        <v>34669.897500000006</v>
      </c>
      <c r="D55">
        <f>SUMIF(DataQ!$C:$C,DataCY!$A55,DataQ!G:G)</f>
        <v>45110.009999999995</v>
      </c>
      <c r="E55">
        <f>AVERAGEIF(DataQ!$C:$C,DataCY!$A55,DataQ!H:H)</f>
        <v>3.7972135000000007</v>
      </c>
      <c r="F55">
        <f>SUMIF(DataQ!$C:$C,DataCY!$A55,DataQ!I:I)</f>
        <v>1805721</v>
      </c>
      <c r="G55">
        <f>SUMIF(DataQ!$C:$C,DataCY!$A55,DataQ!J:J)</f>
        <v>178652.46</v>
      </c>
      <c r="H55">
        <f>SUMIF(DataQ!$C:$C,DataCY!$A55,DataQ!K:K)</f>
        <v>2724109.2</v>
      </c>
      <c r="I55">
        <f>AVERAGEIF(DataQ!$C:$C,DataCY!$A55,DataQ!L:L)</f>
        <v>34633.960000000006</v>
      </c>
      <c r="J55">
        <f>SUMIF(DataQ!$C:$C,DataCY!$A55,DataQ!M:M)</f>
        <v>45046.39</v>
      </c>
      <c r="K55">
        <f>AVERAGEIF(DataQ!$C:$C,DataCY!$A55,DataQ!N:N)</f>
        <v>3.89694925</v>
      </c>
      <c r="L55">
        <f>SUMIF(DataQ!$C:$C,DataCY!$A55,DataQ!O:O)</f>
        <v>1798049.6</v>
      </c>
      <c r="M55">
        <f>SUMIF(DataQ!$C:$C,DataCY!$A55,DataQ!P:P)</f>
        <v>202901.57</v>
      </c>
    </row>
    <row r="56" spans="1:13">
      <c r="A56">
        <f t="shared" si="0"/>
        <v>2029</v>
      </c>
      <c r="B56">
        <f>SUMIF(DataQ!$C:$C,DataCY!$A56,DataQ!E:E)</f>
        <v>2773606.0999999996</v>
      </c>
      <c r="C56">
        <f>AVERAGEIF(DataQ!$C:$C,DataCY!$A56,DataQ!F:F)</f>
        <v>35019.357500000006</v>
      </c>
      <c r="D56">
        <f>SUMIF(DataQ!$C:$C,DataCY!$A56,DataQ!G:G)</f>
        <v>46305.22</v>
      </c>
      <c r="E56">
        <f>AVERAGEIF(DataQ!$C:$C,DataCY!$A56,DataQ!H:H)</f>
        <v>3.7498889999999996</v>
      </c>
      <c r="F56">
        <f>SUMIF(DataQ!$C:$C,DataCY!$A56,DataQ!I:I)</f>
        <v>1836101.0999999999</v>
      </c>
      <c r="G56">
        <f>SUMIF(DataQ!$C:$C,DataCY!$A56,DataQ!J:J)</f>
        <v>185508.05</v>
      </c>
      <c r="H56">
        <f>SUMIF(DataQ!$C:$C,DataCY!$A56,DataQ!K:K)</f>
        <v>2769096.2</v>
      </c>
      <c r="I56">
        <f>AVERAGEIF(DataQ!$C:$C,DataCY!$A56,DataQ!L:L)</f>
        <v>34992.587500000001</v>
      </c>
      <c r="J56">
        <f>SUMIF(DataQ!$C:$C,DataCY!$A56,DataQ!M:M)</f>
        <v>46256.21</v>
      </c>
      <c r="K56">
        <f>AVERAGEIF(DataQ!$C:$C,DataCY!$A56,DataQ!N:N)</f>
        <v>3.8234867499999998</v>
      </c>
      <c r="L56">
        <f>SUMIF(DataQ!$C:$C,DataCY!$A56,DataQ!O:O)</f>
        <v>1828733.4</v>
      </c>
      <c r="M56">
        <f>SUMIF(DataQ!$C:$C,DataCY!$A56,DataQ!P:P)</f>
        <v>210643.56</v>
      </c>
    </row>
    <row r="57" spans="1:13">
      <c r="A57">
        <f t="shared" si="0"/>
        <v>2030</v>
      </c>
      <c r="B57">
        <f>SUMIF(DataQ!$C:$C,DataCY!$A57,DataQ!E:E)</f>
        <v>2818253</v>
      </c>
      <c r="C57">
        <f>AVERAGEIF(DataQ!$C:$C,DataCY!$A57,DataQ!F:F)</f>
        <v>35334.71</v>
      </c>
      <c r="D57">
        <f>SUMIF(DataQ!$C:$C,DataCY!$A57,DataQ!G:G)</f>
        <v>47557.090000000004</v>
      </c>
      <c r="E57">
        <f>AVERAGEIF(DataQ!$C:$C,DataCY!$A57,DataQ!H:H)</f>
        <v>3.7498765000000001</v>
      </c>
      <c r="F57">
        <f>SUMIF(DataQ!$C:$C,DataCY!$A57,DataQ!I:I)</f>
        <v>1864950.2000000002</v>
      </c>
      <c r="G57">
        <f>SUMIF(DataQ!$C:$C,DataCY!$A57,DataQ!J:J)</f>
        <v>192243.25</v>
      </c>
      <c r="H57">
        <f>SUMIF(DataQ!$C:$C,DataCY!$A57,DataQ!K:K)</f>
        <v>2814919.6999999997</v>
      </c>
      <c r="I57">
        <f>AVERAGEIF(DataQ!$C:$C,DataCY!$A57,DataQ!L:L)</f>
        <v>35317.572499999995</v>
      </c>
      <c r="J57">
        <f>SUMIF(DataQ!$C:$C,DataCY!$A57,DataQ!M:M)</f>
        <v>47524.579999999994</v>
      </c>
      <c r="K57">
        <f>AVERAGEIF(DataQ!$C:$C,DataCY!$A57,DataQ!N:N)</f>
        <v>3.79656525</v>
      </c>
      <c r="L57">
        <f>SUMIF(DataQ!$C:$C,DataCY!$A57,DataQ!O:O)</f>
        <v>1858103.2</v>
      </c>
      <c r="M57">
        <f>SUMIF(DataQ!$C:$C,DataCY!$A57,DataQ!P:P)</f>
        <v>218049.84000000003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62D6-4D93-4C5F-81CE-888D6F665866}">
  <dimension ref="A1:CQ31"/>
  <sheetViews>
    <sheetView workbookViewId="0">
      <pane xSplit="1" ySplit="7" topLeftCell="AZ11" activePane="bottomRight" state="frozen"/>
      <selection pane="topRight" activeCell="B1" sqref="B1"/>
      <selection pane="bottomLeft" activeCell="A7" sqref="A7"/>
      <selection pane="bottomRight" activeCell="BM30" sqref="BM30"/>
    </sheetView>
  </sheetViews>
  <sheetFormatPr defaultRowHeight="15"/>
  <cols>
    <col min="2" max="63" width="16.7109375" customWidth="1"/>
    <col min="64" max="64" width="2.7109375" customWidth="1"/>
  </cols>
  <sheetData>
    <row r="1" spans="1:65">
      <c r="B1" t="s">
        <v>342</v>
      </c>
      <c r="C1" t="s">
        <v>342</v>
      </c>
      <c r="D1" t="s">
        <v>342</v>
      </c>
      <c r="E1" t="s">
        <v>342</v>
      </c>
      <c r="F1" t="s">
        <v>342</v>
      </c>
      <c r="G1" t="s">
        <v>342</v>
      </c>
      <c r="H1" t="s">
        <v>342</v>
      </c>
      <c r="I1" t="s">
        <v>342</v>
      </c>
      <c r="J1" t="s">
        <v>342</v>
      </c>
      <c r="K1" t="s">
        <v>342</v>
      </c>
      <c r="L1" t="s">
        <v>342</v>
      </c>
      <c r="M1" t="s">
        <v>342</v>
      </c>
      <c r="N1" t="s">
        <v>342</v>
      </c>
      <c r="O1" t="s">
        <v>342</v>
      </c>
      <c r="P1" t="s">
        <v>342</v>
      </c>
      <c r="Q1" t="s">
        <v>342</v>
      </c>
      <c r="R1" t="s">
        <v>342</v>
      </c>
      <c r="S1" t="s">
        <v>342</v>
      </c>
      <c r="T1" t="s">
        <v>342</v>
      </c>
      <c r="U1" t="s">
        <v>342</v>
      </c>
      <c r="V1" t="s">
        <v>342</v>
      </c>
      <c r="W1" t="s">
        <v>342</v>
      </c>
      <c r="X1" t="s">
        <v>342</v>
      </c>
      <c r="Y1" t="s">
        <v>342</v>
      </c>
      <c r="Z1" t="s">
        <v>342</v>
      </c>
      <c r="AA1" t="s">
        <v>342</v>
      </c>
      <c r="AB1" t="s">
        <v>342</v>
      </c>
      <c r="AC1" t="s">
        <v>342</v>
      </c>
      <c r="AD1" t="s">
        <v>342</v>
      </c>
      <c r="AE1" t="s">
        <v>342</v>
      </c>
      <c r="AF1" t="s">
        <v>342</v>
      </c>
      <c r="AG1" t="s">
        <v>10</v>
      </c>
      <c r="AH1" t="s">
        <v>10</v>
      </c>
      <c r="AI1" t="s">
        <v>10</v>
      </c>
      <c r="AJ1" t="s">
        <v>10</v>
      </c>
      <c r="AK1" t="s">
        <v>10</v>
      </c>
      <c r="AL1" t="s">
        <v>10</v>
      </c>
      <c r="AM1" t="s">
        <v>10</v>
      </c>
      <c r="AN1" t="s">
        <v>10</v>
      </c>
      <c r="AO1" t="s">
        <v>10</v>
      </c>
      <c r="AP1" t="s">
        <v>10</v>
      </c>
      <c r="AQ1" t="s">
        <v>10</v>
      </c>
      <c r="AR1" t="s">
        <v>10</v>
      </c>
      <c r="AS1" t="s">
        <v>10</v>
      </c>
      <c r="AT1" t="s">
        <v>10</v>
      </c>
      <c r="AU1" t="s">
        <v>10</v>
      </c>
      <c r="AV1" t="s">
        <v>10</v>
      </c>
      <c r="AW1" t="s">
        <v>10</v>
      </c>
      <c r="AX1" t="s">
        <v>10</v>
      </c>
      <c r="AY1" t="s">
        <v>10</v>
      </c>
      <c r="AZ1" t="s">
        <v>10</v>
      </c>
      <c r="BA1" t="s">
        <v>10</v>
      </c>
      <c r="BB1" t="s">
        <v>10</v>
      </c>
      <c r="BC1" t="s">
        <v>10</v>
      </c>
      <c r="BD1" t="s">
        <v>10</v>
      </c>
      <c r="BE1" t="s">
        <v>10</v>
      </c>
      <c r="BF1" t="s">
        <v>10</v>
      </c>
      <c r="BG1" t="s">
        <v>10</v>
      </c>
      <c r="BH1" t="s">
        <v>10</v>
      </c>
      <c r="BI1" t="s">
        <v>10</v>
      </c>
      <c r="BJ1" t="s">
        <v>10</v>
      </c>
      <c r="BK1" t="s">
        <v>10</v>
      </c>
      <c r="BM1" t="s">
        <v>343</v>
      </c>
    </row>
    <row r="2" spans="1:65">
      <c r="A2" s="110" t="s">
        <v>220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I2" t="s">
        <v>165</v>
      </c>
      <c r="J2" t="s">
        <v>166</v>
      </c>
      <c r="K2" t="s">
        <v>167</v>
      </c>
      <c r="L2" t="s">
        <v>168</v>
      </c>
      <c r="M2" t="s">
        <v>169</v>
      </c>
      <c r="N2" t="s">
        <v>170</v>
      </c>
      <c r="O2" t="s">
        <v>171</v>
      </c>
      <c r="P2" t="s">
        <v>172</v>
      </c>
      <c r="Q2" t="s">
        <v>173</v>
      </c>
      <c r="R2" t="s">
        <v>174</v>
      </c>
      <c r="S2" t="s">
        <v>175</v>
      </c>
      <c r="T2" t="s">
        <v>176</v>
      </c>
      <c r="U2" t="s">
        <v>177</v>
      </c>
      <c r="V2" t="s">
        <v>178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188</v>
      </c>
      <c r="AG2" t="s">
        <v>189</v>
      </c>
      <c r="AH2" t="s">
        <v>190</v>
      </c>
      <c r="AI2" t="s">
        <v>191</v>
      </c>
      <c r="AJ2" t="s">
        <v>192</v>
      </c>
      <c r="AK2" t="s">
        <v>193</v>
      </c>
      <c r="AL2" t="s">
        <v>194</v>
      </c>
      <c r="AM2" t="s">
        <v>195</v>
      </c>
      <c r="AN2" t="s">
        <v>196</v>
      </c>
      <c r="AO2" t="s">
        <v>197</v>
      </c>
      <c r="AP2" t="s">
        <v>198</v>
      </c>
      <c r="AQ2" t="s">
        <v>199</v>
      </c>
      <c r="AR2" t="s">
        <v>200</v>
      </c>
      <c r="AS2" t="s">
        <v>201</v>
      </c>
      <c r="AT2" t="s">
        <v>202</v>
      </c>
      <c r="AU2" t="s">
        <v>203</v>
      </c>
      <c r="AV2" t="s">
        <v>204</v>
      </c>
      <c r="AW2" t="s">
        <v>205</v>
      </c>
      <c r="AX2" t="s">
        <v>206</v>
      </c>
      <c r="AY2" t="s">
        <v>207</v>
      </c>
      <c r="AZ2" t="s">
        <v>208</v>
      </c>
      <c r="BA2" t="s">
        <v>209</v>
      </c>
      <c r="BB2" t="s">
        <v>210</v>
      </c>
      <c r="BC2" t="s">
        <v>211</v>
      </c>
      <c r="BD2" t="s">
        <v>212</v>
      </c>
      <c r="BE2" t="s">
        <v>213</v>
      </c>
      <c r="BF2" t="s">
        <v>214</v>
      </c>
      <c r="BG2" t="s">
        <v>215</v>
      </c>
      <c r="BH2" t="s">
        <v>216</v>
      </c>
      <c r="BI2" t="s">
        <v>217</v>
      </c>
      <c r="BJ2" t="s">
        <v>218</v>
      </c>
      <c r="BK2" t="s">
        <v>219</v>
      </c>
    </row>
    <row r="3" spans="1:65" s="5" customFormat="1" ht="105">
      <c r="A3" s="5" t="s">
        <v>226</v>
      </c>
      <c r="B3" s="5" t="s">
        <v>231</v>
      </c>
      <c r="C3" s="5" t="s">
        <v>234</v>
      </c>
      <c r="D3" s="5" t="s">
        <v>237</v>
      </c>
      <c r="E3" s="5" t="s">
        <v>238</v>
      </c>
      <c r="F3" s="5" t="s">
        <v>239</v>
      </c>
      <c r="G3" s="5" t="s">
        <v>241</v>
      </c>
      <c r="H3" s="5" t="s">
        <v>244</v>
      </c>
      <c r="I3" s="5" t="s">
        <v>245</v>
      </c>
      <c r="J3" s="5" t="s">
        <v>246</v>
      </c>
      <c r="K3" s="5" t="s">
        <v>247</v>
      </c>
      <c r="L3" s="5" t="s">
        <v>248</v>
      </c>
      <c r="M3" s="5" t="s">
        <v>249</v>
      </c>
      <c r="N3" s="5" t="s">
        <v>250</v>
      </c>
      <c r="O3" s="5" t="s">
        <v>251</v>
      </c>
      <c r="P3" s="5" t="s">
        <v>253</v>
      </c>
      <c r="Q3" s="5" t="s">
        <v>255</v>
      </c>
      <c r="R3" s="5" t="s">
        <v>256</v>
      </c>
      <c r="S3" s="5" t="s">
        <v>258</v>
      </c>
      <c r="T3" s="5" t="s">
        <v>261</v>
      </c>
      <c r="U3" s="5" t="s">
        <v>262</v>
      </c>
      <c r="V3" s="5" t="s">
        <v>263</v>
      </c>
      <c r="W3" s="5" t="s">
        <v>264</v>
      </c>
      <c r="X3" s="5" t="s">
        <v>265</v>
      </c>
      <c r="Y3" s="5" t="s">
        <v>267</v>
      </c>
      <c r="Z3" s="5" t="s">
        <v>268</v>
      </c>
      <c r="AA3" s="5" t="s">
        <v>269</v>
      </c>
      <c r="AB3" s="5" t="s">
        <v>270</v>
      </c>
      <c r="AC3" s="5" t="s">
        <v>271</v>
      </c>
      <c r="AD3" s="5" t="s">
        <v>272</v>
      </c>
      <c r="AE3" s="5" t="s">
        <v>274</v>
      </c>
      <c r="AF3" s="5" t="s">
        <v>275</v>
      </c>
      <c r="AG3" s="5" t="s">
        <v>277</v>
      </c>
      <c r="AH3" s="5" t="s">
        <v>278</v>
      </c>
      <c r="AI3" s="5" t="s">
        <v>281</v>
      </c>
      <c r="AJ3" s="5" t="s">
        <v>284</v>
      </c>
      <c r="AK3" s="5" t="s">
        <v>285</v>
      </c>
      <c r="AL3" s="5" t="s">
        <v>286</v>
      </c>
      <c r="AM3" s="5" t="s">
        <v>288</v>
      </c>
      <c r="AN3" s="5" t="s">
        <v>290</v>
      </c>
      <c r="AO3" s="5" t="s">
        <v>291</v>
      </c>
      <c r="AP3" s="5" t="s">
        <v>292</v>
      </c>
      <c r="AQ3" s="5" t="s">
        <v>295</v>
      </c>
      <c r="AR3" s="5" t="s">
        <v>298</v>
      </c>
      <c r="AS3" s="5" t="s">
        <v>300</v>
      </c>
      <c r="AT3" s="5" t="s">
        <v>302</v>
      </c>
      <c r="AU3" s="5" t="s">
        <v>304</v>
      </c>
      <c r="AV3" s="5" t="s">
        <v>305</v>
      </c>
      <c r="AW3" s="5" t="s">
        <v>306</v>
      </c>
      <c r="AX3" s="5" t="s">
        <v>307</v>
      </c>
      <c r="AY3" s="5" t="s">
        <v>308</v>
      </c>
      <c r="AZ3" s="5" t="s">
        <v>310</v>
      </c>
      <c r="BA3" s="5" t="s">
        <v>311</v>
      </c>
      <c r="BB3" s="5" t="s">
        <v>312</v>
      </c>
      <c r="BC3" s="5" t="s">
        <v>314</v>
      </c>
      <c r="BD3" s="5" t="s">
        <v>315</v>
      </c>
      <c r="BE3" s="5" t="s">
        <v>316</v>
      </c>
      <c r="BF3" s="5" t="s">
        <v>317</v>
      </c>
      <c r="BG3" s="5" t="s">
        <v>318</v>
      </c>
      <c r="BH3" s="5" t="s">
        <v>319</v>
      </c>
      <c r="BI3" s="5" t="s">
        <v>320</v>
      </c>
      <c r="BJ3" s="5" t="s">
        <v>322</v>
      </c>
      <c r="BK3" s="5" t="s">
        <v>323</v>
      </c>
    </row>
    <row r="4" spans="1:65">
      <c r="A4" t="s">
        <v>225</v>
      </c>
      <c r="B4" t="s">
        <v>230</v>
      </c>
      <c r="C4" t="s">
        <v>233</v>
      </c>
      <c r="D4" t="s">
        <v>236</v>
      </c>
      <c r="E4" t="s">
        <v>230</v>
      </c>
      <c r="F4" t="s">
        <v>230</v>
      </c>
      <c r="G4" t="s">
        <v>240</v>
      </c>
      <c r="H4" t="s">
        <v>243</v>
      </c>
      <c r="I4" t="s">
        <v>230</v>
      </c>
      <c r="J4" t="s">
        <v>230</v>
      </c>
      <c r="K4" t="s">
        <v>230</v>
      </c>
      <c r="L4" t="s">
        <v>240</v>
      </c>
      <c r="M4" t="s">
        <v>230</v>
      </c>
      <c r="N4" t="s">
        <v>240</v>
      </c>
      <c r="O4" t="s">
        <v>230</v>
      </c>
      <c r="P4" t="s">
        <v>230</v>
      </c>
      <c r="Q4" t="s">
        <v>254</v>
      </c>
      <c r="R4" t="s">
        <v>240</v>
      </c>
      <c r="S4" t="s">
        <v>230</v>
      </c>
      <c r="T4" t="s">
        <v>233</v>
      </c>
      <c r="U4" t="s">
        <v>230</v>
      </c>
      <c r="V4" t="s">
        <v>230</v>
      </c>
      <c r="W4" t="s">
        <v>230</v>
      </c>
      <c r="X4" t="s">
        <v>230</v>
      </c>
      <c r="Y4" t="s">
        <v>240</v>
      </c>
      <c r="Z4" t="s">
        <v>230</v>
      </c>
      <c r="AA4" t="s">
        <v>230</v>
      </c>
      <c r="AB4" t="s">
        <v>230</v>
      </c>
      <c r="AC4" t="s">
        <v>230</v>
      </c>
      <c r="AD4" t="s">
        <v>230</v>
      </c>
      <c r="AE4" t="s">
        <v>230</v>
      </c>
      <c r="AF4" t="s">
        <v>230</v>
      </c>
      <c r="AG4" t="s">
        <v>69</v>
      </c>
      <c r="AH4" t="s">
        <v>233</v>
      </c>
      <c r="AI4" t="s">
        <v>233</v>
      </c>
      <c r="AJ4" t="s">
        <v>233</v>
      </c>
      <c r="AK4" t="s">
        <v>69</v>
      </c>
      <c r="AL4" t="s">
        <v>233</v>
      </c>
      <c r="AM4" t="s">
        <v>287</v>
      </c>
      <c r="AN4" t="s">
        <v>233</v>
      </c>
      <c r="AO4" t="s">
        <v>233</v>
      </c>
      <c r="AP4" t="s">
        <v>240</v>
      </c>
      <c r="AQ4" t="s">
        <v>294</v>
      </c>
      <c r="AR4" t="s">
        <v>297</v>
      </c>
      <c r="AS4" t="s">
        <v>233</v>
      </c>
      <c r="AT4" t="s">
        <v>301</v>
      </c>
      <c r="AU4" t="s">
        <v>303</v>
      </c>
      <c r="AV4" t="s">
        <v>233</v>
      </c>
      <c r="AW4" t="s">
        <v>233</v>
      </c>
      <c r="AX4" t="s">
        <v>233</v>
      </c>
      <c r="AY4" t="s">
        <v>72</v>
      </c>
      <c r="AZ4" t="s">
        <v>309</v>
      </c>
      <c r="BA4" t="s">
        <v>230</v>
      </c>
      <c r="BB4" t="s">
        <v>233</v>
      </c>
      <c r="BC4" t="s">
        <v>313</v>
      </c>
      <c r="BD4" t="s">
        <v>233</v>
      </c>
      <c r="BE4" t="s">
        <v>240</v>
      </c>
      <c r="BF4" t="s">
        <v>233</v>
      </c>
      <c r="BG4" t="s">
        <v>240</v>
      </c>
      <c r="BH4" t="s">
        <v>240</v>
      </c>
      <c r="BI4" t="s">
        <v>233</v>
      </c>
      <c r="BJ4" t="s">
        <v>69</v>
      </c>
      <c r="BK4" t="s">
        <v>233</v>
      </c>
    </row>
    <row r="5" spans="1:65">
      <c r="A5" t="s">
        <v>224</v>
      </c>
      <c r="B5" t="s">
        <v>229</v>
      </c>
      <c r="C5" t="s">
        <v>229</v>
      </c>
      <c r="D5" t="s">
        <v>229</v>
      </c>
      <c r="E5" t="s">
        <v>229</v>
      </c>
      <c r="F5" t="s">
        <v>229</v>
      </c>
      <c r="G5" t="s">
        <v>229</v>
      </c>
      <c r="H5" t="s">
        <v>229</v>
      </c>
      <c r="I5" t="s">
        <v>229</v>
      </c>
      <c r="J5" t="s">
        <v>229</v>
      </c>
      <c r="K5" t="s">
        <v>229</v>
      </c>
      <c r="L5" t="s">
        <v>229</v>
      </c>
      <c r="M5" t="s">
        <v>229</v>
      </c>
      <c r="N5" t="s">
        <v>229</v>
      </c>
      <c r="O5" t="s">
        <v>229</v>
      </c>
      <c r="P5" t="s">
        <v>229</v>
      </c>
      <c r="Q5" t="s">
        <v>229</v>
      </c>
      <c r="R5" t="s">
        <v>229</v>
      </c>
      <c r="S5" t="s">
        <v>229</v>
      </c>
      <c r="T5" t="s">
        <v>260</v>
      </c>
      <c r="U5" t="s">
        <v>229</v>
      </c>
      <c r="V5" t="s">
        <v>229</v>
      </c>
      <c r="W5" t="s">
        <v>229</v>
      </c>
      <c r="X5" t="s">
        <v>229</v>
      </c>
      <c r="Y5" t="s">
        <v>229</v>
      </c>
      <c r="Z5" t="s">
        <v>229</v>
      </c>
      <c r="AA5" t="s">
        <v>229</v>
      </c>
      <c r="AB5" t="s">
        <v>229</v>
      </c>
      <c r="AC5" t="s">
        <v>229</v>
      </c>
      <c r="AD5" t="s">
        <v>229</v>
      </c>
      <c r="AE5" t="s">
        <v>229</v>
      </c>
      <c r="AF5" t="s">
        <v>229</v>
      </c>
      <c r="AG5" t="s">
        <v>229</v>
      </c>
      <c r="AH5" t="s">
        <v>229</v>
      </c>
      <c r="AI5" t="s">
        <v>280</v>
      </c>
      <c r="AJ5" t="s">
        <v>283</v>
      </c>
      <c r="AK5" t="s">
        <v>229</v>
      </c>
      <c r="AL5" t="s">
        <v>229</v>
      </c>
      <c r="AM5" t="s">
        <v>229</v>
      </c>
      <c r="AN5" t="s">
        <v>229</v>
      </c>
      <c r="AO5" t="s">
        <v>229</v>
      </c>
      <c r="AP5" t="s">
        <v>229</v>
      </c>
      <c r="AQ5" t="s">
        <v>229</v>
      </c>
      <c r="AR5" t="s">
        <v>229</v>
      </c>
      <c r="AS5" t="s">
        <v>229</v>
      </c>
      <c r="AT5" t="s">
        <v>229</v>
      </c>
      <c r="AU5" t="s">
        <v>229</v>
      </c>
      <c r="AV5" t="s">
        <v>229</v>
      </c>
      <c r="AW5" t="s">
        <v>229</v>
      </c>
      <c r="AX5" t="s">
        <v>229</v>
      </c>
      <c r="AY5" t="s">
        <v>229</v>
      </c>
      <c r="AZ5" t="s">
        <v>229</v>
      </c>
      <c r="BA5" t="s">
        <v>229</v>
      </c>
      <c r="BB5" t="s">
        <v>229</v>
      </c>
      <c r="BC5" t="s">
        <v>229</v>
      </c>
      <c r="BD5" t="s">
        <v>229</v>
      </c>
      <c r="BE5" t="s">
        <v>229</v>
      </c>
      <c r="BF5" t="s">
        <v>229</v>
      </c>
      <c r="BG5" t="s">
        <v>229</v>
      </c>
      <c r="BH5" t="s">
        <v>229</v>
      </c>
      <c r="BI5" t="s">
        <v>229</v>
      </c>
      <c r="BJ5" t="s">
        <v>229</v>
      </c>
      <c r="BK5" t="s">
        <v>229</v>
      </c>
    </row>
    <row r="6" spans="1:65">
      <c r="A6" t="s">
        <v>223</v>
      </c>
      <c r="B6" t="s">
        <v>228</v>
      </c>
      <c r="C6" t="s">
        <v>228</v>
      </c>
      <c r="D6" t="s">
        <v>228</v>
      </c>
      <c r="E6" t="s">
        <v>228</v>
      </c>
      <c r="F6" t="s">
        <v>228</v>
      </c>
      <c r="G6" t="s">
        <v>228</v>
      </c>
      <c r="H6" t="s">
        <v>228</v>
      </c>
      <c r="I6" t="s">
        <v>228</v>
      </c>
      <c r="J6" t="s">
        <v>228</v>
      </c>
      <c r="K6" t="s">
        <v>228</v>
      </c>
      <c r="L6" t="s">
        <v>228</v>
      </c>
      <c r="M6" t="s">
        <v>228</v>
      </c>
      <c r="N6" t="s">
        <v>228</v>
      </c>
      <c r="O6" t="s">
        <v>228</v>
      </c>
      <c r="P6" t="s">
        <v>228</v>
      </c>
      <c r="Q6" t="s">
        <v>228</v>
      </c>
      <c r="R6" t="s">
        <v>228</v>
      </c>
      <c r="S6" t="s">
        <v>228</v>
      </c>
      <c r="T6" t="s">
        <v>228</v>
      </c>
      <c r="U6" t="s">
        <v>228</v>
      </c>
      <c r="V6" t="s">
        <v>228</v>
      </c>
      <c r="W6" t="s">
        <v>228</v>
      </c>
      <c r="X6" t="s">
        <v>228</v>
      </c>
      <c r="Y6" t="s">
        <v>228</v>
      </c>
      <c r="Z6" t="s">
        <v>228</v>
      </c>
      <c r="AA6" t="s">
        <v>228</v>
      </c>
      <c r="AB6" t="s">
        <v>228</v>
      </c>
      <c r="AC6" t="s">
        <v>228</v>
      </c>
      <c r="AD6" t="s">
        <v>228</v>
      </c>
      <c r="AE6" t="s">
        <v>228</v>
      </c>
      <c r="AF6" t="s">
        <v>228</v>
      </c>
      <c r="AG6" t="s">
        <v>228</v>
      </c>
      <c r="AH6" t="s">
        <v>228</v>
      </c>
      <c r="AI6" t="s">
        <v>228</v>
      </c>
      <c r="AJ6" t="s">
        <v>228</v>
      </c>
      <c r="AK6" t="s">
        <v>228</v>
      </c>
      <c r="AL6" t="s">
        <v>228</v>
      </c>
      <c r="AM6" t="s">
        <v>228</v>
      </c>
      <c r="AN6" t="s">
        <v>228</v>
      </c>
      <c r="AO6" t="s">
        <v>228</v>
      </c>
      <c r="AP6" t="s">
        <v>228</v>
      </c>
      <c r="AQ6" t="s">
        <v>228</v>
      </c>
      <c r="AR6" t="s">
        <v>228</v>
      </c>
      <c r="AS6" t="s">
        <v>228</v>
      </c>
      <c r="AT6" t="s">
        <v>228</v>
      </c>
      <c r="AU6" t="s">
        <v>228</v>
      </c>
      <c r="AV6" t="s">
        <v>228</v>
      </c>
      <c r="AW6" t="s">
        <v>228</v>
      </c>
      <c r="AX6" t="s">
        <v>228</v>
      </c>
      <c r="AY6" t="s">
        <v>228</v>
      </c>
      <c r="AZ6" t="s">
        <v>228</v>
      </c>
      <c r="BA6" t="s">
        <v>228</v>
      </c>
      <c r="BB6" t="s">
        <v>228</v>
      </c>
      <c r="BC6" t="s">
        <v>228</v>
      </c>
      <c r="BD6" t="s">
        <v>228</v>
      </c>
      <c r="BE6" t="s">
        <v>228</v>
      </c>
      <c r="BF6" t="s">
        <v>228</v>
      </c>
      <c r="BG6" t="s">
        <v>228</v>
      </c>
      <c r="BH6" t="s">
        <v>228</v>
      </c>
      <c r="BI6" t="s">
        <v>228</v>
      </c>
      <c r="BJ6" t="s">
        <v>228</v>
      </c>
      <c r="BK6" t="s">
        <v>228</v>
      </c>
    </row>
    <row r="7" spans="1:65">
      <c r="A7" t="s">
        <v>222</v>
      </c>
      <c r="B7" t="s">
        <v>227</v>
      </c>
      <c r="C7" t="s">
        <v>232</v>
      </c>
      <c r="D7" t="s">
        <v>235</v>
      </c>
      <c r="E7" t="s">
        <v>227</v>
      </c>
      <c r="F7" t="s">
        <v>227</v>
      </c>
      <c r="G7" t="s">
        <v>227</v>
      </c>
      <c r="H7" t="s">
        <v>242</v>
      </c>
      <c r="I7" t="s">
        <v>227</v>
      </c>
      <c r="J7" t="s">
        <v>227</v>
      </c>
      <c r="K7" t="s">
        <v>242</v>
      </c>
      <c r="L7" t="s">
        <v>227</v>
      </c>
      <c r="M7" t="s">
        <v>242</v>
      </c>
      <c r="N7" t="s">
        <v>235</v>
      </c>
      <c r="O7" t="s">
        <v>235</v>
      </c>
      <c r="P7" t="s">
        <v>252</v>
      </c>
      <c r="Q7" t="s">
        <v>235</v>
      </c>
      <c r="R7" t="s">
        <v>242</v>
      </c>
      <c r="S7" t="s">
        <v>257</v>
      </c>
      <c r="T7" t="s">
        <v>259</v>
      </c>
      <c r="U7" t="s">
        <v>252</v>
      </c>
      <c r="V7" t="s">
        <v>252</v>
      </c>
      <c r="W7" t="s">
        <v>227</v>
      </c>
      <c r="X7" t="s">
        <v>235</v>
      </c>
      <c r="Y7" t="s">
        <v>266</v>
      </c>
      <c r="Z7" t="s">
        <v>252</v>
      </c>
      <c r="AA7" t="s">
        <v>242</v>
      </c>
      <c r="AB7" t="s">
        <v>242</v>
      </c>
      <c r="AC7" t="s">
        <v>252</v>
      </c>
      <c r="AD7" t="s">
        <v>242</v>
      </c>
      <c r="AE7" t="s">
        <v>273</v>
      </c>
      <c r="AF7" t="s">
        <v>266</v>
      </c>
      <c r="AG7" t="s">
        <v>276</v>
      </c>
      <c r="AH7" t="s">
        <v>232</v>
      </c>
      <c r="AI7" t="s">
        <v>279</v>
      </c>
      <c r="AJ7" t="s">
        <v>282</v>
      </c>
      <c r="AK7" t="s">
        <v>276</v>
      </c>
      <c r="AL7" t="s">
        <v>276</v>
      </c>
      <c r="AM7" t="s">
        <v>257</v>
      </c>
      <c r="AN7" t="s">
        <v>289</v>
      </c>
      <c r="AO7" t="s">
        <v>257</v>
      </c>
      <c r="AP7" t="s">
        <v>282</v>
      </c>
      <c r="AQ7" t="s">
        <v>293</v>
      </c>
      <c r="AR7" t="s">
        <v>296</v>
      </c>
      <c r="AS7" t="s">
        <v>299</v>
      </c>
      <c r="AT7" t="s">
        <v>257</v>
      </c>
      <c r="AU7" t="s">
        <v>276</v>
      </c>
      <c r="AV7" t="s">
        <v>276</v>
      </c>
      <c r="AW7" t="s">
        <v>293</v>
      </c>
      <c r="AX7" t="s">
        <v>276</v>
      </c>
      <c r="AY7" t="s">
        <v>259</v>
      </c>
      <c r="AZ7" t="s">
        <v>276</v>
      </c>
      <c r="BA7" t="s">
        <v>276</v>
      </c>
      <c r="BB7" t="s">
        <v>259</v>
      </c>
      <c r="BC7" t="s">
        <v>293</v>
      </c>
      <c r="BD7" t="s">
        <v>232</v>
      </c>
      <c r="BE7" t="s">
        <v>276</v>
      </c>
      <c r="BF7" t="s">
        <v>276</v>
      </c>
      <c r="BG7" t="s">
        <v>276</v>
      </c>
      <c r="BH7" t="s">
        <v>259</v>
      </c>
      <c r="BI7" t="s">
        <v>276</v>
      </c>
      <c r="BJ7" t="s">
        <v>321</v>
      </c>
      <c r="BK7" t="s">
        <v>276</v>
      </c>
    </row>
    <row r="8" spans="1:65">
      <c r="A8" t="s">
        <v>221</v>
      </c>
      <c r="B8" s="4">
        <v>18985</v>
      </c>
      <c r="C8" s="4">
        <v>367780</v>
      </c>
      <c r="D8" s="8" t="e">
        <v>#N/A</v>
      </c>
      <c r="E8" s="4">
        <v>49002</v>
      </c>
      <c r="F8" s="4">
        <v>58230</v>
      </c>
      <c r="G8" s="4">
        <v>35226</v>
      </c>
      <c r="H8" s="4">
        <v>16579</v>
      </c>
      <c r="I8" s="8">
        <v>5672.9</v>
      </c>
      <c r="J8" s="8">
        <v>6098</v>
      </c>
      <c r="K8" s="4">
        <v>110319</v>
      </c>
      <c r="L8" s="4">
        <v>36787</v>
      </c>
      <c r="M8" s="8">
        <v>269.7</v>
      </c>
      <c r="N8" s="4">
        <v>4809</v>
      </c>
      <c r="O8" s="4">
        <v>7137</v>
      </c>
      <c r="P8" s="4">
        <v>474622</v>
      </c>
      <c r="Q8" s="8">
        <v>33063.4</v>
      </c>
      <c r="R8" s="8">
        <v>3799.8</v>
      </c>
      <c r="S8" s="4">
        <v>0</v>
      </c>
      <c r="T8" s="8">
        <v>34349.9</v>
      </c>
      <c r="U8" s="7">
        <v>123.73</v>
      </c>
      <c r="V8" s="7">
        <v>323.95999999999998</v>
      </c>
      <c r="W8" s="7">
        <v>936.09</v>
      </c>
      <c r="X8" s="7">
        <v>16936</v>
      </c>
      <c r="Y8" s="8">
        <v>51436</v>
      </c>
      <c r="Z8" s="8">
        <v>21662</v>
      </c>
      <c r="AA8" s="8">
        <v>5916.7</v>
      </c>
      <c r="AB8" s="8">
        <v>1154.0999999999999</v>
      </c>
      <c r="AC8" s="8">
        <v>0.7</v>
      </c>
      <c r="AD8" s="4">
        <v>24014</v>
      </c>
      <c r="AE8" s="4">
        <v>94463</v>
      </c>
      <c r="AF8" s="7">
        <v>13842.72</v>
      </c>
      <c r="AG8" s="8">
        <v>1100752</v>
      </c>
      <c r="AH8" s="4">
        <v>10250952</v>
      </c>
      <c r="AI8" s="7">
        <v>509860</v>
      </c>
      <c r="AJ8" s="8">
        <v>2109090</v>
      </c>
      <c r="AK8" s="8">
        <v>1478585</v>
      </c>
      <c r="AL8" s="8">
        <v>1241512.8999999999</v>
      </c>
      <c r="AM8" s="4">
        <v>707402</v>
      </c>
      <c r="AN8" s="8">
        <v>213606.5</v>
      </c>
      <c r="AO8" s="8">
        <v>256376.4</v>
      </c>
      <c r="AP8" s="8">
        <v>2386289</v>
      </c>
      <c r="AQ8" s="4">
        <v>1326912</v>
      </c>
      <c r="AR8" s="8">
        <v>6171.6</v>
      </c>
      <c r="AS8" s="8">
        <v>136442</v>
      </c>
      <c r="AT8" s="8">
        <v>141247.29999999999</v>
      </c>
      <c r="AU8" s="8">
        <v>13324052</v>
      </c>
      <c r="AV8" s="8">
        <v>709561.3</v>
      </c>
      <c r="AW8" s="8">
        <v>108495.3</v>
      </c>
      <c r="AX8" s="8">
        <v>555448.9</v>
      </c>
      <c r="AY8" s="8">
        <v>651634.4</v>
      </c>
      <c r="AZ8" s="7">
        <v>6868.49</v>
      </c>
      <c r="BA8" s="7">
        <v>13351.45</v>
      </c>
      <c r="BB8" s="8">
        <v>22986</v>
      </c>
      <c r="BC8" s="4">
        <v>452007</v>
      </c>
      <c r="BD8" s="4">
        <v>1509132</v>
      </c>
      <c r="BE8" s="8">
        <v>748483</v>
      </c>
      <c r="BF8" s="8">
        <v>128414.39999999999</v>
      </c>
      <c r="BG8" s="8">
        <v>31661.1</v>
      </c>
      <c r="BH8" s="7">
        <v>18.850000000000001</v>
      </c>
      <c r="BI8" s="8">
        <v>647851</v>
      </c>
      <c r="BJ8" s="4">
        <v>2408151</v>
      </c>
      <c r="BK8" s="8">
        <v>471540</v>
      </c>
    </row>
    <row r="9" spans="1:65">
      <c r="A9" t="s">
        <v>324</v>
      </c>
      <c r="B9" s="4">
        <v>22987</v>
      </c>
      <c r="C9" s="4">
        <v>389287</v>
      </c>
      <c r="D9" s="8" t="e">
        <v>#N/A</v>
      </c>
      <c r="E9" s="4">
        <v>49196</v>
      </c>
      <c r="F9" s="4">
        <v>59250</v>
      </c>
      <c r="G9" s="4">
        <v>39311</v>
      </c>
      <c r="H9" s="4">
        <v>18030</v>
      </c>
      <c r="I9" s="8">
        <v>5326.5</v>
      </c>
      <c r="J9" s="8">
        <v>5606.3</v>
      </c>
      <c r="K9" s="4">
        <v>107708</v>
      </c>
      <c r="L9" s="4">
        <v>41206</v>
      </c>
      <c r="M9" s="8">
        <v>324.5</v>
      </c>
      <c r="N9" s="4">
        <v>4921</v>
      </c>
      <c r="O9" s="4">
        <v>9045</v>
      </c>
      <c r="P9" s="4">
        <v>603660</v>
      </c>
      <c r="Q9" s="8">
        <v>40666.9</v>
      </c>
      <c r="R9" s="8">
        <v>5152.3</v>
      </c>
      <c r="S9" s="4">
        <v>0</v>
      </c>
      <c r="T9" s="8">
        <v>37853.199999999997</v>
      </c>
      <c r="U9" s="7">
        <v>112.71</v>
      </c>
      <c r="V9" s="7">
        <v>323.43</v>
      </c>
      <c r="W9" s="7">
        <v>1098.9000000000001</v>
      </c>
      <c r="X9" s="7">
        <v>18761</v>
      </c>
      <c r="Y9" s="8">
        <v>52870</v>
      </c>
      <c r="Z9" s="8">
        <v>22023</v>
      </c>
      <c r="AA9" s="8">
        <v>6833.7</v>
      </c>
      <c r="AB9" s="8">
        <v>1348.6</v>
      </c>
      <c r="AC9" s="8">
        <v>0.8</v>
      </c>
      <c r="AD9" s="4">
        <v>26615</v>
      </c>
      <c r="AE9" s="4">
        <v>103671</v>
      </c>
      <c r="AF9" s="7">
        <v>14463.83</v>
      </c>
      <c r="AG9" s="8">
        <v>1146135</v>
      </c>
      <c r="AH9" s="4">
        <v>10581929</v>
      </c>
      <c r="AI9" s="7">
        <v>505543.2</v>
      </c>
      <c r="AJ9" s="8">
        <v>2172540</v>
      </c>
      <c r="AK9" s="8">
        <v>1538200</v>
      </c>
      <c r="AL9" s="8">
        <v>1304136.8</v>
      </c>
      <c r="AM9" s="4">
        <v>756446</v>
      </c>
      <c r="AN9" s="8">
        <v>220525.1</v>
      </c>
      <c r="AO9" s="8">
        <v>264334.90000000002</v>
      </c>
      <c r="AP9" s="8">
        <v>2579126</v>
      </c>
      <c r="AQ9" s="4">
        <v>1371526</v>
      </c>
      <c r="AR9" s="8">
        <v>6987.1</v>
      </c>
      <c r="AS9" s="8">
        <v>144628</v>
      </c>
      <c r="AT9" s="8">
        <v>152193.79999999999</v>
      </c>
      <c r="AU9" s="8">
        <v>15398700</v>
      </c>
      <c r="AV9" s="8">
        <v>802276.7</v>
      </c>
      <c r="AW9" s="8">
        <v>122089.2</v>
      </c>
      <c r="AX9" s="8">
        <v>566175.19999999995</v>
      </c>
      <c r="AY9" s="8">
        <v>707021.3</v>
      </c>
      <c r="AZ9" s="7">
        <v>7470.97</v>
      </c>
      <c r="BA9" s="7">
        <v>14177.01</v>
      </c>
      <c r="BB9" s="8">
        <v>23879.9</v>
      </c>
      <c r="BC9" s="4">
        <v>481881</v>
      </c>
      <c r="BD9" s="4">
        <v>1566708</v>
      </c>
      <c r="BE9" s="8">
        <v>781548</v>
      </c>
      <c r="BF9" s="8">
        <v>135775</v>
      </c>
      <c r="BG9" s="8">
        <v>34365.5</v>
      </c>
      <c r="BH9" s="7">
        <v>21.15</v>
      </c>
      <c r="BI9" s="8">
        <v>700993</v>
      </c>
      <c r="BJ9" s="4">
        <v>2503731</v>
      </c>
      <c r="BK9" s="8">
        <v>483636.9</v>
      </c>
    </row>
    <row r="10" spans="1:65">
      <c r="A10" t="s">
        <v>325</v>
      </c>
      <c r="B10" s="4">
        <v>25601</v>
      </c>
      <c r="C10" s="4">
        <v>419192</v>
      </c>
      <c r="D10" s="8" t="e">
        <v>#N/A</v>
      </c>
      <c r="E10" s="4">
        <v>48239</v>
      </c>
      <c r="F10" s="4">
        <v>59871</v>
      </c>
      <c r="G10" s="4">
        <v>33769</v>
      </c>
      <c r="H10" s="4">
        <v>19221</v>
      </c>
      <c r="I10" s="8">
        <v>5948.1</v>
      </c>
      <c r="J10" s="8">
        <v>5641.8</v>
      </c>
      <c r="K10" s="4">
        <v>111113</v>
      </c>
      <c r="L10" s="4">
        <v>38611</v>
      </c>
      <c r="M10" s="8">
        <v>462.3</v>
      </c>
      <c r="N10" s="4">
        <v>5487</v>
      </c>
      <c r="O10" s="4">
        <v>8011</v>
      </c>
      <c r="P10" s="4">
        <v>894534</v>
      </c>
      <c r="Q10" s="8">
        <v>38386.300000000003</v>
      </c>
      <c r="R10" s="8">
        <v>5741.3</v>
      </c>
      <c r="S10" s="4">
        <v>0</v>
      </c>
      <c r="T10" s="8">
        <v>39316.699999999997</v>
      </c>
      <c r="U10" s="7">
        <v>132.56</v>
      </c>
      <c r="V10" s="7">
        <v>451.68</v>
      </c>
      <c r="W10" s="7">
        <v>1282.6500000000001</v>
      </c>
      <c r="X10" s="7">
        <v>20946</v>
      </c>
      <c r="Y10" s="8">
        <v>56997</v>
      </c>
      <c r="Z10" s="8">
        <v>23086</v>
      </c>
      <c r="AA10" s="8">
        <v>6568.6</v>
      </c>
      <c r="AB10" s="8">
        <v>1524.5</v>
      </c>
      <c r="AC10" s="8">
        <v>0.9</v>
      </c>
      <c r="AD10" s="4">
        <v>30567</v>
      </c>
      <c r="AE10" s="4">
        <v>112890</v>
      </c>
      <c r="AF10" s="7">
        <v>14810.24</v>
      </c>
      <c r="AG10" s="8">
        <v>1191439</v>
      </c>
      <c r="AH10" s="4">
        <v>10929108</v>
      </c>
      <c r="AI10" s="7">
        <v>499147</v>
      </c>
      <c r="AJ10" s="8">
        <v>2198120</v>
      </c>
      <c r="AK10" s="8">
        <v>1587829</v>
      </c>
      <c r="AL10" s="8">
        <v>1350258.9</v>
      </c>
      <c r="AM10" s="4">
        <v>803108</v>
      </c>
      <c r="AN10" s="8">
        <v>226735.2</v>
      </c>
      <c r="AO10" s="8">
        <v>273255.90000000002</v>
      </c>
      <c r="AP10" s="8">
        <v>2690982</v>
      </c>
      <c r="AQ10" s="4">
        <v>1410271</v>
      </c>
      <c r="AR10" s="8">
        <v>7822.6</v>
      </c>
      <c r="AS10" s="8">
        <v>148486</v>
      </c>
      <c r="AT10" s="8">
        <v>163460.79999999999</v>
      </c>
      <c r="AU10" s="8">
        <v>17433859</v>
      </c>
      <c r="AV10" s="8">
        <v>854139.9</v>
      </c>
      <c r="AW10" s="8">
        <v>135997.6</v>
      </c>
      <c r="AX10" s="8">
        <v>592487.19999999995</v>
      </c>
      <c r="AY10" s="8">
        <v>784741.3</v>
      </c>
      <c r="AZ10" s="7">
        <v>8406.3700000000008</v>
      </c>
      <c r="BA10" s="7">
        <v>15182.39</v>
      </c>
      <c r="BB10" s="8">
        <v>25011.1</v>
      </c>
      <c r="BC10" s="4">
        <v>501137</v>
      </c>
      <c r="BD10" s="4">
        <v>1564145</v>
      </c>
      <c r="BE10" s="8">
        <v>812214</v>
      </c>
      <c r="BF10" s="8">
        <v>142554.29999999999</v>
      </c>
      <c r="BG10" s="8">
        <v>37329.5</v>
      </c>
      <c r="BH10" s="7">
        <v>23.55</v>
      </c>
      <c r="BI10" s="8">
        <v>749552</v>
      </c>
      <c r="BJ10" s="4">
        <v>2598336</v>
      </c>
      <c r="BK10" s="8">
        <v>482077.2</v>
      </c>
    </row>
    <row r="11" spans="1:65">
      <c r="A11" t="s">
        <v>326</v>
      </c>
      <c r="B11" s="4">
        <v>28093</v>
      </c>
      <c r="C11" s="4">
        <v>437317</v>
      </c>
      <c r="D11" s="8" t="e">
        <v>#N/A</v>
      </c>
      <c r="E11" s="4">
        <v>46825</v>
      </c>
      <c r="F11" s="4">
        <v>63649</v>
      </c>
      <c r="G11" s="4">
        <v>43159</v>
      </c>
      <c r="H11" s="4">
        <v>18822</v>
      </c>
      <c r="I11" s="8">
        <v>5758.5</v>
      </c>
      <c r="J11" s="8">
        <v>5890.5</v>
      </c>
      <c r="K11" s="4">
        <v>217188</v>
      </c>
      <c r="L11" s="4">
        <v>37746</v>
      </c>
      <c r="M11" s="8">
        <v>455.5</v>
      </c>
      <c r="N11" s="4">
        <v>5867</v>
      </c>
      <c r="O11" s="4">
        <v>10636</v>
      </c>
      <c r="P11" s="4">
        <v>721894</v>
      </c>
      <c r="Q11" s="8">
        <v>37007.9</v>
      </c>
      <c r="R11" s="8">
        <v>5351.6</v>
      </c>
      <c r="S11" s="4">
        <v>0</v>
      </c>
      <c r="T11" s="8">
        <v>46657.8</v>
      </c>
      <c r="U11" s="7">
        <v>277.14999999999998</v>
      </c>
      <c r="V11" s="7">
        <v>512.99</v>
      </c>
      <c r="W11" s="7">
        <v>1354.5</v>
      </c>
      <c r="X11" s="7">
        <v>21767</v>
      </c>
      <c r="Y11" s="8">
        <v>63671</v>
      </c>
      <c r="Z11" s="8">
        <v>23665</v>
      </c>
      <c r="AA11" s="8">
        <v>6392.5</v>
      </c>
      <c r="AB11" s="8">
        <v>1309.9000000000001</v>
      </c>
      <c r="AC11" s="8">
        <v>1</v>
      </c>
      <c r="AD11" s="4">
        <v>33340</v>
      </c>
      <c r="AE11" s="4">
        <v>113122</v>
      </c>
      <c r="AF11" s="7">
        <v>14873.08</v>
      </c>
      <c r="AG11" s="8">
        <v>1258334</v>
      </c>
      <c r="AH11" s="4">
        <v>11456450</v>
      </c>
      <c r="AI11" s="7">
        <v>498854.8</v>
      </c>
      <c r="AJ11" s="8">
        <v>2211570</v>
      </c>
      <c r="AK11" s="8">
        <v>1630666</v>
      </c>
      <c r="AL11" s="8">
        <v>1394693.2</v>
      </c>
      <c r="AM11" s="4">
        <v>864089</v>
      </c>
      <c r="AN11" s="8">
        <v>231862.5</v>
      </c>
      <c r="AO11" s="8">
        <v>281200.2</v>
      </c>
      <c r="AP11" s="8">
        <v>2823452</v>
      </c>
      <c r="AQ11" s="4">
        <v>1436751</v>
      </c>
      <c r="AR11" s="8">
        <v>8744.4</v>
      </c>
      <c r="AS11" s="8">
        <v>151749</v>
      </c>
      <c r="AT11" s="8">
        <v>178904.8</v>
      </c>
      <c r="AU11" s="8">
        <v>19130011</v>
      </c>
      <c r="AV11" s="8">
        <v>876732.7</v>
      </c>
      <c r="AW11" s="8">
        <v>145576.4</v>
      </c>
      <c r="AX11" s="8">
        <v>598020.6</v>
      </c>
      <c r="AY11" s="8">
        <v>837365</v>
      </c>
      <c r="AZ11" s="7">
        <v>9571.7900000000009</v>
      </c>
      <c r="BA11" s="7">
        <v>16650</v>
      </c>
      <c r="BB11" s="8">
        <v>26227.3</v>
      </c>
      <c r="BC11" s="4">
        <v>512810</v>
      </c>
      <c r="BD11" s="4">
        <v>1624095</v>
      </c>
      <c r="BE11" s="8">
        <v>847152</v>
      </c>
      <c r="BF11" s="8">
        <v>146067.9</v>
      </c>
      <c r="BG11" s="8">
        <v>41479.5</v>
      </c>
      <c r="BH11" s="7">
        <v>25.61</v>
      </c>
      <c r="BI11" s="8">
        <v>802266</v>
      </c>
      <c r="BJ11" s="4">
        <v>2703551</v>
      </c>
      <c r="BK11" s="8">
        <v>487606.5</v>
      </c>
    </row>
    <row r="12" spans="1:65">
      <c r="A12" t="s">
        <v>327</v>
      </c>
      <c r="B12" s="4">
        <v>34185</v>
      </c>
      <c r="C12" s="4">
        <v>459617</v>
      </c>
      <c r="D12" s="8" t="e">
        <v>#N/A</v>
      </c>
      <c r="E12" s="4">
        <v>43915</v>
      </c>
      <c r="F12" s="4">
        <v>67610</v>
      </c>
      <c r="G12" s="4">
        <v>46144</v>
      </c>
      <c r="H12" s="4">
        <v>21669</v>
      </c>
      <c r="I12" s="8">
        <v>5826</v>
      </c>
      <c r="J12" s="8">
        <v>5975.8</v>
      </c>
      <c r="K12" s="4">
        <v>154588</v>
      </c>
      <c r="L12" s="4">
        <v>42571</v>
      </c>
      <c r="M12" s="8">
        <v>429.3</v>
      </c>
      <c r="N12" s="4">
        <v>6205</v>
      </c>
      <c r="O12" s="4">
        <v>11025</v>
      </c>
      <c r="P12" s="4">
        <v>800146</v>
      </c>
      <c r="Q12" s="8">
        <v>43250.400000000001</v>
      </c>
      <c r="R12" s="8">
        <v>5506.4</v>
      </c>
      <c r="S12" s="4">
        <v>0</v>
      </c>
      <c r="T12" s="8">
        <v>50301.5</v>
      </c>
      <c r="U12" s="7">
        <v>408.87</v>
      </c>
      <c r="V12" s="7">
        <v>657.77</v>
      </c>
      <c r="W12" s="7">
        <v>1448.28</v>
      </c>
      <c r="X12" s="7">
        <v>20780</v>
      </c>
      <c r="Y12" s="8">
        <v>68484</v>
      </c>
      <c r="Z12" s="8">
        <v>26955</v>
      </c>
      <c r="AA12" s="8">
        <v>6755.1</v>
      </c>
      <c r="AB12" s="8">
        <v>1357</v>
      </c>
      <c r="AC12" s="8">
        <v>1.1000000000000001</v>
      </c>
      <c r="AD12" s="4">
        <v>34474</v>
      </c>
      <c r="AE12" s="4">
        <v>116529</v>
      </c>
      <c r="AF12" s="7">
        <v>14887.54</v>
      </c>
      <c r="AG12" s="8">
        <v>1322637</v>
      </c>
      <c r="AH12" s="4">
        <v>12217196</v>
      </c>
      <c r="AI12" s="7">
        <v>503725.3</v>
      </c>
      <c r="AJ12" s="8">
        <v>2262520</v>
      </c>
      <c r="AK12" s="8">
        <v>1704019</v>
      </c>
      <c r="AL12" s="8">
        <v>1452319</v>
      </c>
      <c r="AM12" s="4">
        <v>925442</v>
      </c>
      <c r="AN12" s="8">
        <v>242348.3</v>
      </c>
      <c r="AO12" s="8">
        <v>296819.7</v>
      </c>
      <c r="AP12" s="8">
        <v>3079207</v>
      </c>
      <c r="AQ12" s="4">
        <v>1506001</v>
      </c>
      <c r="AR12" s="8">
        <v>9777.5</v>
      </c>
      <c r="AS12" s="8">
        <v>158758</v>
      </c>
      <c r="AT12" s="8">
        <v>193715.8</v>
      </c>
      <c r="AU12" s="8">
        <v>21110059</v>
      </c>
      <c r="AV12" s="8">
        <v>970421.5</v>
      </c>
      <c r="AW12" s="8">
        <v>156260.29999999999</v>
      </c>
      <c r="AX12" s="8">
        <v>627027.80000000005</v>
      </c>
      <c r="AY12" s="8">
        <v>908439.2</v>
      </c>
      <c r="AZ12" s="7">
        <v>11096.72</v>
      </c>
      <c r="BA12" s="7">
        <v>18219.669999999998</v>
      </c>
      <c r="BB12" s="8">
        <v>28189.4</v>
      </c>
      <c r="BC12" s="4">
        <v>529286</v>
      </c>
      <c r="BD12" s="4">
        <v>1788123</v>
      </c>
      <c r="BE12" s="8">
        <v>933091</v>
      </c>
      <c r="BF12" s="8">
        <v>152248.4</v>
      </c>
      <c r="BG12" s="8">
        <v>46175.199999999997</v>
      </c>
      <c r="BH12" s="7">
        <v>27.63</v>
      </c>
      <c r="BI12" s="8">
        <v>859437</v>
      </c>
      <c r="BJ12" s="4">
        <v>2830194</v>
      </c>
      <c r="BK12" s="8">
        <v>502265.7</v>
      </c>
    </row>
    <row r="13" spans="1:65">
      <c r="A13" t="s">
        <v>236</v>
      </c>
      <c r="B13" s="4">
        <v>43634</v>
      </c>
      <c r="C13" s="4">
        <v>484510</v>
      </c>
      <c r="D13" s="8">
        <v>21176.6</v>
      </c>
      <c r="E13" s="4">
        <v>44091</v>
      </c>
      <c r="F13" s="4">
        <v>70884</v>
      </c>
      <c r="G13" s="4">
        <v>48002</v>
      </c>
      <c r="H13" s="4">
        <v>25157</v>
      </c>
      <c r="I13" s="8">
        <v>7440.1</v>
      </c>
      <c r="J13" s="8">
        <v>6401.9</v>
      </c>
      <c r="K13" s="4">
        <v>170699</v>
      </c>
      <c r="L13" s="4">
        <v>43238</v>
      </c>
      <c r="M13" s="8">
        <v>525.79999999999995</v>
      </c>
      <c r="N13" s="4">
        <v>5919</v>
      </c>
      <c r="O13" s="4">
        <v>8811</v>
      </c>
      <c r="P13" s="4">
        <v>938226</v>
      </c>
      <c r="Q13" s="8">
        <v>40159.9</v>
      </c>
      <c r="R13" s="8">
        <v>6023.8</v>
      </c>
      <c r="S13" s="4">
        <v>0</v>
      </c>
      <c r="T13" s="8">
        <v>50435.5</v>
      </c>
      <c r="U13" s="7">
        <v>485.41</v>
      </c>
      <c r="V13" s="7">
        <v>757.48</v>
      </c>
      <c r="W13" s="7">
        <v>1654.25</v>
      </c>
      <c r="X13" s="7">
        <v>20614</v>
      </c>
      <c r="Y13" s="8">
        <v>69410</v>
      </c>
      <c r="Z13" s="8">
        <v>32689</v>
      </c>
      <c r="AA13" s="8">
        <v>6468.1</v>
      </c>
      <c r="AB13" s="8">
        <v>1745.4</v>
      </c>
      <c r="AC13" s="8">
        <v>1.1000000000000001</v>
      </c>
      <c r="AD13" s="4">
        <v>39206</v>
      </c>
      <c r="AE13" s="4">
        <v>111867</v>
      </c>
      <c r="AF13" s="7">
        <v>14758.95</v>
      </c>
      <c r="AG13" s="8">
        <v>1398749</v>
      </c>
      <c r="AH13" s="4">
        <v>13039197</v>
      </c>
      <c r="AI13" s="7">
        <v>503903</v>
      </c>
      <c r="AJ13" s="8">
        <v>2288310</v>
      </c>
      <c r="AK13" s="8">
        <v>1765905</v>
      </c>
      <c r="AL13" s="8">
        <v>1493635.3</v>
      </c>
      <c r="AM13" s="4">
        <v>999585</v>
      </c>
      <c r="AN13" s="8">
        <v>254075</v>
      </c>
      <c r="AO13" s="8">
        <v>310037.59999999998</v>
      </c>
      <c r="AP13" s="8">
        <v>3285601</v>
      </c>
      <c r="AQ13" s="4">
        <v>1585984</v>
      </c>
      <c r="AR13" s="8">
        <v>11343.3</v>
      </c>
      <c r="AS13" s="8">
        <v>164687</v>
      </c>
      <c r="AT13" s="8">
        <v>199242.3</v>
      </c>
      <c r="AU13" s="8">
        <v>22594966</v>
      </c>
      <c r="AV13" s="8">
        <v>1061428.3</v>
      </c>
      <c r="AW13" s="8">
        <v>170306.8</v>
      </c>
      <c r="AX13" s="8">
        <v>660156</v>
      </c>
      <c r="AY13" s="8">
        <v>957447.8</v>
      </c>
      <c r="AZ13" s="7">
        <v>13662.28</v>
      </c>
      <c r="BA13" s="7">
        <v>20979.919999999998</v>
      </c>
      <c r="BB13" s="8">
        <v>30281</v>
      </c>
      <c r="BC13" s="4">
        <v>550883</v>
      </c>
      <c r="BD13" s="4">
        <v>1997037</v>
      </c>
      <c r="BE13" s="8">
        <v>990530</v>
      </c>
      <c r="BF13" s="8">
        <v>158552.70000000001</v>
      </c>
      <c r="BG13" s="8">
        <v>50485.7</v>
      </c>
      <c r="BH13" s="7">
        <v>29.11</v>
      </c>
      <c r="BI13" s="8">
        <v>927357</v>
      </c>
      <c r="BJ13" s="4">
        <v>2931085</v>
      </c>
      <c r="BK13" s="8">
        <v>520848.3</v>
      </c>
    </row>
    <row r="14" spans="1:65">
      <c r="A14" t="s">
        <v>328</v>
      </c>
      <c r="B14" s="4">
        <v>37776</v>
      </c>
      <c r="C14" s="4">
        <v>519988</v>
      </c>
      <c r="D14" s="8">
        <v>19888.400000000001</v>
      </c>
      <c r="E14" s="4">
        <v>48800</v>
      </c>
      <c r="F14" s="4">
        <v>72654</v>
      </c>
      <c r="G14" s="4">
        <v>49473</v>
      </c>
      <c r="H14" s="4">
        <v>29463</v>
      </c>
      <c r="I14" s="8">
        <v>7693</v>
      </c>
      <c r="J14" s="8">
        <v>6211.8</v>
      </c>
      <c r="K14" s="4">
        <v>182513</v>
      </c>
      <c r="L14" s="4">
        <v>49385</v>
      </c>
      <c r="M14" s="8">
        <v>728.2</v>
      </c>
      <c r="N14" s="4">
        <v>5777</v>
      </c>
      <c r="O14" s="4">
        <v>12482</v>
      </c>
      <c r="P14" s="4">
        <v>1244256</v>
      </c>
      <c r="Q14" s="8">
        <v>54803.5</v>
      </c>
      <c r="R14" s="8">
        <v>7027.6</v>
      </c>
      <c r="S14" s="4">
        <v>0</v>
      </c>
      <c r="T14" s="8">
        <v>50448.7</v>
      </c>
      <c r="U14" s="7">
        <v>855.15</v>
      </c>
      <c r="V14" s="7">
        <v>1029.33</v>
      </c>
      <c r="W14" s="7">
        <v>1245.1300000000001</v>
      </c>
      <c r="X14" s="7">
        <v>22890</v>
      </c>
      <c r="Y14" s="8">
        <v>78593</v>
      </c>
      <c r="Z14" s="8">
        <v>41221</v>
      </c>
      <c r="AA14" s="8">
        <v>5579.7</v>
      </c>
      <c r="AB14" s="8">
        <v>2156.6999999999998</v>
      </c>
      <c r="AC14" s="8">
        <v>1.4</v>
      </c>
      <c r="AD14" s="4">
        <v>43902</v>
      </c>
      <c r="AE14" s="4">
        <v>126754</v>
      </c>
      <c r="AF14" s="7">
        <v>15031.73</v>
      </c>
      <c r="AG14" s="8">
        <v>1472038</v>
      </c>
      <c r="AH14" s="4">
        <v>13815583</v>
      </c>
      <c r="AI14" s="7">
        <v>506687</v>
      </c>
      <c r="AJ14" s="8">
        <v>2385080</v>
      </c>
      <c r="AK14" s="8">
        <v>1848151</v>
      </c>
      <c r="AL14" s="8">
        <v>1552686.8</v>
      </c>
      <c r="AM14" s="4">
        <v>1089023</v>
      </c>
      <c r="AN14" s="8">
        <v>267824.5</v>
      </c>
      <c r="AO14" s="8">
        <v>325151.5</v>
      </c>
      <c r="AP14" s="8">
        <v>3530881</v>
      </c>
      <c r="AQ14" s="4">
        <v>1682260</v>
      </c>
      <c r="AR14" s="8">
        <v>13568.9</v>
      </c>
      <c r="AS14" s="8">
        <v>172897</v>
      </c>
      <c r="AT14" s="8">
        <v>217861.6</v>
      </c>
      <c r="AU14" s="8">
        <v>24345409</v>
      </c>
      <c r="AV14" s="8">
        <v>1225716.1000000001</v>
      </c>
      <c r="AW14" s="8">
        <v>184916.2</v>
      </c>
      <c r="AX14" s="8">
        <v>707237.4</v>
      </c>
      <c r="AY14" s="8">
        <v>1005601.5</v>
      </c>
      <c r="AZ14" s="7">
        <v>17199.98</v>
      </c>
      <c r="BA14" s="7">
        <v>24053.29</v>
      </c>
      <c r="BB14" s="8">
        <v>34175</v>
      </c>
      <c r="BC14" s="4">
        <v>584546</v>
      </c>
      <c r="BD14" s="4">
        <v>2224871</v>
      </c>
      <c r="BE14" s="8">
        <v>1069431</v>
      </c>
      <c r="BF14" s="8">
        <v>166260.5</v>
      </c>
      <c r="BG14" s="8">
        <v>56361.4</v>
      </c>
      <c r="BH14" s="7">
        <v>31.47</v>
      </c>
      <c r="BI14" s="8">
        <v>1003823</v>
      </c>
      <c r="BJ14" s="4">
        <v>3121668</v>
      </c>
      <c r="BK14" s="8">
        <v>553721.59999999998</v>
      </c>
    </row>
    <row r="15" spans="1:65">
      <c r="A15" t="s">
        <v>329</v>
      </c>
      <c r="B15" s="4">
        <v>39842</v>
      </c>
      <c r="C15" s="4">
        <v>559169</v>
      </c>
      <c r="D15" s="8">
        <v>18807.900000000001</v>
      </c>
      <c r="E15" s="4">
        <v>49296</v>
      </c>
      <c r="F15" s="4">
        <v>76616</v>
      </c>
      <c r="G15" s="4">
        <v>51257</v>
      </c>
      <c r="H15" s="4">
        <v>32313</v>
      </c>
      <c r="I15" s="8">
        <v>8456.4</v>
      </c>
      <c r="J15" s="8">
        <v>6817.8</v>
      </c>
      <c r="K15" s="4">
        <v>182480</v>
      </c>
      <c r="L15" s="4">
        <v>52850</v>
      </c>
      <c r="M15" s="8">
        <v>976.5</v>
      </c>
      <c r="N15" s="4">
        <v>6518</v>
      </c>
      <c r="O15" s="4">
        <v>11286</v>
      </c>
      <c r="P15" s="4">
        <v>1087857</v>
      </c>
      <c r="Q15" s="8">
        <v>65514.3</v>
      </c>
      <c r="R15" s="8">
        <v>9206</v>
      </c>
      <c r="S15" s="4">
        <v>0</v>
      </c>
      <c r="T15" s="8">
        <v>53471.9</v>
      </c>
      <c r="U15" s="7">
        <v>1366.75</v>
      </c>
      <c r="V15" s="7">
        <v>1572.36</v>
      </c>
      <c r="W15" s="7">
        <v>1424.56</v>
      </c>
      <c r="X15" s="7">
        <v>23731</v>
      </c>
      <c r="Y15" s="8">
        <v>89976</v>
      </c>
      <c r="Z15" s="8">
        <v>51872</v>
      </c>
      <c r="AA15" s="8">
        <v>5644.7</v>
      </c>
      <c r="AB15" s="8">
        <v>2017.8</v>
      </c>
      <c r="AC15" s="8">
        <v>1.6</v>
      </c>
      <c r="AD15" s="4">
        <v>50458</v>
      </c>
      <c r="AE15" s="4">
        <v>134390</v>
      </c>
      <c r="AF15" s="7">
        <v>15487.36</v>
      </c>
      <c r="AG15" s="8">
        <v>1544637</v>
      </c>
      <c r="AH15" s="4">
        <v>14474228</v>
      </c>
      <c r="AI15" s="7">
        <v>512975.2</v>
      </c>
      <c r="AJ15" s="8">
        <v>2499550</v>
      </c>
      <c r="AK15" s="8">
        <v>1941360</v>
      </c>
      <c r="AL15" s="8">
        <v>1614839.8</v>
      </c>
      <c r="AM15" s="4">
        <v>1179629</v>
      </c>
      <c r="AN15" s="8">
        <v>283978</v>
      </c>
      <c r="AO15" s="8">
        <v>343618.9</v>
      </c>
      <c r="AP15" s="8">
        <v>3859533</v>
      </c>
      <c r="AQ15" s="4">
        <v>1738845</v>
      </c>
      <c r="AR15" s="8">
        <v>16401.3</v>
      </c>
      <c r="AS15" s="8">
        <v>187072</v>
      </c>
      <c r="AT15" s="8">
        <v>232694.6</v>
      </c>
      <c r="AU15" s="8">
        <v>25741898</v>
      </c>
      <c r="AV15" s="8">
        <v>1386951.2</v>
      </c>
      <c r="AW15" s="8">
        <v>197069.4</v>
      </c>
      <c r="AX15" s="8">
        <v>756172.1</v>
      </c>
      <c r="AY15" s="8">
        <v>1089660.2</v>
      </c>
      <c r="AZ15" s="7">
        <v>22703.84</v>
      </c>
      <c r="BA15" s="7">
        <v>29011.22</v>
      </c>
      <c r="BB15" s="8">
        <v>37641.9</v>
      </c>
      <c r="BC15" s="4">
        <v>619170</v>
      </c>
      <c r="BD15" s="4">
        <v>2360174</v>
      </c>
      <c r="BE15" s="8">
        <v>1187508</v>
      </c>
      <c r="BF15" s="8">
        <v>175483.4</v>
      </c>
      <c r="BG15" s="8">
        <v>63163.4</v>
      </c>
      <c r="BH15" s="7">
        <v>35.07</v>
      </c>
      <c r="BI15" s="8">
        <v>1075539</v>
      </c>
      <c r="BJ15" s="4">
        <v>3320278</v>
      </c>
      <c r="BK15" s="8">
        <v>589085.19999999995</v>
      </c>
    </row>
    <row r="16" spans="1:65">
      <c r="A16" t="s">
        <v>330</v>
      </c>
      <c r="B16" s="4">
        <v>48299</v>
      </c>
      <c r="C16" s="4">
        <v>592278</v>
      </c>
      <c r="D16" s="8">
        <v>18371.7</v>
      </c>
      <c r="E16" s="4">
        <v>53781</v>
      </c>
      <c r="F16" s="4">
        <v>78641</v>
      </c>
      <c r="G16" s="4">
        <v>51646</v>
      </c>
      <c r="H16" s="4">
        <v>39575</v>
      </c>
      <c r="I16" s="8">
        <v>9517.9</v>
      </c>
      <c r="J16" s="8">
        <v>7175.3</v>
      </c>
      <c r="K16" s="4">
        <v>212223</v>
      </c>
      <c r="L16" s="4">
        <v>54029</v>
      </c>
      <c r="M16" s="8">
        <v>1023.3</v>
      </c>
      <c r="N16" s="4">
        <v>6965</v>
      </c>
      <c r="O16" s="4">
        <v>13510</v>
      </c>
      <c r="P16" s="4">
        <v>868936</v>
      </c>
      <c r="Q16" s="8">
        <v>75974.600000000006</v>
      </c>
      <c r="R16" s="8">
        <v>9877.1</v>
      </c>
      <c r="S16" s="4">
        <v>0</v>
      </c>
      <c r="T16" s="8">
        <v>60022.1</v>
      </c>
      <c r="U16" s="7">
        <v>1321.61</v>
      </c>
      <c r="V16" s="7">
        <v>1759.15</v>
      </c>
      <c r="W16" s="7">
        <v>1477.64</v>
      </c>
      <c r="X16" s="7">
        <v>25586</v>
      </c>
      <c r="Y16" s="8">
        <v>100897</v>
      </c>
      <c r="Z16" s="8">
        <v>60605</v>
      </c>
      <c r="AA16" s="8">
        <v>6650.7</v>
      </c>
      <c r="AB16" s="8">
        <v>2337.3000000000002</v>
      </c>
      <c r="AC16" s="8">
        <v>1.8</v>
      </c>
      <c r="AD16" s="4">
        <v>51722</v>
      </c>
      <c r="AE16" s="4">
        <v>147061</v>
      </c>
      <c r="AF16" s="7">
        <v>16544.810000000001</v>
      </c>
      <c r="AG16" s="8">
        <v>1593600</v>
      </c>
      <c r="AH16" s="4">
        <v>14769862</v>
      </c>
      <c r="AI16" s="7">
        <v>501209.3</v>
      </c>
      <c r="AJ16" s="8">
        <v>2546490</v>
      </c>
      <c r="AK16" s="8">
        <v>1992380</v>
      </c>
      <c r="AL16" s="8">
        <v>1637699.4</v>
      </c>
      <c r="AM16" s="4">
        <v>1261441</v>
      </c>
      <c r="AN16" s="8">
        <v>293761.90000000002</v>
      </c>
      <c r="AO16" s="8">
        <v>351743.1</v>
      </c>
      <c r="AP16" s="8">
        <v>4042860</v>
      </c>
      <c r="AQ16" s="4">
        <v>1801470</v>
      </c>
      <c r="AR16" s="8">
        <v>16618.099999999999</v>
      </c>
      <c r="AS16" s="8">
        <v>194265</v>
      </c>
      <c r="AT16" s="8">
        <v>241990.39999999999</v>
      </c>
      <c r="AU16" s="8">
        <v>27249944</v>
      </c>
      <c r="AV16" s="8">
        <v>1589625.1</v>
      </c>
      <c r="AW16" s="8">
        <v>187283</v>
      </c>
      <c r="AX16" s="8">
        <v>791341.7</v>
      </c>
      <c r="AY16" s="8">
        <v>1154216.5</v>
      </c>
      <c r="AZ16" s="7">
        <v>24527.91</v>
      </c>
      <c r="BA16" s="7">
        <v>32660.07</v>
      </c>
      <c r="BB16" s="8">
        <v>40009.599999999999</v>
      </c>
      <c r="BC16" s="4">
        <v>647198</v>
      </c>
      <c r="BD16" s="4">
        <v>2622135</v>
      </c>
      <c r="BE16" s="8">
        <v>1285571</v>
      </c>
      <c r="BF16" s="8">
        <v>179102.8</v>
      </c>
      <c r="BG16" s="8">
        <v>68590.5</v>
      </c>
      <c r="BH16" s="7">
        <v>37.93</v>
      </c>
      <c r="BI16" s="8">
        <v>1109541</v>
      </c>
      <c r="BJ16" s="4">
        <v>3412253</v>
      </c>
      <c r="BK16" s="8">
        <v>614407.69999999995</v>
      </c>
    </row>
    <row r="17" spans="1:95">
      <c r="A17" t="s">
        <v>331</v>
      </c>
      <c r="B17" s="4">
        <v>52223</v>
      </c>
      <c r="C17" s="4">
        <v>604722</v>
      </c>
      <c r="D17" s="8">
        <v>19692.400000000001</v>
      </c>
      <c r="E17" s="4">
        <v>58139</v>
      </c>
      <c r="F17" s="4">
        <v>82439</v>
      </c>
      <c r="G17" s="4">
        <v>57759</v>
      </c>
      <c r="H17" s="4">
        <v>49065</v>
      </c>
      <c r="I17" s="8">
        <v>9706.2000000000007</v>
      </c>
      <c r="J17" s="8">
        <v>7899.5</v>
      </c>
      <c r="K17" s="4">
        <v>237096</v>
      </c>
      <c r="L17" s="4">
        <v>53920</v>
      </c>
      <c r="M17" s="8">
        <v>858</v>
      </c>
      <c r="N17" s="4">
        <v>7122</v>
      </c>
      <c r="O17" s="4">
        <v>13559</v>
      </c>
      <c r="P17" s="4">
        <v>905164</v>
      </c>
      <c r="Q17" s="8">
        <v>64477</v>
      </c>
      <c r="R17" s="8">
        <v>6407.7</v>
      </c>
      <c r="S17" s="4">
        <v>0</v>
      </c>
      <c r="T17" s="8">
        <v>77208.899999999994</v>
      </c>
      <c r="U17" s="7">
        <v>962.17</v>
      </c>
      <c r="V17" s="7">
        <v>1189.2</v>
      </c>
      <c r="W17" s="7">
        <v>1657.64</v>
      </c>
      <c r="X17" s="7">
        <v>26976</v>
      </c>
      <c r="Y17" s="8">
        <v>110921</v>
      </c>
      <c r="Z17" s="8">
        <v>68254</v>
      </c>
      <c r="AA17" s="8">
        <v>7205.5</v>
      </c>
      <c r="AB17" s="8">
        <v>2515.4</v>
      </c>
      <c r="AC17" s="8">
        <v>1.8</v>
      </c>
      <c r="AD17" s="4">
        <v>55355</v>
      </c>
      <c r="AE17" s="4">
        <v>149759</v>
      </c>
      <c r="AF17" s="7">
        <v>17557.43</v>
      </c>
      <c r="AG17" s="8">
        <v>1548802</v>
      </c>
      <c r="AH17" s="4">
        <v>14478067</v>
      </c>
      <c r="AI17" s="7">
        <v>471138.7</v>
      </c>
      <c r="AJ17" s="8">
        <v>2445730</v>
      </c>
      <c r="AK17" s="8">
        <v>1936422</v>
      </c>
      <c r="AL17" s="8">
        <v>1577255.9</v>
      </c>
      <c r="AM17" s="4">
        <v>1304381</v>
      </c>
      <c r="AN17" s="8">
        <v>288044</v>
      </c>
      <c r="AO17" s="8">
        <v>346472.8</v>
      </c>
      <c r="AP17" s="8">
        <v>3954320</v>
      </c>
      <c r="AQ17" s="4">
        <v>1722143</v>
      </c>
      <c r="AR17" s="8">
        <v>14131.9</v>
      </c>
      <c r="AS17" s="8">
        <v>181747</v>
      </c>
      <c r="AT17" s="8">
        <v>237534.2</v>
      </c>
      <c r="AU17" s="8">
        <v>26520776</v>
      </c>
      <c r="AV17" s="8">
        <v>1626390.7</v>
      </c>
      <c r="AW17" s="8">
        <v>169519.7</v>
      </c>
      <c r="AX17" s="8">
        <v>835431.2</v>
      </c>
      <c r="AY17" s="8">
        <v>1205347.7</v>
      </c>
      <c r="AZ17" s="7">
        <v>19000.009999999998</v>
      </c>
      <c r="BA17" s="7">
        <v>26897.02</v>
      </c>
      <c r="BB17" s="8">
        <v>39050.699999999997</v>
      </c>
      <c r="BC17" s="4">
        <v>624842</v>
      </c>
      <c r="BD17" s="4">
        <v>2439712</v>
      </c>
      <c r="BE17" s="8">
        <v>1372025</v>
      </c>
      <c r="BF17" s="8">
        <v>175416.4</v>
      </c>
      <c r="BG17" s="8">
        <v>64095.5</v>
      </c>
      <c r="BH17" s="7">
        <v>36.25</v>
      </c>
      <c r="BI17" s="8">
        <v>1069323</v>
      </c>
      <c r="BJ17" s="4">
        <v>3341167</v>
      </c>
      <c r="BK17" s="8">
        <v>603039.1</v>
      </c>
    </row>
    <row r="18" spans="1:95">
      <c r="A18" t="s">
        <v>332</v>
      </c>
      <c r="B18" s="4">
        <v>51577</v>
      </c>
      <c r="C18" s="4">
        <v>605806</v>
      </c>
      <c r="D18" s="8">
        <v>18327.099999999999</v>
      </c>
      <c r="E18" s="4">
        <v>60456</v>
      </c>
      <c r="F18" s="4">
        <v>82936</v>
      </c>
      <c r="G18" s="4">
        <v>49942</v>
      </c>
      <c r="H18" s="4">
        <v>47909</v>
      </c>
      <c r="I18" s="8">
        <v>9613.4</v>
      </c>
      <c r="J18" s="8">
        <v>8148</v>
      </c>
      <c r="K18" s="4">
        <v>202463</v>
      </c>
      <c r="L18" s="4">
        <v>59592</v>
      </c>
      <c r="M18" s="8">
        <v>706.9</v>
      </c>
      <c r="N18" s="4">
        <v>6797</v>
      </c>
      <c r="O18" s="4">
        <v>8330</v>
      </c>
      <c r="P18" s="4">
        <v>995609</v>
      </c>
      <c r="Q18" s="8">
        <v>55805.2</v>
      </c>
      <c r="R18" s="8">
        <v>5692</v>
      </c>
      <c r="S18" s="4">
        <v>0</v>
      </c>
      <c r="T18" s="8">
        <v>68345.2</v>
      </c>
      <c r="U18" s="7">
        <v>875.24</v>
      </c>
      <c r="V18" s="7">
        <v>1393.44</v>
      </c>
      <c r="W18" s="7">
        <v>1972.29</v>
      </c>
      <c r="X18" s="7">
        <v>26684</v>
      </c>
      <c r="Y18" s="8">
        <v>107452</v>
      </c>
      <c r="Z18" s="8">
        <v>82179</v>
      </c>
      <c r="AA18" s="8">
        <v>9478.7000000000007</v>
      </c>
      <c r="AB18" s="8">
        <v>2495.3000000000002</v>
      </c>
      <c r="AC18" s="8">
        <v>1.8</v>
      </c>
      <c r="AD18" s="4">
        <v>50910</v>
      </c>
      <c r="AE18" s="4">
        <v>161676</v>
      </c>
      <c r="AF18" s="7">
        <v>18143.28</v>
      </c>
      <c r="AG18" s="8">
        <v>1608553</v>
      </c>
      <c r="AH18" s="4">
        <v>15048971</v>
      </c>
      <c r="AI18" s="7">
        <v>482676.9</v>
      </c>
      <c r="AJ18" s="8">
        <v>2564400</v>
      </c>
      <c r="AK18" s="8">
        <v>1995289</v>
      </c>
      <c r="AL18" s="8">
        <v>1611279.4</v>
      </c>
      <c r="AM18" s="4">
        <v>1418651</v>
      </c>
      <c r="AN18" s="8">
        <v>295896.59999999998</v>
      </c>
      <c r="AO18" s="8">
        <v>363140.1</v>
      </c>
      <c r="AP18" s="8">
        <v>3992870</v>
      </c>
      <c r="AQ18" s="4">
        <v>1810926</v>
      </c>
      <c r="AR18" s="8">
        <v>14741.1</v>
      </c>
      <c r="AS18" s="8">
        <v>188143</v>
      </c>
      <c r="AT18" s="8">
        <v>224124</v>
      </c>
      <c r="AU18" s="8">
        <v>27485093</v>
      </c>
      <c r="AV18" s="8">
        <v>1680966.9</v>
      </c>
      <c r="AW18" s="8">
        <v>167391.4</v>
      </c>
      <c r="AX18" s="8">
        <v>893288.6</v>
      </c>
      <c r="AY18" s="8">
        <v>1322611.2</v>
      </c>
      <c r="AZ18" s="7">
        <v>18087.98</v>
      </c>
      <c r="BA18" s="7">
        <v>28033.83</v>
      </c>
      <c r="BB18" s="8">
        <v>42402.7</v>
      </c>
      <c r="BC18" s="4">
        <v>639187</v>
      </c>
      <c r="BD18" s="4">
        <v>2605351</v>
      </c>
      <c r="BE18" s="8">
        <v>1434368</v>
      </c>
      <c r="BF18" s="8">
        <v>179610.8</v>
      </c>
      <c r="BG18" s="8">
        <v>68764.899999999994</v>
      </c>
      <c r="BH18" s="7">
        <v>36.36</v>
      </c>
      <c r="BI18" s="8">
        <v>1072709</v>
      </c>
      <c r="BJ18" s="4">
        <v>3573581</v>
      </c>
      <c r="BK18" s="8">
        <v>624545.1</v>
      </c>
    </row>
    <row r="19" spans="1:95">
      <c r="A19" t="s">
        <v>333</v>
      </c>
      <c r="B19" s="4">
        <v>48039</v>
      </c>
      <c r="C19" s="4">
        <v>600412</v>
      </c>
      <c r="D19" s="8">
        <v>18129.5</v>
      </c>
      <c r="E19" s="4">
        <v>62530</v>
      </c>
      <c r="F19" s="4">
        <v>81591</v>
      </c>
      <c r="G19" s="4">
        <v>48064</v>
      </c>
      <c r="H19" s="4">
        <v>46375</v>
      </c>
      <c r="I19" s="8">
        <v>9388</v>
      </c>
      <c r="J19" s="8">
        <v>8994.7999999999993</v>
      </c>
      <c r="K19" s="4">
        <v>181177</v>
      </c>
      <c r="L19" s="4">
        <v>61357</v>
      </c>
      <c r="M19" s="8">
        <v>841.3</v>
      </c>
      <c r="N19" s="4">
        <v>7488</v>
      </c>
      <c r="O19" s="4">
        <v>5089</v>
      </c>
      <c r="P19" s="4">
        <v>945642</v>
      </c>
      <c r="Q19" s="8">
        <v>73497.8</v>
      </c>
      <c r="R19" s="8">
        <v>4264.3999999999996</v>
      </c>
      <c r="S19" s="4">
        <v>0</v>
      </c>
      <c r="T19" s="8">
        <v>68341</v>
      </c>
      <c r="U19" s="7">
        <v>1066.4100000000001</v>
      </c>
      <c r="V19" s="7">
        <v>1482.35</v>
      </c>
      <c r="W19" s="7">
        <v>1857.72</v>
      </c>
      <c r="X19" s="7">
        <v>26595</v>
      </c>
      <c r="Y19" s="8">
        <v>113095</v>
      </c>
      <c r="Z19" s="8">
        <v>94131</v>
      </c>
      <c r="AA19" s="8">
        <v>6139.4</v>
      </c>
      <c r="AB19" s="8">
        <v>2664.9</v>
      </c>
      <c r="AC19" s="8">
        <v>1.5</v>
      </c>
      <c r="AD19" s="4">
        <v>39935</v>
      </c>
      <c r="AE19" s="4">
        <v>165242</v>
      </c>
      <c r="AF19" s="7">
        <v>18794.169999999998</v>
      </c>
      <c r="AG19" s="8">
        <v>1662590</v>
      </c>
      <c r="AH19" s="4">
        <v>15599732</v>
      </c>
      <c r="AI19" s="7">
        <v>471578.7</v>
      </c>
      <c r="AJ19" s="8">
        <v>2693560</v>
      </c>
      <c r="AK19" s="8">
        <v>2058369</v>
      </c>
      <c r="AL19" s="8">
        <v>1648755.8</v>
      </c>
      <c r="AM19" s="4">
        <v>1500852</v>
      </c>
      <c r="AN19" s="8">
        <v>310128.7</v>
      </c>
      <c r="AO19" s="8">
        <v>375967.8</v>
      </c>
      <c r="AP19" s="8">
        <v>4062323</v>
      </c>
      <c r="AQ19" s="4">
        <v>1846854</v>
      </c>
      <c r="AR19" s="8">
        <v>16677.3</v>
      </c>
      <c r="AS19" s="8">
        <v>197998</v>
      </c>
      <c r="AT19" s="8">
        <v>203308.2</v>
      </c>
      <c r="AU19" s="8">
        <v>28538202</v>
      </c>
      <c r="AV19" s="8">
        <v>1765008.7</v>
      </c>
      <c r="AW19" s="8">
        <v>171823.5</v>
      </c>
      <c r="AX19" s="8">
        <v>956813.6</v>
      </c>
      <c r="AY19" s="8">
        <v>1388937.2</v>
      </c>
      <c r="AZ19" s="7">
        <v>19763.84</v>
      </c>
      <c r="BA19" s="7">
        <v>31317.17</v>
      </c>
      <c r="BB19" s="8">
        <v>44323.5</v>
      </c>
      <c r="BC19" s="4">
        <v>650359</v>
      </c>
      <c r="BD19" s="4">
        <v>2809929</v>
      </c>
      <c r="BE19" s="8">
        <v>1553641</v>
      </c>
      <c r="BF19" s="8">
        <v>176096.2</v>
      </c>
      <c r="BG19" s="8">
        <v>71785.8</v>
      </c>
      <c r="BH19" s="7">
        <v>37.06</v>
      </c>
      <c r="BI19" s="8">
        <v>1063763</v>
      </c>
      <c r="BJ19" s="4">
        <v>3727905</v>
      </c>
      <c r="BK19" s="8">
        <v>635738.69999999995</v>
      </c>
    </row>
    <row r="20" spans="1:95">
      <c r="A20" t="s">
        <v>334</v>
      </c>
      <c r="B20" s="4">
        <v>45252</v>
      </c>
      <c r="C20" s="4">
        <v>585308</v>
      </c>
      <c r="D20" s="8">
        <v>17957.099999999999</v>
      </c>
      <c r="E20" s="4">
        <v>60803</v>
      </c>
      <c r="F20" s="4">
        <v>84537</v>
      </c>
      <c r="G20" s="4">
        <v>42862</v>
      </c>
      <c r="H20" s="4">
        <v>46058</v>
      </c>
      <c r="I20" s="8">
        <v>9357.9</v>
      </c>
      <c r="J20" s="8">
        <v>9592.7000000000007</v>
      </c>
      <c r="K20" s="4">
        <v>169356</v>
      </c>
      <c r="L20" s="4">
        <v>71808</v>
      </c>
      <c r="M20" s="8">
        <v>1131.5</v>
      </c>
      <c r="N20" s="4">
        <v>8098</v>
      </c>
      <c r="O20" s="4">
        <v>4825</v>
      </c>
      <c r="P20" s="4">
        <v>1071355</v>
      </c>
      <c r="Q20" s="8">
        <v>46464.7</v>
      </c>
      <c r="R20" s="8">
        <v>3602.2</v>
      </c>
      <c r="S20" s="4">
        <v>0</v>
      </c>
      <c r="T20" s="8">
        <v>68015.199999999997</v>
      </c>
      <c r="U20" s="7">
        <v>1152.0999999999999</v>
      </c>
      <c r="V20" s="7">
        <v>1327.69</v>
      </c>
      <c r="W20" s="7">
        <v>1821.07</v>
      </c>
      <c r="X20" s="7">
        <v>24707</v>
      </c>
      <c r="Y20" s="8">
        <v>115077</v>
      </c>
      <c r="Z20" s="8">
        <v>79085</v>
      </c>
      <c r="AA20" s="8">
        <v>4158.3</v>
      </c>
      <c r="AB20" s="8">
        <v>2382.8000000000002</v>
      </c>
      <c r="AC20" s="8">
        <v>1.5</v>
      </c>
      <c r="AD20" s="4">
        <v>32337</v>
      </c>
      <c r="AE20" s="4">
        <v>171459</v>
      </c>
      <c r="AF20" s="7">
        <v>19036.45</v>
      </c>
      <c r="AG20" s="8">
        <v>1713715</v>
      </c>
      <c r="AH20" s="4">
        <v>16253970</v>
      </c>
      <c r="AI20" s="7">
        <v>475331.7</v>
      </c>
      <c r="AJ20" s="8">
        <v>2745310</v>
      </c>
      <c r="AK20" s="8">
        <v>2088804</v>
      </c>
      <c r="AL20" s="8">
        <v>1624358.7</v>
      </c>
      <c r="AM20" s="4">
        <v>1537445</v>
      </c>
      <c r="AN20" s="8">
        <v>318653</v>
      </c>
      <c r="AO20" s="8">
        <v>386174.7</v>
      </c>
      <c r="AP20" s="8">
        <v>4088912</v>
      </c>
      <c r="AQ20" s="4">
        <v>1895002</v>
      </c>
      <c r="AR20" s="8">
        <v>17916.7</v>
      </c>
      <c r="AS20" s="8">
        <v>201037</v>
      </c>
      <c r="AT20" s="8">
        <v>188380.6</v>
      </c>
      <c r="AU20" s="8">
        <v>28996631</v>
      </c>
      <c r="AV20" s="8">
        <v>1845159.8</v>
      </c>
      <c r="AW20" s="8">
        <v>175218.5</v>
      </c>
      <c r="AX20" s="8">
        <v>1013796.6</v>
      </c>
      <c r="AY20" s="8">
        <v>1440111.4</v>
      </c>
      <c r="AZ20" s="7">
        <v>21924.46</v>
      </c>
      <c r="BA20" s="7">
        <v>33410.160000000003</v>
      </c>
      <c r="BB20" s="8">
        <v>46526.2</v>
      </c>
      <c r="BC20" s="4">
        <v>652966</v>
      </c>
      <c r="BD20" s="4">
        <v>2983082</v>
      </c>
      <c r="BE20" s="8">
        <v>1612739</v>
      </c>
      <c r="BF20" s="8">
        <v>168295.6</v>
      </c>
      <c r="BG20" s="8">
        <v>73649.3</v>
      </c>
      <c r="BH20" s="7">
        <v>36.25</v>
      </c>
      <c r="BI20" s="8">
        <v>1031104</v>
      </c>
      <c r="BJ20" s="4">
        <v>3743086</v>
      </c>
      <c r="BK20" s="8">
        <v>643645.6</v>
      </c>
    </row>
    <row r="21" spans="1:95">
      <c r="A21" t="s">
        <v>335</v>
      </c>
      <c r="B21" s="4">
        <v>43568</v>
      </c>
      <c r="C21" s="4">
        <v>565957</v>
      </c>
      <c r="D21" s="8">
        <v>20378.2</v>
      </c>
      <c r="E21" s="4">
        <v>61255</v>
      </c>
      <c r="F21" s="4">
        <v>84295</v>
      </c>
      <c r="G21" s="4">
        <v>40525</v>
      </c>
      <c r="H21" s="4">
        <v>46335</v>
      </c>
      <c r="I21" s="8">
        <v>9851.4</v>
      </c>
      <c r="J21" s="8">
        <v>9136</v>
      </c>
      <c r="K21" s="4">
        <v>152350</v>
      </c>
      <c r="L21" s="4">
        <v>70689</v>
      </c>
      <c r="M21" s="8">
        <v>1053.5</v>
      </c>
      <c r="N21" s="4">
        <v>8500</v>
      </c>
      <c r="O21" s="4">
        <v>6221</v>
      </c>
      <c r="P21" s="4">
        <v>1320473</v>
      </c>
      <c r="Q21" s="8">
        <v>60442</v>
      </c>
      <c r="R21" s="8">
        <v>3633.8</v>
      </c>
      <c r="S21" s="4">
        <v>51507</v>
      </c>
      <c r="T21" s="8">
        <v>70688.899999999994</v>
      </c>
      <c r="U21" s="7">
        <v>1059.58</v>
      </c>
      <c r="V21" s="7">
        <v>1312.67</v>
      </c>
      <c r="W21" s="7">
        <v>1706.13</v>
      </c>
      <c r="X21" s="7">
        <v>24313</v>
      </c>
      <c r="Y21" s="8">
        <v>131801</v>
      </c>
      <c r="Z21" s="8">
        <v>70216</v>
      </c>
      <c r="AA21" s="8">
        <v>3701.1</v>
      </c>
      <c r="AB21" s="8">
        <v>2513.4</v>
      </c>
      <c r="AC21" s="8">
        <v>1.6</v>
      </c>
      <c r="AD21" s="4">
        <v>24554</v>
      </c>
      <c r="AE21" s="4">
        <v>175963</v>
      </c>
      <c r="AF21" s="7">
        <v>19281.3</v>
      </c>
      <c r="AG21" s="8">
        <v>1781361</v>
      </c>
      <c r="AH21" s="4">
        <v>16880683</v>
      </c>
      <c r="AI21" s="7">
        <v>479083.7</v>
      </c>
      <c r="AJ21" s="8">
        <v>2811350</v>
      </c>
      <c r="AK21" s="8">
        <v>2117189</v>
      </c>
      <c r="AL21" s="8">
        <v>1612751.3</v>
      </c>
      <c r="AM21" s="4">
        <v>1599695</v>
      </c>
      <c r="AN21" s="8">
        <v>323910.2</v>
      </c>
      <c r="AO21" s="8">
        <v>392880</v>
      </c>
      <c r="AP21" s="8">
        <v>4142811</v>
      </c>
      <c r="AQ21" s="4">
        <v>1929677</v>
      </c>
      <c r="AR21" s="8">
        <v>18910.8</v>
      </c>
      <c r="AS21" s="8">
        <v>204321</v>
      </c>
      <c r="AT21" s="8">
        <v>179884.4</v>
      </c>
      <c r="AU21" s="8">
        <v>30351903</v>
      </c>
      <c r="AV21" s="8">
        <v>1970145.7</v>
      </c>
      <c r="AW21" s="8">
        <v>179285.6</v>
      </c>
      <c r="AX21" s="8">
        <v>1074690.1000000001</v>
      </c>
      <c r="AY21" s="8">
        <v>1500819.1</v>
      </c>
      <c r="AZ21" s="7">
        <v>22749.01</v>
      </c>
      <c r="BA21" s="7">
        <v>35039.54</v>
      </c>
      <c r="BB21" s="8">
        <v>49094.5</v>
      </c>
      <c r="BC21" s="4">
        <v>660463</v>
      </c>
      <c r="BD21" s="4">
        <v>3090335</v>
      </c>
      <c r="BE21" s="8">
        <v>1630126</v>
      </c>
      <c r="BF21" s="8">
        <v>170492.3</v>
      </c>
      <c r="BG21" s="8">
        <v>74492.800000000003</v>
      </c>
      <c r="BH21" s="7">
        <v>36.450000000000003</v>
      </c>
      <c r="BI21" s="8">
        <v>1020677</v>
      </c>
      <c r="BJ21" s="4">
        <v>3822671</v>
      </c>
      <c r="BK21" s="8">
        <v>654611.69999999995</v>
      </c>
    </row>
    <row r="22" spans="1:95">
      <c r="A22" t="s">
        <v>336</v>
      </c>
      <c r="B22" s="4">
        <v>50194</v>
      </c>
      <c r="C22" s="4">
        <v>569637</v>
      </c>
      <c r="D22" s="8">
        <v>20472.099999999999</v>
      </c>
      <c r="E22" s="4">
        <v>61397</v>
      </c>
      <c r="F22" s="4">
        <v>79638</v>
      </c>
      <c r="G22" s="4">
        <v>37800</v>
      </c>
      <c r="H22" s="4">
        <v>46786</v>
      </c>
      <c r="I22" s="8">
        <v>9850.2000000000007</v>
      </c>
      <c r="J22" s="8">
        <v>10328.299999999999</v>
      </c>
      <c r="K22" s="4">
        <v>177995</v>
      </c>
      <c r="L22" s="4">
        <v>76450</v>
      </c>
      <c r="M22" s="8">
        <v>1005.3</v>
      </c>
      <c r="N22" s="4">
        <v>8667</v>
      </c>
      <c r="O22" s="4">
        <v>6571</v>
      </c>
      <c r="P22" s="4">
        <v>1746144</v>
      </c>
      <c r="Q22" s="8">
        <v>61185.2</v>
      </c>
      <c r="R22" s="8">
        <v>4263.3999999999996</v>
      </c>
      <c r="S22" s="4">
        <v>51004</v>
      </c>
      <c r="T22" s="8">
        <v>66572.3</v>
      </c>
      <c r="U22" s="7">
        <v>1091.8699999999999</v>
      </c>
      <c r="V22" s="7">
        <v>1291.92</v>
      </c>
      <c r="W22" s="7">
        <v>1892.78</v>
      </c>
      <c r="X22" s="7">
        <v>23530</v>
      </c>
      <c r="Y22" s="8">
        <v>144660</v>
      </c>
      <c r="Z22" s="8">
        <v>80203.3</v>
      </c>
      <c r="AA22" s="8">
        <v>3446.3</v>
      </c>
      <c r="AB22" s="8">
        <v>3139.1</v>
      </c>
      <c r="AC22" s="8">
        <v>1.9</v>
      </c>
      <c r="AD22" s="4">
        <v>22028</v>
      </c>
      <c r="AE22" s="4">
        <v>186094</v>
      </c>
      <c r="AF22" s="7">
        <v>19920.580000000002</v>
      </c>
      <c r="AG22" s="8">
        <v>1862514</v>
      </c>
      <c r="AH22" s="4">
        <v>17608138</v>
      </c>
      <c r="AI22" s="7">
        <v>486938.8</v>
      </c>
      <c r="AJ22" s="8">
        <v>2927430</v>
      </c>
      <c r="AK22" s="8">
        <v>2149765</v>
      </c>
      <c r="AL22" s="8">
        <v>1627405.6</v>
      </c>
      <c r="AM22" s="4">
        <v>1624733</v>
      </c>
      <c r="AN22" s="8">
        <v>333146.09999999998</v>
      </c>
      <c r="AO22" s="8">
        <v>403003.3</v>
      </c>
      <c r="AP22" s="8">
        <v>4345766</v>
      </c>
      <c r="AQ22" s="4">
        <v>1981165</v>
      </c>
      <c r="AR22" s="8">
        <v>20048.2</v>
      </c>
      <c r="AS22" s="8">
        <v>206897</v>
      </c>
      <c r="AT22" s="8">
        <v>177236</v>
      </c>
      <c r="AU22" s="8">
        <v>32804707</v>
      </c>
      <c r="AV22" s="8">
        <v>2086359.6</v>
      </c>
      <c r="AW22" s="8">
        <v>195469.9</v>
      </c>
      <c r="AX22" s="8">
        <v>1123796.5</v>
      </c>
      <c r="AY22" s="8">
        <v>1562928.9</v>
      </c>
      <c r="AZ22" s="7">
        <v>23625.8</v>
      </c>
      <c r="BA22" s="7">
        <v>36581.31</v>
      </c>
      <c r="BB22" s="8">
        <v>51791.3</v>
      </c>
      <c r="BC22" s="4">
        <v>671560</v>
      </c>
      <c r="BD22" s="4">
        <v>3161776</v>
      </c>
      <c r="BE22" s="8">
        <v>1700552</v>
      </c>
      <c r="BF22" s="8">
        <v>173053.7</v>
      </c>
      <c r="BG22" s="8">
        <v>76354.5</v>
      </c>
      <c r="BH22" s="7">
        <v>37.630000000000003</v>
      </c>
      <c r="BI22" s="8">
        <v>1032608</v>
      </c>
      <c r="BJ22" s="4">
        <v>3992730</v>
      </c>
      <c r="BK22" s="8">
        <v>665618.4</v>
      </c>
    </row>
    <row r="23" spans="1:95">
      <c r="A23" t="s">
        <v>280</v>
      </c>
      <c r="B23" s="4">
        <v>51665</v>
      </c>
      <c r="C23" s="4">
        <v>591977</v>
      </c>
      <c r="D23" s="8">
        <v>19812.099999999999</v>
      </c>
      <c r="E23" s="4">
        <v>64765</v>
      </c>
      <c r="F23" s="4">
        <v>74879</v>
      </c>
      <c r="G23" s="4">
        <v>39764</v>
      </c>
      <c r="H23" s="4">
        <v>48815</v>
      </c>
      <c r="I23" s="8">
        <v>10261</v>
      </c>
      <c r="J23" s="8">
        <v>10387.799999999999</v>
      </c>
      <c r="K23" s="4">
        <v>236308</v>
      </c>
      <c r="L23" s="4">
        <v>73858</v>
      </c>
      <c r="M23" s="8">
        <v>1077.0999999999999</v>
      </c>
      <c r="N23" s="4">
        <v>7908</v>
      </c>
      <c r="O23" s="4">
        <v>6812</v>
      </c>
      <c r="P23" s="4">
        <v>2278533</v>
      </c>
      <c r="Q23" s="8">
        <v>63316</v>
      </c>
      <c r="R23" s="8">
        <v>4589.2</v>
      </c>
      <c r="S23" s="4">
        <v>54875</v>
      </c>
      <c r="T23" s="8">
        <v>70563.600000000006</v>
      </c>
      <c r="U23" s="7">
        <v>1182.1500000000001</v>
      </c>
      <c r="V23" s="7">
        <v>1379.6</v>
      </c>
      <c r="W23" s="7">
        <v>2091.02</v>
      </c>
      <c r="X23" s="7">
        <v>24580</v>
      </c>
      <c r="Y23" s="8">
        <v>151990</v>
      </c>
      <c r="Z23" s="8">
        <v>81673.899999999994</v>
      </c>
      <c r="AA23" s="8">
        <v>4045.5</v>
      </c>
      <c r="AB23" s="8">
        <v>5096.7</v>
      </c>
      <c r="AC23" s="8">
        <v>1.8</v>
      </c>
      <c r="AD23" s="4">
        <v>27983</v>
      </c>
      <c r="AE23" s="4">
        <v>190676</v>
      </c>
      <c r="AF23" s="7">
        <v>20158.349999999999</v>
      </c>
      <c r="AG23" s="8">
        <v>1916451</v>
      </c>
      <c r="AH23" s="4">
        <v>18295019</v>
      </c>
      <c r="AI23" s="7">
        <v>499349.9</v>
      </c>
      <c r="AJ23" s="8">
        <v>3026180</v>
      </c>
      <c r="AK23" s="8">
        <v>2198432</v>
      </c>
      <c r="AL23" s="8">
        <v>1655355</v>
      </c>
      <c r="AM23" s="4">
        <v>1658936</v>
      </c>
      <c r="AN23" s="8">
        <v>344269.2</v>
      </c>
      <c r="AO23" s="8">
        <v>416701.4</v>
      </c>
      <c r="AP23" s="8">
        <v>4625378</v>
      </c>
      <c r="AQ23" s="4">
        <v>2036356</v>
      </c>
      <c r="AR23" s="8">
        <v>20631.400000000001</v>
      </c>
      <c r="AS23" s="8">
        <v>211385</v>
      </c>
      <c r="AT23" s="8">
        <v>176368.9</v>
      </c>
      <c r="AU23" s="8">
        <v>34965213</v>
      </c>
      <c r="AV23" s="8">
        <v>2310847.7999999998</v>
      </c>
      <c r="AW23" s="8">
        <v>263506.8</v>
      </c>
      <c r="AX23" s="8">
        <v>1176638.1000000001</v>
      </c>
      <c r="AY23" s="8">
        <v>1658020.4</v>
      </c>
      <c r="AZ23" s="7">
        <v>24572.13</v>
      </c>
      <c r="BA23" s="7">
        <v>37345.699999999997</v>
      </c>
      <c r="BB23" s="8">
        <v>54142.3</v>
      </c>
      <c r="BC23" s="4">
        <v>690008</v>
      </c>
      <c r="BD23" s="4">
        <v>3130183</v>
      </c>
      <c r="BE23" s="8">
        <v>1798471</v>
      </c>
      <c r="BF23" s="8">
        <v>179713.2</v>
      </c>
      <c r="BG23" s="8">
        <v>80126</v>
      </c>
      <c r="BH23" s="7">
        <v>38.85</v>
      </c>
      <c r="BI23" s="8">
        <v>1078092</v>
      </c>
      <c r="BJ23" s="4">
        <v>4260470</v>
      </c>
      <c r="BK23" s="8">
        <v>668006.40000000002</v>
      </c>
    </row>
    <row r="24" spans="1:95">
      <c r="A24" t="s">
        <v>337</v>
      </c>
      <c r="B24" s="4">
        <v>51474</v>
      </c>
      <c r="C24" s="4">
        <v>612467</v>
      </c>
      <c r="D24" s="8">
        <v>19895.7</v>
      </c>
      <c r="E24" s="4">
        <v>68621</v>
      </c>
      <c r="F24" s="4">
        <v>75075</v>
      </c>
      <c r="G24" s="4">
        <v>39022</v>
      </c>
      <c r="H24" s="4">
        <v>58309</v>
      </c>
      <c r="I24" s="8">
        <v>10643.9</v>
      </c>
      <c r="J24" s="8">
        <v>10366</v>
      </c>
      <c r="K24" s="4">
        <v>155210</v>
      </c>
      <c r="L24" s="4">
        <v>79578</v>
      </c>
      <c r="M24" s="8">
        <v>1007.7</v>
      </c>
      <c r="N24" s="4">
        <v>9017</v>
      </c>
      <c r="O24" s="4">
        <v>6237</v>
      </c>
      <c r="P24" s="4">
        <v>1142605</v>
      </c>
      <c r="Q24" s="8">
        <v>65143.5</v>
      </c>
      <c r="R24" s="8">
        <v>5340.9</v>
      </c>
      <c r="S24" s="4">
        <v>60723</v>
      </c>
      <c r="T24" s="8">
        <v>75771</v>
      </c>
      <c r="U24" s="7">
        <v>903.91</v>
      </c>
      <c r="V24" s="7">
        <v>1182.8699999999999</v>
      </c>
      <c r="W24" s="7">
        <v>2140.4899999999998</v>
      </c>
      <c r="X24" s="7">
        <v>24696</v>
      </c>
      <c r="Y24" s="8">
        <v>165169</v>
      </c>
      <c r="Z24" s="8">
        <v>61257</v>
      </c>
      <c r="AA24" s="8">
        <v>2875.2</v>
      </c>
      <c r="AB24" s="8">
        <v>2758.7</v>
      </c>
      <c r="AC24" s="8">
        <v>1.3</v>
      </c>
      <c r="AD24" s="4">
        <v>22238</v>
      </c>
      <c r="AE24" s="4">
        <v>202437</v>
      </c>
      <c r="AF24" s="7">
        <v>20153.080000000002</v>
      </c>
      <c r="AG24" s="8">
        <v>1991645</v>
      </c>
      <c r="AH24" s="4">
        <v>18804913</v>
      </c>
      <c r="AJ24" s="8">
        <v>3134740</v>
      </c>
      <c r="AK24" s="8">
        <v>2234129</v>
      </c>
      <c r="AL24" s="8">
        <v>1695786.8</v>
      </c>
      <c r="AM24" s="4">
        <v>1759378</v>
      </c>
      <c r="AN24" s="8">
        <v>357608</v>
      </c>
      <c r="AO24" s="8">
        <v>430085.3</v>
      </c>
      <c r="AP24" s="8">
        <v>4796873</v>
      </c>
      <c r="AQ24" s="4">
        <v>2107808</v>
      </c>
      <c r="AR24" s="8">
        <v>21747.9</v>
      </c>
      <c r="AS24" s="8">
        <v>217518</v>
      </c>
      <c r="AT24" s="8">
        <v>174494.2</v>
      </c>
      <c r="AU24" s="8">
        <v>36206666</v>
      </c>
      <c r="AV24" s="8">
        <v>2512054.7999999998</v>
      </c>
      <c r="AW24" s="8">
        <v>269724.79999999999</v>
      </c>
      <c r="AX24" s="8">
        <v>1232669.5</v>
      </c>
      <c r="AY24" s="8">
        <v>1740779.6</v>
      </c>
      <c r="AZ24" s="7">
        <v>25371.32</v>
      </c>
      <c r="BA24" s="7">
        <v>38889.86</v>
      </c>
      <c r="BB24" s="8">
        <v>56208.1</v>
      </c>
      <c r="BC24" s="4">
        <v>708337</v>
      </c>
      <c r="BD24" s="4">
        <v>3116035</v>
      </c>
      <c r="BE24" s="8">
        <v>1853205</v>
      </c>
      <c r="BF24" s="8">
        <v>186489.8</v>
      </c>
      <c r="BG24" s="8">
        <v>81265.2</v>
      </c>
      <c r="BH24" s="7">
        <v>40.44</v>
      </c>
      <c r="BI24" s="8">
        <v>1114420</v>
      </c>
      <c r="BJ24" s="4">
        <v>4415031</v>
      </c>
      <c r="BK24" s="8">
        <v>677848.3</v>
      </c>
    </row>
    <row r="25" spans="1:95">
      <c r="A25" t="s">
        <v>338</v>
      </c>
      <c r="B25" s="4">
        <v>57401</v>
      </c>
      <c r="C25" s="4">
        <v>643790</v>
      </c>
      <c r="D25" s="8">
        <v>20443.8</v>
      </c>
      <c r="E25" s="4">
        <v>72832</v>
      </c>
      <c r="F25" s="4">
        <v>76440</v>
      </c>
      <c r="G25" s="4">
        <v>38276</v>
      </c>
      <c r="H25" s="4">
        <v>64412</v>
      </c>
      <c r="I25" s="8">
        <v>11478.7</v>
      </c>
      <c r="J25" s="8">
        <v>10730.5</v>
      </c>
      <c r="K25" s="4">
        <v>170977</v>
      </c>
      <c r="L25" s="4">
        <v>74371</v>
      </c>
      <c r="M25" s="8">
        <v>1355.4</v>
      </c>
      <c r="N25" s="4">
        <v>9214</v>
      </c>
      <c r="O25" s="4">
        <v>8033</v>
      </c>
      <c r="P25" s="4">
        <v>1780046</v>
      </c>
      <c r="Q25" s="8">
        <v>79324.399999999994</v>
      </c>
      <c r="R25" s="8">
        <v>5546.5</v>
      </c>
      <c r="S25" s="4">
        <v>60560</v>
      </c>
      <c r="T25" s="8">
        <v>79777.399999999994</v>
      </c>
      <c r="U25" s="7">
        <v>1246.75</v>
      </c>
      <c r="V25" s="7">
        <v>1365.07</v>
      </c>
      <c r="W25" s="7">
        <v>2348.38</v>
      </c>
      <c r="X25" s="7">
        <v>25412</v>
      </c>
      <c r="Y25" s="8">
        <v>173842</v>
      </c>
      <c r="Z25" s="8">
        <v>75372</v>
      </c>
      <c r="AA25" s="8">
        <v>3496.5</v>
      </c>
      <c r="AB25" s="8">
        <v>2845.5</v>
      </c>
      <c r="AC25" s="8">
        <v>1.3</v>
      </c>
      <c r="AD25" s="4">
        <v>23067</v>
      </c>
      <c r="AE25" s="4">
        <v>222084</v>
      </c>
      <c r="AF25" s="7">
        <v>20768.73</v>
      </c>
      <c r="AG25" s="8">
        <v>2082482</v>
      </c>
      <c r="AH25" s="4">
        <v>19612102</v>
      </c>
      <c r="AJ25" s="8">
        <v>3267160</v>
      </c>
      <c r="AK25" s="8">
        <v>2297242</v>
      </c>
      <c r="AL25" s="8">
        <v>1736592.8</v>
      </c>
      <c r="AM25" s="4">
        <v>1844528</v>
      </c>
      <c r="AN25" s="8">
        <v>369361.9</v>
      </c>
      <c r="AO25" s="8">
        <v>445050.1</v>
      </c>
      <c r="AP25" s="8">
        <v>5110743</v>
      </c>
      <c r="AQ25" s="4">
        <v>2192960</v>
      </c>
      <c r="AR25" s="8">
        <v>23833.599999999999</v>
      </c>
      <c r="AS25" s="8">
        <v>226301</v>
      </c>
      <c r="AT25" s="8">
        <v>176903.4</v>
      </c>
      <c r="AU25" s="8">
        <v>39274757</v>
      </c>
      <c r="AV25" s="8">
        <v>2641959.4</v>
      </c>
      <c r="AW25" s="8">
        <v>298528.3</v>
      </c>
      <c r="AX25" s="8">
        <v>1285863.5</v>
      </c>
      <c r="AY25" s="8">
        <v>1835698.2</v>
      </c>
      <c r="AZ25" s="7">
        <v>26984.43</v>
      </c>
      <c r="BA25" s="7">
        <v>42276.3</v>
      </c>
      <c r="BB25" s="8">
        <v>58168.800000000003</v>
      </c>
      <c r="BC25" s="4">
        <v>738146</v>
      </c>
      <c r="BD25" s="4">
        <v>3323103</v>
      </c>
      <c r="BE25" s="8">
        <v>1982794</v>
      </c>
      <c r="BF25" s="8">
        <v>195947.2</v>
      </c>
      <c r="BG25" s="8">
        <v>84669.9</v>
      </c>
      <c r="BH25" s="7">
        <v>43.01</v>
      </c>
      <c r="BI25" s="8">
        <v>1162492</v>
      </c>
      <c r="BJ25" s="4">
        <v>4625094</v>
      </c>
      <c r="BK25" s="8">
        <v>684558.5</v>
      </c>
    </row>
    <row r="26" spans="1:95">
      <c r="A26" t="s">
        <v>339</v>
      </c>
      <c r="B26" s="4">
        <v>58446</v>
      </c>
      <c r="C26" s="4">
        <v>688829</v>
      </c>
      <c r="D26" s="8">
        <v>20971</v>
      </c>
      <c r="E26" s="4">
        <v>79681</v>
      </c>
      <c r="F26" s="4">
        <v>80376</v>
      </c>
      <c r="G26" s="4">
        <v>37766</v>
      </c>
      <c r="H26" s="4">
        <v>72259</v>
      </c>
      <c r="I26" s="8">
        <v>11815.5</v>
      </c>
      <c r="J26" s="8">
        <v>12084.6</v>
      </c>
      <c r="K26" s="4">
        <v>224424</v>
      </c>
      <c r="L26" s="4">
        <v>77237</v>
      </c>
      <c r="M26" s="8">
        <v>1372.2</v>
      </c>
      <c r="N26" s="4">
        <v>9982</v>
      </c>
      <c r="O26" s="4">
        <v>5808</v>
      </c>
      <c r="P26" s="4">
        <v>2513951</v>
      </c>
      <c r="Q26" s="8">
        <v>116232.1</v>
      </c>
      <c r="R26" s="8">
        <v>6618</v>
      </c>
      <c r="S26" s="4">
        <v>67805</v>
      </c>
      <c r="T26" s="8">
        <v>84213.3</v>
      </c>
      <c r="U26" s="7">
        <v>1639.26</v>
      </c>
      <c r="V26" s="7">
        <v>1453.14</v>
      </c>
      <c r="W26" s="7">
        <v>2357.61</v>
      </c>
      <c r="X26" s="7">
        <v>26459</v>
      </c>
      <c r="Y26" s="8">
        <v>193934</v>
      </c>
      <c r="Z26" s="8">
        <v>98979.7</v>
      </c>
      <c r="AA26" s="8">
        <v>3790.2</v>
      </c>
      <c r="AB26" s="8">
        <v>3371</v>
      </c>
      <c r="AC26" s="8">
        <v>1.7</v>
      </c>
      <c r="AD26" s="4">
        <v>25895</v>
      </c>
      <c r="AE26" s="4">
        <v>243086</v>
      </c>
      <c r="AF26" s="7">
        <v>21380.959999999999</v>
      </c>
      <c r="AG26" s="8">
        <v>2152304</v>
      </c>
      <c r="AH26" s="4">
        <v>20656516</v>
      </c>
      <c r="AJ26" s="8">
        <v>3365450</v>
      </c>
      <c r="AK26" s="8">
        <v>2363306</v>
      </c>
      <c r="AL26" s="8">
        <v>1771391.2</v>
      </c>
      <c r="AM26" s="4">
        <v>1950042</v>
      </c>
      <c r="AN26" s="8">
        <v>385274.1</v>
      </c>
      <c r="AO26" s="8">
        <v>460050.8</v>
      </c>
      <c r="AP26" s="8">
        <v>5410761</v>
      </c>
      <c r="AQ26" s="4">
        <v>2253316</v>
      </c>
      <c r="AR26" s="8">
        <v>25932.2</v>
      </c>
      <c r="AS26" s="8">
        <v>233462</v>
      </c>
      <c r="AT26" s="8">
        <v>179557.7</v>
      </c>
      <c r="AU26" s="8">
        <v>43386710</v>
      </c>
      <c r="AV26" s="8">
        <v>2844054.7</v>
      </c>
      <c r="AW26" s="8">
        <v>327441.40000000002</v>
      </c>
      <c r="AX26" s="8">
        <v>1347000.7</v>
      </c>
      <c r="AY26" s="8">
        <v>1898192.6</v>
      </c>
      <c r="AZ26" s="7">
        <v>29153.56</v>
      </c>
      <c r="BA26" s="7">
        <v>45515.23</v>
      </c>
      <c r="BB26" s="8">
        <v>60121.2</v>
      </c>
      <c r="BC26" s="4">
        <v>773987</v>
      </c>
      <c r="BD26" s="4">
        <v>3576581</v>
      </c>
      <c r="BE26" s="8">
        <v>2126506</v>
      </c>
      <c r="BF26" s="8">
        <v>205184.1</v>
      </c>
      <c r="BG26" s="8">
        <v>89874.7</v>
      </c>
      <c r="BH26" s="7">
        <v>45.88</v>
      </c>
      <c r="BI26" s="8">
        <v>1203859</v>
      </c>
      <c r="BJ26" s="4">
        <v>4828306</v>
      </c>
      <c r="BK26" s="8">
        <v>709521.6</v>
      </c>
    </row>
    <row r="27" spans="1:95">
      <c r="A27" t="s">
        <v>340</v>
      </c>
      <c r="B27" s="4">
        <v>62139</v>
      </c>
      <c r="C27" s="4">
        <v>731549</v>
      </c>
      <c r="D27" s="8">
        <v>22078.9</v>
      </c>
      <c r="E27" s="4">
        <v>83568</v>
      </c>
      <c r="F27" s="4">
        <v>89018</v>
      </c>
      <c r="G27" s="4">
        <v>41470</v>
      </c>
      <c r="H27" s="4">
        <v>74238</v>
      </c>
      <c r="I27" s="8">
        <v>12409.5</v>
      </c>
      <c r="J27" s="8">
        <v>12490.2</v>
      </c>
      <c r="K27" s="4">
        <v>252794</v>
      </c>
      <c r="L27" s="4">
        <v>74878</v>
      </c>
      <c r="M27" s="8">
        <v>1379.2</v>
      </c>
      <c r="N27" s="4">
        <v>10513</v>
      </c>
      <c r="O27" s="4">
        <v>4575</v>
      </c>
      <c r="P27" s="4">
        <v>2983072</v>
      </c>
      <c r="Q27" s="8">
        <v>109225.8</v>
      </c>
      <c r="R27" s="8">
        <v>8093.6</v>
      </c>
      <c r="S27" s="4">
        <v>69433</v>
      </c>
      <c r="T27" s="8">
        <v>96596.3</v>
      </c>
      <c r="U27" s="7">
        <v>1553.64</v>
      </c>
      <c r="V27" s="7">
        <v>1553.95</v>
      </c>
      <c r="W27" s="7">
        <v>2571.34</v>
      </c>
      <c r="X27" s="7">
        <v>27578</v>
      </c>
      <c r="Y27" s="8">
        <v>214168</v>
      </c>
      <c r="Z27" s="8">
        <v>98624</v>
      </c>
      <c r="AA27" s="8">
        <v>3904.4</v>
      </c>
      <c r="AB27" s="8">
        <v>3388.4</v>
      </c>
      <c r="AC27" s="8">
        <v>1.9</v>
      </c>
      <c r="AD27" s="4">
        <v>27169</v>
      </c>
      <c r="AE27" s="4">
        <v>255118</v>
      </c>
      <c r="AF27" s="7">
        <v>22427.01</v>
      </c>
      <c r="AG27" s="8">
        <v>2233921</v>
      </c>
      <c r="AH27" s="4">
        <v>21521395</v>
      </c>
      <c r="AJ27" s="8">
        <v>3474110</v>
      </c>
      <c r="AK27" s="8">
        <v>2437635</v>
      </c>
      <c r="AL27" s="8">
        <v>1796648.5</v>
      </c>
      <c r="AM27" s="4">
        <v>1984598</v>
      </c>
      <c r="AN27" s="8">
        <v>397147.2</v>
      </c>
      <c r="AO27" s="8">
        <v>478676.2</v>
      </c>
      <c r="AP27" s="8">
        <v>5791498</v>
      </c>
      <c r="AQ27" s="4">
        <v>2310955</v>
      </c>
      <c r="AR27" s="8">
        <v>27764.7</v>
      </c>
      <c r="AS27" s="8">
        <v>239858</v>
      </c>
      <c r="AT27" s="8">
        <v>183347.4</v>
      </c>
      <c r="AU27" s="8">
        <v>47674187</v>
      </c>
      <c r="AV27" s="8">
        <v>3026099.9</v>
      </c>
      <c r="AW27" s="8">
        <v>356357.4</v>
      </c>
      <c r="AX27" s="8">
        <v>1424572.4</v>
      </c>
      <c r="AY27" s="8">
        <v>1924498.1</v>
      </c>
      <c r="AZ27" s="7">
        <v>30572.87</v>
      </c>
      <c r="BA27" s="7">
        <v>48959.16</v>
      </c>
      <c r="BB27" s="8">
        <v>62431.5</v>
      </c>
      <c r="BC27" s="4">
        <v>813055</v>
      </c>
      <c r="BD27" s="4">
        <v>3596937</v>
      </c>
      <c r="BE27" s="8">
        <v>2288492</v>
      </c>
      <c r="BF27" s="8">
        <v>214374.6</v>
      </c>
      <c r="BG27" s="8">
        <v>94429.7</v>
      </c>
      <c r="BH27" s="7">
        <v>48.58</v>
      </c>
      <c r="BI27" s="8">
        <v>1245513</v>
      </c>
      <c r="BJ27" s="4">
        <v>5049619</v>
      </c>
      <c r="BK27" s="8">
        <v>716878.6</v>
      </c>
    </row>
    <row r="28" spans="1:95">
      <c r="A28" t="s">
        <v>341</v>
      </c>
      <c r="B28" s="4">
        <v>66087</v>
      </c>
      <c r="C28" s="4">
        <v>773781</v>
      </c>
      <c r="D28" s="8">
        <v>23358.9</v>
      </c>
      <c r="E28" s="4">
        <v>91268</v>
      </c>
      <c r="F28" s="4">
        <v>84975</v>
      </c>
      <c r="G28" s="4">
        <v>43077</v>
      </c>
      <c r="H28" s="4">
        <v>76336</v>
      </c>
      <c r="I28" s="8">
        <v>12626.6</v>
      </c>
      <c r="J28" s="8">
        <v>12599.6</v>
      </c>
      <c r="K28" s="4">
        <v>276875</v>
      </c>
      <c r="L28" s="4">
        <v>83912</v>
      </c>
      <c r="M28" s="8">
        <v>1562.6</v>
      </c>
      <c r="N28" s="4">
        <v>11511</v>
      </c>
      <c r="O28" s="4">
        <v>5146</v>
      </c>
      <c r="P28" s="4">
        <v>3130419</v>
      </c>
      <c r="Q28" s="8">
        <v>109521</v>
      </c>
      <c r="R28" s="8">
        <v>8684.6</v>
      </c>
      <c r="S28" s="4">
        <v>74058</v>
      </c>
      <c r="T28" s="8">
        <v>100379.6</v>
      </c>
      <c r="U28" s="7">
        <v>1716.9</v>
      </c>
      <c r="V28" s="7">
        <v>2262.42</v>
      </c>
      <c r="W28" s="7">
        <v>3021.45</v>
      </c>
      <c r="X28" s="7">
        <v>29275</v>
      </c>
      <c r="Y28" s="8">
        <v>217403</v>
      </c>
      <c r="Z28" s="8">
        <v>104349.4</v>
      </c>
      <c r="AA28" s="8">
        <v>4641.8999999999996</v>
      </c>
      <c r="AB28" s="8">
        <v>3209.1</v>
      </c>
      <c r="AC28" s="8">
        <v>1.9</v>
      </c>
      <c r="AD28" s="4">
        <v>29614</v>
      </c>
      <c r="AE28" s="4">
        <v>269055</v>
      </c>
      <c r="AF28" s="7">
        <v>23420.43</v>
      </c>
      <c r="AG28" s="8">
        <v>2104288</v>
      </c>
      <c r="AH28" s="4">
        <v>21322950</v>
      </c>
      <c r="AJ28" s="8">
        <v>3403730</v>
      </c>
      <c r="AK28" s="8">
        <v>2317832</v>
      </c>
      <c r="AL28" s="8">
        <v>1661239.8</v>
      </c>
      <c r="AM28" s="4">
        <v>2088901</v>
      </c>
      <c r="AN28" s="8">
        <v>380888.5</v>
      </c>
      <c r="AO28" s="8">
        <v>460747.7</v>
      </c>
      <c r="AP28" s="8">
        <v>5709131</v>
      </c>
      <c r="AQ28" s="4">
        <v>2320912</v>
      </c>
      <c r="AR28" s="8">
        <v>27465</v>
      </c>
      <c r="AS28" s="8">
        <v>238038</v>
      </c>
      <c r="AT28" s="8">
        <v>165015.70000000001</v>
      </c>
      <c r="AU28" s="8">
        <v>48425421</v>
      </c>
      <c r="AV28" s="8">
        <v>2920473.2</v>
      </c>
      <c r="AW28" s="8">
        <v>375249.6</v>
      </c>
      <c r="AX28" s="8">
        <v>1417344</v>
      </c>
      <c r="AY28" s="8">
        <v>1940726.2</v>
      </c>
      <c r="AZ28" s="7">
        <v>30109.46</v>
      </c>
      <c r="BA28" s="7">
        <v>49873.17</v>
      </c>
      <c r="BB28" s="8">
        <v>64524.3</v>
      </c>
      <c r="BC28" s="4">
        <v>796530</v>
      </c>
      <c r="BD28" s="4">
        <v>3461575</v>
      </c>
      <c r="BE28" s="8">
        <v>2337672</v>
      </c>
      <c r="BF28" s="8">
        <v>200518.9</v>
      </c>
      <c r="BG28" s="8">
        <v>93444.1</v>
      </c>
      <c r="BH28" s="7">
        <v>47.04</v>
      </c>
      <c r="BI28" s="8">
        <v>1119010</v>
      </c>
      <c r="BJ28" s="4">
        <v>5038538</v>
      </c>
      <c r="BK28" s="8">
        <v>696620</v>
      </c>
    </row>
    <row r="29" spans="1:95">
      <c r="A29" t="s">
        <v>260</v>
      </c>
      <c r="B29" s="4">
        <v>71712</v>
      </c>
      <c r="C29" s="4">
        <v>782292</v>
      </c>
      <c r="D29" s="8">
        <v>22570.5</v>
      </c>
      <c r="E29" s="4">
        <v>92920</v>
      </c>
      <c r="F29" s="4">
        <v>90076</v>
      </c>
      <c r="G29" s="4">
        <v>52352</v>
      </c>
      <c r="H29" s="4">
        <v>84536</v>
      </c>
      <c r="I29" s="8">
        <v>14423.6</v>
      </c>
      <c r="J29" s="8">
        <v>13882</v>
      </c>
      <c r="K29" s="4">
        <v>287378</v>
      </c>
      <c r="L29" s="4">
        <v>82760</v>
      </c>
      <c r="M29" s="8">
        <v>1759.2</v>
      </c>
      <c r="N29" s="4">
        <v>10481</v>
      </c>
      <c r="O29" s="4">
        <v>6591</v>
      </c>
      <c r="P29" s="4">
        <v>3474026</v>
      </c>
      <c r="Q29" s="8">
        <v>140360.9</v>
      </c>
      <c r="R29" s="8">
        <v>8811.6</v>
      </c>
      <c r="S29" s="4">
        <v>74220</v>
      </c>
      <c r="T29" s="8">
        <v>101886.6</v>
      </c>
      <c r="U29" s="7">
        <v>1807.61</v>
      </c>
      <c r="V29" s="7">
        <v>1801.53</v>
      </c>
      <c r="W29" s="7">
        <v>2962.17</v>
      </c>
      <c r="X29" s="7">
        <v>29886</v>
      </c>
      <c r="Y29" s="8">
        <v>220455</v>
      </c>
      <c r="Z29" s="8">
        <v>108504.8</v>
      </c>
      <c r="AA29" s="8">
        <v>5583.7</v>
      </c>
      <c r="AB29" s="8">
        <v>3065.9</v>
      </c>
      <c r="AC29" s="8">
        <v>2.4</v>
      </c>
      <c r="AD29" s="4">
        <v>33575</v>
      </c>
      <c r="AE29" s="4">
        <v>270574</v>
      </c>
      <c r="AF29" s="7">
        <v>23069.31</v>
      </c>
      <c r="AG29" s="8">
        <v>2284079</v>
      </c>
      <c r="AH29" s="4">
        <v>23594031</v>
      </c>
      <c r="AJ29" s="8">
        <v>3617450</v>
      </c>
      <c r="AK29" s="8">
        <v>2502118</v>
      </c>
      <c r="AL29" s="8">
        <v>1822344.5</v>
      </c>
      <c r="AM29" s="4">
        <v>2333221</v>
      </c>
      <c r="AN29" s="8">
        <v>405241.4</v>
      </c>
      <c r="AO29" s="8">
        <v>507929.59999999998</v>
      </c>
      <c r="AP29" s="8">
        <v>6108717</v>
      </c>
      <c r="AQ29" s="4">
        <v>2550606</v>
      </c>
      <c r="AR29" s="8">
        <v>31444.9</v>
      </c>
      <c r="AS29" s="8">
        <v>250664</v>
      </c>
      <c r="AT29" s="8">
        <v>181500.4</v>
      </c>
      <c r="AU29" s="8">
        <v>55198927</v>
      </c>
      <c r="AV29" s="8">
        <v>3250399.3</v>
      </c>
      <c r="AW29" s="8">
        <v>434069.7</v>
      </c>
      <c r="AX29" s="8">
        <v>1581860.4</v>
      </c>
      <c r="AY29" s="8">
        <v>2080198.5</v>
      </c>
      <c r="AZ29" s="7">
        <v>33348.93</v>
      </c>
      <c r="BA29" s="7">
        <v>56478.11</v>
      </c>
      <c r="BB29" s="8">
        <v>72360.899999999994</v>
      </c>
      <c r="BC29" s="4">
        <v>870587</v>
      </c>
      <c r="BD29" s="4">
        <v>4323931</v>
      </c>
      <c r="BE29" s="8">
        <v>2631302</v>
      </c>
      <c r="BF29" s="8">
        <v>216053.2</v>
      </c>
      <c r="BG29" s="8">
        <v>100255.7</v>
      </c>
      <c r="BH29" s="7">
        <v>52.28</v>
      </c>
      <c r="BI29" s="8">
        <v>1222290</v>
      </c>
      <c r="BJ29" s="4">
        <v>5486558</v>
      </c>
      <c r="BK29" s="8">
        <v>743330.2</v>
      </c>
    </row>
    <row r="30" spans="1:95">
      <c r="A30" t="s">
        <v>229</v>
      </c>
      <c r="B30" s="4">
        <v>77947</v>
      </c>
      <c r="C30" s="4">
        <v>825914</v>
      </c>
      <c r="D30" s="8">
        <v>22029.200000000001</v>
      </c>
      <c r="E30" s="4">
        <v>100773</v>
      </c>
      <c r="F30" s="4">
        <v>98388</v>
      </c>
      <c r="G30" s="4">
        <v>52226</v>
      </c>
      <c r="H30" s="4">
        <v>92092</v>
      </c>
      <c r="I30" s="8">
        <v>15148.4</v>
      </c>
      <c r="J30" s="8">
        <v>15143.9</v>
      </c>
      <c r="K30" s="4">
        <v>316027</v>
      </c>
      <c r="L30" s="4">
        <v>87756</v>
      </c>
      <c r="M30" s="8">
        <v>1850.8</v>
      </c>
      <c r="N30" s="4">
        <v>11032</v>
      </c>
      <c r="O30" s="4">
        <v>7354</v>
      </c>
      <c r="P30" s="4">
        <v>3561479</v>
      </c>
      <c r="Q30" s="8">
        <v>156899.9</v>
      </c>
      <c r="R30" s="8">
        <v>10119.200000000001</v>
      </c>
      <c r="S30" s="4">
        <v>83331</v>
      </c>
      <c r="U30" s="7">
        <v>1515.2</v>
      </c>
      <c r="V30" s="7">
        <v>2133.23</v>
      </c>
      <c r="W30" s="7">
        <v>3286.65</v>
      </c>
      <c r="X30" s="7">
        <v>30259</v>
      </c>
      <c r="Y30" s="8">
        <v>240023</v>
      </c>
      <c r="Z30" s="8">
        <v>125519</v>
      </c>
      <c r="AA30" s="8">
        <v>5773.1</v>
      </c>
      <c r="AB30" s="8">
        <v>3304.9</v>
      </c>
      <c r="AC30" s="8">
        <v>3.1</v>
      </c>
      <c r="AD30" s="4">
        <v>37271</v>
      </c>
      <c r="AE30" s="4">
        <v>297548</v>
      </c>
      <c r="AF30" s="7">
        <v>23639.49</v>
      </c>
      <c r="AG30" s="8">
        <v>2506170</v>
      </c>
      <c r="AH30" s="4">
        <v>25744108</v>
      </c>
      <c r="AJ30" s="8">
        <v>3876810</v>
      </c>
      <c r="AK30" s="8">
        <v>2639092</v>
      </c>
      <c r="AL30" s="8">
        <v>1946479.1</v>
      </c>
      <c r="AM30" s="4">
        <v>2561228</v>
      </c>
      <c r="AN30" s="8">
        <v>447217.6</v>
      </c>
      <c r="AO30" s="8">
        <v>554044.30000000005</v>
      </c>
      <c r="AP30" s="8">
        <v>6786742</v>
      </c>
      <c r="AQ30" s="4">
        <v>2831644</v>
      </c>
      <c r="AR30" s="8">
        <v>36181.4</v>
      </c>
      <c r="AS30" s="8">
        <v>268411</v>
      </c>
      <c r="AT30" s="8">
        <v>206620.4</v>
      </c>
      <c r="AU30" s="8">
        <v>66075190</v>
      </c>
      <c r="AV30" s="8">
        <v>3796566.8</v>
      </c>
      <c r="AW30" s="8">
        <v>506282.4</v>
      </c>
      <c r="AX30" s="8">
        <v>1763805.8</v>
      </c>
      <c r="AY30" s="8">
        <v>2161773.9</v>
      </c>
      <c r="AZ30" s="7">
        <v>38870.03</v>
      </c>
      <c r="BA30" s="7">
        <v>67399.06</v>
      </c>
      <c r="BB30" s="8">
        <v>77529</v>
      </c>
      <c r="BC30" s="4">
        <v>958549</v>
      </c>
      <c r="BD30" s="4">
        <v>5704556</v>
      </c>
      <c r="BE30" s="8">
        <v>3067495</v>
      </c>
      <c r="BF30" s="8">
        <v>242340.8</v>
      </c>
      <c r="BG30" s="8">
        <v>109645.2</v>
      </c>
      <c r="BH30" s="7">
        <v>57.04</v>
      </c>
      <c r="BI30" s="8">
        <v>1346377</v>
      </c>
      <c r="BJ30" s="4">
        <v>5984786</v>
      </c>
      <c r="BK30" s="8">
        <v>781460.3</v>
      </c>
      <c r="BM30">
        <f>100*(B30/AG30)</f>
        <v>3.1102040164873093</v>
      </c>
      <c r="BN30">
        <f t="shared" ref="BN30:CO30" si="0">100*(C30/AH30)</f>
        <v>3.2081670881741173</v>
      </c>
      <c r="BO30" t="e">
        <f t="shared" si="0"/>
        <v>#DIV/0!</v>
      </c>
      <c r="BP30">
        <f t="shared" si="0"/>
        <v>2.599379386660682</v>
      </c>
      <c r="BQ30">
        <f t="shared" si="0"/>
        <v>3.7281004224180134</v>
      </c>
      <c r="BR30">
        <f t="shared" si="0"/>
        <v>2.6831009898847613</v>
      </c>
      <c r="BS30">
        <f t="shared" si="0"/>
        <v>3.5956189765221995</v>
      </c>
      <c r="BT30">
        <f t="shared" si="0"/>
        <v>3.3872548844231534</v>
      </c>
      <c r="BU30">
        <f t="shared" si="0"/>
        <v>2.7333373883640713</v>
      </c>
      <c r="BV30">
        <f t="shared" si="0"/>
        <v>4.6565347555572316</v>
      </c>
      <c r="BW30">
        <f t="shared" si="0"/>
        <v>3.0991183920012544</v>
      </c>
      <c r="BX30">
        <f t="shared" si="0"/>
        <v>5.1153355038776827</v>
      </c>
      <c r="BY30">
        <f t="shared" si="0"/>
        <v>4.110114712139219</v>
      </c>
      <c r="BZ30">
        <f t="shared" si="0"/>
        <v>3.5591838947170751</v>
      </c>
      <c r="CA30">
        <f t="shared" si="0"/>
        <v>5.390039741088902</v>
      </c>
      <c r="CB30">
        <f t="shared" si="0"/>
        <v>4.1326785031149722</v>
      </c>
      <c r="CC30">
        <f t="shared" si="0"/>
        <v>1.9987264024978943</v>
      </c>
      <c r="CD30">
        <f t="shared" si="0"/>
        <v>4.7244997153314729</v>
      </c>
      <c r="CE30">
        <f t="shared" si="0"/>
        <v>0</v>
      </c>
      <c r="CF30">
        <f t="shared" si="0"/>
        <v>3.898118936363054</v>
      </c>
      <c r="CG30">
        <f t="shared" si="0"/>
        <v>3.165073815569535</v>
      </c>
      <c r="CH30">
        <f t="shared" si="0"/>
        <v>4.2392524087760712</v>
      </c>
      <c r="CI30">
        <f t="shared" si="0"/>
        <v>3.1567504634609187</v>
      </c>
      <c r="CJ30">
        <f t="shared" si="0"/>
        <v>4.2075667238607179</v>
      </c>
      <c r="CK30">
        <f t="shared" si="0"/>
        <v>4.0919056102780935</v>
      </c>
      <c r="CL30">
        <f t="shared" si="0"/>
        <v>2.3822237114014646</v>
      </c>
      <c r="CM30">
        <f t="shared" si="0"/>
        <v>3.0141766351833006</v>
      </c>
      <c r="CN30">
        <f t="shared" si="0"/>
        <v>5.4347826086956523</v>
      </c>
      <c r="CO30">
        <f t="shared" si="0"/>
        <v>2.768243961386744</v>
      </c>
      <c r="CP30">
        <f t="shared" ref="CP30" si="1">100*(AE30/BJ30)</f>
        <v>4.971740008748851</v>
      </c>
      <c r="CQ30">
        <f t="shared" ref="CQ30" si="2">100*(AF30/BK30)</f>
        <v>3.0250404275175593</v>
      </c>
    </row>
    <row r="31" spans="1:95">
      <c r="A31" t="s">
        <v>283</v>
      </c>
      <c r="AJ31" s="8">
        <v>4121160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273F-FBE0-4BE8-B39B-E4632E137619}">
  <sheetPr>
    <tabColor theme="5"/>
    <pageSetUpPr fitToPage="1"/>
  </sheetPr>
  <dimension ref="A1:BS101"/>
  <sheetViews>
    <sheetView zoomScaleNormal="100" workbookViewId="0">
      <pane xSplit="2" ySplit="4" topLeftCell="J54" activePane="bottomRight" state="frozen"/>
      <selection activeCell="C25" sqref="C25"/>
      <selection pane="topRight" activeCell="C25" sqref="C25"/>
      <selection pane="bottomLeft" activeCell="C25" sqref="C25"/>
      <selection pane="bottomRight" activeCell="O67" sqref="O67"/>
    </sheetView>
  </sheetViews>
  <sheetFormatPr defaultColWidth="9.140625" defaultRowHeight="15.75"/>
  <cols>
    <col min="1" max="1" width="9.140625" style="49"/>
    <col min="2" max="2" width="8.5703125" style="49" bestFit="1" customWidth="1"/>
    <col min="3" max="3" width="12.85546875" style="49" customWidth="1"/>
    <col min="4" max="4" width="13.42578125" style="49" customWidth="1"/>
    <col min="5" max="5" width="13.5703125" style="49" customWidth="1"/>
    <col min="6" max="6" width="12.85546875" style="49" customWidth="1"/>
    <col min="7" max="7" width="13.5703125" style="49" bestFit="1" customWidth="1"/>
    <col min="8" max="9" width="12.85546875" style="49" customWidth="1"/>
    <col min="10" max="10" width="2.42578125" style="49" customWidth="1"/>
    <col min="11" max="15" width="12.85546875" style="49" customWidth="1"/>
    <col min="16" max="16" width="2.140625" style="49" customWidth="1"/>
    <col min="17" max="18" width="12.85546875" style="49" customWidth="1"/>
    <col min="19" max="19" width="2.140625" style="49" customWidth="1"/>
    <col min="20" max="20" width="15.85546875" style="49" customWidth="1"/>
    <col min="21" max="21" width="15.85546875" style="49" bestFit="1" customWidth="1"/>
    <col min="22" max="22" width="15.85546875" style="49" customWidth="1"/>
    <col min="23" max="23" width="2.5703125" style="49" customWidth="1"/>
    <col min="24" max="24" width="15.85546875" style="49" bestFit="1" customWidth="1"/>
    <col min="25" max="26" width="15.85546875" style="49" customWidth="1"/>
    <col min="27" max="27" width="15.85546875" style="49" bestFit="1" customWidth="1"/>
    <col min="28" max="29" width="15.85546875" style="49" customWidth="1"/>
    <col min="30" max="30" width="10.85546875" style="49" customWidth="1"/>
    <col min="31" max="32" width="14.140625" style="49" customWidth="1"/>
    <col min="33" max="33" width="10.85546875" style="15" customWidth="1"/>
    <col min="34" max="70" width="9.140625" style="15"/>
    <col min="71" max="71" width="0" style="15" hidden="1" customWidth="1"/>
    <col min="72" max="16384" width="9.140625" style="15"/>
  </cols>
  <sheetData>
    <row r="1" spans="1:71" ht="29.25" customHeight="1" thickBot="1">
      <c r="A1" s="9"/>
      <c r="B1" s="10"/>
      <c r="C1" s="212" t="s">
        <v>34</v>
      </c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3"/>
      <c r="AD1" s="11"/>
      <c r="AE1" s="12"/>
      <c r="AF1" s="13"/>
      <c r="AG1" s="14"/>
    </row>
    <row r="2" spans="1:71" s="25" customFormat="1" ht="15.75" customHeight="1">
      <c r="A2" s="16"/>
      <c r="B2" s="17"/>
      <c r="C2" s="18"/>
      <c r="D2" s="18"/>
      <c r="E2" s="18"/>
      <c r="F2" s="18"/>
      <c r="G2" s="18"/>
      <c r="H2" s="18"/>
      <c r="I2" s="19"/>
      <c r="J2" s="20"/>
      <c r="K2" s="18"/>
      <c r="L2" s="21"/>
      <c r="M2" s="18"/>
      <c r="N2" s="18"/>
      <c r="O2" s="18"/>
      <c r="P2" s="20"/>
      <c r="Q2" s="20"/>
      <c r="R2" s="22"/>
      <c r="S2" s="20"/>
      <c r="T2" s="22"/>
      <c r="U2" s="22"/>
      <c r="V2" s="22"/>
      <c r="W2" s="20"/>
      <c r="X2" s="22"/>
      <c r="Y2" s="22"/>
      <c r="Z2" s="22"/>
      <c r="AA2" s="22"/>
      <c r="AB2" s="22"/>
      <c r="AC2" s="22"/>
      <c r="AD2" s="11"/>
      <c r="AE2" s="23"/>
      <c r="AF2" s="20"/>
      <c r="AG2" s="24"/>
    </row>
    <row r="3" spans="1:71" s="25" customFormat="1" ht="15.75" customHeight="1">
      <c r="A3" s="16"/>
      <c r="B3" s="17"/>
      <c r="C3" s="214" t="s">
        <v>35</v>
      </c>
      <c r="D3" s="214"/>
      <c r="E3" s="214"/>
      <c r="F3" s="214"/>
      <c r="G3" s="214"/>
      <c r="H3" s="214"/>
      <c r="I3" s="214"/>
      <c r="J3" s="20"/>
      <c r="K3" s="215" t="s">
        <v>36</v>
      </c>
      <c r="L3" s="215"/>
      <c r="M3" s="215"/>
      <c r="N3" s="215"/>
      <c r="O3" s="215"/>
      <c r="P3" s="20"/>
      <c r="Q3" s="216" t="s">
        <v>37</v>
      </c>
      <c r="R3" s="216"/>
      <c r="S3" s="20"/>
      <c r="T3" s="216" t="s">
        <v>38</v>
      </c>
      <c r="U3" s="216"/>
      <c r="V3" s="216"/>
      <c r="W3" s="20"/>
      <c r="X3" s="215" t="s">
        <v>39</v>
      </c>
      <c r="Y3" s="215"/>
      <c r="Z3" s="215"/>
      <c r="AA3" s="215"/>
      <c r="AB3" s="215"/>
      <c r="AC3" s="217"/>
      <c r="AD3" s="11"/>
      <c r="AE3" s="206" t="s">
        <v>40</v>
      </c>
      <c r="AF3" s="207"/>
      <c r="AG3" s="208"/>
    </row>
    <row r="4" spans="1:71" s="32" customFormat="1" ht="57.75" customHeight="1">
      <c r="A4" s="16"/>
      <c r="B4" s="27"/>
      <c r="C4" s="27" t="s">
        <v>41</v>
      </c>
      <c r="D4" s="27" t="s">
        <v>42</v>
      </c>
      <c r="E4" s="27" t="s">
        <v>43</v>
      </c>
      <c r="F4" s="27" t="s">
        <v>44</v>
      </c>
      <c r="G4" s="27" t="s">
        <v>45</v>
      </c>
      <c r="H4" s="27" t="s">
        <v>46</v>
      </c>
      <c r="I4" s="27" t="s">
        <v>47</v>
      </c>
      <c r="J4" s="27"/>
      <c r="K4" s="27" t="s">
        <v>48</v>
      </c>
      <c r="L4" s="27" t="s">
        <v>49</v>
      </c>
      <c r="M4" s="27" t="s">
        <v>50</v>
      </c>
      <c r="N4" s="27" t="s">
        <v>51</v>
      </c>
      <c r="O4" s="27" t="s">
        <v>52</v>
      </c>
      <c r="P4" s="27"/>
      <c r="Q4" s="27" t="s">
        <v>53</v>
      </c>
      <c r="R4" s="27" t="s">
        <v>54</v>
      </c>
      <c r="S4" s="27"/>
      <c r="T4" s="27" t="s">
        <v>55</v>
      </c>
      <c r="U4" s="27" t="s">
        <v>56</v>
      </c>
      <c r="V4" s="27" t="s">
        <v>57</v>
      </c>
      <c r="W4" s="27"/>
      <c r="X4" s="27" t="s">
        <v>58</v>
      </c>
      <c r="Y4" s="27" t="s">
        <v>26</v>
      </c>
      <c r="Z4" s="27" t="s">
        <v>27</v>
      </c>
      <c r="AA4" s="27" t="s">
        <v>59</v>
      </c>
      <c r="AB4" s="28" t="s">
        <v>60</v>
      </c>
      <c r="AC4" s="28" t="s">
        <v>61</v>
      </c>
      <c r="AD4" s="29"/>
      <c r="AE4" s="30" t="s">
        <v>62</v>
      </c>
      <c r="AF4" s="28" t="s">
        <v>63</v>
      </c>
      <c r="AG4" s="31" t="s">
        <v>64</v>
      </c>
      <c r="BS4" s="32" t="s">
        <v>65</v>
      </c>
    </row>
    <row r="5" spans="1:71" s="40" customFormat="1">
      <c r="A5" s="16"/>
      <c r="B5" s="33" t="s">
        <v>66</v>
      </c>
      <c r="C5" s="34">
        <v>42.940919037199123</v>
      </c>
      <c r="D5" s="34">
        <v>38.599562363238512</v>
      </c>
      <c r="E5" s="34">
        <v>33.23413566739606</v>
      </c>
      <c r="F5" s="34">
        <v>2.634573304157549</v>
      </c>
      <c r="G5" s="34">
        <v>2.7308533916849012</v>
      </c>
      <c r="H5" s="34">
        <v>5.3654266958424506</v>
      </c>
      <c r="I5" s="34">
        <v>37.207877461706786</v>
      </c>
      <c r="J5" s="34"/>
      <c r="K5" s="34" t="s">
        <v>67</v>
      </c>
      <c r="L5" s="34">
        <v>-6.9759299781181614</v>
      </c>
      <c r="M5" s="34">
        <v>7.6936542669584247</v>
      </c>
      <c r="N5" s="34" t="s">
        <v>67</v>
      </c>
      <c r="O5" s="34" t="s">
        <v>67</v>
      </c>
      <c r="P5" s="34"/>
      <c r="Q5" s="34">
        <v>-4.3413566739606129</v>
      </c>
      <c r="R5" s="34" t="s">
        <v>67</v>
      </c>
      <c r="S5" s="34"/>
      <c r="T5" s="34">
        <v>-5.9256017505470462</v>
      </c>
      <c r="U5" s="34">
        <v>-4.3413566739606129</v>
      </c>
      <c r="V5" s="34">
        <v>4.5514223194748356</v>
      </c>
      <c r="W5" s="34"/>
      <c r="X5" s="34" t="s">
        <v>67</v>
      </c>
      <c r="Y5" s="34"/>
      <c r="Z5" s="34"/>
      <c r="AA5" s="34">
        <v>-3.7986870897155356</v>
      </c>
      <c r="AB5" s="34" t="s">
        <v>67</v>
      </c>
      <c r="AC5" s="35" t="s">
        <v>67</v>
      </c>
      <c r="AD5" s="36"/>
      <c r="AE5" s="37">
        <v>11.425000000000001</v>
      </c>
      <c r="AF5" s="38" t="s">
        <v>67</v>
      </c>
      <c r="AG5" s="39" t="s">
        <v>67</v>
      </c>
    </row>
    <row r="6" spans="1:71" s="40" customFormat="1">
      <c r="A6" s="16"/>
      <c r="B6" s="33" t="s">
        <v>68</v>
      </c>
      <c r="C6" s="34">
        <v>43.298545484427642</v>
      </c>
      <c r="D6" s="34">
        <v>38.474813049552139</v>
      </c>
      <c r="E6" s="34">
        <v>32.78001479168379</v>
      </c>
      <c r="F6" s="34">
        <v>2.9912071657490342</v>
      </c>
      <c r="G6" s="34">
        <v>2.7035910921193196</v>
      </c>
      <c r="H6" s="34">
        <v>5.6947982578683529</v>
      </c>
      <c r="I6" s="34">
        <v>36.929903854055382</v>
      </c>
      <c r="J6" s="34"/>
      <c r="K6" s="34" t="s">
        <v>67</v>
      </c>
      <c r="L6" s="34">
        <v>-7.8149396006245375</v>
      </c>
      <c r="M6" s="34">
        <v>7.8724628153504801</v>
      </c>
      <c r="N6" s="34" t="s">
        <v>67</v>
      </c>
      <c r="O6" s="34" t="s">
        <v>67</v>
      </c>
      <c r="P6" s="34"/>
      <c r="Q6" s="34">
        <v>-4.8237324348755033</v>
      </c>
      <c r="R6" s="34" t="s">
        <v>67</v>
      </c>
      <c r="S6" s="34"/>
      <c r="T6" s="34">
        <v>-6.5247760703426732</v>
      </c>
      <c r="U6" s="34">
        <v>-4.8237324348755033</v>
      </c>
      <c r="V6" s="34">
        <v>4.2649354918234854</v>
      </c>
      <c r="W6" s="34"/>
      <c r="X6" s="34" t="s">
        <v>67</v>
      </c>
      <c r="Y6" s="34"/>
      <c r="Z6" s="34"/>
      <c r="AA6" s="34">
        <v>-4.2320650834086617</v>
      </c>
      <c r="AB6" s="34" t="s">
        <v>67</v>
      </c>
      <c r="AC6" s="35" t="s">
        <v>67</v>
      </c>
      <c r="AD6" s="36"/>
      <c r="AE6" s="37">
        <v>12.169</v>
      </c>
      <c r="AF6" s="37" t="s">
        <v>67</v>
      </c>
      <c r="AG6" s="41" t="s">
        <v>67</v>
      </c>
    </row>
    <row r="7" spans="1:71" s="40" customFormat="1">
      <c r="A7" s="42"/>
      <c r="B7" s="33" t="s">
        <v>69</v>
      </c>
      <c r="C7" s="34">
        <v>42.8414442700157</v>
      </c>
      <c r="D7" s="34">
        <v>39.183673469387756</v>
      </c>
      <c r="E7" s="34">
        <v>32.629513343799061</v>
      </c>
      <c r="F7" s="34">
        <v>3.7598116169544742</v>
      </c>
      <c r="G7" s="34">
        <v>2.794348508634223</v>
      </c>
      <c r="H7" s="34">
        <v>6.5541601255886972</v>
      </c>
      <c r="I7" s="34">
        <v>36.07535321821036</v>
      </c>
      <c r="J7" s="34"/>
      <c r="K7" s="34" t="s">
        <v>67</v>
      </c>
      <c r="L7" s="34">
        <v>-7.4175824175824179</v>
      </c>
      <c r="M7" s="34">
        <v>6.4678178963893247</v>
      </c>
      <c r="N7" s="34" t="s">
        <v>67</v>
      </c>
      <c r="O7" s="34" t="s">
        <v>67</v>
      </c>
      <c r="P7" s="34"/>
      <c r="Q7" s="34">
        <v>-3.6577708006279437</v>
      </c>
      <c r="R7" s="34" t="s">
        <v>67</v>
      </c>
      <c r="S7" s="34"/>
      <c r="T7" s="34">
        <v>-5.8477237048665618</v>
      </c>
      <c r="U7" s="34">
        <v>-3.6577708006279437</v>
      </c>
      <c r="V7" s="34">
        <v>4.1679748822605962</v>
      </c>
      <c r="W7" s="34"/>
      <c r="X7" s="34" t="s">
        <v>67</v>
      </c>
      <c r="Y7" s="34"/>
      <c r="Z7" s="34"/>
      <c r="AA7" s="34">
        <v>-3.2731554160125591</v>
      </c>
      <c r="AB7" s="34" t="s">
        <v>67</v>
      </c>
      <c r="AC7" s="35" t="s">
        <v>67</v>
      </c>
      <c r="AD7" s="36"/>
      <c r="AE7" s="37">
        <v>12.74</v>
      </c>
      <c r="AF7" s="37" t="s">
        <v>67</v>
      </c>
      <c r="AG7" s="41" t="s">
        <v>67</v>
      </c>
    </row>
    <row r="8" spans="1:71" s="40" customFormat="1">
      <c r="A8" s="42"/>
      <c r="B8" s="33" t="s">
        <v>70</v>
      </c>
      <c r="C8" s="34">
        <v>41.131231210235612</v>
      </c>
      <c r="D8" s="34">
        <v>40.648814933929941</v>
      </c>
      <c r="E8" s="34">
        <v>32.300915891770956</v>
      </c>
      <c r="F8" s="34">
        <v>5.4394183038523387</v>
      </c>
      <c r="G8" s="34">
        <v>2.9084807383066487</v>
      </c>
      <c r="H8" s="34">
        <v>8.3478990421589856</v>
      </c>
      <c r="I8" s="34">
        <v>34.782912675662445</v>
      </c>
      <c r="J8" s="34"/>
      <c r="K8" s="34" t="s">
        <v>67</v>
      </c>
      <c r="L8" s="34">
        <v>-5.9218345801580083</v>
      </c>
      <c r="M8" s="34">
        <v>3.411871635321261</v>
      </c>
      <c r="N8" s="34" t="s">
        <v>67</v>
      </c>
      <c r="O8" s="34" t="s">
        <v>67</v>
      </c>
      <c r="P8" s="34"/>
      <c r="Q8" s="34">
        <v>-0.48241627630567019</v>
      </c>
      <c r="R8" s="34" t="s">
        <v>67</v>
      </c>
      <c r="S8" s="34"/>
      <c r="T8" s="34">
        <v>-2.6847514507445993</v>
      </c>
      <c r="U8" s="34">
        <v>-0.48241627630567019</v>
      </c>
      <c r="V8" s="34">
        <v>4.0481017968258408</v>
      </c>
      <c r="W8" s="34"/>
      <c r="X8" s="34" t="s">
        <v>67</v>
      </c>
      <c r="Y8" s="34"/>
      <c r="Z8" s="34"/>
      <c r="AA8" s="34">
        <v>-6.9915402363140595E-3</v>
      </c>
      <c r="AB8" s="34" t="s">
        <v>67</v>
      </c>
      <c r="AC8" s="35" t="s">
        <v>67</v>
      </c>
      <c r="AD8" s="36"/>
      <c r="AE8" s="37">
        <v>14.303000000000001</v>
      </c>
      <c r="AF8" s="37" t="s">
        <v>67</v>
      </c>
      <c r="AG8" s="41" t="s">
        <v>67</v>
      </c>
    </row>
    <row r="9" spans="1:71" s="40" customFormat="1">
      <c r="A9" s="42"/>
      <c r="B9" s="33" t="s">
        <v>71</v>
      </c>
      <c r="C9" s="34">
        <v>39.926622039134919</v>
      </c>
      <c r="D9" s="34">
        <v>41.271884654994849</v>
      </c>
      <c r="E9" s="34">
        <v>32.537332646755921</v>
      </c>
      <c r="F9" s="34">
        <v>5.7736869207003094</v>
      </c>
      <c r="G9" s="34">
        <v>2.96086508753862</v>
      </c>
      <c r="H9" s="34">
        <v>8.7345520082389285</v>
      </c>
      <c r="I9" s="34">
        <v>33.953398558187438</v>
      </c>
      <c r="J9" s="34"/>
      <c r="K9" s="34" t="s">
        <v>67</v>
      </c>
      <c r="L9" s="34">
        <v>-4.4284243048403704</v>
      </c>
      <c r="M9" s="34">
        <v>1.9116889804325439</v>
      </c>
      <c r="N9" s="34" t="s">
        <v>67</v>
      </c>
      <c r="O9" s="34" t="s">
        <v>67</v>
      </c>
      <c r="P9" s="34"/>
      <c r="Q9" s="34">
        <v>1.3452626158599383</v>
      </c>
      <c r="R9" s="34" t="s">
        <v>67</v>
      </c>
      <c r="S9" s="34"/>
      <c r="T9" s="34">
        <v>-1.9309989701338828</v>
      </c>
      <c r="U9" s="34">
        <v>1.3452626158599383</v>
      </c>
      <c r="V9" s="34">
        <v>4.0808444902162719</v>
      </c>
      <c r="W9" s="34"/>
      <c r="X9" s="34" t="s">
        <v>67</v>
      </c>
      <c r="Y9" s="34"/>
      <c r="Z9" s="34"/>
      <c r="AA9" s="34">
        <v>0.99124613800205974</v>
      </c>
      <c r="AB9" s="34" t="s">
        <v>67</v>
      </c>
      <c r="AC9" s="35" t="s">
        <v>67</v>
      </c>
      <c r="AD9" s="36"/>
      <c r="AE9" s="37">
        <v>15.536</v>
      </c>
      <c r="AF9" s="37" t="s">
        <v>67</v>
      </c>
      <c r="AG9" s="41" t="s">
        <v>67</v>
      </c>
    </row>
    <row r="10" spans="1:71" s="40" customFormat="1">
      <c r="A10" s="42"/>
      <c r="B10" s="33" t="s">
        <v>72</v>
      </c>
      <c r="C10" s="34">
        <v>37.998201977824394</v>
      </c>
      <c r="D10" s="34">
        <v>40.503446209169915</v>
      </c>
      <c r="E10" s="34">
        <v>31.603236439916095</v>
      </c>
      <c r="F10" s="34">
        <v>6.0593347317950252</v>
      </c>
      <c r="G10" s="34">
        <v>2.8408750374587957</v>
      </c>
      <c r="H10" s="34">
        <v>8.9002097692538218</v>
      </c>
      <c r="I10" s="34">
        <v>31.705124363200483</v>
      </c>
      <c r="J10" s="34"/>
      <c r="K10" s="34" t="s">
        <v>67</v>
      </c>
      <c r="L10" s="34">
        <v>-3.5540905004495054</v>
      </c>
      <c r="M10" s="34">
        <v>0.4554989511537309</v>
      </c>
      <c r="N10" s="34" t="s">
        <v>67</v>
      </c>
      <c r="O10" s="34" t="s">
        <v>67</v>
      </c>
      <c r="P10" s="34"/>
      <c r="Q10" s="34">
        <v>2.5052442313455199</v>
      </c>
      <c r="R10" s="34" t="s">
        <v>67</v>
      </c>
      <c r="S10" s="34"/>
      <c r="T10" s="34">
        <v>-0.94695834581959848</v>
      </c>
      <c r="U10" s="34">
        <v>2.5052442313455199</v>
      </c>
      <c r="V10" s="34">
        <v>3.937668564578964</v>
      </c>
      <c r="W10" s="34"/>
      <c r="X10" s="34" t="s">
        <v>67</v>
      </c>
      <c r="Y10" s="34"/>
      <c r="Z10" s="34"/>
      <c r="AA10" s="34">
        <v>1.7620617320946959</v>
      </c>
      <c r="AB10" s="34" t="s">
        <v>67</v>
      </c>
      <c r="AC10" s="35" t="s">
        <v>67</v>
      </c>
      <c r="AD10" s="36"/>
      <c r="AE10" s="37">
        <v>16.684999999999999</v>
      </c>
      <c r="AF10" s="37" t="s">
        <v>67</v>
      </c>
      <c r="AG10" s="41" t="s">
        <v>67</v>
      </c>
    </row>
    <row r="11" spans="1:71" s="40" customFormat="1">
      <c r="A11" s="42"/>
      <c r="B11" s="33" t="s">
        <v>73</v>
      </c>
      <c r="C11" s="34">
        <v>37.463780467018928</v>
      </c>
      <c r="D11" s="34">
        <v>38.923924777001304</v>
      </c>
      <c r="E11" s="34">
        <v>31.123231634566217</v>
      </c>
      <c r="F11" s="34">
        <v>4.9656269530140333</v>
      </c>
      <c r="G11" s="34">
        <v>2.835066189421056</v>
      </c>
      <c r="H11" s="34">
        <v>7.8006931424350885</v>
      </c>
      <c r="I11" s="34">
        <v>30.913016305891709</v>
      </c>
      <c r="J11" s="34"/>
      <c r="K11" s="34" t="s">
        <v>67</v>
      </c>
      <c r="L11" s="34">
        <v>-3.5054826430316459</v>
      </c>
      <c r="M11" s="34">
        <v>1.0794841202204422</v>
      </c>
      <c r="N11" s="34" t="s">
        <v>67</v>
      </c>
      <c r="O11" s="34" t="s">
        <v>67</v>
      </c>
      <c r="P11" s="34"/>
      <c r="Q11" s="34">
        <v>1.4601443099823874</v>
      </c>
      <c r="R11" s="34" t="s">
        <v>67</v>
      </c>
      <c r="S11" s="34"/>
      <c r="T11" s="34">
        <v>-1.7442190784614513</v>
      </c>
      <c r="U11" s="34">
        <v>1.4601443099823874</v>
      </c>
      <c r="V11" s="34">
        <v>3.7270609624453157</v>
      </c>
      <c r="W11" s="34"/>
      <c r="X11" s="34" t="s">
        <v>67</v>
      </c>
      <c r="Y11" s="34"/>
      <c r="Z11" s="34"/>
      <c r="AA11" s="34">
        <v>0.64200897676268398</v>
      </c>
      <c r="AB11" s="34" t="s">
        <v>67</v>
      </c>
      <c r="AC11" s="35" t="s">
        <v>67</v>
      </c>
      <c r="AD11" s="36"/>
      <c r="AE11" s="37">
        <v>17.600999999999999</v>
      </c>
      <c r="AF11" s="37" t="s">
        <v>67</v>
      </c>
      <c r="AG11" s="41" t="s">
        <v>67</v>
      </c>
    </row>
    <row r="12" spans="1:71" s="40" customFormat="1">
      <c r="A12" s="42"/>
      <c r="B12" s="43" t="s">
        <v>74</v>
      </c>
      <c r="C12" s="34">
        <v>35.966077449678139</v>
      </c>
      <c r="D12" s="34">
        <v>35.771942372534994</v>
      </c>
      <c r="E12" s="34">
        <v>28.665576785531826</v>
      </c>
      <c r="F12" s="34">
        <v>4.3118422397057312</v>
      </c>
      <c r="G12" s="34">
        <v>2.7945233472974356</v>
      </c>
      <c r="H12" s="34">
        <v>7.1063655870031672</v>
      </c>
      <c r="I12" s="34">
        <v>29.646469806886682</v>
      </c>
      <c r="J12" s="34"/>
      <c r="K12" s="34" t="s">
        <v>67</v>
      </c>
      <c r="L12" s="34">
        <v>-4.505977316848881</v>
      </c>
      <c r="M12" s="34">
        <v>2.7536528047409825</v>
      </c>
      <c r="N12" s="34" t="s">
        <v>67</v>
      </c>
      <c r="O12" s="34" t="s">
        <v>67</v>
      </c>
      <c r="P12" s="34"/>
      <c r="Q12" s="34">
        <v>-0.19413507714314907</v>
      </c>
      <c r="R12" s="34" t="s">
        <v>67</v>
      </c>
      <c r="S12" s="34"/>
      <c r="T12" s="34">
        <v>-2.8405027076734446</v>
      </c>
      <c r="U12" s="34">
        <v>-0.19413507714314907</v>
      </c>
      <c r="V12" s="34">
        <v>3.7907428221109631</v>
      </c>
      <c r="W12" s="34"/>
      <c r="X12" s="34" t="s">
        <v>67</v>
      </c>
      <c r="Y12" s="34"/>
      <c r="Z12" s="34"/>
      <c r="AA12" s="34">
        <v>-0.55175232451210787</v>
      </c>
      <c r="AB12" s="34" t="s">
        <v>67</v>
      </c>
      <c r="AC12" s="35" t="s">
        <v>67</v>
      </c>
      <c r="AD12" s="36"/>
      <c r="AE12" s="37">
        <v>19.574000000000002</v>
      </c>
      <c r="AF12" s="37" t="s">
        <v>67</v>
      </c>
      <c r="AG12" s="41" t="s">
        <v>67</v>
      </c>
    </row>
    <row r="13" spans="1:71" s="40" customFormat="1">
      <c r="A13" s="42"/>
      <c r="B13" s="43" t="s">
        <v>75</v>
      </c>
      <c r="C13" s="34">
        <v>35.573197240336455</v>
      </c>
      <c r="D13" s="34">
        <v>35.960684245345433</v>
      </c>
      <c r="E13" s="34">
        <v>28.886683678291281</v>
      </c>
      <c r="F13" s="34">
        <v>4.2481807012569703</v>
      </c>
      <c r="G13" s="34">
        <v>2.8258198657971834</v>
      </c>
      <c r="H13" s="34">
        <v>7.0740005670541546</v>
      </c>
      <c r="I13" s="34">
        <v>29.250543426897273</v>
      </c>
      <c r="J13" s="34"/>
      <c r="K13" s="34" t="s">
        <v>67</v>
      </c>
      <c r="L13" s="34">
        <v>-3.8606936962479916</v>
      </c>
      <c r="M13" s="34">
        <v>1.8476514507135433</v>
      </c>
      <c r="N13" s="34" t="s">
        <v>67</v>
      </c>
      <c r="O13" s="34" t="s">
        <v>67</v>
      </c>
      <c r="P13" s="34"/>
      <c r="Q13" s="34">
        <v>0.38748700500897837</v>
      </c>
      <c r="R13" s="34" t="s">
        <v>67</v>
      </c>
      <c r="S13" s="34"/>
      <c r="T13" s="34">
        <v>-1.7956714866269727</v>
      </c>
      <c r="U13" s="34">
        <v>0.38748700500897837</v>
      </c>
      <c r="V13" s="34">
        <v>3.4543048861166241</v>
      </c>
      <c r="W13" s="34"/>
      <c r="X13" s="34" t="s">
        <v>67</v>
      </c>
      <c r="Y13" s="34"/>
      <c r="Z13" s="34"/>
      <c r="AA13" s="34">
        <v>0.15121444097911352</v>
      </c>
      <c r="AB13" s="34" t="s">
        <v>67</v>
      </c>
      <c r="AC13" s="35" t="s">
        <v>67</v>
      </c>
      <c r="AD13" s="36"/>
      <c r="AE13" s="37">
        <v>21.161999999999999</v>
      </c>
      <c r="AF13" s="37">
        <v>21.81</v>
      </c>
      <c r="AG13" s="41" t="s">
        <v>67</v>
      </c>
    </row>
    <row r="14" spans="1:71" s="40" customFormat="1">
      <c r="A14" s="42"/>
      <c r="B14" s="43" t="s">
        <v>76</v>
      </c>
      <c r="C14" s="34">
        <v>35.168154960238127</v>
      </c>
      <c r="D14" s="34">
        <v>35.194810964503084</v>
      </c>
      <c r="E14" s="34">
        <v>28.37975920742814</v>
      </c>
      <c r="F14" s="34">
        <v>3.9628593007241553</v>
      </c>
      <c r="G14" s="34">
        <v>2.8521924563507932</v>
      </c>
      <c r="H14" s="34">
        <v>6.815051757074948</v>
      </c>
      <c r="I14" s="34">
        <v>28.917321960104847</v>
      </c>
      <c r="J14" s="34"/>
      <c r="K14" s="34" t="s">
        <v>67</v>
      </c>
      <c r="L14" s="34">
        <v>-3.936203296459194</v>
      </c>
      <c r="M14" s="34">
        <v>2.225776356124217</v>
      </c>
      <c r="N14" s="34" t="s">
        <v>67</v>
      </c>
      <c r="O14" s="34" t="s">
        <v>67</v>
      </c>
      <c r="P14" s="34"/>
      <c r="Q14" s="34">
        <v>2.6656004264960682E-2</v>
      </c>
      <c r="R14" s="34" t="s">
        <v>67</v>
      </c>
      <c r="S14" s="34"/>
      <c r="T14" s="34">
        <v>-2.0791683326669332</v>
      </c>
      <c r="U14" s="34">
        <v>2.6656004264960682E-2</v>
      </c>
      <c r="V14" s="34">
        <v>3.4164112132924607</v>
      </c>
      <c r="W14" s="34"/>
      <c r="X14" s="34" t="s">
        <v>67</v>
      </c>
      <c r="Y14" s="34"/>
      <c r="Z14" s="34"/>
      <c r="AA14" s="34">
        <v>-0.43538140299435779</v>
      </c>
      <c r="AB14" s="34" t="s">
        <v>67</v>
      </c>
      <c r="AC14" s="35" t="s">
        <v>67</v>
      </c>
      <c r="AD14" s="36"/>
      <c r="AE14" s="37">
        <v>22.509</v>
      </c>
      <c r="AF14" s="37">
        <v>23.004000000000001</v>
      </c>
      <c r="AG14" s="41" t="s">
        <v>67</v>
      </c>
    </row>
    <row r="15" spans="1:71" s="40" customFormat="1">
      <c r="A15" s="42"/>
      <c r="B15" s="43" t="s">
        <v>77</v>
      </c>
      <c r="C15" s="34">
        <v>35.65031069209342</v>
      </c>
      <c r="D15" s="34">
        <v>35.95457467323763</v>
      </c>
      <c r="E15" s="34">
        <v>28.9950717805871</v>
      </c>
      <c r="F15" s="34">
        <v>4.0754231840582813</v>
      </c>
      <c r="G15" s="34">
        <v>2.8840797085922434</v>
      </c>
      <c r="H15" s="34">
        <v>6.9595028926505247</v>
      </c>
      <c r="I15" s="34">
        <v>29.535033211913436</v>
      </c>
      <c r="J15" s="34"/>
      <c r="K15" s="34" t="s">
        <v>67</v>
      </c>
      <c r="L15" s="34">
        <v>-3.7711592029140775</v>
      </c>
      <c r="M15" s="34">
        <v>2.3398328690807801</v>
      </c>
      <c r="N15" s="34" t="s">
        <v>67</v>
      </c>
      <c r="O15" s="34" t="s">
        <v>67</v>
      </c>
      <c r="P15" s="34"/>
      <c r="Q15" s="34">
        <v>0.30426398114420394</v>
      </c>
      <c r="R15" s="34" t="s">
        <v>67</v>
      </c>
      <c r="S15" s="34"/>
      <c r="T15" s="34">
        <v>-2.2284122562674096</v>
      </c>
      <c r="U15" s="34">
        <v>0.30426398114420394</v>
      </c>
      <c r="V15" s="34">
        <v>3.3983286908077996</v>
      </c>
      <c r="W15" s="34"/>
      <c r="X15" s="34" t="s">
        <v>67</v>
      </c>
      <c r="Y15" s="34"/>
      <c r="Z15" s="34"/>
      <c r="AA15" s="34">
        <v>-0.7285193914720377</v>
      </c>
      <c r="AB15" s="34" t="s">
        <v>67</v>
      </c>
      <c r="AC15" s="35" t="s">
        <v>67</v>
      </c>
      <c r="AD15" s="36"/>
      <c r="AE15" s="37">
        <v>23.335000000000001</v>
      </c>
      <c r="AF15" s="37">
        <v>23.957000000000001</v>
      </c>
      <c r="AG15" s="41" t="s">
        <v>67</v>
      </c>
    </row>
    <row r="16" spans="1:71" s="40" customFormat="1">
      <c r="A16" s="42"/>
      <c r="B16" s="43" t="s">
        <v>78</v>
      </c>
      <c r="C16" s="34">
        <v>33.658987657299079</v>
      </c>
      <c r="D16" s="34">
        <v>35.94660877256463</v>
      </c>
      <c r="E16" s="34">
        <v>29.075704579262652</v>
      </c>
      <c r="F16" s="34">
        <v>4.1169139227274556</v>
      </c>
      <c r="G16" s="34">
        <v>2.7539902705745187</v>
      </c>
      <c r="H16" s="34">
        <v>6.8709041933019748</v>
      </c>
      <c r="I16" s="34">
        <v>28.43243677883649</v>
      </c>
      <c r="J16" s="34"/>
      <c r="K16" s="34" t="s">
        <v>67</v>
      </c>
      <c r="L16" s="34">
        <v>-1.8292928074619064</v>
      </c>
      <c r="M16" s="34">
        <v>1.4594138222168616</v>
      </c>
      <c r="N16" s="34" t="s">
        <v>67</v>
      </c>
      <c r="O16" s="34" t="s">
        <v>67</v>
      </c>
      <c r="P16" s="34"/>
      <c r="Q16" s="34">
        <v>2.2876211152655488</v>
      </c>
      <c r="R16" s="34" t="s">
        <v>67</v>
      </c>
      <c r="S16" s="34"/>
      <c r="T16" s="34">
        <v>-1.1337594982511154</v>
      </c>
      <c r="U16" s="34">
        <v>2.2876211152655488</v>
      </c>
      <c r="V16" s="34">
        <v>3.2927270534314315</v>
      </c>
      <c r="W16" s="34"/>
      <c r="X16" s="34" t="s">
        <v>67</v>
      </c>
      <c r="Y16" s="34"/>
      <c r="Z16" s="34"/>
      <c r="AA16" s="34">
        <v>0.22916415390182127</v>
      </c>
      <c r="AB16" s="34" t="s">
        <v>67</v>
      </c>
      <c r="AC16" s="35" t="s">
        <v>67</v>
      </c>
      <c r="AD16" s="36"/>
      <c r="AE16" s="37">
        <v>24.873000000000001</v>
      </c>
      <c r="AF16" s="37">
        <v>25.789000000000001</v>
      </c>
      <c r="AG16" s="41" t="s">
        <v>67</v>
      </c>
    </row>
    <row r="17" spans="1:33" s="40" customFormat="1">
      <c r="A17" s="42"/>
      <c r="B17" s="43" t="s">
        <v>79</v>
      </c>
      <c r="C17" s="34">
        <v>33.458463155523859</v>
      </c>
      <c r="D17" s="34">
        <v>35.943541424227632</v>
      </c>
      <c r="E17" s="34">
        <v>29.15649986861369</v>
      </c>
      <c r="F17" s="34">
        <v>4.0016517136529153</v>
      </c>
      <c r="G17" s="34">
        <v>2.7853898419610346</v>
      </c>
      <c r="H17" s="34">
        <v>6.7870415556139498</v>
      </c>
      <c r="I17" s="34">
        <v>27.887683471601786</v>
      </c>
      <c r="J17" s="34"/>
      <c r="K17" s="34" t="s">
        <v>67</v>
      </c>
      <c r="L17" s="34">
        <v>-1.5165734449491348</v>
      </c>
      <c r="M17" s="34">
        <v>1.3776793423176545</v>
      </c>
      <c r="N17" s="34" t="s">
        <v>67</v>
      </c>
      <c r="O17" s="34" t="s">
        <v>67</v>
      </c>
      <c r="P17" s="34"/>
      <c r="Q17" s="34">
        <v>2.4850782687037802</v>
      </c>
      <c r="R17" s="34" t="s">
        <v>67</v>
      </c>
      <c r="S17" s="34"/>
      <c r="T17" s="34">
        <v>-0.7920717744660084</v>
      </c>
      <c r="U17" s="34">
        <v>2.4850782687037802</v>
      </c>
      <c r="V17" s="34">
        <v>3.3297045684898081</v>
      </c>
      <c r="W17" s="34"/>
      <c r="X17" s="34" t="s">
        <v>67</v>
      </c>
      <c r="Y17" s="34"/>
      <c r="Z17" s="34"/>
      <c r="AA17" s="34">
        <v>0.63065430384023435</v>
      </c>
      <c r="AB17" s="34" t="s">
        <v>67</v>
      </c>
      <c r="AC17" s="35" t="s">
        <v>67</v>
      </c>
      <c r="AD17" s="36"/>
      <c r="AE17" s="37">
        <v>26.638999999999999</v>
      </c>
      <c r="AF17" s="37">
        <v>27.582999999999998</v>
      </c>
      <c r="AG17" s="41" t="s">
        <v>67</v>
      </c>
    </row>
    <row r="18" spans="1:33" s="40" customFormat="1">
      <c r="A18" s="42"/>
      <c r="B18" s="43" t="s">
        <v>80</v>
      </c>
      <c r="C18" s="34">
        <v>35.464269215735051</v>
      </c>
      <c r="D18" s="34">
        <v>37.631924949362144</v>
      </c>
      <c r="E18" s="34">
        <v>30.155289435343452</v>
      </c>
      <c r="F18" s="34">
        <v>4.402828613055684</v>
      </c>
      <c r="G18" s="34">
        <v>3.0738069009630076</v>
      </c>
      <c r="H18" s="34">
        <v>7.4766355140186924</v>
      </c>
      <c r="I18" s="34">
        <v>29.84968551224193</v>
      </c>
      <c r="J18" s="34"/>
      <c r="K18" s="34" t="s">
        <v>67</v>
      </c>
      <c r="L18" s="34">
        <v>-2.2351728794285921</v>
      </c>
      <c r="M18" s="34">
        <v>1.805195266692726</v>
      </c>
      <c r="N18" s="34" t="s">
        <v>67</v>
      </c>
      <c r="O18" s="34" t="s">
        <v>67</v>
      </c>
      <c r="P18" s="34"/>
      <c r="Q18" s="34">
        <v>2.1676557336270923</v>
      </c>
      <c r="R18" s="34" t="s">
        <v>67</v>
      </c>
      <c r="S18" s="34"/>
      <c r="T18" s="34">
        <v>-1.6701609750897268</v>
      </c>
      <c r="U18" s="34">
        <v>2.1676557336270923</v>
      </c>
      <c r="V18" s="34">
        <v>3.3723037560854272</v>
      </c>
      <c r="W18" s="34"/>
      <c r="X18" s="34" t="s">
        <v>67</v>
      </c>
      <c r="Y18" s="34"/>
      <c r="Z18" s="34"/>
      <c r="AA18" s="34">
        <v>0.16701609750897267</v>
      </c>
      <c r="AB18" s="34" t="s">
        <v>67</v>
      </c>
      <c r="AC18" s="35" t="s">
        <v>67</v>
      </c>
      <c r="AD18" s="36"/>
      <c r="AE18" s="37">
        <v>28.140999999999998</v>
      </c>
      <c r="AF18" s="37">
        <v>28.843</v>
      </c>
      <c r="AG18" s="41" t="s">
        <v>67</v>
      </c>
    </row>
    <row r="19" spans="1:33" s="40" customFormat="1">
      <c r="A19" s="42"/>
      <c r="B19" s="43" t="s">
        <v>81</v>
      </c>
      <c r="C19" s="34">
        <v>35.480475382003398</v>
      </c>
      <c r="D19" s="34">
        <v>37.307300509337857</v>
      </c>
      <c r="E19" s="34">
        <v>29.908319185059423</v>
      </c>
      <c r="F19" s="34">
        <v>4.2716468590831917</v>
      </c>
      <c r="G19" s="34">
        <v>3.1273344651952466</v>
      </c>
      <c r="H19" s="34">
        <v>7.3989813242784379</v>
      </c>
      <c r="I19" s="34">
        <v>29.646859083191853</v>
      </c>
      <c r="J19" s="34"/>
      <c r="K19" s="34" t="s">
        <v>67</v>
      </c>
      <c r="L19" s="34">
        <v>-2.4448217317487266</v>
      </c>
      <c r="M19" s="34">
        <v>1.8675721561969443</v>
      </c>
      <c r="N19" s="34" t="s">
        <v>67</v>
      </c>
      <c r="O19" s="34" t="s">
        <v>67</v>
      </c>
      <c r="P19" s="34"/>
      <c r="Q19" s="34">
        <v>1.8268251273344656</v>
      </c>
      <c r="R19" s="34" t="s">
        <v>67</v>
      </c>
      <c r="S19" s="34"/>
      <c r="T19" s="34">
        <v>-1.303904923599321</v>
      </c>
      <c r="U19" s="34">
        <v>2.1935483870967745</v>
      </c>
      <c r="V19" s="34">
        <v>3.1748726655348052</v>
      </c>
      <c r="W19" s="34"/>
      <c r="X19" s="34" t="s">
        <v>67</v>
      </c>
      <c r="Y19" s="34"/>
      <c r="Z19" s="34"/>
      <c r="AA19" s="34">
        <v>0.22750424448217321</v>
      </c>
      <c r="AB19" s="34" t="s">
        <v>67</v>
      </c>
      <c r="AC19" s="35" t="s">
        <v>67</v>
      </c>
      <c r="AD19" s="36"/>
      <c r="AE19" s="37">
        <v>29.45</v>
      </c>
      <c r="AF19" s="37">
        <v>30.382999999999999</v>
      </c>
      <c r="AG19" s="41" t="s">
        <v>67</v>
      </c>
    </row>
    <row r="20" spans="1:33" s="40" customFormat="1">
      <c r="A20" s="42"/>
      <c r="B20" s="43" t="s">
        <v>82</v>
      </c>
      <c r="C20" s="34">
        <v>34.635506406440896</v>
      </c>
      <c r="D20" s="34">
        <v>37.339055793991413</v>
      </c>
      <c r="E20" s="34">
        <v>28.664515522696661</v>
      </c>
      <c r="F20" s="34">
        <v>5.5355408665142072</v>
      </c>
      <c r="G20" s="34">
        <v>3.1389994047805523</v>
      </c>
      <c r="H20" s="34">
        <v>8.6745402712947595</v>
      </c>
      <c r="I20" s="34">
        <v>28.695842862065724</v>
      </c>
      <c r="J20" s="34"/>
      <c r="K20" s="34" t="s">
        <v>67</v>
      </c>
      <c r="L20" s="34">
        <v>-2.8319914789636917</v>
      </c>
      <c r="M20" s="34">
        <v>0.90536010776604736</v>
      </c>
      <c r="N20" s="34" t="s">
        <v>67</v>
      </c>
      <c r="O20" s="34" t="s">
        <v>67</v>
      </c>
      <c r="P20" s="34"/>
      <c r="Q20" s="34">
        <v>2.7035493875505154</v>
      </c>
      <c r="R20" s="34" t="s">
        <v>67</v>
      </c>
      <c r="S20" s="34"/>
      <c r="T20" s="34">
        <v>0.94921838288274174</v>
      </c>
      <c r="U20" s="34">
        <v>3.0982738636007645</v>
      </c>
      <c r="V20" s="34">
        <v>3.0826101939162309</v>
      </c>
      <c r="W20" s="34"/>
      <c r="X20" s="34" t="s">
        <v>67</v>
      </c>
      <c r="Y20" s="34"/>
      <c r="Z20" s="34"/>
      <c r="AA20" s="34">
        <v>2.4216033332289091</v>
      </c>
      <c r="AB20" s="34" t="s">
        <v>67</v>
      </c>
      <c r="AC20" s="35" t="s">
        <v>67</v>
      </c>
      <c r="AD20" s="36"/>
      <c r="AE20" s="37">
        <v>31.920999999999999</v>
      </c>
      <c r="AF20" s="37">
        <v>33.341000000000001</v>
      </c>
      <c r="AG20" s="41" t="s">
        <v>67</v>
      </c>
    </row>
    <row r="21" spans="1:33" s="40" customFormat="1">
      <c r="A21" s="42"/>
      <c r="B21" s="43" t="s">
        <v>83</v>
      </c>
      <c r="C21" s="34">
        <v>35.165686415148471</v>
      </c>
      <c r="D21" s="34">
        <v>37.03342418591307</v>
      </c>
      <c r="E21" s="34">
        <v>27.898436379285613</v>
      </c>
      <c r="F21" s="34">
        <v>6.0134844355185777</v>
      </c>
      <c r="G21" s="34">
        <v>3.1215033711088802</v>
      </c>
      <c r="H21" s="34">
        <v>9.134987806627457</v>
      </c>
      <c r="I21" s="34">
        <v>29.083345287620144</v>
      </c>
      <c r="J21" s="34"/>
      <c r="K21" s="34" t="s">
        <v>67</v>
      </c>
      <c r="L21" s="34">
        <v>-4.1457466647539816</v>
      </c>
      <c r="M21" s="34">
        <v>1.5464065413857411</v>
      </c>
      <c r="N21" s="34" t="s">
        <v>67</v>
      </c>
      <c r="O21" s="34" t="s">
        <v>67</v>
      </c>
      <c r="P21" s="34"/>
      <c r="Q21" s="34">
        <v>1.8677377707645966</v>
      </c>
      <c r="R21" s="34" t="s">
        <v>67</v>
      </c>
      <c r="S21" s="34"/>
      <c r="T21" s="34">
        <v>0.9353033997991681</v>
      </c>
      <c r="U21" s="34">
        <v>2.6222923540381586</v>
      </c>
      <c r="V21" s="34">
        <v>2.8288624300674226</v>
      </c>
      <c r="W21" s="34"/>
      <c r="X21" s="34" t="s">
        <v>67</v>
      </c>
      <c r="Y21" s="34"/>
      <c r="Z21" s="34"/>
      <c r="AA21" s="34">
        <v>8.8939893845933163E-2</v>
      </c>
      <c r="AB21" s="34" t="s">
        <v>67</v>
      </c>
      <c r="AC21" s="35" t="s">
        <v>67</v>
      </c>
      <c r="AD21" s="36"/>
      <c r="AE21" s="37">
        <v>34.854999999999997</v>
      </c>
      <c r="AF21" s="37">
        <v>36.161999999999999</v>
      </c>
      <c r="AG21" s="41" t="s">
        <v>67</v>
      </c>
    </row>
    <row r="22" spans="1:33" s="40" customFormat="1" ht="15.75" customHeight="1">
      <c r="A22" s="44"/>
      <c r="B22" s="45" t="s">
        <v>84</v>
      </c>
      <c r="C22" s="34">
        <v>36.961106217132489</v>
      </c>
      <c r="D22" s="34">
        <v>38.485358105763332</v>
      </c>
      <c r="E22" s="34">
        <v>29.273110701796533</v>
      </c>
      <c r="F22" s="34">
        <v>6.0089159392434794</v>
      </c>
      <c r="G22" s="34">
        <v>3.2033314647233122</v>
      </c>
      <c r="H22" s="34">
        <v>9.2122474039667939</v>
      </c>
      <c r="I22" s="34">
        <v>30.693254317823872</v>
      </c>
      <c r="J22" s="34"/>
      <c r="K22" s="34" t="s">
        <v>67</v>
      </c>
      <c r="L22" s="34">
        <v>-4.4846640506126372</v>
      </c>
      <c r="M22" s="34">
        <v>1.7671711913723607</v>
      </c>
      <c r="N22" s="34" t="s">
        <v>67</v>
      </c>
      <c r="O22" s="34" t="s">
        <v>67</v>
      </c>
      <c r="P22" s="34"/>
      <c r="Q22" s="34">
        <v>1.5242518886308427</v>
      </c>
      <c r="R22" s="34" t="s">
        <v>67</v>
      </c>
      <c r="S22" s="34"/>
      <c r="T22" s="34">
        <v>1.2519687141293612</v>
      </c>
      <c r="U22" s="34">
        <v>2.4612263420624116</v>
      </c>
      <c r="V22" s="34">
        <v>2.7068150876911989</v>
      </c>
      <c r="W22" s="34"/>
      <c r="X22" s="34" t="s">
        <v>67</v>
      </c>
      <c r="Y22" s="34"/>
      <c r="Z22" s="34"/>
      <c r="AA22" s="34">
        <v>1.2199353994821283</v>
      </c>
      <c r="AB22" s="34" t="s">
        <v>67</v>
      </c>
      <c r="AC22" s="35" t="s">
        <v>67</v>
      </c>
      <c r="AD22" s="46"/>
      <c r="AE22" s="37">
        <v>37.460999999999999</v>
      </c>
      <c r="AF22" s="37">
        <v>38.753999999999998</v>
      </c>
      <c r="AG22" s="41" t="s">
        <v>67</v>
      </c>
    </row>
    <row r="23" spans="1:33" s="40" customFormat="1" ht="15.75" customHeight="1">
      <c r="A23" s="44"/>
      <c r="B23" s="45" t="s">
        <v>85</v>
      </c>
      <c r="C23" s="34">
        <v>37.640491626824208</v>
      </c>
      <c r="D23" s="34">
        <v>40.036045958597214</v>
      </c>
      <c r="E23" s="34">
        <v>29.933164785101006</v>
      </c>
      <c r="F23" s="34">
        <v>6.7511076622693942</v>
      </c>
      <c r="G23" s="34">
        <v>3.3517735112268148</v>
      </c>
      <c r="H23" s="34">
        <v>10.102881173496208</v>
      </c>
      <c r="I23" s="34">
        <v>31.39252546997422</v>
      </c>
      <c r="J23" s="34"/>
      <c r="K23" s="34" t="s">
        <v>67</v>
      </c>
      <c r="L23" s="34">
        <v>-4.3555533304963836</v>
      </c>
      <c r="M23" s="34">
        <v>0.95121279631530209</v>
      </c>
      <c r="N23" s="34" t="s">
        <v>67</v>
      </c>
      <c r="O23" s="34" t="s">
        <v>67</v>
      </c>
      <c r="P23" s="34"/>
      <c r="Q23" s="34">
        <v>2.3955543317730106</v>
      </c>
      <c r="R23" s="34" t="s">
        <v>67</v>
      </c>
      <c r="S23" s="34"/>
      <c r="T23" s="34">
        <v>1.8598713359533405</v>
      </c>
      <c r="U23" s="34">
        <v>2.9187213697464265</v>
      </c>
      <c r="V23" s="34">
        <v>2.7910585997146362</v>
      </c>
      <c r="W23" s="34"/>
      <c r="X23" s="34" t="s">
        <v>67</v>
      </c>
      <c r="Y23" s="34"/>
      <c r="Z23" s="34"/>
      <c r="AA23" s="34">
        <v>8.0102130216025441E-2</v>
      </c>
      <c r="AB23" s="34" t="s">
        <v>67</v>
      </c>
      <c r="AC23" s="35" t="s">
        <v>67</v>
      </c>
      <c r="AD23" s="46"/>
      <c r="AE23" s="37">
        <v>39.948999999999998</v>
      </c>
      <c r="AF23" s="37">
        <v>41.146000000000001</v>
      </c>
      <c r="AG23" s="41" t="s">
        <v>67</v>
      </c>
    </row>
    <row r="24" spans="1:33" s="40" customFormat="1" ht="15.75" customHeight="1">
      <c r="A24" s="44"/>
      <c r="B24" s="45" t="s">
        <v>86</v>
      </c>
      <c r="C24" s="34">
        <v>39.090438546960286</v>
      </c>
      <c r="D24" s="34">
        <v>42.941840767927722</v>
      </c>
      <c r="E24" s="34">
        <v>31.571146245059289</v>
      </c>
      <c r="F24" s="34">
        <v>7.9663090532655758</v>
      </c>
      <c r="G24" s="34">
        <v>3.4043854696028615</v>
      </c>
      <c r="H24" s="34">
        <v>11.370694522868437</v>
      </c>
      <c r="I24" s="34">
        <v>32.611048371917938</v>
      </c>
      <c r="J24" s="34"/>
      <c r="K24" s="34" t="s">
        <v>67</v>
      </c>
      <c r="L24" s="34">
        <v>-4.1149068322981366</v>
      </c>
      <c r="M24" s="34">
        <v>-0.18351214003387917</v>
      </c>
      <c r="N24" s="34" t="s">
        <v>67</v>
      </c>
      <c r="O24" s="34" t="s">
        <v>67</v>
      </c>
      <c r="P24" s="34"/>
      <c r="Q24" s="34">
        <v>3.8514022209674383</v>
      </c>
      <c r="R24" s="34" t="s">
        <v>67</v>
      </c>
      <c r="S24" s="34"/>
      <c r="T24" s="34">
        <v>3.2326369282891023</v>
      </c>
      <c r="U24" s="34">
        <v>4.7548466026726892</v>
      </c>
      <c r="V24" s="34">
        <v>2.8797289666854886</v>
      </c>
      <c r="W24" s="34"/>
      <c r="X24" s="34" t="s">
        <v>67</v>
      </c>
      <c r="Y24" s="34"/>
      <c r="Z24" s="34"/>
      <c r="AA24" s="34">
        <v>1.484566158479202</v>
      </c>
      <c r="AB24" s="34" t="s">
        <v>67</v>
      </c>
      <c r="AC24" s="35" t="s">
        <v>67</v>
      </c>
      <c r="AD24" s="46"/>
      <c r="AE24" s="37">
        <v>42.503999999999998</v>
      </c>
      <c r="AF24" s="37">
        <v>44.387</v>
      </c>
      <c r="AG24" s="41" t="s">
        <v>67</v>
      </c>
    </row>
    <row r="25" spans="1:33" s="40" customFormat="1" ht="15.75" customHeight="1">
      <c r="A25" s="44"/>
      <c r="B25" s="45" t="s">
        <v>87</v>
      </c>
      <c r="C25" s="34">
        <v>40.807903684536917</v>
      </c>
      <c r="D25" s="34">
        <v>41.385283236747007</v>
      </c>
      <c r="E25" s="34">
        <v>30.932574898958581</v>
      </c>
      <c r="F25" s="34">
        <v>6.911447084233262</v>
      </c>
      <c r="G25" s="34">
        <v>3.5412612535551613</v>
      </c>
      <c r="H25" s="34">
        <v>10.452708337788422</v>
      </c>
      <c r="I25" s="34">
        <v>33.817334217223021</v>
      </c>
      <c r="J25" s="34"/>
      <c r="K25" s="34" t="s">
        <v>67</v>
      </c>
      <c r="L25" s="34">
        <v>-6.3340675320231812</v>
      </c>
      <c r="M25" s="34">
        <v>2.9681585869170068</v>
      </c>
      <c r="N25" s="34" t="s">
        <v>67</v>
      </c>
      <c r="O25" s="34" t="s">
        <v>67</v>
      </c>
      <c r="P25" s="34"/>
      <c r="Q25" s="34">
        <v>0.57737955221008075</v>
      </c>
      <c r="R25" s="34" t="s">
        <v>67</v>
      </c>
      <c r="S25" s="34"/>
      <c r="T25" s="34">
        <v>-0.6244252935012724</v>
      </c>
      <c r="U25" s="34">
        <v>0.80405448752218645</v>
      </c>
      <c r="V25" s="34">
        <v>2.7842525073241666</v>
      </c>
      <c r="W25" s="34"/>
      <c r="X25" s="34" t="s">
        <v>67</v>
      </c>
      <c r="Y25" s="34"/>
      <c r="Z25" s="34"/>
      <c r="AA25" s="34">
        <v>-0.66933259200650086</v>
      </c>
      <c r="AB25" s="34" t="s">
        <v>67</v>
      </c>
      <c r="AC25" s="35" t="s">
        <v>67</v>
      </c>
      <c r="AD25" s="46"/>
      <c r="AE25" s="37">
        <v>46.762999999999998</v>
      </c>
      <c r="AF25" s="37">
        <v>48.695</v>
      </c>
      <c r="AG25" s="41" t="s">
        <v>67</v>
      </c>
    </row>
    <row r="26" spans="1:33" s="40" customFormat="1" ht="15.75" customHeight="1">
      <c r="A26" s="44"/>
      <c r="B26" s="45" t="s">
        <v>88</v>
      </c>
      <c r="C26" s="34">
        <v>41.85236905768739</v>
      </c>
      <c r="D26" s="34">
        <v>40.137285368683983</v>
      </c>
      <c r="E26" s="34">
        <v>30.299156226029144</v>
      </c>
      <c r="F26" s="34">
        <v>6.1699742344078832</v>
      </c>
      <c r="G26" s="34">
        <v>3.6681549082469558</v>
      </c>
      <c r="H26" s="34">
        <v>9.8381291426548394</v>
      </c>
      <c r="I26" s="34">
        <v>35.133646716362129</v>
      </c>
      <c r="J26" s="34"/>
      <c r="K26" s="34" t="s">
        <v>67</v>
      </c>
      <c r="L26" s="34">
        <v>-7.8850579234112859</v>
      </c>
      <c r="M26" s="34">
        <v>5.1413173888244197</v>
      </c>
      <c r="N26" s="34" t="s">
        <v>67</v>
      </c>
      <c r="O26" s="34" t="s">
        <v>67</v>
      </c>
      <c r="P26" s="34"/>
      <c r="Q26" s="34">
        <v>-1.7150836890034025</v>
      </c>
      <c r="R26" s="34" t="s">
        <v>67</v>
      </c>
      <c r="S26" s="34"/>
      <c r="T26" s="34">
        <v>-2.1261530594182085</v>
      </c>
      <c r="U26" s="34">
        <v>-1.5105324233424464</v>
      </c>
      <c r="V26" s="34">
        <v>2.5844265680624665</v>
      </c>
      <c r="W26" s="34"/>
      <c r="X26" s="34" t="s">
        <v>67</v>
      </c>
      <c r="Y26" s="34"/>
      <c r="Z26" s="34"/>
      <c r="AA26" s="34">
        <v>-0.37173258855693014</v>
      </c>
      <c r="AB26" s="34" t="s">
        <v>67</v>
      </c>
      <c r="AC26" s="35" t="s">
        <v>67</v>
      </c>
      <c r="AD26" s="46"/>
      <c r="AE26" s="37">
        <v>50.843000000000004</v>
      </c>
      <c r="AF26" s="37">
        <v>54.093000000000004</v>
      </c>
      <c r="AG26" s="41" t="s">
        <v>67</v>
      </c>
    </row>
    <row r="27" spans="1:33">
      <c r="A27" s="9"/>
      <c r="B27" s="47" t="s">
        <v>89</v>
      </c>
      <c r="C27" s="34">
        <v>40.048161044990735</v>
      </c>
      <c r="D27" s="34">
        <v>39.488592069019283</v>
      </c>
      <c r="E27" s="34">
        <v>29.537619319855175</v>
      </c>
      <c r="F27" s="34">
        <v>6.2782599656982487</v>
      </c>
      <c r="G27" s="34">
        <v>3.6727127834658631</v>
      </c>
      <c r="H27" s="34">
        <v>9.9509727491641105</v>
      </c>
      <c r="I27" s="34">
        <v>33.707534258441179</v>
      </c>
      <c r="J27" s="34"/>
      <c r="K27" s="34" t="s">
        <v>67</v>
      </c>
      <c r="L27" s="34">
        <v>-6.8378289416696987</v>
      </c>
      <c r="M27" s="34">
        <v>3.6519238431820944</v>
      </c>
      <c r="N27" s="34" t="s">
        <v>67</v>
      </c>
      <c r="O27" s="34" t="s">
        <v>67</v>
      </c>
      <c r="P27" s="34"/>
      <c r="Q27" s="34">
        <v>-0.55956897597144983</v>
      </c>
      <c r="R27" s="34" t="s">
        <v>67</v>
      </c>
      <c r="S27" s="34"/>
      <c r="T27" s="34">
        <v>-0.23041075481177348</v>
      </c>
      <c r="U27" s="34">
        <v>1.1347296571557264</v>
      </c>
      <c r="V27" s="34">
        <v>2.3283613117821322</v>
      </c>
      <c r="W27" s="34"/>
      <c r="X27" s="34" t="s">
        <v>67</v>
      </c>
      <c r="Y27" s="34"/>
      <c r="Z27" s="34"/>
      <c r="AA27" s="34">
        <v>-1.9195121528680077</v>
      </c>
      <c r="AB27" s="34" t="s">
        <v>67</v>
      </c>
      <c r="AC27" s="35" t="s">
        <v>67</v>
      </c>
      <c r="AD27" s="48"/>
      <c r="AE27" s="37">
        <v>57.722999999999999</v>
      </c>
      <c r="AF27" s="37">
        <v>61.161000000000001</v>
      </c>
      <c r="AG27" s="41" t="s">
        <v>67</v>
      </c>
    </row>
    <row r="28" spans="1:33">
      <c r="A28" s="9"/>
      <c r="B28" s="47" t="s">
        <v>90</v>
      </c>
      <c r="C28" s="34">
        <v>38.373983739837399</v>
      </c>
      <c r="D28" s="34">
        <v>39.355787843592722</v>
      </c>
      <c r="E28" s="34">
        <v>30.189701897018971</v>
      </c>
      <c r="F28" s="34">
        <v>5.3735965931087888</v>
      </c>
      <c r="G28" s="34">
        <v>3.7924893534649633</v>
      </c>
      <c r="H28" s="34">
        <v>9.1660859465737499</v>
      </c>
      <c r="I28" s="34">
        <v>32.068137824235379</v>
      </c>
      <c r="J28" s="34"/>
      <c r="K28" s="34" t="s">
        <v>67</v>
      </c>
      <c r="L28" s="34">
        <v>-4.391792489353465</v>
      </c>
      <c r="M28" s="34">
        <v>1.975996902826171</v>
      </c>
      <c r="N28" s="34" t="s">
        <v>67</v>
      </c>
      <c r="O28" s="34" t="s">
        <v>67</v>
      </c>
      <c r="P28" s="34"/>
      <c r="Q28" s="34">
        <v>0.98180410375532323</v>
      </c>
      <c r="R28" s="34" t="s">
        <v>67</v>
      </c>
      <c r="S28" s="34"/>
      <c r="T28" s="34">
        <v>0.75571041424699947</v>
      </c>
      <c r="U28" s="34">
        <v>1.3162988772744868</v>
      </c>
      <c r="V28" s="34">
        <v>2.3910181958962449</v>
      </c>
      <c r="W28" s="34"/>
      <c r="X28" s="34" t="s">
        <v>67</v>
      </c>
      <c r="Y28" s="34"/>
      <c r="Z28" s="34"/>
      <c r="AA28" s="34">
        <v>-0.63027487417731309</v>
      </c>
      <c r="AB28" s="34" t="s">
        <v>67</v>
      </c>
      <c r="AC28" s="35" t="s">
        <v>67</v>
      </c>
      <c r="AD28" s="48"/>
      <c r="AE28" s="37">
        <v>64.575000000000003</v>
      </c>
      <c r="AF28" s="37">
        <v>68.129000000000005</v>
      </c>
      <c r="AG28" s="41" t="s">
        <v>67</v>
      </c>
    </row>
    <row r="29" spans="1:33">
      <c r="A29" s="9"/>
      <c r="B29" s="47" t="s">
        <v>91</v>
      </c>
      <c r="C29" s="34">
        <v>35.879607710517419</v>
      </c>
      <c r="D29" s="34">
        <v>38.4673655732161</v>
      </c>
      <c r="E29" s="34">
        <v>29.808589786946232</v>
      </c>
      <c r="F29" s="34">
        <v>4.9157930334798783</v>
      </c>
      <c r="G29" s="34">
        <v>3.7429827527899895</v>
      </c>
      <c r="H29" s="34">
        <v>8.6587757862698673</v>
      </c>
      <c r="I29" s="34">
        <v>29.831586066959758</v>
      </c>
      <c r="J29" s="34"/>
      <c r="K29" s="34" t="s">
        <v>67</v>
      </c>
      <c r="L29" s="34">
        <v>-2.3280351707811975</v>
      </c>
      <c r="M29" s="34">
        <v>0.1487994589110585</v>
      </c>
      <c r="N29" s="34" t="s">
        <v>67</v>
      </c>
      <c r="O29" s="34" t="s">
        <v>67</v>
      </c>
      <c r="P29" s="34"/>
      <c r="Q29" s="34">
        <v>2.5877578626986812</v>
      </c>
      <c r="R29" s="34" t="s">
        <v>67</v>
      </c>
      <c r="S29" s="34"/>
      <c r="T29" s="34">
        <v>2.5809942509299963</v>
      </c>
      <c r="U29" s="34">
        <v>3.3128170443016574</v>
      </c>
      <c r="V29" s="34">
        <v>2.3347987825498815</v>
      </c>
      <c r="W29" s="34"/>
      <c r="X29" s="34" t="s">
        <v>67</v>
      </c>
      <c r="Y29" s="34"/>
      <c r="Z29" s="34"/>
      <c r="AA29" s="34">
        <v>1.9655055799797094</v>
      </c>
      <c r="AB29" s="34" t="s">
        <v>67</v>
      </c>
      <c r="AC29" s="35" t="s">
        <v>67</v>
      </c>
      <c r="AD29" s="48"/>
      <c r="AE29" s="37">
        <v>73.924999999999997</v>
      </c>
      <c r="AF29" s="37">
        <v>79.218000000000004</v>
      </c>
      <c r="AG29" s="41">
        <v>2.5587480165039125</v>
      </c>
    </row>
    <row r="30" spans="1:33">
      <c r="A30" s="9"/>
      <c r="B30" s="47" t="s">
        <v>92</v>
      </c>
      <c r="C30" s="34">
        <v>36.176452839297568</v>
      </c>
      <c r="D30" s="34">
        <v>40.259489469555241</v>
      </c>
      <c r="E30" s="34">
        <v>30.998732725846356</v>
      </c>
      <c r="F30" s="34">
        <v>5.2441011405467375</v>
      </c>
      <c r="G30" s="34">
        <v>4.0166556031621505</v>
      </c>
      <c r="H30" s="34">
        <v>9.2607567437088889</v>
      </c>
      <c r="I30" s="34">
        <v>29.796632671534606</v>
      </c>
      <c r="J30" s="34"/>
      <c r="K30" s="34" t="s">
        <v>67</v>
      </c>
      <c r="L30" s="34">
        <v>-1.1610645102890591</v>
      </c>
      <c r="M30" s="34">
        <v>-1.051234083640094</v>
      </c>
      <c r="N30" s="34" t="s">
        <v>67</v>
      </c>
      <c r="O30" s="34" t="s">
        <v>67</v>
      </c>
      <c r="P30" s="34"/>
      <c r="Q30" s="34">
        <v>4.0830366302576788</v>
      </c>
      <c r="R30" s="34" t="s">
        <v>67</v>
      </c>
      <c r="S30" s="34"/>
      <c r="T30" s="34">
        <v>2.5767907790718723</v>
      </c>
      <c r="U30" s="34">
        <v>5.2754812624464433</v>
      </c>
      <c r="V30" s="34">
        <v>2.4343733027578298</v>
      </c>
      <c r="W30" s="34"/>
      <c r="X30" s="34" t="s">
        <v>67</v>
      </c>
      <c r="Y30" s="34"/>
      <c r="Z30" s="34"/>
      <c r="AA30" s="34">
        <v>3.6618188401424168</v>
      </c>
      <c r="AB30" s="34" t="s">
        <v>67</v>
      </c>
      <c r="AC30" s="35" t="s">
        <v>67</v>
      </c>
      <c r="AD30" s="48"/>
      <c r="AE30" s="37">
        <v>82.855000000000004</v>
      </c>
      <c r="AF30" s="37">
        <v>88.826999999999998</v>
      </c>
      <c r="AG30" s="41">
        <v>6.5398237226014544</v>
      </c>
    </row>
    <row r="31" spans="1:33">
      <c r="B31" s="47" t="s">
        <v>93</v>
      </c>
      <c r="C31" s="34">
        <v>39.012242569921163</v>
      </c>
      <c r="D31" s="34">
        <v>44.707787578171157</v>
      </c>
      <c r="E31" s="34">
        <v>34.771139312704982</v>
      </c>
      <c r="F31" s="34">
        <v>5.5264712472754685</v>
      </c>
      <c r="G31" s="34">
        <v>4.4101770181907067</v>
      </c>
      <c r="H31" s="34">
        <v>9.9366482654661752</v>
      </c>
      <c r="I31" s="34">
        <v>32.492717606078507</v>
      </c>
      <c r="J31" s="34"/>
      <c r="K31" s="34" t="s">
        <v>67</v>
      </c>
      <c r="L31" s="34">
        <v>0.16907376097451673</v>
      </c>
      <c r="M31" s="34">
        <v>-2.2967550060092479</v>
      </c>
      <c r="N31" s="34" t="s">
        <v>67</v>
      </c>
      <c r="O31" s="34" t="s">
        <v>67</v>
      </c>
      <c r="P31" s="34"/>
      <c r="Q31" s="34">
        <v>5.6955450082499848</v>
      </c>
      <c r="R31" s="34" t="s">
        <v>67</v>
      </c>
      <c r="S31" s="34"/>
      <c r="T31" s="34">
        <v>5.1883237253264349</v>
      </c>
      <c r="U31" s="34">
        <v>8.1348923427919573</v>
      </c>
      <c r="V31" s="34">
        <v>2.4159214519973107</v>
      </c>
      <c r="W31" s="34"/>
      <c r="X31" s="34">
        <v>47.749101840310878</v>
      </c>
      <c r="Y31" s="34"/>
      <c r="Z31" s="34"/>
      <c r="AA31" s="34">
        <v>3.4334195677415416</v>
      </c>
      <c r="AB31" s="34" t="s">
        <v>67</v>
      </c>
      <c r="AC31" s="35">
        <v>54.663787659652485</v>
      </c>
      <c r="AD31" s="48"/>
      <c r="AE31" s="37">
        <v>98.182000000000002</v>
      </c>
      <c r="AF31" s="37">
        <v>109.11199999999999</v>
      </c>
      <c r="AG31" s="41">
        <v>3.0701742048565848</v>
      </c>
    </row>
    <row r="32" spans="1:33">
      <c r="B32" s="47" t="s">
        <v>94</v>
      </c>
      <c r="C32" s="34">
        <v>40.119492899937107</v>
      </c>
      <c r="D32" s="34">
        <v>46.450796067657478</v>
      </c>
      <c r="E32" s="34">
        <v>36.344377875608224</v>
      </c>
      <c r="F32" s="34">
        <v>5.5608884181258489</v>
      </c>
      <c r="G32" s="34">
        <v>4.5455297739234064</v>
      </c>
      <c r="H32" s="34">
        <v>10.106418192049253</v>
      </c>
      <c r="I32" s="34">
        <v>33.353745324550658</v>
      </c>
      <c r="J32" s="34"/>
      <c r="K32" s="34">
        <v>0.51324428712071979</v>
      </c>
      <c r="L32" s="34">
        <v>0.77041474959451861</v>
      </c>
      <c r="M32" s="34">
        <v>-2.9972526563172357</v>
      </c>
      <c r="N32" s="34">
        <v>-2.7400821938434365</v>
      </c>
      <c r="O32" s="34">
        <v>6.0741327052465683</v>
      </c>
      <c r="P32" s="34"/>
      <c r="Q32" s="34">
        <v>6.3313031677203675</v>
      </c>
      <c r="R32" s="34" t="s">
        <v>67</v>
      </c>
      <c r="S32" s="34"/>
      <c r="T32" s="34">
        <v>7.243222667240409</v>
      </c>
      <c r="U32" s="34">
        <v>8.5076627718380724</v>
      </c>
      <c r="V32" s="34">
        <v>2.572738406540664</v>
      </c>
      <c r="W32" s="34"/>
      <c r="X32" s="34">
        <v>49.329063738944804</v>
      </c>
      <c r="Y32" s="34"/>
      <c r="Z32" s="34"/>
      <c r="AA32" s="34">
        <v>4.2120419714673467</v>
      </c>
      <c r="AB32" s="34">
        <v>3.954871508993548</v>
      </c>
      <c r="AC32" s="35">
        <v>54.316308629307208</v>
      </c>
      <c r="AD32" s="48"/>
      <c r="AE32" s="37">
        <v>120.84399999999999</v>
      </c>
      <c r="AF32" s="37">
        <v>131.16</v>
      </c>
      <c r="AG32" s="41">
        <v>-1.7424106068902319</v>
      </c>
    </row>
    <row r="33" spans="2:33">
      <c r="B33" s="47" t="s">
        <v>95</v>
      </c>
      <c r="C33" s="34">
        <v>40.209182344784871</v>
      </c>
      <c r="D33" s="34">
        <v>45.138903552299112</v>
      </c>
      <c r="E33" s="34">
        <v>36.083250631699713</v>
      </c>
      <c r="F33" s="34">
        <v>4.5038957748263266</v>
      </c>
      <c r="G33" s="34">
        <v>4.5517571457730668</v>
      </c>
      <c r="H33" s="34">
        <v>9.0556529205993925</v>
      </c>
      <c r="I33" s="34">
        <v>32.75899688197245</v>
      </c>
      <c r="J33" s="34"/>
      <c r="K33" s="34">
        <v>-0.23458394792430498</v>
      </c>
      <c r="L33" s="34">
        <v>0.42582543268790868</v>
      </c>
      <c r="M33" s="34">
        <v>-1.3070377330602421</v>
      </c>
      <c r="N33" s="34">
        <v>-0.64662835244802841</v>
      </c>
      <c r="O33" s="34">
        <v>4.2693118269020207</v>
      </c>
      <c r="P33" s="34"/>
      <c r="Q33" s="34">
        <v>4.9297212075142349</v>
      </c>
      <c r="R33" s="34" t="s">
        <v>67</v>
      </c>
      <c r="S33" s="34"/>
      <c r="T33" s="34">
        <v>4.1097433082061139</v>
      </c>
      <c r="U33" s="34">
        <v>5.8038950709826365</v>
      </c>
      <c r="V33" s="34">
        <v>2.8709784131140155</v>
      </c>
      <c r="W33" s="34"/>
      <c r="X33" s="34">
        <v>47.790345830681922</v>
      </c>
      <c r="Y33" s="34"/>
      <c r="Z33" s="34"/>
      <c r="AA33" s="34">
        <v>3.6177565686212403</v>
      </c>
      <c r="AB33" s="34">
        <v>2.9573471880090265</v>
      </c>
      <c r="AC33" s="35">
        <v>53.485785876672509</v>
      </c>
      <c r="AD33" s="48"/>
      <c r="AE33" s="37">
        <v>142.077</v>
      </c>
      <c r="AF33" s="37">
        <v>154.006</v>
      </c>
      <c r="AG33" s="41">
        <v>-0.62385451846833462</v>
      </c>
    </row>
    <row r="34" spans="2:33">
      <c r="B34" s="47" t="s">
        <v>96</v>
      </c>
      <c r="C34" s="34">
        <v>38.385912101143894</v>
      </c>
      <c r="D34" s="34">
        <v>42.25346177001807</v>
      </c>
      <c r="E34" s="34">
        <v>34.650812763395543</v>
      </c>
      <c r="F34" s="34">
        <v>3.150511739915713</v>
      </c>
      <c r="G34" s="34">
        <v>4.4521372667068029</v>
      </c>
      <c r="H34" s="34">
        <v>7.6026490066225163</v>
      </c>
      <c r="I34" s="34">
        <v>31.617098133654427</v>
      </c>
      <c r="J34" s="34"/>
      <c r="K34" s="34">
        <v>0.35804887585065182</v>
      </c>
      <c r="L34" s="34">
        <v>0.71703792895845886</v>
      </c>
      <c r="M34" s="34">
        <v>-0.32269717037928963</v>
      </c>
      <c r="N34" s="34">
        <v>3.6291882728517355E-2</v>
      </c>
      <c r="O34" s="34">
        <v>3.5085606157663651</v>
      </c>
      <c r="P34" s="34"/>
      <c r="Q34" s="34">
        <v>3.8675496688741728</v>
      </c>
      <c r="R34" s="34" t="s">
        <v>67</v>
      </c>
      <c r="S34" s="34"/>
      <c r="T34" s="34">
        <v>2.8163756773028297</v>
      </c>
      <c r="U34" s="34">
        <v>3.3521974714027696</v>
      </c>
      <c r="V34" s="34">
        <v>2.9542444310656233</v>
      </c>
      <c r="W34" s="34"/>
      <c r="X34" s="34">
        <v>44.320804575914011</v>
      </c>
      <c r="Y34" s="34"/>
      <c r="Z34" s="34"/>
      <c r="AA34" s="34">
        <v>3.220349187236605</v>
      </c>
      <c r="AB34" s="34">
        <v>2.8613601341287973</v>
      </c>
      <c r="AC34" s="35">
        <v>51.990969295605062</v>
      </c>
      <c r="AD34" s="48"/>
      <c r="AE34" s="37">
        <v>166.1</v>
      </c>
      <c r="AF34" s="37">
        <v>179.374</v>
      </c>
      <c r="AG34" s="41">
        <v>-0.46843629882827997</v>
      </c>
    </row>
    <row r="35" spans="2:33">
      <c r="B35" s="47" t="s">
        <v>97</v>
      </c>
      <c r="C35" s="34">
        <v>36.902026429885936</v>
      </c>
      <c r="D35" s="34">
        <v>41.417045300949269</v>
      </c>
      <c r="E35" s="34">
        <v>34.34793458031379</v>
      </c>
      <c r="F35" s="34">
        <v>2.7256469707524511</v>
      </c>
      <c r="G35" s="34">
        <v>4.3434637498830311</v>
      </c>
      <c r="H35" s="34">
        <v>7.0691107206354822</v>
      </c>
      <c r="I35" s="34">
        <v>30.376693456991649</v>
      </c>
      <c r="J35" s="34"/>
      <c r="K35" s="34">
        <v>2.4762577995278212</v>
      </c>
      <c r="L35" s="34">
        <v>1.7893719003108786</v>
      </c>
      <c r="M35" s="34">
        <v>-1.0537643352498987</v>
      </c>
      <c r="N35" s="34">
        <v>-1.7406502344668406</v>
      </c>
      <c r="O35" s="34">
        <v>5.2019047702802714</v>
      </c>
      <c r="P35" s="34"/>
      <c r="Q35" s="34">
        <v>4.5150188710633303</v>
      </c>
      <c r="R35" s="34" t="s">
        <v>67</v>
      </c>
      <c r="S35" s="34"/>
      <c r="T35" s="34">
        <v>4.0315453477370315</v>
      </c>
      <c r="U35" s="34">
        <v>4.6938520882937018</v>
      </c>
      <c r="V35" s="34">
        <v>3.0443236049449465</v>
      </c>
      <c r="W35" s="34"/>
      <c r="X35" s="34">
        <v>42.179629999904783</v>
      </c>
      <c r="Y35" s="34"/>
      <c r="Z35" s="34"/>
      <c r="AA35" s="34">
        <v>3.7638153858950503</v>
      </c>
      <c r="AB35" s="34">
        <v>4.4507012851119923</v>
      </c>
      <c r="AC35" s="35">
        <v>50.28696492997431</v>
      </c>
      <c r="AD35" s="48"/>
      <c r="AE35" s="37">
        <v>192.358</v>
      </c>
      <c r="AF35" s="37">
        <v>210.054</v>
      </c>
      <c r="AG35" s="41">
        <v>1.5611463179651963</v>
      </c>
    </row>
    <row r="36" spans="2:33">
      <c r="B36" s="47" t="s">
        <v>98</v>
      </c>
      <c r="C36" s="34">
        <v>37.265684116392656</v>
      </c>
      <c r="D36" s="34">
        <v>40.939929146316295</v>
      </c>
      <c r="E36" s="34">
        <v>34.176153951984588</v>
      </c>
      <c r="F36" s="34">
        <v>2.5263121689482011</v>
      </c>
      <c r="G36" s="34">
        <v>4.2374630253835042</v>
      </c>
      <c r="H36" s="34">
        <v>6.7637751943317044</v>
      </c>
      <c r="I36" s="34">
        <v>31.188948889041757</v>
      </c>
      <c r="J36" s="34"/>
      <c r="K36" s="34">
        <v>1.4084715918219899</v>
      </c>
      <c r="L36" s="34">
        <v>1.147932860975442</v>
      </c>
      <c r="M36" s="34">
        <v>-6.9649858980532428E-2</v>
      </c>
      <c r="N36" s="34">
        <v>-0.33018858982708049</v>
      </c>
      <c r="O36" s="34">
        <v>3.9347837607701912</v>
      </c>
      <c r="P36" s="34"/>
      <c r="Q36" s="34">
        <v>3.6742450299236422</v>
      </c>
      <c r="R36" s="34" t="s">
        <v>67</v>
      </c>
      <c r="S36" s="34"/>
      <c r="T36" s="34">
        <v>3.4670152025865035</v>
      </c>
      <c r="U36" s="34">
        <v>4.1802813510352896</v>
      </c>
      <c r="V36" s="34">
        <v>3.2619350622549352</v>
      </c>
      <c r="W36" s="34"/>
      <c r="X36" s="34">
        <v>39.07540119932036</v>
      </c>
      <c r="Y36" s="34"/>
      <c r="Z36" s="34"/>
      <c r="AA36" s="34">
        <v>2.610579899566623</v>
      </c>
      <c r="AB36" s="34">
        <v>2.8711186304131711</v>
      </c>
      <c r="AC36" s="35">
        <v>46.217840682396641</v>
      </c>
      <c r="AD36" s="48"/>
      <c r="AE36" s="37">
        <v>232.59200000000001</v>
      </c>
      <c r="AF36" s="37">
        <v>251.309</v>
      </c>
      <c r="AG36" s="41">
        <v>-0.10338106549298232</v>
      </c>
    </row>
    <row r="37" spans="2:33">
      <c r="B37" s="47" t="s">
        <v>99</v>
      </c>
      <c r="C37" s="34">
        <v>38.496101196928805</v>
      </c>
      <c r="D37" s="34">
        <v>42.808708199074459</v>
      </c>
      <c r="E37" s="34">
        <v>36.123176758199449</v>
      </c>
      <c r="F37" s="34">
        <v>2.2495682533511765</v>
      </c>
      <c r="G37" s="34">
        <v>4.4359631875238312</v>
      </c>
      <c r="H37" s="34">
        <v>6.6855314408750077</v>
      </c>
      <c r="I37" s="34">
        <v>32.112979313541523</v>
      </c>
      <c r="J37" s="34"/>
      <c r="K37" s="34">
        <v>0.63512271503009787</v>
      </c>
      <c r="L37" s="34">
        <v>2.0630387487944741</v>
      </c>
      <c r="M37" s="34">
        <v>-0.55659806069124329</v>
      </c>
      <c r="N37" s="34">
        <v>0.87131797307313297</v>
      </c>
      <c r="O37" s="34">
        <v>2.8846909683812738</v>
      </c>
      <c r="P37" s="34"/>
      <c r="Q37" s="34">
        <v>4.3126070021456506</v>
      </c>
      <c r="R37" s="34" t="s">
        <v>67</v>
      </c>
      <c r="S37" s="34"/>
      <c r="T37" s="34">
        <v>4.6714613596094479</v>
      </c>
      <c r="U37" s="34">
        <v>4.585485836467079</v>
      </c>
      <c r="V37" s="34">
        <v>3.4251900806674693</v>
      </c>
      <c r="W37" s="34"/>
      <c r="X37" s="34">
        <v>40.331583741197399</v>
      </c>
      <c r="Y37" s="34"/>
      <c r="Z37" s="34"/>
      <c r="AA37" s="34">
        <v>3.3466906899722635</v>
      </c>
      <c r="AB37" s="34">
        <v>1.9187746562078876</v>
      </c>
      <c r="AC37" s="35">
        <v>47.182619487286843</v>
      </c>
      <c r="AD37" s="48"/>
      <c r="AE37" s="37">
        <v>267.51799999999997</v>
      </c>
      <c r="AF37" s="37">
        <v>282.161</v>
      </c>
      <c r="AG37" s="41">
        <v>-2.8144796413315589</v>
      </c>
    </row>
    <row r="38" spans="2:33">
      <c r="B38" s="47" t="s">
        <v>100</v>
      </c>
      <c r="C38" s="34">
        <v>40.877620607454539</v>
      </c>
      <c r="D38" s="34">
        <v>42.888946258478313</v>
      </c>
      <c r="E38" s="34">
        <v>37.077257837933885</v>
      </c>
      <c r="F38" s="34">
        <v>1.4644891554712147</v>
      </c>
      <c r="G38" s="34">
        <v>4.3471992650732076</v>
      </c>
      <c r="H38" s="34">
        <v>5.8116884205444217</v>
      </c>
      <c r="I38" s="34">
        <v>34.023891826286373</v>
      </c>
      <c r="J38" s="34"/>
      <c r="K38" s="34">
        <v>-1.597610098758415</v>
      </c>
      <c r="L38" s="34">
        <v>0.54683649555255287</v>
      </c>
      <c r="M38" s="34">
        <v>1.9265006152329671</v>
      </c>
      <c r="N38" s="34">
        <v>4.0709472095439336</v>
      </c>
      <c r="O38" s="34">
        <v>-0.13312094328720026</v>
      </c>
      <c r="P38" s="34"/>
      <c r="Q38" s="34">
        <v>2.0113256510237676</v>
      </c>
      <c r="R38" s="34" t="s">
        <v>67</v>
      </c>
      <c r="S38" s="34"/>
      <c r="T38" s="34">
        <v>2.5598385306828582</v>
      </c>
      <c r="U38" s="34">
        <v>2.9075205943787488</v>
      </c>
      <c r="V38" s="34">
        <v>3.7658292569259801</v>
      </c>
      <c r="W38" s="34"/>
      <c r="X38" s="34">
        <v>40.020457741976735</v>
      </c>
      <c r="Y38" s="34"/>
      <c r="Z38" s="34"/>
      <c r="AA38" s="34">
        <v>2.7888325996358891</v>
      </c>
      <c r="AB38" s="34">
        <v>0.64438600532492119</v>
      </c>
      <c r="AC38" s="35">
        <v>44.809076614106431</v>
      </c>
      <c r="AD38" s="48"/>
      <c r="AE38" s="37">
        <v>298.26100000000002</v>
      </c>
      <c r="AF38" s="37">
        <v>312.83999999999997</v>
      </c>
      <c r="AG38" s="41">
        <v>-3.1631013320893118</v>
      </c>
    </row>
    <row r="39" spans="2:33">
      <c r="B39" s="47" t="s">
        <v>101</v>
      </c>
      <c r="C39" s="34">
        <v>40.580059795571216</v>
      </c>
      <c r="D39" s="34">
        <v>43.188710302978471</v>
      </c>
      <c r="E39" s="34">
        <v>37.085469798350282</v>
      </c>
      <c r="F39" s="34">
        <v>1.9352632012924149</v>
      </c>
      <c r="G39" s="34">
        <v>4.1679773033357863</v>
      </c>
      <c r="H39" s="34">
        <v>6.103240504628201</v>
      </c>
      <c r="I39" s="34">
        <v>33.721587178461384</v>
      </c>
      <c r="J39" s="34"/>
      <c r="K39" s="34">
        <v>-1.3145188339890668</v>
      </c>
      <c r="L39" s="34">
        <v>0.67338730611484543</v>
      </c>
      <c r="M39" s="34">
        <v>1.0279463366814374</v>
      </c>
      <c r="N39" s="34">
        <v>3.0158524767853501</v>
      </c>
      <c r="O39" s="34">
        <v>0.62074436730334814</v>
      </c>
      <c r="P39" s="34"/>
      <c r="Q39" s="34">
        <v>2.6086505074072601</v>
      </c>
      <c r="R39" s="34" t="s">
        <v>67</v>
      </c>
      <c r="S39" s="34"/>
      <c r="T39" s="34">
        <v>3.9148081075220871</v>
      </c>
      <c r="U39" s="34">
        <v>2.7479088346582214</v>
      </c>
      <c r="V39" s="34">
        <v>3.6912618453560704</v>
      </c>
      <c r="W39" s="34"/>
      <c r="X39" s="34">
        <v>38.661072239307664</v>
      </c>
      <c r="Y39" s="34"/>
      <c r="Z39" s="34"/>
      <c r="AA39" s="34">
        <v>2.6584292515781085</v>
      </c>
      <c r="AB39" s="34">
        <v>0.67052311147419619</v>
      </c>
      <c r="AC39" s="35">
        <v>43.637024391584646</v>
      </c>
      <c r="AD39" s="48"/>
      <c r="AE39" s="37">
        <v>327.44900000000001</v>
      </c>
      <c r="AF39" s="37">
        <v>342.72199999999998</v>
      </c>
      <c r="AG39" s="41">
        <v>-2.7105717473721</v>
      </c>
    </row>
    <row r="40" spans="2:33">
      <c r="B40" s="47" t="s">
        <v>102</v>
      </c>
      <c r="C40" s="34">
        <v>39.479475621540402</v>
      </c>
      <c r="D40" s="34">
        <v>42.775552837218136</v>
      </c>
      <c r="E40" s="34">
        <v>36.593383268819366</v>
      </c>
      <c r="F40" s="34">
        <v>2.1867721232635686</v>
      </c>
      <c r="G40" s="34">
        <v>3.9953974451351995</v>
      </c>
      <c r="H40" s="34">
        <v>6.1821695683987681</v>
      </c>
      <c r="I40" s="34">
        <v>33.041763716898195</v>
      </c>
      <c r="J40" s="34"/>
      <c r="K40" s="34">
        <v>-0.17594099923385256</v>
      </c>
      <c r="L40" s="34">
        <v>1.1093050924141628</v>
      </c>
      <c r="M40" s="34">
        <v>0.16226240148354193</v>
      </c>
      <c r="N40" s="34">
        <v>1.4475084931315576</v>
      </c>
      <c r="O40" s="34">
        <v>2.0108311240297168</v>
      </c>
      <c r="P40" s="34"/>
      <c r="Q40" s="34">
        <v>3.2960772156777312</v>
      </c>
      <c r="R40" s="34" t="s">
        <v>67</v>
      </c>
      <c r="S40" s="34"/>
      <c r="T40" s="34">
        <v>3.4318078991906429</v>
      </c>
      <c r="U40" s="34">
        <v>2.7355597633929318</v>
      </c>
      <c r="V40" s="34">
        <v>3.6934944227536008</v>
      </c>
      <c r="W40" s="34"/>
      <c r="X40" s="34">
        <v>38.822562505407042</v>
      </c>
      <c r="Y40" s="34"/>
      <c r="Z40" s="34"/>
      <c r="AA40" s="34">
        <v>3.2843474035222946</v>
      </c>
      <c r="AB40" s="34">
        <v>1.9991013118742789</v>
      </c>
      <c r="AC40" s="35">
        <v>43.329926102183421</v>
      </c>
      <c r="AD40" s="48"/>
      <c r="AE40" s="37">
        <v>358.06200000000001</v>
      </c>
      <c r="AF40" s="37">
        <v>369.88799999999998</v>
      </c>
      <c r="AG40" s="41">
        <v>-1.4862634843471909</v>
      </c>
    </row>
    <row r="41" spans="2:33">
      <c r="B41" s="47" t="s">
        <v>103</v>
      </c>
      <c r="C41" s="34">
        <v>39.215864075506701</v>
      </c>
      <c r="D41" s="34">
        <v>42.463450084071937</v>
      </c>
      <c r="E41" s="34">
        <v>36.742672528816335</v>
      </c>
      <c r="F41" s="34">
        <v>1.9348202881503918</v>
      </c>
      <c r="G41" s="34">
        <v>3.7859572671052053</v>
      </c>
      <c r="H41" s="34">
        <v>5.7207775552555971</v>
      </c>
      <c r="I41" s="34">
        <v>33.615041232813184</v>
      </c>
      <c r="J41" s="34"/>
      <c r="K41" s="34">
        <v>0.83044237692217926</v>
      </c>
      <c r="L41" s="34">
        <v>1.3127657204148413</v>
      </c>
      <c r="M41" s="34">
        <v>0.36789566271740171</v>
      </c>
      <c r="N41" s="34">
        <v>0.85021900621006385</v>
      </c>
      <c r="O41" s="34">
        <v>2.7652626650725707</v>
      </c>
      <c r="P41" s="34"/>
      <c r="Q41" s="34">
        <v>3.2475860085652326</v>
      </c>
      <c r="R41" s="34" t="s">
        <v>67</v>
      </c>
      <c r="S41" s="34"/>
      <c r="T41" s="34">
        <v>2.661802844196187</v>
      </c>
      <c r="U41" s="34">
        <v>2.6579166224069186</v>
      </c>
      <c r="V41" s="34">
        <v>3.8136789825353192</v>
      </c>
      <c r="W41" s="34"/>
      <c r="X41" s="34">
        <v>38.690153479156599</v>
      </c>
      <c r="Y41" s="34"/>
      <c r="Z41" s="34"/>
      <c r="AA41" s="34">
        <v>2.8646636215959935</v>
      </c>
      <c r="AB41" s="34">
        <v>2.382340278103332</v>
      </c>
      <c r="AC41" s="35">
        <v>43.132398394731318</v>
      </c>
      <c r="AD41" s="48"/>
      <c r="AE41" s="37">
        <v>385.97899999999998</v>
      </c>
      <c r="AF41" s="37">
        <v>405.78800000000001</v>
      </c>
      <c r="AG41" s="41">
        <v>-0.37014129324644784</v>
      </c>
    </row>
    <row r="42" spans="2:33">
      <c r="B42" s="47" t="s">
        <v>104</v>
      </c>
      <c r="C42" s="34">
        <v>38.290254977296541</v>
      </c>
      <c r="D42" s="34">
        <v>40.422303197364322</v>
      </c>
      <c r="E42" s="34">
        <v>35.532799652604055</v>
      </c>
      <c r="F42" s="34">
        <v>1.4941329733505773</v>
      </c>
      <c r="G42" s="34">
        <v>3.3953705714096913</v>
      </c>
      <c r="H42" s="34">
        <v>4.8895035447602684</v>
      </c>
      <c r="I42" s="34">
        <v>32.704543523614426</v>
      </c>
      <c r="J42" s="34"/>
      <c r="K42" s="34">
        <v>0.62133586900290472</v>
      </c>
      <c r="L42" s="34">
        <v>0.63791524671720268</v>
      </c>
      <c r="M42" s="34">
        <v>1.3100508821780215</v>
      </c>
      <c r="N42" s="34">
        <v>1.3266302598923192</v>
      </c>
      <c r="O42" s="34">
        <v>2.1154688423534811</v>
      </c>
      <c r="P42" s="34"/>
      <c r="Q42" s="34">
        <v>2.1320482200677802</v>
      </c>
      <c r="R42" s="34" t="s">
        <v>67</v>
      </c>
      <c r="S42" s="34"/>
      <c r="T42" s="34">
        <v>2.6229337965279287</v>
      </c>
      <c r="U42" s="34">
        <v>1.3544193862042273</v>
      </c>
      <c r="V42" s="34">
        <v>3.9178805071225606</v>
      </c>
      <c r="W42" s="34"/>
      <c r="X42" s="34">
        <v>37.082084903141592</v>
      </c>
      <c r="Y42" s="34"/>
      <c r="Z42" s="34"/>
      <c r="AA42" s="34">
        <v>2.2771898688769103</v>
      </c>
      <c r="AB42" s="34">
        <v>2.2606104911626126</v>
      </c>
      <c r="AC42" s="35">
        <v>42.311268656011933</v>
      </c>
      <c r="AD42" s="48"/>
      <c r="AE42" s="37">
        <v>423.72399999999999</v>
      </c>
      <c r="AF42" s="37">
        <v>438.21699999999998</v>
      </c>
      <c r="AG42" s="41">
        <v>0.11489776186998313</v>
      </c>
    </row>
    <row r="43" spans="2:33">
      <c r="B43" s="47" t="s">
        <v>105</v>
      </c>
      <c r="C43" s="34">
        <v>37.404077041541534</v>
      </c>
      <c r="D43" s="34">
        <v>39.324183899662337</v>
      </c>
      <c r="E43" s="34">
        <v>34.90683966668351</v>
      </c>
      <c r="F43" s="34">
        <v>0.93303133025618257</v>
      </c>
      <c r="G43" s="34">
        <v>3.4843129027226407</v>
      </c>
      <c r="H43" s="34">
        <v>4.4173442329788237</v>
      </c>
      <c r="I43" s="34">
        <v>32.509781780075272</v>
      </c>
      <c r="J43" s="34"/>
      <c r="K43" s="34">
        <v>1.1405710574478063</v>
      </c>
      <c r="L43" s="34">
        <v>0.98707552786461727</v>
      </c>
      <c r="M43" s="34">
        <v>1.3574760041565701</v>
      </c>
      <c r="N43" s="34">
        <v>1.2039804745733806</v>
      </c>
      <c r="O43" s="34">
        <v>2.0736023877039895</v>
      </c>
      <c r="P43" s="34"/>
      <c r="Q43" s="34">
        <v>1.9201068581208001</v>
      </c>
      <c r="R43" s="34" t="s">
        <v>67</v>
      </c>
      <c r="S43" s="34"/>
      <c r="T43" s="34">
        <v>2.2920451774341308</v>
      </c>
      <c r="U43" s="34">
        <v>0.81000388854592553</v>
      </c>
      <c r="V43" s="34">
        <v>3.8138506930179727</v>
      </c>
      <c r="W43" s="34"/>
      <c r="X43" s="34">
        <v>34.86376536976784</v>
      </c>
      <c r="Y43" s="34"/>
      <c r="Z43" s="34"/>
      <c r="AA43" s="34">
        <v>2.1340867299525685</v>
      </c>
      <c r="AB43" s="34">
        <v>2.2875822595357578</v>
      </c>
      <c r="AC43" s="35">
        <v>41.891722669783363</v>
      </c>
      <c r="AD43" s="48"/>
      <c r="AE43" s="37">
        <v>455.18299999999999</v>
      </c>
      <c r="AF43" s="37">
        <v>481.30200000000002</v>
      </c>
      <c r="AG43" s="41">
        <v>0.26103195441838523</v>
      </c>
    </row>
    <row r="44" spans="2:33">
      <c r="B44" s="47" t="s">
        <v>106</v>
      </c>
      <c r="C44" s="34">
        <v>36.18057836375295</v>
      </c>
      <c r="D44" s="34">
        <v>37.172539451664868</v>
      </c>
      <c r="E44" s="34">
        <v>33.265886235318035</v>
      </c>
      <c r="F44" s="34">
        <v>0.29266175573593584</v>
      </c>
      <c r="G44" s="34">
        <v>3.6139914606108952</v>
      </c>
      <c r="H44" s="34">
        <v>3.906653216346831</v>
      </c>
      <c r="I44" s="34">
        <v>31.670224745460519</v>
      </c>
      <c r="J44" s="34"/>
      <c r="K44" s="34">
        <v>1.8615031797747355</v>
      </c>
      <c r="L44" s="34">
        <v>0.69929933217598017</v>
      </c>
      <c r="M44" s="34">
        <v>1.9919376280517369</v>
      </c>
      <c r="N44" s="34">
        <v>0.82973378045298196</v>
      </c>
      <c r="O44" s="34">
        <v>2.1541649355106713</v>
      </c>
      <c r="P44" s="34"/>
      <c r="Q44" s="34">
        <v>0.99196108791191595</v>
      </c>
      <c r="R44" s="34" t="s">
        <v>67</v>
      </c>
      <c r="S44" s="34"/>
      <c r="T44" s="34">
        <v>0.23440310295750635</v>
      </c>
      <c r="U44" s="34">
        <v>-0.63165673532585742</v>
      </c>
      <c r="V44" s="34">
        <v>3.6372558219553013</v>
      </c>
      <c r="W44" s="34"/>
      <c r="X44" s="34">
        <v>30.974360113017557</v>
      </c>
      <c r="Y44" s="34"/>
      <c r="Z44" s="34"/>
      <c r="AA44" s="34">
        <v>1.2292966733918267</v>
      </c>
      <c r="AB44" s="34">
        <v>2.3915005209905815</v>
      </c>
      <c r="AC44" s="35">
        <v>39.278648399255538</v>
      </c>
      <c r="AD44" s="48"/>
      <c r="AE44" s="37">
        <v>511.512</v>
      </c>
      <c r="AF44" s="37">
        <v>540.447</v>
      </c>
      <c r="AG44" s="41">
        <v>2.2199949134301562</v>
      </c>
    </row>
    <row r="45" spans="2:33">
      <c r="B45" s="47" t="s">
        <v>107</v>
      </c>
      <c r="C45" s="34">
        <v>35.538197184086407</v>
      </c>
      <c r="D45" s="34">
        <v>34.56858310101169</v>
      </c>
      <c r="E45" s="34">
        <v>31.043606333175529</v>
      </c>
      <c r="F45" s="34">
        <v>5.5231181947293664E-2</v>
      </c>
      <c r="G45" s="34">
        <v>3.4697455858888713</v>
      </c>
      <c r="H45" s="34">
        <v>3.5249767678361645</v>
      </c>
      <c r="I45" s="34">
        <v>31.157575438781056</v>
      </c>
      <c r="J45" s="34"/>
      <c r="K45" s="34">
        <v>1.05376738560287</v>
      </c>
      <c r="L45" s="34">
        <v>-1.0248452650220046</v>
      </c>
      <c r="M45" s="34">
        <v>3.620184805288166</v>
      </c>
      <c r="N45" s="34">
        <v>1.5415721546632912</v>
      </c>
      <c r="O45" s="34">
        <v>1.1089985675501637</v>
      </c>
      <c r="P45" s="34"/>
      <c r="Q45" s="34">
        <v>-0.96961408307471109</v>
      </c>
      <c r="R45" s="34" t="s">
        <v>67</v>
      </c>
      <c r="S45" s="34"/>
      <c r="T45" s="34">
        <v>-1.2201707783213227</v>
      </c>
      <c r="U45" s="34">
        <v>-2.5430890887731659</v>
      </c>
      <c r="V45" s="34">
        <v>3.3612119299353003</v>
      </c>
      <c r="W45" s="34"/>
      <c r="X45" s="34">
        <v>25.655406330225304</v>
      </c>
      <c r="Y45" s="34"/>
      <c r="Z45" s="34"/>
      <c r="AA45" s="34">
        <v>-0.5914119895499097</v>
      </c>
      <c r="AB45" s="34">
        <v>1.4872006610749648</v>
      </c>
      <c r="AC45" s="35">
        <v>34.233513930531444</v>
      </c>
      <c r="AD45" s="48"/>
      <c r="AE45" s="37">
        <v>570.33000000000004</v>
      </c>
      <c r="AF45" s="37">
        <v>599.09400000000005</v>
      </c>
      <c r="AG45" s="41">
        <v>3.2692273358776873</v>
      </c>
    </row>
    <row r="46" spans="2:33" ht="15" customHeight="1">
      <c r="B46" s="47" t="s">
        <v>108</v>
      </c>
      <c r="C46" s="34">
        <v>34.727483841863908</v>
      </c>
      <c r="D46" s="34">
        <v>34.747180168975426</v>
      </c>
      <c r="E46" s="34">
        <v>30.532960373849001</v>
      </c>
      <c r="F46" s="34">
        <v>0.77975217572935973</v>
      </c>
      <c r="G46" s="34">
        <v>3.4344676193970698</v>
      </c>
      <c r="H46" s="34">
        <v>4.2142197951264295</v>
      </c>
      <c r="I46" s="34">
        <v>30.694978548475998</v>
      </c>
      <c r="J46" s="34"/>
      <c r="K46" s="34">
        <v>0.60203066871843958</v>
      </c>
      <c r="L46" s="34">
        <v>-0.76005584861784203</v>
      </c>
      <c r="M46" s="34">
        <v>2.2792144977674851</v>
      </c>
      <c r="N46" s="34">
        <v>0.91712798043120314</v>
      </c>
      <c r="O46" s="34">
        <v>1.3817828444477995</v>
      </c>
      <c r="P46" s="34"/>
      <c r="Q46" s="34">
        <v>1.9696327111517746E-2</v>
      </c>
      <c r="R46" s="34" t="s">
        <v>67</v>
      </c>
      <c r="S46" s="34"/>
      <c r="T46" s="34">
        <v>-0.72669916560640069</v>
      </c>
      <c r="U46" s="34">
        <v>-1.1103010202379762</v>
      </c>
      <c r="V46" s="34">
        <v>3.180162621771748</v>
      </c>
      <c r="W46" s="34"/>
      <c r="X46" s="34">
        <v>23.075532491838494</v>
      </c>
      <c r="Y46" s="34"/>
      <c r="Z46" s="34"/>
      <c r="AA46" s="34">
        <v>0.46969386507062877</v>
      </c>
      <c r="AB46" s="34">
        <v>1.8317803824069101</v>
      </c>
      <c r="AC46" s="35">
        <v>29.649008274045801</v>
      </c>
      <c r="AD46" s="48"/>
      <c r="AE46" s="37">
        <v>629.55899999999997</v>
      </c>
      <c r="AF46" s="37">
        <v>658.27300000000002</v>
      </c>
      <c r="AG46" s="41">
        <v>1.4164821003214882</v>
      </c>
    </row>
    <row r="47" spans="2:33">
      <c r="B47" s="47" t="s">
        <v>109</v>
      </c>
      <c r="C47" s="34">
        <v>33.915379745903692</v>
      </c>
      <c r="D47" s="34">
        <v>34.992271114578891</v>
      </c>
      <c r="E47" s="34">
        <v>30.855035552872938</v>
      </c>
      <c r="F47" s="34">
        <v>0.9825253581050245</v>
      </c>
      <c r="G47" s="34">
        <v>3.1547102036009242</v>
      </c>
      <c r="H47" s="34">
        <v>4.1372355617059497</v>
      </c>
      <c r="I47" s="34">
        <v>30.40882123456063</v>
      </c>
      <c r="J47" s="34"/>
      <c r="K47" s="34">
        <v>-0.13321985748984563</v>
      </c>
      <c r="L47" s="34">
        <v>9.4366010570170925E-2</v>
      </c>
      <c r="M47" s="34">
        <v>1.0072577914525889</v>
      </c>
      <c r="N47" s="34">
        <v>1.2348436595126058</v>
      </c>
      <c r="O47" s="34">
        <v>0.84930550061517884</v>
      </c>
      <c r="P47" s="34"/>
      <c r="Q47" s="34">
        <v>1.0768913686751955</v>
      </c>
      <c r="R47" s="34" t="s">
        <v>67</v>
      </c>
      <c r="S47" s="34"/>
      <c r="T47" s="34">
        <v>-0.38791643970733286</v>
      </c>
      <c r="U47" s="34">
        <v>-0.12528155225462631</v>
      </c>
      <c r="V47" s="34">
        <v>2.9134217615970086</v>
      </c>
      <c r="W47" s="34"/>
      <c r="X47" s="34">
        <v>21.648991194262088</v>
      </c>
      <c r="Y47" s="34"/>
      <c r="Z47" s="34"/>
      <c r="AA47" s="34">
        <v>1.389432773418523</v>
      </c>
      <c r="AB47" s="34">
        <v>1.1618469053585061</v>
      </c>
      <c r="AC47" s="35">
        <v>27.723732830833097</v>
      </c>
      <c r="AD47" s="48"/>
      <c r="AE47" s="37">
        <v>679.27</v>
      </c>
      <c r="AF47" s="37">
        <v>697.95399999999995</v>
      </c>
      <c r="AG47" s="41">
        <v>-1.0217645762486285</v>
      </c>
    </row>
    <row r="48" spans="2:33">
      <c r="B48" s="47" t="s">
        <v>110</v>
      </c>
      <c r="C48" s="34">
        <v>33.544990432035256</v>
      </c>
      <c r="D48" s="34">
        <v>36.871590493908556</v>
      </c>
      <c r="E48" s="34">
        <v>32.710960674055066</v>
      </c>
      <c r="F48" s="34">
        <v>1.2691026830896897</v>
      </c>
      <c r="G48" s="34">
        <v>2.8915271367638016</v>
      </c>
      <c r="H48" s="34">
        <v>4.1606298198534919</v>
      </c>
      <c r="I48" s="34">
        <v>30.341717026217761</v>
      </c>
      <c r="J48" s="34"/>
      <c r="K48" s="34">
        <v>0.67221267590690137</v>
      </c>
      <c r="L48" s="34">
        <v>2.0574973787836153</v>
      </c>
      <c r="M48" s="34">
        <v>-1.53969340517356</v>
      </c>
      <c r="N48" s="34">
        <v>-0.15440870229684589</v>
      </c>
      <c r="O48" s="34">
        <v>1.9413153589965908</v>
      </c>
      <c r="P48" s="34"/>
      <c r="Q48" s="34">
        <v>3.3266000618733047</v>
      </c>
      <c r="R48" s="34" t="s">
        <v>67</v>
      </c>
      <c r="S48" s="34"/>
      <c r="T48" s="34">
        <v>1.8226027943776484</v>
      </c>
      <c r="U48" s="34">
        <v>1.9252116920949154</v>
      </c>
      <c r="V48" s="34">
        <v>2.5132880622316662</v>
      </c>
      <c r="W48" s="34"/>
      <c r="X48" s="34">
        <v>22.859348825666448</v>
      </c>
      <c r="Y48" s="34"/>
      <c r="Z48" s="34"/>
      <c r="AA48" s="34">
        <v>3.3095219097293667</v>
      </c>
      <c r="AB48" s="34">
        <v>1.9242372068526525</v>
      </c>
      <c r="AC48" s="35">
        <v>28.652519797357922</v>
      </c>
      <c r="AD48" s="48"/>
      <c r="AE48" s="37">
        <v>714.36300000000006</v>
      </c>
      <c r="AF48" s="37">
        <v>725.30499999999995</v>
      </c>
      <c r="AG48" s="41">
        <v>-2.3618635752539774</v>
      </c>
    </row>
    <row r="49" spans="2:33">
      <c r="B49" s="47" t="s">
        <v>111</v>
      </c>
      <c r="C49" s="34">
        <v>32.065884595029551</v>
      </c>
      <c r="D49" s="34">
        <v>38.339106153569205</v>
      </c>
      <c r="E49" s="34">
        <v>34.458796410970663</v>
      </c>
      <c r="F49" s="34">
        <v>1.0583278176844562</v>
      </c>
      <c r="G49" s="34">
        <v>2.8219819249140845</v>
      </c>
      <c r="H49" s="34">
        <v>3.88030974259854</v>
      </c>
      <c r="I49" s="34">
        <v>29.073357453299707</v>
      </c>
      <c r="J49" s="34"/>
      <c r="K49" s="34">
        <v>3.5703203627669571</v>
      </c>
      <c r="L49" s="34">
        <v>5.2148937408551896</v>
      </c>
      <c r="M49" s="34">
        <v>-4.3082970247980867</v>
      </c>
      <c r="N49" s="34">
        <v>-2.6637236467098546</v>
      </c>
      <c r="O49" s="34">
        <v>4.6286481804514139</v>
      </c>
      <c r="P49" s="34"/>
      <c r="Q49" s="34">
        <v>6.273221558539646</v>
      </c>
      <c r="R49" s="34" t="s">
        <v>67</v>
      </c>
      <c r="S49" s="34"/>
      <c r="T49" s="34">
        <v>4.899926503132753</v>
      </c>
      <c r="U49" s="34">
        <v>4.8934295424921528</v>
      </c>
      <c r="V49" s="34">
        <v>2.5553358319561132</v>
      </c>
      <c r="W49" s="34"/>
      <c r="X49" s="34">
        <v>26.673113659963377</v>
      </c>
      <c r="Y49" s="34"/>
      <c r="Z49" s="34"/>
      <c r="AA49" s="34">
        <v>6.1968822710125915</v>
      </c>
      <c r="AB49" s="34">
        <v>4.5523088929243594</v>
      </c>
      <c r="AC49" s="35">
        <v>33.655068238389724</v>
      </c>
      <c r="AD49" s="48"/>
      <c r="AE49" s="37">
        <v>738.80700000000002</v>
      </c>
      <c r="AF49" s="37">
        <v>756.94200000000001</v>
      </c>
      <c r="AG49" s="41">
        <v>-2.3444013260748733</v>
      </c>
    </row>
    <row r="50" spans="2:33">
      <c r="B50" s="47" t="s">
        <v>112</v>
      </c>
      <c r="C50" s="34">
        <v>31.347099815535973</v>
      </c>
      <c r="D50" s="34">
        <v>37.924011067841775</v>
      </c>
      <c r="E50" s="34">
        <v>34.41535150645624</v>
      </c>
      <c r="F50" s="34">
        <v>0.78819942611190807</v>
      </c>
      <c r="G50" s="34">
        <v>2.7204601352736213</v>
      </c>
      <c r="H50" s="34">
        <v>3.5086595613855298</v>
      </c>
      <c r="I50" s="34">
        <v>28.411559745849562</v>
      </c>
      <c r="J50" s="34"/>
      <c r="K50" s="34">
        <v>4.5298637902531507</v>
      </c>
      <c r="L50" s="34">
        <v>5.7887118261938921</v>
      </c>
      <c r="M50" s="34">
        <v>-4.409074605451937</v>
      </c>
      <c r="N50" s="34">
        <v>-3.1502265695111955</v>
      </c>
      <c r="O50" s="34">
        <v>5.3180632163650587</v>
      </c>
      <c r="P50" s="34"/>
      <c r="Q50" s="34">
        <v>6.5769112523058002</v>
      </c>
      <c r="R50" s="34" t="s">
        <v>67</v>
      </c>
      <c r="S50" s="34"/>
      <c r="T50" s="34">
        <v>6.3563230170116825</v>
      </c>
      <c r="U50" s="34">
        <v>5.9064357450297189</v>
      </c>
      <c r="V50" s="34">
        <v>2.6339926214388196</v>
      </c>
      <c r="W50" s="34"/>
      <c r="X50" s="34">
        <v>31.148685719986034</v>
      </c>
      <c r="Y50" s="34"/>
      <c r="Z50" s="34"/>
      <c r="AA50" s="34">
        <v>6.567303750768601</v>
      </c>
      <c r="AB50" s="34">
        <v>5.3084557148278604</v>
      </c>
      <c r="AC50" s="35">
        <v>38.265397622463617</v>
      </c>
      <c r="AD50" s="48"/>
      <c r="AE50" s="37">
        <v>780.64</v>
      </c>
      <c r="AF50" s="37">
        <v>801.96</v>
      </c>
      <c r="AG50" s="41">
        <v>-1.5799355414515333</v>
      </c>
    </row>
    <row r="51" spans="2:33">
      <c r="B51" s="47" t="s">
        <v>113</v>
      </c>
      <c r="C51" s="34">
        <v>32.227896335892368</v>
      </c>
      <c r="D51" s="34">
        <v>37.57872629683682</v>
      </c>
      <c r="E51" s="34">
        <v>34.153020775214955</v>
      </c>
      <c r="F51" s="34">
        <v>0.81863166691436773</v>
      </c>
      <c r="G51" s="34">
        <v>2.6070738547074974</v>
      </c>
      <c r="H51" s="34">
        <v>3.4257055216218655</v>
      </c>
      <c r="I51" s="34">
        <v>29.35622903170005</v>
      </c>
      <c r="J51" s="34"/>
      <c r="K51" s="34">
        <v>3.7052295761847494</v>
      </c>
      <c r="L51" s="34">
        <v>4.5321982940300796</v>
      </c>
      <c r="M51" s="34">
        <v>-2.9408611712767483</v>
      </c>
      <c r="N51" s="34">
        <v>-2.1138924534314172</v>
      </c>
      <c r="O51" s="34">
        <v>4.5238612430991179</v>
      </c>
      <c r="P51" s="34"/>
      <c r="Q51" s="34">
        <v>5.3508299609444476</v>
      </c>
      <c r="R51" s="34" t="s">
        <v>67</v>
      </c>
      <c r="S51" s="34"/>
      <c r="T51" s="34">
        <v>4.7541546775297796</v>
      </c>
      <c r="U51" s="34">
        <v>4.4760391871182463</v>
      </c>
      <c r="V51" s="34">
        <v>2.8234265095348663</v>
      </c>
      <c r="W51" s="34"/>
      <c r="X51" s="34">
        <v>34.549022083973185</v>
      </c>
      <c r="Y51" s="34"/>
      <c r="Z51" s="34"/>
      <c r="AA51" s="34">
        <v>5.5822883191494022</v>
      </c>
      <c r="AB51" s="34">
        <v>4.7553196013040724</v>
      </c>
      <c r="AC51" s="35">
        <v>41.410458506825584</v>
      </c>
      <c r="AD51" s="48"/>
      <c r="AE51" s="37">
        <v>820.88199999999995</v>
      </c>
      <c r="AF51" s="37">
        <v>839.38699999999994</v>
      </c>
      <c r="AG51" s="41">
        <v>-1.0219632191100487</v>
      </c>
    </row>
    <row r="52" spans="2:33">
      <c r="B52" s="47" t="s">
        <v>114</v>
      </c>
      <c r="C52" s="34">
        <v>33.288454363649429</v>
      </c>
      <c r="D52" s="34">
        <v>37.405771543643446</v>
      </c>
      <c r="E52" s="34">
        <v>34.098245548987208</v>
      </c>
      <c r="F52" s="34">
        <v>0.76587777007909053</v>
      </c>
      <c r="G52" s="34">
        <v>2.5416482245771448</v>
      </c>
      <c r="H52" s="34">
        <v>3.3075259946562352</v>
      </c>
      <c r="I52" s="34">
        <v>30.189951590963339</v>
      </c>
      <c r="J52" s="34"/>
      <c r="K52" s="34">
        <v>1.9989057204010487</v>
      </c>
      <c r="L52" s="34">
        <v>3.3514394099149309</v>
      </c>
      <c r="M52" s="34">
        <v>-1.4786886689484648</v>
      </c>
      <c r="N52" s="34">
        <v>-0.12615497943458265</v>
      </c>
      <c r="O52" s="34">
        <v>2.7647834904801392</v>
      </c>
      <c r="P52" s="34"/>
      <c r="Q52" s="34">
        <v>4.1173171799940205</v>
      </c>
      <c r="R52" s="34" t="s">
        <v>67</v>
      </c>
      <c r="S52" s="34"/>
      <c r="T52" s="34">
        <v>4.0944914733819813</v>
      </c>
      <c r="U52" s="34">
        <v>3.6541986554847741</v>
      </c>
      <c r="V52" s="34">
        <v>3.0740549346396895</v>
      </c>
      <c r="W52" s="34"/>
      <c r="X52" s="34">
        <v>36.051544418614284</v>
      </c>
      <c r="Y52" s="34"/>
      <c r="Z52" s="34"/>
      <c r="AA52" s="34">
        <v>4.3291211987087834</v>
      </c>
      <c r="AB52" s="34">
        <v>2.9765875091949017</v>
      </c>
      <c r="AC52" s="35">
        <v>43.722814815158124</v>
      </c>
      <c r="AD52" s="48"/>
      <c r="AE52" s="37">
        <v>863.06200000000001</v>
      </c>
      <c r="AF52" s="37">
        <v>893.44299999999998</v>
      </c>
      <c r="AG52" s="41">
        <v>-2.2962820913837447</v>
      </c>
    </row>
    <row r="53" spans="2:33">
      <c r="B53" s="47" t="s">
        <v>115</v>
      </c>
      <c r="C53" s="34">
        <v>32.44983461484707</v>
      </c>
      <c r="D53" s="34">
        <v>35.583539274775546</v>
      </c>
      <c r="E53" s="34">
        <v>32.878438391457394</v>
      </c>
      <c r="F53" s="34">
        <v>0.3574226135079529</v>
      </c>
      <c r="G53" s="34">
        <v>2.3476782698101948</v>
      </c>
      <c r="H53" s="34">
        <v>2.7051008833181474</v>
      </c>
      <c r="I53" s="34">
        <v>29.674310967424596</v>
      </c>
      <c r="J53" s="34"/>
      <c r="K53" s="34">
        <v>2.3180660622590588</v>
      </c>
      <c r="L53" s="34">
        <v>2.7762820464205191</v>
      </c>
      <c r="M53" s="34">
        <v>-0.51116092468339558</v>
      </c>
      <c r="N53" s="34">
        <v>-5.294494052193572E-2</v>
      </c>
      <c r="O53" s="34">
        <v>2.6754886757670122</v>
      </c>
      <c r="P53" s="34"/>
      <c r="Q53" s="34">
        <v>3.1337046599284721</v>
      </c>
      <c r="R53" s="34" t="s">
        <v>67</v>
      </c>
      <c r="S53" s="34"/>
      <c r="T53" s="34">
        <v>2.7199438351370593</v>
      </c>
      <c r="U53" s="34">
        <v>2.4508205335445297</v>
      </c>
      <c r="V53" s="34">
        <v>3.0326209077602635</v>
      </c>
      <c r="W53" s="34"/>
      <c r="X53" s="34">
        <v>36.57004586537164</v>
      </c>
      <c r="Y53" s="34"/>
      <c r="Z53" s="34"/>
      <c r="AA53" s="34">
        <v>3.3407475863951888</v>
      </c>
      <c r="AB53" s="34">
        <v>2.8825316022337293</v>
      </c>
      <c r="AC53" s="35">
        <v>44.269808027545047</v>
      </c>
      <c r="AD53" s="48"/>
      <c r="AE53" s="37">
        <v>922.99699999999996</v>
      </c>
      <c r="AF53" s="37">
        <v>948.86400000000003</v>
      </c>
      <c r="AG53" s="41">
        <v>2.0808682305784032E-3</v>
      </c>
    </row>
    <row r="54" spans="2:33">
      <c r="B54" s="47" t="s">
        <v>116</v>
      </c>
      <c r="C54" s="34">
        <v>34.624183802621985</v>
      </c>
      <c r="D54" s="34">
        <v>35.713034383172989</v>
      </c>
      <c r="E54" s="34">
        <v>32.898442707323724</v>
      </c>
      <c r="F54" s="34">
        <v>0.49808901747406154</v>
      </c>
      <c r="G54" s="34">
        <v>2.316502658375204</v>
      </c>
      <c r="H54" s="34">
        <v>2.8145916758492651</v>
      </c>
      <c r="I54" s="34">
        <v>31.205872993001872</v>
      </c>
      <c r="J54" s="34"/>
      <c r="K54" s="34">
        <v>1.6803613712866479</v>
      </c>
      <c r="L54" s="34">
        <v>0.59076156307693584</v>
      </c>
      <c r="M54" s="34">
        <v>1.5748113118555551</v>
      </c>
      <c r="N54" s="34">
        <v>0.48521150364584287</v>
      </c>
      <c r="O54" s="34">
        <v>2.1784503887607096</v>
      </c>
      <c r="P54" s="34"/>
      <c r="Q54" s="34">
        <v>1.0888505805509974</v>
      </c>
      <c r="R54" s="34">
        <v>36.728443393252626</v>
      </c>
      <c r="S54" s="34"/>
      <c r="T54" s="34">
        <v>0.36726938374830387</v>
      </c>
      <c r="U54" s="34">
        <v>9.3398169561733496E-2</v>
      </c>
      <c r="V54" s="34">
        <v>3.1026643875163655</v>
      </c>
      <c r="W54" s="34"/>
      <c r="X54" s="34">
        <v>36.647095788837888</v>
      </c>
      <c r="Y54" s="34"/>
      <c r="Z54" s="34"/>
      <c r="AA54" s="34">
        <v>1.2231946735054999</v>
      </c>
      <c r="AB54" s="34">
        <v>2.312794481715212</v>
      </c>
      <c r="AC54" s="35">
        <v>42.73697064436444</v>
      </c>
      <c r="AD54" s="48"/>
      <c r="AE54" s="37">
        <v>964.68700000000001</v>
      </c>
      <c r="AF54" s="37">
        <v>983.43399999999997</v>
      </c>
      <c r="AG54" s="41">
        <v>2.1783672691271931</v>
      </c>
    </row>
    <row r="55" spans="2:33">
      <c r="B55" s="47" t="s">
        <v>117</v>
      </c>
      <c r="C55" s="34">
        <v>35.147548319772845</v>
      </c>
      <c r="D55" s="34">
        <v>35.174378887214594</v>
      </c>
      <c r="E55" s="34">
        <v>32.383999873272593</v>
      </c>
      <c r="F55" s="34">
        <v>0.51215692020727854</v>
      </c>
      <c r="G55" s="34">
        <v>2.2782220937347155</v>
      </c>
      <c r="H55" s="34">
        <v>2.7903790139419944</v>
      </c>
      <c r="I55" s="34">
        <v>31.797291597775139</v>
      </c>
      <c r="J55" s="34"/>
      <c r="K55" s="34">
        <v>0.70331392697284512</v>
      </c>
      <c r="L55" s="34">
        <v>-0.4853263527655286</v>
      </c>
      <c r="M55" s="34">
        <v>2.4822730143895004</v>
      </c>
      <c r="N55" s="34">
        <v>1.2936327346511269</v>
      </c>
      <c r="O55" s="34">
        <v>1.2154708471801234</v>
      </c>
      <c r="P55" s="34"/>
      <c r="Q55" s="34">
        <v>2.6830567441749949E-2</v>
      </c>
      <c r="R55" s="34">
        <v>35.22302269659334</v>
      </c>
      <c r="S55" s="34"/>
      <c r="T55" s="34">
        <v>-0.4499812879068395</v>
      </c>
      <c r="U55" s="34">
        <v>-0.76115646676078808</v>
      </c>
      <c r="V55" s="34">
        <v>2.9318582791606684</v>
      </c>
      <c r="W55" s="34"/>
      <c r="X55" s="34">
        <v>35.135932805310546</v>
      </c>
      <c r="Y55" s="34"/>
      <c r="Z55" s="34"/>
      <c r="AA55" s="34">
        <v>7.5838430481108707E-2</v>
      </c>
      <c r="AB55" s="34">
        <v>1.2644787102194825</v>
      </c>
      <c r="AC55" s="35">
        <v>41.099380025781102</v>
      </c>
      <c r="AD55" s="48"/>
      <c r="AE55" s="37">
        <v>1010.042</v>
      </c>
      <c r="AF55" s="37">
        <v>1033.415</v>
      </c>
      <c r="AG55" s="41">
        <v>1.5059336518258704</v>
      </c>
    </row>
    <row r="56" spans="2:33">
      <c r="B56" s="47" t="s">
        <v>118</v>
      </c>
      <c r="C56" s="34">
        <v>35.812881768580311</v>
      </c>
      <c r="D56" s="34">
        <v>34.769377044408259</v>
      </c>
      <c r="E56" s="34">
        <v>32.018800286181715</v>
      </c>
      <c r="F56" s="34">
        <v>0.46424193507228734</v>
      </c>
      <c r="G56" s="34">
        <v>2.2863348231542555</v>
      </c>
      <c r="H56" s="34">
        <v>2.750576758226543</v>
      </c>
      <c r="I56" s="34">
        <v>32.542584651851627</v>
      </c>
      <c r="J56" s="34"/>
      <c r="K56" s="34">
        <v>-0.33756958129152581</v>
      </c>
      <c r="L56" s="34">
        <v>-1.5077466592443405</v>
      </c>
      <c r="M56" s="34">
        <v>3.1602853878149726</v>
      </c>
      <c r="N56" s="34">
        <v>1.9901083098621579</v>
      </c>
      <c r="O56" s="34">
        <v>0.12667235378076172</v>
      </c>
      <c r="P56" s="34"/>
      <c r="Q56" s="34">
        <v>-1.0435047241720532</v>
      </c>
      <c r="R56" s="34">
        <v>32.588385881799056</v>
      </c>
      <c r="S56" s="34"/>
      <c r="T56" s="34">
        <v>-0.86355426725478213</v>
      </c>
      <c r="U56" s="34">
        <v>-0.82792332069080554</v>
      </c>
      <c r="V56" s="34">
        <v>2.4638279734119419</v>
      </c>
      <c r="W56" s="34"/>
      <c r="X56" s="34">
        <v>32.487236828554202</v>
      </c>
      <c r="Y56" s="34">
        <v>27.6</v>
      </c>
      <c r="Z56" s="34">
        <v>32.338915535023325</v>
      </c>
      <c r="AA56" s="34">
        <v>-0.96496542285994591</v>
      </c>
      <c r="AB56" s="34">
        <v>0.2052116550928689</v>
      </c>
      <c r="AC56" s="35">
        <v>38.591717553392073</v>
      </c>
      <c r="AD56" s="48"/>
      <c r="AE56" s="37">
        <v>1058.069</v>
      </c>
      <c r="AF56" s="37">
        <v>1087.5039999999999</v>
      </c>
      <c r="AG56" s="41">
        <v>1.7379806951752812</v>
      </c>
    </row>
    <row r="57" spans="2:33">
      <c r="B57" s="47" t="s">
        <v>119</v>
      </c>
      <c r="C57" s="34">
        <v>36.513436188757083</v>
      </c>
      <c r="D57" s="34">
        <v>35.07350810441767</v>
      </c>
      <c r="E57" s="34">
        <v>32.409237430235258</v>
      </c>
      <c r="F57" s="34">
        <v>0.40470502108754497</v>
      </c>
      <c r="G57" s="34">
        <v>2.2595656530948585</v>
      </c>
      <c r="H57" s="34">
        <v>2.6642706741824034</v>
      </c>
      <c r="I57" s="34">
        <v>33.058595652942344</v>
      </c>
      <c r="J57" s="34"/>
      <c r="K57" s="34">
        <v>-0.92840919020886015</v>
      </c>
      <c r="L57" s="34">
        <v>-1.8446331054269589</v>
      </c>
      <c r="M57" s="34">
        <v>3.3631516571733093</v>
      </c>
      <c r="N57" s="34">
        <v>2.4469277419552111</v>
      </c>
      <c r="O57" s="34">
        <v>-0.52370416912131523</v>
      </c>
      <c r="P57" s="34"/>
      <c r="Q57" s="34">
        <v>-1.4399280843394142</v>
      </c>
      <c r="R57" s="34">
        <v>28.384490405304525</v>
      </c>
      <c r="S57" s="34"/>
      <c r="T57" s="34">
        <v>-3.1910780082161141</v>
      </c>
      <c r="U57" s="34">
        <v>-3.4116875508572733</v>
      </c>
      <c r="V57" s="34">
        <v>2.4293067082705702</v>
      </c>
      <c r="W57" s="34"/>
      <c r="X57" s="34">
        <v>28.279102445878891</v>
      </c>
      <c r="Y57" s="34">
        <v>26.9</v>
      </c>
      <c r="Z57" s="34">
        <v>32.412418214552318</v>
      </c>
      <c r="AA57" s="34">
        <v>-1.3575695808239261</v>
      </c>
      <c r="AB57" s="34">
        <v>-0.441345665605827</v>
      </c>
      <c r="AC57" s="35">
        <v>35.739373913886027</v>
      </c>
      <c r="AD57" s="48"/>
      <c r="AE57" s="37">
        <v>1114.6389999999999</v>
      </c>
      <c r="AF57" s="37">
        <v>1138.6500000000001</v>
      </c>
      <c r="AG57" s="41">
        <v>1.137255552366085</v>
      </c>
    </row>
    <row r="58" spans="2:33">
      <c r="B58" s="47" t="s">
        <v>120</v>
      </c>
      <c r="C58" s="34">
        <v>35.829074692609872</v>
      </c>
      <c r="D58" s="34">
        <v>36.346099276009383</v>
      </c>
      <c r="E58" s="34">
        <v>32.964265600335999</v>
      </c>
      <c r="F58" s="34">
        <v>1.0969633700491945</v>
      </c>
      <c r="G58" s="34">
        <v>2.2848703056241826</v>
      </c>
      <c r="H58" s="34">
        <v>3.3818336756733771</v>
      </c>
      <c r="I58" s="34">
        <v>32.500783173357704</v>
      </c>
      <c r="J58" s="34"/>
      <c r="K58" s="34">
        <v>-0.12627340233032247</v>
      </c>
      <c r="L58" s="34">
        <v>-0.57993878664969278</v>
      </c>
      <c r="M58" s="34">
        <v>1.1975393170381208</v>
      </c>
      <c r="N58" s="34">
        <v>0.74387393271875046</v>
      </c>
      <c r="O58" s="34">
        <v>0.97068996771887228</v>
      </c>
      <c r="P58" s="34"/>
      <c r="Q58" s="34">
        <v>0.51702458339950164</v>
      </c>
      <c r="R58" s="34">
        <v>28.214285714285715</v>
      </c>
      <c r="S58" s="34"/>
      <c r="T58" s="34">
        <v>0.24046242373279947</v>
      </c>
      <c r="U58" s="34">
        <v>0.34667895446139796</v>
      </c>
      <c r="V58" s="34">
        <v>2.0145561771768095</v>
      </c>
      <c r="W58" s="34"/>
      <c r="X58" s="34">
        <v>28.112244897959187</v>
      </c>
      <c r="Y58" s="34">
        <v>28.4</v>
      </c>
      <c r="Z58" s="34">
        <v>34.163435374149664</v>
      </c>
      <c r="AA58" s="34">
        <v>0.44968469136895228</v>
      </c>
      <c r="AB58" s="34">
        <v>0.90335007568832282</v>
      </c>
      <c r="AC58" s="35">
        <v>34.507702867933105</v>
      </c>
      <c r="AD58" s="48"/>
      <c r="AE58" s="37">
        <v>1152.3630000000001</v>
      </c>
      <c r="AF58" s="37">
        <v>1176</v>
      </c>
      <c r="AG58" s="41">
        <v>0.45242854769230689</v>
      </c>
    </row>
    <row r="59" spans="2:33">
      <c r="B59" s="47" t="s">
        <v>121</v>
      </c>
      <c r="C59" s="34">
        <v>34.611337586362076</v>
      </c>
      <c r="D59" s="34">
        <v>37.554927601450615</v>
      </c>
      <c r="E59" s="34">
        <v>33.777993223389892</v>
      </c>
      <c r="F59" s="34">
        <v>1.4448275405670117</v>
      </c>
      <c r="G59" s="34">
        <v>2.3321068374937131</v>
      </c>
      <c r="H59" s="34">
        <v>3.7769343780607247</v>
      </c>
      <c r="I59" s="34">
        <v>31.448037165471053</v>
      </c>
      <c r="J59" s="34"/>
      <c r="K59" s="34">
        <v>1.3760054556077734</v>
      </c>
      <c r="L59" s="34">
        <v>1.498762474521534</v>
      </c>
      <c r="M59" s="34">
        <v>-1.2678018370966462</v>
      </c>
      <c r="N59" s="34">
        <v>-1.1450448181828854</v>
      </c>
      <c r="O59" s="34">
        <v>2.8208329961747851</v>
      </c>
      <c r="P59" s="34"/>
      <c r="Q59" s="34">
        <v>2.9435900150885463</v>
      </c>
      <c r="R59" s="34">
        <v>29.885268975491343</v>
      </c>
      <c r="S59" s="34"/>
      <c r="T59" s="34">
        <v>1.7992925589644493</v>
      </c>
      <c r="U59" s="34">
        <v>1.9342126161420972</v>
      </c>
      <c r="V59" s="34">
        <v>1.8177396299335575</v>
      </c>
      <c r="W59" s="34"/>
      <c r="X59" s="34">
        <v>29.796492859172023</v>
      </c>
      <c r="Y59" s="34">
        <v>31.3</v>
      </c>
      <c r="Z59" s="34">
        <v>36.648475633377238</v>
      </c>
      <c r="AA59" s="34">
        <v>2.547432961855097</v>
      </c>
      <c r="AB59" s="34">
        <v>2.4246759429413363</v>
      </c>
      <c r="AC59" s="35">
        <v>34.909220557482065</v>
      </c>
      <c r="AD59" s="48"/>
      <c r="AE59" s="37">
        <v>1208.864</v>
      </c>
      <c r="AF59" s="37">
        <v>1239.0719999999999</v>
      </c>
      <c r="AG59" s="41">
        <v>-0.4264854569044445</v>
      </c>
    </row>
    <row r="60" spans="2:33">
      <c r="B60" s="47" t="s">
        <v>122</v>
      </c>
      <c r="C60" s="34">
        <v>35.455339104715456</v>
      </c>
      <c r="D60" s="34">
        <v>38.931841166241419</v>
      </c>
      <c r="E60" s="34">
        <v>35.009952058814974</v>
      </c>
      <c r="F60" s="34">
        <v>1.6922036050576732</v>
      </c>
      <c r="G60" s="34">
        <v>2.2296855023687705</v>
      </c>
      <c r="H60" s="34">
        <v>3.9218891074264435</v>
      </c>
      <c r="I60" s="34">
        <v>32.351223989294361</v>
      </c>
      <c r="J60" s="34"/>
      <c r="K60" s="34">
        <v>1.9350616761181259</v>
      </c>
      <c r="L60" s="34">
        <v>1.784298456468288</v>
      </c>
      <c r="M60" s="34">
        <v>-1.693067976529957</v>
      </c>
      <c r="N60" s="34">
        <v>-1.8438311961797946</v>
      </c>
      <c r="O60" s="34">
        <v>3.6272652811757995</v>
      </c>
      <c r="P60" s="34"/>
      <c r="Q60" s="34">
        <v>3.4765020615259608</v>
      </c>
      <c r="R60" s="34">
        <v>31.041626676068123</v>
      </c>
      <c r="S60" s="34"/>
      <c r="T60" s="34">
        <v>3.0953142422487487</v>
      </c>
      <c r="U60" s="34">
        <v>3.1420688809768338</v>
      </c>
      <c r="V60" s="34">
        <v>1.8440972465053853</v>
      </c>
      <c r="W60" s="34"/>
      <c r="X60" s="34">
        <v>30.93456021303167</v>
      </c>
      <c r="Y60" s="34">
        <v>31.3</v>
      </c>
      <c r="Z60" s="34">
        <v>37.496587256490713</v>
      </c>
      <c r="AA60" s="34">
        <v>2.9824744755033192</v>
      </c>
      <c r="AB60" s="34">
        <v>3.133237695153158</v>
      </c>
      <c r="AC60" s="35">
        <v>36.749538936398757</v>
      </c>
      <c r="AD60" s="48"/>
      <c r="AE60" s="37">
        <v>1272.6010000000001</v>
      </c>
      <c r="AF60" s="37">
        <v>1307.5989999999999</v>
      </c>
      <c r="AG60" s="41">
        <v>0.47212062206145333</v>
      </c>
    </row>
    <row r="61" spans="2:33">
      <c r="B61" s="47" t="s">
        <v>123</v>
      </c>
      <c r="C61" s="34">
        <v>36.029051829411401</v>
      </c>
      <c r="D61" s="34">
        <v>39.93836768237302</v>
      </c>
      <c r="E61" s="34">
        <v>35.668809740767259</v>
      </c>
      <c r="F61" s="34">
        <v>2.0459664434680698</v>
      </c>
      <c r="G61" s="34">
        <v>2.2235914981376936</v>
      </c>
      <c r="H61" s="34">
        <v>4.2695579416057639</v>
      </c>
      <c r="I61" s="34">
        <v>32.944455661910375</v>
      </c>
      <c r="J61" s="34"/>
      <c r="K61" s="34">
        <v>2.3696769707999508</v>
      </c>
      <c r="L61" s="34">
        <v>1.8633494094935525</v>
      </c>
      <c r="M61" s="34">
        <v>-2.0843376276773218</v>
      </c>
      <c r="N61" s="34">
        <v>-2.5906651889837198</v>
      </c>
      <c r="O61" s="34">
        <v>4.4156434142680192</v>
      </c>
      <c r="P61" s="34"/>
      <c r="Q61" s="34">
        <v>3.9093158529616221</v>
      </c>
      <c r="R61" s="34">
        <v>33.572103788913942</v>
      </c>
      <c r="S61" s="34"/>
      <c r="T61" s="34">
        <v>3.0630636000515588</v>
      </c>
      <c r="U61" s="34">
        <v>3.1564955709222424</v>
      </c>
      <c r="V61" s="34">
        <v>1.9482875648305371</v>
      </c>
      <c r="W61" s="34"/>
      <c r="X61" s="34">
        <v>33.463197742885889</v>
      </c>
      <c r="Y61" s="34">
        <v>33.4</v>
      </c>
      <c r="Z61" s="34">
        <v>37.345262659601808</v>
      </c>
      <c r="AA61" s="34">
        <v>3.3529709355043726</v>
      </c>
      <c r="AB61" s="34">
        <v>3.8592984968107702</v>
      </c>
      <c r="AC61" s="35">
        <v>39.16230116834668</v>
      </c>
      <c r="AD61" s="48"/>
      <c r="AE61" s="37">
        <v>1342.153</v>
      </c>
      <c r="AF61" s="37">
        <v>1377.3340000000001</v>
      </c>
      <c r="AG61" s="41">
        <v>0.82380687378821449</v>
      </c>
    </row>
    <row r="62" spans="2:33">
      <c r="B62" s="47" t="s">
        <v>124</v>
      </c>
      <c r="C62" s="34">
        <v>36.667637232210275</v>
      </c>
      <c r="D62" s="34">
        <v>39.941075156318625</v>
      </c>
      <c r="E62" s="34">
        <v>35.81859213475304</v>
      </c>
      <c r="F62" s="34">
        <v>1.8521351619446187</v>
      </c>
      <c r="G62" s="34">
        <v>2.2703478596209723</v>
      </c>
      <c r="H62" s="34">
        <v>4.122483021565591</v>
      </c>
      <c r="I62" s="34">
        <v>33.359019244693208</v>
      </c>
      <c r="J62" s="34"/>
      <c r="K62" s="34">
        <v>1.774512948055281</v>
      </c>
      <c r="L62" s="34">
        <v>1.4213027621637362</v>
      </c>
      <c r="M62" s="34">
        <v>-1.4494327126648936</v>
      </c>
      <c r="N62" s="34">
        <v>-1.8026428985564384</v>
      </c>
      <c r="O62" s="34">
        <v>3.6266481099998997</v>
      </c>
      <c r="P62" s="34"/>
      <c r="Q62" s="34">
        <v>3.2734379241083542</v>
      </c>
      <c r="R62" s="34">
        <v>34.46238406046033</v>
      </c>
      <c r="S62" s="34"/>
      <c r="T62" s="34">
        <v>3.0343685954130559</v>
      </c>
      <c r="U62" s="34">
        <v>3.0343685954130559</v>
      </c>
      <c r="V62" s="34">
        <v>1.9795307021841957</v>
      </c>
      <c r="W62" s="34"/>
      <c r="X62" s="34">
        <v>34.311233253177605</v>
      </c>
      <c r="Y62" s="34">
        <v>32.4</v>
      </c>
      <c r="Z62" s="34">
        <v>34.945860529027826</v>
      </c>
      <c r="AA62" s="34">
        <v>3.0016560715219858</v>
      </c>
      <c r="AB62" s="34">
        <v>3.3548662574135308</v>
      </c>
      <c r="AC62" s="35">
        <v>40.520100929416394</v>
      </c>
      <c r="AD62" s="48"/>
      <c r="AE62" s="37">
        <v>1418.4169999999999</v>
      </c>
      <c r="AF62" s="37">
        <v>1455.5</v>
      </c>
      <c r="AG62" s="41">
        <v>0.37689762226780488</v>
      </c>
    </row>
    <row r="63" spans="2:33">
      <c r="B63" s="47" t="s">
        <v>125</v>
      </c>
      <c r="C63" s="34">
        <v>37.102852471480332</v>
      </c>
      <c r="D63" s="34">
        <v>39.926661306437992</v>
      </c>
      <c r="E63" s="34">
        <v>35.808592738123664</v>
      </c>
      <c r="F63" s="34">
        <v>1.8163774049540622</v>
      </c>
      <c r="G63" s="34">
        <v>2.3016911633602577</v>
      </c>
      <c r="H63" s="34">
        <v>4.1180685683143192</v>
      </c>
      <c r="I63" s="34">
        <v>33.798036003243048</v>
      </c>
      <c r="J63" s="34"/>
      <c r="K63" s="34">
        <v>1.2786671934839633</v>
      </c>
      <c r="L63" s="34">
        <v>1.0074314300035998</v>
      </c>
      <c r="M63" s="34">
        <v>-0.91855031606285586</v>
      </c>
      <c r="N63" s="34">
        <v>-1.1897860795432196</v>
      </c>
      <c r="O63" s="34">
        <v>3.0950445984380255</v>
      </c>
      <c r="P63" s="34"/>
      <c r="Q63" s="34">
        <v>2.8238088349576618</v>
      </c>
      <c r="R63" s="34">
        <v>35.253507632135033</v>
      </c>
      <c r="S63" s="34"/>
      <c r="T63" s="34">
        <v>2.519217765457475</v>
      </c>
      <c r="U63" s="34">
        <v>2.4057109984491221</v>
      </c>
      <c r="V63" s="34">
        <v>2.0484371793534755</v>
      </c>
      <c r="W63" s="34"/>
      <c r="X63" s="34">
        <v>35.122258534472579</v>
      </c>
      <c r="Y63" s="34">
        <v>32.4</v>
      </c>
      <c r="Z63" s="34">
        <v>35.138599047131557</v>
      </c>
      <c r="AA63" s="34">
        <v>2.6274091592627102</v>
      </c>
      <c r="AB63" s="34">
        <v>2.8986449227430744</v>
      </c>
      <c r="AC63" s="35">
        <v>41.582433700811769</v>
      </c>
      <c r="AD63" s="48"/>
      <c r="AE63" s="37">
        <v>1486.2550000000001</v>
      </c>
      <c r="AF63" s="37">
        <v>1523.82</v>
      </c>
      <c r="AG63" s="41">
        <v>0.39171247805360565</v>
      </c>
    </row>
    <row r="64" spans="2:33">
      <c r="B64" s="47" t="s">
        <v>126</v>
      </c>
      <c r="C64" s="34">
        <v>37.317971008198889</v>
      </c>
      <c r="D64" s="34">
        <v>40.256172157499385</v>
      </c>
      <c r="E64" s="34">
        <v>36.13207631518781</v>
      </c>
      <c r="F64" s="34">
        <v>1.792477050392701</v>
      </c>
      <c r="G64" s="34">
        <v>2.3316187919188773</v>
      </c>
      <c r="H64" s="34">
        <v>4.1240958423115783</v>
      </c>
      <c r="I64" s="34">
        <v>33.774209329029745</v>
      </c>
      <c r="J64" s="34"/>
      <c r="K64" s="34">
        <v>1.9739222500571398</v>
      </c>
      <c r="L64" s="34">
        <v>1.1457240989077944</v>
      </c>
      <c r="M64" s="34">
        <v>-1.1383158494388252</v>
      </c>
      <c r="N64" s="34">
        <v>-1.9665140005881705</v>
      </c>
      <c r="O64" s="34">
        <v>3.7663993004498408</v>
      </c>
      <c r="P64" s="34"/>
      <c r="Q64" s="34">
        <v>2.9382011493004954</v>
      </c>
      <c r="R64" s="34">
        <v>35.751404340030831</v>
      </c>
      <c r="S64" s="34"/>
      <c r="T64" s="34">
        <v>2.1243155352268648</v>
      </c>
      <c r="U64" s="34">
        <v>1.8599176662481434</v>
      </c>
      <c r="V64" s="34">
        <v>2.1204836820532607</v>
      </c>
      <c r="W64" s="34"/>
      <c r="X64" s="34">
        <v>35.619526684815547</v>
      </c>
      <c r="Y64" s="34">
        <v>34.200000000000003</v>
      </c>
      <c r="Z64" s="34">
        <v>37.4332212373264</v>
      </c>
      <c r="AA64" s="34">
        <v>2.9354549878594116</v>
      </c>
      <c r="AB64" s="34">
        <v>3.7636531390087566</v>
      </c>
      <c r="AC64" s="35">
        <v>42.273387396524001</v>
      </c>
      <c r="AD64" s="48"/>
      <c r="AE64" s="37">
        <v>1565.8219999999999</v>
      </c>
      <c r="AF64" s="37">
        <v>1592.385</v>
      </c>
      <c r="AG64" s="41">
        <v>1.4997113110772489</v>
      </c>
    </row>
    <row r="65" spans="1:71">
      <c r="B65" s="47" t="s">
        <v>127</v>
      </c>
      <c r="C65" s="34">
        <v>36.016649620746705</v>
      </c>
      <c r="D65" s="34">
        <v>43.456862030387015</v>
      </c>
      <c r="E65" s="34">
        <v>37.928993372622131</v>
      </c>
      <c r="F65" s="34">
        <v>3.0053462490658434</v>
      </c>
      <c r="G65" s="34">
        <v>2.5225224086990412</v>
      </c>
      <c r="H65" s="34">
        <v>5.527868657764885</v>
      </c>
      <c r="I65" s="34">
        <v>32.230181196339309</v>
      </c>
      <c r="J65" s="34"/>
      <c r="K65" s="34">
        <v>4.1026082798243806</v>
      </c>
      <c r="L65" s="34">
        <v>4.4348661605744608</v>
      </c>
      <c r="M65" s="34">
        <v>-5.4552839930283339</v>
      </c>
      <c r="N65" s="34">
        <v>-5.1230261122782528</v>
      </c>
      <c r="O65" s="34">
        <v>7.1079545288902253</v>
      </c>
      <c r="P65" s="34"/>
      <c r="Q65" s="34">
        <v>7.4402124096403055</v>
      </c>
      <c r="R65" s="34">
        <v>50.633741343025122</v>
      </c>
      <c r="S65" s="34"/>
      <c r="T65" s="34">
        <v>10.349410826043808</v>
      </c>
      <c r="U65" s="34">
        <v>10.986248080359879</v>
      </c>
      <c r="V65" s="34">
        <v>2.1218222098966568</v>
      </c>
      <c r="W65" s="34"/>
      <c r="X65" s="34">
        <v>50.601601098425</v>
      </c>
      <c r="Y65" s="34">
        <v>47.5</v>
      </c>
      <c r="Z65" s="34">
        <v>46.925464201552757</v>
      </c>
      <c r="AA65" s="34">
        <v>6.835529719598302</v>
      </c>
      <c r="AB65" s="34">
        <v>6.5032718388482218</v>
      </c>
      <c r="AC65" s="35">
        <v>53.532422097829468</v>
      </c>
      <c r="AD65" s="48"/>
      <c r="AE65" s="37">
        <v>1582.979</v>
      </c>
      <c r="AF65" s="37">
        <v>1555.682</v>
      </c>
      <c r="AG65" s="41">
        <v>-1.2644002859310604</v>
      </c>
    </row>
    <row r="66" spans="1:71">
      <c r="B66" s="47" t="s">
        <v>128</v>
      </c>
      <c r="C66" s="34">
        <v>36.120416588526346</v>
      </c>
      <c r="D66" s="34">
        <v>46.454463246646817</v>
      </c>
      <c r="E66" s="34">
        <v>40.769787055852561</v>
      </c>
      <c r="F66" s="34">
        <v>3.0029003974238098</v>
      </c>
      <c r="G66" s="34">
        <v>2.6817757933704467</v>
      </c>
      <c r="H66" s="34">
        <v>5.6846761907942565</v>
      </c>
      <c r="I66" s="34">
        <v>32.360240149823895</v>
      </c>
      <c r="J66" s="34"/>
      <c r="K66" s="34">
        <v>5.2415188658183745</v>
      </c>
      <c r="L66" s="34">
        <v>7.3311462606966593</v>
      </c>
      <c r="M66" s="34">
        <v>-8.2908592523705416</v>
      </c>
      <c r="N66" s="34">
        <v>-6.2012318574922549</v>
      </c>
      <c r="O66" s="34">
        <v>8.2444192632421842</v>
      </c>
      <c r="P66" s="34"/>
      <c r="Q66" s="34">
        <v>10.334046658120471</v>
      </c>
      <c r="R66" s="34">
        <v>63.932765447847316</v>
      </c>
      <c r="S66" s="34"/>
      <c r="T66" s="34">
        <v>12.754555473633102</v>
      </c>
      <c r="U66" s="34">
        <v>12.894886925604421</v>
      </c>
      <c r="V66" s="34">
        <v>1.8135833138517738</v>
      </c>
      <c r="W66" s="34"/>
      <c r="X66" s="34">
        <v>64.719804612805063</v>
      </c>
      <c r="Y66" s="34">
        <v>54.6</v>
      </c>
      <c r="Z66" s="34">
        <v>54.074312867586642</v>
      </c>
      <c r="AA66" s="34">
        <v>10.083697916800469</v>
      </c>
      <c r="AB66" s="34">
        <v>7.9940705219221826</v>
      </c>
      <c r="AC66" s="35">
        <v>70.796414708020663</v>
      </c>
      <c r="AD66" s="48"/>
      <c r="AE66" s="37">
        <v>1557.028</v>
      </c>
      <c r="AF66" s="37">
        <v>1588.231</v>
      </c>
      <c r="AG66" s="41">
        <v>-3.6734946753841484</v>
      </c>
    </row>
    <row r="67" spans="1:71">
      <c r="B67" s="47" t="s">
        <v>129</v>
      </c>
      <c r="C67" s="34">
        <v>37.010473497425707</v>
      </c>
      <c r="D67" s="34">
        <v>45.738203723623513</v>
      </c>
      <c r="E67" s="34">
        <v>40.703258278080604</v>
      </c>
      <c r="F67" s="34">
        <v>2.444614678622921</v>
      </c>
      <c r="G67" s="34">
        <v>2.5903307669199904</v>
      </c>
      <c r="H67" s="34">
        <v>5.0349454455429115</v>
      </c>
      <c r="I67" s="34">
        <v>33.220319408191187</v>
      </c>
      <c r="J67" s="34"/>
      <c r="K67" s="34">
        <v>4.3554613012941914</v>
      </c>
      <c r="L67" s="34">
        <v>6.2831155475748899</v>
      </c>
      <c r="M67" s="34">
        <v>-6.1156526231660324</v>
      </c>
      <c r="N67" s="34">
        <v>-4.1879983768853348</v>
      </c>
      <c r="O67" s="34">
        <v>6.8000759799171124</v>
      </c>
      <c r="P67" s="34"/>
      <c r="Q67" s="34">
        <v>8.72773022619781</v>
      </c>
      <c r="R67" s="34">
        <v>70.593571806718785</v>
      </c>
      <c r="S67" s="34"/>
      <c r="T67" s="34">
        <v>8.2326518300822631</v>
      </c>
      <c r="U67" s="34">
        <v>7.7430408588648758</v>
      </c>
      <c r="V67" s="34">
        <v>2.5280389821252065</v>
      </c>
      <c r="W67" s="34"/>
      <c r="X67" s="34">
        <v>70.87252587450584</v>
      </c>
      <c r="Y67" s="34">
        <v>58.9</v>
      </c>
      <c r="Z67" s="34">
        <v>49.525323268347144</v>
      </c>
      <c r="AA67" s="34">
        <v>8.7782885485706981</v>
      </c>
      <c r="AB67" s="34">
        <v>6.8506343022899996</v>
      </c>
      <c r="AC67" s="35">
        <v>76.214551582082308</v>
      </c>
      <c r="AD67" s="48"/>
      <c r="AE67" s="37">
        <v>1627.8230000000001</v>
      </c>
      <c r="AF67" s="37">
        <v>1649.0170000000001</v>
      </c>
      <c r="AG67" s="41">
        <v>-2.3859106224077351</v>
      </c>
    </row>
    <row r="68" spans="1:71">
      <c r="B68" s="47" t="s">
        <v>130</v>
      </c>
      <c r="C68" s="34">
        <v>37.325339281061218</v>
      </c>
      <c r="D68" s="34">
        <v>44.573236180736345</v>
      </c>
      <c r="E68" s="34">
        <v>40.131206207821457</v>
      </c>
      <c r="F68" s="34">
        <v>1.8421102959281492</v>
      </c>
      <c r="G68" s="34">
        <v>2.5999196769867399</v>
      </c>
      <c r="H68" s="34">
        <v>4.442029972914888</v>
      </c>
      <c r="I68" s="34">
        <v>33.459316154726984</v>
      </c>
      <c r="J68" s="34"/>
      <c r="K68" s="34">
        <v>3.6787504200252057</v>
      </c>
      <c r="L68" s="34">
        <v>5.4057866037469733</v>
      </c>
      <c r="M68" s="34">
        <v>-4.6160631683125715</v>
      </c>
      <c r="N68" s="34">
        <v>-2.889026984590803</v>
      </c>
      <c r="O68" s="34">
        <v>5.5208607159533543</v>
      </c>
      <c r="P68" s="34"/>
      <c r="Q68" s="34">
        <v>7.2478968996751227</v>
      </c>
      <c r="R68" s="34">
        <v>74.583536976734592</v>
      </c>
      <c r="S68" s="34"/>
      <c r="T68" s="34">
        <v>7.0325666788585526</v>
      </c>
      <c r="U68" s="34">
        <v>6.4429336068140692</v>
      </c>
      <c r="V68" s="34">
        <v>2.6077487802137647</v>
      </c>
      <c r="W68" s="34"/>
      <c r="X68" s="34">
        <v>74.265558846563778</v>
      </c>
      <c r="Y68" s="34">
        <v>65</v>
      </c>
      <c r="Z68" s="34">
        <v>54.641597427910234</v>
      </c>
      <c r="AA68" s="34">
        <v>7.3860716070100958</v>
      </c>
      <c r="AB68" s="34">
        <v>5.6590354232883282</v>
      </c>
      <c r="AC68" s="35">
        <v>82.123228889510443</v>
      </c>
      <c r="AD68" s="48"/>
      <c r="AE68" s="37">
        <v>1673.2439999999999</v>
      </c>
      <c r="AF68" s="37">
        <v>1698.23</v>
      </c>
      <c r="AG68" s="41">
        <v>-2.4997081184804415</v>
      </c>
    </row>
    <row r="69" spans="1:71">
      <c r="A69" s="15"/>
      <c r="B69" s="50" t="s">
        <v>131</v>
      </c>
      <c r="C69" s="34">
        <v>36.856235209428405</v>
      </c>
      <c r="D69" s="34">
        <v>44.071628821930069</v>
      </c>
      <c r="E69" s="34">
        <v>39.6006813733417</v>
      </c>
      <c r="F69" s="34">
        <v>1.8798624502199279</v>
      </c>
      <c r="G69" s="34">
        <v>2.5910849983684368</v>
      </c>
      <c r="H69" s="34">
        <v>4.4709474485883645</v>
      </c>
      <c r="I69" s="34">
        <v>32.807813421014657</v>
      </c>
      <c r="J69" s="34"/>
      <c r="K69" s="34">
        <v>3.7574270748280645</v>
      </c>
      <c r="L69" s="34">
        <v>5.3355311622817316</v>
      </c>
      <c r="M69" s="34">
        <v>-4.9146863312079541</v>
      </c>
      <c r="N69" s="34">
        <v>-3.3365822437542874</v>
      </c>
      <c r="O69" s="34">
        <v>5.6372895250479935</v>
      </c>
      <c r="P69" s="34"/>
      <c r="Q69" s="34">
        <v>7.2153936125016598</v>
      </c>
      <c r="R69" s="34">
        <v>76.201342114425628</v>
      </c>
      <c r="S69" s="34"/>
      <c r="T69" s="34">
        <v>5.5561254918598602</v>
      </c>
      <c r="U69" s="34">
        <v>5.0357639860920091</v>
      </c>
      <c r="V69" s="34">
        <v>2.2509199641345843</v>
      </c>
      <c r="W69" s="34"/>
      <c r="X69" s="34">
        <v>77.471553502551188</v>
      </c>
      <c r="Y69" s="34">
        <v>69.7</v>
      </c>
      <c r="Z69" s="34">
        <v>58.717052474473846</v>
      </c>
      <c r="AA69" s="34">
        <v>7.2337088537383094</v>
      </c>
      <c r="AB69" s="34">
        <v>5.6556047662846431</v>
      </c>
      <c r="AC69" s="35">
        <v>83.928259895591538</v>
      </c>
      <c r="AD69" s="48"/>
      <c r="AE69" s="37">
        <v>1725.3389999999999</v>
      </c>
      <c r="AF69" s="37">
        <v>1763.4860000000001</v>
      </c>
      <c r="AG69" s="41">
        <v>-2.1563249275151577</v>
      </c>
    </row>
    <row r="70" spans="1:71">
      <c r="A70" s="15"/>
      <c r="B70" s="50" t="s">
        <v>132</v>
      </c>
      <c r="C70" s="34">
        <v>36.74711852905974</v>
      </c>
      <c r="D70" s="34">
        <v>42.522921768015465</v>
      </c>
      <c r="E70" s="34">
        <v>38.52398172134869</v>
      </c>
      <c r="F70" s="34">
        <v>1.4526682606620382</v>
      </c>
      <c r="G70" s="34">
        <v>2.546271786004735</v>
      </c>
      <c r="H70" s="34">
        <v>3.9989400466667742</v>
      </c>
      <c r="I70" s="34">
        <v>32.704605086999884</v>
      </c>
      <c r="J70" s="34"/>
      <c r="K70" s="34">
        <v>3.1080228066673219</v>
      </c>
      <c r="L70" s="34">
        <v>4.3231349782936856</v>
      </c>
      <c r="M70" s="34">
        <v>-3.6396535637881797</v>
      </c>
      <c r="N70" s="34">
        <v>-2.4245413921618169</v>
      </c>
      <c r="O70" s="34">
        <v>4.5606910673293619</v>
      </c>
      <c r="P70" s="34"/>
      <c r="Q70" s="34">
        <v>5.7758032389557243</v>
      </c>
      <c r="R70" s="34">
        <v>76.9569005573059</v>
      </c>
      <c r="S70" s="34"/>
      <c r="T70" s="34">
        <v>4.3480815787095732</v>
      </c>
      <c r="U70" s="34">
        <v>3.5814448294844423</v>
      </c>
      <c r="V70" s="34">
        <v>2.1087084147100676</v>
      </c>
      <c r="W70" s="34"/>
      <c r="X70" s="34">
        <v>79.217787377962253</v>
      </c>
      <c r="Y70" s="34">
        <v>70.7</v>
      </c>
      <c r="Z70" s="34">
        <v>56.327202914321063</v>
      </c>
      <c r="AA70" s="34">
        <v>5.6164221807431085</v>
      </c>
      <c r="AB70" s="34">
        <v>4.4013100091167461</v>
      </c>
      <c r="AC70" s="35">
        <v>85.361002254618313</v>
      </c>
      <c r="AD70" s="48"/>
      <c r="AE70" s="37">
        <v>1803.8530000000001</v>
      </c>
      <c r="AF70" s="37">
        <v>1844.4090000000001</v>
      </c>
      <c r="AG70" s="41">
        <v>-1.5676943722466632</v>
      </c>
    </row>
    <row r="71" spans="1:71">
      <c r="A71" s="15"/>
      <c r="B71" s="50" t="s">
        <v>133</v>
      </c>
      <c r="C71" s="34">
        <v>36.771277015512396</v>
      </c>
      <c r="D71" s="34">
        <v>42.055791712079106</v>
      </c>
      <c r="E71" s="34">
        <v>37.617068109058103</v>
      </c>
      <c r="F71" s="34">
        <v>1.9291310032398354</v>
      </c>
      <c r="G71" s="34">
        <v>2.509592599781167</v>
      </c>
      <c r="H71" s="34">
        <v>4.4387236030210024</v>
      </c>
      <c r="I71" s="34">
        <v>32.633501901456967</v>
      </c>
      <c r="J71" s="34"/>
      <c r="K71" s="34">
        <v>2.7194564396230749</v>
      </c>
      <c r="L71" s="34">
        <v>3.3553836933268779</v>
      </c>
      <c r="M71" s="34">
        <v>-3.4268349646262881</v>
      </c>
      <c r="N71" s="34">
        <v>-2.790907710922486</v>
      </c>
      <c r="O71" s="34">
        <v>4.6485874428629117</v>
      </c>
      <c r="P71" s="34"/>
      <c r="Q71" s="34">
        <v>5.2845146965667125</v>
      </c>
      <c r="R71" s="34">
        <v>79.18540738829023</v>
      </c>
      <c r="S71" s="34"/>
      <c r="T71" s="34">
        <v>4.5078287131732688</v>
      </c>
      <c r="U71" s="34">
        <v>4.1880042913420255</v>
      </c>
      <c r="V71" s="34">
        <v>1.8355511665753086</v>
      </c>
      <c r="W71" s="34"/>
      <c r="X71" s="34">
        <v>81.624307423349421</v>
      </c>
      <c r="Y71" s="34">
        <v>72.900000000000006</v>
      </c>
      <c r="Z71" s="34">
        <v>53.461687456011759</v>
      </c>
      <c r="AA71" s="34">
        <v>5.052831283286161</v>
      </c>
      <c r="AB71" s="34">
        <v>4.4169040295823585</v>
      </c>
      <c r="AC71" s="35">
        <v>86.456518168885225</v>
      </c>
      <c r="AD71" s="48"/>
      <c r="AE71" s="51">
        <v>1875.404</v>
      </c>
      <c r="AF71" s="52">
        <v>1902.4970000000001</v>
      </c>
      <c r="AG71" s="53">
        <v>-0.64477675850893945</v>
      </c>
    </row>
    <row r="72" spans="1:71">
      <c r="A72" s="15"/>
      <c r="B72" s="50" t="s">
        <v>134</v>
      </c>
      <c r="C72" s="34">
        <v>36.972154650380418</v>
      </c>
      <c r="D72" s="34">
        <v>41.229077169918746</v>
      </c>
      <c r="E72" s="34">
        <v>37.071580145955181</v>
      </c>
      <c r="F72" s="34">
        <v>1.6691682625122926</v>
      </c>
      <c r="G72" s="34">
        <v>2.4883287614512706</v>
      </c>
      <c r="H72" s="34">
        <v>4.1574970239635629</v>
      </c>
      <c r="I72" s="34">
        <v>32.817763055742461</v>
      </c>
      <c r="J72" s="34"/>
      <c r="K72" s="34">
        <v>2.4109530506245225</v>
      </c>
      <c r="L72" s="34">
        <v>2.5877542570260337</v>
      </c>
      <c r="M72" s="34">
        <v>-2.4656073702189327</v>
      </c>
      <c r="N72" s="34">
        <v>-2.2888061638174215</v>
      </c>
      <c r="O72" s="34">
        <v>4.0801213131368153</v>
      </c>
      <c r="P72" s="34"/>
      <c r="Q72" s="34">
        <v>4.2569225195383265</v>
      </c>
      <c r="R72" s="34">
        <v>78.897719698806839</v>
      </c>
      <c r="S72" s="34"/>
      <c r="T72" s="34">
        <v>3.1441436778634646</v>
      </c>
      <c r="U72" s="34">
        <v>2.6046788468505775</v>
      </c>
      <c r="V72" s="34">
        <v>1.8048237668857721</v>
      </c>
      <c r="W72" s="34"/>
      <c r="X72" s="34">
        <v>81.327844707894386</v>
      </c>
      <c r="Y72" s="34">
        <v>74</v>
      </c>
      <c r="Z72" s="34">
        <v>51.956784446386507</v>
      </c>
      <c r="AA72" s="34">
        <v>4.3723927332953787</v>
      </c>
      <c r="AB72" s="34">
        <v>4.1955915268938675</v>
      </c>
      <c r="AC72" s="35">
        <v>86.446664251332763</v>
      </c>
      <c r="AD72" s="48"/>
      <c r="AE72" s="54">
        <v>1932.1</v>
      </c>
      <c r="AF72" s="37">
        <v>1966.9770000000001</v>
      </c>
      <c r="AG72" s="55">
        <v>-9.5691709399446268E-2</v>
      </c>
    </row>
    <row r="73" spans="1:71">
      <c r="A73" s="15"/>
      <c r="B73" s="56" t="s">
        <v>135</v>
      </c>
      <c r="C73" s="34">
        <v>37.525929862112974</v>
      </c>
      <c r="D73" s="34">
        <v>40.416665632038061</v>
      </c>
      <c r="E73" s="34">
        <v>36.14323563956188</v>
      </c>
      <c r="F73" s="34">
        <v>1.8101862083179174</v>
      </c>
      <c r="G73" s="34">
        <v>2.4632437841582635</v>
      </c>
      <c r="H73" s="34">
        <v>4.2734299924761805</v>
      </c>
      <c r="I73" s="34">
        <v>33.611607043089379</v>
      </c>
      <c r="J73" s="34"/>
      <c r="K73" s="34">
        <v>0.97196982788842445</v>
      </c>
      <c r="L73" s="34">
        <v>1.0805495616071672</v>
      </c>
      <c r="M73" s="34">
        <v>-0.92118364823289578</v>
      </c>
      <c r="N73" s="34">
        <v>-0.81260391451415293</v>
      </c>
      <c r="O73" s="34">
        <v>2.782156036206342</v>
      </c>
      <c r="P73" s="34"/>
      <c r="Q73" s="34">
        <v>2.8907357699250849</v>
      </c>
      <c r="R73" s="34">
        <v>77.424315774943082</v>
      </c>
      <c r="S73" s="34"/>
      <c r="T73" s="34">
        <v>3.3254287707867229</v>
      </c>
      <c r="U73" s="34">
        <v>4.9259412844127821</v>
      </c>
      <c r="V73" s="34">
        <v>1.8418210125620469</v>
      </c>
      <c r="W73" s="34"/>
      <c r="X73" s="34">
        <v>83.504912110836969</v>
      </c>
      <c r="Y73" s="34">
        <v>74.2</v>
      </c>
      <c r="Z73" s="34">
        <v>61.421654116626904</v>
      </c>
      <c r="AA73" s="34">
        <v>2.7220830301871519</v>
      </c>
      <c r="AB73" s="34">
        <v>2.6135032964684091</v>
      </c>
      <c r="AC73" s="35">
        <v>86.295971652831611</v>
      </c>
      <c r="AD73" s="48"/>
      <c r="AE73" s="54">
        <v>2013.605</v>
      </c>
      <c r="AF73" s="37">
        <v>2057.364</v>
      </c>
      <c r="AG73" s="46">
        <v>-0.17888278367770738</v>
      </c>
    </row>
    <row r="74" spans="1:71">
      <c r="A74" s="15"/>
      <c r="B74" s="50" t="s">
        <v>136</v>
      </c>
      <c r="C74" s="34">
        <v>37.192682703706105</v>
      </c>
      <c r="D74" s="34">
        <v>40.093662688535595</v>
      </c>
      <c r="E74" s="34">
        <v>35.484570289421427</v>
      </c>
      <c r="F74" s="34">
        <v>2.2089204920126089</v>
      </c>
      <c r="G74" s="34">
        <v>2.400171907101555</v>
      </c>
      <c r="H74" s="34">
        <v>4.6090923991141644</v>
      </c>
      <c r="I74" s="34">
        <v>33.390333941932752</v>
      </c>
      <c r="J74" s="34"/>
      <c r="K74" s="34">
        <v>0.69468172597357514</v>
      </c>
      <c r="L74" s="34">
        <v>0.69205949281687518</v>
      </c>
      <c r="M74" s="34">
        <v>-0.89036252958822359</v>
      </c>
      <c r="N74" s="34">
        <v>-0.89298476274492322</v>
      </c>
      <c r="O74" s="34">
        <v>2.903602217986184</v>
      </c>
      <c r="P74" s="34"/>
      <c r="Q74" s="34">
        <v>2.9009799848294842</v>
      </c>
      <c r="R74" s="34">
        <v>73.735588459062456</v>
      </c>
      <c r="S74" s="34"/>
      <c r="T74" s="34">
        <v>1.8398538599052414</v>
      </c>
      <c r="U74" s="34">
        <v>3.8499472081295663</v>
      </c>
      <c r="V74" s="34">
        <v>2.0883282320250349</v>
      </c>
      <c r="W74" s="34"/>
      <c r="X74" s="34">
        <v>82.275414057470584</v>
      </c>
      <c r="Y74" s="34">
        <v>70.2</v>
      </c>
      <c r="Z74" s="34">
        <v>63.019839644173928</v>
      </c>
      <c r="AA74" s="34">
        <v>2.8621484194838209</v>
      </c>
      <c r="AB74" s="34">
        <v>2.8647706526405208</v>
      </c>
      <c r="AC74" s="35">
        <v>85.005631768127429</v>
      </c>
      <c r="AD74" s="48"/>
      <c r="AE74" s="37">
        <v>2098.808</v>
      </c>
      <c r="AF74" s="37">
        <v>2135.875</v>
      </c>
      <c r="AG74" s="55">
        <v>7.6797579784496861E-2</v>
      </c>
    </row>
    <row r="75" spans="1:71">
      <c r="A75" s="15"/>
      <c r="B75" s="50" t="s">
        <v>137</v>
      </c>
      <c r="C75" s="34">
        <v>37.411492139816545</v>
      </c>
      <c r="D75" s="34">
        <v>39.481394889857135</v>
      </c>
      <c r="E75" s="34">
        <v>35.035012101613994</v>
      </c>
      <c r="F75" s="34">
        <v>2.1001280319017037</v>
      </c>
      <c r="G75" s="34">
        <v>2.3462547563414433</v>
      </c>
      <c r="H75" s="34">
        <v>4.446382788243147</v>
      </c>
      <c r="I75" s="34">
        <v>33.840492400664864</v>
      </c>
      <c r="J75" s="34"/>
      <c r="K75" s="34">
        <v>0.17486681294204587</v>
      </c>
      <c r="L75" s="34">
        <v>-3.0225281861104476E-2</v>
      </c>
      <c r="M75" s="34">
        <v>-0.43138884020026902</v>
      </c>
      <c r="N75" s="34">
        <v>-0.63648093500341929</v>
      </c>
      <c r="O75" s="34">
        <v>2.2749948448437491</v>
      </c>
      <c r="P75" s="34"/>
      <c r="Q75" s="34">
        <v>2.0699027500405993</v>
      </c>
      <c r="R75" s="34">
        <v>72.319403695903333</v>
      </c>
      <c r="S75" s="34"/>
      <c r="T75" s="34">
        <v>1.6016179036719806</v>
      </c>
      <c r="U75" s="34">
        <v>0.80715764117667899</v>
      </c>
      <c r="V75" s="34">
        <v>1.8128728417331552</v>
      </c>
      <c r="W75" s="34"/>
      <c r="X75" s="34">
        <v>80.290127102312184</v>
      </c>
      <c r="Y75" s="34">
        <v>66.900000000000006</v>
      </c>
      <c r="Z75" s="34">
        <v>58.859183434631703</v>
      </c>
      <c r="AA75" s="34">
        <v>1.8603499968026529</v>
      </c>
      <c r="AB75" s="34">
        <v>2.0654420916058029</v>
      </c>
      <c r="AC75" s="35">
        <v>84.751368303570402</v>
      </c>
      <c r="AD75" s="48"/>
      <c r="AE75" s="37">
        <v>2173.6770000000001</v>
      </c>
      <c r="AF75" s="37">
        <v>2213.0990000000002</v>
      </c>
      <c r="AG75" s="55">
        <v>0.37946515769249345</v>
      </c>
    </row>
    <row r="76" spans="1:71">
      <c r="A76" s="15"/>
      <c r="B76" s="50" t="s">
        <v>138</v>
      </c>
      <c r="C76" s="34">
        <v>36.883523300641698</v>
      </c>
      <c r="D76" s="34">
        <v>39.582420921457654</v>
      </c>
      <c r="E76" s="34">
        <v>35.344300245621653</v>
      </c>
      <c r="F76" s="34">
        <v>1.8960048723351073</v>
      </c>
      <c r="G76" s="34">
        <v>2.3421158035008993</v>
      </c>
      <c r="H76" s="34">
        <v>4.238120675836007</v>
      </c>
      <c r="I76" s="34">
        <v>33.146982257589521</v>
      </c>
      <c r="J76" s="34"/>
      <c r="K76" s="34">
        <v>1.1560289462728623</v>
      </c>
      <c r="L76" s="34">
        <v>0.80289274848084813</v>
      </c>
      <c r="M76" s="34">
        <v>-1.3216699064249686</v>
      </c>
      <c r="N76" s="34">
        <v>-1.6748061042169833</v>
      </c>
      <c r="O76" s="34">
        <v>3.0520338186079692</v>
      </c>
      <c r="P76" s="34"/>
      <c r="Q76" s="34">
        <v>2.6988976208159556</v>
      </c>
      <c r="R76" s="34">
        <v>77.133323351171356</v>
      </c>
      <c r="S76" s="34"/>
      <c r="T76" s="34">
        <v>2.4983637846852029</v>
      </c>
      <c r="U76" s="34">
        <v>0.76564629502488069</v>
      </c>
      <c r="V76" s="34">
        <v>1.7214009834667625</v>
      </c>
      <c r="W76" s="34"/>
      <c r="X76" s="34">
        <v>85.19258923043634</v>
      </c>
      <c r="Y76" s="34">
        <v>74.5</v>
      </c>
      <c r="Z76" s="34">
        <v>67.135562296904851</v>
      </c>
      <c r="AA76" s="34">
        <v>2.9442519499810427</v>
      </c>
      <c r="AB76" s="34">
        <v>3.2973881477730567</v>
      </c>
      <c r="AC76" s="35">
        <v>84.601398345918867</v>
      </c>
      <c r="AD76" s="48"/>
      <c r="AE76" s="54">
        <v>2244.509</v>
      </c>
      <c r="AF76" s="37">
        <v>2130.4670000000001</v>
      </c>
      <c r="AG76" s="55">
        <v>0.55448633250701107</v>
      </c>
    </row>
    <row r="77" spans="1:71">
      <c r="A77" s="15"/>
      <c r="B77" s="50" t="s">
        <v>139</v>
      </c>
      <c r="C77" s="34">
        <v>38.006382476677203</v>
      </c>
      <c r="D77" s="34">
        <v>53.103232291840527</v>
      </c>
      <c r="E77" s="34">
        <v>47.078487005799289</v>
      </c>
      <c r="F77" s="34">
        <v>3.4519952193772534</v>
      </c>
      <c r="G77" s="34">
        <v>2.5727500666639811</v>
      </c>
      <c r="H77" s="34">
        <v>6.0247452860412336</v>
      </c>
      <c r="I77" s="34">
        <v>34.084286292542657</v>
      </c>
      <c r="J77" s="34"/>
      <c r="K77" s="34">
        <v>11.604529571120977</v>
      </c>
      <c r="L77" s="34">
        <v>11.644854595786072</v>
      </c>
      <c r="M77" s="34">
        <v>-14.080391965023953</v>
      </c>
      <c r="N77" s="34">
        <v>-14.040066940358859</v>
      </c>
      <c r="O77" s="34">
        <v>15.05652479049823</v>
      </c>
      <c r="P77" s="34"/>
      <c r="Q77" s="34">
        <v>15.096849815163321</v>
      </c>
      <c r="R77" s="34">
        <v>86.537211314714597</v>
      </c>
      <c r="S77" s="34"/>
      <c r="T77" s="34">
        <v>16.209562780204539</v>
      </c>
      <c r="U77" s="34">
        <v>16.235077339809813</v>
      </c>
      <c r="V77" s="34">
        <v>1.2105507499937653</v>
      </c>
      <c r="W77" s="34"/>
      <c r="X77" s="34">
        <v>96.486233225877328</v>
      </c>
      <c r="Y77" s="34">
        <v>83</v>
      </c>
      <c r="Z77" s="34">
        <v>73.502871720835557</v>
      </c>
      <c r="AA77" s="34">
        <v>15.310893949596277</v>
      </c>
      <c r="AB77" s="34">
        <v>15.27056892493118</v>
      </c>
      <c r="AC77" s="35">
        <v>107.63839730197921</v>
      </c>
      <c r="AD77" s="48"/>
      <c r="AE77" s="57">
        <v>2085.0839999999998</v>
      </c>
      <c r="AF77" s="37">
        <v>2230.37</v>
      </c>
      <c r="AG77" s="55">
        <v>-0.30244458233298133</v>
      </c>
      <c r="AH77" s="58"/>
      <c r="BS77" s="15">
        <v>60</v>
      </c>
    </row>
    <row r="78" spans="1:71">
      <c r="A78" s="15"/>
      <c r="B78" s="50" t="s">
        <v>140</v>
      </c>
      <c r="C78" s="34">
        <v>38.990778688524593</v>
      </c>
      <c r="D78" s="34">
        <v>44.338377252404825</v>
      </c>
      <c r="E78" s="34">
        <v>39.696094702614822</v>
      </c>
      <c r="F78" s="34">
        <v>2.3021101476764665</v>
      </c>
      <c r="G78" s="34">
        <v>2.3401724021135348</v>
      </c>
      <c r="H78" s="34">
        <v>4.6422825497900018</v>
      </c>
      <c r="I78" s="34">
        <v>35.237095244546815</v>
      </c>
      <c r="J78" s="34"/>
      <c r="K78" s="34">
        <v>3.8891333693383068</v>
      </c>
      <c r="L78" s="34">
        <v>3.0454884162037663</v>
      </c>
      <c r="M78" s="34">
        <v>-3.1829189811678633</v>
      </c>
      <c r="N78" s="34">
        <v>-4.0265639343024029</v>
      </c>
      <c r="O78" s="34">
        <v>6.1912435170147733</v>
      </c>
      <c r="P78" s="34"/>
      <c r="Q78" s="34">
        <v>5.3475985638802328</v>
      </c>
      <c r="R78" s="34">
        <v>83.186433113912756</v>
      </c>
      <c r="S78" s="34"/>
      <c r="T78" s="34">
        <v>5.4536140089418774</v>
      </c>
      <c r="U78" s="34">
        <v>7.3307732692047143</v>
      </c>
      <c r="V78" s="34">
        <v>2.4384399132908818</v>
      </c>
      <c r="W78" s="34"/>
      <c r="X78" s="34">
        <v>96.60320712423804</v>
      </c>
      <c r="Y78" s="34">
        <v>80.5</v>
      </c>
      <c r="Z78" s="34">
        <v>67.397726004888796</v>
      </c>
      <c r="AA78" s="34">
        <v>5.9205222869529868</v>
      </c>
      <c r="AB78" s="34">
        <v>6.764167240087529</v>
      </c>
      <c r="AC78" s="35">
        <v>100.99677381113669</v>
      </c>
      <c r="AD78" s="48"/>
      <c r="AE78" s="57">
        <v>2361.92</v>
      </c>
      <c r="AF78" s="59">
        <v>2464.8249999999998</v>
      </c>
      <c r="AG78" s="60">
        <v>1.7841179210937241</v>
      </c>
      <c r="BS78" s="15">
        <v>60</v>
      </c>
    </row>
    <row r="79" spans="1:71">
      <c r="A79" s="15"/>
      <c r="B79" s="50" t="s">
        <v>141</v>
      </c>
      <c r="C79" s="61">
        <v>40.29624169637713</v>
      </c>
      <c r="D79" s="62">
        <v>45.327783811475008</v>
      </c>
      <c r="E79" s="62">
        <v>41.163566634407161</v>
      </c>
      <c r="F79" s="62">
        <v>1.7982158446499423</v>
      </c>
      <c r="G79" s="62">
        <v>2.3660013324178997</v>
      </c>
      <c r="H79" s="62">
        <v>4.164217177067842</v>
      </c>
      <c r="I79" s="62">
        <v>36.24051357229385</v>
      </c>
      <c r="J79" s="62"/>
      <c r="K79" s="62">
        <v>4.1082820966799609</v>
      </c>
      <c r="L79" s="62">
        <v>3.2333262704479346</v>
      </c>
      <c r="M79" s="62">
        <v>-1.1957295262161642</v>
      </c>
      <c r="N79" s="62">
        <v>-2.0706853524481907</v>
      </c>
      <c r="O79" s="62">
        <v>5.9064979413299028</v>
      </c>
      <c r="P79" s="62"/>
      <c r="Q79" s="62">
        <v>5.0315421150978761</v>
      </c>
      <c r="R79" s="34">
        <v>84.868662550680384</v>
      </c>
      <c r="S79" s="62"/>
      <c r="T79" s="62">
        <v>4.3614165928719171</v>
      </c>
      <c r="U79" s="62">
        <v>1.2828340943886092</v>
      </c>
      <c r="V79" s="62">
        <v>4.3687797488145517</v>
      </c>
      <c r="W79" s="62"/>
      <c r="X79" s="62">
        <v>95.7</v>
      </c>
      <c r="Y79" s="62">
        <v>81.400000000000006</v>
      </c>
      <c r="Z79" s="62">
        <v>69.62644823950005</v>
      </c>
      <c r="AA79" s="62">
        <v>5.3784329245867912</v>
      </c>
      <c r="AB79" s="62">
        <v>6.2533887508188171</v>
      </c>
      <c r="AC79" s="63">
        <v>99.424929687735613</v>
      </c>
      <c r="AD79" s="48"/>
      <c r="AE79" s="54">
        <v>2553.2530000000002</v>
      </c>
      <c r="AF79" s="37">
        <v>2653.3939999999998</v>
      </c>
      <c r="AG79" s="46">
        <v>1.0266045567831412</v>
      </c>
      <c r="BS79" s="15">
        <v>60</v>
      </c>
    </row>
    <row r="80" spans="1:71">
      <c r="A80" s="15"/>
      <c r="B80" s="64" t="s">
        <v>0</v>
      </c>
      <c r="C80" s="65">
        <v>40.306667862625503</v>
      </c>
      <c r="D80" s="66">
        <v>44.729828487739461</v>
      </c>
      <c r="E80" s="66">
        <v>39.729924066416885</v>
      </c>
      <c r="F80" s="66">
        <v>2.6051806584047479</v>
      </c>
      <c r="G80" s="66">
        <v>2.3947237629178257</v>
      </c>
      <c r="H80" s="66">
        <v>4.9999044213225732</v>
      </c>
      <c r="I80" s="66">
        <v>36.057313386308429</v>
      </c>
      <c r="J80" s="66"/>
      <c r="K80" s="66">
        <v>1.9153046581696032</v>
      </c>
      <c r="L80" s="66">
        <v>1.8179799667092114</v>
      </c>
      <c r="M80" s="66">
        <v>-1.425041319397472</v>
      </c>
      <c r="N80" s="66">
        <v>-1.5223660108578643</v>
      </c>
      <c r="O80" s="66">
        <v>4.5204853165743515</v>
      </c>
      <c r="P80" s="66"/>
      <c r="Q80" s="67">
        <v>4.4231606251139599</v>
      </c>
      <c r="R80" s="67">
        <v>89.3</v>
      </c>
      <c r="S80" s="67"/>
      <c r="T80" s="67">
        <v>5.8406291723768797</v>
      </c>
      <c r="U80" s="67">
        <v>1.1233435479981413</v>
      </c>
      <c r="V80" s="67">
        <v>3.7556538463800679</v>
      </c>
      <c r="W80" s="67"/>
      <c r="X80" s="67">
        <v>98.1</v>
      </c>
      <c r="Y80" s="67">
        <v>83.2</v>
      </c>
      <c r="Z80" s="67">
        <v>71.448627196103914</v>
      </c>
      <c r="AA80" s="67">
        <v>5.3853070575295412</v>
      </c>
      <c r="AB80" s="67">
        <v>5.4826317489899328</v>
      </c>
      <c r="AC80" s="68">
        <v>100.58571348747478</v>
      </c>
      <c r="AD80" s="48"/>
      <c r="AE80" s="69">
        <v>2720.2719999999999</v>
      </c>
      <c r="AF80" s="70">
        <v>2757.1296969999999</v>
      </c>
      <c r="AG80" s="71">
        <v>-0.21599243979247262</v>
      </c>
      <c r="BS80" s="15">
        <v>60</v>
      </c>
    </row>
    <row r="81" spans="1:71">
      <c r="B81" s="72" t="s">
        <v>1</v>
      </c>
      <c r="C81" s="73">
        <v>40.893017256342048</v>
      </c>
      <c r="D81" s="74">
        <v>44.024340577227356</v>
      </c>
      <c r="E81" s="74">
        <v>39.143595052586363</v>
      </c>
      <c r="F81" s="74">
        <v>2.3896524150155525</v>
      </c>
      <c r="G81" s="74">
        <v>2.4910931096254343</v>
      </c>
      <c r="H81" s="74">
        <v>4.8807455246409868</v>
      </c>
      <c r="I81" s="74">
        <v>36.477369412950637</v>
      </c>
      <c r="J81" s="74"/>
      <c r="K81" s="74">
        <v>0.31926811027442276</v>
      </c>
      <c r="L81" s="74">
        <v>0.74167090586975737</v>
      </c>
      <c r="M81" s="74">
        <v>-0.80321853747731076</v>
      </c>
      <c r="N81" s="74">
        <v>-0.38081574188197603</v>
      </c>
      <c r="O81" s="74">
        <v>2.7089205252899746</v>
      </c>
      <c r="P81" s="74"/>
      <c r="Q81" s="74">
        <v>3.1313233208853091</v>
      </c>
      <c r="R81" s="74">
        <v>91.690627283912079</v>
      </c>
      <c r="S81" s="74"/>
      <c r="T81" s="74">
        <v>5.1213830022386917</v>
      </c>
      <c r="U81" s="74">
        <v>4.0636212127586955</v>
      </c>
      <c r="V81" s="74">
        <v>3.1933991584677384</v>
      </c>
      <c r="W81" s="74"/>
      <c r="X81" s="74">
        <v>98.777579475392969</v>
      </c>
      <c r="Y81" s="74">
        <v>83.564071277616264</v>
      </c>
      <c r="Z81" s="74">
        <v>70.24924369836431</v>
      </c>
      <c r="AA81" s="74">
        <v>3.9383121447164791</v>
      </c>
      <c r="AB81" s="74">
        <v>3.5159093491211442</v>
      </c>
      <c r="AC81" s="75">
        <v>102.50771702044274</v>
      </c>
      <c r="AD81" s="48"/>
      <c r="AE81" s="76">
        <v>2785.6140260000002</v>
      </c>
      <c r="AF81" s="77">
        <v>2827.4832340000003</v>
      </c>
      <c r="AG81" s="78">
        <v>-0.7584086152736802</v>
      </c>
      <c r="BS81" s="15">
        <v>60</v>
      </c>
    </row>
    <row r="82" spans="1:71">
      <c r="B82" s="72" t="s">
        <v>2</v>
      </c>
      <c r="C82" s="73">
        <v>40.839990083024489</v>
      </c>
      <c r="D82" s="74">
        <v>43.534969420920099</v>
      </c>
      <c r="E82" s="74">
        <v>38.941680989340249</v>
      </c>
      <c r="F82" s="74">
        <v>2.1199635329498867</v>
      </c>
      <c r="G82" s="74">
        <v>2.4733248986299596</v>
      </c>
      <c r="H82" s="74">
        <v>4.5932884315798468</v>
      </c>
      <c r="I82" s="74">
        <v>36.679998193564593</v>
      </c>
      <c r="J82" s="74"/>
      <c r="K82" s="74">
        <v>0.15728435360537854</v>
      </c>
      <c r="L82" s="74">
        <v>0.57501580494573012</v>
      </c>
      <c r="M82" s="74">
        <v>-0.22541386165626517</v>
      </c>
      <c r="N82" s="74">
        <v>0.19231758968408649</v>
      </c>
      <c r="O82" s="74">
        <v>2.2772478865552648</v>
      </c>
      <c r="P82" s="74"/>
      <c r="Q82" s="74">
        <v>2.6949793378956164</v>
      </c>
      <c r="R82" s="74">
        <v>92.763531041871346</v>
      </c>
      <c r="S82" s="74"/>
      <c r="T82" s="74">
        <v>3.9296679842443427</v>
      </c>
      <c r="U82" s="74">
        <v>0.89539796468368926</v>
      </c>
      <c r="V82" s="74">
        <v>3.091709891522167</v>
      </c>
      <c r="W82" s="74"/>
      <c r="X82" s="74">
        <v>96.357306720094442</v>
      </c>
      <c r="Y82" s="74">
        <v>83.171161821328127</v>
      </c>
      <c r="Z82" s="74">
        <v>69.481721782745211</v>
      </c>
      <c r="AA82" s="74">
        <v>3.121112860074267</v>
      </c>
      <c r="AB82" s="74">
        <v>2.7033814087339159</v>
      </c>
      <c r="AC82" s="75">
        <v>103.63285271553117</v>
      </c>
      <c r="AD82" s="79"/>
      <c r="AE82" s="76">
        <v>2875.0615680000001</v>
      </c>
      <c r="AF82" s="77">
        <v>2926.6497380000001</v>
      </c>
      <c r="AG82" s="78">
        <v>-0.53209945657123114</v>
      </c>
      <c r="BS82" s="15">
        <v>60</v>
      </c>
    </row>
    <row r="83" spans="1:71">
      <c r="B83" s="72" t="s">
        <v>3</v>
      </c>
      <c r="C83" s="73">
        <v>40.926670665910116</v>
      </c>
      <c r="D83" s="74">
        <v>43.226989038419582</v>
      </c>
      <c r="E83" s="74">
        <v>38.796496776432612</v>
      </c>
      <c r="F83" s="74">
        <v>1.9804927853407679</v>
      </c>
      <c r="G83" s="74">
        <v>2.4499994766462017</v>
      </c>
      <c r="H83" s="74">
        <v>4.4304922619869691</v>
      </c>
      <c r="I83" s="74">
        <v>36.861182880351663</v>
      </c>
      <c r="J83" s="74"/>
      <c r="K83" s="74">
        <v>0.12373944763200742</v>
      </c>
      <c r="L83" s="74">
        <v>0.31982558716869652</v>
      </c>
      <c r="M83" s="74">
        <v>0.37482924888523217</v>
      </c>
      <c r="N83" s="74">
        <v>0.57091538842192124</v>
      </c>
      <c r="O83" s="74">
        <v>2.1042322329727763</v>
      </c>
      <c r="P83" s="74"/>
      <c r="Q83" s="74">
        <v>2.3003183725094649</v>
      </c>
      <c r="R83" s="74">
        <v>93.161001763025126</v>
      </c>
      <c r="S83" s="74"/>
      <c r="T83" s="74">
        <v>3.2799007409156906</v>
      </c>
      <c r="U83" s="74">
        <v>2.4729648404618514</v>
      </c>
      <c r="V83" s="74">
        <v>3.2231028983910552</v>
      </c>
      <c r="W83" s="74"/>
      <c r="X83" s="74">
        <v>95.479821529204358</v>
      </c>
      <c r="Y83" s="74">
        <v>82.127309142783844</v>
      </c>
      <c r="Z83" s="74">
        <v>67.879920957104716</v>
      </c>
      <c r="AA83" s="74">
        <v>2.9145200613591289</v>
      </c>
      <c r="AB83" s="74">
        <v>2.7184339218224394</v>
      </c>
      <c r="AC83" s="75">
        <v>103.80085425992525</v>
      </c>
      <c r="AD83" s="79"/>
      <c r="AE83" s="76">
        <v>2984.8320960000001</v>
      </c>
      <c r="AF83" s="77">
        <v>3040.2162050000002</v>
      </c>
      <c r="AG83" s="78">
        <v>-0.17933249644488569</v>
      </c>
    </row>
    <row r="84" spans="1:71">
      <c r="B84" s="72" t="s">
        <v>4</v>
      </c>
      <c r="C84" s="73">
        <v>41.121457115861084</v>
      </c>
      <c r="D84" s="74">
        <v>42.755398251061678</v>
      </c>
      <c r="E84" s="74">
        <v>38.497964345866883</v>
      </c>
      <c r="F84" s="74">
        <v>1.8204392784787071</v>
      </c>
      <c r="G84" s="74">
        <v>2.4369946267160745</v>
      </c>
      <c r="H84" s="74">
        <v>4.257433905194782</v>
      </c>
      <c r="I84" s="74">
        <v>37.029353998644609</v>
      </c>
      <c r="J84" s="74"/>
      <c r="K84" s="74">
        <v>-0.24673503672184294</v>
      </c>
      <c r="L84" s="74">
        <v>-0.18649814327812209</v>
      </c>
      <c r="M84" s="74">
        <v>1.1142813395246436</v>
      </c>
      <c r="N84" s="74">
        <v>1.1745182329683646</v>
      </c>
      <c r="O84" s="74">
        <v>1.5737042417568639</v>
      </c>
      <c r="P84" s="74"/>
      <c r="Q84" s="74">
        <v>1.6339411352005846</v>
      </c>
      <c r="R84" s="74">
        <v>93.192661565826455</v>
      </c>
      <c r="S84" s="74"/>
      <c r="T84" s="74">
        <v>3.1352605940579132</v>
      </c>
      <c r="U84" s="74">
        <v>3.1540234410025105</v>
      </c>
      <c r="V84" s="74">
        <v>3.3299182980022852</v>
      </c>
      <c r="W84" s="74"/>
      <c r="X84" s="74">
        <v>95.061624897069535</v>
      </c>
      <c r="Y84" s="74">
        <v>80.610489515476331</v>
      </c>
      <c r="Z84" s="74">
        <v>65.961559354474147</v>
      </c>
      <c r="AA84" s="74">
        <v>2.2836190115266874</v>
      </c>
      <c r="AB84" s="74">
        <v>2.2233821180829665</v>
      </c>
      <c r="AC84" s="75">
        <v>103.52664529888709</v>
      </c>
      <c r="AD84" s="79"/>
      <c r="AE84" s="76">
        <v>3094.4904059999999</v>
      </c>
      <c r="AF84" s="77">
        <v>3150.5576609999998</v>
      </c>
      <c r="AG84" s="78">
        <v>-4.8740788309487471E-2</v>
      </c>
    </row>
    <row r="85" spans="1:71">
      <c r="B85" s="80" t="s">
        <v>5</v>
      </c>
      <c r="C85" s="81">
        <v>41.223728273165101</v>
      </c>
      <c r="D85" s="82">
        <v>42.453192353273415</v>
      </c>
      <c r="E85" s="82">
        <v>38.38266405947298</v>
      </c>
      <c r="F85" s="82">
        <v>1.6542068330308228</v>
      </c>
      <c r="G85" s="82">
        <v>2.4163214607696153</v>
      </c>
      <c r="H85" s="82">
        <v>4.0705282938004386</v>
      </c>
      <c r="I85" s="82">
        <v>37.137295768515038</v>
      </c>
      <c r="J85" s="82"/>
      <c r="K85" s="82">
        <v>-0.43654580034515483</v>
      </c>
      <c r="L85" s="82">
        <v>-0.42474275292250757</v>
      </c>
      <c r="M85" s="82">
        <v>1.594986875442878</v>
      </c>
      <c r="N85" s="82">
        <v>1.6067899228655251</v>
      </c>
      <c r="O85" s="82">
        <v>1.2176610326856681</v>
      </c>
      <c r="P85" s="82"/>
      <c r="Q85" s="82">
        <v>1.2294640801083154</v>
      </c>
      <c r="R85" s="82">
        <v>92.918594679221826</v>
      </c>
      <c r="S85" s="82"/>
      <c r="T85" s="82">
        <v>3.0299654207968474</v>
      </c>
      <c r="U85" s="82">
        <v>3.0235767015179755</v>
      </c>
      <c r="V85" s="82">
        <v>3.4181320566545494</v>
      </c>
      <c r="W85" s="82"/>
      <c r="X85" s="82">
        <v>94.298719514612415</v>
      </c>
      <c r="Y85" s="82">
        <v>78.712156857643805</v>
      </c>
      <c r="Z85" s="82">
        <v>63.915276523706687</v>
      </c>
      <c r="AA85" s="82">
        <v>1.946879004183836</v>
      </c>
      <c r="AB85" s="82">
        <v>1.9350759567611886</v>
      </c>
      <c r="AC85" s="83">
        <v>102.98249743267553</v>
      </c>
      <c r="AD85" s="79"/>
      <c r="AE85" s="84">
        <v>3207.4755620000001</v>
      </c>
      <c r="AF85" s="85">
        <v>3264.2523614976558</v>
      </c>
      <c r="AG85" s="86">
        <v>-4.1097795214994903E-3</v>
      </c>
    </row>
    <row r="86" spans="1:71" s="25" customFormat="1">
      <c r="A86" s="87"/>
      <c r="B86" s="88" t="s">
        <v>142</v>
      </c>
      <c r="C86" s="209" t="s">
        <v>143</v>
      </c>
      <c r="D86" s="209"/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  <c r="AA86" s="209"/>
      <c r="AB86" s="209"/>
      <c r="AC86" s="89"/>
      <c r="AD86" s="63"/>
      <c r="AE86" s="90"/>
      <c r="AF86" s="90"/>
      <c r="AG86" s="91"/>
    </row>
    <row r="87" spans="1:71" s="25" customFormat="1">
      <c r="A87" s="87"/>
      <c r="B87" s="88"/>
      <c r="C87" s="92" t="s">
        <v>144</v>
      </c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3"/>
      <c r="AD87" s="94"/>
      <c r="AE87" s="90"/>
      <c r="AF87" s="90"/>
      <c r="AG87" s="93"/>
    </row>
    <row r="88" spans="1:71" s="25" customFormat="1">
      <c r="A88" s="87"/>
      <c r="B88" s="88"/>
      <c r="C88" s="210" t="s">
        <v>145</v>
      </c>
      <c r="D88" s="210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95"/>
      <c r="AD88" s="63"/>
      <c r="AE88" s="90"/>
      <c r="AF88" s="90"/>
      <c r="AG88" s="93"/>
    </row>
    <row r="89" spans="1:71" s="25" customFormat="1">
      <c r="A89" s="87"/>
      <c r="B89" s="88"/>
      <c r="C89" s="211" t="s">
        <v>146</v>
      </c>
      <c r="D89" s="211"/>
      <c r="E89" s="211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  <c r="X89" s="211"/>
      <c r="Y89" s="211"/>
      <c r="Z89" s="211"/>
      <c r="AA89" s="211"/>
      <c r="AB89" s="211"/>
      <c r="AC89" s="96"/>
      <c r="AD89" s="63"/>
      <c r="AE89" s="90"/>
      <c r="AF89" s="90"/>
      <c r="AG89" s="93"/>
    </row>
    <row r="90" spans="1:71" s="25" customFormat="1">
      <c r="A90" s="87"/>
      <c r="B90" s="88"/>
      <c r="C90" s="97" t="s">
        <v>147</v>
      </c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3"/>
      <c r="AD90" s="48"/>
      <c r="AE90" s="90"/>
      <c r="AF90" s="90"/>
      <c r="AG90" s="93"/>
    </row>
    <row r="91" spans="1:71" s="25" customFormat="1" ht="16.5" thickBot="1">
      <c r="A91" s="87"/>
      <c r="B91" s="98"/>
      <c r="C91" s="99" t="s">
        <v>148</v>
      </c>
      <c r="D91" s="100"/>
      <c r="E91" s="100"/>
      <c r="F91" s="100"/>
      <c r="G91" s="100"/>
      <c r="H91" s="100"/>
      <c r="I91" s="100"/>
      <c r="J91" s="100"/>
      <c r="K91" s="100"/>
      <c r="L91" s="101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2"/>
      <c r="AD91" s="48"/>
      <c r="AE91" s="100"/>
      <c r="AF91" s="100"/>
      <c r="AG91" s="102"/>
    </row>
    <row r="92" spans="1:71">
      <c r="AD92" s="103"/>
    </row>
    <row r="93" spans="1:71">
      <c r="AG93" s="49"/>
      <c r="AH93" s="49"/>
      <c r="AI93" s="49"/>
    </row>
    <row r="94" spans="1:71"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</row>
    <row r="95" spans="1:71"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</row>
    <row r="96" spans="1:71">
      <c r="B96" s="104"/>
    </row>
    <row r="97" spans="2:2">
      <c r="B97" s="104"/>
    </row>
    <row r="98" spans="2:2">
      <c r="B98" s="104"/>
    </row>
    <row r="99" spans="2:2">
      <c r="B99" s="104"/>
    </row>
    <row r="100" spans="2:2">
      <c r="B100" s="104"/>
    </row>
    <row r="101" spans="2:2">
      <c r="B101" s="104"/>
    </row>
  </sheetData>
  <mergeCells count="10">
    <mergeCell ref="AE3:AG3"/>
    <mergeCell ref="C86:AB86"/>
    <mergeCell ref="C88:AB88"/>
    <mergeCell ref="C89:AB89"/>
    <mergeCell ref="C1:AC1"/>
    <mergeCell ref="C3:I3"/>
    <mergeCell ref="K3:O3"/>
    <mergeCell ref="Q3:R3"/>
    <mergeCell ref="T3:V3"/>
    <mergeCell ref="X3:AC3"/>
  </mergeCells>
  <pageMargins left="0.74803149606299213" right="0.74803149606299213" top="0.98425196850393704" bottom="0.98425196850393704" header="0.51181102362204722" footer="0.51181102362204722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D470-D8FB-4D94-8F03-2265268CE0CE}">
  <sheetPr>
    <tabColor theme="5"/>
    <pageSetUpPr fitToPage="1"/>
  </sheetPr>
  <dimension ref="A1:BS102"/>
  <sheetViews>
    <sheetView zoomScaleNormal="100" workbookViewId="0">
      <pane xSplit="2" ySplit="4" topLeftCell="K68" activePane="bottomRight" state="frozen"/>
      <selection sqref="A1:XFD1048576"/>
      <selection pane="topRight" sqref="A1:XFD1048576"/>
      <selection pane="bottomLeft" sqref="A1:XFD1048576"/>
      <selection pane="bottomRight" activeCell="M84" sqref="M84"/>
    </sheetView>
  </sheetViews>
  <sheetFormatPr defaultColWidth="9.140625" defaultRowHeight="15.75"/>
  <cols>
    <col min="1" max="1" width="9.140625" style="49"/>
    <col min="2" max="2" width="8.5703125" style="49" bestFit="1" customWidth="1"/>
    <col min="3" max="3" width="12.85546875" style="49" customWidth="1"/>
    <col min="4" max="4" width="13.42578125" style="49" customWidth="1"/>
    <col min="5" max="5" width="13.5703125" style="49" customWidth="1"/>
    <col min="6" max="6" width="12.85546875" style="49" customWidth="1"/>
    <col min="7" max="7" width="13.5703125" style="49" bestFit="1" customWidth="1"/>
    <col min="8" max="9" width="12.85546875" style="49" customWidth="1"/>
    <col min="10" max="10" width="2.42578125" style="49" customWidth="1"/>
    <col min="11" max="15" width="12.85546875" style="49" customWidth="1"/>
    <col min="16" max="16" width="2.140625" style="49" customWidth="1"/>
    <col min="17" max="18" width="12.85546875" style="49" customWidth="1"/>
    <col min="19" max="19" width="2.140625" style="49" customWidth="1"/>
    <col min="20" max="20" width="15.85546875" style="49" customWidth="1"/>
    <col min="21" max="21" width="15.85546875" style="49" bestFit="1" customWidth="1"/>
    <col min="22" max="22" width="15.85546875" style="49" customWidth="1"/>
    <col min="23" max="23" width="2.5703125" style="49" customWidth="1"/>
    <col min="24" max="24" width="15.85546875" style="49" bestFit="1" customWidth="1"/>
    <col min="25" max="26" width="15.85546875" style="49" customWidth="1"/>
    <col min="27" max="27" width="15.85546875" style="49" bestFit="1" customWidth="1"/>
    <col min="28" max="29" width="15.85546875" style="49" customWidth="1"/>
    <col min="30" max="30" width="10.85546875" style="49" customWidth="1"/>
    <col min="31" max="32" width="14.140625" style="49" customWidth="1"/>
    <col min="33" max="33" width="10.85546875" style="15" customWidth="1"/>
    <col min="34" max="70" width="9.140625" style="15"/>
    <col min="71" max="71" width="0" style="15" hidden="1" customWidth="1"/>
    <col min="72" max="16384" width="9.140625" style="15"/>
  </cols>
  <sheetData>
    <row r="1" spans="1:71" ht="29.25" customHeight="1" thickBot="1">
      <c r="A1" s="9"/>
      <c r="B1" s="10"/>
      <c r="C1" s="212" t="s">
        <v>34</v>
      </c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3"/>
      <c r="AD1" s="11"/>
      <c r="AE1" s="12"/>
      <c r="AF1" s="13"/>
      <c r="AG1" s="14"/>
    </row>
    <row r="2" spans="1:71" s="25" customFormat="1" ht="15.75" customHeight="1">
      <c r="A2" s="16"/>
      <c r="B2" s="17"/>
      <c r="C2" s="18"/>
      <c r="D2" s="18"/>
      <c r="E2" s="18"/>
      <c r="F2" s="18"/>
      <c r="G2" s="18"/>
      <c r="H2" s="18"/>
      <c r="I2" s="19"/>
      <c r="J2" s="20"/>
      <c r="K2" s="18"/>
      <c r="L2" s="18"/>
      <c r="M2" s="18"/>
      <c r="N2" s="18"/>
      <c r="O2" s="18"/>
      <c r="P2" s="20"/>
      <c r="Q2" s="20"/>
      <c r="R2" s="22"/>
      <c r="S2" s="20"/>
      <c r="T2" s="22"/>
      <c r="U2" s="22"/>
      <c r="V2" s="22"/>
      <c r="W2" s="20"/>
      <c r="X2" s="22"/>
      <c r="Y2" s="22"/>
      <c r="Z2" s="22"/>
      <c r="AA2" s="22"/>
      <c r="AB2" s="22"/>
      <c r="AC2" s="22"/>
      <c r="AD2" s="11"/>
      <c r="AE2" s="23"/>
      <c r="AF2" s="20"/>
      <c r="AG2" s="24"/>
    </row>
    <row r="3" spans="1:71" s="25" customFormat="1" ht="15.75" customHeight="1">
      <c r="A3" s="16"/>
      <c r="B3" s="17"/>
      <c r="C3" s="214" t="s">
        <v>35</v>
      </c>
      <c r="D3" s="214"/>
      <c r="E3" s="214"/>
      <c r="F3" s="214"/>
      <c r="G3" s="214"/>
      <c r="H3" s="214"/>
      <c r="I3" s="214"/>
      <c r="J3" s="20"/>
      <c r="K3" s="215" t="s">
        <v>36</v>
      </c>
      <c r="L3" s="215"/>
      <c r="M3" s="215"/>
      <c r="N3" s="215"/>
      <c r="O3" s="197"/>
      <c r="P3" s="20"/>
      <c r="Q3" s="216" t="s">
        <v>37</v>
      </c>
      <c r="R3" s="216"/>
      <c r="S3" s="20"/>
      <c r="T3" s="216" t="s">
        <v>38</v>
      </c>
      <c r="U3" s="216"/>
      <c r="V3" s="216"/>
      <c r="W3" s="20"/>
      <c r="X3" s="215" t="s">
        <v>39</v>
      </c>
      <c r="Y3" s="215"/>
      <c r="Z3" s="215"/>
      <c r="AA3" s="215"/>
      <c r="AB3" s="215"/>
      <c r="AC3" s="217"/>
      <c r="AD3" s="11"/>
      <c r="AE3" s="206" t="s">
        <v>40</v>
      </c>
      <c r="AF3" s="207"/>
      <c r="AG3" s="208"/>
    </row>
    <row r="4" spans="1:71" s="32" customFormat="1" ht="57.75" customHeight="1">
      <c r="A4" s="16"/>
      <c r="B4" s="26"/>
      <c r="C4" s="27" t="s">
        <v>41</v>
      </c>
      <c r="D4" s="27" t="s">
        <v>42</v>
      </c>
      <c r="E4" s="27" t="s">
        <v>43</v>
      </c>
      <c r="F4" s="27" t="s">
        <v>44</v>
      </c>
      <c r="G4" s="27" t="s">
        <v>45</v>
      </c>
      <c r="H4" s="27" t="s">
        <v>46</v>
      </c>
      <c r="I4" s="27" t="s">
        <v>47</v>
      </c>
      <c r="J4" s="27"/>
      <c r="K4" s="27" t="s">
        <v>48</v>
      </c>
      <c r="L4" s="27" t="s">
        <v>50</v>
      </c>
      <c r="M4" s="27" t="s">
        <v>51</v>
      </c>
      <c r="N4" s="27" t="s">
        <v>52</v>
      </c>
      <c r="O4" s="27" t="s">
        <v>53</v>
      </c>
      <c r="P4" s="27"/>
      <c r="Q4" s="27" t="s">
        <v>49</v>
      </c>
      <c r="R4" s="27" t="s">
        <v>26</v>
      </c>
      <c r="S4" s="27"/>
      <c r="T4" s="27" t="s">
        <v>55</v>
      </c>
      <c r="U4" s="27" t="s">
        <v>56</v>
      </c>
      <c r="V4" s="27" t="s">
        <v>57</v>
      </c>
      <c r="W4" s="27"/>
      <c r="X4" s="27" t="s">
        <v>58</v>
      </c>
      <c r="Y4" s="27" t="s">
        <v>54</v>
      </c>
      <c r="Z4" s="27" t="s">
        <v>27</v>
      </c>
      <c r="AA4" s="27" t="s">
        <v>59</v>
      </c>
      <c r="AB4" s="28" t="s">
        <v>60</v>
      </c>
      <c r="AC4" s="28" t="s">
        <v>61</v>
      </c>
      <c r="AD4" s="29"/>
      <c r="AE4" s="30" t="s">
        <v>62</v>
      </c>
      <c r="AF4" s="28" t="s">
        <v>63</v>
      </c>
      <c r="AG4" s="31" t="s">
        <v>64</v>
      </c>
      <c r="BS4" s="32" t="s">
        <v>65</v>
      </c>
    </row>
    <row r="5" spans="1:71" s="40" customFormat="1">
      <c r="A5" s="16"/>
      <c r="B5" s="33" t="s">
        <v>66</v>
      </c>
      <c r="C5" s="34">
        <v>42.940919037199123</v>
      </c>
      <c r="D5" s="34">
        <v>38.599562363238512</v>
      </c>
      <c r="E5" s="34">
        <v>33.23413566739606</v>
      </c>
      <c r="F5" s="34">
        <v>2.634573304157549</v>
      </c>
      <c r="G5" s="34">
        <v>2.7308533916849012</v>
      </c>
      <c r="H5" s="34">
        <v>5.3654266958424506</v>
      </c>
      <c r="I5" s="34">
        <v>37.207877461706786</v>
      </c>
      <c r="J5" s="34"/>
      <c r="K5" s="34" t="s">
        <v>67</v>
      </c>
      <c r="L5" s="34">
        <v>7.6936542669584247</v>
      </c>
      <c r="M5" s="34" t="s">
        <v>67</v>
      </c>
      <c r="N5" s="34" t="s">
        <v>67</v>
      </c>
      <c r="O5" s="34">
        <v>-4.3413566739606129</v>
      </c>
      <c r="P5" s="34"/>
      <c r="Q5" s="34">
        <v>-6.9759299781181614</v>
      </c>
      <c r="R5" s="34"/>
      <c r="S5" s="34"/>
      <c r="T5" s="34">
        <v>-5.9256017505470462</v>
      </c>
      <c r="U5" s="34">
        <v>-4.3413566739606129</v>
      </c>
      <c r="V5" s="34">
        <v>4.5514223194748356</v>
      </c>
      <c r="W5" s="34"/>
      <c r="X5" s="34" t="s">
        <v>67</v>
      </c>
      <c r="Y5" s="34"/>
      <c r="Z5" s="34"/>
      <c r="AA5" s="34">
        <v>-3.7986870897155356</v>
      </c>
      <c r="AB5" s="34" t="s">
        <v>67</v>
      </c>
      <c r="AC5" s="35" t="s">
        <v>67</v>
      </c>
      <c r="AD5" s="36"/>
      <c r="AE5" s="37">
        <v>11.425000000000001</v>
      </c>
      <c r="AF5" s="38" t="s">
        <v>67</v>
      </c>
      <c r="AG5" s="39" t="s">
        <v>67</v>
      </c>
    </row>
    <row r="6" spans="1:71" s="40" customFormat="1">
      <c r="A6" s="16"/>
      <c r="B6" s="33" t="s">
        <v>68</v>
      </c>
      <c r="C6" s="34">
        <v>43.298545484427642</v>
      </c>
      <c r="D6" s="34">
        <v>38.474813049552139</v>
      </c>
      <c r="E6" s="34">
        <v>32.78001479168379</v>
      </c>
      <c r="F6" s="34">
        <v>2.9912071657490342</v>
      </c>
      <c r="G6" s="34">
        <v>2.7035910921193196</v>
      </c>
      <c r="H6" s="34">
        <v>5.6947982578683529</v>
      </c>
      <c r="I6" s="34">
        <v>36.929903854055382</v>
      </c>
      <c r="J6" s="34"/>
      <c r="K6" s="34" t="s">
        <v>67</v>
      </c>
      <c r="L6" s="34">
        <v>7.8724628153504801</v>
      </c>
      <c r="M6" s="34" t="s">
        <v>67</v>
      </c>
      <c r="N6" s="34" t="s">
        <v>67</v>
      </c>
      <c r="O6" s="34">
        <v>-4.8237324348755033</v>
      </c>
      <c r="P6" s="34"/>
      <c r="Q6" s="34">
        <v>-7.8149396006245375</v>
      </c>
      <c r="R6" s="34"/>
      <c r="S6" s="34"/>
      <c r="T6" s="34">
        <v>-6.5247760703426732</v>
      </c>
      <c r="U6" s="34">
        <v>-4.8237324348755033</v>
      </c>
      <c r="V6" s="34">
        <v>4.2649354918234854</v>
      </c>
      <c r="W6" s="34"/>
      <c r="X6" s="34" t="s">
        <v>67</v>
      </c>
      <c r="Y6" s="34"/>
      <c r="Z6" s="34"/>
      <c r="AA6" s="34">
        <v>-4.2320650834086617</v>
      </c>
      <c r="AB6" s="34" t="s">
        <v>67</v>
      </c>
      <c r="AC6" s="35" t="s">
        <v>67</v>
      </c>
      <c r="AD6" s="36"/>
      <c r="AE6" s="37">
        <v>12.169</v>
      </c>
      <c r="AF6" s="37" t="s">
        <v>67</v>
      </c>
      <c r="AG6" s="41" t="s">
        <v>67</v>
      </c>
    </row>
    <row r="7" spans="1:71" s="40" customFormat="1">
      <c r="A7" s="42"/>
      <c r="B7" s="33" t="s">
        <v>69</v>
      </c>
      <c r="C7" s="34">
        <v>42.8414442700157</v>
      </c>
      <c r="D7" s="34">
        <v>39.183673469387756</v>
      </c>
      <c r="E7" s="34">
        <v>32.629513343799061</v>
      </c>
      <c r="F7" s="34">
        <v>3.7598116169544742</v>
      </c>
      <c r="G7" s="34">
        <v>2.794348508634223</v>
      </c>
      <c r="H7" s="34">
        <v>6.5541601255886972</v>
      </c>
      <c r="I7" s="34">
        <v>36.07535321821036</v>
      </c>
      <c r="J7" s="34"/>
      <c r="K7" s="34" t="s">
        <v>67</v>
      </c>
      <c r="L7" s="34">
        <v>6.4678178963893247</v>
      </c>
      <c r="M7" s="34" t="s">
        <v>67</v>
      </c>
      <c r="N7" s="34" t="s">
        <v>67</v>
      </c>
      <c r="O7" s="34">
        <v>-3.6577708006279437</v>
      </c>
      <c r="P7" s="34"/>
      <c r="Q7" s="34">
        <v>-7.4175824175824179</v>
      </c>
      <c r="R7" s="34"/>
      <c r="S7" s="34"/>
      <c r="T7" s="34">
        <v>-5.8477237048665618</v>
      </c>
      <c r="U7" s="34">
        <v>-3.6577708006279437</v>
      </c>
      <c r="V7" s="34">
        <v>4.1679748822605962</v>
      </c>
      <c r="W7" s="34"/>
      <c r="X7" s="34" t="s">
        <v>67</v>
      </c>
      <c r="Y7" s="34"/>
      <c r="Z7" s="34"/>
      <c r="AA7" s="34">
        <v>-3.2731554160125591</v>
      </c>
      <c r="AB7" s="34" t="s">
        <v>67</v>
      </c>
      <c r="AC7" s="35" t="s">
        <v>67</v>
      </c>
      <c r="AD7" s="36"/>
      <c r="AE7" s="37">
        <v>12.74</v>
      </c>
      <c r="AF7" s="37" t="s">
        <v>67</v>
      </c>
      <c r="AG7" s="41" t="s">
        <v>67</v>
      </c>
    </row>
    <row r="8" spans="1:71" s="40" customFormat="1">
      <c r="A8" s="42"/>
      <c r="B8" s="33" t="s">
        <v>70</v>
      </c>
      <c r="C8" s="34">
        <v>41.131231210235612</v>
      </c>
      <c r="D8" s="34">
        <v>40.648814933929941</v>
      </c>
      <c r="E8" s="34">
        <v>32.300915891770956</v>
      </c>
      <c r="F8" s="34">
        <v>5.4394183038523387</v>
      </c>
      <c r="G8" s="34">
        <v>2.9084807383066487</v>
      </c>
      <c r="H8" s="34">
        <v>8.3478990421589856</v>
      </c>
      <c r="I8" s="34">
        <v>34.782912675662445</v>
      </c>
      <c r="J8" s="34"/>
      <c r="K8" s="34" t="s">
        <v>67</v>
      </c>
      <c r="L8" s="34">
        <v>3.411871635321261</v>
      </c>
      <c r="M8" s="34" t="s">
        <v>67</v>
      </c>
      <c r="N8" s="34" t="s">
        <v>67</v>
      </c>
      <c r="O8" s="34">
        <v>-0.48241627630567019</v>
      </c>
      <c r="P8" s="34"/>
      <c r="Q8" s="34">
        <v>-5.9218345801580083</v>
      </c>
      <c r="R8" s="34"/>
      <c r="S8" s="34"/>
      <c r="T8" s="34">
        <v>-2.6847514507445993</v>
      </c>
      <c r="U8" s="34">
        <v>-0.48241627630567019</v>
      </c>
      <c r="V8" s="34">
        <v>4.0481017968258408</v>
      </c>
      <c r="W8" s="34"/>
      <c r="X8" s="34" t="s">
        <v>67</v>
      </c>
      <c r="Y8" s="34"/>
      <c r="Z8" s="34"/>
      <c r="AA8" s="34">
        <v>-6.9915402363140595E-3</v>
      </c>
      <c r="AB8" s="34" t="s">
        <v>67</v>
      </c>
      <c r="AC8" s="35" t="s">
        <v>67</v>
      </c>
      <c r="AD8" s="36"/>
      <c r="AE8" s="37">
        <v>14.303000000000001</v>
      </c>
      <c r="AF8" s="37" t="s">
        <v>67</v>
      </c>
      <c r="AG8" s="41" t="s">
        <v>67</v>
      </c>
    </row>
    <row r="9" spans="1:71" s="40" customFormat="1">
      <c r="A9" s="42"/>
      <c r="B9" s="33" t="s">
        <v>71</v>
      </c>
      <c r="C9" s="34">
        <v>39.926622039134919</v>
      </c>
      <c r="D9" s="34">
        <v>41.271884654994849</v>
      </c>
      <c r="E9" s="34">
        <v>32.537332646755921</v>
      </c>
      <c r="F9" s="34">
        <v>5.7736869207003094</v>
      </c>
      <c r="G9" s="34">
        <v>2.96086508753862</v>
      </c>
      <c r="H9" s="34">
        <v>8.7345520082389285</v>
      </c>
      <c r="I9" s="34">
        <v>33.953398558187438</v>
      </c>
      <c r="J9" s="34"/>
      <c r="K9" s="34" t="s">
        <v>67</v>
      </c>
      <c r="L9" s="34">
        <v>1.9116889804325439</v>
      </c>
      <c r="M9" s="34" t="s">
        <v>67</v>
      </c>
      <c r="N9" s="34" t="s">
        <v>67</v>
      </c>
      <c r="O9" s="34">
        <v>1.3452626158599383</v>
      </c>
      <c r="P9" s="34"/>
      <c r="Q9" s="34">
        <v>-4.4284243048403704</v>
      </c>
      <c r="R9" s="34"/>
      <c r="S9" s="34"/>
      <c r="T9" s="34">
        <v>-1.9309989701338828</v>
      </c>
      <c r="U9" s="34">
        <v>1.3452626158599383</v>
      </c>
      <c r="V9" s="34">
        <v>4.0808444902162719</v>
      </c>
      <c r="W9" s="34"/>
      <c r="X9" s="34" t="s">
        <v>67</v>
      </c>
      <c r="Y9" s="34"/>
      <c r="Z9" s="34"/>
      <c r="AA9" s="34">
        <v>0.99124613800205974</v>
      </c>
      <c r="AB9" s="34" t="s">
        <v>67</v>
      </c>
      <c r="AC9" s="35" t="s">
        <v>67</v>
      </c>
      <c r="AD9" s="36"/>
      <c r="AE9" s="37">
        <v>15.536</v>
      </c>
      <c r="AF9" s="37" t="s">
        <v>67</v>
      </c>
      <c r="AG9" s="41" t="s">
        <v>67</v>
      </c>
    </row>
    <row r="10" spans="1:71" s="40" customFormat="1">
      <c r="A10" s="42"/>
      <c r="B10" s="33" t="s">
        <v>72</v>
      </c>
      <c r="C10" s="34">
        <v>37.998201977824394</v>
      </c>
      <c r="D10" s="34">
        <v>40.503446209169915</v>
      </c>
      <c r="E10" s="34">
        <v>31.603236439916095</v>
      </c>
      <c r="F10" s="34">
        <v>6.0593347317950252</v>
      </c>
      <c r="G10" s="34">
        <v>2.8408750374587957</v>
      </c>
      <c r="H10" s="34">
        <v>8.9002097692538218</v>
      </c>
      <c r="I10" s="34">
        <v>31.705124363200483</v>
      </c>
      <c r="J10" s="34"/>
      <c r="K10" s="34" t="s">
        <v>67</v>
      </c>
      <c r="L10" s="34">
        <v>0.4554989511537309</v>
      </c>
      <c r="M10" s="34" t="s">
        <v>67</v>
      </c>
      <c r="N10" s="34" t="s">
        <v>67</v>
      </c>
      <c r="O10" s="34">
        <v>2.5052442313455199</v>
      </c>
      <c r="P10" s="34"/>
      <c r="Q10" s="34">
        <v>-3.5540905004495054</v>
      </c>
      <c r="R10" s="34"/>
      <c r="S10" s="34"/>
      <c r="T10" s="34">
        <v>-0.94695834581959848</v>
      </c>
      <c r="U10" s="34">
        <v>2.5052442313455199</v>
      </c>
      <c r="V10" s="34">
        <v>3.937668564578964</v>
      </c>
      <c r="W10" s="34"/>
      <c r="X10" s="34" t="s">
        <v>67</v>
      </c>
      <c r="Y10" s="34"/>
      <c r="Z10" s="34"/>
      <c r="AA10" s="34">
        <v>1.7620617320946959</v>
      </c>
      <c r="AB10" s="34" t="s">
        <v>67</v>
      </c>
      <c r="AC10" s="35" t="s">
        <v>67</v>
      </c>
      <c r="AD10" s="36"/>
      <c r="AE10" s="37">
        <v>16.684999999999999</v>
      </c>
      <c r="AF10" s="37" t="s">
        <v>67</v>
      </c>
      <c r="AG10" s="41" t="s">
        <v>67</v>
      </c>
    </row>
    <row r="11" spans="1:71" s="40" customFormat="1">
      <c r="A11" s="42"/>
      <c r="B11" s="33" t="s">
        <v>73</v>
      </c>
      <c r="C11" s="34">
        <v>37.463780467018928</v>
      </c>
      <c r="D11" s="34">
        <v>38.923924777001304</v>
      </c>
      <c r="E11" s="34">
        <v>31.123231634566217</v>
      </c>
      <c r="F11" s="34">
        <v>4.9656269530140333</v>
      </c>
      <c r="G11" s="34">
        <v>2.835066189421056</v>
      </c>
      <c r="H11" s="34">
        <v>7.8006931424350885</v>
      </c>
      <c r="I11" s="34">
        <v>30.913016305891709</v>
      </c>
      <c r="J11" s="34"/>
      <c r="K11" s="34" t="s">
        <v>67</v>
      </c>
      <c r="L11" s="34">
        <v>1.0794841202204422</v>
      </c>
      <c r="M11" s="34" t="s">
        <v>67</v>
      </c>
      <c r="N11" s="34" t="s">
        <v>67</v>
      </c>
      <c r="O11" s="34">
        <v>1.4601443099823874</v>
      </c>
      <c r="P11" s="34"/>
      <c r="Q11" s="34">
        <v>-3.5054826430316459</v>
      </c>
      <c r="R11" s="34"/>
      <c r="S11" s="34"/>
      <c r="T11" s="34">
        <v>-1.7442190784614513</v>
      </c>
      <c r="U11" s="34">
        <v>1.4601443099823874</v>
      </c>
      <c r="V11" s="34">
        <v>3.7270609624453157</v>
      </c>
      <c r="W11" s="34"/>
      <c r="X11" s="34" t="s">
        <v>67</v>
      </c>
      <c r="Y11" s="34"/>
      <c r="Z11" s="34"/>
      <c r="AA11" s="34">
        <v>0.64200897676268398</v>
      </c>
      <c r="AB11" s="34" t="s">
        <v>67</v>
      </c>
      <c r="AC11" s="35" t="s">
        <v>67</v>
      </c>
      <c r="AD11" s="36"/>
      <c r="AE11" s="37">
        <v>17.600999999999999</v>
      </c>
      <c r="AF11" s="37" t="s">
        <v>67</v>
      </c>
      <c r="AG11" s="41" t="s">
        <v>67</v>
      </c>
    </row>
    <row r="12" spans="1:71" s="40" customFormat="1">
      <c r="A12" s="42"/>
      <c r="B12" s="43" t="s">
        <v>74</v>
      </c>
      <c r="C12" s="34">
        <v>35.982622029133651</v>
      </c>
      <c r="D12" s="34">
        <v>35.788397648862762</v>
      </c>
      <c r="E12" s="34">
        <v>28.678763097367742</v>
      </c>
      <c r="F12" s="34">
        <v>4.3138257091745462</v>
      </c>
      <c r="G12" s="34">
        <v>2.7958088423204703</v>
      </c>
      <c r="H12" s="34">
        <v>7.1096345514950157</v>
      </c>
      <c r="I12" s="34">
        <v>29.660107334525936</v>
      </c>
      <c r="J12" s="34"/>
      <c r="K12" s="34" t="s">
        <v>67</v>
      </c>
      <c r="L12" s="34">
        <v>2.7549194991055455</v>
      </c>
      <c r="M12" s="34" t="s">
        <v>67</v>
      </c>
      <c r="N12" s="34" t="s">
        <v>67</v>
      </c>
      <c r="O12" s="34">
        <v>-0.19422438027089189</v>
      </c>
      <c r="P12" s="34"/>
      <c r="Q12" s="34">
        <v>-4.5080500894454385</v>
      </c>
      <c r="R12" s="34"/>
      <c r="S12" s="34"/>
      <c r="T12" s="34">
        <v>-2.8418093534372604</v>
      </c>
      <c r="U12" s="34">
        <v>-0.19422438027089189</v>
      </c>
      <c r="V12" s="34">
        <v>3.7924865831842576</v>
      </c>
      <c r="W12" s="34"/>
      <c r="X12" s="34" t="s">
        <v>67</v>
      </c>
      <c r="Y12" s="34"/>
      <c r="Z12" s="34"/>
      <c r="AA12" s="34">
        <v>-0.55200613340148219</v>
      </c>
      <c r="AB12" s="34" t="s">
        <v>67</v>
      </c>
      <c r="AC12" s="35" t="s">
        <v>67</v>
      </c>
      <c r="AD12" s="36"/>
      <c r="AE12" s="37">
        <v>19.565000000000001</v>
      </c>
      <c r="AF12" s="37" t="s">
        <v>67</v>
      </c>
      <c r="AG12" s="41" t="s">
        <v>67</v>
      </c>
    </row>
    <row r="13" spans="1:71" s="40" customFormat="1">
      <c r="A13" s="42"/>
      <c r="B13" s="43" t="s">
        <v>75</v>
      </c>
      <c r="C13" s="34">
        <v>35.595063596387533</v>
      </c>
      <c r="D13" s="34">
        <v>35.982788784339689</v>
      </c>
      <c r="E13" s="34">
        <v>28.904439926237647</v>
      </c>
      <c r="F13" s="34">
        <v>4.2507919996217316</v>
      </c>
      <c r="G13" s="34">
        <v>2.8275568584803059</v>
      </c>
      <c r="H13" s="34">
        <v>7.0783488581020375</v>
      </c>
      <c r="I13" s="34">
        <v>29.268523334436619</v>
      </c>
      <c r="J13" s="34"/>
      <c r="K13" s="34" t="s">
        <v>67</v>
      </c>
      <c r="L13" s="34">
        <v>1.8487871766986619</v>
      </c>
      <c r="M13" s="34" t="s">
        <v>67</v>
      </c>
      <c r="N13" s="34" t="s">
        <v>67</v>
      </c>
      <c r="O13" s="34">
        <v>0.38772518795214905</v>
      </c>
      <c r="P13" s="34"/>
      <c r="Q13" s="34">
        <v>-3.8630668116695821</v>
      </c>
      <c r="R13" s="34"/>
      <c r="S13" s="34"/>
      <c r="T13" s="34">
        <v>-1.7967752612416663</v>
      </c>
      <c r="U13" s="34">
        <v>0.38772518795214905</v>
      </c>
      <c r="V13" s="34">
        <v>3.4564281999148889</v>
      </c>
      <c r="W13" s="34"/>
      <c r="X13" s="34" t="s">
        <v>67</v>
      </c>
      <c r="Y13" s="34"/>
      <c r="Z13" s="34"/>
      <c r="AA13" s="34">
        <v>0.15130739042035085</v>
      </c>
      <c r="AB13" s="34" t="s">
        <v>67</v>
      </c>
      <c r="AC13" s="35" t="s">
        <v>67</v>
      </c>
      <c r="AD13" s="36"/>
      <c r="AE13" s="37">
        <v>21.149000000000001</v>
      </c>
      <c r="AF13" s="37">
        <v>21.795999999999999</v>
      </c>
      <c r="AG13" s="41" t="s">
        <v>67</v>
      </c>
    </row>
    <row r="14" spans="1:71" s="40" customFormat="1">
      <c r="A14" s="42"/>
      <c r="B14" s="43" t="s">
        <v>76</v>
      </c>
      <c r="C14" s="34">
        <v>35.18378594604205</v>
      </c>
      <c r="D14" s="34">
        <v>35.210453797946577</v>
      </c>
      <c r="E14" s="34">
        <v>28.392372994355309</v>
      </c>
      <c r="F14" s="34">
        <v>3.9646206498066583</v>
      </c>
      <c r="G14" s="34">
        <v>2.8534601537846127</v>
      </c>
      <c r="H14" s="34">
        <v>6.818080803591271</v>
      </c>
      <c r="I14" s="34">
        <v>28.930174674429978</v>
      </c>
      <c r="J14" s="34"/>
      <c r="K14" s="34" t="s">
        <v>67</v>
      </c>
      <c r="L14" s="34">
        <v>2.2267656340281792</v>
      </c>
      <c r="M14" s="34" t="s">
        <v>67</v>
      </c>
      <c r="N14" s="34" t="s">
        <v>67</v>
      </c>
      <c r="O14" s="34">
        <v>2.666785190452909E-2</v>
      </c>
      <c r="P14" s="34"/>
      <c r="Q14" s="34">
        <v>-3.9379527979021294</v>
      </c>
      <c r="R14" s="34"/>
      <c r="S14" s="34"/>
      <c r="T14" s="34">
        <v>-2.0800924485532692</v>
      </c>
      <c r="U14" s="34">
        <v>2.666785190452909E-2</v>
      </c>
      <c r="V14" s="34">
        <v>3.417929685763812</v>
      </c>
      <c r="W14" s="34"/>
      <c r="X14" s="34" t="s">
        <v>67</v>
      </c>
      <c r="Y14" s="34"/>
      <c r="Z14" s="34"/>
      <c r="AA14" s="34">
        <v>-0.43557491444064184</v>
      </c>
      <c r="AB14" s="34" t="s">
        <v>67</v>
      </c>
      <c r="AC14" s="35" t="s">
        <v>67</v>
      </c>
      <c r="AD14" s="36"/>
      <c r="AE14" s="37">
        <v>22.498999999999999</v>
      </c>
      <c r="AF14" s="37">
        <v>22.995999999999999</v>
      </c>
      <c r="AG14" s="41" t="s">
        <v>67</v>
      </c>
    </row>
    <row r="15" spans="1:71" s="40" customFormat="1">
      <c r="A15" s="42"/>
      <c r="B15" s="43" t="s">
        <v>77</v>
      </c>
      <c r="C15" s="34">
        <v>35.665594855305471</v>
      </c>
      <c r="D15" s="34">
        <v>35.969989281886392</v>
      </c>
      <c r="E15" s="34">
        <v>29.0075026795284</v>
      </c>
      <c r="F15" s="34">
        <v>4.077170418006431</v>
      </c>
      <c r="G15" s="34">
        <v>2.8853161843515545</v>
      </c>
      <c r="H15" s="34">
        <v>6.962486602357985</v>
      </c>
      <c r="I15" s="34">
        <v>29.54769560557342</v>
      </c>
      <c r="J15" s="34"/>
      <c r="K15" s="34" t="s">
        <v>67</v>
      </c>
      <c r="L15" s="34">
        <v>2.3408360128617365</v>
      </c>
      <c r="M15" s="34" t="s">
        <v>67</v>
      </c>
      <c r="N15" s="34" t="s">
        <v>67</v>
      </c>
      <c r="O15" s="34">
        <v>0.30439442658092175</v>
      </c>
      <c r="P15" s="34"/>
      <c r="Q15" s="34">
        <v>-3.7727759914255095</v>
      </c>
      <c r="R15" s="34"/>
      <c r="S15" s="34"/>
      <c r="T15" s="34">
        <v>-2.229367631296892</v>
      </c>
      <c r="U15" s="34">
        <v>0.30439442658092175</v>
      </c>
      <c r="V15" s="34">
        <v>3.3997856377277604</v>
      </c>
      <c r="W15" s="34"/>
      <c r="X15" s="34" t="s">
        <v>67</v>
      </c>
      <c r="Y15" s="34"/>
      <c r="Z15" s="34"/>
      <c r="AA15" s="34">
        <v>-0.72883172561629161</v>
      </c>
      <c r="AB15" s="34" t="s">
        <v>67</v>
      </c>
      <c r="AC15" s="35" t="s">
        <v>67</v>
      </c>
      <c r="AD15" s="36"/>
      <c r="AE15" s="37">
        <v>23.324999999999999</v>
      </c>
      <c r="AF15" s="37">
        <v>23.946999999999999</v>
      </c>
      <c r="AG15" s="41" t="s">
        <v>67</v>
      </c>
    </row>
    <row r="16" spans="1:71" s="40" customFormat="1">
      <c r="A16" s="42"/>
      <c r="B16" s="43" t="s">
        <v>78</v>
      </c>
      <c r="C16" s="34">
        <v>33.673879816587565</v>
      </c>
      <c r="D16" s="34">
        <v>35.962513072158316</v>
      </c>
      <c r="E16" s="34">
        <v>29.088568900329825</v>
      </c>
      <c r="F16" s="34">
        <v>4.1187354195157271</v>
      </c>
      <c r="G16" s="34">
        <v>2.7552087523127669</v>
      </c>
      <c r="H16" s="34">
        <v>6.8739441718284944</v>
      </c>
      <c r="I16" s="34">
        <v>28.44501649103049</v>
      </c>
      <c r="J16" s="34"/>
      <c r="K16" s="34" t="s">
        <v>67</v>
      </c>
      <c r="L16" s="34">
        <v>1.4600595285978604</v>
      </c>
      <c r="M16" s="34" t="s">
        <v>67</v>
      </c>
      <c r="N16" s="34" t="s">
        <v>67</v>
      </c>
      <c r="O16" s="34">
        <v>2.2886332555707507</v>
      </c>
      <c r="P16" s="34"/>
      <c r="Q16" s="34">
        <v>-1.8301021639449764</v>
      </c>
      <c r="R16" s="34"/>
      <c r="S16" s="34"/>
      <c r="T16" s="34">
        <v>-1.1342611213900731</v>
      </c>
      <c r="U16" s="34">
        <v>2.2886332555707507</v>
      </c>
      <c r="V16" s="34">
        <v>3.2941838951009572</v>
      </c>
      <c r="W16" s="34"/>
      <c r="X16" s="34" t="s">
        <v>67</v>
      </c>
      <c r="Y16" s="34"/>
      <c r="Z16" s="34"/>
      <c r="AA16" s="34">
        <v>0.22926554581288713</v>
      </c>
      <c r="AB16" s="34" t="s">
        <v>67</v>
      </c>
      <c r="AC16" s="35" t="s">
        <v>67</v>
      </c>
      <c r="AD16" s="36"/>
      <c r="AE16" s="37">
        <v>24.861999999999998</v>
      </c>
      <c r="AF16" s="37">
        <v>25.777999999999999</v>
      </c>
      <c r="AG16" s="41" t="s">
        <v>67</v>
      </c>
    </row>
    <row r="17" spans="1:33" s="40" customFormat="1">
      <c r="A17" s="42"/>
      <c r="B17" s="43" t="s">
        <v>79</v>
      </c>
      <c r="C17" s="34">
        <v>33.47228481297882</v>
      </c>
      <c r="D17" s="34">
        <v>35.958389665014266</v>
      </c>
      <c r="E17" s="34">
        <v>29.16854438936458</v>
      </c>
      <c r="F17" s="34">
        <v>4.0033047919483256</v>
      </c>
      <c r="G17" s="34">
        <v>2.786540483701367</v>
      </c>
      <c r="H17" s="34">
        <v>6.7898452756496921</v>
      </c>
      <c r="I17" s="34">
        <v>27.899203845576086</v>
      </c>
      <c r="J17" s="34"/>
      <c r="K17" s="34" t="s">
        <v>67</v>
      </c>
      <c r="L17" s="34">
        <v>1.3782484602673877</v>
      </c>
      <c r="M17" s="34" t="s">
        <v>67</v>
      </c>
      <c r="N17" s="34" t="s">
        <v>67</v>
      </c>
      <c r="O17" s="34">
        <v>2.4861048520354516</v>
      </c>
      <c r="P17" s="34"/>
      <c r="Q17" s="34">
        <v>-1.5171999399128737</v>
      </c>
      <c r="R17" s="34"/>
      <c r="S17" s="34"/>
      <c r="T17" s="34">
        <v>-0.79239897851885233</v>
      </c>
      <c r="U17" s="34">
        <v>2.4861048520354516</v>
      </c>
      <c r="V17" s="34">
        <v>3.3310800660958386</v>
      </c>
      <c r="W17" s="34"/>
      <c r="X17" s="34" t="s">
        <v>67</v>
      </c>
      <c r="Y17" s="34"/>
      <c r="Z17" s="34"/>
      <c r="AA17" s="34">
        <v>0.63091482649842279</v>
      </c>
      <c r="AB17" s="34" t="s">
        <v>67</v>
      </c>
      <c r="AC17" s="35" t="s">
        <v>67</v>
      </c>
      <c r="AD17" s="36"/>
      <c r="AE17" s="37">
        <v>26.628</v>
      </c>
      <c r="AF17" s="37">
        <v>27.568999999999999</v>
      </c>
      <c r="AG17" s="41" t="s">
        <v>67</v>
      </c>
    </row>
    <row r="18" spans="1:33" s="40" customFormat="1">
      <c r="A18" s="42"/>
      <c r="B18" s="43" t="s">
        <v>80</v>
      </c>
      <c r="C18" s="34">
        <v>35.480659840728102</v>
      </c>
      <c r="D18" s="34">
        <v>37.649317406143346</v>
      </c>
      <c r="E18" s="34">
        <v>30.169226393629128</v>
      </c>
      <c r="F18" s="34">
        <v>4.4048634812286691</v>
      </c>
      <c r="G18" s="34">
        <v>3.0752275312855519</v>
      </c>
      <c r="H18" s="34">
        <v>7.4800910125142215</v>
      </c>
      <c r="I18" s="34">
        <v>29.863481228668942</v>
      </c>
      <c r="J18" s="34"/>
      <c r="K18" s="34" t="s">
        <v>67</v>
      </c>
      <c r="L18" s="34">
        <v>1.8060295790671217</v>
      </c>
      <c r="M18" s="34" t="s">
        <v>67</v>
      </c>
      <c r="N18" s="34" t="s">
        <v>67</v>
      </c>
      <c r="O18" s="34">
        <v>2.1686575654152449</v>
      </c>
      <c r="P18" s="34"/>
      <c r="Q18" s="34">
        <v>-2.2362059158134242</v>
      </c>
      <c r="R18" s="34"/>
      <c r="S18" s="34"/>
      <c r="T18" s="34">
        <v>-1.670932878270762</v>
      </c>
      <c r="U18" s="34">
        <v>2.1686575654152449</v>
      </c>
      <c r="V18" s="34">
        <v>3.3738623435722412</v>
      </c>
      <c r="W18" s="34"/>
      <c r="X18" s="34" t="s">
        <v>67</v>
      </c>
      <c r="Y18" s="34"/>
      <c r="Z18" s="34"/>
      <c r="AA18" s="34">
        <v>0.16709328782707622</v>
      </c>
      <c r="AB18" s="34" t="s">
        <v>67</v>
      </c>
      <c r="AC18" s="35" t="s">
        <v>67</v>
      </c>
      <c r="AD18" s="36"/>
      <c r="AE18" s="37">
        <v>28.128</v>
      </c>
      <c r="AF18" s="37">
        <v>28.832000000000001</v>
      </c>
      <c r="AG18" s="41" t="s">
        <v>67</v>
      </c>
    </row>
    <row r="19" spans="1:33" s="40" customFormat="1">
      <c r="A19" s="42"/>
      <c r="B19" s="43" t="s">
        <v>81</v>
      </c>
      <c r="C19" s="34">
        <v>35.492527173913039</v>
      </c>
      <c r="D19" s="34">
        <v>37.319972826086953</v>
      </c>
      <c r="E19" s="34">
        <v>29.918478260869563</v>
      </c>
      <c r="F19" s="34">
        <v>4.2730978260869561</v>
      </c>
      <c r="G19" s="34">
        <v>3.1283967391304346</v>
      </c>
      <c r="H19" s="34">
        <v>7.4014945652173907</v>
      </c>
      <c r="I19" s="34">
        <v>29.656929347826082</v>
      </c>
      <c r="J19" s="34"/>
      <c r="K19" s="34" t="s">
        <v>67</v>
      </c>
      <c r="L19" s="34">
        <v>1.8682065217391304</v>
      </c>
      <c r="M19" s="34" t="s">
        <v>67</v>
      </c>
      <c r="N19" s="34" t="s">
        <v>67</v>
      </c>
      <c r="O19" s="34">
        <v>1.8274456521739133</v>
      </c>
      <c r="P19" s="34"/>
      <c r="Q19" s="34">
        <v>-2.445652173913043</v>
      </c>
      <c r="R19" s="34"/>
      <c r="S19" s="34"/>
      <c r="T19" s="34">
        <v>-1.3043478260869565</v>
      </c>
      <c r="U19" s="34">
        <v>2.1942934782608692</v>
      </c>
      <c r="V19" s="34">
        <v>3.1759510869565215</v>
      </c>
      <c r="W19" s="34"/>
      <c r="X19" s="34" t="s">
        <v>67</v>
      </c>
      <c r="Y19" s="34"/>
      <c r="Z19" s="34"/>
      <c r="AA19" s="34">
        <v>0.22758152173913043</v>
      </c>
      <c r="AB19" s="34" t="s">
        <v>67</v>
      </c>
      <c r="AC19" s="35" t="s">
        <v>67</v>
      </c>
      <c r="AD19" s="36"/>
      <c r="AE19" s="37">
        <v>29.44</v>
      </c>
      <c r="AF19" s="37">
        <v>30.376000000000001</v>
      </c>
      <c r="AG19" s="41" t="s">
        <v>67</v>
      </c>
    </row>
    <row r="20" spans="1:33" s="40" customFormat="1">
      <c r="A20" s="42"/>
      <c r="B20" s="43" t="s">
        <v>82</v>
      </c>
      <c r="C20" s="34">
        <v>34.644188888540718</v>
      </c>
      <c r="D20" s="34">
        <v>37.348416006016357</v>
      </c>
      <c r="E20" s="34">
        <v>28.671701187603798</v>
      </c>
      <c r="F20" s="34">
        <v>5.5369285244257815</v>
      </c>
      <c r="G20" s="34">
        <v>3.1397862939867767</v>
      </c>
      <c r="H20" s="34">
        <v>8.6767148184125595</v>
      </c>
      <c r="I20" s="34">
        <v>28.703036380158558</v>
      </c>
      <c r="J20" s="34"/>
      <c r="K20" s="34" t="s">
        <v>67</v>
      </c>
      <c r="L20" s="34">
        <v>0.90558706483251339</v>
      </c>
      <c r="M20" s="34" t="s">
        <v>67</v>
      </c>
      <c r="N20" s="34" t="s">
        <v>67</v>
      </c>
      <c r="O20" s="34">
        <v>2.7042271174756367</v>
      </c>
      <c r="P20" s="34"/>
      <c r="Q20" s="34">
        <v>-2.8327014069501457</v>
      </c>
      <c r="R20" s="34"/>
      <c r="S20" s="34"/>
      <c r="T20" s="34">
        <v>0.94945633440917487</v>
      </c>
      <c r="U20" s="34">
        <v>3.0990505436655909</v>
      </c>
      <c r="V20" s="34">
        <v>3.0833829473882117</v>
      </c>
      <c r="W20" s="34"/>
      <c r="X20" s="34" t="s">
        <v>67</v>
      </c>
      <c r="Y20" s="34"/>
      <c r="Z20" s="34"/>
      <c r="AA20" s="34">
        <v>2.4222103844828125</v>
      </c>
      <c r="AB20" s="34" t="s">
        <v>67</v>
      </c>
      <c r="AC20" s="35" t="s">
        <v>67</v>
      </c>
      <c r="AD20" s="36"/>
      <c r="AE20" s="37">
        <v>31.913</v>
      </c>
      <c r="AF20" s="37">
        <v>33.329000000000001</v>
      </c>
      <c r="AG20" s="41" t="s">
        <v>67</v>
      </c>
    </row>
    <row r="21" spans="1:33" s="40" customFormat="1">
      <c r="A21" s="42"/>
      <c r="B21" s="43" t="s">
        <v>83</v>
      </c>
      <c r="C21" s="34">
        <v>35.176787969234297</v>
      </c>
      <c r="D21" s="34">
        <v>37.045115371369533</v>
      </c>
      <c r="E21" s="34">
        <v>27.9072437148433</v>
      </c>
      <c r="F21" s="34">
        <v>6.0153828492710364</v>
      </c>
      <c r="G21" s="34">
        <v>3.1224888072551948</v>
      </c>
      <c r="H21" s="34">
        <v>9.1378716565262312</v>
      </c>
      <c r="I21" s="34">
        <v>29.092526690391455</v>
      </c>
      <c r="J21" s="34"/>
      <c r="K21" s="34" t="s">
        <v>67</v>
      </c>
      <c r="L21" s="34">
        <v>1.5468947308001377</v>
      </c>
      <c r="M21" s="34" t="s">
        <v>67</v>
      </c>
      <c r="N21" s="34" t="s">
        <v>67</v>
      </c>
      <c r="O21" s="34">
        <v>1.8683274021352312</v>
      </c>
      <c r="P21" s="34"/>
      <c r="Q21" s="34">
        <v>-4.1470554471358057</v>
      </c>
      <c r="R21" s="34"/>
      <c r="S21" s="34"/>
      <c r="T21" s="34">
        <v>0.93559866835036165</v>
      </c>
      <c r="U21" s="34">
        <v>2.6231201928596031</v>
      </c>
      <c r="V21" s="34">
        <v>2.8297554815750199</v>
      </c>
      <c r="W21" s="34"/>
      <c r="X21" s="34" t="s">
        <v>67</v>
      </c>
      <c r="Y21" s="34"/>
      <c r="Z21" s="34"/>
      <c r="AA21" s="34">
        <v>8.8967971530249101E-2</v>
      </c>
      <c r="AB21" s="34" t="s">
        <v>67</v>
      </c>
      <c r="AC21" s="35" t="s">
        <v>67</v>
      </c>
      <c r="AD21" s="36"/>
      <c r="AE21" s="37">
        <v>34.844000000000001</v>
      </c>
      <c r="AF21" s="37">
        <v>36.152999999999999</v>
      </c>
      <c r="AG21" s="41" t="s">
        <v>67</v>
      </c>
    </row>
    <row r="22" spans="1:33" s="40" customFormat="1" ht="15.75" customHeight="1">
      <c r="A22" s="44"/>
      <c r="B22" s="45" t="s">
        <v>84</v>
      </c>
      <c r="C22" s="34">
        <v>36.970975407866277</v>
      </c>
      <c r="D22" s="34">
        <v>38.495634295479427</v>
      </c>
      <c r="E22" s="34">
        <v>29.280927078048645</v>
      </c>
      <c r="F22" s="34">
        <v>6.0105204133400969</v>
      </c>
      <c r="G22" s="34">
        <v>3.2041868040906785</v>
      </c>
      <c r="H22" s="34">
        <v>9.2147072174307763</v>
      </c>
      <c r="I22" s="34">
        <v>30.701449894528849</v>
      </c>
      <c r="J22" s="34"/>
      <c r="K22" s="34" t="s">
        <v>67</v>
      </c>
      <c r="L22" s="34">
        <v>1.7676430535900245</v>
      </c>
      <c r="M22" s="34" t="s">
        <v>67</v>
      </c>
      <c r="N22" s="34" t="s">
        <v>67</v>
      </c>
      <c r="O22" s="34">
        <v>1.5246588876131477</v>
      </c>
      <c r="P22" s="34"/>
      <c r="Q22" s="34">
        <v>-4.4858615257269498</v>
      </c>
      <c r="R22" s="34"/>
      <c r="S22" s="34"/>
      <c r="T22" s="34">
        <v>1.2523030092654401</v>
      </c>
      <c r="U22" s="34">
        <v>2.4618835278096713</v>
      </c>
      <c r="V22" s="34">
        <v>2.7075378494566231</v>
      </c>
      <c r="W22" s="34"/>
      <c r="X22" s="34" t="s">
        <v>67</v>
      </c>
      <c r="Y22" s="34"/>
      <c r="Z22" s="34"/>
      <c r="AA22" s="34">
        <v>1.2202611412245334</v>
      </c>
      <c r="AB22" s="34" t="s">
        <v>67</v>
      </c>
      <c r="AC22" s="35" t="s">
        <v>67</v>
      </c>
      <c r="AD22" s="46"/>
      <c r="AE22" s="37">
        <v>37.451000000000001</v>
      </c>
      <c r="AF22" s="37">
        <v>38.744</v>
      </c>
      <c r="AG22" s="41" t="s">
        <v>67</v>
      </c>
    </row>
    <row r="23" spans="1:33" s="40" customFormat="1" ht="15.75" customHeight="1">
      <c r="A23" s="44"/>
      <c r="B23" s="45" t="s">
        <v>85</v>
      </c>
      <c r="C23" s="34">
        <v>37.649916122086182</v>
      </c>
      <c r="D23" s="34">
        <v>40.046070257142141</v>
      </c>
      <c r="E23" s="34">
        <v>29.940659505746265</v>
      </c>
      <c r="F23" s="34">
        <v>6.7527980169758886</v>
      </c>
      <c r="G23" s="34">
        <v>3.3526127344199907</v>
      </c>
      <c r="H23" s="34">
        <v>10.105410751395878</v>
      </c>
      <c r="I23" s="34">
        <v>31.400385588021734</v>
      </c>
      <c r="J23" s="34"/>
      <c r="K23" s="34" t="s">
        <v>67</v>
      </c>
      <c r="L23" s="34">
        <v>0.95145096271814522</v>
      </c>
      <c r="M23" s="34" t="s">
        <v>67</v>
      </c>
      <c r="N23" s="34" t="s">
        <v>67</v>
      </c>
      <c r="O23" s="34">
        <v>2.3961541350559603</v>
      </c>
      <c r="P23" s="34"/>
      <c r="Q23" s="34">
        <v>-4.3566438819199274</v>
      </c>
      <c r="R23" s="34"/>
      <c r="S23" s="34"/>
      <c r="T23" s="34">
        <v>1.8603370139462683</v>
      </c>
      <c r="U23" s="34">
        <v>2.9194521645509401</v>
      </c>
      <c r="V23" s="34">
        <v>2.7917574300808732</v>
      </c>
      <c r="W23" s="34"/>
      <c r="X23" s="34" t="s">
        <v>67</v>
      </c>
      <c r="Y23" s="34"/>
      <c r="Z23" s="34"/>
      <c r="AA23" s="34">
        <v>8.0122186334159601E-2</v>
      </c>
      <c r="AB23" s="34" t="s">
        <v>67</v>
      </c>
      <c r="AC23" s="35" t="s">
        <v>67</v>
      </c>
      <c r="AD23" s="46"/>
      <c r="AE23" s="37">
        <v>39.939</v>
      </c>
      <c r="AF23" s="37">
        <v>41.139000000000003</v>
      </c>
      <c r="AG23" s="41" t="s">
        <v>67</v>
      </c>
    </row>
    <row r="24" spans="1:33" s="40" customFormat="1" ht="15.75" customHeight="1">
      <c r="A24" s="44"/>
      <c r="B24" s="45" t="s">
        <v>86</v>
      </c>
      <c r="C24" s="34">
        <v>39.095957456821495</v>
      </c>
      <c r="D24" s="34">
        <v>42.947903430749683</v>
      </c>
      <c r="E24" s="34">
        <v>31.575603557814485</v>
      </c>
      <c r="F24" s="34">
        <v>7.9674337615887811</v>
      </c>
      <c r="G24" s="34">
        <v>3.4048661113464171</v>
      </c>
      <c r="H24" s="34">
        <v>11.372299872935198</v>
      </c>
      <c r="I24" s="34">
        <v>32.615652501294186</v>
      </c>
      <c r="J24" s="34"/>
      <c r="K24" s="34" t="s">
        <v>67</v>
      </c>
      <c r="L24" s="34">
        <v>-0.18353804884935762</v>
      </c>
      <c r="M24" s="34" t="s">
        <v>67</v>
      </c>
      <c r="N24" s="34" t="s">
        <v>67</v>
      </c>
      <c r="O24" s="34">
        <v>3.8519459739281849</v>
      </c>
      <c r="P24" s="34"/>
      <c r="Q24" s="34">
        <v>-4.1154877876605962</v>
      </c>
      <c r="R24" s="34"/>
      <c r="S24" s="34"/>
      <c r="T24" s="34">
        <v>3.2330933220386848</v>
      </c>
      <c r="U24" s="34">
        <v>4.7555179067250224</v>
      </c>
      <c r="V24" s="34">
        <v>2.8801355357899197</v>
      </c>
      <c r="W24" s="34"/>
      <c r="X24" s="34" t="s">
        <v>67</v>
      </c>
      <c r="Y24" s="34"/>
      <c r="Z24" s="34"/>
      <c r="AA24" s="34">
        <v>1.4847757541531368</v>
      </c>
      <c r="AB24" s="34" t="s">
        <v>67</v>
      </c>
      <c r="AC24" s="35" t="s">
        <v>67</v>
      </c>
      <c r="AD24" s="46"/>
      <c r="AE24" s="37">
        <v>42.497999999999998</v>
      </c>
      <c r="AF24" s="37">
        <v>44.377000000000002</v>
      </c>
      <c r="AG24" s="41" t="s">
        <v>67</v>
      </c>
    </row>
    <row r="25" spans="1:33" s="40" customFormat="1" ht="15.75" customHeight="1">
      <c r="A25" s="44"/>
      <c r="B25" s="45" t="s">
        <v>87</v>
      </c>
      <c r="C25" s="34">
        <v>40.816632087780455</v>
      </c>
      <c r="D25" s="34">
        <v>41.394135135713213</v>
      </c>
      <c r="E25" s="34">
        <v>30.939191067952859</v>
      </c>
      <c r="F25" s="34">
        <v>6.912925373772806</v>
      </c>
      <c r="G25" s="34">
        <v>3.5420186939875515</v>
      </c>
      <c r="H25" s="34">
        <v>10.454944067760358</v>
      </c>
      <c r="I25" s="34">
        <v>33.824567407439091</v>
      </c>
      <c r="J25" s="34"/>
      <c r="K25" s="34" t="s">
        <v>67</v>
      </c>
      <c r="L25" s="34">
        <v>2.9687934464098555</v>
      </c>
      <c r="M25" s="34" t="s">
        <v>67</v>
      </c>
      <c r="N25" s="34" t="s">
        <v>67</v>
      </c>
      <c r="O25" s="34">
        <v>0.57750304793275309</v>
      </c>
      <c r="P25" s="34"/>
      <c r="Q25" s="34">
        <v>-6.3354223258400539</v>
      </c>
      <c r="R25" s="34"/>
      <c r="S25" s="34"/>
      <c r="T25" s="34">
        <v>-0.62455885183838467</v>
      </c>
      <c r="U25" s="34">
        <v>0.80422646675079679</v>
      </c>
      <c r="V25" s="34">
        <v>2.7848480311423867</v>
      </c>
      <c r="W25" s="34"/>
      <c r="X25" s="34" t="s">
        <v>67</v>
      </c>
      <c r="Y25" s="34"/>
      <c r="Z25" s="34"/>
      <c r="AA25" s="34">
        <v>-0.66947575556648764</v>
      </c>
      <c r="AB25" s="34" t="s">
        <v>67</v>
      </c>
      <c r="AC25" s="35" t="s">
        <v>67</v>
      </c>
      <c r="AD25" s="46"/>
      <c r="AE25" s="37">
        <v>46.753</v>
      </c>
      <c r="AF25" s="37">
        <v>48.686</v>
      </c>
      <c r="AG25" s="41" t="s">
        <v>67</v>
      </c>
    </row>
    <row r="26" spans="1:33" s="40" customFormat="1" ht="15.75" customHeight="1">
      <c r="A26" s="44"/>
      <c r="B26" s="45" t="s">
        <v>88</v>
      </c>
      <c r="C26" s="34">
        <v>41.859778888145726</v>
      </c>
      <c r="D26" s="34">
        <v>40.144391548963284</v>
      </c>
      <c r="E26" s="34">
        <v>30.304520596451191</v>
      </c>
      <c r="F26" s="34">
        <v>6.171066608962505</v>
      </c>
      <c r="G26" s="34">
        <v>3.668804343549593</v>
      </c>
      <c r="H26" s="34">
        <v>9.8398709525120971</v>
      </c>
      <c r="I26" s="34">
        <v>35.139867018137465</v>
      </c>
      <c r="J26" s="34"/>
      <c r="K26" s="34" t="s">
        <v>67</v>
      </c>
      <c r="L26" s="34">
        <v>5.1422276429161577</v>
      </c>
      <c r="M26" s="34" t="s">
        <v>67</v>
      </c>
      <c r="N26" s="34" t="s">
        <v>67</v>
      </c>
      <c r="O26" s="34">
        <v>-1.7153873391824368</v>
      </c>
      <c r="P26" s="34"/>
      <c r="Q26" s="34">
        <v>-7.8864539481449416</v>
      </c>
      <c r="R26" s="34"/>
      <c r="S26" s="34"/>
      <c r="T26" s="34">
        <v>-2.1265294881378605</v>
      </c>
      <c r="U26" s="34">
        <v>-1.5107998583625131</v>
      </c>
      <c r="V26" s="34">
        <v>2.5848841326671126</v>
      </c>
      <c r="W26" s="34"/>
      <c r="X26" s="34" t="s">
        <v>67</v>
      </c>
      <c r="Y26" s="34"/>
      <c r="Z26" s="34"/>
      <c r="AA26" s="34">
        <v>-0.37179840264389974</v>
      </c>
      <c r="AB26" s="34" t="s">
        <v>67</v>
      </c>
      <c r="AC26" s="35" t="s">
        <v>67</v>
      </c>
      <c r="AD26" s="46"/>
      <c r="AE26" s="37">
        <v>50.834000000000003</v>
      </c>
      <c r="AF26" s="37">
        <v>54.079000000000001</v>
      </c>
      <c r="AG26" s="41" t="s">
        <v>67</v>
      </c>
    </row>
    <row r="27" spans="1:33">
      <c r="A27" s="9"/>
      <c r="B27" s="47" t="s">
        <v>89</v>
      </c>
      <c r="C27" s="34">
        <v>40.065513535997781</v>
      </c>
      <c r="D27" s="34">
        <v>39.505702104059068</v>
      </c>
      <c r="E27" s="34">
        <v>29.550417692121044</v>
      </c>
      <c r="F27" s="34">
        <v>6.2809802766127074</v>
      </c>
      <c r="G27" s="34">
        <v>3.6743041353253147</v>
      </c>
      <c r="H27" s="34">
        <v>9.9552844119380222</v>
      </c>
      <c r="I27" s="34">
        <v>33.722139415577665</v>
      </c>
      <c r="J27" s="34"/>
      <c r="K27" s="34" t="s">
        <v>67</v>
      </c>
      <c r="L27" s="34">
        <v>3.6535061873895112</v>
      </c>
      <c r="M27" s="34" t="s">
        <v>67</v>
      </c>
      <c r="N27" s="34" t="s">
        <v>67</v>
      </c>
      <c r="O27" s="34">
        <v>-0.55981143193871541</v>
      </c>
      <c r="P27" s="34"/>
      <c r="Q27" s="34">
        <v>-6.8407917085514232</v>
      </c>
      <c r="R27" s="34"/>
      <c r="S27" s="34"/>
      <c r="T27" s="34">
        <v>-0.23051058962182397</v>
      </c>
      <c r="U27" s="34">
        <v>1.1352213248292835</v>
      </c>
      <c r="V27" s="34">
        <v>2.3293701688100108</v>
      </c>
      <c r="W27" s="34"/>
      <c r="X27" s="34" t="s">
        <v>67</v>
      </c>
      <c r="Y27" s="34"/>
      <c r="Z27" s="34"/>
      <c r="AA27" s="34">
        <v>-1.9203438594058722</v>
      </c>
      <c r="AB27" s="34" t="s">
        <v>67</v>
      </c>
      <c r="AC27" s="35" t="s">
        <v>67</v>
      </c>
      <c r="AD27" s="48"/>
      <c r="AE27" s="37">
        <v>57.698</v>
      </c>
      <c r="AF27" s="37">
        <v>61.131</v>
      </c>
      <c r="AG27" s="41" t="s">
        <v>67</v>
      </c>
    </row>
    <row r="28" spans="1:33">
      <c r="A28" s="9"/>
      <c r="B28" s="47" t="s">
        <v>90</v>
      </c>
      <c r="C28" s="34">
        <v>38.396578706788354</v>
      </c>
      <c r="D28" s="34">
        <v>39.378960906146858</v>
      </c>
      <c r="E28" s="34">
        <v>30.207477880905525</v>
      </c>
      <c r="F28" s="34">
        <v>5.3767606179400964</v>
      </c>
      <c r="G28" s="34">
        <v>3.7947224073012373</v>
      </c>
      <c r="H28" s="34">
        <v>9.1714830252413329</v>
      </c>
      <c r="I28" s="34">
        <v>32.087019849078821</v>
      </c>
      <c r="J28" s="34"/>
      <c r="K28" s="34" t="s">
        <v>67</v>
      </c>
      <c r="L28" s="34">
        <v>1.9771603886142832</v>
      </c>
      <c r="M28" s="34" t="s">
        <v>67</v>
      </c>
      <c r="N28" s="34" t="s">
        <v>67</v>
      </c>
      <c r="O28" s="34">
        <v>0.98238219935850757</v>
      </c>
      <c r="P28" s="34"/>
      <c r="Q28" s="34">
        <v>-4.3943784185815886</v>
      </c>
      <c r="R28" s="34"/>
      <c r="S28" s="34"/>
      <c r="T28" s="34">
        <v>0.75615538373336222</v>
      </c>
      <c r="U28" s="34">
        <v>1.3170739265847498</v>
      </c>
      <c r="V28" s="34">
        <v>2.392426050172769</v>
      </c>
      <c r="W28" s="34"/>
      <c r="X28" s="34" t="s">
        <v>67</v>
      </c>
      <c r="Y28" s="34"/>
      <c r="Z28" s="34"/>
      <c r="AA28" s="34">
        <v>-0.63064598602352129</v>
      </c>
      <c r="AB28" s="34" t="s">
        <v>67</v>
      </c>
      <c r="AC28" s="35" t="s">
        <v>67</v>
      </c>
      <c r="AD28" s="48"/>
      <c r="AE28" s="37">
        <v>64.537000000000006</v>
      </c>
      <c r="AF28" s="37">
        <v>68.070999999999998</v>
      </c>
      <c r="AG28" s="41" t="s">
        <v>67</v>
      </c>
    </row>
    <row r="29" spans="1:33">
      <c r="A29" s="9"/>
      <c r="B29" s="47" t="s">
        <v>91</v>
      </c>
      <c r="C29" s="34">
        <v>35.919450726541449</v>
      </c>
      <c r="D29" s="34">
        <v>38.510082201427352</v>
      </c>
      <c r="E29" s="34">
        <v>29.841691155559769</v>
      </c>
      <c r="F29" s="34">
        <v>4.9212518451308851</v>
      </c>
      <c r="G29" s="34">
        <v>3.7471392007366982</v>
      </c>
      <c r="H29" s="34">
        <v>8.6683910458675832</v>
      </c>
      <c r="I29" s="34">
        <v>29.864712972116518</v>
      </c>
      <c r="J29" s="34"/>
      <c r="K29" s="34" t="s">
        <v>67</v>
      </c>
      <c r="L29" s="34">
        <v>0.14896469536719797</v>
      </c>
      <c r="M29" s="34" t="s">
        <v>67</v>
      </c>
      <c r="N29" s="34" t="s">
        <v>67</v>
      </c>
      <c r="O29" s="34">
        <v>2.5906314748859063</v>
      </c>
      <c r="P29" s="34"/>
      <c r="Q29" s="34">
        <v>-2.3306203702449793</v>
      </c>
      <c r="R29" s="34"/>
      <c r="S29" s="34"/>
      <c r="T29" s="34">
        <v>2.5838603523692152</v>
      </c>
      <c r="U29" s="34">
        <v>3.3164958086751621</v>
      </c>
      <c r="V29" s="34">
        <v>2.3373914927616699</v>
      </c>
      <c r="W29" s="34"/>
      <c r="X29" s="34" t="s">
        <v>67</v>
      </c>
      <c r="Y29" s="34"/>
      <c r="Z29" s="34"/>
      <c r="AA29" s="34">
        <v>1.9676882033503516</v>
      </c>
      <c r="AB29" s="34" t="s">
        <v>67</v>
      </c>
      <c r="AC29" s="35" t="s">
        <v>67</v>
      </c>
      <c r="AD29" s="48"/>
      <c r="AE29" s="37">
        <v>73.843000000000004</v>
      </c>
      <c r="AF29" s="37">
        <v>79.12</v>
      </c>
      <c r="AG29" s="41">
        <v>2.5446863580414503</v>
      </c>
    </row>
    <row r="30" spans="1:33">
      <c r="A30" s="9"/>
      <c r="B30" s="47" t="s">
        <v>92</v>
      </c>
      <c r="C30" s="34">
        <v>36.228047910850044</v>
      </c>
      <c r="D30" s="34">
        <v>40.316907792160706</v>
      </c>
      <c r="E30" s="34">
        <v>31.042943302271052</v>
      </c>
      <c r="F30" s="34">
        <v>5.251580308688979</v>
      </c>
      <c r="G30" s="34">
        <v>4.022384181200672</v>
      </c>
      <c r="H30" s="34">
        <v>9.2739644898896501</v>
      </c>
      <c r="I30" s="34">
        <v>29.839128805733832</v>
      </c>
      <c r="J30" s="34"/>
      <c r="K30" s="34" t="s">
        <v>67</v>
      </c>
      <c r="L30" s="34">
        <v>-1.0527333599236135</v>
      </c>
      <c r="M30" s="34" t="s">
        <v>67</v>
      </c>
      <c r="N30" s="34" t="s">
        <v>67</v>
      </c>
      <c r="O30" s="34">
        <v>4.0888598813106594</v>
      </c>
      <c r="P30" s="34"/>
      <c r="Q30" s="34">
        <v>-1.1627204273783192</v>
      </c>
      <c r="R30" s="34"/>
      <c r="S30" s="34"/>
      <c r="T30" s="34">
        <v>2.5804658133604068</v>
      </c>
      <c r="U30" s="34">
        <v>5.28300518510461</v>
      </c>
      <c r="V30" s="34">
        <v>2.4378452203971621</v>
      </c>
      <c r="W30" s="34"/>
      <c r="X30" s="34" t="s">
        <v>67</v>
      </c>
      <c r="Y30" s="34"/>
      <c r="Z30" s="34"/>
      <c r="AA30" s="34">
        <v>3.6670413478854682</v>
      </c>
      <c r="AB30" s="34" t="s">
        <v>67</v>
      </c>
      <c r="AC30" s="35" t="s">
        <v>67</v>
      </c>
      <c r="AD30" s="48"/>
      <c r="AE30" s="37">
        <v>82.736999999999995</v>
      </c>
      <c r="AF30" s="37">
        <v>88.688999999999993</v>
      </c>
      <c r="AG30" s="41">
        <v>6.5394315949810444</v>
      </c>
    </row>
    <row r="31" spans="1:33">
      <c r="B31" s="47" t="s">
        <v>93</v>
      </c>
      <c r="C31" s="34">
        <v>39.06914595212109</v>
      </c>
      <c r="D31" s="34">
        <v>44.772998500596707</v>
      </c>
      <c r="E31" s="34">
        <v>34.821856608084538</v>
      </c>
      <c r="F31" s="34">
        <v>5.5345321759707868</v>
      </c>
      <c r="G31" s="34">
        <v>4.4166097165413767</v>
      </c>
      <c r="H31" s="34">
        <v>9.9511418925121635</v>
      </c>
      <c r="I31" s="34">
        <v>32.540111588245495</v>
      </c>
      <c r="J31" s="34"/>
      <c r="K31" s="34" t="s">
        <v>67</v>
      </c>
      <c r="L31" s="34">
        <v>-2.3001050602311324</v>
      </c>
      <c r="M31" s="34" t="s">
        <v>67</v>
      </c>
      <c r="N31" s="34" t="s">
        <v>67</v>
      </c>
      <c r="O31" s="34">
        <v>5.7038525484756057</v>
      </c>
      <c r="P31" s="34"/>
      <c r="Q31" s="34">
        <v>0.16932037250481952</v>
      </c>
      <c r="R31" s="34"/>
      <c r="S31" s="34"/>
      <c r="T31" s="34">
        <v>5.1958914309611481</v>
      </c>
      <c r="U31" s="34">
        <v>8.1467579228674296</v>
      </c>
      <c r="V31" s="34">
        <v>2.4194453227797097</v>
      </c>
      <c r="W31" s="34"/>
      <c r="X31" s="34">
        <v>47.815273354686546</v>
      </c>
      <c r="Y31" s="34"/>
      <c r="Z31" s="34"/>
      <c r="AA31" s="34">
        <v>3.4384275645406421</v>
      </c>
      <c r="AB31" s="34" t="s">
        <v>67</v>
      </c>
      <c r="AC31" s="35">
        <v>54.743520435744962</v>
      </c>
      <c r="AD31" s="48"/>
      <c r="AE31" s="37">
        <v>98.039000000000001</v>
      </c>
      <c r="AF31" s="37">
        <v>108.961</v>
      </c>
      <c r="AG31" s="41">
        <v>3.1047807042479647</v>
      </c>
    </row>
    <row r="32" spans="1:33">
      <c r="B32" s="47" t="s">
        <v>94</v>
      </c>
      <c r="C32" s="34">
        <v>40.174013921113691</v>
      </c>
      <c r="D32" s="34">
        <v>46.513921113689094</v>
      </c>
      <c r="E32" s="34">
        <v>36.39376864434869</v>
      </c>
      <c r="F32" s="34">
        <v>5.5684454756380504</v>
      </c>
      <c r="G32" s="34">
        <v>4.5517069937023535</v>
      </c>
      <c r="H32" s="34">
        <v>10.120152469340402</v>
      </c>
      <c r="I32" s="34">
        <v>33.39907192575405</v>
      </c>
      <c r="J32" s="34"/>
      <c r="K32" s="34">
        <v>0.523886031866164</v>
      </c>
      <c r="L32" s="34">
        <v>-3.0013258203513424</v>
      </c>
      <c r="M32" s="34">
        <v>-2.7537501352801517</v>
      </c>
      <c r="N32" s="34">
        <v>6.0923315075042144</v>
      </c>
      <c r="O32" s="34">
        <v>6.3399071925754056</v>
      </c>
      <c r="P32" s="34"/>
      <c r="Q32" s="34">
        <v>0.77146171693735499</v>
      </c>
      <c r="R32" s="34"/>
      <c r="S32" s="34"/>
      <c r="T32" s="34">
        <v>7.2530659595624787</v>
      </c>
      <c r="U32" s="34">
        <v>8.5192243950944651</v>
      </c>
      <c r="V32" s="34">
        <v>2.5762346702021874</v>
      </c>
      <c r="W32" s="34"/>
      <c r="X32" s="34">
        <v>49.398740217598778</v>
      </c>
      <c r="Y32" s="34"/>
      <c r="Z32" s="34"/>
      <c r="AA32" s="34">
        <v>4.2177659927079878</v>
      </c>
      <c r="AB32" s="34">
        <v>3.9701903076367966</v>
      </c>
      <c r="AC32" s="35">
        <v>54.3901226383825</v>
      </c>
      <c r="AD32" s="48"/>
      <c r="AE32" s="37">
        <v>120.68</v>
      </c>
      <c r="AF32" s="37">
        <v>130.97499999999999</v>
      </c>
      <c r="AG32" s="41">
        <v>-1.7370636518415679</v>
      </c>
    </row>
    <row r="33" spans="2:33">
      <c r="B33" s="47" t="s">
        <v>95</v>
      </c>
      <c r="C33" s="34">
        <v>40.269837801258959</v>
      </c>
      <c r="D33" s="34">
        <v>45.206995481556149</v>
      </c>
      <c r="E33" s="34">
        <v>36.13768212994227</v>
      </c>
      <c r="F33" s="34">
        <v>4.510689890951129</v>
      </c>
      <c r="G33" s="34">
        <v>4.5586234606627514</v>
      </c>
      <c r="H33" s="34">
        <v>9.0693133516138804</v>
      </c>
      <c r="I33" s="34">
        <v>32.808413751295262</v>
      </c>
      <c r="J33" s="34"/>
      <c r="K33" s="34">
        <v>-0.24076596475681797</v>
      </c>
      <c r="L33" s="34">
        <v>-1.3090093963894744</v>
      </c>
      <c r="M33" s="34">
        <v>-0.64177564228659723</v>
      </c>
      <c r="N33" s="34">
        <v>4.2699239261943109</v>
      </c>
      <c r="O33" s="34">
        <v>4.9371576802971875</v>
      </c>
      <c r="P33" s="34"/>
      <c r="Q33" s="34">
        <v>0.42646778934605928</v>
      </c>
      <c r="R33" s="34"/>
      <c r="S33" s="34"/>
      <c r="T33" s="34">
        <v>4.1159428462671732</v>
      </c>
      <c r="U33" s="34">
        <v>5.8126502329712473</v>
      </c>
      <c r="V33" s="34">
        <v>2.8753092772604556</v>
      </c>
      <c r="W33" s="34"/>
      <c r="X33" s="34">
        <v>47.867739354956193</v>
      </c>
      <c r="Y33" s="34"/>
      <c r="Z33" s="34"/>
      <c r="AA33" s="34">
        <v>3.6232139458491646</v>
      </c>
      <c r="AB33" s="34">
        <v>2.9559801917462871</v>
      </c>
      <c r="AC33" s="35">
        <v>53.566469058175848</v>
      </c>
      <c r="AD33" s="48"/>
      <c r="AE33" s="37">
        <v>141.863</v>
      </c>
      <c r="AF33" s="37">
        <v>153.75700000000001</v>
      </c>
      <c r="AG33" s="41">
        <v>-0.63964204746912723</v>
      </c>
    </row>
    <row r="34" spans="2:33">
      <c r="B34" s="47" t="s">
        <v>96</v>
      </c>
      <c r="C34" s="34">
        <v>38.450265947823567</v>
      </c>
      <c r="D34" s="34">
        <v>42.32429955012001</v>
      </c>
      <c r="E34" s="34">
        <v>34.708904729167422</v>
      </c>
      <c r="F34" s="34">
        <v>3.1557935617710551</v>
      </c>
      <c r="G34" s="34">
        <v>4.4596012591815315</v>
      </c>
      <c r="H34" s="34">
        <v>7.6153948209525879</v>
      </c>
      <c r="I34" s="34">
        <v>31.670104087515526</v>
      </c>
      <c r="J34" s="34"/>
      <c r="K34" s="34">
        <v>0.35577604755568326</v>
      </c>
      <c r="L34" s="34">
        <v>-0.32323817105088593</v>
      </c>
      <c r="M34" s="34">
        <v>3.9225821918813353E-2</v>
      </c>
      <c r="N34" s="34">
        <v>3.5115696093267381</v>
      </c>
      <c r="O34" s="34">
        <v>3.8740336022964388</v>
      </c>
      <c r="P34" s="34"/>
      <c r="Q34" s="34">
        <v>0.71824004052538259</v>
      </c>
      <c r="R34" s="34"/>
      <c r="S34" s="34"/>
      <c r="T34" s="34">
        <v>2.821097321223963</v>
      </c>
      <c r="U34" s="34">
        <v>3.3578174186778589</v>
      </c>
      <c r="V34" s="34">
        <v>2.9591972114677181</v>
      </c>
      <c r="W34" s="34"/>
      <c r="X34" s="34">
        <v>44.396542095740159</v>
      </c>
      <c r="Y34" s="34"/>
      <c r="Z34" s="34"/>
      <c r="AA34" s="34">
        <v>3.2257480913268446</v>
      </c>
      <c r="AB34" s="34">
        <v>2.8632840983571457</v>
      </c>
      <c r="AC34" s="35">
        <v>52.078131972838349</v>
      </c>
      <c r="AD34" s="48"/>
      <c r="AE34" s="37">
        <v>165.822</v>
      </c>
      <c r="AF34" s="37">
        <v>179.06800000000001</v>
      </c>
      <c r="AG34" s="41">
        <v>-0.46907116695174766</v>
      </c>
    </row>
    <row r="35" spans="2:33">
      <c r="B35" s="47" t="s">
        <v>97</v>
      </c>
      <c r="C35" s="34">
        <v>36.965827544186716</v>
      </c>
      <c r="D35" s="34">
        <v>41.488652578296687</v>
      </c>
      <c r="E35" s="34">
        <v>34.407319842104712</v>
      </c>
      <c r="F35" s="34">
        <v>2.7303594304937873</v>
      </c>
      <c r="G35" s="34">
        <v>4.3509733056981865</v>
      </c>
      <c r="H35" s="34">
        <v>7.0813327361919738</v>
      </c>
      <c r="I35" s="34">
        <v>30.429212710778746</v>
      </c>
      <c r="J35" s="34"/>
      <c r="K35" s="34">
        <v>2.4793150379801174</v>
      </c>
      <c r="L35" s="34">
        <v>-1.0555862226990096</v>
      </c>
      <c r="M35" s="34">
        <v>-1.74243565706295</v>
      </c>
      <c r="N35" s="34">
        <v>5.2096744684739047</v>
      </c>
      <c r="O35" s="34">
        <v>4.5228250341099647</v>
      </c>
      <c r="P35" s="34"/>
      <c r="Q35" s="34">
        <v>1.7924656036161768</v>
      </c>
      <c r="R35" s="34"/>
      <c r="S35" s="34"/>
      <c r="T35" s="34">
        <v>4.0385156176767723</v>
      </c>
      <c r="U35" s="34">
        <v>4.7019674419089084</v>
      </c>
      <c r="V35" s="34">
        <v>3.0495870350889982</v>
      </c>
      <c r="W35" s="34"/>
      <c r="X35" s="34">
        <v>42.254058488010529</v>
      </c>
      <c r="Y35" s="34"/>
      <c r="Z35" s="34"/>
      <c r="AA35" s="34">
        <v>3.7703227687917265</v>
      </c>
      <c r="AB35" s="34">
        <v>4.4571722031556664</v>
      </c>
      <c r="AC35" s="35">
        <v>50.373907699998952</v>
      </c>
      <c r="AD35" s="48"/>
      <c r="AE35" s="37">
        <v>192.02600000000001</v>
      </c>
      <c r="AF35" s="37">
        <v>209.684</v>
      </c>
      <c r="AG35" s="41">
        <v>1.561327335508581</v>
      </c>
    </row>
    <row r="36" spans="2:33">
      <c r="B36" s="47" t="s">
        <v>98</v>
      </c>
      <c r="C36" s="34">
        <v>37.333741084042593</v>
      </c>
      <c r="D36" s="34">
        <v>41.014696254436437</v>
      </c>
      <c r="E36" s="34">
        <v>34.238568622721473</v>
      </c>
      <c r="F36" s="34">
        <v>2.530925881258399</v>
      </c>
      <c r="G36" s="34">
        <v>4.2452017504565651</v>
      </c>
      <c r="H36" s="34">
        <v>6.7761276317149646</v>
      </c>
      <c r="I36" s="34">
        <v>31.245908135488097</v>
      </c>
      <c r="J36" s="34"/>
      <c r="K36" s="34">
        <v>1.4133124550043135</v>
      </c>
      <c r="L36" s="34">
        <v>-6.9777057992488206E-2</v>
      </c>
      <c r="M36" s="34">
        <v>-0.33306022386134776</v>
      </c>
      <c r="N36" s="34">
        <v>3.9442383362627127</v>
      </c>
      <c r="O36" s="34">
        <v>3.6809551703938523</v>
      </c>
      <c r="P36" s="34"/>
      <c r="Q36" s="34">
        <v>1.1500292891354535</v>
      </c>
      <c r="R36" s="34"/>
      <c r="S36" s="34"/>
      <c r="T36" s="34">
        <v>3.4733468867371902</v>
      </c>
      <c r="U36" s="34">
        <v>4.187915647289894</v>
      </c>
      <c r="V36" s="34">
        <v>3.2678922159815307</v>
      </c>
      <c r="W36" s="34"/>
      <c r="X36" s="34">
        <v>39.147368714794275</v>
      </c>
      <c r="Y36" s="34"/>
      <c r="Z36" s="34"/>
      <c r="AA36" s="34">
        <v>2.6153475069777059</v>
      </c>
      <c r="AB36" s="34">
        <v>2.8786306728465654</v>
      </c>
      <c r="AC36" s="35">
        <v>46.302246648978326</v>
      </c>
      <c r="AD36" s="48"/>
      <c r="AE36" s="37">
        <v>232.16800000000001</v>
      </c>
      <c r="AF36" s="37">
        <v>250.84700000000001</v>
      </c>
      <c r="AG36" s="41">
        <v>-9.7964602465713146E-2</v>
      </c>
    </row>
    <row r="37" spans="2:33">
      <c r="B37" s="47" t="s">
        <v>99</v>
      </c>
      <c r="C37" s="34">
        <v>38.563853689224409</v>
      </c>
      <c r="D37" s="34">
        <v>42.884050807345496</v>
      </c>
      <c r="E37" s="34">
        <v>36.18675294329109</v>
      </c>
      <c r="F37" s="34">
        <v>2.2535274557382943</v>
      </c>
      <c r="G37" s="34">
        <v>4.4437704083161087</v>
      </c>
      <c r="H37" s="34">
        <v>6.6972978640544021</v>
      </c>
      <c r="I37" s="34">
        <v>32.169497618405678</v>
      </c>
      <c r="J37" s="34"/>
      <c r="K37" s="34">
        <v>0.63877365406927045</v>
      </c>
      <c r="L37" s="34">
        <v>-0.55757766394056496</v>
      </c>
      <c r="M37" s="34">
        <v>0.87031834437295719</v>
      </c>
      <c r="N37" s="34">
        <v>2.8923011098075655</v>
      </c>
      <c r="O37" s="34">
        <v>4.3201971181210874</v>
      </c>
      <c r="P37" s="34"/>
      <c r="Q37" s="34">
        <v>2.0666696623827927</v>
      </c>
      <c r="R37" s="34"/>
      <c r="S37" s="34"/>
      <c r="T37" s="34">
        <v>4.6796830532338758</v>
      </c>
      <c r="U37" s="34">
        <v>4.5935562146131028</v>
      </c>
      <c r="V37" s="34">
        <v>3.4312183577484197</v>
      </c>
      <c r="W37" s="34"/>
      <c r="X37" s="34">
        <v>40.403466603232992</v>
      </c>
      <c r="Y37" s="34"/>
      <c r="Z37" s="34"/>
      <c r="AA37" s="34">
        <v>3.3525808094424971</v>
      </c>
      <c r="AB37" s="34">
        <v>1.924684801128975</v>
      </c>
      <c r="AC37" s="35">
        <v>47.265660106048344</v>
      </c>
      <c r="AD37" s="48"/>
      <c r="AE37" s="37">
        <v>267.048</v>
      </c>
      <c r="AF37" s="37">
        <v>281.65899999999999</v>
      </c>
      <c r="AG37" s="41">
        <v>-2.8166061756407594</v>
      </c>
    </row>
    <row r="38" spans="2:33">
      <c r="B38" s="47" t="s">
        <v>100</v>
      </c>
      <c r="C38" s="34">
        <v>40.952038667333959</v>
      </c>
      <c r="D38" s="34">
        <v>42.96702595400361</v>
      </c>
      <c r="E38" s="34">
        <v>37.144757304706786</v>
      </c>
      <c r="F38" s="34">
        <v>1.4671552705739306</v>
      </c>
      <c r="G38" s="34">
        <v>4.3551133787228897</v>
      </c>
      <c r="H38" s="34">
        <v>5.8222686492968201</v>
      </c>
      <c r="I38" s="34">
        <v>34.085832613974922</v>
      </c>
      <c r="J38" s="34"/>
      <c r="K38" s="34">
        <v>-1.5969943171007195</v>
      </c>
      <c r="L38" s="34">
        <v>1.9300078261716587</v>
      </c>
      <c r="M38" s="34">
        <v>4.0748341593680921</v>
      </c>
      <c r="N38" s="34">
        <v>-0.12983904652678868</v>
      </c>
      <c r="O38" s="34">
        <v>2.0149872866696446</v>
      </c>
      <c r="P38" s="34"/>
      <c r="Q38" s="34">
        <v>0.54783201609571441</v>
      </c>
      <c r="R38" s="34"/>
      <c r="S38" s="34"/>
      <c r="T38" s="34">
        <v>2.5644987387435805</v>
      </c>
      <c r="U38" s="34">
        <v>2.9128137606266313</v>
      </c>
      <c r="V38" s="34">
        <v>3.7726849814758214</v>
      </c>
      <c r="W38" s="34"/>
      <c r="X38" s="34">
        <v>40.091711390913403</v>
      </c>
      <c r="Y38" s="34"/>
      <c r="Z38" s="34"/>
      <c r="AA38" s="34">
        <v>2.7939096933685792</v>
      </c>
      <c r="AB38" s="34">
        <v>0.64908336017214552</v>
      </c>
      <c r="AC38" s="35">
        <v>44.890651923458023</v>
      </c>
      <c r="AD38" s="48"/>
      <c r="AE38" s="37">
        <v>297.71899999999999</v>
      </c>
      <c r="AF38" s="37">
        <v>312.28399999999999</v>
      </c>
      <c r="AG38" s="41">
        <v>-3.1630101961365638</v>
      </c>
    </row>
    <row r="39" spans="2:33">
      <c r="B39" s="47" t="s">
        <v>101</v>
      </c>
      <c r="C39" s="34">
        <v>40.648956542487774</v>
      </c>
      <c r="D39" s="34">
        <v>43.262036011673501</v>
      </c>
      <c r="E39" s="34">
        <v>37.148433437138642</v>
      </c>
      <c r="F39" s="34">
        <v>1.9385488874069268</v>
      </c>
      <c r="G39" s="34">
        <v>4.1750536871279369</v>
      </c>
      <c r="H39" s="34">
        <v>6.1136025745348643</v>
      </c>
      <c r="I39" s="34">
        <v>33.778839623853607</v>
      </c>
      <c r="J39" s="34"/>
      <c r="K39" s="34">
        <v>-1.3141869287760002</v>
      </c>
      <c r="L39" s="34">
        <v>1.0296915819807033</v>
      </c>
      <c r="M39" s="34">
        <v>3.0184090925355065</v>
      </c>
      <c r="N39" s="34">
        <v>0.62436195863092636</v>
      </c>
      <c r="O39" s="34">
        <v>2.6130794691857298</v>
      </c>
      <c r="P39" s="34"/>
      <c r="Q39" s="34">
        <v>0.67453058177880287</v>
      </c>
      <c r="R39" s="34"/>
      <c r="S39" s="34"/>
      <c r="T39" s="34">
        <v>3.9214546611439798</v>
      </c>
      <c r="U39" s="34">
        <v>2.7525742289549515</v>
      </c>
      <c r="V39" s="34">
        <v>3.6975288625670704</v>
      </c>
      <c r="W39" s="34"/>
      <c r="X39" s="34">
        <v>38.72264938905888</v>
      </c>
      <c r="Y39" s="34"/>
      <c r="Z39" s="34"/>
      <c r="AA39" s="34">
        <v>2.662942727612009</v>
      </c>
      <c r="AB39" s="34">
        <v>0.67422521705720551</v>
      </c>
      <c r="AC39" s="35">
        <v>43.711111247070917</v>
      </c>
      <c r="AD39" s="48"/>
      <c r="AE39" s="37">
        <v>326.89400000000001</v>
      </c>
      <c r="AF39" s="37">
        <v>342.17700000000002</v>
      </c>
      <c r="AG39" s="41">
        <v>-2.7122309426549811</v>
      </c>
    </row>
    <row r="40" spans="2:33">
      <c r="B40" s="47" t="s">
        <v>102</v>
      </c>
      <c r="C40" s="34">
        <v>39.537999395858272</v>
      </c>
      <c r="D40" s="34">
        <v>42.838962666278832</v>
      </c>
      <c r="E40" s="34">
        <v>36.647628743720837</v>
      </c>
      <c r="F40" s="34">
        <v>2.190013761006008</v>
      </c>
      <c r="G40" s="34">
        <v>4.0013201615519733</v>
      </c>
      <c r="H40" s="34">
        <v>6.1913339225579813</v>
      </c>
      <c r="I40" s="34">
        <v>33.090744324983504</v>
      </c>
      <c r="J40" s="34"/>
      <c r="K40" s="34">
        <v>-0.17561961295661313</v>
      </c>
      <c r="L40" s="34">
        <v>0.16250293680006267</v>
      </c>
      <c r="M40" s="34">
        <v>1.4490720591712178</v>
      </c>
      <c r="N40" s="34">
        <v>2.0143941480493952</v>
      </c>
      <c r="O40" s="34">
        <v>3.3009632704205498</v>
      </c>
      <c r="P40" s="34"/>
      <c r="Q40" s="34">
        <v>1.1109495094145418</v>
      </c>
      <c r="R40" s="34"/>
      <c r="S40" s="34"/>
      <c r="T40" s="34">
        <v>3.4368951590347163</v>
      </c>
      <c r="U40" s="34">
        <v>2.7396149155879757</v>
      </c>
      <c r="V40" s="34">
        <v>3.6989696027208749</v>
      </c>
      <c r="W40" s="34"/>
      <c r="X40" s="34">
        <v>38.878375122171768</v>
      </c>
      <c r="Y40" s="34"/>
      <c r="Z40" s="34"/>
      <c r="AA40" s="34">
        <v>3.2892160701699433</v>
      </c>
      <c r="AB40" s="34">
        <v>2.0026469477987883</v>
      </c>
      <c r="AC40" s="35">
        <v>43.394157725742033</v>
      </c>
      <c r="AD40" s="48"/>
      <c r="AE40" s="37">
        <v>357.53199999999998</v>
      </c>
      <c r="AF40" s="37">
        <v>369.35700000000003</v>
      </c>
      <c r="AG40" s="41">
        <v>-1.4882458676803174</v>
      </c>
    </row>
    <row r="41" spans="2:33">
      <c r="B41" s="47" t="s">
        <v>103</v>
      </c>
      <c r="C41" s="34">
        <v>39.270601726334256</v>
      </c>
      <c r="D41" s="34">
        <v>42.52272072768595</v>
      </c>
      <c r="E41" s="34">
        <v>36.793958089564939</v>
      </c>
      <c r="F41" s="34">
        <v>1.9375209175982837</v>
      </c>
      <c r="G41" s="34">
        <v>3.7912417205227262</v>
      </c>
      <c r="H41" s="34">
        <v>5.7287626381210099</v>
      </c>
      <c r="I41" s="34">
        <v>33.661961234015067</v>
      </c>
      <c r="J41" s="34"/>
      <c r="K41" s="34">
        <v>0.83067849055358989</v>
      </c>
      <c r="L41" s="34">
        <v>0.3684091728695183</v>
      </c>
      <c r="M41" s="34">
        <v>0.85232876606934349</v>
      </c>
      <c r="N41" s="34">
        <v>2.7681994081518733</v>
      </c>
      <c r="O41" s="34">
        <v>3.2521190013516983</v>
      </c>
      <c r="P41" s="34"/>
      <c r="Q41" s="34">
        <v>1.314598083753415</v>
      </c>
      <c r="R41" s="34"/>
      <c r="S41" s="34"/>
      <c r="T41" s="34">
        <v>2.6655181986348104</v>
      </c>
      <c r="U41" s="34">
        <v>2.6616265524425269</v>
      </c>
      <c r="V41" s="34">
        <v>3.8190021300276831</v>
      </c>
      <c r="W41" s="34"/>
      <c r="X41" s="34">
        <v>38.738458653480791</v>
      </c>
      <c r="Y41" s="34"/>
      <c r="Z41" s="34"/>
      <c r="AA41" s="34">
        <v>2.8686621298720167</v>
      </c>
      <c r="AB41" s="34">
        <v>2.3847425366721917</v>
      </c>
      <c r="AC41" s="35">
        <v>43.192602758917708</v>
      </c>
      <c r="AD41" s="48"/>
      <c r="AE41" s="37">
        <v>385.44099999999997</v>
      </c>
      <c r="AF41" s="37">
        <v>405.28199999999998</v>
      </c>
      <c r="AG41" s="41">
        <v>-0.37254083932752319</v>
      </c>
    </row>
    <row r="42" spans="2:33">
      <c r="B42" s="47" t="s">
        <v>104</v>
      </c>
      <c r="C42" s="34">
        <v>38.326888233223642</v>
      </c>
      <c r="D42" s="34">
        <v>40.460976237778127</v>
      </c>
      <c r="E42" s="34">
        <v>35.566794781240624</v>
      </c>
      <c r="F42" s="34">
        <v>1.4955624481773793</v>
      </c>
      <c r="G42" s="34">
        <v>3.3986190083601255</v>
      </c>
      <c r="H42" s="34">
        <v>4.8941814565375044</v>
      </c>
      <c r="I42" s="34">
        <v>32.735832788039275</v>
      </c>
      <c r="J42" s="34"/>
      <c r="K42" s="34">
        <v>0.62245327641371551</v>
      </c>
      <c r="L42" s="34">
        <v>1.3113042410097351</v>
      </c>
      <c r="M42" s="34">
        <v>1.3273765209731252</v>
      </c>
      <c r="N42" s="34">
        <v>2.1180157245910944</v>
      </c>
      <c r="O42" s="34">
        <v>2.134088004554485</v>
      </c>
      <c r="P42" s="34"/>
      <c r="Q42" s="34">
        <v>0.63852555637710562</v>
      </c>
      <c r="R42" s="34"/>
      <c r="S42" s="34"/>
      <c r="T42" s="34">
        <v>2.6254432236682028</v>
      </c>
      <c r="U42" s="34">
        <v>1.3557151935065519</v>
      </c>
      <c r="V42" s="34">
        <v>3.9216288425513621</v>
      </c>
      <c r="W42" s="34"/>
      <c r="X42" s="34">
        <v>37.105115939216113</v>
      </c>
      <c r="Y42" s="34"/>
      <c r="Z42" s="34"/>
      <c r="AA42" s="34">
        <v>2.2793685140520501</v>
      </c>
      <c r="AB42" s="34">
        <v>2.2632962340886604</v>
      </c>
      <c r="AC42" s="35">
        <v>42.351748917483029</v>
      </c>
      <c r="AD42" s="48"/>
      <c r="AE42" s="37">
        <v>423.31900000000002</v>
      </c>
      <c r="AF42" s="37">
        <v>437.94499999999999</v>
      </c>
      <c r="AG42" s="41">
        <v>0.1168717758042289</v>
      </c>
    </row>
    <row r="43" spans="2:33">
      <c r="B43" s="47" t="s">
        <v>105</v>
      </c>
      <c r="C43" s="34">
        <v>37.402022811549884</v>
      </c>
      <c r="D43" s="34">
        <v>39.322024217500569</v>
      </c>
      <c r="E43" s="34">
        <v>34.904922584840328</v>
      </c>
      <c r="F43" s="34">
        <v>0.93298008822340539</v>
      </c>
      <c r="G43" s="34">
        <v>3.4841215444368285</v>
      </c>
      <c r="H43" s="34">
        <v>4.4171016326602341</v>
      </c>
      <c r="I43" s="34">
        <v>32.507996344528216</v>
      </c>
      <c r="J43" s="34"/>
      <c r="K43" s="34">
        <v>1.140229661642054</v>
      </c>
      <c r="L43" s="34">
        <v>1.3574014516440835</v>
      </c>
      <c r="M43" s="34">
        <v>1.2041931077293102</v>
      </c>
      <c r="N43" s="34">
        <v>2.0732097498654598</v>
      </c>
      <c r="O43" s="34">
        <v>1.9200014059506862</v>
      </c>
      <c r="P43" s="34"/>
      <c r="Q43" s="34">
        <v>0.98702131772728063</v>
      </c>
      <c r="R43" s="34"/>
      <c r="S43" s="34"/>
      <c r="T43" s="34">
        <v>2.2919192984306074</v>
      </c>
      <c r="U43" s="34">
        <v>0.80995940317393367</v>
      </c>
      <c r="V43" s="34">
        <v>3.8136412365336283</v>
      </c>
      <c r="W43" s="34"/>
      <c r="X43" s="34">
        <v>34.84392909945678</v>
      </c>
      <c r="Y43" s="34"/>
      <c r="Z43" s="34"/>
      <c r="AA43" s="34">
        <v>2.1339695260188747</v>
      </c>
      <c r="AB43" s="34">
        <v>2.2871778699336476</v>
      </c>
      <c r="AC43" s="35">
        <v>41.889421978524098</v>
      </c>
      <c r="AD43" s="48"/>
      <c r="AE43" s="37">
        <v>455.20800000000003</v>
      </c>
      <c r="AF43" s="37">
        <v>481.57600000000002</v>
      </c>
      <c r="AG43" s="41">
        <v>0.25966797750785497</v>
      </c>
    </row>
    <row r="44" spans="2:33">
      <c r="B44" s="47" t="s">
        <v>106</v>
      </c>
      <c r="C44" s="34">
        <v>36.207476737907236</v>
      </c>
      <c r="D44" s="34">
        <v>37.200175297183506</v>
      </c>
      <c r="E44" s="34">
        <v>33.290617687798843</v>
      </c>
      <c r="F44" s="34">
        <v>0.29287933449676407</v>
      </c>
      <c r="G44" s="34">
        <v>3.6166782748878958</v>
      </c>
      <c r="H44" s="34">
        <v>3.9095576093846596</v>
      </c>
      <c r="I44" s="34">
        <v>31.693769906795115</v>
      </c>
      <c r="J44" s="34"/>
      <c r="K44" s="34">
        <v>1.8586622533095916</v>
      </c>
      <c r="L44" s="34">
        <v>1.9934185298513887</v>
      </c>
      <c r="M44" s="34">
        <v>0.83457550132130609</v>
      </c>
      <c r="N44" s="34">
        <v>2.1515415878063555</v>
      </c>
      <c r="O44" s="34">
        <v>0.99269855927627304</v>
      </c>
      <c r="P44" s="34"/>
      <c r="Q44" s="34">
        <v>0.69981922477950897</v>
      </c>
      <c r="R44" s="34"/>
      <c r="S44" s="34"/>
      <c r="T44" s="34">
        <v>0.23457736944663998</v>
      </c>
      <c r="U44" s="34">
        <v>-0.63212633918439853</v>
      </c>
      <c r="V44" s="34">
        <v>3.6399599320723417</v>
      </c>
      <c r="W44" s="34"/>
      <c r="X44" s="34">
        <v>30.971781265957688</v>
      </c>
      <c r="Y44" s="34"/>
      <c r="Z44" s="34"/>
      <c r="AA44" s="34">
        <v>1.2302105913932213</v>
      </c>
      <c r="AB44" s="34">
        <v>2.3890536199233035</v>
      </c>
      <c r="AC44" s="35">
        <v>39.307850026998899</v>
      </c>
      <c r="AD44" s="48"/>
      <c r="AE44" s="37">
        <v>511.13200000000001</v>
      </c>
      <c r="AF44" s="37">
        <v>540.49199999999996</v>
      </c>
      <c r="AG44" s="41">
        <v>2.2138188660570233</v>
      </c>
    </row>
    <row r="45" spans="2:33">
      <c r="B45" s="47" t="s">
        <v>107</v>
      </c>
      <c r="C45" s="34">
        <v>35.523373200039259</v>
      </c>
      <c r="D45" s="34">
        <v>34.554163570336925</v>
      </c>
      <c r="E45" s="34">
        <v>31.030657169697562</v>
      </c>
      <c r="F45" s="34">
        <v>5.5208143464056871E-2</v>
      </c>
      <c r="G45" s="34">
        <v>3.4682982571753063</v>
      </c>
      <c r="H45" s="34">
        <v>3.5235064006393624</v>
      </c>
      <c r="I45" s="34">
        <v>31.144578735575777</v>
      </c>
      <c r="J45" s="34"/>
      <c r="K45" s="34">
        <v>1.053840889352337</v>
      </c>
      <c r="L45" s="34">
        <v>3.6186747241345465</v>
      </c>
      <c r="M45" s="34">
        <v>1.5404160616158216</v>
      </c>
      <c r="N45" s="34">
        <v>1.1090490328163938</v>
      </c>
      <c r="O45" s="34">
        <v>-0.96920962970233182</v>
      </c>
      <c r="P45" s="34"/>
      <c r="Q45" s="34">
        <v>-1.0244177731663886</v>
      </c>
      <c r="R45" s="34"/>
      <c r="S45" s="34"/>
      <c r="T45" s="34">
        <v>-1.2196618106868944</v>
      </c>
      <c r="U45" s="34">
        <v>-2.542028294611685</v>
      </c>
      <c r="V45" s="34">
        <v>3.3598098736697475</v>
      </c>
      <c r="W45" s="34"/>
      <c r="X45" s="34">
        <v>25.613891828385256</v>
      </c>
      <c r="Y45" s="34"/>
      <c r="Z45" s="34"/>
      <c r="AA45" s="34">
        <v>-0.59116529493417092</v>
      </c>
      <c r="AB45" s="34">
        <v>1.4870933675845546</v>
      </c>
      <c r="AC45" s="35">
        <v>34.219234166654985</v>
      </c>
      <c r="AD45" s="48"/>
      <c r="AE45" s="37">
        <v>570.56799999999998</v>
      </c>
      <c r="AF45" s="37">
        <v>600.06500000000005</v>
      </c>
      <c r="AG45" s="41">
        <v>3.2709897786146414</v>
      </c>
    </row>
    <row r="46" spans="2:33" ht="15" customHeight="1">
      <c r="B46" s="47" t="s">
        <v>108</v>
      </c>
      <c r="C46" s="34">
        <v>34.75420259905416</v>
      </c>
      <c r="D46" s="34">
        <v>34.773914080197109</v>
      </c>
      <c r="E46" s="34">
        <v>30.556451933394268</v>
      </c>
      <c r="F46" s="34">
        <v>0.78035210428009372</v>
      </c>
      <c r="G46" s="34">
        <v>3.4371100425227517</v>
      </c>
      <c r="H46" s="34">
        <v>4.2174621468028448</v>
      </c>
      <c r="I46" s="34">
        <v>30.718594762150776</v>
      </c>
      <c r="J46" s="34"/>
      <c r="K46" s="34">
        <v>0.60514723298857565</v>
      </c>
      <c r="L46" s="34">
        <v>2.2809680880658108</v>
      </c>
      <c r="M46" s="34">
        <v>0.91518023194008913</v>
      </c>
      <c r="N46" s="34">
        <v>1.3854993372686693</v>
      </c>
      <c r="O46" s="34">
        <v>1.9711481142947979E-2</v>
      </c>
      <c r="P46" s="34"/>
      <c r="Q46" s="34">
        <v>-0.76064062313714575</v>
      </c>
      <c r="R46" s="34"/>
      <c r="S46" s="34"/>
      <c r="T46" s="34">
        <v>-0.72725827604021775</v>
      </c>
      <c r="U46" s="34">
        <v>-1.1111552676548901</v>
      </c>
      <c r="V46" s="34">
        <v>3.1826093867980765</v>
      </c>
      <c r="W46" s="34"/>
      <c r="X46" s="34">
        <v>23.068979133128813</v>
      </c>
      <c r="Y46" s="34"/>
      <c r="Z46" s="34"/>
      <c r="AA46" s="34">
        <v>0.47005523983626746</v>
      </c>
      <c r="AB46" s="34">
        <v>1.8358430959619889</v>
      </c>
      <c r="AC46" s="35">
        <v>29.671819735325673</v>
      </c>
      <c r="AD46" s="48"/>
      <c r="AE46" s="37">
        <v>629.07500000000005</v>
      </c>
      <c r="AF46" s="37">
        <v>658.46</v>
      </c>
      <c r="AG46" s="41">
        <v>1.4231798008055865</v>
      </c>
    </row>
    <row r="47" spans="2:33">
      <c r="B47" s="47" t="s">
        <v>109</v>
      </c>
      <c r="C47" s="34">
        <v>33.900307840817455</v>
      </c>
      <c r="D47" s="34">
        <v>34.976720641815731</v>
      </c>
      <c r="E47" s="34">
        <v>30.841323656654485</v>
      </c>
      <c r="F47" s="34">
        <v>0.9820887264336966</v>
      </c>
      <c r="G47" s="34">
        <v>3.1533082587275518</v>
      </c>
      <c r="H47" s="34">
        <v>4.1353969851612487</v>
      </c>
      <c r="I47" s="34">
        <v>30.395307634805434</v>
      </c>
      <c r="J47" s="34"/>
      <c r="K47" s="34">
        <v>-0.13056416981564334</v>
      </c>
      <c r="L47" s="34">
        <v>1.006810168753274</v>
      </c>
      <c r="M47" s="34">
        <v>1.2316984131334965</v>
      </c>
      <c r="N47" s="34">
        <v>0.85152455661805326</v>
      </c>
      <c r="O47" s="34">
        <v>1.0764128009982754</v>
      </c>
      <c r="P47" s="34"/>
      <c r="Q47" s="34">
        <v>9.4324074564578891E-2</v>
      </c>
      <c r="R47" s="34"/>
      <c r="S47" s="34"/>
      <c r="T47" s="34">
        <v>-0.38774405066718465</v>
      </c>
      <c r="U47" s="34">
        <v>-0.12522587746405092</v>
      </c>
      <c r="V47" s="34">
        <v>2.9121270446692917</v>
      </c>
      <c r="W47" s="34"/>
      <c r="X47" s="34">
        <v>21.670228175599121</v>
      </c>
      <c r="Y47" s="34"/>
      <c r="Z47" s="34"/>
      <c r="AA47" s="34">
        <v>1.3888153131676997</v>
      </c>
      <c r="AB47" s="34">
        <v>1.1639270687874774</v>
      </c>
      <c r="AC47" s="35">
        <v>27.711412477265103</v>
      </c>
      <c r="AD47" s="48"/>
      <c r="AE47" s="37">
        <v>679.572</v>
      </c>
      <c r="AF47" s="37">
        <v>697.27</v>
      </c>
      <c r="AG47" s="41">
        <v>-1.019048409082679</v>
      </c>
    </row>
    <row r="48" spans="2:33">
      <c r="B48" s="47" t="s">
        <v>110</v>
      </c>
      <c r="C48" s="34">
        <v>33.454839394210154</v>
      </c>
      <c r="D48" s="34">
        <v>36.772499329878485</v>
      </c>
      <c r="E48" s="34">
        <v>32.623051063259474</v>
      </c>
      <c r="F48" s="34">
        <v>1.2656920121515369</v>
      </c>
      <c r="G48" s="34">
        <v>2.8837562544674764</v>
      </c>
      <c r="H48" s="34">
        <v>4.1494482666190136</v>
      </c>
      <c r="I48" s="34">
        <v>30.260174678341674</v>
      </c>
      <c r="J48" s="34"/>
      <c r="K48" s="34">
        <v>0.66720933556107598</v>
      </c>
      <c r="L48" s="34">
        <v>-1.5355555307362403</v>
      </c>
      <c r="M48" s="34">
        <v>-0.15079694278051844</v>
      </c>
      <c r="N48" s="34">
        <v>1.9329013477126127</v>
      </c>
      <c r="O48" s="34">
        <v>3.3176599356683343</v>
      </c>
      <c r="P48" s="34"/>
      <c r="Q48" s="34">
        <v>2.0519679235167976</v>
      </c>
      <c r="R48" s="34"/>
      <c r="S48" s="34"/>
      <c r="T48" s="34">
        <v>1.8177046104360255</v>
      </c>
      <c r="U48" s="34">
        <v>1.9200377501786992</v>
      </c>
      <c r="V48" s="34">
        <v>2.5065336847748392</v>
      </c>
      <c r="W48" s="34"/>
      <c r="X48" s="34">
        <v>22.817884927947503</v>
      </c>
      <c r="Y48" s="34"/>
      <c r="Z48" s="34"/>
      <c r="AA48" s="34">
        <v>3.3006276804860617</v>
      </c>
      <c r="AB48" s="34">
        <v>1.9158690925303403</v>
      </c>
      <c r="AC48" s="35">
        <v>28.575517110436021</v>
      </c>
      <c r="AD48" s="48"/>
      <c r="AE48" s="37">
        <v>716.28800000000001</v>
      </c>
      <c r="AF48" s="37">
        <v>726.62300000000005</v>
      </c>
      <c r="AG48" s="41">
        <v>-2.3618978122783716</v>
      </c>
    </row>
    <row r="49" spans="2:33">
      <c r="B49" s="47" t="s">
        <v>111</v>
      </c>
      <c r="C49" s="34">
        <v>32.059462348857508</v>
      </c>
      <c r="D49" s="34">
        <v>38.331427488818669</v>
      </c>
      <c r="E49" s="34">
        <v>34.451894905643783</v>
      </c>
      <c r="F49" s="34">
        <v>1.0581158527921186</v>
      </c>
      <c r="G49" s="34">
        <v>2.82141673038277</v>
      </c>
      <c r="H49" s="34">
        <v>3.8795325831748881</v>
      </c>
      <c r="I49" s="34">
        <v>29.067534558937957</v>
      </c>
      <c r="J49" s="34"/>
      <c r="K49" s="34">
        <v>3.5690954226007632</v>
      </c>
      <c r="L49" s="34">
        <v>-4.3074341468695652</v>
      </c>
      <c r="M49" s="34">
        <v>-2.6626802823012863</v>
      </c>
      <c r="N49" s="34">
        <v>4.6272112753928809</v>
      </c>
      <c r="O49" s="34">
        <v>6.2719651399611607</v>
      </c>
      <c r="P49" s="34"/>
      <c r="Q49" s="34">
        <v>5.2138492871690421</v>
      </c>
      <c r="R49" s="34"/>
      <c r="S49" s="34"/>
      <c r="T49" s="34">
        <v>4.8989451319769133</v>
      </c>
      <c r="U49" s="34">
        <v>4.8924494725659882</v>
      </c>
      <c r="V49" s="34">
        <v>2.5548240420593951</v>
      </c>
      <c r="W49" s="34"/>
      <c r="X49" s="34">
        <v>26.60170177107516</v>
      </c>
      <c r="Y49" s="34"/>
      <c r="Z49" s="34"/>
      <c r="AA49" s="34">
        <v>6.1956411418827937</v>
      </c>
      <c r="AB49" s="34">
        <v>4.5508872773145148</v>
      </c>
      <c r="AC49" s="35">
        <v>33.648327706017277</v>
      </c>
      <c r="AD49" s="48"/>
      <c r="AE49" s="37">
        <v>738.95500000000004</v>
      </c>
      <c r="AF49" s="37">
        <v>758.97400000000005</v>
      </c>
      <c r="AG49" s="41">
        <v>-2.3447486042252104</v>
      </c>
    </row>
    <row r="50" spans="2:33">
      <c r="B50" s="47" t="s">
        <v>112</v>
      </c>
      <c r="C50" s="34">
        <v>31.244198562073311</v>
      </c>
      <c r="D50" s="34">
        <v>37.79952018038562</v>
      </c>
      <c r="E50" s="34">
        <v>34.302378286311097</v>
      </c>
      <c r="F50" s="34">
        <v>0.78561205090326869</v>
      </c>
      <c r="G50" s="34">
        <v>2.7115298431712525</v>
      </c>
      <c r="H50" s="34">
        <v>3.4971418940745216</v>
      </c>
      <c r="I50" s="34">
        <v>28.318294814551891</v>
      </c>
      <c r="J50" s="34"/>
      <c r="K50" s="34">
        <v>4.4693938143323013</v>
      </c>
      <c r="L50" s="34">
        <v>-4.3946011994213556</v>
      </c>
      <c r="M50" s="34">
        <v>-3.0942854463446188</v>
      </c>
      <c r="N50" s="34">
        <v>5.2550058652355691</v>
      </c>
      <c r="O50" s="34">
        <v>6.5553216183123073</v>
      </c>
      <c r="P50" s="34"/>
      <c r="Q50" s="34">
        <v>5.7697095674090377</v>
      </c>
      <c r="R50" s="34"/>
      <c r="S50" s="34"/>
      <c r="T50" s="34">
        <v>6.3354574948513234</v>
      </c>
      <c r="U50" s="34">
        <v>5.8870470409634184</v>
      </c>
      <c r="V50" s="34">
        <v>2.6253461710828883</v>
      </c>
      <c r="W50" s="34"/>
      <c r="X50" s="34">
        <v>31.09223615163253</v>
      </c>
      <c r="Y50" s="34"/>
      <c r="Z50" s="34"/>
      <c r="AA50" s="34">
        <v>6.5457456547469333</v>
      </c>
      <c r="AB50" s="34">
        <v>5.245429901670196</v>
      </c>
      <c r="AC50" s="35">
        <v>38.139786085741896</v>
      </c>
      <c r="AD50" s="48"/>
      <c r="AE50" s="37">
        <v>783.21100000000001</v>
      </c>
      <c r="AF50" s="37">
        <v>803.41600000000005</v>
      </c>
      <c r="AG50" s="41">
        <v>-1.6627320644633916</v>
      </c>
    </row>
    <row r="51" spans="2:33">
      <c r="B51" s="47" t="s">
        <v>113</v>
      </c>
      <c r="C51" s="34">
        <v>32.18895817490494</v>
      </c>
      <c r="D51" s="34">
        <v>37.533323193916345</v>
      </c>
      <c r="E51" s="34">
        <v>34.111756653992394</v>
      </c>
      <c r="F51" s="34">
        <v>0.81764258555133074</v>
      </c>
      <c r="G51" s="34">
        <v>2.6039239543726236</v>
      </c>
      <c r="H51" s="34">
        <v>3.4215665399239543</v>
      </c>
      <c r="I51" s="34">
        <v>29.320760456273764</v>
      </c>
      <c r="J51" s="34"/>
      <c r="K51" s="34">
        <v>3.967485765585625</v>
      </c>
      <c r="L51" s="34">
        <v>-2.9373079847908743</v>
      </c>
      <c r="M51" s="34">
        <v>-2.378071316916424</v>
      </c>
      <c r="N51" s="34">
        <v>4.7851283511369562</v>
      </c>
      <c r="O51" s="34">
        <v>5.3443650190114065</v>
      </c>
      <c r="P51" s="34"/>
      <c r="Q51" s="34">
        <v>4.5267224334600762</v>
      </c>
      <c r="R51" s="34"/>
      <c r="S51" s="34"/>
      <c r="T51" s="34">
        <v>4.7484106463878328</v>
      </c>
      <c r="U51" s="34">
        <v>4.470631178707225</v>
      </c>
      <c r="V51" s="34">
        <v>2.8200152091254753</v>
      </c>
      <c r="W51" s="34"/>
      <c r="X51" s="34">
        <v>34.451993523025223</v>
      </c>
      <c r="Y51" s="34"/>
      <c r="Z51" s="34"/>
      <c r="AA51" s="34">
        <v>5.5755437262357415</v>
      </c>
      <c r="AB51" s="34">
        <v>5.0163070583612903</v>
      </c>
      <c r="AC51" s="35">
        <v>41.360425855513306</v>
      </c>
      <c r="AD51" s="48"/>
      <c r="AE51" s="37">
        <v>821.875</v>
      </c>
      <c r="AF51" s="37">
        <v>841.75099999999998</v>
      </c>
      <c r="AG51" s="41">
        <v>-0.45338050996354412</v>
      </c>
    </row>
    <row r="52" spans="2:33">
      <c r="B52" s="47" t="s">
        <v>114</v>
      </c>
      <c r="C52" s="34">
        <v>33.16625146321698</v>
      </c>
      <c r="D52" s="34">
        <v>37.268453850078849</v>
      </c>
      <c r="E52" s="34">
        <v>33.973069881164847</v>
      </c>
      <c r="F52" s="34">
        <v>0.76306621013527398</v>
      </c>
      <c r="G52" s="34">
        <v>2.5323177587787247</v>
      </c>
      <c r="H52" s="34">
        <v>3.2953839689139985</v>
      </c>
      <c r="I52" s="34">
        <v>30.07912338584368</v>
      </c>
      <c r="J52" s="34"/>
      <c r="K52" s="34">
        <v>2.8875383149986584</v>
      </c>
      <c r="L52" s="34">
        <v>-1.4732603591144278</v>
      </c>
      <c r="M52" s="34">
        <v>-1.0216624973864905</v>
      </c>
      <c r="N52" s="34">
        <v>3.6506045251339341</v>
      </c>
      <c r="O52" s="34">
        <v>4.1022023868618698</v>
      </c>
      <c r="P52" s="34"/>
      <c r="Q52" s="34">
        <v>3.3391361767265959</v>
      </c>
      <c r="R52" s="34"/>
      <c r="S52" s="34"/>
      <c r="T52" s="34">
        <v>4.0794604740938452</v>
      </c>
      <c r="U52" s="34">
        <v>3.6407839841522351</v>
      </c>
      <c r="V52" s="34">
        <v>3.0627699880633816</v>
      </c>
      <c r="W52" s="34"/>
      <c r="X52" s="34">
        <v>35.956726899672809</v>
      </c>
      <c r="Y52" s="34"/>
      <c r="Z52" s="34"/>
      <c r="AA52" s="34">
        <v>4.3132288667600971</v>
      </c>
      <c r="AB52" s="34">
        <v>3.8616310050321601</v>
      </c>
      <c r="AC52" s="35">
        <v>43.562307068925314</v>
      </c>
      <c r="AD52" s="48"/>
      <c r="AE52" s="37">
        <v>866.24199999999996</v>
      </c>
      <c r="AF52" s="37">
        <v>895.79899999999998</v>
      </c>
      <c r="AG52" s="41">
        <v>-0.72184351947045644</v>
      </c>
    </row>
    <row r="53" spans="2:33">
      <c r="B53" s="47" t="s">
        <v>115</v>
      </c>
      <c r="C53" s="34">
        <v>32.499728726751883</v>
      </c>
      <c r="D53" s="34">
        <v>35.638251698170528</v>
      </c>
      <c r="E53" s="34">
        <v>32.9289915145728</v>
      </c>
      <c r="F53" s="34">
        <v>0.35797217821567306</v>
      </c>
      <c r="G53" s="34">
        <v>2.3512880053820613</v>
      </c>
      <c r="H53" s="34">
        <v>2.7092601835977339</v>
      </c>
      <c r="I53" s="34">
        <v>29.719937498643628</v>
      </c>
      <c r="J53" s="34"/>
      <c r="K53" s="34">
        <v>2.5423660592157962</v>
      </c>
      <c r="L53" s="34">
        <v>-0.51194687384708859</v>
      </c>
      <c r="M53" s="34">
        <v>-0.27376213985990772</v>
      </c>
      <c r="N53" s="34">
        <v>2.9003382374314701</v>
      </c>
      <c r="O53" s="34">
        <v>3.1385229714186504</v>
      </c>
      <c r="P53" s="34"/>
      <c r="Q53" s="34">
        <v>2.7805507932029774</v>
      </c>
      <c r="R53" s="34"/>
      <c r="S53" s="34"/>
      <c r="T53" s="34">
        <v>2.7241259575945658</v>
      </c>
      <c r="U53" s="34">
        <v>2.4545888582651529</v>
      </c>
      <c r="V53" s="34">
        <v>3.0372837952212501</v>
      </c>
      <c r="W53" s="34"/>
      <c r="X53" s="34">
        <v>36.690224539944765</v>
      </c>
      <c r="Y53" s="34"/>
      <c r="Z53" s="34"/>
      <c r="AA53" s="34">
        <v>3.3458842422795634</v>
      </c>
      <c r="AB53" s="34">
        <v>3.1076995082923822</v>
      </c>
      <c r="AC53" s="35">
        <v>44.337876255995134</v>
      </c>
      <c r="AD53" s="48"/>
      <c r="AE53" s="37">
        <v>921.58</v>
      </c>
      <c r="AF53" s="37">
        <v>945.75599999999997</v>
      </c>
      <c r="AG53" s="41">
        <v>-0.18763206018617951</v>
      </c>
    </row>
    <row r="54" spans="2:33">
      <c r="B54" s="47" t="s">
        <v>116</v>
      </c>
      <c r="C54" s="34">
        <v>34.629574152030656</v>
      </c>
      <c r="D54" s="34">
        <v>35.69717431664364</v>
      </c>
      <c r="E54" s="34">
        <v>32.882582640794375</v>
      </c>
      <c r="F54" s="34">
        <v>0.49808901747406154</v>
      </c>
      <c r="G54" s="34">
        <v>2.316502658375204</v>
      </c>
      <c r="H54" s="34">
        <v>2.8145916758492651</v>
      </c>
      <c r="I54" s="34">
        <v>31.205872993001872</v>
      </c>
      <c r="J54" s="34"/>
      <c r="K54" s="34">
        <v>1.1374006525777758</v>
      </c>
      <c r="L54" s="34">
        <v>1.5748113118555551</v>
      </c>
      <c r="M54" s="34">
        <v>1.0069218064166958</v>
      </c>
      <c r="N54" s="34">
        <v>1.6354896700518373</v>
      </c>
      <c r="O54" s="34">
        <v>1.067600164612978</v>
      </c>
      <c r="P54" s="34"/>
      <c r="Q54" s="34">
        <v>0.5695111471389166</v>
      </c>
      <c r="R54" s="34"/>
      <c r="S54" s="34"/>
      <c r="T54" s="34">
        <v>0.36726938374830387</v>
      </c>
      <c r="U54" s="34">
        <v>9.3398169561733496E-2</v>
      </c>
      <c r="V54" s="34">
        <v>3.0911580647401697</v>
      </c>
      <c r="W54" s="34"/>
      <c r="X54" s="34">
        <v>36.647095788837888</v>
      </c>
      <c r="Y54" s="34"/>
      <c r="Z54" s="34"/>
      <c r="AA54" s="34">
        <v>0.99472678703040462</v>
      </c>
      <c r="AB54" s="34">
        <v>1.5626162924692637</v>
      </c>
      <c r="AC54" s="35">
        <v>42.73697064436444</v>
      </c>
      <c r="AD54" s="48"/>
      <c r="AE54" s="37">
        <v>964.68700000000001</v>
      </c>
      <c r="AF54" s="37">
        <v>983.43399999999997</v>
      </c>
      <c r="AG54" s="41">
        <v>1.2108318349521903</v>
      </c>
    </row>
    <row r="55" spans="2:33">
      <c r="B55" s="47" t="s">
        <v>117</v>
      </c>
      <c r="C55" s="34">
        <v>35.157844921300303</v>
      </c>
      <c r="D55" s="34">
        <v>35.153686678375749</v>
      </c>
      <c r="E55" s="34">
        <v>32.363307664433755</v>
      </c>
      <c r="F55" s="34">
        <v>0.51215692020727854</v>
      </c>
      <c r="G55" s="34">
        <v>2.2782220937347155</v>
      </c>
      <c r="H55" s="34">
        <v>2.7903790139419944</v>
      </c>
      <c r="I55" s="34">
        <v>31.797291597775139</v>
      </c>
      <c r="J55" s="34"/>
      <c r="K55" s="34">
        <v>0.18703000657335456</v>
      </c>
      <c r="L55" s="34">
        <v>2.4822730143895004</v>
      </c>
      <c r="M55" s="34">
        <v>1.7789278446843158</v>
      </c>
      <c r="N55" s="34">
        <v>0.6991869267806331</v>
      </c>
      <c r="O55" s="34">
        <v>-4.1582429245516526E-3</v>
      </c>
      <c r="P55" s="34"/>
      <c r="Q55" s="34">
        <v>-0.51631516313183012</v>
      </c>
      <c r="R55" s="34"/>
      <c r="S55" s="34"/>
      <c r="T55" s="34">
        <v>-0.4499812879068395</v>
      </c>
      <c r="U55" s="34">
        <v>-0.76115646676078808</v>
      </c>
      <c r="V55" s="34">
        <v>2.9149282901107085</v>
      </c>
      <c r="W55" s="34"/>
      <c r="X55" s="34">
        <v>35.135932805310546</v>
      </c>
      <c r="Y55" s="34"/>
      <c r="Z55" s="34"/>
      <c r="AA55" s="34">
        <v>-0.12138109108334109</v>
      </c>
      <c r="AB55" s="34">
        <v>0.58196407862184363</v>
      </c>
      <c r="AC55" s="35">
        <v>41.099380025781102</v>
      </c>
      <c r="AD55" s="48"/>
      <c r="AE55" s="37">
        <v>1010.042</v>
      </c>
      <c r="AF55" s="37">
        <v>1033.415</v>
      </c>
      <c r="AG55" s="41">
        <v>0.92235760542949352</v>
      </c>
    </row>
    <row r="56" spans="2:33">
      <c r="B56" s="47" t="s">
        <v>118</v>
      </c>
      <c r="C56" s="34">
        <v>35.822805507013243</v>
      </c>
      <c r="D56" s="34">
        <v>34.752081385996568</v>
      </c>
      <c r="E56" s="34">
        <v>32.001504627770025</v>
      </c>
      <c r="F56" s="34">
        <v>0.46424193507228734</v>
      </c>
      <c r="G56" s="34">
        <v>2.2863348231542555</v>
      </c>
      <c r="H56" s="34">
        <v>2.750576758226543</v>
      </c>
      <c r="I56" s="34">
        <v>32.542584651851627</v>
      </c>
      <c r="J56" s="34"/>
      <c r="K56" s="34">
        <v>-0.91324608227211623</v>
      </c>
      <c r="L56" s="34">
        <v>3.1602853878149726</v>
      </c>
      <c r="M56" s="34">
        <v>2.5385654139981191</v>
      </c>
      <c r="N56" s="34">
        <v>-0.44900414719982862</v>
      </c>
      <c r="O56" s="34">
        <v>-1.0707241210166825</v>
      </c>
      <c r="P56" s="34"/>
      <c r="Q56" s="34">
        <v>-1.5349660560889697</v>
      </c>
      <c r="R56" s="34">
        <v>27.554749223910903</v>
      </c>
      <c r="S56" s="34"/>
      <c r="T56" s="34">
        <v>-0.86355426725478213</v>
      </c>
      <c r="U56" s="34">
        <v>-0.82792332069080554</v>
      </c>
      <c r="V56" s="34">
        <v>2.447760968330043</v>
      </c>
      <c r="W56" s="34"/>
      <c r="X56" s="34">
        <v>32.487236828554202</v>
      </c>
      <c r="Y56" s="34">
        <v>32.588385881799056</v>
      </c>
      <c r="Z56" s="34">
        <v>32.338915535023318</v>
      </c>
      <c r="AA56" s="34">
        <v>-1.0620290359135369</v>
      </c>
      <c r="AB56" s="34">
        <v>-0.44030906209668336</v>
      </c>
      <c r="AC56" s="35">
        <v>38.591717553392073</v>
      </c>
      <c r="AD56" s="48"/>
      <c r="AE56" s="37">
        <v>1058.069</v>
      </c>
      <c r="AF56" s="37">
        <v>1087.5039999999999</v>
      </c>
      <c r="AG56" s="41">
        <v>0.87449690546190983</v>
      </c>
    </row>
    <row r="57" spans="2:33">
      <c r="B57" s="47" t="s">
        <v>119</v>
      </c>
      <c r="C57" s="34">
        <v>36.512269891866339</v>
      </c>
      <c r="D57" s="34">
        <v>35.057359378238154</v>
      </c>
      <c r="E57" s="34">
        <v>32.393088704055756</v>
      </c>
      <c r="F57" s="34">
        <v>0.40470502108754497</v>
      </c>
      <c r="G57" s="34">
        <v>2.2595656530948585</v>
      </c>
      <c r="H57" s="34">
        <v>2.6642706741824034</v>
      </c>
      <c r="I57" s="34">
        <v>33.058595652942344</v>
      </c>
      <c r="J57" s="34"/>
      <c r="K57" s="34">
        <v>-1.0495219398156053</v>
      </c>
      <c r="L57" s="34">
        <v>3.3631516571733093</v>
      </c>
      <c r="M57" s="34">
        <v>2.5530580622731907</v>
      </c>
      <c r="N57" s="34">
        <v>-0.64481691872806057</v>
      </c>
      <c r="O57" s="34">
        <v>-1.454910513628179</v>
      </c>
      <c r="P57" s="34"/>
      <c r="Q57" s="34">
        <v>-1.8596155347157244</v>
      </c>
      <c r="R57" s="34">
        <v>26.935493786501556</v>
      </c>
      <c r="S57" s="34"/>
      <c r="T57" s="34">
        <v>-3.1910780082161141</v>
      </c>
      <c r="U57" s="34">
        <v>-3.4116875508572733</v>
      </c>
      <c r="V57" s="34">
        <v>2.4125299760729706</v>
      </c>
      <c r="W57" s="34"/>
      <c r="X57" s="34">
        <v>28.279102445878891</v>
      </c>
      <c r="Y57" s="34">
        <v>28.384490405304525</v>
      </c>
      <c r="Z57" s="34">
        <v>32.412418214552318</v>
      </c>
      <c r="AA57" s="34">
        <v>-1.3860989970743893</v>
      </c>
      <c r="AB57" s="34">
        <v>-0.57600540217427043</v>
      </c>
      <c r="AC57" s="35">
        <v>35.739373913886027</v>
      </c>
      <c r="AD57" s="48"/>
      <c r="AE57" s="37">
        <v>1114.6389999999999</v>
      </c>
      <c r="AF57" s="37">
        <v>1138.6500000000001</v>
      </c>
      <c r="AG57" s="41">
        <v>1.2703884276154733</v>
      </c>
    </row>
    <row r="58" spans="2:33">
      <c r="B58" s="47" t="s">
        <v>120</v>
      </c>
      <c r="C58" s="34">
        <v>35.83028958756919</v>
      </c>
      <c r="D58" s="34">
        <v>36.332822209668301</v>
      </c>
      <c r="E58" s="34">
        <v>32.950988533994931</v>
      </c>
      <c r="F58" s="34">
        <v>1.0969633700491945</v>
      </c>
      <c r="G58" s="34">
        <v>2.2848703056241826</v>
      </c>
      <c r="H58" s="34">
        <v>3.3818336756733771</v>
      </c>
      <c r="I58" s="34">
        <v>32.500783173357704</v>
      </c>
      <c r="J58" s="34"/>
      <c r="K58" s="34">
        <v>9.1812905102456877E-3</v>
      </c>
      <c r="L58" s="34">
        <v>1.1975393170381208</v>
      </c>
      <c r="M58" s="34">
        <v>0.59392727857779348</v>
      </c>
      <c r="N58" s="34">
        <v>1.1061446605594401</v>
      </c>
      <c r="O58" s="34">
        <v>0.50253262209911287</v>
      </c>
      <c r="P58" s="34"/>
      <c r="Q58" s="34">
        <v>-0.59443074795008155</v>
      </c>
      <c r="R58" s="34">
        <v>28.379166666666666</v>
      </c>
      <c r="S58" s="34"/>
      <c r="T58" s="34">
        <v>0.24046242373279947</v>
      </c>
      <c r="U58" s="34">
        <v>0.34667895446139796</v>
      </c>
      <c r="V58" s="34">
        <v>1.9972005349008948</v>
      </c>
      <c r="W58" s="34"/>
      <c r="X58" s="34">
        <v>28.112244897959187</v>
      </c>
      <c r="Y58" s="34">
        <v>28.214285714285715</v>
      </c>
      <c r="Z58" s="34">
        <v>34.163350340136056</v>
      </c>
      <c r="AA58" s="34">
        <v>0.43389105689786978</v>
      </c>
      <c r="AB58" s="34">
        <v>1.0375030953581972</v>
      </c>
      <c r="AC58" s="35">
        <v>34.507702867933105</v>
      </c>
      <c r="AD58" s="48"/>
      <c r="AE58" s="37">
        <v>1152.3630000000001</v>
      </c>
      <c r="AF58" s="37">
        <v>1176</v>
      </c>
      <c r="AG58" s="41">
        <v>0.69906870587446535</v>
      </c>
    </row>
    <row r="59" spans="2:33">
      <c r="B59" s="47" t="s">
        <v>121</v>
      </c>
      <c r="C59" s="34">
        <v>34.638222331047992</v>
      </c>
      <c r="D59" s="34">
        <v>37.556830214151468</v>
      </c>
      <c r="E59" s="34">
        <v>33.779895836090745</v>
      </c>
      <c r="F59" s="34">
        <v>1.4448275405670117</v>
      </c>
      <c r="G59" s="34">
        <v>2.3321068374937131</v>
      </c>
      <c r="H59" s="34">
        <v>3.7769343780607247</v>
      </c>
      <c r="I59" s="34">
        <v>31.448037165471053</v>
      </c>
      <c r="J59" s="34"/>
      <c r="K59" s="34">
        <v>1.6503741100993132</v>
      </c>
      <c r="L59" s="34">
        <v>-1.2678018370966462</v>
      </c>
      <c r="M59" s="34">
        <v>-1.4443956046594952</v>
      </c>
      <c r="N59" s="34">
        <v>3.0952016506663247</v>
      </c>
      <c r="O59" s="34">
        <v>2.9186078831034754</v>
      </c>
      <c r="P59" s="34"/>
      <c r="Q59" s="34">
        <v>1.4737803425364637</v>
      </c>
      <c r="R59" s="34">
        <v>31.346362438986596</v>
      </c>
      <c r="S59" s="34"/>
      <c r="T59" s="34">
        <v>1.7992925589644493</v>
      </c>
      <c r="U59" s="34">
        <v>1.9342126161420972</v>
      </c>
      <c r="V59" s="34">
        <v>1.7990443920904253</v>
      </c>
      <c r="W59" s="34"/>
      <c r="X59" s="34">
        <v>29.796492859172023</v>
      </c>
      <c r="Y59" s="34">
        <v>29.885268975491343</v>
      </c>
      <c r="Z59" s="34">
        <v>36.648475633377245</v>
      </c>
      <c r="AA59" s="34">
        <v>2.5228644413267332</v>
      </c>
      <c r="AB59" s="34">
        <v>2.6994582088895824</v>
      </c>
      <c r="AC59" s="35">
        <v>34.909220557482065</v>
      </c>
      <c r="AD59" s="48"/>
      <c r="AE59" s="37">
        <v>1208.864</v>
      </c>
      <c r="AF59" s="37">
        <v>1239.0719999999999</v>
      </c>
      <c r="AG59" s="41">
        <v>7.3560052775912529E-2</v>
      </c>
    </row>
    <row r="60" spans="2:33">
      <c r="B60" s="47" t="s">
        <v>122</v>
      </c>
      <c r="C60" s="34">
        <v>35.466183037731383</v>
      </c>
      <c r="D60" s="34">
        <v>38.919189911056172</v>
      </c>
      <c r="E60" s="34">
        <v>34.997300803629727</v>
      </c>
      <c r="F60" s="34">
        <v>1.6922036050576732</v>
      </c>
      <c r="G60" s="34">
        <v>2.2296855023687705</v>
      </c>
      <c r="H60" s="34">
        <v>3.9218891074264435</v>
      </c>
      <c r="I60" s="34">
        <v>32.351223989294361</v>
      </c>
      <c r="J60" s="34"/>
      <c r="K60" s="34">
        <v>1.9674345991637037</v>
      </c>
      <c r="L60" s="34">
        <v>-1.693067976529957</v>
      </c>
      <c r="M60" s="34">
        <v>-1.8996993074265445</v>
      </c>
      <c r="N60" s="34">
        <v>3.6596382042213764</v>
      </c>
      <c r="O60" s="34">
        <v>3.4530068733247892</v>
      </c>
      <c r="P60" s="34"/>
      <c r="Q60" s="34">
        <v>1.7608032682671158</v>
      </c>
      <c r="R60" s="34">
        <v>31.279773080279199</v>
      </c>
      <c r="S60" s="34"/>
      <c r="T60" s="34">
        <v>3.0953142422487487</v>
      </c>
      <c r="U60" s="34">
        <v>3.1420688809768338</v>
      </c>
      <c r="V60" s="34">
        <v>1.8246881779913733</v>
      </c>
      <c r="W60" s="34"/>
      <c r="X60" s="34">
        <v>30.93456021303167</v>
      </c>
      <c r="Y60" s="34">
        <v>31.041626676068123</v>
      </c>
      <c r="Z60" s="34">
        <v>37.496510780445682</v>
      </c>
      <c r="AA60" s="34">
        <v>2.9586649704031345</v>
      </c>
      <c r="AB60" s="34">
        <v>3.1652963012997222</v>
      </c>
      <c r="AC60" s="35">
        <v>36.749538936398757</v>
      </c>
      <c r="AD60" s="48"/>
      <c r="AE60" s="37">
        <v>1272.6010000000001</v>
      </c>
      <c r="AF60" s="37">
        <v>1307.5989999999999</v>
      </c>
      <c r="AG60" s="41">
        <v>0.38383864068281015</v>
      </c>
    </row>
    <row r="61" spans="2:33">
      <c r="B61" s="47" t="s">
        <v>123</v>
      </c>
      <c r="C61" s="34">
        <v>36.044027767326078</v>
      </c>
      <c r="D61" s="34">
        <v>39.930693445531176</v>
      </c>
      <c r="E61" s="34">
        <v>35.661135503925415</v>
      </c>
      <c r="F61" s="34">
        <v>2.0459664434680698</v>
      </c>
      <c r="G61" s="34">
        <v>2.2235914981376936</v>
      </c>
      <c r="H61" s="34">
        <v>4.2695579416057639</v>
      </c>
      <c r="I61" s="34">
        <v>32.944455661910375</v>
      </c>
      <c r="J61" s="34"/>
      <c r="K61" s="34">
        <v>2.1588876064032712</v>
      </c>
      <c r="L61" s="34">
        <v>-2.0838905847544953</v>
      </c>
      <c r="M61" s="34">
        <v>-2.402078956420743</v>
      </c>
      <c r="N61" s="34">
        <v>4.2048540498713409</v>
      </c>
      <c r="O61" s="34">
        <v>3.8866656782050932</v>
      </c>
      <c r="P61" s="34"/>
      <c r="Q61" s="34">
        <v>1.840699234737023</v>
      </c>
      <c r="R61" s="34">
        <v>33.375709885910027</v>
      </c>
      <c r="S61" s="34"/>
      <c r="T61" s="34">
        <v>3.0630636000515588</v>
      </c>
      <c r="U61" s="34">
        <v>3.1564955709222424</v>
      </c>
      <c r="V61" s="34">
        <v>1.9286176762261829</v>
      </c>
      <c r="W61" s="34"/>
      <c r="X61" s="34">
        <v>33.463197742885889</v>
      </c>
      <c r="Y61" s="34">
        <v>33.572103788913942</v>
      </c>
      <c r="Z61" s="34">
        <v>37.349183277258817</v>
      </c>
      <c r="AA61" s="34">
        <v>3.3292031534407776</v>
      </c>
      <c r="AB61" s="34">
        <v>3.6473915251070257</v>
      </c>
      <c r="AC61" s="35">
        <v>39.16230116834668</v>
      </c>
      <c r="AD61" s="48"/>
      <c r="AE61" s="37">
        <v>1342.153</v>
      </c>
      <c r="AF61" s="37">
        <v>1377.3340000000001</v>
      </c>
      <c r="AG61" s="41">
        <v>0.48284128705937113</v>
      </c>
    </row>
    <row r="62" spans="2:33">
      <c r="B62" s="47" t="s">
        <v>124</v>
      </c>
      <c r="C62" s="34">
        <v>36.698234722229081</v>
      </c>
      <c r="D62" s="34">
        <v>39.937620600993924</v>
      </c>
      <c r="E62" s="34">
        <v>35.815137579428338</v>
      </c>
      <c r="F62" s="34">
        <v>1.8521351619446187</v>
      </c>
      <c r="G62" s="34">
        <v>2.2703478596209723</v>
      </c>
      <c r="H62" s="34">
        <v>4.122483021565591</v>
      </c>
      <c r="I62" s="34">
        <v>33.359019244693208</v>
      </c>
      <c r="J62" s="34"/>
      <c r="K62" s="34">
        <v>1.6427902867692166</v>
      </c>
      <c r="L62" s="34">
        <v>-1.449362211535818</v>
      </c>
      <c r="M62" s="34">
        <v>-1.7049017814848046</v>
      </c>
      <c r="N62" s="34">
        <v>3.4949254487138357</v>
      </c>
      <c r="O62" s="34">
        <v>3.2393858787648484</v>
      </c>
      <c r="P62" s="34"/>
      <c r="Q62" s="34">
        <v>1.3872507168202299</v>
      </c>
      <c r="R62" s="34">
        <v>32.388938509103397</v>
      </c>
      <c r="S62" s="34"/>
      <c r="T62" s="34">
        <v>3.0343685954130559</v>
      </c>
      <c r="U62" s="34">
        <v>3.0343685954130559</v>
      </c>
      <c r="V62" s="34">
        <v>1.959719884913957</v>
      </c>
      <c r="W62" s="34"/>
      <c r="X62" s="34">
        <v>34.311233253177605</v>
      </c>
      <c r="Y62" s="34">
        <v>34.46238406046033</v>
      </c>
      <c r="Z62" s="34">
        <v>34.953830298866365</v>
      </c>
      <c r="AA62" s="34">
        <v>2.9675335250494035</v>
      </c>
      <c r="AB62" s="34">
        <v>3.2230730949983908</v>
      </c>
      <c r="AC62" s="35">
        <v>40.520100929416394</v>
      </c>
      <c r="AD62" s="48"/>
      <c r="AE62" s="37">
        <v>1418.4169999999999</v>
      </c>
      <c r="AF62" s="37">
        <v>1455.5</v>
      </c>
      <c r="AG62" s="41">
        <v>0.31794262507422538</v>
      </c>
    </row>
    <row r="63" spans="2:33">
      <c r="B63" s="47" t="s">
        <v>125</v>
      </c>
      <c r="C63" s="34">
        <v>37.168924578891236</v>
      </c>
      <c r="D63" s="34">
        <v>39.968040477576189</v>
      </c>
      <c r="E63" s="34">
        <v>35.849971909261868</v>
      </c>
      <c r="F63" s="34">
        <v>1.8163774049540622</v>
      </c>
      <c r="G63" s="34">
        <v>2.3016911633602577</v>
      </c>
      <c r="H63" s="34">
        <v>4.1180685683143192</v>
      </c>
      <c r="I63" s="34">
        <v>33.798036003243048</v>
      </c>
      <c r="J63" s="34"/>
      <c r="K63" s="34">
        <v>1.0502528119607824</v>
      </c>
      <c r="L63" s="34">
        <v>-0.91848303285775312</v>
      </c>
      <c r="M63" s="34">
        <v>-0.98599735108764841</v>
      </c>
      <c r="N63" s="34">
        <v>2.8666302169148441</v>
      </c>
      <c r="O63" s="34">
        <v>2.7991158986849491</v>
      </c>
      <c r="P63" s="34"/>
      <c r="Q63" s="34">
        <v>0.98273849373088729</v>
      </c>
      <c r="R63" s="34">
        <v>32.461314328463992</v>
      </c>
      <c r="S63" s="34"/>
      <c r="T63" s="34">
        <v>2.519217765457475</v>
      </c>
      <c r="U63" s="34">
        <v>2.4057109984491221</v>
      </c>
      <c r="V63" s="34">
        <v>2.0698332385761526</v>
      </c>
      <c r="W63" s="34"/>
      <c r="X63" s="34">
        <v>35.122258534472579</v>
      </c>
      <c r="Y63" s="34">
        <v>35.253507632135033</v>
      </c>
      <c r="Z63" s="34">
        <v>35.150148967725848</v>
      </c>
      <c r="AA63" s="34">
        <v>2.6035236214512314</v>
      </c>
      <c r="AB63" s="34">
        <v>2.6710379396811263</v>
      </c>
      <c r="AC63" s="35">
        <v>41.582433700811769</v>
      </c>
      <c r="AD63" s="48"/>
      <c r="AE63" s="37">
        <v>1486.2550000000001</v>
      </c>
      <c r="AF63" s="37">
        <v>1523.82</v>
      </c>
      <c r="AG63" s="41">
        <v>7.8515864301000604E-3</v>
      </c>
    </row>
    <row r="64" spans="2:33">
      <c r="B64" s="47" t="s">
        <v>126</v>
      </c>
      <c r="C64" s="34">
        <v>37.39812060374679</v>
      </c>
      <c r="D64" s="34">
        <v>40.316140659666303</v>
      </c>
      <c r="E64" s="34">
        <v>36.19204481735472</v>
      </c>
      <c r="F64" s="34">
        <v>1.792477050392701</v>
      </c>
      <c r="G64" s="34">
        <v>2.3316187919188773</v>
      </c>
      <c r="H64" s="34">
        <v>4.1240958423115783</v>
      </c>
      <c r="I64" s="34">
        <v>33.774209329029745</v>
      </c>
      <c r="J64" s="34"/>
      <c r="K64" s="34">
        <v>1.4690711205696214</v>
      </c>
      <c r="L64" s="34">
        <v>-1.138251985219265</v>
      </c>
      <c r="M64" s="34">
        <v>-1.4817801002620765</v>
      </c>
      <c r="N64" s="34">
        <v>3.2615481709623224</v>
      </c>
      <c r="O64" s="34">
        <v>2.9180200559195111</v>
      </c>
      <c r="P64" s="34"/>
      <c r="Q64" s="34">
        <v>1.1255430055268096</v>
      </c>
      <c r="R64" s="34">
        <v>34.215532047840185</v>
      </c>
      <c r="S64" s="34"/>
      <c r="T64" s="34">
        <v>2.1243155352268648</v>
      </c>
      <c r="U64" s="34">
        <v>1.8599176662481434</v>
      </c>
      <c r="V64" s="34">
        <v>2.1521603349550587</v>
      </c>
      <c r="W64" s="34"/>
      <c r="X64" s="34">
        <v>35.619526684815547</v>
      </c>
      <c r="Y64" s="34">
        <v>35.751404340030831</v>
      </c>
      <c r="Z64" s="34">
        <v>37.447664980516649</v>
      </c>
      <c r="AA64" s="34">
        <v>2.8987330616123677</v>
      </c>
      <c r="AB64" s="34">
        <v>3.242261176655179</v>
      </c>
      <c r="AC64" s="35">
        <v>42.273387396524001</v>
      </c>
      <c r="AD64" s="48"/>
      <c r="AE64" s="37">
        <v>1565.8219999999999</v>
      </c>
      <c r="AF64" s="37">
        <v>1592.385</v>
      </c>
      <c r="AG64" s="41">
        <v>0.68391559551358327</v>
      </c>
    </row>
    <row r="65" spans="1:71">
      <c r="B65" s="47" t="s">
        <v>127</v>
      </c>
      <c r="C65" s="34">
        <v>36.095993692904329</v>
      </c>
      <c r="D65" s="34">
        <v>43.485352616806665</v>
      </c>
      <c r="E65" s="34">
        <v>37.957483959041781</v>
      </c>
      <c r="F65" s="34">
        <v>3.0053462490658434</v>
      </c>
      <c r="G65" s="34">
        <v>2.5225224086990412</v>
      </c>
      <c r="H65" s="34">
        <v>5.527868657764885</v>
      </c>
      <c r="I65" s="34">
        <v>32.230181196339309</v>
      </c>
      <c r="J65" s="34"/>
      <c r="K65" s="34">
        <v>4.0385670485885932</v>
      </c>
      <c r="L65" s="34">
        <v>-5.4552208209963622</v>
      </c>
      <c r="M65" s="34">
        <v>-5.1097751947484626</v>
      </c>
      <c r="N65" s="34">
        <v>7.0439132976544379</v>
      </c>
      <c r="O65" s="34">
        <v>7.3893589239023383</v>
      </c>
      <c r="P65" s="34"/>
      <c r="Q65" s="34">
        <v>4.3840126748364945</v>
      </c>
      <c r="R65" s="34">
        <v>47.545706641845825</v>
      </c>
      <c r="S65" s="34"/>
      <c r="T65" s="34">
        <v>10.349410826043808</v>
      </c>
      <c r="U65" s="34">
        <v>10.986248080359879</v>
      </c>
      <c r="V65" s="34">
        <v>2.1174001676585732</v>
      </c>
      <c r="W65" s="34"/>
      <c r="X65" s="34">
        <v>50.601601098425</v>
      </c>
      <c r="Y65" s="34">
        <v>50.633741343025122</v>
      </c>
      <c r="Z65" s="34">
        <v>46.94018443357961</v>
      </c>
      <c r="AA65" s="34">
        <v>6.7666090327161648</v>
      </c>
      <c r="AB65" s="34">
        <v>6.4211634064682634</v>
      </c>
      <c r="AC65" s="35">
        <v>53.532422097829468</v>
      </c>
      <c r="AD65" s="48"/>
      <c r="AE65" s="37">
        <v>1582.979</v>
      </c>
      <c r="AF65" s="37">
        <v>1555.682</v>
      </c>
      <c r="AG65" s="41">
        <v>-0.96445749070123332</v>
      </c>
    </row>
    <row r="66" spans="1:71">
      <c r="B66" s="47" t="s">
        <v>128</v>
      </c>
      <c r="C66" s="34">
        <v>36.138206891590904</v>
      </c>
      <c r="D66" s="34">
        <v>46.440911788355763</v>
      </c>
      <c r="E66" s="34">
        <v>40.756235597561506</v>
      </c>
      <c r="F66" s="34">
        <v>3.0029003974238098</v>
      </c>
      <c r="G66" s="34">
        <v>2.6817757933704467</v>
      </c>
      <c r="H66" s="34">
        <v>5.6846761907942565</v>
      </c>
      <c r="I66" s="34">
        <v>32.360240149823895</v>
      </c>
      <c r="J66" s="34"/>
      <c r="K66" s="34">
        <v>5.5507112773784764</v>
      </c>
      <c r="L66" s="34">
        <v>-8.2908592523705416</v>
      </c>
      <c r="M66" s="34">
        <v>-6.541766030407965</v>
      </c>
      <c r="N66" s="34">
        <v>8.5536116748022852</v>
      </c>
      <c r="O66" s="34">
        <v>10.302704896764862</v>
      </c>
      <c r="P66" s="34"/>
      <c r="Q66" s="34">
        <v>7.299804499341052</v>
      </c>
      <c r="R66" s="34">
        <v>54.614599513546835</v>
      </c>
      <c r="S66" s="34"/>
      <c r="T66" s="34">
        <v>12.754555473633102</v>
      </c>
      <c r="U66" s="34">
        <v>12.894886925604421</v>
      </c>
      <c r="V66" s="34">
        <v>1.8020870530266637</v>
      </c>
      <c r="W66" s="34"/>
      <c r="X66" s="34">
        <v>64.719804612805063</v>
      </c>
      <c r="Y66" s="34">
        <v>63.932765447847316</v>
      </c>
      <c r="Z66" s="34">
        <v>54.088731425088667</v>
      </c>
      <c r="AA66" s="34">
        <v>10.049016459562706</v>
      </c>
      <c r="AB66" s="34">
        <v>8.2999232376001313</v>
      </c>
      <c r="AC66" s="35">
        <v>70.796414708020663</v>
      </c>
      <c r="AD66" s="48"/>
      <c r="AE66" s="37">
        <v>1557.028</v>
      </c>
      <c r="AF66" s="37">
        <v>1588.231</v>
      </c>
      <c r="AG66" s="41">
        <v>-3.1124034476446587</v>
      </c>
    </row>
    <row r="67" spans="1:71">
      <c r="B67" s="47" t="s">
        <v>129</v>
      </c>
      <c r="C67" s="34">
        <v>37.025585705571181</v>
      </c>
      <c r="D67" s="34">
        <v>45.717501227099014</v>
      </c>
      <c r="E67" s="34">
        <v>40.682555781556104</v>
      </c>
      <c r="F67" s="34">
        <v>2.444614678622921</v>
      </c>
      <c r="G67" s="34">
        <v>2.5903307669199904</v>
      </c>
      <c r="H67" s="34">
        <v>5.0349454455429115</v>
      </c>
      <c r="I67" s="34">
        <v>33.220319408191187</v>
      </c>
      <c r="J67" s="34"/>
      <c r="K67" s="34">
        <v>4.4318157629383226</v>
      </c>
      <c r="L67" s="34">
        <v>-6.1156526231660324</v>
      </c>
      <c r="M67" s="34">
        <v>-4.3001675431994419</v>
      </c>
      <c r="N67" s="34">
        <v>6.8764304415612463</v>
      </c>
      <c r="O67" s="34">
        <v>8.6919155215278323</v>
      </c>
      <c r="P67" s="34"/>
      <c r="Q67" s="34">
        <v>6.2473008429049095</v>
      </c>
      <c r="R67" s="34">
        <v>58.923649665224801</v>
      </c>
      <c r="S67" s="34"/>
      <c r="T67" s="34">
        <v>8.2326518300822631</v>
      </c>
      <c r="U67" s="34">
        <v>7.7430408588648758</v>
      </c>
      <c r="V67" s="34">
        <v>2.5189470845417468</v>
      </c>
      <c r="W67" s="34"/>
      <c r="X67" s="34">
        <v>70.87252587450584</v>
      </c>
      <c r="Y67" s="34">
        <v>70.593571806718785</v>
      </c>
      <c r="Z67" s="34">
        <v>49.539210329547842</v>
      </c>
      <c r="AA67" s="34">
        <v>8.7347334446066913</v>
      </c>
      <c r="AB67" s="34">
        <v>6.9192483646401026</v>
      </c>
      <c r="AC67" s="35">
        <v>76.214551582082308</v>
      </c>
      <c r="AD67" s="48"/>
      <c r="AE67" s="37">
        <v>1627.8230000000001</v>
      </c>
      <c r="AF67" s="37">
        <v>1649.0170000000001</v>
      </c>
      <c r="AG67" s="41">
        <v>-2.3860087808753123</v>
      </c>
    </row>
    <row r="68" spans="1:71">
      <c r="B68" s="47" t="s">
        <v>130</v>
      </c>
      <c r="C68" s="34">
        <v>37.342073242157149</v>
      </c>
      <c r="D68" s="34">
        <v>44.553394484008308</v>
      </c>
      <c r="E68" s="34">
        <v>40.11136451109342</v>
      </c>
      <c r="F68" s="34">
        <v>1.8421102959281492</v>
      </c>
      <c r="G68" s="34">
        <v>2.5999196769867399</v>
      </c>
      <c r="H68" s="34">
        <v>4.442029972914888</v>
      </c>
      <c r="I68" s="34">
        <v>33.459316154726984</v>
      </c>
      <c r="J68" s="34"/>
      <c r="K68" s="34">
        <v>3.6419266281151663</v>
      </c>
      <c r="L68" s="34">
        <v>-4.6160631683125715</v>
      </c>
      <c r="M68" s="34">
        <v>-2.8887788505047274</v>
      </c>
      <c r="N68" s="34">
        <v>5.4840369240433153</v>
      </c>
      <c r="O68" s="34">
        <v>7.2113212418511585</v>
      </c>
      <c r="P68" s="34"/>
      <c r="Q68" s="34">
        <v>5.36921094592301</v>
      </c>
      <c r="R68" s="34">
        <v>64.98678035366234</v>
      </c>
      <c r="S68" s="34"/>
      <c r="T68" s="34">
        <v>7.0325666788585526</v>
      </c>
      <c r="U68" s="34">
        <v>6.4429336068140692</v>
      </c>
      <c r="V68" s="34">
        <v>2.5977681677029771</v>
      </c>
      <c r="W68" s="34"/>
      <c r="X68" s="34">
        <v>74.265558846563778</v>
      </c>
      <c r="Y68" s="34">
        <v>74.583536976734592</v>
      </c>
      <c r="Z68" s="34">
        <v>54.655082056023033</v>
      </c>
      <c r="AA68" s="34">
        <v>7.3423242515735909</v>
      </c>
      <c r="AB68" s="34">
        <v>5.6150399337657477</v>
      </c>
      <c r="AC68" s="35">
        <v>82.123228889510443</v>
      </c>
      <c r="AD68" s="48"/>
      <c r="AE68" s="37">
        <v>1673.2439999999999</v>
      </c>
      <c r="AF68" s="37">
        <v>1698.23</v>
      </c>
      <c r="AG68" s="41">
        <v>-2.5001651232655617</v>
      </c>
    </row>
    <row r="69" spans="1:71">
      <c r="A69" s="15"/>
      <c r="B69" s="50" t="s">
        <v>131</v>
      </c>
      <c r="C69" s="34">
        <v>36.870493276973392</v>
      </c>
      <c r="D69" s="34">
        <v>44.046416385417601</v>
      </c>
      <c r="E69" s="34">
        <v>39.575468936829225</v>
      </c>
      <c r="F69" s="34">
        <v>1.8798624502199279</v>
      </c>
      <c r="G69" s="34">
        <v>2.5910849983684368</v>
      </c>
      <c r="H69" s="34">
        <v>4.4709474485883645</v>
      </c>
      <c r="I69" s="34">
        <v>32.807813421014657</v>
      </c>
      <c r="J69" s="34"/>
      <c r="K69" s="34">
        <v>3.7179608266251121</v>
      </c>
      <c r="L69" s="34">
        <v>-4.9146863312079541</v>
      </c>
      <c r="M69" s="34">
        <v>-3.3365864996087979</v>
      </c>
      <c r="N69" s="34">
        <v>5.5978232768450393</v>
      </c>
      <c r="O69" s="34">
        <v>7.1759231084441959</v>
      </c>
      <c r="P69" s="34"/>
      <c r="Q69" s="34">
        <v>5.2960606582242677</v>
      </c>
      <c r="R69" s="34">
        <v>69.698767101071397</v>
      </c>
      <c r="S69" s="34"/>
      <c r="T69" s="34">
        <v>5.5561254918598602</v>
      </c>
      <c r="U69" s="34">
        <v>5.0357639860920091</v>
      </c>
      <c r="V69" s="34">
        <v>2.239385998925429</v>
      </c>
      <c r="W69" s="34"/>
      <c r="X69" s="34">
        <v>77.471553502551188</v>
      </c>
      <c r="Y69" s="34">
        <v>76.201342114425628</v>
      </c>
      <c r="Z69" s="34">
        <v>58.730038117682803</v>
      </c>
      <c r="AA69" s="34">
        <v>7.2014253430775055</v>
      </c>
      <c r="AB69" s="34">
        <v>5.6233255114783489</v>
      </c>
      <c r="AC69" s="35">
        <v>83.928259895591538</v>
      </c>
      <c r="AD69" s="48"/>
      <c r="AE69" s="37">
        <v>1725.3389999999999</v>
      </c>
      <c r="AF69" s="37">
        <v>1763.4860000000001</v>
      </c>
      <c r="AG69" s="41">
        <v>-2.156133613892087</v>
      </c>
    </row>
    <row r="70" spans="1:71">
      <c r="A70" s="15"/>
      <c r="B70" s="50" t="s">
        <v>132</v>
      </c>
      <c r="C70" s="34">
        <v>36.758815712810303</v>
      </c>
      <c r="D70" s="34">
        <v>42.495258759998734</v>
      </c>
      <c r="E70" s="34">
        <v>38.496318713331959</v>
      </c>
      <c r="F70" s="34">
        <v>1.4526682606620382</v>
      </c>
      <c r="G70" s="34">
        <v>2.546271786004735</v>
      </c>
      <c r="H70" s="34">
        <v>3.9989400466667742</v>
      </c>
      <c r="I70" s="34">
        <v>32.704605086999884</v>
      </c>
      <c r="J70" s="34"/>
      <c r="K70" s="34">
        <v>3.0677930441472303</v>
      </c>
      <c r="L70" s="34">
        <v>-3.6398198744576193</v>
      </c>
      <c r="M70" s="34">
        <v>-2.4238381320784526</v>
      </c>
      <c r="N70" s="34">
        <v>4.5204613048092686</v>
      </c>
      <c r="O70" s="34">
        <v>5.7364430471884349</v>
      </c>
      <c r="P70" s="34"/>
      <c r="Q70" s="34">
        <v>4.2837747865263962</v>
      </c>
      <c r="R70" s="34">
        <v>70.734256881201503</v>
      </c>
      <c r="S70" s="34"/>
      <c r="T70" s="34">
        <v>4.3480815787095732</v>
      </c>
      <c r="U70" s="34">
        <v>3.5814448294844423</v>
      </c>
      <c r="V70" s="34">
        <v>2.0962905513919368</v>
      </c>
      <c r="W70" s="34"/>
      <c r="X70" s="34">
        <v>79.217787377962253</v>
      </c>
      <c r="Y70" s="34">
        <v>76.9569005573059</v>
      </c>
      <c r="Z70" s="34">
        <v>56.339618815566396</v>
      </c>
      <c r="AA70" s="34">
        <v>5.5628147082938577</v>
      </c>
      <c r="AB70" s="34">
        <v>4.3468329659146914</v>
      </c>
      <c r="AC70" s="35">
        <v>85.361002254618313</v>
      </c>
      <c r="AD70" s="48"/>
      <c r="AE70" s="37">
        <v>1803.8530000000001</v>
      </c>
      <c r="AF70" s="37">
        <v>1844.4090000000001</v>
      </c>
      <c r="AG70" s="41">
        <v>-1.5695100392014991</v>
      </c>
    </row>
    <row r="71" spans="1:71">
      <c r="A71" s="15"/>
      <c r="B71" s="50" t="s">
        <v>133</v>
      </c>
      <c r="C71" s="34">
        <v>36.783594361534902</v>
      </c>
      <c r="D71" s="34">
        <v>42.028704215198431</v>
      </c>
      <c r="E71" s="34">
        <v>37.589980612177435</v>
      </c>
      <c r="F71" s="34">
        <v>1.9291310032398354</v>
      </c>
      <c r="G71" s="34">
        <v>2.509592599781167</v>
      </c>
      <c r="H71" s="34">
        <v>4.4387236030210024</v>
      </c>
      <c r="I71" s="34">
        <v>32.633501901456967</v>
      </c>
      <c r="J71" s="34"/>
      <c r="K71" s="34">
        <v>2.6794169371126904</v>
      </c>
      <c r="L71" s="34">
        <v>-3.4269949301590481</v>
      </c>
      <c r="M71" s="34">
        <v>-2.7904330168480431</v>
      </c>
      <c r="N71" s="34">
        <v>4.6085479403525262</v>
      </c>
      <c r="O71" s="34">
        <v>5.2451098536635303</v>
      </c>
      <c r="P71" s="34"/>
      <c r="Q71" s="34">
        <v>3.3159788504236953</v>
      </c>
      <c r="R71" s="34">
        <v>72.935147860942735</v>
      </c>
      <c r="S71" s="34"/>
      <c r="T71" s="34">
        <v>4.5078287131732688</v>
      </c>
      <c r="U71" s="34">
        <v>4.1861913486374132</v>
      </c>
      <c r="V71" s="34">
        <v>1.8217408089137059</v>
      </c>
      <c r="W71" s="34"/>
      <c r="X71" s="34">
        <v>81.624307423349421</v>
      </c>
      <c r="Y71" s="34">
        <v>79.18540738829023</v>
      </c>
      <c r="Z71" s="34">
        <v>53.473724268684784</v>
      </c>
      <c r="AA71" s="34">
        <v>5.0165191073496702</v>
      </c>
      <c r="AB71" s="34">
        <v>4.3799571940386652</v>
      </c>
      <c r="AC71" s="35">
        <v>86.456518168885225</v>
      </c>
      <c r="AD71" s="48"/>
      <c r="AE71" s="51">
        <v>1875.404</v>
      </c>
      <c r="AF71" s="52">
        <v>1902.4970000000001</v>
      </c>
      <c r="AG71" s="41">
        <v>-0.64531981094141067</v>
      </c>
    </row>
    <row r="72" spans="1:71">
      <c r="A72" s="15"/>
      <c r="B72" s="50" t="s">
        <v>134</v>
      </c>
      <c r="C72" s="34">
        <v>36.969877335541639</v>
      </c>
      <c r="D72" s="34">
        <v>41.195383261735941</v>
      </c>
      <c r="E72" s="34">
        <v>37.037886237772376</v>
      </c>
      <c r="F72" s="34">
        <v>1.6691682625122926</v>
      </c>
      <c r="G72" s="34">
        <v>2.4883287614512706</v>
      </c>
      <c r="H72" s="34">
        <v>4.1574970239635629</v>
      </c>
      <c r="I72" s="34">
        <v>32.817763055742461</v>
      </c>
      <c r="J72" s="34"/>
      <c r="K72" s="34">
        <v>2.3793319053784434</v>
      </c>
      <c r="L72" s="34">
        <v>-2.4654520987526527</v>
      </c>
      <c r="M72" s="34">
        <v>-2.2884463404490916</v>
      </c>
      <c r="N72" s="34">
        <v>4.0485001678907357</v>
      </c>
      <c r="O72" s="34">
        <v>4.2255059261942964</v>
      </c>
      <c r="P72" s="34"/>
      <c r="Q72" s="34">
        <v>2.5563376636820041</v>
      </c>
      <c r="R72" s="34">
        <v>74.00727105604183</v>
      </c>
      <c r="S72" s="34"/>
      <c r="T72" s="34">
        <v>3.1441436778634646</v>
      </c>
      <c r="U72" s="34">
        <v>2.6084571191967294</v>
      </c>
      <c r="V72" s="34">
        <v>1.7841209047150766</v>
      </c>
      <c r="W72" s="34"/>
      <c r="X72" s="34">
        <v>81.327844707894386</v>
      </c>
      <c r="Y72" s="34">
        <v>78.897719698806839</v>
      </c>
      <c r="Z72" s="34">
        <v>51.968426677078583</v>
      </c>
      <c r="AA72" s="34">
        <v>4.3483774131773716</v>
      </c>
      <c r="AB72" s="34">
        <v>4.17137165487381</v>
      </c>
      <c r="AC72" s="35">
        <v>86.446664251332763</v>
      </c>
      <c r="AD72" s="48"/>
      <c r="AE72" s="54">
        <v>1932.1</v>
      </c>
      <c r="AF72" s="37">
        <v>1966.9770000000001</v>
      </c>
      <c r="AG72" s="41">
        <v>-9.5883592230557452E-2</v>
      </c>
    </row>
    <row r="73" spans="1:71">
      <c r="A73" s="15"/>
      <c r="B73" s="56" t="s">
        <v>135</v>
      </c>
      <c r="C73" s="34">
        <v>37.520069725690988</v>
      </c>
      <c r="D73" s="34">
        <v>40.386669679505168</v>
      </c>
      <c r="E73" s="34">
        <v>36.113239687028987</v>
      </c>
      <c r="F73" s="34">
        <v>1.8101862083179174</v>
      </c>
      <c r="G73" s="34">
        <v>2.4632437841582635</v>
      </c>
      <c r="H73" s="34">
        <v>4.2734299924761805</v>
      </c>
      <c r="I73" s="34">
        <v>33.611507718743248</v>
      </c>
      <c r="J73" s="34"/>
      <c r="K73" s="34">
        <v>0.94757662249214825</v>
      </c>
      <c r="L73" s="34">
        <v>-0.92128297257903102</v>
      </c>
      <c r="M73" s="34">
        <v>-0.81244584957491783</v>
      </c>
      <c r="N73" s="34">
        <v>2.7577628308100661</v>
      </c>
      <c r="O73" s="34">
        <v>2.8665999538141791</v>
      </c>
      <c r="P73" s="34"/>
      <c r="Q73" s="34">
        <v>1.0564137454962617</v>
      </c>
      <c r="R73" s="34">
        <v>74.226048477566437</v>
      </c>
      <c r="S73" s="34"/>
      <c r="T73" s="34">
        <v>3.3254287707867229</v>
      </c>
      <c r="U73" s="34">
        <v>4.9348308133919012</v>
      </c>
      <c r="V73" s="34">
        <v>1.8250351980651618</v>
      </c>
      <c r="W73" s="34"/>
      <c r="X73" s="34">
        <v>83.504912110836969</v>
      </c>
      <c r="Y73" s="34">
        <v>77.424315774943082</v>
      </c>
      <c r="Z73" s="34">
        <v>61.43288207628791</v>
      </c>
      <c r="AA73" s="34">
        <v>2.7004303227296313</v>
      </c>
      <c r="AB73" s="34">
        <v>2.5915931997255193</v>
      </c>
      <c r="AC73" s="35">
        <v>86.295971652831611</v>
      </c>
      <c r="AD73" s="48"/>
      <c r="AE73" s="54">
        <v>2013.605</v>
      </c>
      <c r="AF73" s="37">
        <v>2057.364</v>
      </c>
      <c r="AG73" s="41">
        <v>-0.17932080911600343</v>
      </c>
    </row>
    <row r="74" spans="1:71">
      <c r="A74" s="15"/>
      <c r="B74" s="50" t="s">
        <v>136</v>
      </c>
      <c r="C74" s="34">
        <v>37.188013386646134</v>
      </c>
      <c r="D74" s="34">
        <v>40.03558210184066</v>
      </c>
      <c r="E74" s="34">
        <v>35.426489702726499</v>
      </c>
      <c r="F74" s="34">
        <v>2.2089204920126089</v>
      </c>
      <c r="G74" s="34">
        <v>2.400171907101555</v>
      </c>
      <c r="H74" s="34">
        <v>4.6090923991141644</v>
      </c>
      <c r="I74" s="34">
        <v>33.390286295840305</v>
      </c>
      <c r="J74" s="34"/>
      <c r="K74" s="34">
        <v>0.64108359979287732</v>
      </c>
      <c r="L74" s="34">
        <v>-0.89060076005046673</v>
      </c>
      <c r="M74" s="34">
        <v>-0.89303613666142367</v>
      </c>
      <c r="N74" s="34">
        <v>2.8500040918054865</v>
      </c>
      <c r="O74" s="34">
        <v>2.8475687151945297</v>
      </c>
      <c r="P74" s="34"/>
      <c r="Q74" s="34">
        <v>0.63864822318192038</v>
      </c>
      <c r="R74" s="34">
        <v>70.167495757008254</v>
      </c>
      <c r="S74" s="34"/>
      <c r="T74" s="34">
        <v>1.8398538599052414</v>
      </c>
      <c r="U74" s="34">
        <v>3.8529012658613837</v>
      </c>
      <c r="V74" s="34">
        <v>2.0416827075177912</v>
      </c>
      <c r="W74" s="34"/>
      <c r="X74" s="34">
        <v>82.275414057470584</v>
      </c>
      <c r="Y74" s="34">
        <v>73.735588459062456</v>
      </c>
      <c r="Z74" s="34">
        <v>63.030467606952655</v>
      </c>
      <c r="AA74" s="34">
        <v>2.816503462917999</v>
      </c>
      <c r="AB74" s="34">
        <v>2.8189388395289559</v>
      </c>
      <c r="AC74" s="35">
        <v>85.00529824548029</v>
      </c>
      <c r="AD74" s="48"/>
      <c r="AE74" s="37">
        <v>2098.808</v>
      </c>
      <c r="AF74" s="37">
        <v>2135.875</v>
      </c>
      <c r="AG74" s="41">
        <v>7.6599076868315269E-2</v>
      </c>
    </row>
    <row r="75" spans="1:71">
      <c r="A75" s="15"/>
      <c r="B75" s="50" t="s">
        <v>137</v>
      </c>
      <c r="C75" s="34">
        <v>37.38908770714324</v>
      </c>
      <c r="D75" s="34">
        <v>39.454896012609041</v>
      </c>
      <c r="E75" s="34">
        <v>35.008513224365899</v>
      </c>
      <c r="F75" s="34">
        <v>2.1001280319017037</v>
      </c>
      <c r="G75" s="34">
        <v>2.3462547563414433</v>
      </c>
      <c r="H75" s="34">
        <v>4.446382788243147</v>
      </c>
      <c r="I75" s="34">
        <v>33.811233223703432</v>
      </c>
      <c r="J75" s="34"/>
      <c r="K75" s="34">
        <v>0.17050051879675829</v>
      </c>
      <c r="L75" s="34">
        <v>-0.4609240471330377</v>
      </c>
      <c r="M75" s="34">
        <v>-0.66574429236569244</v>
      </c>
      <c r="N75" s="34">
        <v>2.2706285506984623</v>
      </c>
      <c r="O75" s="34">
        <v>2.0658083054658074</v>
      </c>
      <c r="P75" s="34"/>
      <c r="Q75" s="34">
        <v>-3.4319726435896411E-2</v>
      </c>
      <c r="R75" s="34">
        <v>66.974138978870798</v>
      </c>
      <c r="S75" s="34"/>
      <c r="T75" s="34">
        <v>1.6016179036719806</v>
      </c>
      <c r="U75" s="34">
        <v>0.81042399583746794</v>
      </c>
      <c r="V75" s="34">
        <v>1.7970011183814336</v>
      </c>
      <c r="W75" s="34"/>
      <c r="X75" s="34">
        <v>80.290127102312184</v>
      </c>
      <c r="Y75" s="34">
        <v>72.319403695903333</v>
      </c>
      <c r="Z75" s="34">
        <v>58.898178527033807</v>
      </c>
      <c r="AA75" s="34">
        <v>1.8623742165924373</v>
      </c>
      <c r="AB75" s="34">
        <v>2.0671944618250926</v>
      </c>
      <c r="AC75" s="35">
        <v>84.75104626860383</v>
      </c>
      <c r="AD75" s="48"/>
      <c r="AE75" s="37">
        <v>2173.6770000000001</v>
      </c>
      <c r="AF75" s="37">
        <v>2213.0990000000002</v>
      </c>
      <c r="AG75" s="41">
        <v>0.37900085971798331</v>
      </c>
    </row>
    <row r="76" spans="1:71">
      <c r="A76" s="15"/>
      <c r="B76" s="50" t="s">
        <v>138</v>
      </c>
      <c r="C76" s="34">
        <v>36.887443979952856</v>
      </c>
      <c r="D76" s="34">
        <v>39.594004746695163</v>
      </c>
      <c r="E76" s="34">
        <v>35.358156282732658</v>
      </c>
      <c r="F76" s="34">
        <v>1.8937326604615976</v>
      </c>
      <c r="G76" s="34">
        <v>2.3421158035008993</v>
      </c>
      <c r="H76" s="34">
        <v>4.2358484639624967</v>
      </c>
      <c r="I76" s="34">
        <v>33.138249835487407</v>
      </c>
      <c r="J76" s="34"/>
      <c r="K76" s="34">
        <v>1.1648107341133163</v>
      </c>
      <c r="L76" s="34">
        <v>-1.3262143301719886</v>
      </c>
      <c r="M76" s="34">
        <v>-1.6781969580045999</v>
      </c>
      <c r="N76" s="34">
        <v>3.0585433945749134</v>
      </c>
      <c r="O76" s="34">
        <v>2.7065607667423031</v>
      </c>
      <c r="P76" s="34"/>
      <c r="Q76" s="34">
        <v>0.81282810628070545</v>
      </c>
      <c r="R76" s="34">
        <v>74.569847831484822</v>
      </c>
      <c r="S76" s="34"/>
      <c r="T76" s="34">
        <v>2.4983637846852029</v>
      </c>
      <c r="U76" s="34">
        <v>0.76555718867689992</v>
      </c>
      <c r="V76" s="34">
        <v>1.7458161228134972</v>
      </c>
      <c r="W76" s="34"/>
      <c r="X76" s="34">
        <v>85.19258923043634</v>
      </c>
      <c r="Y76" s="34">
        <v>77.133323351171356</v>
      </c>
      <c r="Z76" s="34">
        <v>67.185504398800816</v>
      </c>
      <c r="AA76" s="34">
        <v>2.9560139879145058</v>
      </c>
      <c r="AB76" s="34">
        <v>3.3079966157471166</v>
      </c>
      <c r="AC76" s="35">
        <v>84.601086473700931</v>
      </c>
      <c r="AD76" s="48"/>
      <c r="AE76" s="54">
        <v>2244.509</v>
      </c>
      <c r="AF76" s="37">
        <v>2130.4670000000001</v>
      </c>
      <c r="AG76" s="41">
        <v>0.55236491177802816</v>
      </c>
    </row>
    <row r="77" spans="1:71">
      <c r="A77" s="15"/>
      <c r="B77" s="50" t="s">
        <v>139</v>
      </c>
      <c r="C77" s="34">
        <v>38.016693811856022</v>
      </c>
      <c r="D77" s="34">
        <v>53.090954609022944</v>
      </c>
      <c r="E77" s="34">
        <v>47.076952295447093</v>
      </c>
      <c r="F77" s="34">
        <v>3.4413002066103813</v>
      </c>
      <c r="G77" s="34">
        <v>2.5727021069654752</v>
      </c>
      <c r="H77" s="34">
        <v>6.0140023135758565</v>
      </c>
      <c r="I77" s="34">
        <v>34.097331330536321</v>
      </c>
      <c r="J77" s="34"/>
      <c r="K77" s="34">
        <v>11.59221128174566</v>
      </c>
      <c r="L77" s="34">
        <v>-14.061687682606552</v>
      </c>
      <c r="M77" s="34">
        <v>-14.020938373795669</v>
      </c>
      <c r="N77" s="34">
        <v>15.033511488356041</v>
      </c>
      <c r="O77" s="34">
        <v>15.074260797166925</v>
      </c>
      <c r="P77" s="34"/>
      <c r="Q77" s="34">
        <v>11.632960590556545</v>
      </c>
      <c r="R77" s="34">
        <v>83.068011137165584</v>
      </c>
      <c r="S77" s="34"/>
      <c r="T77" s="34">
        <v>16.209562780204539</v>
      </c>
      <c r="U77" s="34">
        <v>16.235748775588899</v>
      </c>
      <c r="V77" s="34">
        <v>1.2086323620535193</v>
      </c>
      <c r="W77" s="34"/>
      <c r="X77" s="34">
        <v>96.486233225877328</v>
      </c>
      <c r="Y77" s="34">
        <v>86.537211314714597</v>
      </c>
      <c r="Z77" s="34">
        <v>73.550128454023337</v>
      </c>
      <c r="AA77" s="34">
        <v>15.313771531506646</v>
      </c>
      <c r="AB77" s="34">
        <v>15.273022222695765</v>
      </c>
      <c r="AC77" s="35">
        <v>107.63806158408966</v>
      </c>
      <c r="AD77" s="48"/>
      <c r="AE77" s="57">
        <v>2085.0839999999998</v>
      </c>
      <c r="AF77" s="37">
        <v>2230.37</v>
      </c>
      <c r="AG77" s="41">
        <v>-0.30244458233298133</v>
      </c>
      <c r="AH77" s="58"/>
      <c r="BS77" s="15">
        <v>60</v>
      </c>
    </row>
    <row r="78" spans="1:71">
      <c r="A78" s="15"/>
      <c r="B78" s="50" t="s">
        <v>140</v>
      </c>
      <c r="C78" s="34">
        <v>38.991456103509009</v>
      </c>
      <c r="D78" s="34">
        <v>44.19120884703969</v>
      </c>
      <c r="E78" s="34">
        <v>39.593889716840536</v>
      </c>
      <c r="F78" s="34">
        <v>2.2556225443706817</v>
      </c>
      <c r="G78" s="34">
        <v>2.3416965858284784</v>
      </c>
      <c r="H78" s="34">
        <v>4.5973191301991596</v>
      </c>
      <c r="I78" s="34">
        <v>35.237645644221651</v>
      </c>
      <c r="J78" s="34"/>
      <c r="K78" s="34">
        <v>3.7757002432402715</v>
      </c>
      <c r="L78" s="34">
        <v>-3.1385906381249153</v>
      </c>
      <c r="M78" s="34">
        <v>-3.9701606822051807</v>
      </c>
      <c r="N78" s="34">
        <v>6.0313227876109519</v>
      </c>
      <c r="O78" s="34">
        <v>5.1997527435306861</v>
      </c>
      <c r="P78" s="34"/>
      <c r="Q78" s="34">
        <v>2.9441301991600053</v>
      </c>
      <c r="R78" s="34">
        <v>80.632539835485289</v>
      </c>
      <c r="S78" s="34"/>
      <c r="T78" s="34">
        <v>5.4536140089418774</v>
      </c>
      <c r="U78" s="34">
        <v>7.326835794607776</v>
      </c>
      <c r="V78" s="34">
        <v>2.3437288307817368</v>
      </c>
      <c r="W78" s="34"/>
      <c r="X78" s="34">
        <v>96.60320712423804</v>
      </c>
      <c r="Y78" s="34">
        <v>83.186433113912756</v>
      </c>
      <c r="Z78" s="34">
        <v>67.1372612660128</v>
      </c>
      <c r="AA78" s="34">
        <v>5.7959626066928598</v>
      </c>
      <c r="AB78" s="34">
        <v>6.6275326507731256</v>
      </c>
      <c r="AC78" s="35">
        <v>100.99694316488281</v>
      </c>
      <c r="AD78" s="48"/>
      <c r="AE78" s="57">
        <v>2361.92</v>
      </c>
      <c r="AF78" s="59">
        <v>2464.8249999999998</v>
      </c>
      <c r="AG78" s="41">
        <v>1.7841179210937241</v>
      </c>
      <c r="BS78" s="15">
        <v>60</v>
      </c>
    </row>
    <row r="79" spans="1:71">
      <c r="A79" s="15"/>
      <c r="B79" s="50" t="s">
        <v>141</v>
      </c>
      <c r="C79" s="61">
        <v>40.515452248562909</v>
      </c>
      <c r="D79" s="62">
        <v>45.342745117698868</v>
      </c>
      <c r="E79" s="62">
        <v>41.181426204140358</v>
      </c>
      <c r="F79" s="62">
        <v>1.7994299820660153</v>
      </c>
      <c r="G79" s="62">
        <v>2.361888931492492</v>
      </c>
      <c r="H79" s="62">
        <v>4.1613189135585076</v>
      </c>
      <c r="I79" s="62">
        <v>36.383037638651558</v>
      </c>
      <c r="J79" s="62"/>
      <c r="K79" s="62">
        <v>3.8980256247608702</v>
      </c>
      <c r="L79" s="62">
        <v>-1.0405157655743478</v>
      </c>
      <c r="M79" s="62">
        <v>-1.9106785032652733</v>
      </c>
      <c r="N79" s="62">
        <v>5.6974556068268862</v>
      </c>
      <c r="O79" s="34">
        <v>4.8272928691359605</v>
      </c>
      <c r="P79" s="62"/>
      <c r="Q79" s="34">
        <v>3.0278628870699453</v>
      </c>
      <c r="R79" s="34">
        <v>81.346645089270581</v>
      </c>
      <c r="S79" s="62"/>
      <c r="T79" s="62">
        <v>4.3614165928719171</v>
      </c>
      <c r="U79" s="62">
        <v>1.2873773182681072</v>
      </c>
      <c r="V79" s="62">
        <v>4.3920441883354293</v>
      </c>
      <c r="W79" s="62"/>
      <c r="X79" s="34">
        <v>95.741529527842459</v>
      </c>
      <c r="Y79" s="34">
        <v>84.830974970170288</v>
      </c>
      <c r="Z79" s="34">
        <v>69.362861301412465</v>
      </c>
      <c r="AA79" s="62">
        <v>5.1892233162949379</v>
      </c>
      <c r="AB79" s="62">
        <v>6.0593860539858646</v>
      </c>
      <c r="AC79" s="63">
        <v>99.425086350628007</v>
      </c>
      <c r="AD79" s="48"/>
      <c r="AE79" s="54">
        <v>2553.2530000000002</v>
      </c>
      <c r="AF79" s="37">
        <v>2653.3939999999998</v>
      </c>
      <c r="AG79" s="41">
        <v>1.0266783069443619</v>
      </c>
      <c r="BS79" s="15">
        <v>60</v>
      </c>
    </row>
    <row r="80" spans="1:71">
      <c r="A80" s="15"/>
      <c r="B80" s="64" t="s">
        <v>0</v>
      </c>
      <c r="C80" s="65">
        <v>40.466945952463576</v>
      </c>
      <c r="D80" s="66">
        <v>44.947159695795122</v>
      </c>
      <c r="E80" s="66">
        <v>39.988831999153028</v>
      </c>
      <c r="F80" s="66">
        <v>2.556545816006635</v>
      </c>
      <c r="G80" s="66">
        <v>2.4017818806354656</v>
      </c>
      <c r="H80" s="66">
        <v>4.9583276966421002</v>
      </c>
      <c r="I80" s="66">
        <v>35.995224007011068</v>
      </c>
      <c r="J80" s="66"/>
      <c r="K80" s="66">
        <v>2.1369213467825516</v>
      </c>
      <c r="L80" s="66">
        <v>-1.49279189728086</v>
      </c>
      <c r="M80" s="66">
        <v>-1.7060453167384966</v>
      </c>
      <c r="N80" s="66">
        <v>4.6934671627891857</v>
      </c>
      <c r="O80" s="198">
        <v>4.4802137433315492</v>
      </c>
      <c r="P80" s="66"/>
      <c r="Q80" s="34">
        <v>1.9236679273249144</v>
      </c>
      <c r="R80" s="34">
        <v>82.794795308586217</v>
      </c>
      <c r="S80" s="67"/>
      <c r="T80" s="67">
        <v>5.786149326243847</v>
      </c>
      <c r="U80" s="67">
        <v>1.1292253127628413</v>
      </c>
      <c r="V80" s="67">
        <v>3.9214093296552699</v>
      </c>
      <c r="W80" s="67"/>
      <c r="X80" s="34">
        <v>97.810367923129988</v>
      </c>
      <c r="Y80" s="34">
        <v>88.853958473360478</v>
      </c>
      <c r="Z80" s="34">
        <v>69.878036960248934</v>
      </c>
      <c r="AA80" s="199">
        <v>5.4892672497456143</v>
      </c>
      <c r="AB80" s="67">
        <v>5.70252066920325</v>
      </c>
      <c r="AC80" s="68">
        <v>100.58795591029133</v>
      </c>
      <c r="AD80" s="48"/>
      <c r="AE80" s="69">
        <v>2720.2719999999999</v>
      </c>
      <c r="AF80" s="70">
        <v>2760.0346030000001</v>
      </c>
      <c r="AG80" s="41">
        <v>1.5835516137528316E-2</v>
      </c>
      <c r="BS80" s="15">
        <v>60</v>
      </c>
    </row>
    <row r="81" spans="1:71">
      <c r="B81" s="72" t="s">
        <v>1</v>
      </c>
      <c r="C81" s="73">
        <v>40.810622570349828</v>
      </c>
      <c r="D81" s="74">
        <v>45.340160349770095</v>
      </c>
      <c r="E81" s="74">
        <v>40.304366914891851</v>
      </c>
      <c r="F81" s="74">
        <v>2.5585173595950574</v>
      </c>
      <c r="G81" s="74">
        <v>2.4772760752831835</v>
      </c>
      <c r="H81" s="74">
        <v>5.0357934348782409</v>
      </c>
      <c r="I81" s="74">
        <v>36.410308214945545</v>
      </c>
      <c r="J81" s="74"/>
      <c r="K81" s="74">
        <v>1.8556988745239662</v>
      </c>
      <c r="L81" s="74">
        <v>-1.6340366126131287</v>
      </c>
      <c r="M81" s="74">
        <v>-1.518715067311881</v>
      </c>
      <c r="N81" s="74">
        <v>4.4142162341190225</v>
      </c>
      <c r="O81" s="74">
        <v>4.5295377794202709</v>
      </c>
      <c r="P81" s="74"/>
      <c r="Q81" s="200">
        <v>1.9710204198252141</v>
      </c>
      <c r="R81" s="200">
        <v>83.544789736520812</v>
      </c>
      <c r="S81" s="74"/>
      <c r="T81" s="74">
        <v>5.8654996204094187</v>
      </c>
      <c r="U81" s="74">
        <v>4.6124248044114156</v>
      </c>
      <c r="V81" s="74">
        <v>3.7269267094695171</v>
      </c>
      <c r="W81" s="74"/>
      <c r="X81" s="201">
        <v>98.39558667527487</v>
      </c>
      <c r="Y81" s="201">
        <v>91.752912815138501</v>
      </c>
      <c r="Z81" s="201">
        <v>69.572316302535853</v>
      </c>
      <c r="AA81" s="201">
        <v>5.1982461670326554</v>
      </c>
      <c r="AB81" s="74">
        <v>5.0829246217314079</v>
      </c>
      <c r="AC81" s="75">
        <v>103.89131054478121</v>
      </c>
      <c r="AD81" s="48"/>
      <c r="AE81" s="76">
        <v>2814.6771269999999</v>
      </c>
      <c r="AF81" s="77">
        <v>2881.8284830000002</v>
      </c>
      <c r="AG81" s="202">
        <v>-0.23697729705750703</v>
      </c>
      <c r="BS81" s="15">
        <v>60</v>
      </c>
    </row>
    <row r="82" spans="1:71">
      <c r="B82" s="72" t="s">
        <v>2</v>
      </c>
      <c r="C82" s="73">
        <v>41.677033258060128</v>
      </c>
      <c r="D82" s="74">
        <v>45.255877228699873</v>
      </c>
      <c r="E82" s="74">
        <v>40.096232930925588</v>
      </c>
      <c r="F82" s="74">
        <v>2.6919810578913785</v>
      </c>
      <c r="G82" s="74">
        <v>2.4676632398829184</v>
      </c>
      <c r="H82" s="74">
        <v>5.159644297774296</v>
      </c>
      <c r="I82" s="74">
        <v>37.442986878030617</v>
      </c>
      <c r="J82" s="74"/>
      <c r="K82" s="74">
        <v>0.9621609965546396</v>
      </c>
      <c r="L82" s="74">
        <v>-0.68035094639171556</v>
      </c>
      <c r="M82" s="74">
        <v>-0.75564903019797103</v>
      </c>
      <c r="N82" s="74">
        <v>3.6541420544460168</v>
      </c>
      <c r="O82" s="74">
        <v>3.5788439706397619</v>
      </c>
      <c r="P82" s="74"/>
      <c r="Q82" s="74">
        <v>0.88686291274838425</v>
      </c>
      <c r="R82" s="74">
        <v>83.791436212032806</v>
      </c>
      <c r="S82" s="74"/>
      <c r="T82" s="74">
        <v>4.5802334369896061</v>
      </c>
      <c r="U82" s="74">
        <v>2.2685752887891049</v>
      </c>
      <c r="V82" s="74">
        <v>3.5846013072649106</v>
      </c>
      <c r="W82" s="74"/>
      <c r="X82" s="74">
        <v>96.921743936852266</v>
      </c>
      <c r="Y82" s="74">
        <v>93.140493296167065</v>
      </c>
      <c r="Z82" s="74">
        <v>69.261947954335284</v>
      </c>
      <c r="AA82" s="74">
        <v>3.9261302801374716</v>
      </c>
      <c r="AB82" s="74">
        <v>4.0014283639437265</v>
      </c>
      <c r="AC82" s="75">
        <v>104.35487652762421</v>
      </c>
      <c r="AD82" s="79"/>
      <c r="AE82" s="76">
        <v>2950.017241</v>
      </c>
      <c r="AF82" s="77">
        <v>3005.5463840000007</v>
      </c>
      <c r="AG82" s="203">
        <v>0.24538708643551388</v>
      </c>
      <c r="BS82" s="15">
        <v>60</v>
      </c>
    </row>
    <row r="83" spans="1:71">
      <c r="B83" s="72" t="s">
        <v>3</v>
      </c>
      <c r="C83" s="73">
        <v>42.182638509268472</v>
      </c>
      <c r="D83" s="74">
        <v>45.074047908591602</v>
      </c>
      <c r="E83" s="74">
        <v>39.892825784570661</v>
      </c>
      <c r="F83" s="74">
        <v>2.7207401631879549</v>
      </c>
      <c r="G83" s="74">
        <v>2.4604819608329844</v>
      </c>
      <c r="H83" s="74">
        <v>5.1812221240209393</v>
      </c>
      <c r="I83" s="74">
        <v>37.996070613410559</v>
      </c>
      <c r="J83" s="74"/>
      <c r="K83" s="74">
        <v>0.39942937456492233</v>
      </c>
      <c r="L83" s="74">
        <v>3.0948591031977092E-3</v>
      </c>
      <c r="M83" s="74">
        <v>-0.22566527932655253</v>
      </c>
      <c r="N83" s="74">
        <v>3.1201695377528775</v>
      </c>
      <c r="O83" s="74">
        <v>2.8914093993231265</v>
      </c>
      <c r="P83" s="74"/>
      <c r="Q83" s="74">
        <v>0.17066923613517218</v>
      </c>
      <c r="R83" s="74">
        <v>84.227751092845665</v>
      </c>
      <c r="S83" s="74"/>
      <c r="T83" s="74">
        <v>3.7823224811186233</v>
      </c>
      <c r="U83" s="74">
        <v>2.9929597692516348</v>
      </c>
      <c r="V83" s="74">
        <v>3.5369806001282567</v>
      </c>
      <c r="W83" s="74"/>
      <c r="X83" s="74">
        <v>96.966300507515712</v>
      </c>
      <c r="Y83" s="74">
        <v>94.384385925608811</v>
      </c>
      <c r="Z83" s="74">
        <v>69.189136625057131</v>
      </c>
      <c r="AA83" s="74">
        <v>3.4684110150018834</v>
      </c>
      <c r="AB83" s="74">
        <v>3.697171153431634</v>
      </c>
      <c r="AC83" s="75">
        <v>105.21119526676569</v>
      </c>
      <c r="AD83" s="79"/>
      <c r="AE83" s="76">
        <v>3059.3962009999996</v>
      </c>
      <c r="AF83" s="77">
        <v>3112.5791730000001</v>
      </c>
      <c r="AG83" s="203">
        <v>0.35936544228529499</v>
      </c>
    </row>
    <row r="84" spans="1:71">
      <c r="B84" s="72" t="s">
        <v>4</v>
      </c>
      <c r="C84" s="73">
        <v>42.495645530764264</v>
      </c>
      <c r="D84" s="74">
        <v>44.77415121129625</v>
      </c>
      <c r="E84" s="74">
        <v>39.691194561540897</v>
      </c>
      <c r="F84" s="74">
        <v>2.6234059101241507</v>
      </c>
      <c r="G84" s="74">
        <v>2.459550739631196</v>
      </c>
      <c r="H84" s="74">
        <v>5.0829566497553467</v>
      </c>
      <c r="I84" s="74">
        <v>38.318101266239488</v>
      </c>
      <c r="J84" s="74"/>
      <c r="K84" s="74">
        <v>-0.16056064689532487</v>
      </c>
      <c r="L84" s="74">
        <v>0.65721196891777112</v>
      </c>
      <c r="M84" s="74">
        <v>0.47287238622092925</v>
      </c>
      <c r="N84" s="74">
        <v>2.4628452632288256</v>
      </c>
      <c r="O84" s="74">
        <v>2.2785056805319837</v>
      </c>
      <c r="P84" s="74"/>
      <c r="Q84" s="74">
        <v>-0.34490022959216671</v>
      </c>
      <c r="R84" s="74">
        <v>84.100989154685962</v>
      </c>
      <c r="S84" s="74"/>
      <c r="T84" s="74">
        <v>3.7258761122848441</v>
      </c>
      <c r="U84" s="74">
        <v>3.7400974328140664</v>
      </c>
      <c r="V84" s="74">
        <v>3.5652528445679392</v>
      </c>
      <c r="W84" s="74"/>
      <c r="X84" s="74">
        <v>97.24596903335447</v>
      </c>
      <c r="Y84" s="74">
        <v>95.054133757372853</v>
      </c>
      <c r="Z84" s="74">
        <v>68.709183513082991</v>
      </c>
      <c r="AA84" s="74">
        <v>2.8769927125909462</v>
      </c>
      <c r="AB84" s="74">
        <v>3.0613322952877886</v>
      </c>
      <c r="AC84" s="75">
        <v>105.66081376820809</v>
      </c>
      <c r="AD84" s="79"/>
      <c r="AE84" s="76">
        <v>3167.3345859999999</v>
      </c>
      <c r="AF84" s="77">
        <v>3222.166643</v>
      </c>
      <c r="AG84" s="203">
        <v>0.22493298847956567</v>
      </c>
    </row>
    <row r="85" spans="1:71">
      <c r="B85" s="72" t="s">
        <v>5</v>
      </c>
      <c r="C85" s="73">
        <v>42.3832429765679</v>
      </c>
      <c r="D85" s="74">
        <v>44.576156405478464</v>
      </c>
      <c r="E85" s="74">
        <v>39.649621797716868</v>
      </c>
      <c r="F85" s="74">
        <v>2.4777517645841698</v>
      </c>
      <c r="G85" s="74">
        <v>2.4487828431774292</v>
      </c>
      <c r="H85" s="74">
        <v>4.9265346077615995</v>
      </c>
      <c r="I85" s="74">
        <v>38.221284823284847</v>
      </c>
      <c r="J85" s="74"/>
      <c r="K85" s="74">
        <v>-0.18773550426385657</v>
      </c>
      <c r="L85" s="74">
        <v>0.78073595950866415</v>
      </c>
      <c r="M85" s="74">
        <v>0.68363312809891175</v>
      </c>
      <c r="N85" s="74">
        <v>2.2900162603203147</v>
      </c>
      <c r="O85" s="74">
        <v>2.1929134289105625</v>
      </c>
      <c r="P85" s="74"/>
      <c r="Q85" s="74">
        <v>-0.28483833567360894</v>
      </c>
      <c r="R85" s="74">
        <v>83.87292704964851</v>
      </c>
      <c r="S85" s="74"/>
      <c r="T85" s="74">
        <v>3.9097642704699593</v>
      </c>
      <c r="U85" s="74">
        <v>3.8921359651089422</v>
      </c>
      <c r="V85" s="74">
        <v>3.5966371948452451</v>
      </c>
      <c r="W85" s="74"/>
      <c r="X85" s="74">
        <v>97.339931666562251</v>
      </c>
      <c r="Y85" s="74">
        <v>95.607594350085449</v>
      </c>
      <c r="Z85" s="74">
        <v>68.37793650625656</v>
      </c>
      <c r="AA85" s="74">
        <v>2.8760640491892304</v>
      </c>
      <c r="AB85" s="74">
        <v>2.9731668805989826</v>
      </c>
      <c r="AC85" s="75">
        <v>106.04537748083563</v>
      </c>
      <c r="AD85" s="79"/>
      <c r="AE85" s="76">
        <v>3279.049422</v>
      </c>
      <c r="AF85" s="77">
        <v>3336.6604410000004</v>
      </c>
      <c r="AG85" s="203">
        <v>0.10423246742767844</v>
      </c>
    </row>
    <row r="86" spans="1:71">
      <c r="B86" s="80" t="s">
        <v>615</v>
      </c>
      <c r="C86" s="81">
        <v>42.384303033996787</v>
      </c>
      <c r="D86" s="82">
        <v>44.461958009115349</v>
      </c>
      <c r="E86" s="82">
        <v>39.662972133836391</v>
      </c>
      <c r="F86" s="82">
        <v>2.3699286579271828</v>
      </c>
      <c r="G86" s="82">
        <v>2.4290572173517684</v>
      </c>
      <c r="H86" s="82">
        <v>4.7989858752789507</v>
      </c>
      <c r="I86" s="82">
        <v>38.242303897744932</v>
      </c>
      <c r="J86" s="82"/>
      <c r="K86" s="82">
        <v>-0.26881767545284879</v>
      </c>
      <c r="L86" s="82">
        <v>0.89388351460771343</v>
      </c>
      <c r="M86" s="82">
        <v>0.87042750725193041</v>
      </c>
      <c r="N86" s="82">
        <v>2.1011109824743341</v>
      </c>
      <c r="O86" s="82">
        <v>2.0776549751185507</v>
      </c>
      <c r="P86" s="82"/>
      <c r="Q86" s="82">
        <v>-0.29227368280863181</v>
      </c>
      <c r="R86" s="82">
        <v>83.417751487533209</v>
      </c>
      <c r="S86" s="82"/>
      <c r="T86" s="82">
        <v>3.0669794132476569</v>
      </c>
      <c r="U86" s="82">
        <v>3.0164749632848151</v>
      </c>
      <c r="V86" s="82">
        <v>3.595958608329803</v>
      </c>
      <c r="W86" s="82"/>
      <c r="X86" s="82">
        <v>97.147984898017739</v>
      </c>
      <c r="Y86" s="82">
        <v>95.774656046387136</v>
      </c>
      <c r="Z86" s="82">
        <v>67.888123215257707</v>
      </c>
      <c r="AA86" s="82">
        <v>2.6744064744983742</v>
      </c>
      <c r="AB86" s="82">
        <v>2.6978624818541572</v>
      </c>
      <c r="AC86" s="83">
        <v>106.09650543377005</v>
      </c>
      <c r="AD86" s="79"/>
      <c r="AE86" s="84">
        <v>3397.2814119999998</v>
      </c>
      <c r="AF86" s="85">
        <v>3459.5959904002893</v>
      </c>
      <c r="AG86" s="204">
        <v>5.2190277404946528E-3</v>
      </c>
    </row>
    <row r="87" spans="1:71" s="25" customFormat="1">
      <c r="A87" s="87"/>
      <c r="B87" s="88" t="s">
        <v>142</v>
      </c>
      <c r="C87" s="209" t="s">
        <v>143</v>
      </c>
      <c r="D87" s="209"/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  <c r="AA87" s="209"/>
      <c r="AB87" s="209"/>
      <c r="AC87" s="89"/>
      <c r="AD87" s="63"/>
      <c r="AE87" s="90"/>
      <c r="AF87" s="90"/>
      <c r="AG87" s="91"/>
    </row>
    <row r="88" spans="1:71" s="25" customFormat="1">
      <c r="A88" s="87"/>
      <c r="B88" s="88"/>
      <c r="C88" s="92" t="s">
        <v>144</v>
      </c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3"/>
      <c r="AD88" s="94"/>
      <c r="AE88" s="90"/>
      <c r="AF88" s="90"/>
      <c r="AG88" s="93"/>
    </row>
    <row r="89" spans="1:71" s="25" customFormat="1">
      <c r="A89" s="87"/>
      <c r="B89" s="88"/>
      <c r="C89" s="210" t="s">
        <v>712</v>
      </c>
      <c r="D89" s="210"/>
      <c r="E89" s="210"/>
      <c r="F89" s="210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  <c r="AA89" s="210"/>
      <c r="AB89" s="210"/>
      <c r="AC89" s="95"/>
      <c r="AD89" s="63"/>
      <c r="AE89" s="90"/>
      <c r="AF89" s="90"/>
      <c r="AG89" s="93"/>
    </row>
    <row r="90" spans="1:71" s="25" customFormat="1">
      <c r="A90" s="87"/>
      <c r="B90" s="88"/>
      <c r="C90" s="211" t="s">
        <v>713</v>
      </c>
      <c r="D90" s="211"/>
      <c r="E90" s="211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  <c r="X90" s="211"/>
      <c r="Y90" s="211"/>
      <c r="Z90" s="211"/>
      <c r="AA90" s="211"/>
      <c r="AB90" s="211"/>
      <c r="AC90" s="96"/>
      <c r="AD90" s="63"/>
      <c r="AE90" s="90"/>
      <c r="AF90" s="90"/>
      <c r="AG90" s="93"/>
    </row>
    <row r="91" spans="1:71" s="25" customFormat="1">
      <c r="A91" s="87"/>
      <c r="B91" s="88"/>
      <c r="C91" s="97" t="s">
        <v>147</v>
      </c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3"/>
      <c r="AD91" s="48"/>
      <c r="AE91" s="90"/>
      <c r="AF91" s="90"/>
      <c r="AG91" s="93"/>
    </row>
    <row r="92" spans="1:71" s="25" customFormat="1" ht="16.5" thickBot="1">
      <c r="A92" s="87"/>
      <c r="B92" s="98"/>
      <c r="C92" s="99" t="s">
        <v>148</v>
      </c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2"/>
      <c r="AD92" s="48"/>
      <c r="AE92" s="100"/>
      <c r="AF92" s="100"/>
      <c r="AG92" s="102"/>
    </row>
    <row r="93" spans="1:71">
      <c r="AD93" s="103"/>
    </row>
    <row r="94" spans="1:71">
      <c r="AG94" s="49"/>
      <c r="AH94" s="49"/>
      <c r="AI94" s="49"/>
    </row>
    <row r="95" spans="1:71"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</row>
    <row r="96" spans="1:71"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</row>
    <row r="97" spans="2:2">
      <c r="B97" s="104"/>
    </row>
    <row r="98" spans="2:2">
      <c r="B98" s="104"/>
    </row>
    <row r="99" spans="2:2">
      <c r="B99" s="104"/>
    </row>
    <row r="100" spans="2:2">
      <c r="B100" s="104"/>
    </row>
    <row r="101" spans="2:2">
      <c r="B101" s="104"/>
    </row>
    <row r="102" spans="2:2">
      <c r="B102" s="104"/>
    </row>
  </sheetData>
  <mergeCells count="10">
    <mergeCell ref="AE3:AG3"/>
    <mergeCell ref="C87:AB87"/>
    <mergeCell ref="C89:AB89"/>
    <mergeCell ref="C90:AB90"/>
    <mergeCell ref="C1:AC1"/>
    <mergeCell ref="C3:I3"/>
    <mergeCell ref="K3:N3"/>
    <mergeCell ref="Q3:R3"/>
    <mergeCell ref="T3:V3"/>
    <mergeCell ref="X3:AC3"/>
  </mergeCells>
  <pageMargins left="0.74803149606299213" right="0.74803149606299213" top="0.98425196850393704" bottom="0.98425196850393704" header="0.51181102362204722" footer="0.51181102362204722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D7F4-17C5-4421-948C-A9F6CEB2891A}">
  <sheetPr>
    <pageSetUpPr fitToPage="1"/>
  </sheetPr>
  <dimension ref="A1:BL106"/>
  <sheetViews>
    <sheetView showGridLines="0" view="pageBreakPreview" topLeftCell="A28" zoomScale="40" zoomScaleNormal="70" zoomScaleSheetLayoutView="55" zoomScalePageLayoutView="40" workbookViewId="0">
      <selection activeCell="D49" sqref="D49"/>
    </sheetView>
  </sheetViews>
  <sheetFormatPr defaultColWidth="9" defaultRowHeight="23.25"/>
  <cols>
    <col min="1" max="1" width="16.42578125" style="114" customWidth="1"/>
    <col min="2" max="2" width="2.140625" style="114" customWidth="1"/>
    <col min="3" max="3" width="7" style="176" customWidth="1"/>
    <col min="4" max="4" width="216.42578125" style="177" customWidth="1"/>
    <col min="5" max="11" width="22.5703125" style="176" customWidth="1"/>
    <col min="12" max="12" width="2.140625" style="114" customWidth="1"/>
    <col min="13" max="13" width="103" style="117" customWidth="1"/>
    <col min="14" max="14" width="20" style="117" customWidth="1"/>
    <col min="15" max="15" width="18.28515625" style="117" customWidth="1"/>
    <col min="16" max="16" width="15.28515625" style="117" customWidth="1"/>
    <col min="17" max="17" width="14.42578125" style="117" customWidth="1"/>
    <col min="18" max="18" width="14" style="117" customWidth="1"/>
    <col min="19" max="19" width="22.7109375" style="117" customWidth="1"/>
    <col min="20" max="16384" width="9" style="117"/>
  </cols>
  <sheetData>
    <row r="1" spans="1:64" ht="41.1" customHeight="1" thickBot="1">
      <c r="C1" s="224" t="s">
        <v>613</v>
      </c>
      <c r="D1" s="224"/>
      <c r="E1" s="224"/>
      <c r="F1" s="224"/>
      <c r="G1" s="224"/>
      <c r="H1" s="224"/>
      <c r="I1" s="224"/>
      <c r="J1" s="115"/>
      <c r="K1" s="116"/>
    </row>
    <row r="2" spans="1:64" s="125" customFormat="1" ht="28.5" customHeight="1" thickBot="1">
      <c r="A2" s="118"/>
      <c r="B2" s="119"/>
      <c r="C2" s="120"/>
      <c r="D2" s="121"/>
      <c r="E2" s="122" t="s">
        <v>614</v>
      </c>
      <c r="F2" s="121" t="s">
        <v>1</v>
      </c>
      <c r="G2" s="121" t="s">
        <v>2</v>
      </c>
      <c r="H2" s="121" t="s">
        <v>3</v>
      </c>
      <c r="I2" s="121" t="s">
        <v>4</v>
      </c>
      <c r="J2" s="121" t="s">
        <v>5</v>
      </c>
      <c r="K2" s="123" t="s">
        <v>615</v>
      </c>
      <c r="L2" s="119"/>
      <c r="M2" s="124"/>
    </row>
    <row r="3" spans="1:64" s="131" customFormat="1" ht="28.5" customHeight="1">
      <c r="A3" s="1"/>
      <c r="B3" s="1"/>
      <c r="C3" s="126" t="s">
        <v>616</v>
      </c>
      <c r="D3" s="127"/>
      <c r="E3" s="128"/>
      <c r="F3" s="129"/>
      <c r="G3" s="129"/>
      <c r="H3" s="129"/>
      <c r="I3" s="129"/>
      <c r="J3" s="129"/>
      <c r="K3" s="130"/>
      <c r="L3" s="1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</row>
    <row r="4" spans="1:64" s="131" customFormat="1" ht="45" customHeight="1">
      <c r="A4" s="1"/>
      <c r="C4" s="133">
        <v>1</v>
      </c>
      <c r="D4" s="134" t="s">
        <v>617</v>
      </c>
      <c r="E4" s="128" t="s">
        <v>7</v>
      </c>
      <c r="F4" s="129">
        <v>-26450</v>
      </c>
      <c r="G4" s="129">
        <v>-44360</v>
      </c>
      <c r="H4" s="129">
        <v>-48285</v>
      </c>
      <c r="I4" s="129">
        <v>-51770</v>
      </c>
      <c r="J4" s="129">
        <v>-55065</v>
      </c>
      <c r="K4" s="130">
        <v>-55160</v>
      </c>
      <c r="N4" s="225"/>
      <c r="O4" s="225"/>
    </row>
    <row r="5" spans="1:64" s="131" customFormat="1" ht="45" customHeight="1">
      <c r="A5" s="1"/>
      <c r="C5" s="133">
        <v>2</v>
      </c>
      <c r="D5" s="134" t="s">
        <v>618</v>
      </c>
      <c r="E5" s="128" t="s">
        <v>7</v>
      </c>
      <c r="F5" s="129">
        <v>1765</v>
      </c>
      <c r="G5" s="129">
        <v>-15360</v>
      </c>
      <c r="H5" s="129">
        <v>-19440</v>
      </c>
      <c r="I5" s="129">
        <v>-23820</v>
      </c>
      <c r="J5" s="129">
        <v>-25695</v>
      </c>
      <c r="K5" s="130">
        <v>-23125</v>
      </c>
      <c r="N5" s="135"/>
      <c r="O5" s="135"/>
    </row>
    <row r="6" spans="1:64" s="131" customFormat="1" ht="45" customHeight="1">
      <c r="A6" s="1"/>
      <c r="B6" s="1"/>
      <c r="C6" s="133">
        <v>3</v>
      </c>
      <c r="D6" s="134" t="s">
        <v>619</v>
      </c>
      <c r="E6" s="128" t="s">
        <v>7</v>
      </c>
      <c r="F6" s="129">
        <v>-1080</v>
      </c>
      <c r="G6" s="129">
        <v>-2925</v>
      </c>
      <c r="H6" s="129">
        <v>-2830</v>
      </c>
      <c r="I6" s="129">
        <v>-2000</v>
      </c>
      <c r="J6" s="129">
        <v>-1570</v>
      </c>
      <c r="K6" s="130">
        <v>-1410</v>
      </c>
      <c r="L6" s="1"/>
      <c r="N6" s="135"/>
      <c r="O6" s="135"/>
    </row>
    <row r="7" spans="1:64" s="131" customFormat="1" ht="45" customHeight="1">
      <c r="A7" s="1"/>
      <c r="B7" s="2"/>
      <c r="C7" s="133">
        <v>4</v>
      </c>
      <c r="D7" s="134" t="s">
        <v>620</v>
      </c>
      <c r="E7" s="129" t="s">
        <v>7</v>
      </c>
      <c r="F7" s="129">
        <v>-770</v>
      </c>
      <c r="G7" s="129">
        <v>-725</v>
      </c>
      <c r="H7" s="129">
        <v>-250</v>
      </c>
      <c r="I7" s="129">
        <v>-10</v>
      </c>
      <c r="J7" s="129">
        <v>0</v>
      </c>
      <c r="K7" s="130">
        <v>0</v>
      </c>
      <c r="L7" s="2"/>
      <c r="O7" s="135"/>
    </row>
    <row r="8" spans="1:64" s="131" customFormat="1" ht="53.1" customHeight="1">
      <c r="A8" s="1"/>
      <c r="B8" s="1"/>
      <c r="C8" s="133">
        <v>5</v>
      </c>
      <c r="D8" s="136" t="s">
        <v>621</v>
      </c>
      <c r="E8" s="129" t="s">
        <v>7</v>
      </c>
      <c r="F8" s="129">
        <v>0</v>
      </c>
      <c r="G8" s="129">
        <v>5</v>
      </c>
      <c r="H8" s="129">
        <v>30</v>
      </c>
      <c r="I8" s="129">
        <v>50</v>
      </c>
      <c r="J8" s="129">
        <v>80</v>
      </c>
      <c r="K8" s="130">
        <v>135</v>
      </c>
      <c r="L8" s="1"/>
      <c r="M8" s="137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32"/>
      <c r="BG8" s="132"/>
      <c r="BH8" s="132"/>
      <c r="BI8" s="132"/>
      <c r="BJ8" s="132"/>
      <c r="BK8" s="132"/>
      <c r="BL8" s="132"/>
    </row>
    <row r="9" spans="1:64" s="131" customFormat="1" ht="53.1" customHeight="1">
      <c r="A9" s="1"/>
      <c r="B9" s="1"/>
      <c r="C9" s="133">
        <v>6</v>
      </c>
      <c r="D9" s="134" t="s">
        <v>622</v>
      </c>
      <c r="E9" s="128" t="s">
        <v>7</v>
      </c>
      <c r="F9" s="129">
        <v>-750</v>
      </c>
      <c r="G9" s="129">
        <v>-750</v>
      </c>
      <c r="H9" s="129">
        <v>-750</v>
      </c>
      <c r="I9" s="129">
        <v>0</v>
      </c>
      <c r="J9" s="129">
        <v>0</v>
      </c>
      <c r="K9" s="130">
        <v>0</v>
      </c>
      <c r="L9" s="1"/>
      <c r="N9" s="135"/>
      <c r="O9" s="135"/>
    </row>
    <row r="10" spans="1:64" s="131" customFormat="1" ht="53.1" customHeight="1" thickBot="1">
      <c r="A10" s="1"/>
      <c r="B10" s="1"/>
      <c r="C10" s="133">
        <v>7</v>
      </c>
      <c r="D10" s="134" t="s">
        <v>623</v>
      </c>
      <c r="E10" s="128" t="s">
        <v>7</v>
      </c>
      <c r="F10" s="129">
        <v>0</v>
      </c>
      <c r="G10" s="129">
        <v>225</v>
      </c>
      <c r="H10" s="129">
        <v>160</v>
      </c>
      <c r="I10" s="129">
        <v>195</v>
      </c>
      <c r="J10" s="129">
        <v>230</v>
      </c>
      <c r="K10" s="130">
        <v>260</v>
      </c>
      <c r="L10" s="1"/>
      <c r="N10" s="135"/>
      <c r="O10" s="135"/>
    </row>
    <row r="11" spans="1:64" s="131" customFormat="1" ht="45" customHeight="1">
      <c r="A11" s="1"/>
      <c r="B11" s="1"/>
      <c r="C11" s="138" t="s">
        <v>624</v>
      </c>
      <c r="D11" s="139"/>
      <c r="E11" s="140"/>
      <c r="F11" s="140"/>
      <c r="G11" s="140"/>
      <c r="H11" s="140"/>
      <c r="I11" s="140"/>
      <c r="J11" s="140"/>
      <c r="K11" s="141"/>
      <c r="L11" s="1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2"/>
    </row>
    <row r="12" spans="1:64" s="131" customFormat="1" ht="52.35" customHeight="1">
      <c r="A12" s="1"/>
      <c r="B12" s="1"/>
      <c r="C12" s="133">
        <v>8</v>
      </c>
      <c r="D12" s="134" t="s">
        <v>625</v>
      </c>
      <c r="E12" s="128" t="s">
        <v>6</v>
      </c>
      <c r="F12" s="129">
        <v>0</v>
      </c>
      <c r="G12" s="129">
        <v>75</v>
      </c>
      <c r="H12" s="129">
        <v>895</v>
      </c>
      <c r="I12" s="129">
        <v>740</v>
      </c>
      <c r="J12" s="129">
        <v>635</v>
      </c>
      <c r="K12" s="130">
        <v>500</v>
      </c>
      <c r="L12" s="1"/>
      <c r="N12" s="14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32"/>
      <c r="BG12" s="132"/>
      <c r="BH12" s="132"/>
      <c r="BI12" s="132"/>
      <c r="BJ12" s="132"/>
      <c r="BK12" s="132"/>
      <c r="BL12" s="132"/>
    </row>
    <row r="13" spans="1:64" s="131" customFormat="1" ht="45" customHeight="1">
      <c r="A13" s="1"/>
      <c r="B13" s="1"/>
      <c r="C13" s="133">
        <v>9</v>
      </c>
      <c r="D13" s="134" t="s">
        <v>626</v>
      </c>
      <c r="E13" s="128" t="s">
        <v>6</v>
      </c>
      <c r="F13" s="129">
        <v>50</v>
      </c>
      <c r="G13" s="129">
        <v>255</v>
      </c>
      <c r="H13" s="129">
        <v>260</v>
      </c>
      <c r="I13" s="129">
        <v>215</v>
      </c>
      <c r="J13" s="129">
        <v>215</v>
      </c>
      <c r="K13" s="130">
        <v>215</v>
      </c>
      <c r="L13" s="1"/>
      <c r="N13" s="14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2"/>
    </row>
    <row r="14" spans="1:64" s="131" customFormat="1" ht="45" customHeight="1">
      <c r="A14" s="1"/>
      <c r="B14" s="1"/>
      <c r="C14" s="133">
        <v>10</v>
      </c>
      <c r="D14" s="134" t="s">
        <v>627</v>
      </c>
      <c r="E14" s="128" t="s">
        <v>6</v>
      </c>
      <c r="F14" s="129">
        <v>5</v>
      </c>
      <c r="G14" s="129">
        <v>15</v>
      </c>
      <c r="H14" s="129">
        <v>15</v>
      </c>
      <c r="I14" s="129">
        <v>15</v>
      </c>
      <c r="J14" s="129">
        <v>15</v>
      </c>
      <c r="K14" s="130">
        <v>15</v>
      </c>
      <c r="L14" s="1"/>
      <c r="N14" s="14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2"/>
    </row>
    <row r="15" spans="1:64" s="131" customFormat="1" ht="53.1" customHeight="1">
      <c r="A15" s="1"/>
      <c r="B15" s="1"/>
      <c r="C15" s="133">
        <v>11</v>
      </c>
      <c r="D15" s="134" t="s">
        <v>628</v>
      </c>
      <c r="E15" s="128" t="s">
        <v>6</v>
      </c>
      <c r="F15" s="129">
        <v>0</v>
      </c>
      <c r="G15" s="129" t="s">
        <v>8</v>
      </c>
      <c r="H15" s="129">
        <v>20</v>
      </c>
      <c r="I15" s="129">
        <v>35</v>
      </c>
      <c r="J15" s="129">
        <v>35</v>
      </c>
      <c r="K15" s="130">
        <v>35</v>
      </c>
      <c r="L15" s="1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2"/>
    </row>
    <row r="16" spans="1:64" s="131" customFormat="1" ht="45" customHeight="1">
      <c r="A16" s="1"/>
      <c r="B16" s="1"/>
      <c r="C16" s="133">
        <v>12</v>
      </c>
      <c r="D16" s="134" t="s">
        <v>629</v>
      </c>
      <c r="E16" s="128" t="s">
        <v>6</v>
      </c>
      <c r="F16" s="129" t="s">
        <v>8</v>
      </c>
      <c r="G16" s="129">
        <v>5</v>
      </c>
      <c r="H16" s="129">
        <v>5</v>
      </c>
      <c r="I16" s="129">
        <v>5</v>
      </c>
      <c r="J16" s="129">
        <v>5</v>
      </c>
      <c r="K16" s="130">
        <v>5</v>
      </c>
      <c r="L16" s="1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</row>
    <row r="17" spans="1:64" s="131" customFormat="1" ht="53.1" customHeight="1">
      <c r="A17" s="1"/>
      <c r="B17" s="1"/>
      <c r="C17" s="133">
        <v>13</v>
      </c>
      <c r="D17" s="134" t="s">
        <v>630</v>
      </c>
      <c r="E17" s="128" t="s">
        <v>6</v>
      </c>
      <c r="F17" s="129">
        <v>5</v>
      </c>
      <c r="G17" s="129">
        <v>10</v>
      </c>
      <c r="H17" s="129">
        <v>5</v>
      </c>
      <c r="I17" s="129">
        <v>5</v>
      </c>
      <c r="J17" s="129">
        <v>5</v>
      </c>
      <c r="K17" s="130">
        <v>5</v>
      </c>
      <c r="L17" s="1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</row>
    <row r="18" spans="1:64" s="131" customFormat="1" ht="53.1" customHeight="1">
      <c r="A18" s="1"/>
      <c r="B18" s="1"/>
      <c r="C18" s="133">
        <v>14</v>
      </c>
      <c r="D18" s="134" t="s">
        <v>631</v>
      </c>
      <c r="E18" s="128" t="s">
        <v>6</v>
      </c>
      <c r="F18" s="129">
        <v>0</v>
      </c>
      <c r="G18" s="129">
        <v>0</v>
      </c>
      <c r="H18" s="129">
        <v>35</v>
      </c>
      <c r="I18" s="129">
        <v>35</v>
      </c>
      <c r="J18" s="129">
        <v>35</v>
      </c>
      <c r="K18" s="130">
        <v>35</v>
      </c>
      <c r="L18" s="1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</row>
    <row r="19" spans="1:64" s="131" customFormat="1" ht="45" customHeight="1">
      <c r="A19" s="1"/>
      <c r="B19" s="1"/>
      <c r="C19" s="133">
        <v>15</v>
      </c>
      <c r="D19" s="134" t="s">
        <v>632</v>
      </c>
      <c r="E19" s="128" t="s">
        <v>6</v>
      </c>
      <c r="F19" s="129">
        <v>0</v>
      </c>
      <c r="G19" s="129">
        <v>0</v>
      </c>
      <c r="H19" s="129">
        <v>275</v>
      </c>
      <c r="I19" s="129">
        <v>220</v>
      </c>
      <c r="J19" s="129">
        <v>195</v>
      </c>
      <c r="K19" s="130">
        <v>175</v>
      </c>
      <c r="L19" s="1"/>
      <c r="N19" s="14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2"/>
      <c r="BE19" s="132"/>
      <c r="BF19" s="132"/>
      <c r="BG19" s="132"/>
      <c r="BH19" s="132"/>
      <c r="BI19" s="132"/>
      <c r="BJ19" s="132"/>
      <c r="BK19" s="132"/>
      <c r="BL19" s="132"/>
    </row>
    <row r="20" spans="1:64" s="131" customFormat="1" ht="45" customHeight="1" thickBot="1">
      <c r="A20" s="1"/>
      <c r="B20" s="1"/>
      <c r="C20" s="133">
        <v>16</v>
      </c>
      <c r="D20" s="134" t="s">
        <v>633</v>
      </c>
      <c r="E20" s="128" t="s">
        <v>6</v>
      </c>
      <c r="F20" s="129">
        <v>0</v>
      </c>
      <c r="G20" s="129" t="s">
        <v>8</v>
      </c>
      <c r="H20" s="129">
        <v>5</v>
      </c>
      <c r="I20" s="129">
        <v>35</v>
      </c>
      <c r="J20" s="129">
        <v>40</v>
      </c>
      <c r="K20" s="130">
        <v>40</v>
      </c>
      <c r="L20" s="1"/>
      <c r="N20" s="14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/>
      <c r="BL20" s="132"/>
    </row>
    <row r="21" spans="1:64" s="131" customFormat="1" ht="45" customHeight="1">
      <c r="A21" s="1"/>
      <c r="B21" s="1"/>
      <c r="C21" s="138" t="s">
        <v>634</v>
      </c>
      <c r="D21" s="139"/>
      <c r="E21" s="140"/>
      <c r="F21" s="140"/>
      <c r="G21" s="140"/>
      <c r="H21" s="140"/>
      <c r="I21" s="140"/>
      <c r="J21" s="140"/>
      <c r="K21" s="141"/>
      <c r="L21" s="1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2"/>
    </row>
    <row r="22" spans="1:64" s="131" customFormat="1" ht="45" customHeight="1">
      <c r="A22" s="1"/>
      <c r="B22" s="1"/>
      <c r="C22" s="133">
        <v>17</v>
      </c>
      <c r="D22" s="134" t="s">
        <v>635</v>
      </c>
      <c r="E22" s="128" t="s">
        <v>6</v>
      </c>
      <c r="F22" s="129">
        <v>10</v>
      </c>
      <c r="G22" s="129">
        <v>165</v>
      </c>
      <c r="H22" s="129">
        <v>540</v>
      </c>
      <c r="I22" s="129">
        <v>1150</v>
      </c>
      <c r="J22" s="129">
        <v>1940</v>
      </c>
      <c r="K22" s="130">
        <v>2725</v>
      </c>
      <c r="L22" s="1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2"/>
      <c r="BD22" s="132"/>
      <c r="BE22" s="132"/>
      <c r="BF22" s="132"/>
      <c r="BG22" s="132"/>
      <c r="BH22" s="132"/>
      <c r="BI22" s="132"/>
      <c r="BJ22" s="132"/>
      <c r="BK22" s="132"/>
      <c r="BL22" s="132"/>
    </row>
    <row r="23" spans="1:64" s="131" customFormat="1" ht="45" customHeight="1">
      <c r="A23" s="1"/>
      <c r="B23" s="1"/>
      <c r="C23" s="133">
        <v>18</v>
      </c>
      <c r="D23" s="134" t="s">
        <v>636</v>
      </c>
      <c r="E23" s="128" t="s">
        <v>6</v>
      </c>
      <c r="F23" s="129">
        <v>275</v>
      </c>
      <c r="G23" s="129">
        <v>815</v>
      </c>
      <c r="H23" s="129">
        <v>1230</v>
      </c>
      <c r="I23" s="129">
        <v>1490</v>
      </c>
      <c r="J23" s="129">
        <v>1515</v>
      </c>
      <c r="K23" s="130">
        <v>2030</v>
      </c>
      <c r="L23" s="1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2"/>
      <c r="BB23" s="132"/>
      <c r="BC23" s="132"/>
      <c r="BD23" s="132"/>
      <c r="BE23" s="132"/>
      <c r="BF23" s="132"/>
      <c r="BG23" s="132"/>
      <c r="BH23" s="132"/>
      <c r="BI23" s="132"/>
      <c r="BJ23" s="132"/>
      <c r="BK23" s="132"/>
      <c r="BL23" s="132"/>
    </row>
    <row r="24" spans="1:64" s="131" customFormat="1" ht="45" customHeight="1">
      <c r="A24" s="1"/>
      <c r="B24" s="1"/>
      <c r="C24" s="133">
        <v>19</v>
      </c>
      <c r="D24" s="134" t="s">
        <v>637</v>
      </c>
      <c r="E24" s="128" t="s">
        <v>6</v>
      </c>
      <c r="F24" s="129" t="s">
        <v>8</v>
      </c>
      <c r="G24" s="129">
        <v>35</v>
      </c>
      <c r="H24" s="129">
        <v>155</v>
      </c>
      <c r="I24" s="129">
        <v>305</v>
      </c>
      <c r="J24" s="129">
        <v>485</v>
      </c>
      <c r="K24" s="130">
        <v>700</v>
      </c>
      <c r="L24" s="1"/>
      <c r="N24" s="14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2"/>
      <c r="BE24" s="132"/>
      <c r="BF24" s="132"/>
      <c r="BG24" s="132"/>
      <c r="BH24" s="132"/>
      <c r="BI24" s="132"/>
      <c r="BJ24" s="132"/>
      <c r="BK24" s="132"/>
      <c r="BL24" s="132"/>
    </row>
    <row r="25" spans="1:64" s="150" customFormat="1" ht="45" customHeight="1" thickBot="1">
      <c r="A25" s="143"/>
      <c r="B25" s="143"/>
      <c r="C25" s="144"/>
      <c r="D25" s="145" t="s">
        <v>638</v>
      </c>
      <c r="E25" s="146"/>
      <c r="F25" s="147">
        <v>350</v>
      </c>
      <c r="G25" s="147">
        <v>1375</v>
      </c>
      <c r="H25" s="147">
        <v>3445</v>
      </c>
      <c r="I25" s="147">
        <v>4240</v>
      </c>
      <c r="J25" s="147">
        <v>5120</v>
      </c>
      <c r="K25" s="148">
        <v>6485</v>
      </c>
      <c r="L25" s="143"/>
      <c r="M25" s="149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151"/>
      <c r="BK25" s="151"/>
      <c r="BL25" s="151"/>
    </row>
    <row r="26" spans="1:64" s="131" customFormat="1" ht="45" customHeight="1">
      <c r="A26" s="1"/>
      <c r="B26" s="1"/>
      <c r="C26" s="138" t="s">
        <v>639</v>
      </c>
      <c r="D26" s="139"/>
      <c r="E26" s="140"/>
      <c r="F26" s="140"/>
      <c r="G26" s="140"/>
      <c r="H26" s="140"/>
      <c r="I26" s="140"/>
      <c r="J26" s="140"/>
      <c r="K26" s="141"/>
      <c r="L26" s="1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  <c r="BC26" s="132"/>
      <c r="BD26" s="132"/>
      <c r="BE26" s="132"/>
      <c r="BF26" s="132"/>
      <c r="BG26" s="132"/>
      <c r="BH26" s="132"/>
      <c r="BI26" s="132"/>
      <c r="BJ26" s="132"/>
      <c r="BK26" s="132"/>
      <c r="BL26" s="132"/>
    </row>
    <row r="27" spans="1:64" s="131" customFormat="1" ht="72.599999999999994" customHeight="1">
      <c r="A27" s="1"/>
      <c r="B27" s="1"/>
      <c r="C27" s="133">
        <v>20</v>
      </c>
      <c r="D27" s="134" t="s">
        <v>640</v>
      </c>
      <c r="E27" s="128" t="s">
        <v>6</v>
      </c>
      <c r="F27" s="129">
        <v>0</v>
      </c>
      <c r="G27" s="129" t="s">
        <v>8</v>
      </c>
      <c r="H27" s="129">
        <v>4170</v>
      </c>
      <c r="I27" s="129">
        <v>5895</v>
      </c>
      <c r="J27" s="129">
        <v>2545</v>
      </c>
      <c r="K27" s="130">
        <v>95</v>
      </c>
      <c r="L27" s="1"/>
      <c r="M27" s="15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2"/>
    </row>
    <row r="28" spans="1:64" s="131" customFormat="1" ht="76.349999999999994" customHeight="1">
      <c r="A28" s="1"/>
      <c r="B28" s="1"/>
      <c r="C28" s="133">
        <v>21</v>
      </c>
      <c r="D28" s="136" t="s">
        <v>641</v>
      </c>
      <c r="E28" s="128" t="s">
        <v>6</v>
      </c>
      <c r="F28" s="129">
        <v>0</v>
      </c>
      <c r="G28" s="129">
        <v>0</v>
      </c>
      <c r="H28" s="129">
        <v>-5</v>
      </c>
      <c r="I28" s="129">
        <v>140</v>
      </c>
      <c r="J28" s="129">
        <v>80</v>
      </c>
      <c r="K28" s="130">
        <v>85</v>
      </c>
      <c r="L28" s="1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2"/>
    </row>
    <row r="29" spans="1:64" s="131" customFormat="1" ht="45" customHeight="1">
      <c r="A29" s="1"/>
      <c r="B29" s="1"/>
      <c r="C29" s="133">
        <v>22</v>
      </c>
      <c r="D29" s="134" t="s">
        <v>642</v>
      </c>
      <c r="E29" s="128" t="s">
        <v>6</v>
      </c>
      <c r="F29" s="129">
        <v>460</v>
      </c>
      <c r="G29" s="129">
        <v>1505</v>
      </c>
      <c r="H29" s="129">
        <v>1560</v>
      </c>
      <c r="I29" s="129">
        <v>1610</v>
      </c>
      <c r="J29" s="129">
        <v>1665</v>
      </c>
      <c r="K29" s="130">
        <v>1725</v>
      </c>
      <c r="L29" s="1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</row>
    <row r="30" spans="1:64" s="131" customFormat="1" ht="45" customHeight="1">
      <c r="A30" s="1"/>
      <c r="B30" s="1"/>
      <c r="C30" s="133">
        <v>23</v>
      </c>
      <c r="D30" s="136" t="s">
        <v>643</v>
      </c>
      <c r="E30" s="128" t="s">
        <v>6</v>
      </c>
      <c r="F30" s="129">
        <v>0</v>
      </c>
      <c r="G30" s="129">
        <v>70</v>
      </c>
      <c r="H30" s="129">
        <v>85</v>
      </c>
      <c r="I30" s="129">
        <v>85</v>
      </c>
      <c r="J30" s="129">
        <v>85</v>
      </c>
      <c r="K30" s="130">
        <v>90</v>
      </c>
      <c r="L30" s="1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  <c r="BF30" s="132"/>
      <c r="BG30" s="132"/>
      <c r="BH30" s="132"/>
      <c r="BI30" s="132"/>
      <c r="BJ30" s="132"/>
      <c r="BK30" s="132"/>
      <c r="BL30" s="132"/>
    </row>
    <row r="31" spans="1:64" s="131" customFormat="1" ht="110.45" customHeight="1">
      <c r="A31" s="1"/>
      <c r="B31" s="1"/>
      <c r="C31" s="133">
        <v>24</v>
      </c>
      <c r="D31" s="136" t="s">
        <v>644</v>
      </c>
      <c r="E31" s="129" t="s">
        <v>6</v>
      </c>
      <c r="F31" s="129">
        <v>195</v>
      </c>
      <c r="G31" s="129">
        <v>470</v>
      </c>
      <c r="H31" s="129">
        <v>220</v>
      </c>
      <c r="I31" s="129">
        <v>50</v>
      </c>
      <c r="J31" s="129">
        <v>410</v>
      </c>
      <c r="K31" s="130">
        <v>955</v>
      </c>
      <c r="L31" s="1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  <c r="BC31" s="132"/>
      <c r="BD31" s="132"/>
      <c r="BE31" s="132"/>
      <c r="BF31" s="132"/>
      <c r="BG31" s="132"/>
      <c r="BH31" s="132"/>
      <c r="BI31" s="132"/>
      <c r="BJ31" s="132"/>
      <c r="BK31" s="132"/>
      <c r="BL31" s="132"/>
    </row>
    <row r="32" spans="1:64" s="131" customFormat="1" ht="45" customHeight="1">
      <c r="A32" s="1"/>
      <c r="B32" s="1"/>
      <c r="C32" s="133">
        <v>25</v>
      </c>
      <c r="D32" s="134" t="s">
        <v>645</v>
      </c>
      <c r="E32" s="129" t="s">
        <v>6</v>
      </c>
      <c r="F32" s="129">
        <v>115</v>
      </c>
      <c r="G32" s="129">
        <v>90</v>
      </c>
      <c r="H32" s="129">
        <v>170</v>
      </c>
      <c r="I32" s="129">
        <v>255</v>
      </c>
      <c r="J32" s="129">
        <v>280</v>
      </c>
      <c r="K32" s="130">
        <v>310</v>
      </c>
      <c r="L32" s="1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132"/>
      <c r="BC32" s="132"/>
      <c r="BD32" s="132"/>
      <c r="BE32" s="132"/>
      <c r="BF32" s="132"/>
      <c r="BG32" s="132"/>
      <c r="BH32" s="132"/>
      <c r="BI32" s="132"/>
      <c r="BJ32" s="132"/>
      <c r="BK32" s="132"/>
      <c r="BL32" s="132"/>
    </row>
    <row r="33" spans="1:64" s="150" customFormat="1" ht="45" customHeight="1" thickBot="1">
      <c r="A33" s="143"/>
      <c r="B33" s="143"/>
      <c r="C33" s="144"/>
      <c r="D33" s="145" t="s">
        <v>646</v>
      </c>
      <c r="E33" s="147"/>
      <c r="F33" s="147">
        <v>1115</v>
      </c>
      <c r="G33" s="147">
        <v>3510</v>
      </c>
      <c r="H33" s="147">
        <v>9635</v>
      </c>
      <c r="I33" s="147">
        <v>12275</v>
      </c>
      <c r="J33" s="147">
        <v>10185</v>
      </c>
      <c r="K33" s="148">
        <v>9745</v>
      </c>
      <c r="L33" s="143">
        <v>0</v>
      </c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</row>
    <row r="34" spans="1:64" s="131" customFormat="1" ht="45" customHeight="1">
      <c r="A34" s="1"/>
      <c r="B34" s="1"/>
      <c r="C34" s="138" t="s">
        <v>647</v>
      </c>
      <c r="D34" s="139"/>
      <c r="E34" s="140"/>
      <c r="F34" s="140"/>
      <c r="G34" s="140">
        <f>+G35+G36</f>
        <v>19025</v>
      </c>
      <c r="H34" s="140">
        <f t="shared" ref="H34:K34" si="0">+H35+H36</f>
        <v>18960</v>
      </c>
      <c r="I34" s="140">
        <f t="shared" si="0"/>
        <v>19340</v>
      </c>
      <c r="J34" s="140">
        <f t="shared" si="0"/>
        <v>19990</v>
      </c>
      <c r="K34" s="140">
        <f t="shared" si="0"/>
        <v>20600</v>
      </c>
      <c r="L34" s="1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</row>
    <row r="35" spans="1:64" s="131" customFormat="1" ht="68.099999999999994" customHeight="1">
      <c r="A35" s="1"/>
      <c r="B35" s="1"/>
      <c r="C35" s="133">
        <v>26</v>
      </c>
      <c r="D35" s="136" t="s">
        <v>648</v>
      </c>
      <c r="E35" s="129" t="s">
        <v>6</v>
      </c>
      <c r="F35" s="129">
        <v>0</v>
      </c>
      <c r="G35" s="129">
        <v>23770</v>
      </c>
      <c r="H35" s="129">
        <v>23690</v>
      </c>
      <c r="I35" s="129">
        <v>24170</v>
      </c>
      <c r="J35" s="129">
        <v>24930</v>
      </c>
      <c r="K35" s="130">
        <v>25710</v>
      </c>
      <c r="L35" s="1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32"/>
      <c r="BG35" s="132"/>
      <c r="BH35" s="132"/>
      <c r="BI35" s="132"/>
      <c r="BJ35" s="132"/>
      <c r="BK35" s="132"/>
      <c r="BL35" s="132"/>
    </row>
    <row r="36" spans="1:64" s="131" customFormat="1" ht="39.950000000000003" customHeight="1">
      <c r="A36" s="1"/>
      <c r="B36" s="1"/>
      <c r="C36" s="133"/>
      <c r="D36" s="153" t="s">
        <v>649</v>
      </c>
      <c r="E36" s="147"/>
      <c r="F36" s="147">
        <v>0</v>
      </c>
      <c r="G36" s="147">
        <v>-4745</v>
      </c>
      <c r="H36" s="147">
        <v>-4730</v>
      </c>
      <c r="I36" s="147">
        <v>-4830</v>
      </c>
      <c r="J36" s="147">
        <v>-4940</v>
      </c>
      <c r="K36" s="148">
        <v>-5110</v>
      </c>
      <c r="L36" s="1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32"/>
      <c r="BG36" s="132"/>
      <c r="BH36" s="132"/>
      <c r="BI36" s="132"/>
      <c r="BJ36" s="132"/>
      <c r="BK36" s="132"/>
      <c r="BL36" s="132"/>
    </row>
    <row r="37" spans="1:64" s="131" customFormat="1" ht="53.1" customHeight="1">
      <c r="A37" s="1"/>
      <c r="B37" s="1"/>
      <c r="C37" s="133">
        <v>27</v>
      </c>
      <c r="D37" s="134" t="s">
        <v>650</v>
      </c>
      <c r="E37" s="128" t="s">
        <v>6</v>
      </c>
      <c r="F37" s="129">
        <v>90</v>
      </c>
      <c r="G37" s="129">
        <v>1440</v>
      </c>
      <c r="H37" s="129">
        <v>1370</v>
      </c>
      <c r="I37" s="129">
        <v>1350</v>
      </c>
      <c r="J37" s="129">
        <v>2180</v>
      </c>
      <c r="K37" s="130">
        <v>2490</v>
      </c>
      <c r="L37" s="1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32"/>
      <c r="BG37" s="132"/>
      <c r="BH37" s="132"/>
      <c r="BI37" s="132"/>
      <c r="BJ37" s="132"/>
      <c r="BK37" s="132"/>
      <c r="BL37" s="132"/>
    </row>
    <row r="38" spans="1:64" s="131" customFormat="1" ht="45" customHeight="1">
      <c r="A38" s="1"/>
      <c r="B38" s="1"/>
      <c r="C38" s="133">
        <v>28</v>
      </c>
      <c r="D38" s="134" t="s">
        <v>651</v>
      </c>
      <c r="E38" s="129" t="s">
        <v>6</v>
      </c>
      <c r="F38" s="129">
        <v>0</v>
      </c>
      <c r="G38" s="129">
        <v>0</v>
      </c>
      <c r="H38" s="129">
        <v>0</v>
      </c>
      <c r="I38" s="129">
        <v>640</v>
      </c>
      <c r="J38" s="129">
        <v>1340</v>
      </c>
      <c r="K38" s="130">
        <v>1460</v>
      </c>
      <c r="L38" s="1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32"/>
      <c r="BA38" s="132"/>
      <c r="BB38" s="132"/>
      <c r="BC38" s="132"/>
      <c r="BD38" s="132"/>
      <c r="BE38" s="132"/>
      <c r="BF38" s="132"/>
      <c r="BG38" s="132"/>
      <c r="BH38" s="132"/>
      <c r="BI38" s="132"/>
      <c r="BJ38" s="132"/>
      <c r="BK38" s="132"/>
      <c r="BL38" s="132"/>
    </row>
    <row r="39" spans="1:64" s="131" customFormat="1" ht="80.099999999999994" customHeight="1">
      <c r="A39" s="1"/>
      <c r="B39" s="1"/>
      <c r="C39" s="133">
        <v>29</v>
      </c>
      <c r="D39" s="134" t="s">
        <v>652</v>
      </c>
      <c r="E39" s="129" t="s">
        <v>6</v>
      </c>
      <c r="F39" s="129">
        <v>0</v>
      </c>
      <c r="G39" s="129">
        <v>0</v>
      </c>
      <c r="H39" s="129">
        <v>230</v>
      </c>
      <c r="I39" s="129">
        <v>495</v>
      </c>
      <c r="J39" s="129">
        <v>520</v>
      </c>
      <c r="K39" s="130">
        <v>520</v>
      </c>
      <c r="L39" s="1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/>
      <c r="BB39" s="132"/>
      <c r="BC39" s="132"/>
      <c r="BD39" s="132"/>
      <c r="BE39" s="132"/>
      <c r="BF39" s="132"/>
      <c r="BG39" s="132"/>
      <c r="BH39" s="132"/>
      <c r="BI39" s="132"/>
      <c r="BJ39" s="132"/>
      <c r="BK39" s="132"/>
      <c r="BL39" s="132"/>
    </row>
    <row r="40" spans="1:64" s="131" customFormat="1" ht="45" customHeight="1">
      <c r="A40" s="1"/>
      <c r="B40" s="1"/>
      <c r="C40" s="133">
        <v>30</v>
      </c>
      <c r="D40" s="134" t="s">
        <v>653</v>
      </c>
      <c r="E40" s="129" t="s">
        <v>6</v>
      </c>
      <c r="F40" s="129">
        <v>0</v>
      </c>
      <c r="G40" s="129">
        <v>0</v>
      </c>
      <c r="H40" s="129">
        <v>0</v>
      </c>
      <c r="I40" s="129">
        <v>0</v>
      </c>
      <c r="J40" s="129">
        <v>110</v>
      </c>
      <c r="K40" s="130">
        <v>355</v>
      </c>
      <c r="L40" s="1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132"/>
      <c r="BC40" s="132"/>
      <c r="BD40" s="132"/>
      <c r="BE40" s="132"/>
      <c r="BF40" s="132"/>
      <c r="BG40" s="132"/>
      <c r="BH40" s="132"/>
      <c r="BI40" s="132"/>
      <c r="BJ40" s="132"/>
      <c r="BK40" s="132"/>
      <c r="BL40" s="132"/>
    </row>
    <row r="41" spans="1:64" s="131" customFormat="1" ht="53.1" customHeight="1" thickBot="1">
      <c r="A41" s="1"/>
      <c r="B41" s="1"/>
      <c r="C41" s="133">
        <v>31</v>
      </c>
      <c r="D41" s="134" t="s">
        <v>654</v>
      </c>
      <c r="E41" s="128" t="s">
        <v>6</v>
      </c>
      <c r="F41" s="129">
        <v>0</v>
      </c>
      <c r="G41" s="129">
        <v>0</v>
      </c>
      <c r="H41" s="129">
        <v>15</v>
      </c>
      <c r="I41" s="129">
        <v>90</v>
      </c>
      <c r="J41" s="129">
        <v>265</v>
      </c>
      <c r="K41" s="130">
        <v>605</v>
      </c>
      <c r="L41" s="1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2"/>
      <c r="AX41" s="132"/>
      <c r="AY41" s="132"/>
      <c r="AZ41" s="132"/>
      <c r="BA41" s="132"/>
      <c r="BB41" s="132"/>
      <c r="BC41" s="132"/>
      <c r="BD41" s="132"/>
      <c r="BE41" s="132"/>
      <c r="BF41" s="132"/>
      <c r="BG41" s="132"/>
      <c r="BH41" s="132"/>
      <c r="BI41" s="132"/>
      <c r="BJ41" s="132"/>
      <c r="BK41" s="132"/>
      <c r="BL41" s="132"/>
    </row>
    <row r="42" spans="1:64" s="131" customFormat="1" ht="45" customHeight="1">
      <c r="A42" s="1"/>
      <c r="B42" s="1"/>
      <c r="C42" s="138" t="s">
        <v>655</v>
      </c>
      <c r="D42" s="139"/>
      <c r="E42" s="140"/>
      <c r="F42" s="140"/>
      <c r="G42" s="140"/>
      <c r="H42" s="140"/>
      <c r="I42" s="140"/>
      <c r="J42" s="140"/>
      <c r="K42" s="141"/>
      <c r="L42" s="1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/>
      <c r="BB42" s="132"/>
      <c r="BC42" s="132"/>
      <c r="BD42" s="132"/>
      <c r="BE42" s="132"/>
      <c r="BF42" s="132"/>
      <c r="BG42" s="132"/>
      <c r="BH42" s="132"/>
      <c r="BI42" s="132"/>
      <c r="BJ42" s="132"/>
      <c r="BK42" s="132"/>
      <c r="BL42" s="132"/>
    </row>
    <row r="43" spans="1:64" s="131" customFormat="1" ht="48.95" customHeight="1">
      <c r="A43" s="1"/>
      <c r="B43" s="1"/>
      <c r="C43" s="133">
        <v>32</v>
      </c>
      <c r="D43" s="134" t="s">
        <v>656</v>
      </c>
      <c r="E43" s="129" t="s">
        <v>6</v>
      </c>
      <c r="F43" s="129">
        <v>0</v>
      </c>
      <c r="G43" s="129">
        <v>0</v>
      </c>
      <c r="H43" s="129">
        <v>0</v>
      </c>
      <c r="I43" s="129">
        <v>0</v>
      </c>
      <c r="J43" s="129">
        <v>135</v>
      </c>
      <c r="K43" s="130">
        <v>210</v>
      </c>
      <c r="L43" s="1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2"/>
      <c r="AX43" s="132"/>
      <c r="AY43" s="132"/>
      <c r="AZ43" s="132"/>
      <c r="BA43" s="132"/>
      <c r="BB43" s="132"/>
      <c r="BC43" s="132"/>
      <c r="BD43" s="132"/>
      <c r="BE43" s="132"/>
      <c r="BF43" s="132"/>
      <c r="BG43" s="132"/>
      <c r="BH43" s="132"/>
      <c r="BI43" s="132"/>
      <c r="BJ43" s="132"/>
      <c r="BK43" s="132"/>
      <c r="BL43" s="132"/>
    </row>
    <row r="44" spans="1:64" s="131" customFormat="1" ht="71.099999999999994" customHeight="1">
      <c r="A44" s="1"/>
      <c r="B44" s="1"/>
      <c r="C44" s="133">
        <v>33</v>
      </c>
      <c r="D44" s="134" t="s">
        <v>657</v>
      </c>
      <c r="E44" s="129" t="s">
        <v>6</v>
      </c>
      <c r="F44" s="129">
        <v>15</v>
      </c>
      <c r="G44" s="129">
        <v>415</v>
      </c>
      <c r="H44" s="129">
        <v>410</v>
      </c>
      <c r="I44" s="129">
        <v>370</v>
      </c>
      <c r="J44" s="129">
        <v>285</v>
      </c>
      <c r="K44" s="130">
        <v>200</v>
      </c>
      <c r="L44" s="1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2"/>
      <c r="AX44" s="132"/>
      <c r="AY44" s="132"/>
      <c r="AZ44" s="132"/>
      <c r="BA44" s="132"/>
      <c r="BB44" s="132"/>
      <c r="BC44" s="132"/>
      <c r="BD44" s="132"/>
      <c r="BE44" s="132"/>
      <c r="BF44" s="132"/>
      <c r="BG44" s="132"/>
      <c r="BH44" s="132"/>
      <c r="BI44" s="132"/>
      <c r="BJ44" s="132"/>
      <c r="BK44" s="132"/>
      <c r="BL44" s="132"/>
    </row>
    <row r="45" spans="1:64" s="131" customFormat="1" ht="45" customHeight="1">
      <c r="A45" s="1"/>
      <c r="B45" s="1"/>
      <c r="C45" s="133">
        <v>34</v>
      </c>
      <c r="D45" s="134" t="s">
        <v>658</v>
      </c>
      <c r="E45" s="129" t="s">
        <v>6</v>
      </c>
      <c r="F45" s="129">
        <v>0</v>
      </c>
      <c r="G45" s="129">
        <v>0</v>
      </c>
      <c r="H45" s="129">
        <v>520</v>
      </c>
      <c r="I45" s="129">
        <v>585</v>
      </c>
      <c r="J45" s="129">
        <v>650</v>
      </c>
      <c r="K45" s="130">
        <v>720</v>
      </c>
      <c r="L45" s="1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  <c r="AW45" s="132"/>
      <c r="AX45" s="132"/>
      <c r="AY45" s="132"/>
      <c r="AZ45" s="132"/>
      <c r="BA45" s="132"/>
      <c r="BB45" s="132"/>
      <c r="BC45" s="132"/>
      <c r="BD45" s="132"/>
      <c r="BE45" s="132"/>
      <c r="BF45" s="132"/>
      <c r="BG45" s="132"/>
      <c r="BH45" s="132"/>
      <c r="BI45" s="132"/>
      <c r="BJ45" s="132"/>
      <c r="BK45" s="132"/>
      <c r="BL45" s="132"/>
    </row>
    <row r="46" spans="1:64" s="131" customFormat="1" ht="45" customHeight="1">
      <c r="A46" s="1"/>
      <c r="B46" s="1"/>
      <c r="C46" s="133">
        <v>35</v>
      </c>
      <c r="D46" s="134" t="s">
        <v>659</v>
      </c>
      <c r="E46" s="129" t="s">
        <v>6</v>
      </c>
      <c r="F46" s="129">
        <v>0</v>
      </c>
      <c r="G46" s="129">
        <v>0</v>
      </c>
      <c r="H46" s="129">
        <v>5</v>
      </c>
      <c r="I46" s="129">
        <v>10</v>
      </c>
      <c r="J46" s="129">
        <v>10</v>
      </c>
      <c r="K46" s="130">
        <v>15</v>
      </c>
      <c r="L46" s="1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2"/>
      <c r="BD46" s="132"/>
      <c r="BE46" s="132"/>
      <c r="BF46" s="132"/>
      <c r="BG46" s="132"/>
      <c r="BH46" s="132"/>
      <c r="BI46" s="132"/>
      <c r="BJ46" s="132"/>
      <c r="BK46" s="132"/>
      <c r="BL46" s="132"/>
    </row>
    <row r="47" spans="1:64" s="131" customFormat="1" ht="76.349999999999994" customHeight="1">
      <c r="A47" s="1"/>
      <c r="B47" s="1"/>
      <c r="C47" s="133">
        <v>36</v>
      </c>
      <c r="D47" s="134" t="s">
        <v>660</v>
      </c>
      <c r="E47" s="129" t="s">
        <v>6</v>
      </c>
      <c r="F47" s="129">
        <v>40</v>
      </c>
      <c r="G47" s="129">
        <v>85</v>
      </c>
      <c r="H47" s="129">
        <v>105</v>
      </c>
      <c r="I47" s="129">
        <v>135</v>
      </c>
      <c r="J47" s="129">
        <v>160</v>
      </c>
      <c r="K47" s="130">
        <v>180</v>
      </c>
      <c r="L47" s="1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132"/>
      <c r="BE47" s="132"/>
      <c r="BF47" s="132"/>
      <c r="BG47" s="132"/>
      <c r="BH47" s="132"/>
      <c r="BI47" s="132"/>
      <c r="BJ47" s="132"/>
      <c r="BK47" s="132"/>
      <c r="BL47" s="132"/>
    </row>
    <row r="48" spans="1:64" s="131" customFormat="1" ht="53.1" customHeight="1" thickBot="1">
      <c r="A48" s="1"/>
      <c r="B48" s="1"/>
      <c r="C48" s="133">
        <v>37</v>
      </c>
      <c r="D48" s="134" t="s">
        <v>661</v>
      </c>
      <c r="E48" s="129" t="s">
        <v>6</v>
      </c>
      <c r="F48" s="129">
        <v>0</v>
      </c>
      <c r="G48" s="129">
        <v>20</v>
      </c>
      <c r="H48" s="129">
        <v>40</v>
      </c>
      <c r="I48" s="129">
        <v>60</v>
      </c>
      <c r="J48" s="129">
        <v>75</v>
      </c>
      <c r="K48" s="130">
        <v>95</v>
      </c>
      <c r="L48" s="1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32"/>
      <c r="BG48" s="132"/>
      <c r="BH48" s="132"/>
      <c r="BI48" s="132"/>
      <c r="BJ48" s="132"/>
      <c r="BK48" s="132"/>
      <c r="BL48" s="132"/>
    </row>
    <row r="49" spans="1:64" s="131" customFormat="1" ht="45" customHeight="1">
      <c r="A49" s="1"/>
      <c r="B49" s="1"/>
      <c r="C49" s="138" t="s">
        <v>662</v>
      </c>
      <c r="D49" s="139"/>
      <c r="E49" s="140"/>
      <c r="F49" s="140"/>
      <c r="G49" s="140"/>
      <c r="H49" s="140"/>
      <c r="I49" s="140"/>
      <c r="J49" s="140"/>
      <c r="K49" s="141"/>
      <c r="L49" s="1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32"/>
      <c r="BG49" s="132"/>
      <c r="BH49" s="132"/>
      <c r="BI49" s="132"/>
      <c r="BJ49" s="132"/>
      <c r="BK49" s="132"/>
      <c r="BL49" s="132"/>
    </row>
    <row r="50" spans="1:64" s="131" customFormat="1" ht="45" customHeight="1">
      <c r="A50" s="1"/>
      <c r="B50" s="1"/>
      <c r="C50" s="133">
        <v>38</v>
      </c>
      <c r="D50" s="134" t="s">
        <v>663</v>
      </c>
      <c r="E50" s="129" t="s">
        <v>7</v>
      </c>
      <c r="F50" s="129">
        <v>1450</v>
      </c>
      <c r="G50" s="129">
        <v>1510</v>
      </c>
      <c r="H50" s="129">
        <v>1555</v>
      </c>
      <c r="I50" s="129">
        <v>1580</v>
      </c>
      <c r="J50" s="129">
        <v>1605</v>
      </c>
      <c r="K50" s="130">
        <v>1655</v>
      </c>
      <c r="L50" s="1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32"/>
      <c r="BG50" s="132"/>
      <c r="BH50" s="132"/>
      <c r="BI50" s="132"/>
      <c r="BJ50" s="132"/>
      <c r="BK50" s="132"/>
      <c r="BL50" s="132"/>
    </row>
    <row r="51" spans="1:64" s="131" customFormat="1" ht="45" customHeight="1">
      <c r="A51" s="1"/>
      <c r="B51" s="1"/>
      <c r="C51" s="133">
        <v>39</v>
      </c>
      <c r="D51" s="134" t="s">
        <v>664</v>
      </c>
      <c r="E51" s="128" t="s">
        <v>7</v>
      </c>
      <c r="F51" s="129">
        <v>0</v>
      </c>
      <c r="G51" s="129" t="s">
        <v>8</v>
      </c>
      <c r="H51" s="129">
        <v>-5</v>
      </c>
      <c r="I51" s="129">
        <v>-10</v>
      </c>
      <c r="J51" s="129">
        <v>0</v>
      </c>
      <c r="K51" s="130">
        <v>0</v>
      </c>
      <c r="L51" s="1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32"/>
      <c r="BG51" s="132"/>
      <c r="BH51" s="132"/>
      <c r="BI51" s="132"/>
      <c r="BJ51" s="132"/>
      <c r="BK51" s="132"/>
      <c r="BL51" s="132"/>
    </row>
    <row r="52" spans="1:64" s="131" customFormat="1" ht="45" customHeight="1">
      <c r="A52" s="1"/>
      <c r="B52" s="1"/>
      <c r="C52" s="133">
        <v>40</v>
      </c>
      <c r="D52" s="134" t="s">
        <v>665</v>
      </c>
      <c r="E52" s="129" t="s">
        <v>7</v>
      </c>
      <c r="F52" s="129">
        <v>-25</v>
      </c>
      <c r="G52" s="129">
        <v>-485</v>
      </c>
      <c r="H52" s="129">
        <v>-455</v>
      </c>
      <c r="I52" s="129">
        <v>-275</v>
      </c>
      <c r="J52" s="129">
        <v>70</v>
      </c>
      <c r="K52" s="130">
        <v>455</v>
      </c>
      <c r="L52" s="1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2"/>
      <c r="BD52" s="132"/>
      <c r="BE52" s="132"/>
      <c r="BF52" s="132"/>
      <c r="BG52" s="132"/>
      <c r="BH52" s="132"/>
      <c r="BI52" s="132"/>
      <c r="BJ52" s="132"/>
      <c r="BK52" s="132"/>
      <c r="BL52" s="132"/>
    </row>
    <row r="53" spans="1:64" s="131" customFormat="1" ht="45" customHeight="1">
      <c r="A53" s="1"/>
      <c r="B53" s="1"/>
      <c r="C53" s="133">
        <v>41</v>
      </c>
      <c r="D53" s="134" t="s">
        <v>666</v>
      </c>
      <c r="E53" s="128" t="s">
        <v>7</v>
      </c>
      <c r="F53" s="129" t="s">
        <v>8</v>
      </c>
      <c r="G53" s="129">
        <v>-5</v>
      </c>
      <c r="H53" s="129">
        <v>-5</v>
      </c>
      <c r="I53" s="129">
        <v>-5</v>
      </c>
      <c r="J53" s="129">
        <v>-5</v>
      </c>
      <c r="K53" s="130">
        <v>-5</v>
      </c>
      <c r="L53" s="1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32"/>
      <c r="AY53" s="132"/>
      <c r="AZ53" s="132"/>
      <c r="BA53" s="132"/>
      <c r="BB53" s="132"/>
      <c r="BC53" s="132"/>
      <c r="BD53" s="132"/>
      <c r="BE53" s="132"/>
      <c r="BF53" s="132"/>
      <c r="BG53" s="132"/>
      <c r="BH53" s="132"/>
      <c r="BI53" s="132"/>
      <c r="BJ53" s="132"/>
      <c r="BK53" s="132"/>
      <c r="BL53" s="132"/>
    </row>
    <row r="54" spans="1:64" s="131" customFormat="1" ht="45" customHeight="1">
      <c r="A54" s="1"/>
      <c r="B54" s="1"/>
      <c r="C54" s="133">
        <v>42</v>
      </c>
      <c r="D54" s="134" t="s">
        <v>667</v>
      </c>
      <c r="E54" s="128" t="s">
        <v>7</v>
      </c>
      <c r="F54" s="129">
        <v>0</v>
      </c>
      <c r="G54" s="129">
        <v>80</v>
      </c>
      <c r="H54" s="129">
        <v>345</v>
      </c>
      <c r="I54" s="129">
        <v>530</v>
      </c>
      <c r="J54" s="129">
        <v>625</v>
      </c>
      <c r="K54" s="130">
        <v>665</v>
      </c>
      <c r="L54" s="1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  <c r="AY54" s="132"/>
      <c r="AZ54" s="132"/>
      <c r="BA54" s="132"/>
      <c r="BB54" s="132"/>
      <c r="BC54" s="132"/>
      <c r="BD54" s="132"/>
      <c r="BE54" s="132"/>
      <c r="BF54" s="132"/>
      <c r="BG54" s="132"/>
      <c r="BH54" s="132"/>
      <c r="BI54" s="132"/>
      <c r="BJ54" s="132"/>
      <c r="BK54" s="132"/>
      <c r="BL54" s="132"/>
    </row>
    <row r="55" spans="1:64" s="131" customFormat="1" ht="45" customHeight="1">
      <c r="A55" s="1"/>
      <c r="B55" s="1"/>
      <c r="C55" s="133">
        <v>43</v>
      </c>
      <c r="D55" s="134" t="s">
        <v>668</v>
      </c>
      <c r="E55" s="128" t="s">
        <v>7</v>
      </c>
      <c r="F55" s="129">
        <v>0</v>
      </c>
      <c r="G55" s="129">
        <v>105</v>
      </c>
      <c r="H55" s="129">
        <v>225</v>
      </c>
      <c r="I55" s="129">
        <v>225</v>
      </c>
      <c r="J55" s="129">
        <v>235</v>
      </c>
      <c r="K55" s="130">
        <v>250</v>
      </c>
      <c r="L55" s="1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32"/>
      <c r="BG55" s="132"/>
      <c r="BH55" s="132"/>
      <c r="BI55" s="132"/>
      <c r="BJ55" s="132"/>
      <c r="BK55" s="132"/>
      <c r="BL55" s="132"/>
    </row>
    <row r="56" spans="1:64" s="131" customFormat="1" ht="45" customHeight="1">
      <c r="A56" s="1"/>
      <c r="B56" s="1"/>
      <c r="C56" s="133">
        <v>44</v>
      </c>
      <c r="D56" s="134" t="s">
        <v>669</v>
      </c>
      <c r="E56" s="128" t="s">
        <v>7</v>
      </c>
      <c r="F56" s="129">
        <v>0</v>
      </c>
      <c r="G56" s="129">
        <v>0</v>
      </c>
      <c r="H56" s="129">
        <v>0</v>
      </c>
      <c r="I56" s="129">
        <v>0</v>
      </c>
      <c r="J56" s="129">
        <v>1345</v>
      </c>
      <c r="K56" s="130">
        <v>2540</v>
      </c>
      <c r="L56" s="1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32"/>
      <c r="BG56" s="132"/>
      <c r="BH56" s="132"/>
      <c r="BI56" s="132"/>
      <c r="BJ56" s="132"/>
      <c r="BK56" s="132"/>
      <c r="BL56" s="132"/>
    </row>
    <row r="57" spans="1:64" s="131" customFormat="1" ht="45" customHeight="1">
      <c r="A57" s="1"/>
      <c r="B57" s="1"/>
      <c r="C57" s="133">
        <v>45</v>
      </c>
      <c r="D57" s="134" t="s">
        <v>670</v>
      </c>
      <c r="E57" s="128" t="s">
        <v>7</v>
      </c>
      <c r="F57" s="129">
        <v>0</v>
      </c>
      <c r="G57" s="129">
        <v>20</v>
      </c>
      <c r="H57" s="129">
        <v>60</v>
      </c>
      <c r="I57" s="129">
        <v>90</v>
      </c>
      <c r="J57" s="129">
        <v>95</v>
      </c>
      <c r="K57" s="130">
        <v>90</v>
      </c>
      <c r="L57" s="1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  <c r="AW57" s="132"/>
      <c r="AX57" s="132"/>
      <c r="AY57" s="132"/>
      <c r="AZ57" s="132"/>
      <c r="BA57" s="132"/>
      <c r="BB57" s="132"/>
      <c r="BC57" s="132"/>
      <c r="BD57" s="132"/>
      <c r="BE57" s="132"/>
      <c r="BF57" s="132"/>
      <c r="BG57" s="132"/>
      <c r="BH57" s="132"/>
      <c r="BI57" s="132"/>
      <c r="BJ57" s="132"/>
      <c r="BK57" s="132"/>
      <c r="BL57" s="132"/>
    </row>
    <row r="58" spans="1:64" s="131" customFormat="1" ht="45" customHeight="1" thickBot="1">
      <c r="A58" s="1"/>
      <c r="B58" s="1"/>
      <c r="C58" s="133">
        <v>46</v>
      </c>
      <c r="D58" s="134" t="s">
        <v>671</v>
      </c>
      <c r="E58" s="128" t="s">
        <v>7</v>
      </c>
      <c r="F58" s="129">
        <v>0</v>
      </c>
      <c r="G58" s="129">
        <v>0</v>
      </c>
      <c r="H58" s="129">
        <v>-30</v>
      </c>
      <c r="I58" s="129">
        <v>-30</v>
      </c>
      <c r="J58" s="129">
        <v>-30</v>
      </c>
      <c r="K58" s="130">
        <v>-30</v>
      </c>
      <c r="L58" s="1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  <c r="AD58" s="132"/>
      <c r="AE58" s="132"/>
      <c r="AF58" s="132"/>
      <c r="AG58" s="132"/>
      <c r="AH58" s="132"/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32"/>
      <c r="BG58" s="132"/>
      <c r="BH58" s="132"/>
      <c r="BI58" s="132"/>
      <c r="BJ58" s="132"/>
      <c r="BK58" s="132"/>
      <c r="BL58" s="132"/>
    </row>
    <row r="59" spans="1:64" s="131" customFormat="1" ht="45" customHeight="1">
      <c r="A59" s="1"/>
      <c r="B59" s="1"/>
      <c r="C59" s="138" t="s">
        <v>672</v>
      </c>
      <c r="D59" s="139"/>
      <c r="E59" s="140"/>
      <c r="F59" s="140"/>
      <c r="G59" s="140"/>
      <c r="H59" s="140"/>
      <c r="I59" s="140"/>
      <c r="J59" s="140"/>
      <c r="K59" s="141"/>
      <c r="L59" s="1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32"/>
      <c r="AT59" s="132"/>
      <c r="AU59" s="132"/>
      <c r="AV59" s="132"/>
      <c r="AW59" s="132"/>
      <c r="AX59" s="132"/>
      <c r="AY59" s="132"/>
      <c r="AZ59" s="132"/>
      <c r="BA59" s="132"/>
      <c r="BB59" s="132"/>
      <c r="BC59" s="132"/>
      <c r="BD59" s="132"/>
      <c r="BE59" s="132"/>
      <c r="BF59" s="132"/>
      <c r="BG59" s="132"/>
      <c r="BH59" s="132"/>
      <c r="BI59" s="132"/>
      <c r="BJ59" s="132"/>
      <c r="BK59" s="132"/>
      <c r="BL59" s="132"/>
    </row>
    <row r="60" spans="1:64" s="131" customFormat="1" ht="45" customHeight="1">
      <c r="A60" s="1"/>
      <c r="B60" s="1"/>
      <c r="C60" s="133">
        <v>47</v>
      </c>
      <c r="D60" s="134" t="s">
        <v>673</v>
      </c>
      <c r="E60" s="128" t="s">
        <v>6</v>
      </c>
      <c r="F60" s="129">
        <v>35</v>
      </c>
      <c r="G60" s="129">
        <v>-1725</v>
      </c>
      <c r="H60" s="129">
        <v>50</v>
      </c>
      <c r="I60" s="129">
        <v>-15</v>
      </c>
      <c r="J60" s="129">
        <v>0</v>
      </c>
      <c r="K60" s="130">
        <v>0</v>
      </c>
      <c r="L60" s="1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  <c r="AT60" s="132"/>
      <c r="AU60" s="132"/>
      <c r="AV60" s="132"/>
      <c r="AW60" s="132"/>
      <c r="AX60" s="132"/>
      <c r="AY60" s="132"/>
      <c r="AZ60" s="132"/>
      <c r="BA60" s="132"/>
      <c r="BB60" s="132"/>
      <c r="BC60" s="132"/>
      <c r="BD60" s="132"/>
      <c r="BE60" s="132"/>
      <c r="BF60" s="132"/>
      <c r="BG60" s="132"/>
      <c r="BH60" s="132"/>
      <c r="BI60" s="132"/>
      <c r="BJ60" s="132"/>
      <c r="BK60" s="132"/>
      <c r="BL60" s="132"/>
    </row>
    <row r="61" spans="1:64" s="131" customFormat="1" ht="45" customHeight="1">
      <c r="A61" s="1"/>
      <c r="B61" s="1"/>
      <c r="C61" s="133">
        <v>48</v>
      </c>
      <c r="D61" s="134" t="s">
        <v>674</v>
      </c>
      <c r="E61" s="128" t="s">
        <v>6</v>
      </c>
      <c r="F61" s="129" t="s">
        <v>8</v>
      </c>
      <c r="G61" s="129">
        <v>-135</v>
      </c>
      <c r="H61" s="129">
        <v>-145</v>
      </c>
      <c r="I61" s="129">
        <v>-145</v>
      </c>
      <c r="J61" s="129">
        <v>-145</v>
      </c>
      <c r="K61" s="130">
        <v>-155</v>
      </c>
      <c r="L61" s="1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  <c r="AC61" s="132"/>
      <c r="AD61" s="132"/>
      <c r="AE61" s="132"/>
      <c r="AF61" s="132"/>
      <c r="AG61" s="132"/>
      <c r="AH61" s="132"/>
      <c r="AI61" s="132"/>
      <c r="AJ61" s="132"/>
      <c r="AK61" s="132"/>
      <c r="AL61" s="132"/>
      <c r="AM61" s="132"/>
      <c r="AN61" s="132"/>
      <c r="AO61" s="132"/>
      <c r="AP61" s="132"/>
      <c r="AQ61" s="132"/>
      <c r="AR61" s="132"/>
      <c r="AS61" s="132"/>
      <c r="AT61" s="132"/>
      <c r="AU61" s="132"/>
      <c r="AV61" s="132"/>
      <c r="AW61" s="132"/>
      <c r="AX61" s="132"/>
      <c r="AY61" s="132"/>
      <c r="AZ61" s="132"/>
      <c r="BA61" s="132"/>
      <c r="BB61" s="132"/>
      <c r="BC61" s="132"/>
      <c r="BD61" s="132"/>
      <c r="BE61" s="132"/>
      <c r="BF61" s="132"/>
      <c r="BG61" s="132"/>
      <c r="BH61" s="132"/>
      <c r="BI61" s="132"/>
      <c r="BJ61" s="132"/>
      <c r="BK61" s="132"/>
      <c r="BL61" s="132"/>
    </row>
    <row r="62" spans="1:64" s="131" customFormat="1" ht="45" customHeight="1">
      <c r="A62" s="1"/>
      <c r="B62" s="1"/>
      <c r="C62" s="133">
        <v>49</v>
      </c>
      <c r="D62" s="134" t="s">
        <v>675</v>
      </c>
      <c r="E62" s="128" t="s">
        <v>6</v>
      </c>
      <c r="F62" s="129">
        <v>-45</v>
      </c>
      <c r="G62" s="129">
        <v>-3015</v>
      </c>
      <c r="H62" s="129">
        <v>-880</v>
      </c>
      <c r="I62" s="129">
        <v>-890</v>
      </c>
      <c r="J62" s="129">
        <v>-900</v>
      </c>
      <c r="K62" s="130">
        <v>-890</v>
      </c>
      <c r="L62" s="1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  <c r="AC62" s="132"/>
      <c r="AD62" s="132"/>
      <c r="AE62" s="132"/>
      <c r="AF62" s="132"/>
      <c r="AG62" s="132"/>
      <c r="AH62" s="132"/>
      <c r="AI62" s="132"/>
      <c r="AJ62" s="132"/>
      <c r="AK62" s="132"/>
      <c r="AL62" s="132"/>
      <c r="AM62" s="132"/>
      <c r="AN62" s="132"/>
      <c r="AO62" s="132"/>
      <c r="AP62" s="132"/>
      <c r="AQ62" s="132"/>
      <c r="AR62" s="132"/>
      <c r="AS62" s="132"/>
      <c r="AT62" s="132"/>
      <c r="AU62" s="132"/>
      <c r="AV62" s="132"/>
      <c r="AW62" s="132"/>
      <c r="AX62" s="132"/>
      <c r="AY62" s="132"/>
      <c r="AZ62" s="132"/>
      <c r="BA62" s="132"/>
      <c r="BB62" s="132"/>
      <c r="BC62" s="132"/>
      <c r="BD62" s="132"/>
      <c r="BE62" s="132"/>
      <c r="BF62" s="132"/>
      <c r="BG62" s="132"/>
      <c r="BH62" s="132"/>
      <c r="BI62" s="132"/>
      <c r="BJ62" s="132"/>
      <c r="BK62" s="132"/>
      <c r="BL62" s="132"/>
    </row>
    <row r="63" spans="1:64" s="131" customFormat="1" ht="53.1" customHeight="1">
      <c r="A63" s="1"/>
      <c r="B63" s="1"/>
      <c r="C63" s="133">
        <v>50</v>
      </c>
      <c r="D63" s="134" t="s">
        <v>676</v>
      </c>
      <c r="E63" s="128" t="s">
        <v>6</v>
      </c>
      <c r="F63" s="129">
        <v>-20</v>
      </c>
      <c r="G63" s="129">
        <v>-175</v>
      </c>
      <c r="H63" s="129">
        <v>-125</v>
      </c>
      <c r="I63" s="129">
        <v>45</v>
      </c>
      <c r="J63" s="129">
        <v>25</v>
      </c>
      <c r="K63" s="130">
        <v>25</v>
      </c>
      <c r="L63" s="1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  <c r="AC63" s="132"/>
      <c r="AD63" s="132"/>
      <c r="AE63" s="132"/>
      <c r="AF63" s="132"/>
      <c r="AG63" s="132"/>
      <c r="AH63" s="132"/>
      <c r="AI63" s="132"/>
      <c r="AJ63" s="132"/>
      <c r="AK63" s="132"/>
      <c r="AL63" s="132"/>
      <c r="AM63" s="132"/>
      <c r="AN63" s="132"/>
      <c r="AO63" s="132"/>
      <c r="AP63" s="132"/>
      <c r="AQ63" s="132"/>
      <c r="AR63" s="132"/>
      <c r="AS63" s="132"/>
      <c r="AT63" s="132"/>
      <c r="AU63" s="132"/>
      <c r="AV63" s="132"/>
      <c r="AW63" s="132"/>
      <c r="AX63" s="132"/>
      <c r="AY63" s="132"/>
      <c r="AZ63" s="132"/>
      <c r="BA63" s="132"/>
      <c r="BB63" s="132"/>
      <c r="BC63" s="132"/>
      <c r="BD63" s="132"/>
      <c r="BE63" s="132"/>
      <c r="BF63" s="132"/>
      <c r="BG63" s="132"/>
      <c r="BH63" s="132"/>
      <c r="BI63" s="132"/>
      <c r="BJ63" s="132"/>
      <c r="BK63" s="132"/>
      <c r="BL63" s="132"/>
    </row>
    <row r="64" spans="1:64" s="131" customFormat="1" ht="53.1" customHeight="1">
      <c r="A64" s="1"/>
      <c r="B64" s="1"/>
      <c r="C64" s="133">
        <v>51</v>
      </c>
      <c r="D64" s="134" t="s">
        <v>677</v>
      </c>
      <c r="E64" s="129" t="s">
        <v>6</v>
      </c>
      <c r="F64" s="129" t="s">
        <v>8</v>
      </c>
      <c r="G64" s="129">
        <v>-5</v>
      </c>
      <c r="H64" s="129">
        <v>-5</v>
      </c>
      <c r="I64" s="129">
        <v>-5</v>
      </c>
      <c r="J64" s="129">
        <v>-5</v>
      </c>
      <c r="K64" s="130">
        <v>-5</v>
      </c>
      <c r="L64" s="1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2"/>
      <c r="BK64" s="132"/>
      <c r="BL64" s="132"/>
    </row>
    <row r="65" spans="1:64" s="131" customFormat="1" ht="45" customHeight="1">
      <c r="A65" s="1"/>
      <c r="B65" s="1"/>
      <c r="C65" s="133">
        <v>52</v>
      </c>
      <c r="D65" s="134" t="s">
        <v>678</v>
      </c>
      <c r="E65" s="129" t="s">
        <v>6</v>
      </c>
      <c r="F65" s="129">
        <v>-10</v>
      </c>
      <c r="G65" s="129">
        <v>-85</v>
      </c>
      <c r="H65" s="129">
        <v>-85</v>
      </c>
      <c r="I65" s="129">
        <v>-90</v>
      </c>
      <c r="J65" s="129">
        <v>-95</v>
      </c>
      <c r="K65" s="130">
        <v>-100</v>
      </c>
      <c r="L65" s="1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132"/>
      <c r="BC65" s="132"/>
      <c r="BD65" s="132"/>
      <c r="BE65" s="132"/>
      <c r="BF65" s="132"/>
      <c r="BG65" s="132"/>
      <c r="BH65" s="132"/>
      <c r="BI65" s="132"/>
      <c r="BJ65" s="132"/>
      <c r="BK65" s="132"/>
      <c r="BL65" s="132"/>
    </row>
    <row r="66" spans="1:64" s="131" customFormat="1" ht="45" customHeight="1">
      <c r="A66" s="1"/>
      <c r="B66" s="1"/>
      <c r="C66" s="133">
        <v>53</v>
      </c>
      <c r="D66" s="134" t="s">
        <v>679</v>
      </c>
      <c r="E66" s="128" t="s">
        <v>7</v>
      </c>
      <c r="F66" s="129">
        <v>0</v>
      </c>
      <c r="G66" s="129">
        <v>-25</v>
      </c>
      <c r="H66" s="129">
        <v>-70</v>
      </c>
      <c r="I66" s="129">
        <v>-105</v>
      </c>
      <c r="J66" s="129">
        <v>-135</v>
      </c>
      <c r="K66" s="130">
        <v>-165</v>
      </c>
      <c r="L66" s="1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  <c r="AZ66" s="132"/>
      <c r="BA66" s="132"/>
      <c r="BB66" s="132"/>
      <c r="BC66" s="132"/>
      <c r="BD66" s="132"/>
      <c r="BE66" s="132"/>
      <c r="BF66" s="132"/>
      <c r="BG66" s="132"/>
      <c r="BH66" s="132"/>
      <c r="BI66" s="132"/>
      <c r="BJ66" s="132"/>
      <c r="BK66" s="132"/>
      <c r="BL66" s="132"/>
    </row>
    <row r="67" spans="1:64" s="131" customFormat="1" ht="45" customHeight="1">
      <c r="A67" s="1"/>
      <c r="B67" s="1"/>
      <c r="C67" s="133">
        <v>54</v>
      </c>
      <c r="D67" s="134" t="s">
        <v>680</v>
      </c>
      <c r="E67" s="128" t="s">
        <v>7</v>
      </c>
      <c r="F67" s="129">
        <v>0</v>
      </c>
      <c r="G67" s="129">
        <v>0</v>
      </c>
      <c r="H67" s="129">
        <v>0</v>
      </c>
      <c r="I67" s="129">
        <v>-20</v>
      </c>
      <c r="J67" s="129">
        <v>-20</v>
      </c>
      <c r="K67" s="130">
        <v>-20</v>
      </c>
      <c r="L67" s="1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  <c r="AT67" s="132"/>
      <c r="AU67" s="132"/>
      <c r="AV67" s="132"/>
      <c r="AW67" s="132"/>
      <c r="AX67" s="132"/>
      <c r="AY67" s="132"/>
      <c r="AZ67" s="132"/>
      <c r="BA67" s="132"/>
      <c r="BB67" s="132"/>
      <c r="BC67" s="132"/>
      <c r="BD67" s="132"/>
      <c r="BE67" s="132"/>
      <c r="BF67" s="132"/>
      <c r="BG67" s="132"/>
      <c r="BH67" s="132"/>
      <c r="BI67" s="132"/>
      <c r="BJ67" s="132"/>
      <c r="BK67" s="132"/>
      <c r="BL67" s="132"/>
    </row>
    <row r="68" spans="1:64" s="131" customFormat="1" ht="45" customHeight="1">
      <c r="A68" s="1"/>
      <c r="B68" s="1"/>
      <c r="C68" s="133">
        <v>55</v>
      </c>
      <c r="D68" s="134" t="s">
        <v>681</v>
      </c>
      <c r="E68" s="128" t="s">
        <v>7</v>
      </c>
      <c r="F68" s="129">
        <v>0</v>
      </c>
      <c r="G68" s="129">
        <v>-70</v>
      </c>
      <c r="H68" s="129">
        <v>-70</v>
      </c>
      <c r="I68" s="129">
        <v>-65</v>
      </c>
      <c r="J68" s="129">
        <v>-60</v>
      </c>
      <c r="K68" s="130">
        <v>-60</v>
      </c>
      <c r="L68" s="1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  <c r="AU68" s="132"/>
      <c r="AV68" s="132"/>
      <c r="AW68" s="132"/>
      <c r="AX68" s="132"/>
      <c r="AY68" s="132"/>
      <c r="AZ68" s="132"/>
      <c r="BA68" s="132"/>
      <c r="BB68" s="132"/>
      <c r="BC68" s="132"/>
      <c r="BD68" s="132"/>
      <c r="BE68" s="132"/>
      <c r="BF68" s="132"/>
      <c r="BG68" s="132"/>
      <c r="BH68" s="132"/>
      <c r="BI68" s="132"/>
      <c r="BJ68" s="132"/>
      <c r="BK68" s="132"/>
      <c r="BL68" s="132"/>
    </row>
    <row r="69" spans="1:64" s="131" customFormat="1" ht="45" customHeight="1">
      <c r="A69" s="1"/>
      <c r="B69" s="1"/>
      <c r="C69" s="133">
        <v>56</v>
      </c>
      <c r="D69" s="134" t="s">
        <v>682</v>
      </c>
      <c r="E69" s="128" t="s">
        <v>6</v>
      </c>
      <c r="F69" s="129">
        <v>0</v>
      </c>
      <c r="G69" s="129">
        <v>-5</v>
      </c>
      <c r="H69" s="129">
        <v>0</v>
      </c>
      <c r="I69" s="129">
        <v>0</v>
      </c>
      <c r="J69" s="129">
        <v>0</v>
      </c>
      <c r="K69" s="130">
        <v>0</v>
      </c>
      <c r="L69" s="1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  <c r="AZ69" s="132"/>
      <c r="BA69" s="132"/>
      <c r="BB69" s="132"/>
      <c r="BC69" s="132"/>
      <c r="BD69" s="132"/>
      <c r="BE69" s="132"/>
      <c r="BF69" s="132"/>
      <c r="BG69" s="132"/>
      <c r="BH69" s="132"/>
      <c r="BI69" s="132"/>
      <c r="BJ69" s="132"/>
      <c r="BK69" s="132"/>
      <c r="BL69" s="132"/>
    </row>
    <row r="70" spans="1:64" s="131" customFormat="1" ht="45" customHeight="1">
      <c r="A70" s="1"/>
      <c r="B70" s="1"/>
      <c r="C70" s="133">
        <v>57</v>
      </c>
      <c r="D70" s="134" t="s">
        <v>683</v>
      </c>
      <c r="E70" s="128" t="s">
        <v>7</v>
      </c>
      <c r="F70" s="129">
        <v>0</v>
      </c>
      <c r="G70" s="129">
        <v>-265</v>
      </c>
      <c r="H70" s="129">
        <v>-280</v>
      </c>
      <c r="I70" s="129">
        <v>-195</v>
      </c>
      <c r="J70" s="129">
        <v>-205</v>
      </c>
      <c r="K70" s="130">
        <v>-240</v>
      </c>
      <c r="L70" s="1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/>
      <c r="BB70" s="132"/>
      <c r="BC70" s="132"/>
      <c r="BD70" s="132"/>
      <c r="BE70" s="132"/>
      <c r="BF70" s="132"/>
      <c r="BG70" s="132"/>
      <c r="BH70" s="132"/>
      <c r="BI70" s="132"/>
      <c r="BJ70" s="132"/>
      <c r="BK70" s="132"/>
      <c r="BL70" s="132"/>
    </row>
    <row r="71" spans="1:64" s="131" customFormat="1" ht="52.35" customHeight="1">
      <c r="A71" s="1"/>
      <c r="B71" s="1"/>
      <c r="C71" s="133">
        <v>58</v>
      </c>
      <c r="D71" s="134" t="s">
        <v>684</v>
      </c>
      <c r="E71" s="128" t="s">
        <v>7</v>
      </c>
      <c r="F71" s="129">
        <v>0</v>
      </c>
      <c r="G71" s="129">
        <v>-5</v>
      </c>
      <c r="H71" s="129">
        <v>-10</v>
      </c>
      <c r="I71" s="129">
        <v>-10</v>
      </c>
      <c r="J71" s="129">
        <v>-10</v>
      </c>
      <c r="K71" s="130">
        <v>-10</v>
      </c>
      <c r="L71" s="1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  <c r="AZ71" s="132"/>
      <c r="BA71" s="132"/>
      <c r="BB71" s="132"/>
      <c r="BC71" s="132"/>
      <c r="BD71" s="132"/>
      <c r="BE71" s="132"/>
      <c r="BF71" s="132"/>
      <c r="BG71" s="132"/>
      <c r="BH71" s="132"/>
      <c r="BI71" s="132"/>
      <c r="BJ71" s="132"/>
      <c r="BK71" s="132"/>
      <c r="BL71" s="132"/>
    </row>
    <row r="72" spans="1:64" s="131" customFormat="1" ht="55.35" customHeight="1">
      <c r="A72" s="1"/>
      <c r="B72" s="1"/>
      <c r="C72" s="133">
        <v>59</v>
      </c>
      <c r="D72" s="134" t="s">
        <v>685</v>
      </c>
      <c r="E72" s="128" t="s">
        <v>7</v>
      </c>
      <c r="F72" s="129">
        <v>-5</v>
      </c>
      <c r="G72" s="129">
        <v>-25</v>
      </c>
      <c r="H72" s="129">
        <v>-40</v>
      </c>
      <c r="I72" s="129">
        <v>-20</v>
      </c>
      <c r="J72" s="129">
        <v>-5</v>
      </c>
      <c r="K72" s="130">
        <v>0</v>
      </c>
      <c r="L72" s="1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2"/>
      <c r="BD72" s="132"/>
      <c r="BE72" s="132"/>
      <c r="BF72" s="132"/>
      <c r="BG72" s="132"/>
      <c r="BH72" s="132"/>
      <c r="BI72" s="132"/>
      <c r="BJ72" s="132"/>
      <c r="BK72" s="132"/>
      <c r="BL72" s="132"/>
    </row>
    <row r="73" spans="1:64" s="131" customFormat="1" ht="57" customHeight="1" thickBot="1">
      <c r="A73" s="1"/>
      <c r="B73" s="1"/>
      <c r="C73" s="133">
        <v>60</v>
      </c>
      <c r="D73" s="134" t="s">
        <v>686</v>
      </c>
      <c r="E73" s="128" t="s">
        <v>7</v>
      </c>
      <c r="F73" s="129">
        <v>0</v>
      </c>
      <c r="G73" s="129">
        <v>-1185</v>
      </c>
      <c r="H73" s="129">
        <v>25</v>
      </c>
      <c r="I73" s="129">
        <v>0</v>
      </c>
      <c r="J73" s="129">
        <v>0</v>
      </c>
      <c r="K73" s="130">
        <v>0</v>
      </c>
      <c r="L73" s="1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2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32"/>
      <c r="AN73" s="132"/>
      <c r="AO73" s="132"/>
      <c r="AP73" s="132"/>
      <c r="AQ73" s="132"/>
      <c r="AR73" s="132"/>
      <c r="AS73" s="132"/>
      <c r="AT73" s="132"/>
      <c r="AU73" s="132"/>
      <c r="AV73" s="132"/>
      <c r="AW73" s="132"/>
      <c r="AX73" s="132"/>
      <c r="AY73" s="132"/>
      <c r="AZ73" s="132"/>
      <c r="BA73" s="132"/>
      <c r="BB73" s="132"/>
      <c r="BC73" s="132"/>
      <c r="BD73" s="132"/>
      <c r="BE73" s="132"/>
      <c r="BF73" s="132"/>
      <c r="BG73" s="132"/>
      <c r="BH73" s="132"/>
      <c r="BI73" s="132"/>
      <c r="BJ73" s="132"/>
      <c r="BK73" s="132"/>
      <c r="BL73" s="132"/>
    </row>
    <row r="74" spans="1:64" s="131" customFormat="1" ht="45" customHeight="1">
      <c r="A74" s="1"/>
      <c r="B74" s="1"/>
      <c r="C74" s="138" t="s">
        <v>687</v>
      </c>
      <c r="D74" s="139"/>
      <c r="E74" s="140"/>
      <c r="F74" s="140"/>
      <c r="G74" s="140"/>
      <c r="H74" s="140"/>
      <c r="I74" s="140"/>
      <c r="J74" s="140"/>
      <c r="K74" s="141"/>
      <c r="L74" s="1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32"/>
      <c r="BA74" s="132"/>
      <c r="BB74" s="132"/>
      <c r="BC74" s="132"/>
      <c r="BD74" s="132"/>
      <c r="BE74" s="132"/>
      <c r="BF74" s="132"/>
      <c r="BG74" s="132"/>
      <c r="BH74" s="132"/>
      <c r="BI74" s="132"/>
      <c r="BJ74" s="132"/>
      <c r="BK74" s="132"/>
      <c r="BL74" s="132"/>
    </row>
    <row r="75" spans="1:64" s="131" customFormat="1" ht="45" customHeight="1">
      <c r="A75" s="1"/>
      <c r="B75" s="1"/>
      <c r="C75" s="133">
        <v>61</v>
      </c>
      <c r="D75" s="134" t="s">
        <v>688</v>
      </c>
      <c r="E75" s="128" t="s">
        <v>6</v>
      </c>
      <c r="F75" s="129">
        <v>-55</v>
      </c>
      <c r="G75" s="129">
        <v>-105</v>
      </c>
      <c r="H75" s="129">
        <v>-35</v>
      </c>
      <c r="I75" s="129">
        <v>0</v>
      </c>
      <c r="J75" s="129">
        <v>0</v>
      </c>
      <c r="K75" s="130">
        <v>0</v>
      </c>
      <c r="L75" s="1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  <c r="AB75" s="132"/>
      <c r="AC75" s="132"/>
      <c r="AD75" s="132"/>
      <c r="AE75" s="132"/>
      <c r="AF75" s="132"/>
      <c r="AG75" s="132"/>
      <c r="AH75" s="132"/>
      <c r="AI75" s="132"/>
      <c r="AJ75" s="132"/>
      <c r="AK75" s="132"/>
      <c r="AL75" s="132"/>
      <c r="AM75" s="132"/>
      <c r="AN75" s="132"/>
      <c r="AO75" s="132"/>
      <c r="AP75" s="132"/>
      <c r="AQ75" s="132"/>
      <c r="AR75" s="132"/>
      <c r="AS75" s="132"/>
      <c r="AT75" s="132"/>
      <c r="AU75" s="132"/>
      <c r="AV75" s="132"/>
      <c r="AW75" s="132"/>
      <c r="AX75" s="132"/>
      <c r="AY75" s="132"/>
      <c r="AZ75" s="132"/>
      <c r="BA75" s="132"/>
      <c r="BB75" s="132"/>
      <c r="BC75" s="132"/>
      <c r="BD75" s="132"/>
      <c r="BE75" s="132"/>
      <c r="BF75" s="132"/>
      <c r="BG75" s="132"/>
      <c r="BH75" s="132"/>
      <c r="BI75" s="132"/>
      <c r="BJ75" s="132"/>
      <c r="BK75" s="132"/>
      <c r="BL75" s="132"/>
    </row>
    <row r="76" spans="1:64" s="131" customFormat="1" ht="53.1" customHeight="1">
      <c r="A76" s="1"/>
      <c r="B76" s="1"/>
      <c r="C76" s="133">
        <v>62</v>
      </c>
      <c r="D76" s="134" t="s">
        <v>689</v>
      </c>
      <c r="E76" s="128" t="s">
        <v>7</v>
      </c>
      <c r="F76" s="129">
        <v>0</v>
      </c>
      <c r="G76" s="129">
        <v>865</v>
      </c>
      <c r="H76" s="129">
        <v>0</v>
      </c>
      <c r="I76" s="129">
        <v>0</v>
      </c>
      <c r="J76" s="129">
        <v>0</v>
      </c>
      <c r="K76" s="130">
        <v>0</v>
      </c>
      <c r="L76" s="1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  <c r="AW76" s="132"/>
      <c r="AX76" s="132"/>
      <c r="AY76" s="132"/>
      <c r="AZ76" s="132"/>
      <c r="BA76" s="132"/>
      <c r="BB76" s="132"/>
      <c r="BC76" s="132"/>
      <c r="BD76" s="132"/>
      <c r="BE76" s="132"/>
      <c r="BF76" s="132"/>
      <c r="BG76" s="132"/>
      <c r="BH76" s="132"/>
      <c r="BI76" s="132"/>
      <c r="BJ76" s="132"/>
      <c r="BK76" s="132"/>
      <c r="BL76" s="132"/>
    </row>
    <row r="77" spans="1:64" s="131" customFormat="1" ht="45" customHeight="1">
      <c r="A77" s="1"/>
      <c r="B77" s="1"/>
      <c r="C77" s="133">
        <v>63</v>
      </c>
      <c r="D77" s="134" t="s">
        <v>690</v>
      </c>
      <c r="E77" s="128" t="s">
        <v>7</v>
      </c>
      <c r="F77" s="129">
        <v>0</v>
      </c>
      <c r="G77" s="129">
        <v>-160</v>
      </c>
      <c r="H77" s="129">
        <v>0</v>
      </c>
      <c r="I77" s="129">
        <v>0</v>
      </c>
      <c r="J77" s="129">
        <v>0</v>
      </c>
      <c r="K77" s="130">
        <v>0</v>
      </c>
      <c r="L77" s="1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2"/>
      <c r="AG77" s="132"/>
      <c r="AH77" s="132"/>
      <c r="AI77" s="132"/>
      <c r="AJ77" s="132"/>
      <c r="AK77" s="132"/>
      <c r="AL77" s="132"/>
      <c r="AM77" s="132"/>
      <c r="AN77" s="132"/>
      <c r="AO77" s="132"/>
      <c r="AP77" s="132"/>
      <c r="AQ77" s="132"/>
      <c r="AR77" s="132"/>
      <c r="AS77" s="132"/>
      <c r="AT77" s="132"/>
      <c r="AU77" s="132"/>
      <c r="AV77" s="132"/>
      <c r="AW77" s="132"/>
      <c r="AX77" s="132"/>
      <c r="AY77" s="132"/>
      <c r="AZ77" s="132"/>
      <c r="BA77" s="132"/>
      <c r="BB77" s="132"/>
      <c r="BC77" s="132"/>
      <c r="BD77" s="132"/>
      <c r="BE77" s="132"/>
      <c r="BF77" s="132"/>
      <c r="BG77" s="132"/>
      <c r="BH77" s="132"/>
      <c r="BI77" s="132"/>
      <c r="BJ77" s="132"/>
      <c r="BK77" s="132"/>
      <c r="BL77" s="132"/>
    </row>
    <row r="78" spans="1:64" s="131" customFormat="1" ht="45" customHeight="1">
      <c r="A78" s="1"/>
      <c r="B78" s="1"/>
      <c r="C78" s="133">
        <v>64</v>
      </c>
      <c r="D78" s="134" t="s">
        <v>691</v>
      </c>
      <c r="E78" s="129" t="s">
        <v>6</v>
      </c>
      <c r="F78" s="129">
        <v>0</v>
      </c>
      <c r="G78" s="129">
        <v>5</v>
      </c>
      <c r="H78" s="129">
        <v>5</v>
      </c>
      <c r="I78" s="129">
        <v>5</v>
      </c>
      <c r="J78" s="129">
        <v>5</v>
      </c>
      <c r="K78" s="130">
        <v>5</v>
      </c>
      <c r="L78" s="1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132"/>
      <c r="AI78" s="132"/>
      <c r="AJ78" s="132"/>
      <c r="AK78" s="132"/>
      <c r="AL78" s="132"/>
      <c r="AM78" s="132"/>
      <c r="AN78" s="132"/>
      <c r="AO78" s="132"/>
      <c r="AP78" s="132"/>
      <c r="AQ78" s="132"/>
      <c r="AR78" s="132"/>
      <c r="AS78" s="132"/>
      <c r="AT78" s="132"/>
      <c r="AU78" s="132"/>
      <c r="AV78" s="132"/>
      <c r="AW78" s="132"/>
      <c r="AX78" s="132"/>
      <c r="AY78" s="132"/>
      <c r="AZ78" s="132"/>
      <c r="BA78" s="132"/>
      <c r="BB78" s="132"/>
      <c r="BC78" s="132"/>
      <c r="BD78" s="132"/>
      <c r="BE78" s="132"/>
      <c r="BF78" s="132"/>
      <c r="BG78" s="132"/>
      <c r="BH78" s="132"/>
      <c r="BI78" s="132"/>
      <c r="BJ78" s="132"/>
      <c r="BK78" s="132"/>
      <c r="BL78" s="132"/>
    </row>
    <row r="79" spans="1:64" s="131" customFormat="1" ht="53.1" customHeight="1">
      <c r="A79" s="1"/>
      <c r="B79" s="1"/>
      <c r="C79" s="133">
        <v>65</v>
      </c>
      <c r="D79" s="134" t="s">
        <v>692</v>
      </c>
      <c r="E79" s="129" t="s">
        <v>6</v>
      </c>
      <c r="F79" s="129">
        <v>0</v>
      </c>
      <c r="G79" s="129" t="s">
        <v>8</v>
      </c>
      <c r="H79" s="129">
        <v>-5</v>
      </c>
      <c r="I79" s="129">
        <v>0</v>
      </c>
      <c r="J79" s="129">
        <v>0</v>
      </c>
      <c r="K79" s="130">
        <v>0</v>
      </c>
      <c r="L79" s="1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132"/>
      <c r="AG79" s="132"/>
      <c r="AH79" s="132"/>
      <c r="AI79" s="132"/>
      <c r="AJ79" s="132"/>
      <c r="AK79" s="132"/>
      <c r="AL79" s="132"/>
      <c r="AM79" s="132"/>
      <c r="AN79" s="132"/>
      <c r="AO79" s="132"/>
      <c r="AP79" s="132"/>
      <c r="AQ79" s="132"/>
      <c r="AR79" s="132"/>
      <c r="AS79" s="132"/>
      <c r="AT79" s="132"/>
      <c r="AU79" s="132"/>
      <c r="AV79" s="132"/>
      <c r="AW79" s="132"/>
      <c r="AX79" s="132"/>
      <c r="AY79" s="132"/>
      <c r="AZ79" s="132"/>
      <c r="BA79" s="132"/>
      <c r="BB79" s="132"/>
      <c r="BC79" s="132"/>
      <c r="BD79" s="132"/>
      <c r="BE79" s="132"/>
      <c r="BF79" s="132"/>
      <c r="BG79" s="132"/>
      <c r="BH79" s="132"/>
      <c r="BI79" s="132"/>
      <c r="BJ79" s="132"/>
      <c r="BK79" s="132"/>
      <c r="BL79" s="132"/>
    </row>
    <row r="80" spans="1:64" s="131" customFormat="1" ht="53.1" customHeight="1">
      <c r="A80" s="1"/>
      <c r="B80" s="1"/>
      <c r="C80" s="133">
        <v>66</v>
      </c>
      <c r="D80" s="134" t="s">
        <v>693</v>
      </c>
      <c r="E80" s="128" t="s">
        <v>6</v>
      </c>
      <c r="F80" s="129">
        <v>0</v>
      </c>
      <c r="G80" s="129" t="s">
        <v>8</v>
      </c>
      <c r="H80" s="129">
        <v>5</v>
      </c>
      <c r="I80" s="129" t="s">
        <v>8</v>
      </c>
      <c r="J80" s="129" t="s">
        <v>8</v>
      </c>
      <c r="K80" s="130" t="s">
        <v>8</v>
      </c>
      <c r="L80" s="1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32"/>
      <c r="AC80" s="132"/>
      <c r="AD80" s="132"/>
      <c r="AE80" s="132"/>
      <c r="AF80" s="132"/>
      <c r="AG80" s="132"/>
      <c r="AH80" s="132"/>
      <c r="AI80" s="132"/>
      <c r="AJ80" s="132"/>
      <c r="AK80" s="132"/>
      <c r="AL80" s="132"/>
      <c r="AM80" s="132"/>
      <c r="AN80" s="132"/>
      <c r="AO80" s="132"/>
      <c r="AP80" s="132"/>
      <c r="AQ80" s="132"/>
      <c r="AR80" s="132"/>
      <c r="AS80" s="132"/>
      <c r="AT80" s="132"/>
      <c r="AU80" s="132"/>
      <c r="AV80" s="132"/>
      <c r="AW80" s="132"/>
      <c r="AX80" s="132"/>
      <c r="AY80" s="132"/>
      <c r="AZ80" s="132"/>
      <c r="BA80" s="132"/>
      <c r="BB80" s="132"/>
      <c r="BC80" s="132"/>
      <c r="BD80" s="132"/>
      <c r="BE80" s="132"/>
      <c r="BF80" s="132"/>
      <c r="BG80" s="132"/>
      <c r="BH80" s="132"/>
      <c r="BI80" s="132"/>
      <c r="BJ80" s="132"/>
      <c r="BK80" s="132"/>
      <c r="BL80" s="132"/>
    </row>
    <row r="81" spans="1:64" s="131" customFormat="1" ht="52.5" customHeight="1">
      <c r="A81" s="1"/>
      <c r="B81" s="1"/>
      <c r="C81" s="133">
        <v>67</v>
      </c>
      <c r="D81" s="134" t="s">
        <v>694</v>
      </c>
      <c r="E81" s="128" t="s">
        <v>6</v>
      </c>
      <c r="F81" s="129" t="s">
        <v>8</v>
      </c>
      <c r="G81" s="129" t="s">
        <v>8</v>
      </c>
      <c r="H81" s="129" t="s">
        <v>8</v>
      </c>
      <c r="I81" s="129" t="s">
        <v>8</v>
      </c>
      <c r="J81" s="129">
        <v>-5</v>
      </c>
      <c r="K81" s="130">
        <v>-5</v>
      </c>
      <c r="L81" s="1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32"/>
      <c r="AK81" s="132"/>
      <c r="AL81" s="132"/>
      <c r="AM81" s="132"/>
      <c r="AN81" s="132"/>
      <c r="AO81" s="132"/>
      <c r="AP81" s="132"/>
      <c r="AQ81" s="132"/>
      <c r="AR81" s="132"/>
      <c r="AS81" s="132"/>
      <c r="AT81" s="132"/>
      <c r="AU81" s="132"/>
      <c r="AV81" s="132"/>
      <c r="AW81" s="132"/>
      <c r="AX81" s="132"/>
      <c r="AY81" s="132"/>
      <c r="AZ81" s="132"/>
      <c r="BA81" s="132"/>
      <c r="BB81" s="132"/>
      <c r="BC81" s="132"/>
      <c r="BD81" s="132"/>
      <c r="BE81" s="132"/>
      <c r="BF81" s="132"/>
      <c r="BG81" s="132"/>
      <c r="BH81" s="132"/>
      <c r="BI81" s="132"/>
      <c r="BJ81" s="132"/>
      <c r="BK81" s="132"/>
      <c r="BL81" s="132"/>
    </row>
    <row r="82" spans="1:64" s="131" customFormat="1" ht="74.849999999999994" customHeight="1">
      <c r="A82" s="1"/>
      <c r="B82" s="1"/>
      <c r="C82" s="133">
        <v>68</v>
      </c>
      <c r="D82" s="134" t="s">
        <v>695</v>
      </c>
      <c r="E82" s="129" t="s">
        <v>6</v>
      </c>
      <c r="F82" s="129">
        <v>0</v>
      </c>
      <c r="G82" s="129">
        <v>0</v>
      </c>
      <c r="H82" s="129" t="s">
        <v>8</v>
      </c>
      <c r="I82" s="129">
        <v>-5</v>
      </c>
      <c r="J82" s="129">
        <v>-5</v>
      </c>
      <c r="K82" s="130">
        <v>-5</v>
      </c>
      <c r="L82" s="1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32"/>
      <c r="AU82" s="132"/>
      <c r="AV82" s="132"/>
      <c r="AW82" s="132"/>
      <c r="AX82" s="132"/>
      <c r="AY82" s="132"/>
      <c r="AZ82" s="132"/>
      <c r="BA82" s="132"/>
      <c r="BB82" s="132"/>
      <c r="BC82" s="132"/>
      <c r="BD82" s="132"/>
      <c r="BE82" s="132"/>
      <c r="BF82" s="132"/>
      <c r="BG82" s="132"/>
      <c r="BH82" s="132"/>
      <c r="BI82" s="132"/>
      <c r="BJ82" s="132"/>
      <c r="BK82" s="132"/>
      <c r="BL82" s="132"/>
    </row>
    <row r="83" spans="1:64" s="131" customFormat="1" ht="45" customHeight="1">
      <c r="A83" s="1"/>
      <c r="B83" s="1"/>
      <c r="C83" s="133">
        <v>69</v>
      </c>
      <c r="D83" s="134" t="s">
        <v>696</v>
      </c>
      <c r="E83" s="128" t="s">
        <v>6</v>
      </c>
      <c r="F83" s="129">
        <v>0</v>
      </c>
      <c r="G83" s="129">
        <v>0</v>
      </c>
      <c r="H83" s="129">
        <v>-10</v>
      </c>
      <c r="I83" s="129">
        <v>-10</v>
      </c>
      <c r="J83" s="129">
        <v>-5</v>
      </c>
      <c r="K83" s="130">
        <v>-5</v>
      </c>
      <c r="L83" s="1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  <c r="AB83" s="132"/>
      <c r="AC83" s="132"/>
      <c r="AD83" s="132"/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  <c r="AP83" s="132"/>
      <c r="AQ83" s="132"/>
      <c r="AR83" s="132"/>
      <c r="AS83" s="132"/>
      <c r="AT83" s="132"/>
      <c r="AU83" s="132"/>
      <c r="AV83" s="132"/>
      <c r="AW83" s="132"/>
      <c r="AX83" s="132"/>
      <c r="AY83" s="132"/>
      <c r="AZ83" s="132"/>
      <c r="BA83" s="132"/>
      <c r="BB83" s="132"/>
      <c r="BC83" s="132"/>
      <c r="BD83" s="132"/>
      <c r="BE83" s="132"/>
      <c r="BF83" s="132"/>
      <c r="BG83" s="132"/>
      <c r="BH83" s="132"/>
      <c r="BI83" s="132"/>
      <c r="BJ83" s="132"/>
      <c r="BK83" s="132"/>
      <c r="BL83" s="132"/>
    </row>
    <row r="84" spans="1:64" s="131" customFormat="1" ht="45" customHeight="1">
      <c r="A84" s="1"/>
      <c r="B84" s="1"/>
      <c r="C84" s="133">
        <v>70</v>
      </c>
      <c r="D84" s="134" t="s">
        <v>697</v>
      </c>
      <c r="E84" s="128" t="s">
        <v>7</v>
      </c>
      <c r="F84" s="129">
        <v>0</v>
      </c>
      <c r="G84" s="129" t="s">
        <v>8</v>
      </c>
      <c r="H84" s="129" t="s">
        <v>8</v>
      </c>
      <c r="I84" s="129">
        <v>10</v>
      </c>
      <c r="J84" s="129">
        <v>10</v>
      </c>
      <c r="K84" s="130">
        <v>10</v>
      </c>
      <c r="L84" s="1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/>
      <c r="AV84" s="132"/>
      <c r="AW84" s="132"/>
      <c r="AX84" s="132"/>
      <c r="AY84" s="132"/>
      <c r="AZ84" s="132"/>
      <c r="BA84" s="132"/>
      <c r="BB84" s="132"/>
      <c r="BC84" s="132"/>
      <c r="BD84" s="132"/>
      <c r="BE84" s="132"/>
      <c r="BF84" s="132"/>
      <c r="BG84" s="132"/>
      <c r="BH84" s="132"/>
      <c r="BI84" s="132"/>
      <c r="BJ84" s="132"/>
      <c r="BK84" s="132"/>
      <c r="BL84" s="132"/>
    </row>
    <row r="85" spans="1:64" s="137" customFormat="1" ht="5.0999999999999996" customHeight="1" thickBot="1">
      <c r="A85" s="154"/>
      <c r="B85" s="154"/>
      <c r="C85" s="155" t="s">
        <v>698</v>
      </c>
      <c r="D85" s="156"/>
      <c r="E85" s="157"/>
      <c r="F85" s="158"/>
      <c r="G85" s="158"/>
      <c r="H85" s="158"/>
      <c r="I85" s="158"/>
      <c r="J85" s="158"/>
      <c r="K85" s="159"/>
      <c r="L85" s="154"/>
      <c r="M85" s="15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32"/>
      <c r="AN85" s="132"/>
      <c r="AO85" s="132"/>
      <c r="AP85" s="132"/>
      <c r="AQ85" s="132"/>
      <c r="AR85" s="132"/>
      <c r="AS85" s="132"/>
      <c r="AT85" s="132"/>
      <c r="AU85" s="132"/>
      <c r="AV85" s="132"/>
      <c r="AW85" s="132"/>
      <c r="AX85" s="132"/>
      <c r="AY85" s="132"/>
      <c r="AZ85" s="132"/>
      <c r="BA85" s="132"/>
      <c r="BB85" s="132"/>
      <c r="BC85" s="132"/>
      <c r="BD85" s="132"/>
      <c r="BE85" s="132"/>
      <c r="BF85" s="132"/>
      <c r="BG85" s="132"/>
      <c r="BH85" s="132"/>
      <c r="BI85" s="132"/>
      <c r="BJ85" s="132"/>
      <c r="BK85" s="132"/>
      <c r="BL85" s="132"/>
    </row>
    <row r="86" spans="1:64" s="165" customFormat="1" ht="29.85" customHeight="1" thickBot="1">
      <c r="A86" s="160"/>
      <c r="B86" s="160"/>
      <c r="C86" s="155"/>
      <c r="D86" s="161" t="s">
        <v>699</v>
      </c>
      <c r="E86" s="162"/>
      <c r="F86" s="163">
        <v>-24705</v>
      </c>
      <c r="G86" s="163">
        <v>-39550</v>
      </c>
      <c r="H86" s="163">
        <v>-35330</v>
      </c>
      <c r="I86" s="163">
        <v>-36585</v>
      </c>
      <c r="J86" s="163">
        <v>-38775</v>
      </c>
      <c r="K86" s="164">
        <v>-32990</v>
      </c>
      <c r="L86" s="160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2"/>
      <c r="AC86" s="132"/>
      <c r="AD86" s="132"/>
      <c r="AE86" s="132"/>
      <c r="AF86" s="132"/>
      <c r="AG86" s="132"/>
      <c r="AH86" s="132"/>
      <c r="AI86" s="132"/>
      <c r="AJ86" s="132"/>
      <c r="AK86" s="132"/>
      <c r="AL86" s="132"/>
      <c r="AM86" s="132"/>
      <c r="AN86" s="132"/>
      <c r="AO86" s="132"/>
      <c r="AP86" s="132"/>
      <c r="AQ86" s="132"/>
      <c r="AR86" s="132"/>
      <c r="AS86" s="132"/>
      <c r="AT86" s="132"/>
      <c r="AU86" s="132"/>
      <c r="AV86" s="132"/>
      <c r="AW86" s="132"/>
      <c r="AX86" s="132"/>
      <c r="AY86" s="132"/>
      <c r="AZ86" s="132"/>
      <c r="BA86" s="132"/>
      <c r="BB86" s="132"/>
      <c r="BC86" s="132"/>
      <c r="BD86" s="132"/>
      <c r="BE86" s="132"/>
      <c r="BF86" s="132"/>
      <c r="BG86" s="132"/>
      <c r="BH86" s="132"/>
      <c r="BI86" s="132"/>
      <c r="BJ86" s="132"/>
      <c r="BK86" s="132"/>
      <c r="BL86" s="132"/>
    </row>
    <row r="87" spans="1:64" s="165" customFormat="1" ht="29.85" customHeight="1" thickBot="1">
      <c r="A87" s="166"/>
      <c r="B87" s="166"/>
      <c r="C87" s="167"/>
      <c r="D87" s="168" t="s">
        <v>700</v>
      </c>
      <c r="E87" s="169"/>
      <c r="F87" s="170">
        <v>-25865</v>
      </c>
      <c r="G87" s="170">
        <v>-63550</v>
      </c>
      <c r="H87" s="170">
        <v>-70115</v>
      </c>
      <c r="I87" s="170">
        <v>-75645</v>
      </c>
      <c r="J87" s="170">
        <v>-78500</v>
      </c>
      <c r="K87" s="171">
        <v>-74160</v>
      </c>
      <c r="L87" s="166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  <c r="AB87" s="132"/>
      <c r="AC87" s="132"/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132"/>
      <c r="AV87" s="132"/>
      <c r="AW87" s="132"/>
      <c r="AX87" s="132"/>
      <c r="AY87" s="132"/>
      <c r="AZ87" s="132"/>
      <c r="BA87" s="132"/>
      <c r="BB87" s="132"/>
      <c r="BC87" s="132"/>
      <c r="BD87" s="132"/>
      <c r="BE87" s="132"/>
      <c r="BF87" s="132"/>
      <c r="BG87" s="132"/>
      <c r="BH87" s="132"/>
      <c r="BI87" s="132"/>
      <c r="BJ87" s="132"/>
      <c r="BK87" s="132"/>
      <c r="BL87" s="132"/>
    </row>
    <row r="88" spans="1:64" s="165" customFormat="1" ht="29.25" customHeight="1" thickBot="1">
      <c r="A88" s="172"/>
      <c r="B88" s="172"/>
      <c r="C88" s="173"/>
      <c r="D88" s="174" t="s">
        <v>701</v>
      </c>
      <c r="E88" s="175"/>
      <c r="F88" s="170">
        <v>1160</v>
      </c>
      <c r="G88" s="170">
        <v>24005</v>
      </c>
      <c r="H88" s="170">
        <v>34785</v>
      </c>
      <c r="I88" s="170">
        <v>39065</v>
      </c>
      <c r="J88" s="170">
        <v>39725</v>
      </c>
      <c r="K88" s="171">
        <v>41170</v>
      </c>
      <c r="L88" s="17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132"/>
      <c r="AG88" s="132"/>
      <c r="AH88" s="132"/>
      <c r="AI88" s="132"/>
      <c r="AJ88" s="132"/>
      <c r="AK88" s="132"/>
      <c r="AL88" s="132"/>
      <c r="AM88" s="132"/>
      <c r="AN88" s="132"/>
      <c r="AO88" s="132"/>
      <c r="AP88" s="132"/>
      <c r="AQ88" s="132"/>
      <c r="AR88" s="132"/>
      <c r="AS88" s="132"/>
      <c r="AT88" s="132"/>
      <c r="AU88" s="132"/>
      <c r="AV88" s="132"/>
      <c r="AW88" s="132"/>
      <c r="AX88" s="132"/>
      <c r="AY88" s="132"/>
      <c r="AZ88" s="132"/>
      <c r="BA88" s="132"/>
      <c r="BB88" s="132"/>
      <c r="BC88" s="132"/>
      <c r="BD88" s="132"/>
      <c r="BE88" s="132"/>
      <c r="BF88" s="132"/>
      <c r="BG88" s="132"/>
      <c r="BH88" s="132"/>
      <c r="BI88" s="132"/>
      <c r="BJ88" s="132"/>
      <c r="BK88" s="132"/>
      <c r="BL88" s="132"/>
    </row>
    <row r="89" spans="1:64" s="165" customFormat="1" ht="25.35" customHeight="1">
      <c r="A89" s="172"/>
      <c r="B89" s="172"/>
      <c r="C89" s="218" t="s">
        <v>9</v>
      </c>
      <c r="D89" s="219"/>
      <c r="E89" s="219"/>
      <c r="F89" s="219"/>
      <c r="G89" s="219"/>
      <c r="H89" s="219"/>
      <c r="I89" s="219"/>
      <c r="J89" s="219"/>
      <c r="K89" s="220"/>
      <c r="L89" s="17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32"/>
      <c r="AN89" s="132"/>
      <c r="AO89" s="132"/>
      <c r="AP89" s="132"/>
      <c r="AQ89" s="132"/>
      <c r="AR89" s="132"/>
      <c r="AS89" s="132"/>
      <c r="AT89" s="132"/>
      <c r="AU89" s="132"/>
      <c r="AV89" s="132"/>
      <c r="AW89" s="132"/>
      <c r="AX89" s="132"/>
      <c r="AY89" s="132"/>
      <c r="AZ89" s="132"/>
      <c r="BA89" s="132"/>
      <c r="BB89" s="132"/>
      <c r="BC89" s="132"/>
      <c r="BD89" s="132"/>
      <c r="BE89" s="132"/>
      <c r="BF89" s="132"/>
      <c r="BG89" s="132"/>
      <c r="BH89" s="132"/>
      <c r="BI89" s="132"/>
      <c r="BJ89" s="132"/>
      <c r="BK89" s="132"/>
      <c r="BL89" s="132"/>
    </row>
    <row r="90" spans="1:64" ht="25.35" customHeight="1">
      <c r="C90" s="218" t="s">
        <v>702</v>
      </c>
      <c r="D90" s="219"/>
      <c r="E90" s="219"/>
      <c r="F90" s="219"/>
      <c r="G90" s="219"/>
      <c r="H90" s="219"/>
      <c r="I90" s="219"/>
      <c r="J90" s="219"/>
      <c r="K90" s="220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D90" s="132"/>
      <c r="AE90" s="132"/>
      <c r="AF90" s="132"/>
      <c r="AG90" s="132"/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  <c r="AT90" s="132"/>
      <c r="AU90" s="132"/>
      <c r="AV90" s="132"/>
      <c r="AW90" s="132"/>
      <c r="AX90" s="132"/>
      <c r="AY90" s="132"/>
      <c r="AZ90" s="132"/>
      <c r="BA90" s="132"/>
      <c r="BB90" s="132"/>
      <c r="BC90" s="132"/>
      <c r="BD90" s="132"/>
      <c r="BE90" s="132"/>
      <c r="BF90" s="132"/>
      <c r="BG90" s="132"/>
      <c r="BH90" s="132"/>
      <c r="BI90" s="132"/>
      <c r="BJ90" s="132"/>
      <c r="BK90" s="132"/>
      <c r="BL90" s="132"/>
    </row>
    <row r="91" spans="1:64" ht="25.35" customHeight="1">
      <c r="C91" s="218" t="s">
        <v>703</v>
      </c>
      <c r="D91" s="219"/>
      <c r="E91" s="219"/>
      <c r="F91" s="219"/>
      <c r="G91" s="219"/>
      <c r="H91" s="219"/>
      <c r="I91" s="219"/>
      <c r="J91" s="219"/>
      <c r="K91" s="220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  <c r="AG91" s="132"/>
      <c r="AH91" s="132"/>
      <c r="AI91" s="132"/>
      <c r="AJ91" s="132"/>
      <c r="AK91" s="132"/>
      <c r="AL91" s="132"/>
      <c r="AM91" s="132"/>
      <c r="AN91" s="132"/>
      <c r="AO91" s="132"/>
      <c r="AP91" s="132"/>
      <c r="AQ91" s="132"/>
      <c r="AR91" s="132"/>
      <c r="AS91" s="132"/>
      <c r="AT91" s="132"/>
      <c r="AU91" s="132"/>
      <c r="AV91" s="132"/>
      <c r="AW91" s="132"/>
      <c r="AX91" s="132"/>
      <c r="AY91" s="132"/>
      <c r="AZ91" s="132"/>
      <c r="BA91" s="132"/>
      <c r="BB91" s="132"/>
      <c r="BC91" s="132"/>
      <c r="BD91" s="132"/>
      <c r="BE91" s="132"/>
      <c r="BF91" s="132"/>
      <c r="BG91" s="132"/>
      <c r="BH91" s="132"/>
      <c r="BI91" s="132"/>
      <c r="BJ91" s="132"/>
      <c r="BK91" s="132"/>
      <c r="BL91" s="132"/>
    </row>
    <row r="92" spans="1:64" ht="25.35" customHeight="1">
      <c r="C92" s="218" t="s">
        <v>704</v>
      </c>
      <c r="D92" s="219"/>
      <c r="E92" s="219"/>
      <c r="F92" s="219"/>
      <c r="G92" s="219"/>
      <c r="H92" s="219"/>
      <c r="I92" s="219"/>
      <c r="J92" s="219"/>
      <c r="K92" s="220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2"/>
      <c r="AQ92" s="132"/>
      <c r="AR92" s="132"/>
      <c r="AS92" s="132"/>
      <c r="AT92" s="132"/>
      <c r="AU92" s="132"/>
      <c r="AV92" s="132"/>
      <c r="AW92" s="132"/>
      <c r="AX92" s="132"/>
      <c r="AY92" s="132"/>
      <c r="AZ92" s="132"/>
      <c r="BA92" s="132"/>
      <c r="BB92" s="132"/>
      <c r="BC92" s="132"/>
      <c r="BD92" s="132"/>
      <c r="BE92" s="132"/>
      <c r="BF92" s="132"/>
      <c r="BG92" s="132"/>
      <c r="BH92" s="132"/>
      <c r="BI92" s="132"/>
      <c r="BJ92" s="132"/>
      <c r="BK92" s="132"/>
      <c r="BL92" s="132"/>
    </row>
    <row r="93" spans="1:64" ht="25.35" customHeight="1">
      <c r="C93" s="218" t="s">
        <v>705</v>
      </c>
      <c r="D93" s="219"/>
      <c r="E93" s="219"/>
      <c r="F93" s="219"/>
      <c r="G93" s="219"/>
      <c r="H93" s="219"/>
      <c r="I93" s="219"/>
      <c r="J93" s="219"/>
      <c r="K93" s="220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  <c r="AB93" s="132"/>
      <c r="AC93" s="132"/>
      <c r="AD93" s="132"/>
      <c r="AE93" s="132"/>
      <c r="AF93" s="132"/>
      <c r="AG93" s="132"/>
      <c r="AH93" s="132"/>
      <c r="AI93" s="132"/>
      <c r="AJ93" s="132"/>
      <c r="AK93" s="132"/>
      <c r="AL93" s="132"/>
      <c r="AM93" s="132"/>
      <c r="AN93" s="132"/>
      <c r="AO93" s="132"/>
      <c r="AP93" s="132"/>
      <c r="AQ93" s="132"/>
      <c r="AR93" s="132"/>
      <c r="AS93" s="132"/>
      <c r="AT93" s="132"/>
      <c r="AU93" s="132"/>
      <c r="AV93" s="132"/>
      <c r="AW93" s="132"/>
      <c r="AX93" s="132"/>
      <c r="AY93" s="132"/>
      <c r="AZ93" s="132"/>
      <c r="BA93" s="132"/>
      <c r="BB93" s="132"/>
      <c r="BC93" s="132"/>
      <c r="BD93" s="132"/>
      <c r="BE93" s="132"/>
      <c r="BF93" s="132"/>
      <c r="BG93" s="132"/>
      <c r="BH93" s="132"/>
      <c r="BI93" s="132"/>
      <c r="BJ93" s="132"/>
      <c r="BK93" s="132"/>
      <c r="BL93" s="132"/>
    </row>
    <row r="94" spans="1:64" ht="25.35" customHeight="1">
      <c r="C94" s="218" t="s">
        <v>706</v>
      </c>
      <c r="D94" s="219"/>
      <c r="E94" s="219"/>
      <c r="F94" s="219"/>
      <c r="G94" s="219"/>
      <c r="H94" s="219"/>
      <c r="I94" s="219"/>
      <c r="J94" s="219"/>
      <c r="K94" s="220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  <c r="AE94" s="132"/>
      <c r="AF94" s="132"/>
      <c r="AG94" s="132"/>
      <c r="AH94" s="132"/>
      <c r="AI94" s="132"/>
      <c r="AJ94" s="132"/>
      <c r="AK94" s="132"/>
      <c r="AL94" s="132"/>
      <c r="AM94" s="132"/>
      <c r="AN94" s="132"/>
      <c r="AO94" s="132"/>
      <c r="AP94" s="132"/>
      <c r="AQ94" s="132"/>
      <c r="AR94" s="132"/>
      <c r="AS94" s="132"/>
      <c r="AT94" s="132"/>
      <c r="AU94" s="132"/>
      <c r="AV94" s="132"/>
      <c r="AW94" s="132"/>
      <c r="AX94" s="132"/>
      <c r="AY94" s="132"/>
      <c r="AZ94" s="132"/>
      <c r="BA94" s="132"/>
      <c r="BB94" s="132"/>
      <c r="BC94" s="132"/>
      <c r="BD94" s="132"/>
      <c r="BE94" s="132"/>
      <c r="BF94" s="132"/>
      <c r="BG94" s="132"/>
      <c r="BH94" s="132"/>
      <c r="BI94" s="132"/>
      <c r="BJ94" s="132"/>
      <c r="BK94" s="132"/>
      <c r="BL94" s="132"/>
    </row>
    <row r="95" spans="1:64" ht="25.35" customHeight="1" thickBot="1">
      <c r="C95" s="221" t="s">
        <v>707</v>
      </c>
      <c r="D95" s="222"/>
      <c r="E95" s="222"/>
      <c r="F95" s="222"/>
      <c r="G95" s="222"/>
      <c r="H95" s="222"/>
      <c r="I95" s="222"/>
      <c r="J95" s="222"/>
      <c r="K95" s="223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  <c r="AK95" s="132"/>
      <c r="AL95" s="132"/>
      <c r="AM95" s="132"/>
      <c r="AN95" s="132"/>
      <c r="AO95" s="132"/>
      <c r="AP95" s="132"/>
      <c r="AQ95" s="132"/>
      <c r="AR95" s="132"/>
      <c r="AS95" s="132"/>
      <c r="AT95" s="132"/>
      <c r="AU95" s="132"/>
      <c r="AV95" s="132"/>
      <c r="AW95" s="132"/>
      <c r="AX95" s="132"/>
      <c r="AY95" s="132"/>
      <c r="AZ95" s="132"/>
      <c r="BA95" s="132"/>
      <c r="BB95" s="132"/>
      <c r="BC95" s="132"/>
      <c r="BD95" s="132"/>
      <c r="BE95" s="132"/>
      <c r="BF95" s="132"/>
      <c r="BG95" s="132"/>
      <c r="BH95" s="132"/>
      <c r="BI95" s="132"/>
      <c r="BJ95" s="132"/>
      <c r="BK95" s="132"/>
      <c r="BL95" s="132"/>
    </row>
    <row r="96" spans="1:64"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32"/>
      <c r="AG96" s="132"/>
      <c r="AH96" s="132"/>
      <c r="AI96" s="132"/>
      <c r="AJ96" s="132"/>
      <c r="AK96" s="132"/>
      <c r="AL96" s="132"/>
      <c r="AM96" s="132"/>
      <c r="AN96" s="132"/>
      <c r="AO96" s="132"/>
      <c r="AP96" s="132"/>
      <c r="AQ96" s="132"/>
      <c r="AR96" s="132"/>
      <c r="AS96" s="132"/>
      <c r="AT96" s="132"/>
      <c r="AU96" s="132"/>
      <c r="AV96" s="132"/>
      <c r="AW96" s="132"/>
      <c r="AX96" s="132"/>
      <c r="AY96" s="132"/>
      <c r="AZ96" s="132"/>
      <c r="BA96" s="132"/>
      <c r="BB96" s="132"/>
      <c r="BC96" s="132"/>
      <c r="BD96" s="132"/>
      <c r="BE96" s="132"/>
      <c r="BF96" s="132"/>
      <c r="BG96" s="132"/>
      <c r="BH96" s="132"/>
      <c r="BI96" s="132"/>
      <c r="BJ96" s="132"/>
      <c r="BK96" s="132"/>
      <c r="BL96" s="132"/>
    </row>
    <row r="97" spans="1:64">
      <c r="A97" s="117"/>
      <c r="C97" s="178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2"/>
      <c r="AC97" s="132"/>
      <c r="AD97" s="132"/>
      <c r="AE97" s="132"/>
      <c r="AF97" s="132"/>
      <c r="AG97" s="132"/>
      <c r="AH97" s="132"/>
      <c r="AI97" s="132"/>
      <c r="AJ97" s="132"/>
      <c r="AK97" s="132"/>
      <c r="AL97" s="132"/>
      <c r="AM97" s="132"/>
      <c r="AN97" s="132"/>
      <c r="AO97" s="132"/>
      <c r="AP97" s="132"/>
      <c r="AQ97" s="132"/>
      <c r="AR97" s="132"/>
      <c r="AS97" s="132"/>
      <c r="AT97" s="132"/>
      <c r="AU97" s="132"/>
      <c r="AV97" s="132"/>
      <c r="AW97" s="132"/>
      <c r="AX97" s="132"/>
      <c r="AY97" s="132"/>
      <c r="AZ97" s="132"/>
      <c r="BA97" s="132"/>
      <c r="BB97" s="132"/>
      <c r="BC97" s="132"/>
      <c r="BD97" s="132"/>
      <c r="BE97" s="132"/>
      <c r="BF97" s="132"/>
      <c r="BG97" s="132"/>
      <c r="BH97" s="132"/>
      <c r="BI97" s="132"/>
      <c r="BJ97" s="132"/>
      <c r="BK97" s="132"/>
      <c r="BL97" s="132"/>
    </row>
    <row r="98" spans="1:64">
      <c r="A98" s="117"/>
      <c r="C98" s="178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2"/>
      <c r="AC98" s="132"/>
      <c r="AD98" s="132"/>
      <c r="AE98" s="132"/>
      <c r="AF98" s="132"/>
      <c r="AG98" s="132"/>
      <c r="AH98" s="132"/>
      <c r="AI98" s="132"/>
      <c r="AJ98" s="132"/>
      <c r="AK98" s="132"/>
      <c r="AL98" s="132"/>
      <c r="AM98" s="132"/>
      <c r="AN98" s="132"/>
      <c r="AO98" s="132"/>
      <c r="AP98" s="132"/>
      <c r="AQ98" s="132"/>
      <c r="AR98" s="132"/>
      <c r="AS98" s="132"/>
      <c r="AT98" s="132"/>
      <c r="AU98" s="132"/>
      <c r="AV98" s="132"/>
      <c r="AW98" s="132"/>
      <c r="AX98" s="132"/>
      <c r="AY98" s="132"/>
      <c r="AZ98" s="132"/>
      <c r="BA98" s="132"/>
      <c r="BB98" s="132"/>
      <c r="BC98" s="132"/>
      <c r="BD98" s="132"/>
      <c r="BE98" s="132"/>
      <c r="BF98" s="132"/>
      <c r="BG98" s="132"/>
      <c r="BH98" s="132"/>
      <c r="BI98" s="132"/>
      <c r="BJ98" s="132"/>
      <c r="BK98" s="132"/>
      <c r="BL98" s="132"/>
    </row>
    <row r="99" spans="1:64">
      <c r="A99" s="117"/>
      <c r="C99" s="178"/>
      <c r="D99" s="179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  <c r="AJ99" s="132"/>
      <c r="AK99" s="132"/>
      <c r="AL99" s="132"/>
      <c r="AM99" s="132"/>
      <c r="AN99" s="132"/>
      <c r="AO99" s="132"/>
      <c r="AP99" s="132"/>
      <c r="AQ99" s="132"/>
      <c r="AR99" s="132"/>
      <c r="AS99" s="132"/>
      <c r="AT99" s="132"/>
      <c r="AU99" s="132"/>
      <c r="AV99" s="132"/>
      <c r="AW99" s="132"/>
      <c r="AX99" s="132"/>
      <c r="AY99" s="132"/>
      <c r="AZ99" s="132"/>
      <c r="BA99" s="132"/>
      <c r="BB99" s="132"/>
      <c r="BC99" s="132"/>
      <c r="BD99" s="132"/>
      <c r="BE99" s="132"/>
      <c r="BF99" s="132"/>
      <c r="BG99" s="132"/>
      <c r="BH99" s="132"/>
      <c r="BI99" s="132"/>
      <c r="BJ99" s="132"/>
      <c r="BK99" s="132"/>
      <c r="BL99" s="132"/>
    </row>
    <row r="100" spans="1:64">
      <c r="A100" s="117"/>
      <c r="C100" s="178"/>
      <c r="D100" s="180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  <c r="AG100" s="132"/>
      <c r="AH100" s="132"/>
      <c r="AI100" s="132"/>
      <c r="AJ100" s="132"/>
      <c r="AK100" s="132"/>
      <c r="AL100" s="132"/>
      <c r="AM100" s="132"/>
      <c r="AN100" s="132"/>
      <c r="AO100" s="132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132"/>
      <c r="BA100" s="132"/>
      <c r="BB100" s="132"/>
      <c r="BC100" s="132"/>
      <c r="BD100" s="132"/>
      <c r="BE100" s="132"/>
      <c r="BF100" s="132"/>
      <c r="BG100" s="132"/>
      <c r="BH100" s="132"/>
      <c r="BI100" s="132"/>
      <c r="BJ100" s="132"/>
      <c r="BK100" s="132"/>
      <c r="BL100" s="132"/>
    </row>
    <row r="101" spans="1:64">
      <c r="A101" s="117"/>
      <c r="C101" s="178"/>
      <c r="D101" s="180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  <c r="AC101" s="132"/>
      <c r="AD101" s="132"/>
      <c r="AE101" s="132"/>
      <c r="AF101" s="132"/>
      <c r="AG101" s="132"/>
      <c r="AH101" s="132"/>
      <c r="AI101" s="132"/>
      <c r="AJ101" s="132"/>
      <c r="AK101" s="132"/>
      <c r="AL101" s="132"/>
      <c r="AM101" s="132"/>
      <c r="AN101" s="132"/>
      <c r="AO101" s="132"/>
      <c r="AP101" s="132"/>
      <c r="AQ101" s="132"/>
      <c r="AR101" s="132"/>
      <c r="AS101" s="132"/>
      <c r="AT101" s="132"/>
      <c r="AU101" s="132"/>
      <c r="AV101" s="132"/>
      <c r="AW101" s="132"/>
      <c r="AX101" s="132"/>
      <c r="AY101" s="132"/>
      <c r="AZ101" s="132"/>
      <c r="BA101" s="132"/>
      <c r="BB101" s="132"/>
      <c r="BC101" s="132"/>
      <c r="BD101" s="132"/>
      <c r="BE101" s="132"/>
      <c r="BF101" s="132"/>
      <c r="BG101" s="132"/>
      <c r="BH101" s="132"/>
      <c r="BI101" s="132"/>
      <c r="BJ101" s="132"/>
      <c r="BK101" s="132"/>
      <c r="BL101" s="132"/>
    </row>
    <row r="102" spans="1:64">
      <c r="A102" s="117"/>
      <c r="C102" s="178"/>
      <c r="D102" s="180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  <c r="AC102" s="132"/>
      <c r="AD102" s="132"/>
      <c r="AE102" s="132"/>
      <c r="AF102" s="132"/>
      <c r="AG102" s="132"/>
      <c r="AH102" s="132"/>
      <c r="AI102" s="132"/>
      <c r="AJ102" s="132"/>
      <c r="AK102" s="132"/>
      <c r="AL102" s="132"/>
      <c r="AM102" s="132"/>
      <c r="AN102" s="132"/>
      <c r="AO102" s="132"/>
      <c r="AP102" s="132"/>
      <c r="AQ102" s="132"/>
      <c r="AR102" s="132"/>
      <c r="AS102" s="132"/>
      <c r="AT102" s="132"/>
      <c r="AU102" s="132"/>
      <c r="AV102" s="132"/>
      <c r="AW102" s="132"/>
      <c r="AX102" s="132"/>
      <c r="AY102" s="132"/>
      <c r="AZ102" s="132"/>
      <c r="BA102" s="132"/>
      <c r="BB102" s="132"/>
      <c r="BC102" s="132"/>
      <c r="BD102" s="132"/>
      <c r="BE102" s="132"/>
      <c r="BF102" s="132"/>
      <c r="BG102" s="132"/>
      <c r="BH102" s="132"/>
      <c r="BI102" s="132"/>
      <c r="BJ102" s="132"/>
      <c r="BK102" s="132"/>
      <c r="BL102" s="132"/>
    </row>
    <row r="103" spans="1:64">
      <c r="A103" s="117"/>
      <c r="C103" s="178"/>
      <c r="D103" s="180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  <c r="AB103" s="132"/>
      <c r="AC103" s="132"/>
      <c r="AD103" s="132"/>
      <c r="AE103" s="132"/>
      <c r="AF103" s="132"/>
      <c r="AG103" s="132"/>
      <c r="AH103" s="132"/>
      <c r="AI103" s="132"/>
      <c r="AJ103" s="132"/>
      <c r="AK103" s="132"/>
      <c r="AL103" s="132"/>
      <c r="AM103" s="132"/>
      <c r="AN103" s="132"/>
      <c r="AO103" s="132"/>
      <c r="AP103" s="132"/>
      <c r="AQ103" s="132"/>
      <c r="AR103" s="132"/>
      <c r="AS103" s="132"/>
      <c r="AT103" s="132"/>
      <c r="AU103" s="132"/>
      <c r="AV103" s="132"/>
      <c r="AW103" s="132"/>
      <c r="AX103" s="132"/>
      <c r="AY103" s="132"/>
      <c r="AZ103" s="132"/>
      <c r="BA103" s="132"/>
      <c r="BB103" s="132"/>
      <c r="BC103" s="132"/>
      <c r="BD103" s="132"/>
      <c r="BE103" s="132"/>
      <c r="BF103" s="132"/>
      <c r="BG103" s="132"/>
      <c r="BH103" s="132"/>
      <c r="BI103" s="132"/>
      <c r="BJ103" s="132"/>
      <c r="BK103" s="132"/>
      <c r="BL103" s="132"/>
    </row>
    <row r="104" spans="1:64">
      <c r="A104" s="117"/>
      <c r="C104" s="178"/>
      <c r="D104" s="180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  <c r="AE104" s="132"/>
      <c r="AF104" s="132"/>
      <c r="AG104" s="132"/>
      <c r="AH104" s="132"/>
      <c r="AI104" s="132"/>
      <c r="AJ104" s="132"/>
      <c r="AK104" s="132"/>
      <c r="AL104" s="132"/>
      <c r="AM104" s="132"/>
      <c r="AN104" s="132"/>
      <c r="AO104" s="132"/>
      <c r="AP104" s="132"/>
      <c r="AQ104" s="132"/>
      <c r="AR104" s="132"/>
      <c r="AS104" s="132"/>
      <c r="AT104" s="132"/>
      <c r="AU104" s="132"/>
      <c r="AV104" s="132"/>
      <c r="AW104" s="132"/>
      <c r="AX104" s="132"/>
      <c r="AY104" s="132"/>
      <c r="AZ104" s="132"/>
      <c r="BA104" s="132"/>
      <c r="BB104" s="132"/>
      <c r="BC104" s="132"/>
      <c r="BD104" s="132"/>
      <c r="BE104" s="132"/>
      <c r="BF104" s="132"/>
      <c r="BG104" s="132"/>
      <c r="BH104" s="132"/>
      <c r="BI104" s="132"/>
      <c r="BJ104" s="132"/>
      <c r="BK104" s="132"/>
      <c r="BL104" s="132"/>
    </row>
    <row r="105" spans="1:64">
      <c r="A105" s="117"/>
      <c r="C105" s="178"/>
      <c r="D105" s="180"/>
    </row>
    <row r="106" spans="1:64">
      <c r="A106" s="117"/>
      <c r="C106" s="178"/>
      <c r="D106" s="180"/>
    </row>
  </sheetData>
  <mergeCells count="9">
    <mergeCell ref="C93:K93"/>
    <mergeCell ref="C94:K94"/>
    <mergeCell ref="C95:K95"/>
    <mergeCell ref="C1:I1"/>
    <mergeCell ref="N4:O4"/>
    <mergeCell ref="C89:K89"/>
    <mergeCell ref="C90:K90"/>
    <mergeCell ref="C91:K91"/>
    <mergeCell ref="C92:K92"/>
  </mergeCells>
  <conditionalFormatting sqref="E51 E84 E76:E80 E35:E41 E8:E20 E4:E6 E43:E48 E53:E73">
    <cfRule type="expression" dxfId="63" priority="61" stopIfTrue="1">
      <formula>OR(#REF!="FT",#REF!="FT2",#REF!="OFT")</formula>
    </cfRule>
    <cfRule type="expression" dxfId="62" priority="62">
      <formula>#REF!&lt;&gt;""</formula>
    </cfRule>
  </conditionalFormatting>
  <conditionalFormatting sqref="E51 E84 E76:E80 E35:E41 E8:E20 E4:E6 E43:E48 E53:E73">
    <cfRule type="expression" dxfId="61" priority="63" stopIfTrue="1">
      <formula>OR(#REF!="FT",#REF!="FT2",#REF!="OFT")</formula>
    </cfRule>
    <cfRule type="expression" dxfId="60" priority="64">
      <formula>#REF!&lt;&gt;""</formula>
    </cfRule>
  </conditionalFormatting>
  <conditionalFormatting sqref="E51 G59:K59 E35:E41 E8:E20 E4:E6 K4:K6 E27:E33 E43:E48 K43:K48 E53:E73 K60:K73 E75:E84 K75:K84">
    <cfRule type="expression" dxfId="59" priority="57" stopIfTrue="1">
      <formula>OR(#REF!="FT",#REF!="FT2",#REF!="OFT")</formula>
    </cfRule>
    <cfRule type="expression" dxfId="58" priority="58">
      <formula>#REF!&lt;&gt;""</formula>
    </cfRule>
  </conditionalFormatting>
  <conditionalFormatting sqref="E51 E84 E76:E80 E35:E41">
    <cfRule type="expression" dxfId="57" priority="59" stopIfTrue="1">
      <formula>OR(#REF!="FT",#REF!="FT2",#REF!="OFT")</formula>
    </cfRule>
    <cfRule type="expression" dxfId="56" priority="60">
      <formula>#REF!&lt;&gt;""</formula>
    </cfRule>
  </conditionalFormatting>
  <conditionalFormatting sqref="E51 E84 E76:E80 E35:E41">
    <cfRule type="expression" dxfId="55" priority="55" stopIfTrue="1">
      <formula>OR(#REF!="FT",#REF!="FT2",#REF!="OFT")</formula>
    </cfRule>
    <cfRule type="expression" dxfId="54" priority="56">
      <formula>#REF!&lt;&gt;""</formula>
    </cfRule>
  </conditionalFormatting>
  <conditionalFormatting sqref="E51 G74:K74 G59:K59 E36:E37 K7 G11:K11 G42:K42 K32:K33 K38:K41 G25:K26 G34:K34">
    <cfRule type="expression" dxfId="53" priority="53" stopIfTrue="1">
      <formula>OR(#REF!="FT",#REF!="FT2",#REF!="OFT")</formula>
    </cfRule>
    <cfRule type="expression" dxfId="52" priority="54">
      <formula>#REF!&lt;&gt;""</formula>
    </cfRule>
  </conditionalFormatting>
  <conditionalFormatting sqref="G3:K3 E35 E15:E20 E12:E13 K11 E80 E38:E41 K35:K37 E22:E25 G25:K25">
    <cfRule type="expression" dxfId="51" priority="51" stopIfTrue="1">
      <formula>OR(#REF!="FT",#REF!="FT2",#REF!="OFT")</formula>
    </cfRule>
    <cfRule type="expression" dxfId="50" priority="52">
      <formula>#REF!&lt;&gt;""</formula>
    </cfRule>
  </conditionalFormatting>
  <conditionalFormatting sqref="E14">
    <cfRule type="expression" dxfId="49" priority="49" stopIfTrue="1">
      <formula>OR(#REF!="FT",#REF!="FT2",#REF!="OFT")</formula>
    </cfRule>
    <cfRule type="expression" dxfId="48" priority="50">
      <formula>#REF!&lt;&gt;""</formula>
    </cfRule>
  </conditionalFormatting>
  <conditionalFormatting sqref="E60">
    <cfRule type="expression" dxfId="47" priority="47" stopIfTrue="1">
      <formula>OR(#REF!="FT",#REF!="FT2",#REF!="OFT")</formula>
    </cfRule>
    <cfRule type="expression" dxfId="46" priority="48">
      <formula>#REF!&lt;&gt;""</formula>
    </cfRule>
  </conditionalFormatting>
  <conditionalFormatting sqref="G21:K21">
    <cfRule type="expression" dxfId="45" priority="45" stopIfTrue="1">
      <formula>OR(#REF!="FT",#REF!="FT2",#REF!="OFT")</formula>
    </cfRule>
    <cfRule type="expression" dxfId="44" priority="46">
      <formula>#REF!&lt;&gt;""</formula>
    </cfRule>
  </conditionalFormatting>
  <conditionalFormatting sqref="E3">
    <cfRule type="expression" dxfId="43" priority="41" stopIfTrue="1">
      <formula>OR(#REF!="FT",#REF!="FT2",#REF!="OFT")</formula>
    </cfRule>
    <cfRule type="expression" dxfId="42" priority="42">
      <formula>#REF!&lt;&gt;""</formula>
    </cfRule>
  </conditionalFormatting>
  <conditionalFormatting sqref="E3">
    <cfRule type="expression" dxfId="41" priority="43" stopIfTrue="1">
      <formula>OR(#REF!="FT",#REF!="FT2",#REF!="OFT")</formula>
    </cfRule>
    <cfRule type="expression" dxfId="40" priority="44">
      <formula>#REF!&lt;&gt;""</formula>
    </cfRule>
  </conditionalFormatting>
  <conditionalFormatting sqref="E3">
    <cfRule type="expression" dxfId="39" priority="37" stopIfTrue="1">
      <formula>OR(#REF!="FT",#REF!="FT2",#REF!="OFT")</formula>
    </cfRule>
    <cfRule type="expression" dxfId="38" priority="38">
      <formula>#REF!&lt;&gt;""</formula>
    </cfRule>
  </conditionalFormatting>
  <conditionalFormatting sqref="E3">
    <cfRule type="expression" dxfId="37" priority="39" stopIfTrue="1">
      <formula>OR(#REF!="FT",#REF!="FT2",#REF!="OFT")</formula>
    </cfRule>
    <cfRule type="expression" dxfId="36" priority="40">
      <formula>#REF!&lt;&gt;""</formula>
    </cfRule>
  </conditionalFormatting>
  <conditionalFormatting sqref="E3">
    <cfRule type="expression" dxfId="35" priority="35" stopIfTrue="1">
      <formula>OR(#REF!="FT",#REF!="FT2",#REF!="OFT")</formula>
    </cfRule>
    <cfRule type="expression" dxfId="34" priority="36">
      <formula>#REF!&lt;&gt;""</formula>
    </cfRule>
  </conditionalFormatting>
  <conditionalFormatting sqref="E3">
    <cfRule type="expression" dxfId="33" priority="33" stopIfTrue="1">
      <formula>OR(#REF!="FT",#REF!="FT2",#REF!="OFT")</formula>
    </cfRule>
    <cfRule type="expression" dxfId="32" priority="34">
      <formula>#REF!&lt;&gt;""</formula>
    </cfRule>
  </conditionalFormatting>
  <conditionalFormatting sqref="E82">
    <cfRule type="expression" dxfId="31" priority="29" stopIfTrue="1">
      <formula>OR(#REF!="FT",#REF!="FT2",#REF!="OFT")</formula>
    </cfRule>
    <cfRule type="expression" dxfId="30" priority="30">
      <formula>#REF!&lt;&gt;""</formula>
    </cfRule>
  </conditionalFormatting>
  <conditionalFormatting sqref="E82">
    <cfRule type="expression" dxfId="29" priority="31" stopIfTrue="1">
      <formula>OR(#REF!="FT",#REF!="FT2",#REF!="OFT")</formula>
    </cfRule>
    <cfRule type="expression" dxfId="28" priority="32">
      <formula>#REF!&lt;&gt;""</formula>
    </cfRule>
  </conditionalFormatting>
  <conditionalFormatting sqref="E82">
    <cfRule type="expression" dxfId="27" priority="25" stopIfTrue="1">
      <formula>OR(#REF!="FT",#REF!="FT2",#REF!="OFT")</formula>
    </cfRule>
    <cfRule type="expression" dxfId="26" priority="26">
      <formula>#REF!&lt;&gt;""</formula>
    </cfRule>
  </conditionalFormatting>
  <conditionalFormatting sqref="E82">
    <cfRule type="expression" dxfId="25" priority="27" stopIfTrue="1">
      <formula>OR(#REF!="FT",#REF!="FT2",#REF!="OFT")</formula>
    </cfRule>
    <cfRule type="expression" dxfId="24" priority="28">
      <formula>#REF!&lt;&gt;""</formula>
    </cfRule>
  </conditionalFormatting>
  <conditionalFormatting sqref="E82">
    <cfRule type="expression" dxfId="23" priority="23" stopIfTrue="1">
      <formula>OR(#REF!="FT",#REF!="FT2",#REF!="OFT")</formula>
    </cfRule>
    <cfRule type="expression" dxfId="22" priority="24">
      <formula>#REF!&lt;&gt;""</formula>
    </cfRule>
  </conditionalFormatting>
  <conditionalFormatting sqref="K49">
    <cfRule type="expression" dxfId="21" priority="21" stopIfTrue="1">
      <formula>OR(#REF!="FT",#REF!="FT2",#REF!="OFT")</formula>
    </cfRule>
    <cfRule type="expression" dxfId="20" priority="22">
      <formula>#REF!&lt;&gt;""</formula>
    </cfRule>
  </conditionalFormatting>
  <conditionalFormatting sqref="K8">
    <cfRule type="expression" dxfId="19" priority="19" stopIfTrue="1">
      <formula>OR(#REF!="FT",#REF!="FT2",#REF!="OFT")</formula>
    </cfRule>
    <cfRule type="expression" dxfId="18" priority="20">
      <formula>#REF!&lt;&gt;""</formula>
    </cfRule>
  </conditionalFormatting>
  <conditionalFormatting sqref="K9:K10">
    <cfRule type="expression" dxfId="17" priority="17" stopIfTrue="1">
      <formula>OR(#REF!="FT",#REF!="FT2",#REF!="OFT")</formula>
    </cfRule>
    <cfRule type="expression" dxfId="16" priority="18">
      <formula>#REF!&lt;&gt;""</formula>
    </cfRule>
  </conditionalFormatting>
  <conditionalFormatting sqref="K12">
    <cfRule type="expression" dxfId="15" priority="15" stopIfTrue="1">
      <formula>OR(#REF!="FT",#REF!="FT2",#REF!="OFT")</formula>
    </cfRule>
    <cfRule type="expression" dxfId="14" priority="16">
      <formula>#REF!&lt;&gt;""</formula>
    </cfRule>
  </conditionalFormatting>
  <conditionalFormatting sqref="K13:K20">
    <cfRule type="expression" dxfId="13" priority="13" stopIfTrue="1">
      <formula>OR(#REF!="FT",#REF!="FT2",#REF!="OFT")</formula>
    </cfRule>
    <cfRule type="expression" dxfId="12" priority="14">
      <formula>#REF!&lt;&gt;""</formula>
    </cfRule>
  </conditionalFormatting>
  <conditionalFormatting sqref="K22:K24">
    <cfRule type="expression" dxfId="11" priority="11" stopIfTrue="1">
      <formula>OR(#REF!="FT",#REF!="FT2",#REF!="OFT")</formula>
    </cfRule>
    <cfRule type="expression" dxfId="10" priority="12">
      <formula>#REF!&lt;&gt;""</formula>
    </cfRule>
  </conditionalFormatting>
  <conditionalFormatting sqref="K50:K58">
    <cfRule type="expression" dxfId="9" priority="9" stopIfTrue="1">
      <formula>OR(#REF!="FT",#REF!="FT2",#REF!="OFT")</formula>
    </cfRule>
    <cfRule type="expression" dxfId="8" priority="10">
      <formula>#REF!&lt;&gt;""</formula>
    </cfRule>
  </conditionalFormatting>
  <conditionalFormatting sqref="K86">
    <cfRule type="expression" dxfId="7" priority="7" stopIfTrue="1">
      <formula>OR(#REF!="FT",#REF!="FT2",#REF!="OFT")</formula>
    </cfRule>
    <cfRule type="expression" dxfId="6" priority="8">
      <formula>#REF!&lt;&gt;""</formula>
    </cfRule>
  </conditionalFormatting>
  <conditionalFormatting sqref="K27:K31">
    <cfRule type="expression" dxfId="5" priority="5" stopIfTrue="1">
      <formula>OR(#REF!="FT",#REF!="FT2",#REF!="OFT")</formula>
    </cfRule>
    <cfRule type="expression" dxfId="4" priority="6">
      <formula>#REF!&lt;&gt;""</formula>
    </cfRule>
  </conditionalFormatting>
  <conditionalFormatting sqref="E37">
    <cfRule type="expression" dxfId="3" priority="3" stopIfTrue="1">
      <formula>OR(#REF!="FT",#REF!="FT2",#REF!="OFT")</formula>
    </cfRule>
    <cfRule type="expression" dxfId="2" priority="4">
      <formula>#REF!&lt;&gt;""</formula>
    </cfRule>
  </conditionalFormatting>
  <conditionalFormatting sqref="K37">
    <cfRule type="expression" dxfId="1" priority="1" stopIfTrue="1">
      <formula>OR(#REF!="FT",#REF!="FT2",#REF!="OFT")</formula>
    </cfRule>
    <cfRule type="expression" dxfId="0" priority="2">
      <formula>#REF!&lt;&gt;""</formula>
    </cfRule>
  </conditionalFormatting>
  <printOptions horizontalCentered="1"/>
  <pageMargins left="0.70866141732283472" right="0.70866141732283472" top="0.35433070866141736" bottom="0.74803149606299213" header="0.31496062992125984" footer="0.31496062992125984"/>
  <pageSetup paperSize="8" scale="12" fitToHeight="0" orientation="portrait" r:id="rId1"/>
  <rowBreaks count="1" manualBreakCount="1">
    <brk id="68" min="1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B1AC-BB61-43F1-9EDC-4C0152D0FB64}">
  <dimension ref="A1:Z100"/>
  <sheetViews>
    <sheetView showGridLines="0" workbookViewId="0">
      <selection activeCell="G36" sqref="G36"/>
    </sheetView>
  </sheetViews>
  <sheetFormatPr defaultColWidth="10" defaultRowHeight="12.75"/>
  <cols>
    <col min="1" max="1" width="10" style="107"/>
    <col min="2" max="2" width="29.42578125" style="107" customWidth="1"/>
    <col min="3" max="3" width="7.7109375" style="107" customWidth="1"/>
    <col min="4" max="9" width="7.42578125" style="107" customWidth="1"/>
    <col min="10" max="16384" width="10" style="107"/>
  </cols>
  <sheetData>
    <row r="1" spans="1:26" ht="40.15" customHeight="1">
      <c r="A1" s="105" t="s">
        <v>149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7.25">
      <c r="A2" s="106"/>
      <c r="B2" s="108" t="s">
        <v>150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>
      <c r="A3" s="106"/>
      <c r="B3" s="109"/>
      <c r="C3" s="109"/>
      <c r="D3" s="109"/>
      <c r="E3" s="109"/>
      <c r="F3" s="109"/>
      <c r="G3" s="109"/>
      <c r="H3" s="109"/>
      <c r="I3" s="109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</row>
    <row r="5" spans="1:26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</row>
    <row r="6" spans="1:26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</row>
    <row r="7" spans="1:26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</row>
    <row r="8" spans="1:26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</row>
    <row r="9" spans="1:26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</row>
    <row r="10" spans="1:26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</row>
    <row r="11" spans="1:26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</row>
    <row r="12" spans="1:26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</row>
    <row r="13" spans="1:26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</row>
    <row r="14" spans="1:26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</row>
    <row r="15" spans="1:26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</row>
    <row r="16" spans="1:26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</row>
    <row r="17" spans="1:26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</row>
    <row r="18" spans="1:26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</row>
    <row r="19" spans="1:26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</row>
    <row r="20" spans="1:26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</row>
    <row r="21" spans="1:26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</row>
    <row r="22" spans="1:26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</row>
    <row r="23" spans="1:26" ht="24.75" customHeight="1">
      <c r="A23" s="106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</row>
    <row r="24" spans="1:26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</sheetData>
  <hyperlinks>
    <hyperlink ref="A1" location="Contents!A1" display="Contents!A1" xr:uid="{E7ED3C6E-9B07-4E26-A8E6-CA229847838D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1722-5EAA-4E57-A5DC-ACBF7B9D4475}">
  <dimension ref="A1:AG41"/>
  <sheetViews>
    <sheetView showGridLines="0" topLeftCell="K1" workbookViewId="0">
      <selection activeCell="D26" sqref="D26"/>
    </sheetView>
  </sheetViews>
  <sheetFormatPr defaultColWidth="11.42578125" defaultRowHeight="12.75"/>
  <cols>
    <col min="1" max="1" width="11.42578125" style="182"/>
    <col min="2" max="2" width="41" style="182" customWidth="1"/>
    <col min="3" max="16384" width="11.42578125" style="182"/>
  </cols>
  <sheetData>
    <row r="1" spans="1:2" ht="39.950000000000003" customHeight="1">
      <c r="A1" s="181" t="s">
        <v>149</v>
      </c>
    </row>
    <row r="2" spans="1:2" ht="17.25">
      <c r="B2" s="183" t="s">
        <v>709</v>
      </c>
    </row>
    <row r="24" spans="2:33" ht="13.5" thickBot="1"/>
    <row r="25" spans="2:33" s="196" customFormat="1" ht="13.5" thickBot="1">
      <c r="B25" s="191"/>
      <c r="C25" s="194" t="s">
        <v>118</v>
      </c>
      <c r="D25" s="194" t="s">
        <v>119</v>
      </c>
      <c r="E25" s="194" t="s">
        <v>120</v>
      </c>
      <c r="F25" s="194" t="s">
        <v>121</v>
      </c>
      <c r="G25" s="194" t="s">
        <v>122</v>
      </c>
      <c r="H25" s="194" t="s">
        <v>123</v>
      </c>
      <c r="I25" s="194" t="s">
        <v>124</v>
      </c>
      <c r="J25" s="194" t="s">
        <v>125</v>
      </c>
      <c r="K25" s="194" t="s">
        <v>126</v>
      </c>
      <c r="L25" s="194" t="s">
        <v>127</v>
      </c>
      <c r="M25" s="194" t="s">
        <v>128</v>
      </c>
      <c r="N25" s="194" t="s">
        <v>129</v>
      </c>
      <c r="O25" s="194" t="s">
        <v>130</v>
      </c>
      <c r="P25" s="194" t="s">
        <v>131</v>
      </c>
      <c r="Q25" s="194" t="s">
        <v>132</v>
      </c>
      <c r="R25" s="194" t="s">
        <v>133</v>
      </c>
      <c r="S25" s="194" t="s">
        <v>134</v>
      </c>
      <c r="T25" s="194" t="s">
        <v>135</v>
      </c>
      <c r="U25" s="194" t="s">
        <v>136</v>
      </c>
      <c r="V25" s="194" t="s">
        <v>137</v>
      </c>
      <c r="W25" s="194" t="s">
        <v>138</v>
      </c>
      <c r="X25" s="194" t="s">
        <v>139</v>
      </c>
      <c r="Y25" s="194" t="s">
        <v>140</v>
      </c>
      <c r="Z25" s="194" t="s">
        <v>141</v>
      </c>
      <c r="AA25" s="194" t="s">
        <v>0</v>
      </c>
      <c r="AB25" s="194" t="s">
        <v>1</v>
      </c>
      <c r="AC25" s="194" t="s">
        <v>2</v>
      </c>
      <c r="AD25" s="194" t="s">
        <v>3</v>
      </c>
      <c r="AE25" s="194" t="s">
        <v>4</v>
      </c>
      <c r="AF25" s="194" t="s">
        <v>5</v>
      </c>
      <c r="AG25" s="195" t="s">
        <v>615</v>
      </c>
    </row>
    <row r="26" spans="2:33" ht="13.5" customHeight="1">
      <c r="B26" s="192" t="s">
        <v>24</v>
      </c>
      <c r="C26" s="184">
        <v>32.5</v>
      </c>
      <c r="D26" s="184">
        <v>28.3</v>
      </c>
      <c r="E26" s="184">
        <v>28.1</v>
      </c>
      <c r="F26" s="184">
        <v>29.8</v>
      </c>
      <c r="G26" s="184">
        <v>30.9</v>
      </c>
      <c r="H26" s="184">
        <v>33.5</v>
      </c>
      <c r="I26" s="184">
        <v>34.299999999999997</v>
      </c>
      <c r="J26" s="184">
        <v>35.1</v>
      </c>
      <c r="K26" s="184">
        <v>35.6</v>
      </c>
      <c r="L26" s="184">
        <v>50.6</v>
      </c>
      <c r="M26" s="184">
        <v>64.7</v>
      </c>
      <c r="N26" s="184">
        <v>70.900000000000006</v>
      </c>
      <c r="O26" s="184">
        <v>74.3</v>
      </c>
      <c r="P26" s="184">
        <v>77.5</v>
      </c>
      <c r="Q26" s="184">
        <v>79.2</v>
      </c>
      <c r="R26" s="184">
        <v>81.599999999999994</v>
      </c>
      <c r="S26" s="184">
        <v>81.3</v>
      </c>
      <c r="T26" s="184">
        <v>83.5</v>
      </c>
      <c r="U26" s="184">
        <v>82.3</v>
      </c>
      <c r="V26" s="184">
        <v>80.3</v>
      </c>
      <c r="W26" s="184">
        <v>85.2</v>
      </c>
      <c r="X26" s="184">
        <v>96.5</v>
      </c>
      <c r="Y26" s="184">
        <v>96.6</v>
      </c>
      <c r="Z26" s="184">
        <v>95.7</v>
      </c>
      <c r="AA26" s="184">
        <v>97.810367923129988</v>
      </c>
      <c r="AB26" s="185">
        <v>98.39558667527487</v>
      </c>
      <c r="AC26" s="185">
        <v>96.92174393685228</v>
      </c>
      <c r="AD26" s="185">
        <v>96.966300507515726</v>
      </c>
      <c r="AE26" s="185">
        <v>97.24596903335447</v>
      </c>
      <c r="AF26" s="185">
        <v>97.339931666562251</v>
      </c>
      <c r="AG26" s="186">
        <v>97.147984898017739</v>
      </c>
    </row>
    <row r="27" spans="2:33" ht="13.5" customHeight="1">
      <c r="B27" s="192" t="s">
        <v>710</v>
      </c>
      <c r="C27" s="184">
        <v>32.6</v>
      </c>
      <c r="D27" s="184">
        <v>28.4</v>
      </c>
      <c r="E27" s="184">
        <v>28.2</v>
      </c>
      <c r="F27" s="184">
        <v>29.9</v>
      </c>
      <c r="G27" s="184">
        <v>31</v>
      </c>
      <c r="H27" s="184">
        <v>33.6</v>
      </c>
      <c r="I27" s="184">
        <v>34.5</v>
      </c>
      <c r="J27" s="184">
        <v>35.299999999999997</v>
      </c>
      <c r="K27" s="184">
        <v>35.799999999999997</v>
      </c>
      <c r="L27" s="184">
        <v>50.6</v>
      </c>
      <c r="M27" s="184">
        <v>63.9</v>
      </c>
      <c r="N27" s="184">
        <v>70.599999999999994</v>
      </c>
      <c r="O27" s="184">
        <v>74.599999999999994</v>
      </c>
      <c r="P27" s="184">
        <v>76.2</v>
      </c>
      <c r="Q27" s="184">
        <v>77</v>
      </c>
      <c r="R27" s="184">
        <v>79.2</v>
      </c>
      <c r="S27" s="184">
        <v>78.900000000000006</v>
      </c>
      <c r="T27" s="184">
        <v>77.400000000000006</v>
      </c>
      <c r="U27" s="184">
        <v>73.7</v>
      </c>
      <c r="V27" s="184">
        <v>72.3</v>
      </c>
      <c r="W27" s="184">
        <v>77.099999999999994</v>
      </c>
      <c r="X27" s="184">
        <v>86.5</v>
      </c>
      <c r="Y27" s="184">
        <v>83.2</v>
      </c>
      <c r="Z27" s="184">
        <v>84.8</v>
      </c>
      <c r="AA27" s="184">
        <v>88.853958473360478</v>
      </c>
      <c r="AB27" s="185">
        <v>91.752912815138501</v>
      </c>
      <c r="AC27" s="185">
        <v>93.140493296167065</v>
      </c>
      <c r="AD27" s="185">
        <v>94.384385925608811</v>
      </c>
      <c r="AE27" s="185">
        <v>95.054133757372853</v>
      </c>
      <c r="AF27" s="185">
        <v>95.607594350085449</v>
      </c>
      <c r="AG27" s="186">
        <v>95.774656046387136</v>
      </c>
    </row>
    <row r="28" spans="2:33" ht="13.5" customHeight="1">
      <c r="B28" s="192" t="s">
        <v>26</v>
      </c>
      <c r="C28" s="184">
        <v>27.565574582507782</v>
      </c>
      <c r="D28" s="184">
        <v>26.955398447204971</v>
      </c>
      <c r="E28" s="184">
        <v>28.366805505142167</v>
      </c>
      <c r="F28" s="184">
        <v>31.350052004333701</v>
      </c>
      <c r="G28" s="184">
        <v>31.244827194066744</v>
      </c>
      <c r="H28" s="184">
        <v>33.412415925363419</v>
      </c>
      <c r="I28" s="184">
        <v>32.378334601521821</v>
      </c>
      <c r="J28" s="184">
        <v>32.440742152466363</v>
      </c>
      <c r="K28" s="184">
        <v>34.196775035260927</v>
      </c>
      <c r="L28" s="184">
        <v>47.544202235772353</v>
      </c>
      <c r="M28" s="184">
        <v>54.597887148555309</v>
      </c>
      <c r="N28" s="184">
        <v>58.946491742962266</v>
      </c>
      <c r="O28" s="184">
        <v>65.016918411037111</v>
      </c>
      <c r="P28" s="184">
        <v>69.724359537403004</v>
      </c>
      <c r="Q28" s="184">
        <v>70.718374375470546</v>
      </c>
      <c r="R28" s="184">
        <v>72.913428037864634</v>
      </c>
      <c r="S28" s="184">
        <v>73.981932737388249</v>
      </c>
      <c r="T28" s="184">
        <v>74.221682188591373</v>
      </c>
      <c r="U28" s="184">
        <v>70.188463552040062</v>
      </c>
      <c r="V28" s="184">
        <v>66.982374472395733</v>
      </c>
      <c r="W28" s="184">
        <v>74.576334545454557</v>
      </c>
      <c r="X28" s="184">
        <v>83.079863382899632</v>
      </c>
      <c r="Y28" s="184">
        <v>80.629862920498937</v>
      </c>
      <c r="Z28" s="184">
        <v>81.311359589041089</v>
      </c>
      <c r="AA28" s="184">
        <v>82.794795308586217</v>
      </c>
      <c r="AB28" s="185">
        <v>83.544789736520826</v>
      </c>
      <c r="AC28" s="185">
        <v>83.791436212032806</v>
      </c>
      <c r="AD28" s="185">
        <v>84.227751092845665</v>
      </c>
      <c r="AE28" s="185">
        <v>84.100989154685948</v>
      </c>
      <c r="AF28" s="185">
        <v>83.872927049648496</v>
      </c>
      <c r="AG28" s="186">
        <v>83.417751487533224</v>
      </c>
    </row>
    <row r="29" spans="2:33" ht="13.5" customHeight="1" thickBot="1">
      <c r="B29" s="193" t="s">
        <v>27</v>
      </c>
      <c r="C29" s="187">
        <v>32.351620435890183</v>
      </c>
      <c r="D29" s="187">
        <v>32.436370186335402</v>
      </c>
      <c r="E29" s="187">
        <v>34.148469751966125</v>
      </c>
      <c r="F29" s="187">
        <v>36.652789274106183</v>
      </c>
      <c r="G29" s="187">
        <v>37.45461953028429</v>
      </c>
      <c r="H29" s="187">
        <v>37.390259275330877</v>
      </c>
      <c r="I29" s="187">
        <v>34.9423866639968</v>
      </c>
      <c r="J29" s="187">
        <v>35.127872757847527</v>
      </c>
      <c r="K29" s="187">
        <v>37.427136107193228</v>
      </c>
      <c r="L29" s="187">
        <v>46.938699186991869</v>
      </c>
      <c r="M29" s="187">
        <v>54.072179978597134</v>
      </c>
      <c r="N29" s="187">
        <v>49.558414477624709</v>
      </c>
      <c r="O29" s="187">
        <v>54.680428718680631</v>
      </c>
      <c r="P29" s="187">
        <v>58.751602986385592</v>
      </c>
      <c r="Q29" s="187">
        <v>56.32696844842927</v>
      </c>
      <c r="R29" s="187">
        <v>53.457799987120858</v>
      </c>
      <c r="S29" s="187">
        <v>51.95063393136212</v>
      </c>
      <c r="T29" s="187">
        <v>61.429268335273562</v>
      </c>
      <c r="U29" s="187">
        <v>63.049302680248104</v>
      </c>
      <c r="V29" s="187">
        <v>58.905420957847923</v>
      </c>
      <c r="W29" s="187">
        <v>67.191348760330584</v>
      </c>
      <c r="X29" s="187">
        <v>73.560622676579925</v>
      </c>
      <c r="Y29" s="187">
        <v>67.135032379992452</v>
      </c>
      <c r="Z29" s="187">
        <v>69.332773972602737</v>
      </c>
      <c r="AA29" s="187">
        <v>69.878036960248934</v>
      </c>
      <c r="AB29" s="188">
        <v>69.572316302535853</v>
      </c>
      <c r="AC29" s="188">
        <v>69.261947954335284</v>
      </c>
      <c r="AD29" s="188">
        <v>69.189136625057131</v>
      </c>
      <c r="AE29" s="188">
        <v>68.709183513082991</v>
      </c>
      <c r="AF29" s="188">
        <v>68.37793650625656</v>
      </c>
      <c r="AG29" s="189">
        <v>67.888123215257707</v>
      </c>
    </row>
    <row r="38" spans="3:33"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190"/>
    </row>
    <row r="39" spans="3:33"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190"/>
      <c r="AB39" s="190"/>
      <c r="AC39" s="190"/>
      <c r="AD39" s="190"/>
      <c r="AE39" s="190"/>
      <c r="AF39" s="190"/>
      <c r="AG39" s="190"/>
    </row>
    <row r="40" spans="3:33"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</row>
    <row r="41" spans="3:33"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</row>
  </sheetData>
  <hyperlinks>
    <hyperlink ref="A1" location="Contents!A1" display="Contents!A1" xr:uid="{27CBEAF7-EC3D-4E5B-A77A-26E0E37C3FD5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11</vt:i4>
      </vt:variant>
      <vt:variant>
        <vt:lpstr>Charts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Chart Data</vt:lpstr>
      <vt:lpstr>GMW</vt:lpstr>
      <vt:lpstr>DataQ</vt:lpstr>
      <vt:lpstr>DataFY</vt:lpstr>
      <vt:lpstr>DataCY</vt:lpstr>
      <vt:lpstr>HAVERA</vt:lpstr>
      <vt:lpstr>Aggregates (% GDP) Mar24</vt:lpstr>
      <vt:lpstr>Aggregates (% GDP) Oct24</vt:lpstr>
      <vt:lpstr>HMT - Table 5.1</vt:lpstr>
      <vt:lpstr>T5.3</vt:lpstr>
      <vt:lpstr>C6.11</vt:lpstr>
      <vt:lpstr>Chart - Policy decisions</vt:lpstr>
      <vt:lpstr>Chart - Fiscal rules</vt:lpstr>
      <vt:lpstr>Chart - Fiscal rules (2)</vt:lpstr>
      <vt:lpstr>Chart - PSNI</vt:lpstr>
      <vt:lpstr>Chart - Fiscal impulse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2024-10-30T09:11:03Z</dcterms:created>
  <dcterms:modified xsi:type="dcterms:W3CDTF">2024-10-31T11:47:48Z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2024-10-30T09:11:22Z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7e7e91cb-0d7b-4c55-b7d5-bb42eb28991f</vt:lpwstr>
  </property>
  <property fmtid="{D5CDD505-2E9C-101B-9397-08002B2CF9AE}" pid="8" name="MSIP_Label_231f5784-19ed-4d1e-9a93-4ea41014d730_ContentBits">
    <vt:lpwstr>0</vt:lpwstr>
  </property>
</Properties>
</file>